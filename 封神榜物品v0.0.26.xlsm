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000" windowHeight="855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P000!$A$1:$AP$723</definedName>
  </definedNames>
  <calcPr calcId="125725"/>
</workbook>
</file>

<file path=xl/calcChain.xml><?xml version="1.0" encoding="utf-8"?>
<calcChain xmlns="http://schemas.openxmlformats.org/spreadsheetml/2006/main">
  <c r="B112" i="1"/>
  <c r="H112" s="1"/>
  <c r="J112" s="1"/>
  <c r="M111"/>
  <c r="I111"/>
  <c r="K111" s="1"/>
  <c r="H111"/>
  <c r="J111" s="1"/>
  <c r="B111"/>
  <c r="B110"/>
  <c r="H110" s="1"/>
  <c r="J110" s="1"/>
  <c r="M109"/>
  <c r="H109"/>
  <c r="J109" s="1"/>
  <c r="B109"/>
  <c r="FS112" i="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V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 s="1"/>
  <c r="CV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V109"/>
  <c r="I109" i="1" s="1"/>
  <c r="K109" s="1"/>
  <c r="CR109" i="2"/>
  <c r="CQ109"/>
  <c r="CP109"/>
  <c r="CO109"/>
  <c r="CN109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CA313" s="1"/>
  <c r="CH313" s="1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BE313" s="1"/>
  <c r="CF313" s="1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AI313" s="1"/>
  <c r="CD313" s="1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E312"/>
  <c r="CF312" s="1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BX311"/>
  <c r="BW311"/>
  <c r="BV311"/>
  <c r="BU311"/>
  <c r="BT311"/>
  <c r="BS311"/>
  <c r="BR311"/>
  <c r="BQ311"/>
  <c r="CA311" s="1"/>
  <c r="CH311" s="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AI311" s="1"/>
  <c r="CD311" s="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E311" s="1"/>
  <c r="CF311" s="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BE310" s="1"/>
  <c r="CF310" s="1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09"/>
  <c r="CH309" s="1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BE309" s="1"/>
  <c r="CF309" s="1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AI309" s="1"/>
  <c r="CD309" s="1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BE308" s="1"/>
  <c r="CF308" s="1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CA308" s="1"/>
  <c r="CH308" s="1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AI307" s="1"/>
  <c r="CD307" s="1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E307" s="1"/>
  <c r="CF307" s="1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CA306" s="1"/>
  <c r="CH306" s="1"/>
  <c r="BZ305"/>
  <c r="BY305"/>
  <c r="BX305"/>
  <c r="BW305"/>
  <c r="BV305"/>
  <c r="BU305"/>
  <c r="BT305"/>
  <c r="BS305"/>
  <c r="CA305" s="1"/>
  <c r="CH305" s="1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BE305" s="1"/>
  <c r="CF305" s="1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AI305" s="1"/>
  <c r="CD305" s="1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CA304" s="1"/>
  <c r="CH304" s="1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I303"/>
  <c r="CD303" s="1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CA302" s="1"/>
  <c r="CH302" s="1"/>
  <c r="BZ301"/>
  <c r="BY301"/>
  <c r="BX301"/>
  <c r="BW301"/>
  <c r="BV301"/>
  <c r="BU301"/>
  <c r="BT301"/>
  <c r="BS301"/>
  <c r="CA301" s="1"/>
  <c r="CH301" s="1"/>
  <c r="BR301"/>
  <c r="BQ301"/>
  <c r="BO301"/>
  <c r="BN301"/>
  <c r="BM301"/>
  <c r="BL301"/>
  <c r="BK301"/>
  <c r="BJ301"/>
  <c r="BI301"/>
  <c r="BH301"/>
  <c r="BG301"/>
  <c r="BF301"/>
  <c r="BE301"/>
  <c r="CF301" s="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AI301" s="1"/>
  <c r="CD301" s="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E300"/>
  <c r="CF300" s="1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BX299"/>
  <c r="BW299"/>
  <c r="BV299"/>
  <c r="BU299"/>
  <c r="BT299"/>
  <c r="BS299"/>
  <c r="BR299"/>
  <c r="BQ299"/>
  <c r="CA299" s="1"/>
  <c r="CH299" s="1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AI299" s="1"/>
  <c r="CD299" s="1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E299" s="1"/>
  <c r="CF299" s="1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BE298" s="1"/>
  <c r="CF298" s="1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7"/>
  <c r="CH297" s="1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BE297" s="1"/>
  <c r="CF297" s="1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AI297" s="1"/>
  <c r="CD297" s="1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CA296" s="1"/>
  <c r="CH296" s="1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AI295" s="1"/>
  <c r="CD295" s="1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E295" s="1"/>
  <c r="CF295" s="1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CA294" s="1"/>
  <c r="CH294" s="1"/>
  <c r="BZ293"/>
  <c r="BY293"/>
  <c r="BX293"/>
  <c r="BW293"/>
  <c r="BV293"/>
  <c r="BU293"/>
  <c r="BT293"/>
  <c r="BS293"/>
  <c r="CA293" s="1"/>
  <c r="CH293" s="1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BE293" s="1"/>
  <c r="CF293" s="1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AI293" s="1"/>
  <c r="CD293" s="1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CA292" s="1"/>
  <c r="CH292" s="1"/>
  <c r="BZ291"/>
  <c r="BY291"/>
  <c r="BX291"/>
  <c r="BW291"/>
  <c r="BV291"/>
  <c r="BU291"/>
  <c r="BT291"/>
  <c r="BS291"/>
  <c r="BR291"/>
  <c r="BQ291"/>
  <c r="CA291" s="1"/>
  <c r="CH291" s="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I291"/>
  <c r="CD291" s="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CA290" s="1"/>
  <c r="CH290" s="1"/>
  <c r="BZ289"/>
  <c r="BY289"/>
  <c r="BX289"/>
  <c r="BW289"/>
  <c r="BV289"/>
  <c r="BU289"/>
  <c r="BT289"/>
  <c r="BS289"/>
  <c r="CA289" s="1"/>
  <c r="CH289" s="1"/>
  <c r="BR289"/>
  <c r="BQ289"/>
  <c r="BO289"/>
  <c r="BN289"/>
  <c r="BM289"/>
  <c r="BL289"/>
  <c r="BK289"/>
  <c r="BJ289"/>
  <c r="BI289"/>
  <c r="BH289"/>
  <c r="BG289"/>
  <c r="BF289"/>
  <c r="BE289"/>
  <c r="CF289" s="1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E288"/>
  <c r="CF288" s="1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AI287" s="1"/>
  <c r="CD287" s="1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E287" s="1"/>
  <c r="CF287" s="1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BE286" s="1"/>
  <c r="CF286" s="1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CA285"/>
  <c r="CH285" s="1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BE285" s="1"/>
  <c r="CF285" s="1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BE284" s="1"/>
  <c r="CF284" s="1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CA284" s="1"/>
  <c r="CH284" s="1"/>
  <c r="BZ283"/>
  <c r="BY283"/>
  <c r="BX283"/>
  <c r="BW283"/>
  <c r="BV283"/>
  <c r="BU283"/>
  <c r="BT283"/>
  <c r="BS283"/>
  <c r="BR283"/>
  <c r="BQ283"/>
  <c r="CA283" s="1"/>
  <c r="CH283" s="1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AI283" s="1"/>
  <c r="CD283" s="1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E283" s="1"/>
  <c r="CF283" s="1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CA281" s="1"/>
  <c r="CH281" s="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BE281" s="1"/>
  <c r="CF281" s="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AI281" s="1"/>
  <c r="CD281" s="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CA280" s="1"/>
  <c r="CH280" s="1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I279"/>
  <c r="CD279" s="1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A278" s="1"/>
  <c r="CH278" s="1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E277"/>
  <c r="CF277" s="1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AI277" s="1"/>
  <c r="CD277" s="1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E276"/>
  <c r="CF276" s="1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CA276" s="1"/>
  <c r="CH276" s="1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AI275" s="1"/>
  <c r="CD275" s="1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E275" s="1"/>
  <c r="CF275" s="1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BE274" s="1"/>
  <c r="CF274" s="1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CA273"/>
  <c r="CH273" s="1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BE273" s="1"/>
  <c r="CF273" s="1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BE272" s="1"/>
  <c r="CF272" s="1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CA272" s="1"/>
  <c r="CH272" s="1"/>
  <c r="BZ271"/>
  <c r="BY271"/>
  <c r="BX271"/>
  <c r="BW271"/>
  <c r="BV271"/>
  <c r="BU271"/>
  <c r="BT271"/>
  <c r="BS271"/>
  <c r="BR271"/>
  <c r="BQ271"/>
  <c r="CA271" s="1"/>
  <c r="CH271" s="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AI271" s="1"/>
  <c r="CD271" s="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E271" s="1"/>
  <c r="CF271" s="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CA269" s="1"/>
  <c r="CH269" s="1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BE269" s="1"/>
  <c r="CF269" s="1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CA268" s="1"/>
  <c r="CH268" s="1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I267"/>
  <c r="CD267" s="1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E265"/>
  <c r="CF265" s="1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AI265" s="1"/>
  <c r="CD265" s="1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E264"/>
  <c r="CF264" s="1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CA264" s="1"/>
  <c r="CH264" s="1"/>
  <c r="BZ263"/>
  <c r="BY263"/>
  <c r="BX263"/>
  <c r="BW263"/>
  <c r="BV263"/>
  <c r="BU263"/>
  <c r="BT263"/>
  <c r="BS263"/>
  <c r="BR263"/>
  <c r="BQ263"/>
  <c r="CA263" s="1"/>
  <c r="CH263" s="1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AI263" s="1"/>
  <c r="CD263" s="1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E263" s="1"/>
  <c r="CF263" s="1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BE262" s="1"/>
  <c r="CF262" s="1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CA261"/>
  <c r="CH261" s="1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BE261" s="1"/>
  <c r="CF261" s="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AI261" s="1"/>
  <c r="CD261" s="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BE260" s="1"/>
  <c r="CF260" s="1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CA260" s="1"/>
  <c r="CH260" s="1"/>
  <c r="BZ259"/>
  <c r="BY259"/>
  <c r="BX259"/>
  <c r="BW259"/>
  <c r="BV259"/>
  <c r="BU259"/>
  <c r="BT259"/>
  <c r="BS259"/>
  <c r="BR259"/>
  <c r="BQ259"/>
  <c r="CA259" s="1"/>
  <c r="CH259" s="1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E259" s="1"/>
  <c r="CF259" s="1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CA257" s="1"/>
  <c r="CH257" s="1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BE257" s="1"/>
  <c r="CF257" s="1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AI257" s="1"/>
  <c r="CD257" s="1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CA256" s="1"/>
  <c r="CH256" s="1"/>
  <c r="BZ255"/>
  <c r="BY255"/>
  <c r="BX255"/>
  <c r="BW255"/>
  <c r="BV255"/>
  <c r="BU255"/>
  <c r="BT255"/>
  <c r="BS255"/>
  <c r="BR255"/>
  <c r="BQ255"/>
  <c r="CA255" s="1"/>
  <c r="CH255" s="1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I255"/>
  <c r="CD255" s="1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CA254" s="1"/>
  <c r="CH254" s="1"/>
  <c r="BZ253"/>
  <c r="BY253"/>
  <c r="BX253"/>
  <c r="BW253"/>
  <c r="BV253"/>
  <c r="BU253"/>
  <c r="BT253"/>
  <c r="BS253"/>
  <c r="CA253" s="1"/>
  <c r="CH253" s="1"/>
  <c r="BR253"/>
  <c r="BQ253"/>
  <c r="BO253"/>
  <c r="BN253"/>
  <c r="BM253"/>
  <c r="BL253"/>
  <c r="BK253"/>
  <c r="BJ253"/>
  <c r="BI253"/>
  <c r="BH253"/>
  <c r="BG253"/>
  <c r="BF253"/>
  <c r="BE253"/>
  <c r="CF253" s="1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E252"/>
  <c r="CF252" s="1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CA252" s="1"/>
  <c r="CH252" s="1"/>
  <c r="BZ251"/>
  <c r="BY251"/>
  <c r="BX251"/>
  <c r="BW251"/>
  <c r="BV251"/>
  <c r="BU251"/>
  <c r="BT251"/>
  <c r="BS251"/>
  <c r="BR251"/>
  <c r="BQ251"/>
  <c r="CA251" s="1"/>
  <c r="CH251" s="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AI251" s="1"/>
  <c r="CD251" s="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E251" s="1"/>
  <c r="CF251" s="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BE250" s="1"/>
  <c r="CF250" s="1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CA249"/>
  <c r="CH249" s="1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BE249" s="1"/>
  <c r="CF249" s="1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BE248" s="1"/>
  <c r="CF248" s="1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CA248" s="1"/>
  <c r="CH248" s="1"/>
  <c r="BZ247"/>
  <c r="BY247"/>
  <c r="BX247"/>
  <c r="BW247"/>
  <c r="BV247"/>
  <c r="BU247"/>
  <c r="BT247"/>
  <c r="BS247"/>
  <c r="BR247"/>
  <c r="BQ247"/>
  <c r="CA247" s="1"/>
  <c r="CH247" s="1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AI247" s="1"/>
  <c r="CD247" s="1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E247" s="1"/>
  <c r="CF247" s="1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CA245" s="1"/>
  <c r="CH245" s="1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BE245" s="1"/>
  <c r="CF245" s="1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AI245" s="1"/>
  <c r="CD245" s="1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CA244" s="1"/>
  <c r="CH244" s="1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I243"/>
  <c r="CD243" s="1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CA242" s="1"/>
  <c r="CH242" s="1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E241"/>
  <c r="CF241" s="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AI241" s="1"/>
  <c r="CD241" s="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E240"/>
  <c r="CF240" s="1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CA240" s="1"/>
  <c r="CH240" s="1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AI239" s="1"/>
  <c r="CD239" s="1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E239" s="1"/>
  <c r="CF239" s="1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BE238" s="1"/>
  <c r="CF238" s="1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CA237"/>
  <c r="CH237" s="1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BE237" s="1"/>
  <c r="CF237" s="1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CA236" s="1"/>
  <c r="CH236" s="1"/>
  <c r="BZ235"/>
  <c r="BY235"/>
  <c r="BX235"/>
  <c r="BW235"/>
  <c r="BV235"/>
  <c r="BU235"/>
  <c r="BT235"/>
  <c r="BS235"/>
  <c r="BR235"/>
  <c r="BQ235"/>
  <c r="CA235" s="1"/>
  <c r="CH235" s="1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AI235" s="1"/>
  <c r="CD235" s="1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E235" s="1"/>
  <c r="CF235" s="1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CA233" s="1"/>
  <c r="CH233" s="1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BE233" s="1"/>
  <c r="CF233" s="1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CA232" s="1"/>
  <c r="CH232" s="1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I231"/>
  <c r="CD231" s="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E229"/>
  <c r="CF229" s="1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AI229" s="1"/>
  <c r="CD229" s="1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E228"/>
  <c r="CF228" s="1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CA228" s="1"/>
  <c r="CH228" s="1"/>
  <c r="BZ227"/>
  <c r="BY227"/>
  <c r="BX227"/>
  <c r="BW227"/>
  <c r="BV227"/>
  <c r="BU227"/>
  <c r="BT227"/>
  <c r="BS227"/>
  <c r="BR227"/>
  <c r="BQ227"/>
  <c r="CA227" s="1"/>
  <c r="CH227" s="1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AI227" s="1"/>
  <c r="CD227" s="1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E227" s="1"/>
  <c r="CF227" s="1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BE226" s="1"/>
  <c r="CF226" s="1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CA225"/>
  <c r="CH225" s="1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BE225" s="1"/>
  <c r="CF225" s="1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AI225" s="1"/>
  <c r="CD225" s="1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BE224" s="1"/>
  <c r="CF224" s="1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CA224" s="1"/>
  <c r="CH224" s="1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E223" s="1"/>
  <c r="CF223" s="1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CA221" s="1"/>
  <c r="CH221" s="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BE221" s="1"/>
  <c r="CF221" s="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AI221" s="1"/>
  <c r="CD221" s="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CA220" s="1"/>
  <c r="CH220" s="1"/>
  <c r="BZ219"/>
  <c r="BY219"/>
  <c r="BX219"/>
  <c r="BW219"/>
  <c r="BV219"/>
  <c r="BU219"/>
  <c r="BT219"/>
  <c r="BS219"/>
  <c r="BR219"/>
  <c r="BQ219"/>
  <c r="CA219" s="1"/>
  <c r="CH219" s="1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I219"/>
  <c r="CD219" s="1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BZ217"/>
  <c r="BY217"/>
  <c r="BX217"/>
  <c r="BW217"/>
  <c r="BV217"/>
  <c r="BU217"/>
  <c r="BT217"/>
  <c r="BS217"/>
  <c r="CA217" s="1"/>
  <c r="CH217" s="1"/>
  <c r="BR217"/>
  <c r="BQ217"/>
  <c r="BO217"/>
  <c r="BN217"/>
  <c r="BM217"/>
  <c r="BL217"/>
  <c r="BK217"/>
  <c r="BJ217"/>
  <c r="BI217"/>
  <c r="BH217"/>
  <c r="BG217"/>
  <c r="BF217"/>
  <c r="BE217"/>
  <c r="CF217" s="1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E216"/>
  <c r="CF216" s="1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CA216" s="1"/>
  <c r="CH216" s="1"/>
  <c r="BZ215"/>
  <c r="BY215"/>
  <c r="BX215"/>
  <c r="BW215"/>
  <c r="BV215"/>
  <c r="BU215"/>
  <c r="BT215"/>
  <c r="BS215"/>
  <c r="BR215"/>
  <c r="BQ215"/>
  <c r="CA215" s="1"/>
  <c r="CH215" s="1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AI215" s="1"/>
  <c r="CD215" s="1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E215" s="1"/>
  <c r="CF215" s="1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BE214" s="1"/>
  <c r="CF214" s="1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BE213" s="1"/>
  <c r="CF213" s="1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AI213" s="1"/>
  <c r="CD213" s="1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BE212" s="1"/>
  <c r="CF212" s="1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CA212" s="1"/>
  <c r="CH212" s="1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AI211" s="1"/>
  <c r="CD211" s="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E211" s="1"/>
  <c r="CF211" s="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CA209" s="1"/>
  <c r="CH209" s="1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BE209" s="1"/>
  <c r="CF209" s="1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AI209" s="1"/>
  <c r="CD209" s="1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CA208" s="1"/>
  <c r="CH208" s="1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I207"/>
  <c r="CD207" s="1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CA206" s="1"/>
  <c r="CH206" s="1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E205"/>
  <c r="CF205" s="1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AI205" s="1"/>
  <c r="CD205" s="1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E204"/>
  <c r="CF204" s="1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CA204" s="1"/>
  <c r="CH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AI203" s="1"/>
  <c r="CD203" s="1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E203" s="1"/>
  <c r="CF203" s="1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BE202" s="1"/>
  <c r="CF202" s="1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BE201" s="1"/>
  <c r="CF201" s="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CA200" s="1"/>
  <c r="CH200" s="1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AI199" s="1"/>
  <c r="CD199" s="1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E199" s="1"/>
  <c r="CF199" s="1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CA197" s="1"/>
  <c r="CH197" s="1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BE197" s="1"/>
  <c r="CF197" s="1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CA196" s="1"/>
  <c r="CH196" s="1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I195"/>
  <c r="CD195" s="1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4" s="1"/>
  <c r="CH194" s="1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E193"/>
  <c r="CF193" s="1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AI193" s="1"/>
  <c r="CD193" s="1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E192"/>
  <c r="CF192" s="1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CA192" s="1"/>
  <c r="CH192" s="1"/>
  <c r="BZ191"/>
  <c r="BY191"/>
  <c r="BX191"/>
  <c r="BW191"/>
  <c r="BV191"/>
  <c r="BU191"/>
  <c r="BT191"/>
  <c r="BS191"/>
  <c r="BR191"/>
  <c r="BQ191"/>
  <c r="CA191" s="1"/>
  <c r="CH191" s="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AI191" s="1"/>
  <c r="CD191" s="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E191" s="1"/>
  <c r="CF191" s="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BE190" s="1"/>
  <c r="CF190" s="1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CA189"/>
  <c r="CH189" s="1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BE189" s="1"/>
  <c r="CF189" s="1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AI189" s="1"/>
  <c r="CD189" s="1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CA188" s="1"/>
  <c r="CH188" s="1"/>
  <c r="BZ187"/>
  <c r="BY187"/>
  <c r="BX187"/>
  <c r="BW187"/>
  <c r="BV187"/>
  <c r="BU187"/>
  <c r="BT187"/>
  <c r="BS187"/>
  <c r="BR187"/>
  <c r="BQ187"/>
  <c r="CA187" s="1"/>
  <c r="CH187" s="1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E187" s="1"/>
  <c r="CF187" s="1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CA185" s="1"/>
  <c r="CH185" s="1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BE185" s="1"/>
  <c r="CF185" s="1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AI185" s="1"/>
  <c r="CD185" s="1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CA184" s="1"/>
  <c r="CH184" s="1"/>
  <c r="BZ183"/>
  <c r="BY183"/>
  <c r="BX183"/>
  <c r="BW183"/>
  <c r="BV183"/>
  <c r="BU183"/>
  <c r="BT183"/>
  <c r="BS183"/>
  <c r="BR183"/>
  <c r="BQ183"/>
  <c r="CA183" s="1"/>
  <c r="CH183" s="1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I183"/>
  <c r="CD183" s="1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CA182" s="1"/>
  <c r="CH182" s="1"/>
  <c r="BZ181"/>
  <c r="BY181"/>
  <c r="BX181"/>
  <c r="BW181"/>
  <c r="BV181"/>
  <c r="BU181"/>
  <c r="BT181"/>
  <c r="BS181"/>
  <c r="CA181" s="1"/>
  <c r="CH181" s="1"/>
  <c r="BR181"/>
  <c r="BQ181"/>
  <c r="BO181"/>
  <c r="BN181"/>
  <c r="BM181"/>
  <c r="BL181"/>
  <c r="BK181"/>
  <c r="BJ181"/>
  <c r="BI181"/>
  <c r="BH181"/>
  <c r="BG181"/>
  <c r="BF181"/>
  <c r="BE181"/>
  <c r="CF181" s="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AI181" s="1"/>
  <c r="CD181" s="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E180"/>
  <c r="CF180" s="1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CA180" s="1"/>
  <c r="CH180" s="1"/>
  <c r="BZ179"/>
  <c r="BY179"/>
  <c r="BX179"/>
  <c r="BW179"/>
  <c r="BV179"/>
  <c r="BU179"/>
  <c r="BT179"/>
  <c r="BS179"/>
  <c r="BR179"/>
  <c r="BQ179"/>
  <c r="CA179" s="1"/>
  <c r="CH179" s="1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I179"/>
  <c r="CD179" s="1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E179" s="1"/>
  <c r="CF179" s="1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BE178" s="1"/>
  <c r="CF178" s="1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CA177" s="1"/>
  <c r="CH177" s="1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BE177" s="1"/>
  <c r="CF177" s="1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AI177" s="1"/>
  <c r="CD177" s="1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BE176" s="1"/>
  <c r="CF176" s="1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CA176" s="1"/>
  <c r="CH176" s="1"/>
  <c r="BZ175"/>
  <c r="BY175"/>
  <c r="BX175"/>
  <c r="BW175"/>
  <c r="BV175"/>
  <c r="BU175"/>
  <c r="BT175"/>
  <c r="BS175"/>
  <c r="BR175"/>
  <c r="BQ175"/>
  <c r="CA175" s="1"/>
  <c r="CH175" s="1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E175" s="1"/>
  <c r="CF175" s="1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CA173" s="1"/>
  <c r="CH173" s="1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BE173" s="1"/>
  <c r="CF173" s="1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AI173" s="1"/>
  <c r="CD173" s="1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CA172" s="1"/>
  <c r="CH172" s="1"/>
  <c r="BZ171"/>
  <c r="BY171"/>
  <c r="BX171"/>
  <c r="BW171"/>
  <c r="BV171"/>
  <c r="BU171"/>
  <c r="BT171"/>
  <c r="BS171"/>
  <c r="BR171"/>
  <c r="BQ171"/>
  <c r="CA171" s="1"/>
  <c r="CH171" s="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I171"/>
  <c r="CD171" s="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E169"/>
  <c r="CF169" s="1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BE168" s="1"/>
  <c r="CF168" s="1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AI167" s="1"/>
  <c r="CD167" s="1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E167" s="1"/>
  <c r="CF167" s="1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CA165" s="1"/>
  <c r="CH165" s="1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BE165" s="1"/>
  <c r="CF165" s="1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E164"/>
  <c r="CF164" s="1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CA164" s="1"/>
  <c r="CH164" s="1"/>
  <c r="BZ163"/>
  <c r="BY163"/>
  <c r="BX163"/>
  <c r="BW163"/>
  <c r="BV163"/>
  <c r="BU163"/>
  <c r="BT163"/>
  <c r="BS163"/>
  <c r="BR163"/>
  <c r="BQ163"/>
  <c r="CA163" s="1"/>
  <c r="CH163" s="1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E163" s="1"/>
  <c r="CF163" s="1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CA161" s="1"/>
  <c r="CH161" s="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BE161" s="1"/>
  <c r="CF161" s="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CA160" s="1"/>
  <c r="CH160" s="1"/>
  <c r="BZ159"/>
  <c r="BY159"/>
  <c r="BX159"/>
  <c r="BW159"/>
  <c r="BV159"/>
  <c r="BU159"/>
  <c r="BT159"/>
  <c r="BS159"/>
  <c r="BR159"/>
  <c r="BQ159"/>
  <c r="CA159" s="1"/>
  <c r="CH159" s="1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I159"/>
  <c r="CD159" s="1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E157"/>
  <c r="CF157" s="1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E156"/>
  <c r="CF156" s="1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CA156" s="1"/>
  <c r="CH156" s="1"/>
  <c r="BZ155"/>
  <c r="BY155"/>
  <c r="BX155"/>
  <c r="BW155"/>
  <c r="BV155"/>
  <c r="BU155"/>
  <c r="BT155"/>
  <c r="BS155"/>
  <c r="BR155"/>
  <c r="BQ155"/>
  <c r="CA155" s="1"/>
  <c r="CH155" s="1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AI155" s="1"/>
  <c r="CD155" s="1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E155" s="1"/>
  <c r="CF155" s="1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BE154" s="1"/>
  <c r="CF154" s="1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CA153"/>
  <c r="CH153" s="1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BE153" s="1"/>
  <c r="CF153" s="1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E152"/>
  <c r="CF152" s="1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CA152" s="1"/>
  <c r="CH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E151" s="1"/>
  <c r="CF151" s="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CA149" s="1"/>
  <c r="CH149" s="1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BE149" s="1"/>
  <c r="CF149" s="1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AI149" s="1"/>
  <c r="CD149" s="1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I147"/>
  <c r="CD147" s="1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CA145" s="1"/>
  <c r="CH145" s="1"/>
  <c r="BR145"/>
  <c r="BQ145"/>
  <c r="BO145"/>
  <c r="BN145"/>
  <c r="BM145"/>
  <c r="BL145"/>
  <c r="BK145"/>
  <c r="BJ145"/>
  <c r="BI145"/>
  <c r="BH145"/>
  <c r="BG145"/>
  <c r="BF145"/>
  <c r="BE145"/>
  <c r="CF145" s="1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I145" s="1"/>
  <c r="CD145" s="1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E144"/>
  <c r="CF144" s="1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CA144" s="1"/>
  <c r="CH144" s="1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AI143" s="1"/>
  <c r="CD143" s="1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E143" s="1"/>
  <c r="CF143" s="1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BE142" s="1"/>
  <c r="CF142" s="1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CA141" s="1"/>
  <c r="CH141" s="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BE141" s="1"/>
  <c r="CF141" s="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E140"/>
  <c r="CF140" s="1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CA140" s="1"/>
  <c r="CH140" s="1"/>
  <c r="BZ139"/>
  <c r="BY139"/>
  <c r="BX139"/>
  <c r="BW139"/>
  <c r="BV139"/>
  <c r="BU139"/>
  <c r="BT139"/>
  <c r="BS139"/>
  <c r="BR139"/>
  <c r="BQ139"/>
  <c r="CA139" s="1"/>
  <c r="CH139" s="1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E139" s="1"/>
  <c r="CF139" s="1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CA137" s="1"/>
  <c r="CH137" s="1"/>
  <c r="BO137"/>
  <c r="BN137"/>
  <c r="BM137"/>
  <c r="BL137"/>
  <c r="BK137"/>
  <c r="BJ137"/>
  <c r="BI137"/>
  <c r="BH137"/>
  <c r="BG137"/>
  <c r="BF137"/>
  <c r="BD137"/>
  <c r="BC137"/>
  <c r="BB137"/>
  <c r="BA137"/>
  <c r="BE137" s="1"/>
  <c r="CF137" s="1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I135"/>
  <c r="CD135" s="1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CA133" s="1"/>
  <c r="CH133" s="1"/>
  <c r="BR133"/>
  <c r="BQ133"/>
  <c r="BO133"/>
  <c r="BN133"/>
  <c r="BM133"/>
  <c r="BL133"/>
  <c r="BK133"/>
  <c r="BJ133"/>
  <c r="BI133"/>
  <c r="BH133"/>
  <c r="BG133"/>
  <c r="BF133"/>
  <c r="BE133"/>
  <c r="CF133" s="1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AI133" s="1"/>
  <c r="CD133" s="1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E132"/>
  <c r="CF132" s="1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CA132" s="1"/>
  <c r="CH132" s="1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I131"/>
  <c r="CD131" s="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E131" s="1"/>
  <c r="CF131" s="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BE130" s="1"/>
  <c r="CF130" s="1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29"/>
  <c r="CH129" s="1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BE129" s="1"/>
  <c r="CF129" s="1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E128"/>
  <c r="CF128" s="1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CA128" s="1"/>
  <c r="CH128" s="1"/>
  <c r="CA127"/>
  <c r="CH127" s="1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E127" s="1"/>
  <c r="CF127" s="1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CA125" s="1"/>
  <c r="CH125" s="1"/>
  <c r="BO125"/>
  <c r="BN125"/>
  <c r="BM125"/>
  <c r="BL125"/>
  <c r="BK125"/>
  <c r="BJ125"/>
  <c r="BI125"/>
  <c r="BH125"/>
  <c r="BG125"/>
  <c r="BF125"/>
  <c r="BD125"/>
  <c r="BC125"/>
  <c r="BB125"/>
  <c r="BA125"/>
  <c r="BE125" s="1"/>
  <c r="CF125" s="1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I123" s="1"/>
  <c r="CD123" s="1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E121"/>
  <c r="CF121" s="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AI121" s="1"/>
  <c r="CD121" s="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E120"/>
  <c r="CF120" s="1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CA120" s="1"/>
  <c r="CH120" s="1"/>
  <c r="BZ119"/>
  <c r="BY119"/>
  <c r="BX119"/>
  <c r="BW119"/>
  <c r="BV119"/>
  <c r="BU119"/>
  <c r="BT119"/>
  <c r="BS119"/>
  <c r="BR119"/>
  <c r="BQ119"/>
  <c r="CA119" s="1"/>
  <c r="CH119" s="1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I119"/>
  <c r="CD119" s="1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E119" s="1"/>
  <c r="CF119" s="1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BE118" s="1"/>
  <c r="CF118" s="1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CA117" s="1"/>
  <c r="CH117" s="1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BE117" s="1"/>
  <c r="CF117" s="1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AI117" s="1"/>
  <c r="CD117" s="1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BE116" s="1"/>
  <c r="CF116" s="1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CA116" s="1"/>
  <c r="CH116" s="1"/>
  <c r="BZ115"/>
  <c r="BY115"/>
  <c r="BX115"/>
  <c r="BW115"/>
  <c r="BV115"/>
  <c r="BU115"/>
  <c r="BT115"/>
  <c r="BS115"/>
  <c r="BR115"/>
  <c r="BQ115"/>
  <c r="CA115" s="1"/>
  <c r="CH115" s="1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E115" s="1"/>
  <c r="CF115" s="1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CA113" s="1"/>
  <c r="CH113" s="1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CA112"/>
  <c r="CH112" s="1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T110" s="1"/>
  <c r="CE110" s="1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X110" s="1"/>
  <c r="CC110" s="1"/>
  <c r="L110"/>
  <c r="K110"/>
  <c r="J110"/>
  <c r="I110"/>
  <c r="H110"/>
  <c r="G110"/>
  <c r="F110"/>
  <c r="E110"/>
  <c r="D110"/>
  <c r="C110"/>
  <c r="B110"/>
  <c r="A110"/>
  <c r="M110" s="1"/>
  <c r="CB110" s="1"/>
  <c r="BZ109"/>
  <c r="BY109"/>
  <c r="BX109"/>
  <c r="BW109"/>
  <c r="CA109" s="1"/>
  <c r="CH109" s="1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T109" s="1"/>
  <c r="CE109" s="1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BE108" s="1"/>
  <c r="CF108" s="1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AI108" s="1"/>
  <c r="CD108" s="1"/>
  <c r="Y108"/>
  <c r="X108"/>
  <c r="CC108" s="1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P107" s="1"/>
  <c r="CG107" s="1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AI107" s="1"/>
  <c r="CD107" s="1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P105" s="1"/>
  <c r="CG105" s="1"/>
  <c r="BD105"/>
  <c r="BC105"/>
  <c r="BB105"/>
  <c r="BA105"/>
  <c r="AZ105"/>
  <c r="AY105"/>
  <c r="AX105"/>
  <c r="AW105"/>
  <c r="AV105"/>
  <c r="BE105" s="1"/>
  <c r="CF105" s="1"/>
  <c r="AU105"/>
  <c r="AS105"/>
  <c r="AR105"/>
  <c r="AQ105"/>
  <c r="AP105"/>
  <c r="AO105"/>
  <c r="AN105"/>
  <c r="AM105"/>
  <c r="AL105"/>
  <c r="AK105"/>
  <c r="AJ105"/>
  <c r="AT105" s="1"/>
  <c r="CE105" s="1"/>
  <c r="AH105"/>
  <c r="AG105"/>
  <c r="AF105"/>
  <c r="AE105"/>
  <c r="AD105"/>
  <c r="AC105"/>
  <c r="AB105"/>
  <c r="AA105"/>
  <c r="Z105"/>
  <c r="Y105"/>
  <c r="X105"/>
  <c r="CC105" s="1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AI105" s="1"/>
  <c r="CD105" s="1"/>
  <c r="CB104"/>
  <c r="BZ104"/>
  <c r="BY104"/>
  <c r="BX104"/>
  <c r="BW104"/>
  <c r="BV104"/>
  <c r="BU104"/>
  <c r="BT104"/>
  <c r="BS104"/>
  <c r="BR104"/>
  <c r="CA104" s="1"/>
  <c r="CH104" s="1"/>
  <c r="BQ104"/>
  <c r="BP104"/>
  <c r="CG104" s="1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AI104" s="1"/>
  <c r="CD104" s="1"/>
  <c r="Y104"/>
  <c r="W104"/>
  <c r="V104"/>
  <c r="U104"/>
  <c r="T104"/>
  <c r="S104"/>
  <c r="R104"/>
  <c r="Q104"/>
  <c r="P104"/>
  <c r="O104"/>
  <c r="N104"/>
  <c r="X104" s="1"/>
  <c r="CC104" s="1"/>
  <c r="L104"/>
  <c r="K104"/>
  <c r="J104"/>
  <c r="I104"/>
  <c r="H104"/>
  <c r="G104"/>
  <c r="F104"/>
  <c r="E104"/>
  <c r="D104"/>
  <c r="C104"/>
  <c r="B104"/>
  <c r="A104"/>
  <c r="M104" s="1"/>
  <c r="BZ103"/>
  <c r="BY103"/>
  <c r="BX103"/>
  <c r="BW103"/>
  <c r="BV103"/>
  <c r="BU103"/>
  <c r="BT103"/>
  <c r="BS103"/>
  <c r="BR103"/>
  <c r="BQ103"/>
  <c r="CA103" s="1"/>
  <c r="CH103" s="1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X103" s="1"/>
  <c r="CC103" s="1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X102" s="1"/>
  <c r="CC102" s="1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P101" s="1"/>
  <c r="CG101" s="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I101"/>
  <c r="CD101" s="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P100" s="1"/>
  <c r="CG100" s="1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T100" s="1"/>
  <c r="CE100" s="1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P99" s="1"/>
  <c r="CG99" s="1"/>
  <c r="BD99"/>
  <c r="BC99"/>
  <c r="BB99"/>
  <c r="BA99"/>
  <c r="AZ99"/>
  <c r="AY99"/>
  <c r="AX99"/>
  <c r="AW99"/>
  <c r="AV99"/>
  <c r="AU99"/>
  <c r="BE99" s="1"/>
  <c r="CF99" s="1"/>
  <c r="AT99"/>
  <c r="CE99" s="1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X99"/>
  <c r="CC99" s="1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P98" s="1"/>
  <c r="CG98" s="1"/>
  <c r="BD98"/>
  <c r="BC98"/>
  <c r="BB98"/>
  <c r="BA98"/>
  <c r="AZ98"/>
  <c r="AY98"/>
  <c r="AX98"/>
  <c r="AW98"/>
  <c r="AV98"/>
  <c r="AU98"/>
  <c r="AS98"/>
  <c r="AR98"/>
  <c r="AT98" s="1"/>
  <c r="CE98" s="1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X98" s="1"/>
  <c r="CC98" s="1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CA97" s="1"/>
  <c r="CH97" s="1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T97" s="1"/>
  <c r="CE97" s="1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X97" s="1"/>
  <c r="CC97" s="1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CA96" s="1"/>
  <c r="CH96" s="1"/>
  <c r="BO96"/>
  <c r="BN96"/>
  <c r="BM96"/>
  <c r="BL96"/>
  <c r="BK96"/>
  <c r="BJ96"/>
  <c r="BI96"/>
  <c r="BH96"/>
  <c r="BG96"/>
  <c r="BF96"/>
  <c r="BE96"/>
  <c r="CF96" s="1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X96" s="1"/>
  <c r="CC96" s="1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P95" s="1"/>
  <c r="CG95" s="1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T95" s="1"/>
  <c r="CE95" s="1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X95" s="1"/>
  <c r="CC95" s="1"/>
  <c r="L95"/>
  <c r="K95"/>
  <c r="J95"/>
  <c r="I95"/>
  <c r="H95"/>
  <c r="G95"/>
  <c r="F95"/>
  <c r="E95"/>
  <c r="D95"/>
  <c r="C95"/>
  <c r="B95"/>
  <c r="A95"/>
  <c r="AI95" s="1"/>
  <c r="CD95" s="1"/>
  <c r="BZ94"/>
  <c r="BY94"/>
  <c r="BX94"/>
  <c r="BW94"/>
  <c r="BV94"/>
  <c r="BU94"/>
  <c r="BT94"/>
  <c r="BS94"/>
  <c r="BR94"/>
  <c r="CA94" s="1"/>
  <c r="CH94" s="1"/>
  <c r="BQ94"/>
  <c r="BO94"/>
  <c r="BN94"/>
  <c r="BM94"/>
  <c r="BL94"/>
  <c r="BK94"/>
  <c r="BJ94"/>
  <c r="BI94"/>
  <c r="BH94"/>
  <c r="BG94"/>
  <c r="BF94"/>
  <c r="BP94" s="1"/>
  <c r="CG94" s="1"/>
  <c r="BD94"/>
  <c r="BC94"/>
  <c r="BB94"/>
  <c r="BA94"/>
  <c r="AZ94"/>
  <c r="AY94"/>
  <c r="AX94"/>
  <c r="AW94"/>
  <c r="AV94"/>
  <c r="AU94"/>
  <c r="AT94"/>
  <c r="CE94" s="1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X94" s="1"/>
  <c r="CC94" s="1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T93" s="1"/>
  <c r="CE93" s="1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X93" s="1"/>
  <c r="CC93" s="1"/>
  <c r="L93"/>
  <c r="K93"/>
  <c r="J93"/>
  <c r="I93"/>
  <c r="H93"/>
  <c r="G93"/>
  <c r="F93"/>
  <c r="E93"/>
  <c r="D93"/>
  <c r="C93"/>
  <c r="B93"/>
  <c r="A93"/>
  <c r="CH92"/>
  <c r="BZ92"/>
  <c r="BY92"/>
  <c r="BX92"/>
  <c r="BW92"/>
  <c r="BV92"/>
  <c r="BU92"/>
  <c r="BT92"/>
  <c r="BS92"/>
  <c r="BR92"/>
  <c r="CA92" s="1"/>
  <c r="BQ92"/>
  <c r="BO92"/>
  <c r="BN92"/>
  <c r="BM92"/>
  <c r="BL92"/>
  <c r="BK92"/>
  <c r="BJ92"/>
  <c r="BI92"/>
  <c r="BH92"/>
  <c r="BP92" s="1"/>
  <c r="CG92" s="1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X92" s="1"/>
  <c r="CC92" s="1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P91" s="1"/>
  <c r="CG91" s="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T91" s="1"/>
  <c r="CE91" s="1"/>
  <c r="AK91"/>
  <c r="AJ91"/>
  <c r="AH91"/>
  <c r="AG91"/>
  <c r="AF91"/>
  <c r="AE91"/>
  <c r="AD91"/>
  <c r="AC91"/>
  <c r="AB91"/>
  <c r="AA91"/>
  <c r="Z91"/>
  <c r="Y91"/>
  <c r="X91"/>
  <c r="CC91" s="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CA90" s="1"/>
  <c r="CH90" s="1"/>
  <c r="BQ90"/>
  <c r="BO90"/>
  <c r="BN90"/>
  <c r="BM90"/>
  <c r="BL90"/>
  <c r="BK90"/>
  <c r="BJ90"/>
  <c r="BI90"/>
  <c r="BH90"/>
  <c r="BG90"/>
  <c r="BF90"/>
  <c r="BP90" s="1"/>
  <c r="CG90" s="1"/>
  <c r="BD90"/>
  <c r="BC90"/>
  <c r="BB90"/>
  <c r="BA90"/>
  <c r="AZ90"/>
  <c r="AY90"/>
  <c r="AX90"/>
  <c r="AW90"/>
  <c r="AV90"/>
  <c r="AU90"/>
  <c r="AS90"/>
  <c r="AR90"/>
  <c r="AQ90"/>
  <c r="AP90"/>
  <c r="AO90"/>
  <c r="AN90"/>
  <c r="AT90" s="1"/>
  <c r="CE90" s="1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X90" s="1"/>
  <c r="CC90" s="1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P89" s="1"/>
  <c r="CG89" s="1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T89" s="1"/>
  <c r="CE89" s="1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X89" s="1"/>
  <c r="CC89" s="1"/>
  <c r="L89"/>
  <c r="K89"/>
  <c r="J89"/>
  <c r="I89"/>
  <c r="H89"/>
  <c r="G89"/>
  <c r="F89"/>
  <c r="E89"/>
  <c r="D89"/>
  <c r="C89"/>
  <c r="B89"/>
  <c r="A89"/>
  <c r="AI89" s="1"/>
  <c r="CD89" s="1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P88" s="1"/>
  <c r="CG88" s="1"/>
  <c r="BG88"/>
  <c r="BF88"/>
  <c r="BD88"/>
  <c r="BC88"/>
  <c r="BB88"/>
  <c r="BA88"/>
  <c r="AZ88"/>
  <c r="AY88"/>
  <c r="AX88"/>
  <c r="AW88"/>
  <c r="AV88"/>
  <c r="AU88"/>
  <c r="BE88" s="1"/>
  <c r="CF88" s="1"/>
  <c r="AT88"/>
  <c r="CE88" s="1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X88" s="1"/>
  <c r="CC88" s="1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P87" s="1"/>
  <c r="CG87" s="1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T87" s="1"/>
  <c r="CE87" s="1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X87" s="1"/>
  <c r="CC87" s="1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P86" s="1"/>
  <c r="CG86" s="1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T86" s="1"/>
  <c r="CE86" s="1"/>
  <c r="AH86"/>
  <c r="AG86"/>
  <c r="AF86"/>
  <c r="AE86"/>
  <c r="AD86"/>
  <c r="AC86"/>
  <c r="AB86"/>
  <c r="AA86"/>
  <c r="Z86"/>
  <c r="Y86"/>
  <c r="X86"/>
  <c r="CC86" s="1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P85"/>
  <c r="CG85" s="1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T85" s="1"/>
  <c r="CE85" s="1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X85" s="1"/>
  <c r="CC85" s="1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P84" s="1"/>
  <c r="CG84" s="1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T84" s="1"/>
  <c r="CE84" s="1"/>
  <c r="AH84"/>
  <c r="AG84"/>
  <c r="AF84"/>
  <c r="AE84"/>
  <c r="AD84"/>
  <c r="AC84"/>
  <c r="AB84"/>
  <c r="AA84"/>
  <c r="Z84"/>
  <c r="AI84" s="1"/>
  <c r="CD84" s="1"/>
  <c r="Y84"/>
  <c r="W84"/>
  <c r="V84"/>
  <c r="U84"/>
  <c r="T84"/>
  <c r="S84"/>
  <c r="R84"/>
  <c r="Q84"/>
  <c r="P84"/>
  <c r="O84"/>
  <c r="N84"/>
  <c r="X84" s="1"/>
  <c r="CC84" s="1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P83" s="1"/>
  <c r="CG83" s="1"/>
  <c r="BD83"/>
  <c r="BC83"/>
  <c r="BB83"/>
  <c r="BA83"/>
  <c r="AZ83"/>
  <c r="AY83"/>
  <c r="AX83"/>
  <c r="AW83"/>
  <c r="AV83"/>
  <c r="AU83"/>
  <c r="AT83"/>
  <c r="CE83" s="1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X83" s="1"/>
  <c r="CC83" s="1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P82" s="1"/>
  <c r="CG82" s="1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T82" s="1"/>
  <c r="CE82" s="1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X82" s="1"/>
  <c r="CC82" s="1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P81" s="1"/>
  <c r="CG81" s="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T81" s="1"/>
  <c r="CE81" s="1"/>
  <c r="AH81"/>
  <c r="AG81"/>
  <c r="AF81"/>
  <c r="AE81"/>
  <c r="AD81"/>
  <c r="AC81"/>
  <c r="AB81"/>
  <c r="AA81"/>
  <c r="Z81"/>
  <c r="Y81"/>
  <c r="W81"/>
  <c r="V81"/>
  <c r="U81"/>
  <c r="T81"/>
  <c r="S81"/>
  <c r="R81"/>
  <c r="X81" s="1"/>
  <c r="CC81" s="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P80"/>
  <c r="CG80" s="1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T80" s="1"/>
  <c r="CE80" s="1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X80" s="1"/>
  <c r="CC80" s="1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P79" s="1"/>
  <c r="CG79" s="1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T79" s="1"/>
  <c r="CE79" s="1"/>
  <c r="AK79"/>
  <c r="AJ79"/>
  <c r="AH79"/>
  <c r="AG79"/>
  <c r="AF79"/>
  <c r="AE79"/>
  <c r="AD79"/>
  <c r="AC79"/>
  <c r="AB79"/>
  <c r="AA79"/>
  <c r="Z79"/>
  <c r="Y79"/>
  <c r="X79"/>
  <c r="CC79" s="1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CA78" s="1"/>
  <c r="CH78" s="1"/>
  <c r="BQ78"/>
  <c r="BO78"/>
  <c r="BN78"/>
  <c r="BM78"/>
  <c r="BL78"/>
  <c r="BK78"/>
  <c r="BJ78"/>
  <c r="BI78"/>
  <c r="BH78"/>
  <c r="BG78"/>
  <c r="BF78"/>
  <c r="BP78" s="1"/>
  <c r="CG78" s="1"/>
  <c r="BD78"/>
  <c r="BC78"/>
  <c r="BB78"/>
  <c r="BA78"/>
  <c r="AZ78"/>
  <c r="AY78"/>
  <c r="AX78"/>
  <c r="AW78"/>
  <c r="AV78"/>
  <c r="AU78"/>
  <c r="AS78"/>
  <c r="AR78"/>
  <c r="AQ78"/>
  <c r="AP78"/>
  <c r="AO78"/>
  <c r="AN78"/>
  <c r="AT78" s="1"/>
  <c r="CE78" s="1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X78" s="1"/>
  <c r="CC78" s="1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P77" s="1"/>
  <c r="CG77" s="1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T77" s="1"/>
  <c r="CE77" s="1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X77" s="1"/>
  <c r="CC77" s="1"/>
  <c r="L77"/>
  <c r="K77"/>
  <c r="J77"/>
  <c r="I77"/>
  <c r="H77"/>
  <c r="G77"/>
  <c r="F77"/>
  <c r="E77"/>
  <c r="D77"/>
  <c r="C77"/>
  <c r="B77"/>
  <c r="A77"/>
  <c r="BE77" s="1"/>
  <c r="CF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P76" s="1"/>
  <c r="CG76" s="1"/>
  <c r="BG76"/>
  <c r="BF76"/>
  <c r="BD76"/>
  <c r="BC76"/>
  <c r="BB76"/>
  <c r="BA76"/>
  <c r="AZ76"/>
  <c r="AY76"/>
  <c r="AX76"/>
  <c r="AW76"/>
  <c r="AV76"/>
  <c r="AU76"/>
  <c r="BE76" s="1"/>
  <c r="CF76" s="1"/>
  <c r="AT76"/>
  <c r="CE76" s="1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X76" s="1"/>
  <c r="CC76" s="1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P75" s="1"/>
  <c r="CG75" s="1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T75" s="1"/>
  <c r="CE75" s="1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X75" s="1"/>
  <c r="CC75" s="1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P74" s="1"/>
  <c r="CG74" s="1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T74" s="1"/>
  <c r="CE74" s="1"/>
  <c r="AH74"/>
  <c r="AG74"/>
  <c r="AF74"/>
  <c r="AE74"/>
  <c r="AD74"/>
  <c r="AC74"/>
  <c r="AB74"/>
  <c r="AA74"/>
  <c r="Z74"/>
  <c r="Y74"/>
  <c r="X74"/>
  <c r="CC74" s="1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P73"/>
  <c r="CG73" s="1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T73" s="1"/>
  <c r="CE73" s="1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X73" s="1"/>
  <c r="CC73" s="1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P72" s="1"/>
  <c r="CG72" s="1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T72" s="1"/>
  <c r="CE72" s="1"/>
  <c r="AH72"/>
  <c r="AG72"/>
  <c r="AF72"/>
  <c r="AE72"/>
  <c r="AD72"/>
  <c r="AC72"/>
  <c r="AB72"/>
  <c r="AA72"/>
  <c r="Z72"/>
  <c r="AI72" s="1"/>
  <c r="CD72" s="1"/>
  <c r="Y72"/>
  <c r="W72"/>
  <c r="V72"/>
  <c r="U72"/>
  <c r="T72"/>
  <c r="S72"/>
  <c r="R72"/>
  <c r="Q72"/>
  <c r="P72"/>
  <c r="O72"/>
  <c r="N72"/>
  <c r="X72" s="1"/>
  <c r="CC72" s="1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P71" s="1"/>
  <c r="CG71" s="1"/>
  <c r="BD71"/>
  <c r="BC71"/>
  <c r="BB71"/>
  <c r="BA71"/>
  <c r="AZ71"/>
  <c r="AY71"/>
  <c r="AX71"/>
  <c r="AW71"/>
  <c r="AV71"/>
  <c r="AU71"/>
  <c r="AT71"/>
  <c r="CE71" s="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X71" s="1"/>
  <c r="CC71" s="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P70" s="1"/>
  <c r="CG70" s="1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X70" s="1"/>
  <c r="CC70" s="1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P69" s="1"/>
  <c r="CG69" s="1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T69" s="1"/>
  <c r="CE69" s="1"/>
  <c r="AH69"/>
  <c r="AG69"/>
  <c r="AF69"/>
  <c r="AE69"/>
  <c r="AD69"/>
  <c r="AC69"/>
  <c r="AB69"/>
  <c r="AA69"/>
  <c r="Z69"/>
  <c r="Y69"/>
  <c r="W69"/>
  <c r="V69"/>
  <c r="U69"/>
  <c r="T69"/>
  <c r="S69"/>
  <c r="R69"/>
  <c r="X69" s="1"/>
  <c r="CC69" s="1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P68"/>
  <c r="CG68" s="1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T68" s="1"/>
  <c r="CE68" s="1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X68" s="1"/>
  <c r="CC68" s="1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P67" s="1"/>
  <c r="CG67" s="1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T67" s="1"/>
  <c r="CE67" s="1"/>
  <c r="AK67"/>
  <c r="AJ67"/>
  <c r="AH67"/>
  <c r="AG67"/>
  <c r="AF67"/>
  <c r="AE67"/>
  <c r="AD67"/>
  <c r="AC67"/>
  <c r="AB67"/>
  <c r="AA67"/>
  <c r="Z67"/>
  <c r="Y67"/>
  <c r="X67"/>
  <c r="CC67" s="1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CA66" s="1"/>
  <c r="CH66" s="1"/>
  <c r="BQ66"/>
  <c r="BO66"/>
  <c r="BN66"/>
  <c r="BM66"/>
  <c r="BL66"/>
  <c r="BK66"/>
  <c r="BJ66"/>
  <c r="BI66"/>
  <c r="BH66"/>
  <c r="BG66"/>
  <c r="BF66"/>
  <c r="BP66" s="1"/>
  <c r="CG66" s="1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T66" s="1"/>
  <c r="CE66" s="1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X66" s="1"/>
  <c r="CC66" s="1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P65" s="1"/>
  <c r="CG65" s="1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T65" s="1"/>
  <c r="CE65" s="1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X65" s="1"/>
  <c r="CC65" s="1"/>
  <c r="L65"/>
  <c r="K65"/>
  <c r="J65"/>
  <c r="I65"/>
  <c r="H65"/>
  <c r="G65"/>
  <c r="F65"/>
  <c r="E65"/>
  <c r="D65"/>
  <c r="C65"/>
  <c r="B65"/>
  <c r="A65"/>
  <c r="BE65" s="1"/>
  <c r="CF65" s="1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P64" s="1"/>
  <c r="CG64" s="1"/>
  <c r="BG64"/>
  <c r="BF64"/>
  <c r="BD64"/>
  <c r="BC64"/>
  <c r="BB64"/>
  <c r="BA64"/>
  <c r="AZ64"/>
  <c r="AY64"/>
  <c r="AX64"/>
  <c r="AW64"/>
  <c r="AV64"/>
  <c r="AU64"/>
  <c r="BE64" s="1"/>
  <c r="CF64" s="1"/>
  <c r="AT64"/>
  <c r="CE64" s="1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X64" s="1"/>
  <c r="CC64" s="1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P63" s="1"/>
  <c r="CG63" s="1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T63" s="1"/>
  <c r="CE63" s="1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X63" s="1"/>
  <c r="CC63" s="1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P62" s="1"/>
  <c r="CG62" s="1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T62" s="1"/>
  <c r="CE62" s="1"/>
  <c r="AH62"/>
  <c r="AG62"/>
  <c r="AF62"/>
  <c r="AE62"/>
  <c r="AD62"/>
  <c r="AC62"/>
  <c r="AB62"/>
  <c r="AA62"/>
  <c r="Z62"/>
  <c r="Y62"/>
  <c r="X62"/>
  <c r="CC62" s="1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P61"/>
  <c r="CG61" s="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T61" s="1"/>
  <c r="CE61" s="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X61" s="1"/>
  <c r="CC61" s="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P60" s="1"/>
  <c r="CG60" s="1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T60" s="1"/>
  <c r="CE60" s="1"/>
  <c r="AH60"/>
  <c r="AG60"/>
  <c r="AF60"/>
  <c r="AE60"/>
  <c r="AD60"/>
  <c r="AC60"/>
  <c r="AB60"/>
  <c r="AA60"/>
  <c r="Z60"/>
  <c r="AI60" s="1"/>
  <c r="CD60" s="1"/>
  <c r="Y60"/>
  <c r="W60"/>
  <c r="V60"/>
  <c r="U60"/>
  <c r="T60"/>
  <c r="S60"/>
  <c r="R60"/>
  <c r="Q60"/>
  <c r="P60"/>
  <c r="O60"/>
  <c r="N60"/>
  <c r="X60" s="1"/>
  <c r="CC60" s="1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P59" s="1"/>
  <c r="CG59" s="1"/>
  <c r="BD59"/>
  <c r="BC59"/>
  <c r="BB59"/>
  <c r="BA59"/>
  <c r="AZ59"/>
  <c r="AY59"/>
  <c r="AX59"/>
  <c r="AW59"/>
  <c r="AV59"/>
  <c r="AU59"/>
  <c r="AT59"/>
  <c r="CE59" s="1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X59" s="1"/>
  <c r="CC59" s="1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P58" s="1"/>
  <c r="CG58" s="1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T58" s="1"/>
  <c r="CE58" s="1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X58" s="1"/>
  <c r="CC58" s="1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P57" s="1"/>
  <c r="CG57" s="1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T57" s="1"/>
  <c r="CE57" s="1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X57" s="1"/>
  <c r="CC57" s="1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P56"/>
  <c r="CG56" s="1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T56" s="1"/>
  <c r="CE56" s="1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X56" s="1"/>
  <c r="CC56" s="1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P55" s="1"/>
  <c r="CG55" s="1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T55" s="1"/>
  <c r="CE55" s="1"/>
  <c r="AK55"/>
  <c r="AJ55"/>
  <c r="AH55"/>
  <c r="AG55"/>
  <c r="AF55"/>
  <c r="AE55"/>
  <c r="AD55"/>
  <c r="AC55"/>
  <c r="AB55"/>
  <c r="AA55"/>
  <c r="Z55"/>
  <c r="Y55"/>
  <c r="X55"/>
  <c r="CC55" s="1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CA54" s="1"/>
  <c r="CH54" s="1"/>
  <c r="BQ54"/>
  <c r="BO54"/>
  <c r="BN54"/>
  <c r="BM54"/>
  <c r="BL54"/>
  <c r="BK54"/>
  <c r="BJ54"/>
  <c r="BI54"/>
  <c r="BH54"/>
  <c r="BG54"/>
  <c r="BF54"/>
  <c r="BP54" s="1"/>
  <c r="CG54" s="1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T54" s="1"/>
  <c r="CE54" s="1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X54" s="1"/>
  <c r="CC54" s="1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P53" s="1"/>
  <c r="CG53" s="1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T53" s="1"/>
  <c r="CE53" s="1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X53" s="1"/>
  <c r="CC53" s="1"/>
  <c r="L53"/>
  <c r="K53"/>
  <c r="J53"/>
  <c r="I53"/>
  <c r="H53"/>
  <c r="G53"/>
  <c r="F53"/>
  <c r="E53"/>
  <c r="D53"/>
  <c r="C53"/>
  <c r="B53"/>
  <c r="A53"/>
  <c r="BE53" s="1"/>
  <c r="CF53" s="1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P52" s="1"/>
  <c r="CG52" s="1"/>
  <c r="BG52"/>
  <c r="BF52"/>
  <c r="BD52"/>
  <c r="BC52"/>
  <c r="BB52"/>
  <c r="BA52"/>
  <c r="AZ52"/>
  <c r="AY52"/>
  <c r="AX52"/>
  <c r="AW52"/>
  <c r="AV52"/>
  <c r="AU52"/>
  <c r="BE52" s="1"/>
  <c r="CF52" s="1"/>
  <c r="AT52"/>
  <c r="CE52" s="1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X52" s="1"/>
  <c r="CC52" s="1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P51" s="1"/>
  <c r="CG51" s="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T51" s="1"/>
  <c r="CE51" s="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X51" s="1"/>
  <c r="CC51" s="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P50" s="1"/>
  <c r="CG50" s="1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T50" s="1"/>
  <c r="CE50" s="1"/>
  <c r="AH50"/>
  <c r="AG50"/>
  <c r="AF50"/>
  <c r="AE50"/>
  <c r="AD50"/>
  <c r="AC50"/>
  <c r="AB50"/>
  <c r="AA50"/>
  <c r="Z50"/>
  <c r="Y50"/>
  <c r="X50"/>
  <c r="CC50" s="1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P49"/>
  <c r="CG49" s="1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T49" s="1"/>
  <c r="CE49" s="1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X49" s="1"/>
  <c r="CC49" s="1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P48" s="1"/>
  <c r="CG48" s="1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T48" s="1"/>
  <c r="CE48" s="1"/>
  <c r="AH48"/>
  <c r="AG48"/>
  <c r="AF48"/>
  <c r="AE48"/>
  <c r="AD48"/>
  <c r="AC48"/>
  <c r="AB48"/>
  <c r="AA48"/>
  <c r="Z48"/>
  <c r="AI48" s="1"/>
  <c r="CD48" s="1"/>
  <c r="Y48"/>
  <c r="W48"/>
  <c r="V48"/>
  <c r="U48"/>
  <c r="T48"/>
  <c r="S48"/>
  <c r="R48"/>
  <c r="Q48"/>
  <c r="P48"/>
  <c r="O48"/>
  <c r="N48"/>
  <c r="X48" s="1"/>
  <c r="CC48" s="1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P47" s="1"/>
  <c r="CG47" s="1"/>
  <c r="BD47"/>
  <c r="BC47"/>
  <c r="BB47"/>
  <c r="BA47"/>
  <c r="AZ47"/>
  <c r="AY47"/>
  <c r="AX47"/>
  <c r="AW47"/>
  <c r="AV47"/>
  <c r="AU47"/>
  <c r="AT47"/>
  <c r="CE47" s="1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X47" s="1"/>
  <c r="CC47" s="1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P46" s="1"/>
  <c r="CG46" s="1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T46" s="1"/>
  <c r="CE46" s="1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X46" s="1"/>
  <c r="CC46" s="1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P45" s="1"/>
  <c r="CG45" s="1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T45" s="1"/>
  <c r="CE45" s="1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X45" s="1"/>
  <c r="CC45" s="1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P44"/>
  <c r="CG44" s="1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T44" s="1"/>
  <c r="CE44" s="1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X44" s="1"/>
  <c r="CC44" s="1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P43" s="1"/>
  <c r="CG43" s="1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T43" s="1"/>
  <c r="CE43" s="1"/>
  <c r="AK43"/>
  <c r="AJ43"/>
  <c r="AH43"/>
  <c r="AG43"/>
  <c r="AF43"/>
  <c r="AE43"/>
  <c r="AD43"/>
  <c r="AC43"/>
  <c r="AB43"/>
  <c r="AA43"/>
  <c r="Z43"/>
  <c r="Y43"/>
  <c r="X43"/>
  <c r="CC43" s="1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CA42" s="1"/>
  <c r="CH42" s="1"/>
  <c r="BQ42"/>
  <c r="BO42"/>
  <c r="BN42"/>
  <c r="BM42"/>
  <c r="BL42"/>
  <c r="BK42"/>
  <c r="BJ42"/>
  <c r="BI42"/>
  <c r="BH42"/>
  <c r="BG42"/>
  <c r="BF42"/>
  <c r="BP42" s="1"/>
  <c r="CG42" s="1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X42" s="1"/>
  <c r="CC42" s="1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P41" s="1"/>
  <c r="CG41" s="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T41" s="1"/>
  <c r="CE41" s="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X41" s="1"/>
  <c r="CC41" s="1"/>
  <c r="L41"/>
  <c r="K41"/>
  <c r="J41"/>
  <c r="I41"/>
  <c r="H41"/>
  <c r="G41"/>
  <c r="F41"/>
  <c r="E41"/>
  <c r="D41"/>
  <c r="C41"/>
  <c r="B41"/>
  <c r="A41"/>
  <c r="BE41" s="1"/>
  <c r="CF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P40" s="1"/>
  <c r="CG40" s="1"/>
  <c r="BG40"/>
  <c r="BF40"/>
  <c r="BD40"/>
  <c r="BC40"/>
  <c r="BB40"/>
  <c r="BA40"/>
  <c r="AZ40"/>
  <c r="AY40"/>
  <c r="AX40"/>
  <c r="AW40"/>
  <c r="AV40"/>
  <c r="AU40"/>
  <c r="BE40" s="1"/>
  <c r="CF40" s="1"/>
  <c r="AT40"/>
  <c r="CE40" s="1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X40" s="1"/>
  <c r="CC40" s="1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P39" s="1"/>
  <c r="CG39" s="1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T39" s="1"/>
  <c r="CE39" s="1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X39" s="1"/>
  <c r="CC39" s="1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P38" s="1"/>
  <c r="CG38" s="1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T38" s="1"/>
  <c r="CE38" s="1"/>
  <c r="AH38"/>
  <c r="AG38"/>
  <c r="AF38"/>
  <c r="AE38"/>
  <c r="AD38"/>
  <c r="AC38"/>
  <c r="AB38"/>
  <c r="AA38"/>
  <c r="Z38"/>
  <c r="Y38"/>
  <c r="X38"/>
  <c r="CC38" s="1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P37"/>
  <c r="CG37" s="1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T37" s="1"/>
  <c r="CE37" s="1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X37" s="1"/>
  <c r="CC37" s="1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P36" s="1"/>
  <c r="CG36" s="1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T36" s="1"/>
  <c r="CE36" s="1"/>
  <c r="AH36"/>
  <c r="AG36"/>
  <c r="AF36"/>
  <c r="AE36"/>
  <c r="AD36"/>
  <c r="AC36"/>
  <c r="AB36"/>
  <c r="AA36"/>
  <c r="Z36"/>
  <c r="AI36" s="1"/>
  <c r="CD36" s="1"/>
  <c r="Y36"/>
  <c r="W36"/>
  <c r="V36"/>
  <c r="U36"/>
  <c r="T36"/>
  <c r="S36"/>
  <c r="R36"/>
  <c r="Q36"/>
  <c r="P36"/>
  <c r="O36"/>
  <c r="N36"/>
  <c r="X36" s="1"/>
  <c r="CC36" s="1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P35" s="1"/>
  <c r="CG35" s="1"/>
  <c r="BD35"/>
  <c r="BC35"/>
  <c r="BB35"/>
  <c r="BA35"/>
  <c r="AZ35"/>
  <c r="AY35"/>
  <c r="AX35"/>
  <c r="AW35"/>
  <c r="AV35"/>
  <c r="AU35"/>
  <c r="AT35"/>
  <c r="CE35" s="1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X35" s="1"/>
  <c r="CC35" s="1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P34" s="1"/>
  <c r="CG34" s="1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T34" s="1"/>
  <c r="CE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X34" s="1"/>
  <c r="CC34" s="1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P33" s="1"/>
  <c r="CG33" s="1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T33" s="1"/>
  <c r="CE33" s="1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X33" s="1"/>
  <c r="CC33" s="1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P32"/>
  <c r="CG32" s="1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T32" s="1"/>
  <c r="CE32" s="1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X32" s="1"/>
  <c r="CC32" s="1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P31" s="1"/>
  <c r="CG31" s="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T31" s="1"/>
  <c r="CE31" s="1"/>
  <c r="AK31"/>
  <c r="AJ31"/>
  <c r="AH31"/>
  <c r="AG31"/>
  <c r="AF31"/>
  <c r="AE31"/>
  <c r="AD31"/>
  <c r="AC31"/>
  <c r="AB31"/>
  <c r="AA31"/>
  <c r="Z31"/>
  <c r="Y31"/>
  <c r="X31"/>
  <c r="CC31" s="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CA30" s="1"/>
  <c r="CH30" s="1"/>
  <c r="BQ30"/>
  <c r="BO30"/>
  <c r="BN30"/>
  <c r="BM30"/>
  <c r="BL30"/>
  <c r="BK30"/>
  <c r="BJ30"/>
  <c r="BI30"/>
  <c r="BH30"/>
  <c r="BG30"/>
  <c r="BF30"/>
  <c r="BP30" s="1"/>
  <c r="CG30" s="1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T30" s="1"/>
  <c r="CE30" s="1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X30" s="1"/>
  <c r="CC30" s="1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P29" s="1"/>
  <c r="CG29" s="1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T29" s="1"/>
  <c r="CE29" s="1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X29" s="1"/>
  <c r="CC29" s="1"/>
  <c r="L29"/>
  <c r="K29"/>
  <c r="J29"/>
  <c r="I29"/>
  <c r="H29"/>
  <c r="G29"/>
  <c r="F29"/>
  <c r="E29"/>
  <c r="D29"/>
  <c r="C29"/>
  <c r="B29"/>
  <c r="A29"/>
  <c r="BE29" s="1"/>
  <c r="CF29" s="1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P28" s="1"/>
  <c r="CG28" s="1"/>
  <c r="BG28"/>
  <c r="BF28"/>
  <c r="BD28"/>
  <c r="BC28"/>
  <c r="BB28"/>
  <c r="BA28"/>
  <c r="AZ28"/>
  <c r="AY28"/>
  <c r="AX28"/>
  <c r="AW28"/>
  <c r="AV28"/>
  <c r="AU28"/>
  <c r="BE28" s="1"/>
  <c r="CF28" s="1"/>
  <c r="AT28"/>
  <c r="CE28" s="1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X28" s="1"/>
  <c r="CC28" s="1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P27" s="1"/>
  <c r="CG27" s="1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T27" s="1"/>
  <c r="CE27" s="1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X27" s="1"/>
  <c r="CC27" s="1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P26" s="1"/>
  <c r="CG26" s="1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T26" s="1"/>
  <c r="CE26" s="1"/>
  <c r="AH26"/>
  <c r="AG26"/>
  <c r="AF26"/>
  <c r="AE26"/>
  <c r="AD26"/>
  <c r="AC26"/>
  <c r="AB26"/>
  <c r="AA26"/>
  <c r="Z26"/>
  <c r="Y26"/>
  <c r="X26"/>
  <c r="CC26" s="1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P25"/>
  <c r="CG25" s="1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T25" s="1"/>
  <c r="CE25" s="1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X25" s="1"/>
  <c r="CC25" s="1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P24" s="1"/>
  <c r="CG24" s="1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T24" s="1"/>
  <c r="CE24" s="1"/>
  <c r="AH24"/>
  <c r="AG24"/>
  <c r="AF24"/>
  <c r="AE24"/>
  <c r="AD24"/>
  <c r="AC24"/>
  <c r="AB24"/>
  <c r="AA24"/>
  <c r="Z24"/>
  <c r="AI24" s="1"/>
  <c r="CD24" s="1"/>
  <c r="Y24"/>
  <c r="W24"/>
  <c r="V24"/>
  <c r="U24"/>
  <c r="T24"/>
  <c r="S24"/>
  <c r="R24"/>
  <c r="Q24"/>
  <c r="P24"/>
  <c r="O24"/>
  <c r="N24"/>
  <c r="X24" s="1"/>
  <c r="CC24" s="1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P23" s="1"/>
  <c r="CG23" s="1"/>
  <c r="BD23"/>
  <c r="BC23"/>
  <c r="BB23"/>
  <c r="BA23"/>
  <c r="AZ23"/>
  <c r="AY23"/>
  <c r="AX23"/>
  <c r="AW23"/>
  <c r="AV23"/>
  <c r="AU23"/>
  <c r="AT23"/>
  <c r="CE23" s="1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X23" s="1"/>
  <c r="CC23" s="1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P22" s="1"/>
  <c r="CG22" s="1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T22" s="1"/>
  <c r="CE22" s="1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X22" s="1"/>
  <c r="CC22" s="1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P21" s="1"/>
  <c r="CG21" s="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X21" s="1"/>
  <c r="CC21" s="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P20"/>
  <c r="CG20" s="1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T20" s="1"/>
  <c r="CE20" s="1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X20" s="1"/>
  <c r="CC20" s="1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P19" s="1"/>
  <c r="CG19" s="1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T19" s="1"/>
  <c r="CE19" s="1"/>
  <c r="AK19"/>
  <c r="AJ19"/>
  <c r="AH19"/>
  <c r="AG19"/>
  <c r="AF19"/>
  <c r="AE19"/>
  <c r="AD19"/>
  <c r="AC19"/>
  <c r="AB19"/>
  <c r="AA19"/>
  <c r="Z19"/>
  <c r="Y19"/>
  <c r="X19"/>
  <c r="CC19" s="1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CA18" s="1"/>
  <c r="CH18" s="1"/>
  <c r="BQ18"/>
  <c r="BO18"/>
  <c r="BN18"/>
  <c r="BM18"/>
  <c r="BL18"/>
  <c r="BK18"/>
  <c r="BJ18"/>
  <c r="BI18"/>
  <c r="BH18"/>
  <c r="BG18"/>
  <c r="BF18"/>
  <c r="BP18" s="1"/>
  <c r="CG18" s="1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T18" s="1"/>
  <c r="CE18" s="1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X18" s="1"/>
  <c r="CC18" s="1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P17" s="1"/>
  <c r="CG17" s="1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T17" s="1"/>
  <c r="CE17" s="1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X17" s="1"/>
  <c r="CC17" s="1"/>
  <c r="L17"/>
  <c r="K17"/>
  <c r="J17"/>
  <c r="I17"/>
  <c r="H17"/>
  <c r="G17"/>
  <c r="F17"/>
  <c r="E17"/>
  <c r="D17"/>
  <c r="C17"/>
  <c r="B17"/>
  <c r="A17"/>
  <c r="BE17" s="1"/>
  <c r="CF17" s="1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P16" s="1"/>
  <c r="CG16" s="1"/>
  <c r="BG16"/>
  <c r="BF16"/>
  <c r="BD16"/>
  <c r="BC16"/>
  <c r="BB16"/>
  <c r="BA16"/>
  <c r="AZ16"/>
  <c r="AY16"/>
  <c r="AX16"/>
  <c r="AW16"/>
  <c r="AV16"/>
  <c r="AU16"/>
  <c r="BE16" s="1"/>
  <c r="CF16" s="1"/>
  <c r="AT16"/>
  <c r="CE16" s="1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X16" s="1"/>
  <c r="CC16" s="1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CA14" s="1"/>
  <c r="CH14" s="1"/>
  <c r="BQ14"/>
  <c r="BO14"/>
  <c r="BN14"/>
  <c r="BM14"/>
  <c r="BL14"/>
  <c r="BK14"/>
  <c r="BJ14"/>
  <c r="BI14"/>
  <c r="BH14"/>
  <c r="BG14"/>
  <c r="BF14"/>
  <c r="BP14" s="1"/>
  <c r="CG14" s="1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T14" s="1"/>
  <c r="CE14" s="1"/>
  <c r="AH14"/>
  <c r="AG14"/>
  <c r="AF14"/>
  <c r="AE14"/>
  <c r="AD14"/>
  <c r="AC14"/>
  <c r="AB14"/>
  <c r="AA14"/>
  <c r="Z14"/>
  <c r="AI14" s="1"/>
  <c r="CD14" s="1"/>
  <c r="Y14"/>
  <c r="W14"/>
  <c r="V14"/>
  <c r="U14"/>
  <c r="T14"/>
  <c r="S14"/>
  <c r="R14"/>
  <c r="Q14"/>
  <c r="P14"/>
  <c r="O14"/>
  <c r="N14"/>
  <c r="X14" s="1"/>
  <c r="CC14" s="1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P13" s="1"/>
  <c r="CG13" s="1"/>
  <c r="BG13"/>
  <c r="BF13"/>
  <c r="BD13"/>
  <c r="BC13"/>
  <c r="BB13"/>
  <c r="BA13"/>
  <c r="AZ13"/>
  <c r="AY13"/>
  <c r="AX13"/>
  <c r="AW13"/>
  <c r="AV13"/>
  <c r="BE13" s="1"/>
  <c r="CF13" s="1"/>
  <c r="AU13"/>
  <c r="AS13"/>
  <c r="AR13"/>
  <c r="AQ13"/>
  <c r="AP13"/>
  <c r="AO13"/>
  <c r="AN13"/>
  <c r="AM13"/>
  <c r="AL13"/>
  <c r="AK13"/>
  <c r="AJ13"/>
  <c r="AT13" s="1"/>
  <c r="CE13" s="1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X13" s="1"/>
  <c r="CC13" s="1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CA12" s="1"/>
  <c r="CH12" s="1"/>
  <c r="BQ12"/>
  <c r="BO12"/>
  <c r="BN12"/>
  <c r="BM12"/>
  <c r="BL12"/>
  <c r="BK12"/>
  <c r="BJ12"/>
  <c r="BI12"/>
  <c r="BH12"/>
  <c r="BG12"/>
  <c r="BF12"/>
  <c r="BP12" s="1"/>
  <c r="CG12" s="1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I12" s="1"/>
  <c r="CD12" s="1"/>
  <c r="AC12"/>
  <c r="AB12"/>
  <c r="AA12"/>
  <c r="Z12"/>
  <c r="Y12"/>
  <c r="W12"/>
  <c r="V12"/>
  <c r="U12"/>
  <c r="T12"/>
  <c r="S12"/>
  <c r="R12"/>
  <c r="X12" s="1"/>
  <c r="CC12" s="1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P11"/>
  <c r="CG11" s="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P10" s="1"/>
  <c r="CG10" s="1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T10" s="1"/>
  <c r="CE10" s="1"/>
  <c r="AH10"/>
  <c r="AG10"/>
  <c r="AF10"/>
  <c r="AE10"/>
  <c r="AD10"/>
  <c r="AC10"/>
  <c r="AB10"/>
  <c r="AA10"/>
  <c r="Z10"/>
  <c r="AI10" s="1"/>
  <c r="CD10" s="1"/>
  <c r="Y10"/>
  <c r="W10"/>
  <c r="V10"/>
  <c r="U10"/>
  <c r="T10"/>
  <c r="S10"/>
  <c r="R10"/>
  <c r="Q10"/>
  <c r="P10"/>
  <c r="O10"/>
  <c r="N10"/>
  <c r="X10" s="1"/>
  <c r="CC10" s="1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X9"/>
  <c r="CC9" s="1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P9" s="1"/>
  <c r="CG9" s="1"/>
  <c r="BZ8"/>
  <c r="BY8"/>
  <c r="BX8"/>
  <c r="BW8"/>
  <c r="BV8"/>
  <c r="BU8"/>
  <c r="BT8"/>
  <c r="CA8" s="1"/>
  <c r="CH8" s="1"/>
  <c r="BS8"/>
  <c r="BR8"/>
  <c r="BQ8"/>
  <c r="BO8"/>
  <c r="BN8"/>
  <c r="BM8"/>
  <c r="BL8"/>
  <c r="BK8"/>
  <c r="BJ8"/>
  <c r="BI8"/>
  <c r="BH8"/>
  <c r="BP8" s="1"/>
  <c r="CG8" s="1"/>
  <c r="BG8"/>
  <c r="BF8"/>
  <c r="BD8"/>
  <c r="BC8"/>
  <c r="BB8"/>
  <c r="BA8"/>
  <c r="AZ8"/>
  <c r="AY8"/>
  <c r="AX8"/>
  <c r="AW8"/>
  <c r="AV8"/>
  <c r="AU8"/>
  <c r="AT8"/>
  <c r="CE8" s="1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X8" s="1"/>
  <c r="CC8" s="1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P7"/>
  <c r="CG7" s="1"/>
  <c r="BO7"/>
  <c r="BN7"/>
  <c r="BM7"/>
  <c r="BL7"/>
  <c r="BK7"/>
  <c r="BJ7"/>
  <c r="BI7"/>
  <c r="BH7"/>
  <c r="BG7"/>
  <c r="BF7"/>
  <c r="BD7"/>
  <c r="BC7"/>
  <c r="BB7"/>
  <c r="BA7"/>
  <c r="AZ7"/>
  <c r="AY7"/>
  <c r="AX7"/>
  <c r="BE7" s="1"/>
  <c r="CF7" s="1"/>
  <c r="AW7"/>
  <c r="AV7"/>
  <c r="AU7"/>
  <c r="AS7"/>
  <c r="AR7"/>
  <c r="AQ7"/>
  <c r="AP7"/>
  <c r="AO7"/>
  <c r="AN7"/>
  <c r="AT7" s="1"/>
  <c r="CE7" s="1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X7" s="1"/>
  <c r="CC7" s="1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CA6" s="1"/>
  <c r="CH6" s="1"/>
  <c r="BS6"/>
  <c r="BR6"/>
  <c r="BQ6"/>
  <c r="BO6"/>
  <c r="BN6"/>
  <c r="BM6"/>
  <c r="BL6"/>
  <c r="BK6"/>
  <c r="BJ6"/>
  <c r="BP6" s="1"/>
  <c r="CG6" s="1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T6" s="1"/>
  <c r="CE6" s="1"/>
  <c r="AH6"/>
  <c r="AG6"/>
  <c r="AF6"/>
  <c r="AE6"/>
  <c r="AD6"/>
  <c r="AC6"/>
  <c r="AB6"/>
  <c r="AA6"/>
  <c r="Z6"/>
  <c r="AI6" s="1"/>
  <c r="CD6" s="1"/>
  <c r="Y6"/>
  <c r="W6"/>
  <c r="V6"/>
  <c r="U6"/>
  <c r="T6"/>
  <c r="S6"/>
  <c r="R6"/>
  <c r="Q6"/>
  <c r="P6"/>
  <c r="O6"/>
  <c r="N6"/>
  <c r="X6" s="1"/>
  <c r="CC6" s="1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BE5" s="1"/>
  <c r="CF5" s="1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X5" s="1"/>
  <c r="CC5" s="1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P4" s="1"/>
  <c r="CG4" s="1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T4" s="1"/>
  <c r="CE4" s="1"/>
  <c r="AH4"/>
  <c r="AG4"/>
  <c r="AF4"/>
  <c r="AE4"/>
  <c r="AD4"/>
  <c r="AC4"/>
  <c r="AB4"/>
  <c r="AA4"/>
  <c r="Z4"/>
  <c r="AI4" s="1"/>
  <c r="CD4" s="1"/>
  <c r="Y4"/>
  <c r="X4"/>
  <c r="CC4" s="1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P3" s="1"/>
  <c r="CG3" s="1"/>
  <c r="BD3"/>
  <c r="BC3"/>
  <c r="BB3"/>
  <c r="BA3"/>
  <c r="AZ3"/>
  <c r="AY3"/>
  <c r="AX3"/>
  <c r="AW3"/>
  <c r="AV3"/>
  <c r="AU3"/>
  <c r="AT3"/>
  <c r="CE3" s="1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X3" s="1"/>
  <c r="CC3" s="1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N225" s="1"/>
  <c r="I225"/>
  <c r="H225"/>
  <c r="G225"/>
  <c r="F225"/>
  <c r="E225"/>
  <c r="D225"/>
  <c r="C225"/>
  <c r="B225"/>
  <c r="A225"/>
  <c r="M225" s="1"/>
  <c r="L224"/>
  <c r="K224"/>
  <c r="J224"/>
  <c r="N224" s="1"/>
  <c r="I224"/>
  <c r="H224"/>
  <c r="G224"/>
  <c r="F224"/>
  <c r="E224"/>
  <c r="D224"/>
  <c r="C224"/>
  <c r="B224"/>
  <c r="A224"/>
  <c r="L223"/>
  <c r="K223"/>
  <c r="J223"/>
  <c r="N223" s="1"/>
  <c r="I223"/>
  <c r="H223"/>
  <c r="G223"/>
  <c r="F223"/>
  <c r="E223"/>
  <c r="D223"/>
  <c r="C223"/>
  <c r="B223"/>
  <c r="A223"/>
  <c r="L222"/>
  <c r="K222"/>
  <c r="N222" s="1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M221" s="1"/>
  <c r="L220"/>
  <c r="K220"/>
  <c r="J220"/>
  <c r="N220" s="1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M219" s="1"/>
  <c r="L218"/>
  <c r="N218" s="1"/>
  <c r="K218"/>
  <c r="J218"/>
  <c r="I218"/>
  <c r="H218"/>
  <c r="G218"/>
  <c r="F218"/>
  <c r="E218"/>
  <c r="D218"/>
  <c r="C218"/>
  <c r="B218"/>
  <c r="A218"/>
  <c r="L217"/>
  <c r="K217"/>
  <c r="J217"/>
  <c r="N217" s="1"/>
  <c r="I217"/>
  <c r="H217"/>
  <c r="G217"/>
  <c r="F217"/>
  <c r="E217"/>
  <c r="D217"/>
  <c r="C217"/>
  <c r="B217"/>
  <c r="A217"/>
  <c r="M217" s="1"/>
  <c r="L216"/>
  <c r="K216"/>
  <c r="J216"/>
  <c r="N216" s="1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M215" s="1"/>
  <c r="L214"/>
  <c r="K214"/>
  <c r="N214" s="1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M213" s="1"/>
  <c r="L212"/>
  <c r="K212"/>
  <c r="J212"/>
  <c r="N212" s="1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M211" s="1"/>
  <c r="L210"/>
  <c r="N210" s="1"/>
  <c r="K210"/>
  <c r="J210"/>
  <c r="I210"/>
  <c r="H210"/>
  <c r="G210"/>
  <c r="F210"/>
  <c r="E210"/>
  <c r="D210"/>
  <c r="C210"/>
  <c r="B210"/>
  <c r="A210"/>
  <c r="L209"/>
  <c r="K209"/>
  <c r="J209"/>
  <c r="N209" s="1"/>
  <c r="I209"/>
  <c r="H209"/>
  <c r="G209"/>
  <c r="F209"/>
  <c r="E209"/>
  <c r="D209"/>
  <c r="C209"/>
  <c r="B209"/>
  <c r="A209"/>
  <c r="M209" s="1"/>
  <c r="L208"/>
  <c r="K208"/>
  <c r="J208"/>
  <c r="N208" s="1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M207" s="1"/>
  <c r="L206"/>
  <c r="K206"/>
  <c r="N206" s="1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M205" s="1"/>
  <c r="L204"/>
  <c r="K204"/>
  <c r="J204"/>
  <c r="N204" s="1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M203" s="1"/>
  <c r="L202"/>
  <c r="N202" s="1"/>
  <c r="K202"/>
  <c r="J202"/>
  <c r="I202"/>
  <c r="H202"/>
  <c r="G202"/>
  <c r="F202"/>
  <c r="E202"/>
  <c r="D202"/>
  <c r="C202"/>
  <c r="B202"/>
  <c r="A202"/>
  <c r="L201"/>
  <c r="K201"/>
  <c r="J201"/>
  <c r="N201" s="1"/>
  <c r="I201"/>
  <c r="H201"/>
  <c r="G201"/>
  <c r="F201"/>
  <c r="E201"/>
  <c r="D201"/>
  <c r="C201"/>
  <c r="B201"/>
  <c r="A201"/>
  <c r="M201" s="1"/>
  <c r="L200"/>
  <c r="K200"/>
  <c r="J200"/>
  <c r="N200" s="1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M199" s="1"/>
  <c r="L198"/>
  <c r="K198"/>
  <c r="N198" s="1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M197" s="1"/>
  <c r="L196"/>
  <c r="K196"/>
  <c r="J196"/>
  <c r="N196" s="1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M195" s="1"/>
  <c r="L194"/>
  <c r="N194" s="1"/>
  <c r="K194"/>
  <c r="J194"/>
  <c r="I194"/>
  <c r="H194"/>
  <c r="G194"/>
  <c r="F194"/>
  <c r="E194"/>
  <c r="D194"/>
  <c r="C194"/>
  <c r="B194"/>
  <c r="A194"/>
  <c r="L193"/>
  <c r="K193"/>
  <c r="J193"/>
  <c r="N193" s="1"/>
  <c r="I193"/>
  <c r="H193"/>
  <c r="G193"/>
  <c r="F193"/>
  <c r="E193"/>
  <c r="D193"/>
  <c r="C193"/>
  <c r="B193"/>
  <c r="A193"/>
  <c r="M193" s="1"/>
  <c r="L192"/>
  <c r="K192"/>
  <c r="J192"/>
  <c r="N192" s="1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M191" s="1"/>
  <c r="L190"/>
  <c r="K190"/>
  <c r="N190" s="1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M189" s="1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M187" s="1"/>
  <c r="L186"/>
  <c r="N186" s="1"/>
  <c r="K186"/>
  <c r="J186"/>
  <c r="I186"/>
  <c r="H186"/>
  <c r="G186"/>
  <c r="F186"/>
  <c r="E186"/>
  <c r="D186"/>
  <c r="C186"/>
  <c r="B186"/>
  <c r="A186"/>
  <c r="L185"/>
  <c r="K185"/>
  <c r="J185"/>
  <c r="N185" s="1"/>
  <c r="I185"/>
  <c r="H185"/>
  <c r="G185"/>
  <c r="F185"/>
  <c r="E185"/>
  <c r="D185"/>
  <c r="C185"/>
  <c r="B185"/>
  <c r="A185"/>
  <c r="M185" s="1"/>
  <c r="L184"/>
  <c r="K184"/>
  <c r="J184"/>
  <c r="N184" s="1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M183" s="1"/>
  <c r="L182"/>
  <c r="K182"/>
  <c r="J182"/>
  <c r="I182"/>
  <c r="H182"/>
  <c r="G182"/>
  <c r="F182"/>
  <c r="E182"/>
  <c r="D182"/>
  <c r="C182"/>
  <c r="B182"/>
  <c r="A182"/>
  <c r="M182" s="1"/>
  <c r="N181"/>
  <c r="L181"/>
  <c r="K181"/>
  <c r="J181"/>
  <c r="I181"/>
  <c r="H181"/>
  <c r="G181"/>
  <c r="F181"/>
  <c r="E181"/>
  <c r="D181"/>
  <c r="C181"/>
  <c r="B181"/>
  <c r="A181"/>
  <c r="M181" s="1"/>
  <c r="L180"/>
  <c r="N180" s="1"/>
  <c r="K180"/>
  <c r="J180"/>
  <c r="I180"/>
  <c r="H180"/>
  <c r="G180"/>
  <c r="F180"/>
  <c r="E180"/>
  <c r="D180"/>
  <c r="C180"/>
  <c r="B180"/>
  <c r="A180"/>
  <c r="N179"/>
  <c r="L179"/>
  <c r="K179"/>
  <c r="J179"/>
  <c r="I179"/>
  <c r="H179"/>
  <c r="G179"/>
  <c r="F179"/>
  <c r="E179"/>
  <c r="D179"/>
  <c r="C179"/>
  <c r="B179"/>
  <c r="A179"/>
  <c r="M179" s="1"/>
  <c r="N178"/>
  <c r="L178"/>
  <c r="K178"/>
  <c r="J178"/>
  <c r="I178"/>
  <c r="H178"/>
  <c r="G178"/>
  <c r="F178"/>
  <c r="E178"/>
  <c r="D178"/>
  <c r="C178"/>
  <c r="B178"/>
  <c r="A178"/>
  <c r="L177"/>
  <c r="K177"/>
  <c r="N177" s="1"/>
  <c r="J177"/>
  <c r="I177"/>
  <c r="H177"/>
  <c r="G177"/>
  <c r="F177"/>
  <c r="E177"/>
  <c r="D177"/>
  <c r="C177"/>
  <c r="B177"/>
  <c r="A177"/>
  <c r="M177" s="1"/>
  <c r="L176"/>
  <c r="K176"/>
  <c r="J176"/>
  <c r="I176"/>
  <c r="H176"/>
  <c r="G176"/>
  <c r="F176"/>
  <c r="E176"/>
  <c r="D176"/>
  <c r="C176"/>
  <c r="B176"/>
  <c r="A176"/>
  <c r="M176" s="1"/>
  <c r="L175"/>
  <c r="K175"/>
  <c r="J175"/>
  <c r="I175"/>
  <c r="H175"/>
  <c r="G175"/>
  <c r="F175"/>
  <c r="E175"/>
  <c r="D175"/>
  <c r="C175"/>
  <c r="B175"/>
  <c r="A175"/>
  <c r="M175" s="1"/>
  <c r="N174"/>
  <c r="L174"/>
  <c r="K174"/>
  <c r="J174"/>
  <c r="I174"/>
  <c r="H174"/>
  <c r="G174"/>
  <c r="F174"/>
  <c r="E174"/>
  <c r="D174"/>
  <c r="C174"/>
  <c r="B174"/>
  <c r="A174"/>
  <c r="M174" s="1"/>
  <c r="L173"/>
  <c r="K173"/>
  <c r="J173"/>
  <c r="I173"/>
  <c r="H173"/>
  <c r="G173"/>
  <c r="F173"/>
  <c r="E173"/>
  <c r="D173"/>
  <c r="C173"/>
  <c r="B173"/>
  <c r="A173"/>
  <c r="M173" s="1"/>
  <c r="N172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M171" s="1"/>
  <c r="L170"/>
  <c r="K170"/>
  <c r="N170" s="1"/>
  <c r="J170"/>
  <c r="I170"/>
  <c r="H170"/>
  <c r="G170"/>
  <c r="F170"/>
  <c r="E170"/>
  <c r="D170"/>
  <c r="C170"/>
  <c r="B170"/>
  <c r="A170"/>
  <c r="M170" s="1"/>
  <c r="L169"/>
  <c r="K169"/>
  <c r="J169"/>
  <c r="I169"/>
  <c r="H169"/>
  <c r="G169"/>
  <c r="F169"/>
  <c r="E169"/>
  <c r="D169"/>
  <c r="C169"/>
  <c r="B169"/>
  <c r="A169"/>
  <c r="M169" s="1"/>
  <c r="L168"/>
  <c r="K168"/>
  <c r="J168"/>
  <c r="I168"/>
  <c r="H168"/>
  <c r="G168"/>
  <c r="F168"/>
  <c r="E168"/>
  <c r="D168"/>
  <c r="C168"/>
  <c r="B168"/>
  <c r="A168"/>
  <c r="M168" s="1"/>
  <c r="N167"/>
  <c r="L167"/>
  <c r="K167"/>
  <c r="J167"/>
  <c r="I167"/>
  <c r="H167"/>
  <c r="G167"/>
  <c r="F167"/>
  <c r="E167"/>
  <c r="D167"/>
  <c r="C167"/>
  <c r="B167"/>
  <c r="A167"/>
  <c r="M167" s="1"/>
  <c r="L166"/>
  <c r="K166"/>
  <c r="J166"/>
  <c r="I166"/>
  <c r="H166"/>
  <c r="G166"/>
  <c r="F166"/>
  <c r="E166"/>
  <c r="D166"/>
  <c r="C166"/>
  <c r="B166"/>
  <c r="A166"/>
  <c r="M166" s="1"/>
  <c r="L165"/>
  <c r="K165"/>
  <c r="J165"/>
  <c r="I165"/>
  <c r="H165"/>
  <c r="G165"/>
  <c r="F165"/>
  <c r="E165"/>
  <c r="D165"/>
  <c r="C165"/>
  <c r="B165"/>
  <c r="A165"/>
  <c r="M165" s="1"/>
  <c r="L164"/>
  <c r="K164"/>
  <c r="J164"/>
  <c r="N164" s="1"/>
  <c r="I164"/>
  <c r="H164"/>
  <c r="G164"/>
  <c r="F164"/>
  <c r="E164"/>
  <c r="D164"/>
  <c r="C164"/>
  <c r="B164"/>
  <c r="A164"/>
  <c r="M164" s="1"/>
  <c r="L163"/>
  <c r="K163"/>
  <c r="J163"/>
  <c r="I163"/>
  <c r="H163"/>
  <c r="G163"/>
  <c r="F163"/>
  <c r="E163"/>
  <c r="D163"/>
  <c r="C163"/>
  <c r="B163"/>
  <c r="A163"/>
  <c r="M163" s="1"/>
  <c r="L162"/>
  <c r="K162"/>
  <c r="J162"/>
  <c r="I162"/>
  <c r="H162"/>
  <c r="G162"/>
  <c r="F162"/>
  <c r="E162"/>
  <c r="D162"/>
  <c r="C162"/>
  <c r="B162"/>
  <c r="A162"/>
  <c r="M162" s="1"/>
  <c r="N161"/>
  <c r="L161"/>
  <c r="K161"/>
  <c r="J161"/>
  <c r="I161"/>
  <c r="H161"/>
  <c r="G161"/>
  <c r="F161"/>
  <c r="E161"/>
  <c r="D161"/>
  <c r="C161"/>
  <c r="B161"/>
  <c r="A161"/>
  <c r="M161" s="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K158"/>
  <c r="J158"/>
  <c r="N158" s="1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M157" s="1"/>
  <c r="L156"/>
  <c r="K156"/>
  <c r="J156"/>
  <c r="I156"/>
  <c r="H156"/>
  <c r="G156"/>
  <c r="F156"/>
  <c r="E156"/>
  <c r="D156"/>
  <c r="C156"/>
  <c r="B156"/>
  <c r="A156"/>
  <c r="M156" s="1"/>
  <c r="N155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L152"/>
  <c r="K152"/>
  <c r="J152"/>
  <c r="N152" s="1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M151" s="1"/>
  <c r="L150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N146" s="1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M145" s="1"/>
  <c r="L144"/>
  <c r="K144"/>
  <c r="J144"/>
  <c r="I144"/>
  <c r="H144"/>
  <c r="G144"/>
  <c r="F144"/>
  <c r="E144"/>
  <c r="D144"/>
  <c r="C144"/>
  <c r="B144"/>
  <c r="A144"/>
  <c r="M144" s="1"/>
  <c r="N143"/>
  <c r="L143"/>
  <c r="K143"/>
  <c r="J143"/>
  <c r="I143"/>
  <c r="H143"/>
  <c r="G143"/>
  <c r="F143"/>
  <c r="E143"/>
  <c r="D143"/>
  <c r="C143"/>
  <c r="B143"/>
  <c r="A143"/>
  <c r="M143" s="1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M141" s="1"/>
  <c r="L140"/>
  <c r="K140"/>
  <c r="J140"/>
  <c r="N140" s="1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M139" s="1"/>
  <c r="L138"/>
  <c r="K138"/>
  <c r="J138"/>
  <c r="I138"/>
  <c r="H138"/>
  <c r="G138"/>
  <c r="F138"/>
  <c r="E138"/>
  <c r="D138"/>
  <c r="C138"/>
  <c r="B138"/>
  <c r="A138"/>
  <c r="M138" s="1"/>
  <c r="N137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N134" s="1"/>
  <c r="I134"/>
  <c r="H134"/>
  <c r="G134"/>
  <c r="F134"/>
  <c r="E134"/>
  <c r="D134"/>
  <c r="C134"/>
  <c r="B134"/>
  <c r="A134"/>
  <c r="M134" s="1"/>
  <c r="L133"/>
  <c r="K133"/>
  <c r="J133"/>
  <c r="I133"/>
  <c r="H133"/>
  <c r="G133"/>
  <c r="F133"/>
  <c r="E133"/>
  <c r="D133"/>
  <c r="C133"/>
  <c r="B133"/>
  <c r="A133"/>
  <c r="M133" s="1"/>
  <c r="L132"/>
  <c r="K132"/>
  <c r="J132"/>
  <c r="I132"/>
  <c r="H132"/>
  <c r="G132"/>
  <c r="F132"/>
  <c r="E132"/>
  <c r="D132"/>
  <c r="C132"/>
  <c r="B132"/>
  <c r="A132"/>
  <c r="M132" s="1"/>
  <c r="N131"/>
  <c r="L131"/>
  <c r="K131"/>
  <c r="J131"/>
  <c r="I131"/>
  <c r="H131"/>
  <c r="G131"/>
  <c r="F131"/>
  <c r="E131"/>
  <c r="D131"/>
  <c r="C131"/>
  <c r="B131"/>
  <c r="A131"/>
  <c r="M131" s="1"/>
  <c r="L130"/>
  <c r="K130"/>
  <c r="J130"/>
  <c r="I130"/>
  <c r="H130"/>
  <c r="G130"/>
  <c r="F130"/>
  <c r="E130"/>
  <c r="D130"/>
  <c r="C130"/>
  <c r="B130"/>
  <c r="A130"/>
  <c r="M130" s="1"/>
  <c r="L129"/>
  <c r="K129"/>
  <c r="J129"/>
  <c r="I129"/>
  <c r="H129"/>
  <c r="G129"/>
  <c r="F129"/>
  <c r="E129"/>
  <c r="D129"/>
  <c r="C129"/>
  <c r="B129"/>
  <c r="A129"/>
  <c r="M129" s="1"/>
  <c r="L128"/>
  <c r="K128"/>
  <c r="J128"/>
  <c r="N128" s="1"/>
  <c r="I128"/>
  <c r="H128"/>
  <c r="G128"/>
  <c r="F128"/>
  <c r="E128"/>
  <c r="D128"/>
  <c r="C128"/>
  <c r="B128"/>
  <c r="A128"/>
  <c r="M128" s="1"/>
  <c r="L127"/>
  <c r="K127"/>
  <c r="J127"/>
  <c r="I127"/>
  <c r="H127"/>
  <c r="G127"/>
  <c r="F127"/>
  <c r="E127"/>
  <c r="D127"/>
  <c r="C127"/>
  <c r="B127"/>
  <c r="A127"/>
  <c r="M127" s="1"/>
  <c r="L126"/>
  <c r="K126"/>
  <c r="J126"/>
  <c r="I126"/>
  <c r="H126"/>
  <c r="G126"/>
  <c r="F126"/>
  <c r="E126"/>
  <c r="D126"/>
  <c r="C126"/>
  <c r="B126"/>
  <c r="A126"/>
  <c r="M126" s="1"/>
  <c r="N125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M124" s="1"/>
  <c r="L123"/>
  <c r="K123"/>
  <c r="J123"/>
  <c r="I123"/>
  <c r="H123"/>
  <c r="G123"/>
  <c r="F123"/>
  <c r="E123"/>
  <c r="D123"/>
  <c r="C123"/>
  <c r="B123"/>
  <c r="A123"/>
  <c r="M123" s="1"/>
  <c r="L122"/>
  <c r="K122"/>
  <c r="J122"/>
  <c r="N122" s="1"/>
  <c r="I122"/>
  <c r="H122"/>
  <c r="G122"/>
  <c r="F122"/>
  <c r="E122"/>
  <c r="D122"/>
  <c r="C122"/>
  <c r="B122"/>
  <c r="A122"/>
  <c r="M122" s="1"/>
  <c r="L121"/>
  <c r="K121"/>
  <c r="J121"/>
  <c r="I121"/>
  <c r="H121"/>
  <c r="G121"/>
  <c r="F121"/>
  <c r="E121"/>
  <c r="D121"/>
  <c r="C121"/>
  <c r="B121"/>
  <c r="A121"/>
  <c r="M121" s="1"/>
  <c r="L120"/>
  <c r="K120"/>
  <c r="J120"/>
  <c r="I120"/>
  <c r="H120"/>
  <c r="G120"/>
  <c r="F120"/>
  <c r="E120"/>
  <c r="D120"/>
  <c r="C120"/>
  <c r="B120"/>
  <c r="A120"/>
  <c r="M120" s="1"/>
  <c r="N119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M117" s="1"/>
  <c r="L116"/>
  <c r="K116"/>
  <c r="J116"/>
  <c r="N116" s="1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M114" s="1"/>
  <c r="N113"/>
  <c r="L113"/>
  <c r="K113"/>
  <c r="J113"/>
  <c r="I113"/>
  <c r="H113"/>
  <c r="G113"/>
  <c r="F113"/>
  <c r="E113"/>
  <c r="D113"/>
  <c r="C113"/>
  <c r="B113"/>
  <c r="A113"/>
  <c r="M113" s="1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M110" s="1"/>
  <c r="L109"/>
  <c r="K109"/>
  <c r="J109"/>
  <c r="I109"/>
  <c r="H109"/>
  <c r="G109"/>
  <c r="F109"/>
  <c r="E109"/>
  <c r="D109"/>
  <c r="C109"/>
  <c r="B109"/>
  <c r="A109"/>
  <c r="M109" s="1"/>
  <c r="L108"/>
  <c r="K108"/>
  <c r="N108" s="1"/>
  <c r="J108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N107" s="1"/>
  <c r="L106"/>
  <c r="K106"/>
  <c r="J106"/>
  <c r="I106"/>
  <c r="H106"/>
  <c r="G106"/>
  <c r="F106"/>
  <c r="E106"/>
  <c r="D106"/>
  <c r="C106"/>
  <c r="B106"/>
  <c r="A106"/>
  <c r="M106" s="1"/>
  <c r="N105"/>
  <c r="L105"/>
  <c r="K105"/>
  <c r="J105"/>
  <c r="I105"/>
  <c r="H105"/>
  <c r="G105"/>
  <c r="F105"/>
  <c r="E105"/>
  <c r="D105"/>
  <c r="C105"/>
  <c r="B105"/>
  <c r="A105"/>
  <c r="N104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N102" s="1"/>
  <c r="J102"/>
  <c r="I102"/>
  <c r="H102"/>
  <c r="G102"/>
  <c r="F102"/>
  <c r="E102"/>
  <c r="D102"/>
  <c r="C102"/>
  <c r="B102"/>
  <c r="A102"/>
  <c r="M102" s="1"/>
  <c r="L101"/>
  <c r="K101"/>
  <c r="J101"/>
  <c r="I101"/>
  <c r="H101"/>
  <c r="G101"/>
  <c r="F101"/>
  <c r="E101"/>
  <c r="D101"/>
  <c r="C101"/>
  <c r="B101"/>
  <c r="A101"/>
  <c r="N101" s="1"/>
  <c r="L100"/>
  <c r="K100"/>
  <c r="J100"/>
  <c r="I100"/>
  <c r="H100"/>
  <c r="G100"/>
  <c r="F100"/>
  <c r="E100"/>
  <c r="D100"/>
  <c r="C100"/>
  <c r="B100"/>
  <c r="A100"/>
  <c r="M100" s="1"/>
  <c r="N99"/>
  <c r="L99"/>
  <c r="K99"/>
  <c r="J99"/>
  <c r="I99"/>
  <c r="H99"/>
  <c r="G99"/>
  <c r="F99"/>
  <c r="E99"/>
  <c r="D99"/>
  <c r="C99"/>
  <c r="B99"/>
  <c r="A99"/>
  <c r="M99" s="1"/>
  <c r="N98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N96" s="1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N93"/>
  <c r="L93"/>
  <c r="K93"/>
  <c r="J93"/>
  <c r="I93"/>
  <c r="H93"/>
  <c r="G93"/>
  <c r="F93"/>
  <c r="E93"/>
  <c r="D93"/>
  <c r="C93"/>
  <c r="B93"/>
  <c r="A93"/>
  <c r="N92"/>
  <c r="L92"/>
  <c r="K92"/>
  <c r="J92"/>
  <c r="I92"/>
  <c r="H92"/>
  <c r="G92"/>
  <c r="F92"/>
  <c r="E92"/>
  <c r="D92"/>
  <c r="C92"/>
  <c r="B92"/>
  <c r="A92"/>
  <c r="M92" s="1"/>
  <c r="L91"/>
  <c r="K9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N89"/>
  <c r="L89"/>
  <c r="K89"/>
  <c r="J89"/>
  <c r="I89"/>
  <c r="H89"/>
  <c r="G89"/>
  <c r="F89"/>
  <c r="E89"/>
  <c r="D89"/>
  <c r="C89"/>
  <c r="B89"/>
  <c r="A89"/>
  <c r="M89" s="1"/>
  <c r="L88"/>
  <c r="K88"/>
  <c r="J88"/>
  <c r="I88"/>
  <c r="H88"/>
  <c r="G88"/>
  <c r="F88"/>
  <c r="E88"/>
  <c r="D88"/>
  <c r="C88"/>
  <c r="B88"/>
  <c r="A88"/>
  <c r="N87"/>
  <c r="L87"/>
  <c r="K87"/>
  <c r="J87"/>
  <c r="I87"/>
  <c r="H87"/>
  <c r="G87"/>
  <c r="F87"/>
  <c r="E87"/>
  <c r="D87"/>
  <c r="C87"/>
  <c r="B87"/>
  <c r="A87"/>
  <c r="M87" s="1"/>
  <c r="N86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N84" s="1"/>
  <c r="J84"/>
  <c r="I84"/>
  <c r="H84"/>
  <c r="G84"/>
  <c r="F84"/>
  <c r="E84"/>
  <c r="D84"/>
  <c r="C84"/>
  <c r="B84"/>
  <c r="A84"/>
  <c r="M84" s="1"/>
  <c r="L83"/>
  <c r="K83"/>
  <c r="J83"/>
  <c r="I83"/>
  <c r="H83"/>
  <c r="G83"/>
  <c r="F83"/>
  <c r="E83"/>
  <c r="D83"/>
  <c r="C83"/>
  <c r="B83"/>
  <c r="A83"/>
  <c r="M83" s="1"/>
  <c r="L82"/>
  <c r="K82"/>
  <c r="J82"/>
  <c r="I82"/>
  <c r="H82"/>
  <c r="G82"/>
  <c r="F82"/>
  <c r="E82"/>
  <c r="D82"/>
  <c r="C82"/>
  <c r="B82"/>
  <c r="A82"/>
  <c r="N81"/>
  <c r="L81"/>
  <c r="K81"/>
  <c r="J81"/>
  <c r="I81"/>
  <c r="H81"/>
  <c r="G81"/>
  <c r="F81"/>
  <c r="E81"/>
  <c r="D81"/>
  <c r="C81"/>
  <c r="B81"/>
  <c r="A81"/>
  <c r="M81" s="1"/>
  <c r="N80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N78" s="1"/>
  <c r="J78"/>
  <c r="I78"/>
  <c r="H78"/>
  <c r="G78"/>
  <c r="F78"/>
  <c r="E78"/>
  <c r="D78"/>
  <c r="C78"/>
  <c r="B78"/>
  <c r="A78"/>
  <c r="M78" s="1"/>
  <c r="L77"/>
  <c r="K77"/>
  <c r="J77"/>
  <c r="I77"/>
  <c r="H77"/>
  <c r="G77"/>
  <c r="F77"/>
  <c r="E77"/>
  <c r="D77"/>
  <c r="C77"/>
  <c r="B77"/>
  <c r="A77"/>
  <c r="M77" s="1"/>
  <c r="L76"/>
  <c r="K76"/>
  <c r="J76"/>
  <c r="I76"/>
  <c r="H76"/>
  <c r="G76"/>
  <c r="F76"/>
  <c r="E76"/>
  <c r="D76"/>
  <c r="C76"/>
  <c r="B76"/>
  <c r="A76"/>
  <c r="N75"/>
  <c r="L75"/>
  <c r="K75"/>
  <c r="J75"/>
  <c r="I75"/>
  <c r="H75"/>
  <c r="G75"/>
  <c r="F75"/>
  <c r="E75"/>
  <c r="D75"/>
  <c r="C75"/>
  <c r="B75"/>
  <c r="A75"/>
  <c r="N74"/>
  <c r="L74"/>
  <c r="K74"/>
  <c r="J74"/>
  <c r="I74"/>
  <c r="H74"/>
  <c r="G74"/>
  <c r="F74"/>
  <c r="E74"/>
  <c r="D74"/>
  <c r="C74"/>
  <c r="B74"/>
  <c r="A74"/>
  <c r="M74" s="1"/>
  <c r="L73"/>
  <c r="K73"/>
  <c r="J73"/>
  <c r="I73"/>
  <c r="H73"/>
  <c r="G73"/>
  <c r="F73"/>
  <c r="E73"/>
  <c r="D73"/>
  <c r="C73"/>
  <c r="B73"/>
  <c r="A73"/>
  <c r="M73" s="1"/>
  <c r="L72"/>
  <c r="K72"/>
  <c r="J72"/>
  <c r="I72"/>
  <c r="H72"/>
  <c r="G72"/>
  <c r="F72"/>
  <c r="E72"/>
  <c r="D72"/>
  <c r="C72"/>
  <c r="B72"/>
  <c r="A72"/>
  <c r="M72" s="1"/>
  <c r="N71"/>
  <c r="L71"/>
  <c r="K71"/>
  <c r="J71"/>
  <c r="I71"/>
  <c r="H71"/>
  <c r="G71"/>
  <c r="F71"/>
  <c r="E71"/>
  <c r="D71"/>
  <c r="C71"/>
  <c r="B71"/>
  <c r="A71"/>
  <c r="M71" s="1"/>
  <c r="L70"/>
  <c r="K70"/>
  <c r="J70"/>
  <c r="I70"/>
  <c r="H70"/>
  <c r="G70"/>
  <c r="F70"/>
  <c r="E70"/>
  <c r="D70"/>
  <c r="C70"/>
  <c r="B70"/>
  <c r="A70"/>
  <c r="N69"/>
  <c r="L69"/>
  <c r="K69"/>
  <c r="J69"/>
  <c r="I69"/>
  <c r="H69"/>
  <c r="G69"/>
  <c r="F69"/>
  <c r="E69"/>
  <c r="D69"/>
  <c r="C69"/>
  <c r="B69"/>
  <c r="A69"/>
  <c r="M69" s="1"/>
  <c r="N68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N66" s="1"/>
  <c r="J66"/>
  <c r="I66"/>
  <c r="H66"/>
  <c r="G66"/>
  <c r="F66"/>
  <c r="E66"/>
  <c r="D66"/>
  <c r="C66"/>
  <c r="B66"/>
  <c r="A66"/>
  <c r="M66" s="1"/>
  <c r="L65"/>
  <c r="K65"/>
  <c r="J65"/>
  <c r="I65"/>
  <c r="H65"/>
  <c r="G65"/>
  <c r="F65"/>
  <c r="E65"/>
  <c r="D65"/>
  <c r="C65"/>
  <c r="B65"/>
  <c r="A65"/>
  <c r="M65" s="1"/>
  <c r="L64"/>
  <c r="K64"/>
  <c r="J64"/>
  <c r="I64"/>
  <c r="H64"/>
  <c r="G64"/>
  <c r="F64"/>
  <c r="E64"/>
  <c r="D64"/>
  <c r="C64"/>
  <c r="B64"/>
  <c r="A64"/>
  <c r="N63"/>
  <c r="L63"/>
  <c r="K63"/>
  <c r="J63"/>
  <c r="I63"/>
  <c r="H63"/>
  <c r="G63"/>
  <c r="F63"/>
  <c r="E63"/>
  <c r="D63"/>
  <c r="C63"/>
  <c r="B63"/>
  <c r="A63"/>
  <c r="N62"/>
  <c r="L62"/>
  <c r="K62"/>
  <c r="J62"/>
  <c r="I62"/>
  <c r="H62"/>
  <c r="G62"/>
  <c r="F62"/>
  <c r="E62"/>
  <c r="D62"/>
  <c r="C62"/>
  <c r="B62"/>
  <c r="A62"/>
  <c r="M62" s="1"/>
  <c r="L61"/>
  <c r="K61"/>
  <c r="J61"/>
  <c r="I61"/>
  <c r="H61"/>
  <c r="G61"/>
  <c r="F61"/>
  <c r="E61"/>
  <c r="D61"/>
  <c r="C61"/>
  <c r="B61"/>
  <c r="A61"/>
  <c r="L60"/>
  <c r="K60"/>
  <c r="N60" s="1"/>
  <c r="J60"/>
  <c r="I60"/>
  <c r="H60"/>
  <c r="G60"/>
  <c r="F60"/>
  <c r="E60"/>
  <c r="D60"/>
  <c r="C60"/>
  <c r="B60"/>
  <c r="A60"/>
  <c r="M60" s="1"/>
  <c r="L59"/>
  <c r="K59"/>
  <c r="J59"/>
  <c r="I59"/>
  <c r="H59"/>
  <c r="G59"/>
  <c r="F59"/>
  <c r="E59"/>
  <c r="D59"/>
  <c r="C59"/>
  <c r="B59"/>
  <c r="A59"/>
  <c r="M59" s="1"/>
  <c r="L58"/>
  <c r="K58"/>
  <c r="J58"/>
  <c r="I58"/>
  <c r="H58"/>
  <c r="G58"/>
  <c r="F58"/>
  <c r="E58"/>
  <c r="D58"/>
  <c r="C58"/>
  <c r="B58"/>
  <c r="A58"/>
  <c r="L57"/>
  <c r="N57" s="1"/>
  <c r="K57"/>
  <c r="J57"/>
  <c r="I57"/>
  <c r="H57"/>
  <c r="G57"/>
  <c r="F57"/>
  <c r="E57"/>
  <c r="D57"/>
  <c r="C57"/>
  <c r="B57"/>
  <c r="A57"/>
  <c r="N56"/>
  <c r="L56"/>
  <c r="K56"/>
  <c r="J56"/>
  <c r="I56"/>
  <c r="H56"/>
  <c r="G56"/>
  <c r="F56"/>
  <c r="E56"/>
  <c r="D56"/>
  <c r="C56"/>
  <c r="B56"/>
  <c r="A56"/>
  <c r="M56" s="1"/>
  <c r="L55"/>
  <c r="K55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M54" s="1"/>
  <c r="N53"/>
  <c r="L53"/>
  <c r="K53"/>
  <c r="J53"/>
  <c r="I53"/>
  <c r="H53"/>
  <c r="G53"/>
  <c r="F53"/>
  <c r="E53"/>
  <c r="D53"/>
  <c r="C53"/>
  <c r="B53"/>
  <c r="A53"/>
  <c r="M53" s="1"/>
  <c r="L52"/>
  <c r="K52"/>
  <c r="J52"/>
  <c r="I52"/>
  <c r="H52"/>
  <c r="G52"/>
  <c r="F52"/>
  <c r="E52"/>
  <c r="D52"/>
  <c r="C52"/>
  <c r="B52"/>
  <c r="A52"/>
  <c r="N51"/>
  <c r="L51"/>
  <c r="K51"/>
  <c r="J51"/>
  <c r="I51"/>
  <c r="H51"/>
  <c r="G51"/>
  <c r="F51"/>
  <c r="E51"/>
  <c r="D51"/>
  <c r="C51"/>
  <c r="B51"/>
  <c r="A51"/>
  <c r="M51" s="1"/>
  <c r="N50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N48" s="1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M47" s="1"/>
  <c r="L46"/>
  <c r="K46"/>
  <c r="J46"/>
  <c r="I46"/>
  <c r="H46"/>
  <c r="G46"/>
  <c r="F46"/>
  <c r="E46"/>
  <c r="D46"/>
  <c r="C46"/>
  <c r="B46"/>
  <c r="A46"/>
  <c r="L45"/>
  <c r="N45" s="1"/>
  <c r="K45"/>
  <c r="J45"/>
  <c r="I45"/>
  <c r="H45"/>
  <c r="G45"/>
  <c r="F45"/>
  <c r="E45"/>
  <c r="D45"/>
  <c r="C45"/>
  <c r="B45"/>
  <c r="A45"/>
  <c r="N44"/>
  <c r="L44"/>
  <c r="K44"/>
  <c r="J44"/>
  <c r="I44"/>
  <c r="H44"/>
  <c r="G44"/>
  <c r="F44"/>
  <c r="E44"/>
  <c r="D44"/>
  <c r="C44"/>
  <c r="B44"/>
  <c r="A44"/>
  <c r="M44" s="1"/>
  <c r="L43"/>
  <c r="K43"/>
  <c r="J43"/>
  <c r="I43"/>
  <c r="H43"/>
  <c r="G43"/>
  <c r="F43"/>
  <c r="E43"/>
  <c r="D43"/>
  <c r="C43"/>
  <c r="B43"/>
  <c r="A43"/>
  <c r="L42"/>
  <c r="K42"/>
  <c r="N42" s="1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M41" s="1"/>
  <c r="L40"/>
  <c r="K40"/>
  <c r="J40"/>
  <c r="I40"/>
  <c r="H40"/>
  <c r="G40"/>
  <c r="F40"/>
  <c r="E40"/>
  <c r="D40"/>
  <c r="C40"/>
  <c r="B40"/>
  <c r="A40"/>
  <c r="N39"/>
  <c r="L39"/>
  <c r="K39"/>
  <c r="J39"/>
  <c r="I39"/>
  <c r="H39"/>
  <c r="G39"/>
  <c r="F39"/>
  <c r="E39"/>
  <c r="D39"/>
  <c r="C39"/>
  <c r="B39"/>
  <c r="A39"/>
  <c r="M39" s="1"/>
  <c r="N38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N36" s="1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M35" s="1"/>
  <c r="L34"/>
  <c r="K34"/>
  <c r="J34"/>
  <c r="I34"/>
  <c r="H34"/>
  <c r="G34"/>
  <c r="F34"/>
  <c r="E34"/>
  <c r="D34"/>
  <c r="C34"/>
  <c r="B34"/>
  <c r="A34"/>
  <c r="L33"/>
  <c r="N33" s="1"/>
  <c r="K33"/>
  <c r="J33"/>
  <c r="I33"/>
  <c r="H33"/>
  <c r="G33"/>
  <c r="F33"/>
  <c r="E33"/>
  <c r="D33"/>
  <c r="C33"/>
  <c r="B33"/>
  <c r="A33"/>
  <c r="N32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N30" s="1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M29" s="1"/>
  <c r="L28"/>
  <c r="K28"/>
  <c r="J28"/>
  <c r="I28"/>
  <c r="H28"/>
  <c r="G28"/>
  <c r="F28"/>
  <c r="E28"/>
  <c r="D28"/>
  <c r="C28"/>
  <c r="B28"/>
  <c r="A28"/>
  <c r="L27"/>
  <c r="N27" s="1"/>
  <c r="K27"/>
  <c r="J27"/>
  <c r="I27"/>
  <c r="H27"/>
  <c r="G27"/>
  <c r="F27"/>
  <c r="E27"/>
  <c r="D27"/>
  <c r="C27"/>
  <c r="B27"/>
  <c r="A27"/>
  <c r="N26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N23"/>
  <c r="L23"/>
  <c r="K23"/>
  <c r="J23"/>
  <c r="I23"/>
  <c r="H23"/>
  <c r="G23"/>
  <c r="F23"/>
  <c r="E23"/>
  <c r="D23"/>
  <c r="C23"/>
  <c r="B23"/>
  <c r="A23"/>
  <c r="M23" s="1"/>
  <c r="L22"/>
  <c r="K22"/>
  <c r="J22"/>
  <c r="I22"/>
  <c r="H22"/>
  <c r="G22"/>
  <c r="F22"/>
  <c r="E22"/>
  <c r="D22"/>
  <c r="C22"/>
  <c r="B22"/>
  <c r="A22"/>
  <c r="N21"/>
  <c r="L21"/>
  <c r="K21"/>
  <c r="J21"/>
  <c r="I21"/>
  <c r="H21"/>
  <c r="G21"/>
  <c r="F21"/>
  <c r="E21"/>
  <c r="D21"/>
  <c r="C21"/>
  <c r="B21"/>
  <c r="A21"/>
  <c r="M21" s="1"/>
  <c r="N20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N18" s="1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M17" s="1"/>
  <c r="L16"/>
  <c r="K16"/>
  <c r="J16"/>
  <c r="I16"/>
  <c r="H16"/>
  <c r="G16"/>
  <c r="F16"/>
  <c r="E16"/>
  <c r="D16"/>
  <c r="C16"/>
  <c r="B16"/>
  <c r="A16"/>
  <c r="N15"/>
  <c r="L15"/>
  <c r="K15"/>
  <c r="J15"/>
  <c r="I15"/>
  <c r="H15"/>
  <c r="G15"/>
  <c r="F15"/>
  <c r="E15"/>
  <c r="D15"/>
  <c r="C15"/>
  <c r="B15"/>
  <c r="A15"/>
  <c r="M15" s="1"/>
  <c r="N14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N12" s="1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M11" s="1"/>
  <c r="L10"/>
  <c r="K10"/>
  <c r="J10"/>
  <c r="I10"/>
  <c r="H10"/>
  <c r="G10"/>
  <c r="F10"/>
  <c r="E10"/>
  <c r="D10"/>
  <c r="C10"/>
  <c r="B10"/>
  <c r="A10"/>
  <c r="N10" s="1"/>
  <c r="N9"/>
  <c r="L9"/>
  <c r="K9"/>
  <c r="J9"/>
  <c r="I9"/>
  <c r="H9"/>
  <c r="G9"/>
  <c r="F9"/>
  <c r="E9"/>
  <c r="D9"/>
  <c r="C9"/>
  <c r="B9"/>
  <c r="A9"/>
  <c r="N8"/>
  <c r="L8"/>
  <c r="K8"/>
  <c r="J8"/>
  <c r="I8"/>
  <c r="H8"/>
  <c r="G8"/>
  <c r="F8"/>
  <c r="E8"/>
  <c r="D8"/>
  <c r="C8"/>
  <c r="B8"/>
  <c r="A8"/>
  <c r="L7"/>
  <c r="K7"/>
  <c r="J7"/>
  <c r="I7"/>
  <c r="H7"/>
  <c r="G7"/>
  <c r="F7"/>
  <c r="E7"/>
  <c r="D7"/>
  <c r="C7"/>
  <c r="B7"/>
  <c r="A7"/>
  <c r="L6"/>
  <c r="K6"/>
  <c r="J6"/>
  <c r="I6"/>
  <c r="H6"/>
  <c r="G6"/>
  <c r="F6"/>
  <c r="E6"/>
  <c r="D6"/>
  <c r="C6"/>
  <c r="B6"/>
  <c r="A6"/>
  <c r="N5"/>
  <c r="L5"/>
  <c r="K5"/>
  <c r="J5"/>
  <c r="I5"/>
  <c r="H5"/>
  <c r="G5"/>
  <c r="F5"/>
  <c r="E5"/>
  <c r="D5"/>
  <c r="C5"/>
  <c r="B5"/>
  <c r="A5"/>
  <c r="M5" s="1"/>
  <c r="L4"/>
  <c r="K4"/>
  <c r="J4"/>
  <c r="I4"/>
  <c r="H4"/>
  <c r="G4"/>
  <c r="F4"/>
  <c r="E4"/>
  <c r="D4"/>
  <c r="C4"/>
  <c r="B4"/>
  <c r="A4"/>
  <c r="N3"/>
  <c r="L3"/>
  <c r="K3"/>
  <c r="J3"/>
  <c r="I3"/>
  <c r="H3"/>
  <c r="G3"/>
  <c r="F3"/>
  <c r="E3"/>
  <c r="D3"/>
  <c r="C3"/>
  <c r="B3"/>
  <c r="A3"/>
  <c r="V263" i="3"/>
  <c r="AA263" s="1"/>
  <c r="S263"/>
  <c r="X263" s="1"/>
  <c r="Q263"/>
  <c r="N263"/>
  <c r="M263"/>
  <c r="L263"/>
  <c r="K263"/>
  <c r="J263"/>
  <c r="I263"/>
  <c r="O263" s="1"/>
  <c r="H263"/>
  <c r="G263"/>
  <c r="U263" s="1"/>
  <c r="Z263" s="1"/>
  <c r="F263"/>
  <c r="T263" s="1"/>
  <c r="Y263" s="1"/>
  <c r="E263"/>
  <c r="D263"/>
  <c r="R263" s="1"/>
  <c r="W263" s="1"/>
  <c r="C263"/>
  <c r="B263"/>
  <c r="A263"/>
  <c r="V262"/>
  <c r="AA262" s="1"/>
  <c r="U262"/>
  <c r="Z262" s="1"/>
  <c r="T262"/>
  <c r="Y262" s="1"/>
  <c r="Q262"/>
  <c r="N262"/>
  <c r="M262"/>
  <c r="L262"/>
  <c r="K262"/>
  <c r="J262"/>
  <c r="I262"/>
  <c r="O262" s="1"/>
  <c r="H262"/>
  <c r="G262"/>
  <c r="F262"/>
  <c r="E262"/>
  <c r="S262" s="1"/>
  <c r="X262" s="1"/>
  <c r="D262"/>
  <c r="R262" s="1"/>
  <c r="W262" s="1"/>
  <c r="C262"/>
  <c r="B262"/>
  <c r="A262"/>
  <c r="U261"/>
  <c r="Z261" s="1"/>
  <c r="R261"/>
  <c r="W261" s="1"/>
  <c r="O261"/>
  <c r="N261"/>
  <c r="M261"/>
  <c r="L261"/>
  <c r="K261"/>
  <c r="J261"/>
  <c r="I261"/>
  <c r="H261"/>
  <c r="V261" s="1"/>
  <c r="AA261" s="1"/>
  <c r="G261"/>
  <c r="F261"/>
  <c r="T261" s="1"/>
  <c r="Y261" s="1"/>
  <c r="E261"/>
  <c r="S261" s="1"/>
  <c r="X261" s="1"/>
  <c r="D261"/>
  <c r="C261"/>
  <c r="Q261" s="1"/>
  <c r="B261"/>
  <c r="A261"/>
  <c r="V260"/>
  <c r="AA260" s="1"/>
  <c r="S260"/>
  <c r="X260" s="1"/>
  <c r="R260"/>
  <c r="W260" s="1"/>
  <c r="Q260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C260"/>
  <c r="B260"/>
  <c r="A260"/>
  <c r="V259"/>
  <c r="AA259" s="1"/>
  <c r="U259"/>
  <c r="Z259" s="1"/>
  <c r="T259"/>
  <c r="Y259" s="1"/>
  <c r="Q259"/>
  <c r="N259"/>
  <c r="M259"/>
  <c r="L259"/>
  <c r="K259"/>
  <c r="J259"/>
  <c r="I259"/>
  <c r="O259" s="1"/>
  <c r="H259"/>
  <c r="G259"/>
  <c r="F259"/>
  <c r="E259"/>
  <c r="S259" s="1"/>
  <c r="X259" s="1"/>
  <c r="D259"/>
  <c r="R259" s="1"/>
  <c r="W259" s="1"/>
  <c r="C259"/>
  <c r="B259"/>
  <c r="A259"/>
  <c r="U258"/>
  <c r="Z258" s="1"/>
  <c r="R258"/>
  <c r="W258" s="1"/>
  <c r="Q258"/>
  <c r="O258"/>
  <c r="N258"/>
  <c r="M258"/>
  <c r="L258"/>
  <c r="K258"/>
  <c r="J258"/>
  <c r="I258"/>
  <c r="H258"/>
  <c r="V258" s="1"/>
  <c r="AA258" s="1"/>
  <c r="G258"/>
  <c r="F258"/>
  <c r="T258" s="1"/>
  <c r="Y258" s="1"/>
  <c r="E258"/>
  <c r="S258" s="1"/>
  <c r="X258" s="1"/>
  <c r="D258"/>
  <c r="C258"/>
  <c r="B258"/>
  <c r="A258"/>
  <c r="V257"/>
  <c r="AA257" s="1"/>
  <c r="S257"/>
  <c r="X257" s="1"/>
  <c r="Q257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D257"/>
  <c r="R257" s="1"/>
  <c r="W257" s="1"/>
  <c r="C257"/>
  <c r="B257"/>
  <c r="A257"/>
  <c r="U256"/>
  <c r="Z256" s="1"/>
  <c r="T256"/>
  <c r="Y256" s="1"/>
  <c r="Q256"/>
  <c r="N256"/>
  <c r="M256"/>
  <c r="L256"/>
  <c r="K256"/>
  <c r="J256"/>
  <c r="I256"/>
  <c r="O256" s="1"/>
  <c r="H256"/>
  <c r="V256" s="1"/>
  <c r="AA256" s="1"/>
  <c r="G256"/>
  <c r="F256"/>
  <c r="E256"/>
  <c r="S256" s="1"/>
  <c r="X256" s="1"/>
  <c r="D256"/>
  <c r="R256" s="1"/>
  <c r="W256" s="1"/>
  <c r="C256"/>
  <c r="B256"/>
  <c r="A256"/>
  <c r="U255"/>
  <c r="Z255" s="1"/>
  <c r="R255"/>
  <c r="W255" s="1"/>
  <c r="N255"/>
  <c r="M255"/>
  <c r="L255"/>
  <c r="K255"/>
  <c r="J255"/>
  <c r="I255"/>
  <c r="O255" s="1"/>
  <c r="H255"/>
  <c r="V255" s="1"/>
  <c r="AA255" s="1"/>
  <c r="G255"/>
  <c r="F255"/>
  <c r="T255" s="1"/>
  <c r="Y255" s="1"/>
  <c r="E255"/>
  <c r="S255" s="1"/>
  <c r="X255" s="1"/>
  <c r="D255"/>
  <c r="C255"/>
  <c r="Q255" s="1"/>
  <c r="B255"/>
  <c r="A255"/>
  <c r="V254"/>
  <c r="AA254" s="1"/>
  <c r="S254"/>
  <c r="X254" s="1"/>
  <c r="Q254"/>
  <c r="N254"/>
  <c r="M254"/>
  <c r="L254"/>
  <c r="K254"/>
  <c r="J254"/>
  <c r="I254"/>
  <c r="O254" s="1"/>
  <c r="H254"/>
  <c r="G254"/>
  <c r="U254" s="1"/>
  <c r="Z254" s="1"/>
  <c r="F254"/>
  <c r="T254" s="1"/>
  <c r="Y254" s="1"/>
  <c r="E254"/>
  <c r="D254"/>
  <c r="R254" s="1"/>
  <c r="W254" s="1"/>
  <c r="C254"/>
  <c r="B254"/>
  <c r="A254"/>
  <c r="U253"/>
  <c r="Z253" s="1"/>
  <c r="T253"/>
  <c r="Y253" s="1"/>
  <c r="Q253"/>
  <c r="N253"/>
  <c r="M253"/>
  <c r="L253"/>
  <c r="K253"/>
  <c r="J253"/>
  <c r="I253"/>
  <c r="O253" s="1"/>
  <c r="H253"/>
  <c r="V253" s="1"/>
  <c r="AA253" s="1"/>
  <c r="G253"/>
  <c r="F253"/>
  <c r="E253"/>
  <c r="S253" s="1"/>
  <c r="X253" s="1"/>
  <c r="D253"/>
  <c r="R253" s="1"/>
  <c r="W253" s="1"/>
  <c r="C253"/>
  <c r="B253"/>
  <c r="A253"/>
  <c r="U252"/>
  <c r="Z252" s="1"/>
  <c r="R252"/>
  <c r="W252" s="1"/>
  <c r="O252"/>
  <c r="N252"/>
  <c r="M252"/>
  <c r="L252"/>
  <c r="K252"/>
  <c r="J252"/>
  <c r="I252"/>
  <c r="H252"/>
  <c r="V252" s="1"/>
  <c r="AA252" s="1"/>
  <c r="G252"/>
  <c r="F252"/>
  <c r="T252" s="1"/>
  <c r="Y252" s="1"/>
  <c r="E252"/>
  <c r="S252" s="1"/>
  <c r="X252" s="1"/>
  <c r="D252"/>
  <c r="C252"/>
  <c r="Q252" s="1"/>
  <c r="B252"/>
  <c r="A252"/>
  <c r="V251"/>
  <c r="AA251" s="1"/>
  <c r="S251"/>
  <c r="X251" s="1"/>
  <c r="Q25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D251"/>
  <c r="R251" s="1"/>
  <c r="W251" s="1"/>
  <c r="C251"/>
  <c r="B251"/>
  <c r="A251"/>
  <c r="V250"/>
  <c r="AA250" s="1"/>
  <c r="U250"/>
  <c r="Z250" s="1"/>
  <c r="T250"/>
  <c r="Y250" s="1"/>
  <c r="Q250"/>
  <c r="N250"/>
  <c r="M250"/>
  <c r="L250"/>
  <c r="K250"/>
  <c r="J250"/>
  <c r="I250"/>
  <c r="O250" s="1"/>
  <c r="H250"/>
  <c r="G250"/>
  <c r="F250"/>
  <c r="E250"/>
  <c r="S250" s="1"/>
  <c r="X250" s="1"/>
  <c r="D250"/>
  <c r="R250" s="1"/>
  <c r="W250" s="1"/>
  <c r="C250"/>
  <c r="B250"/>
  <c r="A250"/>
  <c r="U249"/>
  <c r="Z249" s="1"/>
  <c r="R249"/>
  <c r="W249" s="1"/>
  <c r="Q249"/>
  <c r="O249"/>
  <c r="N249"/>
  <c r="M249"/>
  <c r="L249"/>
  <c r="K249"/>
  <c r="J249"/>
  <c r="I249"/>
  <c r="H249"/>
  <c r="V249" s="1"/>
  <c r="AA249" s="1"/>
  <c r="G249"/>
  <c r="F249"/>
  <c r="T249" s="1"/>
  <c r="Y249" s="1"/>
  <c r="E249"/>
  <c r="S249" s="1"/>
  <c r="X249" s="1"/>
  <c r="D249"/>
  <c r="C249"/>
  <c r="B249"/>
  <c r="A249"/>
  <c r="V248"/>
  <c r="AA248" s="1"/>
  <c r="R248"/>
  <c r="W248" s="1"/>
  <c r="Q248"/>
  <c r="N248"/>
  <c r="M248"/>
  <c r="L248"/>
  <c r="K248"/>
  <c r="J248"/>
  <c r="I248"/>
  <c r="O248" s="1"/>
  <c r="H248"/>
  <c r="G248"/>
  <c r="U248" s="1"/>
  <c r="Z248" s="1"/>
  <c r="F248"/>
  <c r="T248" s="1"/>
  <c r="Y248" s="1"/>
  <c r="E248"/>
  <c r="S248" s="1"/>
  <c r="X248" s="1"/>
  <c r="D248"/>
  <c r="C248"/>
  <c r="B248"/>
  <c r="A248"/>
  <c r="V247"/>
  <c r="AA247" s="1"/>
  <c r="U247"/>
  <c r="Z247" s="1"/>
  <c r="T247"/>
  <c r="Y247" s="1"/>
  <c r="Q247"/>
  <c r="N247"/>
  <c r="M247"/>
  <c r="L247"/>
  <c r="K247"/>
  <c r="J247"/>
  <c r="I247"/>
  <c r="O247" s="1"/>
  <c r="H247"/>
  <c r="G247"/>
  <c r="F247"/>
  <c r="E247"/>
  <c r="S247" s="1"/>
  <c r="X247" s="1"/>
  <c r="D247"/>
  <c r="R247" s="1"/>
  <c r="W247" s="1"/>
  <c r="C247"/>
  <c r="B247"/>
  <c r="A247"/>
  <c r="U246"/>
  <c r="Z246" s="1"/>
  <c r="R246"/>
  <c r="W246" s="1"/>
  <c r="Q246"/>
  <c r="N246"/>
  <c r="M246"/>
  <c r="L246"/>
  <c r="K246"/>
  <c r="J246"/>
  <c r="I246"/>
  <c r="O246" s="1"/>
  <c r="H246"/>
  <c r="V246" s="1"/>
  <c r="AA246" s="1"/>
  <c r="G246"/>
  <c r="F246"/>
  <c r="T246" s="1"/>
  <c r="Y246" s="1"/>
  <c r="E246"/>
  <c r="S246" s="1"/>
  <c r="X246" s="1"/>
  <c r="D246"/>
  <c r="C246"/>
  <c r="B246"/>
  <c r="A246"/>
  <c r="V245"/>
  <c r="AA245" s="1"/>
  <c r="S245"/>
  <c r="X245" s="1"/>
  <c r="Q245"/>
  <c r="N245"/>
  <c r="M245"/>
  <c r="L245"/>
  <c r="K245"/>
  <c r="J245"/>
  <c r="I245"/>
  <c r="O245" s="1"/>
  <c r="H245"/>
  <c r="G245"/>
  <c r="U245" s="1"/>
  <c r="Z245" s="1"/>
  <c r="F245"/>
  <c r="T245" s="1"/>
  <c r="Y245" s="1"/>
  <c r="E245"/>
  <c r="D245"/>
  <c r="R245" s="1"/>
  <c r="W245" s="1"/>
  <c r="C245"/>
  <c r="B245"/>
  <c r="A245"/>
  <c r="V244"/>
  <c r="AA244" s="1"/>
  <c r="U244"/>
  <c r="Z244" s="1"/>
  <c r="T244"/>
  <c r="Y244" s="1"/>
  <c r="Q244"/>
  <c r="N244"/>
  <c r="M244"/>
  <c r="L244"/>
  <c r="K244"/>
  <c r="J244"/>
  <c r="I244"/>
  <c r="O244" s="1"/>
  <c r="H244"/>
  <c r="G244"/>
  <c r="F244"/>
  <c r="E244"/>
  <c r="S244" s="1"/>
  <c r="X244" s="1"/>
  <c r="D244"/>
  <c r="R244" s="1"/>
  <c r="W244" s="1"/>
  <c r="C244"/>
  <c r="B244"/>
  <c r="A244"/>
  <c r="U243"/>
  <c r="Z243" s="1"/>
  <c r="R243"/>
  <c r="W243" s="1"/>
  <c r="Q243"/>
  <c r="N243"/>
  <c r="M243"/>
  <c r="L243"/>
  <c r="K243"/>
  <c r="J243"/>
  <c r="I243"/>
  <c r="O243" s="1"/>
  <c r="H243"/>
  <c r="V243" s="1"/>
  <c r="AA243" s="1"/>
  <c r="G243"/>
  <c r="F243"/>
  <c r="T243" s="1"/>
  <c r="Y243" s="1"/>
  <c r="E243"/>
  <c r="S243" s="1"/>
  <c r="X243" s="1"/>
  <c r="D243"/>
  <c r="C243"/>
  <c r="B243"/>
  <c r="A243"/>
  <c r="V242"/>
  <c r="AA242" s="1"/>
  <c r="Q242"/>
  <c r="N242"/>
  <c r="M242"/>
  <c r="L242"/>
  <c r="K242"/>
  <c r="J242"/>
  <c r="I242"/>
  <c r="O242" s="1"/>
  <c r="H242"/>
  <c r="G242"/>
  <c r="U242" s="1"/>
  <c r="Z242" s="1"/>
  <c r="F242"/>
  <c r="T242" s="1"/>
  <c r="Y242" s="1"/>
  <c r="E242"/>
  <c r="S242" s="1"/>
  <c r="X242" s="1"/>
  <c r="D242"/>
  <c r="R242" s="1"/>
  <c r="W242" s="1"/>
  <c r="C242"/>
  <c r="B242"/>
  <c r="A242"/>
  <c r="V241"/>
  <c r="AA241" s="1"/>
  <c r="U241"/>
  <c r="Z241" s="1"/>
  <c r="T241"/>
  <c r="Y241" s="1"/>
  <c r="Q241"/>
  <c r="N241"/>
  <c r="M241"/>
  <c r="L241"/>
  <c r="K241"/>
  <c r="J241"/>
  <c r="I241"/>
  <c r="O241" s="1"/>
  <c r="H241"/>
  <c r="G241"/>
  <c r="F241"/>
  <c r="E241"/>
  <c r="S241" s="1"/>
  <c r="X241" s="1"/>
  <c r="D241"/>
  <c r="R241" s="1"/>
  <c r="W241" s="1"/>
  <c r="C241"/>
  <c r="B241"/>
  <c r="A241"/>
  <c r="U240"/>
  <c r="Z240" s="1"/>
  <c r="R240"/>
  <c r="W240" s="1"/>
  <c r="O240"/>
  <c r="N240"/>
  <c r="M240"/>
  <c r="L240"/>
  <c r="K240"/>
  <c r="J240"/>
  <c r="I240"/>
  <c r="H240"/>
  <c r="V240" s="1"/>
  <c r="AA240" s="1"/>
  <c r="G240"/>
  <c r="F240"/>
  <c r="T240" s="1"/>
  <c r="Y240" s="1"/>
  <c r="E240"/>
  <c r="S240" s="1"/>
  <c r="X240" s="1"/>
  <c r="D240"/>
  <c r="C240"/>
  <c r="Q240" s="1"/>
  <c r="B240"/>
  <c r="A240"/>
  <c r="V239"/>
  <c r="AA239" s="1"/>
  <c r="S239"/>
  <c r="X239" s="1"/>
  <c r="Q239"/>
  <c r="N239"/>
  <c r="M239"/>
  <c r="L239"/>
  <c r="K239"/>
  <c r="J239"/>
  <c r="I239"/>
  <c r="O239" s="1"/>
  <c r="H239"/>
  <c r="G239"/>
  <c r="U239" s="1"/>
  <c r="Z239" s="1"/>
  <c r="F239"/>
  <c r="T239" s="1"/>
  <c r="Y239" s="1"/>
  <c r="E239"/>
  <c r="D239"/>
  <c r="R239" s="1"/>
  <c r="W239" s="1"/>
  <c r="C239"/>
  <c r="B239"/>
  <c r="A239"/>
  <c r="U238"/>
  <c r="Z238" s="1"/>
  <c r="T238"/>
  <c r="Y238" s="1"/>
  <c r="Q238"/>
  <c r="N238"/>
  <c r="M238"/>
  <c r="L238"/>
  <c r="K238"/>
  <c r="J238"/>
  <c r="I238"/>
  <c r="O238" s="1"/>
  <c r="H238"/>
  <c r="V238" s="1"/>
  <c r="AA238" s="1"/>
  <c r="G238"/>
  <c r="F238"/>
  <c r="E238"/>
  <c r="S238" s="1"/>
  <c r="X238" s="1"/>
  <c r="D238"/>
  <c r="R238" s="1"/>
  <c r="W238" s="1"/>
  <c r="C238"/>
  <c r="B238"/>
  <c r="A238"/>
  <c r="U237"/>
  <c r="Z237" s="1"/>
  <c r="R237"/>
  <c r="W237" s="1"/>
  <c r="Q237"/>
  <c r="N237"/>
  <c r="M237"/>
  <c r="L237"/>
  <c r="K237"/>
  <c r="J237"/>
  <c r="I237"/>
  <c r="O237" s="1"/>
  <c r="H237"/>
  <c r="V237" s="1"/>
  <c r="AA237" s="1"/>
  <c r="G237"/>
  <c r="F237"/>
  <c r="T237" s="1"/>
  <c r="Y237" s="1"/>
  <c r="E237"/>
  <c r="S237" s="1"/>
  <c r="X237" s="1"/>
  <c r="D237"/>
  <c r="C237"/>
  <c r="B237"/>
  <c r="A237"/>
  <c r="V236"/>
  <c r="AA236" s="1"/>
  <c r="U236"/>
  <c r="Z236" s="1"/>
  <c r="S236"/>
  <c r="X236" s="1"/>
  <c r="Q236"/>
  <c r="N236"/>
  <c r="M236"/>
  <c r="L236"/>
  <c r="K236"/>
  <c r="J236"/>
  <c r="I236"/>
  <c r="O236" s="1"/>
  <c r="H236"/>
  <c r="G236"/>
  <c r="F236"/>
  <c r="T236" s="1"/>
  <c r="Y236" s="1"/>
  <c r="E236"/>
  <c r="D236"/>
  <c r="R236" s="1"/>
  <c r="W236" s="1"/>
  <c r="C236"/>
  <c r="B236"/>
  <c r="A236"/>
  <c r="V235"/>
  <c r="AA235" s="1"/>
  <c r="U235"/>
  <c r="Z235" s="1"/>
  <c r="T235"/>
  <c r="Y235" s="1"/>
  <c r="Q235"/>
  <c r="N235"/>
  <c r="M235"/>
  <c r="L235"/>
  <c r="K235"/>
  <c r="J235"/>
  <c r="I235"/>
  <c r="O235" s="1"/>
  <c r="H235"/>
  <c r="G235"/>
  <c r="F235"/>
  <c r="E235"/>
  <c r="S235" s="1"/>
  <c r="X235" s="1"/>
  <c r="D235"/>
  <c r="R235" s="1"/>
  <c r="W235" s="1"/>
  <c r="C235"/>
  <c r="B235"/>
  <c r="A235"/>
  <c r="U234"/>
  <c r="Z234" s="1"/>
  <c r="R234"/>
  <c r="W234" s="1"/>
  <c r="Q234"/>
  <c r="N234"/>
  <c r="M234"/>
  <c r="L234"/>
  <c r="K234"/>
  <c r="J234"/>
  <c r="I234"/>
  <c r="O234" s="1"/>
  <c r="H234"/>
  <c r="V234" s="1"/>
  <c r="AA234" s="1"/>
  <c r="G234"/>
  <c r="F234"/>
  <c r="T234" s="1"/>
  <c r="Y234" s="1"/>
  <c r="E234"/>
  <c r="S234" s="1"/>
  <c r="X234" s="1"/>
  <c r="D234"/>
  <c r="C234"/>
  <c r="B234"/>
  <c r="A234"/>
  <c r="V233"/>
  <c r="AA233" s="1"/>
  <c r="Q233"/>
  <c r="N233"/>
  <c r="M233"/>
  <c r="L233"/>
  <c r="K233"/>
  <c r="J233"/>
  <c r="I233"/>
  <c r="O233" s="1"/>
  <c r="H233"/>
  <c r="G233"/>
  <c r="U233" s="1"/>
  <c r="Z233" s="1"/>
  <c r="F233"/>
  <c r="T233" s="1"/>
  <c r="Y233" s="1"/>
  <c r="E233"/>
  <c r="S233" s="1"/>
  <c r="X233" s="1"/>
  <c r="D233"/>
  <c r="R233" s="1"/>
  <c r="W233" s="1"/>
  <c r="C233"/>
  <c r="B233"/>
  <c r="A233"/>
  <c r="V232"/>
  <c r="AA232" s="1"/>
  <c r="U232"/>
  <c r="Z232" s="1"/>
  <c r="T232"/>
  <c r="Y232" s="1"/>
  <c r="Q232"/>
  <c r="N232"/>
  <c r="M232"/>
  <c r="L232"/>
  <c r="K232"/>
  <c r="J232"/>
  <c r="I232"/>
  <c r="O232" s="1"/>
  <c r="H232"/>
  <c r="G232"/>
  <c r="F232"/>
  <c r="E232"/>
  <c r="S232" s="1"/>
  <c r="X232" s="1"/>
  <c r="D232"/>
  <c r="R232" s="1"/>
  <c r="W232" s="1"/>
  <c r="C232"/>
  <c r="B232"/>
  <c r="A232"/>
  <c r="U231"/>
  <c r="Z231" s="1"/>
  <c r="T231"/>
  <c r="Y231" s="1"/>
  <c r="R231"/>
  <c r="W231" s="1"/>
  <c r="O231"/>
  <c r="N231"/>
  <c r="M231"/>
  <c r="L231"/>
  <c r="K231"/>
  <c r="J231"/>
  <c r="I231"/>
  <c r="H231"/>
  <c r="V231" s="1"/>
  <c r="AA231" s="1"/>
  <c r="G231"/>
  <c r="F231"/>
  <c r="E231"/>
  <c r="S231" s="1"/>
  <c r="X231" s="1"/>
  <c r="D231"/>
  <c r="C231"/>
  <c r="Q231" s="1"/>
  <c r="B231"/>
  <c r="A231"/>
  <c r="V230"/>
  <c r="AA230" s="1"/>
  <c r="R230"/>
  <c r="W230" s="1"/>
  <c r="Q230"/>
  <c r="N230"/>
  <c r="M230"/>
  <c r="L230"/>
  <c r="K230"/>
  <c r="J230"/>
  <c r="I230"/>
  <c r="O230" s="1"/>
  <c r="H230"/>
  <c r="G230"/>
  <c r="U230" s="1"/>
  <c r="Z230" s="1"/>
  <c r="F230"/>
  <c r="T230" s="1"/>
  <c r="Y230" s="1"/>
  <c r="E230"/>
  <c r="S230" s="1"/>
  <c r="X230" s="1"/>
  <c r="D230"/>
  <c r="C230"/>
  <c r="B230"/>
  <c r="A230"/>
  <c r="U229"/>
  <c r="Z229" s="1"/>
  <c r="T229"/>
  <c r="Y229" s="1"/>
  <c r="Q229"/>
  <c r="N229"/>
  <c r="M229"/>
  <c r="L229"/>
  <c r="K229"/>
  <c r="J229"/>
  <c r="I229"/>
  <c r="O229" s="1"/>
  <c r="H229"/>
  <c r="V229" s="1"/>
  <c r="AA229" s="1"/>
  <c r="G229"/>
  <c r="F229"/>
  <c r="E229"/>
  <c r="S229" s="1"/>
  <c r="X229" s="1"/>
  <c r="D229"/>
  <c r="R229" s="1"/>
  <c r="W229" s="1"/>
  <c r="C229"/>
  <c r="B229"/>
  <c r="A229"/>
  <c r="U228"/>
  <c r="Z228" s="1"/>
  <c r="R228"/>
  <c r="W228" s="1"/>
  <c r="O228"/>
  <c r="N228"/>
  <c r="M228"/>
  <c r="L228"/>
  <c r="K228"/>
  <c r="J228"/>
  <c r="I228"/>
  <c r="H228"/>
  <c r="V228" s="1"/>
  <c r="AA228" s="1"/>
  <c r="G228"/>
  <c r="F228"/>
  <c r="T228" s="1"/>
  <c r="Y228" s="1"/>
  <c r="E228"/>
  <c r="S228" s="1"/>
  <c r="X228" s="1"/>
  <c r="D228"/>
  <c r="C228"/>
  <c r="Q228" s="1"/>
  <c r="B228"/>
  <c r="A228"/>
  <c r="V227"/>
  <c r="AA227" s="1"/>
  <c r="S227"/>
  <c r="X227" s="1"/>
  <c r="Q227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D227"/>
  <c r="R227" s="1"/>
  <c r="W227" s="1"/>
  <c r="C227"/>
  <c r="B227"/>
  <c r="A227"/>
  <c r="U226"/>
  <c r="Z226" s="1"/>
  <c r="T226"/>
  <c r="Y226" s="1"/>
  <c r="Q226"/>
  <c r="N226"/>
  <c r="M226"/>
  <c r="L226"/>
  <c r="K226"/>
  <c r="J226"/>
  <c r="I226"/>
  <c r="O226" s="1"/>
  <c r="H226"/>
  <c r="V226" s="1"/>
  <c r="AA226" s="1"/>
  <c r="G226"/>
  <c r="F226"/>
  <c r="E226"/>
  <c r="S226" s="1"/>
  <c r="X226" s="1"/>
  <c r="D226"/>
  <c r="R226" s="1"/>
  <c r="W226" s="1"/>
  <c r="C226"/>
  <c r="B226"/>
  <c r="A226"/>
  <c r="U225"/>
  <c r="Z225" s="1"/>
  <c r="R225"/>
  <c r="W225" s="1"/>
  <c r="Q225"/>
  <c r="N225"/>
  <c r="M225"/>
  <c r="L225"/>
  <c r="K225"/>
  <c r="J225"/>
  <c r="I225"/>
  <c r="O225" s="1"/>
  <c r="H225"/>
  <c r="V225" s="1"/>
  <c r="AA225" s="1"/>
  <c r="G225"/>
  <c r="F225"/>
  <c r="T225" s="1"/>
  <c r="Y225" s="1"/>
  <c r="E225"/>
  <c r="S225" s="1"/>
  <c r="X225" s="1"/>
  <c r="D225"/>
  <c r="C225"/>
  <c r="B225"/>
  <c r="A225"/>
  <c r="V224"/>
  <c r="AA224" s="1"/>
  <c r="U224"/>
  <c r="Z224" s="1"/>
  <c r="S224"/>
  <c r="X224" s="1"/>
  <c r="Q224"/>
  <c r="N224"/>
  <c r="M224"/>
  <c r="L224"/>
  <c r="K224"/>
  <c r="J224"/>
  <c r="I224"/>
  <c r="O224" s="1"/>
  <c r="H224"/>
  <c r="G224"/>
  <c r="F224"/>
  <c r="T224" s="1"/>
  <c r="Y224" s="1"/>
  <c r="E224"/>
  <c r="D224"/>
  <c r="R224" s="1"/>
  <c r="W224" s="1"/>
  <c r="C224"/>
  <c r="B224"/>
  <c r="A224"/>
  <c r="V223"/>
  <c r="AA223" s="1"/>
  <c r="U223"/>
  <c r="Z223" s="1"/>
  <c r="T223"/>
  <c r="Y223" s="1"/>
  <c r="Q223"/>
  <c r="N223"/>
  <c r="M223"/>
  <c r="L223"/>
  <c r="K223"/>
  <c r="J223"/>
  <c r="I223"/>
  <c r="O223" s="1"/>
  <c r="H223"/>
  <c r="G223"/>
  <c r="F223"/>
  <c r="E223"/>
  <c r="S223" s="1"/>
  <c r="X223" s="1"/>
  <c r="D223"/>
  <c r="R223" s="1"/>
  <c r="W223" s="1"/>
  <c r="C223"/>
  <c r="B223"/>
  <c r="A223"/>
  <c r="U222"/>
  <c r="Z222" s="1"/>
  <c r="R222"/>
  <c r="W222" s="1"/>
  <c r="Q222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S222" s="1"/>
  <c r="X222" s="1"/>
  <c r="D222"/>
  <c r="C222"/>
  <c r="B222"/>
  <c r="A222"/>
  <c r="V221"/>
  <c r="AA221" s="1"/>
  <c r="Q22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B221"/>
  <c r="A221"/>
  <c r="V220"/>
  <c r="AA220" s="1"/>
  <c r="U220"/>
  <c r="Z220" s="1"/>
  <c r="T220"/>
  <c r="Y220" s="1"/>
  <c r="Q220"/>
  <c r="N220"/>
  <c r="M220"/>
  <c r="L220"/>
  <c r="K220"/>
  <c r="J220"/>
  <c r="I220"/>
  <c r="O220" s="1"/>
  <c r="H220"/>
  <c r="G220"/>
  <c r="F220"/>
  <c r="E220"/>
  <c r="S220" s="1"/>
  <c r="X220" s="1"/>
  <c r="D220"/>
  <c r="R220" s="1"/>
  <c r="W220" s="1"/>
  <c r="C220"/>
  <c r="B220"/>
  <c r="A220"/>
  <c r="U219"/>
  <c r="Z219" s="1"/>
  <c r="R219"/>
  <c r="W219" s="1"/>
  <c r="O219"/>
  <c r="N219"/>
  <c r="M219"/>
  <c r="L219"/>
  <c r="K219"/>
  <c r="J219"/>
  <c r="I219"/>
  <c r="H219"/>
  <c r="V219" s="1"/>
  <c r="AA219" s="1"/>
  <c r="G219"/>
  <c r="F219"/>
  <c r="T219" s="1"/>
  <c r="Y219" s="1"/>
  <c r="E219"/>
  <c r="S219" s="1"/>
  <c r="X219" s="1"/>
  <c r="D219"/>
  <c r="C219"/>
  <c r="Q219" s="1"/>
  <c r="B219"/>
  <c r="A219"/>
  <c r="V218"/>
  <c r="AA218" s="1"/>
  <c r="U218"/>
  <c r="Z218" s="1"/>
  <c r="R218"/>
  <c r="W218" s="1"/>
  <c r="Q218"/>
  <c r="N218"/>
  <c r="M218"/>
  <c r="L218"/>
  <c r="K218"/>
  <c r="J218"/>
  <c r="I218"/>
  <c r="O218" s="1"/>
  <c r="H218"/>
  <c r="G218"/>
  <c r="F218"/>
  <c r="T218" s="1"/>
  <c r="Y218" s="1"/>
  <c r="E218"/>
  <c r="S218" s="1"/>
  <c r="X218" s="1"/>
  <c r="D218"/>
  <c r="C218"/>
  <c r="B218"/>
  <c r="A218"/>
  <c r="U217"/>
  <c r="Z217" s="1"/>
  <c r="T217"/>
  <c r="Y217" s="1"/>
  <c r="Q217"/>
  <c r="N217"/>
  <c r="M217"/>
  <c r="L217"/>
  <c r="K217"/>
  <c r="J217"/>
  <c r="I217"/>
  <c r="O217" s="1"/>
  <c r="H217"/>
  <c r="V217" s="1"/>
  <c r="AA217" s="1"/>
  <c r="G217"/>
  <c r="F217"/>
  <c r="E217"/>
  <c r="S217" s="1"/>
  <c r="X217" s="1"/>
  <c r="D217"/>
  <c r="R217" s="1"/>
  <c r="W217" s="1"/>
  <c r="C217"/>
  <c r="B217"/>
  <c r="A217"/>
  <c r="U216"/>
  <c r="Z216" s="1"/>
  <c r="R216"/>
  <c r="W216" s="1"/>
  <c r="O216"/>
  <c r="N216"/>
  <c r="M216"/>
  <c r="L216"/>
  <c r="K216"/>
  <c r="J216"/>
  <c r="I216"/>
  <c r="H216"/>
  <c r="V216" s="1"/>
  <c r="AA216" s="1"/>
  <c r="G216"/>
  <c r="F216"/>
  <c r="T216" s="1"/>
  <c r="Y216" s="1"/>
  <c r="E216"/>
  <c r="S216" s="1"/>
  <c r="X216" s="1"/>
  <c r="D216"/>
  <c r="C216"/>
  <c r="Q216" s="1"/>
  <c r="B216"/>
  <c r="A216"/>
  <c r="V215"/>
  <c r="AA215" s="1"/>
  <c r="U215"/>
  <c r="Z215" s="1"/>
  <c r="S215"/>
  <c r="X215" s="1"/>
  <c r="Q215"/>
  <c r="N215"/>
  <c r="M215"/>
  <c r="L215"/>
  <c r="K215"/>
  <c r="J215"/>
  <c r="I215"/>
  <c r="O215" s="1"/>
  <c r="H215"/>
  <c r="G215"/>
  <c r="F215"/>
  <c r="T215" s="1"/>
  <c r="Y215" s="1"/>
  <c r="E215"/>
  <c r="D215"/>
  <c r="R215" s="1"/>
  <c r="W215" s="1"/>
  <c r="C215"/>
  <c r="B215"/>
  <c r="A215"/>
  <c r="U214"/>
  <c r="Z214" s="1"/>
  <c r="T214"/>
  <c r="Y214" s="1"/>
  <c r="Q214"/>
  <c r="N214"/>
  <c r="M214"/>
  <c r="L214"/>
  <c r="K214"/>
  <c r="J214"/>
  <c r="I214"/>
  <c r="O214" s="1"/>
  <c r="H214"/>
  <c r="V214" s="1"/>
  <c r="AA214" s="1"/>
  <c r="G214"/>
  <c r="F214"/>
  <c r="E214"/>
  <c r="S214" s="1"/>
  <c r="X214" s="1"/>
  <c r="D214"/>
  <c r="R214" s="1"/>
  <c r="W214" s="1"/>
  <c r="C214"/>
  <c r="B214"/>
  <c r="A214"/>
  <c r="U213"/>
  <c r="Z213" s="1"/>
  <c r="R213"/>
  <c r="W213" s="1"/>
  <c r="Q213"/>
  <c r="N213"/>
  <c r="M213"/>
  <c r="L213"/>
  <c r="K213"/>
  <c r="J213"/>
  <c r="I213"/>
  <c r="O213" s="1"/>
  <c r="H213"/>
  <c r="V213" s="1"/>
  <c r="AA213" s="1"/>
  <c r="G213"/>
  <c r="F213"/>
  <c r="T213" s="1"/>
  <c r="Y213" s="1"/>
  <c r="E213"/>
  <c r="S213" s="1"/>
  <c r="X213" s="1"/>
  <c r="D213"/>
  <c r="C213"/>
  <c r="B213"/>
  <c r="A213"/>
  <c r="V212"/>
  <c r="AA212" s="1"/>
  <c r="U212"/>
  <c r="Z212" s="1"/>
  <c r="S212"/>
  <c r="X212" s="1"/>
  <c r="Q212"/>
  <c r="N212"/>
  <c r="M212"/>
  <c r="L212"/>
  <c r="K212"/>
  <c r="J212"/>
  <c r="I212"/>
  <c r="O212" s="1"/>
  <c r="H212"/>
  <c r="G212"/>
  <c r="F212"/>
  <c r="T212" s="1"/>
  <c r="Y212" s="1"/>
  <c r="E212"/>
  <c r="D212"/>
  <c r="R212" s="1"/>
  <c r="W212" s="1"/>
  <c r="C212"/>
  <c r="B212"/>
  <c r="A212"/>
  <c r="V211"/>
  <c r="AA211" s="1"/>
  <c r="U211"/>
  <c r="Z211" s="1"/>
  <c r="T211"/>
  <c r="Y211" s="1"/>
  <c r="Q211"/>
  <c r="N211"/>
  <c r="M211"/>
  <c r="L211"/>
  <c r="K211"/>
  <c r="J211"/>
  <c r="I211"/>
  <c r="O211" s="1"/>
  <c r="H211"/>
  <c r="G211"/>
  <c r="F211"/>
  <c r="E211"/>
  <c r="S211" s="1"/>
  <c r="X211" s="1"/>
  <c r="D211"/>
  <c r="R211" s="1"/>
  <c r="W211" s="1"/>
  <c r="C211"/>
  <c r="B211"/>
  <c r="A211"/>
  <c r="R210"/>
  <c r="W210" s="1"/>
  <c r="Q210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C210"/>
  <c r="B210"/>
  <c r="A210"/>
  <c r="V209"/>
  <c r="AA209" s="1"/>
  <c r="S209"/>
  <c r="X209" s="1"/>
  <c r="O209"/>
  <c r="N209"/>
  <c r="M209"/>
  <c r="L209"/>
  <c r="K209"/>
  <c r="J209"/>
  <c r="I209"/>
  <c r="H209"/>
  <c r="G209"/>
  <c r="U209" s="1"/>
  <c r="Z209" s="1"/>
  <c r="F209"/>
  <c r="T209" s="1"/>
  <c r="Y209" s="1"/>
  <c r="E209"/>
  <c r="D209"/>
  <c r="R209" s="1"/>
  <c r="W209" s="1"/>
  <c r="C209"/>
  <c r="Q209" s="1"/>
  <c r="B209"/>
  <c r="A209"/>
  <c r="U208"/>
  <c r="Z208" s="1"/>
  <c r="T208"/>
  <c r="Y208" s="1"/>
  <c r="N208"/>
  <c r="M208"/>
  <c r="L208"/>
  <c r="K208"/>
  <c r="J208"/>
  <c r="I208"/>
  <c r="O208" s="1"/>
  <c r="H208"/>
  <c r="V208" s="1"/>
  <c r="AA208" s="1"/>
  <c r="G208"/>
  <c r="F208"/>
  <c r="E208"/>
  <c r="S208" s="1"/>
  <c r="X208" s="1"/>
  <c r="D208"/>
  <c r="R208" s="1"/>
  <c r="W208" s="1"/>
  <c r="C208"/>
  <c r="Q208" s="1"/>
  <c r="B208"/>
  <c r="A208"/>
  <c r="S207"/>
  <c r="X207" s="1"/>
  <c r="R207"/>
  <c r="W207" s="1"/>
  <c r="Q207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D207"/>
  <c r="C207"/>
  <c r="B207"/>
  <c r="A207"/>
  <c r="V206"/>
  <c r="AA206" s="1"/>
  <c r="U206"/>
  <c r="Z206" s="1"/>
  <c r="R206"/>
  <c r="W206" s="1"/>
  <c r="Q206"/>
  <c r="N206"/>
  <c r="M206"/>
  <c r="L206"/>
  <c r="K206"/>
  <c r="J206"/>
  <c r="I206"/>
  <c r="O206" s="1"/>
  <c r="H206"/>
  <c r="G206"/>
  <c r="F206"/>
  <c r="T206" s="1"/>
  <c r="Y206" s="1"/>
  <c r="E206"/>
  <c r="S206" s="1"/>
  <c r="X206" s="1"/>
  <c r="D206"/>
  <c r="C206"/>
  <c r="B206"/>
  <c r="A206"/>
  <c r="U205"/>
  <c r="Z205" s="1"/>
  <c r="T205"/>
  <c r="Y205" s="1"/>
  <c r="S205"/>
  <c r="X205" s="1"/>
  <c r="O205"/>
  <c r="N205"/>
  <c r="M205"/>
  <c r="L205"/>
  <c r="K205"/>
  <c r="J205"/>
  <c r="I205"/>
  <c r="H205"/>
  <c r="V205" s="1"/>
  <c r="AA205" s="1"/>
  <c r="G205"/>
  <c r="F205"/>
  <c r="E205"/>
  <c r="D205"/>
  <c r="R205" s="1"/>
  <c r="W205" s="1"/>
  <c r="C205"/>
  <c r="Q205" s="1"/>
  <c r="B205"/>
  <c r="A205"/>
  <c r="T204"/>
  <c r="Y204" s="1"/>
  <c r="R204"/>
  <c r="W204" s="1"/>
  <c r="O204"/>
  <c r="N204"/>
  <c r="M204"/>
  <c r="L204"/>
  <c r="K204"/>
  <c r="J204"/>
  <c r="I204"/>
  <c r="H204"/>
  <c r="V204" s="1"/>
  <c r="AA204" s="1"/>
  <c r="G204"/>
  <c r="U204" s="1"/>
  <c r="Z204" s="1"/>
  <c r="F204"/>
  <c r="E204"/>
  <c r="S204" s="1"/>
  <c r="X204" s="1"/>
  <c r="D204"/>
  <c r="C204"/>
  <c r="Q204" s="1"/>
  <c r="B204"/>
  <c r="A204"/>
  <c r="V203"/>
  <c r="AA203" s="1"/>
  <c r="Q203"/>
  <c r="N203"/>
  <c r="M203"/>
  <c r="L203"/>
  <c r="K203"/>
  <c r="J203"/>
  <c r="I203"/>
  <c r="O203" s="1"/>
  <c r="H203"/>
  <c r="G203"/>
  <c r="U203" s="1"/>
  <c r="Z203" s="1"/>
  <c r="F203"/>
  <c r="T203" s="1"/>
  <c r="Y203" s="1"/>
  <c r="E203"/>
  <c r="S203" s="1"/>
  <c r="X203" s="1"/>
  <c r="D203"/>
  <c r="R203" s="1"/>
  <c r="W203" s="1"/>
  <c r="C203"/>
  <c r="B203"/>
  <c r="A203"/>
  <c r="T202"/>
  <c r="Y202" s="1"/>
  <c r="S202"/>
  <c r="X202" s="1"/>
  <c r="O202"/>
  <c r="N202"/>
  <c r="M202"/>
  <c r="L202"/>
  <c r="K202"/>
  <c r="J202"/>
  <c r="I202"/>
  <c r="H202"/>
  <c r="V202" s="1"/>
  <c r="AA202" s="1"/>
  <c r="G202"/>
  <c r="U202" s="1"/>
  <c r="Z202" s="1"/>
  <c r="F202"/>
  <c r="E202"/>
  <c r="D202"/>
  <c r="R202" s="1"/>
  <c r="W202" s="1"/>
  <c r="C202"/>
  <c r="Q202" s="1"/>
  <c r="B202"/>
  <c r="A202"/>
  <c r="T201"/>
  <c r="Y201" s="1"/>
  <c r="R201"/>
  <c r="W201" s="1"/>
  <c r="Q20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C201"/>
  <c r="B201"/>
  <c r="A201"/>
  <c r="V200"/>
  <c r="AA200" s="1"/>
  <c r="S200"/>
  <c r="X200" s="1"/>
  <c r="N200"/>
  <c r="M200"/>
  <c r="L200"/>
  <c r="K200"/>
  <c r="J200"/>
  <c r="I200"/>
  <c r="O200" s="1"/>
  <c r="H200"/>
  <c r="G200"/>
  <c r="U200" s="1"/>
  <c r="Z200" s="1"/>
  <c r="F200"/>
  <c r="T200" s="1"/>
  <c r="Y200" s="1"/>
  <c r="E200"/>
  <c r="D200"/>
  <c r="R200" s="1"/>
  <c r="W200" s="1"/>
  <c r="C200"/>
  <c r="Q200" s="1"/>
  <c r="B200"/>
  <c r="A200"/>
  <c r="U199"/>
  <c r="Z199" s="1"/>
  <c r="T199"/>
  <c r="Y199" s="1"/>
  <c r="Q199"/>
  <c r="N199"/>
  <c r="M199"/>
  <c r="L199"/>
  <c r="K199"/>
  <c r="J199"/>
  <c r="I199"/>
  <c r="O199" s="1"/>
  <c r="H199"/>
  <c r="V199" s="1"/>
  <c r="AA199" s="1"/>
  <c r="G199"/>
  <c r="F199"/>
  <c r="E199"/>
  <c r="S199" s="1"/>
  <c r="X199" s="1"/>
  <c r="D199"/>
  <c r="R199" s="1"/>
  <c r="W199" s="1"/>
  <c r="C199"/>
  <c r="B199"/>
  <c r="A199"/>
  <c r="S198"/>
  <c r="X198" s="1"/>
  <c r="R198"/>
  <c r="W198" s="1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D198"/>
  <c r="C198"/>
  <c r="Q198" s="1"/>
  <c r="B198"/>
  <c r="A198"/>
  <c r="P198" s="1"/>
  <c r="V197"/>
  <c r="AA197" s="1"/>
  <c r="U197"/>
  <c r="Z197" s="1"/>
  <c r="S197"/>
  <c r="X197" s="1"/>
  <c r="P197"/>
  <c r="O197"/>
  <c r="N197"/>
  <c r="M197"/>
  <c r="L197"/>
  <c r="K197"/>
  <c r="J197"/>
  <c r="I197"/>
  <c r="H197"/>
  <c r="G197"/>
  <c r="F197"/>
  <c r="T197" s="1"/>
  <c r="Y197" s="1"/>
  <c r="E197"/>
  <c r="D197"/>
  <c r="R197" s="1"/>
  <c r="W197" s="1"/>
  <c r="C197"/>
  <c r="Q197" s="1"/>
  <c r="B197"/>
  <c r="A197"/>
  <c r="V196"/>
  <c r="AA196" s="1"/>
  <c r="T196"/>
  <c r="Y196" s="1"/>
  <c r="Q196"/>
  <c r="P196"/>
  <c r="N196"/>
  <c r="M196"/>
  <c r="L196"/>
  <c r="K196"/>
  <c r="J196"/>
  <c r="I196"/>
  <c r="O196" s="1"/>
  <c r="H196"/>
  <c r="G196"/>
  <c r="U196" s="1"/>
  <c r="Z196" s="1"/>
  <c r="F196"/>
  <c r="E196"/>
  <c r="S196" s="1"/>
  <c r="X196" s="1"/>
  <c r="D196"/>
  <c r="R196" s="1"/>
  <c r="W196" s="1"/>
  <c r="C196"/>
  <c r="B196"/>
  <c r="A196"/>
  <c r="R195"/>
  <c r="W195" s="1"/>
  <c r="O195"/>
  <c r="N195"/>
  <c r="M195"/>
  <c r="L195"/>
  <c r="K195"/>
  <c r="J195"/>
  <c r="I195"/>
  <c r="H195"/>
  <c r="V195" s="1"/>
  <c r="AA195" s="1"/>
  <c r="G195"/>
  <c r="U195" s="1"/>
  <c r="Z195" s="1"/>
  <c r="F195"/>
  <c r="T195" s="1"/>
  <c r="Y195" s="1"/>
  <c r="E195"/>
  <c r="S195" s="1"/>
  <c r="X195" s="1"/>
  <c r="D195"/>
  <c r="C195"/>
  <c r="Q195" s="1"/>
  <c r="B195"/>
  <c r="A195"/>
  <c r="P195" s="1"/>
  <c r="V194"/>
  <c r="AA194" s="1"/>
  <c r="U194"/>
  <c r="Z194" s="1"/>
  <c r="Q194"/>
  <c r="N194"/>
  <c r="M194"/>
  <c r="L194"/>
  <c r="K194"/>
  <c r="J194"/>
  <c r="I194"/>
  <c r="O194" s="1"/>
  <c r="H194"/>
  <c r="G194"/>
  <c r="F194"/>
  <c r="T194" s="1"/>
  <c r="Y194" s="1"/>
  <c r="E194"/>
  <c r="S194" s="1"/>
  <c r="X194" s="1"/>
  <c r="D194"/>
  <c r="R194" s="1"/>
  <c r="W194" s="1"/>
  <c r="C194"/>
  <c r="B194"/>
  <c r="A194"/>
  <c r="P194" s="1"/>
  <c r="V193"/>
  <c r="AA193" s="1"/>
  <c r="T193"/>
  <c r="Y193" s="1"/>
  <c r="S193"/>
  <c r="X193" s="1"/>
  <c r="P193"/>
  <c r="N193"/>
  <c r="M193"/>
  <c r="L193"/>
  <c r="K193"/>
  <c r="J193"/>
  <c r="I193"/>
  <c r="O193" s="1"/>
  <c r="H193"/>
  <c r="G193"/>
  <c r="U193" s="1"/>
  <c r="Z193" s="1"/>
  <c r="F193"/>
  <c r="E193"/>
  <c r="D193"/>
  <c r="R193" s="1"/>
  <c r="W193" s="1"/>
  <c r="C193"/>
  <c r="Q193" s="1"/>
  <c r="B193"/>
  <c r="A193"/>
  <c r="Y192"/>
  <c r="T192"/>
  <c r="R192"/>
  <c r="W192" s="1"/>
  <c r="O192"/>
  <c r="N192"/>
  <c r="M192"/>
  <c r="L192"/>
  <c r="K192"/>
  <c r="J192"/>
  <c r="I192"/>
  <c r="H192"/>
  <c r="V192" s="1"/>
  <c r="AA192" s="1"/>
  <c r="G192"/>
  <c r="U192" s="1"/>
  <c r="Z192" s="1"/>
  <c r="F192"/>
  <c r="E192"/>
  <c r="S192" s="1"/>
  <c r="X192" s="1"/>
  <c r="D192"/>
  <c r="C192"/>
  <c r="Q192" s="1"/>
  <c r="B192"/>
  <c r="A192"/>
  <c r="P192" s="1"/>
  <c r="V191"/>
  <c r="AA191" s="1"/>
  <c r="R191"/>
  <c r="W191" s="1"/>
  <c r="Q191"/>
  <c r="N191"/>
  <c r="M191"/>
  <c r="L191"/>
  <c r="K191"/>
  <c r="J191"/>
  <c r="I191"/>
  <c r="O191" s="1"/>
  <c r="H191"/>
  <c r="G191"/>
  <c r="U191" s="1"/>
  <c r="Z191" s="1"/>
  <c r="F191"/>
  <c r="T191" s="1"/>
  <c r="Y191" s="1"/>
  <c r="E191"/>
  <c r="S191" s="1"/>
  <c r="X191" s="1"/>
  <c r="D191"/>
  <c r="C191"/>
  <c r="B191"/>
  <c r="A191"/>
  <c r="P191" s="1"/>
  <c r="U190"/>
  <c r="Z190" s="1"/>
  <c r="T190"/>
  <c r="Y190" s="1"/>
  <c r="O190"/>
  <c r="N190"/>
  <c r="M190"/>
  <c r="L190"/>
  <c r="K190"/>
  <c r="J190"/>
  <c r="I190"/>
  <c r="H190"/>
  <c r="V190" s="1"/>
  <c r="AA190" s="1"/>
  <c r="G190"/>
  <c r="F190"/>
  <c r="E190"/>
  <c r="S190" s="1"/>
  <c r="X190" s="1"/>
  <c r="D190"/>
  <c r="R190" s="1"/>
  <c r="W190" s="1"/>
  <c r="C190"/>
  <c r="Q190" s="1"/>
  <c r="B190"/>
  <c r="A190"/>
  <c r="U189"/>
  <c r="Z189" s="1"/>
  <c r="R189"/>
  <c r="W189" s="1"/>
  <c r="O189"/>
  <c r="N189"/>
  <c r="M189"/>
  <c r="L189"/>
  <c r="K189"/>
  <c r="J189"/>
  <c r="I189"/>
  <c r="H189"/>
  <c r="V189" s="1"/>
  <c r="AA189" s="1"/>
  <c r="G189"/>
  <c r="F189"/>
  <c r="T189" s="1"/>
  <c r="Y189" s="1"/>
  <c r="E189"/>
  <c r="S189" s="1"/>
  <c r="X189" s="1"/>
  <c r="D189"/>
  <c r="C189"/>
  <c r="Q189" s="1"/>
  <c r="B189"/>
  <c r="A189"/>
  <c r="P189" s="1"/>
  <c r="V188"/>
  <c r="AA188" s="1"/>
  <c r="S188"/>
  <c r="X188" s="1"/>
  <c r="R188"/>
  <c r="W188" s="1"/>
  <c r="P188"/>
  <c r="O188"/>
  <c r="N188"/>
  <c r="M188"/>
  <c r="L188"/>
  <c r="K188"/>
  <c r="J188"/>
  <c r="I188"/>
  <c r="H188"/>
  <c r="G188"/>
  <c r="U188" s="1"/>
  <c r="Z188" s="1"/>
  <c r="F188"/>
  <c r="T188" s="1"/>
  <c r="Y188" s="1"/>
  <c r="E188"/>
  <c r="D188"/>
  <c r="C188"/>
  <c r="Q188" s="1"/>
  <c r="B188"/>
  <c r="A188"/>
  <c r="V187"/>
  <c r="AA187" s="1"/>
  <c r="T187"/>
  <c r="Y187" s="1"/>
  <c r="Q187"/>
  <c r="N187"/>
  <c r="M187"/>
  <c r="L187"/>
  <c r="K187"/>
  <c r="J187"/>
  <c r="I187"/>
  <c r="O187" s="1"/>
  <c r="H187"/>
  <c r="G187"/>
  <c r="U187" s="1"/>
  <c r="Z187" s="1"/>
  <c r="F187"/>
  <c r="E187"/>
  <c r="S187" s="1"/>
  <c r="X187" s="1"/>
  <c r="D187"/>
  <c r="R187" s="1"/>
  <c r="W187" s="1"/>
  <c r="C187"/>
  <c r="B187"/>
  <c r="A187"/>
  <c r="U186"/>
  <c r="Z186" s="1"/>
  <c r="R186"/>
  <c r="W186" s="1"/>
  <c r="N186"/>
  <c r="M186"/>
  <c r="L186"/>
  <c r="K186"/>
  <c r="J186"/>
  <c r="I186"/>
  <c r="O186" s="1"/>
  <c r="H186"/>
  <c r="V186" s="1"/>
  <c r="AA186" s="1"/>
  <c r="G186"/>
  <c r="F186"/>
  <c r="T186" s="1"/>
  <c r="Y186" s="1"/>
  <c r="E186"/>
  <c r="S186" s="1"/>
  <c r="X186" s="1"/>
  <c r="D186"/>
  <c r="C186"/>
  <c r="Q186" s="1"/>
  <c r="B186"/>
  <c r="A186"/>
  <c r="V185"/>
  <c r="AA185" s="1"/>
  <c r="S185"/>
  <c r="X185" s="1"/>
  <c r="O185"/>
  <c r="N185"/>
  <c r="M185"/>
  <c r="L185"/>
  <c r="K185"/>
  <c r="J185"/>
  <c r="I185"/>
  <c r="H185"/>
  <c r="G185"/>
  <c r="U185" s="1"/>
  <c r="Z185" s="1"/>
  <c r="F185"/>
  <c r="T185" s="1"/>
  <c r="Y185" s="1"/>
  <c r="E185"/>
  <c r="D185"/>
  <c r="R185" s="1"/>
  <c r="W185" s="1"/>
  <c r="C185"/>
  <c r="Q185" s="1"/>
  <c r="B185"/>
  <c r="A185"/>
  <c r="V184"/>
  <c r="AA184" s="1"/>
  <c r="T184"/>
  <c r="Y184" s="1"/>
  <c r="Q184"/>
  <c r="N184"/>
  <c r="M184"/>
  <c r="L184"/>
  <c r="K184"/>
  <c r="J184"/>
  <c r="I184"/>
  <c r="O184" s="1"/>
  <c r="H184"/>
  <c r="G184"/>
  <c r="U184" s="1"/>
  <c r="Z184" s="1"/>
  <c r="F184"/>
  <c r="E184"/>
  <c r="S184" s="1"/>
  <c r="X184" s="1"/>
  <c r="D184"/>
  <c r="R184" s="1"/>
  <c r="W184" s="1"/>
  <c r="C184"/>
  <c r="B184"/>
  <c r="A184"/>
  <c r="S183"/>
  <c r="X183" s="1"/>
  <c r="R183"/>
  <c r="W183" s="1"/>
  <c r="O183"/>
  <c r="N183"/>
  <c r="M183"/>
  <c r="L183"/>
  <c r="K183"/>
  <c r="J183"/>
  <c r="I183"/>
  <c r="H183"/>
  <c r="V183" s="1"/>
  <c r="AA183" s="1"/>
  <c r="G183"/>
  <c r="U183" s="1"/>
  <c r="Z183" s="1"/>
  <c r="F183"/>
  <c r="T183" s="1"/>
  <c r="Y183" s="1"/>
  <c r="E183"/>
  <c r="D183"/>
  <c r="C183"/>
  <c r="Q183" s="1"/>
  <c r="B183"/>
  <c r="A183"/>
  <c r="V182"/>
  <c r="AA182" s="1"/>
  <c r="U182"/>
  <c r="Z182" s="1"/>
  <c r="O182"/>
  <c r="N182"/>
  <c r="M182"/>
  <c r="L182"/>
  <c r="K182"/>
  <c r="J182"/>
  <c r="I182"/>
  <c r="H182"/>
  <c r="G182"/>
  <c r="F182"/>
  <c r="T182" s="1"/>
  <c r="Y182" s="1"/>
  <c r="E182"/>
  <c r="S182" s="1"/>
  <c r="X182" s="1"/>
  <c r="D182"/>
  <c r="R182" s="1"/>
  <c r="W182" s="1"/>
  <c r="C182"/>
  <c r="Q182" s="1"/>
  <c r="B182"/>
  <c r="A182"/>
  <c r="T181"/>
  <c r="Y181" s="1"/>
  <c r="O181"/>
  <c r="N181"/>
  <c r="M181"/>
  <c r="L181"/>
  <c r="K181"/>
  <c r="J181"/>
  <c r="I181"/>
  <c r="H181"/>
  <c r="V181" s="1"/>
  <c r="AA181" s="1"/>
  <c r="G181"/>
  <c r="U181" s="1"/>
  <c r="Z181" s="1"/>
  <c r="F181"/>
  <c r="E181"/>
  <c r="S181" s="1"/>
  <c r="X181" s="1"/>
  <c r="D181"/>
  <c r="R181" s="1"/>
  <c r="W181" s="1"/>
  <c r="C181"/>
  <c r="Q181" s="1"/>
  <c r="B181"/>
  <c r="A181"/>
  <c r="U180"/>
  <c r="Z180" s="1"/>
  <c r="S180"/>
  <c r="X180" s="1"/>
  <c r="R180"/>
  <c r="W180" s="1"/>
  <c r="O180"/>
  <c r="N180"/>
  <c r="M180"/>
  <c r="L180"/>
  <c r="K180"/>
  <c r="J180"/>
  <c r="I180"/>
  <c r="H180"/>
  <c r="V180" s="1"/>
  <c r="AA180" s="1"/>
  <c r="G180"/>
  <c r="F180"/>
  <c r="T180" s="1"/>
  <c r="Y180" s="1"/>
  <c r="E180"/>
  <c r="D180"/>
  <c r="C180"/>
  <c r="Q180" s="1"/>
  <c r="B180"/>
  <c r="A180"/>
  <c r="V179"/>
  <c r="AA179" s="1"/>
  <c r="U179"/>
  <c r="Z179" s="1"/>
  <c r="R179"/>
  <c r="W179" s="1"/>
  <c r="O179"/>
  <c r="N179"/>
  <c r="M179"/>
  <c r="L179"/>
  <c r="K179"/>
  <c r="J179"/>
  <c r="I179"/>
  <c r="H179"/>
  <c r="G179"/>
  <c r="F179"/>
  <c r="T179" s="1"/>
  <c r="Y179" s="1"/>
  <c r="E179"/>
  <c r="S179" s="1"/>
  <c r="X179" s="1"/>
  <c r="D179"/>
  <c r="C179"/>
  <c r="Q179" s="1"/>
  <c r="B179"/>
  <c r="A179"/>
  <c r="T178"/>
  <c r="Y178" s="1"/>
  <c r="O178"/>
  <c r="N178"/>
  <c r="M178"/>
  <c r="L178"/>
  <c r="K178"/>
  <c r="J178"/>
  <c r="I178"/>
  <c r="H178"/>
  <c r="V178" s="1"/>
  <c r="AA178" s="1"/>
  <c r="G178"/>
  <c r="U178" s="1"/>
  <c r="Z178" s="1"/>
  <c r="F178"/>
  <c r="E178"/>
  <c r="S178" s="1"/>
  <c r="X178" s="1"/>
  <c r="D178"/>
  <c r="R178" s="1"/>
  <c r="W178" s="1"/>
  <c r="C178"/>
  <c r="Q178" s="1"/>
  <c r="B178"/>
  <c r="A178"/>
  <c r="U177"/>
  <c r="Z177" s="1"/>
  <c r="R177"/>
  <c r="W177" s="1"/>
  <c r="Q177"/>
  <c r="N177"/>
  <c r="M177"/>
  <c r="L177"/>
  <c r="K177"/>
  <c r="J177"/>
  <c r="I177"/>
  <c r="O177" s="1"/>
  <c r="H177"/>
  <c r="V177" s="1"/>
  <c r="AA177" s="1"/>
  <c r="G177"/>
  <c r="F177"/>
  <c r="T177" s="1"/>
  <c r="Y177" s="1"/>
  <c r="E177"/>
  <c r="S177" s="1"/>
  <c r="X177" s="1"/>
  <c r="D177"/>
  <c r="C177"/>
  <c r="B177"/>
  <c r="A177"/>
  <c r="V176"/>
  <c r="AA176" s="1"/>
  <c r="S176"/>
  <c r="X176" s="1"/>
  <c r="O176"/>
  <c r="N176"/>
  <c r="M176"/>
  <c r="L176"/>
  <c r="K176"/>
  <c r="J176"/>
  <c r="I176"/>
  <c r="H176"/>
  <c r="G176"/>
  <c r="U176" s="1"/>
  <c r="Z176" s="1"/>
  <c r="F176"/>
  <c r="T176" s="1"/>
  <c r="Y176" s="1"/>
  <c r="E176"/>
  <c r="D176"/>
  <c r="R176" s="1"/>
  <c r="W176" s="1"/>
  <c r="C176"/>
  <c r="Q176" s="1"/>
  <c r="B176"/>
  <c r="A176"/>
  <c r="U175"/>
  <c r="Z175" s="1"/>
  <c r="T175"/>
  <c r="Y175" s="1"/>
  <c r="S175"/>
  <c r="X175" s="1"/>
  <c r="O175"/>
  <c r="N175"/>
  <c r="M175"/>
  <c r="L175"/>
  <c r="K175"/>
  <c r="J175"/>
  <c r="I175"/>
  <c r="H175"/>
  <c r="V175" s="1"/>
  <c r="AA175" s="1"/>
  <c r="G175"/>
  <c r="F175"/>
  <c r="E175"/>
  <c r="D175"/>
  <c r="R175" s="1"/>
  <c r="W175" s="1"/>
  <c r="C175"/>
  <c r="Q175" s="1"/>
  <c r="B175"/>
  <c r="A175"/>
  <c r="R174"/>
  <c r="W174" s="1"/>
  <c r="Q174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C174"/>
  <c r="B174"/>
  <c r="A174"/>
  <c r="V173"/>
  <c r="AA173" s="1"/>
  <c r="S173"/>
  <c r="X173" s="1"/>
  <c r="O173"/>
  <c r="N173"/>
  <c r="M173"/>
  <c r="L173"/>
  <c r="K173"/>
  <c r="J173"/>
  <c r="I173"/>
  <c r="H173"/>
  <c r="G173"/>
  <c r="U173" s="1"/>
  <c r="Z173" s="1"/>
  <c r="F173"/>
  <c r="T173" s="1"/>
  <c r="Y173" s="1"/>
  <c r="E173"/>
  <c r="D173"/>
  <c r="R173" s="1"/>
  <c r="W173" s="1"/>
  <c r="C173"/>
  <c r="Q173" s="1"/>
  <c r="B173"/>
  <c r="A173"/>
  <c r="U172"/>
  <c r="Z172" s="1"/>
  <c r="T172"/>
  <c r="Y172" s="1"/>
  <c r="O172"/>
  <c r="N172"/>
  <c r="M172"/>
  <c r="L172"/>
  <c r="K172"/>
  <c r="J172"/>
  <c r="I172"/>
  <c r="H172"/>
  <c r="V172" s="1"/>
  <c r="AA172" s="1"/>
  <c r="G172"/>
  <c r="F172"/>
  <c r="E172"/>
  <c r="S172" s="1"/>
  <c r="X172" s="1"/>
  <c r="D172"/>
  <c r="R172" s="1"/>
  <c r="W172" s="1"/>
  <c r="C172"/>
  <c r="Q172" s="1"/>
  <c r="B172"/>
  <c r="A172"/>
  <c r="P172" s="1"/>
  <c r="S171"/>
  <c r="X171" s="1"/>
  <c r="R171"/>
  <c r="W171" s="1"/>
  <c r="O171"/>
  <c r="N171"/>
  <c r="M171"/>
  <c r="L171"/>
  <c r="K171"/>
  <c r="J171"/>
  <c r="I171"/>
  <c r="H171"/>
  <c r="V171" s="1"/>
  <c r="AA171" s="1"/>
  <c r="G171"/>
  <c r="U171" s="1"/>
  <c r="Z171" s="1"/>
  <c r="F171"/>
  <c r="T171" s="1"/>
  <c r="Y171" s="1"/>
  <c r="E171"/>
  <c r="D171"/>
  <c r="C171"/>
  <c r="Q171" s="1"/>
  <c r="B171"/>
  <c r="A171"/>
  <c r="P171" s="1"/>
  <c r="V170"/>
  <c r="AA170" s="1"/>
  <c r="U170"/>
  <c r="Z170" s="1"/>
  <c r="Q170"/>
  <c r="P170"/>
  <c r="N170"/>
  <c r="M170"/>
  <c r="L170"/>
  <c r="K170"/>
  <c r="J170"/>
  <c r="I170"/>
  <c r="O170" s="1"/>
  <c r="H170"/>
  <c r="G170"/>
  <c r="F170"/>
  <c r="T170" s="1"/>
  <c r="Y170" s="1"/>
  <c r="E170"/>
  <c r="S170" s="1"/>
  <c r="X170" s="1"/>
  <c r="D170"/>
  <c r="R170" s="1"/>
  <c r="W170" s="1"/>
  <c r="C170"/>
  <c r="B170"/>
  <c r="A170"/>
  <c r="T169"/>
  <c r="Y169" s="1"/>
  <c r="S169"/>
  <c r="X169" s="1"/>
  <c r="O169"/>
  <c r="N169"/>
  <c r="M169"/>
  <c r="L169"/>
  <c r="K169"/>
  <c r="J169"/>
  <c r="I169"/>
  <c r="H169"/>
  <c r="V169" s="1"/>
  <c r="AA169" s="1"/>
  <c r="G169"/>
  <c r="U169" s="1"/>
  <c r="Z169" s="1"/>
  <c r="F169"/>
  <c r="E169"/>
  <c r="D169"/>
  <c r="R169" s="1"/>
  <c r="W169" s="1"/>
  <c r="C169"/>
  <c r="Q169" s="1"/>
  <c r="B169"/>
  <c r="A169"/>
  <c r="P169" s="1"/>
  <c r="T168"/>
  <c r="Y168" s="1"/>
  <c r="R168"/>
  <c r="W168" s="1"/>
  <c r="Q168"/>
  <c r="N168"/>
  <c r="M168"/>
  <c r="L168"/>
  <c r="K168"/>
  <c r="J168"/>
  <c r="I168"/>
  <c r="O168" s="1"/>
  <c r="H168"/>
  <c r="V168" s="1"/>
  <c r="AA168" s="1"/>
  <c r="G168"/>
  <c r="U168" s="1"/>
  <c r="Z168" s="1"/>
  <c r="F168"/>
  <c r="E168"/>
  <c r="S168" s="1"/>
  <c r="X168" s="1"/>
  <c r="D168"/>
  <c r="C168"/>
  <c r="B168"/>
  <c r="A168"/>
  <c r="P168" s="1"/>
  <c r="V167"/>
  <c r="AA167" s="1"/>
  <c r="S167"/>
  <c r="X167" s="1"/>
  <c r="Q167"/>
  <c r="P167"/>
  <c r="N167"/>
  <c r="M167"/>
  <c r="L167"/>
  <c r="K167"/>
  <c r="J167"/>
  <c r="I167"/>
  <c r="O167" s="1"/>
  <c r="H167"/>
  <c r="G167"/>
  <c r="U167" s="1"/>
  <c r="Z167" s="1"/>
  <c r="F167"/>
  <c r="T167" s="1"/>
  <c r="Y167" s="1"/>
  <c r="E167"/>
  <c r="D167"/>
  <c r="R167" s="1"/>
  <c r="W167" s="1"/>
  <c r="C167"/>
  <c r="B167"/>
  <c r="A167"/>
  <c r="T166"/>
  <c r="Y166" s="1"/>
  <c r="S166"/>
  <c r="X166" s="1"/>
  <c r="P166"/>
  <c r="N166"/>
  <c r="M166"/>
  <c r="L166"/>
  <c r="K166"/>
  <c r="J166"/>
  <c r="I166"/>
  <c r="O166" s="1"/>
  <c r="H166"/>
  <c r="V166" s="1"/>
  <c r="AA166" s="1"/>
  <c r="G166"/>
  <c r="U166" s="1"/>
  <c r="Z166" s="1"/>
  <c r="F166"/>
  <c r="E166"/>
  <c r="D166"/>
  <c r="R166" s="1"/>
  <c r="W166" s="1"/>
  <c r="C166"/>
  <c r="Q166" s="1"/>
  <c r="B166"/>
  <c r="A166"/>
  <c r="T165"/>
  <c r="Y165" s="1"/>
  <c r="R165"/>
  <c r="W165" s="1"/>
  <c r="Q165"/>
  <c r="N165"/>
  <c r="M165"/>
  <c r="L165"/>
  <c r="K165"/>
  <c r="J165"/>
  <c r="I165"/>
  <c r="O165" s="1"/>
  <c r="H165"/>
  <c r="V165" s="1"/>
  <c r="AA165" s="1"/>
  <c r="G165"/>
  <c r="U165" s="1"/>
  <c r="Z165" s="1"/>
  <c r="F165"/>
  <c r="E165"/>
  <c r="S165" s="1"/>
  <c r="X165" s="1"/>
  <c r="D165"/>
  <c r="C165"/>
  <c r="B165"/>
  <c r="A165"/>
  <c r="P165" s="1"/>
  <c r="V164"/>
  <c r="AA164" s="1"/>
  <c r="S164"/>
  <c r="X164" s="1"/>
  <c r="P164"/>
  <c r="O164"/>
  <c r="N164"/>
  <c r="M164"/>
  <c r="L164"/>
  <c r="K164"/>
  <c r="J164"/>
  <c r="I164"/>
  <c r="H164"/>
  <c r="G164"/>
  <c r="U164" s="1"/>
  <c r="Z164" s="1"/>
  <c r="F164"/>
  <c r="T164" s="1"/>
  <c r="Y164" s="1"/>
  <c r="E164"/>
  <c r="D164"/>
  <c r="R164" s="1"/>
  <c r="W164" s="1"/>
  <c r="C164"/>
  <c r="Q164" s="1"/>
  <c r="B164"/>
  <c r="A164"/>
  <c r="U163"/>
  <c r="Z163" s="1"/>
  <c r="T163"/>
  <c r="Y163" s="1"/>
  <c r="Q163"/>
  <c r="N163"/>
  <c r="M163"/>
  <c r="L163"/>
  <c r="K163"/>
  <c r="J163"/>
  <c r="I163"/>
  <c r="O163" s="1"/>
  <c r="H163"/>
  <c r="V163" s="1"/>
  <c r="AA163" s="1"/>
  <c r="G163"/>
  <c r="F163"/>
  <c r="E163"/>
  <c r="S163" s="1"/>
  <c r="X163" s="1"/>
  <c r="D163"/>
  <c r="R163" s="1"/>
  <c r="W163" s="1"/>
  <c r="C163"/>
  <c r="B163"/>
  <c r="A163"/>
  <c r="P163" s="1"/>
  <c r="R162"/>
  <c r="W162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C162"/>
  <c r="Q162" s="1"/>
  <c r="B162"/>
  <c r="A162"/>
  <c r="P162" s="1"/>
  <c r="V161"/>
  <c r="AA161" s="1"/>
  <c r="P161"/>
  <c r="O161"/>
  <c r="N161"/>
  <c r="M161"/>
  <c r="L161"/>
  <c r="K161"/>
  <c r="J161"/>
  <c r="I161"/>
  <c r="H16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V160"/>
  <c r="AA160" s="1"/>
  <c r="T160"/>
  <c r="Y160" s="1"/>
  <c r="Q160"/>
  <c r="P160"/>
  <c r="N160"/>
  <c r="M160"/>
  <c r="L160"/>
  <c r="K160"/>
  <c r="J160"/>
  <c r="I160"/>
  <c r="O160" s="1"/>
  <c r="H160"/>
  <c r="G160"/>
  <c r="U160" s="1"/>
  <c r="Z160" s="1"/>
  <c r="F160"/>
  <c r="E160"/>
  <c r="S160" s="1"/>
  <c r="X160" s="1"/>
  <c r="D160"/>
  <c r="R160" s="1"/>
  <c r="W160" s="1"/>
  <c r="C160"/>
  <c r="B160"/>
  <c r="A160"/>
  <c r="R159"/>
  <c r="W159" s="1"/>
  <c r="O159"/>
  <c r="N159"/>
  <c r="M159"/>
  <c r="L159"/>
  <c r="K159"/>
  <c r="J159"/>
  <c r="I159"/>
  <c r="H159"/>
  <c r="V159" s="1"/>
  <c r="AA159" s="1"/>
  <c r="G159"/>
  <c r="U159" s="1"/>
  <c r="Z159" s="1"/>
  <c r="F159"/>
  <c r="T159" s="1"/>
  <c r="Y159" s="1"/>
  <c r="E159"/>
  <c r="S159" s="1"/>
  <c r="X159" s="1"/>
  <c r="D159"/>
  <c r="C159"/>
  <c r="Q159" s="1"/>
  <c r="B159"/>
  <c r="A159"/>
  <c r="P159" s="1"/>
  <c r="V158"/>
  <c r="AA158" s="1"/>
  <c r="Q158"/>
  <c r="N158"/>
  <c r="M158"/>
  <c r="L158"/>
  <c r="K158"/>
  <c r="J158"/>
  <c r="I158"/>
  <c r="O158" s="1"/>
  <c r="H158"/>
  <c r="G158"/>
  <c r="U158" s="1"/>
  <c r="Z158" s="1"/>
  <c r="F158"/>
  <c r="T158" s="1"/>
  <c r="Y158" s="1"/>
  <c r="E158"/>
  <c r="S158" s="1"/>
  <c r="X158" s="1"/>
  <c r="D158"/>
  <c r="R158" s="1"/>
  <c r="W158" s="1"/>
  <c r="C158"/>
  <c r="B158"/>
  <c r="A158"/>
  <c r="P158" s="1"/>
  <c r="V157"/>
  <c r="AA157" s="1"/>
  <c r="T157"/>
  <c r="Y157" s="1"/>
  <c r="S157"/>
  <c r="X157" s="1"/>
  <c r="P157"/>
  <c r="O157"/>
  <c r="N157"/>
  <c r="M157"/>
  <c r="L157"/>
  <c r="K157"/>
  <c r="J157"/>
  <c r="I157"/>
  <c r="H157"/>
  <c r="G157"/>
  <c r="U157" s="1"/>
  <c r="Z157" s="1"/>
  <c r="F157"/>
  <c r="E157"/>
  <c r="D157"/>
  <c r="R157" s="1"/>
  <c r="W157" s="1"/>
  <c r="C157"/>
  <c r="Q157" s="1"/>
  <c r="B157"/>
  <c r="A157"/>
  <c r="T156"/>
  <c r="Y156" s="1"/>
  <c r="R156"/>
  <c r="W156" s="1"/>
  <c r="O156"/>
  <c r="N156"/>
  <c r="M156"/>
  <c r="L156"/>
  <c r="K156"/>
  <c r="J156"/>
  <c r="I156"/>
  <c r="H156"/>
  <c r="V156" s="1"/>
  <c r="AA156" s="1"/>
  <c r="G156"/>
  <c r="U156" s="1"/>
  <c r="Z156" s="1"/>
  <c r="F156"/>
  <c r="E156"/>
  <c r="S156" s="1"/>
  <c r="X156" s="1"/>
  <c r="D156"/>
  <c r="C156"/>
  <c r="Q156" s="1"/>
  <c r="B156"/>
  <c r="A156"/>
  <c r="P156" s="1"/>
  <c r="V155"/>
  <c r="AA155" s="1"/>
  <c r="R155"/>
  <c r="W155" s="1"/>
  <c r="Q155"/>
  <c r="N155"/>
  <c r="M155"/>
  <c r="L155"/>
  <c r="K155"/>
  <c r="J155"/>
  <c r="I155"/>
  <c r="O155" s="1"/>
  <c r="H155"/>
  <c r="G155"/>
  <c r="U155" s="1"/>
  <c r="Z155" s="1"/>
  <c r="F155"/>
  <c r="T155" s="1"/>
  <c r="Y155" s="1"/>
  <c r="E155"/>
  <c r="S155" s="1"/>
  <c r="X155" s="1"/>
  <c r="D155"/>
  <c r="C155"/>
  <c r="B155"/>
  <c r="A155"/>
  <c r="P155" s="1"/>
  <c r="V154"/>
  <c r="AA154" s="1"/>
  <c r="Q154"/>
  <c r="N154"/>
  <c r="M154"/>
  <c r="L154"/>
  <c r="K154"/>
  <c r="J154"/>
  <c r="I154"/>
  <c r="O154" s="1"/>
  <c r="H154"/>
  <c r="G154"/>
  <c r="U154" s="1"/>
  <c r="Z154" s="1"/>
  <c r="F154"/>
  <c r="T154" s="1"/>
  <c r="Y154" s="1"/>
  <c r="E154"/>
  <c r="S154" s="1"/>
  <c r="X154" s="1"/>
  <c r="D154"/>
  <c r="R154" s="1"/>
  <c r="W154" s="1"/>
  <c r="C154"/>
  <c r="B154"/>
  <c r="A154"/>
  <c r="P154" s="1"/>
  <c r="U153"/>
  <c r="Z153" s="1"/>
  <c r="R153"/>
  <c r="W153" s="1"/>
  <c r="Q153"/>
  <c r="N153"/>
  <c r="M153"/>
  <c r="L153"/>
  <c r="K153"/>
  <c r="J153"/>
  <c r="I153"/>
  <c r="O153" s="1"/>
  <c r="H153"/>
  <c r="V153" s="1"/>
  <c r="AA153" s="1"/>
  <c r="G153"/>
  <c r="F153"/>
  <c r="T153" s="1"/>
  <c r="Y153" s="1"/>
  <c r="E153"/>
  <c r="S153" s="1"/>
  <c r="X153" s="1"/>
  <c r="D153"/>
  <c r="C153"/>
  <c r="B153"/>
  <c r="A153"/>
  <c r="P153" s="1"/>
  <c r="V152"/>
  <c r="AA152" s="1"/>
  <c r="R152"/>
  <c r="W152" s="1"/>
  <c r="Q152"/>
  <c r="N152"/>
  <c r="M152"/>
  <c r="L152"/>
  <c r="K152"/>
  <c r="J152"/>
  <c r="I152"/>
  <c r="O152" s="1"/>
  <c r="H152"/>
  <c r="G152"/>
  <c r="U152" s="1"/>
  <c r="Z152" s="1"/>
  <c r="F152"/>
  <c r="T152" s="1"/>
  <c r="Y152" s="1"/>
  <c r="E152"/>
  <c r="S152" s="1"/>
  <c r="X152" s="1"/>
  <c r="D152"/>
  <c r="C152"/>
  <c r="B152"/>
  <c r="A152"/>
  <c r="P152" s="1"/>
  <c r="V151"/>
  <c r="AA151" s="1"/>
  <c r="Q151"/>
  <c r="N151"/>
  <c r="M151"/>
  <c r="L151"/>
  <c r="K151"/>
  <c r="J151"/>
  <c r="I151"/>
  <c r="O151" s="1"/>
  <c r="H151"/>
  <c r="G151"/>
  <c r="U151" s="1"/>
  <c r="Z151" s="1"/>
  <c r="F151"/>
  <c r="T151" s="1"/>
  <c r="Y151" s="1"/>
  <c r="E151"/>
  <c r="S151" s="1"/>
  <c r="X151" s="1"/>
  <c r="D151"/>
  <c r="R151" s="1"/>
  <c r="W151" s="1"/>
  <c r="C151"/>
  <c r="B151"/>
  <c r="A151"/>
  <c r="P151" s="1"/>
  <c r="U150"/>
  <c r="Z150" s="1"/>
  <c r="R150"/>
  <c r="W150" s="1"/>
  <c r="Q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C150"/>
  <c r="B150"/>
  <c r="A150"/>
  <c r="P150" s="1"/>
  <c r="V149"/>
  <c r="AA149" s="1"/>
  <c r="R149"/>
  <c r="W149" s="1"/>
  <c r="Q149"/>
  <c r="N149"/>
  <c r="M149"/>
  <c r="L149"/>
  <c r="K149"/>
  <c r="J149"/>
  <c r="I149"/>
  <c r="O149" s="1"/>
  <c r="H149"/>
  <c r="G149"/>
  <c r="U149" s="1"/>
  <c r="Z149" s="1"/>
  <c r="F149"/>
  <c r="T149" s="1"/>
  <c r="Y149" s="1"/>
  <c r="E149"/>
  <c r="S149" s="1"/>
  <c r="X149" s="1"/>
  <c r="D149"/>
  <c r="C149"/>
  <c r="B149"/>
  <c r="A149"/>
  <c r="P149" s="1"/>
  <c r="V148"/>
  <c r="AA148" s="1"/>
  <c r="Q148"/>
  <c r="N148"/>
  <c r="M148"/>
  <c r="L148"/>
  <c r="K148"/>
  <c r="J148"/>
  <c r="I148"/>
  <c r="O148" s="1"/>
  <c r="H148"/>
  <c r="G148"/>
  <c r="U148" s="1"/>
  <c r="Z148" s="1"/>
  <c r="F148"/>
  <c r="T148" s="1"/>
  <c r="Y148" s="1"/>
  <c r="E148"/>
  <c r="S148" s="1"/>
  <c r="X148" s="1"/>
  <c r="D148"/>
  <c r="R148" s="1"/>
  <c r="W148" s="1"/>
  <c r="C148"/>
  <c r="B148"/>
  <c r="A148"/>
  <c r="P148" s="1"/>
  <c r="U147"/>
  <c r="Z147" s="1"/>
  <c r="R147"/>
  <c r="W147" s="1"/>
  <c r="Q147"/>
  <c r="N147"/>
  <c r="M147"/>
  <c r="L147"/>
  <c r="K147"/>
  <c r="J147"/>
  <c r="I147"/>
  <c r="O147" s="1"/>
  <c r="H147"/>
  <c r="V147" s="1"/>
  <c r="AA147" s="1"/>
  <c r="G147"/>
  <c r="F147"/>
  <c r="T147" s="1"/>
  <c r="Y147" s="1"/>
  <c r="E147"/>
  <c r="S147" s="1"/>
  <c r="X147" s="1"/>
  <c r="D147"/>
  <c r="C147"/>
  <c r="B147"/>
  <c r="A147"/>
  <c r="P147" s="1"/>
  <c r="V146"/>
  <c r="AA146" s="1"/>
  <c r="R146"/>
  <c r="W146" s="1"/>
  <c r="Q146"/>
  <c r="N146"/>
  <c r="M146"/>
  <c r="L146"/>
  <c r="K146"/>
  <c r="J146"/>
  <c r="I146"/>
  <c r="O146" s="1"/>
  <c r="H146"/>
  <c r="G146"/>
  <c r="U146" s="1"/>
  <c r="Z146" s="1"/>
  <c r="F146"/>
  <c r="T146" s="1"/>
  <c r="Y146" s="1"/>
  <c r="E146"/>
  <c r="S146" s="1"/>
  <c r="X146" s="1"/>
  <c r="D146"/>
  <c r="C146"/>
  <c r="B146"/>
  <c r="A146"/>
  <c r="P146" s="1"/>
  <c r="V145"/>
  <c r="AA145" s="1"/>
  <c r="Q145"/>
  <c r="N145"/>
  <c r="M145"/>
  <c r="L145"/>
  <c r="K145"/>
  <c r="J145"/>
  <c r="I145"/>
  <c r="O145" s="1"/>
  <c r="H145"/>
  <c r="G145"/>
  <c r="U145" s="1"/>
  <c r="Z145" s="1"/>
  <c r="F145"/>
  <c r="T145" s="1"/>
  <c r="Y145" s="1"/>
  <c r="E145"/>
  <c r="S145" s="1"/>
  <c r="X145" s="1"/>
  <c r="D145"/>
  <c r="R145" s="1"/>
  <c r="W145" s="1"/>
  <c r="C145"/>
  <c r="B145"/>
  <c r="A145"/>
  <c r="P145" s="1"/>
  <c r="U144"/>
  <c r="Z144" s="1"/>
  <c r="R144"/>
  <c r="W144" s="1"/>
  <c r="Q144"/>
  <c r="N144"/>
  <c r="M144"/>
  <c r="L144"/>
  <c r="K144"/>
  <c r="J144"/>
  <c r="I144"/>
  <c r="O144" s="1"/>
  <c r="H144"/>
  <c r="V144" s="1"/>
  <c r="AA144" s="1"/>
  <c r="G144"/>
  <c r="F144"/>
  <c r="T144" s="1"/>
  <c r="Y144" s="1"/>
  <c r="E144"/>
  <c r="S144" s="1"/>
  <c r="X144" s="1"/>
  <c r="D144"/>
  <c r="C144"/>
  <c r="B144"/>
  <c r="A144"/>
  <c r="P144" s="1"/>
  <c r="V143"/>
  <c r="AA143" s="1"/>
  <c r="R143"/>
  <c r="W143" s="1"/>
  <c r="Q143"/>
  <c r="N143"/>
  <c r="M143"/>
  <c r="L143"/>
  <c r="K143"/>
  <c r="J143"/>
  <c r="I143"/>
  <c r="O143" s="1"/>
  <c r="H143"/>
  <c r="G143"/>
  <c r="U143" s="1"/>
  <c r="Z143" s="1"/>
  <c r="F143"/>
  <c r="T143" s="1"/>
  <c r="Y143" s="1"/>
  <c r="E143"/>
  <c r="S143" s="1"/>
  <c r="X143" s="1"/>
  <c r="D143"/>
  <c r="C143"/>
  <c r="B143"/>
  <c r="A143"/>
  <c r="P143" s="1"/>
  <c r="V142"/>
  <c r="AA142" s="1"/>
  <c r="Q142"/>
  <c r="N142"/>
  <c r="M142"/>
  <c r="L142"/>
  <c r="K142"/>
  <c r="J142"/>
  <c r="I142"/>
  <c r="O142" s="1"/>
  <c r="H142"/>
  <c r="G142"/>
  <c r="U142" s="1"/>
  <c r="Z142" s="1"/>
  <c r="F142"/>
  <c r="T142" s="1"/>
  <c r="Y142" s="1"/>
  <c r="E142"/>
  <c r="S142" s="1"/>
  <c r="X142" s="1"/>
  <c r="D142"/>
  <c r="R142" s="1"/>
  <c r="W142" s="1"/>
  <c r="C142"/>
  <c r="B142"/>
  <c r="A142"/>
  <c r="P142" s="1"/>
  <c r="U141"/>
  <c r="Z141" s="1"/>
  <c r="R141"/>
  <c r="W141" s="1"/>
  <c r="Q141"/>
  <c r="N141"/>
  <c r="M141"/>
  <c r="L141"/>
  <c r="K141"/>
  <c r="J141"/>
  <c r="I141"/>
  <c r="O141" s="1"/>
  <c r="H141"/>
  <c r="V141" s="1"/>
  <c r="AA141" s="1"/>
  <c r="G141"/>
  <c r="F141"/>
  <c r="T141" s="1"/>
  <c r="Y141" s="1"/>
  <c r="E141"/>
  <c r="S141" s="1"/>
  <c r="X141" s="1"/>
  <c r="D141"/>
  <c r="C141"/>
  <c r="B141"/>
  <c r="A141"/>
  <c r="P141" s="1"/>
  <c r="V140"/>
  <c r="AA140" s="1"/>
  <c r="R140"/>
  <c r="W140" s="1"/>
  <c r="Q140"/>
  <c r="N140"/>
  <c r="M140"/>
  <c r="L140"/>
  <c r="K140"/>
  <c r="J140"/>
  <c r="I140"/>
  <c r="O140" s="1"/>
  <c r="H140"/>
  <c r="G140"/>
  <c r="U140" s="1"/>
  <c r="Z140" s="1"/>
  <c r="F140"/>
  <c r="T140" s="1"/>
  <c r="Y140" s="1"/>
  <c r="E140"/>
  <c r="S140" s="1"/>
  <c r="X140" s="1"/>
  <c r="D140"/>
  <c r="C140"/>
  <c r="B140"/>
  <c r="A140"/>
  <c r="P140" s="1"/>
  <c r="V139"/>
  <c r="AA139" s="1"/>
  <c r="Q139"/>
  <c r="N139"/>
  <c r="M139"/>
  <c r="L139"/>
  <c r="K139"/>
  <c r="J139"/>
  <c r="I139"/>
  <c r="O139" s="1"/>
  <c r="H139"/>
  <c r="G139"/>
  <c r="U139" s="1"/>
  <c r="Z139" s="1"/>
  <c r="F139"/>
  <c r="T139" s="1"/>
  <c r="Y139" s="1"/>
  <c r="E139"/>
  <c r="S139" s="1"/>
  <c r="X139" s="1"/>
  <c r="D139"/>
  <c r="R139" s="1"/>
  <c r="W139" s="1"/>
  <c r="C139"/>
  <c r="B139"/>
  <c r="A139"/>
  <c r="P139" s="1"/>
  <c r="U138"/>
  <c r="Z138" s="1"/>
  <c r="R138"/>
  <c r="W138" s="1"/>
  <c r="Q138"/>
  <c r="N138"/>
  <c r="M138"/>
  <c r="L138"/>
  <c r="K138"/>
  <c r="J138"/>
  <c r="I138"/>
  <c r="O138" s="1"/>
  <c r="H138"/>
  <c r="V138" s="1"/>
  <c r="AA138" s="1"/>
  <c r="G138"/>
  <c r="F138"/>
  <c r="T138" s="1"/>
  <c r="Y138" s="1"/>
  <c r="E138"/>
  <c r="S138" s="1"/>
  <c r="X138" s="1"/>
  <c r="D138"/>
  <c r="C138"/>
  <c r="B138"/>
  <c r="A138"/>
  <c r="P138" s="1"/>
  <c r="V137"/>
  <c r="AA137" s="1"/>
  <c r="R137"/>
  <c r="W137" s="1"/>
  <c r="Q137"/>
  <c r="N137"/>
  <c r="M137"/>
  <c r="L137"/>
  <c r="K137"/>
  <c r="J137"/>
  <c r="I137"/>
  <c r="O137" s="1"/>
  <c r="H137"/>
  <c r="G137"/>
  <c r="U137" s="1"/>
  <c r="Z137" s="1"/>
  <c r="F137"/>
  <c r="T137" s="1"/>
  <c r="Y137" s="1"/>
  <c r="E137"/>
  <c r="S137" s="1"/>
  <c r="X137" s="1"/>
  <c r="D137"/>
  <c r="C137"/>
  <c r="B137"/>
  <c r="A137"/>
  <c r="P137" s="1"/>
  <c r="V136"/>
  <c r="AA136" s="1"/>
  <c r="R136"/>
  <c r="W136" s="1"/>
  <c r="Q136"/>
  <c r="P136"/>
  <c r="N136"/>
  <c r="M136"/>
  <c r="L136"/>
  <c r="K136"/>
  <c r="J136"/>
  <c r="I136"/>
  <c r="O136" s="1"/>
  <c r="H136"/>
  <c r="G136"/>
  <c r="U136" s="1"/>
  <c r="Z136" s="1"/>
  <c r="F136"/>
  <c r="T136" s="1"/>
  <c r="Y136" s="1"/>
  <c r="E136"/>
  <c r="S136" s="1"/>
  <c r="X136" s="1"/>
  <c r="D136"/>
  <c r="C136"/>
  <c r="B136"/>
  <c r="A136"/>
  <c r="U135"/>
  <c r="Z135" s="1"/>
  <c r="R135"/>
  <c r="W135" s="1"/>
  <c r="O135"/>
  <c r="N135"/>
  <c r="M135"/>
  <c r="L135"/>
  <c r="K135"/>
  <c r="J135"/>
  <c r="I135"/>
  <c r="H135"/>
  <c r="V135" s="1"/>
  <c r="AA135" s="1"/>
  <c r="G135"/>
  <c r="F135"/>
  <c r="T135" s="1"/>
  <c r="Y135" s="1"/>
  <c r="E135"/>
  <c r="S135" s="1"/>
  <c r="X135" s="1"/>
  <c r="D135"/>
  <c r="C135"/>
  <c r="Q135" s="1"/>
  <c r="B135"/>
  <c r="A135"/>
  <c r="P135" s="1"/>
  <c r="V134"/>
  <c r="AA134" s="1"/>
  <c r="U134"/>
  <c r="Z134" s="1"/>
  <c r="R134"/>
  <c r="W134" s="1"/>
  <c r="Q134"/>
  <c r="N134"/>
  <c r="M134"/>
  <c r="L134"/>
  <c r="K134"/>
  <c r="J134"/>
  <c r="I134"/>
  <c r="O134" s="1"/>
  <c r="H134"/>
  <c r="G134"/>
  <c r="F134"/>
  <c r="T134" s="1"/>
  <c r="Y134" s="1"/>
  <c r="E134"/>
  <c r="S134" s="1"/>
  <c r="X134" s="1"/>
  <c r="D134"/>
  <c r="C134"/>
  <c r="B134"/>
  <c r="A134"/>
  <c r="P134" s="1"/>
  <c r="V133"/>
  <c r="AA133" s="1"/>
  <c r="S133"/>
  <c r="X133" s="1"/>
  <c r="Q133"/>
  <c r="N133"/>
  <c r="M133"/>
  <c r="L133"/>
  <c r="K133"/>
  <c r="J133"/>
  <c r="I133"/>
  <c r="O133" s="1"/>
  <c r="H133"/>
  <c r="G133"/>
  <c r="U133" s="1"/>
  <c r="Z133" s="1"/>
  <c r="F133"/>
  <c r="T133" s="1"/>
  <c r="Y133" s="1"/>
  <c r="E133"/>
  <c r="D133"/>
  <c r="R133" s="1"/>
  <c r="W133" s="1"/>
  <c r="C133"/>
  <c r="B133"/>
  <c r="A133"/>
  <c r="P133" s="1"/>
  <c r="R132"/>
  <c r="W132" s="1"/>
  <c r="O132"/>
  <c r="N132"/>
  <c r="M132"/>
  <c r="L132"/>
  <c r="K132"/>
  <c r="J132"/>
  <c r="I132"/>
  <c r="H132"/>
  <c r="V132" s="1"/>
  <c r="AA132" s="1"/>
  <c r="G132"/>
  <c r="U132" s="1"/>
  <c r="Z132" s="1"/>
  <c r="F132"/>
  <c r="T132" s="1"/>
  <c r="Y132" s="1"/>
  <c r="E132"/>
  <c r="S132" s="1"/>
  <c r="X132" s="1"/>
  <c r="D132"/>
  <c r="C132"/>
  <c r="Q132" s="1"/>
  <c r="B132"/>
  <c r="A132"/>
  <c r="P132" s="1"/>
  <c r="V131"/>
  <c r="AA131" s="1"/>
  <c r="R131"/>
  <c r="W131" s="1"/>
  <c r="Q131"/>
  <c r="O131"/>
  <c r="N131"/>
  <c r="M131"/>
  <c r="L131"/>
  <c r="K131"/>
  <c r="J131"/>
  <c r="I131"/>
  <c r="H131"/>
  <c r="G131"/>
  <c r="U131" s="1"/>
  <c r="Z131" s="1"/>
  <c r="F131"/>
  <c r="T131" s="1"/>
  <c r="Y131" s="1"/>
  <c r="E131"/>
  <c r="S131" s="1"/>
  <c r="X131" s="1"/>
  <c r="D131"/>
  <c r="C131"/>
  <c r="B131"/>
  <c r="A131"/>
  <c r="P131" s="1"/>
  <c r="U130"/>
  <c r="Z130" s="1"/>
  <c r="T130"/>
  <c r="Y130" s="1"/>
  <c r="Q130"/>
  <c r="N130"/>
  <c r="M130"/>
  <c r="L130"/>
  <c r="K130"/>
  <c r="J130"/>
  <c r="I130"/>
  <c r="O130" s="1"/>
  <c r="H130"/>
  <c r="V130" s="1"/>
  <c r="AA130" s="1"/>
  <c r="G130"/>
  <c r="F130"/>
  <c r="E130"/>
  <c r="S130" s="1"/>
  <c r="X130" s="1"/>
  <c r="D130"/>
  <c r="R130" s="1"/>
  <c r="W130" s="1"/>
  <c r="C130"/>
  <c r="B130"/>
  <c r="A130"/>
  <c r="P130" s="1"/>
  <c r="S129"/>
  <c r="X129" s="1"/>
  <c r="R129"/>
  <c r="W129" s="1"/>
  <c r="O129"/>
  <c r="N129"/>
  <c r="M129"/>
  <c r="L129"/>
  <c r="K129"/>
  <c r="J129"/>
  <c r="I129"/>
  <c r="H129"/>
  <c r="V129" s="1"/>
  <c r="AA129" s="1"/>
  <c r="G129"/>
  <c r="U129" s="1"/>
  <c r="Z129" s="1"/>
  <c r="F129"/>
  <c r="T129" s="1"/>
  <c r="Y129" s="1"/>
  <c r="E129"/>
  <c r="D129"/>
  <c r="C129"/>
  <c r="Q129" s="1"/>
  <c r="B129"/>
  <c r="A129"/>
  <c r="P129" s="1"/>
  <c r="V128"/>
  <c r="AA128" s="1"/>
  <c r="S128"/>
  <c r="X128" s="1"/>
  <c r="R128"/>
  <c r="W128" s="1"/>
  <c r="N128"/>
  <c r="M128"/>
  <c r="L128"/>
  <c r="K128"/>
  <c r="J128"/>
  <c r="I128"/>
  <c r="O128" s="1"/>
  <c r="H128"/>
  <c r="G128"/>
  <c r="U128" s="1"/>
  <c r="Z128" s="1"/>
  <c r="F128"/>
  <c r="T128" s="1"/>
  <c r="Y128" s="1"/>
  <c r="E128"/>
  <c r="D128"/>
  <c r="C128"/>
  <c r="Q128" s="1"/>
  <c r="B128"/>
  <c r="A128"/>
  <c r="P128" s="1"/>
  <c r="V127"/>
  <c r="AA127" s="1"/>
  <c r="U127"/>
  <c r="Z127" s="1"/>
  <c r="Q127"/>
  <c r="P127"/>
  <c r="N127"/>
  <c r="M127"/>
  <c r="L127"/>
  <c r="K127"/>
  <c r="J127"/>
  <c r="I127"/>
  <c r="O127" s="1"/>
  <c r="H127"/>
  <c r="G127"/>
  <c r="F127"/>
  <c r="T127" s="1"/>
  <c r="Y127" s="1"/>
  <c r="E127"/>
  <c r="S127" s="1"/>
  <c r="X127" s="1"/>
  <c r="D127"/>
  <c r="R127" s="1"/>
  <c r="W127" s="1"/>
  <c r="C127"/>
  <c r="B127"/>
  <c r="A127"/>
  <c r="S126"/>
  <c r="X126" s="1"/>
  <c r="R126"/>
  <c r="W126" s="1"/>
  <c r="O126"/>
  <c r="N126"/>
  <c r="M126"/>
  <c r="L126"/>
  <c r="K126"/>
  <c r="J126"/>
  <c r="I126"/>
  <c r="H126"/>
  <c r="V126" s="1"/>
  <c r="AA126" s="1"/>
  <c r="G126"/>
  <c r="U126" s="1"/>
  <c r="Z126" s="1"/>
  <c r="F126"/>
  <c r="T126" s="1"/>
  <c r="Y126" s="1"/>
  <c r="E126"/>
  <c r="D126"/>
  <c r="C126"/>
  <c r="Q126" s="1"/>
  <c r="B126"/>
  <c r="A126"/>
  <c r="P126" s="1"/>
  <c r="V125"/>
  <c r="AA125" s="1"/>
  <c r="R125"/>
  <c r="W125" s="1"/>
  <c r="Q125"/>
  <c r="P125"/>
  <c r="N125"/>
  <c r="M125"/>
  <c r="L125"/>
  <c r="K125"/>
  <c r="J125"/>
  <c r="I125"/>
  <c r="O125" s="1"/>
  <c r="H125"/>
  <c r="G125"/>
  <c r="U125" s="1"/>
  <c r="Z125" s="1"/>
  <c r="F125"/>
  <c r="T125" s="1"/>
  <c r="Y125" s="1"/>
  <c r="E125"/>
  <c r="S125" s="1"/>
  <c r="X125" s="1"/>
  <c r="D125"/>
  <c r="C125"/>
  <c r="B125"/>
  <c r="A125"/>
  <c r="U124"/>
  <c r="Z124" s="1"/>
  <c r="T124"/>
  <c r="Y124" s="1"/>
  <c r="R124"/>
  <c r="W124" s="1"/>
  <c r="Q124"/>
  <c r="N124"/>
  <c r="M124"/>
  <c r="L124"/>
  <c r="K124"/>
  <c r="J124"/>
  <c r="I124"/>
  <c r="O124" s="1"/>
  <c r="H124"/>
  <c r="V124" s="1"/>
  <c r="AA124" s="1"/>
  <c r="G124"/>
  <c r="F124"/>
  <c r="E124"/>
  <c r="S124" s="1"/>
  <c r="X124" s="1"/>
  <c r="D124"/>
  <c r="C124"/>
  <c r="B124"/>
  <c r="A124"/>
  <c r="P124" s="1"/>
  <c r="T123"/>
  <c r="Y123" s="1"/>
  <c r="R123"/>
  <c r="W123" s="1"/>
  <c r="O123"/>
  <c r="N123"/>
  <c r="M123"/>
  <c r="L123"/>
  <c r="K123"/>
  <c r="J123"/>
  <c r="I123"/>
  <c r="H123"/>
  <c r="V123" s="1"/>
  <c r="AA123" s="1"/>
  <c r="G123"/>
  <c r="U123" s="1"/>
  <c r="Z123" s="1"/>
  <c r="F123"/>
  <c r="E123"/>
  <c r="S123" s="1"/>
  <c r="X123" s="1"/>
  <c r="D123"/>
  <c r="C123"/>
  <c r="Q123" s="1"/>
  <c r="B123"/>
  <c r="A123"/>
  <c r="P123" s="1"/>
  <c r="V122"/>
  <c r="AA122" s="1"/>
  <c r="R122"/>
  <c r="W122" s="1"/>
  <c r="Q122"/>
  <c r="O122"/>
  <c r="N122"/>
  <c r="M122"/>
  <c r="L122"/>
  <c r="K122"/>
  <c r="J122"/>
  <c r="I122"/>
  <c r="H122"/>
  <c r="G122"/>
  <c r="U122" s="1"/>
  <c r="Z122" s="1"/>
  <c r="F122"/>
  <c r="T122" s="1"/>
  <c r="Y122" s="1"/>
  <c r="E122"/>
  <c r="S122" s="1"/>
  <c r="X122" s="1"/>
  <c r="D122"/>
  <c r="C122"/>
  <c r="B122"/>
  <c r="A122"/>
  <c r="P122" s="1"/>
  <c r="U121"/>
  <c r="Z121" s="1"/>
  <c r="T121"/>
  <c r="Y121" s="1"/>
  <c r="Q121"/>
  <c r="N121"/>
  <c r="M121"/>
  <c r="L121"/>
  <c r="K121"/>
  <c r="J121"/>
  <c r="I121"/>
  <c r="O121" s="1"/>
  <c r="H121"/>
  <c r="V121" s="1"/>
  <c r="AA121" s="1"/>
  <c r="G121"/>
  <c r="F121"/>
  <c r="E121"/>
  <c r="S121" s="1"/>
  <c r="X121" s="1"/>
  <c r="D121"/>
  <c r="R121" s="1"/>
  <c r="W121" s="1"/>
  <c r="C121"/>
  <c r="B121"/>
  <c r="A121"/>
  <c r="P121" s="1"/>
  <c r="S120"/>
  <c r="X120" s="1"/>
  <c r="R120"/>
  <c r="W120" s="1"/>
  <c r="O120"/>
  <c r="N120"/>
  <c r="M120"/>
  <c r="L120"/>
  <c r="K120"/>
  <c r="J120"/>
  <c r="I120"/>
  <c r="H120"/>
  <c r="V120" s="1"/>
  <c r="AA120" s="1"/>
  <c r="G120"/>
  <c r="U120" s="1"/>
  <c r="Z120" s="1"/>
  <c r="F120"/>
  <c r="T120" s="1"/>
  <c r="Y120" s="1"/>
  <c r="E120"/>
  <c r="D120"/>
  <c r="C120"/>
  <c r="Q120" s="1"/>
  <c r="B120"/>
  <c r="A120"/>
  <c r="P120" s="1"/>
  <c r="V119"/>
  <c r="AA119" s="1"/>
  <c r="S119"/>
  <c r="X119" s="1"/>
  <c r="R119"/>
  <c r="W119" s="1"/>
  <c r="N119"/>
  <c r="M119"/>
  <c r="L119"/>
  <c r="K119"/>
  <c r="J119"/>
  <c r="I119"/>
  <c r="O119" s="1"/>
  <c r="H119"/>
  <c r="G119"/>
  <c r="U119" s="1"/>
  <c r="Z119" s="1"/>
  <c r="F119"/>
  <c r="T119" s="1"/>
  <c r="Y119" s="1"/>
  <c r="E119"/>
  <c r="D119"/>
  <c r="C119"/>
  <c r="Q119" s="1"/>
  <c r="B119"/>
  <c r="A119"/>
  <c r="P119" s="1"/>
  <c r="V118"/>
  <c r="AA118" s="1"/>
  <c r="U118"/>
  <c r="Z118" s="1"/>
  <c r="Q118"/>
  <c r="P118"/>
  <c r="N118"/>
  <c r="M118"/>
  <c r="L118"/>
  <c r="K118"/>
  <c r="J118"/>
  <c r="I118"/>
  <c r="O118" s="1"/>
  <c r="H118"/>
  <c r="G118"/>
  <c r="F118"/>
  <c r="T118" s="1"/>
  <c r="Y118" s="1"/>
  <c r="E118"/>
  <c r="S118" s="1"/>
  <c r="X118" s="1"/>
  <c r="D118"/>
  <c r="R118" s="1"/>
  <c r="W118" s="1"/>
  <c r="C118"/>
  <c r="B118"/>
  <c r="A118"/>
  <c r="S117"/>
  <c r="X117" s="1"/>
  <c r="R117"/>
  <c r="W117" s="1"/>
  <c r="O117"/>
  <c r="N117"/>
  <c r="M117"/>
  <c r="L117"/>
  <c r="K117"/>
  <c r="J117"/>
  <c r="I117"/>
  <c r="H117"/>
  <c r="V117" s="1"/>
  <c r="AA117" s="1"/>
  <c r="G117"/>
  <c r="U117" s="1"/>
  <c r="Z117" s="1"/>
  <c r="F117"/>
  <c r="T117" s="1"/>
  <c r="Y117" s="1"/>
  <c r="E117"/>
  <c r="D117"/>
  <c r="C117"/>
  <c r="Q117" s="1"/>
  <c r="B117"/>
  <c r="A117"/>
  <c r="P117" s="1"/>
  <c r="V116"/>
  <c r="AA116" s="1"/>
  <c r="R116"/>
  <c r="W116" s="1"/>
  <c r="Q116"/>
  <c r="P116"/>
  <c r="N116"/>
  <c r="M116"/>
  <c r="L116"/>
  <c r="K116"/>
  <c r="J116"/>
  <c r="I116"/>
  <c r="O116" s="1"/>
  <c r="H116"/>
  <c r="G116"/>
  <c r="U116" s="1"/>
  <c r="Z116" s="1"/>
  <c r="F116"/>
  <c r="T116" s="1"/>
  <c r="Y116" s="1"/>
  <c r="E116"/>
  <c r="S116" s="1"/>
  <c r="X116" s="1"/>
  <c r="D116"/>
  <c r="C116"/>
  <c r="B116"/>
  <c r="A116"/>
  <c r="U115"/>
  <c r="Z115" s="1"/>
  <c r="T115"/>
  <c r="Y115" s="1"/>
  <c r="R115"/>
  <c r="W115" s="1"/>
  <c r="Q115"/>
  <c r="N115"/>
  <c r="M115"/>
  <c r="L115"/>
  <c r="K115"/>
  <c r="J115"/>
  <c r="I115"/>
  <c r="O115" s="1"/>
  <c r="H115"/>
  <c r="V115" s="1"/>
  <c r="AA115" s="1"/>
  <c r="G115"/>
  <c r="F115"/>
  <c r="E115"/>
  <c r="S115" s="1"/>
  <c r="X115" s="1"/>
  <c r="D115"/>
  <c r="C115"/>
  <c r="B115"/>
  <c r="A115"/>
  <c r="P115" s="1"/>
  <c r="T114"/>
  <c r="Y114" s="1"/>
  <c r="R114"/>
  <c r="W114" s="1"/>
  <c r="O114"/>
  <c r="N114"/>
  <c r="M114"/>
  <c r="L114"/>
  <c r="K114"/>
  <c r="J114"/>
  <c r="I114"/>
  <c r="H114"/>
  <c r="V114" s="1"/>
  <c r="AA114" s="1"/>
  <c r="G114"/>
  <c r="U114" s="1"/>
  <c r="Z114" s="1"/>
  <c r="F114"/>
  <c r="E114"/>
  <c r="S114" s="1"/>
  <c r="X114" s="1"/>
  <c r="D114"/>
  <c r="C114"/>
  <c r="Q114" s="1"/>
  <c r="B114"/>
  <c r="A114"/>
  <c r="P114" s="1"/>
  <c r="V113"/>
  <c r="AA113" s="1"/>
  <c r="R113"/>
  <c r="W113" s="1"/>
  <c r="Q113"/>
  <c r="O113"/>
  <c r="N113"/>
  <c r="M113"/>
  <c r="L113"/>
  <c r="K113"/>
  <c r="J113"/>
  <c r="I113"/>
  <c r="H113"/>
  <c r="G113"/>
  <c r="U113" s="1"/>
  <c r="Z113" s="1"/>
  <c r="F113"/>
  <c r="T113" s="1"/>
  <c r="Y113" s="1"/>
  <c r="E113"/>
  <c r="S113" s="1"/>
  <c r="X113" s="1"/>
  <c r="D113"/>
  <c r="C113"/>
  <c r="B113"/>
  <c r="A113"/>
  <c r="P113" s="1"/>
  <c r="U112"/>
  <c r="Z112" s="1"/>
  <c r="T112"/>
  <c r="Y112" s="1"/>
  <c r="Q112"/>
  <c r="N112"/>
  <c r="M112"/>
  <c r="L112"/>
  <c r="K112"/>
  <c r="J112"/>
  <c r="I112"/>
  <c r="O112" s="1"/>
  <c r="H112"/>
  <c r="V112" s="1"/>
  <c r="AA112" s="1"/>
  <c r="G112"/>
  <c r="F112"/>
  <c r="E112"/>
  <c r="S112" s="1"/>
  <c r="X112" s="1"/>
  <c r="D112"/>
  <c r="R112" s="1"/>
  <c r="W112" s="1"/>
  <c r="C112"/>
  <c r="B112"/>
  <c r="A112"/>
  <c r="P112" s="1"/>
  <c r="S111"/>
  <c r="X111" s="1"/>
  <c r="R111"/>
  <c r="W111" s="1"/>
  <c r="O111"/>
  <c r="N111"/>
  <c r="M111"/>
  <c r="L111"/>
  <c r="K111"/>
  <c r="J111"/>
  <c r="I111"/>
  <c r="H111"/>
  <c r="V111" s="1"/>
  <c r="AA111" s="1"/>
  <c r="G111"/>
  <c r="U111" s="1"/>
  <c r="Z111" s="1"/>
  <c r="F111"/>
  <c r="T111" s="1"/>
  <c r="Y111" s="1"/>
  <c r="E111"/>
  <c r="D111"/>
  <c r="C111"/>
  <c r="Q111" s="1"/>
  <c r="B111"/>
  <c r="A111"/>
  <c r="P111" s="1"/>
  <c r="V110"/>
  <c r="AA110" s="1"/>
  <c r="S110"/>
  <c r="X110" s="1"/>
  <c r="R110"/>
  <c r="W110" s="1"/>
  <c r="N110"/>
  <c r="M110"/>
  <c r="L110"/>
  <c r="K110"/>
  <c r="J110"/>
  <c r="I110"/>
  <c r="O110" s="1"/>
  <c r="H110"/>
  <c r="G110"/>
  <c r="U110" s="1"/>
  <c r="Z110" s="1"/>
  <c r="F110"/>
  <c r="T110" s="1"/>
  <c r="Y110" s="1"/>
  <c r="E110"/>
  <c r="D110"/>
  <c r="C110"/>
  <c r="Q110" s="1"/>
  <c r="B110"/>
  <c r="A110"/>
  <c r="P110" s="1"/>
  <c r="V109"/>
  <c r="AA109" s="1"/>
  <c r="U109"/>
  <c r="Z109" s="1"/>
  <c r="Q109"/>
  <c r="P109"/>
  <c r="N109"/>
  <c r="M109"/>
  <c r="L109"/>
  <c r="K109"/>
  <c r="J109"/>
  <c r="I109"/>
  <c r="O109" s="1"/>
  <c r="H109"/>
  <c r="G109"/>
  <c r="F109"/>
  <c r="T109" s="1"/>
  <c r="Y109" s="1"/>
  <c r="E109"/>
  <c r="S109" s="1"/>
  <c r="X109" s="1"/>
  <c r="D109"/>
  <c r="R109" s="1"/>
  <c r="W109" s="1"/>
  <c r="C109"/>
  <c r="B109"/>
  <c r="A109"/>
  <c r="S108"/>
  <c r="X108" s="1"/>
  <c r="R108"/>
  <c r="W108" s="1"/>
  <c r="O108"/>
  <c r="N108"/>
  <c r="M108"/>
  <c r="L108"/>
  <c r="K108"/>
  <c r="J108"/>
  <c r="I108"/>
  <c r="H108"/>
  <c r="V108" s="1"/>
  <c r="AA108" s="1"/>
  <c r="G108"/>
  <c r="U108" s="1"/>
  <c r="Z108" s="1"/>
  <c r="F108"/>
  <c r="T108" s="1"/>
  <c r="Y108" s="1"/>
  <c r="E108"/>
  <c r="D108"/>
  <c r="C108"/>
  <c r="Q108" s="1"/>
  <c r="B108"/>
  <c r="A108"/>
  <c r="P108" s="1"/>
  <c r="V107"/>
  <c r="AA107" s="1"/>
  <c r="R107"/>
  <c r="W107" s="1"/>
  <c r="Q107"/>
  <c r="P107"/>
  <c r="N107"/>
  <c r="M107"/>
  <c r="L107"/>
  <c r="K107"/>
  <c r="J107"/>
  <c r="I107"/>
  <c r="O107" s="1"/>
  <c r="H107"/>
  <c r="G107"/>
  <c r="U107" s="1"/>
  <c r="Z107" s="1"/>
  <c r="F107"/>
  <c r="T107" s="1"/>
  <c r="Y107" s="1"/>
  <c r="E107"/>
  <c r="S107" s="1"/>
  <c r="X107" s="1"/>
  <c r="D107"/>
  <c r="C107"/>
  <c r="B107"/>
  <c r="A107"/>
  <c r="U106"/>
  <c r="Z106" s="1"/>
  <c r="T106"/>
  <c r="Y106" s="1"/>
  <c r="R106"/>
  <c r="W106" s="1"/>
  <c r="Q106"/>
  <c r="N106"/>
  <c r="M106"/>
  <c r="L106"/>
  <c r="K106"/>
  <c r="J106"/>
  <c r="I106"/>
  <c r="O106" s="1"/>
  <c r="H106"/>
  <c r="V106" s="1"/>
  <c r="AA106" s="1"/>
  <c r="G106"/>
  <c r="F106"/>
  <c r="E106"/>
  <c r="S106" s="1"/>
  <c r="X106" s="1"/>
  <c r="D106"/>
  <c r="C106"/>
  <c r="B106"/>
  <c r="A106"/>
  <c r="P106" s="1"/>
  <c r="T105"/>
  <c r="Y105" s="1"/>
  <c r="R105"/>
  <c r="W105" s="1"/>
  <c r="O105"/>
  <c r="N105"/>
  <c r="M105"/>
  <c r="L105"/>
  <c r="K105"/>
  <c r="J105"/>
  <c r="I105"/>
  <c r="H105"/>
  <c r="V105" s="1"/>
  <c r="AA105" s="1"/>
  <c r="G105"/>
  <c r="U105" s="1"/>
  <c r="Z105" s="1"/>
  <c r="F105"/>
  <c r="E105"/>
  <c r="S105" s="1"/>
  <c r="X105" s="1"/>
  <c r="D105"/>
  <c r="C105"/>
  <c r="Q105" s="1"/>
  <c r="B105"/>
  <c r="A105"/>
  <c r="P105" s="1"/>
  <c r="V104"/>
  <c r="AA104" s="1"/>
  <c r="R104"/>
  <c r="W104" s="1"/>
  <c r="Q104"/>
  <c r="O104"/>
  <c r="N104"/>
  <c r="M104"/>
  <c r="L104"/>
  <c r="K104"/>
  <c r="J104"/>
  <c r="I104"/>
  <c r="H104"/>
  <c r="G104"/>
  <c r="U104" s="1"/>
  <c r="Z104" s="1"/>
  <c r="F104"/>
  <c r="T104" s="1"/>
  <c r="Y104" s="1"/>
  <c r="E104"/>
  <c r="S104" s="1"/>
  <c r="X104" s="1"/>
  <c r="D104"/>
  <c r="C104"/>
  <c r="B104"/>
  <c r="A104"/>
  <c r="P104" s="1"/>
  <c r="U103"/>
  <c r="Z103" s="1"/>
  <c r="T103"/>
  <c r="Y103" s="1"/>
  <c r="Q103"/>
  <c r="N103"/>
  <c r="M103"/>
  <c r="L103"/>
  <c r="K103"/>
  <c r="J103"/>
  <c r="I103"/>
  <c r="O103" s="1"/>
  <c r="H103"/>
  <c r="V103" s="1"/>
  <c r="AA103" s="1"/>
  <c r="G103"/>
  <c r="F103"/>
  <c r="E103"/>
  <c r="S103" s="1"/>
  <c r="X103" s="1"/>
  <c r="D103"/>
  <c r="R103" s="1"/>
  <c r="W103" s="1"/>
  <c r="C103"/>
  <c r="B103"/>
  <c r="A103"/>
  <c r="P103" s="1"/>
  <c r="S102"/>
  <c r="X102" s="1"/>
  <c r="R102"/>
  <c r="W102" s="1"/>
  <c r="O102"/>
  <c r="N102"/>
  <c r="M102"/>
  <c r="L102"/>
  <c r="K102"/>
  <c r="J102"/>
  <c r="I102"/>
  <c r="H102"/>
  <c r="V102" s="1"/>
  <c r="AA102" s="1"/>
  <c r="G102"/>
  <c r="U102" s="1"/>
  <c r="Z102" s="1"/>
  <c r="F102"/>
  <c r="T102" s="1"/>
  <c r="Y102" s="1"/>
  <c r="E102"/>
  <c r="D102"/>
  <c r="C102"/>
  <c r="Q102" s="1"/>
  <c r="B102"/>
  <c r="A102"/>
  <c r="P102" s="1"/>
  <c r="V101"/>
  <c r="AA101" s="1"/>
  <c r="S101"/>
  <c r="X101" s="1"/>
  <c r="R101"/>
  <c r="W101" s="1"/>
  <c r="N101"/>
  <c r="M101"/>
  <c r="L101"/>
  <c r="K101"/>
  <c r="J101"/>
  <c r="I101"/>
  <c r="O101" s="1"/>
  <c r="H101"/>
  <c r="G101"/>
  <c r="U101" s="1"/>
  <c r="Z101" s="1"/>
  <c r="F101"/>
  <c r="T101" s="1"/>
  <c r="Y101" s="1"/>
  <c r="E101"/>
  <c r="D101"/>
  <c r="C101"/>
  <c r="Q101" s="1"/>
  <c r="B101"/>
  <c r="A101"/>
  <c r="P101" s="1"/>
  <c r="V100"/>
  <c r="AA100" s="1"/>
  <c r="U100"/>
  <c r="Z100" s="1"/>
  <c r="Q100"/>
  <c r="P100"/>
  <c r="N100"/>
  <c r="M100"/>
  <c r="L100"/>
  <c r="K100"/>
  <c r="J100"/>
  <c r="I100"/>
  <c r="O100" s="1"/>
  <c r="H100"/>
  <c r="G100"/>
  <c r="F100"/>
  <c r="T100" s="1"/>
  <c r="Y100" s="1"/>
  <c r="E100"/>
  <c r="S100" s="1"/>
  <c r="X100" s="1"/>
  <c r="D100"/>
  <c r="R100" s="1"/>
  <c r="W100" s="1"/>
  <c r="C100"/>
  <c r="B100"/>
  <c r="A100"/>
  <c r="S99"/>
  <c r="X99" s="1"/>
  <c r="R99"/>
  <c r="W99" s="1"/>
  <c r="O99"/>
  <c r="N99"/>
  <c r="M99"/>
  <c r="L99"/>
  <c r="K99"/>
  <c r="J99"/>
  <c r="I99"/>
  <c r="H99"/>
  <c r="V99" s="1"/>
  <c r="AA99" s="1"/>
  <c r="G99"/>
  <c r="U99" s="1"/>
  <c r="Z99" s="1"/>
  <c r="F99"/>
  <c r="T99" s="1"/>
  <c r="Y99" s="1"/>
  <c r="E99"/>
  <c r="D99"/>
  <c r="C99"/>
  <c r="Q99" s="1"/>
  <c r="B99"/>
  <c r="A99"/>
  <c r="P99" s="1"/>
  <c r="V98"/>
  <c r="AA98" s="1"/>
  <c r="R98"/>
  <c r="W98" s="1"/>
  <c r="Q98"/>
  <c r="P98"/>
  <c r="N98"/>
  <c r="M98"/>
  <c r="L98"/>
  <c r="K98"/>
  <c r="J98"/>
  <c r="I98"/>
  <c r="O98" s="1"/>
  <c r="H98"/>
  <c r="G98"/>
  <c r="U98" s="1"/>
  <c r="Z98" s="1"/>
  <c r="F98"/>
  <c r="T98" s="1"/>
  <c r="Y98" s="1"/>
  <c r="E98"/>
  <c r="S98" s="1"/>
  <c r="X98" s="1"/>
  <c r="D98"/>
  <c r="C98"/>
  <c r="B98"/>
  <c r="A98"/>
  <c r="U97"/>
  <c r="Z97" s="1"/>
  <c r="T97"/>
  <c r="Y97" s="1"/>
  <c r="R97"/>
  <c r="W97" s="1"/>
  <c r="Q97"/>
  <c r="N97"/>
  <c r="M97"/>
  <c r="L97"/>
  <c r="K97"/>
  <c r="J97"/>
  <c r="I97"/>
  <c r="O97" s="1"/>
  <c r="H97"/>
  <c r="V97" s="1"/>
  <c r="AA97" s="1"/>
  <c r="G97"/>
  <c r="F97"/>
  <c r="E97"/>
  <c r="S97" s="1"/>
  <c r="X97" s="1"/>
  <c r="D97"/>
  <c r="C97"/>
  <c r="B97"/>
  <c r="A97"/>
  <c r="P97" s="1"/>
  <c r="T96"/>
  <c r="Y96" s="1"/>
  <c r="R96"/>
  <c r="W96" s="1"/>
  <c r="O96"/>
  <c r="N96"/>
  <c r="M96"/>
  <c r="L96"/>
  <c r="K96"/>
  <c r="J96"/>
  <c r="I96"/>
  <c r="H96"/>
  <c r="V96" s="1"/>
  <c r="AA96" s="1"/>
  <c r="G96"/>
  <c r="U96" s="1"/>
  <c r="Z96" s="1"/>
  <c r="F96"/>
  <c r="E96"/>
  <c r="S96" s="1"/>
  <c r="X96" s="1"/>
  <c r="D96"/>
  <c r="C96"/>
  <c r="Q96" s="1"/>
  <c r="B96"/>
  <c r="A96"/>
  <c r="P96" s="1"/>
  <c r="V95"/>
  <c r="AA95" s="1"/>
  <c r="R95"/>
  <c r="W95" s="1"/>
  <c r="Q95"/>
  <c r="O95"/>
  <c r="N95"/>
  <c r="M95"/>
  <c r="L95"/>
  <c r="K95"/>
  <c r="J95"/>
  <c r="I95"/>
  <c r="H95"/>
  <c r="G95"/>
  <c r="U95" s="1"/>
  <c r="Z95" s="1"/>
  <c r="F95"/>
  <c r="T95" s="1"/>
  <c r="Y95" s="1"/>
  <c r="E95"/>
  <c r="S95" s="1"/>
  <c r="X95" s="1"/>
  <c r="D95"/>
  <c r="C95"/>
  <c r="B95"/>
  <c r="A95"/>
  <c r="P95" s="1"/>
  <c r="U94"/>
  <c r="Z94" s="1"/>
  <c r="T94"/>
  <c r="Y94" s="1"/>
  <c r="Q94"/>
  <c r="N94"/>
  <c r="M94"/>
  <c r="L94"/>
  <c r="K94"/>
  <c r="J94"/>
  <c r="I94"/>
  <c r="O94" s="1"/>
  <c r="H94"/>
  <c r="V94" s="1"/>
  <c r="AA94" s="1"/>
  <c r="G94"/>
  <c r="F94"/>
  <c r="E94"/>
  <c r="S94" s="1"/>
  <c r="X94" s="1"/>
  <c r="D94"/>
  <c r="R94" s="1"/>
  <c r="W94" s="1"/>
  <c r="C94"/>
  <c r="B94"/>
  <c r="A94"/>
  <c r="P94" s="1"/>
  <c r="S93"/>
  <c r="X93" s="1"/>
  <c r="R93"/>
  <c r="W93" s="1"/>
  <c r="O93"/>
  <c r="N93"/>
  <c r="M93"/>
  <c r="L93"/>
  <c r="K93"/>
  <c r="J93"/>
  <c r="I93"/>
  <c r="H93"/>
  <c r="V93" s="1"/>
  <c r="AA93" s="1"/>
  <c r="G93"/>
  <c r="U93" s="1"/>
  <c r="Z93" s="1"/>
  <c r="F93"/>
  <c r="T93" s="1"/>
  <c r="Y93" s="1"/>
  <c r="E93"/>
  <c r="D93"/>
  <c r="C93"/>
  <c r="Q93" s="1"/>
  <c r="B93"/>
  <c r="A93"/>
  <c r="P93" s="1"/>
  <c r="V92"/>
  <c r="AA92" s="1"/>
  <c r="S92"/>
  <c r="X92" s="1"/>
  <c r="R92"/>
  <c r="W92" s="1"/>
  <c r="N92"/>
  <c r="M92"/>
  <c r="L92"/>
  <c r="K92"/>
  <c r="J92"/>
  <c r="I92"/>
  <c r="O92" s="1"/>
  <c r="H92"/>
  <c r="G92"/>
  <c r="U92" s="1"/>
  <c r="Z92" s="1"/>
  <c r="F92"/>
  <c r="T92" s="1"/>
  <c r="Y92" s="1"/>
  <c r="E92"/>
  <c r="D92"/>
  <c r="C92"/>
  <c r="Q92" s="1"/>
  <c r="B92"/>
  <c r="A92"/>
  <c r="P92" s="1"/>
  <c r="V91"/>
  <c r="AA91" s="1"/>
  <c r="U91"/>
  <c r="Z91" s="1"/>
  <c r="Q91"/>
  <c r="P91"/>
  <c r="N91"/>
  <c r="M91"/>
  <c r="L91"/>
  <c r="K91"/>
  <c r="J91"/>
  <c r="I91"/>
  <c r="O91" s="1"/>
  <c r="H91"/>
  <c r="G91"/>
  <c r="F91"/>
  <c r="T91" s="1"/>
  <c r="Y91" s="1"/>
  <c r="E91"/>
  <c r="S91" s="1"/>
  <c r="X91" s="1"/>
  <c r="D91"/>
  <c r="R91" s="1"/>
  <c r="W91" s="1"/>
  <c r="C91"/>
  <c r="B91"/>
  <c r="A91"/>
  <c r="S90"/>
  <c r="X90" s="1"/>
  <c r="R90"/>
  <c r="W90" s="1"/>
  <c r="O90"/>
  <c r="N90"/>
  <c r="M90"/>
  <c r="L90"/>
  <c r="K90"/>
  <c r="J90"/>
  <c r="I90"/>
  <c r="H90"/>
  <c r="V90" s="1"/>
  <c r="AA90" s="1"/>
  <c r="G90"/>
  <c r="U90" s="1"/>
  <c r="Z90" s="1"/>
  <c r="F90"/>
  <c r="T90" s="1"/>
  <c r="Y90" s="1"/>
  <c r="E90"/>
  <c r="D90"/>
  <c r="C90"/>
  <c r="Q90" s="1"/>
  <c r="B90"/>
  <c r="A90"/>
  <c r="P90" s="1"/>
  <c r="V89"/>
  <c r="AA89" s="1"/>
  <c r="R89"/>
  <c r="W89" s="1"/>
  <c r="Q89"/>
  <c r="P89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C89"/>
  <c r="B89"/>
  <c r="A89"/>
  <c r="U88"/>
  <c r="Z88" s="1"/>
  <c r="T88"/>
  <c r="Y88" s="1"/>
  <c r="R88"/>
  <c r="W88" s="1"/>
  <c r="Q88"/>
  <c r="N88"/>
  <c r="M88"/>
  <c r="L88"/>
  <c r="K88"/>
  <c r="J88"/>
  <c r="I88"/>
  <c r="O88" s="1"/>
  <c r="H88"/>
  <c r="V88" s="1"/>
  <c r="AA88" s="1"/>
  <c r="G88"/>
  <c r="F88"/>
  <c r="E88"/>
  <c r="S88" s="1"/>
  <c r="X88" s="1"/>
  <c r="D88"/>
  <c r="C88"/>
  <c r="B88"/>
  <c r="A88"/>
  <c r="P88" s="1"/>
  <c r="T87"/>
  <c r="Y87" s="1"/>
  <c r="R87"/>
  <c r="W87" s="1"/>
  <c r="O87"/>
  <c r="N87"/>
  <c r="M87"/>
  <c r="L87"/>
  <c r="K87"/>
  <c r="J87"/>
  <c r="I87"/>
  <c r="H87"/>
  <c r="V87" s="1"/>
  <c r="AA87" s="1"/>
  <c r="G87"/>
  <c r="U87" s="1"/>
  <c r="Z87" s="1"/>
  <c r="F87"/>
  <c r="E87"/>
  <c r="S87" s="1"/>
  <c r="X87" s="1"/>
  <c r="D87"/>
  <c r="C87"/>
  <c r="Q87" s="1"/>
  <c r="B87"/>
  <c r="A87"/>
  <c r="P87" s="1"/>
  <c r="V86"/>
  <c r="AA86" s="1"/>
  <c r="R86"/>
  <c r="W86" s="1"/>
  <c r="Q86"/>
  <c r="O86"/>
  <c r="N86"/>
  <c r="M86"/>
  <c r="L86"/>
  <c r="K86"/>
  <c r="J86"/>
  <c r="I86"/>
  <c r="H86"/>
  <c r="G86"/>
  <c r="U86" s="1"/>
  <c r="Z86" s="1"/>
  <c r="F86"/>
  <c r="T86" s="1"/>
  <c r="Y86" s="1"/>
  <c r="E86"/>
  <c r="S86" s="1"/>
  <c r="X86" s="1"/>
  <c r="D86"/>
  <c r="C86"/>
  <c r="B86"/>
  <c r="A86"/>
  <c r="U85"/>
  <c r="Z85" s="1"/>
  <c r="T85"/>
  <c r="Y85" s="1"/>
  <c r="Q85"/>
  <c r="N85"/>
  <c r="M85"/>
  <c r="L85"/>
  <c r="K85"/>
  <c r="J85"/>
  <c r="I85"/>
  <c r="O85" s="1"/>
  <c r="H85"/>
  <c r="V85" s="1"/>
  <c r="AA85" s="1"/>
  <c r="G85"/>
  <c r="F85"/>
  <c r="E85"/>
  <c r="S85" s="1"/>
  <c r="X85" s="1"/>
  <c r="D85"/>
  <c r="R85" s="1"/>
  <c r="W85" s="1"/>
  <c r="C85"/>
  <c r="B85"/>
  <c r="A85"/>
  <c r="S84"/>
  <c r="X84" s="1"/>
  <c r="R84"/>
  <c r="W84" s="1"/>
  <c r="O84"/>
  <c r="N84"/>
  <c r="M84"/>
  <c r="L84"/>
  <c r="K84"/>
  <c r="J84"/>
  <c r="I84"/>
  <c r="H84"/>
  <c r="V84" s="1"/>
  <c r="AA84" s="1"/>
  <c r="G84"/>
  <c r="U84" s="1"/>
  <c r="Z84" s="1"/>
  <c r="F84"/>
  <c r="T84" s="1"/>
  <c r="Y84" s="1"/>
  <c r="E84"/>
  <c r="D84"/>
  <c r="C84"/>
  <c r="Q84" s="1"/>
  <c r="B84"/>
  <c r="A84"/>
  <c r="V83"/>
  <c r="AA83" s="1"/>
  <c r="S83"/>
  <c r="X83" s="1"/>
  <c r="R83"/>
  <c r="W83" s="1"/>
  <c r="N83"/>
  <c r="M83"/>
  <c r="L83"/>
  <c r="K83"/>
  <c r="J83"/>
  <c r="I83"/>
  <c r="O83" s="1"/>
  <c r="H83"/>
  <c r="G83"/>
  <c r="U83" s="1"/>
  <c r="Z83" s="1"/>
  <c r="F83"/>
  <c r="T83" s="1"/>
  <c r="Y83" s="1"/>
  <c r="E83"/>
  <c r="D83"/>
  <c r="C83"/>
  <c r="Q83" s="1"/>
  <c r="B83"/>
  <c r="A83"/>
  <c r="V82"/>
  <c r="AA82" s="1"/>
  <c r="U82"/>
  <c r="Z82" s="1"/>
  <c r="Q82"/>
  <c r="N82"/>
  <c r="M82"/>
  <c r="L82"/>
  <c r="K82"/>
  <c r="J82"/>
  <c r="I82"/>
  <c r="O82" s="1"/>
  <c r="H82"/>
  <c r="G82"/>
  <c r="F82"/>
  <c r="T82" s="1"/>
  <c r="Y82" s="1"/>
  <c r="E82"/>
  <c r="S82" s="1"/>
  <c r="X82" s="1"/>
  <c r="D82"/>
  <c r="R82" s="1"/>
  <c r="W82" s="1"/>
  <c r="C82"/>
  <c r="B82"/>
  <c r="A82"/>
  <c r="S81"/>
  <c r="X81" s="1"/>
  <c r="R81"/>
  <c r="W81" s="1"/>
  <c r="O81"/>
  <c r="N81"/>
  <c r="M81"/>
  <c r="L81"/>
  <c r="K81"/>
  <c r="J81"/>
  <c r="I81"/>
  <c r="H81"/>
  <c r="V81" s="1"/>
  <c r="AA81" s="1"/>
  <c r="G81"/>
  <c r="U81" s="1"/>
  <c r="Z81" s="1"/>
  <c r="F81"/>
  <c r="T81" s="1"/>
  <c r="Y81" s="1"/>
  <c r="E81"/>
  <c r="D81"/>
  <c r="C81"/>
  <c r="Q81" s="1"/>
  <c r="B81"/>
  <c r="A81"/>
  <c r="V80"/>
  <c r="AA80" s="1"/>
  <c r="U80"/>
  <c r="Z80" s="1"/>
  <c r="R80"/>
  <c r="W80" s="1"/>
  <c r="Q80"/>
  <c r="N80"/>
  <c r="M80"/>
  <c r="L80"/>
  <c r="K80"/>
  <c r="J80"/>
  <c r="I80"/>
  <c r="O80" s="1"/>
  <c r="H80"/>
  <c r="G80"/>
  <c r="F80"/>
  <c r="T80" s="1"/>
  <c r="Y80" s="1"/>
  <c r="E80"/>
  <c r="S80" s="1"/>
  <c r="X80" s="1"/>
  <c r="D80"/>
  <c r="C80"/>
  <c r="B80"/>
  <c r="A80"/>
  <c r="U79"/>
  <c r="Z79" s="1"/>
  <c r="T79"/>
  <c r="Y79" s="1"/>
  <c r="R79"/>
  <c r="W79" s="1"/>
  <c r="Q79"/>
  <c r="N79"/>
  <c r="M79"/>
  <c r="L79"/>
  <c r="K79"/>
  <c r="J79"/>
  <c r="I79"/>
  <c r="O79" s="1"/>
  <c r="H79"/>
  <c r="V79" s="1"/>
  <c r="AA79" s="1"/>
  <c r="G79"/>
  <c r="F79"/>
  <c r="E79"/>
  <c r="S79" s="1"/>
  <c r="X79" s="1"/>
  <c r="D79"/>
  <c r="C79"/>
  <c r="B79"/>
  <c r="A79"/>
  <c r="T78"/>
  <c r="Y78" s="1"/>
  <c r="R78"/>
  <c r="W78" s="1"/>
  <c r="O78"/>
  <c r="N78"/>
  <c r="M78"/>
  <c r="L78"/>
  <c r="K78"/>
  <c r="J78"/>
  <c r="I78"/>
  <c r="H78"/>
  <c r="V78" s="1"/>
  <c r="AA78" s="1"/>
  <c r="G78"/>
  <c r="U78" s="1"/>
  <c r="Z78" s="1"/>
  <c r="F78"/>
  <c r="E78"/>
  <c r="S78" s="1"/>
  <c r="X78" s="1"/>
  <c r="D78"/>
  <c r="C78"/>
  <c r="Q78" s="1"/>
  <c r="B78"/>
  <c r="A78"/>
  <c r="V77"/>
  <c r="AA77" s="1"/>
  <c r="R77"/>
  <c r="W77" s="1"/>
  <c r="Q77"/>
  <c r="O77"/>
  <c r="N77"/>
  <c r="M77"/>
  <c r="L77"/>
  <c r="K77"/>
  <c r="J77"/>
  <c r="I77"/>
  <c r="H77"/>
  <c r="G77"/>
  <c r="U77" s="1"/>
  <c r="Z77" s="1"/>
  <c r="F77"/>
  <c r="T77" s="1"/>
  <c r="Y77" s="1"/>
  <c r="E77"/>
  <c r="S77" s="1"/>
  <c r="X77" s="1"/>
  <c r="D77"/>
  <c r="C77"/>
  <c r="B77"/>
  <c r="A77"/>
  <c r="U76"/>
  <c r="Z76" s="1"/>
  <c r="T76"/>
  <c r="Y76" s="1"/>
  <c r="Q76"/>
  <c r="N76"/>
  <c r="M76"/>
  <c r="L76"/>
  <c r="K76"/>
  <c r="J76"/>
  <c r="I76"/>
  <c r="O76" s="1"/>
  <c r="H76"/>
  <c r="V76" s="1"/>
  <c r="AA76" s="1"/>
  <c r="G76"/>
  <c r="F76"/>
  <c r="E76"/>
  <c r="S76" s="1"/>
  <c r="X76" s="1"/>
  <c r="D76"/>
  <c r="R76" s="1"/>
  <c r="W76" s="1"/>
  <c r="C76"/>
  <c r="B76"/>
  <c r="A76"/>
  <c r="V75"/>
  <c r="AA75" s="1"/>
  <c r="S75"/>
  <c r="X75" s="1"/>
  <c r="R75"/>
  <c r="W75" s="1"/>
  <c r="O75"/>
  <c r="N75"/>
  <c r="M75"/>
  <c r="L75"/>
  <c r="K75"/>
  <c r="J75"/>
  <c r="I75"/>
  <c r="H75"/>
  <c r="G75"/>
  <c r="U75" s="1"/>
  <c r="Z75" s="1"/>
  <c r="F75"/>
  <c r="T75" s="1"/>
  <c r="Y75" s="1"/>
  <c r="E75"/>
  <c r="D75"/>
  <c r="C75"/>
  <c r="Q75" s="1"/>
  <c r="B75"/>
  <c r="A75"/>
  <c r="V74"/>
  <c r="AA74" s="1"/>
  <c r="S74"/>
  <c r="X74" s="1"/>
  <c r="R74"/>
  <c r="W74" s="1"/>
  <c r="N74"/>
  <c r="M74"/>
  <c r="L74"/>
  <c r="K74"/>
  <c r="J74"/>
  <c r="I74"/>
  <c r="O74" s="1"/>
  <c r="H74"/>
  <c r="G74"/>
  <c r="U74" s="1"/>
  <c r="Z74" s="1"/>
  <c r="F74"/>
  <c r="T74" s="1"/>
  <c r="Y74" s="1"/>
  <c r="E74"/>
  <c r="D74"/>
  <c r="C74"/>
  <c r="Q74" s="1"/>
  <c r="B74"/>
  <c r="A74"/>
  <c r="V73"/>
  <c r="AA73" s="1"/>
  <c r="U73"/>
  <c r="Z73" s="1"/>
  <c r="Q73"/>
  <c r="N73"/>
  <c r="M73"/>
  <c r="L73"/>
  <c r="K73"/>
  <c r="J73"/>
  <c r="I73"/>
  <c r="O73" s="1"/>
  <c r="H73"/>
  <c r="G73"/>
  <c r="F73"/>
  <c r="T73" s="1"/>
  <c r="Y73" s="1"/>
  <c r="E73"/>
  <c r="S73" s="1"/>
  <c r="X73" s="1"/>
  <c r="D73"/>
  <c r="R73" s="1"/>
  <c r="W73" s="1"/>
  <c r="C73"/>
  <c r="B73"/>
  <c r="A73"/>
  <c r="S72"/>
  <c r="X72" s="1"/>
  <c r="R72"/>
  <c r="W72" s="1"/>
  <c r="O72"/>
  <c r="N72"/>
  <c r="M72"/>
  <c r="L72"/>
  <c r="K72"/>
  <c r="J72"/>
  <c r="I72"/>
  <c r="H72"/>
  <c r="V72" s="1"/>
  <c r="AA72" s="1"/>
  <c r="G72"/>
  <c r="U72" s="1"/>
  <c r="Z72" s="1"/>
  <c r="F72"/>
  <c r="T72" s="1"/>
  <c r="Y72" s="1"/>
  <c r="E72"/>
  <c r="D72"/>
  <c r="C72"/>
  <c r="Q72" s="1"/>
  <c r="B72"/>
  <c r="A72"/>
  <c r="V71"/>
  <c r="AA71" s="1"/>
  <c r="U71"/>
  <c r="Z71" s="1"/>
  <c r="R71"/>
  <c r="W71" s="1"/>
  <c r="Q71"/>
  <c r="N71"/>
  <c r="M71"/>
  <c r="L71"/>
  <c r="K71"/>
  <c r="J71"/>
  <c r="I71"/>
  <c r="O71" s="1"/>
  <c r="H71"/>
  <c r="G71"/>
  <c r="F71"/>
  <c r="T71" s="1"/>
  <c r="Y71" s="1"/>
  <c r="E71"/>
  <c r="S71" s="1"/>
  <c r="X71" s="1"/>
  <c r="D71"/>
  <c r="C71"/>
  <c r="B71"/>
  <c r="A71"/>
  <c r="U70"/>
  <c r="Z70" s="1"/>
  <c r="T70"/>
  <c r="Y70" s="1"/>
  <c r="R70"/>
  <c r="W70" s="1"/>
  <c r="Q70"/>
  <c r="N70"/>
  <c r="M70"/>
  <c r="L70"/>
  <c r="K70"/>
  <c r="J70"/>
  <c r="I70"/>
  <c r="O70" s="1"/>
  <c r="H70"/>
  <c r="V70" s="1"/>
  <c r="AA70" s="1"/>
  <c r="G70"/>
  <c r="F70"/>
  <c r="E70"/>
  <c r="S70" s="1"/>
  <c r="X70" s="1"/>
  <c r="D70"/>
  <c r="C70"/>
  <c r="B70"/>
  <c r="A70"/>
  <c r="T69"/>
  <c r="Y69" s="1"/>
  <c r="R69"/>
  <c r="W69" s="1"/>
  <c r="O69"/>
  <c r="N69"/>
  <c r="M69"/>
  <c r="L69"/>
  <c r="K69"/>
  <c r="J69"/>
  <c r="I69"/>
  <c r="H69"/>
  <c r="V69" s="1"/>
  <c r="AA69" s="1"/>
  <c r="G69"/>
  <c r="U69" s="1"/>
  <c r="Z69" s="1"/>
  <c r="F69"/>
  <c r="E69"/>
  <c r="S69" s="1"/>
  <c r="X69" s="1"/>
  <c r="D69"/>
  <c r="C69"/>
  <c r="Q69" s="1"/>
  <c r="B69"/>
  <c r="A69"/>
  <c r="V68"/>
  <c r="AA68" s="1"/>
  <c r="R68"/>
  <c r="W68" s="1"/>
  <c r="Q68"/>
  <c r="O68"/>
  <c r="N68"/>
  <c r="M68"/>
  <c r="L68"/>
  <c r="K68"/>
  <c r="J68"/>
  <c r="I68"/>
  <c r="H68"/>
  <c r="G68"/>
  <c r="U68" s="1"/>
  <c r="Z68" s="1"/>
  <c r="F68"/>
  <c r="T68" s="1"/>
  <c r="Y68" s="1"/>
  <c r="E68"/>
  <c r="S68" s="1"/>
  <c r="X68" s="1"/>
  <c r="D68"/>
  <c r="C68"/>
  <c r="B68"/>
  <c r="A68"/>
  <c r="U67"/>
  <c r="Z67" s="1"/>
  <c r="T67"/>
  <c r="Y67" s="1"/>
  <c r="Q67"/>
  <c r="N67"/>
  <c r="M67"/>
  <c r="L67"/>
  <c r="K67"/>
  <c r="J67"/>
  <c r="I67"/>
  <c r="O67" s="1"/>
  <c r="H67"/>
  <c r="V67" s="1"/>
  <c r="AA67" s="1"/>
  <c r="G67"/>
  <c r="F67"/>
  <c r="E67"/>
  <c r="S67" s="1"/>
  <c r="X67" s="1"/>
  <c r="D67"/>
  <c r="R67" s="1"/>
  <c r="W67" s="1"/>
  <c r="C67"/>
  <c r="B67"/>
  <c r="A67"/>
  <c r="V66"/>
  <c r="AA66" s="1"/>
  <c r="S66"/>
  <c r="X66" s="1"/>
  <c r="R66"/>
  <c r="W66" s="1"/>
  <c r="O66"/>
  <c r="N66"/>
  <c r="M66"/>
  <c r="L66"/>
  <c r="K66"/>
  <c r="J66"/>
  <c r="I66"/>
  <c r="H66"/>
  <c r="G66"/>
  <c r="U66" s="1"/>
  <c r="Z66" s="1"/>
  <c r="F66"/>
  <c r="T66" s="1"/>
  <c r="Y66" s="1"/>
  <c r="E66"/>
  <c r="D66"/>
  <c r="C66"/>
  <c r="Q66" s="1"/>
  <c r="B66"/>
  <c r="A66"/>
  <c r="V65"/>
  <c r="AA65" s="1"/>
  <c r="S65"/>
  <c r="X65" s="1"/>
  <c r="R65"/>
  <c r="W65" s="1"/>
  <c r="N65"/>
  <c r="M65"/>
  <c r="L65"/>
  <c r="K65"/>
  <c r="J65"/>
  <c r="I65"/>
  <c r="O65" s="1"/>
  <c r="H65"/>
  <c r="G65"/>
  <c r="U65" s="1"/>
  <c r="Z65" s="1"/>
  <c r="F65"/>
  <c r="T65" s="1"/>
  <c r="Y65" s="1"/>
  <c r="E65"/>
  <c r="D65"/>
  <c r="C65"/>
  <c r="Q65" s="1"/>
  <c r="B65"/>
  <c r="A65"/>
  <c r="V64"/>
  <c r="AA64" s="1"/>
  <c r="U64"/>
  <c r="Z64" s="1"/>
  <c r="Q64"/>
  <c r="N64"/>
  <c r="M64"/>
  <c r="L64"/>
  <c r="K64"/>
  <c r="J64"/>
  <c r="I64"/>
  <c r="O64" s="1"/>
  <c r="H64"/>
  <c r="G64"/>
  <c r="F64"/>
  <c r="T64" s="1"/>
  <c r="Y64" s="1"/>
  <c r="E64"/>
  <c r="S64" s="1"/>
  <c r="X64" s="1"/>
  <c r="D64"/>
  <c r="R64" s="1"/>
  <c r="W64" s="1"/>
  <c r="C64"/>
  <c r="B64"/>
  <c r="A64"/>
  <c r="S63"/>
  <c r="X63" s="1"/>
  <c r="R63"/>
  <c r="W63" s="1"/>
  <c r="O63"/>
  <c r="N63"/>
  <c r="M63"/>
  <c r="L63"/>
  <c r="K63"/>
  <c r="J63"/>
  <c r="I63"/>
  <c r="H63"/>
  <c r="V63" s="1"/>
  <c r="AA63" s="1"/>
  <c r="G63"/>
  <c r="U63" s="1"/>
  <c r="Z63" s="1"/>
  <c r="F63"/>
  <c r="T63" s="1"/>
  <c r="Y63" s="1"/>
  <c r="E63"/>
  <c r="D63"/>
  <c r="C63"/>
  <c r="Q63" s="1"/>
  <c r="B63"/>
  <c r="A63"/>
  <c r="V62"/>
  <c r="AA62" s="1"/>
  <c r="U62"/>
  <c r="Z62" s="1"/>
  <c r="R62"/>
  <c r="W62" s="1"/>
  <c r="Q62"/>
  <c r="N62"/>
  <c r="M62"/>
  <c r="L62"/>
  <c r="K62"/>
  <c r="J62"/>
  <c r="I62"/>
  <c r="O62" s="1"/>
  <c r="H62"/>
  <c r="G62"/>
  <c r="F62"/>
  <c r="T62" s="1"/>
  <c r="Y62" s="1"/>
  <c r="E62"/>
  <c r="S62" s="1"/>
  <c r="X62" s="1"/>
  <c r="D62"/>
  <c r="C62"/>
  <c r="B62"/>
  <c r="A62"/>
  <c r="U61"/>
  <c r="Z61" s="1"/>
  <c r="T61"/>
  <c r="Y61" s="1"/>
  <c r="R61"/>
  <c r="W61" s="1"/>
  <c r="Q61"/>
  <c r="N61"/>
  <c r="M61"/>
  <c r="L61"/>
  <c r="K61"/>
  <c r="J61"/>
  <c r="I61"/>
  <c r="O61" s="1"/>
  <c r="H61"/>
  <c r="V61" s="1"/>
  <c r="AA61" s="1"/>
  <c r="G61"/>
  <c r="F61"/>
  <c r="E61"/>
  <c r="S61" s="1"/>
  <c r="X61" s="1"/>
  <c r="D61"/>
  <c r="C61"/>
  <c r="B61"/>
  <c r="A61"/>
  <c r="T60"/>
  <c r="Y60" s="1"/>
  <c r="R60"/>
  <c r="W60" s="1"/>
  <c r="O60"/>
  <c r="N60"/>
  <c r="M60"/>
  <c r="L60"/>
  <c r="K60"/>
  <c r="J60"/>
  <c r="I60"/>
  <c r="H60"/>
  <c r="V60" s="1"/>
  <c r="AA60" s="1"/>
  <c r="G60"/>
  <c r="U60" s="1"/>
  <c r="Z60" s="1"/>
  <c r="F60"/>
  <c r="E60"/>
  <c r="S60" s="1"/>
  <c r="X60" s="1"/>
  <c r="D60"/>
  <c r="C60"/>
  <c r="Q60" s="1"/>
  <c r="B60"/>
  <c r="A60"/>
  <c r="V59"/>
  <c r="AA59" s="1"/>
  <c r="R59"/>
  <c r="W59" s="1"/>
  <c r="Q59"/>
  <c r="O59"/>
  <c r="N59"/>
  <c r="M59"/>
  <c r="L59"/>
  <c r="K59"/>
  <c r="J59"/>
  <c r="I59"/>
  <c r="H59"/>
  <c r="G59"/>
  <c r="U59" s="1"/>
  <c r="Z59" s="1"/>
  <c r="F59"/>
  <c r="T59" s="1"/>
  <c r="Y59" s="1"/>
  <c r="E59"/>
  <c r="S59" s="1"/>
  <c r="X59" s="1"/>
  <c r="D59"/>
  <c r="C59"/>
  <c r="B59"/>
  <c r="A59"/>
  <c r="U58"/>
  <c r="Z58" s="1"/>
  <c r="T58"/>
  <c r="Y58" s="1"/>
  <c r="Q58"/>
  <c r="N58"/>
  <c r="M58"/>
  <c r="L58"/>
  <c r="K58"/>
  <c r="J58"/>
  <c r="I58"/>
  <c r="O58" s="1"/>
  <c r="H58"/>
  <c r="V58" s="1"/>
  <c r="AA58" s="1"/>
  <c r="G58"/>
  <c r="F58"/>
  <c r="E58"/>
  <c r="S58" s="1"/>
  <c r="X58" s="1"/>
  <c r="D58"/>
  <c r="R58" s="1"/>
  <c r="W58" s="1"/>
  <c r="C58"/>
  <c r="B58"/>
  <c r="A58"/>
  <c r="V57"/>
  <c r="AA57" s="1"/>
  <c r="S57"/>
  <c r="X57" s="1"/>
  <c r="R57"/>
  <c r="W57" s="1"/>
  <c r="O57"/>
  <c r="N57"/>
  <c r="M57"/>
  <c r="L57"/>
  <c r="K57"/>
  <c r="J57"/>
  <c r="I57"/>
  <c r="H57"/>
  <c r="G57"/>
  <c r="U57" s="1"/>
  <c r="Z57" s="1"/>
  <c r="F57"/>
  <c r="T57" s="1"/>
  <c r="Y57" s="1"/>
  <c r="E57"/>
  <c r="D57"/>
  <c r="C57"/>
  <c r="Q57" s="1"/>
  <c r="B57"/>
  <c r="A57"/>
  <c r="V56"/>
  <c r="AA56" s="1"/>
  <c r="S56"/>
  <c r="X56" s="1"/>
  <c r="R56"/>
  <c r="W56" s="1"/>
  <c r="N56"/>
  <c r="M56"/>
  <c r="L56"/>
  <c r="K56"/>
  <c r="J56"/>
  <c r="I56"/>
  <c r="O56" s="1"/>
  <c r="H56"/>
  <c r="G56"/>
  <c r="U56" s="1"/>
  <c r="Z56" s="1"/>
  <c r="F56"/>
  <c r="T56" s="1"/>
  <c r="Y56" s="1"/>
  <c r="E56"/>
  <c r="D56"/>
  <c r="C56"/>
  <c r="Q56" s="1"/>
  <c r="B56"/>
  <c r="A56"/>
  <c r="V55"/>
  <c r="AA55" s="1"/>
  <c r="U55"/>
  <c r="Z55" s="1"/>
  <c r="Q55"/>
  <c r="N55"/>
  <c r="M55"/>
  <c r="L55"/>
  <c r="K55"/>
  <c r="J55"/>
  <c r="I55"/>
  <c r="O55" s="1"/>
  <c r="H55"/>
  <c r="G55"/>
  <c r="F55"/>
  <c r="T55" s="1"/>
  <c r="Y55" s="1"/>
  <c r="E55"/>
  <c r="S55" s="1"/>
  <c r="X55" s="1"/>
  <c r="D55"/>
  <c r="R55" s="1"/>
  <c r="W55" s="1"/>
  <c r="C55"/>
  <c r="B55"/>
  <c r="A55"/>
  <c r="S54"/>
  <c r="X54" s="1"/>
  <c r="R54"/>
  <c r="W54" s="1"/>
  <c r="O54"/>
  <c r="N54"/>
  <c r="M54"/>
  <c r="L54"/>
  <c r="K54"/>
  <c r="J54"/>
  <c r="I54"/>
  <c r="H54"/>
  <c r="V54" s="1"/>
  <c r="AA54" s="1"/>
  <c r="G54"/>
  <c r="U54" s="1"/>
  <c r="Z54" s="1"/>
  <c r="F54"/>
  <c r="T54" s="1"/>
  <c r="Y54" s="1"/>
  <c r="E54"/>
  <c r="D54"/>
  <c r="C54"/>
  <c r="Q54" s="1"/>
  <c r="B54"/>
  <c r="A54"/>
  <c r="V53"/>
  <c r="AA53" s="1"/>
  <c r="U53"/>
  <c r="Z53" s="1"/>
  <c r="R53"/>
  <c r="W53" s="1"/>
  <c r="Q53"/>
  <c r="N53"/>
  <c r="M53"/>
  <c r="L53"/>
  <c r="K53"/>
  <c r="J53"/>
  <c r="I53"/>
  <c r="O53" s="1"/>
  <c r="H53"/>
  <c r="G53"/>
  <c r="F53"/>
  <c r="T53" s="1"/>
  <c r="Y53" s="1"/>
  <c r="E53"/>
  <c r="S53" s="1"/>
  <c r="X53" s="1"/>
  <c r="D53"/>
  <c r="C53"/>
  <c r="B53"/>
  <c r="A53"/>
  <c r="U52"/>
  <c r="Z52" s="1"/>
  <c r="T52"/>
  <c r="Y52" s="1"/>
  <c r="R52"/>
  <c r="W52" s="1"/>
  <c r="Q52"/>
  <c r="N52"/>
  <c r="M52"/>
  <c r="L52"/>
  <c r="K52"/>
  <c r="J52"/>
  <c r="I52"/>
  <c r="O52" s="1"/>
  <c r="H52"/>
  <c r="V52" s="1"/>
  <c r="AA52" s="1"/>
  <c r="G52"/>
  <c r="F52"/>
  <c r="E52"/>
  <c r="S52" s="1"/>
  <c r="X52" s="1"/>
  <c r="D52"/>
  <c r="C52"/>
  <c r="B52"/>
  <c r="A52"/>
  <c r="T51"/>
  <c r="Y51" s="1"/>
  <c r="R51"/>
  <c r="W51" s="1"/>
  <c r="O51"/>
  <c r="N51"/>
  <c r="M51"/>
  <c r="L51"/>
  <c r="K51"/>
  <c r="J51"/>
  <c r="I51"/>
  <c r="H51"/>
  <c r="V51" s="1"/>
  <c r="AA51" s="1"/>
  <c r="G51"/>
  <c r="U51" s="1"/>
  <c r="Z51" s="1"/>
  <c r="F51"/>
  <c r="E51"/>
  <c r="S51" s="1"/>
  <c r="X51" s="1"/>
  <c r="D51"/>
  <c r="C51"/>
  <c r="Q51" s="1"/>
  <c r="B51"/>
  <c r="A51"/>
  <c r="V50"/>
  <c r="AA50" s="1"/>
  <c r="R50"/>
  <c r="W50" s="1"/>
  <c r="Q50"/>
  <c r="O50"/>
  <c r="N50"/>
  <c r="M50"/>
  <c r="L50"/>
  <c r="K50"/>
  <c r="J50"/>
  <c r="I50"/>
  <c r="H50"/>
  <c r="G50"/>
  <c r="U50" s="1"/>
  <c r="Z50" s="1"/>
  <c r="F50"/>
  <c r="T50" s="1"/>
  <c r="Y50" s="1"/>
  <c r="E50"/>
  <c r="S50" s="1"/>
  <c r="X50" s="1"/>
  <c r="D50"/>
  <c r="C50"/>
  <c r="B50"/>
  <c r="A50"/>
  <c r="U49"/>
  <c r="Z49" s="1"/>
  <c r="T49"/>
  <c r="Y49" s="1"/>
  <c r="Q49"/>
  <c r="N49"/>
  <c r="M49"/>
  <c r="L49"/>
  <c r="K49"/>
  <c r="J49"/>
  <c r="I49"/>
  <c r="O49" s="1"/>
  <c r="H49"/>
  <c r="V49" s="1"/>
  <c r="AA49" s="1"/>
  <c r="G49"/>
  <c r="F49"/>
  <c r="E49"/>
  <c r="S49" s="1"/>
  <c r="X49" s="1"/>
  <c r="D49"/>
  <c r="R49" s="1"/>
  <c r="W49" s="1"/>
  <c r="C49"/>
  <c r="B49"/>
  <c r="A49"/>
  <c r="V48"/>
  <c r="AA48" s="1"/>
  <c r="S48"/>
  <c r="X48" s="1"/>
  <c r="R48"/>
  <c r="W48" s="1"/>
  <c r="O48"/>
  <c r="N48"/>
  <c r="M48"/>
  <c r="L48"/>
  <c r="K48"/>
  <c r="J48"/>
  <c r="I48"/>
  <c r="H48"/>
  <c r="G48"/>
  <c r="U48" s="1"/>
  <c r="Z48" s="1"/>
  <c r="F48"/>
  <c r="T48" s="1"/>
  <c r="Y48" s="1"/>
  <c r="E48"/>
  <c r="D48"/>
  <c r="C48"/>
  <c r="Q48" s="1"/>
  <c r="B48"/>
  <c r="A48"/>
  <c r="V47"/>
  <c r="AA47" s="1"/>
  <c r="S47"/>
  <c r="X47" s="1"/>
  <c r="R47"/>
  <c r="W47" s="1"/>
  <c r="N47"/>
  <c r="M47"/>
  <c r="L47"/>
  <c r="K47"/>
  <c r="J47"/>
  <c r="I47"/>
  <c r="O47" s="1"/>
  <c r="H47"/>
  <c r="G47"/>
  <c r="U47" s="1"/>
  <c r="Z47" s="1"/>
  <c r="F47"/>
  <c r="T47" s="1"/>
  <c r="Y47" s="1"/>
  <c r="E47"/>
  <c r="D47"/>
  <c r="C47"/>
  <c r="Q47" s="1"/>
  <c r="B47"/>
  <c r="A47"/>
  <c r="V46"/>
  <c r="AA46" s="1"/>
  <c r="U46"/>
  <c r="Z46" s="1"/>
  <c r="Q46"/>
  <c r="N46"/>
  <c r="M46"/>
  <c r="L46"/>
  <c r="K46"/>
  <c r="J46"/>
  <c r="I46"/>
  <c r="O46" s="1"/>
  <c r="H46"/>
  <c r="G46"/>
  <c r="F46"/>
  <c r="T46" s="1"/>
  <c r="Y46" s="1"/>
  <c r="E46"/>
  <c r="S46" s="1"/>
  <c r="X46" s="1"/>
  <c r="D46"/>
  <c r="R46" s="1"/>
  <c r="W46" s="1"/>
  <c r="C46"/>
  <c r="B46"/>
  <c r="A46"/>
  <c r="S45"/>
  <c r="X45" s="1"/>
  <c r="R45"/>
  <c r="W45" s="1"/>
  <c r="O45"/>
  <c r="N45"/>
  <c r="M45"/>
  <c r="L45"/>
  <c r="K45"/>
  <c r="J45"/>
  <c r="I45"/>
  <c r="H45"/>
  <c r="V45" s="1"/>
  <c r="AA45" s="1"/>
  <c r="G45"/>
  <c r="U45" s="1"/>
  <c r="Z45" s="1"/>
  <c r="F45"/>
  <c r="T45" s="1"/>
  <c r="Y45" s="1"/>
  <c r="E45"/>
  <c r="D45"/>
  <c r="C45"/>
  <c r="Q45" s="1"/>
  <c r="B45"/>
  <c r="A45"/>
  <c r="V44"/>
  <c r="AA44" s="1"/>
  <c r="U44"/>
  <c r="Z44" s="1"/>
  <c r="R44"/>
  <c r="W44" s="1"/>
  <c r="Q44"/>
  <c r="N44"/>
  <c r="M44"/>
  <c r="L44"/>
  <c r="K44"/>
  <c r="J44"/>
  <c r="I44"/>
  <c r="O44" s="1"/>
  <c r="H44"/>
  <c r="G44"/>
  <c r="F44"/>
  <c r="T44" s="1"/>
  <c r="Y44" s="1"/>
  <c r="E44"/>
  <c r="S44" s="1"/>
  <c r="X44" s="1"/>
  <c r="D44"/>
  <c r="C44"/>
  <c r="B44"/>
  <c r="A44"/>
  <c r="U43"/>
  <c r="Z43" s="1"/>
  <c r="T43"/>
  <c r="Y43" s="1"/>
  <c r="R43"/>
  <c r="W43" s="1"/>
  <c r="Q43"/>
  <c r="N43"/>
  <c r="M43"/>
  <c r="L43"/>
  <c r="K43"/>
  <c r="J43"/>
  <c r="I43"/>
  <c r="O43" s="1"/>
  <c r="H43"/>
  <c r="V43" s="1"/>
  <c r="AA43" s="1"/>
  <c r="G43"/>
  <c r="F43"/>
  <c r="E43"/>
  <c r="S43" s="1"/>
  <c r="X43" s="1"/>
  <c r="D43"/>
  <c r="C43"/>
  <c r="B43"/>
  <c r="A43"/>
  <c r="T42"/>
  <c r="Y42" s="1"/>
  <c r="R42"/>
  <c r="W42" s="1"/>
  <c r="O42"/>
  <c r="N42"/>
  <c r="M42"/>
  <c r="L42"/>
  <c r="K42"/>
  <c r="J42"/>
  <c r="I42"/>
  <c r="H42"/>
  <c r="V42" s="1"/>
  <c r="AA42" s="1"/>
  <c r="G42"/>
  <c r="U42" s="1"/>
  <c r="Z42" s="1"/>
  <c r="F42"/>
  <c r="E42"/>
  <c r="S42" s="1"/>
  <c r="X42" s="1"/>
  <c r="D42"/>
  <c r="C42"/>
  <c r="Q42" s="1"/>
  <c r="B42"/>
  <c r="A42"/>
  <c r="V41"/>
  <c r="AA41" s="1"/>
  <c r="R41"/>
  <c r="W41" s="1"/>
  <c r="Q41"/>
  <c r="O41"/>
  <c r="N41"/>
  <c r="M41"/>
  <c r="L41"/>
  <c r="K41"/>
  <c r="J41"/>
  <c r="I41"/>
  <c r="H41"/>
  <c r="G41"/>
  <c r="U41" s="1"/>
  <c r="Z41" s="1"/>
  <c r="F41"/>
  <c r="T41" s="1"/>
  <c r="Y41" s="1"/>
  <c r="E41"/>
  <c r="S41" s="1"/>
  <c r="X41" s="1"/>
  <c r="D41"/>
  <c r="C41"/>
  <c r="B41"/>
  <c r="A41"/>
  <c r="U40"/>
  <c r="Z40" s="1"/>
  <c r="T40"/>
  <c r="Y40" s="1"/>
  <c r="Q40"/>
  <c r="N40"/>
  <c r="M40"/>
  <c r="L40"/>
  <c r="K40"/>
  <c r="J40"/>
  <c r="I40"/>
  <c r="O40" s="1"/>
  <c r="H40"/>
  <c r="V40" s="1"/>
  <c r="AA40" s="1"/>
  <c r="G40"/>
  <c r="F40"/>
  <c r="E40"/>
  <c r="S40" s="1"/>
  <c r="X40" s="1"/>
  <c r="D40"/>
  <c r="R40" s="1"/>
  <c r="W40" s="1"/>
  <c r="C40"/>
  <c r="B40"/>
  <c r="A40"/>
  <c r="V39"/>
  <c r="AA39" s="1"/>
  <c r="S39"/>
  <c r="X39" s="1"/>
  <c r="R39"/>
  <c r="W39" s="1"/>
  <c r="O39"/>
  <c r="N39"/>
  <c r="M39"/>
  <c r="L39"/>
  <c r="K39"/>
  <c r="J39"/>
  <c r="I39"/>
  <c r="H39"/>
  <c r="G39"/>
  <c r="U39" s="1"/>
  <c r="Z39" s="1"/>
  <c r="F39"/>
  <c r="T39" s="1"/>
  <c r="Y39" s="1"/>
  <c r="E39"/>
  <c r="D39"/>
  <c r="C39"/>
  <c r="Q39" s="1"/>
  <c r="B39"/>
  <c r="A39"/>
  <c r="V38"/>
  <c r="AA38" s="1"/>
  <c r="S38"/>
  <c r="X38" s="1"/>
  <c r="R38"/>
  <c r="W38" s="1"/>
  <c r="N38"/>
  <c r="M38"/>
  <c r="L38"/>
  <c r="K38"/>
  <c r="J38"/>
  <c r="I38"/>
  <c r="O38" s="1"/>
  <c r="H38"/>
  <c r="G38"/>
  <c r="U38" s="1"/>
  <c r="Z38" s="1"/>
  <c r="F38"/>
  <c r="T38" s="1"/>
  <c r="Y38" s="1"/>
  <c r="E38"/>
  <c r="D38"/>
  <c r="C38"/>
  <c r="Q38" s="1"/>
  <c r="B38"/>
  <c r="A38"/>
  <c r="V37"/>
  <c r="AA37" s="1"/>
  <c r="U37"/>
  <c r="Z37" s="1"/>
  <c r="Q37"/>
  <c r="N37"/>
  <c r="M37"/>
  <c r="L37"/>
  <c r="K37"/>
  <c r="J37"/>
  <c r="I37"/>
  <c r="O37" s="1"/>
  <c r="H37"/>
  <c r="G37"/>
  <c r="F37"/>
  <c r="T37" s="1"/>
  <c r="Y37" s="1"/>
  <c r="E37"/>
  <c r="S37" s="1"/>
  <c r="X37" s="1"/>
  <c r="D37"/>
  <c r="R37" s="1"/>
  <c r="W37" s="1"/>
  <c r="C37"/>
  <c r="B37"/>
  <c r="A37"/>
  <c r="S36"/>
  <c r="X36" s="1"/>
  <c r="R36"/>
  <c r="W36" s="1"/>
  <c r="O36"/>
  <c r="N36"/>
  <c r="M36"/>
  <c r="L36"/>
  <c r="K36"/>
  <c r="J36"/>
  <c r="I36"/>
  <c r="H36"/>
  <c r="V36" s="1"/>
  <c r="AA36" s="1"/>
  <c r="G36"/>
  <c r="U36" s="1"/>
  <c r="Z36" s="1"/>
  <c r="F36"/>
  <c r="T36" s="1"/>
  <c r="Y36" s="1"/>
  <c r="E36"/>
  <c r="D36"/>
  <c r="C36"/>
  <c r="Q36" s="1"/>
  <c r="B36"/>
  <c r="A36"/>
  <c r="V35"/>
  <c r="AA35" s="1"/>
  <c r="U35"/>
  <c r="Z35" s="1"/>
  <c r="R35"/>
  <c r="W35" s="1"/>
  <c r="Q35"/>
  <c r="N35"/>
  <c r="M35"/>
  <c r="L35"/>
  <c r="K35"/>
  <c r="J35"/>
  <c r="I35"/>
  <c r="O35" s="1"/>
  <c r="H35"/>
  <c r="G35"/>
  <c r="F35"/>
  <c r="T35" s="1"/>
  <c r="Y35" s="1"/>
  <c r="E35"/>
  <c r="S35" s="1"/>
  <c r="X35" s="1"/>
  <c r="D35"/>
  <c r="C35"/>
  <c r="B35"/>
  <c r="A35"/>
  <c r="U34"/>
  <c r="Z34" s="1"/>
  <c r="T34"/>
  <c r="Y34" s="1"/>
  <c r="R34"/>
  <c r="W34" s="1"/>
  <c r="Q34"/>
  <c r="N34"/>
  <c r="M34"/>
  <c r="L34"/>
  <c r="K34"/>
  <c r="J34"/>
  <c r="I34"/>
  <c r="O34" s="1"/>
  <c r="H34"/>
  <c r="V34" s="1"/>
  <c r="AA34" s="1"/>
  <c r="G34"/>
  <c r="F34"/>
  <c r="E34"/>
  <c r="S34" s="1"/>
  <c r="X34" s="1"/>
  <c r="D34"/>
  <c r="C34"/>
  <c r="B34"/>
  <c r="A34"/>
  <c r="T33"/>
  <c r="Y33" s="1"/>
  <c r="R33"/>
  <c r="W33" s="1"/>
  <c r="O33"/>
  <c r="N33"/>
  <c r="M33"/>
  <c r="L33"/>
  <c r="K33"/>
  <c r="J33"/>
  <c r="I33"/>
  <c r="H33"/>
  <c r="V33" s="1"/>
  <c r="AA33" s="1"/>
  <c r="G33"/>
  <c r="U33" s="1"/>
  <c r="Z33" s="1"/>
  <c r="F33"/>
  <c r="E33"/>
  <c r="S33" s="1"/>
  <c r="X33" s="1"/>
  <c r="D33"/>
  <c r="C33"/>
  <c r="Q33" s="1"/>
  <c r="B33"/>
  <c r="A33"/>
  <c r="V32"/>
  <c r="AA32" s="1"/>
  <c r="R32"/>
  <c r="W32" s="1"/>
  <c r="Q32"/>
  <c r="O32"/>
  <c r="N32"/>
  <c r="M32"/>
  <c r="L32"/>
  <c r="K32"/>
  <c r="J32"/>
  <c r="I32"/>
  <c r="H32"/>
  <c r="G32"/>
  <c r="U32" s="1"/>
  <c r="Z32" s="1"/>
  <c r="F32"/>
  <c r="T32" s="1"/>
  <c r="Y32" s="1"/>
  <c r="E32"/>
  <c r="S32" s="1"/>
  <c r="X32" s="1"/>
  <c r="D32"/>
  <c r="C32"/>
  <c r="B32"/>
  <c r="A32"/>
  <c r="U31"/>
  <c r="Z31" s="1"/>
  <c r="T31"/>
  <c r="Y31" s="1"/>
  <c r="Q31"/>
  <c r="N31"/>
  <c r="M31"/>
  <c r="L31"/>
  <c r="K31"/>
  <c r="J31"/>
  <c r="I31"/>
  <c r="O31" s="1"/>
  <c r="H31"/>
  <c r="V31" s="1"/>
  <c r="AA31" s="1"/>
  <c r="G31"/>
  <c r="F31"/>
  <c r="E31"/>
  <c r="S31" s="1"/>
  <c r="X31" s="1"/>
  <c r="D31"/>
  <c r="R31" s="1"/>
  <c r="W31" s="1"/>
  <c r="C31"/>
  <c r="B31"/>
  <c r="A31"/>
  <c r="V30"/>
  <c r="AA30" s="1"/>
  <c r="S30"/>
  <c r="X30" s="1"/>
  <c r="R30"/>
  <c r="W30" s="1"/>
  <c r="O30"/>
  <c r="N30"/>
  <c r="M30"/>
  <c r="L30"/>
  <c r="K30"/>
  <c r="J30"/>
  <c r="I30"/>
  <c r="H30"/>
  <c r="G30"/>
  <c r="U30" s="1"/>
  <c r="Z30" s="1"/>
  <c r="F30"/>
  <c r="T30" s="1"/>
  <c r="Y30" s="1"/>
  <c r="E30"/>
  <c r="D30"/>
  <c r="C30"/>
  <c r="Q30" s="1"/>
  <c r="B30"/>
  <c r="A30"/>
  <c r="V29"/>
  <c r="AA29" s="1"/>
  <c r="S29"/>
  <c r="X29" s="1"/>
  <c r="R29"/>
  <c r="W29" s="1"/>
  <c r="N29"/>
  <c r="M29"/>
  <c r="L29"/>
  <c r="K29"/>
  <c r="J29"/>
  <c r="I29"/>
  <c r="O29" s="1"/>
  <c r="H29"/>
  <c r="G29"/>
  <c r="U29" s="1"/>
  <c r="Z29" s="1"/>
  <c r="F29"/>
  <c r="T29" s="1"/>
  <c r="Y29" s="1"/>
  <c r="E29"/>
  <c r="D29"/>
  <c r="C29"/>
  <c r="Q29" s="1"/>
  <c r="B29"/>
  <c r="A29"/>
  <c r="V28"/>
  <c r="AA28" s="1"/>
  <c r="U28"/>
  <c r="Z28" s="1"/>
  <c r="Q28"/>
  <c r="N28"/>
  <c r="M28"/>
  <c r="L28"/>
  <c r="K28"/>
  <c r="J28"/>
  <c r="I28"/>
  <c r="O28" s="1"/>
  <c r="H28"/>
  <c r="G28"/>
  <c r="F28"/>
  <c r="T28" s="1"/>
  <c r="Y28" s="1"/>
  <c r="E28"/>
  <c r="S28" s="1"/>
  <c r="X28" s="1"/>
  <c r="D28"/>
  <c r="R28" s="1"/>
  <c r="W28" s="1"/>
  <c r="C28"/>
  <c r="B28"/>
  <c r="A28"/>
  <c r="U27"/>
  <c r="Z27" s="1"/>
  <c r="T27"/>
  <c r="Y27" s="1"/>
  <c r="Q27"/>
  <c r="N27"/>
  <c r="M27"/>
  <c r="L27"/>
  <c r="K27"/>
  <c r="J27"/>
  <c r="I27"/>
  <c r="O27" s="1"/>
  <c r="H27"/>
  <c r="V27" s="1"/>
  <c r="AA27" s="1"/>
  <c r="G27"/>
  <c r="F27"/>
  <c r="E27"/>
  <c r="S27" s="1"/>
  <c r="X27" s="1"/>
  <c r="D27"/>
  <c r="R27" s="1"/>
  <c r="W27" s="1"/>
  <c r="C27"/>
  <c r="B27"/>
  <c r="A27"/>
  <c r="U26"/>
  <c r="Z26" s="1"/>
  <c r="T26"/>
  <c r="Y26" s="1"/>
  <c r="R26"/>
  <c r="W26" s="1"/>
  <c r="Q26"/>
  <c r="N26"/>
  <c r="M26"/>
  <c r="L26"/>
  <c r="K26"/>
  <c r="J26"/>
  <c r="I26"/>
  <c r="O26" s="1"/>
  <c r="H26"/>
  <c r="V26" s="1"/>
  <c r="AA26" s="1"/>
  <c r="G26"/>
  <c r="F26"/>
  <c r="E26"/>
  <c r="S26" s="1"/>
  <c r="X26" s="1"/>
  <c r="D26"/>
  <c r="C26"/>
  <c r="B26"/>
  <c r="A26"/>
  <c r="V25"/>
  <c r="AA25" s="1"/>
  <c r="U25"/>
  <c r="Z25" s="1"/>
  <c r="Q25"/>
  <c r="N25"/>
  <c r="M25"/>
  <c r="L25"/>
  <c r="K25"/>
  <c r="J25"/>
  <c r="I25"/>
  <c r="O25" s="1"/>
  <c r="H25"/>
  <c r="G25"/>
  <c r="F25"/>
  <c r="T25" s="1"/>
  <c r="Y25" s="1"/>
  <c r="E25"/>
  <c r="S25" s="1"/>
  <c r="X25" s="1"/>
  <c r="D25"/>
  <c r="R25" s="1"/>
  <c r="W25" s="1"/>
  <c r="C25"/>
  <c r="B25"/>
  <c r="A25"/>
  <c r="U24"/>
  <c r="Z24" s="1"/>
  <c r="T24"/>
  <c r="Y24" s="1"/>
  <c r="Q24"/>
  <c r="N24"/>
  <c r="M24"/>
  <c r="L24"/>
  <c r="K24"/>
  <c r="J24"/>
  <c r="I24"/>
  <c r="O24" s="1"/>
  <c r="H24"/>
  <c r="V24" s="1"/>
  <c r="AA24" s="1"/>
  <c r="G24"/>
  <c r="F24"/>
  <c r="E24"/>
  <c r="S24" s="1"/>
  <c r="X24" s="1"/>
  <c r="D24"/>
  <c r="R24" s="1"/>
  <c r="W24" s="1"/>
  <c r="C24"/>
  <c r="B24"/>
  <c r="A24"/>
  <c r="U23"/>
  <c r="Z23" s="1"/>
  <c r="T23"/>
  <c r="Y23" s="1"/>
  <c r="R23"/>
  <c r="W23" s="1"/>
  <c r="Q23"/>
  <c r="N23"/>
  <c r="M23"/>
  <c r="L23"/>
  <c r="K23"/>
  <c r="J23"/>
  <c r="I23"/>
  <c r="O23" s="1"/>
  <c r="H23"/>
  <c r="V23" s="1"/>
  <c r="AA23" s="1"/>
  <c r="G23"/>
  <c r="F23"/>
  <c r="E23"/>
  <c r="S23" s="1"/>
  <c r="X23" s="1"/>
  <c r="D23"/>
  <c r="C23"/>
  <c r="B23"/>
  <c r="A23"/>
  <c r="V22"/>
  <c r="AA22" s="1"/>
  <c r="U22"/>
  <c r="Z22" s="1"/>
  <c r="Q22"/>
  <c r="N22"/>
  <c r="M22"/>
  <c r="L22"/>
  <c r="K22"/>
  <c r="J22"/>
  <c r="I22"/>
  <c r="O22" s="1"/>
  <c r="H22"/>
  <c r="G22"/>
  <c r="F22"/>
  <c r="T22" s="1"/>
  <c r="Y22" s="1"/>
  <c r="E22"/>
  <c r="S22" s="1"/>
  <c r="X22" s="1"/>
  <c r="D22"/>
  <c r="R22" s="1"/>
  <c r="W22" s="1"/>
  <c r="C22"/>
  <c r="B22"/>
  <c r="A22"/>
  <c r="U21"/>
  <c r="Z21" s="1"/>
  <c r="T21"/>
  <c r="Y21" s="1"/>
  <c r="Q21"/>
  <c r="N21"/>
  <c r="M21"/>
  <c r="L21"/>
  <c r="K21"/>
  <c r="J21"/>
  <c r="I21"/>
  <c r="O21" s="1"/>
  <c r="H21"/>
  <c r="V21" s="1"/>
  <c r="AA21" s="1"/>
  <c r="G21"/>
  <c r="F21"/>
  <c r="E21"/>
  <c r="S21" s="1"/>
  <c r="X21" s="1"/>
  <c r="D21"/>
  <c r="R21" s="1"/>
  <c r="W21" s="1"/>
  <c r="C21"/>
  <c r="B21"/>
  <c r="A21"/>
  <c r="U20"/>
  <c r="Z20" s="1"/>
  <c r="T20"/>
  <c r="Y20" s="1"/>
  <c r="R20"/>
  <c r="W20" s="1"/>
  <c r="Q20"/>
  <c r="N20"/>
  <c r="M20"/>
  <c r="L20"/>
  <c r="K20"/>
  <c r="J20"/>
  <c r="I20"/>
  <c r="O20" s="1"/>
  <c r="H20"/>
  <c r="V20" s="1"/>
  <c r="AA20" s="1"/>
  <c r="G20"/>
  <c r="F20"/>
  <c r="E20"/>
  <c r="S20" s="1"/>
  <c r="X20" s="1"/>
  <c r="D20"/>
  <c r="C20"/>
  <c r="B20"/>
  <c r="A20"/>
  <c r="V19"/>
  <c r="AA19" s="1"/>
  <c r="U19"/>
  <c r="Z19" s="1"/>
  <c r="Q19"/>
  <c r="N19"/>
  <c r="M19"/>
  <c r="L19"/>
  <c r="K19"/>
  <c r="J19"/>
  <c r="I19"/>
  <c r="O19" s="1"/>
  <c r="H19"/>
  <c r="G19"/>
  <c r="F19"/>
  <c r="T19" s="1"/>
  <c r="Y19" s="1"/>
  <c r="E19"/>
  <c r="S19" s="1"/>
  <c r="X19" s="1"/>
  <c r="D19"/>
  <c r="R19" s="1"/>
  <c r="W19" s="1"/>
  <c r="C19"/>
  <c r="B19"/>
  <c r="A19"/>
  <c r="U18"/>
  <c r="Z18" s="1"/>
  <c r="T18"/>
  <c r="Y18" s="1"/>
  <c r="Q18"/>
  <c r="N18"/>
  <c r="M18"/>
  <c r="L18"/>
  <c r="K18"/>
  <c r="J18"/>
  <c r="I18"/>
  <c r="O18" s="1"/>
  <c r="H18"/>
  <c r="V18" s="1"/>
  <c r="AA18" s="1"/>
  <c r="G18"/>
  <c r="F18"/>
  <c r="E18"/>
  <c r="S18" s="1"/>
  <c r="X18" s="1"/>
  <c r="D18"/>
  <c r="R18" s="1"/>
  <c r="W18" s="1"/>
  <c r="C18"/>
  <c r="B18"/>
  <c r="A18"/>
  <c r="U17"/>
  <c r="Z17" s="1"/>
  <c r="T17"/>
  <c r="Y17" s="1"/>
  <c r="R17"/>
  <c r="W17" s="1"/>
  <c r="Q17"/>
  <c r="N17"/>
  <c r="M17"/>
  <c r="L17"/>
  <c r="K17"/>
  <c r="J17"/>
  <c r="I17"/>
  <c r="O17" s="1"/>
  <c r="H17"/>
  <c r="V17" s="1"/>
  <c r="AA17" s="1"/>
  <c r="G17"/>
  <c r="F17"/>
  <c r="E17"/>
  <c r="S17" s="1"/>
  <c r="X17" s="1"/>
  <c r="D17"/>
  <c r="C17"/>
  <c r="B17"/>
  <c r="A17"/>
  <c r="V16"/>
  <c r="AA16" s="1"/>
  <c r="U16"/>
  <c r="Z16" s="1"/>
  <c r="Q16"/>
  <c r="N16"/>
  <c r="M16"/>
  <c r="L16"/>
  <c r="K16"/>
  <c r="J16"/>
  <c r="I16"/>
  <c r="O16" s="1"/>
  <c r="H16"/>
  <c r="G16"/>
  <c r="F16"/>
  <c r="T16" s="1"/>
  <c r="Y16" s="1"/>
  <c r="E16"/>
  <c r="S16" s="1"/>
  <c r="X16" s="1"/>
  <c r="D16"/>
  <c r="R16" s="1"/>
  <c r="W16" s="1"/>
  <c r="C16"/>
  <c r="B16"/>
  <c r="A16"/>
  <c r="U15"/>
  <c r="Z15" s="1"/>
  <c r="T15"/>
  <c r="Y15" s="1"/>
  <c r="Q15"/>
  <c r="N15"/>
  <c r="M15"/>
  <c r="L15"/>
  <c r="K15"/>
  <c r="J15"/>
  <c r="I15"/>
  <c r="O15" s="1"/>
  <c r="H15"/>
  <c r="V15" s="1"/>
  <c r="AA15" s="1"/>
  <c r="G15"/>
  <c r="F15"/>
  <c r="E15"/>
  <c r="S15" s="1"/>
  <c r="X15" s="1"/>
  <c r="D15"/>
  <c r="R15" s="1"/>
  <c r="W15" s="1"/>
  <c r="C15"/>
  <c r="B15"/>
  <c r="A15"/>
  <c r="U14"/>
  <c r="Z14" s="1"/>
  <c r="T14"/>
  <c r="Y14" s="1"/>
  <c r="R14"/>
  <c r="W14" s="1"/>
  <c r="Q14"/>
  <c r="N14"/>
  <c r="M14"/>
  <c r="L14"/>
  <c r="K14"/>
  <c r="J14"/>
  <c r="I14"/>
  <c r="O14" s="1"/>
  <c r="H14"/>
  <c r="V14" s="1"/>
  <c r="AA14" s="1"/>
  <c r="G14"/>
  <c r="F14"/>
  <c r="E14"/>
  <c r="S14" s="1"/>
  <c r="X14" s="1"/>
  <c r="D14"/>
  <c r="C14"/>
  <c r="B14"/>
  <c r="A14"/>
  <c r="V13"/>
  <c r="AA13" s="1"/>
  <c r="U13"/>
  <c r="Z13" s="1"/>
  <c r="Q13"/>
  <c r="N13"/>
  <c r="M13"/>
  <c r="L13"/>
  <c r="K13"/>
  <c r="J13"/>
  <c r="I13"/>
  <c r="O13" s="1"/>
  <c r="H13"/>
  <c r="G13"/>
  <c r="F13"/>
  <c r="T13" s="1"/>
  <c r="Y13" s="1"/>
  <c r="E13"/>
  <c r="S13" s="1"/>
  <c r="X13" s="1"/>
  <c r="D13"/>
  <c r="R13" s="1"/>
  <c r="W13" s="1"/>
  <c r="C13"/>
  <c r="B13"/>
  <c r="A13"/>
  <c r="U12"/>
  <c r="Z12" s="1"/>
  <c r="T12"/>
  <c r="Y12" s="1"/>
  <c r="Q12"/>
  <c r="N12"/>
  <c r="M12"/>
  <c r="L12"/>
  <c r="K12"/>
  <c r="J12"/>
  <c r="I12"/>
  <c r="O12" s="1"/>
  <c r="H12"/>
  <c r="V12" s="1"/>
  <c r="AA12" s="1"/>
  <c r="G12"/>
  <c r="F12"/>
  <c r="E12"/>
  <c r="S12" s="1"/>
  <c r="X12" s="1"/>
  <c r="D12"/>
  <c r="R12" s="1"/>
  <c r="W12" s="1"/>
  <c r="C12"/>
  <c r="B12"/>
  <c r="A12"/>
  <c r="U11"/>
  <c r="Z11" s="1"/>
  <c r="T11"/>
  <c r="Y11" s="1"/>
  <c r="R11"/>
  <c r="W11" s="1"/>
  <c r="Q11"/>
  <c r="N11"/>
  <c r="M11"/>
  <c r="L11"/>
  <c r="K11"/>
  <c r="J11"/>
  <c r="I11"/>
  <c r="O11" s="1"/>
  <c r="H11"/>
  <c r="V11" s="1"/>
  <c r="AA11" s="1"/>
  <c r="G11"/>
  <c r="F11"/>
  <c r="E11"/>
  <c r="S11" s="1"/>
  <c r="X11" s="1"/>
  <c r="D11"/>
  <c r="C11"/>
  <c r="B11"/>
  <c r="A11"/>
  <c r="V10"/>
  <c r="AA10" s="1"/>
  <c r="U10"/>
  <c r="Z10" s="1"/>
  <c r="Q10"/>
  <c r="N10"/>
  <c r="M10"/>
  <c r="L10"/>
  <c r="K10"/>
  <c r="J10"/>
  <c r="I10"/>
  <c r="O10" s="1"/>
  <c r="H10"/>
  <c r="G10"/>
  <c r="F10"/>
  <c r="T10" s="1"/>
  <c r="Y10" s="1"/>
  <c r="E10"/>
  <c r="S10" s="1"/>
  <c r="X10" s="1"/>
  <c r="D10"/>
  <c r="R10" s="1"/>
  <c r="W10" s="1"/>
  <c r="C10"/>
  <c r="B10"/>
  <c r="A10"/>
  <c r="U9"/>
  <c r="Z9" s="1"/>
  <c r="T9"/>
  <c r="Y9" s="1"/>
  <c r="Q9"/>
  <c r="N9"/>
  <c r="M9"/>
  <c r="L9"/>
  <c r="K9"/>
  <c r="J9"/>
  <c r="I9"/>
  <c r="O9" s="1"/>
  <c r="H9"/>
  <c r="V9" s="1"/>
  <c r="AA9" s="1"/>
  <c r="G9"/>
  <c r="F9"/>
  <c r="E9"/>
  <c r="S9" s="1"/>
  <c r="X9" s="1"/>
  <c r="D9"/>
  <c r="R9" s="1"/>
  <c r="W9" s="1"/>
  <c r="C9"/>
  <c r="B9"/>
  <c r="A9"/>
  <c r="U8"/>
  <c r="Z8" s="1"/>
  <c r="T8"/>
  <c r="Y8" s="1"/>
  <c r="R8"/>
  <c r="W8" s="1"/>
  <c r="Q8"/>
  <c r="N8"/>
  <c r="M8"/>
  <c r="L8"/>
  <c r="K8"/>
  <c r="J8"/>
  <c r="I8"/>
  <c r="O8" s="1"/>
  <c r="H8"/>
  <c r="V8" s="1"/>
  <c r="AA8" s="1"/>
  <c r="G8"/>
  <c r="F8"/>
  <c r="E8"/>
  <c r="S8" s="1"/>
  <c r="X8" s="1"/>
  <c r="D8"/>
  <c r="C8"/>
  <c r="B8"/>
  <c r="A8"/>
  <c r="V7"/>
  <c r="AA7" s="1"/>
  <c r="U7"/>
  <c r="Z7" s="1"/>
  <c r="Q7"/>
  <c r="N7"/>
  <c r="M7"/>
  <c r="L7"/>
  <c r="K7"/>
  <c r="J7"/>
  <c r="I7"/>
  <c r="O7" s="1"/>
  <c r="H7"/>
  <c r="G7"/>
  <c r="F7"/>
  <c r="T7" s="1"/>
  <c r="Y7" s="1"/>
  <c r="E7"/>
  <c r="S7" s="1"/>
  <c r="X7" s="1"/>
  <c r="D7"/>
  <c r="R7" s="1"/>
  <c r="W7" s="1"/>
  <c r="C7"/>
  <c r="B7"/>
  <c r="A7"/>
  <c r="U6"/>
  <c r="Z6" s="1"/>
  <c r="T6"/>
  <c r="Y6" s="1"/>
  <c r="Q6"/>
  <c r="N6"/>
  <c r="M6"/>
  <c r="L6"/>
  <c r="K6"/>
  <c r="J6"/>
  <c r="I6"/>
  <c r="O6" s="1"/>
  <c r="H6"/>
  <c r="V6" s="1"/>
  <c r="AA6" s="1"/>
  <c r="G6"/>
  <c r="F6"/>
  <c r="E6"/>
  <c r="S6" s="1"/>
  <c r="X6" s="1"/>
  <c r="D6"/>
  <c r="R6" s="1"/>
  <c r="W6" s="1"/>
  <c r="C6"/>
  <c r="B6"/>
  <c r="A6"/>
  <c r="U5"/>
  <c r="Z5" s="1"/>
  <c r="T5"/>
  <c r="Y5" s="1"/>
  <c r="R5"/>
  <c r="W5" s="1"/>
  <c r="Q5"/>
  <c r="N5"/>
  <c r="M5"/>
  <c r="L5"/>
  <c r="K5"/>
  <c r="J5"/>
  <c r="I5"/>
  <c r="O5" s="1"/>
  <c r="H5"/>
  <c r="V5" s="1"/>
  <c r="AA5" s="1"/>
  <c r="G5"/>
  <c r="F5"/>
  <c r="E5"/>
  <c r="S5" s="1"/>
  <c r="X5" s="1"/>
  <c r="D5"/>
  <c r="C5"/>
  <c r="B5"/>
  <c r="A5"/>
  <c r="V4"/>
  <c r="AA4" s="1"/>
  <c r="U4"/>
  <c r="Z4" s="1"/>
  <c r="Q4"/>
  <c r="N4"/>
  <c r="M4"/>
  <c r="L4"/>
  <c r="K4"/>
  <c r="J4"/>
  <c r="I4"/>
  <c r="O4" s="1"/>
  <c r="H4"/>
  <c r="G4"/>
  <c r="F4"/>
  <c r="T4" s="1"/>
  <c r="Y4" s="1"/>
  <c r="E4"/>
  <c r="S4" s="1"/>
  <c r="X4" s="1"/>
  <c r="D4"/>
  <c r="R4" s="1"/>
  <c r="W4" s="1"/>
  <c r="C4"/>
  <c r="B4"/>
  <c r="A4"/>
  <c r="U3"/>
  <c r="Z3" s="1"/>
  <c r="T3"/>
  <c r="Y3" s="1"/>
  <c r="Q3"/>
  <c r="N3"/>
  <c r="M3"/>
  <c r="L3"/>
  <c r="K3"/>
  <c r="J3"/>
  <c r="I3"/>
  <c r="O3" s="1"/>
  <c r="H3"/>
  <c r="V3" s="1"/>
  <c r="AA3" s="1"/>
  <c r="G3"/>
  <c r="F3"/>
  <c r="E3"/>
  <c r="S3" s="1"/>
  <c r="X3" s="1"/>
  <c r="D3"/>
  <c r="R3" s="1"/>
  <c r="W3" s="1"/>
  <c r="C3"/>
  <c r="B3"/>
  <c r="A3"/>
  <c r="U2"/>
  <c r="Z2" s="1"/>
  <c r="T2"/>
  <c r="Y2" s="1"/>
  <c r="R2"/>
  <c r="W2" s="1"/>
  <c r="Q2"/>
  <c r="N2"/>
  <c r="M2"/>
  <c r="L2"/>
  <c r="K2"/>
  <c r="J2"/>
  <c r="I2"/>
  <c r="O2" s="1"/>
  <c r="H2"/>
  <c r="V2" s="1"/>
  <c r="AA2" s="1"/>
  <c r="G2"/>
  <c r="F2"/>
  <c r="E2"/>
  <c r="S2" s="1"/>
  <c r="X2" s="1"/>
  <c r="D2"/>
  <c r="C2"/>
  <c r="B2"/>
  <c r="A2"/>
  <c r="DP345" i="2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C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C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C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C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C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C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C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C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C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T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T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T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T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T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T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T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T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T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AB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AB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AB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AB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AO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AO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AO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66" i="1"/>
  <c r="H266" s="1"/>
  <c r="J266" s="1"/>
  <c r="I265"/>
  <c r="K265" s="1"/>
  <c r="B265"/>
  <c r="H265" s="1"/>
  <c r="J265" s="1"/>
  <c r="B264"/>
  <c r="H264" s="1"/>
  <c r="J264" s="1"/>
  <c r="B263"/>
  <c r="H263" s="1"/>
  <c r="J263" s="1"/>
  <c r="I262"/>
  <c r="K262" s="1"/>
  <c r="B262"/>
  <c r="H262" s="1"/>
  <c r="J262" s="1"/>
  <c r="B261"/>
  <c r="H261" s="1"/>
  <c r="J261" s="1"/>
  <c r="B260"/>
  <c r="H260" s="1"/>
  <c r="J260" s="1"/>
  <c r="I259"/>
  <c r="K259" s="1"/>
  <c r="B259"/>
  <c r="H259" s="1"/>
  <c r="J259" s="1"/>
  <c r="B258"/>
  <c r="H258" s="1"/>
  <c r="J258" s="1"/>
  <c r="B257"/>
  <c r="H257" s="1"/>
  <c r="J257" s="1"/>
  <c r="I256"/>
  <c r="K256" s="1"/>
  <c r="B256"/>
  <c r="H256" s="1"/>
  <c r="J256" s="1"/>
  <c r="B255"/>
  <c r="H255" s="1"/>
  <c r="J255" s="1"/>
  <c r="B254"/>
  <c r="H254" s="1"/>
  <c r="J254" s="1"/>
  <c r="I253"/>
  <c r="K253" s="1"/>
  <c r="B253"/>
  <c r="H253" s="1"/>
  <c r="J253" s="1"/>
  <c r="B252"/>
  <c r="H252" s="1"/>
  <c r="J252" s="1"/>
  <c r="B251"/>
  <c r="H251" s="1"/>
  <c r="J251" s="1"/>
  <c r="I250"/>
  <c r="K250" s="1"/>
  <c r="B250"/>
  <c r="H250" s="1"/>
  <c r="J250" s="1"/>
  <c r="B249"/>
  <c r="H249" s="1"/>
  <c r="J249" s="1"/>
  <c r="B248"/>
  <c r="H248" s="1"/>
  <c r="J248" s="1"/>
  <c r="I247"/>
  <c r="K247" s="1"/>
  <c r="B247"/>
  <c r="H247" s="1"/>
  <c r="J247" s="1"/>
  <c r="B246"/>
  <c r="H246" s="1"/>
  <c r="J246" s="1"/>
  <c r="B245"/>
  <c r="H245" s="1"/>
  <c r="J245" s="1"/>
  <c r="I244"/>
  <c r="K244" s="1"/>
  <c r="B244"/>
  <c r="H244" s="1"/>
  <c r="J244" s="1"/>
  <c r="B243"/>
  <c r="H243" s="1"/>
  <c r="J243" s="1"/>
  <c r="B242"/>
  <c r="H242" s="1"/>
  <c r="J242" s="1"/>
  <c r="I241"/>
  <c r="K241" s="1"/>
  <c r="B241"/>
  <c r="H241" s="1"/>
  <c r="J241" s="1"/>
  <c r="B240"/>
  <c r="H240" s="1"/>
  <c r="J240" s="1"/>
  <c r="B239"/>
  <c r="H239" s="1"/>
  <c r="J239" s="1"/>
  <c r="I238"/>
  <c r="K238" s="1"/>
  <c r="B238"/>
  <c r="H238" s="1"/>
  <c r="J238" s="1"/>
  <c r="B237"/>
  <c r="H237" s="1"/>
  <c r="J237" s="1"/>
  <c r="B236"/>
  <c r="H236" s="1"/>
  <c r="J236" s="1"/>
  <c r="I235"/>
  <c r="K235" s="1"/>
  <c r="B235"/>
  <c r="H235" s="1"/>
  <c r="J235" s="1"/>
  <c r="B234"/>
  <c r="H234" s="1"/>
  <c r="J234" s="1"/>
  <c r="B233"/>
  <c r="H233" s="1"/>
  <c r="J233" s="1"/>
  <c r="I232"/>
  <c r="K232" s="1"/>
  <c r="B232"/>
  <c r="H232" s="1"/>
  <c r="J232" s="1"/>
  <c r="B231"/>
  <c r="H231" s="1"/>
  <c r="J231" s="1"/>
  <c r="B230"/>
  <c r="H230" s="1"/>
  <c r="J230" s="1"/>
  <c r="I229"/>
  <c r="K229" s="1"/>
  <c r="B229"/>
  <c r="H229" s="1"/>
  <c r="J229" s="1"/>
  <c r="B228"/>
  <c r="H228" s="1"/>
  <c r="J228" s="1"/>
  <c r="B227"/>
  <c r="H227" s="1"/>
  <c r="J227" s="1"/>
  <c r="I226"/>
  <c r="K226" s="1"/>
  <c r="B226"/>
  <c r="H226" s="1"/>
  <c r="J226" s="1"/>
  <c r="B225"/>
  <c r="H225" s="1"/>
  <c r="J225" s="1"/>
  <c r="B224"/>
  <c r="H224" s="1"/>
  <c r="J224" s="1"/>
  <c r="I223"/>
  <c r="K223" s="1"/>
  <c r="B223"/>
  <c r="H223" s="1"/>
  <c r="J223" s="1"/>
  <c r="B222"/>
  <c r="H222" s="1"/>
  <c r="J222" s="1"/>
  <c r="B221"/>
  <c r="H221" s="1"/>
  <c r="J221" s="1"/>
  <c r="I220"/>
  <c r="K220" s="1"/>
  <c r="B220"/>
  <c r="H220" s="1"/>
  <c r="J220" s="1"/>
  <c r="B219"/>
  <c r="H219" s="1"/>
  <c r="J219" s="1"/>
  <c r="B218"/>
  <c r="H218" s="1"/>
  <c r="J218" s="1"/>
  <c r="I217"/>
  <c r="K217" s="1"/>
  <c r="B217"/>
  <c r="H217" s="1"/>
  <c r="J217" s="1"/>
  <c r="B216"/>
  <c r="H216" s="1"/>
  <c r="J216" s="1"/>
  <c r="B215"/>
  <c r="H215" s="1"/>
  <c r="J215" s="1"/>
  <c r="I214"/>
  <c r="K214" s="1"/>
  <c r="B214"/>
  <c r="H214" s="1"/>
  <c r="J214" s="1"/>
  <c r="B213"/>
  <c r="H213" s="1"/>
  <c r="J213" s="1"/>
  <c r="B212"/>
  <c r="H212" s="1"/>
  <c r="J212" s="1"/>
  <c r="I211"/>
  <c r="K211" s="1"/>
  <c r="B211"/>
  <c r="H211" s="1"/>
  <c r="J211" s="1"/>
  <c r="B210"/>
  <c r="H210" s="1"/>
  <c r="J210" s="1"/>
  <c r="B209"/>
  <c r="H209" s="1"/>
  <c r="J209" s="1"/>
  <c r="I208"/>
  <c r="K208" s="1"/>
  <c r="B208"/>
  <c r="H208" s="1"/>
  <c r="J208" s="1"/>
  <c r="B207"/>
  <c r="H207" s="1"/>
  <c r="J207" s="1"/>
  <c r="B206"/>
  <c r="H206" s="1"/>
  <c r="J206" s="1"/>
  <c r="I205"/>
  <c r="K205" s="1"/>
  <c r="B205"/>
  <c r="H205" s="1"/>
  <c r="J205" s="1"/>
  <c r="B204"/>
  <c r="H204" s="1"/>
  <c r="J204" s="1"/>
  <c r="B203"/>
  <c r="H203" s="1"/>
  <c r="J203" s="1"/>
  <c r="I202"/>
  <c r="K202" s="1"/>
  <c r="B202"/>
  <c r="H202" s="1"/>
  <c r="J202" s="1"/>
  <c r="B201"/>
  <c r="H201" s="1"/>
  <c r="J201" s="1"/>
  <c r="B200"/>
  <c r="H200" s="1"/>
  <c r="J200" s="1"/>
  <c r="I199"/>
  <c r="K199" s="1"/>
  <c r="B199"/>
  <c r="H199" s="1"/>
  <c r="J199" s="1"/>
  <c r="B198"/>
  <c r="H198" s="1"/>
  <c r="J198" s="1"/>
  <c r="B197"/>
  <c r="H197" s="1"/>
  <c r="J197" s="1"/>
  <c r="I196"/>
  <c r="K196" s="1"/>
  <c r="B196"/>
  <c r="H196" s="1"/>
  <c r="J196" s="1"/>
  <c r="B195"/>
  <c r="H195" s="1"/>
  <c r="J195" s="1"/>
  <c r="B194"/>
  <c r="H194" s="1"/>
  <c r="J194" s="1"/>
  <c r="I193"/>
  <c r="K193" s="1"/>
  <c r="B193"/>
  <c r="H193" s="1"/>
  <c r="J193" s="1"/>
  <c r="B192"/>
  <c r="H192" s="1"/>
  <c r="J192" s="1"/>
  <c r="B191"/>
  <c r="H191" s="1"/>
  <c r="J191" s="1"/>
  <c r="I190"/>
  <c r="K190" s="1"/>
  <c r="B190"/>
  <c r="H190" s="1"/>
  <c r="J190" s="1"/>
  <c r="B189"/>
  <c r="H189" s="1"/>
  <c r="J189" s="1"/>
  <c r="B188"/>
  <c r="H188" s="1"/>
  <c r="J188" s="1"/>
  <c r="I187"/>
  <c r="K187" s="1"/>
  <c r="B187"/>
  <c r="H187" s="1"/>
  <c r="J187" s="1"/>
  <c r="B186"/>
  <c r="H186" s="1"/>
  <c r="J186" s="1"/>
  <c r="B185"/>
  <c r="H185" s="1"/>
  <c r="J185" s="1"/>
  <c r="I184"/>
  <c r="K184" s="1"/>
  <c r="B184"/>
  <c r="H184" s="1"/>
  <c r="J184" s="1"/>
  <c r="K183"/>
  <c r="B183"/>
  <c r="H183" s="1"/>
  <c r="J183" s="1"/>
  <c r="K182"/>
  <c r="B182"/>
  <c r="H182" s="1"/>
  <c r="J182" s="1"/>
  <c r="K181"/>
  <c r="B181"/>
  <c r="H181" s="1"/>
  <c r="J181" s="1"/>
  <c r="B180"/>
  <c r="I180" s="1"/>
  <c r="K180" s="1"/>
  <c r="B179"/>
  <c r="I179" s="1"/>
  <c r="K179" s="1"/>
  <c r="H178"/>
  <c r="J178" s="1"/>
  <c r="B178"/>
  <c r="I178" s="1"/>
  <c r="K178" s="1"/>
  <c r="B177"/>
  <c r="M177" s="1"/>
  <c r="H176"/>
  <c r="J176" s="1"/>
  <c r="B176"/>
  <c r="I176" s="1"/>
  <c r="K176" s="1"/>
  <c r="M175"/>
  <c r="I175"/>
  <c r="K175" s="1"/>
  <c r="B175"/>
  <c r="H175" s="1"/>
  <c r="J175" s="1"/>
  <c r="B174"/>
  <c r="I174" s="1"/>
  <c r="K174" s="1"/>
  <c r="B173"/>
  <c r="M173" s="1"/>
  <c r="B172"/>
  <c r="B171"/>
  <c r="I171" s="1"/>
  <c r="K171" s="1"/>
  <c r="M170"/>
  <c r="I170"/>
  <c r="K170" s="1"/>
  <c r="H170"/>
  <c r="J170" s="1"/>
  <c r="B170"/>
  <c r="B169"/>
  <c r="M169" s="1"/>
  <c r="M168"/>
  <c r="B168"/>
  <c r="H168" s="1"/>
  <c r="J168" s="1"/>
  <c r="B167"/>
  <c r="M167" s="1"/>
  <c r="B166"/>
  <c r="I166" s="1"/>
  <c r="K166" s="1"/>
  <c r="I165"/>
  <c r="K165" s="1"/>
  <c r="H165"/>
  <c r="J165" s="1"/>
  <c r="B165"/>
  <c r="M165" s="1"/>
  <c r="B164"/>
  <c r="M163"/>
  <c r="B163"/>
  <c r="I163" s="1"/>
  <c r="K163" s="1"/>
  <c r="B162"/>
  <c r="H162" s="1"/>
  <c r="J162" s="1"/>
  <c r="B161"/>
  <c r="M161" s="1"/>
  <c r="M160"/>
  <c r="B160"/>
  <c r="H160" s="1"/>
  <c r="J160" s="1"/>
  <c r="I159"/>
  <c r="K159" s="1"/>
  <c r="H159"/>
  <c r="J159" s="1"/>
  <c r="B159"/>
  <c r="M159" s="1"/>
  <c r="H158"/>
  <c r="J158" s="1"/>
  <c r="B158"/>
  <c r="I158" s="1"/>
  <c r="K158" s="1"/>
  <c r="M157"/>
  <c r="I157"/>
  <c r="K157" s="1"/>
  <c r="B157"/>
  <c r="H157" s="1"/>
  <c r="J157" s="1"/>
  <c r="B156"/>
  <c r="B155"/>
  <c r="I155" s="1"/>
  <c r="K155" s="1"/>
  <c r="B154"/>
  <c r="H154" s="1"/>
  <c r="J154" s="1"/>
  <c r="B153"/>
  <c r="M153" s="1"/>
  <c r="M152"/>
  <c r="I152"/>
  <c r="K152" s="1"/>
  <c r="B152"/>
  <c r="H152" s="1"/>
  <c r="J152" s="1"/>
  <c r="M151"/>
  <c r="H151"/>
  <c r="J151" s="1"/>
  <c r="B151"/>
  <c r="I151" s="1"/>
  <c r="K151" s="1"/>
  <c r="H150"/>
  <c r="J150" s="1"/>
  <c r="B150"/>
  <c r="I150" s="1"/>
  <c r="K150" s="1"/>
  <c r="I149"/>
  <c r="K149" s="1"/>
  <c r="B149"/>
  <c r="M149" s="1"/>
  <c r="B148"/>
  <c r="B147"/>
  <c r="I147" s="1"/>
  <c r="K147" s="1"/>
  <c r="I146"/>
  <c r="K146" s="1"/>
  <c r="H146"/>
  <c r="J146" s="1"/>
  <c r="B146"/>
  <c r="M146" s="1"/>
  <c r="B145"/>
  <c r="M145" s="1"/>
  <c r="M144"/>
  <c r="I144"/>
  <c r="K144" s="1"/>
  <c r="H144"/>
  <c r="J144" s="1"/>
  <c r="B144"/>
  <c r="I143"/>
  <c r="K143" s="1"/>
  <c r="H143"/>
  <c r="J143" s="1"/>
  <c r="B143"/>
  <c r="M143" s="1"/>
  <c r="M142"/>
  <c r="H142"/>
  <c r="J142" s="1"/>
  <c r="B142"/>
  <c r="I142" s="1"/>
  <c r="K142" s="1"/>
  <c r="H141"/>
  <c r="J141" s="1"/>
  <c r="B141"/>
  <c r="M141" s="1"/>
  <c r="B140"/>
  <c r="B139"/>
  <c r="I139" s="1"/>
  <c r="K139" s="1"/>
  <c r="M138"/>
  <c r="I138"/>
  <c r="K138" s="1"/>
  <c r="H138"/>
  <c r="J138" s="1"/>
  <c r="B138"/>
  <c r="B137"/>
  <c r="M137" s="1"/>
  <c r="B136"/>
  <c r="H136" s="1"/>
  <c r="J136" s="1"/>
  <c r="M135"/>
  <c r="I135"/>
  <c r="K135" s="1"/>
  <c r="H135"/>
  <c r="J135" s="1"/>
  <c r="B135"/>
  <c r="B134"/>
  <c r="I134" s="1"/>
  <c r="K134" s="1"/>
  <c r="M133"/>
  <c r="H133"/>
  <c r="J133" s="1"/>
  <c r="B133"/>
  <c r="I133" s="1"/>
  <c r="K133" s="1"/>
  <c r="B132"/>
  <c r="H131"/>
  <c r="J131" s="1"/>
  <c r="B131"/>
  <c r="I131" s="1"/>
  <c r="K131" s="1"/>
  <c r="M130"/>
  <c r="I130"/>
  <c r="K130" s="1"/>
  <c r="B130"/>
  <c r="H130" s="1"/>
  <c r="J130" s="1"/>
  <c r="M129"/>
  <c r="B129"/>
  <c r="M128"/>
  <c r="I128"/>
  <c r="K128" s="1"/>
  <c r="H128"/>
  <c r="J128" s="1"/>
  <c r="B128"/>
  <c r="M127"/>
  <c r="I127"/>
  <c r="K127" s="1"/>
  <c r="H127"/>
  <c r="J127" s="1"/>
  <c r="B127"/>
  <c r="B126"/>
  <c r="I126" s="1"/>
  <c r="K126" s="1"/>
  <c r="I125"/>
  <c r="K125" s="1"/>
  <c r="H125"/>
  <c r="J125" s="1"/>
  <c r="B125"/>
  <c r="M125" s="1"/>
  <c r="B124"/>
  <c r="H123"/>
  <c r="J123" s="1"/>
  <c r="B123"/>
  <c r="I123" s="1"/>
  <c r="K123" s="1"/>
  <c r="I122"/>
  <c r="K122" s="1"/>
  <c r="B122"/>
  <c r="H122" s="1"/>
  <c r="J122" s="1"/>
  <c r="B121"/>
  <c r="M121" s="1"/>
  <c r="B120"/>
  <c r="I120" s="1"/>
  <c r="K120" s="1"/>
  <c r="I119"/>
  <c r="K119" s="1"/>
  <c r="H119"/>
  <c r="J119" s="1"/>
  <c r="B119"/>
  <c r="M119" s="1"/>
  <c r="B118"/>
  <c r="B117"/>
  <c r="I117" s="1"/>
  <c r="K117" s="1"/>
  <c r="B116"/>
  <c r="M116" s="1"/>
  <c r="M115"/>
  <c r="I115"/>
  <c r="K115" s="1"/>
  <c r="B115"/>
  <c r="H115" s="1"/>
  <c r="J115" s="1"/>
  <c r="M114"/>
  <c r="B114"/>
  <c r="M113"/>
  <c r="H113"/>
  <c r="J113" s="1"/>
  <c r="B113"/>
  <c r="I113" s="1"/>
  <c r="K113" s="1"/>
  <c r="I108"/>
  <c r="K108" s="1"/>
  <c r="B108"/>
  <c r="H108" s="1"/>
  <c r="J108" s="1"/>
  <c r="M107"/>
  <c r="B107"/>
  <c r="B106"/>
  <c r="I106" s="1"/>
  <c r="K106" s="1"/>
  <c r="H105"/>
  <c r="J105" s="1"/>
  <c r="B105"/>
  <c r="M105" s="1"/>
  <c r="H104"/>
  <c r="J104" s="1"/>
  <c r="B104"/>
  <c r="I104" s="1"/>
  <c r="K104" s="1"/>
  <c r="B103"/>
  <c r="M103" s="1"/>
  <c r="B102"/>
  <c r="I102" s="1"/>
  <c r="K102" s="1"/>
  <c r="B101"/>
  <c r="M101" s="1"/>
  <c r="I100"/>
  <c r="K100" s="1"/>
  <c r="H100"/>
  <c r="J100" s="1"/>
  <c r="B100"/>
  <c r="M100" s="1"/>
  <c r="B99"/>
  <c r="M99" s="1"/>
  <c r="M98"/>
  <c r="H98"/>
  <c r="J98" s="1"/>
  <c r="B98"/>
  <c r="I98" s="1"/>
  <c r="K98" s="1"/>
  <c r="M97"/>
  <c r="I97"/>
  <c r="K97" s="1"/>
  <c r="H97"/>
  <c r="J97" s="1"/>
  <c r="B97"/>
  <c r="I96"/>
  <c r="K96" s="1"/>
  <c r="H96"/>
  <c r="J96" s="1"/>
  <c r="B96"/>
  <c r="M96" s="1"/>
  <c r="B95"/>
  <c r="H95" s="1"/>
  <c r="J95" s="1"/>
  <c r="B94"/>
  <c r="I94" s="1"/>
  <c r="K94" s="1"/>
  <c r="I93"/>
  <c r="K93" s="1"/>
  <c r="B93"/>
  <c r="M93" s="1"/>
  <c r="B92"/>
  <c r="H92" s="1"/>
  <c r="J92" s="1"/>
  <c r="B91"/>
  <c r="M91" s="1"/>
  <c r="B90"/>
  <c r="I90" s="1"/>
  <c r="K90" s="1"/>
  <c r="I89"/>
  <c r="K89" s="1"/>
  <c r="H89"/>
  <c r="J89" s="1"/>
  <c r="B89"/>
  <c r="M89" s="1"/>
  <c r="M88"/>
  <c r="I88"/>
  <c r="K88" s="1"/>
  <c r="H88"/>
  <c r="J88" s="1"/>
  <c r="B88"/>
  <c r="M87"/>
  <c r="B87"/>
  <c r="H86"/>
  <c r="J86" s="1"/>
  <c r="B86"/>
  <c r="M86" s="1"/>
  <c r="M85"/>
  <c r="H85"/>
  <c r="J85" s="1"/>
  <c r="B85"/>
  <c r="H84"/>
  <c r="J84" s="1"/>
  <c r="B84"/>
  <c r="M84" s="1"/>
  <c r="B83"/>
  <c r="H83" s="1"/>
  <c r="J83" s="1"/>
  <c r="H82"/>
  <c r="J82" s="1"/>
  <c r="B82"/>
  <c r="M82" s="1"/>
  <c r="B81"/>
  <c r="M81" s="1"/>
  <c r="M80"/>
  <c r="H80"/>
  <c r="J80" s="1"/>
  <c r="B80"/>
  <c r="B79"/>
  <c r="B78"/>
  <c r="H78" s="1"/>
  <c r="J78" s="1"/>
  <c r="H77"/>
  <c r="J77" s="1"/>
  <c r="B77"/>
  <c r="M77" s="1"/>
  <c r="B76"/>
  <c r="H76" s="1"/>
  <c r="J76" s="1"/>
  <c r="B75"/>
  <c r="M75" s="1"/>
  <c r="M74"/>
  <c r="H74"/>
  <c r="J74" s="1"/>
  <c r="B74"/>
  <c r="B73"/>
  <c r="H73" s="1"/>
  <c r="J73" s="1"/>
  <c r="H72"/>
  <c r="J72" s="1"/>
  <c r="B72"/>
  <c r="M72" s="1"/>
  <c r="H71"/>
  <c r="J71" s="1"/>
  <c r="B71"/>
  <c r="M71" s="1"/>
  <c r="M70"/>
  <c r="H70"/>
  <c r="J70" s="1"/>
  <c r="B70"/>
  <c r="M69"/>
  <c r="H69"/>
  <c r="J69" s="1"/>
  <c r="B69"/>
  <c r="B68"/>
  <c r="H68" s="1"/>
  <c r="J68" s="1"/>
  <c r="M67"/>
  <c r="B67"/>
  <c r="B66"/>
  <c r="H66" s="1"/>
  <c r="J66" s="1"/>
  <c r="B65"/>
  <c r="B64"/>
  <c r="M64" s="1"/>
  <c r="H63"/>
  <c r="J63" s="1"/>
  <c r="B63"/>
  <c r="M63" s="1"/>
  <c r="M62"/>
  <c r="H62"/>
  <c r="J62" s="1"/>
  <c r="B62"/>
  <c r="H61"/>
  <c r="J61" s="1"/>
  <c r="B61"/>
  <c r="M61" s="1"/>
  <c r="M60"/>
  <c r="B60"/>
  <c r="H60" s="1"/>
  <c r="J60" s="1"/>
  <c r="B59"/>
  <c r="M59" s="1"/>
  <c r="B58"/>
  <c r="H58" s="1"/>
  <c r="J58" s="1"/>
  <c r="M57"/>
  <c r="B57"/>
  <c r="H57" s="1"/>
  <c r="J57" s="1"/>
  <c r="H56"/>
  <c r="J56" s="1"/>
  <c r="B56"/>
  <c r="M56" s="1"/>
  <c r="B55"/>
  <c r="M55" s="1"/>
  <c r="M54"/>
  <c r="H54"/>
  <c r="J54" s="1"/>
  <c r="B54"/>
  <c r="M53"/>
  <c r="B53"/>
  <c r="H53" s="1"/>
  <c r="J53" s="1"/>
  <c r="B52"/>
  <c r="H52" s="1"/>
  <c r="J52" s="1"/>
  <c r="B51"/>
  <c r="B50"/>
  <c r="H50" s="1"/>
  <c r="J50" s="1"/>
  <c r="M49"/>
  <c r="H49"/>
  <c r="J49" s="1"/>
  <c r="B49"/>
  <c r="H48"/>
  <c r="J48" s="1"/>
  <c r="B48"/>
  <c r="M48" s="1"/>
  <c r="H47"/>
  <c r="J47" s="1"/>
  <c r="B47"/>
  <c r="M47" s="1"/>
  <c r="B46"/>
  <c r="H46" s="1"/>
  <c r="J46" s="1"/>
  <c r="H45"/>
  <c r="J45" s="1"/>
  <c r="B45"/>
  <c r="M45" s="1"/>
  <c r="B44"/>
  <c r="H44" s="1"/>
  <c r="J44" s="1"/>
  <c r="B43"/>
  <c r="M43" s="1"/>
  <c r="M42"/>
  <c r="B42"/>
  <c r="H42" s="1"/>
  <c r="J42" s="1"/>
  <c r="M41"/>
  <c r="H41"/>
  <c r="J41" s="1"/>
  <c r="B41"/>
  <c r="B40"/>
  <c r="M40" s="1"/>
  <c r="B39"/>
  <c r="M39" s="1"/>
  <c r="M38"/>
  <c r="H38"/>
  <c r="J38" s="1"/>
  <c r="B38"/>
  <c r="M37"/>
  <c r="H37"/>
  <c r="J37" s="1"/>
  <c r="B37"/>
  <c r="B36"/>
  <c r="H36" s="1"/>
  <c r="J36" s="1"/>
  <c r="B35"/>
  <c r="M35" s="1"/>
  <c r="B34"/>
  <c r="M33"/>
  <c r="B33"/>
  <c r="H33" s="1"/>
  <c r="J33" s="1"/>
  <c r="H32"/>
  <c r="J32" s="1"/>
  <c r="B32"/>
  <c r="M32" s="1"/>
  <c r="B31"/>
  <c r="M31" s="1"/>
  <c r="M30"/>
  <c r="H30"/>
  <c r="J30" s="1"/>
  <c r="B30"/>
  <c r="M29"/>
  <c r="B29"/>
  <c r="H29" s="1"/>
  <c r="J29" s="1"/>
  <c r="B28"/>
  <c r="H28" s="1"/>
  <c r="J28" s="1"/>
  <c r="B27"/>
  <c r="B26"/>
  <c r="H26" s="1"/>
  <c r="J26" s="1"/>
  <c r="M25"/>
  <c r="H25"/>
  <c r="J25" s="1"/>
  <c r="B25"/>
  <c r="H24"/>
  <c r="J24" s="1"/>
  <c r="B24"/>
  <c r="M24" s="1"/>
  <c r="H23"/>
  <c r="J23" s="1"/>
  <c r="B23"/>
  <c r="M23" s="1"/>
  <c r="B22"/>
  <c r="H22" s="1"/>
  <c r="J22" s="1"/>
  <c r="H21"/>
  <c r="J21" s="1"/>
  <c r="B21"/>
  <c r="M21" s="1"/>
  <c r="B20"/>
  <c r="H20" s="1"/>
  <c r="J20" s="1"/>
  <c r="B19"/>
  <c r="M19" s="1"/>
  <c r="M18"/>
  <c r="B18"/>
  <c r="H18" s="1"/>
  <c r="J18" s="1"/>
  <c r="M17"/>
  <c r="H17"/>
  <c r="J17" s="1"/>
  <c r="B17"/>
  <c r="B16"/>
  <c r="M16" s="1"/>
  <c r="B15"/>
  <c r="M15" s="1"/>
  <c r="M14"/>
  <c r="H14"/>
  <c r="J14" s="1"/>
  <c r="B14"/>
  <c r="M13"/>
  <c r="H13"/>
  <c r="J13" s="1"/>
  <c r="B13"/>
  <c r="B12"/>
  <c r="H12" s="1"/>
  <c r="J12" s="1"/>
  <c r="B11"/>
  <c r="M11" s="1"/>
  <c r="B10"/>
  <c r="M9"/>
  <c r="B9"/>
  <c r="H9" s="1"/>
  <c r="J9" s="1"/>
  <c r="H8"/>
  <c r="J8" s="1"/>
  <c r="B8"/>
  <c r="M8" s="1"/>
  <c r="B7"/>
  <c r="M7" s="1"/>
  <c r="M6"/>
  <c r="H6"/>
  <c r="J6" s="1"/>
  <c r="B6"/>
  <c r="M5"/>
  <c r="B5"/>
  <c r="H5" s="1"/>
  <c r="J5" s="1"/>
  <c r="B4"/>
  <c r="H4" s="1"/>
  <c r="J4" s="1"/>
  <c r="B3"/>
  <c r="M3" s="1"/>
  <c r="M183" l="1"/>
  <c r="M186"/>
  <c r="M189"/>
  <c r="M192"/>
  <c r="M195"/>
  <c r="M198"/>
  <c r="M201"/>
  <c r="M204"/>
  <c r="M207"/>
  <c r="M210"/>
  <c r="M213"/>
  <c r="M216"/>
  <c r="M219"/>
  <c r="M222"/>
  <c r="M225"/>
  <c r="M228"/>
  <c r="M231"/>
  <c r="M234"/>
  <c r="M237"/>
  <c r="M240"/>
  <c r="M243"/>
  <c r="M246"/>
  <c r="M249"/>
  <c r="M252"/>
  <c r="M255"/>
  <c r="M258"/>
  <c r="M261"/>
  <c r="M264"/>
  <c r="M110"/>
  <c r="M112"/>
  <c r="M22"/>
  <c r="M46"/>
  <c r="H64"/>
  <c r="J64" s="1"/>
  <c r="M76"/>
  <c r="I101"/>
  <c r="K101" s="1"/>
  <c r="M147"/>
  <c r="I160"/>
  <c r="K160" s="1"/>
  <c r="M178"/>
  <c r="I186"/>
  <c r="K186" s="1"/>
  <c r="I189"/>
  <c r="K189" s="1"/>
  <c r="I192"/>
  <c r="K192" s="1"/>
  <c r="I195"/>
  <c r="K195" s="1"/>
  <c r="I198"/>
  <c r="K198" s="1"/>
  <c r="I201"/>
  <c r="K201" s="1"/>
  <c r="I204"/>
  <c r="K204" s="1"/>
  <c r="I207"/>
  <c r="K207" s="1"/>
  <c r="I210"/>
  <c r="K210" s="1"/>
  <c r="I213"/>
  <c r="K213" s="1"/>
  <c r="I216"/>
  <c r="K216" s="1"/>
  <c r="I219"/>
  <c r="K219" s="1"/>
  <c r="I222"/>
  <c r="K222" s="1"/>
  <c r="I225"/>
  <c r="K225" s="1"/>
  <c r="I228"/>
  <c r="K228" s="1"/>
  <c r="I231"/>
  <c r="K231" s="1"/>
  <c r="I234"/>
  <c r="K234" s="1"/>
  <c r="I237"/>
  <c r="K237" s="1"/>
  <c r="I240"/>
  <c r="K240" s="1"/>
  <c r="I243"/>
  <c r="K243" s="1"/>
  <c r="I246"/>
  <c r="K246" s="1"/>
  <c r="I249"/>
  <c r="K249" s="1"/>
  <c r="I252"/>
  <c r="K252" s="1"/>
  <c r="I255"/>
  <c r="K255" s="1"/>
  <c r="I258"/>
  <c r="K258" s="1"/>
  <c r="I261"/>
  <c r="K261" s="1"/>
  <c r="I264"/>
  <c r="K264" s="1"/>
  <c r="H16"/>
  <c r="J16" s="1"/>
  <c r="H40"/>
  <c r="J40" s="1"/>
  <c r="M92"/>
  <c r="H101"/>
  <c r="J101" s="1"/>
  <c r="H106"/>
  <c r="J106" s="1"/>
  <c r="H147"/>
  <c r="J147" s="1"/>
  <c r="I110"/>
  <c r="K110" s="1"/>
  <c r="I112"/>
  <c r="K112" s="1"/>
  <c r="I92"/>
  <c r="K92" s="1"/>
  <c r="H15"/>
  <c r="J15" s="1"/>
  <c r="H39"/>
  <c r="J39" s="1"/>
  <c r="I105"/>
  <c r="K105" s="1"/>
  <c r="H155"/>
  <c r="J155" s="1"/>
  <c r="H163"/>
  <c r="J163" s="1"/>
  <c r="I168"/>
  <c r="K168" s="1"/>
  <c r="I173"/>
  <c r="K173" s="1"/>
  <c r="M182"/>
  <c r="M185"/>
  <c r="M188"/>
  <c r="M191"/>
  <c r="M194"/>
  <c r="M197"/>
  <c r="M200"/>
  <c r="M203"/>
  <c r="M206"/>
  <c r="M209"/>
  <c r="M212"/>
  <c r="M215"/>
  <c r="M218"/>
  <c r="M221"/>
  <c r="M224"/>
  <c r="M227"/>
  <c r="M230"/>
  <c r="M233"/>
  <c r="M236"/>
  <c r="M239"/>
  <c r="M242"/>
  <c r="M245"/>
  <c r="M248"/>
  <c r="M251"/>
  <c r="M254"/>
  <c r="M257"/>
  <c r="M260"/>
  <c r="M263"/>
  <c r="M266"/>
  <c r="H173"/>
  <c r="J173" s="1"/>
  <c r="I185"/>
  <c r="K185" s="1"/>
  <c r="I188"/>
  <c r="K188" s="1"/>
  <c r="I191"/>
  <c r="K191" s="1"/>
  <c r="I194"/>
  <c r="K194" s="1"/>
  <c r="I197"/>
  <c r="K197" s="1"/>
  <c r="I200"/>
  <c r="K200" s="1"/>
  <c r="I203"/>
  <c r="K203" s="1"/>
  <c r="I206"/>
  <c r="K206" s="1"/>
  <c r="I209"/>
  <c r="K209" s="1"/>
  <c r="I212"/>
  <c r="K212" s="1"/>
  <c r="I215"/>
  <c r="K215" s="1"/>
  <c r="I218"/>
  <c r="K218" s="1"/>
  <c r="I221"/>
  <c r="K221" s="1"/>
  <c r="I224"/>
  <c r="K224" s="1"/>
  <c r="I227"/>
  <c r="K227" s="1"/>
  <c r="I230"/>
  <c r="K230" s="1"/>
  <c r="I233"/>
  <c r="K233" s="1"/>
  <c r="I236"/>
  <c r="K236" s="1"/>
  <c r="I239"/>
  <c r="K239" s="1"/>
  <c r="I242"/>
  <c r="K242" s="1"/>
  <c r="I245"/>
  <c r="K245" s="1"/>
  <c r="I248"/>
  <c r="K248" s="1"/>
  <c r="I251"/>
  <c r="K251" s="1"/>
  <c r="I254"/>
  <c r="K254" s="1"/>
  <c r="I257"/>
  <c r="K257" s="1"/>
  <c r="I260"/>
  <c r="K260" s="1"/>
  <c r="I263"/>
  <c r="K263" s="1"/>
  <c r="I266"/>
  <c r="K266" s="1"/>
  <c r="M136"/>
  <c r="M154"/>
  <c r="M162"/>
  <c r="M104"/>
  <c r="I136"/>
  <c r="K136" s="1"/>
  <c r="I154"/>
  <c r="K154" s="1"/>
  <c r="I162"/>
  <c r="K162" s="1"/>
  <c r="I167"/>
  <c r="K167" s="1"/>
  <c r="M176"/>
  <c r="M90"/>
  <c r="I116"/>
  <c r="K116" s="1"/>
  <c r="I95"/>
  <c r="K95" s="1"/>
  <c r="M108"/>
  <c r="H116"/>
  <c r="J116" s="1"/>
  <c r="M122"/>
  <c r="M131"/>
  <c r="I141"/>
  <c r="K141" s="1"/>
  <c r="M158"/>
  <c r="H167"/>
  <c r="J167" s="1"/>
  <c r="H171"/>
  <c r="J171" s="1"/>
  <c r="M181"/>
  <c r="M184"/>
  <c r="M187"/>
  <c r="M190"/>
  <c r="M193"/>
  <c r="M196"/>
  <c r="M199"/>
  <c r="M202"/>
  <c r="M205"/>
  <c r="M208"/>
  <c r="M211"/>
  <c r="M214"/>
  <c r="M217"/>
  <c r="M220"/>
  <c r="M223"/>
  <c r="M226"/>
  <c r="M229"/>
  <c r="M232"/>
  <c r="M235"/>
  <c r="M238"/>
  <c r="M241"/>
  <c r="M244"/>
  <c r="M247"/>
  <c r="M250"/>
  <c r="M253"/>
  <c r="M256"/>
  <c r="M259"/>
  <c r="M262"/>
  <c r="M265"/>
  <c r="H94"/>
  <c r="J94" s="1"/>
  <c r="H149"/>
  <c r="J149" s="1"/>
  <c r="AB179" i="3"/>
  <c r="AB263"/>
  <c r="AB23"/>
  <c r="AB229"/>
  <c r="AB231"/>
  <c r="AB181"/>
  <c r="AB187"/>
  <c r="AB189"/>
  <c r="AB208"/>
  <c r="AB155"/>
  <c r="AB185"/>
  <c r="AB66"/>
  <c r="AB83"/>
  <c r="AB79"/>
  <c r="AB226"/>
  <c r="AB230"/>
  <c r="AB5"/>
  <c r="AB11"/>
  <c r="AB17"/>
  <c r="AB29"/>
  <c r="AB75"/>
  <c r="AB92"/>
  <c r="AB111"/>
  <c r="AB128"/>
  <c r="AB134"/>
  <c r="AB156"/>
  <c r="AB217"/>
  <c r="AB228"/>
  <c r="AB261"/>
  <c r="AB197"/>
  <c r="AB233"/>
  <c r="AB245"/>
  <c r="AB182"/>
  <c r="AB188"/>
  <c r="AB203"/>
  <c r="AB224"/>
  <c r="AB193"/>
  <c r="AB212"/>
  <c r="AB24"/>
  <c r="AB46"/>
  <c r="AB133"/>
  <c r="AB135"/>
  <c r="AB145"/>
  <c r="AB157"/>
  <c r="AB163"/>
  <c r="AB167"/>
  <c r="AB205"/>
  <c r="H51" i="1"/>
  <c r="J51" s="1"/>
  <c r="H75"/>
  <c r="J75" s="1"/>
  <c r="H129"/>
  <c r="J129" s="1"/>
  <c r="I129"/>
  <c r="K129" s="1"/>
  <c r="H145"/>
  <c r="J145" s="1"/>
  <c r="I145"/>
  <c r="K145" s="1"/>
  <c r="H164"/>
  <c r="J164" s="1"/>
  <c r="I164"/>
  <c r="K164" s="1"/>
  <c r="M164"/>
  <c r="H177"/>
  <c r="J177" s="1"/>
  <c r="I177"/>
  <c r="K177" s="1"/>
  <c r="A2"/>
  <c r="M12"/>
  <c r="M36"/>
  <c r="H81"/>
  <c r="J81" s="1"/>
  <c r="M94"/>
  <c r="H126"/>
  <c r="J126" s="1"/>
  <c r="H174"/>
  <c r="J174" s="1"/>
  <c r="M180"/>
  <c r="AB4" i="3"/>
  <c r="AB6"/>
  <c r="AB10"/>
  <c r="AB12"/>
  <c r="AB16"/>
  <c r="AB18"/>
  <c r="AB22"/>
  <c r="AB28"/>
  <c r="AB39"/>
  <c r="P41"/>
  <c r="AB44"/>
  <c r="AB48"/>
  <c r="AB59"/>
  <c r="P65"/>
  <c r="P86"/>
  <c r="AB89"/>
  <c r="AB91"/>
  <c r="AB95"/>
  <c r="AB97"/>
  <c r="AB108"/>
  <c r="AB112"/>
  <c r="AB114"/>
  <c r="AB125"/>
  <c r="AB127"/>
  <c r="AB131"/>
  <c r="AB161"/>
  <c r="AB169"/>
  <c r="AB200"/>
  <c r="H19" i="1"/>
  <c r="J19" s="1"/>
  <c r="H91"/>
  <c r="J91" s="1"/>
  <c r="I91"/>
  <c r="K91" s="1"/>
  <c r="H132"/>
  <c r="J132" s="1"/>
  <c r="I132"/>
  <c r="K132" s="1"/>
  <c r="M132"/>
  <c r="I148"/>
  <c r="K148" s="1"/>
  <c r="M148"/>
  <c r="H148"/>
  <c r="J148" s="1"/>
  <c r="H180"/>
  <c r="J180" s="1"/>
  <c r="P203" i="3"/>
  <c r="AB8"/>
  <c r="AB14"/>
  <c r="AB20"/>
  <c r="AB26"/>
  <c r="AB30"/>
  <c r="P32"/>
  <c r="AB35"/>
  <c r="P50"/>
  <c r="AB53"/>
  <c r="AB55"/>
  <c r="P61"/>
  <c r="AB74"/>
  <c r="P76"/>
  <c r="AB93"/>
  <c r="AB110"/>
  <c r="AB129"/>
  <c r="AB151"/>
  <c r="AB172"/>
  <c r="P176"/>
  <c r="P6"/>
  <c r="P12"/>
  <c r="P18"/>
  <c r="P24"/>
  <c r="AB42"/>
  <c r="AB57"/>
  <c r="AB68"/>
  <c r="AB70"/>
  <c r="AB81"/>
  <c r="H67" i="1"/>
  <c r="J67" s="1"/>
  <c r="H118"/>
  <c r="J118" s="1"/>
  <c r="I118"/>
  <c r="K118" s="1"/>
  <c r="M118"/>
  <c r="M134"/>
  <c r="M166"/>
  <c r="H179"/>
  <c r="J179" s="1"/>
  <c r="P2" i="3"/>
  <c r="P8"/>
  <c r="P14"/>
  <c r="P20"/>
  <c r="P26"/>
  <c r="AB33"/>
  <c r="AB51"/>
  <c r="P59"/>
  <c r="AB62"/>
  <c r="AB64"/>
  <c r="P74"/>
  <c r="AB85"/>
  <c r="AB87"/>
  <c r="AB98"/>
  <c r="AB100"/>
  <c r="AB104"/>
  <c r="AB106"/>
  <c r="AB117"/>
  <c r="AB121"/>
  <c r="AB123"/>
  <c r="AB136"/>
  <c r="AB158"/>
  <c r="P212"/>
  <c r="H79" i="1"/>
  <c r="J79" s="1"/>
  <c r="H43"/>
  <c r="J43" s="1"/>
  <c r="H87"/>
  <c r="J87" s="1"/>
  <c r="H107"/>
  <c r="J107" s="1"/>
  <c r="I107"/>
  <c r="K107" s="1"/>
  <c r="M4"/>
  <c r="M28"/>
  <c r="M52"/>
  <c r="M66"/>
  <c r="M73"/>
  <c r="M83"/>
  <c r="H90"/>
  <c r="J90" s="1"/>
  <c r="H93"/>
  <c r="J93" s="1"/>
  <c r="M117"/>
  <c r="M150"/>
  <c r="AB40" i="3"/>
  <c r="AB49"/>
  <c r="P70"/>
  <c r="AB102"/>
  <c r="AB119"/>
  <c r="AB142"/>
  <c r="P187"/>
  <c r="AB194"/>
  <c r="P214"/>
  <c r="H11" i="1"/>
  <c r="J11" s="1"/>
  <c r="H35"/>
  <c r="J35" s="1"/>
  <c r="H114"/>
  <c r="J114" s="1"/>
  <c r="I114"/>
  <c r="K114" s="1"/>
  <c r="I137"/>
  <c r="K137" s="1"/>
  <c r="H137"/>
  <c r="J137" s="1"/>
  <c r="H7"/>
  <c r="J7" s="1"/>
  <c r="H31"/>
  <c r="J31" s="1"/>
  <c r="H55"/>
  <c r="J55" s="1"/>
  <c r="M106"/>
  <c r="H117"/>
  <c r="J117" s="1"/>
  <c r="H134"/>
  <c r="J134" s="1"/>
  <c r="H166"/>
  <c r="J166" s="1"/>
  <c r="AB27" i="3"/>
  <c r="AB31"/>
  <c r="AB36"/>
  <c r="AB45"/>
  <c r="AB60"/>
  <c r="P68"/>
  <c r="AB77"/>
  <c r="P85"/>
  <c r="AB170"/>
  <c r="AB196"/>
  <c r="P202"/>
  <c r="AB204"/>
  <c r="P206"/>
  <c r="H59" i="1"/>
  <c r="J59" s="1"/>
  <c r="H140"/>
  <c r="J140" s="1"/>
  <c r="I140"/>
  <c r="K140" s="1"/>
  <c r="M140"/>
  <c r="H153"/>
  <c r="J153" s="1"/>
  <c r="I153"/>
  <c r="K153" s="1"/>
  <c r="H169"/>
  <c r="J169" s="1"/>
  <c r="I169"/>
  <c r="K169" s="1"/>
  <c r="M34"/>
  <c r="AB3" i="3"/>
  <c r="AB7"/>
  <c r="AB9"/>
  <c r="AB13"/>
  <c r="AB15"/>
  <c r="AB19"/>
  <c r="AB21"/>
  <c r="AB25"/>
  <c r="AB38"/>
  <c r="P40"/>
  <c r="AB47"/>
  <c r="P49"/>
  <c r="AB54"/>
  <c r="AB58"/>
  <c r="AB71"/>
  <c r="AB73"/>
  <c r="P83"/>
  <c r="AB90"/>
  <c r="AB94"/>
  <c r="AB96"/>
  <c r="AB107"/>
  <c r="AB109"/>
  <c r="AB113"/>
  <c r="AB115"/>
  <c r="AB126"/>
  <c r="AB130"/>
  <c r="AB132"/>
  <c r="AB148"/>
  <c r="AB160"/>
  <c r="AB164"/>
  <c r="AB175"/>
  <c r="AB192"/>
  <c r="H27" i="1"/>
  <c r="J27" s="1"/>
  <c r="H121"/>
  <c r="J121" s="1"/>
  <c r="I121"/>
  <c r="K121" s="1"/>
  <c r="I124"/>
  <c r="K124" s="1"/>
  <c r="M124"/>
  <c r="H124"/>
  <c r="J124" s="1"/>
  <c r="H156"/>
  <c r="J156" s="1"/>
  <c r="I156"/>
  <c r="K156" s="1"/>
  <c r="M156"/>
  <c r="M172"/>
  <c r="H172"/>
  <c r="J172" s="1"/>
  <c r="I172"/>
  <c r="K172" s="1"/>
  <c r="M58"/>
  <c r="M65"/>
  <c r="M120"/>
  <c r="M139"/>
  <c r="P31" i="3"/>
  <c r="P79"/>
  <c r="AB190"/>
  <c r="H103" i="1"/>
  <c r="J103" s="1"/>
  <c r="I103"/>
  <c r="K103" s="1"/>
  <c r="H99"/>
  <c r="J99" s="1"/>
  <c r="I99"/>
  <c r="K99" s="1"/>
  <c r="M10"/>
  <c r="M79"/>
  <c r="M102"/>
  <c r="H10"/>
  <c r="J10" s="1"/>
  <c r="M20"/>
  <c r="M27"/>
  <c r="H34"/>
  <c r="J34" s="1"/>
  <c r="M44"/>
  <c r="M51"/>
  <c r="H65"/>
  <c r="J65" s="1"/>
  <c r="M95"/>
  <c r="H102"/>
  <c r="J102" s="1"/>
  <c r="H120"/>
  <c r="J120" s="1"/>
  <c r="M123"/>
  <c r="H139"/>
  <c r="J139" s="1"/>
  <c r="M155"/>
  <c r="M171"/>
  <c r="P3" i="3"/>
  <c r="P9"/>
  <c r="P15"/>
  <c r="P21"/>
  <c r="P27"/>
  <c r="P38"/>
  <c r="AB43"/>
  <c r="P47"/>
  <c r="AB56"/>
  <c r="P58"/>
  <c r="AB63"/>
  <c r="AB67"/>
  <c r="AB69"/>
  <c r="P77"/>
  <c r="AB154"/>
  <c r="P175"/>
  <c r="P5"/>
  <c r="P11"/>
  <c r="P17"/>
  <c r="P23"/>
  <c r="P29"/>
  <c r="AB34"/>
  <c r="AB41"/>
  <c r="AB52"/>
  <c r="AB80"/>
  <c r="AB82"/>
  <c r="AB86"/>
  <c r="AB88"/>
  <c r="AB99"/>
  <c r="AB103"/>
  <c r="AB105"/>
  <c r="AB116"/>
  <c r="AB118"/>
  <c r="AB122"/>
  <c r="AB124"/>
  <c r="AB139"/>
  <c r="AB184"/>
  <c r="M26" i="1"/>
  <c r="M68"/>
  <c r="M78"/>
  <c r="M126"/>
  <c r="M174"/>
  <c r="AB32" i="3"/>
  <c r="P43"/>
  <c r="AB50"/>
  <c r="P56"/>
  <c r="AB65"/>
  <c r="P67"/>
  <c r="AB84"/>
  <c r="AB101"/>
  <c r="AB120"/>
  <c r="AB171"/>
  <c r="AB176"/>
  <c r="AB180"/>
  <c r="AB191"/>
  <c r="P209"/>
  <c r="H3" i="1"/>
  <c r="J3" s="1"/>
  <c r="H161"/>
  <c r="J161" s="1"/>
  <c r="I161"/>
  <c r="K161" s="1"/>
  <c r="M50"/>
  <c r="P34" i="3"/>
  <c r="AB37"/>
  <c r="P52"/>
  <c r="AB61"/>
  <c r="AB72"/>
  <c r="AB76"/>
  <c r="AB78"/>
  <c r="AB178"/>
  <c r="CV23" i="2"/>
  <c r="I23" i="1" s="1"/>
  <c r="K23" s="1"/>
  <c r="CV54" i="2"/>
  <c r="I54" i="1" s="1"/>
  <c r="K54" s="1"/>
  <c r="CV66" i="2"/>
  <c r="I66" i="1" s="1"/>
  <c r="K66" s="1"/>
  <c r="P30" i="3"/>
  <c r="P39"/>
  <c r="P48"/>
  <c r="P57"/>
  <c r="P66"/>
  <c r="P75"/>
  <c r="P84"/>
  <c r="AB159"/>
  <c r="P179"/>
  <c r="P223"/>
  <c r="AB238"/>
  <c r="P257"/>
  <c r="AB260"/>
  <c r="CV16" i="2"/>
  <c r="I16" i="1" s="1"/>
  <c r="K16" s="1"/>
  <c r="CV28" i="2"/>
  <c r="I28" i="1" s="1"/>
  <c r="K28" s="1"/>
  <c r="CV31" i="2"/>
  <c r="I31" i="1" s="1"/>
  <c r="K31" s="1"/>
  <c r="CV34" i="2"/>
  <c r="I34" i="1" s="1"/>
  <c r="K34" s="1"/>
  <c r="CV37" i="2"/>
  <c r="I37" i="1" s="1"/>
  <c r="K37" s="1"/>
  <c r="CV40" i="2"/>
  <c r="I40" i="1" s="1"/>
  <c r="K40" s="1"/>
  <c r="CV43" i="2"/>
  <c r="I43" i="1" s="1"/>
  <c r="K43" s="1"/>
  <c r="CV46" i="2"/>
  <c r="I46" i="1" s="1"/>
  <c r="K46" s="1"/>
  <c r="CV49" i="2"/>
  <c r="I49" i="1" s="1"/>
  <c r="K49" s="1"/>
  <c r="CV59" i="2"/>
  <c r="I59" i="1" s="1"/>
  <c r="K59" s="1"/>
  <c r="CV69" i="2"/>
  <c r="I69" i="1" s="1"/>
  <c r="K69" s="1"/>
  <c r="CV72" i="2"/>
  <c r="I72" i="1" s="1"/>
  <c r="K72" s="1"/>
  <c r="CV75" i="2"/>
  <c r="I75" i="1" s="1"/>
  <c r="K75" s="1"/>
  <c r="P182" i="3"/>
  <c r="AB195"/>
  <c r="AB209"/>
  <c r="P217"/>
  <c r="AB221"/>
  <c r="AB240"/>
  <c r="AB252"/>
  <c r="P173"/>
  <c r="P180"/>
  <c r="P190"/>
  <c r="AB201"/>
  <c r="P208"/>
  <c r="P221"/>
  <c r="P226"/>
  <c r="AB236"/>
  <c r="AB254"/>
  <c r="P4"/>
  <c r="P7"/>
  <c r="P10"/>
  <c r="P13"/>
  <c r="P16"/>
  <c r="P19"/>
  <c r="P22"/>
  <c r="P25"/>
  <c r="P28"/>
  <c r="P37"/>
  <c r="P46"/>
  <c r="P55"/>
  <c r="P64"/>
  <c r="P73"/>
  <c r="P82"/>
  <c r="AB173"/>
  <c r="AB215"/>
  <c r="AB218"/>
  <c r="CV19" i="2"/>
  <c r="I19" i="1" s="1"/>
  <c r="K19" s="1"/>
  <c r="CV62" i="2"/>
  <c r="I62" i="1" s="1"/>
  <c r="K62" s="1"/>
  <c r="P33" i="3"/>
  <c r="P42"/>
  <c r="P51"/>
  <c r="P60"/>
  <c r="P69"/>
  <c r="P78"/>
  <c r="AB162"/>
  <c r="AB174"/>
  <c r="AB183"/>
  <c r="AB206"/>
  <c r="AB210"/>
  <c r="P254"/>
  <c r="P260"/>
  <c r="CV4" i="2"/>
  <c r="I4" i="1" s="1"/>
  <c r="K4" s="1"/>
  <c r="CV6" i="2"/>
  <c r="I6" i="1" s="1"/>
  <c r="K6" s="1"/>
  <c r="CV8" i="2"/>
  <c r="I8" i="1" s="1"/>
  <c r="K8" s="1"/>
  <c r="CV10" i="2"/>
  <c r="I10" i="1" s="1"/>
  <c r="K10" s="1"/>
  <c r="CV12" i="2"/>
  <c r="I12" i="1" s="1"/>
  <c r="K12" s="1"/>
  <c r="CV24" i="2"/>
  <c r="I24" i="1" s="1"/>
  <c r="K24" s="1"/>
  <c r="CV29" i="2"/>
  <c r="I29" i="1" s="1"/>
  <c r="K29" s="1"/>
  <c r="CV32" i="2"/>
  <c r="I32" i="1" s="1"/>
  <c r="K32" s="1"/>
  <c r="CV35" i="2"/>
  <c r="I35" i="1" s="1"/>
  <c r="K35" s="1"/>
  <c r="CV38" i="2"/>
  <c r="I38" i="1" s="1"/>
  <c r="K38" s="1"/>
  <c r="CV41" i="2"/>
  <c r="I41" i="1" s="1"/>
  <c r="K41" s="1"/>
  <c r="CV44" i="2"/>
  <c r="I44" i="1" s="1"/>
  <c r="K44" s="1"/>
  <c r="CV47" i="2"/>
  <c r="I47" i="1" s="1"/>
  <c r="K47" s="1"/>
  <c r="CV50" i="2"/>
  <c r="I50" i="1" s="1"/>
  <c r="K50" s="1"/>
  <c r="CV55" i="2"/>
  <c r="I55" i="1" s="1"/>
  <c r="K55" s="1"/>
  <c r="CV67" i="2"/>
  <c r="I67" i="1" s="1"/>
  <c r="K67" s="1"/>
  <c r="CV70" i="2"/>
  <c r="I70" i="1" s="1"/>
  <c r="K70" s="1"/>
  <c r="CV73" i="2"/>
  <c r="I73" i="1" s="1"/>
  <c r="K73" s="1"/>
  <c r="CV76" i="2"/>
  <c r="I76" i="1" s="1"/>
  <c r="K76" s="1"/>
  <c r="P205" i="3"/>
  <c r="AB213"/>
  <c r="P218"/>
  <c r="P224"/>
  <c r="P229"/>
  <c r="AB232"/>
  <c r="P236"/>
  <c r="P238"/>
  <c r="AB248"/>
  <c r="P174"/>
  <c r="AB177"/>
  <c r="P183"/>
  <c r="AB202"/>
  <c r="P210"/>
  <c r="AB227"/>
  <c r="P232"/>
  <c r="AB137"/>
  <c r="AB138"/>
  <c r="AB140"/>
  <c r="AB141"/>
  <c r="AB143"/>
  <c r="AB144"/>
  <c r="AB146"/>
  <c r="AB147"/>
  <c r="AB149"/>
  <c r="AB150"/>
  <c r="AB152"/>
  <c r="AB153"/>
  <c r="AB165"/>
  <c r="P178"/>
  <c r="P185"/>
  <c r="AB198"/>
  <c r="AB214"/>
  <c r="AB216"/>
  <c r="AB219"/>
  <c r="P248"/>
  <c r="AB251"/>
  <c r="CV15" i="2"/>
  <c r="I15" i="1" s="1"/>
  <c r="K15" s="1"/>
  <c r="CV58" i="2"/>
  <c r="I58" i="1" s="1"/>
  <c r="K58" s="1"/>
  <c r="CV78" i="2"/>
  <c r="I78" i="1" s="1"/>
  <c r="K78" s="1"/>
  <c r="CV79" i="2"/>
  <c r="I79" i="1" s="1"/>
  <c r="K79" s="1"/>
  <c r="CV80" i="2"/>
  <c r="I80" i="1" s="1"/>
  <c r="K80" s="1"/>
  <c r="CV81" i="2"/>
  <c r="I81" i="1" s="1"/>
  <c r="K81" s="1"/>
  <c r="CV82" i="2"/>
  <c r="I82" i="1" s="1"/>
  <c r="K82" s="1"/>
  <c r="CV83" i="2"/>
  <c r="I83" i="1" s="1"/>
  <c r="K83" s="1"/>
  <c r="CV84" i="2"/>
  <c r="I84" i="1" s="1"/>
  <c r="K84" s="1"/>
  <c r="CV85" i="2"/>
  <c r="I85" i="1" s="1"/>
  <c r="K85" s="1"/>
  <c r="CV86" i="2"/>
  <c r="I86" i="1" s="1"/>
  <c r="K86" s="1"/>
  <c r="CV87" i="2"/>
  <c r="I87" i="1" s="1"/>
  <c r="K87" s="1"/>
  <c r="P35" i="3"/>
  <c r="P36"/>
  <c r="P44"/>
  <c r="P45"/>
  <c r="P53"/>
  <c r="P54"/>
  <c r="P62"/>
  <c r="P63"/>
  <c r="P71"/>
  <c r="P72"/>
  <c r="P80"/>
  <c r="P81"/>
  <c r="P177"/>
  <c r="P184"/>
  <c r="AB186"/>
  <c r="AB207"/>
  <c r="AB211"/>
  <c r="AB222"/>
  <c r="AB235"/>
  <c r="AB239"/>
  <c r="AB166"/>
  <c r="AB199"/>
  <c r="P219"/>
  <c r="AB220"/>
  <c r="AB242"/>
  <c r="P251"/>
  <c r="AB255"/>
  <c r="P263"/>
  <c r="P233"/>
  <c r="P245"/>
  <c r="P239"/>
  <c r="P227"/>
  <c r="P215"/>
  <c r="P235"/>
  <c r="P181"/>
  <c r="AB168"/>
  <c r="P186"/>
  <c r="P199"/>
  <c r="P211"/>
  <c r="P220"/>
  <c r="AB223"/>
  <c r="P242"/>
  <c r="AB257"/>
  <c r="CV3" i="2"/>
  <c r="I3" i="1" s="1"/>
  <c r="K3" s="1"/>
  <c r="CV5" i="2"/>
  <c r="I5" i="1" s="1"/>
  <c r="K5" s="1"/>
  <c r="CV7" i="2"/>
  <c r="I7" i="1" s="1"/>
  <c r="K7" s="1"/>
  <c r="CV9" i="2"/>
  <c r="I9" i="1" s="1"/>
  <c r="K9" s="1"/>
  <c r="CV11" i="2"/>
  <c r="I11" i="1" s="1"/>
  <c r="K11" s="1"/>
  <c r="CV18" i="2"/>
  <c r="I18" i="1" s="1"/>
  <c r="K18" s="1"/>
  <c r="CV61" i="2"/>
  <c r="I61" i="1" s="1"/>
  <c r="K61" s="1"/>
  <c r="CV77" i="2"/>
  <c r="I77" i="1" s="1"/>
  <c r="K77" s="1"/>
  <c r="AB2" i="3"/>
  <c r="P200"/>
  <c r="P230"/>
  <c r="P204"/>
  <c r="M6" i="4"/>
  <c r="M7"/>
  <c r="M8"/>
  <c r="N22"/>
  <c r="M22"/>
  <c r="N35"/>
  <c r="M52"/>
  <c r="N54"/>
  <c r="M70"/>
  <c r="N72"/>
  <c r="M88"/>
  <c r="N90"/>
  <c r="M116"/>
  <c r="M118"/>
  <c r="M119"/>
  <c r="AB249" i="3"/>
  <c r="P253"/>
  <c r="P258"/>
  <c r="AB259"/>
  <c r="M112" i="4"/>
  <c r="P222" i="3"/>
  <c r="AB225"/>
  <c r="P234"/>
  <c r="AB237"/>
  <c r="P243"/>
  <c r="AB244"/>
  <c r="N6" i="4"/>
  <c r="M18"/>
  <c r="M19"/>
  <c r="M20"/>
  <c r="N34"/>
  <c r="M34"/>
  <c r="M48"/>
  <c r="M49"/>
  <c r="M50"/>
  <c r="M67"/>
  <c r="M68"/>
  <c r="M85"/>
  <c r="M86"/>
  <c r="M107"/>
  <c r="P259" i="3"/>
  <c r="N4" i="4"/>
  <c r="M4"/>
  <c r="N17"/>
  <c r="M33"/>
  <c r="N47"/>
  <c r="N65"/>
  <c r="N83"/>
  <c r="M105"/>
  <c r="P244" i="3"/>
  <c r="P249"/>
  <c r="AB250"/>
  <c r="M3" i="4"/>
  <c r="M30"/>
  <c r="M31"/>
  <c r="M32"/>
  <c r="M46"/>
  <c r="M64"/>
  <c r="M82"/>
  <c r="M103"/>
  <c r="M104"/>
  <c r="P201" i="3"/>
  <c r="P213"/>
  <c r="P225"/>
  <c r="P237"/>
  <c r="N16" i="4"/>
  <c r="M16"/>
  <c r="N29"/>
  <c r="M45"/>
  <c r="M63"/>
  <c r="M101"/>
  <c r="M158"/>
  <c r="AB246" i="3"/>
  <c r="P250"/>
  <c r="P255"/>
  <c r="AB256"/>
  <c r="M42" i="4"/>
  <c r="M43"/>
  <c r="M61"/>
  <c r="M79"/>
  <c r="M80"/>
  <c r="M152"/>
  <c r="M155"/>
  <c r="P207" i="3"/>
  <c r="AB241"/>
  <c r="M12" i="4"/>
  <c r="M13"/>
  <c r="M14"/>
  <c r="N28"/>
  <c r="M28"/>
  <c r="N41"/>
  <c r="N59"/>
  <c r="N77"/>
  <c r="M96"/>
  <c r="M97"/>
  <c r="M98"/>
  <c r="M146"/>
  <c r="M147"/>
  <c r="M148"/>
  <c r="M149"/>
  <c r="P216" i="3"/>
  <c r="P228"/>
  <c r="P240"/>
  <c r="P256"/>
  <c r="P261"/>
  <c r="AB262"/>
  <c r="N11" i="4"/>
  <c r="M27"/>
  <c r="M58"/>
  <c r="M76"/>
  <c r="M94"/>
  <c r="N95"/>
  <c r="M95"/>
  <c r="M140"/>
  <c r="M142"/>
  <c r="P241" i="3"/>
  <c r="P246"/>
  <c r="AB247"/>
  <c r="M24" i="4"/>
  <c r="M25"/>
  <c r="M26"/>
  <c r="N40"/>
  <c r="M40"/>
  <c r="M57"/>
  <c r="M75"/>
  <c r="M93"/>
  <c r="M135"/>
  <c r="M136"/>
  <c r="M137"/>
  <c r="AB258" i="3"/>
  <c r="P262"/>
  <c r="M10" i="4"/>
  <c r="P231" i="3"/>
  <c r="AB234"/>
  <c r="AB243"/>
  <c r="P247"/>
  <c r="P252"/>
  <c r="AB253"/>
  <c r="M9" i="4"/>
  <c r="N24"/>
  <c r="M36"/>
  <c r="M37"/>
  <c r="M38"/>
  <c r="M125"/>
  <c r="AI5" i="5"/>
  <c r="CD5" s="1"/>
  <c r="CA5"/>
  <c r="CH5" s="1"/>
  <c r="BP134"/>
  <c r="CG134" s="1"/>
  <c r="AT134"/>
  <c r="CE134" s="1"/>
  <c r="X134"/>
  <c r="CC134" s="1"/>
  <c r="CA134"/>
  <c r="CH134" s="1"/>
  <c r="BE134"/>
  <c r="CF134" s="1"/>
  <c r="AI134"/>
  <c r="CD134" s="1"/>
  <c r="N46" i="4"/>
  <c r="N52"/>
  <c r="N58"/>
  <c r="N64"/>
  <c r="N70"/>
  <c r="N76"/>
  <c r="N82"/>
  <c r="N88"/>
  <c r="N94"/>
  <c r="N100"/>
  <c r="N106"/>
  <c r="N173"/>
  <c r="M188"/>
  <c r="N188"/>
  <c r="M196"/>
  <c r="M204"/>
  <c r="M212"/>
  <c r="M220"/>
  <c r="BE4" i="5"/>
  <c r="CF4" s="1"/>
  <c r="M5"/>
  <c r="CB5" s="1"/>
  <c r="CA16"/>
  <c r="CH16" s="1"/>
  <c r="BE19"/>
  <c r="CF19" s="1"/>
  <c r="M22"/>
  <c r="CB22" s="1"/>
  <c r="AI22"/>
  <c r="CD22" s="1"/>
  <c r="CA28"/>
  <c r="CH28" s="1"/>
  <c r="BE31"/>
  <c r="CF31" s="1"/>
  <c r="M34"/>
  <c r="CB34" s="1"/>
  <c r="AI34"/>
  <c r="CD34" s="1"/>
  <c r="CA40"/>
  <c r="CH40" s="1"/>
  <c r="BE43"/>
  <c r="CF43" s="1"/>
  <c r="M46"/>
  <c r="CB46" s="1"/>
  <c r="AI46"/>
  <c r="CD46" s="1"/>
  <c r="CA52"/>
  <c r="CH52" s="1"/>
  <c r="BE55"/>
  <c r="CF55" s="1"/>
  <c r="M58"/>
  <c r="CB58" s="1"/>
  <c r="AI58"/>
  <c r="CD58" s="1"/>
  <c r="CA64"/>
  <c r="CH64" s="1"/>
  <c r="BE67"/>
  <c r="CF67" s="1"/>
  <c r="M70"/>
  <c r="CB70" s="1"/>
  <c r="AI70"/>
  <c r="CD70" s="1"/>
  <c r="CA76"/>
  <c r="CH76" s="1"/>
  <c r="BE79"/>
  <c r="CF79" s="1"/>
  <c r="M82"/>
  <c r="CB82" s="1"/>
  <c r="AI82"/>
  <c r="CD82" s="1"/>
  <c r="CA88"/>
  <c r="CH88" s="1"/>
  <c r="BE91"/>
  <c r="CF91" s="1"/>
  <c r="BE101"/>
  <c r="CF101" s="1"/>
  <c r="BE102"/>
  <c r="CF102" s="1"/>
  <c r="CA107"/>
  <c r="CH107" s="1"/>
  <c r="BP111"/>
  <c r="CG111" s="1"/>
  <c r="AI115"/>
  <c r="CD115" s="1"/>
  <c r="AI129"/>
  <c r="CD129" s="1"/>
  <c r="M134"/>
  <c r="CB134" s="1"/>
  <c r="AI157"/>
  <c r="CD157" s="1"/>
  <c r="AI175"/>
  <c r="CD175" s="1"/>
  <c r="AI187"/>
  <c r="CD187" s="1"/>
  <c r="CA203"/>
  <c r="CH203" s="1"/>
  <c r="AI223"/>
  <c r="CD223" s="1"/>
  <c r="CA239"/>
  <c r="CH239" s="1"/>
  <c r="AI259"/>
  <c r="CD259" s="1"/>
  <c r="CA275"/>
  <c r="CH275" s="1"/>
  <c r="BP114"/>
  <c r="CG114" s="1"/>
  <c r="AT114"/>
  <c r="CE114" s="1"/>
  <c r="X114"/>
  <c r="CC114" s="1"/>
  <c r="BE114"/>
  <c r="CF114" s="1"/>
  <c r="AI114"/>
  <c r="CD114" s="1"/>
  <c r="CA114"/>
  <c r="CH114" s="1"/>
  <c r="BP174"/>
  <c r="CG174" s="1"/>
  <c r="AT174"/>
  <c r="CE174" s="1"/>
  <c r="X174"/>
  <c r="CC174" s="1"/>
  <c r="BE174"/>
  <c r="CF174" s="1"/>
  <c r="AI174"/>
  <c r="CD174" s="1"/>
  <c r="CA174"/>
  <c r="CH174" s="1"/>
  <c r="BP186"/>
  <c r="CG186" s="1"/>
  <c r="AT186"/>
  <c r="CE186" s="1"/>
  <c r="X186"/>
  <c r="CC186" s="1"/>
  <c r="BE186"/>
  <c r="CF186" s="1"/>
  <c r="AI186"/>
  <c r="CD186" s="1"/>
  <c r="CA186"/>
  <c r="CH186" s="1"/>
  <c r="BP222"/>
  <c r="CG222" s="1"/>
  <c r="AT222"/>
  <c r="CE222" s="1"/>
  <c r="X222"/>
  <c r="CC222" s="1"/>
  <c r="BE222"/>
  <c r="CF222" s="1"/>
  <c r="AI222"/>
  <c r="CD222" s="1"/>
  <c r="CA222"/>
  <c r="CH222" s="1"/>
  <c r="BP258"/>
  <c r="CG258" s="1"/>
  <c r="AT258"/>
  <c r="CE258" s="1"/>
  <c r="X258"/>
  <c r="CC258" s="1"/>
  <c r="BE258"/>
  <c r="CF258" s="1"/>
  <c r="AI258"/>
  <c r="CD258" s="1"/>
  <c r="CA258"/>
  <c r="CH258" s="1"/>
  <c r="N112" i="4"/>
  <c r="N118"/>
  <c r="N124"/>
  <c r="N130"/>
  <c r="N136"/>
  <c r="N142"/>
  <c r="N148"/>
  <c r="N154"/>
  <c r="N160"/>
  <c r="N166"/>
  <c r="M180"/>
  <c r="N187"/>
  <c r="N195"/>
  <c r="N203"/>
  <c r="N211"/>
  <c r="N219"/>
  <c r="BE6" i="5"/>
  <c r="CF6" s="1"/>
  <c r="M10"/>
  <c r="CB10" s="1"/>
  <c r="M27"/>
  <c r="CB27" s="1"/>
  <c r="M39"/>
  <c r="CB39" s="1"/>
  <c r="M51"/>
  <c r="CB51" s="1"/>
  <c r="M63"/>
  <c r="CB63" s="1"/>
  <c r="M75"/>
  <c r="CB75" s="1"/>
  <c r="M87"/>
  <c r="CB87" s="1"/>
  <c r="BE95"/>
  <c r="CF95" s="1"/>
  <c r="BE97"/>
  <c r="CF97" s="1"/>
  <c r="M114"/>
  <c r="CB114" s="1"/>
  <c r="M174"/>
  <c r="CB174" s="1"/>
  <c r="M186"/>
  <c r="CB186" s="1"/>
  <c r="M222"/>
  <c r="CB222" s="1"/>
  <c r="M258"/>
  <c r="CB258" s="1"/>
  <c r="CA15"/>
  <c r="CH15" s="1"/>
  <c r="BE15"/>
  <c r="CF15" s="1"/>
  <c r="AI15"/>
  <c r="CD15" s="1"/>
  <c r="BP146"/>
  <c r="CG146" s="1"/>
  <c r="AT146"/>
  <c r="CE146" s="1"/>
  <c r="X146"/>
  <c r="CC146" s="1"/>
  <c r="CA146"/>
  <c r="CH146" s="1"/>
  <c r="BE146"/>
  <c r="CF146" s="1"/>
  <c r="AI146"/>
  <c r="CD146" s="1"/>
  <c r="M172" i="4"/>
  <c r="CA4" i="5"/>
  <c r="CH4" s="1"/>
  <c r="AT9"/>
  <c r="CE9" s="1"/>
  <c r="M15"/>
  <c r="CB15" s="1"/>
  <c r="BE20"/>
  <c r="CF20" s="1"/>
  <c r="AI20"/>
  <c r="CD20" s="1"/>
  <c r="CA26"/>
  <c r="CH26" s="1"/>
  <c r="BE32"/>
  <c r="CF32" s="1"/>
  <c r="AI32"/>
  <c r="CD32" s="1"/>
  <c r="CA38"/>
  <c r="CH38" s="1"/>
  <c r="BE44"/>
  <c r="CF44" s="1"/>
  <c r="AI44"/>
  <c r="CD44" s="1"/>
  <c r="CA50"/>
  <c r="CH50" s="1"/>
  <c r="BE56"/>
  <c r="CF56" s="1"/>
  <c r="AI56"/>
  <c r="CD56" s="1"/>
  <c r="CA62"/>
  <c r="CH62" s="1"/>
  <c r="BE68"/>
  <c r="CF68" s="1"/>
  <c r="AI68"/>
  <c r="CD68" s="1"/>
  <c r="CA74"/>
  <c r="CH74" s="1"/>
  <c r="BE80"/>
  <c r="CF80" s="1"/>
  <c r="AI80"/>
  <c r="CD80" s="1"/>
  <c r="CA86"/>
  <c r="CH86" s="1"/>
  <c r="BE89"/>
  <c r="CF89" s="1"/>
  <c r="BP110"/>
  <c r="CG110" s="1"/>
  <c r="AI127"/>
  <c r="CD127" s="1"/>
  <c r="AI141"/>
  <c r="CD141" s="1"/>
  <c r="M146"/>
  <c r="CB146" s="1"/>
  <c r="AI165"/>
  <c r="CD165" s="1"/>
  <c r="CA169"/>
  <c r="CH169" s="1"/>
  <c r="BP126"/>
  <c r="CG126" s="1"/>
  <c r="AT126"/>
  <c r="CE126" s="1"/>
  <c r="X126"/>
  <c r="CC126" s="1"/>
  <c r="BE126"/>
  <c r="CF126" s="1"/>
  <c r="AI126"/>
  <c r="CD126" s="1"/>
  <c r="CA126"/>
  <c r="CH126" s="1"/>
  <c r="N111" i="4"/>
  <c r="N117"/>
  <c r="N123"/>
  <c r="N129"/>
  <c r="N135"/>
  <c r="N141"/>
  <c r="N147"/>
  <c r="N153"/>
  <c r="N159"/>
  <c r="N165"/>
  <c r="N171"/>
  <c r="M186"/>
  <c r="M194"/>
  <c r="M202"/>
  <c r="M210"/>
  <c r="M218"/>
  <c r="CA7" i="5"/>
  <c r="CH7" s="1"/>
  <c r="X15"/>
  <c r="CC15" s="1"/>
  <c r="CA25"/>
  <c r="CH25" s="1"/>
  <c r="CA37"/>
  <c r="CH37" s="1"/>
  <c r="CA49"/>
  <c r="CH49" s="1"/>
  <c r="CA61"/>
  <c r="CH61" s="1"/>
  <c r="CA73"/>
  <c r="CH73" s="1"/>
  <c r="CA85"/>
  <c r="CH85" s="1"/>
  <c r="BE92"/>
  <c r="CF92" s="1"/>
  <c r="AI92"/>
  <c r="CD92" s="1"/>
  <c r="AI96"/>
  <c r="CD96" s="1"/>
  <c r="CA99"/>
  <c r="CH99" s="1"/>
  <c r="CA111"/>
  <c r="CH111" s="1"/>
  <c r="BE113"/>
  <c r="CF113" s="1"/>
  <c r="M126"/>
  <c r="CB126" s="1"/>
  <c r="CA131"/>
  <c r="CH131" s="1"/>
  <c r="AI163"/>
  <c r="CD163" s="1"/>
  <c r="CA193"/>
  <c r="CH193" s="1"/>
  <c r="CA195"/>
  <c r="CH195" s="1"/>
  <c r="CA229"/>
  <c r="CH229" s="1"/>
  <c r="CA231"/>
  <c r="CH231" s="1"/>
  <c r="CA265"/>
  <c r="CH265" s="1"/>
  <c r="CA267"/>
  <c r="CH267" s="1"/>
  <c r="AI11"/>
  <c r="CD11" s="1"/>
  <c r="CA11"/>
  <c r="CH11" s="1"/>
  <c r="X106"/>
  <c r="CC106" s="1"/>
  <c r="BP106"/>
  <c r="CG106" s="1"/>
  <c r="BE106"/>
  <c r="CF106" s="1"/>
  <c r="AI106"/>
  <c r="CD106" s="1"/>
  <c r="CA106"/>
  <c r="CH106" s="1"/>
  <c r="BP162"/>
  <c r="CG162" s="1"/>
  <c r="AT162"/>
  <c r="CE162" s="1"/>
  <c r="X162"/>
  <c r="CC162" s="1"/>
  <c r="BE162"/>
  <c r="CF162" s="1"/>
  <c r="AI162"/>
  <c r="CD162" s="1"/>
  <c r="CA162"/>
  <c r="CH162" s="1"/>
  <c r="M178" i="4"/>
  <c r="BE10" i="5"/>
  <c r="CF10" s="1"/>
  <c r="M11"/>
  <c r="CB11" s="1"/>
  <c r="BE18"/>
  <c r="CF18" s="1"/>
  <c r="AI18"/>
  <c r="CD18" s="1"/>
  <c r="BE22"/>
  <c r="CF22" s="1"/>
  <c r="CA24"/>
  <c r="CH24" s="1"/>
  <c r="BE30"/>
  <c r="CF30" s="1"/>
  <c r="AI30"/>
  <c r="CD30" s="1"/>
  <c r="BE34"/>
  <c r="CF34" s="1"/>
  <c r="CA36"/>
  <c r="CH36" s="1"/>
  <c r="BE42"/>
  <c r="CF42" s="1"/>
  <c r="AI42"/>
  <c r="CD42" s="1"/>
  <c r="BE46"/>
  <c r="CF46" s="1"/>
  <c r="CA48"/>
  <c r="CH48" s="1"/>
  <c r="BE54"/>
  <c r="CF54" s="1"/>
  <c r="AI54"/>
  <c r="CD54" s="1"/>
  <c r="BE58"/>
  <c r="CF58" s="1"/>
  <c r="CA60"/>
  <c r="CH60" s="1"/>
  <c r="BE66"/>
  <c r="CF66" s="1"/>
  <c r="AI66"/>
  <c r="CD66" s="1"/>
  <c r="BE70"/>
  <c r="CF70" s="1"/>
  <c r="CA72"/>
  <c r="CH72" s="1"/>
  <c r="BE78"/>
  <c r="CF78" s="1"/>
  <c r="AI78"/>
  <c r="CD78" s="1"/>
  <c r="BE82"/>
  <c r="CF82" s="1"/>
  <c r="CA84"/>
  <c r="CH84" s="1"/>
  <c r="BE90"/>
  <c r="CF90" s="1"/>
  <c r="AI90"/>
  <c r="CD90" s="1"/>
  <c r="BP93"/>
  <c r="CG93" s="1"/>
  <c r="AI98"/>
  <c r="CD98" s="1"/>
  <c r="AI103"/>
  <c r="CD103" s="1"/>
  <c r="AT104"/>
  <c r="CE104" s="1"/>
  <c r="M106"/>
  <c r="CB106" s="1"/>
  <c r="AI139"/>
  <c r="CD139" s="1"/>
  <c r="CA151"/>
  <c r="CH151" s="1"/>
  <c r="M162"/>
  <c r="CB162" s="1"/>
  <c r="X112"/>
  <c r="CC112" s="1"/>
  <c r="AT112"/>
  <c r="CE112" s="1"/>
  <c r="BP112"/>
  <c r="CG112" s="1"/>
  <c r="BE112"/>
  <c r="CF112" s="1"/>
  <c r="AI112"/>
  <c r="CD112" s="1"/>
  <c r="BP138"/>
  <c r="CG138" s="1"/>
  <c r="AT138"/>
  <c r="CE138" s="1"/>
  <c r="X138"/>
  <c r="CC138" s="1"/>
  <c r="BE138"/>
  <c r="CF138" s="1"/>
  <c r="AI138"/>
  <c r="CD138" s="1"/>
  <c r="CA138"/>
  <c r="CH138" s="1"/>
  <c r="BP198"/>
  <c r="CG198" s="1"/>
  <c r="AT198"/>
  <c r="CE198" s="1"/>
  <c r="X198"/>
  <c r="CC198" s="1"/>
  <c r="BE198"/>
  <c r="CF198" s="1"/>
  <c r="AI198"/>
  <c r="CD198" s="1"/>
  <c r="CA198"/>
  <c r="CH198" s="1"/>
  <c r="BP234"/>
  <c r="CG234" s="1"/>
  <c r="AT234"/>
  <c r="CE234" s="1"/>
  <c r="X234"/>
  <c r="CC234" s="1"/>
  <c r="BE234"/>
  <c r="CF234" s="1"/>
  <c r="AI234"/>
  <c r="CD234" s="1"/>
  <c r="CA234"/>
  <c r="CH234" s="1"/>
  <c r="BP270"/>
  <c r="CG270" s="1"/>
  <c r="AT270"/>
  <c r="CE270" s="1"/>
  <c r="X270"/>
  <c r="CC270" s="1"/>
  <c r="BE270"/>
  <c r="CF270" s="1"/>
  <c r="AI270"/>
  <c r="CD270" s="1"/>
  <c r="CA270"/>
  <c r="CH270" s="1"/>
  <c r="X11"/>
  <c r="CC11" s="1"/>
  <c r="BE12"/>
  <c r="CF12" s="1"/>
  <c r="BE23"/>
  <c r="CF23" s="1"/>
  <c r="BE35"/>
  <c r="CF35" s="1"/>
  <c r="BE47"/>
  <c r="CF47" s="1"/>
  <c r="BE59"/>
  <c r="CF59" s="1"/>
  <c r="BE71"/>
  <c r="CF71" s="1"/>
  <c r="AI83"/>
  <c r="CD83" s="1"/>
  <c r="M94"/>
  <c r="CB94" s="1"/>
  <c r="AI94"/>
  <c r="CD94" s="1"/>
  <c r="AI99"/>
  <c r="CD99" s="1"/>
  <c r="M112"/>
  <c r="CB112" s="1"/>
  <c r="AI113"/>
  <c r="CD113" s="1"/>
  <c r="CA123"/>
  <c r="CH123" s="1"/>
  <c r="M138"/>
  <c r="CB138" s="1"/>
  <c r="CA143"/>
  <c r="CH143" s="1"/>
  <c r="AI153"/>
  <c r="CD153" s="1"/>
  <c r="CA157"/>
  <c r="CH157" s="1"/>
  <c r="BE166"/>
  <c r="CF166" s="1"/>
  <c r="M198"/>
  <c r="CB198" s="1"/>
  <c r="AI201"/>
  <c r="CD201" s="1"/>
  <c r="M234"/>
  <c r="CB234" s="1"/>
  <c r="AI237"/>
  <c r="CD237" s="1"/>
  <c r="M270"/>
  <c r="CB270" s="1"/>
  <c r="AI273"/>
  <c r="CD273" s="1"/>
  <c r="CA3"/>
  <c r="CH3" s="1"/>
  <c r="BE3"/>
  <c r="CF3" s="1"/>
  <c r="AI3"/>
  <c r="CD3" s="1"/>
  <c r="X124"/>
  <c r="CC124" s="1"/>
  <c r="BP124"/>
  <c r="CG124" s="1"/>
  <c r="AT124"/>
  <c r="CE124" s="1"/>
  <c r="AI124"/>
  <c r="CD124" s="1"/>
  <c r="CA124"/>
  <c r="CH124" s="1"/>
  <c r="BE124"/>
  <c r="CF124" s="1"/>
  <c r="BP170"/>
  <c r="CG170" s="1"/>
  <c r="AT170"/>
  <c r="CE170" s="1"/>
  <c r="X170"/>
  <c r="CC170" s="1"/>
  <c r="CA170"/>
  <c r="CH170" s="1"/>
  <c r="BE170"/>
  <c r="CF170" s="1"/>
  <c r="AI170"/>
  <c r="CD170" s="1"/>
  <c r="N7" i="4"/>
  <c r="N13"/>
  <c r="N19"/>
  <c r="N25"/>
  <c r="N31"/>
  <c r="N37"/>
  <c r="N43"/>
  <c r="N49"/>
  <c r="N55"/>
  <c r="N61"/>
  <c r="N67"/>
  <c r="N73"/>
  <c r="N79"/>
  <c r="N85"/>
  <c r="N91"/>
  <c r="N97"/>
  <c r="N103"/>
  <c r="N109"/>
  <c r="M184"/>
  <c r="M192"/>
  <c r="M200"/>
  <c r="M208"/>
  <c r="M216"/>
  <c r="M3" i="5"/>
  <c r="CB3" s="1"/>
  <c r="BP5"/>
  <c r="CG5" s="1"/>
  <c r="BE8"/>
  <c r="CF8" s="1"/>
  <c r="AI8"/>
  <c r="CD8" s="1"/>
  <c r="CA10"/>
  <c r="CH10" s="1"/>
  <c r="AT15"/>
  <c r="CE15" s="1"/>
  <c r="M16"/>
  <c r="CB16" s="1"/>
  <c r="AI16"/>
  <c r="CD16" s="1"/>
  <c r="CA22"/>
  <c r="CH22" s="1"/>
  <c r="BE25"/>
  <c r="CF25" s="1"/>
  <c r="M28"/>
  <c r="CB28" s="1"/>
  <c r="AI28"/>
  <c r="CD28" s="1"/>
  <c r="CA34"/>
  <c r="CH34" s="1"/>
  <c r="BE37"/>
  <c r="CF37" s="1"/>
  <c r="M40"/>
  <c r="CB40" s="1"/>
  <c r="AI40"/>
  <c r="CD40" s="1"/>
  <c r="CA46"/>
  <c r="CH46" s="1"/>
  <c r="BE49"/>
  <c r="CF49" s="1"/>
  <c r="M52"/>
  <c r="CB52" s="1"/>
  <c r="AI52"/>
  <c r="CD52" s="1"/>
  <c r="CA58"/>
  <c r="CH58" s="1"/>
  <c r="BE61"/>
  <c r="CF61" s="1"/>
  <c r="M64"/>
  <c r="CB64" s="1"/>
  <c r="AI64"/>
  <c r="CD64" s="1"/>
  <c r="CA70"/>
  <c r="CH70" s="1"/>
  <c r="BE73"/>
  <c r="CF73" s="1"/>
  <c r="M76"/>
  <c r="CB76" s="1"/>
  <c r="AI76"/>
  <c r="CD76" s="1"/>
  <c r="CA82"/>
  <c r="CH82" s="1"/>
  <c r="BE85"/>
  <c r="CF85" s="1"/>
  <c r="M88"/>
  <c r="CB88" s="1"/>
  <c r="AI88"/>
  <c r="CD88" s="1"/>
  <c r="AT92"/>
  <c r="CE92" s="1"/>
  <c r="BE104"/>
  <c r="CF104" s="1"/>
  <c r="CA121"/>
  <c r="CH121" s="1"/>
  <c r="M124"/>
  <c r="CB124" s="1"/>
  <c r="AI151"/>
  <c r="CD151" s="1"/>
  <c r="M170"/>
  <c r="CB170" s="1"/>
  <c r="BP150"/>
  <c r="CG150" s="1"/>
  <c r="AT150"/>
  <c r="CE150" s="1"/>
  <c r="X150"/>
  <c r="CC150" s="1"/>
  <c r="BE150"/>
  <c r="CF150" s="1"/>
  <c r="AI150"/>
  <c r="CD150" s="1"/>
  <c r="CA150"/>
  <c r="CH150" s="1"/>
  <c r="N110" i="4"/>
  <c r="N115"/>
  <c r="N121"/>
  <c r="N127"/>
  <c r="N133"/>
  <c r="N139"/>
  <c r="N145"/>
  <c r="N151"/>
  <c r="N157"/>
  <c r="N163"/>
  <c r="N169"/>
  <c r="N176"/>
  <c r="N183"/>
  <c r="N191"/>
  <c r="N199"/>
  <c r="N207"/>
  <c r="N215"/>
  <c r="M224"/>
  <c r="CA13" i="5"/>
  <c r="CH13" s="1"/>
  <c r="M21"/>
  <c r="CB21" s="1"/>
  <c r="M33"/>
  <c r="CB33" s="1"/>
  <c r="M45"/>
  <c r="CB45" s="1"/>
  <c r="M57"/>
  <c r="CB57" s="1"/>
  <c r="M69"/>
  <c r="CB69" s="1"/>
  <c r="M81"/>
  <c r="CB81" s="1"/>
  <c r="BE98"/>
  <c r="CF98" s="1"/>
  <c r="CA101"/>
  <c r="CH101" s="1"/>
  <c r="CA102"/>
  <c r="CH102" s="1"/>
  <c r="AT103"/>
  <c r="CE103" s="1"/>
  <c r="BE109"/>
  <c r="CF109" s="1"/>
  <c r="X109"/>
  <c r="CC109" s="1"/>
  <c r="AI111"/>
  <c r="CD111" s="1"/>
  <c r="AI125"/>
  <c r="CD125" s="1"/>
  <c r="CA135"/>
  <c r="CH135" s="1"/>
  <c r="M150"/>
  <c r="CB150" s="1"/>
  <c r="AI161"/>
  <c r="CD161" s="1"/>
  <c r="CA167"/>
  <c r="CH167" s="1"/>
  <c r="AI197"/>
  <c r="CD197" s="1"/>
  <c r="CA205"/>
  <c r="CH205" s="1"/>
  <c r="CA207"/>
  <c r="CH207" s="1"/>
  <c r="AI233"/>
  <c r="CD233" s="1"/>
  <c r="CA241"/>
  <c r="CH241" s="1"/>
  <c r="CA243"/>
  <c r="CH243" s="1"/>
  <c r="AI269"/>
  <c r="CD269" s="1"/>
  <c r="CA277"/>
  <c r="CH277" s="1"/>
  <c r="CA279"/>
  <c r="CH279" s="1"/>
  <c r="X136"/>
  <c r="CC136" s="1"/>
  <c r="BP136"/>
  <c r="CG136" s="1"/>
  <c r="AT136"/>
  <c r="CE136" s="1"/>
  <c r="AI136"/>
  <c r="CD136" s="1"/>
  <c r="CA136"/>
  <c r="CH136" s="1"/>
  <c r="BE136"/>
  <c r="CF136" s="1"/>
  <c r="M223" i="4"/>
  <c r="AT11" i="5"/>
  <c r="CE11" s="1"/>
  <c r="CA20"/>
  <c r="CH20" s="1"/>
  <c r="BE26"/>
  <c r="CF26" s="1"/>
  <c r="AI26"/>
  <c r="CD26" s="1"/>
  <c r="CA32"/>
  <c r="CH32" s="1"/>
  <c r="BE38"/>
  <c r="CF38" s="1"/>
  <c r="AI38"/>
  <c r="CD38" s="1"/>
  <c r="CA44"/>
  <c r="CH44" s="1"/>
  <c r="BE50"/>
  <c r="CF50" s="1"/>
  <c r="AI50"/>
  <c r="CD50" s="1"/>
  <c r="CA56"/>
  <c r="CH56" s="1"/>
  <c r="BE62"/>
  <c r="CF62" s="1"/>
  <c r="AI62"/>
  <c r="CD62" s="1"/>
  <c r="CA68"/>
  <c r="CH68" s="1"/>
  <c r="BE74"/>
  <c r="CF74" s="1"/>
  <c r="AI74"/>
  <c r="CD74" s="1"/>
  <c r="CA80"/>
  <c r="CH80" s="1"/>
  <c r="BE83"/>
  <c r="CF83" s="1"/>
  <c r="BE86"/>
  <c r="CF86" s="1"/>
  <c r="AI86"/>
  <c r="CD86" s="1"/>
  <c r="CA108"/>
  <c r="CH108" s="1"/>
  <c r="AT111"/>
  <c r="CE111" s="1"/>
  <c r="M136"/>
  <c r="CB136" s="1"/>
  <c r="BP158"/>
  <c r="CG158" s="1"/>
  <c r="AT158"/>
  <c r="CE158" s="1"/>
  <c r="X158"/>
  <c r="CC158" s="1"/>
  <c r="CA158"/>
  <c r="CH158" s="1"/>
  <c r="BE158"/>
  <c r="CF158" s="1"/>
  <c r="AI158"/>
  <c r="CD158" s="1"/>
  <c r="BP210"/>
  <c r="CG210" s="1"/>
  <c r="AT210"/>
  <c r="CE210" s="1"/>
  <c r="X210"/>
  <c r="CC210" s="1"/>
  <c r="BE210"/>
  <c r="CF210" s="1"/>
  <c r="AI210"/>
  <c r="CD210" s="1"/>
  <c r="CA210"/>
  <c r="CH210" s="1"/>
  <c r="BP246"/>
  <c r="CG246" s="1"/>
  <c r="AT246"/>
  <c r="CE246" s="1"/>
  <c r="X246"/>
  <c r="CC246" s="1"/>
  <c r="BE246"/>
  <c r="CF246" s="1"/>
  <c r="AI246"/>
  <c r="CD246" s="1"/>
  <c r="CA246"/>
  <c r="CH246" s="1"/>
  <c r="BP282"/>
  <c r="CG282" s="1"/>
  <c r="AT282"/>
  <c r="CE282" s="1"/>
  <c r="X282"/>
  <c r="CC282" s="1"/>
  <c r="BE282"/>
  <c r="CF282" s="1"/>
  <c r="AI282"/>
  <c r="CD282" s="1"/>
  <c r="CA282"/>
  <c r="CH282" s="1"/>
  <c r="N114" i="4"/>
  <c r="N120"/>
  <c r="N126"/>
  <c r="N132"/>
  <c r="N138"/>
  <c r="N144"/>
  <c r="N150"/>
  <c r="N156"/>
  <c r="N162"/>
  <c r="N168"/>
  <c r="N175"/>
  <c r="N182"/>
  <c r="M190"/>
  <c r="M198"/>
  <c r="M206"/>
  <c r="M214"/>
  <c r="M222"/>
  <c r="M4" i="5"/>
  <c r="CB4" s="1"/>
  <c r="BE11"/>
  <c r="CF11" s="1"/>
  <c r="BP15"/>
  <c r="CG15" s="1"/>
  <c r="CA19"/>
  <c r="CH19" s="1"/>
  <c r="CA31"/>
  <c r="CH31" s="1"/>
  <c r="CA43"/>
  <c r="CH43" s="1"/>
  <c r="CA55"/>
  <c r="CH55" s="1"/>
  <c r="CA67"/>
  <c r="CH67" s="1"/>
  <c r="CA79"/>
  <c r="CH79" s="1"/>
  <c r="CA91"/>
  <c r="CH91" s="1"/>
  <c r="BE94"/>
  <c r="CF94" s="1"/>
  <c r="M99"/>
  <c r="CB99" s="1"/>
  <c r="BE103"/>
  <c r="CF103" s="1"/>
  <c r="AT106"/>
  <c r="CE106" s="1"/>
  <c r="BE111"/>
  <c r="CF111" s="1"/>
  <c r="AI137"/>
  <c r="CD137" s="1"/>
  <c r="CA147"/>
  <c r="CH147" s="1"/>
  <c r="M158"/>
  <c r="CB158" s="1"/>
  <c r="AI169"/>
  <c r="CD169" s="1"/>
  <c r="M210"/>
  <c r="CB210" s="1"/>
  <c r="M246"/>
  <c r="CB246" s="1"/>
  <c r="AI249"/>
  <c r="CD249" s="1"/>
  <c r="M282"/>
  <c r="CB282" s="1"/>
  <c r="AI285"/>
  <c r="CD285" s="1"/>
  <c r="CA9"/>
  <c r="CH9" s="1"/>
  <c r="BE9"/>
  <c r="CF9" s="1"/>
  <c r="AI9"/>
  <c r="CD9" s="1"/>
  <c r="BP122"/>
  <c r="CG122" s="1"/>
  <c r="AT122"/>
  <c r="CE122" s="1"/>
  <c r="X122"/>
  <c r="CC122" s="1"/>
  <c r="CA122"/>
  <c r="CH122" s="1"/>
  <c r="BE122"/>
  <c r="CF122" s="1"/>
  <c r="AI122"/>
  <c r="CD122" s="1"/>
  <c r="X148"/>
  <c r="CC148" s="1"/>
  <c r="BP148"/>
  <c r="CG148" s="1"/>
  <c r="AT148"/>
  <c r="CE148" s="1"/>
  <c r="AI148"/>
  <c r="CD148" s="1"/>
  <c r="CA148"/>
  <c r="CH148" s="1"/>
  <c r="BE148"/>
  <c r="CF148" s="1"/>
  <c r="N189" i="4"/>
  <c r="N197"/>
  <c r="N205"/>
  <c r="N213"/>
  <c r="N221"/>
  <c r="M9" i="5"/>
  <c r="CB9" s="1"/>
  <c r="BE14"/>
  <c r="CF14" s="1"/>
  <c r="BE24"/>
  <c r="CF24" s="1"/>
  <c r="BE36"/>
  <c r="CF36" s="1"/>
  <c r="BE48"/>
  <c r="CF48" s="1"/>
  <c r="BE60"/>
  <c r="CF60" s="1"/>
  <c r="BE72"/>
  <c r="CF72" s="1"/>
  <c r="BE84"/>
  <c r="CF84" s="1"/>
  <c r="M93"/>
  <c r="CB93" s="1"/>
  <c r="M122"/>
  <c r="CB122" s="1"/>
  <c r="M148"/>
  <c r="CB148" s="1"/>
  <c r="AT113"/>
  <c r="CE113" s="1"/>
  <c r="X113"/>
  <c r="CC113" s="1"/>
  <c r="BP113"/>
  <c r="CG113" s="1"/>
  <c r="AT125"/>
  <c r="CE125" s="1"/>
  <c r="X125"/>
  <c r="CC125" s="1"/>
  <c r="BP125"/>
  <c r="CG125" s="1"/>
  <c r="AT137"/>
  <c r="CE137" s="1"/>
  <c r="X137"/>
  <c r="CC137" s="1"/>
  <c r="BP137"/>
  <c r="CG137" s="1"/>
  <c r="AT149"/>
  <c r="CE149" s="1"/>
  <c r="X149"/>
  <c r="CC149" s="1"/>
  <c r="BP149"/>
  <c r="CG149" s="1"/>
  <c r="AT161"/>
  <c r="CE161" s="1"/>
  <c r="X161"/>
  <c r="CC161" s="1"/>
  <c r="BP161"/>
  <c r="CG161" s="1"/>
  <c r="AT173"/>
  <c r="CE173" s="1"/>
  <c r="X173"/>
  <c r="CC173" s="1"/>
  <c r="BP173"/>
  <c r="CG173" s="1"/>
  <c r="AT185"/>
  <c r="CE185" s="1"/>
  <c r="X185"/>
  <c r="CC185" s="1"/>
  <c r="BP185"/>
  <c r="CG185" s="1"/>
  <c r="AT197"/>
  <c r="CE197" s="1"/>
  <c r="X197"/>
  <c r="CC197" s="1"/>
  <c r="BP197"/>
  <c r="CG197" s="1"/>
  <c r="AT209"/>
  <c r="CE209" s="1"/>
  <c r="X209"/>
  <c r="CC209" s="1"/>
  <c r="BP209"/>
  <c r="CG209" s="1"/>
  <c r="AT221"/>
  <c r="CE221" s="1"/>
  <c r="X221"/>
  <c r="CC221" s="1"/>
  <c r="BP221"/>
  <c r="CG221" s="1"/>
  <c r="AT233"/>
  <c r="CE233" s="1"/>
  <c r="X233"/>
  <c r="CC233" s="1"/>
  <c r="BP233"/>
  <c r="CG233" s="1"/>
  <c r="AT245"/>
  <c r="CE245" s="1"/>
  <c r="X245"/>
  <c r="CC245" s="1"/>
  <c r="BP245"/>
  <c r="CG245" s="1"/>
  <c r="AT257"/>
  <c r="CE257" s="1"/>
  <c r="X257"/>
  <c r="CC257" s="1"/>
  <c r="BP257"/>
  <c r="CG257" s="1"/>
  <c r="AT269"/>
  <c r="CE269" s="1"/>
  <c r="X269"/>
  <c r="CC269" s="1"/>
  <c r="BP269"/>
  <c r="CG269" s="1"/>
  <c r="AT281"/>
  <c r="CE281" s="1"/>
  <c r="X281"/>
  <c r="CC281" s="1"/>
  <c r="BP281"/>
  <c r="CG281" s="1"/>
  <c r="AT293"/>
  <c r="CE293" s="1"/>
  <c r="X293"/>
  <c r="CC293" s="1"/>
  <c r="BP293"/>
  <c r="CG293" s="1"/>
  <c r="AT305"/>
  <c r="CE305" s="1"/>
  <c r="X305"/>
  <c r="CC305" s="1"/>
  <c r="BP305"/>
  <c r="CG305" s="1"/>
  <c r="M8"/>
  <c r="CB8" s="1"/>
  <c r="M14"/>
  <c r="CB14" s="1"/>
  <c r="CA17"/>
  <c r="CH17" s="1"/>
  <c r="M20"/>
  <c r="CB20" s="1"/>
  <c r="AI21"/>
  <c r="CD21" s="1"/>
  <c r="CA23"/>
  <c r="CH23" s="1"/>
  <c r="M26"/>
  <c r="CB26" s="1"/>
  <c r="AI27"/>
  <c r="CD27" s="1"/>
  <c r="CA29"/>
  <c r="CH29" s="1"/>
  <c r="M32"/>
  <c r="CB32" s="1"/>
  <c r="AI33"/>
  <c r="CD33" s="1"/>
  <c r="CA35"/>
  <c r="CH35" s="1"/>
  <c r="M38"/>
  <c r="CB38" s="1"/>
  <c r="AI39"/>
  <c r="CD39" s="1"/>
  <c r="CA41"/>
  <c r="CH41" s="1"/>
  <c r="M44"/>
  <c r="CB44" s="1"/>
  <c r="AI45"/>
  <c r="CD45" s="1"/>
  <c r="CA47"/>
  <c r="CH47" s="1"/>
  <c r="M50"/>
  <c r="CB50" s="1"/>
  <c r="AI51"/>
  <c r="CD51" s="1"/>
  <c r="CA53"/>
  <c r="CH53" s="1"/>
  <c r="M56"/>
  <c r="CB56" s="1"/>
  <c r="AI57"/>
  <c r="CD57" s="1"/>
  <c r="CA59"/>
  <c r="CH59" s="1"/>
  <c r="M62"/>
  <c r="CB62" s="1"/>
  <c r="AI63"/>
  <c r="CD63" s="1"/>
  <c r="CA65"/>
  <c r="CH65" s="1"/>
  <c r="M68"/>
  <c r="CB68" s="1"/>
  <c r="AI69"/>
  <c r="CD69" s="1"/>
  <c r="CA71"/>
  <c r="CH71" s="1"/>
  <c r="M74"/>
  <c r="CB74" s="1"/>
  <c r="AI75"/>
  <c r="CD75" s="1"/>
  <c r="CA77"/>
  <c r="CH77" s="1"/>
  <c r="M80"/>
  <c r="CB80" s="1"/>
  <c r="AI81"/>
  <c r="CD81" s="1"/>
  <c r="CA83"/>
  <c r="CH83" s="1"/>
  <c r="M86"/>
  <c r="CB86" s="1"/>
  <c r="AI87"/>
  <c r="CD87" s="1"/>
  <c r="CA89"/>
  <c r="CH89" s="1"/>
  <c r="M92"/>
  <c r="CB92" s="1"/>
  <c r="AI93"/>
  <c r="CD93" s="1"/>
  <c r="CA95"/>
  <c r="CH95" s="1"/>
  <c r="CA98"/>
  <c r="CH98" s="1"/>
  <c r="CA105"/>
  <c r="CH105" s="1"/>
  <c r="BE107"/>
  <c r="CF107" s="1"/>
  <c r="AI109"/>
  <c r="CD109" s="1"/>
  <c r="AI110"/>
  <c r="CD110" s="1"/>
  <c r="M113"/>
  <c r="CB113" s="1"/>
  <c r="M125"/>
  <c r="CB125" s="1"/>
  <c r="M137"/>
  <c r="CB137" s="1"/>
  <c r="M149"/>
  <c r="CB149" s="1"/>
  <c r="M161"/>
  <c r="CB161" s="1"/>
  <c r="M173"/>
  <c r="CB173" s="1"/>
  <c r="AI182"/>
  <c r="CD182" s="1"/>
  <c r="M185"/>
  <c r="CB185" s="1"/>
  <c r="AI194"/>
  <c r="CD194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X118"/>
  <c r="CC118" s="1"/>
  <c r="BP118"/>
  <c r="CG118" s="1"/>
  <c r="AT118"/>
  <c r="CE118" s="1"/>
  <c r="X130"/>
  <c r="CC130" s="1"/>
  <c r="BP130"/>
  <c r="CG130" s="1"/>
  <c r="AT130"/>
  <c r="CE130" s="1"/>
  <c r="X142"/>
  <c r="CC142" s="1"/>
  <c r="BP142"/>
  <c r="CG142" s="1"/>
  <c r="AT142"/>
  <c r="CE142" s="1"/>
  <c r="X154"/>
  <c r="CC154" s="1"/>
  <c r="BP154"/>
  <c r="CG154" s="1"/>
  <c r="AT154"/>
  <c r="CE154" s="1"/>
  <c r="X166"/>
  <c r="CC166" s="1"/>
  <c r="BP166"/>
  <c r="CG166" s="1"/>
  <c r="AT166"/>
  <c r="CE166" s="1"/>
  <c r="X178"/>
  <c r="CC178" s="1"/>
  <c r="BP178"/>
  <c r="CG178" s="1"/>
  <c r="AT178"/>
  <c r="CE178" s="1"/>
  <c r="X190"/>
  <c r="CC190" s="1"/>
  <c r="BP190"/>
  <c r="CG190" s="1"/>
  <c r="AT190"/>
  <c r="CE190" s="1"/>
  <c r="X202"/>
  <c r="CC202" s="1"/>
  <c r="BP202"/>
  <c r="CG202" s="1"/>
  <c r="AT202"/>
  <c r="CE202" s="1"/>
  <c r="X214"/>
  <c r="CC214" s="1"/>
  <c r="BP214"/>
  <c r="CG214" s="1"/>
  <c r="AT214"/>
  <c r="CE214" s="1"/>
  <c r="X226"/>
  <c r="CC226" s="1"/>
  <c r="BP226"/>
  <c r="CG226" s="1"/>
  <c r="AT226"/>
  <c r="CE226" s="1"/>
  <c r="X238"/>
  <c r="CC238" s="1"/>
  <c r="BP238"/>
  <c r="CG238" s="1"/>
  <c r="AT238"/>
  <c r="CE238" s="1"/>
  <c r="X250"/>
  <c r="CC250" s="1"/>
  <c r="BP250"/>
  <c r="CG250" s="1"/>
  <c r="AT250"/>
  <c r="CE250" s="1"/>
  <c r="X262"/>
  <c r="CC262" s="1"/>
  <c r="BP262"/>
  <c r="CG262" s="1"/>
  <c r="AT262"/>
  <c r="CE262" s="1"/>
  <c r="X274"/>
  <c r="CC274" s="1"/>
  <c r="BP274"/>
  <c r="CG274" s="1"/>
  <c r="AT274"/>
  <c r="CE274" s="1"/>
  <c r="X286"/>
  <c r="CC286" s="1"/>
  <c r="BP286"/>
  <c r="CG286" s="1"/>
  <c r="AT286"/>
  <c r="CE286" s="1"/>
  <c r="X298"/>
  <c r="CC298" s="1"/>
  <c r="BP298"/>
  <c r="CG298" s="1"/>
  <c r="AT298"/>
  <c r="CE298" s="1"/>
  <c r="X310"/>
  <c r="CC310" s="1"/>
  <c r="BP310"/>
  <c r="CG310" s="1"/>
  <c r="AT310"/>
  <c r="CE310" s="1"/>
  <c r="M118"/>
  <c r="CB118" s="1"/>
  <c r="M130"/>
  <c r="CB130" s="1"/>
  <c r="M142"/>
  <c r="CB142" s="1"/>
  <c r="M154"/>
  <c r="CB154" s="1"/>
  <c r="BE160"/>
  <c r="CF160" s="1"/>
  <c r="M166"/>
  <c r="CB166" s="1"/>
  <c r="BE172"/>
  <c r="CF172" s="1"/>
  <c r="M178"/>
  <c r="CB178" s="1"/>
  <c r="BE184"/>
  <c r="CF184" s="1"/>
  <c r="M190"/>
  <c r="CB190" s="1"/>
  <c r="BE196"/>
  <c r="CF196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7"/>
  <c r="CB7" s="1"/>
  <c r="M13"/>
  <c r="CB13" s="1"/>
  <c r="M19"/>
  <c r="CB19" s="1"/>
  <c r="BE21"/>
  <c r="CF21" s="1"/>
  <c r="M25"/>
  <c r="CB25" s="1"/>
  <c r="BE27"/>
  <c r="CF27" s="1"/>
  <c r="M31"/>
  <c r="CB31" s="1"/>
  <c r="BE33"/>
  <c r="CF33" s="1"/>
  <c r="M37"/>
  <c r="CB37" s="1"/>
  <c r="BE39"/>
  <c r="CF39" s="1"/>
  <c r="M43"/>
  <c r="CB43" s="1"/>
  <c r="BE45"/>
  <c r="CF45" s="1"/>
  <c r="M49"/>
  <c r="CB49" s="1"/>
  <c r="BE51"/>
  <c r="CF51" s="1"/>
  <c r="M55"/>
  <c r="CB55" s="1"/>
  <c r="BE57"/>
  <c r="CF57" s="1"/>
  <c r="M61"/>
  <c r="CB61" s="1"/>
  <c r="BE63"/>
  <c r="CF63" s="1"/>
  <c r="M67"/>
  <c r="CB67" s="1"/>
  <c r="BE69"/>
  <c r="CF69" s="1"/>
  <c r="M73"/>
  <c r="CB73" s="1"/>
  <c r="BE75"/>
  <c r="CF75" s="1"/>
  <c r="M79"/>
  <c r="CB79" s="1"/>
  <c r="BE81"/>
  <c r="CF81" s="1"/>
  <c r="M85"/>
  <c r="CB85" s="1"/>
  <c r="BE87"/>
  <c r="CF87" s="1"/>
  <c r="M91"/>
  <c r="CB91" s="1"/>
  <c r="BE93"/>
  <c r="CF93" s="1"/>
  <c r="BE110"/>
  <c r="CF110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X100"/>
  <c r="CC100" s="1"/>
  <c r="M100"/>
  <c r="CB100" s="1"/>
  <c r="M116"/>
  <c r="CB116" s="1"/>
  <c r="M128"/>
  <c r="CB128" s="1"/>
  <c r="M140"/>
  <c r="CB140" s="1"/>
  <c r="M152"/>
  <c r="CB152" s="1"/>
  <c r="M164"/>
  <c r="CB164" s="1"/>
  <c r="M176"/>
  <c r="CB176" s="1"/>
  <c r="BE182"/>
  <c r="CF182" s="1"/>
  <c r="M188"/>
  <c r="CB188" s="1"/>
  <c r="BE194"/>
  <c r="CF194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6"/>
  <c r="CG96" s="1"/>
  <c r="AT96"/>
  <c r="CE96" s="1"/>
  <c r="AT101"/>
  <c r="CE101" s="1"/>
  <c r="X101"/>
  <c r="CC101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6"/>
  <c r="CB6" s="1"/>
  <c r="AI7"/>
  <c r="CD7" s="1"/>
  <c r="M12"/>
  <c r="CB12" s="1"/>
  <c r="AI13"/>
  <c r="CD13" s="1"/>
  <c r="M18"/>
  <c r="CB18" s="1"/>
  <c r="AI19"/>
  <c r="CD19" s="1"/>
  <c r="CA21"/>
  <c r="CH21" s="1"/>
  <c r="M24"/>
  <c r="CB24" s="1"/>
  <c r="AI25"/>
  <c r="CD25" s="1"/>
  <c r="CA27"/>
  <c r="CH27" s="1"/>
  <c r="M30"/>
  <c r="CB30" s="1"/>
  <c r="AI31"/>
  <c r="CD31" s="1"/>
  <c r="CA33"/>
  <c r="CH33" s="1"/>
  <c r="M36"/>
  <c r="CB36" s="1"/>
  <c r="AI37"/>
  <c r="CD37" s="1"/>
  <c r="CA39"/>
  <c r="CH39" s="1"/>
  <c r="M42"/>
  <c r="CB42" s="1"/>
  <c r="AI43"/>
  <c r="CD43" s="1"/>
  <c r="CA45"/>
  <c r="CH45" s="1"/>
  <c r="M48"/>
  <c r="CB48" s="1"/>
  <c r="AI49"/>
  <c r="CD49" s="1"/>
  <c r="CA51"/>
  <c r="CH51" s="1"/>
  <c r="M54"/>
  <c r="CB54" s="1"/>
  <c r="AI55"/>
  <c r="CD55" s="1"/>
  <c r="CA57"/>
  <c r="CH57" s="1"/>
  <c r="M60"/>
  <c r="CB60" s="1"/>
  <c r="AI61"/>
  <c r="CD61" s="1"/>
  <c r="CA63"/>
  <c r="CH63" s="1"/>
  <c r="M66"/>
  <c r="CB66" s="1"/>
  <c r="AI67"/>
  <c r="CD67" s="1"/>
  <c r="CA69"/>
  <c r="CH69" s="1"/>
  <c r="M72"/>
  <c r="CB72" s="1"/>
  <c r="AI73"/>
  <c r="CD73" s="1"/>
  <c r="CA75"/>
  <c r="CH75" s="1"/>
  <c r="M78"/>
  <c r="CB78" s="1"/>
  <c r="AI79"/>
  <c r="CD79" s="1"/>
  <c r="CA81"/>
  <c r="CH81" s="1"/>
  <c r="M84"/>
  <c r="CB84" s="1"/>
  <c r="AI85"/>
  <c r="CD85" s="1"/>
  <c r="CA87"/>
  <c r="CH87" s="1"/>
  <c r="M90"/>
  <c r="CB90" s="1"/>
  <c r="AI91"/>
  <c r="CD91" s="1"/>
  <c r="CA93"/>
  <c r="CH93" s="1"/>
  <c r="M96"/>
  <c r="CB96" s="1"/>
  <c r="M101"/>
  <c r="CB101" s="1"/>
  <c r="CA110"/>
  <c r="CH110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94"/>
  <c r="CG294" s="1"/>
  <c r="AT294"/>
  <c r="CE294" s="1"/>
  <c r="X294"/>
  <c r="CC294" s="1"/>
  <c r="BP306"/>
  <c r="CG306" s="1"/>
  <c r="AT306"/>
  <c r="CE306" s="1"/>
  <c r="X306"/>
  <c r="CC306" s="1"/>
  <c r="M294"/>
  <c r="CB294" s="1"/>
  <c r="M306"/>
  <c r="CB306" s="1"/>
  <c r="BP102"/>
  <c r="CG102" s="1"/>
  <c r="AT102"/>
  <c r="CE102" s="1"/>
  <c r="AT107"/>
  <c r="CE107" s="1"/>
  <c r="X107"/>
  <c r="CC107" s="1"/>
  <c r="AT119"/>
  <c r="CE119" s="1"/>
  <c r="X119"/>
  <c r="CC119" s="1"/>
  <c r="BP119"/>
  <c r="CG119" s="1"/>
  <c r="AT131"/>
  <c r="CE131" s="1"/>
  <c r="X131"/>
  <c r="CC131" s="1"/>
  <c r="BP131"/>
  <c r="CG131" s="1"/>
  <c r="AT143"/>
  <c r="CE143" s="1"/>
  <c r="X143"/>
  <c r="CC143" s="1"/>
  <c r="BP143"/>
  <c r="CG143" s="1"/>
  <c r="AT155"/>
  <c r="CE155" s="1"/>
  <c r="X155"/>
  <c r="CC155" s="1"/>
  <c r="BP155"/>
  <c r="CG155" s="1"/>
  <c r="AT167"/>
  <c r="CE167" s="1"/>
  <c r="X167"/>
  <c r="CC167" s="1"/>
  <c r="BP167"/>
  <c r="CG167" s="1"/>
  <c r="AT179"/>
  <c r="CE179" s="1"/>
  <c r="X179"/>
  <c r="CC179" s="1"/>
  <c r="BP179"/>
  <c r="CG179" s="1"/>
  <c r="AT191"/>
  <c r="CE191" s="1"/>
  <c r="X191"/>
  <c r="CC191" s="1"/>
  <c r="BP191"/>
  <c r="CG191" s="1"/>
  <c r="AT203"/>
  <c r="CE203" s="1"/>
  <c r="X203"/>
  <c r="CC203" s="1"/>
  <c r="BP203"/>
  <c r="CG203" s="1"/>
  <c r="AT215"/>
  <c r="CE215" s="1"/>
  <c r="X215"/>
  <c r="CC215" s="1"/>
  <c r="BP215"/>
  <c r="CG215" s="1"/>
  <c r="AT227"/>
  <c r="CE227" s="1"/>
  <c r="X227"/>
  <c r="CC227" s="1"/>
  <c r="BP227"/>
  <c r="CG227" s="1"/>
  <c r="AT239"/>
  <c r="CE239" s="1"/>
  <c r="X239"/>
  <c r="CC239" s="1"/>
  <c r="BP239"/>
  <c r="CG239" s="1"/>
  <c r="AT251"/>
  <c r="CE251" s="1"/>
  <c r="X251"/>
  <c r="CC251" s="1"/>
  <c r="BP251"/>
  <c r="CG251" s="1"/>
  <c r="AT263"/>
  <c r="CE263" s="1"/>
  <c r="X263"/>
  <c r="CC263" s="1"/>
  <c r="BP263"/>
  <c r="CG263" s="1"/>
  <c r="AT275"/>
  <c r="CE275" s="1"/>
  <c r="X275"/>
  <c r="CC275" s="1"/>
  <c r="BP275"/>
  <c r="CG275" s="1"/>
  <c r="AT287"/>
  <c r="CE287" s="1"/>
  <c r="X287"/>
  <c r="CC287" s="1"/>
  <c r="BP287"/>
  <c r="CG287" s="1"/>
  <c r="AT299"/>
  <c r="CE299" s="1"/>
  <c r="X299"/>
  <c r="CC299" s="1"/>
  <c r="BP299"/>
  <c r="CG299" s="1"/>
  <c r="AT311"/>
  <c r="CE311" s="1"/>
  <c r="X311"/>
  <c r="CC311" s="1"/>
  <c r="BP311"/>
  <c r="CG311" s="1"/>
  <c r="M17"/>
  <c r="CB17" s="1"/>
  <c r="M23"/>
  <c r="CB23" s="1"/>
  <c r="M29"/>
  <c r="CB29" s="1"/>
  <c r="M35"/>
  <c r="CB35" s="1"/>
  <c r="M41"/>
  <c r="CB41" s="1"/>
  <c r="M47"/>
  <c r="CB47" s="1"/>
  <c r="M53"/>
  <c r="CB53" s="1"/>
  <c r="M59"/>
  <c r="CB59" s="1"/>
  <c r="M65"/>
  <c r="CB65" s="1"/>
  <c r="M71"/>
  <c r="CB71" s="1"/>
  <c r="M77"/>
  <c r="CB77" s="1"/>
  <c r="M83"/>
  <c r="CB83" s="1"/>
  <c r="M89"/>
  <c r="CB89" s="1"/>
  <c r="M95"/>
  <c r="CB95" s="1"/>
  <c r="BP97"/>
  <c r="CG97" s="1"/>
  <c r="M97"/>
  <c r="CB97" s="1"/>
  <c r="M98"/>
  <c r="CB98" s="1"/>
  <c r="AI100"/>
  <c r="CD100" s="1"/>
  <c r="M102"/>
  <c r="CB102" s="1"/>
  <c r="M105"/>
  <c r="CB105" s="1"/>
  <c r="M107"/>
  <c r="CB107" s="1"/>
  <c r="AI116"/>
  <c r="CD116" s="1"/>
  <c r="M119"/>
  <c r="CB119" s="1"/>
  <c r="AI128"/>
  <c r="CD128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X160"/>
  <c r="CC160" s="1"/>
  <c r="BP160"/>
  <c r="CG160" s="1"/>
  <c r="AT160"/>
  <c r="CE160" s="1"/>
  <c r="X172"/>
  <c r="CC172" s="1"/>
  <c r="BP172"/>
  <c r="CG172" s="1"/>
  <c r="AT172"/>
  <c r="CE172" s="1"/>
  <c r="X184"/>
  <c r="CC184" s="1"/>
  <c r="BP184"/>
  <c r="CG184" s="1"/>
  <c r="AT184"/>
  <c r="CE184" s="1"/>
  <c r="X196"/>
  <c r="CC196" s="1"/>
  <c r="BP196"/>
  <c r="CG196" s="1"/>
  <c r="AT196"/>
  <c r="CE196" s="1"/>
  <c r="X208"/>
  <c r="CC208" s="1"/>
  <c r="BP208"/>
  <c r="CG208" s="1"/>
  <c r="AT208"/>
  <c r="CE208" s="1"/>
  <c r="X220"/>
  <c r="CC220" s="1"/>
  <c r="BP220"/>
  <c r="CG220" s="1"/>
  <c r="AT220"/>
  <c r="CE220" s="1"/>
  <c r="X232"/>
  <c r="CC232" s="1"/>
  <c r="BP232"/>
  <c r="CG232" s="1"/>
  <c r="AT232"/>
  <c r="CE232" s="1"/>
  <c r="X244"/>
  <c r="CC244" s="1"/>
  <c r="BP244"/>
  <c r="CG244" s="1"/>
  <c r="AT244"/>
  <c r="CE244" s="1"/>
  <c r="X256"/>
  <c r="CC256" s="1"/>
  <c r="BP256"/>
  <c r="CG256" s="1"/>
  <c r="AT256"/>
  <c r="CE256" s="1"/>
  <c r="X268"/>
  <c r="CC268" s="1"/>
  <c r="BP268"/>
  <c r="CG268" s="1"/>
  <c r="AT268"/>
  <c r="CE268" s="1"/>
  <c r="X280"/>
  <c r="CC280" s="1"/>
  <c r="BP280"/>
  <c r="CG280" s="1"/>
  <c r="AT280"/>
  <c r="CE280" s="1"/>
  <c r="X292"/>
  <c r="CC292" s="1"/>
  <c r="BP292"/>
  <c r="CG292" s="1"/>
  <c r="AT292"/>
  <c r="CE292" s="1"/>
  <c r="X304"/>
  <c r="CC304" s="1"/>
  <c r="BP304"/>
  <c r="CG304" s="1"/>
  <c r="AT304"/>
  <c r="CE304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BP108"/>
  <c r="CG108" s="1"/>
  <c r="AT108"/>
  <c r="CE108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AI17"/>
  <c r="CD17" s="1"/>
  <c r="AI23"/>
  <c r="CD23" s="1"/>
  <c r="AI29"/>
  <c r="CD29" s="1"/>
  <c r="AI35"/>
  <c r="CD35" s="1"/>
  <c r="AI41"/>
  <c r="CD41" s="1"/>
  <c r="AI47"/>
  <c r="CD47" s="1"/>
  <c r="AI53"/>
  <c r="CD53" s="1"/>
  <c r="AI59"/>
  <c r="CD59" s="1"/>
  <c r="AI65"/>
  <c r="CD65" s="1"/>
  <c r="AI71"/>
  <c r="CD71" s="1"/>
  <c r="AI77"/>
  <c r="CD77" s="1"/>
  <c r="AI97"/>
  <c r="CD97" s="1"/>
  <c r="BE100"/>
  <c r="CF100" s="1"/>
  <c r="AI102"/>
  <c r="CD102" s="1"/>
  <c r="BP103"/>
  <c r="CG103" s="1"/>
  <c r="M103"/>
  <c r="CB103" s="1"/>
  <c r="M108"/>
  <c r="CB108" s="1"/>
  <c r="X111"/>
  <c r="CC111" s="1"/>
  <c r="M111"/>
  <c r="CB111" s="1"/>
  <c r="M117"/>
  <c r="CB117" s="1"/>
  <c r="BE123"/>
  <c r="CF123" s="1"/>
  <c r="M129"/>
  <c r="CB129" s="1"/>
  <c r="BE135"/>
  <c r="CF135" s="1"/>
  <c r="M141"/>
  <c r="CB141" s="1"/>
  <c r="BE147"/>
  <c r="CF147" s="1"/>
  <c r="M153"/>
  <c r="CB153" s="1"/>
  <c r="BE159"/>
  <c r="CF159" s="1"/>
  <c r="M165"/>
  <c r="CB165" s="1"/>
  <c r="BE171"/>
  <c r="CF171" s="1"/>
  <c r="M177"/>
  <c r="CB177" s="1"/>
  <c r="BE183"/>
  <c r="CF183" s="1"/>
  <c r="M189"/>
  <c r="CB189" s="1"/>
  <c r="BE195"/>
  <c r="CF195" s="1"/>
  <c r="M201"/>
  <c r="CB201" s="1"/>
  <c r="BE207"/>
  <c r="CF207" s="1"/>
  <c r="M213"/>
  <c r="CB213" s="1"/>
  <c r="BE219"/>
  <c r="CF219" s="1"/>
  <c r="M225"/>
  <c r="CB225" s="1"/>
  <c r="BE231"/>
  <c r="CF231" s="1"/>
  <c r="M237"/>
  <c r="CB237" s="1"/>
  <c r="BE243"/>
  <c r="CF243" s="1"/>
  <c r="M249"/>
  <c r="CB249" s="1"/>
  <c r="BE255"/>
  <c r="CF255" s="1"/>
  <c r="M261"/>
  <c r="CB261" s="1"/>
  <c r="BE267"/>
  <c r="CF267" s="1"/>
  <c r="M273"/>
  <c r="CB273" s="1"/>
  <c r="BE279"/>
  <c r="CF279" s="1"/>
  <c r="M285"/>
  <c r="CB285" s="1"/>
  <c r="BE291"/>
  <c r="CF291" s="1"/>
  <c r="AI294"/>
  <c r="CD294" s="1"/>
  <c r="M297"/>
  <c r="CB297" s="1"/>
  <c r="BE303"/>
  <c r="CF303" s="1"/>
  <c r="AI306"/>
  <c r="CD306" s="1"/>
  <c r="M309"/>
  <c r="CB309" s="1"/>
  <c r="BP182"/>
  <c r="CG182" s="1"/>
  <c r="AT182"/>
  <c r="CE182" s="1"/>
  <c r="X182"/>
  <c r="CC182" s="1"/>
  <c r="BP194"/>
  <c r="CG194" s="1"/>
  <c r="AT194"/>
  <c r="CE194" s="1"/>
  <c r="X194"/>
  <c r="CC194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CA100"/>
  <c r="CH100" s="1"/>
  <c r="BP109"/>
  <c r="CG109" s="1"/>
  <c r="M109"/>
  <c r="CB109" s="1"/>
  <c r="M115"/>
  <c r="CB115" s="1"/>
  <c r="CA118"/>
  <c r="CH118" s="1"/>
  <c r="M127"/>
  <c r="CB127" s="1"/>
  <c r="CA130"/>
  <c r="CH130" s="1"/>
  <c r="M139"/>
  <c r="CB139" s="1"/>
  <c r="CA142"/>
  <c r="CH142" s="1"/>
  <c r="M151"/>
  <c r="CB151" s="1"/>
  <c r="CA154"/>
  <c r="CH154" s="1"/>
  <c r="AI160"/>
  <c r="CD160" s="1"/>
  <c r="M163"/>
  <c r="CB163" s="1"/>
  <c r="CA166"/>
  <c r="CH166" s="1"/>
  <c r="AI172"/>
  <c r="CD172" s="1"/>
  <c r="M175"/>
  <c r="CB175" s="1"/>
  <c r="CA178"/>
  <c r="CH178" s="1"/>
  <c r="AI184"/>
  <c r="CD184" s="1"/>
  <c r="M187"/>
  <c r="CB187" s="1"/>
  <c r="CA190"/>
  <c r="CH190" s="1"/>
  <c r="AI196"/>
  <c r="CD196" s="1"/>
  <c r="M199"/>
  <c r="CB199" s="1"/>
  <c r="CA202"/>
  <c r="CH202" s="1"/>
  <c r="AI208"/>
  <c r="CD208" s="1"/>
  <c r="M211"/>
  <c r="CB211" s="1"/>
  <c r="CA214"/>
  <c r="CH214" s="1"/>
  <c r="AI220"/>
  <c r="CD220" s="1"/>
  <c r="M223"/>
  <c r="CB223" s="1"/>
  <c r="CA226"/>
  <c r="CH226" s="1"/>
  <c r="AI232"/>
  <c r="CD232" s="1"/>
  <c r="M235"/>
  <c r="CB235" s="1"/>
  <c r="CA238"/>
  <c r="CH238" s="1"/>
  <c r="AI244"/>
  <c r="CD244" s="1"/>
  <c r="M247"/>
  <c r="CB247" s="1"/>
  <c r="CA250"/>
  <c r="CH250" s="1"/>
  <c r="AI256"/>
  <c r="CD256" s="1"/>
  <c r="M259"/>
  <c r="CB259" s="1"/>
  <c r="CA262"/>
  <c r="CH262" s="1"/>
  <c r="AI268"/>
  <c r="CD268" s="1"/>
  <c r="M271"/>
  <c r="CB271" s="1"/>
  <c r="CA274"/>
  <c r="CH274" s="1"/>
  <c r="AI280"/>
  <c r="CD280" s="1"/>
  <c r="M283"/>
  <c r="CB283" s="1"/>
  <c r="CA286"/>
  <c r="CH286" s="1"/>
  <c r="AI292"/>
  <c r="CD292" s="1"/>
  <c r="M295"/>
  <c r="CB295" s="1"/>
  <c r="CA298"/>
  <c r="CH298" s="1"/>
  <c r="AI304"/>
  <c r="CD304" s="1"/>
  <c r="M307"/>
  <c r="CB307" s="1"/>
  <c r="CA310"/>
  <c r="CH310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M252"/>
  <c r="CB252" s="1"/>
  <c r="M264"/>
  <c r="CB264" s="1"/>
  <c r="M276"/>
  <c r="CB276" s="1"/>
  <c r="M288"/>
  <c r="CB288" s="1"/>
  <c r="BE294"/>
  <c r="CF294" s="1"/>
  <c r="M300"/>
  <c r="CB300" s="1"/>
  <c r="BE306"/>
  <c r="CF306" s="1"/>
  <c r="M312"/>
  <c r="CB312" s="1"/>
  <c r="CV56" i="2" l="1"/>
  <c r="I56" i="1" s="1"/>
  <c r="K56" s="1"/>
  <c r="CV25" i="2"/>
  <c r="I25" i="1" s="1"/>
  <c r="K25" s="1"/>
  <c r="CV13" i="2"/>
  <c r="I13" i="1" s="1"/>
  <c r="K13" s="1"/>
  <c r="CV74" i="2"/>
  <c r="I74" i="1" s="1"/>
  <c r="K74" s="1"/>
  <c r="CV71" i="2"/>
  <c r="I71" i="1" s="1"/>
  <c r="K71" s="1"/>
  <c r="CV68" i="2"/>
  <c r="I68" i="1" s="1"/>
  <c r="K68" s="1"/>
  <c r="CV63" i="2"/>
  <c r="I63" i="1" s="1"/>
  <c r="K63" s="1"/>
  <c r="CV51" i="2"/>
  <c r="I51" i="1" s="1"/>
  <c r="K51" s="1"/>
  <c r="CV48" i="2"/>
  <c r="I48" i="1" s="1"/>
  <c r="K48" s="1"/>
  <c r="CV45" i="2"/>
  <c r="I45" i="1" s="1"/>
  <c r="K45" s="1"/>
  <c r="CV42" i="2"/>
  <c r="I42" i="1" s="1"/>
  <c r="K42" s="1"/>
  <c r="CV39" i="2"/>
  <c r="I39" i="1" s="1"/>
  <c r="K39" s="1"/>
  <c r="CV36" i="2"/>
  <c r="I36" i="1" s="1"/>
  <c r="K36" s="1"/>
  <c r="CV33" i="2"/>
  <c r="I33" i="1" s="1"/>
  <c r="K33" s="1"/>
  <c r="CV30" i="2"/>
  <c r="I30" i="1" s="1"/>
  <c r="K30" s="1"/>
  <c r="CV27" i="2"/>
  <c r="I27" i="1" s="1"/>
  <c r="K27" s="1"/>
  <c r="CV20" i="2"/>
  <c r="I20" i="1" s="1"/>
  <c r="K20" s="1"/>
  <c r="CV65" i="2"/>
  <c r="I65" i="1" s="1"/>
  <c r="K65" s="1"/>
  <c r="CV53" i="2"/>
  <c r="I53" i="1" s="1"/>
  <c r="K53" s="1"/>
  <c r="CV22" i="2"/>
  <c r="I22" i="1" s="1"/>
  <c r="K22" s="1"/>
  <c r="CV60" i="2"/>
  <c r="I60" i="1" s="1"/>
  <c r="K60" s="1"/>
  <c r="CV17" i="2"/>
  <c r="I17" i="1" s="1"/>
  <c r="K17" s="1"/>
  <c r="CV57" i="2"/>
  <c r="I57" i="1" s="1"/>
  <c r="K57" s="1"/>
  <c r="CV26" i="2"/>
  <c r="I26" i="1" s="1"/>
  <c r="K26" s="1"/>
  <c r="CV14" i="2"/>
  <c r="I14" i="1" s="1"/>
  <c r="K14" s="1"/>
  <c r="CV64" i="2"/>
  <c r="I64" i="1" s="1"/>
  <c r="K64" s="1"/>
  <c r="CV52" i="2"/>
  <c r="I52" i="1" s="1"/>
  <c r="K52" s="1"/>
  <c r="CV21" i="2"/>
  <c r="I21" i="1" s="1"/>
  <c r="K21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<sst xmlns="http://schemas.openxmlformats.org/spreadsheetml/2006/main" count="5909" uniqueCount="934">
  <si>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</si>
  <si>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</si>
  <si>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</si>
  <si>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</si>
  <si>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</si>
  <si>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</si>
  <si>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</si>
  <si>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</si>
  <si>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</si>
  <si>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</si>
  <si>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</si>
  <si>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</si>
  <si>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</si>
  <si>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</si>
  <si>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</si>
  <si>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</si>
  <si>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</si>
  <si>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</si>
  <si>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</si>
  <si>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</si>
  <si>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</si>
  <si>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</si>
  <si>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</si>
  <si>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</si>
  <si>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</si>
  <si>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</si>
  <si>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</si>
  <si>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</si>
  <si>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</si>
  <si>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</si>
  <si>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</si>
  <si>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</si>
  <si>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</si>
  <si>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</si>
  <si>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</si>
  <si>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</si>
  <si>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</si>
  <si>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</si>
  <si>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</si>
  <si>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</si>
  <si>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</si>
  <si>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</si>
  <si>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</si>
  <si>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</si>
  <si>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</si>
  <si>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</si>
  <si>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</si>
  <si>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</si>
  <si>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</si>
  <si>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</si>
  <si>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</si>
  <si>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</si>
  <si>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</si>
  <si>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</si>
  <si>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</si>
  <si>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</si>
  <si>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</si>
  <si>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</si>
  <si>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</si>
  <si>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</si>
  <si>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</si>
  <si>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</si>
  <si>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</si>
  <si>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</si>
  <si>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</si>
  <si>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</si>
  <si>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</si>
  <si>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</si>
  <si>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</si>
  <si>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</si>
  <si>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</si>
  <si>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</si>
  <si>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</si>
  <si>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</si>
  <si>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</si>
  <si>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</si>
  <si>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</si>
  <si>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</si>
  <si>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</si>
  <si>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</si>
  <si>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</si>
  <si>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</si>
  <si>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</si>
  <si>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</si>
  <si>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</si>
  <si>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</si>
  <si>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</si>
  <si>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</si>
  <si>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</si>
  <si>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</si>
  <si>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</si>
  <si>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</si>
  <si>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</si>
  <si>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</si>
  <si>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</si>
  <si>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</si>
  <si>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</si>
  <si>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</si>
  <si>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</si>
  <si>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</si>
  <si>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</si>
  <si>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</si>
  <si>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</si>
  <si>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</si>
  <si>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</si>
  <si>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</si>
  <si>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</si>
  <si>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</si>
  <si>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</si>
  <si>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</si>
  <si>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</si>
  <si>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</si>
  <si>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</si>
  <si>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</si>
  <si>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</si>
  <si>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</si>
  <si>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</si>
  <si>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</si>
  <si>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</si>
  <si>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</si>
  <si>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</si>
  <si>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</si>
  <si>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</si>
  <si>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</si>
  <si>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</si>
  <si>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</si>
  <si>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</si>
  <si>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</si>
  <si>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</si>
  <si>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</si>
  <si>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</si>
  <si>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</si>
  <si>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</si>
  <si>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</si>
  <si>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</si>
  <si>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</si>
  <si>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</si>
  <si>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</si>
  <si>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</si>
  <si>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</si>
  <si>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</si>
  <si>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</si>
  <si>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</si>
  <si>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</si>
  <si>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</si>
  <si>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</si>
  <si>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</si>
  <si>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</si>
  <si>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</si>
  <si>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</si>
  <si>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</si>
  <si>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</si>
  <si>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</si>
  <si>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</si>
  <si>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</si>
  <si>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</si>
  <si>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</si>
  <si>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</si>
  <si>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</si>
  <si>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</si>
  <si>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</si>
  <si>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</si>
  <si>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</si>
  <si>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</si>
  <si>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</si>
  <si>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</si>
  <si>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</si>
  <si>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</si>
  <si>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</si>
  <si>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</si>
  <si>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</si>
  <si>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</si>
  <si>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</si>
  <si>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</si>
  <si>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</si>
  <si>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</si>
  <si>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</si>
  <si>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</si>
  <si>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</si>
  <si>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</si>
  <si>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</si>
  <si>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</si>
  <si>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</si>
  <si>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</si>
  <si>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</si>
  <si>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</si>
  <si>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</si>
  <si>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</si>
  <si>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</si>
  <si>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</si>
  <si>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</si>
  <si>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</si>
  <si>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</si>
  <si>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</si>
  <si>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</si>
  <si>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</si>
  <si>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</si>
  <si>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</si>
  <si>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</si>
  <si>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</si>
  <si>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</si>
  <si>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</si>
  <si>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</si>
  <si>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</si>
  <si>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</si>
  <si>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</si>
  <si>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</si>
  <si>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</si>
  <si>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</si>
  <si>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</si>
  <si>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</si>
  <si>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</si>
  <si>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</si>
  <si>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</si>
  <si>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</si>
  <si>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</si>
  <si>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</si>
  <si>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</si>
  <si>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</si>
  <si>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</si>
  <si>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</si>
  <si>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</si>
  <si>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</si>
  <si>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</si>
  <si>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</si>
  <si>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</si>
  <si>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</si>
  <si>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</si>
  <si>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</si>
  <si>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</si>
  <si>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</si>
  <si>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</si>
  <si>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</si>
  <si>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</si>
  <si>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</si>
  <si>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</si>
  <si>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</si>
  <si>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</si>
  <si>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</si>
  <si>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</si>
  <si>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</si>
  <si>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</si>
  <si>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</si>
  <si>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</si>
  <si>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</si>
  <si>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</si>
  <si>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</si>
  <si>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</si>
  <si>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</si>
  <si>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</si>
  <si>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</si>
  <si>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</si>
  <si>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</si>
  <si>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</si>
  <si>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</si>
  <si>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</si>
  <si>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</si>
  <si>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</si>
  <si>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</si>
  <si>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</si>
  <si>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</si>
  <si>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</si>
  <si>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</si>
  <si>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</si>
  <si>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</si>
  <si>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</si>
  <si>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</si>
  <si>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</si>
  <si>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</si>
  <si>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</si>
  <si>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</si>
  <si>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</si>
  <si>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</si>
  <si>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</si>
  <si>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</si>
  <si>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</si>
  <si>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</si>
  <si>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</si>
  <si>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</si>
  <si>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</si>
  <si>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</si>
  <si>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</si>
  <si>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</si>
  <si>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</si>
  <si>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</si>
  <si>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</si>
  <si>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</si>
  <si>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</si>
  <si>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</si>
  <si>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</si>
  <si>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</si>
  <si>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</si>
  <si>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</si>
  <si>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</si>
  <si>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</si>
  <si>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</si>
  <si>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</si>
  <si>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</si>
  <si>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</si>
  <si>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</si>
  <si>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</si>
  <si>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</si>
  <si>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</si>
  <si>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</si>
  <si>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</si>
  <si>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</si>
  <si>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</si>
  <si>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</si>
  <si>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</si>
  <si>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</si>
  <si>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</si>
  <si>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</si>
  <si>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</si>
  <si>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</si>
  <si>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</si>
  <si>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</si>
  <si>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</si>
  <si>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</si>
  <si>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</si>
  <si>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</si>
  <si>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</si>
  <si>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</si>
  <si>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</si>
  <si>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</si>
  <si>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</si>
  <si>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</si>
  <si>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</si>
  <si>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</si>
  <si>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</si>
  <si>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</si>
  <si>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</si>
  <si>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</si>
  <si>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</si>
  <si>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</si>
  <si>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</si>
  <si>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</si>
  <si>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</si>
  <si>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</si>
  <si>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</si>
  <si>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</si>
  <si>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</si>
  <si>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</si>
  <si>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</si>
  <si>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</si>
  <si>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</si>
  <si>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</si>
  <si>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</si>
  <si>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</si>
  <si>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</si>
  <si>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</si>
  <si>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</si>
  <si>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</si>
  <si>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</si>
  <si>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</si>
  <si>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</si>
  <si>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</si>
  <si>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</si>
  <si>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</si>
  <si>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</si>
  <si>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</si>
  <si>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</si>
  <si>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</si>
  <si>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</si>
  <si>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</si>
  <si>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</si>
  <si>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</si>
  <si>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</si>
  <si>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</si>
  <si>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</si>
  <si>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</si>
  <si>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</si>
  <si>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</si>
  <si>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</si>
  <si>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</si>
  <si>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</si>
  <si>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</si>
  <si>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</si>
  <si>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</si>
  <si>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</si>
  <si>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</si>
  <si>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</si>
  <si>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</si>
  <si>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</si>
  <si>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</si>
  <si>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</si>
  <si>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</si>
  <si>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</si>
  <si>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</si>
  <si>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</si>
  <si>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</si>
  <si>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</si>
  <si>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</si>
  <si>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</si>
  <si>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</si>
  <si>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</si>
  <si>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</si>
  <si>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</si>
  <si>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</si>
  <si>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</si>
  <si>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</si>
  <si>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</si>
  <si>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</si>
  <si>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</si>
  <si>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</si>
  <si>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</si>
  <si>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</si>
  <si>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</si>
  <si>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</si>
  <si>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</si>
  <si>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</si>
  <si>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</si>
  <si>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</si>
  <si>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</si>
  <si>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</si>
  <si>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</si>
  <si>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</si>
  <si>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</si>
  <si>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</si>
  <si>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</si>
  <si>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</si>
  <si>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</si>
  <si>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</si>
  <si>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</si>
  <si>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</si>
  <si>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</si>
  <si>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</si>
  <si>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</si>
  <si>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</si>
  <si>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</si>
  <si>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</si>
  <si>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</si>
  <si>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</si>
  <si>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</si>
  <si>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</si>
  <si>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</si>
  <si>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</si>
  <si>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</si>
  <si>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</si>
  <si>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</si>
  <si>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</si>
  <si>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</si>
  <si>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</si>
  <si>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</si>
  <si>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</si>
  <si>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</si>
  <si>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</si>
  <si>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</si>
  <si>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</si>
  <si>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</si>
  <si>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</si>
  <si>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ReplaceableTextures\\CommandButtons\\BTNIN05.blp</t>
  </si>
  <si>
    <t>CS22</t>
  </si>
  <si>
    <t>|CffFF0000技能进化石【完美】|r</t>
  </si>
  <si>
    <t>ReplaceableTextures\\CommandButtons\\BTNIN04.blp</t>
  </si>
  <si>
    <t>CS23</t>
  </si>
  <si>
    <t>|Cff00FF7F技能进阶石【残缺】|r</t>
  </si>
  <si>
    <r>
      <rPr>
        <sz val="11"/>
        <color rgb="FF9C6500"/>
        <rFont val="等线"/>
        <charset val="134"/>
      </rPr>
      <t>ReplaceableTextures\\CommandButtons\\BTNIN0</t>
    </r>
    <r>
      <rPr>
        <sz val="11"/>
        <color rgb="FF9C6500"/>
        <rFont val="等线"/>
        <charset val="134"/>
      </rPr>
      <t>6</t>
    </r>
    <r>
      <rPr>
        <sz val="11"/>
        <color rgb="FF9C6500"/>
        <rFont val="等线"/>
        <charset val="134"/>
      </rPr>
      <t>.blp</t>
    </r>
  </si>
  <si>
    <t>CS24</t>
  </si>
  <si>
    <t>|CffFFD24D技能进化石【残缺】|r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</si>
  <si>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</si>
  <si>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</si>
  <si>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</si>
  <si>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</si>
  <si>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</si>
  <si>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</si>
  <si>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</si>
  <si>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</si>
  <si>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</si>
  <si>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</si>
  <si>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</si>
  <si>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</si>
  <si>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</si>
  <si>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</si>
  <si>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</si>
  <si>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</si>
  <si>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</si>
  <si>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</si>
  <si>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I010</t>
  </si>
  <si>
    <r>
      <rPr>
        <sz val="11"/>
        <color rgb="FF000000"/>
        <rFont val="等线"/>
        <charset val="134"/>
        <scheme val="minor"/>
      </rPr>
      <t>招魂幡Lv</t>
    </r>
    <r>
      <rPr>
        <sz val="11"/>
        <color rgb="FF000000"/>
        <rFont val="等线"/>
        <charset val="134"/>
        <scheme val="minor"/>
      </rPr>
      <t>0</t>
    </r>
  </si>
  <si>
    <t>护甲|Cffffd24d+10|r|n金币加成|Cffffd24d+10%|n|r|n击杀300个敌人后奖励：|n|CffFFD24D3000~6000|r金币|n|CffCC99FF1000-2000|r业力|n|n|Cff00FF7F同时只能携带一个招魂幡|r</t>
  </si>
  <si>
    <r>
      <rPr>
        <sz val="11"/>
        <color rgb="FF9C6500"/>
        <rFont val="等线"/>
        <charset val="134"/>
      </rPr>
      <t>ReplaceableTextures\\CommandButtons\\BTNZHP1</t>
    </r>
    <r>
      <rPr>
        <sz val="11"/>
        <color rgb="FF9C6500"/>
        <rFont val="等线"/>
        <charset val="134"/>
      </rPr>
      <t>.blp</t>
    </r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</si>
  <si>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</si>
  <si>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</si>
  <si>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</si>
  <si>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</si>
  <si>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</si>
  <si>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</si>
  <si>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ReplaceableTextures\\CommandButtons\\BTNZHP2.blp</t>
    </r>
  </si>
  <si>
    <t>I013</t>
  </si>
  <si>
    <t>|Cff00BFFF招魂幡Lv3|r</t>
  </si>
  <si>
    <r>
      <rPr>
        <sz val="10"/>
        <color rgb="FF000000"/>
        <rFont val="微软雅黑"/>
        <charset val="134"/>
      </rPr>
      <t>护甲|cffffd24d+100|n|r金币加成|cffffd24d+25%|n|n|r击杀1000个敌人后奖励：|n|cffffd24d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</si>
  <si>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ReplaceableTextures\\CommandButtons\\BTNZHP3.blp</t>
    </r>
  </si>
  <si>
    <t>I014</t>
  </si>
  <si>
    <t>|CffFFD24D招魂幡Lv4|r</t>
  </si>
  <si>
    <r>
      <rPr>
        <sz val="10"/>
        <color rgb="FF000000"/>
        <rFont val="微软雅黑"/>
        <charset val="134"/>
      </rPr>
      <t>护甲|cffffd24d+200|n|r金币加成|cffffd24d+30%|n|n|r击杀1000个敌人后奖励：|n|cffffd24d</t>
    </r>
    <r>
      <rPr>
        <sz val="10"/>
        <color rgb="FF000000"/>
        <rFont val="微软雅黑"/>
        <charset val="134"/>
      </rPr>
      <t>10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8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</si>
  <si>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ReplaceableTextures\\CommandButtons\\BTNZHP4.blp</t>
    </r>
  </si>
  <si>
    <t>I015</t>
  </si>
  <si>
    <t>|CffFF0000招魂幡Lv5|r</t>
  </si>
  <si>
    <r>
      <rPr>
        <sz val="10"/>
        <color rgb="FF000000"/>
        <rFont val="微软雅黑"/>
        <charset val="134"/>
      </rPr>
      <t>护甲|cffffd24d+300|n|r金币加成|cffffd24d+35%|n|n|r击杀1000个敌人后奖励：|n|cffffd24d</t>
    </r>
    <r>
      <rPr>
        <sz val="10"/>
        <color rgb="FF000000"/>
        <rFont val="微软雅黑"/>
        <charset val="134"/>
      </rPr>
      <t>12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6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</si>
  <si>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ReplaceableTextures\\CommandButtons\\BTNZHP5.blp</t>
    </r>
  </si>
  <si>
    <t>IN00</t>
  </si>
  <si>
    <t>|CffFFD24D锦囊|r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</si>
  <si>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</si>
  <si>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</si>
  <si>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</si>
  <si>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</si>
  <si>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</si>
  <si>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</si>
  <si>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</si>
  <si>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</si>
  <si>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</si>
  <si>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</si>
  <si>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</si>
  <si>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</si>
  <si>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</si>
  <si>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</si>
  <si>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</si>
  <si>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</si>
  <si>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</si>
  <si>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</si>
  <si>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</si>
  <si>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</si>
  <si>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</si>
  <si>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</si>
  <si>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</si>
  <si>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</si>
  <si>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</si>
  <si>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</si>
  <si>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</si>
  <si>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</si>
  <si>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</si>
  <si>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</si>
  <si>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</si>
  <si>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</si>
  <si>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</si>
  <si>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</si>
  <si>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</si>
  <si>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</si>
  <si>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</si>
  <si>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</si>
  <si>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</si>
  <si>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</si>
  <si>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</si>
  <si>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</si>
  <si>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</si>
  <si>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</si>
  <si>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</si>
  <si>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</si>
  <si>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</si>
  <si>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</si>
  <si>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</si>
  <si>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</si>
  <si>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</si>
  <si>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</si>
  <si>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</si>
  <si>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</si>
  <si>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</si>
  <si>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</si>
  <si>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</si>
  <si>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</si>
  <si>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</si>
  <si>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</si>
  <si>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</si>
  <si>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</si>
  <si>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</si>
  <si>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</si>
  <si>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</si>
  <si>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</si>
  <si>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</si>
  <si>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</si>
  <si>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</si>
  <si>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</si>
  <si>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</si>
  <si>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</si>
  <si>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</si>
  <si>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</si>
  <si>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</si>
  <si>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</si>
  <si>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</si>
  <si>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</si>
  <si>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</si>
  <si>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</si>
  <si>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</si>
  <si>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</si>
  <si>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</si>
  <si>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</si>
  <si>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</si>
  <si>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</si>
  <si>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</si>
  <si>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</si>
  <si>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</si>
  <si>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</si>
  <si>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</si>
  <si>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</si>
  <si>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</si>
  <si>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</si>
  <si>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</si>
  <si>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</si>
  <si>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r>
      <rPr>
        <sz val="11"/>
        <color rgb="FF9C6500"/>
        <rFont val="等线"/>
        <charset val="134"/>
        <scheme val="minor"/>
      </rPr>
      <t>ReplaceableTextures\\CommandButtons\\</t>
    </r>
    <r>
      <rPr>
        <sz val="11"/>
        <color rgb="FF9C6500"/>
        <rFont val="等线"/>
        <charset val="134"/>
        <scheme val="minor"/>
      </rPr>
      <t>BTNIN08</t>
    </r>
    <r>
      <rPr>
        <sz val="11"/>
        <color rgb="FF9C6500"/>
        <rFont val="等线"/>
        <charset val="134"/>
        <scheme val="minor"/>
      </rPr>
      <t>.bl</t>
    </r>
    <r>
      <rPr>
        <sz val="11"/>
        <color rgb="FF9C6500"/>
        <rFont val="等线"/>
        <charset val="134"/>
        <scheme val="minor"/>
      </rPr>
      <t>p</t>
    </r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</si>
  <si>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</si>
  <si>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</si>
  <si>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</si>
  <si>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</si>
  <si>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</si>
  <si>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1</t>
    </r>
    <r>
      <rPr>
        <sz val="11"/>
        <color rgb="FF000000"/>
        <rFont val="等线"/>
        <charset val="134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</si>
  <si>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</si>
  <si>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</si>
  <si>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</si>
  <si>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</si>
  <si>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</si>
  <si>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</si>
  <si>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</si>
  <si>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</si>
  <si>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</si>
  <si>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</si>
  <si>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5</t>
    </r>
    <r>
      <rPr>
        <sz val="11"/>
        <color rgb="FF000000"/>
        <rFont val="等线"/>
        <charset val="134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</si>
  <si>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</si>
  <si>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</si>
  <si>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</si>
  <si>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</si>
  <si>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</si>
  <si>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</si>
  <si>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</si>
  <si>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</si>
  <si>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</si>
  <si>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</si>
  <si>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</si>
  <si>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</si>
  <si>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</si>
  <si>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</si>
  <si>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</si>
  <si>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</si>
  <si>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</si>
  <si>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</si>
  <si>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</si>
  <si>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</si>
  <si>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</si>
  <si>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</si>
  <si>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</si>
  <si>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</si>
  <si>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</si>
  <si>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</si>
  <si>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</si>
  <si>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</si>
  <si>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</si>
  <si>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</si>
  <si>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</si>
  <si>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</si>
  <si>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</si>
  <si>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</si>
  <si>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</si>
  <si>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</si>
  <si>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</si>
  <si>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</si>
  <si>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</si>
  <si>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</si>
  <si>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</si>
  <si>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</si>
  <si>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</si>
  <si>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</si>
  <si>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</si>
  <si>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</si>
  <si>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</si>
  <si>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IS02</t>
  </si>
  <si>
    <t>学习W技能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</si>
  <si>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</si>
  <si>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</si>
  <si>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</si>
  <si>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</rPr>
      <t>学习或重置当前|cffffd24dE技能|r。|n|cffffcc00抽取消耗：|r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000金币*次数|n|cffffcc00抽取次数：|r0/10|n|n|cff00ff7f单局最多抽取10次|r</t>
    </r>
  </si>
  <si>
    <t>ReplaceableTextures\\CommandButtons\\BTN003.blp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</si>
  <si>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</si>
  <si>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</si>
  <si>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</si>
  <si>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</si>
  <si>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</si>
  <si>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</si>
  <si>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</si>
  <si>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</si>
  <si>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</si>
  <si>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</si>
  <si>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</si>
  <si>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</si>
  <si>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</si>
  <si>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</si>
  <si>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</si>
  <si>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</si>
  <si>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</si>
  <si>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</si>
  <si>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</si>
  <si>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</si>
  <si>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</si>
  <si>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</si>
  <si>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</si>
  <si>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</si>
  <si>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</si>
  <si>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</si>
  <si>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</si>
  <si>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</si>
  <si>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</si>
  <si>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</si>
  <si>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</si>
  <si>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</si>
  <si>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</si>
  <si>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</si>
  <si>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</si>
  <si>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</si>
  <si>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</si>
  <si>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</si>
  <si>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</si>
  <si>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</si>
  <si>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</si>
  <si>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</si>
  <si>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</si>
  <si>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</si>
  <si>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</si>
  <si>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</si>
  <si>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</si>
  <si>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</si>
  <si>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</si>
  <si>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</si>
  <si>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</si>
  <si>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</si>
  <si>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</si>
  <si>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</si>
  <si>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r>
      <rPr>
        <sz val="11"/>
        <color theme="1"/>
        <rFont val="等线"/>
        <charset val="134"/>
        <scheme val="minor"/>
      </rPr>
      <t>|cff33ff00购买魔兽重制版可领取该礼包！|n|n|r属性：|n|cffffcc33金币+</t>
    </r>
    <r>
      <rPr>
        <sz val="11"/>
        <color theme="1"/>
        <rFont val="等线"/>
        <charset val="134"/>
        <scheme val="minor"/>
      </rPr>
      <t>1</t>
    </r>
    <r>
      <rPr>
        <sz val="11"/>
        <color theme="1"/>
        <rFont val="等线"/>
        <charset val="134"/>
        <scheme val="minor"/>
      </rPr>
      <t>000|n每秒攻击+2|n每秒业力+1|r</t>
    </r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</si>
  <si>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</si>
  <si>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</si>
  <si>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</si>
  <si>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</si>
  <si>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</si>
  <si>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</si>
  <si>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</si>
  <si>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</si>
  <si>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</si>
  <si>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</si>
  <si>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</si>
  <si>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</si>
  <si>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</si>
  <si>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</si>
  <si>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</si>
  <si>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</si>
  <si>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</si>
  <si>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</si>
  <si>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</si>
  <si>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</si>
  <si>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</si>
  <si>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|cff33ff00购买魔兽重制版可领取该礼包！|n|n|r属性：|n|cffffcc33金币+</t>
    </r>
    <r>
      <rPr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000|n每秒攻击+2|n每秒业力+1|r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</si>
  <si>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</si>
  <si>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</si>
  <si>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</si>
  <si>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</si>
  <si>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</si>
  <si>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</si>
  <si>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</si>
  <si>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</si>
  <si>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</si>
  <si>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</si>
  <si>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</si>
  <si>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</si>
  <si>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</si>
  <si>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</si>
  <si>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</si>
  <si>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</si>
  <si>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</si>
  <si>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</si>
  <si>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</si>
  <si>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</si>
  <si>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</si>
  <si>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</si>
  <si>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</si>
  <si>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</si>
  <si>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</si>
  <si>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</si>
  <si>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</si>
  <si>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</si>
  <si>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</si>
  <si>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</si>
  <si>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</si>
  <si>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</si>
  <si>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</si>
  <si>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</si>
  <si>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</si>
  <si>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</si>
  <si>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</si>
  <si>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</si>
  <si>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</si>
  <si>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</si>
  <si>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</si>
  <si>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</si>
  <si>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</si>
  <si>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</si>
  <si>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</si>
  <si>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</si>
  <si>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</si>
  <si>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</si>
  <si>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</si>
  <si>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</si>
  <si>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</si>
  <si>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</si>
  <si>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</si>
  <si>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</si>
  <si>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</si>
  <si>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</si>
  <si>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</si>
  <si>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</si>
  <si>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</si>
  <si>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</si>
  <si>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</si>
  <si>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</si>
  <si>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</si>
  <si>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</si>
  <si>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</si>
  <si>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</si>
  <si>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</si>
  <si>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</si>
  <si>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</si>
  <si>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</si>
  <si>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</si>
  <si>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</si>
  <si>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</si>
  <si>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</si>
  <si>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</si>
  <si>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</si>
  <si>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</si>
  <si>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</si>
  <si>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</si>
  <si>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</si>
  <si>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</si>
  <si>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</si>
  <si>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</si>
  <si>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</si>
  <si>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</si>
  <si>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</si>
  <si>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</si>
  <si>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</si>
  <si>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</si>
  <si>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</si>
  <si>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</si>
  <si>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</si>
  <si>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</si>
  <si>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</si>
  <si>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</si>
  <si>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</si>
  <si>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</si>
  <si>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</si>
  <si>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</si>
  <si>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</si>
  <si>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</si>
  <si>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</si>
  <si>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</si>
  <si>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</si>
  <si>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</si>
  <si>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</si>
  <si>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</si>
  <si>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</si>
  <si>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</si>
  <si>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</si>
  <si>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</si>
  <si>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</si>
  <si>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</si>
  <si>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</si>
  <si>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</si>
  <si>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</si>
  <si>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</si>
  <si>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</si>
  <si>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</si>
  <si>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</si>
  <si>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</si>
  <si>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</si>
  <si>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</si>
  <si>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</si>
  <si>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</si>
  <si>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</si>
  <si>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</si>
  <si>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</si>
  <si>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</si>
  <si>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</si>
  <si>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</si>
  <si>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</si>
  <si>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</si>
  <si>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</si>
  <si>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</si>
  <si>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</si>
  <si>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</si>
  <si>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</si>
  <si>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</si>
  <si>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</si>
  <si>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</si>
  <si>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</si>
  <si>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</si>
  <si>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</si>
  <si>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</si>
  <si>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</si>
  <si>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</si>
  <si>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</si>
  <si>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</si>
  <si>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</si>
  <si>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</si>
  <si>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</si>
  <si>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</si>
  <si>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</si>
  <si>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</si>
  <si>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</si>
  <si>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</si>
  <si>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</si>
  <si>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</si>
  <si>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</si>
  <si>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</si>
  <si>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</si>
  <si>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</si>
  <si>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锦囊</t>
  </si>
  <si>
    <t>幸运星盒</t>
  </si>
  <si>
    <t>炽星魔盒</t>
  </si>
  <si>
    <t>|CffFF0000时渊碎片|r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</si>
  <si>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</si>
  <si>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</si>
  <si>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</si>
  <si>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</si>
  <si>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</si>
  <si>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</si>
  <si>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学习或重置当前|cffffd24dQ技能|r。|n|cffffcc00抽取消耗：|r</t>
    </r>
    <r>
      <rPr>
        <sz val="11"/>
        <color theme="1"/>
        <rFont val="等线"/>
        <family val="3"/>
        <charset val="134"/>
      </rPr>
      <t>首次免费</t>
    </r>
    <r>
      <rPr>
        <sz val="11"/>
        <color theme="1"/>
        <rFont val="等线"/>
        <charset val="134"/>
      </rPr>
      <t>|n|cffffcc00抽取次数：|r0/10|n|n|cff00ff7f单局最多抽取10次|r</t>
    </r>
    <phoneticPr fontId="30" type="noConversion"/>
  </si>
  <si>
    <r>
      <t>学习或重置当前|cffffd24dW技能|r。|n|cffffcc00抽取消耗：|r</t>
    </r>
    <r>
      <rPr>
        <sz val="11"/>
        <color theme="1"/>
        <rFont val="等线"/>
        <family val="3"/>
        <charset val="134"/>
        <scheme val="minor"/>
      </rPr>
      <t>灵力*1</t>
    </r>
    <r>
      <rPr>
        <sz val="11"/>
        <color theme="1"/>
        <rFont val="等线"/>
        <charset val="134"/>
        <scheme val="minor"/>
      </rPr>
      <t>|n|cffffcc00抽取次数：|r0/10|n|n|cff00ff7f单局最多抽取10次|r</t>
    </r>
    <phoneticPr fontId="30" type="noConversion"/>
  </si>
  <si>
    <t>I021</t>
    <phoneticPr fontId="30" type="noConversion"/>
  </si>
  <si>
    <t>I022</t>
  </si>
  <si>
    <t>I023</t>
  </si>
  <si>
    <t>I024</t>
  </si>
  <si>
    <t>|CffFFD24D品质潜能石【完美】|r</t>
    <phoneticPr fontId="30" type="noConversion"/>
  </si>
  <si>
    <t>|CffFFD24D品质潜能石【】|r</t>
    <phoneticPr fontId="30" type="noConversion"/>
  </si>
  <si>
    <t>购买需求：灵力x20|n|n使用后为指定技能增加1点品质潜力</t>
    <phoneticPr fontId="30" type="noConversion"/>
  </si>
  <si>
    <t>购买需求：灵力x4|n|n使用技能进阶石可消耗品质潜力提升技能品质，只能对A级及以下的技能使用。只有50%的概率成功</t>
    <phoneticPr fontId="30" type="noConversion"/>
  </si>
  <si>
    <t>购买需求：灵力x10|n|n使用技能进阶石可消耗品质潜力提升技能品质，只能对A级及以下的技能使用。</t>
    <phoneticPr fontId="30" type="noConversion"/>
  </si>
  <si>
    <t>使用技能进阶石可消耗品质潜力提升技能品质，只能对A级及以下的技能使用。</t>
    <phoneticPr fontId="30" type="noConversion"/>
  </si>
  <si>
    <t>使用后为指定技能增加1点品质潜力</t>
    <phoneticPr fontId="30" type="noConversion"/>
  </si>
  <si>
    <t>使用技能进阶石可消耗品质潜力提升技能品质，只能对A级及以下的技能使用。只有50%的概率成功</t>
    <phoneticPr fontId="30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</si>
</sst>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12"/>
      <name val="宋体"/>
      <charset val="134"/>
    </font>
    <font>
      <sz val="12"/>
      <color theme="1"/>
      <name val="微软雅黑"/>
      <charset val="134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7238074892422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/>
    <xf numFmtId="0" fontId="11" fillId="9" borderId="0" applyNumberFormat="0" applyBorder="0" applyAlignment="0" applyProtection="0">
      <alignment vertical="center"/>
    </xf>
    <xf numFmtId="0" fontId="24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4" fillId="0" borderId="0"/>
  </cellStyleXfs>
  <cellXfs count="16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4" applyBorder="1" applyAlignment="1"/>
    <xf numFmtId="0" fontId="13" fillId="12" borderId="1" xfId="4" applyFill="1" applyBorder="1" applyAlignment="1">
      <alignment vertical="center"/>
    </xf>
    <xf numFmtId="0" fontId="13" fillId="11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1" applyNumberFormat="1" applyAlignment="1">
      <alignment vertical="center"/>
    </xf>
    <xf numFmtId="0" fontId="11" fillId="9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1" applyFont="1" applyFill="1" applyBorder="1">
      <alignment vertical="center"/>
    </xf>
    <xf numFmtId="0" fontId="11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3" xfId="4" applyBorder="1" applyAlignment="1">
      <alignment horizontal="center"/>
    </xf>
    <xf numFmtId="0" fontId="13" fillId="11" borderId="8" xfId="4" applyFont="1" applyFill="1" applyBorder="1" applyAlignment="1"/>
    <xf numFmtId="0" fontId="13" fillId="11" borderId="1" xfId="4" applyFont="1" applyFill="1" applyBorder="1" applyAlignment="1"/>
    <xf numFmtId="0" fontId="13" fillId="12" borderId="2" xfId="4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4" applyFont="1" applyFill="1" applyBorder="1" applyAlignment="1"/>
    <xf numFmtId="0" fontId="0" fillId="12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11" fillId="9" borderId="0" xfId="1" applyNumberFormat="1" applyFont="1" applyFill="1" applyAlignment="1"/>
    <xf numFmtId="0" fontId="11" fillId="9" borderId="0" xfId="1" applyAlignment="1"/>
    <xf numFmtId="0" fontId="11" fillId="9" borderId="0" xfId="1" applyNumberFormat="1" applyAlignment="1"/>
    <xf numFmtId="0" fontId="10" fillId="8" borderId="1" xfId="3" applyBorder="1" applyAlignment="1"/>
    <xf numFmtId="0" fontId="10" fillId="8" borderId="0" xfId="3" applyFont="1" applyFill="1" applyAlignment="1"/>
    <xf numFmtId="0" fontId="10" fillId="8" borderId="0" xfId="3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4" applyFont="1" applyBorder="1" applyAlignment="1"/>
    <xf numFmtId="0" fontId="0" fillId="12" borderId="1" xfId="4" applyFont="1" applyFill="1" applyBorder="1" applyAlignment="1">
      <alignment vertical="center"/>
    </xf>
    <xf numFmtId="0" fontId="13" fillId="11" borderId="3" xfId="4" applyBorder="1">
      <alignment vertical="center"/>
    </xf>
    <xf numFmtId="0" fontId="13" fillId="11" borderId="7" xfId="4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1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1" applyNumberFormat="1" applyFont="1" applyAlignment="1">
      <alignment vertical="center"/>
    </xf>
    <xf numFmtId="0" fontId="10" fillId="8" borderId="0" xfId="3" applyFont="1" applyAlignment="1"/>
    <xf numFmtId="0" fontId="11" fillId="9" borderId="0" xfId="1" applyFont="1" applyAlignment="1">
      <alignment vertical="center"/>
    </xf>
    <xf numFmtId="0" fontId="19" fillId="3" borderId="1" xfId="5" applyFont="1" applyFill="1" applyBorder="1"/>
    <xf numFmtId="0" fontId="0" fillId="0" borderId="1" xfId="5" applyFont="1" applyBorder="1"/>
    <xf numFmtId="0" fontId="20" fillId="0" borderId="0" xfId="0" applyFont="1" applyAlignment="1"/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1" applyFont="1" applyFill="1" applyBorder="1">
      <alignment vertical="center"/>
    </xf>
    <xf numFmtId="0" fontId="11" fillId="9" borderId="11" xfId="1" applyFont="1" applyFill="1" applyBorder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1" fillId="0" borderId="0" xfId="0" applyFont="1"/>
    <xf numFmtId="0" fontId="22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3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1" fillId="0" borderId="0" xfId="0" applyFont="1"/>
    <xf numFmtId="0" fontId="32" fillId="0" borderId="0" xfId="0" applyFont="1"/>
    <xf numFmtId="0" fontId="11" fillId="9" borderId="1" xfId="1" applyBorder="1" applyAlignment="1">
      <alignment horizontal="center" vertical="center"/>
    </xf>
    <xf numFmtId="0" fontId="13" fillId="11" borderId="7" xfId="4" applyBorder="1" applyAlignment="1">
      <alignment horizontal="center"/>
    </xf>
    <xf numFmtId="0" fontId="13" fillId="11" borderId="6" xfId="4" applyBorder="1" applyAlignment="1">
      <alignment horizontal="center"/>
    </xf>
    <xf numFmtId="0" fontId="13" fillId="11" borderId="3" xfId="4" applyBorder="1" applyAlignment="1">
      <alignment horizontal="center"/>
    </xf>
    <xf numFmtId="0" fontId="13" fillId="11" borderId="1" xfId="4" applyBorder="1" applyAlignment="1">
      <alignment horizontal="center"/>
    </xf>
  </cellXfs>
  <cellStyles count="6">
    <cellStyle name="差" xfId="1" builtinId="27"/>
    <cellStyle name="常规" xfId="0" builtinId="0"/>
    <cellStyle name="常规 2" xfId="5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25"/>
  <sheetViews>
    <sheetView tabSelected="1" workbookViewId="0">
      <pane xSplit="8" ySplit="2" topLeftCell="X85" activePane="bottomRight" state="frozen"/>
      <selection pane="topRight"/>
      <selection pane="bottomLeft"/>
      <selection pane="bottomRight" activeCell="AB115" sqref="AB115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26" customWidth="1"/>
    <col min="10" max="10" width="18.625" customWidth="1"/>
    <col min="11" max="11" width="41" customWidth="1"/>
    <col min="12" max="12" width="9" style="10" customWidth="1"/>
    <col min="13" max="13" width="47.375" style="130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26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26"/>
    <col min="41" max="16384" width="9" style="10"/>
  </cols>
  <sheetData>
    <row r="1" spans="1:42" s="126" customFormat="1">
      <c r="A1" s="130"/>
      <c r="B1" s="126" t="s">
        <v>0</v>
      </c>
      <c r="C1" s="126" t="s">
        <v>1</v>
      </c>
      <c r="D1" s="126" t="s">
        <v>2</v>
      </c>
      <c r="E1" s="151" t="s">
        <v>3</v>
      </c>
      <c r="F1" s="126" t="s">
        <v>4</v>
      </c>
      <c r="G1" s="126" t="s">
        <v>5</v>
      </c>
      <c r="H1" s="126" t="s">
        <v>6</v>
      </c>
      <c r="I1" s="126" t="s">
        <v>7</v>
      </c>
      <c r="J1" s="127" t="s">
        <v>8</v>
      </c>
      <c r="K1" s="127" t="s">
        <v>9</v>
      </c>
      <c r="L1" s="126" t="s">
        <v>10</v>
      </c>
      <c r="M1" s="126" t="s">
        <v>11</v>
      </c>
      <c r="N1" s="126" t="s">
        <v>12</v>
      </c>
      <c r="O1" s="126" t="s">
        <v>13</v>
      </c>
      <c r="P1" s="126" t="s">
        <v>14</v>
      </c>
      <c r="Q1" s="126" t="s">
        <v>15</v>
      </c>
      <c r="R1" s="126" t="s">
        <v>16</v>
      </c>
      <c r="S1" s="126" t="s">
        <v>17</v>
      </c>
      <c r="T1" s="126" t="s">
        <v>18</v>
      </c>
      <c r="U1" s="126" t="s">
        <v>19</v>
      </c>
      <c r="V1" s="126" t="s">
        <v>20</v>
      </c>
      <c r="W1" s="126" t="s">
        <v>21</v>
      </c>
      <c r="X1" s="126" t="s">
        <v>22</v>
      </c>
      <c r="Y1" s="126" t="s">
        <v>23</v>
      </c>
      <c r="Z1" s="126" t="s">
        <v>24</v>
      </c>
      <c r="AA1" s="126" t="s">
        <v>25</v>
      </c>
      <c r="AB1" s="126" t="s">
        <v>26</v>
      </c>
      <c r="AC1" s="126" t="s">
        <v>27</v>
      </c>
      <c r="AD1" s="126" t="s">
        <v>28</v>
      </c>
      <c r="AE1" s="126" t="s">
        <v>29</v>
      </c>
      <c r="AF1" s="126" t="s">
        <v>30</v>
      </c>
      <c r="AG1" s="126" t="s">
        <v>31</v>
      </c>
      <c r="AH1" s="126" t="s">
        <v>32</v>
      </c>
      <c r="AI1" s="126" t="s">
        <v>33</v>
      </c>
      <c r="AJ1" s="127" t="s">
        <v>34</v>
      </c>
      <c r="AK1" s="126" t="s">
        <v>35</v>
      </c>
      <c r="AL1" s="126" t="s">
        <v>36</v>
      </c>
      <c r="AM1" s="126" t="s">
        <v>37</v>
      </c>
      <c r="AN1" s="126" t="s">
        <v>38</v>
      </c>
      <c r="AO1" s="126" t="s">
        <v>39</v>
      </c>
      <c r="AP1" s="127" t="s">
        <v>40</v>
      </c>
    </row>
    <row r="2" spans="1:42" s="127" customFormat="1" ht="12.75" customHeight="1">
      <c r="A2" s="131">
        <f>COUNTA(B:B)+1</f>
        <v>266</v>
      </c>
      <c r="C2" s="127" t="s">
        <v>41</v>
      </c>
      <c r="D2" s="127" t="s">
        <v>42</v>
      </c>
      <c r="E2" s="127" t="s">
        <v>43</v>
      </c>
      <c r="F2" s="127" t="s">
        <v>44</v>
      </c>
      <c r="G2" s="127" t="s">
        <v>45</v>
      </c>
      <c r="H2" s="127" t="s">
        <v>46</v>
      </c>
      <c r="I2" s="127" t="s">
        <v>47</v>
      </c>
      <c r="J2" s="127" t="s">
        <v>48</v>
      </c>
      <c r="K2" s="127" t="s">
        <v>49</v>
      </c>
      <c r="L2" s="127" t="s">
        <v>50</v>
      </c>
      <c r="M2" s="127" t="s">
        <v>51</v>
      </c>
      <c r="N2" s="127" t="s">
        <v>52</v>
      </c>
      <c r="O2" s="127" t="s">
        <v>53</v>
      </c>
      <c r="P2" s="127" t="s">
        <v>54</v>
      </c>
      <c r="Q2" s="127" t="s">
        <v>55</v>
      </c>
      <c r="R2" s="127" t="s">
        <v>56</v>
      </c>
      <c r="S2" s="127" t="s">
        <v>57</v>
      </c>
      <c r="T2" s="127" t="s">
        <v>58</v>
      </c>
      <c r="U2" s="127" t="s">
        <v>59</v>
      </c>
      <c r="V2" s="127" t="s">
        <v>60</v>
      </c>
      <c r="W2" s="127" t="s">
        <v>61</v>
      </c>
      <c r="X2" s="127" t="s">
        <v>62</v>
      </c>
      <c r="Y2" s="127" t="s">
        <v>63</v>
      </c>
      <c r="Z2" s="127" t="s">
        <v>64</v>
      </c>
      <c r="AA2" s="127" t="s">
        <v>65</v>
      </c>
      <c r="AB2" s="127" t="s">
        <v>66</v>
      </c>
      <c r="AC2" s="127" t="s">
        <v>67</v>
      </c>
      <c r="AD2" s="127" t="s">
        <v>68</v>
      </c>
      <c r="AE2" s="127" t="s">
        <v>69</v>
      </c>
      <c r="AF2" s="127" t="s">
        <v>70</v>
      </c>
      <c r="AG2" s="127" t="s">
        <v>71</v>
      </c>
      <c r="AH2" s="127" t="s">
        <v>72</v>
      </c>
      <c r="AI2" s="127" t="s">
        <v>73</v>
      </c>
      <c r="AJ2" s="127" t="s">
        <v>74</v>
      </c>
      <c r="AK2" s="127" t="s">
        <v>75</v>
      </c>
      <c r="AL2" s="127" t="s">
        <v>76</v>
      </c>
      <c r="AM2" s="127" t="s">
        <v>77</v>
      </c>
      <c r="AN2" s="127" t="s">
        <v>78</v>
      </c>
      <c r="AO2" s="127" t="s">
        <v>79</v>
      </c>
      <c r="AP2" s="127" t="s">
        <v>80</v>
      </c>
    </row>
    <row r="3" spans="1:42">
      <c r="A3" s="130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32" t="str">
        <f t="shared" ref="J3" si="0">H3</f>
        <v>[武器]古纹剑lv1</v>
      </c>
      <c r="K3" s="132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3" t="str">
        <f>VLOOKUP(LEFT(RIGHT(B3,5),4),物品!B:CU,20,FALSE)</f>
        <v>ReplaceableTextures\\CommandButtons\\BTNZ01.blp</v>
      </c>
      <c r="N3" s="151" t="s">
        <v>83</v>
      </c>
      <c r="O3" s="152" t="s">
        <v>84</v>
      </c>
      <c r="P3" s="27">
        <v>0</v>
      </c>
      <c r="Q3" s="27">
        <v>0</v>
      </c>
      <c r="R3" s="151" t="s">
        <v>83</v>
      </c>
      <c r="S3" s="151" t="s">
        <v>83</v>
      </c>
      <c r="T3" s="151" t="s">
        <v>83</v>
      </c>
      <c r="U3" s="151" t="s">
        <v>83</v>
      </c>
      <c r="V3" s="27">
        <v>1</v>
      </c>
      <c r="W3" s="27" t="s">
        <v>85</v>
      </c>
      <c r="X3" s="27">
        <v>0</v>
      </c>
      <c r="Y3" s="151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51" t="s">
        <v>83</v>
      </c>
      <c r="AF3" s="151" t="s">
        <v>83</v>
      </c>
      <c r="AG3" s="151" t="s">
        <v>83</v>
      </c>
      <c r="AH3" s="151" t="s">
        <v>83</v>
      </c>
      <c r="AI3" s="27"/>
      <c r="AJ3" s="27"/>
      <c r="AK3" s="27">
        <v>0</v>
      </c>
      <c r="AL3" s="27">
        <v>0</v>
      </c>
      <c r="AM3" s="151" t="s">
        <v>83</v>
      </c>
      <c r="AN3" s="27"/>
      <c r="AO3" s="27"/>
      <c r="AP3" s="27">
        <v>1</v>
      </c>
    </row>
    <row r="4" spans="1:42">
      <c r="A4" s="130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32" t="str">
        <f t="shared" ref="J4:J7" si="2">H4</f>
        <v>[武器]古纹剑lv2</v>
      </c>
      <c r="K4" s="132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3" t="str">
        <f>VLOOKUP(LEFT(RIGHT(B4,5),4),物品!B:CU,20,FALSE)</f>
        <v>ReplaceableTextures\\CommandButtons\\BTNZ01.blp</v>
      </c>
      <c r="N4" s="151" t="s">
        <v>83</v>
      </c>
      <c r="O4" s="152" t="s">
        <v>84</v>
      </c>
      <c r="P4" s="27">
        <v>0</v>
      </c>
      <c r="Q4" s="27">
        <v>0</v>
      </c>
      <c r="R4" s="151" t="s">
        <v>83</v>
      </c>
      <c r="S4" s="151" t="s">
        <v>83</v>
      </c>
      <c r="T4" s="151" t="s">
        <v>83</v>
      </c>
      <c r="U4" s="151" t="s">
        <v>83</v>
      </c>
      <c r="V4" s="27">
        <v>1</v>
      </c>
      <c r="W4" s="27" t="s">
        <v>85</v>
      </c>
      <c r="X4" s="27">
        <v>0</v>
      </c>
      <c r="Y4" s="151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51" t="s">
        <v>83</v>
      </c>
      <c r="AF4" s="151" t="s">
        <v>83</v>
      </c>
      <c r="AG4" s="151" t="s">
        <v>83</v>
      </c>
      <c r="AH4" s="151" t="s">
        <v>83</v>
      </c>
      <c r="AI4" s="27"/>
      <c r="AJ4" s="27"/>
      <c r="AK4" s="27">
        <v>0</v>
      </c>
      <c r="AL4" s="27">
        <v>0</v>
      </c>
      <c r="AM4" s="151" t="s">
        <v>83</v>
      </c>
      <c r="AN4" s="27"/>
      <c r="AO4" s="27"/>
      <c r="AP4" s="27">
        <v>1</v>
      </c>
    </row>
    <row r="5" spans="1:42">
      <c r="A5" s="130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32" t="str">
        <f t="shared" si="2"/>
        <v>[武器]古纹剑lv3</v>
      </c>
      <c r="K5" s="132" t="str">
        <f t="shared" si="3"/>
        <v>|Cffbbbbbb属性：|r|n攻击+4000|n|n攻击10%概率附加|cffff4646业力*1|r魔法伤害|n|n|Cff00ff7f点击消耗800金币进行强化|n成功率100%</v>
      </c>
      <c r="L5" s="27"/>
      <c r="M5" s="133" t="str">
        <f>VLOOKUP(LEFT(RIGHT(B5,5),4),物品!B:CU,20,FALSE)</f>
        <v>ReplaceableTextures\\CommandButtons\\BTNZ01.blp</v>
      </c>
      <c r="N5" s="151" t="s">
        <v>83</v>
      </c>
      <c r="O5" s="152" t="s">
        <v>84</v>
      </c>
      <c r="P5" s="27">
        <v>0</v>
      </c>
      <c r="Q5" s="27">
        <v>0</v>
      </c>
      <c r="R5" s="151" t="s">
        <v>83</v>
      </c>
      <c r="S5" s="151" t="s">
        <v>83</v>
      </c>
      <c r="T5" s="151" t="s">
        <v>83</v>
      </c>
      <c r="U5" s="151" t="s">
        <v>83</v>
      </c>
      <c r="V5" s="27">
        <v>1</v>
      </c>
      <c r="W5" s="27" t="s">
        <v>85</v>
      </c>
      <c r="X5" s="27">
        <v>0</v>
      </c>
      <c r="Y5" s="151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51" t="s">
        <v>83</v>
      </c>
      <c r="AF5" s="151" t="s">
        <v>83</v>
      </c>
      <c r="AG5" s="151" t="s">
        <v>83</v>
      </c>
      <c r="AH5" s="151" t="s">
        <v>83</v>
      </c>
      <c r="AI5" s="27"/>
      <c r="AJ5" s="27"/>
      <c r="AK5" s="27">
        <v>0</v>
      </c>
      <c r="AL5" s="27">
        <v>0</v>
      </c>
      <c r="AM5" s="151" t="s">
        <v>83</v>
      </c>
      <c r="AN5" s="27"/>
      <c r="AO5" s="27"/>
      <c r="AP5" s="27">
        <v>1</v>
      </c>
    </row>
    <row r="6" spans="1:42">
      <c r="A6" s="130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32" t="str">
        <f t="shared" si="2"/>
        <v>[武器]古纹剑lv4</v>
      </c>
      <c r="K6" s="132" t="str">
        <f t="shared" si="3"/>
        <v>|Cffbbbbbb属性：|r|n攻击+6000|n|n攻击10%概率附加|cffff4646业力*1|r魔法伤害|n|n|Cff00ff7f点击消耗800金币进行强化|n成功率100%</v>
      </c>
      <c r="L6" s="27"/>
      <c r="M6" s="133" t="str">
        <f>VLOOKUP(LEFT(RIGHT(B6,5),4),物品!B:CU,20,FALSE)</f>
        <v>ReplaceableTextures\\CommandButtons\\BTNZ01.blp</v>
      </c>
      <c r="N6" s="151" t="s">
        <v>83</v>
      </c>
      <c r="O6" s="152" t="s">
        <v>84</v>
      </c>
      <c r="P6" s="27">
        <v>0</v>
      </c>
      <c r="Q6" s="27">
        <v>0</v>
      </c>
      <c r="R6" s="151" t="s">
        <v>83</v>
      </c>
      <c r="S6" s="151" t="s">
        <v>83</v>
      </c>
      <c r="T6" s="151" t="s">
        <v>83</v>
      </c>
      <c r="U6" s="151" t="s">
        <v>83</v>
      </c>
      <c r="V6" s="27">
        <v>1</v>
      </c>
      <c r="W6" s="27" t="s">
        <v>85</v>
      </c>
      <c r="X6" s="27">
        <v>0</v>
      </c>
      <c r="Y6" s="151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51" t="s">
        <v>83</v>
      </c>
      <c r="AF6" s="151" t="s">
        <v>83</v>
      </c>
      <c r="AG6" s="151" t="s">
        <v>83</v>
      </c>
      <c r="AH6" s="151" t="s">
        <v>83</v>
      </c>
      <c r="AI6" s="27"/>
      <c r="AJ6" s="27"/>
      <c r="AK6" s="27">
        <v>0</v>
      </c>
      <c r="AL6" s="27">
        <v>0</v>
      </c>
      <c r="AM6" s="151" t="s">
        <v>83</v>
      </c>
      <c r="AN6" s="27"/>
      <c r="AO6" s="27"/>
      <c r="AP6" s="27">
        <v>1</v>
      </c>
    </row>
    <row r="7" spans="1:42">
      <c r="A7" s="130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32" t="str">
        <f t="shared" si="2"/>
        <v>[武器]古纹剑lv5</v>
      </c>
      <c r="K7" s="132" t="str">
        <f t="shared" si="3"/>
        <v>|Cffbbbbbb属性：|r|n攻击+8000|n|n攻击10%概率附加|cffff4646业力*1|r魔法伤害|n|n|Cff00ff7f点击消耗2500金币进行晋阶挑战</v>
      </c>
      <c r="L7" s="27"/>
      <c r="M7" s="133" t="str">
        <f>VLOOKUP(LEFT(RIGHT(B7,5),4),物品!B:CU,20,FALSE)</f>
        <v>ReplaceableTextures\\CommandButtons\\BTNZ01.blp</v>
      </c>
      <c r="N7" s="151" t="s">
        <v>83</v>
      </c>
      <c r="O7" s="152" t="s">
        <v>84</v>
      </c>
      <c r="P7" s="27">
        <v>0</v>
      </c>
      <c r="Q7" s="27">
        <v>0</v>
      </c>
      <c r="R7" s="151" t="s">
        <v>83</v>
      </c>
      <c r="S7" s="151" t="s">
        <v>83</v>
      </c>
      <c r="T7" s="151" t="s">
        <v>83</v>
      </c>
      <c r="U7" s="151" t="s">
        <v>83</v>
      </c>
      <c r="V7" s="27">
        <v>1</v>
      </c>
      <c r="W7" s="27" t="s">
        <v>85</v>
      </c>
      <c r="X7" s="27">
        <v>0</v>
      </c>
      <c r="Y7" s="151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51" t="s">
        <v>83</v>
      </c>
      <c r="AF7" s="151" t="s">
        <v>83</v>
      </c>
      <c r="AG7" s="151" t="s">
        <v>83</v>
      </c>
      <c r="AH7" s="151" t="s">
        <v>83</v>
      </c>
      <c r="AI7" s="27"/>
      <c r="AJ7" s="27"/>
      <c r="AK7" s="27">
        <v>0</v>
      </c>
      <c r="AL7" s="27">
        <v>0</v>
      </c>
      <c r="AM7" s="151" t="s">
        <v>83</v>
      </c>
      <c r="AN7" s="27"/>
      <c r="AO7" s="27"/>
      <c r="AP7" s="27">
        <v>1</v>
      </c>
    </row>
    <row r="8" spans="1:42">
      <c r="A8" s="130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|Cffbbbbbb属性：|r|n攻击+12000|n暴击+5%|n暴伤+100%|n伤害吸取+1%|n|n攻击10%概率附加|cffff4646业力*1|r魔法伤害|n|n|Cff00ff7f点击消耗2500金币进行强化|n成功率85%</v>
      </c>
      <c r="J8" s="132" t="str">
        <f t="shared" ref="J8:J18" si="4">H8</f>
        <v>|Cff00FF7F[武器]鱼肠剑lv1|r</v>
      </c>
      <c r="K8" s="132" t="str">
        <f t="shared" ref="K8:K18" si="5">I8</f>
        <v>|Cffbbbbbb属性：|r|n攻击+12000|n暴击+5%|n暴伤+100%|n伤害吸取+1%|n|n攻击10%概率附加|cffff4646业力*1|r魔法伤害|n|n|Cff00ff7f点击消耗2500金币进行强化|n成功率85%</v>
      </c>
      <c r="L8" s="27"/>
      <c r="M8" s="133" t="str">
        <f>VLOOKUP(LEFT(RIGHT(B8,5),4),物品!B:CU,20,FALSE)</f>
        <v>ReplaceableTextures\\CommandButtons\\BTNZ02.blp</v>
      </c>
      <c r="N8" s="151" t="s">
        <v>83</v>
      </c>
      <c r="O8" s="152" t="s">
        <v>84</v>
      </c>
      <c r="P8" s="27">
        <v>0</v>
      </c>
      <c r="Q8" s="27">
        <v>0</v>
      </c>
      <c r="R8" s="151" t="s">
        <v>83</v>
      </c>
      <c r="S8" s="151" t="s">
        <v>83</v>
      </c>
      <c r="T8" s="151" t="s">
        <v>83</v>
      </c>
      <c r="U8" s="151" t="s">
        <v>83</v>
      </c>
      <c r="V8" s="27">
        <v>1</v>
      </c>
      <c r="W8" s="27" t="s">
        <v>85</v>
      </c>
      <c r="X8" s="27">
        <v>0</v>
      </c>
      <c r="Y8" s="151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51" t="s">
        <v>83</v>
      </c>
      <c r="AF8" s="151" t="s">
        <v>83</v>
      </c>
      <c r="AG8" s="151" t="s">
        <v>83</v>
      </c>
      <c r="AH8" s="151" t="s">
        <v>83</v>
      </c>
      <c r="AI8" s="27"/>
      <c r="AJ8" s="27"/>
      <c r="AK8" s="27">
        <v>0</v>
      </c>
      <c r="AL8" s="27">
        <v>0</v>
      </c>
      <c r="AM8" s="151" t="s">
        <v>83</v>
      </c>
      <c r="AN8" s="27"/>
      <c r="AO8" s="27"/>
      <c r="AP8" s="27">
        <v>1</v>
      </c>
    </row>
    <row r="9" spans="1:42">
      <c r="A9" s="130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32" t="str">
        <f t="shared" si="4"/>
        <v>|Cff00FF7F[武器]鱼肠剑lv2|r</v>
      </c>
      <c r="K9" s="132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3" t="str">
        <f>VLOOKUP(LEFT(RIGHT(B9,5),4),物品!B:CU,20,FALSE)</f>
        <v>ReplaceableTextures\\CommandButtons\\BTNZ02.blp</v>
      </c>
      <c r="N9" s="151" t="s">
        <v>83</v>
      </c>
      <c r="O9" s="152" t="s">
        <v>84</v>
      </c>
      <c r="P9" s="27">
        <v>0</v>
      </c>
      <c r="Q9" s="27">
        <v>0</v>
      </c>
      <c r="R9" s="151" t="s">
        <v>83</v>
      </c>
      <c r="S9" s="151" t="s">
        <v>83</v>
      </c>
      <c r="T9" s="151" t="s">
        <v>83</v>
      </c>
      <c r="U9" s="151" t="s">
        <v>83</v>
      </c>
      <c r="V9" s="27">
        <v>1</v>
      </c>
      <c r="W9" s="27" t="s">
        <v>85</v>
      </c>
      <c r="X9" s="27">
        <v>0</v>
      </c>
      <c r="Y9" s="151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51" t="s">
        <v>83</v>
      </c>
      <c r="AF9" s="151" t="s">
        <v>83</v>
      </c>
      <c r="AG9" s="151" t="s">
        <v>83</v>
      </c>
      <c r="AH9" s="151" t="s">
        <v>83</v>
      </c>
      <c r="AI9" s="27"/>
      <c r="AJ9" s="27"/>
      <c r="AK9" s="27">
        <v>0</v>
      </c>
      <c r="AL9" s="27">
        <v>0</v>
      </c>
      <c r="AM9" s="151" t="s">
        <v>83</v>
      </c>
      <c r="AN9" s="27"/>
      <c r="AO9" s="27"/>
      <c r="AP9" s="27">
        <v>1</v>
      </c>
    </row>
    <row r="10" spans="1:42">
      <c r="A10" s="130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32" t="str">
        <f t="shared" si="4"/>
        <v>|Cff00FF7F[武器]鱼肠剑lv3|r</v>
      </c>
      <c r="K10" s="132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3" t="str">
        <f>VLOOKUP(LEFT(RIGHT(B10,5),4),物品!B:CU,20,FALSE)</f>
        <v>ReplaceableTextures\\CommandButtons\\BTNZ02.blp</v>
      </c>
      <c r="N10" s="151" t="s">
        <v>83</v>
      </c>
      <c r="O10" s="152" t="s">
        <v>84</v>
      </c>
      <c r="P10" s="27">
        <v>0</v>
      </c>
      <c r="Q10" s="27">
        <v>0</v>
      </c>
      <c r="R10" s="151" t="s">
        <v>83</v>
      </c>
      <c r="S10" s="151" t="s">
        <v>83</v>
      </c>
      <c r="T10" s="151" t="s">
        <v>83</v>
      </c>
      <c r="U10" s="151" t="s">
        <v>83</v>
      </c>
      <c r="V10" s="27">
        <v>1</v>
      </c>
      <c r="W10" s="27" t="s">
        <v>85</v>
      </c>
      <c r="X10" s="27">
        <v>0</v>
      </c>
      <c r="Y10" s="151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51" t="s">
        <v>83</v>
      </c>
      <c r="AF10" s="151" t="s">
        <v>83</v>
      </c>
      <c r="AG10" s="151" t="s">
        <v>83</v>
      </c>
      <c r="AH10" s="151" t="s">
        <v>83</v>
      </c>
      <c r="AI10" s="27"/>
      <c r="AJ10" s="27"/>
      <c r="AK10" s="27">
        <v>0</v>
      </c>
      <c r="AL10" s="27">
        <v>0</v>
      </c>
      <c r="AM10" s="151" t="s">
        <v>83</v>
      </c>
      <c r="AN10" s="27"/>
      <c r="AO10" s="27"/>
      <c r="AP10" s="27">
        <v>1</v>
      </c>
    </row>
    <row r="11" spans="1:42">
      <c r="A11" s="130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32" t="str">
        <f t="shared" si="4"/>
        <v>|Cff00FF7F[武器]鱼肠剑lv4|r</v>
      </c>
      <c r="K11" s="132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3" t="str">
        <f>VLOOKUP(LEFT(RIGHT(B11,5),4),物品!B:CU,20,FALSE)</f>
        <v>ReplaceableTextures\\CommandButtons\\BTNZ02.blp</v>
      </c>
      <c r="N11" s="151" t="s">
        <v>83</v>
      </c>
      <c r="O11" s="152" t="s">
        <v>84</v>
      </c>
      <c r="P11" s="27">
        <v>0</v>
      </c>
      <c r="Q11" s="27">
        <v>0</v>
      </c>
      <c r="R11" s="151" t="s">
        <v>83</v>
      </c>
      <c r="S11" s="151" t="s">
        <v>83</v>
      </c>
      <c r="T11" s="151" t="s">
        <v>83</v>
      </c>
      <c r="U11" s="151" t="s">
        <v>83</v>
      </c>
      <c r="V11" s="27">
        <v>1</v>
      </c>
      <c r="W11" s="27" t="s">
        <v>85</v>
      </c>
      <c r="X11" s="27">
        <v>0</v>
      </c>
      <c r="Y11" s="151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51" t="s">
        <v>83</v>
      </c>
      <c r="AF11" s="151" t="s">
        <v>83</v>
      </c>
      <c r="AG11" s="151" t="s">
        <v>83</v>
      </c>
      <c r="AH11" s="151" t="s">
        <v>83</v>
      </c>
      <c r="AI11" s="27"/>
      <c r="AJ11" s="27"/>
      <c r="AK11" s="27">
        <v>0</v>
      </c>
      <c r="AL11" s="27">
        <v>0</v>
      </c>
      <c r="AM11" s="151" t="s">
        <v>83</v>
      </c>
      <c r="AN11" s="27"/>
      <c r="AO11" s="27"/>
      <c r="AP11" s="27">
        <v>1</v>
      </c>
    </row>
    <row r="12" spans="1:42">
      <c r="A12" s="130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32" t="str">
        <f t="shared" si="4"/>
        <v>|Cff00FF7F[武器]鱼肠剑lv5|r</v>
      </c>
      <c r="K12" s="132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3" t="str">
        <f>VLOOKUP(LEFT(RIGHT(B12,5),4),物品!B:CU,20,FALSE)</f>
        <v>ReplaceableTextures\\CommandButtons\\BTNZ02.blp</v>
      </c>
      <c r="N12" s="151" t="s">
        <v>83</v>
      </c>
      <c r="O12" s="152" t="s">
        <v>84</v>
      </c>
      <c r="P12" s="27">
        <v>0</v>
      </c>
      <c r="Q12" s="27">
        <v>0</v>
      </c>
      <c r="R12" s="151" t="s">
        <v>83</v>
      </c>
      <c r="S12" s="151" t="s">
        <v>83</v>
      </c>
      <c r="T12" s="151" t="s">
        <v>83</v>
      </c>
      <c r="U12" s="151" t="s">
        <v>83</v>
      </c>
      <c r="V12" s="27">
        <v>1</v>
      </c>
      <c r="W12" s="27" t="s">
        <v>85</v>
      </c>
      <c r="X12" s="27">
        <v>0</v>
      </c>
      <c r="Y12" s="151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51" t="s">
        <v>83</v>
      </c>
      <c r="AF12" s="151" t="s">
        <v>83</v>
      </c>
      <c r="AG12" s="151" t="s">
        <v>83</v>
      </c>
      <c r="AH12" s="151" t="s">
        <v>83</v>
      </c>
      <c r="AI12" s="27"/>
      <c r="AJ12" s="27"/>
      <c r="AK12" s="27">
        <v>0</v>
      </c>
      <c r="AL12" s="27">
        <v>0</v>
      </c>
      <c r="AM12" s="151" t="s">
        <v>83</v>
      </c>
      <c r="AN12" s="27"/>
      <c r="AO12" s="27"/>
      <c r="AP12" s="27">
        <v>1</v>
      </c>
    </row>
    <row r="13" spans="1:42">
      <c r="A13" s="130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|Cffbbbbbb属性：|r|n攻击+60000|n暴击+6%|n暴伤+200%|n伤害吸取+3%|n|n攻击10%概率附加|cffff4646业力*1|r魔法伤害|n|n|Cff00ff7f点击消耗8000金币进行强化|n成功率70%</v>
      </c>
      <c r="J13" s="132" t="str">
        <f t="shared" si="4"/>
        <v>|Cff00BFFF[武器]太阿剑lv1|r</v>
      </c>
      <c r="K13" s="132" t="str">
        <f t="shared" si="5"/>
        <v>|Cffbbbbbb属性：|r|n攻击+60000|n暴击+6%|n暴伤+200%|n伤害吸取+3%|n|n攻击10%概率附加|cffff4646业力*1|r魔法伤害|n|n|Cff00ff7f点击消耗8000金币进行强化|n成功率70%</v>
      </c>
      <c r="L13" s="27"/>
      <c r="M13" s="133" t="str">
        <f>VLOOKUP(LEFT(RIGHT(B13,5),4),物品!B:CU,20,FALSE)</f>
        <v>ReplaceableTextures\\CommandButtons\\BTNZ03.blp</v>
      </c>
      <c r="N13" s="151" t="s">
        <v>83</v>
      </c>
      <c r="O13" s="152" t="s">
        <v>84</v>
      </c>
      <c r="P13" s="27">
        <v>0</v>
      </c>
      <c r="Q13" s="27">
        <v>0</v>
      </c>
      <c r="R13" s="151" t="s">
        <v>83</v>
      </c>
      <c r="S13" s="151" t="s">
        <v>83</v>
      </c>
      <c r="T13" s="151" t="s">
        <v>83</v>
      </c>
      <c r="U13" s="151" t="s">
        <v>83</v>
      </c>
      <c r="V13" s="27">
        <v>1</v>
      </c>
      <c r="W13" s="27" t="s">
        <v>85</v>
      </c>
      <c r="X13" s="27">
        <v>0</v>
      </c>
      <c r="Y13" s="151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51" t="s">
        <v>83</v>
      </c>
      <c r="AF13" s="151" t="s">
        <v>83</v>
      </c>
      <c r="AG13" s="151" t="s">
        <v>83</v>
      </c>
      <c r="AH13" s="151" t="s">
        <v>83</v>
      </c>
      <c r="AI13" s="27"/>
      <c r="AJ13" s="27"/>
      <c r="AK13" s="27">
        <v>0</v>
      </c>
      <c r="AL13" s="27">
        <v>0</v>
      </c>
      <c r="AM13" s="151" t="s">
        <v>83</v>
      </c>
      <c r="AN13" s="27"/>
      <c r="AO13" s="27"/>
      <c r="AP13" s="27">
        <v>1</v>
      </c>
    </row>
    <row r="14" spans="1:42">
      <c r="A14" s="130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32" t="str">
        <f t="shared" si="4"/>
        <v>|Cff00BFFF[武器]太阿剑lv2|r</v>
      </c>
      <c r="K14" s="132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3" t="str">
        <f>VLOOKUP(LEFT(RIGHT(B14,5),4),物品!B:CU,20,FALSE)</f>
        <v>ReplaceableTextures\\CommandButtons\\BTNZ03.blp</v>
      </c>
      <c r="N14" s="151" t="s">
        <v>83</v>
      </c>
      <c r="O14" s="152" t="s">
        <v>84</v>
      </c>
      <c r="P14" s="27">
        <v>0</v>
      </c>
      <c r="Q14" s="27">
        <v>0</v>
      </c>
      <c r="R14" s="151" t="s">
        <v>83</v>
      </c>
      <c r="S14" s="151" t="s">
        <v>83</v>
      </c>
      <c r="T14" s="151" t="s">
        <v>83</v>
      </c>
      <c r="U14" s="151" t="s">
        <v>83</v>
      </c>
      <c r="V14" s="27">
        <v>1</v>
      </c>
      <c r="W14" s="27" t="s">
        <v>85</v>
      </c>
      <c r="X14" s="27">
        <v>0</v>
      </c>
      <c r="Y14" s="151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51" t="s">
        <v>83</v>
      </c>
      <c r="AF14" s="151" t="s">
        <v>83</v>
      </c>
      <c r="AG14" s="151" t="s">
        <v>83</v>
      </c>
      <c r="AH14" s="151" t="s">
        <v>83</v>
      </c>
      <c r="AI14" s="27"/>
      <c r="AJ14" s="27"/>
      <c r="AK14" s="27">
        <v>0</v>
      </c>
      <c r="AL14" s="27">
        <v>0</v>
      </c>
      <c r="AM14" s="151" t="s">
        <v>83</v>
      </c>
      <c r="AN14" s="27"/>
      <c r="AO14" s="27"/>
      <c r="AP14" s="27">
        <v>1</v>
      </c>
    </row>
    <row r="15" spans="1:42">
      <c r="A15" s="130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32" t="str">
        <f t="shared" si="4"/>
        <v>|Cff00BFFF[武器]太阿剑lv3|r</v>
      </c>
      <c r="K15" s="132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3" t="str">
        <f>VLOOKUP(LEFT(RIGHT(B15,5),4),物品!B:CU,20,FALSE)</f>
        <v>ReplaceableTextures\\CommandButtons\\BTNZ03.blp</v>
      </c>
      <c r="N15" s="151" t="s">
        <v>83</v>
      </c>
      <c r="O15" s="152" t="s">
        <v>84</v>
      </c>
      <c r="P15" s="27">
        <v>0</v>
      </c>
      <c r="Q15" s="27">
        <v>0</v>
      </c>
      <c r="R15" s="151" t="s">
        <v>83</v>
      </c>
      <c r="S15" s="151" t="s">
        <v>83</v>
      </c>
      <c r="T15" s="151" t="s">
        <v>83</v>
      </c>
      <c r="U15" s="151" t="s">
        <v>83</v>
      </c>
      <c r="V15" s="27">
        <v>1</v>
      </c>
      <c r="W15" s="27" t="s">
        <v>85</v>
      </c>
      <c r="X15" s="27">
        <v>0</v>
      </c>
      <c r="Y15" s="151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51" t="s">
        <v>83</v>
      </c>
      <c r="AF15" s="151" t="s">
        <v>83</v>
      </c>
      <c r="AG15" s="151" t="s">
        <v>83</v>
      </c>
      <c r="AH15" s="151" t="s">
        <v>83</v>
      </c>
      <c r="AI15" s="27"/>
      <c r="AJ15" s="27"/>
      <c r="AK15" s="27">
        <v>0</v>
      </c>
      <c r="AL15" s="27">
        <v>0</v>
      </c>
      <c r="AM15" s="151" t="s">
        <v>83</v>
      </c>
      <c r="AN15" s="27"/>
      <c r="AO15" s="27"/>
      <c r="AP15" s="27">
        <v>1</v>
      </c>
    </row>
    <row r="16" spans="1:42">
      <c r="A16" s="130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32" t="str">
        <f t="shared" si="4"/>
        <v>|Cff00BFFF[武器]太阿剑lv4|r</v>
      </c>
      <c r="K16" s="132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3" t="str">
        <f>VLOOKUP(LEFT(RIGHT(B16,5),4),物品!B:CU,20,FALSE)</f>
        <v>ReplaceableTextures\\CommandButtons\\BTNZ03.blp</v>
      </c>
      <c r="N16" s="151" t="s">
        <v>83</v>
      </c>
      <c r="O16" s="152" t="s">
        <v>84</v>
      </c>
      <c r="P16" s="27">
        <v>0</v>
      </c>
      <c r="Q16" s="27">
        <v>0</v>
      </c>
      <c r="R16" s="151" t="s">
        <v>83</v>
      </c>
      <c r="S16" s="151" t="s">
        <v>83</v>
      </c>
      <c r="T16" s="151" t="s">
        <v>83</v>
      </c>
      <c r="U16" s="151" t="s">
        <v>83</v>
      </c>
      <c r="V16" s="27">
        <v>1</v>
      </c>
      <c r="W16" s="27" t="s">
        <v>85</v>
      </c>
      <c r="X16" s="27">
        <v>0</v>
      </c>
      <c r="Y16" s="151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51" t="s">
        <v>83</v>
      </c>
      <c r="AF16" s="151" t="s">
        <v>83</v>
      </c>
      <c r="AG16" s="151" t="s">
        <v>83</v>
      </c>
      <c r="AH16" s="151" t="s">
        <v>83</v>
      </c>
      <c r="AI16" s="27"/>
      <c r="AJ16" s="27"/>
      <c r="AK16" s="27">
        <v>0</v>
      </c>
      <c r="AL16" s="27">
        <v>0</v>
      </c>
      <c r="AM16" s="151" t="s">
        <v>83</v>
      </c>
      <c r="AN16" s="27"/>
      <c r="AO16" s="27"/>
      <c r="AP16" s="27">
        <v>1</v>
      </c>
    </row>
    <row r="17" spans="1:42">
      <c r="A17" s="130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32" t="str">
        <f t="shared" si="4"/>
        <v>|Cff00BFFF[武器]太阿剑lv5|r</v>
      </c>
      <c r="K17" s="132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3" t="str">
        <f>VLOOKUP(LEFT(RIGHT(B17,5),4),物品!B:CU,20,FALSE)</f>
        <v>ReplaceableTextures\\CommandButtons\\BTNZ03.blp</v>
      </c>
      <c r="N17" s="151" t="s">
        <v>83</v>
      </c>
      <c r="O17" s="152" t="s">
        <v>84</v>
      </c>
      <c r="P17" s="27">
        <v>0</v>
      </c>
      <c r="Q17" s="27">
        <v>0</v>
      </c>
      <c r="R17" s="151" t="s">
        <v>83</v>
      </c>
      <c r="S17" s="151" t="s">
        <v>83</v>
      </c>
      <c r="T17" s="151" t="s">
        <v>83</v>
      </c>
      <c r="U17" s="151" t="s">
        <v>83</v>
      </c>
      <c r="V17" s="27">
        <v>1</v>
      </c>
      <c r="W17" s="27" t="s">
        <v>85</v>
      </c>
      <c r="X17" s="27">
        <v>0</v>
      </c>
      <c r="Y17" s="151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51" t="s">
        <v>83</v>
      </c>
      <c r="AF17" s="151" t="s">
        <v>83</v>
      </c>
      <c r="AG17" s="151" t="s">
        <v>83</v>
      </c>
      <c r="AH17" s="151" t="s">
        <v>83</v>
      </c>
      <c r="AI17" s="27"/>
      <c r="AJ17" s="27"/>
      <c r="AK17" s="27">
        <v>0</v>
      </c>
      <c r="AL17" s="27">
        <v>0</v>
      </c>
      <c r="AM17" s="151" t="s">
        <v>83</v>
      </c>
      <c r="AN17" s="27"/>
      <c r="AO17" s="27"/>
      <c r="AP17" s="27">
        <v>1</v>
      </c>
    </row>
    <row r="18" spans="1:42">
      <c r="A18" s="130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|Cffbbbbbb属性：|r|n攻击+300000|n暴击+7%|n暴伤+300%|n伤害吸取+4%|n|n攻击10%概率附加|cffff4646业力*1|r魔法伤害|n|n|Cff00ff7f点击消耗20000金币进行强化|n成功率60%</v>
      </c>
      <c r="J18" s="132" t="str">
        <f t="shared" si="4"/>
        <v>|CffFFC926[武器]轩辕剑lv1|r</v>
      </c>
      <c r="K18" s="132" t="str">
        <f t="shared" si="5"/>
        <v>|Cffbbbbbb属性：|r|n攻击+300000|n暴击+7%|n暴伤+300%|n伤害吸取+4%|n|n攻击10%概率附加|cffff4646业力*1|r魔法伤害|n|n|Cff00ff7f点击消耗20000金币进行强化|n成功率60%</v>
      </c>
      <c r="L18" s="27"/>
      <c r="M18" s="133" t="str">
        <f>VLOOKUP(LEFT(RIGHT(B18,5),4),物品!B:CU,20,FALSE)</f>
        <v>ReplaceableTextures\\CommandButtons\\BTNZ04.blp</v>
      </c>
      <c r="N18" s="151" t="s">
        <v>83</v>
      </c>
      <c r="O18" s="152" t="s">
        <v>84</v>
      </c>
      <c r="P18" s="27">
        <v>0</v>
      </c>
      <c r="Q18" s="27">
        <v>0</v>
      </c>
      <c r="R18" s="151" t="s">
        <v>83</v>
      </c>
      <c r="S18" s="151" t="s">
        <v>83</v>
      </c>
      <c r="T18" s="151" t="s">
        <v>83</v>
      </c>
      <c r="U18" s="151" t="s">
        <v>83</v>
      </c>
      <c r="V18" s="27">
        <v>1</v>
      </c>
      <c r="W18" s="27" t="s">
        <v>85</v>
      </c>
      <c r="X18" s="27">
        <v>0</v>
      </c>
      <c r="Y18" s="151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51" t="s">
        <v>83</v>
      </c>
      <c r="AF18" s="151" t="s">
        <v>83</v>
      </c>
      <c r="AG18" s="151" t="s">
        <v>83</v>
      </c>
      <c r="AH18" s="151" t="s">
        <v>83</v>
      </c>
      <c r="AI18" s="27"/>
      <c r="AJ18" s="27"/>
      <c r="AK18" s="27">
        <v>0</v>
      </c>
      <c r="AL18" s="27">
        <v>0</v>
      </c>
      <c r="AM18" s="151" t="s">
        <v>83</v>
      </c>
      <c r="AN18" s="27"/>
      <c r="AO18" s="27"/>
      <c r="AP18" s="27">
        <v>1</v>
      </c>
    </row>
    <row r="19" spans="1:42">
      <c r="A19" s="130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32" t="str">
        <f t="shared" ref="J19:J35" si="6">H19</f>
        <v>|CffFFC926[武器]轩辕剑lv2|r</v>
      </c>
      <c r="K19" s="132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3" t="str">
        <f>VLOOKUP(LEFT(RIGHT(B19,5),4),物品!B:CU,20,FALSE)</f>
        <v>ReplaceableTextures\\CommandButtons\\BTNZ04.blp</v>
      </c>
      <c r="N19" s="151" t="s">
        <v>83</v>
      </c>
      <c r="O19" s="152" t="s">
        <v>84</v>
      </c>
      <c r="P19" s="27">
        <v>0</v>
      </c>
      <c r="Q19" s="27">
        <v>0</v>
      </c>
      <c r="R19" s="151" t="s">
        <v>83</v>
      </c>
      <c r="S19" s="151" t="s">
        <v>83</v>
      </c>
      <c r="T19" s="151" t="s">
        <v>83</v>
      </c>
      <c r="U19" s="151" t="s">
        <v>83</v>
      </c>
      <c r="V19" s="27">
        <v>1</v>
      </c>
      <c r="W19" s="27" t="s">
        <v>85</v>
      </c>
      <c r="X19" s="27">
        <v>0</v>
      </c>
      <c r="Y19" s="151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51" t="s">
        <v>83</v>
      </c>
      <c r="AF19" s="151" t="s">
        <v>83</v>
      </c>
      <c r="AG19" s="151" t="s">
        <v>83</v>
      </c>
      <c r="AH19" s="151" t="s">
        <v>83</v>
      </c>
      <c r="AI19" s="27"/>
      <c r="AJ19" s="27"/>
      <c r="AK19" s="27">
        <v>0</v>
      </c>
      <c r="AL19" s="27">
        <v>0</v>
      </c>
      <c r="AM19" s="151" t="s">
        <v>83</v>
      </c>
      <c r="AN19" s="27"/>
      <c r="AO19" s="27"/>
      <c r="AP19" s="27">
        <v>1</v>
      </c>
    </row>
    <row r="20" spans="1:42">
      <c r="A20" s="130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32" t="str">
        <f t="shared" si="6"/>
        <v>|CffFFC926[武器]轩辕剑lv3|r</v>
      </c>
      <c r="K20" s="132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3" t="str">
        <f>VLOOKUP(LEFT(RIGHT(B20,5),4),物品!B:CU,20,FALSE)</f>
        <v>ReplaceableTextures\\CommandButtons\\BTNZ04.blp</v>
      </c>
      <c r="N20" s="151" t="s">
        <v>83</v>
      </c>
      <c r="O20" s="152" t="s">
        <v>84</v>
      </c>
      <c r="P20" s="27">
        <v>0</v>
      </c>
      <c r="Q20" s="27">
        <v>0</v>
      </c>
      <c r="R20" s="151" t="s">
        <v>83</v>
      </c>
      <c r="S20" s="151" t="s">
        <v>83</v>
      </c>
      <c r="T20" s="151" t="s">
        <v>83</v>
      </c>
      <c r="U20" s="151" t="s">
        <v>83</v>
      </c>
      <c r="V20" s="27">
        <v>1</v>
      </c>
      <c r="W20" s="27" t="s">
        <v>85</v>
      </c>
      <c r="X20" s="27">
        <v>0</v>
      </c>
      <c r="Y20" s="151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51" t="s">
        <v>83</v>
      </c>
      <c r="AF20" s="151" t="s">
        <v>83</v>
      </c>
      <c r="AG20" s="151" t="s">
        <v>83</v>
      </c>
      <c r="AH20" s="151" t="s">
        <v>83</v>
      </c>
      <c r="AI20" s="27"/>
      <c r="AJ20" s="27"/>
      <c r="AK20" s="27">
        <v>0</v>
      </c>
      <c r="AL20" s="27">
        <v>0</v>
      </c>
      <c r="AM20" s="151" t="s">
        <v>83</v>
      </c>
      <c r="AN20" s="27"/>
      <c r="AO20" s="27"/>
      <c r="AP20" s="27">
        <v>1</v>
      </c>
    </row>
    <row r="21" spans="1:42">
      <c r="A21" s="130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32" t="str">
        <f t="shared" si="6"/>
        <v>|CffFFC926[武器]轩辕剑lv4|r</v>
      </c>
      <c r="K21" s="132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3" t="str">
        <f>VLOOKUP(LEFT(RIGHT(B21,5),4),物品!B:CU,20,FALSE)</f>
        <v>ReplaceableTextures\\CommandButtons\\BTNZ04.blp</v>
      </c>
      <c r="N21" s="151" t="s">
        <v>83</v>
      </c>
      <c r="O21" s="152" t="s">
        <v>84</v>
      </c>
      <c r="P21" s="27">
        <v>0</v>
      </c>
      <c r="Q21" s="27">
        <v>0</v>
      </c>
      <c r="R21" s="151" t="s">
        <v>83</v>
      </c>
      <c r="S21" s="151" t="s">
        <v>83</v>
      </c>
      <c r="T21" s="151" t="s">
        <v>83</v>
      </c>
      <c r="U21" s="151" t="s">
        <v>83</v>
      </c>
      <c r="V21" s="27">
        <v>1</v>
      </c>
      <c r="W21" s="27" t="s">
        <v>85</v>
      </c>
      <c r="X21" s="27">
        <v>0</v>
      </c>
      <c r="Y21" s="151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51" t="s">
        <v>83</v>
      </c>
      <c r="AF21" s="151" t="s">
        <v>83</v>
      </c>
      <c r="AG21" s="151" t="s">
        <v>83</v>
      </c>
      <c r="AH21" s="151" t="s">
        <v>83</v>
      </c>
      <c r="AI21" s="27"/>
      <c r="AJ21" s="27"/>
      <c r="AK21" s="27">
        <v>0</v>
      </c>
      <c r="AL21" s="27">
        <v>0</v>
      </c>
      <c r="AM21" s="151" t="s">
        <v>83</v>
      </c>
      <c r="AN21" s="27"/>
      <c r="AO21" s="27"/>
      <c r="AP21" s="27">
        <v>1</v>
      </c>
    </row>
    <row r="22" spans="1:42">
      <c r="A22" s="130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32" t="str">
        <f t="shared" si="6"/>
        <v>|CffFFC926[武器]轩辕剑lv5|r</v>
      </c>
      <c r="K22" s="132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3" t="str">
        <f>VLOOKUP(LEFT(RIGHT(B22,5),4),物品!B:CU,20,FALSE)</f>
        <v>ReplaceableTextures\\CommandButtons\\BTNZ04.blp</v>
      </c>
      <c r="N22" s="151" t="s">
        <v>83</v>
      </c>
      <c r="O22" s="152" t="s">
        <v>84</v>
      </c>
      <c r="P22" s="27">
        <v>0</v>
      </c>
      <c r="Q22" s="27">
        <v>0</v>
      </c>
      <c r="R22" s="151" t="s">
        <v>83</v>
      </c>
      <c r="S22" s="151" t="s">
        <v>83</v>
      </c>
      <c r="T22" s="151" t="s">
        <v>83</v>
      </c>
      <c r="U22" s="151" t="s">
        <v>83</v>
      </c>
      <c r="V22" s="27">
        <v>1</v>
      </c>
      <c r="W22" s="27" t="s">
        <v>85</v>
      </c>
      <c r="X22" s="27">
        <v>0</v>
      </c>
      <c r="Y22" s="151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51" t="s">
        <v>83</v>
      </c>
      <c r="AF22" s="151" t="s">
        <v>83</v>
      </c>
      <c r="AG22" s="151" t="s">
        <v>83</v>
      </c>
      <c r="AH22" s="151" t="s">
        <v>83</v>
      </c>
      <c r="AI22" s="27"/>
      <c r="AJ22" s="27"/>
      <c r="AK22" s="27">
        <v>0</v>
      </c>
      <c r="AL22" s="27">
        <v>0</v>
      </c>
      <c r="AM22" s="151" t="s">
        <v>83</v>
      </c>
      <c r="AN22" s="27"/>
      <c r="AO22" s="27"/>
      <c r="AP22" s="27">
        <v>1</v>
      </c>
    </row>
    <row r="23" spans="1:42">
      <c r="A23" s="130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|Cffbbbbbb属性：|r|n攻击+800000|n暴击+8%|n暴伤+400%|n伤害吸取+5%|n|n攻击10%概率附加|cffff4646业力*1|r魔法伤害|n|n|Cff00ff7f点击消耗35000金币进行强化|n成功率50%</v>
      </c>
      <c r="J23" s="132" t="str">
        <f t="shared" si="6"/>
        <v>|CffFF0000[武器]太极八卦剑lv1|r</v>
      </c>
      <c r="K23" s="132" t="str">
        <f t="shared" si="7"/>
        <v>|Cffbbbbbb属性：|r|n攻击+800000|n暴击+8%|n暴伤+400%|n伤害吸取+5%|n|n攻击10%概率附加|cffff4646业力*1|r魔法伤害|n|n|Cff00ff7f点击消耗35000金币进行强化|n成功率50%</v>
      </c>
      <c r="L23" s="27"/>
      <c r="M23" s="133" t="str">
        <f>VLOOKUP(LEFT(RIGHT(B23,5),4),物品!B:CU,20,FALSE)</f>
        <v>ReplaceableTextures\\CommandButtons\\BTNZ05.blp</v>
      </c>
      <c r="N23" s="151" t="s">
        <v>83</v>
      </c>
      <c r="O23" s="152" t="s">
        <v>84</v>
      </c>
      <c r="P23" s="27">
        <v>0</v>
      </c>
      <c r="Q23" s="27">
        <v>0</v>
      </c>
      <c r="R23" s="151" t="s">
        <v>83</v>
      </c>
      <c r="S23" s="151" t="s">
        <v>83</v>
      </c>
      <c r="T23" s="151" t="s">
        <v>83</v>
      </c>
      <c r="U23" s="151" t="s">
        <v>83</v>
      </c>
      <c r="V23" s="27">
        <v>1</v>
      </c>
      <c r="W23" s="27" t="s">
        <v>85</v>
      </c>
      <c r="X23" s="27">
        <v>0</v>
      </c>
      <c r="Y23" s="151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51" t="s">
        <v>83</v>
      </c>
      <c r="AF23" s="151" t="s">
        <v>83</v>
      </c>
      <c r="AG23" s="151" t="s">
        <v>83</v>
      </c>
      <c r="AH23" s="151" t="s">
        <v>83</v>
      </c>
      <c r="AI23" s="27"/>
      <c r="AJ23" s="27"/>
      <c r="AK23" s="27">
        <v>0</v>
      </c>
      <c r="AL23" s="27">
        <v>0</v>
      </c>
      <c r="AM23" s="151" t="s">
        <v>83</v>
      </c>
      <c r="AN23" s="27"/>
      <c r="AO23" s="27"/>
      <c r="AP23" s="27">
        <v>1</v>
      </c>
    </row>
    <row r="24" spans="1:42">
      <c r="A24" s="130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32" t="str">
        <f t="shared" si="6"/>
        <v>|CffFF0000[武器]太极八卦剑lv2|r</v>
      </c>
      <c r="K24" s="132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3" t="str">
        <f>VLOOKUP(LEFT(RIGHT(B24,5),4),物品!B:CU,20,FALSE)</f>
        <v>ReplaceableTextures\\CommandButtons\\BTNZ05.blp</v>
      </c>
      <c r="N24" s="151" t="s">
        <v>83</v>
      </c>
      <c r="O24" s="152" t="s">
        <v>84</v>
      </c>
      <c r="P24" s="27">
        <v>0</v>
      </c>
      <c r="Q24" s="27">
        <v>0</v>
      </c>
      <c r="R24" s="151" t="s">
        <v>83</v>
      </c>
      <c r="S24" s="151" t="s">
        <v>83</v>
      </c>
      <c r="T24" s="151" t="s">
        <v>83</v>
      </c>
      <c r="U24" s="151" t="s">
        <v>83</v>
      </c>
      <c r="V24" s="27">
        <v>1</v>
      </c>
      <c r="W24" s="27" t="s">
        <v>85</v>
      </c>
      <c r="X24" s="27">
        <v>0</v>
      </c>
      <c r="Y24" s="151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51" t="s">
        <v>83</v>
      </c>
      <c r="AF24" s="151" t="s">
        <v>83</v>
      </c>
      <c r="AG24" s="151" t="s">
        <v>83</v>
      </c>
      <c r="AH24" s="151" t="s">
        <v>83</v>
      </c>
      <c r="AI24" s="27"/>
      <c r="AJ24" s="27"/>
      <c r="AK24" s="27">
        <v>0</v>
      </c>
      <c r="AL24" s="27">
        <v>0</v>
      </c>
      <c r="AM24" s="151" t="s">
        <v>83</v>
      </c>
      <c r="AN24" s="27"/>
      <c r="AO24" s="27"/>
      <c r="AP24" s="27">
        <v>1</v>
      </c>
    </row>
    <row r="25" spans="1:42">
      <c r="A25" s="130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32" t="str">
        <f t="shared" si="6"/>
        <v>|CffFF0000[武器]太极八卦剑lv3|r</v>
      </c>
      <c r="K25" s="132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3" t="str">
        <f>VLOOKUP(LEFT(RIGHT(B25,5),4),物品!B:CU,20,FALSE)</f>
        <v>ReplaceableTextures\\CommandButtons\\BTNZ05.blp</v>
      </c>
      <c r="N25" s="151" t="s">
        <v>83</v>
      </c>
      <c r="O25" s="152" t="s">
        <v>84</v>
      </c>
      <c r="P25" s="27">
        <v>0</v>
      </c>
      <c r="Q25" s="27">
        <v>0</v>
      </c>
      <c r="R25" s="151" t="s">
        <v>83</v>
      </c>
      <c r="S25" s="151" t="s">
        <v>83</v>
      </c>
      <c r="T25" s="151" t="s">
        <v>83</v>
      </c>
      <c r="U25" s="151" t="s">
        <v>83</v>
      </c>
      <c r="V25" s="27">
        <v>1</v>
      </c>
      <c r="W25" s="27" t="s">
        <v>85</v>
      </c>
      <c r="X25" s="27">
        <v>0</v>
      </c>
      <c r="Y25" s="151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51" t="s">
        <v>83</v>
      </c>
      <c r="AF25" s="151" t="s">
        <v>83</v>
      </c>
      <c r="AG25" s="151" t="s">
        <v>83</v>
      </c>
      <c r="AH25" s="151" t="s">
        <v>83</v>
      </c>
      <c r="AI25" s="27"/>
      <c r="AJ25" s="27"/>
      <c r="AK25" s="27">
        <v>0</v>
      </c>
      <c r="AL25" s="27">
        <v>0</v>
      </c>
      <c r="AM25" s="151" t="s">
        <v>83</v>
      </c>
      <c r="AN25" s="27"/>
      <c r="AO25" s="27"/>
      <c r="AP25" s="27">
        <v>1</v>
      </c>
    </row>
    <row r="26" spans="1:42">
      <c r="A26" s="130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32" t="str">
        <f t="shared" si="6"/>
        <v>|CffFF0000[武器]太极八卦剑lv4|r</v>
      </c>
      <c r="K26" s="132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3" t="str">
        <f>VLOOKUP(LEFT(RIGHT(B26,5),4),物品!B:CU,20,FALSE)</f>
        <v>ReplaceableTextures\\CommandButtons\\BTNZ05.blp</v>
      </c>
      <c r="N26" s="151" t="s">
        <v>83</v>
      </c>
      <c r="O26" s="152" t="s">
        <v>84</v>
      </c>
      <c r="P26" s="27">
        <v>0</v>
      </c>
      <c r="Q26" s="27">
        <v>0</v>
      </c>
      <c r="R26" s="151" t="s">
        <v>83</v>
      </c>
      <c r="S26" s="151" t="s">
        <v>83</v>
      </c>
      <c r="T26" s="151" t="s">
        <v>83</v>
      </c>
      <c r="U26" s="151" t="s">
        <v>83</v>
      </c>
      <c r="V26" s="27">
        <v>1</v>
      </c>
      <c r="W26" s="27" t="s">
        <v>85</v>
      </c>
      <c r="X26" s="27">
        <v>0</v>
      </c>
      <c r="Y26" s="151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51" t="s">
        <v>83</v>
      </c>
      <c r="AF26" s="151" t="s">
        <v>83</v>
      </c>
      <c r="AG26" s="151" t="s">
        <v>83</v>
      </c>
      <c r="AH26" s="151" t="s">
        <v>83</v>
      </c>
      <c r="AI26" s="27"/>
      <c r="AJ26" s="27"/>
      <c r="AK26" s="27">
        <v>0</v>
      </c>
      <c r="AL26" s="27">
        <v>0</v>
      </c>
      <c r="AM26" s="151" t="s">
        <v>83</v>
      </c>
      <c r="AN26" s="27"/>
      <c r="AO26" s="27"/>
      <c r="AP26" s="27">
        <v>1</v>
      </c>
    </row>
    <row r="27" spans="1:42">
      <c r="A27" s="130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32" t="str">
        <f t="shared" si="6"/>
        <v>|CffFF0000[武器]太极八卦剑lv5|r</v>
      </c>
      <c r="K27" s="132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3" t="str">
        <f>VLOOKUP(LEFT(RIGHT(B27,5),4),物品!B:CU,20,FALSE)</f>
        <v>ReplaceableTextures\\CommandButtons\\BTNZ05.blp</v>
      </c>
      <c r="N27" s="151" t="s">
        <v>83</v>
      </c>
      <c r="O27" s="152" t="s">
        <v>84</v>
      </c>
      <c r="P27" s="27">
        <v>0</v>
      </c>
      <c r="Q27" s="27">
        <v>0</v>
      </c>
      <c r="R27" s="151" t="s">
        <v>83</v>
      </c>
      <c r="S27" s="151" t="s">
        <v>83</v>
      </c>
      <c r="T27" s="151" t="s">
        <v>83</v>
      </c>
      <c r="U27" s="151" t="s">
        <v>83</v>
      </c>
      <c r="V27" s="27">
        <v>1</v>
      </c>
      <c r="W27" s="27" t="s">
        <v>85</v>
      </c>
      <c r="X27" s="27">
        <v>0</v>
      </c>
      <c r="Y27" s="151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51" t="s">
        <v>83</v>
      </c>
      <c r="AF27" s="151" t="s">
        <v>83</v>
      </c>
      <c r="AG27" s="151" t="s">
        <v>83</v>
      </c>
      <c r="AH27" s="151" t="s">
        <v>83</v>
      </c>
      <c r="AI27" s="27"/>
      <c r="AJ27" s="27"/>
      <c r="AK27" s="27">
        <v>0</v>
      </c>
      <c r="AL27" s="27">
        <v>0</v>
      </c>
      <c r="AM27" s="151" t="s">
        <v>83</v>
      </c>
      <c r="AN27" s="27"/>
      <c r="AO27" s="27"/>
      <c r="AP27" s="27"/>
    </row>
    <row r="28" spans="1:42">
      <c r="A28" s="130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32" t="str">
        <f t="shared" si="6"/>
        <v>[饰品]青珑挂珠lv1</v>
      </c>
      <c r="K28" s="132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3" t="str">
        <f>VLOOKUP(LEFT(RIGHT(B28,5),4),物品!B:CU,20,FALSE)</f>
        <v>ReplaceableTextures\\CommandButtons\\BTNZ06.blp</v>
      </c>
      <c r="N28" s="151" t="s">
        <v>83</v>
      </c>
      <c r="O28" s="152" t="s">
        <v>84</v>
      </c>
      <c r="P28" s="27">
        <v>0</v>
      </c>
      <c r="Q28" s="27">
        <v>0</v>
      </c>
      <c r="R28" s="151" t="s">
        <v>83</v>
      </c>
      <c r="S28" s="151" t="s">
        <v>83</v>
      </c>
      <c r="T28" s="151" t="s">
        <v>83</v>
      </c>
      <c r="U28" s="151" t="s">
        <v>83</v>
      </c>
      <c r="V28" s="27">
        <v>2</v>
      </c>
      <c r="W28" s="27" t="s">
        <v>85</v>
      </c>
      <c r="X28" s="27">
        <v>0</v>
      </c>
      <c r="Y28" s="151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51" t="s">
        <v>83</v>
      </c>
      <c r="AF28" s="151" t="s">
        <v>83</v>
      </c>
      <c r="AG28" s="151" t="s">
        <v>83</v>
      </c>
      <c r="AH28" s="151" t="s">
        <v>83</v>
      </c>
      <c r="AI28" s="27"/>
      <c r="AJ28" s="27"/>
      <c r="AK28" s="27">
        <v>0</v>
      </c>
      <c r="AL28" s="27">
        <v>0</v>
      </c>
      <c r="AM28" s="151" t="s">
        <v>83</v>
      </c>
      <c r="AN28" s="27">
        <v>150</v>
      </c>
      <c r="AO28" s="27"/>
      <c r="AP28" s="27"/>
    </row>
    <row r="29" spans="1:42">
      <c r="A29" s="130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32" t="str">
        <f t="shared" si="6"/>
        <v>[饰品]青珑挂珠lv2</v>
      </c>
      <c r="K29" s="132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3" t="str">
        <f>VLOOKUP(LEFT(RIGHT(B29,5),4),物品!B:CU,20,FALSE)</f>
        <v>ReplaceableTextures\\CommandButtons\\BTNZ06.blp</v>
      </c>
      <c r="N29" s="151" t="s">
        <v>83</v>
      </c>
      <c r="O29" s="152" t="s">
        <v>84</v>
      </c>
      <c r="P29" s="27">
        <v>0</v>
      </c>
      <c r="Q29" s="27">
        <v>0</v>
      </c>
      <c r="R29" s="151" t="s">
        <v>83</v>
      </c>
      <c r="S29" s="151" t="s">
        <v>83</v>
      </c>
      <c r="T29" s="151" t="s">
        <v>83</v>
      </c>
      <c r="U29" s="151" t="s">
        <v>83</v>
      </c>
      <c r="V29" s="27">
        <v>2</v>
      </c>
      <c r="W29" s="27" t="s">
        <v>85</v>
      </c>
      <c r="X29" s="27">
        <v>0</v>
      </c>
      <c r="Y29" s="151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51" t="s">
        <v>83</v>
      </c>
      <c r="AF29" s="151" t="s">
        <v>83</v>
      </c>
      <c r="AG29" s="151" t="s">
        <v>83</v>
      </c>
      <c r="AH29" s="151" t="s">
        <v>83</v>
      </c>
      <c r="AI29" s="27"/>
      <c r="AJ29" s="27"/>
      <c r="AK29" s="27">
        <v>0</v>
      </c>
      <c r="AL29" s="27">
        <v>0</v>
      </c>
      <c r="AM29" s="151" t="s">
        <v>83</v>
      </c>
      <c r="AN29" s="27">
        <v>150</v>
      </c>
      <c r="AO29" s="27"/>
      <c r="AP29" s="27"/>
    </row>
    <row r="30" spans="1:42">
      <c r="A30" s="130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32" t="str">
        <f t="shared" si="6"/>
        <v>[饰品]青珑挂珠lv3</v>
      </c>
      <c r="K30" s="132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3" t="str">
        <f>VLOOKUP(LEFT(RIGHT(B30,5),4),物品!B:CU,20,FALSE)</f>
        <v>ReplaceableTextures\\CommandButtons\\BTNZ06.blp</v>
      </c>
      <c r="N30" s="151" t="s">
        <v>83</v>
      </c>
      <c r="O30" s="152" t="s">
        <v>84</v>
      </c>
      <c r="P30" s="27">
        <v>0</v>
      </c>
      <c r="Q30" s="27">
        <v>0</v>
      </c>
      <c r="R30" s="151" t="s">
        <v>83</v>
      </c>
      <c r="S30" s="151" t="s">
        <v>83</v>
      </c>
      <c r="T30" s="151" t="s">
        <v>83</v>
      </c>
      <c r="U30" s="151" t="s">
        <v>83</v>
      </c>
      <c r="V30" s="27">
        <v>2</v>
      </c>
      <c r="W30" s="27" t="s">
        <v>85</v>
      </c>
      <c r="X30" s="27">
        <v>0</v>
      </c>
      <c r="Y30" s="151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51" t="s">
        <v>83</v>
      </c>
      <c r="AF30" s="151" t="s">
        <v>83</v>
      </c>
      <c r="AG30" s="151" t="s">
        <v>83</v>
      </c>
      <c r="AH30" s="151" t="s">
        <v>83</v>
      </c>
      <c r="AI30" s="27"/>
      <c r="AJ30" s="27"/>
      <c r="AK30" s="27">
        <v>0</v>
      </c>
      <c r="AL30" s="27">
        <v>0</v>
      </c>
      <c r="AM30" s="151" t="s">
        <v>83</v>
      </c>
      <c r="AN30" s="27">
        <v>150</v>
      </c>
      <c r="AO30" s="27"/>
      <c r="AP30" s="27"/>
    </row>
    <row r="31" spans="1:42">
      <c r="A31" s="130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32" t="str">
        <f t="shared" si="6"/>
        <v>[饰品]青珑挂珠lv4</v>
      </c>
      <c r="K31" s="132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3" t="str">
        <f>VLOOKUP(LEFT(RIGHT(B31,5),4),物品!B:CU,20,FALSE)</f>
        <v>ReplaceableTextures\\CommandButtons\\BTNZ06.blp</v>
      </c>
      <c r="N31" s="151" t="s">
        <v>83</v>
      </c>
      <c r="O31" s="152" t="s">
        <v>84</v>
      </c>
      <c r="P31" s="27">
        <v>0</v>
      </c>
      <c r="Q31" s="27">
        <v>0</v>
      </c>
      <c r="R31" s="151" t="s">
        <v>83</v>
      </c>
      <c r="S31" s="151" t="s">
        <v>83</v>
      </c>
      <c r="T31" s="151" t="s">
        <v>83</v>
      </c>
      <c r="U31" s="151" t="s">
        <v>83</v>
      </c>
      <c r="V31" s="27">
        <v>2</v>
      </c>
      <c r="W31" s="27" t="s">
        <v>85</v>
      </c>
      <c r="X31" s="27">
        <v>0</v>
      </c>
      <c r="Y31" s="151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51" t="s">
        <v>83</v>
      </c>
      <c r="AF31" s="151" t="s">
        <v>83</v>
      </c>
      <c r="AG31" s="151" t="s">
        <v>83</v>
      </c>
      <c r="AH31" s="151" t="s">
        <v>83</v>
      </c>
      <c r="AI31" s="27"/>
      <c r="AJ31" s="27"/>
      <c r="AK31" s="27">
        <v>0</v>
      </c>
      <c r="AL31" s="27">
        <v>0</v>
      </c>
      <c r="AM31" s="151" t="s">
        <v>83</v>
      </c>
      <c r="AN31" s="27">
        <v>150</v>
      </c>
      <c r="AO31" s="27"/>
      <c r="AP31" s="27"/>
    </row>
    <row r="32" spans="1:42">
      <c r="A32" s="130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32" t="str">
        <f t="shared" si="6"/>
        <v>[饰品]青珑挂珠lv5</v>
      </c>
      <c r="K32" s="132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3" t="str">
        <f>VLOOKUP(LEFT(RIGHT(B32,5),4),物品!B:CU,20,FALSE)</f>
        <v>ReplaceableTextures\\CommandButtons\\BTNZ06.blp</v>
      </c>
      <c r="N32" s="151" t="s">
        <v>83</v>
      </c>
      <c r="O32" s="152" t="s">
        <v>84</v>
      </c>
      <c r="P32" s="27">
        <v>0</v>
      </c>
      <c r="Q32" s="27">
        <v>0</v>
      </c>
      <c r="R32" s="151" t="s">
        <v>83</v>
      </c>
      <c r="S32" s="151" t="s">
        <v>83</v>
      </c>
      <c r="T32" s="151" t="s">
        <v>83</v>
      </c>
      <c r="U32" s="151" t="s">
        <v>83</v>
      </c>
      <c r="V32" s="27">
        <v>2</v>
      </c>
      <c r="W32" s="27" t="s">
        <v>85</v>
      </c>
      <c r="X32" s="27">
        <v>0</v>
      </c>
      <c r="Y32" s="151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51" t="s">
        <v>83</v>
      </c>
      <c r="AF32" s="151" t="s">
        <v>83</v>
      </c>
      <c r="AG32" s="151" t="s">
        <v>83</v>
      </c>
      <c r="AH32" s="151" t="s">
        <v>83</v>
      </c>
      <c r="AI32" s="27"/>
      <c r="AJ32" s="27"/>
      <c r="AK32" s="27">
        <v>0</v>
      </c>
      <c r="AL32" s="27">
        <v>0</v>
      </c>
      <c r="AM32" s="151" t="s">
        <v>83</v>
      </c>
      <c r="AN32" s="27">
        <v>150</v>
      </c>
      <c r="AO32" s="27"/>
      <c r="AP32" s="27"/>
    </row>
    <row r="33" spans="1:42">
      <c r="A33" s="130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|Cffbbbbbb属性：|r|n攻击+3780|n生命值+12600|n生命回复+252|n攻速+55%|n闪避+6%|n每秒业力+6|n|n攻击6%概率范围|cffff4646业力*15|r魔法伤害|n|n|Cff00ff7f击杀200只怪有50%概率升级|r</v>
      </c>
      <c r="J33" s="132" t="str">
        <f t="shared" si="6"/>
        <v>|Cff00FF7F[饰品]紫晶坠子lv1|r</v>
      </c>
      <c r="K33" s="132" t="str">
        <f t="shared" si="7"/>
        <v>|Cffbbbbbb属性：|r|n攻击+3780|n生命值+12600|n生命回复+252|n攻速+55%|n闪避+6%|n每秒业力+6|n|n攻击6%概率范围|cffff4646业力*15|r魔法伤害|n|n|Cff00ff7f击杀200只怪有50%概率升级|r</v>
      </c>
      <c r="L33" s="27"/>
      <c r="M33" s="133" t="str">
        <f>VLOOKUP(LEFT(RIGHT(B33,5),4),物品!B:CU,20,FALSE)</f>
        <v>ReplaceableTextures\\CommandButtons\\BTNZ07.blp</v>
      </c>
      <c r="N33" s="151" t="s">
        <v>83</v>
      </c>
      <c r="O33" s="152" t="s">
        <v>84</v>
      </c>
      <c r="P33" s="27">
        <v>0</v>
      </c>
      <c r="Q33" s="27">
        <v>0</v>
      </c>
      <c r="R33" s="151" t="s">
        <v>83</v>
      </c>
      <c r="S33" s="151" t="s">
        <v>83</v>
      </c>
      <c r="T33" s="151" t="s">
        <v>83</v>
      </c>
      <c r="U33" s="151" t="s">
        <v>83</v>
      </c>
      <c r="V33" s="27">
        <v>2</v>
      </c>
      <c r="W33" s="27" t="s">
        <v>85</v>
      </c>
      <c r="X33" s="27">
        <v>0</v>
      </c>
      <c r="Y33" s="151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51" t="s">
        <v>83</v>
      </c>
      <c r="AF33" s="151" t="s">
        <v>83</v>
      </c>
      <c r="AG33" s="151" t="s">
        <v>83</v>
      </c>
      <c r="AH33" s="151" t="s">
        <v>83</v>
      </c>
      <c r="AI33" s="27"/>
      <c r="AJ33" s="27"/>
      <c r="AK33" s="27">
        <v>0</v>
      </c>
      <c r="AL33" s="27">
        <v>0</v>
      </c>
      <c r="AM33" s="151" t="s">
        <v>83</v>
      </c>
      <c r="AN33" s="27">
        <v>200</v>
      </c>
      <c r="AO33" s="27"/>
      <c r="AP33" s="27"/>
    </row>
    <row r="34" spans="1:42">
      <c r="A34" s="130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32" t="str">
        <f t="shared" si="6"/>
        <v>|Cff00FF7F[饰品]紫晶坠子lv2|r</v>
      </c>
      <c r="K34" s="132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3" t="str">
        <f>VLOOKUP(LEFT(RIGHT(B34,5),4),物品!B:CU,20,FALSE)</f>
        <v>ReplaceableTextures\\CommandButtons\\BTNZ07.blp</v>
      </c>
      <c r="N34" s="151" t="s">
        <v>83</v>
      </c>
      <c r="O34" s="152" t="s">
        <v>84</v>
      </c>
      <c r="P34" s="27">
        <v>0</v>
      </c>
      <c r="Q34" s="27">
        <v>0</v>
      </c>
      <c r="R34" s="151" t="s">
        <v>83</v>
      </c>
      <c r="S34" s="151" t="s">
        <v>83</v>
      </c>
      <c r="T34" s="151" t="s">
        <v>83</v>
      </c>
      <c r="U34" s="151" t="s">
        <v>83</v>
      </c>
      <c r="V34" s="27">
        <v>2</v>
      </c>
      <c r="W34" s="27" t="s">
        <v>85</v>
      </c>
      <c r="X34" s="27">
        <v>0</v>
      </c>
      <c r="Y34" s="151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51" t="s">
        <v>83</v>
      </c>
      <c r="AF34" s="151" t="s">
        <v>83</v>
      </c>
      <c r="AG34" s="151" t="s">
        <v>83</v>
      </c>
      <c r="AH34" s="151" t="s">
        <v>83</v>
      </c>
      <c r="AI34" s="27"/>
      <c r="AJ34" s="27"/>
      <c r="AK34" s="27">
        <v>0</v>
      </c>
      <c r="AL34" s="27">
        <v>0</v>
      </c>
      <c r="AM34" s="151" t="s">
        <v>83</v>
      </c>
      <c r="AN34" s="27">
        <v>200</v>
      </c>
      <c r="AO34" s="27"/>
      <c r="AP34" s="27"/>
    </row>
    <row r="35" spans="1:42">
      <c r="A35" s="130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32" t="str">
        <f t="shared" si="6"/>
        <v>|Cff00FF7F[饰品]紫晶坠子lv3|r</v>
      </c>
      <c r="K35" s="132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3" t="str">
        <f>VLOOKUP(LEFT(RIGHT(B35,5),4),物品!B:CU,20,FALSE)</f>
        <v>ReplaceableTextures\\CommandButtons\\BTNZ07.blp</v>
      </c>
      <c r="N35" s="151" t="s">
        <v>83</v>
      </c>
      <c r="O35" s="152" t="s">
        <v>84</v>
      </c>
      <c r="P35" s="27">
        <v>0</v>
      </c>
      <c r="Q35" s="27">
        <v>0</v>
      </c>
      <c r="R35" s="151" t="s">
        <v>83</v>
      </c>
      <c r="S35" s="151" t="s">
        <v>83</v>
      </c>
      <c r="T35" s="151" t="s">
        <v>83</v>
      </c>
      <c r="U35" s="151" t="s">
        <v>83</v>
      </c>
      <c r="V35" s="27">
        <v>2</v>
      </c>
      <c r="W35" s="27" t="s">
        <v>85</v>
      </c>
      <c r="X35" s="27">
        <v>0</v>
      </c>
      <c r="Y35" s="151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51" t="s">
        <v>83</v>
      </c>
      <c r="AF35" s="151" t="s">
        <v>83</v>
      </c>
      <c r="AG35" s="151" t="s">
        <v>83</v>
      </c>
      <c r="AH35" s="151" t="s">
        <v>83</v>
      </c>
      <c r="AI35" s="27"/>
      <c r="AJ35" s="27"/>
      <c r="AK35" s="27">
        <v>0</v>
      </c>
      <c r="AL35" s="27">
        <v>0</v>
      </c>
      <c r="AM35" s="151" t="s">
        <v>83</v>
      </c>
      <c r="AN35" s="27">
        <v>200</v>
      </c>
      <c r="AO35" s="27"/>
      <c r="AP35" s="27"/>
    </row>
    <row r="36" spans="1:42">
      <c r="A36" s="130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32" t="str">
        <f t="shared" ref="J36:J53" si="8">H36</f>
        <v>|Cff00FF7F[饰品]紫晶坠子lv4|r</v>
      </c>
      <c r="K36" s="132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3" t="str">
        <f>VLOOKUP(LEFT(RIGHT(B36,5),4),物品!B:CU,20,FALSE)</f>
        <v>ReplaceableTextures\\CommandButtons\\BTNZ07.blp</v>
      </c>
      <c r="N36" s="151" t="s">
        <v>83</v>
      </c>
      <c r="O36" s="152" t="s">
        <v>84</v>
      </c>
      <c r="P36" s="27">
        <v>0</v>
      </c>
      <c r="Q36" s="27">
        <v>0</v>
      </c>
      <c r="R36" s="151" t="s">
        <v>83</v>
      </c>
      <c r="S36" s="151" t="s">
        <v>83</v>
      </c>
      <c r="T36" s="151" t="s">
        <v>83</v>
      </c>
      <c r="U36" s="151" t="s">
        <v>83</v>
      </c>
      <c r="V36" s="27">
        <v>2</v>
      </c>
      <c r="W36" s="27" t="s">
        <v>85</v>
      </c>
      <c r="X36" s="27">
        <v>0</v>
      </c>
      <c r="Y36" s="151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51" t="s">
        <v>83</v>
      </c>
      <c r="AF36" s="151" t="s">
        <v>83</v>
      </c>
      <c r="AG36" s="151" t="s">
        <v>83</v>
      </c>
      <c r="AH36" s="151" t="s">
        <v>83</v>
      </c>
      <c r="AI36" s="27"/>
      <c r="AJ36" s="27"/>
      <c r="AK36" s="27">
        <v>0</v>
      </c>
      <c r="AL36" s="27">
        <v>0</v>
      </c>
      <c r="AM36" s="151" t="s">
        <v>83</v>
      </c>
      <c r="AN36" s="27">
        <v>200</v>
      </c>
      <c r="AO36" s="27"/>
      <c r="AP36" s="27"/>
    </row>
    <row r="37" spans="1:42">
      <c r="A37" s="130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32" t="str">
        <f t="shared" si="8"/>
        <v>|Cff00FF7F[饰品]紫晶坠子lv5|r</v>
      </c>
      <c r="K37" s="132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3" t="str">
        <f>VLOOKUP(LEFT(RIGHT(B37,5),4),物品!B:CU,20,FALSE)</f>
        <v>ReplaceableTextures\\CommandButtons\\BTNZ07.blp</v>
      </c>
      <c r="N37" s="151" t="s">
        <v>83</v>
      </c>
      <c r="O37" s="152" t="s">
        <v>84</v>
      </c>
      <c r="P37" s="27">
        <v>0</v>
      </c>
      <c r="Q37" s="27">
        <v>0</v>
      </c>
      <c r="R37" s="151" t="s">
        <v>83</v>
      </c>
      <c r="S37" s="151" t="s">
        <v>83</v>
      </c>
      <c r="T37" s="151" t="s">
        <v>83</v>
      </c>
      <c r="U37" s="151" t="s">
        <v>83</v>
      </c>
      <c r="V37" s="27">
        <v>2</v>
      </c>
      <c r="W37" s="27" t="s">
        <v>85</v>
      </c>
      <c r="X37" s="27">
        <v>0</v>
      </c>
      <c r="Y37" s="151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51" t="s">
        <v>83</v>
      </c>
      <c r="AF37" s="151" t="s">
        <v>83</v>
      </c>
      <c r="AG37" s="151" t="s">
        <v>83</v>
      </c>
      <c r="AH37" s="151" t="s">
        <v>83</v>
      </c>
      <c r="AI37" s="27"/>
      <c r="AJ37" s="27"/>
      <c r="AK37" s="27">
        <v>0</v>
      </c>
      <c r="AL37" s="27">
        <v>0</v>
      </c>
      <c r="AM37" s="151" t="s">
        <v>83</v>
      </c>
      <c r="AN37" s="27">
        <v>200</v>
      </c>
      <c r="AO37" s="27"/>
      <c r="AP37" s="27"/>
    </row>
    <row r="38" spans="1:42">
      <c r="A38" s="130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|Cffbbbbbb属性：|r|n攻击+27000|n生命值+90000|n生命回复+1800|n攻速+80%|n闪避+9%|n每秒业力+11|n|n攻击6%概率范围|cffff4646业力*15|r魔法伤害|n|n|Cff00ff7f击杀300只怪有50%概率升级|r</v>
      </c>
      <c r="J38" s="132" t="str">
        <f t="shared" si="8"/>
        <v>|Cff00BFFF[饰品]三才项圈lv1|r</v>
      </c>
      <c r="K38" s="132" t="str">
        <f t="shared" si="9"/>
        <v>|Cffbbbbbb属性：|r|n攻击+27000|n生命值+90000|n生命回复+1800|n攻速+80%|n闪避+9%|n每秒业力+11|n|n攻击6%概率范围|cffff4646业力*15|r魔法伤害|n|n|Cff00ff7f击杀300只怪有50%概率升级|r</v>
      </c>
      <c r="L38" s="27"/>
      <c r="M38" s="133" t="str">
        <f>VLOOKUP(LEFT(RIGHT(B38,5),4),物品!B:CU,20,FALSE)</f>
        <v>ReplaceableTextures\\CommandButtons\\BTNZ08.blp</v>
      </c>
      <c r="N38" s="151" t="s">
        <v>83</v>
      </c>
      <c r="O38" s="152" t="s">
        <v>84</v>
      </c>
      <c r="P38" s="27">
        <v>0</v>
      </c>
      <c r="Q38" s="27">
        <v>0</v>
      </c>
      <c r="R38" s="151" t="s">
        <v>83</v>
      </c>
      <c r="S38" s="151" t="s">
        <v>83</v>
      </c>
      <c r="T38" s="151" t="s">
        <v>83</v>
      </c>
      <c r="U38" s="151" t="s">
        <v>83</v>
      </c>
      <c r="V38" s="27">
        <v>2</v>
      </c>
      <c r="W38" s="27" t="s">
        <v>85</v>
      </c>
      <c r="X38" s="27">
        <v>0</v>
      </c>
      <c r="Y38" s="151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51" t="s">
        <v>83</v>
      </c>
      <c r="AF38" s="151" t="s">
        <v>83</v>
      </c>
      <c r="AG38" s="151" t="s">
        <v>83</v>
      </c>
      <c r="AH38" s="151" t="s">
        <v>83</v>
      </c>
      <c r="AI38" s="27"/>
      <c r="AJ38" s="27"/>
      <c r="AK38" s="27">
        <v>0</v>
      </c>
      <c r="AL38" s="27">
        <v>0</v>
      </c>
      <c r="AM38" s="151" t="s">
        <v>83</v>
      </c>
      <c r="AN38" s="27">
        <v>300</v>
      </c>
      <c r="AO38" s="27"/>
      <c r="AP38" s="27"/>
    </row>
    <row r="39" spans="1:42">
      <c r="A39" s="130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32" t="str">
        <f t="shared" si="8"/>
        <v>|Cff00BFFF[饰品]三才项圈lv2|r</v>
      </c>
      <c r="K39" s="132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3" t="str">
        <f>VLOOKUP(LEFT(RIGHT(B39,5),4),物品!B:CU,20,FALSE)</f>
        <v>ReplaceableTextures\\CommandButtons\\BTNZ08.blp</v>
      </c>
      <c r="N39" s="151" t="s">
        <v>83</v>
      </c>
      <c r="O39" s="152" t="s">
        <v>84</v>
      </c>
      <c r="P39" s="27">
        <v>0</v>
      </c>
      <c r="Q39" s="27">
        <v>0</v>
      </c>
      <c r="R39" s="151" t="s">
        <v>83</v>
      </c>
      <c r="S39" s="151" t="s">
        <v>83</v>
      </c>
      <c r="T39" s="151" t="s">
        <v>83</v>
      </c>
      <c r="U39" s="151" t="s">
        <v>83</v>
      </c>
      <c r="V39" s="27">
        <v>2</v>
      </c>
      <c r="W39" s="27" t="s">
        <v>85</v>
      </c>
      <c r="X39" s="27">
        <v>0</v>
      </c>
      <c r="Y39" s="151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51" t="s">
        <v>83</v>
      </c>
      <c r="AF39" s="151" t="s">
        <v>83</v>
      </c>
      <c r="AG39" s="151" t="s">
        <v>83</v>
      </c>
      <c r="AH39" s="151" t="s">
        <v>83</v>
      </c>
      <c r="AI39" s="27"/>
      <c r="AJ39" s="27"/>
      <c r="AK39" s="27">
        <v>0</v>
      </c>
      <c r="AL39" s="27">
        <v>0</v>
      </c>
      <c r="AM39" s="151" t="s">
        <v>83</v>
      </c>
      <c r="AN39" s="27">
        <v>300</v>
      </c>
      <c r="AO39" s="27"/>
      <c r="AP39" s="27"/>
    </row>
    <row r="40" spans="1:42">
      <c r="A40" s="130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32" t="str">
        <f t="shared" si="8"/>
        <v>|Cff00BFFF[饰品]三才项圈lv3|r</v>
      </c>
      <c r="K40" s="132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3" t="str">
        <f>VLOOKUP(LEFT(RIGHT(B40,5),4),物品!B:CU,20,FALSE)</f>
        <v>ReplaceableTextures\\CommandButtons\\BTNZ08.blp</v>
      </c>
      <c r="N40" s="151" t="s">
        <v>83</v>
      </c>
      <c r="O40" s="152" t="s">
        <v>84</v>
      </c>
      <c r="P40" s="27">
        <v>0</v>
      </c>
      <c r="Q40" s="27">
        <v>0</v>
      </c>
      <c r="R40" s="151" t="s">
        <v>83</v>
      </c>
      <c r="S40" s="151" t="s">
        <v>83</v>
      </c>
      <c r="T40" s="151" t="s">
        <v>83</v>
      </c>
      <c r="U40" s="151" t="s">
        <v>83</v>
      </c>
      <c r="V40" s="27">
        <v>2</v>
      </c>
      <c r="W40" s="27" t="s">
        <v>85</v>
      </c>
      <c r="X40" s="27">
        <v>0</v>
      </c>
      <c r="Y40" s="151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51" t="s">
        <v>83</v>
      </c>
      <c r="AF40" s="151" t="s">
        <v>83</v>
      </c>
      <c r="AG40" s="151" t="s">
        <v>83</v>
      </c>
      <c r="AH40" s="151" t="s">
        <v>83</v>
      </c>
      <c r="AI40" s="27"/>
      <c r="AJ40" s="27"/>
      <c r="AK40" s="27">
        <v>0</v>
      </c>
      <c r="AL40" s="27">
        <v>0</v>
      </c>
      <c r="AM40" s="151" t="s">
        <v>83</v>
      </c>
      <c r="AN40" s="27">
        <v>300</v>
      </c>
      <c r="AO40" s="27"/>
      <c r="AP40" s="27"/>
    </row>
    <row r="41" spans="1:42">
      <c r="A41" s="130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32" t="str">
        <f t="shared" si="8"/>
        <v>|Cff00BFFF[饰品]三才项圈lv4|r</v>
      </c>
      <c r="K41" s="132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3" t="str">
        <f>VLOOKUP(LEFT(RIGHT(B41,5),4),物品!B:CU,20,FALSE)</f>
        <v>ReplaceableTextures\\CommandButtons\\BTNZ08.blp</v>
      </c>
      <c r="N41" s="151" t="s">
        <v>83</v>
      </c>
      <c r="O41" s="152" t="s">
        <v>84</v>
      </c>
      <c r="P41" s="27">
        <v>0</v>
      </c>
      <c r="Q41" s="27">
        <v>0</v>
      </c>
      <c r="R41" s="151" t="s">
        <v>83</v>
      </c>
      <c r="S41" s="151" t="s">
        <v>83</v>
      </c>
      <c r="T41" s="151" t="s">
        <v>83</v>
      </c>
      <c r="U41" s="151" t="s">
        <v>83</v>
      </c>
      <c r="V41" s="27">
        <v>2</v>
      </c>
      <c r="W41" s="27" t="s">
        <v>85</v>
      </c>
      <c r="X41" s="27">
        <v>0</v>
      </c>
      <c r="Y41" s="151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51" t="s">
        <v>83</v>
      </c>
      <c r="AF41" s="151" t="s">
        <v>83</v>
      </c>
      <c r="AG41" s="151" t="s">
        <v>83</v>
      </c>
      <c r="AH41" s="151" t="s">
        <v>83</v>
      </c>
      <c r="AI41" s="27"/>
      <c r="AJ41" s="27"/>
      <c r="AK41" s="27">
        <v>0</v>
      </c>
      <c r="AL41" s="27">
        <v>0</v>
      </c>
      <c r="AM41" s="151" t="s">
        <v>83</v>
      </c>
      <c r="AN41" s="27">
        <v>300</v>
      </c>
      <c r="AO41" s="27"/>
      <c r="AP41" s="27"/>
    </row>
    <row r="42" spans="1:42">
      <c r="A42" s="130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32" t="str">
        <f t="shared" si="8"/>
        <v>|Cff00BFFF[饰品]三才项圈lv5|r</v>
      </c>
      <c r="K42" s="132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3" t="str">
        <f>VLOOKUP(LEFT(RIGHT(B42,5),4),物品!B:CU,20,FALSE)</f>
        <v>ReplaceableTextures\\CommandButtons\\BTNZ08.blp</v>
      </c>
      <c r="N42" s="151" t="s">
        <v>83</v>
      </c>
      <c r="O42" s="152" t="s">
        <v>84</v>
      </c>
      <c r="P42" s="27">
        <v>0</v>
      </c>
      <c r="Q42" s="27">
        <v>0</v>
      </c>
      <c r="R42" s="151" t="s">
        <v>83</v>
      </c>
      <c r="S42" s="151" t="s">
        <v>83</v>
      </c>
      <c r="T42" s="151" t="s">
        <v>83</v>
      </c>
      <c r="U42" s="151" t="s">
        <v>83</v>
      </c>
      <c r="V42" s="27">
        <v>2</v>
      </c>
      <c r="W42" s="27" t="s">
        <v>85</v>
      </c>
      <c r="X42" s="27">
        <v>0</v>
      </c>
      <c r="Y42" s="151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51" t="s">
        <v>83</v>
      </c>
      <c r="AF42" s="151" t="s">
        <v>83</v>
      </c>
      <c r="AG42" s="151" t="s">
        <v>83</v>
      </c>
      <c r="AH42" s="151" t="s">
        <v>83</v>
      </c>
      <c r="AI42" s="27"/>
      <c r="AJ42" s="27"/>
      <c r="AK42" s="27">
        <v>0</v>
      </c>
      <c r="AL42" s="27">
        <v>0</v>
      </c>
      <c r="AM42" s="151" t="s">
        <v>83</v>
      </c>
      <c r="AN42" s="27">
        <v>300</v>
      </c>
      <c r="AO42" s="27"/>
      <c r="AP42" s="27"/>
    </row>
    <row r="43" spans="1:42">
      <c r="A43" s="130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|Cffbbbbbb属性：|r|n攻击+81000|n生命值+270000|n生命回复+5400|n攻速+105%|n闪避+12%|n每秒业力+16|n|n攻击6%概率范围|cffff4646业力*15|r魔法伤害|n|n|Cff00ff7f击杀400只怪有50%概率升级|r</v>
      </c>
      <c r="J43" s="132" t="str">
        <f t="shared" si="8"/>
        <v>|CffFFC926[饰品]秘魔灵珠lv1|r</v>
      </c>
      <c r="K43" s="132" t="str">
        <f t="shared" si="9"/>
        <v>|Cffbbbbbb属性：|r|n攻击+81000|n生命值+270000|n生命回复+5400|n攻速+105%|n闪避+12%|n每秒业力+16|n|n攻击6%概率范围|cffff4646业力*15|r魔法伤害|n|n|Cff00ff7f击杀400只怪有50%概率升级|r</v>
      </c>
      <c r="L43" s="27"/>
      <c r="M43" s="133" t="str">
        <f>VLOOKUP(LEFT(RIGHT(B43,5),4),物品!B:CU,20,FALSE)</f>
        <v>ReplaceableTextures\\CommandButtons\\BTNZ09.blp</v>
      </c>
      <c r="N43" s="151" t="s">
        <v>83</v>
      </c>
      <c r="O43" s="152" t="s">
        <v>84</v>
      </c>
      <c r="P43" s="27">
        <v>0</v>
      </c>
      <c r="Q43" s="27">
        <v>0</v>
      </c>
      <c r="R43" s="151" t="s">
        <v>83</v>
      </c>
      <c r="S43" s="151" t="s">
        <v>83</v>
      </c>
      <c r="T43" s="151" t="s">
        <v>83</v>
      </c>
      <c r="U43" s="151" t="s">
        <v>83</v>
      </c>
      <c r="V43" s="27">
        <v>2</v>
      </c>
      <c r="W43" s="27" t="s">
        <v>85</v>
      </c>
      <c r="X43" s="27">
        <v>0</v>
      </c>
      <c r="Y43" s="151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51" t="s">
        <v>83</v>
      </c>
      <c r="AF43" s="151" t="s">
        <v>83</v>
      </c>
      <c r="AG43" s="151" t="s">
        <v>83</v>
      </c>
      <c r="AH43" s="151" t="s">
        <v>83</v>
      </c>
      <c r="AI43" s="27"/>
      <c r="AJ43" s="27"/>
      <c r="AK43" s="27">
        <v>0</v>
      </c>
      <c r="AL43" s="27">
        <v>0</v>
      </c>
      <c r="AM43" s="151" t="s">
        <v>83</v>
      </c>
      <c r="AN43" s="27">
        <v>450</v>
      </c>
      <c r="AO43" s="27"/>
      <c r="AP43" s="27"/>
    </row>
    <row r="44" spans="1:42">
      <c r="A44" s="130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32" t="str">
        <f t="shared" si="8"/>
        <v>|CffFFC926[饰品]秘魔灵珠lv2|r</v>
      </c>
      <c r="K44" s="132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3" t="str">
        <f>VLOOKUP(LEFT(RIGHT(B44,5),4),物品!B:CU,20,FALSE)</f>
        <v>ReplaceableTextures\\CommandButtons\\BTNZ09.blp</v>
      </c>
      <c r="N44" s="151" t="s">
        <v>83</v>
      </c>
      <c r="O44" s="152" t="s">
        <v>84</v>
      </c>
      <c r="P44" s="27">
        <v>0</v>
      </c>
      <c r="Q44" s="27">
        <v>0</v>
      </c>
      <c r="R44" s="151" t="s">
        <v>83</v>
      </c>
      <c r="S44" s="151" t="s">
        <v>83</v>
      </c>
      <c r="T44" s="151" t="s">
        <v>83</v>
      </c>
      <c r="U44" s="151" t="s">
        <v>83</v>
      </c>
      <c r="V44" s="27">
        <v>2</v>
      </c>
      <c r="W44" s="27" t="s">
        <v>85</v>
      </c>
      <c r="X44" s="27">
        <v>0</v>
      </c>
      <c r="Y44" s="151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51" t="s">
        <v>83</v>
      </c>
      <c r="AF44" s="151" t="s">
        <v>83</v>
      </c>
      <c r="AG44" s="151" t="s">
        <v>83</v>
      </c>
      <c r="AH44" s="151" t="s">
        <v>83</v>
      </c>
      <c r="AI44" s="27"/>
      <c r="AJ44" s="27"/>
      <c r="AK44" s="27">
        <v>0</v>
      </c>
      <c r="AL44" s="27">
        <v>0</v>
      </c>
      <c r="AM44" s="151" t="s">
        <v>83</v>
      </c>
      <c r="AN44" s="27">
        <v>450</v>
      </c>
      <c r="AO44" s="27"/>
      <c r="AP44" s="27"/>
    </row>
    <row r="45" spans="1:42">
      <c r="A45" s="130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32" t="str">
        <f t="shared" si="8"/>
        <v>|CffFFC926[饰品]秘魔灵珠lv3|r</v>
      </c>
      <c r="K45" s="132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3" t="str">
        <f>VLOOKUP(LEFT(RIGHT(B45,5),4),物品!B:CU,20,FALSE)</f>
        <v>ReplaceableTextures\\CommandButtons\\BTNZ09.blp</v>
      </c>
      <c r="N45" s="151" t="s">
        <v>83</v>
      </c>
      <c r="O45" s="152" t="s">
        <v>84</v>
      </c>
      <c r="P45" s="27">
        <v>0</v>
      </c>
      <c r="Q45" s="27">
        <v>0</v>
      </c>
      <c r="R45" s="151" t="s">
        <v>83</v>
      </c>
      <c r="S45" s="151" t="s">
        <v>83</v>
      </c>
      <c r="T45" s="151" t="s">
        <v>83</v>
      </c>
      <c r="U45" s="151" t="s">
        <v>83</v>
      </c>
      <c r="V45" s="27">
        <v>2</v>
      </c>
      <c r="W45" s="27" t="s">
        <v>85</v>
      </c>
      <c r="X45" s="27">
        <v>0</v>
      </c>
      <c r="Y45" s="151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51" t="s">
        <v>83</v>
      </c>
      <c r="AF45" s="151" t="s">
        <v>83</v>
      </c>
      <c r="AG45" s="151" t="s">
        <v>83</v>
      </c>
      <c r="AH45" s="151" t="s">
        <v>83</v>
      </c>
      <c r="AI45" s="27"/>
      <c r="AJ45" s="27"/>
      <c r="AK45" s="27">
        <v>0</v>
      </c>
      <c r="AL45" s="27">
        <v>0</v>
      </c>
      <c r="AM45" s="151" t="s">
        <v>83</v>
      </c>
      <c r="AN45" s="27">
        <v>450</v>
      </c>
      <c r="AO45" s="27"/>
      <c r="AP45" s="27"/>
    </row>
    <row r="46" spans="1:42">
      <c r="A46" s="130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32" t="str">
        <f t="shared" si="8"/>
        <v>|CffFFC926[饰品]秘魔灵珠lv4|r</v>
      </c>
      <c r="K46" s="132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3" t="str">
        <f>VLOOKUP(LEFT(RIGHT(B46,5),4),物品!B:CU,20,FALSE)</f>
        <v>ReplaceableTextures\\CommandButtons\\BTNZ09.blp</v>
      </c>
      <c r="N46" s="151" t="s">
        <v>83</v>
      </c>
      <c r="O46" s="152" t="s">
        <v>84</v>
      </c>
      <c r="P46" s="27">
        <v>0</v>
      </c>
      <c r="Q46" s="27">
        <v>0</v>
      </c>
      <c r="R46" s="151" t="s">
        <v>83</v>
      </c>
      <c r="S46" s="151" t="s">
        <v>83</v>
      </c>
      <c r="T46" s="151" t="s">
        <v>83</v>
      </c>
      <c r="U46" s="151" t="s">
        <v>83</v>
      </c>
      <c r="V46" s="27">
        <v>2</v>
      </c>
      <c r="W46" s="27" t="s">
        <v>85</v>
      </c>
      <c r="X46" s="27">
        <v>0</v>
      </c>
      <c r="Y46" s="151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51" t="s">
        <v>83</v>
      </c>
      <c r="AF46" s="151" t="s">
        <v>83</v>
      </c>
      <c r="AG46" s="151" t="s">
        <v>83</v>
      </c>
      <c r="AH46" s="151" t="s">
        <v>83</v>
      </c>
      <c r="AI46" s="27"/>
      <c r="AJ46" s="27"/>
      <c r="AK46" s="27">
        <v>0</v>
      </c>
      <c r="AL46" s="27">
        <v>0</v>
      </c>
      <c r="AM46" s="151" t="s">
        <v>83</v>
      </c>
      <c r="AN46" s="27">
        <v>450</v>
      </c>
      <c r="AO46" s="27"/>
      <c r="AP46" s="27"/>
    </row>
    <row r="47" spans="1:42">
      <c r="A47" s="130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32" t="str">
        <f t="shared" si="8"/>
        <v>|CffFFC926[饰品]秘魔灵珠lv5|r</v>
      </c>
      <c r="K47" s="132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3" t="str">
        <f>VLOOKUP(LEFT(RIGHT(B47,5),4),物品!B:CU,20,FALSE)</f>
        <v>ReplaceableTextures\\CommandButtons\\BTNZ09.blp</v>
      </c>
      <c r="N47" s="151" t="s">
        <v>83</v>
      </c>
      <c r="O47" s="152" t="s">
        <v>84</v>
      </c>
      <c r="P47" s="27">
        <v>0</v>
      </c>
      <c r="Q47" s="27">
        <v>0</v>
      </c>
      <c r="R47" s="151" t="s">
        <v>83</v>
      </c>
      <c r="S47" s="151" t="s">
        <v>83</v>
      </c>
      <c r="T47" s="151" t="s">
        <v>83</v>
      </c>
      <c r="U47" s="151" t="s">
        <v>83</v>
      </c>
      <c r="V47" s="27">
        <v>2</v>
      </c>
      <c r="W47" s="27" t="s">
        <v>85</v>
      </c>
      <c r="X47" s="27">
        <v>0</v>
      </c>
      <c r="Y47" s="151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51" t="s">
        <v>83</v>
      </c>
      <c r="AF47" s="151" t="s">
        <v>83</v>
      </c>
      <c r="AG47" s="151" t="s">
        <v>83</v>
      </c>
      <c r="AH47" s="151" t="s">
        <v>83</v>
      </c>
      <c r="AI47" s="27"/>
      <c r="AJ47" s="27"/>
      <c r="AK47" s="27">
        <v>0</v>
      </c>
      <c r="AL47" s="27">
        <v>0</v>
      </c>
      <c r="AM47" s="151" t="s">
        <v>83</v>
      </c>
      <c r="AN47" s="27">
        <v>450</v>
      </c>
      <c r="AO47" s="27"/>
      <c r="AP47" s="27"/>
    </row>
    <row r="48" spans="1:42">
      <c r="A48" s="130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|Cffbbbbbb属性：|r|n攻击+202500|n生命值+675000|n生命回复+13500|n攻速+130%|n闪避+15%|n每秒业力+21|n|n攻击6%概率范围|cffff4646业力*15|r魔法伤害|n|n|Cff00ff7f击杀500只怪有50%概率升级|r</v>
      </c>
      <c r="J48" s="132" t="str">
        <f t="shared" si="8"/>
        <v>|CffFF0000[饰品]流光绝影lv1|r</v>
      </c>
      <c r="K48" s="132" t="str">
        <f t="shared" si="9"/>
        <v>|Cffbbbbbb属性：|r|n攻击+202500|n生命值+675000|n生命回复+13500|n攻速+130%|n闪避+15%|n每秒业力+21|n|n攻击6%概率范围|cffff4646业力*15|r魔法伤害|n|n|Cff00ff7f击杀500只怪有50%概率升级|r</v>
      </c>
      <c r="L48" s="27"/>
      <c r="M48" s="133" t="str">
        <f>VLOOKUP(LEFT(RIGHT(B48,5),4),物品!B:CU,20,FALSE)</f>
        <v>ReplaceableTextures\\CommandButtons\\BTNZ10.blp</v>
      </c>
      <c r="N48" s="151" t="s">
        <v>83</v>
      </c>
      <c r="O48" s="152" t="s">
        <v>84</v>
      </c>
      <c r="P48" s="27">
        <v>0</v>
      </c>
      <c r="Q48" s="27">
        <v>0</v>
      </c>
      <c r="R48" s="151" t="s">
        <v>83</v>
      </c>
      <c r="S48" s="151" t="s">
        <v>83</v>
      </c>
      <c r="T48" s="151" t="s">
        <v>83</v>
      </c>
      <c r="U48" s="151" t="s">
        <v>83</v>
      </c>
      <c r="V48" s="27">
        <v>2</v>
      </c>
      <c r="W48" s="27" t="s">
        <v>85</v>
      </c>
      <c r="X48" s="27">
        <v>0</v>
      </c>
      <c r="Y48" s="151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51" t="s">
        <v>83</v>
      </c>
      <c r="AF48" s="151" t="s">
        <v>83</v>
      </c>
      <c r="AG48" s="151" t="s">
        <v>83</v>
      </c>
      <c r="AH48" s="151" t="s">
        <v>83</v>
      </c>
      <c r="AI48" s="27"/>
      <c r="AJ48" s="27"/>
      <c r="AK48" s="27">
        <v>0</v>
      </c>
      <c r="AL48" s="27">
        <v>0</v>
      </c>
      <c r="AM48" s="151" t="s">
        <v>83</v>
      </c>
      <c r="AN48" s="27">
        <v>550</v>
      </c>
      <c r="AO48" s="27"/>
      <c r="AP48" s="27"/>
    </row>
    <row r="49" spans="1:42">
      <c r="A49" s="130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32" t="str">
        <f t="shared" si="8"/>
        <v>|CffFF0000[饰品]流光绝影lv2|r</v>
      </c>
      <c r="K49" s="132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3" t="str">
        <f>VLOOKUP(LEFT(RIGHT(B49,5),4),物品!B:CU,20,FALSE)</f>
        <v>ReplaceableTextures\\CommandButtons\\BTNZ10.blp</v>
      </c>
      <c r="N49" s="151" t="s">
        <v>83</v>
      </c>
      <c r="O49" s="152" t="s">
        <v>84</v>
      </c>
      <c r="P49" s="27">
        <v>0</v>
      </c>
      <c r="Q49" s="27">
        <v>0</v>
      </c>
      <c r="R49" s="151" t="s">
        <v>83</v>
      </c>
      <c r="S49" s="151" t="s">
        <v>83</v>
      </c>
      <c r="T49" s="151" t="s">
        <v>83</v>
      </c>
      <c r="U49" s="151" t="s">
        <v>83</v>
      </c>
      <c r="V49" s="27">
        <v>2</v>
      </c>
      <c r="W49" s="27" t="s">
        <v>85</v>
      </c>
      <c r="X49" s="27">
        <v>0</v>
      </c>
      <c r="Y49" s="151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51" t="s">
        <v>83</v>
      </c>
      <c r="AF49" s="151" t="s">
        <v>83</v>
      </c>
      <c r="AG49" s="151" t="s">
        <v>83</v>
      </c>
      <c r="AH49" s="151" t="s">
        <v>83</v>
      </c>
      <c r="AI49" s="27"/>
      <c r="AJ49" s="27"/>
      <c r="AK49" s="27">
        <v>0</v>
      </c>
      <c r="AL49" s="27">
        <v>0</v>
      </c>
      <c r="AM49" s="151" t="s">
        <v>83</v>
      </c>
      <c r="AN49" s="27">
        <v>550</v>
      </c>
      <c r="AO49" s="27"/>
      <c r="AP49" s="27"/>
    </row>
    <row r="50" spans="1:42">
      <c r="A50" s="130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32" t="str">
        <f t="shared" si="8"/>
        <v>|CffFF0000[饰品]流光绝影lv3|r</v>
      </c>
      <c r="K50" s="132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3" t="str">
        <f>VLOOKUP(LEFT(RIGHT(B50,5),4),物品!B:CU,20,FALSE)</f>
        <v>ReplaceableTextures\\CommandButtons\\BTNZ10.blp</v>
      </c>
      <c r="N50" s="151" t="s">
        <v>83</v>
      </c>
      <c r="O50" s="152" t="s">
        <v>84</v>
      </c>
      <c r="P50" s="27">
        <v>0</v>
      </c>
      <c r="Q50" s="27">
        <v>0</v>
      </c>
      <c r="R50" s="151" t="s">
        <v>83</v>
      </c>
      <c r="S50" s="151" t="s">
        <v>83</v>
      </c>
      <c r="T50" s="151" t="s">
        <v>83</v>
      </c>
      <c r="U50" s="151" t="s">
        <v>83</v>
      </c>
      <c r="V50" s="27">
        <v>2</v>
      </c>
      <c r="W50" s="27" t="s">
        <v>85</v>
      </c>
      <c r="X50" s="27">
        <v>0</v>
      </c>
      <c r="Y50" s="151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51" t="s">
        <v>83</v>
      </c>
      <c r="AF50" s="151" t="s">
        <v>83</v>
      </c>
      <c r="AG50" s="151" t="s">
        <v>83</v>
      </c>
      <c r="AH50" s="151" t="s">
        <v>83</v>
      </c>
      <c r="AI50" s="27"/>
      <c r="AJ50" s="27"/>
      <c r="AK50" s="27">
        <v>0</v>
      </c>
      <c r="AL50" s="27">
        <v>0</v>
      </c>
      <c r="AM50" s="151" t="s">
        <v>83</v>
      </c>
      <c r="AN50" s="27">
        <v>550</v>
      </c>
      <c r="AO50" s="27"/>
      <c r="AP50" s="27"/>
    </row>
    <row r="51" spans="1:42">
      <c r="A51" s="130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32" t="str">
        <f t="shared" si="8"/>
        <v>|CffFF0000[饰品]流光绝影lv4|r</v>
      </c>
      <c r="K51" s="132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3" t="str">
        <f>VLOOKUP(LEFT(RIGHT(B51,5),4),物品!B:CU,20,FALSE)</f>
        <v>ReplaceableTextures\\CommandButtons\\BTNZ10.blp</v>
      </c>
      <c r="N51" s="151" t="s">
        <v>83</v>
      </c>
      <c r="O51" s="152" t="s">
        <v>84</v>
      </c>
      <c r="P51" s="27">
        <v>0</v>
      </c>
      <c r="Q51" s="27">
        <v>0</v>
      </c>
      <c r="R51" s="151" t="s">
        <v>83</v>
      </c>
      <c r="S51" s="151" t="s">
        <v>83</v>
      </c>
      <c r="T51" s="151" t="s">
        <v>83</v>
      </c>
      <c r="U51" s="151" t="s">
        <v>83</v>
      </c>
      <c r="V51" s="27">
        <v>2</v>
      </c>
      <c r="W51" s="27" t="s">
        <v>85</v>
      </c>
      <c r="X51" s="27">
        <v>0</v>
      </c>
      <c r="Y51" s="151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51" t="s">
        <v>83</v>
      </c>
      <c r="AF51" s="151" t="s">
        <v>83</v>
      </c>
      <c r="AG51" s="151" t="s">
        <v>83</v>
      </c>
      <c r="AH51" s="151" t="s">
        <v>83</v>
      </c>
      <c r="AI51" s="27"/>
      <c r="AJ51" s="27"/>
      <c r="AK51" s="27">
        <v>0</v>
      </c>
      <c r="AL51" s="27">
        <v>0</v>
      </c>
      <c r="AM51" s="151" t="s">
        <v>83</v>
      </c>
      <c r="AN51" s="27">
        <v>550</v>
      </c>
      <c r="AO51" s="27"/>
      <c r="AP51" s="27"/>
    </row>
    <row r="52" spans="1:42">
      <c r="A52" s="130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32" t="str">
        <f t="shared" si="8"/>
        <v>|CffFF0000[饰品]流光绝影lv5|r</v>
      </c>
      <c r="K52" s="132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3" t="str">
        <f>VLOOKUP(LEFT(RIGHT(B52,5),4),物品!B:CU,20,FALSE)</f>
        <v>ReplaceableTextures\\CommandButtons\\BTNZ10.blp</v>
      </c>
      <c r="N52" s="151" t="s">
        <v>83</v>
      </c>
      <c r="O52" s="152" t="s">
        <v>84</v>
      </c>
      <c r="P52" s="27">
        <v>0</v>
      </c>
      <c r="Q52" s="27">
        <v>0</v>
      </c>
      <c r="R52" s="151" t="s">
        <v>83</v>
      </c>
      <c r="S52" s="151" t="s">
        <v>83</v>
      </c>
      <c r="T52" s="151" t="s">
        <v>83</v>
      </c>
      <c r="U52" s="151" t="s">
        <v>83</v>
      </c>
      <c r="V52" s="27">
        <v>2</v>
      </c>
      <c r="W52" s="27" t="s">
        <v>85</v>
      </c>
      <c r="X52" s="27">
        <v>0</v>
      </c>
      <c r="Y52" s="151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51" t="s">
        <v>83</v>
      </c>
      <c r="AF52" s="151" t="s">
        <v>83</v>
      </c>
      <c r="AG52" s="151" t="s">
        <v>83</v>
      </c>
      <c r="AH52" s="151" t="s">
        <v>83</v>
      </c>
      <c r="AI52" s="27"/>
      <c r="AJ52" s="27"/>
      <c r="AK52" s="27">
        <v>0</v>
      </c>
      <c r="AL52" s="27">
        <v>0</v>
      </c>
      <c r="AM52" s="151" t="s">
        <v>83</v>
      </c>
      <c r="AN52" s="27"/>
      <c r="AO52" s="27"/>
      <c r="AP52" s="27"/>
    </row>
    <row r="53" spans="1:42">
      <c r="A53" s="130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32" t="str">
        <f t="shared" si="8"/>
        <v>[防具]贤者道袍lv1</v>
      </c>
      <c r="K53" s="132" t="str">
        <f t="shared" si="9"/>
        <v>|Cffbbbbbb属性：|r|n护甲+30|n生命值+750|n生命回复+15|n|n|Cff00ff7f点击消耗800金币进行强化|n成功率100%</v>
      </c>
      <c r="L53" s="27"/>
      <c r="M53" s="133" t="str">
        <f>VLOOKUP(LEFT(RIGHT(B53,5),4),物品!B:CU,20,FALSE)</f>
        <v>ReplaceableTextures\\CommandButtons\\BTNZ11.blp</v>
      </c>
      <c r="N53" s="151" t="s">
        <v>83</v>
      </c>
      <c r="O53" s="152" t="s">
        <v>84</v>
      </c>
      <c r="P53" s="27">
        <v>0</v>
      </c>
      <c r="Q53" s="27">
        <v>0</v>
      </c>
      <c r="R53" s="151" t="s">
        <v>83</v>
      </c>
      <c r="S53" s="151" t="s">
        <v>83</v>
      </c>
      <c r="T53" s="151" t="s">
        <v>83</v>
      </c>
      <c r="U53" s="151" t="s">
        <v>83</v>
      </c>
      <c r="V53" s="27">
        <v>3</v>
      </c>
      <c r="W53" s="27" t="s">
        <v>85</v>
      </c>
      <c r="X53" s="27">
        <v>0</v>
      </c>
      <c r="Y53" s="151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51" t="s">
        <v>83</v>
      </c>
      <c r="AF53" s="151" t="s">
        <v>83</v>
      </c>
      <c r="AG53" s="151" t="s">
        <v>83</v>
      </c>
      <c r="AH53" s="151" t="s">
        <v>83</v>
      </c>
      <c r="AI53" s="27"/>
      <c r="AJ53" s="27"/>
      <c r="AK53" s="27">
        <v>0</v>
      </c>
      <c r="AL53" s="27">
        <v>0</v>
      </c>
      <c r="AM53" s="151" t="s">
        <v>83</v>
      </c>
      <c r="AN53" s="27"/>
      <c r="AO53" s="27"/>
      <c r="AP53" s="27">
        <v>1</v>
      </c>
    </row>
    <row r="54" spans="1:42">
      <c r="A54" s="130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32" t="str">
        <f t="shared" ref="J54:J58" si="10">H54</f>
        <v>[防具]贤者道袍lv2</v>
      </c>
      <c r="K54" s="132" t="str">
        <f t="shared" ref="K54:K58" si="11">I54</f>
        <v>|Cffbbbbbb属性：|r|n护甲+60|n生命值+1500|n生命回复+30|n|n|Cff00ff7f点击消耗800金币进行强化|n成功率100%</v>
      </c>
      <c r="L54" s="27"/>
      <c r="M54" s="133" t="str">
        <f>VLOOKUP(LEFT(RIGHT(B54,5),4),物品!B:CU,20,FALSE)</f>
        <v>ReplaceableTextures\\CommandButtons\\BTNZ11.blp</v>
      </c>
      <c r="N54" s="151" t="s">
        <v>83</v>
      </c>
      <c r="O54" s="152" t="s">
        <v>84</v>
      </c>
      <c r="P54" s="27">
        <v>0</v>
      </c>
      <c r="Q54" s="27">
        <v>0</v>
      </c>
      <c r="R54" s="151" t="s">
        <v>83</v>
      </c>
      <c r="S54" s="151" t="s">
        <v>83</v>
      </c>
      <c r="T54" s="151" t="s">
        <v>83</v>
      </c>
      <c r="U54" s="151" t="s">
        <v>83</v>
      </c>
      <c r="V54" s="27">
        <v>3</v>
      </c>
      <c r="W54" s="27" t="s">
        <v>85</v>
      </c>
      <c r="X54" s="27">
        <v>0</v>
      </c>
      <c r="Y54" s="151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51" t="s">
        <v>83</v>
      </c>
      <c r="AF54" s="151" t="s">
        <v>83</v>
      </c>
      <c r="AG54" s="151" t="s">
        <v>83</v>
      </c>
      <c r="AH54" s="151" t="s">
        <v>83</v>
      </c>
      <c r="AI54" s="27"/>
      <c r="AJ54" s="27"/>
      <c r="AK54" s="27">
        <v>0</v>
      </c>
      <c r="AL54" s="27">
        <v>0</v>
      </c>
      <c r="AM54" s="151" t="s">
        <v>83</v>
      </c>
      <c r="AN54" s="27"/>
      <c r="AO54" s="27"/>
      <c r="AP54" s="27">
        <v>1</v>
      </c>
    </row>
    <row r="55" spans="1:42">
      <c r="A55" s="130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32" t="str">
        <f t="shared" si="10"/>
        <v>[防具]贤者道袍lv3</v>
      </c>
      <c r="K55" s="132" t="str">
        <f t="shared" si="11"/>
        <v>|Cffbbbbbb属性：|r|n护甲+90|n生命值+2250|n生命回复+45|n|n|Cff00ff7f点击消耗800金币进行强化|n成功率100%</v>
      </c>
      <c r="L55" s="27"/>
      <c r="M55" s="133" t="str">
        <f>VLOOKUP(LEFT(RIGHT(B55,5),4),物品!B:CU,20,FALSE)</f>
        <v>ReplaceableTextures\\CommandButtons\\BTNZ11.blp</v>
      </c>
      <c r="N55" s="151" t="s">
        <v>83</v>
      </c>
      <c r="O55" s="152" t="s">
        <v>84</v>
      </c>
      <c r="P55" s="27">
        <v>0</v>
      </c>
      <c r="Q55" s="27">
        <v>0</v>
      </c>
      <c r="R55" s="151" t="s">
        <v>83</v>
      </c>
      <c r="S55" s="151" t="s">
        <v>83</v>
      </c>
      <c r="T55" s="151" t="s">
        <v>83</v>
      </c>
      <c r="U55" s="151" t="s">
        <v>83</v>
      </c>
      <c r="V55" s="27">
        <v>3</v>
      </c>
      <c r="W55" s="27" t="s">
        <v>85</v>
      </c>
      <c r="X55" s="27">
        <v>0</v>
      </c>
      <c r="Y55" s="151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51" t="s">
        <v>83</v>
      </c>
      <c r="AF55" s="151" t="s">
        <v>83</v>
      </c>
      <c r="AG55" s="151" t="s">
        <v>83</v>
      </c>
      <c r="AH55" s="151" t="s">
        <v>83</v>
      </c>
      <c r="AI55" s="27"/>
      <c r="AJ55" s="27"/>
      <c r="AK55" s="27">
        <v>0</v>
      </c>
      <c r="AL55" s="27">
        <v>0</v>
      </c>
      <c r="AM55" s="151" t="s">
        <v>83</v>
      </c>
      <c r="AN55" s="27"/>
      <c r="AO55" s="27"/>
      <c r="AP55" s="27">
        <v>1</v>
      </c>
    </row>
    <row r="56" spans="1:42">
      <c r="A56" s="130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32" t="str">
        <f t="shared" si="10"/>
        <v>[防具]贤者道袍lv4</v>
      </c>
      <c r="K56" s="132" t="str">
        <f t="shared" si="11"/>
        <v>|Cffbbbbbb属性：|r|n护甲+120|n生命值+3750|n生命回复+75|n|n|Cff00ff7f点击消耗800金币进行强化|n成功率100%</v>
      </c>
      <c r="L56" s="27"/>
      <c r="M56" s="133" t="str">
        <f>VLOOKUP(LEFT(RIGHT(B56,5),4),物品!B:CU,20,FALSE)</f>
        <v>ReplaceableTextures\\CommandButtons\\BTNZ11.blp</v>
      </c>
      <c r="N56" s="151" t="s">
        <v>83</v>
      </c>
      <c r="O56" s="152" t="s">
        <v>84</v>
      </c>
      <c r="P56" s="27">
        <v>0</v>
      </c>
      <c r="Q56" s="27">
        <v>0</v>
      </c>
      <c r="R56" s="151" t="s">
        <v>83</v>
      </c>
      <c r="S56" s="151" t="s">
        <v>83</v>
      </c>
      <c r="T56" s="151" t="s">
        <v>83</v>
      </c>
      <c r="U56" s="151" t="s">
        <v>83</v>
      </c>
      <c r="V56" s="27">
        <v>3</v>
      </c>
      <c r="W56" s="27" t="s">
        <v>85</v>
      </c>
      <c r="X56" s="27">
        <v>0</v>
      </c>
      <c r="Y56" s="151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51" t="s">
        <v>83</v>
      </c>
      <c r="AF56" s="151" t="s">
        <v>83</v>
      </c>
      <c r="AG56" s="151" t="s">
        <v>83</v>
      </c>
      <c r="AH56" s="151" t="s">
        <v>83</v>
      </c>
      <c r="AI56" s="27"/>
      <c r="AJ56" s="27"/>
      <c r="AK56" s="27">
        <v>0</v>
      </c>
      <c r="AL56" s="27">
        <v>0</v>
      </c>
      <c r="AM56" s="151" t="s">
        <v>83</v>
      </c>
      <c r="AN56" s="27"/>
      <c r="AO56" s="27"/>
      <c r="AP56" s="27">
        <v>1</v>
      </c>
    </row>
    <row r="57" spans="1:42">
      <c r="A57" s="130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32" t="str">
        <f t="shared" si="10"/>
        <v>[防具]贤者道袍lv5</v>
      </c>
      <c r="K57" s="132" t="str">
        <f t="shared" si="11"/>
        <v>|Cffbbbbbb属性：|r|n护甲+150|n生命值+5250|n生命回复+105|n|n|Cff00ff7f点击消耗2500金币进行晋阶挑战</v>
      </c>
      <c r="L57" s="27"/>
      <c r="M57" s="133" t="str">
        <f>VLOOKUP(LEFT(RIGHT(B57,5),4),物品!B:CU,20,FALSE)</f>
        <v>ReplaceableTextures\\CommandButtons\\BTNZ11.blp</v>
      </c>
      <c r="N57" s="151" t="s">
        <v>83</v>
      </c>
      <c r="O57" s="152" t="s">
        <v>84</v>
      </c>
      <c r="P57" s="27">
        <v>0</v>
      </c>
      <c r="Q57" s="27">
        <v>0</v>
      </c>
      <c r="R57" s="151" t="s">
        <v>83</v>
      </c>
      <c r="S57" s="151" t="s">
        <v>83</v>
      </c>
      <c r="T57" s="151" t="s">
        <v>83</v>
      </c>
      <c r="U57" s="151" t="s">
        <v>83</v>
      </c>
      <c r="V57" s="27">
        <v>3</v>
      </c>
      <c r="W57" s="27" t="s">
        <v>85</v>
      </c>
      <c r="X57" s="27">
        <v>0</v>
      </c>
      <c r="Y57" s="151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51" t="s">
        <v>83</v>
      </c>
      <c r="AF57" s="151" t="s">
        <v>83</v>
      </c>
      <c r="AG57" s="151" t="s">
        <v>83</v>
      </c>
      <c r="AH57" s="151" t="s">
        <v>83</v>
      </c>
      <c r="AI57" s="27"/>
      <c r="AJ57" s="27"/>
      <c r="AK57" s="27">
        <v>0</v>
      </c>
      <c r="AL57" s="27">
        <v>0</v>
      </c>
      <c r="AM57" s="151" t="s">
        <v>83</v>
      </c>
      <c r="AN57" s="27"/>
      <c r="AO57" s="27"/>
      <c r="AP57" s="27">
        <v>1</v>
      </c>
    </row>
    <row r="58" spans="1:42">
      <c r="A58" s="130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32" t="str">
        <f t="shared" si="10"/>
        <v>|Cff00FF7F[防具]珊瑚玉衣lv1|r</v>
      </c>
      <c r="K58" s="132" t="str">
        <f t="shared" si="11"/>
        <v>|Cffbbbbbb属性：|r|n护甲+200|n生命值+7500|n生命回复+150|n生命恢复%+1|n|n|Cff00ff7f点击消耗2500金币进行强化|n成功率85%</v>
      </c>
      <c r="L58" s="27"/>
      <c r="M58" s="133" t="str">
        <f>VLOOKUP(LEFT(RIGHT(B58,5),4),物品!B:CU,20,FALSE)</f>
        <v>ReplaceableTextures\\CommandButtons\\BTNZ12.blp</v>
      </c>
      <c r="N58" s="151" t="s">
        <v>83</v>
      </c>
      <c r="O58" s="152" t="s">
        <v>84</v>
      </c>
      <c r="P58" s="27">
        <v>0</v>
      </c>
      <c r="Q58" s="27">
        <v>0</v>
      </c>
      <c r="R58" s="151" t="s">
        <v>83</v>
      </c>
      <c r="S58" s="151" t="s">
        <v>83</v>
      </c>
      <c r="T58" s="151" t="s">
        <v>83</v>
      </c>
      <c r="U58" s="151" t="s">
        <v>83</v>
      </c>
      <c r="V58" s="27">
        <v>3</v>
      </c>
      <c r="W58" s="27" t="s">
        <v>85</v>
      </c>
      <c r="X58" s="27">
        <v>0</v>
      </c>
      <c r="Y58" s="151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51" t="s">
        <v>83</v>
      </c>
      <c r="AF58" s="151" t="s">
        <v>83</v>
      </c>
      <c r="AG58" s="151" t="s">
        <v>83</v>
      </c>
      <c r="AH58" s="151" t="s">
        <v>83</v>
      </c>
      <c r="AI58" s="27"/>
      <c r="AJ58" s="27"/>
      <c r="AK58" s="27">
        <v>0</v>
      </c>
      <c r="AL58" s="27">
        <v>0</v>
      </c>
      <c r="AM58" s="151" t="s">
        <v>83</v>
      </c>
      <c r="AN58" s="27"/>
      <c r="AO58" s="27"/>
      <c r="AP58" s="27">
        <v>1</v>
      </c>
    </row>
    <row r="59" spans="1:42">
      <c r="A59" s="130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32" t="str">
        <f t="shared" ref="J59:J62" si="12">H59</f>
        <v>|Cff00FF7F[防具]珊瑚玉衣lv2|r</v>
      </c>
      <c r="K59" s="132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3" t="str">
        <f>VLOOKUP(LEFT(RIGHT(B59,5),4),物品!B:CU,20,FALSE)</f>
        <v>ReplaceableTextures\\CommandButtons\\BTNZ12.blp</v>
      </c>
      <c r="N59" s="151" t="s">
        <v>83</v>
      </c>
      <c r="O59" s="152" t="s">
        <v>84</v>
      </c>
      <c r="P59" s="27">
        <v>0</v>
      </c>
      <c r="Q59" s="27">
        <v>0</v>
      </c>
      <c r="R59" s="151" t="s">
        <v>83</v>
      </c>
      <c r="S59" s="151" t="s">
        <v>83</v>
      </c>
      <c r="T59" s="151" t="s">
        <v>83</v>
      </c>
      <c r="U59" s="151" t="s">
        <v>83</v>
      </c>
      <c r="V59" s="27">
        <v>3</v>
      </c>
      <c r="W59" s="27" t="s">
        <v>85</v>
      </c>
      <c r="X59" s="27">
        <v>0</v>
      </c>
      <c r="Y59" s="151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51" t="s">
        <v>83</v>
      </c>
      <c r="AF59" s="151" t="s">
        <v>83</v>
      </c>
      <c r="AG59" s="151" t="s">
        <v>83</v>
      </c>
      <c r="AH59" s="151" t="s">
        <v>83</v>
      </c>
      <c r="AI59" s="27"/>
      <c r="AJ59" s="27"/>
      <c r="AK59" s="27">
        <v>0</v>
      </c>
      <c r="AL59" s="27">
        <v>0</v>
      </c>
      <c r="AM59" s="151" t="s">
        <v>83</v>
      </c>
      <c r="AN59" s="27"/>
      <c r="AO59" s="27"/>
      <c r="AP59" s="27">
        <v>1</v>
      </c>
    </row>
    <row r="60" spans="1:42">
      <c r="A60" s="130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32" t="str">
        <f t="shared" si="12"/>
        <v>|Cff00FF7F[防具]珊瑚玉衣lv3|r</v>
      </c>
      <c r="K60" s="132" t="str">
        <f t="shared" si="13"/>
        <v>|Cffbbbbbb属性：|r|n护甲+320|n生命值+16500|n生命回复+330|n生命恢复%+1|n|n|Cff00ff7f点击消耗2500金币进行强化|n成功率85%</v>
      </c>
      <c r="L60" s="27"/>
      <c r="M60" s="133" t="str">
        <f>VLOOKUP(LEFT(RIGHT(B60,5),4),物品!B:CU,20,FALSE)</f>
        <v>ReplaceableTextures\\CommandButtons\\BTNZ12.blp</v>
      </c>
      <c r="N60" s="151" t="s">
        <v>83</v>
      </c>
      <c r="O60" s="152" t="s">
        <v>84</v>
      </c>
      <c r="P60" s="27">
        <v>0</v>
      </c>
      <c r="Q60" s="27">
        <v>0</v>
      </c>
      <c r="R60" s="151" t="s">
        <v>83</v>
      </c>
      <c r="S60" s="151" t="s">
        <v>83</v>
      </c>
      <c r="T60" s="151" t="s">
        <v>83</v>
      </c>
      <c r="U60" s="151" t="s">
        <v>83</v>
      </c>
      <c r="V60" s="27">
        <v>3</v>
      </c>
      <c r="W60" s="27" t="s">
        <v>85</v>
      </c>
      <c r="X60" s="27">
        <v>0</v>
      </c>
      <c r="Y60" s="151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51" t="s">
        <v>83</v>
      </c>
      <c r="AF60" s="151" t="s">
        <v>83</v>
      </c>
      <c r="AG60" s="151" t="s">
        <v>83</v>
      </c>
      <c r="AH60" s="151" t="s">
        <v>83</v>
      </c>
      <c r="AI60" s="27"/>
      <c r="AJ60" s="27"/>
      <c r="AK60" s="27">
        <v>0</v>
      </c>
      <c r="AL60" s="27">
        <v>0</v>
      </c>
      <c r="AM60" s="151" t="s">
        <v>83</v>
      </c>
      <c r="AN60" s="27"/>
      <c r="AO60" s="27"/>
      <c r="AP60" s="27">
        <v>1</v>
      </c>
    </row>
    <row r="61" spans="1:42">
      <c r="A61" s="130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32" t="str">
        <f t="shared" si="12"/>
        <v>|Cff00FF7F[防具]珊瑚玉衣lv4|r</v>
      </c>
      <c r="K61" s="132" t="str">
        <f t="shared" si="13"/>
        <v>|Cffbbbbbb属性：|r|n护甲+380|n生命值+21000|n生命回复+420|n生命恢复%+1|n|n|Cff00ff7f点击消耗2500金币进行强化|n成功率85%</v>
      </c>
      <c r="L61" s="27"/>
      <c r="M61" s="133" t="str">
        <f>VLOOKUP(LEFT(RIGHT(B61,5),4),物品!B:CU,20,FALSE)</f>
        <v>ReplaceableTextures\\CommandButtons\\BTNZ12.blp</v>
      </c>
      <c r="N61" s="151" t="s">
        <v>83</v>
      </c>
      <c r="O61" s="152" t="s">
        <v>84</v>
      </c>
      <c r="P61" s="27">
        <v>0</v>
      </c>
      <c r="Q61" s="27">
        <v>0</v>
      </c>
      <c r="R61" s="151" t="s">
        <v>83</v>
      </c>
      <c r="S61" s="151" t="s">
        <v>83</v>
      </c>
      <c r="T61" s="151" t="s">
        <v>83</v>
      </c>
      <c r="U61" s="151" t="s">
        <v>83</v>
      </c>
      <c r="V61" s="27">
        <v>3</v>
      </c>
      <c r="W61" s="27" t="s">
        <v>85</v>
      </c>
      <c r="X61" s="27">
        <v>0</v>
      </c>
      <c r="Y61" s="151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51" t="s">
        <v>83</v>
      </c>
      <c r="AF61" s="151" t="s">
        <v>83</v>
      </c>
      <c r="AG61" s="151" t="s">
        <v>83</v>
      </c>
      <c r="AH61" s="151" t="s">
        <v>83</v>
      </c>
      <c r="AI61" s="27"/>
      <c r="AJ61" s="27"/>
      <c r="AK61" s="27">
        <v>0</v>
      </c>
      <c r="AL61" s="27">
        <v>0</v>
      </c>
      <c r="AM61" s="151" t="s">
        <v>83</v>
      </c>
      <c r="AN61" s="27"/>
      <c r="AO61" s="27"/>
      <c r="AP61" s="27">
        <v>1</v>
      </c>
    </row>
    <row r="62" spans="1:42">
      <c r="A62" s="130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32" t="str">
        <f t="shared" si="12"/>
        <v>|Cff00FF7F[防具]珊瑚玉衣lv5|r</v>
      </c>
      <c r="K62" s="132" t="str">
        <f t="shared" si="13"/>
        <v>|Cffbbbbbb属性：|r|n护甲+440|n生命值+25500|n生命回复+510|n生命恢复%+1|n|n|Cff00ff7f点击消耗10000金币进行晋阶挑战</v>
      </c>
      <c r="L62" s="27"/>
      <c r="M62" s="133" t="str">
        <f>VLOOKUP(LEFT(RIGHT(B62,5),4),物品!B:CU,20,FALSE)</f>
        <v>ReplaceableTextures\\CommandButtons\\BTNZ12.blp</v>
      </c>
      <c r="N62" s="151" t="s">
        <v>83</v>
      </c>
      <c r="O62" s="152" t="s">
        <v>84</v>
      </c>
      <c r="P62" s="27">
        <v>0</v>
      </c>
      <c r="Q62" s="27">
        <v>0</v>
      </c>
      <c r="R62" s="151" t="s">
        <v>83</v>
      </c>
      <c r="S62" s="151" t="s">
        <v>83</v>
      </c>
      <c r="T62" s="151" t="s">
        <v>83</v>
      </c>
      <c r="U62" s="151" t="s">
        <v>83</v>
      </c>
      <c r="V62" s="27">
        <v>3</v>
      </c>
      <c r="W62" s="27" t="s">
        <v>85</v>
      </c>
      <c r="X62" s="27">
        <v>0</v>
      </c>
      <c r="Y62" s="151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51" t="s">
        <v>83</v>
      </c>
      <c r="AF62" s="151" t="s">
        <v>83</v>
      </c>
      <c r="AG62" s="151" t="s">
        <v>83</v>
      </c>
      <c r="AH62" s="151" t="s">
        <v>83</v>
      </c>
      <c r="AI62" s="27"/>
      <c r="AJ62" s="27"/>
      <c r="AK62" s="27">
        <v>0</v>
      </c>
      <c r="AL62" s="27">
        <v>0</v>
      </c>
      <c r="AM62" s="151" t="s">
        <v>83</v>
      </c>
      <c r="AN62" s="27"/>
      <c r="AO62" s="27"/>
      <c r="AP62" s="27">
        <v>1</v>
      </c>
    </row>
    <row r="63" spans="1:42">
      <c r="A63" s="130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32" t="str">
        <f t="shared" ref="J63:J77" si="14">H63</f>
        <v>|Cff00BFFF[防具]圣谕披风lv1|r</v>
      </c>
      <c r="K63" s="132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3" t="str">
        <f>VLOOKUP(LEFT(RIGHT(B63,5),4),物品!B:CU,20,FALSE)</f>
        <v>ReplaceableTextures\\CommandButtons\\BTNZ13.blp</v>
      </c>
      <c r="N63" s="151" t="s">
        <v>83</v>
      </c>
      <c r="O63" s="152" t="s">
        <v>84</v>
      </c>
      <c r="P63" s="27">
        <v>0</v>
      </c>
      <c r="Q63" s="27">
        <v>0</v>
      </c>
      <c r="R63" s="151" t="s">
        <v>83</v>
      </c>
      <c r="S63" s="151" t="s">
        <v>83</v>
      </c>
      <c r="T63" s="151" t="s">
        <v>83</v>
      </c>
      <c r="U63" s="151" t="s">
        <v>83</v>
      </c>
      <c r="V63" s="27">
        <v>3</v>
      </c>
      <c r="W63" s="27" t="s">
        <v>85</v>
      </c>
      <c r="X63" s="27">
        <v>0</v>
      </c>
      <c r="Y63" s="151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51" t="s">
        <v>83</v>
      </c>
      <c r="AF63" s="151" t="s">
        <v>83</v>
      </c>
      <c r="AG63" s="151" t="s">
        <v>83</v>
      </c>
      <c r="AH63" s="151" t="s">
        <v>83</v>
      </c>
      <c r="AI63" s="27"/>
      <c r="AJ63" s="27"/>
      <c r="AK63" s="27">
        <v>0</v>
      </c>
      <c r="AL63" s="27">
        <v>0</v>
      </c>
      <c r="AM63" s="151" t="s">
        <v>83</v>
      </c>
      <c r="AN63" s="27"/>
      <c r="AO63" s="27"/>
      <c r="AP63" s="27">
        <v>1</v>
      </c>
    </row>
    <row r="64" spans="1:42">
      <c r="A64" s="130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32" t="str">
        <f t="shared" si="14"/>
        <v>|Cff00BFFF[防具]圣谕披风lv2|r</v>
      </c>
      <c r="K64" s="132" t="str">
        <f t="shared" si="15"/>
        <v>|Cffbbbbbb属性：|r|n护甲+580|n生命值+52500|n生命回复+1050|n生命恢复%+1|n|n|Cff00ff7f点击消耗8000金币进行强化|n成功率70%</v>
      </c>
      <c r="L64" s="27"/>
      <c r="M64" s="133" t="str">
        <f>VLOOKUP(LEFT(RIGHT(B64,5),4),物品!B:CU,20,FALSE)</f>
        <v>ReplaceableTextures\\CommandButtons\\BTNZ13.blp</v>
      </c>
      <c r="N64" s="151" t="s">
        <v>83</v>
      </c>
      <c r="O64" s="152" t="s">
        <v>84</v>
      </c>
      <c r="P64" s="27">
        <v>0</v>
      </c>
      <c r="Q64" s="27">
        <v>0</v>
      </c>
      <c r="R64" s="151" t="s">
        <v>83</v>
      </c>
      <c r="S64" s="151" t="s">
        <v>83</v>
      </c>
      <c r="T64" s="151" t="s">
        <v>83</v>
      </c>
      <c r="U64" s="151" t="s">
        <v>83</v>
      </c>
      <c r="V64" s="27">
        <v>3</v>
      </c>
      <c r="W64" s="27" t="s">
        <v>85</v>
      </c>
      <c r="X64" s="27">
        <v>0</v>
      </c>
      <c r="Y64" s="151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51" t="s">
        <v>83</v>
      </c>
      <c r="AF64" s="151" t="s">
        <v>83</v>
      </c>
      <c r="AG64" s="151" t="s">
        <v>83</v>
      </c>
      <c r="AH64" s="151" t="s">
        <v>83</v>
      </c>
      <c r="AI64" s="27"/>
      <c r="AJ64" s="27"/>
      <c r="AK64" s="27">
        <v>0</v>
      </c>
      <c r="AL64" s="27">
        <v>0</v>
      </c>
      <c r="AM64" s="151" t="s">
        <v>83</v>
      </c>
      <c r="AN64" s="27"/>
      <c r="AO64" s="27"/>
      <c r="AP64" s="27">
        <v>1</v>
      </c>
    </row>
    <row r="65" spans="1:42">
      <c r="A65" s="130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32" t="str">
        <f t="shared" si="14"/>
        <v>|Cff00BFFF[防具]圣谕披风lv3|r</v>
      </c>
      <c r="K65" s="132" t="str">
        <f t="shared" si="15"/>
        <v>|Cffbbbbbb属性：|r|n护甲+660|n生命值+67500|n生命回复+1350|n生命恢复%+1|n|n|Cff00ff7f点击消耗8000金币进行强化|n成功率70%</v>
      </c>
      <c r="L65" s="27"/>
      <c r="M65" s="133" t="str">
        <f>VLOOKUP(LEFT(RIGHT(B65,5),4),物品!B:CU,20,FALSE)</f>
        <v>ReplaceableTextures\\CommandButtons\\BTNZ13.blp</v>
      </c>
      <c r="N65" s="151" t="s">
        <v>83</v>
      </c>
      <c r="O65" s="152" t="s">
        <v>84</v>
      </c>
      <c r="P65" s="27">
        <v>0</v>
      </c>
      <c r="Q65" s="27">
        <v>0</v>
      </c>
      <c r="R65" s="151" t="s">
        <v>83</v>
      </c>
      <c r="S65" s="151" t="s">
        <v>83</v>
      </c>
      <c r="T65" s="151" t="s">
        <v>83</v>
      </c>
      <c r="U65" s="151" t="s">
        <v>83</v>
      </c>
      <c r="V65" s="27">
        <v>3</v>
      </c>
      <c r="W65" s="27" t="s">
        <v>85</v>
      </c>
      <c r="X65" s="27">
        <v>0</v>
      </c>
      <c r="Y65" s="151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51" t="s">
        <v>83</v>
      </c>
      <c r="AF65" s="151" t="s">
        <v>83</v>
      </c>
      <c r="AG65" s="151" t="s">
        <v>83</v>
      </c>
      <c r="AH65" s="151" t="s">
        <v>83</v>
      </c>
      <c r="AI65" s="27"/>
      <c r="AJ65" s="27"/>
      <c r="AK65" s="27">
        <v>0</v>
      </c>
      <c r="AL65" s="27">
        <v>0</v>
      </c>
      <c r="AM65" s="151" t="s">
        <v>83</v>
      </c>
      <c r="AN65" s="27"/>
      <c r="AO65" s="27"/>
      <c r="AP65" s="27">
        <v>1</v>
      </c>
    </row>
    <row r="66" spans="1:42">
      <c r="A66" s="130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32" t="str">
        <f t="shared" si="14"/>
        <v>|Cff00BFFF[防具]圣谕披风lv4|r</v>
      </c>
      <c r="K66" s="132" t="str">
        <f t="shared" si="15"/>
        <v>|Cffbbbbbb属性：|r|n护甲+740|n生命值+82500|n生命回复+1650|n生命恢复%+1|n|n|Cff00ff7f点击消耗8000金币进行强化|n成功率70%</v>
      </c>
      <c r="L66" s="27"/>
      <c r="M66" s="133" t="str">
        <f>VLOOKUP(LEFT(RIGHT(B66,5),4),物品!B:CU,20,FALSE)</f>
        <v>ReplaceableTextures\\CommandButtons\\BTNZ13.blp</v>
      </c>
      <c r="N66" s="151" t="s">
        <v>83</v>
      </c>
      <c r="O66" s="152" t="s">
        <v>84</v>
      </c>
      <c r="P66" s="27">
        <v>0</v>
      </c>
      <c r="Q66" s="27">
        <v>0</v>
      </c>
      <c r="R66" s="151" t="s">
        <v>83</v>
      </c>
      <c r="S66" s="151" t="s">
        <v>83</v>
      </c>
      <c r="T66" s="151" t="s">
        <v>83</v>
      </c>
      <c r="U66" s="151" t="s">
        <v>83</v>
      </c>
      <c r="V66" s="27">
        <v>3</v>
      </c>
      <c r="W66" s="27" t="s">
        <v>85</v>
      </c>
      <c r="X66" s="27">
        <v>0</v>
      </c>
      <c r="Y66" s="151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51" t="s">
        <v>83</v>
      </c>
      <c r="AF66" s="151" t="s">
        <v>83</v>
      </c>
      <c r="AG66" s="151" t="s">
        <v>83</v>
      </c>
      <c r="AH66" s="151" t="s">
        <v>83</v>
      </c>
      <c r="AI66" s="27"/>
      <c r="AJ66" s="27"/>
      <c r="AK66" s="27">
        <v>0</v>
      </c>
      <c r="AL66" s="27">
        <v>0</v>
      </c>
      <c r="AM66" s="151" t="s">
        <v>83</v>
      </c>
      <c r="AN66" s="27"/>
      <c r="AO66" s="27"/>
      <c r="AP66" s="27">
        <v>1</v>
      </c>
    </row>
    <row r="67" spans="1:42">
      <c r="A67" s="130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32" t="str">
        <f t="shared" si="14"/>
        <v>|Cff00BFFF[防具]圣谕披风lv5|r</v>
      </c>
      <c r="K67" s="132" t="str">
        <f t="shared" si="15"/>
        <v>|Cffbbbbbb属性：|r|n护甲+820|n生命值+97500|n生命回复+1950|n生命恢复%+1|n|n|Cff00ff7f点击消耗30000金币进行晋阶挑战</v>
      </c>
      <c r="L67" s="27"/>
      <c r="M67" s="133" t="str">
        <f>VLOOKUP(LEFT(RIGHT(B67,5),4),物品!B:CU,20,FALSE)</f>
        <v>ReplaceableTextures\\CommandButtons\\BTNZ13.blp</v>
      </c>
      <c r="N67" s="151" t="s">
        <v>83</v>
      </c>
      <c r="O67" s="152" t="s">
        <v>84</v>
      </c>
      <c r="P67" s="27">
        <v>0</v>
      </c>
      <c r="Q67" s="27">
        <v>0</v>
      </c>
      <c r="R67" s="151" t="s">
        <v>83</v>
      </c>
      <c r="S67" s="151" t="s">
        <v>83</v>
      </c>
      <c r="T67" s="151" t="s">
        <v>83</v>
      </c>
      <c r="U67" s="151" t="s">
        <v>83</v>
      </c>
      <c r="V67" s="27">
        <v>3</v>
      </c>
      <c r="W67" s="27" t="s">
        <v>85</v>
      </c>
      <c r="X67" s="27">
        <v>0</v>
      </c>
      <c r="Y67" s="151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51" t="s">
        <v>83</v>
      </c>
      <c r="AF67" s="151" t="s">
        <v>83</v>
      </c>
      <c r="AG67" s="151" t="s">
        <v>83</v>
      </c>
      <c r="AH67" s="151" t="s">
        <v>83</v>
      </c>
      <c r="AI67" s="27"/>
      <c r="AJ67" s="27"/>
      <c r="AK67" s="27">
        <v>0</v>
      </c>
      <c r="AL67" s="27">
        <v>0</v>
      </c>
      <c r="AM67" s="151" t="s">
        <v>83</v>
      </c>
      <c r="AN67" s="27"/>
      <c r="AO67" s="27"/>
      <c r="AP67" s="27">
        <v>1</v>
      </c>
    </row>
    <row r="68" spans="1:42">
      <c r="A68" s="130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32" t="str">
        <f t="shared" si="14"/>
        <v>|CffFFC926[防具]乾坤护心甲lv1|r</v>
      </c>
      <c r="K68" s="132" t="str">
        <f t="shared" si="15"/>
        <v>|Cffbbbbbb属性：|r|n护甲+1000|n生命值+150000|n生命回复+3000|n生命恢复%+2|n|n|Cff00ff7f点击消耗20000金币进行强化|n成功率60%</v>
      </c>
      <c r="L68" s="27"/>
      <c r="M68" s="133" t="str">
        <f>VLOOKUP(LEFT(RIGHT(B68,5),4),物品!B:CU,20,FALSE)</f>
        <v>ReplaceableTextures\\CommandButtons\\BTNZ14.blp</v>
      </c>
      <c r="N68" s="151" t="s">
        <v>83</v>
      </c>
      <c r="O68" s="152" t="s">
        <v>84</v>
      </c>
      <c r="P68" s="27">
        <v>0</v>
      </c>
      <c r="Q68" s="27">
        <v>0</v>
      </c>
      <c r="R68" s="151" t="s">
        <v>83</v>
      </c>
      <c r="S68" s="151" t="s">
        <v>83</v>
      </c>
      <c r="T68" s="151" t="s">
        <v>83</v>
      </c>
      <c r="U68" s="151" t="s">
        <v>83</v>
      </c>
      <c r="V68" s="27">
        <v>3</v>
      </c>
      <c r="W68" s="27" t="s">
        <v>85</v>
      </c>
      <c r="X68" s="27">
        <v>0</v>
      </c>
      <c r="Y68" s="151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51" t="s">
        <v>83</v>
      </c>
      <c r="AF68" s="151" t="s">
        <v>83</v>
      </c>
      <c r="AG68" s="151" t="s">
        <v>83</v>
      </c>
      <c r="AH68" s="151" t="s">
        <v>83</v>
      </c>
      <c r="AI68" s="27"/>
      <c r="AJ68" s="27"/>
      <c r="AK68" s="27">
        <v>0</v>
      </c>
      <c r="AL68" s="27">
        <v>0</v>
      </c>
      <c r="AM68" s="151" t="s">
        <v>83</v>
      </c>
      <c r="AN68" s="27"/>
      <c r="AO68" s="27"/>
      <c r="AP68" s="27">
        <v>1</v>
      </c>
    </row>
    <row r="69" spans="1:42">
      <c r="A69" s="130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32" t="str">
        <f t="shared" si="14"/>
        <v>|CffFFC926[防具]乾坤护心甲lv2|r</v>
      </c>
      <c r="K69" s="132" t="str">
        <f t="shared" si="15"/>
        <v>|Cffbbbbbb属性：|r|n护甲+1100|n生命值+225000|n生命回复+4500|n生命恢复%+2|n|n|Cff00ff7f点击消耗20000金币进行强化|n成功率60%</v>
      </c>
      <c r="L69" s="27"/>
      <c r="M69" s="133" t="str">
        <f>VLOOKUP(LEFT(RIGHT(B69,5),4),物品!B:CU,20,FALSE)</f>
        <v>ReplaceableTextures\\CommandButtons\\BTNZ14.blp</v>
      </c>
      <c r="N69" s="151" t="s">
        <v>83</v>
      </c>
      <c r="O69" s="152" t="s">
        <v>84</v>
      </c>
      <c r="P69" s="27">
        <v>0</v>
      </c>
      <c r="Q69" s="27">
        <v>0</v>
      </c>
      <c r="R69" s="151" t="s">
        <v>83</v>
      </c>
      <c r="S69" s="151" t="s">
        <v>83</v>
      </c>
      <c r="T69" s="151" t="s">
        <v>83</v>
      </c>
      <c r="U69" s="151" t="s">
        <v>83</v>
      </c>
      <c r="V69" s="27">
        <v>3</v>
      </c>
      <c r="W69" s="27" t="s">
        <v>85</v>
      </c>
      <c r="X69" s="27">
        <v>0</v>
      </c>
      <c r="Y69" s="151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51" t="s">
        <v>83</v>
      </c>
      <c r="AF69" s="151" t="s">
        <v>83</v>
      </c>
      <c r="AG69" s="151" t="s">
        <v>83</v>
      </c>
      <c r="AH69" s="151" t="s">
        <v>83</v>
      </c>
      <c r="AI69" s="27"/>
      <c r="AJ69" s="27"/>
      <c r="AK69" s="27">
        <v>0</v>
      </c>
      <c r="AL69" s="27">
        <v>0</v>
      </c>
      <c r="AM69" s="151" t="s">
        <v>83</v>
      </c>
      <c r="AN69" s="27"/>
      <c r="AO69" s="27"/>
      <c r="AP69" s="27">
        <v>1</v>
      </c>
    </row>
    <row r="70" spans="1:42">
      <c r="A70" s="130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32" t="str">
        <f t="shared" si="14"/>
        <v>|CffFFC926[防具]乾坤护心甲lv3|r</v>
      </c>
      <c r="K70" s="132" t="str">
        <f t="shared" si="15"/>
        <v>|Cffbbbbbb属性：|r|n护甲+1200|n生命值+300000|n生命回复+6000|n生命恢复%+2|n|n|Cff00ff7f点击消耗20000金币进行强化|n成功率60%</v>
      </c>
      <c r="L70" s="27"/>
      <c r="M70" s="133" t="str">
        <f>VLOOKUP(LEFT(RIGHT(B70,5),4),物品!B:CU,20,FALSE)</f>
        <v>ReplaceableTextures\\CommandButtons\\BTNZ14.blp</v>
      </c>
      <c r="N70" s="151" t="s">
        <v>83</v>
      </c>
      <c r="O70" s="152" t="s">
        <v>84</v>
      </c>
      <c r="P70" s="27">
        <v>0</v>
      </c>
      <c r="Q70" s="27">
        <v>0</v>
      </c>
      <c r="R70" s="151" t="s">
        <v>83</v>
      </c>
      <c r="S70" s="151" t="s">
        <v>83</v>
      </c>
      <c r="T70" s="151" t="s">
        <v>83</v>
      </c>
      <c r="U70" s="151" t="s">
        <v>83</v>
      </c>
      <c r="V70" s="27">
        <v>3</v>
      </c>
      <c r="W70" s="27" t="s">
        <v>85</v>
      </c>
      <c r="X70" s="27">
        <v>0</v>
      </c>
      <c r="Y70" s="151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51" t="s">
        <v>83</v>
      </c>
      <c r="AF70" s="151" t="s">
        <v>83</v>
      </c>
      <c r="AG70" s="151" t="s">
        <v>83</v>
      </c>
      <c r="AH70" s="151" t="s">
        <v>83</v>
      </c>
      <c r="AI70" s="27"/>
      <c r="AJ70" s="27"/>
      <c r="AK70" s="27">
        <v>0</v>
      </c>
      <c r="AL70" s="27">
        <v>0</v>
      </c>
      <c r="AM70" s="151" t="s">
        <v>83</v>
      </c>
      <c r="AN70" s="27"/>
      <c r="AO70" s="27"/>
      <c r="AP70" s="27">
        <v>1</v>
      </c>
    </row>
    <row r="71" spans="1:42">
      <c r="A71" s="130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32" t="str">
        <f t="shared" si="14"/>
        <v>|CffFFC926[防具]乾坤护心甲lv4|r</v>
      </c>
      <c r="K71" s="132" t="str">
        <f t="shared" si="15"/>
        <v>|Cffbbbbbb属性：|r|n护甲+1300|n生命值+375000|n生命回复+7500|n生命恢复%+2|n|n|Cff00ff7f点击消耗20000金币进行强化|n成功率60%</v>
      </c>
      <c r="L71" s="27"/>
      <c r="M71" s="133" t="str">
        <f>VLOOKUP(LEFT(RIGHT(B71,5),4),物品!B:CU,20,FALSE)</f>
        <v>ReplaceableTextures\\CommandButtons\\BTNZ14.blp</v>
      </c>
      <c r="N71" s="151" t="s">
        <v>83</v>
      </c>
      <c r="O71" s="152" t="s">
        <v>84</v>
      </c>
      <c r="P71" s="27">
        <v>0</v>
      </c>
      <c r="Q71" s="27">
        <v>0</v>
      </c>
      <c r="R71" s="151" t="s">
        <v>83</v>
      </c>
      <c r="S71" s="151" t="s">
        <v>83</v>
      </c>
      <c r="T71" s="151" t="s">
        <v>83</v>
      </c>
      <c r="U71" s="151" t="s">
        <v>83</v>
      </c>
      <c r="V71" s="27">
        <v>3</v>
      </c>
      <c r="W71" s="27" t="s">
        <v>85</v>
      </c>
      <c r="X71" s="27">
        <v>0</v>
      </c>
      <c r="Y71" s="151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51" t="s">
        <v>83</v>
      </c>
      <c r="AF71" s="151" t="s">
        <v>83</v>
      </c>
      <c r="AG71" s="151" t="s">
        <v>83</v>
      </c>
      <c r="AH71" s="151" t="s">
        <v>83</v>
      </c>
      <c r="AI71" s="27"/>
      <c r="AJ71" s="27"/>
      <c r="AK71" s="27">
        <v>0</v>
      </c>
      <c r="AL71" s="27">
        <v>0</v>
      </c>
      <c r="AM71" s="151" t="s">
        <v>83</v>
      </c>
      <c r="AN71" s="27"/>
      <c r="AO71" s="27"/>
      <c r="AP71" s="27">
        <v>1</v>
      </c>
    </row>
    <row r="72" spans="1:42">
      <c r="A72" s="130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32" t="str">
        <f t="shared" si="14"/>
        <v>|CffFFC926[防具]乾坤护心甲lv5|r</v>
      </c>
      <c r="K72" s="132" t="str">
        <f t="shared" si="15"/>
        <v>|Cffbbbbbb属性：|r|n护甲+1400|n生命值+450000|n生命回复+9000|n生命恢复%+2|n|n|Cff00ff7f点击消耗35000金币进行晋阶挑战</v>
      </c>
      <c r="L72" s="27"/>
      <c r="M72" s="133" t="str">
        <f>VLOOKUP(LEFT(RIGHT(B72,5),4),物品!B:CU,20,FALSE)</f>
        <v>ReplaceableTextures\\CommandButtons\\BTNZ14.blp</v>
      </c>
      <c r="N72" s="151" t="s">
        <v>83</v>
      </c>
      <c r="O72" s="152" t="s">
        <v>84</v>
      </c>
      <c r="P72" s="27">
        <v>0</v>
      </c>
      <c r="Q72" s="27">
        <v>0</v>
      </c>
      <c r="R72" s="151" t="s">
        <v>83</v>
      </c>
      <c r="S72" s="151" t="s">
        <v>83</v>
      </c>
      <c r="T72" s="151" t="s">
        <v>83</v>
      </c>
      <c r="U72" s="151" t="s">
        <v>83</v>
      </c>
      <c r="V72" s="27">
        <v>3</v>
      </c>
      <c r="W72" s="27" t="s">
        <v>85</v>
      </c>
      <c r="X72" s="27">
        <v>0</v>
      </c>
      <c r="Y72" s="151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51" t="s">
        <v>83</v>
      </c>
      <c r="AF72" s="151" t="s">
        <v>83</v>
      </c>
      <c r="AG72" s="151" t="s">
        <v>83</v>
      </c>
      <c r="AH72" s="151" t="s">
        <v>83</v>
      </c>
      <c r="AI72" s="27"/>
      <c r="AJ72" s="27"/>
      <c r="AK72" s="27">
        <v>0</v>
      </c>
      <c r="AL72" s="27">
        <v>0</v>
      </c>
      <c r="AM72" s="151" t="s">
        <v>83</v>
      </c>
      <c r="AN72" s="27"/>
      <c r="AO72" s="27"/>
      <c r="AP72" s="27">
        <v>1</v>
      </c>
    </row>
    <row r="73" spans="1:42">
      <c r="A73" s="130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|Cffbbbbbb属性：|r|n护甲+1800|n生命值+750000|n生命回复+15000|n生命恢复%+3|n|n|Cff00ff7f点击消耗35000金币进行强化|n成功率50%</v>
      </c>
      <c r="J73" s="132" t="str">
        <f t="shared" si="14"/>
        <v>|CffFF0000[防具]九龙黄金甲lv1|r</v>
      </c>
      <c r="K73" s="132" t="str">
        <f t="shared" si="15"/>
        <v>|Cffbbbbbb属性：|r|n护甲+1800|n生命值+750000|n生命回复+15000|n生命恢复%+3|n|n|Cff00ff7f点击消耗35000金币进行强化|n成功率50%</v>
      </c>
      <c r="L73" s="27"/>
      <c r="M73" s="133" t="str">
        <f>VLOOKUP(LEFT(RIGHT(B73,5),4),物品!B:CU,20,FALSE)</f>
        <v>ReplaceableTextures\\CommandButtons\\BTNZ15.blp</v>
      </c>
      <c r="N73" s="151" t="s">
        <v>83</v>
      </c>
      <c r="O73" s="152" t="s">
        <v>84</v>
      </c>
      <c r="P73" s="27">
        <v>0</v>
      </c>
      <c r="Q73" s="27">
        <v>0</v>
      </c>
      <c r="R73" s="151" t="s">
        <v>83</v>
      </c>
      <c r="S73" s="151" t="s">
        <v>83</v>
      </c>
      <c r="T73" s="151" t="s">
        <v>83</v>
      </c>
      <c r="U73" s="151" t="s">
        <v>83</v>
      </c>
      <c r="V73" s="27">
        <v>3</v>
      </c>
      <c r="W73" s="27" t="s">
        <v>85</v>
      </c>
      <c r="X73" s="27">
        <v>0</v>
      </c>
      <c r="Y73" s="151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51" t="s">
        <v>83</v>
      </c>
      <c r="AF73" s="151" t="s">
        <v>83</v>
      </c>
      <c r="AG73" s="151" t="s">
        <v>83</v>
      </c>
      <c r="AH73" s="151" t="s">
        <v>83</v>
      </c>
      <c r="AI73" s="27"/>
      <c r="AJ73" s="27"/>
      <c r="AK73" s="27">
        <v>0</v>
      </c>
      <c r="AL73" s="27">
        <v>0</v>
      </c>
      <c r="AM73" s="151" t="s">
        <v>83</v>
      </c>
      <c r="AN73" s="27"/>
      <c r="AO73" s="27"/>
      <c r="AP73" s="27">
        <v>1</v>
      </c>
    </row>
    <row r="74" spans="1:42">
      <c r="A74" s="130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|Cffbbbbbb属性：|r|n护甲+2000|n生命值+1200000|n生命回复+24000|n生命恢复%+3|n|n|Cff00ff7f点击消耗35000金币进行强化|n成功率50%</v>
      </c>
      <c r="J74" s="132" t="str">
        <f t="shared" si="14"/>
        <v>|CffFF0000[防具]九龙黄金甲lv2|r</v>
      </c>
      <c r="K74" s="132" t="str">
        <f t="shared" si="15"/>
        <v>|Cffbbbbbb属性：|r|n护甲+2000|n生命值+1200000|n生命回复+24000|n生命恢复%+3|n|n|Cff00ff7f点击消耗35000金币进行强化|n成功率50%</v>
      </c>
      <c r="L74" s="27"/>
      <c r="M74" s="133" t="str">
        <f>VLOOKUP(LEFT(RIGHT(B74,5),4),物品!B:CU,20,FALSE)</f>
        <v>ReplaceableTextures\\CommandButtons\\BTNZ15.blp</v>
      </c>
      <c r="N74" s="151" t="s">
        <v>83</v>
      </c>
      <c r="O74" s="152" t="s">
        <v>84</v>
      </c>
      <c r="P74" s="27">
        <v>0</v>
      </c>
      <c r="Q74" s="27">
        <v>0</v>
      </c>
      <c r="R74" s="151" t="s">
        <v>83</v>
      </c>
      <c r="S74" s="151" t="s">
        <v>83</v>
      </c>
      <c r="T74" s="151" t="s">
        <v>83</v>
      </c>
      <c r="U74" s="151" t="s">
        <v>83</v>
      </c>
      <c r="V74" s="27">
        <v>3</v>
      </c>
      <c r="W74" s="27" t="s">
        <v>85</v>
      </c>
      <c r="X74" s="27">
        <v>0</v>
      </c>
      <c r="Y74" s="151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51" t="s">
        <v>83</v>
      </c>
      <c r="AF74" s="151" t="s">
        <v>83</v>
      </c>
      <c r="AG74" s="151" t="s">
        <v>83</v>
      </c>
      <c r="AH74" s="151" t="s">
        <v>83</v>
      </c>
      <c r="AI74" s="27"/>
      <c r="AJ74" s="27"/>
      <c r="AK74" s="27">
        <v>0</v>
      </c>
      <c r="AL74" s="27">
        <v>0</v>
      </c>
      <c r="AM74" s="151" t="s">
        <v>83</v>
      </c>
      <c r="AN74" s="27"/>
      <c r="AO74" s="27"/>
      <c r="AP74" s="27">
        <v>1</v>
      </c>
    </row>
    <row r="75" spans="1:42">
      <c r="A75" s="130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|Cffbbbbbb属性：|r|n护甲+2200|n生命值+1650000|n生命回复+33000|n生命恢复%+3|n|n|Cff00ff7f点击消耗35000金币进行强化|n成功率50%</v>
      </c>
      <c r="J75" s="132" t="str">
        <f t="shared" si="14"/>
        <v>|CffFF0000[防具]九龙黄金甲lv3|r</v>
      </c>
      <c r="K75" s="132" t="str">
        <f t="shared" si="15"/>
        <v>|Cffbbbbbb属性：|r|n护甲+2200|n生命值+1650000|n生命回复+33000|n生命恢复%+3|n|n|Cff00ff7f点击消耗35000金币进行强化|n成功率50%</v>
      </c>
      <c r="L75" s="27"/>
      <c r="M75" s="133" t="str">
        <f>VLOOKUP(LEFT(RIGHT(B75,5),4),物品!B:CU,20,FALSE)</f>
        <v>ReplaceableTextures\\CommandButtons\\BTNZ15.blp</v>
      </c>
      <c r="N75" s="151" t="s">
        <v>83</v>
      </c>
      <c r="O75" s="152" t="s">
        <v>84</v>
      </c>
      <c r="P75" s="27">
        <v>0</v>
      </c>
      <c r="Q75" s="27">
        <v>0</v>
      </c>
      <c r="R75" s="151" t="s">
        <v>83</v>
      </c>
      <c r="S75" s="151" t="s">
        <v>83</v>
      </c>
      <c r="T75" s="151" t="s">
        <v>83</v>
      </c>
      <c r="U75" s="151" t="s">
        <v>83</v>
      </c>
      <c r="V75" s="27">
        <v>3</v>
      </c>
      <c r="W75" s="27" t="s">
        <v>85</v>
      </c>
      <c r="X75" s="27">
        <v>0</v>
      </c>
      <c r="Y75" s="151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51" t="s">
        <v>83</v>
      </c>
      <c r="AF75" s="151" t="s">
        <v>83</v>
      </c>
      <c r="AG75" s="151" t="s">
        <v>83</v>
      </c>
      <c r="AH75" s="151" t="s">
        <v>83</v>
      </c>
      <c r="AI75" s="27"/>
      <c r="AJ75" s="27"/>
      <c r="AK75" s="27">
        <v>0</v>
      </c>
      <c r="AL75" s="27">
        <v>0</v>
      </c>
      <c r="AM75" s="151" t="s">
        <v>83</v>
      </c>
      <c r="AN75" s="27"/>
      <c r="AO75" s="27"/>
      <c r="AP75" s="27">
        <v>1</v>
      </c>
    </row>
    <row r="76" spans="1:42">
      <c r="A76" s="130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|Cffbbbbbb属性：|r|n护甲+2400|n生命值+2100000|n生命回复+42000|n生命恢复%+3|n|n|Cff00ff7f点击消耗35000金币进行强化|n成功率50%</v>
      </c>
      <c r="J76" s="132" t="str">
        <f t="shared" si="14"/>
        <v>|CffFF0000[防具]九龙黄金甲lv4|r</v>
      </c>
      <c r="K76" s="132" t="str">
        <f t="shared" si="15"/>
        <v>|Cffbbbbbb属性：|r|n护甲+2400|n生命值+2100000|n生命回复+42000|n生命恢复%+3|n|n|Cff00ff7f点击消耗35000金币进行强化|n成功率50%</v>
      </c>
      <c r="L76" s="27"/>
      <c r="M76" s="133" t="str">
        <f>VLOOKUP(LEFT(RIGHT(B76,5),4),物品!B:CU,20,FALSE)</f>
        <v>ReplaceableTextures\\CommandButtons\\BTNZ15.blp</v>
      </c>
      <c r="N76" s="151" t="s">
        <v>83</v>
      </c>
      <c r="O76" s="152" t="s">
        <v>84</v>
      </c>
      <c r="P76" s="27">
        <v>0</v>
      </c>
      <c r="Q76" s="27">
        <v>0</v>
      </c>
      <c r="R76" s="151" t="s">
        <v>83</v>
      </c>
      <c r="S76" s="151" t="s">
        <v>83</v>
      </c>
      <c r="T76" s="151" t="s">
        <v>83</v>
      </c>
      <c r="U76" s="151" t="s">
        <v>83</v>
      </c>
      <c r="V76" s="27">
        <v>3</v>
      </c>
      <c r="W76" s="27" t="s">
        <v>85</v>
      </c>
      <c r="X76" s="27">
        <v>0</v>
      </c>
      <c r="Y76" s="151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51" t="s">
        <v>83</v>
      </c>
      <c r="AF76" s="151" t="s">
        <v>83</v>
      </c>
      <c r="AG76" s="151" t="s">
        <v>83</v>
      </c>
      <c r="AH76" s="151" t="s">
        <v>83</v>
      </c>
      <c r="AI76" s="27"/>
      <c r="AJ76" s="27"/>
      <c r="AK76" s="27">
        <v>0</v>
      </c>
      <c r="AL76" s="27">
        <v>0</v>
      </c>
      <c r="AM76" s="151" t="s">
        <v>83</v>
      </c>
      <c r="AN76" s="27"/>
      <c r="AO76" s="27"/>
      <c r="AP76" s="27">
        <v>1</v>
      </c>
    </row>
    <row r="77" spans="1:42">
      <c r="A77" s="130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|Cffbbbbbb属性：|r|n护甲+2600|n生命值+3000000|n生命回复+60000|n生命恢复%+5|n|Cff999999装备进化：未开放|r</v>
      </c>
      <c r="J77" s="132" t="str">
        <f t="shared" si="14"/>
        <v>|CffFF0000[防具]九龙黄金甲lv5|r</v>
      </c>
      <c r="K77" s="132" t="str">
        <f t="shared" si="15"/>
        <v>|Cffbbbbbb属性：|r|n护甲+2600|n生命值+3000000|n生命回复+60000|n生命恢复%+5|n|Cff999999装备进化：未开放|r</v>
      </c>
      <c r="L77" s="27"/>
      <c r="M77" s="133" t="str">
        <f>VLOOKUP(LEFT(RIGHT(B77,5),4),物品!B:CU,20,FALSE)</f>
        <v>ReplaceableTextures\\CommandButtons\\BTNZ15.blp</v>
      </c>
      <c r="N77" s="151" t="s">
        <v>83</v>
      </c>
      <c r="O77" s="152" t="s">
        <v>84</v>
      </c>
      <c r="P77" s="27">
        <v>0</v>
      </c>
      <c r="Q77" s="27">
        <v>0</v>
      </c>
      <c r="R77" s="151" t="s">
        <v>83</v>
      </c>
      <c r="S77" s="151" t="s">
        <v>83</v>
      </c>
      <c r="T77" s="151" t="s">
        <v>83</v>
      </c>
      <c r="U77" s="151" t="s">
        <v>83</v>
      </c>
      <c r="V77" s="27">
        <v>3</v>
      </c>
      <c r="W77" s="27" t="s">
        <v>85</v>
      </c>
      <c r="X77" s="27">
        <v>0</v>
      </c>
      <c r="Y77" s="151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51" t="s">
        <v>83</v>
      </c>
      <c r="AF77" s="151" t="s">
        <v>83</v>
      </c>
      <c r="AG77" s="151" t="s">
        <v>83</v>
      </c>
      <c r="AH77" s="151" t="s">
        <v>83</v>
      </c>
      <c r="AI77" s="27"/>
      <c r="AJ77" s="27"/>
      <c r="AK77" s="27">
        <v>0</v>
      </c>
      <c r="AL77" s="27">
        <v>0</v>
      </c>
      <c r="AM77" s="151" t="s">
        <v>83</v>
      </c>
      <c r="AN77" s="27"/>
      <c r="AO77" s="27"/>
      <c r="AP77" s="27"/>
    </row>
    <row r="78" spans="1:42">
      <c r="A78" s="130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32" t="str">
        <f t="shared" ref="J78" si="16">H78</f>
        <v>低级道果【1】</v>
      </c>
      <c r="K78" s="132" t="str">
        <f t="shared" ref="K78" si="17">I78</f>
        <v>|Cffbbbbbb属性：|r|n攻击+7500|n生命值+30000|n物理伤害+20%|n法术伤害+20%|n杀敌攻击+8|n杀敌业力+1|n杀敌生命+30|n</v>
      </c>
      <c r="L78" s="27"/>
      <c r="M78" s="133" t="str">
        <f>VLOOKUP(LEFT(RIGHT(B78,5),4),物品!B:CU,20,FALSE)</f>
        <v>ReplaceableTextures\\CommandButtons\\BTNOrbOfFrost.blp</v>
      </c>
      <c r="N78" s="151" t="s">
        <v>83</v>
      </c>
      <c r="O78" s="133" t="s">
        <v>87</v>
      </c>
      <c r="P78" s="27">
        <v>0</v>
      </c>
      <c r="Q78" s="27">
        <v>0</v>
      </c>
      <c r="R78" s="151" t="s">
        <v>83</v>
      </c>
      <c r="S78" s="151" t="s">
        <v>83</v>
      </c>
      <c r="T78" s="151" t="s">
        <v>83</v>
      </c>
      <c r="U78" s="151" t="s">
        <v>83</v>
      </c>
      <c r="V78" s="27"/>
      <c r="W78" s="27" t="s">
        <v>88</v>
      </c>
      <c r="X78" s="27">
        <v>0</v>
      </c>
      <c r="Y78" s="151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51" t="s">
        <v>83</v>
      </c>
      <c r="AF78" s="151" t="s">
        <v>83</v>
      </c>
      <c r="AG78" s="151" t="s">
        <v>83</v>
      </c>
      <c r="AH78" s="151" t="s">
        <v>83</v>
      </c>
      <c r="AI78" s="27">
        <v>1</v>
      </c>
      <c r="AJ78" s="27"/>
      <c r="AK78" s="27">
        <v>1</v>
      </c>
      <c r="AL78" s="27">
        <v>1</v>
      </c>
      <c r="AM78" s="151" t="s">
        <v>83</v>
      </c>
      <c r="AN78" s="27">
        <v>1</v>
      </c>
      <c r="AO78" s="27">
        <v>1</v>
      </c>
      <c r="AP78" s="27">
        <v>1</v>
      </c>
    </row>
    <row r="79" spans="1:42">
      <c r="A79" s="130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|Cffbbbbbb属性：|r|n攻击+18000|n生命值+72000|n物理伤害+20%|n法术伤害+20%|n杀敌攻击+8|n杀敌业力+1|n杀敌生命+30|n</v>
      </c>
      <c r="J79" s="132" t="str">
        <f t="shared" ref="J79:J82" si="18">H79</f>
        <v>中级道果【2】</v>
      </c>
      <c r="K79" s="132" t="str">
        <f t="shared" ref="K79:K82" si="19">I79</f>
        <v>|Cffbbbbbb属性：|r|n攻击+18000|n生命值+72000|n物理伤害+20%|n法术伤害+20%|n杀敌攻击+8|n杀敌业力+1|n杀敌生命+30|n</v>
      </c>
      <c r="L79" s="27"/>
      <c r="M79" s="133" t="str">
        <f>VLOOKUP(LEFT(RIGHT(B79,5),4),物品!B:CU,20,FALSE)</f>
        <v>ReplaceableTextures\\CommandButtons\\BTNOrbOfVenom.blp</v>
      </c>
      <c r="N79" s="151" t="s">
        <v>83</v>
      </c>
      <c r="O79" s="133" t="s">
        <v>87</v>
      </c>
      <c r="P79" s="27">
        <v>0</v>
      </c>
      <c r="Q79" s="27">
        <v>0</v>
      </c>
      <c r="R79" s="151" t="s">
        <v>83</v>
      </c>
      <c r="S79" s="151" t="s">
        <v>83</v>
      </c>
      <c r="T79" s="151" t="s">
        <v>83</v>
      </c>
      <c r="U79" s="151" t="s">
        <v>83</v>
      </c>
      <c r="V79" s="27"/>
      <c r="W79" s="27" t="s">
        <v>88</v>
      </c>
      <c r="X79" s="27">
        <v>0</v>
      </c>
      <c r="Y79" s="151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51" t="s">
        <v>83</v>
      </c>
      <c r="AF79" s="151" t="s">
        <v>83</v>
      </c>
      <c r="AG79" s="151" t="s">
        <v>83</v>
      </c>
      <c r="AH79" s="151" t="s">
        <v>83</v>
      </c>
      <c r="AI79" s="27">
        <v>1</v>
      </c>
      <c r="AJ79" s="27"/>
      <c r="AK79" s="27">
        <v>1</v>
      </c>
      <c r="AL79" s="27">
        <v>1</v>
      </c>
      <c r="AM79" s="151" t="s">
        <v>83</v>
      </c>
      <c r="AN79" s="27">
        <v>1</v>
      </c>
      <c r="AO79" s="27">
        <v>1</v>
      </c>
      <c r="AP79" s="27">
        <v>1</v>
      </c>
    </row>
    <row r="80" spans="1:42">
      <c r="A80" s="130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|Cffbbbbbb属性：|r|n攻击+37500|n生命值+150000|n物理伤害+20%|n法术伤害+20%|n杀敌攻击+8|n杀敌业力+1|n杀敌生命+30|n</v>
      </c>
      <c r="J80" s="132" t="str">
        <f t="shared" si="18"/>
        <v>|Cff00FF7F高级道果【3】|r</v>
      </c>
      <c r="K80" s="132" t="str">
        <f t="shared" si="19"/>
        <v>|Cffbbbbbb属性：|r|n攻击+37500|n生命值+150000|n物理伤害+20%|n法术伤害+20%|n杀敌攻击+8|n杀敌业力+1|n杀敌生命+30|n</v>
      </c>
      <c r="L80" s="27"/>
      <c r="M80" s="133" t="str">
        <f>VLOOKUP(LEFT(RIGHT(B80,5),4),物品!B:CU,20,FALSE)</f>
        <v>ReplaceableTextures\\CommandButtons\\BTNOrbOfCorruption.blp</v>
      </c>
      <c r="N80" s="151" t="s">
        <v>83</v>
      </c>
      <c r="O80" s="133" t="s">
        <v>89</v>
      </c>
      <c r="P80" s="27">
        <v>0</v>
      </c>
      <c r="Q80" s="27">
        <v>0</v>
      </c>
      <c r="R80" s="151" t="s">
        <v>83</v>
      </c>
      <c r="S80" s="151" t="s">
        <v>83</v>
      </c>
      <c r="T80" s="151" t="s">
        <v>83</v>
      </c>
      <c r="U80" s="151" t="s">
        <v>83</v>
      </c>
      <c r="V80" s="27"/>
      <c r="W80" s="27" t="s">
        <v>88</v>
      </c>
      <c r="X80" s="27">
        <v>0</v>
      </c>
      <c r="Y80" s="151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51" t="s">
        <v>83</v>
      </c>
      <c r="AF80" s="151" t="s">
        <v>83</v>
      </c>
      <c r="AG80" s="151" t="s">
        <v>83</v>
      </c>
      <c r="AH80" s="151" t="s">
        <v>83</v>
      </c>
      <c r="AI80" s="27">
        <v>1</v>
      </c>
      <c r="AJ80" s="27"/>
      <c r="AK80" s="27">
        <v>1</v>
      </c>
      <c r="AL80" s="27">
        <v>1</v>
      </c>
      <c r="AM80" s="151" t="s">
        <v>83</v>
      </c>
      <c r="AN80" s="27">
        <v>1</v>
      </c>
      <c r="AO80" s="27">
        <v>1</v>
      </c>
      <c r="AP80" s="27">
        <v>1</v>
      </c>
    </row>
    <row r="81" spans="1:42">
      <c r="A81" s="130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|Cffbbbbbb属性：|r|n攻击+60000|n生命值+240000|n物理伤害+25%|n法术伤害+25%|n杀敌攻击+8|n杀敌业力+1|n杀敌生命+30|n</v>
      </c>
      <c r="J81" s="132" t="str">
        <f t="shared" si="18"/>
        <v>|Cff00FF7F黄级道果【4】|r</v>
      </c>
      <c r="K81" s="132" t="str">
        <f t="shared" si="19"/>
        <v>|Cffbbbbbb属性：|r|n攻击+60000|n生命值+240000|n物理伤害+25%|n法术伤害+25%|n杀敌攻击+8|n杀敌业力+1|n杀敌生命+30|n</v>
      </c>
      <c r="L81" s="27"/>
      <c r="M81" s="133" t="str">
        <f>VLOOKUP(LEFT(RIGHT(B81,5),4),物品!B:CU,20,FALSE)</f>
        <v>ReplaceableTextures\\CommandButtons\\BTNOrbOfFire.blp</v>
      </c>
      <c r="N81" s="151" t="s">
        <v>83</v>
      </c>
      <c r="O81" s="133" t="s">
        <v>89</v>
      </c>
      <c r="P81" s="27">
        <v>0</v>
      </c>
      <c r="Q81" s="27">
        <v>0</v>
      </c>
      <c r="R81" s="151" t="s">
        <v>83</v>
      </c>
      <c r="S81" s="151" t="s">
        <v>83</v>
      </c>
      <c r="T81" s="151" t="s">
        <v>83</v>
      </c>
      <c r="U81" s="151" t="s">
        <v>83</v>
      </c>
      <c r="V81" s="27"/>
      <c r="W81" s="27" t="s">
        <v>88</v>
      </c>
      <c r="X81" s="27">
        <v>0</v>
      </c>
      <c r="Y81" s="151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51" t="s">
        <v>83</v>
      </c>
      <c r="AF81" s="151" t="s">
        <v>83</v>
      </c>
      <c r="AG81" s="151" t="s">
        <v>83</v>
      </c>
      <c r="AH81" s="151" t="s">
        <v>83</v>
      </c>
      <c r="AI81" s="27">
        <v>1</v>
      </c>
      <c r="AJ81" s="27"/>
      <c r="AK81" s="27">
        <v>1</v>
      </c>
      <c r="AL81" s="27">
        <v>1</v>
      </c>
      <c r="AM81" s="151" t="s">
        <v>83</v>
      </c>
      <c r="AN81" s="27">
        <v>1</v>
      </c>
      <c r="AO81" s="27">
        <v>1</v>
      </c>
      <c r="AP81" s="27">
        <v>1</v>
      </c>
    </row>
    <row r="82" spans="1:42">
      <c r="A82" s="130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|Cffbbbbbb属性：|r|n攻击+82500|n生命值+330000|n物理伤害+25%|n法术伤害+25%|n杀敌攻击+8|n杀敌业力+1|n杀敌生命+30|n</v>
      </c>
      <c r="J82" s="132" t="str">
        <f t="shared" si="18"/>
        <v>|Cff00BFFF玄级道果【5】|r</v>
      </c>
      <c r="K82" s="132" t="str">
        <f t="shared" si="19"/>
        <v>|Cffbbbbbb属性：|r|n攻击+82500|n生命值+330000|n物理伤害+25%|n法术伤害+25%|n杀敌攻击+8|n杀敌业力+1|n杀敌生命+30|n</v>
      </c>
      <c r="L82" s="27"/>
      <c r="M82" s="133" t="str">
        <f>VLOOKUP(LEFT(RIGHT(B82,5),4),物品!B:CU,20,FALSE)</f>
        <v>ReplaceableTextures\\CommandButtons\\BTNUsedSoulGem.blp</v>
      </c>
      <c r="N82" s="151" t="s">
        <v>83</v>
      </c>
      <c r="O82" s="133" t="s">
        <v>90</v>
      </c>
      <c r="P82" s="27">
        <v>0</v>
      </c>
      <c r="Q82" s="27">
        <v>0</v>
      </c>
      <c r="R82" s="151" t="s">
        <v>83</v>
      </c>
      <c r="S82" s="151" t="s">
        <v>83</v>
      </c>
      <c r="T82" s="151" t="s">
        <v>83</v>
      </c>
      <c r="U82" s="151" t="s">
        <v>83</v>
      </c>
      <c r="V82" s="27"/>
      <c r="W82" s="27" t="s">
        <v>88</v>
      </c>
      <c r="X82" s="27">
        <v>0</v>
      </c>
      <c r="Y82" s="151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51" t="s">
        <v>83</v>
      </c>
      <c r="AF82" s="151" t="s">
        <v>83</v>
      </c>
      <c r="AG82" s="151" t="s">
        <v>83</v>
      </c>
      <c r="AH82" s="151" t="s">
        <v>83</v>
      </c>
      <c r="AI82" s="27">
        <v>1</v>
      </c>
      <c r="AJ82" s="27"/>
      <c r="AK82" s="27">
        <v>1</v>
      </c>
      <c r="AL82" s="27">
        <v>1</v>
      </c>
      <c r="AM82" s="151" t="s">
        <v>83</v>
      </c>
      <c r="AN82" s="27">
        <v>1</v>
      </c>
      <c r="AO82" s="27">
        <v>1</v>
      </c>
      <c r="AP82" s="27">
        <v>1</v>
      </c>
    </row>
    <row r="83" spans="1:42">
      <c r="A83" s="130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|Cffbbbbbb属性：|r|n攻击+120000|n生命值+480000|n物理伤害+25%|n法术伤害+25%|n杀敌攻击+8|n杀敌业力+1|n杀敌生命+30|n</v>
      </c>
      <c r="J83" s="132" t="str">
        <f t="shared" ref="J83:J112" si="20">H83</f>
        <v>|Cff00BFFF地级道果【6】|r</v>
      </c>
      <c r="K83" s="132" t="str">
        <f t="shared" ref="K83:K112" si="21">I83</f>
        <v>|Cffbbbbbb属性：|r|n攻击+120000|n生命值+480000|n物理伤害+25%|n法术伤害+25%|n杀敌攻击+8|n杀敌业力+1|n杀敌生命+30|n</v>
      </c>
      <c r="L83" s="27"/>
      <c r="M83" s="133" t="str">
        <f>VLOOKUP(LEFT(RIGHT(B83,5),4),物品!B:CU,20,FALSE)</f>
        <v>ReplaceableTextures\\CommandButtons\\BTNOrbofSlowness.blp</v>
      </c>
      <c r="N83" s="151" t="s">
        <v>83</v>
      </c>
      <c r="O83" s="133" t="s">
        <v>90</v>
      </c>
      <c r="P83" s="27">
        <v>0</v>
      </c>
      <c r="Q83" s="27">
        <v>0</v>
      </c>
      <c r="R83" s="151" t="s">
        <v>83</v>
      </c>
      <c r="S83" s="151" t="s">
        <v>83</v>
      </c>
      <c r="T83" s="151" t="s">
        <v>83</v>
      </c>
      <c r="U83" s="151" t="s">
        <v>83</v>
      </c>
      <c r="V83" s="27"/>
      <c r="W83" s="27" t="s">
        <v>88</v>
      </c>
      <c r="X83" s="27">
        <v>0</v>
      </c>
      <c r="Y83" s="151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51" t="s">
        <v>83</v>
      </c>
      <c r="AF83" s="151" t="s">
        <v>83</v>
      </c>
      <c r="AG83" s="151" t="s">
        <v>83</v>
      </c>
      <c r="AH83" s="151" t="s">
        <v>83</v>
      </c>
      <c r="AI83" s="27">
        <v>1</v>
      </c>
      <c r="AJ83" s="27"/>
      <c r="AK83" s="27">
        <v>1</v>
      </c>
      <c r="AL83" s="27">
        <v>1</v>
      </c>
      <c r="AM83" s="151" t="s">
        <v>83</v>
      </c>
      <c r="AN83" s="27">
        <v>1</v>
      </c>
      <c r="AO83" s="27">
        <v>1</v>
      </c>
      <c r="AP83" s="27">
        <v>1</v>
      </c>
    </row>
    <row r="84" spans="1:42">
      <c r="A84" s="130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|Cffbbbbbb属性：|r|n攻击+180000|n生命值+720000|n物理伤害+30%|n法术伤害+30%|n杀敌攻击+8|n杀敌业力+1|n杀敌生命+30|n</v>
      </c>
      <c r="J84" s="132" t="str">
        <f t="shared" si="20"/>
        <v>|CffFFC926天级道果【7】|r</v>
      </c>
      <c r="K84" s="132" t="str">
        <f t="shared" si="21"/>
        <v>|Cffbbbbbb属性：|r|n攻击+180000|n生命值+720000|n物理伤害+30%|n法术伤害+30%|n杀敌攻击+8|n杀敌业力+1|n杀敌生命+30|n</v>
      </c>
      <c r="L84" s="27"/>
      <c r="M84" s="133" t="str">
        <f>VLOOKUP(LEFT(RIGHT(B84,5),4),物品!B:CU,20,FALSE)</f>
        <v>ReplaceableTextures\\CommandButtons\\BTNOrbOfLightning.blp</v>
      </c>
      <c r="N84" s="151" t="s">
        <v>83</v>
      </c>
      <c r="O84" s="133" t="s">
        <v>91</v>
      </c>
      <c r="P84" s="27">
        <v>0</v>
      </c>
      <c r="Q84" s="27">
        <v>0</v>
      </c>
      <c r="R84" s="151" t="s">
        <v>83</v>
      </c>
      <c r="S84" s="151" t="s">
        <v>83</v>
      </c>
      <c r="T84" s="151" t="s">
        <v>83</v>
      </c>
      <c r="U84" s="151" t="s">
        <v>83</v>
      </c>
      <c r="V84" s="27"/>
      <c r="W84" s="27" t="s">
        <v>88</v>
      </c>
      <c r="X84" s="27">
        <v>0</v>
      </c>
      <c r="Y84" s="151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51" t="s">
        <v>83</v>
      </c>
      <c r="AF84" s="151" t="s">
        <v>83</v>
      </c>
      <c r="AG84" s="151" t="s">
        <v>83</v>
      </c>
      <c r="AH84" s="151" t="s">
        <v>83</v>
      </c>
      <c r="AI84" s="27">
        <v>1</v>
      </c>
      <c r="AJ84" s="27"/>
      <c r="AK84" s="27">
        <v>1</v>
      </c>
      <c r="AL84" s="27">
        <v>1</v>
      </c>
      <c r="AM84" s="151" t="s">
        <v>83</v>
      </c>
      <c r="AN84" s="27">
        <v>1</v>
      </c>
      <c r="AO84" s="27">
        <v>1</v>
      </c>
      <c r="AP84" s="27">
        <v>1</v>
      </c>
    </row>
    <row r="85" spans="1:42">
      <c r="A85" s="130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|Cffbbbbbb属性：|r|n攻击+300000|n生命值+1200000|n物理伤害+30%|n法术伤害+30%|n杀敌攻击+8|n杀敌业力+1|n杀敌生命+30|n</v>
      </c>
      <c r="J85" s="132" t="str">
        <f t="shared" si="20"/>
        <v>|CffFFC926仙品道果【8】|r</v>
      </c>
      <c r="K85" s="132" t="str">
        <f t="shared" si="21"/>
        <v>|Cffbbbbbb属性：|r|n攻击+300000|n生命值+1200000|n物理伤害+30%|n法术伤害+30%|n杀敌攻击+8|n杀敌业力+1|n杀敌生命+30|n</v>
      </c>
      <c r="L85" s="27"/>
      <c r="M85" s="133" t="str">
        <f>VLOOKUP(LEFT(RIGHT(B85,5),4),物品!B:CU,20,FALSE)</f>
        <v>ReplaceableTextures\\CommandButtons\\BTNHeartOfAszune.blp</v>
      </c>
      <c r="N85" s="151" t="s">
        <v>83</v>
      </c>
      <c r="O85" s="133" t="s">
        <v>91</v>
      </c>
      <c r="P85" s="27">
        <v>0</v>
      </c>
      <c r="Q85" s="27">
        <v>0</v>
      </c>
      <c r="R85" s="151" t="s">
        <v>83</v>
      </c>
      <c r="S85" s="151" t="s">
        <v>83</v>
      </c>
      <c r="T85" s="151" t="s">
        <v>83</v>
      </c>
      <c r="U85" s="151" t="s">
        <v>83</v>
      </c>
      <c r="V85" s="27"/>
      <c r="W85" s="27" t="s">
        <v>88</v>
      </c>
      <c r="X85" s="27">
        <v>0</v>
      </c>
      <c r="Y85" s="151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51" t="s">
        <v>83</v>
      </c>
      <c r="AF85" s="151" t="s">
        <v>83</v>
      </c>
      <c r="AG85" s="151" t="s">
        <v>83</v>
      </c>
      <c r="AH85" s="151" t="s">
        <v>83</v>
      </c>
      <c r="AI85" s="27">
        <v>1</v>
      </c>
      <c r="AJ85" s="27"/>
      <c r="AK85" s="27">
        <v>1</v>
      </c>
      <c r="AL85" s="27">
        <v>1</v>
      </c>
      <c r="AM85" s="151" t="s">
        <v>83</v>
      </c>
      <c r="AN85" s="27">
        <v>1</v>
      </c>
      <c r="AO85" s="27">
        <v>1</v>
      </c>
      <c r="AP85" s="27">
        <v>1</v>
      </c>
    </row>
    <row r="86" spans="1:42">
      <c r="A86" s="130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|Cffbbbbbb属性：|r|n攻击+450000|n生命值+1800000|n物理伤害+30%|n法术伤害+30%|n杀敌攻击+8|n杀敌业力+1|n杀敌生命+30|n</v>
      </c>
      <c r="J86" s="132" t="str">
        <f t="shared" si="20"/>
        <v>|CffFF0000至圣道果【9】|r</v>
      </c>
      <c r="K86" s="132" t="str">
        <f t="shared" si="21"/>
        <v>|Cffbbbbbb属性：|r|n攻击+450000|n生命值+1800000|n物理伤害+30%|n法术伤害+30%|n杀敌攻击+8|n杀敌业力+1|n杀敌生命+30|n</v>
      </c>
      <c r="L86" s="27"/>
      <c r="M86" s="133" t="str">
        <f>VLOOKUP(LEFT(RIGHT(B86,5),4),物品!B:CU,20,FALSE)</f>
        <v>ReplaceableTextures\\CommandButtons\\BTNPhilosophersStone.blp</v>
      </c>
      <c r="N86" s="151" t="s">
        <v>83</v>
      </c>
      <c r="O86" s="133" t="s">
        <v>92</v>
      </c>
      <c r="P86" s="27">
        <v>0</v>
      </c>
      <c r="Q86" s="27">
        <v>0</v>
      </c>
      <c r="R86" s="151" t="s">
        <v>83</v>
      </c>
      <c r="S86" s="151" t="s">
        <v>83</v>
      </c>
      <c r="T86" s="151" t="s">
        <v>83</v>
      </c>
      <c r="U86" s="151" t="s">
        <v>83</v>
      </c>
      <c r="V86" s="27"/>
      <c r="W86" s="27" t="s">
        <v>88</v>
      </c>
      <c r="X86" s="27">
        <v>0</v>
      </c>
      <c r="Y86" s="151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51" t="s">
        <v>83</v>
      </c>
      <c r="AF86" s="151" t="s">
        <v>83</v>
      </c>
      <c r="AG86" s="151" t="s">
        <v>83</v>
      </c>
      <c r="AH86" s="151" t="s">
        <v>83</v>
      </c>
      <c r="AI86" s="27">
        <v>1</v>
      </c>
      <c r="AJ86" s="27"/>
      <c r="AK86" s="27">
        <v>1</v>
      </c>
      <c r="AL86" s="27">
        <v>1</v>
      </c>
      <c r="AM86" s="151" t="s">
        <v>83</v>
      </c>
      <c r="AN86" s="27">
        <v>1</v>
      </c>
      <c r="AO86" s="27">
        <v>1</v>
      </c>
      <c r="AP86" s="27">
        <v>1</v>
      </c>
    </row>
    <row r="87" spans="1:42">
      <c r="A87" s="130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|Cffbbbbbb属性：|r|n攻击+750000|n生命值+3000000|n物理伤害+40%|n法术伤害+40%|n杀敌攻击+8|n杀敌业力+1|n杀敌生命+30|n</v>
      </c>
      <c r="J87" s="132" t="str">
        <f t="shared" si="20"/>
        <v>|CffFF0000混沌道果【10】|r</v>
      </c>
      <c r="K87" s="132" t="str">
        <f t="shared" si="21"/>
        <v>|Cffbbbbbb属性：|r|n攻击+750000|n生命值+3000000|n物理伤害+40%|n法术伤害+40%|n杀敌攻击+8|n杀敌业力+1|n杀敌生命+30|n</v>
      </c>
      <c r="L87" s="27"/>
      <c r="M87" s="133" t="str">
        <f>VLOOKUP(LEFT(RIGHT(B87,5),4),物品!B:CU,20,FALSE)</f>
        <v>ReplaceableTextures\\CommandButtons\\BTNOrbOfDarkness.blp</v>
      </c>
      <c r="N87" s="151" t="s">
        <v>83</v>
      </c>
      <c r="O87" s="133" t="s">
        <v>92</v>
      </c>
      <c r="P87" s="27">
        <v>0</v>
      </c>
      <c r="Q87" s="27">
        <v>0</v>
      </c>
      <c r="R87" s="151" t="s">
        <v>83</v>
      </c>
      <c r="S87" s="151" t="s">
        <v>83</v>
      </c>
      <c r="T87" s="151" t="s">
        <v>83</v>
      </c>
      <c r="U87" s="151" t="s">
        <v>83</v>
      </c>
      <c r="V87" s="27"/>
      <c r="W87" s="27" t="s">
        <v>88</v>
      </c>
      <c r="X87" s="27">
        <v>0</v>
      </c>
      <c r="Y87" s="151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51" t="s">
        <v>83</v>
      </c>
      <c r="AF87" s="151" t="s">
        <v>83</v>
      </c>
      <c r="AG87" s="151" t="s">
        <v>83</v>
      </c>
      <c r="AH87" s="151" t="s">
        <v>83</v>
      </c>
      <c r="AI87" s="27">
        <v>1</v>
      </c>
      <c r="AJ87" s="27"/>
      <c r="AK87" s="27">
        <v>1</v>
      </c>
      <c r="AL87" s="27">
        <v>1</v>
      </c>
      <c r="AM87" s="151" t="s">
        <v>83</v>
      </c>
      <c r="AN87" s="27">
        <v>1</v>
      </c>
      <c r="AO87" s="27">
        <v>1</v>
      </c>
      <c r="AP87" s="27">
        <v>1</v>
      </c>
    </row>
    <row r="88" spans="1:42">
      <c r="A88" s="130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32" t="str">
        <f t="shared" ref="J88:J97" si="22">H88</f>
        <v>完美的低级道果【1】</v>
      </c>
      <c r="K88" s="132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3" t="str">
        <f>VLOOKUP(LEFT(RIGHT(B88,5),4),物品!B:CU,20,FALSE)</f>
        <v>ReplaceableTextures\\CommandButtons\\BTNDG11.blp</v>
      </c>
      <c r="N88" s="151" t="s">
        <v>83</v>
      </c>
      <c r="O88" s="133" t="s">
        <v>87</v>
      </c>
      <c r="P88" s="27">
        <v>0</v>
      </c>
      <c r="Q88" s="27">
        <v>0</v>
      </c>
      <c r="R88" s="151" t="s">
        <v>83</v>
      </c>
      <c r="S88" s="151" t="s">
        <v>83</v>
      </c>
      <c r="T88" s="151" t="s">
        <v>83</v>
      </c>
      <c r="U88" s="151" t="s">
        <v>83</v>
      </c>
      <c r="V88" s="27"/>
      <c r="W88" s="27" t="s">
        <v>93</v>
      </c>
      <c r="X88" s="27">
        <v>0</v>
      </c>
      <c r="Y88" s="151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51" t="s">
        <v>83</v>
      </c>
      <c r="AF88" s="151" t="s">
        <v>83</v>
      </c>
      <c r="AG88" s="151" t="s">
        <v>83</v>
      </c>
      <c r="AH88" s="151" t="s">
        <v>83</v>
      </c>
      <c r="AI88" s="27"/>
      <c r="AJ88" s="27"/>
      <c r="AK88" s="27">
        <v>1</v>
      </c>
      <c r="AL88" s="27">
        <v>1</v>
      </c>
      <c r="AM88" s="151" t="s">
        <v>83</v>
      </c>
      <c r="AN88" s="27">
        <v>1</v>
      </c>
      <c r="AO88" s="27">
        <v>1</v>
      </c>
      <c r="AP88" s="27">
        <v>1</v>
      </c>
    </row>
    <row r="89" spans="1:42">
      <c r="A89" s="130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|CffCCCCCC道果属性：|r|n攻击+18000|n生命值+72000|n物理伤害+20%|n法术伤害+20%|n杀敌攻击+8|n杀敌业力+1|n杀敌生命+30|n|n|Cff00FF7F点击吸收道果，强行突破境界。|r</v>
      </c>
      <c r="J89" s="132" t="str">
        <f t="shared" si="22"/>
        <v>完美的中级道果【2】</v>
      </c>
      <c r="K89" s="132" t="str">
        <f t="shared" si="23"/>
        <v>|CffCCCCCC道果属性：|r|n攻击+18000|n生命值+72000|n物理伤害+20%|n法术伤害+20%|n杀敌攻击+8|n杀敌业力+1|n杀敌生命+30|n|n|Cff00FF7F点击吸收道果，强行突破境界。|r</v>
      </c>
      <c r="L89" s="27"/>
      <c r="M89" s="133" t="str">
        <f>VLOOKUP(LEFT(RIGHT(B89,5),4),物品!B:CU,20,FALSE)</f>
        <v>ReplaceableTextures\\CommandButtons\\BTNDG12.blp</v>
      </c>
      <c r="N89" s="151" t="s">
        <v>83</v>
      </c>
      <c r="O89" s="133" t="s">
        <v>87</v>
      </c>
      <c r="P89" s="27">
        <v>0</v>
      </c>
      <c r="Q89" s="27">
        <v>0</v>
      </c>
      <c r="R89" s="151" t="s">
        <v>83</v>
      </c>
      <c r="S89" s="151" t="s">
        <v>83</v>
      </c>
      <c r="T89" s="151" t="s">
        <v>83</v>
      </c>
      <c r="U89" s="151" t="s">
        <v>83</v>
      </c>
      <c r="V89" s="27"/>
      <c r="W89" s="27" t="s">
        <v>93</v>
      </c>
      <c r="X89" s="27">
        <v>0</v>
      </c>
      <c r="Y89" s="151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51" t="s">
        <v>83</v>
      </c>
      <c r="AF89" s="151" t="s">
        <v>83</v>
      </c>
      <c r="AG89" s="151" t="s">
        <v>83</v>
      </c>
      <c r="AH89" s="151" t="s">
        <v>83</v>
      </c>
      <c r="AI89" s="27"/>
      <c r="AJ89" s="27"/>
      <c r="AK89" s="27">
        <v>1</v>
      </c>
      <c r="AL89" s="27">
        <v>1</v>
      </c>
      <c r="AM89" s="151" t="s">
        <v>83</v>
      </c>
      <c r="AN89" s="27">
        <v>1</v>
      </c>
      <c r="AO89" s="27">
        <v>1</v>
      </c>
      <c r="AP89" s="27">
        <v>1</v>
      </c>
    </row>
    <row r="90" spans="1:42">
      <c r="A90" s="130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|CffCCCCCC道果属性：|r|n攻击+37500|n生命值+150000|n物理伤害+20%|n法术伤害+20%|n杀敌攻击+8|n杀敌业力+1|n杀敌生命+30|n|n|Cff00FF7F点击吸收道果，强行突破境界。|r</v>
      </c>
      <c r="J90" s="132" t="str">
        <f t="shared" si="22"/>
        <v>|Cff00FF7F完美的高级道果【3】|r</v>
      </c>
      <c r="K90" s="132" t="str">
        <f t="shared" si="23"/>
        <v>|CffCCCCCC道果属性：|r|n攻击+37500|n生命值+150000|n物理伤害+20%|n法术伤害+20%|n杀敌攻击+8|n杀敌业力+1|n杀敌生命+30|n|n|Cff00FF7F点击吸收道果，强行突破境界。|r</v>
      </c>
      <c r="L90" s="27"/>
      <c r="M90" s="133" t="str">
        <f>VLOOKUP(LEFT(RIGHT(B90,5),4),物品!B:CU,20,FALSE)</f>
        <v>ReplaceableTextures\\CommandButtons\\BTNDG13.blp</v>
      </c>
      <c r="N90" s="151" t="s">
        <v>83</v>
      </c>
      <c r="O90" s="133" t="s">
        <v>89</v>
      </c>
      <c r="P90" s="27">
        <v>0</v>
      </c>
      <c r="Q90" s="27">
        <v>0</v>
      </c>
      <c r="R90" s="151" t="s">
        <v>83</v>
      </c>
      <c r="S90" s="151" t="s">
        <v>83</v>
      </c>
      <c r="T90" s="151" t="s">
        <v>83</v>
      </c>
      <c r="U90" s="151" t="s">
        <v>83</v>
      </c>
      <c r="V90" s="27"/>
      <c r="W90" s="27" t="s">
        <v>93</v>
      </c>
      <c r="X90" s="27">
        <v>0</v>
      </c>
      <c r="Y90" s="151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51" t="s">
        <v>83</v>
      </c>
      <c r="AF90" s="151" t="s">
        <v>83</v>
      </c>
      <c r="AG90" s="151" t="s">
        <v>83</v>
      </c>
      <c r="AH90" s="151" t="s">
        <v>83</v>
      </c>
      <c r="AI90" s="27"/>
      <c r="AJ90" s="27"/>
      <c r="AK90" s="27">
        <v>1</v>
      </c>
      <c r="AL90" s="27">
        <v>1</v>
      </c>
      <c r="AM90" s="151" t="s">
        <v>83</v>
      </c>
      <c r="AN90" s="27">
        <v>1</v>
      </c>
      <c r="AO90" s="27">
        <v>1</v>
      </c>
      <c r="AP90" s="27">
        <v>1</v>
      </c>
    </row>
    <row r="91" spans="1:42">
      <c r="A91" s="130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|CffCCCCCC道果属性：|r|n攻击+60000|n生命值+240000|n物理伤害+25%|n法术伤害+25%|n杀敌攻击+8|n杀敌业力+1|n杀敌生命+30|n|n|Cff00FF7F点击吸收道果，强行突破境界。|r</v>
      </c>
      <c r="J91" s="132" t="str">
        <f t="shared" si="22"/>
        <v>|Cff00FF7F完美的黄级道果【4】|r</v>
      </c>
      <c r="K91" s="132" t="str">
        <f t="shared" si="23"/>
        <v>|CffCCCCCC道果属性：|r|n攻击+60000|n生命值+240000|n物理伤害+25%|n法术伤害+25%|n杀敌攻击+8|n杀敌业力+1|n杀敌生命+30|n|n|Cff00FF7F点击吸收道果，强行突破境界。|r</v>
      </c>
      <c r="L91" s="27"/>
      <c r="M91" s="133" t="str">
        <f>VLOOKUP(LEFT(RIGHT(B91,5),4),物品!B:CU,20,FALSE)</f>
        <v>ReplaceableTextures\\CommandButtons\\BTNDG14.blp</v>
      </c>
      <c r="N91" s="151" t="s">
        <v>83</v>
      </c>
      <c r="O91" s="133" t="s">
        <v>89</v>
      </c>
      <c r="P91" s="27">
        <v>0</v>
      </c>
      <c r="Q91" s="27">
        <v>0</v>
      </c>
      <c r="R91" s="151" t="s">
        <v>83</v>
      </c>
      <c r="S91" s="151" t="s">
        <v>83</v>
      </c>
      <c r="T91" s="151" t="s">
        <v>83</v>
      </c>
      <c r="U91" s="151" t="s">
        <v>83</v>
      </c>
      <c r="V91" s="27"/>
      <c r="W91" s="27" t="s">
        <v>93</v>
      </c>
      <c r="X91" s="27">
        <v>0</v>
      </c>
      <c r="Y91" s="151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51" t="s">
        <v>83</v>
      </c>
      <c r="AF91" s="151" t="s">
        <v>83</v>
      </c>
      <c r="AG91" s="151" t="s">
        <v>83</v>
      </c>
      <c r="AH91" s="151" t="s">
        <v>83</v>
      </c>
      <c r="AI91" s="27"/>
      <c r="AJ91" s="27"/>
      <c r="AK91" s="27">
        <v>1</v>
      </c>
      <c r="AL91" s="27">
        <v>1</v>
      </c>
      <c r="AM91" s="151" t="s">
        <v>83</v>
      </c>
      <c r="AN91" s="27">
        <v>1</v>
      </c>
      <c r="AO91" s="27">
        <v>1</v>
      </c>
      <c r="AP91" s="27">
        <v>1</v>
      </c>
    </row>
    <row r="92" spans="1:42">
      <c r="A92" s="130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|CffCCCCCC道果属性：|r|n攻击+82500|n生命值+330000|n物理伤害+25%|n法术伤害+25%|n杀敌攻击+8|n杀敌业力+1|n杀敌生命+30|n|n|Cff00FF7F点击吸收道果，强行突破境界。|r</v>
      </c>
      <c r="J92" s="132" t="str">
        <f t="shared" si="22"/>
        <v>|Cff00BFFF完美的玄级道果【5】|r</v>
      </c>
      <c r="K92" s="132" t="str">
        <f t="shared" si="23"/>
        <v>|CffCCCCCC道果属性：|r|n攻击+82500|n生命值+330000|n物理伤害+25%|n法术伤害+25%|n杀敌攻击+8|n杀敌业力+1|n杀敌生命+30|n|n|Cff00FF7F点击吸收道果，强行突破境界。|r</v>
      </c>
      <c r="L92" s="27"/>
      <c r="M92" s="133" t="str">
        <f>VLOOKUP(LEFT(RIGHT(B92,5),4),物品!B:CU,20,FALSE)</f>
        <v>ReplaceableTextures\\CommandButtons\\BTNDG15.blp</v>
      </c>
      <c r="N92" s="151" t="s">
        <v>83</v>
      </c>
      <c r="O92" s="133" t="s">
        <v>90</v>
      </c>
      <c r="P92" s="27">
        <v>0</v>
      </c>
      <c r="Q92" s="27">
        <v>0</v>
      </c>
      <c r="R92" s="151" t="s">
        <v>83</v>
      </c>
      <c r="S92" s="151" t="s">
        <v>83</v>
      </c>
      <c r="T92" s="151" t="s">
        <v>83</v>
      </c>
      <c r="U92" s="151" t="s">
        <v>83</v>
      </c>
      <c r="V92" s="27"/>
      <c r="W92" s="27" t="s">
        <v>93</v>
      </c>
      <c r="X92" s="27">
        <v>0</v>
      </c>
      <c r="Y92" s="151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51" t="s">
        <v>83</v>
      </c>
      <c r="AF92" s="151" t="s">
        <v>83</v>
      </c>
      <c r="AG92" s="151" t="s">
        <v>83</v>
      </c>
      <c r="AH92" s="151" t="s">
        <v>83</v>
      </c>
      <c r="AI92" s="27"/>
      <c r="AJ92" s="27"/>
      <c r="AK92" s="27">
        <v>1</v>
      </c>
      <c r="AL92" s="27">
        <v>1</v>
      </c>
      <c r="AM92" s="151" t="s">
        <v>83</v>
      </c>
      <c r="AN92" s="27">
        <v>1</v>
      </c>
      <c r="AO92" s="27">
        <v>1</v>
      </c>
      <c r="AP92" s="27">
        <v>1</v>
      </c>
    </row>
    <row r="93" spans="1:42">
      <c r="A93" s="130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|CffCCCCCC道果属性：|r|n攻击+120000|n生命值+480000|n物理伤害+25%|n法术伤害+25%|n杀敌攻击+8|n杀敌业力+1|n杀敌生命+30|n|n|Cff00FF7F点击吸收道果，强行突破境界。|r</v>
      </c>
      <c r="J93" s="132" t="str">
        <f t="shared" si="22"/>
        <v>|Cff00BFFF完美的地级道果【6】|r</v>
      </c>
      <c r="K93" s="132" t="str">
        <f t="shared" si="23"/>
        <v>|CffCCCCCC道果属性：|r|n攻击+120000|n生命值+480000|n物理伤害+25%|n法术伤害+25%|n杀敌攻击+8|n杀敌业力+1|n杀敌生命+30|n|n|Cff00FF7F点击吸收道果，强行突破境界。|r</v>
      </c>
      <c r="L93" s="27"/>
      <c r="M93" s="133" t="str">
        <f>VLOOKUP(LEFT(RIGHT(B93,5),4),物品!B:CU,20,FALSE)</f>
        <v>ReplaceableTextures\\CommandButtons\\BTNDG16.blp</v>
      </c>
      <c r="N93" s="151" t="s">
        <v>83</v>
      </c>
      <c r="O93" s="133" t="s">
        <v>90</v>
      </c>
      <c r="P93" s="27">
        <v>0</v>
      </c>
      <c r="Q93" s="27">
        <v>0</v>
      </c>
      <c r="R93" s="151" t="s">
        <v>83</v>
      </c>
      <c r="S93" s="151" t="s">
        <v>83</v>
      </c>
      <c r="T93" s="151" t="s">
        <v>83</v>
      </c>
      <c r="U93" s="151" t="s">
        <v>83</v>
      </c>
      <c r="V93" s="27"/>
      <c r="W93" s="27" t="s">
        <v>93</v>
      </c>
      <c r="X93" s="27">
        <v>0</v>
      </c>
      <c r="Y93" s="151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51" t="s">
        <v>83</v>
      </c>
      <c r="AF93" s="151" t="s">
        <v>83</v>
      </c>
      <c r="AG93" s="151" t="s">
        <v>83</v>
      </c>
      <c r="AH93" s="151" t="s">
        <v>83</v>
      </c>
      <c r="AI93" s="27"/>
      <c r="AJ93" s="27"/>
      <c r="AK93" s="27">
        <v>1</v>
      </c>
      <c r="AL93" s="27">
        <v>1</v>
      </c>
      <c r="AM93" s="151" t="s">
        <v>83</v>
      </c>
      <c r="AN93" s="27">
        <v>1</v>
      </c>
      <c r="AO93" s="27">
        <v>1</v>
      </c>
      <c r="AP93" s="27">
        <v>1</v>
      </c>
    </row>
    <row r="94" spans="1:42">
      <c r="A94" s="130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|CffCCCCCC道果属性：|r|n攻击+180000|n生命值+720000|n物理伤害+30%|n法术伤害+30%|n杀敌攻击+8|n杀敌业力+1|n杀敌生命+30|n|n|Cff00FF7F点击吸收道果，强行突破境界。|r</v>
      </c>
      <c r="J94" s="132" t="str">
        <f t="shared" si="22"/>
        <v>|CffFFC926完美的天级道果【7】|r</v>
      </c>
      <c r="K94" s="132" t="str">
        <f t="shared" si="23"/>
        <v>|CffCCCCCC道果属性：|r|n攻击+180000|n生命值+720000|n物理伤害+30%|n法术伤害+30%|n杀敌攻击+8|n杀敌业力+1|n杀敌生命+30|n|n|Cff00FF7F点击吸收道果，强行突破境界。|r</v>
      </c>
      <c r="L94" s="27"/>
      <c r="M94" s="133" t="str">
        <f>VLOOKUP(LEFT(RIGHT(B94,5),4),物品!B:CU,20,FALSE)</f>
        <v>ReplaceableTextures\\CommandButtons\\BTNDG17.blp</v>
      </c>
      <c r="N94" s="151" t="s">
        <v>83</v>
      </c>
      <c r="O94" s="133" t="s">
        <v>91</v>
      </c>
      <c r="P94" s="27">
        <v>0</v>
      </c>
      <c r="Q94" s="27">
        <v>0</v>
      </c>
      <c r="R94" s="151" t="s">
        <v>83</v>
      </c>
      <c r="S94" s="151" t="s">
        <v>83</v>
      </c>
      <c r="T94" s="151" t="s">
        <v>83</v>
      </c>
      <c r="U94" s="151" t="s">
        <v>83</v>
      </c>
      <c r="V94" s="27"/>
      <c r="W94" s="27" t="s">
        <v>93</v>
      </c>
      <c r="X94" s="27">
        <v>0</v>
      </c>
      <c r="Y94" s="151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51" t="s">
        <v>83</v>
      </c>
      <c r="AF94" s="151" t="s">
        <v>83</v>
      </c>
      <c r="AG94" s="151" t="s">
        <v>83</v>
      </c>
      <c r="AH94" s="151" t="s">
        <v>83</v>
      </c>
      <c r="AI94" s="27"/>
      <c r="AJ94" s="27"/>
      <c r="AK94" s="27">
        <v>1</v>
      </c>
      <c r="AL94" s="27">
        <v>1</v>
      </c>
      <c r="AM94" s="151" t="s">
        <v>83</v>
      </c>
      <c r="AN94" s="27">
        <v>1</v>
      </c>
      <c r="AO94" s="27">
        <v>1</v>
      </c>
      <c r="AP94" s="27">
        <v>1</v>
      </c>
    </row>
    <row r="95" spans="1:42">
      <c r="A95" s="130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|CffCCCCCC道果属性：|r|n攻击+300000|n生命值+1200000|n物理伤害+30%|n法术伤害+30%|n杀敌攻击+8|n杀敌业力+1|n杀敌生命+30|n|n|Cff00FF7F点击吸收道果，强行突破境界。|r</v>
      </c>
      <c r="J95" s="132" t="str">
        <f t="shared" si="22"/>
        <v>|CffFFC926完美的仙品道果【8】|r</v>
      </c>
      <c r="K95" s="132" t="str">
        <f t="shared" si="23"/>
        <v>|CffCCCCCC道果属性：|r|n攻击+300000|n生命值+1200000|n物理伤害+30%|n法术伤害+30%|n杀敌攻击+8|n杀敌业力+1|n杀敌生命+30|n|n|Cff00FF7F点击吸收道果，强行突破境界。|r</v>
      </c>
      <c r="L95" s="27"/>
      <c r="M95" s="133" t="str">
        <f>VLOOKUP(LEFT(RIGHT(B95,5),4),物品!B:CU,20,FALSE)</f>
        <v>ReplaceableTextures\\CommandButtons\\BTNDG18.blp</v>
      </c>
      <c r="N95" s="151" t="s">
        <v>83</v>
      </c>
      <c r="O95" s="133" t="s">
        <v>91</v>
      </c>
      <c r="P95" s="27">
        <v>0</v>
      </c>
      <c r="Q95" s="27">
        <v>0</v>
      </c>
      <c r="R95" s="151" t="s">
        <v>83</v>
      </c>
      <c r="S95" s="151" t="s">
        <v>83</v>
      </c>
      <c r="T95" s="151" t="s">
        <v>83</v>
      </c>
      <c r="U95" s="151" t="s">
        <v>83</v>
      </c>
      <c r="V95" s="27"/>
      <c r="W95" s="27" t="s">
        <v>93</v>
      </c>
      <c r="X95" s="27">
        <v>0</v>
      </c>
      <c r="Y95" s="151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51" t="s">
        <v>83</v>
      </c>
      <c r="AF95" s="151" t="s">
        <v>83</v>
      </c>
      <c r="AG95" s="151" t="s">
        <v>83</v>
      </c>
      <c r="AH95" s="151" t="s">
        <v>83</v>
      </c>
      <c r="AI95" s="27"/>
      <c r="AJ95" s="27"/>
      <c r="AK95" s="27">
        <v>1</v>
      </c>
      <c r="AL95" s="27">
        <v>1</v>
      </c>
      <c r="AM95" s="151" t="s">
        <v>83</v>
      </c>
      <c r="AN95" s="27">
        <v>1</v>
      </c>
      <c r="AO95" s="27">
        <v>1</v>
      </c>
      <c r="AP95" s="27">
        <v>1</v>
      </c>
    </row>
    <row r="96" spans="1:42">
      <c r="A96" s="130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|CffCCCCCC道果属性：|r|n攻击+450000|n生命值+1800000|n物理伤害+30%|n法术伤害+30%|n杀敌攻击+8|n杀敌业力+1|n杀敌生命+30|n|n|Cff00FF7F点击吸收道果，强行突破境界。|r</v>
      </c>
      <c r="J96" s="132" t="str">
        <f t="shared" si="22"/>
        <v>|CffFF0000完美的至圣道果【9】|r</v>
      </c>
      <c r="K96" s="132" t="str">
        <f t="shared" si="23"/>
        <v>|CffCCCCCC道果属性：|r|n攻击+450000|n生命值+1800000|n物理伤害+30%|n法术伤害+30%|n杀敌攻击+8|n杀敌业力+1|n杀敌生命+30|n|n|Cff00FF7F点击吸收道果，强行突破境界。|r</v>
      </c>
      <c r="L96" s="27"/>
      <c r="M96" s="133" t="str">
        <f>VLOOKUP(LEFT(RIGHT(B96,5),4),物品!B:CU,20,FALSE)</f>
        <v>ReplaceableTextures\\CommandButtons\\BTNDG19.blp</v>
      </c>
      <c r="N96" s="151" t="s">
        <v>83</v>
      </c>
      <c r="O96" s="133" t="s">
        <v>92</v>
      </c>
      <c r="P96" s="27">
        <v>0</v>
      </c>
      <c r="Q96" s="27">
        <v>0</v>
      </c>
      <c r="R96" s="151" t="s">
        <v>83</v>
      </c>
      <c r="S96" s="151" t="s">
        <v>83</v>
      </c>
      <c r="T96" s="151" t="s">
        <v>83</v>
      </c>
      <c r="U96" s="151" t="s">
        <v>83</v>
      </c>
      <c r="V96" s="27"/>
      <c r="W96" s="27" t="s">
        <v>93</v>
      </c>
      <c r="X96" s="27">
        <v>0</v>
      </c>
      <c r="Y96" s="151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51" t="s">
        <v>83</v>
      </c>
      <c r="AF96" s="151" t="s">
        <v>83</v>
      </c>
      <c r="AG96" s="151" t="s">
        <v>83</v>
      </c>
      <c r="AH96" s="151" t="s">
        <v>83</v>
      </c>
      <c r="AI96" s="27"/>
      <c r="AJ96" s="27"/>
      <c r="AK96" s="27">
        <v>1</v>
      </c>
      <c r="AL96" s="27">
        <v>1</v>
      </c>
      <c r="AM96" s="151" t="s">
        <v>83</v>
      </c>
      <c r="AN96" s="27">
        <v>1</v>
      </c>
      <c r="AO96" s="27">
        <v>1</v>
      </c>
      <c r="AP96" s="27">
        <v>1</v>
      </c>
    </row>
    <row r="97" spans="1:42">
      <c r="A97" s="130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|CffCCCCCC道果属性：|r|n攻击+750000|n生命值+3000000|n物理伤害+40%|n法术伤害+40%|n杀敌攻击+8|n杀敌业力+1|n杀敌生命+30|n|n|Cff00FF7F点击吸收道果，强行突破境界。|r</v>
      </c>
      <c r="J97" s="132" t="str">
        <f t="shared" si="22"/>
        <v>|CffFF0000完美的混沌道果【10】|r</v>
      </c>
      <c r="K97" s="132" t="str">
        <f t="shared" si="23"/>
        <v>|CffCCCCCC道果属性：|r|n攻击+750000|n生命值+3000000|n物理伤害+40%|n法术伤害+40%|n杀敌攻击+8|n杀敌业力+1|n杀敌生命+30|n|n|Cff00FF7F点击吸收道果，强行突破境界。|r</v>
      </c>
      <c r="L97" s="27"/>
      <c r="M97" s="133" t="str">
        <f>VLOOKUP(LEFT(RIGHT(B97,5),4),物品!B:CU,20,FALSE)</f>
        <v>ReplaceableTextures\\CommandButtons\\BTNDG20.blp</v>
      </c>
      <c r="N97" s="151" t="s">
        <v>83</v>
      </c>
      <c r="O97" s="133" t="s">
        <v>92</v>
      </c>
      <c r="P97" s="27">
        <v>0</v>
      </c>
      <c r="Q97" s="27">
        <v>0</v>
      </c>
      <c r="R97" s="151" t="s">
        <v>83</v>
      </c>
      <c r="S97" s="151" t="s">
        <v>83</v>
      </c>
      <c r="T97" s="151" t="s">
        <v>83</v>
      </c>
      <c r="U97" s="151" t="s">
        <v>83</v>
      </c>
      <c r="V97" s="27"/>
      <c r="W97" s="27" t="s">
        <v>93</v>
      </c>
      <c r="X97" s="27">
        <v>0</v>
      </c>
      <c r="Y97" s="151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51" t="s">
        <v>83</v>
      </c>
      <c r="AF97" s="151" t="s">
        <v>83</v>
      </c>
      <c r="AG97" s="151" t="s">
        <v>83</v>
      </c>
      <c r="AH97" s="151" t="s">
        <v>83</v>
      </c>
      <c r="AI97" s="27"/>
      <c r="AJ97" s="27"/>
      <c r="AK97" s="27">
        <v>1</v>
      </c>
      <c r="AL97" s="27">
        <v>1</v>
      </c>
      <c r="AM97" s="151" t="s">
        <v>83</v>
      </c>
      <c r="AN97" s="27">
        <v>1</v>
      </c>
      <c r="AO97" s="27">
        <v>1</v>
      </c>
      <c r="AP97" s="27">
        <v>1</v>
      </c>
    </row>
    <row r="98" spans="1:42">
      <c r="A98" s="130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32" t="str">
        <f t="shared" si="20"/>
        <v>残缺的低级道果【1】</v>
      </c>
      <c r="K98" s="132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3" t="str">
        <f>VLOOKUP(LEFT(RIGHT(B98,5),4),物品!B:CU,20,FALSE)</f>
        <v>ReplaceableTextures\\CommandButtons\\BTNDG01.blp</v>
      </c>
      <c r="N98" s="151" t="s">
        <v>83</v>
      </c>
      <c r="O98" s="133" t="s">
        <v>87</v>
      </c>
      <c r="P98" s="27">
        <v>0</v>
      </c>
      <c r="Q98" s="27">
        <v>0</v>
      </c>
      <c r="R98" s="151" t="s">
        <v>83</v>
      </c>
      <c r="S98" s="151" t="s">
        <v>83</v>
      </c>
      <c r="T98" s="151" t="s">
        <v>83</v>
      </c>
      <c r="U98" s="151" t="s">
        <v>83</v>
      </c>
      <c r="V98" s="27"/>
      <c r="W98" s="27" t="s">
        <v>93</v>
      </c>
      <c r="X98" s="27">
        <v>0</v>
      </c>
      <c r="Y98" s="151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51" t="s">
        <v>83</v>
      </c>
      <c r="AF98" s="151" t="s">
        <v>83</v>
      </c>
      <c r="AG98" s="151" t="s">
        <v>83</v>
      </c>
      <c r="AH98" s="151" t="s">
        <v>83</v>
      </c>
      <c r="AI98" s="27"/>
      <c r="AJ98" s="27"/>
      <c r="AK98" s="27">
        <v>1</v>
      </c>
      <c r="AL98" s="27">
        <v>1</v>
      </c>
      <c r="AM98" s="151" t="s">
        <v>83</v>
      </c>
      <c r="AN98" s="27">
        <v>1</v>
      </c>
      <c r="AO98" s="27">
        <v>1</v>
      </c>
      <c r="AP98" s="27">
        <v>1</v>
      </c>
    </row>
    <row r="99" spans="1:42">
      <c r="A99" s="130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|CffCCCCCC道果属性：|r|n攻击+18000|n生命值+72000|n物理伤害+20%|n法术伤害+20%|n杀敌攻击+8|n杀敌业力+1|n杀敌生命+30|n|n|Cff00FF7F点击吸收道果，境界突破一级。|n需境界经验达到圆满。|r</v>
      </c>
      <c r="J99" s="132" t="str">
        <f t="shared" si="20"/>
        <v>残缺的中级道果【2】</v>
      </c>
      <c r="K99" s="132" t="str">
        <f t="shared" si="21"/>
        <v>|CffCCCCCC道果属性：|r|n攻击+18000|n生命值+72000|n物理伤害+20%|n法术伤害+20%|n杀敌攻击+8|n杀敌业力+1|n杀敌生命+30|n|n|Cff00FF7F点击吸收道果，境界突破一级。|n需境界经验达到圆满。|r</v>
      </c>
      <c r="L99" s="27"/>
      <c r="M99" s="133" t="str">
        <f>VLOOKUP(LEFT(RIGHT(B99,5),4),物品!B:CU,20,FALSE)</f>
        <v>ReplaceableTextures\\CommandButtons\\BTNDG02.blp</v>
      </c>
      <c r="N99" s="151" t="s">
        <v>83</v>
      </c>
      <c r="O99" s="133" t="s">
        <v>87</v>
      </c>
      <c r="P99" s="27">
        <v>0</v>
      </c>
      <c r="Q99" s="27">
        <v>0</v>
      </c>
      <c r="R99" s="151" t="s">
        <v>83</v>
      </c>
      <c r="S99" s="151" t="s">
        <v>83</v>
      </c>
      <c r="T99" s="151" t="s">
        <v>83</v>
      </c>
      <c r="U99" s="151" t="s">
        <v>83</v>
      </c>
      <c r="V99" s="27"/>
      <c r="W99" s="27" t="s">
        <v>93</v>
      </c>
      <c r="X99" s="27">
        <v>0</v>
      </c>
      <c r="Y99" s="151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51" t="s">
        <v>83</v>
      </c>
      <c r="AF99" s="151" t="s">
        <v>83</v>
      </c>
      <c r="AG99" s="151" t="s">
        <v>83</v>
      </c>
      <c r="AH99" s="151" t="s">
        <v>83</v>
      </c>
      <c r="AI99" s="27"/>
      <c r="AJ99" s="27"/>
      <c r="AK99" s="27">
        <v>1</v>
      </c>
      <c r="AL99" s="27">
        <v>1</v>
      </c>
      <c r="AM99" s="151" t="s">
        <v>83</v>
      </c>
      <c r="AN99" s="27">
        <v>1</v>
      </c>
      <c r="AO99" s="27">
        <v>1</v>
      </c>
      <c r="AP99" s="27">
        <v>1</v>
      </c>
    </row>
    <row r="100" spans="1:42">
      <c r="A100" s="130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|CffCCCCCC道果属性：|r|n攻击+37500|n生命值+150000|n物理伤害+20%|n法术伤害+20%|n杀敌攻击+8|n杀敌业力+1|n杀敌生命+30|n|n|Cff00FF7F点击吸收道果，境界突破一级。|n需境界经验达到圆满。|r</v>
      </c>
      <c r="J100" s="132" t="str">
        <f t="shared" ref="J100:J103" si="24">H100</f>
        <v>|Cff00FF7F残缺的高级道果【3】|r</v>
      </c>
      <c r="K100" s="132" t="str">
        <f t="shared" ref="K100:K103" si="25">I100</f>
        <v>|CffCCCCCC道果属性：|r|n攻击+37500|n生命值+150000|n物理伤害+20%|n法术伤害+20%|n杀敌攻击+8|n杀敌业力+1|n杀敌生命+30|n|n|Cff00FF7F点击吸收道果，境界突破一级。|n需境界经验达到圆满。|r</v>
      </c>
      <c r="L100" s="27"/>
      <c r="M100" s="133" t="str">
        <f>VLOOKUP(LEFT(RIGHT(B100,5),4),物品!B:CU,20,FALSE)</f>
        <v>ReplaceableTextures\\CommandButtons\\BTNDG03.blp</v>
      </c>
      <c r="N100" s="151" t="s">
        <v>83</v>
      </c>
      <c r="O100" s="133" t="s">
        <v>89</v>
      </c>
      <c r="P100" s="27">
        <v>0</v>
      </c>
      <c r="Q100" s="27">
        <v>0</v>
      </c>
      <c r="R100" s="151" t="s">
        <v>83</v>
      </c>
      <c r="S100" s="151" t="s">
        <v>83</v>
      </c>
      <c r="T100" s="151" t="s">
        <v>83</v>
      </c>
      <c r="U100" s="151" t="s">
        <v>83</v>
      </c>
      <c r="V100" s="27"/>
      <c r="W100" s="27" t="s">
        <v>93</v>
      </c>
      <c r="X100" s="27">
        <v>0</v>
      </c>
      <c r="Y100" s="151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51" t="s">
        <v>83</v>
      </c>
      <c r="AF100" s="151" t="s">
        <v>83</v>
      </c>
      <c r="AG100" s="151" t="s">
        <v>83</v>
      </c>
      <c r="AH100" s="151" t="s">
        <v>83</v>
      </c>
      <c r="AI100" s="27"/>
      <c r="AJ100" s="27"/>
      <c r="AK100" s="27">
        <v>1</v>
      </c>
      <c r="AL100" s="27">
        <v>1</v>
      </c>
      <c r="AM100" s="151" t="s">
        <v>83</v>
      </c>
      <c r="AN100" s="27">
        <v>1</v>
      </c>
      <c r="AO100" s="27">
        <v>1</v>
      </c>
      <c r="AP100" s="27">
        <v>1</v>
      </c>
    </row>
    <row r="101" spans="1:42">
      <c r="A101" s="130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|CffCCCCCC道果属性：|r|n攻击+60000|n生命值+240000|n物理伤害+25%|n法术伤害+25%|n杀敌攻击+8|n杀敌业力+1|n杀敌生命+30|n|n|Cff00FF7F点击吸收道果，境界突破一级。|n需境界经验达到圆满。|r</v>
      </c>
      <c r="J101" s="132" t="str">
        <f t="shared" si="24"/>
        <v>|Cff00FF7F残缺的黄级道果【4】|r</v>
      </c>
      <c r="K101" s="132" t="str">
        <f t="shared" si="25"/>
        <v>|CffCCCCCC道果属性：|r|n攻击+60000|n生命值+240000|n物理伤害+25%|n法术伤害+25%|n杀敌攻击+8|n杀敌业力+1|n杀敌生命+30|n|n|Cff00FF7F点击吸收道果，境界突破一级。|n需境界经验达到圆满。|r</v>
      </c>
      <c r="L101" s="27"/>
      <c r="M101" s="133" t="str">
        <f>VLOOKUP(LEFT(RIGHT(B101,5),4),物品!B:CU,20,FALSE)</f>
        <v>ReplaceableTextures\\CommandButtons\\BTNDG04.blp</v>
      </c>
      <c r="N101" s="151" t="s">
        <v>83</v>
      </c>
      <c r="O101" s="133" t="s">
        <v>89</v>
      </c>
      <c r="P101" s="27">
        <v>0</v>
      </c>
      <c r="Q101" s="27">
        <v>0</v>
      </c>
      <c r="R101" s="151" t="s">
        <v>83</v>
      </c>
      <c r="S101" s="151" t="s">
        <v>83</v>
      </c>
      <c r="T101" s="151" t="s">
        <v>83</v>
      </c>
      <c r="U101" s="151" t="s">
        <v>83</v>
      </c>
      <c r="V101" s="27"/>
      <c r="W101" s="27" t="s">
        <v>93</v>
      </c>
      <c r="X101" s="27">
        <v>0</v>
      </c>
      <c r="Y101" s="151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51" t="s">
        <v>83</v>
      </c>
      <c r="AF101" s="151" t="s">
        <v>83</v>
      </c>
      <c r="AG101" s="151" t="s">
        <v>83</v>
      </c>
      <c r="AH101" s="151" t="s">
        <v>83</v>
      </c>
      <c r="AI101" s="27"/>
      <c r="AJ101" s="27"/>
      <c r="AK101" s="27">
        <v>1</v>
      </c>
      <c r="AL101" s="27">
        <v>1</v>
      </c>
      <c r="AM101" s="151" t="s">
        <v>83</v>
      </c>
      <c r="AN101" s="27">
        <v>1</v>
      </c>
      <c r="AO101" s="27">
        <v>1</v>
      </c>
      <c r="AP101" s="27">
        <v>1</v>
      </c>
    </row>
    <row r="102" spans="1:42">
      <c r="A102" s="130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|CffCCCCCC道果属性：|r|n攻击+82500|n生命值+330000|n物理伤害+25%|n法术伤害+25%|n杀敌攻击+8|n杀敌业力+1|n杀敌生命+30|n|n|Cff00FF7F点击吸收道果，境界突破一级。|n需境界经验达到圆满。|r</v>
      </c>
      <c r="J102" s="132" t="str">
        <f t="shared" si="24"/>
        <v>|Cff00BFFF残缺的玄级道果【5】|r</v>
      </c>
      <c r="K102" s="132" t="str">
        <f t="shared" si="25"/>
        <v>|CffCCCCCC道果属性：|r|n攻击+82500|n生命值+330000|n物理伤害+25%|n法术伤害+25%|n杀敌攻击+8|n杀敌业力+1|n杀敌生命+30|n|n|Cff00FF7F点击吸收道果，境界突破一级。|n需境界经验达到圆满。|r</v>
      </c>
      <c r="L102" s="27"/>
      <c r="M102" s="133" t="str">
        <f>VLOOKUP(LEFT(RIGHT(B102,5),4),物品!B:CU,20,FALSE)</f>
        <v>ReplaceableTextures\\CommandButtons\\BTNDG05.blp</v>
      </c>
      <c r="N102" s="151" t="s">
        <v>83</v>
      </c>
      <c r="O102" s="133" t="s">
        <v>90</v>
      </c>
      <c r="P102" s="27">
        <v>0</v>
      </c>
      <c r="Q102" s="27">
        <v>0</v>
      </c>
      <c r="R102" s="151" t="s">
        <v>83</v>
      </c>
      <c r="S102" s="151" t="s">
        <v>83</v>
      </c>
      <c r="T102" s="151" t="s">
        <v>83</v>
      </c>
      <c r="U102" s="151" t="s">
        <v>83</v>
      </c>
      <c r="V102" s="27"/>
      <c r="W102" s="27" t="s">
        <v>93</v>
      </c>
      <c r="X102" s="27">
        <v>0</v>
      </c>
      <c r="Y102" s="151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51" t="s">
        <v>83</v>
      </c>
      <c r="AF102" s="151" t="s">
        <v>83</v>
      </c>
      <c r="AG102" s="151" t="s">
        <v>83</v>
      </c>
      <c r="AH102" s="151" t="s">
        <v>83</v>
      </c>
      <c r="AI102" s="27"/>
      <c r="AJ102" s="27"/>
      <c r="AK102" s="27">
        <v>1</v>
      </c>
      <c r="AL102" s="27">
        <v>1</v>
      </c>
      <c r="AM102" s="151" t="s">
        <v>83</v>
      </c>
      <c r="AN102" s="27">
        <v>1</v>
      </c>
      <c r="AO102" s="27">
        <v>1</v>
      </c>
      <c r="AP102" s="27">
        <v>1</v>
      </c>
    </row>
    <row r="103" spans="1:42">
      <c r="A103" s="130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|CffCCCCCC道果属性：|r|n攻击+120000|n生命值+480000|n物理伤害+25%|n法术伤害+25%|n杀敌攻击+8|n杀敌业力+1|n杀敌生命+30|n|n|Cff00FF7F点击吸收道果，境界突破一级。|n需境界经验达到圆满。|r</v>
      </c>
      <c r="J103" s="132" t="str">
        <f t="shared" si="24"/>
        <v>|Cff00BFFF残缺的地级道果【6】|r</v>
      </c>
      <c r="K103" s="132" t="str">
        <f t="shared" si="25"/>
        <v>|CffCCCCCC道果属性：|r|n攻击+120000|n生命值+480000|n物理伤害+25%|n法术伤害+25%|n杀敌攻击+8|n杀敌业力+1|n杀敌生命+30|n|n|Cff00FF7F点击吸收道果，境界突破一级。|n需境界经验达到圆满。|r</v>
      </c>
      <c r="L103" s="27"/>
      <c r="M103" s="133" t="str">
        <f>VLOOKUP(LEFT(RIGHT(B103,5),4),物品!B:CU,20,FALSE)</f>
        <v>ReplaceableTextures\\CommandButtons\\BTNDG06.blp</v>
      </c>
      <c r="N103" s="151" t="s">
        <v>83</v>
      </c>
      <c r="O103" s="133" t="s">
        <v>90</v>
      </c>
      <c r="P103" s="27">
        <v>0</v>
      </c>
      <c r="Q103" s="27">
        <v>0</v>
      </c>
      <c r="R103" s="151" t="s">
        <v>83</v>
      </c>
      <c r="S103" s="151" t="s">
        <v>83</v>
      </c>
      <c r="T103" s="151" t="s">
        <v>83</v>
      </c>
      <c r="U103" s="151" t="s">
        <v>83</v>
      </c>
      <c r="V103" s="27"/>
      <c r="W103" s="27" t="s">
        <v>93</v>
      </c>
      <c r="X103" s="27">
        <v>0</v>
      </c>
      <c r="Y103" s="151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51" t="s">
        <v>83</v>
      </c>
      <c r="AF103" s="151" t="s">
        <v>83</v>
      </c>
      <c r="AG103" s="151" t="s">
        <v>83</v>
      </c>
      <c r="AH103" s="151" t="s">
        <v>83</v>
      </c>
      <c r="AI103" s="27"/>
      <c r="AJ103" s="27"/>
      <c r="AK103" s="27">
        <v>1</v>
      </c>
      <c r="AL103" s="27">
        <v>1</v>
      </c>
      <c r="AM103" s="151" t="s">
        <v>83</v>
      </c>
      <c r="AN103" s="27">
        <v>1</v>
      </c>
      <c r="AO103" s="27">
        <v>1</v>
      </c>
      <c r="AP103" s="27">
        <v>1</v>
      </c>
    </row>
    <row r="104" spans="1:42">
      <c r="A104" s="130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|CffCCCCCC道果属性：|r|n攻击+180000|n生命值+720000|n物理伤害+30%|n法术伤害+30%|n杀敌攻击+8|n杀敌业力+1|n杀敌生命+30|n|n|Cff00FF7F点击吸收道果，境界突破一级。|n需境界经验达到圆满。|r</v>
      </c>
      <c r="J104" s="132" t="str">
        <f t="shared" si="20"/>
        <v>|CffFFC926残缺的天级道果【7】|r</v>
      </c>
      <c r="K104" s="132" t="str">
        <f t="shared" si="21"/>
        <v>|CffCCCCCC道果属性：|r|n攻击+180000|n生命值+720000|n物理伤害+30%|n法术伤害+30%|n杀敌攻击+8|n杀敌业力+1|n杀敌生命+30|n|n|Cff00FF7F点击吸收道果，境界突破一级。|n需境界经验达到圆满。|r</v>
      </c>
      <c r="L104" s="27"/>
      <c r="M104" s="133" t="str">
        <f>VLOOKUP(LEFT(RIGHT(B104,5),4),物品!B:CU,20,FALSE)</f>
        <v>ReplaceableTextures\\CommandButtons\\BTNDG07.blp</v>
      </c>
      <c r="N104" s="151" t="s">
        <v>83</v>
      </c>
      <c r="O104" s="133" t="s">
        <v>91</v>
      </c>
      <c r="P104" s="27">
        <v>0</v>
      </c>
      <c r="Q104" s="27">
        <v>0</v>
      </c>
      <c r="R104" s="151" t="s">
        <v>83</v>
      </c>
      <c r="S104" s="151" t="s">
        <v>83</v>
      </c>
      <c r="T104" s="151" t="s">
        <v>83</v>
      </c>
      <c r="U104" s="151" t="s">
        <v>83</v>
      </c>
      <c r="V104" s="27"/>
      <c r="W104" s="27" t="s">
        <v>93</v>
      </c>
      <c r="X104" s="27">
        <v>0</v>
      </c>
      <c r="Y104" s="151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51" t="s">
        <v>83</v>
      </c>
      <c r="AF104" s="151" t="s">
        <v>83</v>
      </c>
      <c r="AG104" s="151" t="s">
        <v>83</v>
      </c>
      <c r="AH104" s="151" t="s">
        <v>83</v>
      </c>
      <c r="AI104" s="27"/>
      <c r="AJ104" s="27"/>
      <c r="AK104" s="27">
        <v>1</v>
      </c>
      <c r="AL104" s="27">
        <v>1</v>
      </c>
      <c r="AM104" s="151" t="s">
        <v>83</v>
      </c>
      <c r="AN104" s="27">
        <v>1</v>
      </c>
      <c r="AO104" s="27">
        <v>1</v>
      </c>
      <c r="AP104" s="27">
        <v>1</v>
      </c>
    </row>
    <row r="105" spans="1:42">
      <c r="A105" s="130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|CffCCCCCC道果属性：|r|n攻击+300000|n生命值+1200000|n物理伤害+30%|n法术伤害+30%|n杀敌攻击+8|n杀敌业力+1|n杀敌生命+30|n|n|Cff00FF7F点击吸收道果，境界突破一级。|n需境界经验达到圆满。|r</v>
      </c>
      <c r="J105" s="132" t="str">
        <f t="shared" si="20"/>
        <v>|CffFFC926残缺的仙品道果【8】|r</v>
      </c>
      <c r="K105" s="132" t="str">
        <f t="shared" si="21"/>
        <v>|CffCCCCCC道果属性：|r|n攻击+300000|n生命值+1200000|n物理伤害+30%|n法术伤害+30%|n杀敌攻击+8|n杀敌业力+1|n杀敌生命+30|n|n|Cff00FF7F点击吸收道果，境界突破一级。|n需境界经验达到圆满。|r</v>
      </c>
      <c r="L105" s="27"/>
      <c r="M105" s="133" t="str">
        <f>VLOOKUP(LEFT(RIGHT(B105,5),4),物品!B:CU,20,FALSE)</f>
        <v>ReplaceableTextures\\CommandButtons\\BTNDG08.blp</v>
      </c>
      <c r="N105" s="151" t="s">
        <v>83</v>
      </c>
      <c r="O105" s="133" t="s">
        <v>91</v>
      </c>
      <c r="P105" s="27">
        <v>0</v>
      </c>
      <c r="Q105" s="27">
        <v>0</v>
      </c>
      <c r="R105" s="151" t="s">
        <v>83</v>
      </c>
      <c r="S105" s="151" t="s">
        <v>83</v>
      </c>
      <c r="T105" s="151" t="s">
        <v>83</v>
      </c>
      <c r="U105" s="151" t="s">
        <v>83</v>
      </c>
      <c r="V105" s="27"/>
      <c r="W105" s="27" t="s">
        <v>93</v>
      </c>
      <c r="X105" s="27">
        <v>0</v>
      </c>
      <c r="Y105" s="151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51" t="s">
        <v>83</v>
      </c>
      <c r="AF105" s="151" t="s">
        <v>83</v>
      </c>
      <c r="AG105" s="151" t="s">
        <v>83</v>
      </c>
      <c r="AH105" s="151" t="s">
        <v>83</v>
      </c>
      <c r="AI105" s="27"/>
      <c r="AJ105" s="27"/>
      <c r="AK105" s="27">
        <v>1</v>
      </c>
      <c r="AL105" s="27">
        <v>1</v>
      </c>
      <c r="AM105" s="151" t="s">
        <v>83</v>
      </c>
      <c r="AN105" s="27">
        <v>1</v>
      </c>
      <c r="AO105" s="27">
        <v>1</v>
      </c>
      <c r="AP105" s="27">
        <v>1</v>
      </c>
    </row>
    <row r="106" spans="1:42">
      <c r="A106" s="130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|CffCCCCCC道果属性：|r|n攻击+450000|n生命值+1800000|n物理伤害+30%|n法术伤害+30%|n杀敌攻击+8|n杀敌业力+1|n杀敌生命+30|n|n|Cff00FF7F点击吸收道果，境界突破一级。|n需境界经验达到圆满。|r</v>
      </c>
      <c r="J106" s="132" t="str">
        <f t="shared" si="20"/>
        <v>|CffFF0000残缺的至圣道果【9】|r</v>
      </c>
      <c r="K106" s="132" t="str">
        <f t="shared" si="21"/>
        <v>|CffCCCCCC道果属性：|r|n攻击+450000|n生命值+1800000|n物理伤害+30%|n法术伤害+30%|n杀敌攻击+8|n杀敌业力+1|n杀敌生命+30|n|n|Cff00FF7F点击吸收道果，境界突破一级。|n需境界经验达到圆满。|r</v>
      </c>
      <c r="L106" s="27"/>
      <c r="M106" s="133" t="str">
        <f>VLOOKUP(LEFT(RIGHT(B106,5),4),物品!B:CU,20,FALSE)</f>
        <v>ReplaceableTextures\\CommandButtons\\BTNDG09.blp</v>
      </c>
      <c r="N106" s="151" t="s">
        <v>83</v>
      </c>
      <c r="O106" s="133" t="s">
        <v>92</v>
      </c>
      <c r="P106" s="27">
        <v>0</v>
      </c>
      <c r="Q106" s="27">
        <v>0</v>
      </c>
      <c r="R106" s="151" t="s">
        <v>83</v>
      </c>
      <c r="S106" s="151" t="s">
        <v>83</v>
      </c>
      <c r="T106" s="151" t="s">
        <v>83</v>
      </c>
      <c r="U106" s="151" t="s">
        <v>83</v>
      </c>
      <c r="V106" s="27"/>
      <c r="W106" s="27" t="s">
        <v>93</v>
      </c>
      <c r="X106" s="27">
        <v>0</v>
      </c>
      <c r="Y106" s="151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51" t="s">
        <v>83</v>
      </c>
      <c r="AF106" s="151" t="s">
        <v>83</v>
      </c>
      <c r="AG106" s="151" t="s">
        <v>83</v>
      </c>
      <c r="AH106" s="151" t="s">
        <v>83</v>
      </c>
      <c r="AI106" s="27"/>
      <c r="AJ106" s="27"/>
      <c r="AK106" s="27">
        <v>1</v>
      </c>
      <c r="AL106" s="27">
        <v>1</v>
      </c>
      <c r="AM106" s="151" t="s">
        <v>83</v>
      </c>
      <c r="AN106" s="27">
        <v>1</v>
      </c>
      <c r="AO106" s="27">
        <v>1</v>
      </c>
      <c r="AP106" s="27">
        <v>1</v>
      </c>
    </row>
    <row r="107" spans="1:42">
      <c r="A107" s="130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J107" s="132" t="str">
        <f t="shared" si="20"/>
        <v>|CffFF0000残缺的混沌道果【10】|r</v>
      </c>
      <c r="K107" s="132" t="str">
        <f t="shared" si="21"/>
        <v>|CffCCCCCC道果属性：|r|n攻击+750000|n生命值+3000000|n物理伤害+40%|n法术伤害+40%|n杀敌攻击+8|n杀敌业力+1|n杀敌生命+30|n|n|Cff00FF7F点击吸收道果，境界突破一级。|n需境界经验达到圆满。|r</v>
      </c>
      <c r="L107" s="27"/>
      <c r="M107" s="133" t="str">
        <f>VLOOKUP(LEFT(RIGHT(B107,5),4),物品!B:CU,20,FALSE)</f>
        <v>ReplaceableTextures\\CommandButtons\\BTNDG10.blp</v>
      </c>
      <c r="N107" s="151" t="s">
        <v>83</v>
      </c>
      <c r="O107" s="133" t="s">
        <v>92</v>
      </c>
      <c r="P107" s="27">
        <v>0</v>
      </c>
      <c r="Q107" s="27">
        <v>0</v>
      </c>
      <c r="R107" s="151" t="s">
        <v>83</v>
      </c>
      <c r="S107" s="151" t="s">
        <v>83</v>
      </c>
      <c r="T107" s="151" t="s">
        <v>83</v>
      </c>
      <c r="U107" s="151" t="s">
        <v>83</v>
      </c>
      <c r="V107" s="27"/>
      <c r="W107" s="27" t="s">
        <v>93</v>
      </c>
      <c r="X107" s="27">
        <v>0</v>
      </c>
      <c r="Y107" s="151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51" t="s">
        <v>83</v>
      </c>
      <c r="AF107" s="151" t="s">
        <v>83</v>
      </c>
      <c r="AG107" s="151" t="s">
        <v>83</v>
      </c>
      <c r="AH107" s="151" t="s">
        <v>83</v>
      </c>
      <c r="AI107" s="27"/>
      <c r="AJ107" s="27"/>
      <c r="AK107" s="27">
        <v>1</v>
      </c>
      <c r="AL107" s="27">
        <v>1</v>
      </c>
      <c r="AM107" s="151" t="s">
        <v>83</v>
      </c>
      <c r="AN107" s="27">
        <v>1</v>
      </c>
      <c r="AO107" s="27">
        <v>1</v>
      </c>
      <c r="AP107" s="27">
        <v>1</v>
      </c>
    </row>
    <row r="108" spans="1:42">
      <c r="A108" s="130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32" t="str">
        <f t="shared" si="20"/>
        <v>Q技能随机卷</v>
      </c>
      <c r="K108" s="132" t="str">
        <f t="shared" si="21"/>
        <v>随机获得|Cffffd24d1|r个|Cffffd24dQ技能|r</v>
      </c>
      <c r="L108" s="27"/>
      <c r="M108" s="133" t="str">
        <f>VLOOKUP(LEFT(RIGHT(B108,5),4),物品!B:CU,20,FALSE)</f>
        <v>ReplaceableTextures\\CommandButtons\\BTN001.blp</v>
      </c>
      <c r="N108" s="151" t="s">
        <v>83</v>
      </c>
      <c r="O108" s="133" t="s">
        <v>94</v>
      </c>
      <c r="P108" s="27">
        <v>0</v>
      </c>
      <c r="Q108" s="27">
        <v>0</v>
      </c>
      <c r="R108" s="151" t="s">
        <v>83</v>
      </c>
      <c r="S108" s="151" t="s">
        <v>83</v>
      </c>
      <c r="T108" s="151" t="s">
        <v>83</v>
      </c>
      <c r="U108" s="151" t="s">
        <v>83</v>
      </c>
      <c r="V108" s="27"/>
      <c r="W108" s="27" t="s">
        <v>93</v>
      </c>
      <c r="X108" s="27">
        <v>0</v>
      </c>
      <c r="Y108" s="151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51" t="s">
        <v>83</v>
      </c>
      <c r="AF108" s="151" t="s">
        <v>83</v>
      </c>
      <c r="AG108" s="151" t="s">
        <v>83</v>
      </c>
      <c r="AH108" s="151" t="s">
        <v>83</v>
      </c>
      <c r="AI108" s="27"/>
      <c r="AJ108" s="27"/>
      <c r="AK108" s="27">
        <v>1</v>
      </c>
      <c r="AL108" s="27">
        <v>1</v>
      </c>
      <c r="AM108" s="151" t="s">
        <v>83</v>
      </c>
      <c r="AN108" s="27">
        <v>1</v>
      </c>
      <c r="AO108" s="27">
        <v>1</v>
      </c>
      <c r="AP108" s="27">
        <v>1</v>
      </c>
    </row>
    <row r="109" spans="1:42">
      <c r="A109" s="130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购买需求：灵力x10|n|n使用技能进阶石可消耗品质潜力提升技能品质，只能对A级及以下的技能使用。</v>
      </c>
      <c r="J109" s="132" t="str">
        <f t="shared" si="20"/>
        <v>|Cff00BFFF技能进阶石【完美】|r</v>
      </c>
      <c r="K109" s="132" t="str">
        <f t="shared" si="21"/>
        <v>购买需求：灵力x10|n|n使用技能进阶石可消耗品质潜力提升技能品质，只能对A级及以下的技能使用。</v>
      </c>
      <c r="L109" s="27"/>
      <c r="M109" s="133" t="str">
        <f>VLOOKUP(LEFT(RIGHT(B109,5),4),物品!B:CU,20,FALSE)</f>
        <v>ReplaceableTextures\\CommandButtons\\BTNIN05.blp</v>
      </c>
      <c r="N109" s="151" t="s">
        <v>83</v>
      </c>
      <c r="O109" s="133" t="s">
        <v>95</v>
      </c>
      <c r="P109" s="27">
        <v>1</v>
      </c>
      <c r="Q109" s="27">
        <v>1</v>
      </c>
      <c r="R109" s="151" t="s">
        <v>83</v>
      </c>
      <c r="S109" s="151" t="s">
        <v>83</v>
      </c>
      <c r="T109" s="151" t="s">
        <v>83</v>
      </c>
      <c r="U109" s="151" t="s">
        <v>83</v>
      </c>
      <c r="V109" s="27"/>
      <c r="W109" s="27" t="s">
        <v>88</v>
      </c>
      <c r="X109" s="27">
        <v>0</v>
      </c>
      <c r="Y109" s="151" t="s">
        <v>83</v>
      </c>
      <c r="Z109" s="27">
        <v>0</v>
      </c>
      <c r="AA109" s="27">
        <v>0</v>
      </c>
      <c r="AB109" s="132">
        <v>0</v>
      </c>
      <c r="AC109" s="27">
        <v>1</v>
      </c>
      <c r="AD109" s="27">
        <v>1</v>
      </c>
      <c r="AE109" s="151" t="s">
        <v>83</v>
      </c>
      <c r="AF109" s="151" t="s">
        <v>83</v>
      </c>
      <c r="AG109" s="151" t="s">
        <v>83</v>
      </c>
      <c r="AH109" s="151" t="s">
        <v>83</v>
      </c>
      <c r="AI109" s="27">
        <v>1</v>
      </c>
      <c r="AJ109" s="27"/>
      <c r="AK109" s="27">
        <v>1</v>
      </c>
      <c r="AL109" s="27">
        <v>1</v>
      </c>
      <c r="AM109" s="151" t="s">
        <v>83</v>
      </c>
      <c r="AN109" s="27">
        <v>1</v>
      </c>
      <c r="AO109" s="27">
        <v>1</v>
      </c>
      <c r="AP109" s="27">
        <v>1</v>
      </c>
    </row>
    <row r="110" spans="1:42">
      <c r="A110" s="130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32" t="str">
        <f t="shared" si="20"/>
        <v>|CffFFD24D品质潜能石【完美】|r</v>
      </c>
      <c r="K110" s="132" t="str">
        <f t="shared" si="21"/>
        <v>购买需求：灵力x20|n|n使用后为指定技能增加1点品质潜力</v>
      </c>
      <c r="L110" s="27"/>
      <c r="M110" s="133" t="str">
        <f>VLOOKUP(LEFT(RIGHT(B110,5),4),物品!B:CU,20,FALSE)</f>
        <v>ReplaceableTextures\\CommandButtons\\BTNIN04.blp</v>
      </c>
      <c r="N110" s="151" t="s">
        <v>83</v>
      </c>
      <c r="O110" s="133" t="s">
        <v>95</v>
      </c>
      <c r="P110" s="27"/>
      <c r="Q110" s="27"/>
      <c r="R110" s="151" t="s">
        <v>83</v>
      </c>
      <c r="S110" s="151" t="s">
        <v>83</v>
      </c>
      <c r="T110" s="151" t="s">
        <v>83</v>
      </c>
      <c r="U110" s="151" t="s">
        <v>83</v>
      </c>
      <c r="V110" s="27"/>
      <c r="W110" s="27" t="s">
        <v>88</v>
      </c>
      <c r="X110" s="27">
        <v>0</v>
      </c>
      <c r="Y110" s="151" t="s">
        <v>83</v>
      </c>
      <c r="Z110" s="27">
        <v>0</v>
      </c>
      <c r="AA110" s="27">
        <v>0</v>
      </c>
      <c r="AB110" s="132">
        <v>0</v>
      </c>
      <c r="AC110" s="27">
        <v>1</v>
      </c>
      <c r="AD110" s="27">
        <v>1</v>
      </c>
      <c r="AE110" s="151" t="s">
        <v>83</v>
      </c>
      <c r="AF110" s="151" t="s">
        <v>83</v>
      </c>
      <c r="AG110" s="151" t="s">
        <v>83</v>
      </c>
      <c r="AH110" s="151" t="s">
        <v>83</v>
      </c>
      <c r="AI110" s="27">
        <v>1</v>
      </c>
      <c r="AJ110" s="27"/>
      <c r="AK110" s="27">
        <v>1</v>
      </c>
      <c r="AL110" s="27">
        <v>1</v>
      </c>
      <c r="AM110" s="151" t="s">
        <v>83</v>
      </c>
      <c r="AN110" s="27">
        <v>1</v>
      </c>
      <c r="AO110" s="27">
        <v>1</v>
      </c>
      <c r="AP110" s="27">
        <v>1</v>
      </c>
    </row>
    <row r="111" spans="1:42">
      <c r="A111" s="130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购买需求：灵力x4|n|n使用技能进阶石可消耗品质潜力提升技能品质，只能对A级及以下的技能使用。只有50%的概率成功</v>
      </c>
      <c r="J111" s="132" t="str">
        <f t="shared" si="20"/>
        <v>|Cff00FF7F技能进阶石【残缺】|r</v>
      </c>
      <c r="K111" s="132" t="str">
        <f t="shared" si="21"/>
        <v>购买需求：灵力x4|n|n使用技能进阶石可消耗品质潜力提升技能品质，只能对A级及以下的技能使用。只有50%的概率成功</v>
      </c>
      <c r="L111" s="27"/>
      <c r="M111" s="133" t="str">
        <f>VLOOKUP(LEFT(RIGHT(B111,5),4),物品!B:CU,20,FALSE)</f>
        <v>ReplaceableTextures\\CommandButtons\\BTNIN06.blp</v>
      </c>
      <c r="N111" s="151" t="s">
        <v>83</v>
      </c>
      <c r="O111" s="133" t="s">
        <v>95</v>
      </c>
      <c r="P111" s="27">
        <v>0</v>
      </c>
      <c r="Q111" s="27">
        <v>1</v>
      </c>
      <c r="R111" s="151" t="s">
        <v>83</v>
      </c>
      <c r="S111" s="151" t="s">
        <v>83</v>
      </c>
      <c r="T111" s="151" t="s">
        <v>83</v>
      </c>
      <c r="U111" s="151" t="s">
        <v>83</v>
      </c>
      <c r="V111" s="27"/>
      <c r="W111" s="27" t="s">
        <v>88</v>
      </c>
      <c r="X111" s="27">
        <v>0</v>
      </c>
      <c r="Y111" s="151" t="s">
        <v>83</v>
      </c>
      <c r="Z111" s="27">
        <v>0</v>
      </c>
      <c r="AA111" s="27">
        <v>0</v>
      </c>
      <c r="AB111" s="132">
        <v>0</v>
      </c>
      <c r="AC111" s="27">
        <v>1</v>
      </c>
      <c r="AD111" s="27">
        <v>1</v>
      </c>
      <c r="AE111" s="151" t="s">
        <v>83</v>
      </c>
      <c r="AF111" s="151" t="s">
        <v>83</v>
      </c>
      <c r="AG111" s="151" t="s">
        <v>83</v>
      </c>
      <c r="AH111" s="151" t="s">
        <v>83</v>
      </c>
      <c r="AI111" s="27">
        <v>1</v>
      </c>
      <c r="AJ111" s="27"/>
      <c r="AK111" s="27">
        <v>1</v>
      </c>
      <c r="AL111" s="27">
        <v>1</v>
      </c>
      <c r="AM111" s="151" t="s">
        <v>83</v>
      </c>
      <c r="AN111" s="27">
        <v>1</v>
      </c>
      <c r="AO111" s="27">
        <v>1</v>
      </c>
      <c r="AP111" s="27">
        <v>1</v>
      </c>
    </row>
    <row r="112" spans="1:42">
      <c r="A112" s="130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32" t="str">
        <f t="shared" si="20"/>
        <v>|CffFFD24D品质潜能石【】|r</v>
      </c>
      <c r="K112" s="132">
        <f t="shared" si="21"/>
        <v>0</v>
      </c>
      <c r="L112" s="27"/>
      <c r="M112" s="133" t="str">
        <f>VLOOKUP(LEFT(RIGHT(B112,5),4),物品!B:CU,20,FALSE)</f>
        <v>ReplaceableTextures\\CommandButtons\\BTNIN04.blp</v>
      </c>
      <c r="N112" s="151" t="s">
        <v>83</v>
      </c>
      <c r="O112" s="133" t="s">
        <v>95</v>
      </c>
      <c r="P112" s="27">
        <v>2</v>
      </c>
      <c r="Q112" s="27">
        <v>1</v>
      </c>
      <c r="R112" s="151" t="s">
        <v>83</v>
      </c>
      <c r="S112" s="151" t="s">
        <v>83</v>
      </c>
      <c r="T112" s="151" t="s">
        <v>83</v>
      </c>
      <c r="U112" s="151" t="s">
        <v>83</v>
      </c>
      <c r="V112" s="27"/>
      <c r="W112" s="27" t="s">
        <v>88</v>
      </c>
      <c r="X112" s="27">
        <v>0</v>
      </c>
      <c r="Y112" s="151" t="s">
        <v>83</v>
      </c>
      <c r="Z112" s="27">
        <v>0</v>
      </c>
      <c r="AA112" s="27">
        <v>0</v>
      </c>
      <c r="AB112" s="132">
        <v>0</v>
      </c>
      <c r="AC112" s="27">
        <v>1</v>
      </c>
      <c r="AD112" s="27">
        <v>1</v>
      </c>
      <c r="AE112" s="151" t="s">
        <v>83</v>
      </c>
      <c r="AF112" s="151" t="s">
        <v>83</v>
      </c>
      <c r="AG112" s="151" t="s">
        <v>83</v>
      </c>
      <c r="AH112" s="151" t="s">
        <v>83</v>
      </c>
      <c r="AI112" s="27">
        <v>1</v>
      </c>
      <c r="AJ112" s="27"/>
      <c r="AK112" s="27">
        <v>1</v>
      </c>
      <c r="AL112" s="27">
        <v>1</v>
      </c>
      <c r="AM112" s="151" t="s">
        <v>83</v>
      </c>
      <c r="AN112" s="27">
        <v>1</v>
      </c>
      <c r="AO112" s="27">
        <v>1</v>
      </c>
      <c r="AP112" s="27">
        <v>1</v>
      </c>
    </row>
    <row r="113" spans="1:42">
      <c r="A113" s="130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使用技能进阶石可消耗品质潜力提升技能品质，只能对A级及以下的技能使用。</v>
      </c>
      <c r="J113" s="132" t="str">
        <f t="shared" ref="J113:J114" si="26">H113</f>
        <v>|Cff00BFFF技能进阶石【完美】|r</v>
      </c>
      <c r="K113" s="132" t="str">
        <f t="shared" ref="K113:K114" si="27">I113</f>
        <v>使用技能进阶石可消耗品质潜力提升技能品质，只能对A级及以下的技能使用。</v>
      </c>
      <c r="L113" s="27"/>
      <c r="M113" s="133" t="str">
        <f>VLOOKUP(LEFT(RIGHT(B113,5),4),物品!B:CU,20,FALSE)</f>
        <v>ReplaceableTextures\\CommandButtons\\BTNIN05.blp</v>
      </c>
      <c r="N113" s="151" t="s">
        <v>83</v>
      </c>
      <c r="O113" s="133" t="s">
        <v>94</v>
      </c>
      <c r="P113" s="27">
        <v>1</v>
      </c>
      <c r="Q113" s="27">
        <v>1</v>
      </c>
      <c r="R113" s="151" t="s">
        <v>83</v>
      </c>
      <c r="S113" s="151" t="s">
        <v>83</v>
      </c>
      <c r="T113" s="151" t="s">
        <v>83</v>
      </c>
      <c r="U113" s="151" t="s">
        <v>83</v>
      </c>
      <c r="V113" s="27"/>
      <c r="W113" s="27" t="s">
        <v>93</v>
      </c>
      <c r="X113" s="27">
        <v>0</v>
      </c>
      <c r="Y113" s="151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51" t="s">
        <v>83</v>
      </c>
      <c r="AF113" s="151" t="s">
        <v>83</v>
      </c>
      <c r="AG113" s="151" t="s">
        <v>83</v>
      </c>
      <c r="AH113" s="151" t="s">
        <v>83</v>
      </c>
      <c r="AI113" s="27"/>
      <c r="AJ113" s="27"/>
      <c r="AK113" s="27">
        <v>1</v>
      </c>
      <c r="AL113" s="27">
        <v>1</v>
      </c>
      <c r="AM113" s="151" t="s">
        <v>83</v>
      </c>
      <c r="AN113" s="27">
        <v>1</v>
      </c>
      <c r="AO113" s="27">
        <v>1</v>
      </c>
      <c r="AP113" s="27">
        <v>1</v>
      </c>
    </row>
    <row r="114" spans="1:42">
      <c r="A114" s="130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|CffFFD24D品质潜能石【完美】|r</v>
      </c>
      <c r="I114" s="27" t="str">
        <f>VLOOKUP(B114,物品!B:CV,99,FALSE)</f>
        <v>使用后为指定技能增加1点品质潜力</v>
      </c>
      <c r="J114" s="132" t="str">
        <f t="shared" si="26"/>
        <v>|CffFFD24D品质潜能石【完美】|r</v>
      </c>
      <c r="K114" s="132" t="str">
        <f t="shared" si="27"/>
        <v>使用后为指定技能增加1点品质潜力</v>
      </c>
      <c r="L114" s="27"/>
      <c r="M114" s="133" t="str">
        <f>VLOOKUP(LEFT(RIGHT(B114,5),4),物品!B:CU,20,FALSE)</f>
        <v>ReplaceableTextures\\CommandButtons\\BTNIN04.blp</v>
      </c>
      <c r="N114" s="151" t="s">
        <v>83</v>
      </c>
      <c r="O114" s="133" t="s">
        <v>94</v>
      </c>
      <c r="P114" s="27"/>
      <c r="Q114" s="27"/>
      <c r="R114" s="151" t="s">
        <v>83</v>
      </c>
      <c r="S114" s="151" t="s">
        <v>83</v>
      </c>
      <c r="T114" s="151" t="s">
        <v>83</v>
      </c>
      <c r="U114" s="151" t="s">
        <v>83</v>
      </c>
      <c r="V114" s="27"/>
      <c r="W114" s="27" t="s">
        <v>93</v>
      </c>
      <c r="X114" s="27">
        <v>0</v>
      </c>
      <c r="Y114" s="151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51" t="s">
        <v>83</v>
      </c>
      <c r="AF114" s="151" t="s">
        <v>83</v>
      </c>
      <c r="AG114" s="151" t="s">
        <v>83</v>
      </c>
      <c r="AH114" s="151" t="s">
        <v>83</v>
      </c>
      <c r="AI114" s="27"/>
      <c r="AJ114" s="27"/>
      <c r="AK114" s="27">
        <v>1</v>
      </c>
      <c r="AL114" s="27">
        <v>1</v>
      </c>
      <c r="AM114" s="151" t="s">
        <v>83</v>
      </c>
      <c r="AN114" s="27">
        <v>1</v>
      </c>
      <c r="AO114" s="27">
        <v>1</v>
      </c>
      <c r="AP114" s="27">
        <v>1</v>
      </c>
    </row>
    <row r="115" spans="1:42">
      <c r="A115" s="130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使用技能进阶石可消耗品质潜力提升技能品质，只能对A级及以下的技能使用。只有50%的概率成功</v>
      </c>
      <c r="J115" s="132" t="str">
        <f t="shared" ref="J115" si="28">H115</f>
        <v>|Cff00FF7F技能进阶石【残缺】|r</v>
      </c>
      <c r="K115" s="132" t="str">
        <f t="shared" ref="K115" si="29">I115</f>
        <v>使用技能进阶石可消耗品质潜力提升技能品质，只能对A级及以下的技能使用。只有50%的概率成功</v>
      </c>
      <c r="L115" s="27"/>
      <c r="M115" s="133" t="str">
        <f>VLOOKUP(LEFT(RIGHT(B115,5),4),物品!B:CU,20,FALSE)</f>
        <v>ReplaceableTextures\\CommandButtons\\BTNIN06.blp</v>
      </c>
      <c r="N115" s="151" t="s">
        <v>83</v>
      </c>
      <c r="O115" s="133" t="s">
        <v>94</v>
      </c>
      <c r="P115" s="27">
        <v>0</v>
      </c>
      <c r="Q115" s="27">
        <v>1</v>
      </c>
      <c r="R115" s="151" t="s">
        <v>83</v>
      </c>
      <c r="S115" s="151" t="s">
        <v>83</v>
      </c>
      <c r="T115" s="151" t="s">
        <v>83</v>
      </c>
      <c r="U115" s="151" t="s">
        <v>83</v>
      </c>
      <c r="V115" s="27"/>
      <c r="W115" s="27" t="s">
        <v>93</v>
      </c>
      <c r="X115" s="27">
        <v>0</v>
      </c>
      <c r="Y115" s="151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51" t="s">
        <v>83</v>
      </c>
      <c r="AF115" s="151" t="s">
        <v>83</v>
      </c>
      <c r="AG115" s="151" t="s">
        <v>83</v>
      </c>
      <c r="AH115" s="151" t="s">
        <v>83</v>
      </c>
      <c r="AI115" s="27"/>
      <c r="AJ115" s="27"/>
      <c r="AK115" s="27">
        <v>1</v>
      </c>
      <c r="AL115" s="27">
        <v>1</v>
      </c>
      <c r="AM115" s="151" t="s">
        <v>83</v>
      </c>
      <c r="AN115" s="27">
        <v>1</v>
      </c>
      <c r="AO115" s="27">
        <v>1</v>
      </c>
      <c r="AP115" s="27">
        <v>1</v>
      </c>
    </row>
    <row r="116" spans="1:42">
      <c r="A116" s="130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32" t="str">
        <f t="shared" ref="J116" si="30">H116</f>
        <v>|CffFFD24D品质潜能石【】|r</v>
      </c>
      <c r="K116" s="132">
        <f t="shared" ref="K116" si="31">I116</f>
        <v>0</v>
      </c>
      <c r="L116" s="27"/>
      <c r="M116" s="133" t="str">
        <f>VLOOKUP(LEFT(RIGHT(B116,5),4),物品!B:CU,20,FALSE)</f>
        <v>ReplaceableTextures\\CommandButtons\\BTNIN04.blp</v>
      </c>
      <c r="N116" s="151" t="s">
        <v>83</v>
      </c>
      <c r="O116" s="133" t="s">
        <v>94</v>
      </c>
      <c r="P116" s="27">
        <v>2</v>
      </c>
      <c r="Q116" s="27">
        <v>1</v>
      </c>
      <c r="R116" s="151" t="s">
        <v>83</v>
      </c>
      <c r="S116" s="151" t="s">
        <v>83</v>
      </c>
      <c r="T116" s="151" t="s">
        <v>83</v>
      </c>
      <c r="U116" s="151" t="s">
        <v>83</v>
      </c>
      <c r="V116" s="27"/>
      <c r="W116" s="27" t="s">
        <v>93</v>
      </c>
      <c r="X116" s="27">
        <v>0</v>
      </c>
      <c r="Y116" s="151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51" t="s">
        <v>83</v>
      </c>
      <c r="AF116" s="151" t="s">
        <v>83</v>
      </c>
      <c r="AG116" s="151" t="s">
        <v>83</v>
      </c>
      <c r="AH116" s="151" t="s">
        <v>83</v>
      </c>
      <c r="AI116" s="27"/>
      <c r="AJ116" s="27"/>
      <c r="AK116" s="27">
        <v>1</v>
      </c>
      <c r="AL116" s="27">
        <v>1</v>
      </c>
      <c r="AM116" s="151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30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获得一个随机品质的法宝。|n|n|Cff00ff7f副本难度影响法宝品质稀有度。|r</v>
      </c>
      <c r="J117" s="132" t="str">
        <f t="shared" ref="J117" si="32">H117</f>
        <v>随机法宝</v>
      </c>
      <c r="K117" s="132" t="str">
        <f t="shared" ref="K117" si="33">I117</f>
        <v>获得一个随机品质的法宝。|n|n|Cff00ff7f副本难度影响法宝品质稀有度。|r</v>
      </c>
      <c r="L117" s="27"/>
      <c r="M117" s="133" t="str">
        <f>VLOOKUP(LEFT(RIGHT(B117,5),4),物品!B:CU,20,FALSE)</f>
        <v>ReplaceableTextures\\CommandButtons\\BTNCF01.blp</v>
      </c>
      <c r="N117" s="151" t="s">
        <v>83</v>
      </c>
      <c r="O117" s="133" t="s">
        <v>95</v>
      </c>
      <c r="P117" s="27">
        <v>0</v>
      </c>
      <c r="Q117" s="27">
        <v>0</v>
      </c>
      <c r="R117" s="151" t="s">
        <v>83</v>
      </c>
      <c r="S117" s="151" t="s">
        <v>83</v>
      </c>
      <c r="T117" s="151" t="s">
        <v>83</v>
      </c>
      <c r="U117" s="151" t="s">
        <v>83</v>
      </c>
      <c r="V117" s="27"/>
      <c r="W117" s="27" t="s">
        <v>88</v>
      </c>
      <c r="X117" s="27">
        <v>0</v>
      </c>
      <c r="Y117" s="151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51" t="s">
        <v>83</v>
      </c>
      <c r="AF117" s="151" t="s">
        <v>83</v>
      </c>
      <c r="AG117" s="151" t="s">
        <v>83</v>
      </c>
      <c r="AH117" s="151" t="s">
        <v>83</v>
      </c>
      <c r="AI117" s="27">
        <v>1</v>
      </c>
      <c r="AJ117" s="27"/>
      <c r="AK117" s="27">
        <v>1</v>
      </c>
      <c r="AL117" s="27">
        <v>1</v>
      </c>
      <c r="AM117" s="151" t="s">
        <v>83</v>
      </c>
      <c r="AN117" s="27">
        <v>1</v>
      </c>
      <c r="AO117" s="27">
        <v>1</v>
      </c>
      <c r="AP117" s="27">
        <v>1</v>
      </c>
    </row>
    <row r="118" spans="1:42">
      <c r="A118" s="130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32" t="str">
        <f t="shared" ref="J118:J121" si="34">H118</f>
        <v>蛋黄月饼</v>
      </c>
      <c r="K118" s="132" t="str">
        <f t="shared" ref="K118:K121" si="35">I118</f>
        <v>回复|Cffffd24d80%|r生命，|Cff00ff7f解除|r异常状态</v>
      </c>
      <c r="L118" s="27"/>
      <c r="M118" s="133" t="str">
        <f>VLOOKUP(LEFT(RIGHT(B118,5),4),物品!B:CU,20,FALSE)</f>
        <v>ReplaceableTextures\\CommandButtons\\BTNI001.blp</v>
      </c>
      <c r="N118" s="151" t="s">
        <v>83</v>
      </c>
      <c r="O118" s="133" t="s">
        <v>94</v>
      </c>
      <c r="P118" s="27">
        <v>0</v>
      </c>
      <c r="Q118" s="27">
        <v>0</v>
      </c>
      <c r="R118" s="151" t="s">
        <v>83</v>
      </c>
      <c r="S118" s="151" t="s">
        <v>83</v>
      </c>
      <c r="T118" s="151" t="s">
        <v>83</v>
      </c>
      <c r="U118" s="151" t="s">
        <v>83</v>
      </c>
      <c r="V118" s="27"/>
      <c r="W118" s="27" t="s">
        <v>93</v>
      </c>
      <c r="X118" s="27">
        <v>0</v>
      </c>
      <c r="Y118" s="151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51" t="s">
        <v>83</v>
      </c>
      <c r="AF118" s="151" t="s">
        <v>83</v>
      </c>
      <c r="AG118" s="151" t="s">
        <v>83</v>
      </c>
      <c r="AH118" s="151" t="s">
        <v>83</v>
      </c>
      <c r="AI118" s="27"/>
      <c r="AJ118" s="27"/>
      <c r="AK118" s="27">
        <v>1</v>
      </c>
      <c r="AL118" s="27">
        <v>1</v>
      </c>
      <c r="AM118" s="151" t="s">
        <v>83</v>
      </c>
      <c r="AN118" s="27">
        <v>1</v>
      </c>
      <c r="AO118" s="27">
        <v>1</v>
      </c>
      <c r="AP118" s="27">
        <v>1</v>
      </c>
    </row>
    <row r="119" spans="1:42">
      <c r="A119" s="130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32" t="str">
        <f t="shared" si="34"/>
        <v>豆沙月饼</v>
      </c>
      <c r="K119" s="132" t="str">
        <f t="shared" si="35"/>
        <v>暴击|Cffff0000+10%|n|n|r|Cff00ff7f效果持续15秒。|r</v>
      </c>
      <c r="L119" s="27"/>
      <c r="M119" s="133" t="str">
        <f>VLOOKUP(LEFT(RIGHT(B119,5),4),物品!B:CU,20,FALSE)</f>
        <v>ReplaceableTextures\\CommandButtons\\BTNI002.blp</v>
      </c>
      <c r="N119" s="151" t="s">
        <v>83</v>
      </c>
      <c r="O119" s="133" t="s">
        <v>94</v>
      </c>
      <c r="P119" s="27">
        <v>0</v>
      </c>
      <c r="Q119" s="27">
        <v>0</v>
      </c>
      <c r="R119" s="151" t="s">
        <v>83</v>
      </c>
      <c r="S119" s="151" t="s">
        <v>83</v>
      </c>
      <c r="T119" s="151" t="s">
        <v>83</v>
      </c>
      <c r="U119" s="151" t="s">
        <v>83</v>
      </c>
      <c r="V119" s="27"/>
      <c r="W119" s="27" t="s">
        <v>93</v>
      </c>
      <c r="X119" s="27">
        <v>0</v>
      </c>
      <c r="Y119" s="151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51" t="s">
        <v>83</v>
      </c>
      <c r="AF119" s="151" t="s">
        <v>83</v>
      </c>
      <c r="AG119" s="151" t="s">
        <v>83</v>
      </c>
      <c r="AH119" s="151" t="s">
        <v>83</v>
      </c>
      <c r="AI119" s="27"/>
      <c r="AJ119" s="27"/>
      <c r="AK119" s="27">
        <v>1</v>
      </c>
      <c r="AL119" s="27">
        <v>1</v>
      </c>
      <c r="AM119" s="151" t="s">
        <v>83</v>
      </c>
      <c r="AN119" s="27">
        <v>1</v>
      </c>
      <c r="AO119" s="27">
        <v>1</v>
      </c>
      <c r="AP119" s="27">
        <v>1</v>
      </c>
    </row>
    <row r="120" spans="1:42">
      <c r="A120" s="130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32" t="str">
        <f t="shared" si="34"/>
        <v>冰皮月饼</v>
      </c>
      <c r="K120" s="132" t="str">
        <f t="shared" si="35"/>
        <v>攻击速度|Cffffd24d+40%|r。|n|n|Cff00ff7f持续15秒。|r</v>
      </c>
      <c r="L120" s="27"/>
      <c r="M120" s="133" t="str">
        <f>VLOOKUP(LEFT(RIGHT(B120,5),4),物品!B:CU,20,FALSE)</f>
        <v>ReplaceableTextures\\CommandButtons\\BTNI003.blp</v>
      </c>
      <c r="N120" s="151" t="s">
        <v>83</v>
      </c>
      <c r="O120" s="133" t="s">
        <v>94</v>
      </c>
      <c r="P120" s="27">
        <v>0</v>
      </c>
      <c r="Q120" s="27">
        <v>0</v>
      </c>
      <c r="R120" s="151" t="s">
        <v>83</v>
      </c>
      <c r="S120" s="151" t="s">
        <v>83</v>
      </c>
      <c r="T120" s="151" t="s">
        <v>83</v>
      </c>
      <c r="U120" s="151" t="s">
        <v>83</v>
      </c>
      <c r="V120" s="27"/>
      <c r="W120" s="27" t="s">
        <v>93</v>
      </c>
      <c r="X120" s="27">
        <v>0</v>
      </c>
      <c r="Y120" s="151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51" t="s">
        <v>83</v>
      </c>
      <c r="AF120" s="151" t="s">
        <v>83</v>
      </c>
      <c r="AG120" s="151" t="s">
        <v>83</v>
      </c>
      <c r="AH120" s="151" t="s">
        <v>83</v>
      </c>
      <c r="AI120" s="27"/>
      <c r="AJ120" s="27"/>
      <c r="AK120" s="27">
        <v>1</v>
      </c>
      <c r="AL120" s="27">
        <v>1</v>
      </c>
      <c r="AM120" s="151" t="s">
        <v>83</v>
      </c>
      <c r="AN120" s="27">
        <v>1</v>
      </c>
      <c r="AO120" s="27">
        <v>1</v>
      </c>
      <c r="AP120" s="27">
        <v>1</v>
      </c>
    </row>
    <row r="121" spans="1:42">
      <c r="A121" s="130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法术伤害提高|Cffffd24d20%|r|Cfff0f0f0。|n|n|r|Cff00ff7f持续15秒。|r</v>
      </c>
      <c r="J121" s="132" t="str">
        <f t="shared" si="34"/>
        <v>果蔬月饼</v>
      </c>
      <c r="K121" s="132" t="str">
        <f t="shared" si="35"/>
        <v>法术伤害提高|Cffffd24d20%|r|Cfff0f0f0。|n|n|r|Cff00ff7f持续15秒。|r</v>
      </c>
      <c r="L121" s="27"/>
      <c r="M121" s="133" t="str">
        <f>VLOOKUP(LEFT(RIGHT(B121,5),4),物品!B:CU,20,FALSE)</f>
        <v>ReplaceableTextures\\CommandButtons\\BTNI004.blp</v>
      </c>
      <c r="N121" s="151" t="s">
        <v>83</v>
      </c>
      <c r="O121" s="133" t="s">
        <v>94</v>
      </c>
      <c r="P121" s="27">
        <v>0</v>
      </c>
      <c r="Q121" s="27">
        <v>0</v>
      </c>
      <c r="R121" s="151" t="s">
        <v>83</v>
      </c>
      <c r="S121" s="151" t="s">
        <v>83</v>
      </c>
      <c r="T121" s="151" t="s">
        <v>83</v>
      </c>
      <c r="U121" s="151" t="s">
        <v>83</v>
      </c>
      <c r="V121" s="27"/>
      <c r="W121" s="27" t="s">
        <v>93</v>
      </c>
      <c r="X121" s="27">
        <v>0</v>
      </c>
      <c r="Y121" s="151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51" t="s">
        <v>83</v>
      </c>
      <c r="AF121" s="151" t="s">
        <v>83</v>
      </c>
      <c r="AG121" s="151" t="s">
        <v>83</v>
      </c>
      <c r="AH121" s="151" t="s">
        <v>83</v>
      </c>
      <c r="AI121" s="27"/>
      <c r="AJ121" s="27"/>
      <c r="AK121" s="27">
        <v>1</v>
      </c>
      <c r="AL121" s="27">
        <v>1</v>
      </c>
      <c r="AM121" s="151" t="s">
        <v>83</v>
      </c>
      <c r="AN121" s="27">
        <v>1</v>
      </c>
      <c r="AO121" s="27">
        <v>1</v>
      </c>
      <c r="AP121" s="27">
        <v>1</v>
      </c>
    </row>
    <row r="122" spans="1:42">
      <c r="A122" s="130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物理伤害提高|Cffffd24d20%|r。|n|n|Cff00ff7f持续15秒。|r</v>
      </c>
      <c r="J122" s="132" t="str">
        <f t="shared" ref="J122:J124" si="36">H122</f>
        <v>鲜肉月饼</v>
      </c>
      <c r="K122" s="132" t="str">
        <f t="shared" ref="K122:K124" si="37">I122</f>
        <v>物理伤害提高|Cffffd24d20%|r。|n|n|Cff00ff7f持续15秒。|r</v>
      </c>
      <c r="L122" s="27"/>
      <c r="M122" s="133" t="str">
        <f>VLOOKUP(LEFT(RIGHT(B122,5),4),物品!B:CU,20,FALSE)</f>
        <v>ReplaceableTextures\\CommandButtons\\BTNI005.blp</v>
      </c>
      <c r="N122" s="151" t="s">
        <v>83</v>
      </c>
      <c r="O122" s="133" t="s">
        <v>94</v>
      </c>
      <c r="P122" s="27">
        <v>0</v>
      </c>
      <c r="Q122" s="27">
        <v>0</v>
      </c>
      <c r="R122" s="151" t="s">
        <v>83</v>
      </c>
      <c r="S122" s="151" t="s">
        <v>83</v>
      </c>
      <c r="T122" s="151" t="s">
        <v>83</v>
      </c>
      <c r="U122" s="151" t="s">
        <v>83</v>
      </c>
      <c r="V122" s="27"/>
      <c r="W122" s="27" t="s">
        <v>93</v>
      </c>
      <c r="X122" s="27">
        <v>0</v>
      </c>
      <c r="Y122" s="151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51" t="s">
        <v>83</v>
      </c>
      <c r="AF122" s="151" t="s">
        <v>83</v>
      </c>
      <c r="AG122" s="151" t="s">
        <v>83</v>
      </c>
      <c r="AH122" s="151" t="s">
        <v>83</v>
      </c>
      <c r="AI122" s="27"/>
      <c r="AJ122" s="27"/>
      <c r="AK122" s="27">
        <v>1</v>
      </c>
      <c r="AL122" s="27">
        <v>1</v>
      </c>
      <c r="AM122" s="151" t="s">
        <v>83</v>
      </c>
      <c r="AN122" s="27">
        <v>1</v>
      </c>
      <c r="AO122" s="27">
        <v>1</v>
      </c>
      <c r="AP122" s="27">
        <v>1</v>
      </c>
    </row>
    <row r="123" spans="1:42">
      <c r="A123" s="130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护甲|Cffffd24d+10|r|n金币加成|Cffffd24d+10%|n|r|n击杀300个敌人后奖励：|n|CffFFD24D3000~6000|r金币|n|CffCC99FF1000-2000|r业力|n|n|Cff00FF7F同时只能携带一个招魂幡|r</v>
      </c>
      <c r="J123" s="132" t="str">
        <f t="shared" ref="J123" si="38">H123</f>
        <v>招魂幡Lv0</v>
      </c>
      <c r="K123" s="132" t="str">
        <f t="shared" ref="K123" si="39">I123</f>
        <v>护甲|Cffffd24d+10|r|n金币加成|Cffffd24d+10%|n|r|n击杀300个敌人后奖励：|n|CffFFD24D3000~6000|r金币|n|CffCC99FF1000-2000|r业力|n|n|Cff00FF7F同时只能携带一个招魂幡|r</v>
      </c>
      <c r="L123" s="27"/>
      <c r="M123" s="133" t="str">
        <f>VLOOKUP(LEFT(RIGHT(B123,5),4),物品!B:CU,20,FALSE)</f>
        <v>ReplaceableTextures\\CommandButtons\\BTNZHP1.blp</v>
      </c>
      <c r="N123" s="27">
        <v>0.5</v>
      </c>
      <c r="O123" s="133" t="s">
        <v>96</v>
      </c>
      <c r="P123" s="27">
        <v>0</v>
      </c>
      <c r="Q123" s="27">
        <v>0</v>
      </c>
      <c r="R123" s="151" t="s">
        <v>83</v>
      </c>
      <c r="S123" s="151" t="s">
        <v>83</v>
      </c>
      <c r="T123" s="151" t="s">
        <v>83</v>
      </c>
      <c r="U123" s="151" t="s">
        <v>83</v>
      </c>
      <c r="V123" s="27">
        <v>4</v>
      </c>
      <c r="W123" s="27" t="s">
        <v>85</v>
      </c>
      <c r="X123" s="27">
        <v>0</v>
      </c>
      <c r="Y123" s="151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51" t="s">
        <v>83</v>
      </c>
      <c r="AF123" s="151" t="s">
        <v>83</v>
      </c>
      <c r="AG123" s="151" t="s">
        <v>83</v>
      </c>
      <c r="AH123" s="151" t="s">
        <v>83</v>
      </c>
      <c r="AI123" s="27"/>
      <c r="AJ123" s="27"/>
      <c r="AK123" s="27">
        <v>1</v>
      </c>
      <c r="AL123" s="27">
        <v>1</v>
      </c>
      <c r="AM123" s="151" t="s">
        <v>83</v>
      </c>
      <c r="AN123" s="27">
        <v>300</v>
      </c>
      <c r="AO123" s="27"/>
      <c r="AP123" s="27"/>
    </row>
    <row r="124" spans="1:42">
      <c r="A124" s="130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护甲|cffffd24d+20|n|r金币加成|cffffd24d+15%|n|n|r击杀1000个敌人后奖励：|n|cffffd24d7000~12000|r金币|n|cffcc99ff2000-5000|r业力|n|n|cff00ff7f同时只能携带一个招魂幡|r</v>
      </c>
      <c r="J124" s="132" t="str">
        <f t="shared" si="36"/>
        <v>招魂幡Lv1</v>
      </c>
      <c r="K124" s="132" t="str">
        <f t="shared" si="37"/>
        <v>护甲|cffffd24d+20|n|r金币加成|cffffd24d+15%|n|n|r击杀1000个敌人后奖励：|n|cffffd24d7000~12000|r金币|n|cffcc99ff2000-5000|r业力|n|n|cff00ff7f同时只能携带一个招魂幡|r</v>
      </c>
      <c r="L124" s="27"/>
      <c r="M124" s="133" t="str">
        <f>VLOOKUP(LEFT(RIGHT(B124,5),4),物品!B:CU,20,FALSE)</f>
        <v>ReplaceableTextures\\CommandButtons\\BTNZHP1.blp</v>
      </c>
      <c r="N124" s="27">
        <v>0.5</v>
      </c>
      <c r="O124" s="133" t="s">
        <v>96</v>
      </c>
      <c r="P124" s="27">
        <v>0</v>
      </c>
      <c r="Q124" s="27">
        <v>1</v>
      </c>
      <c r="R124" s="151" t="s">
        <v>83</v>
      </c>
      <c r="S124" s="151" t="s">
        <v>83</v>
      </c>
      <c r="T124" s="151" t="s">
        <v>83</v>
      </c>
      <c r="U124" s="151" t="s">
        <v>83</v>
      </c>
      <c r="V124" s="27">
        <v>4</v>
      </c>
      <c r="W124" s="27" t="s">
        <v>85</v>
      </c>
      <c r="X124" s="27">
        <v>0</v>
      </c>
      <c r="Y124" s="151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51" t="s">
        <v>83</v>
      </c>
      <c r="AF124" s="151" t="s">
        <v>83</v>
      </c>
      <c r="AG124" s="151" t="s">
        <v>83</v>
      </c>
      <c r="AH124" s="151" t="s">
        <v>83</v>
      </c>
      <c r="AI124" s="27"/>
      <c r="AJ124" s="27"/>
      <c r="AK124" s="27">
        <v>1</v>
      </c>
      <c r="AL124" s="27">
        <v>1</v>
      </c>
      <c r="AM124" s="151" t="s">
        <v>83</v>
      </c>
      <c r="AN124" s="27">
        <v>1000</v>
      </c>
      <c r="AO124" s="27"/>
      <c r="AP124" s="27"/>
    </row>
    <row r="125" spans="1:42">
      <c r="A125" s="130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护甲|cffffd24d+50|n|r金币加成|cffffd24d+20%|n|n|r击杀1000个敌人后奖励：|n|cffffd24d8000~13000|r金币|n|cffcc99ff3000-6000|r业力|n|n|cff00ff7f同时只能携带一个招魂幡|r</v>
      </c>
      <c r="J125" s="132" t="str">
        <f t="shared" ref="J125:J126" si="40">H125</f>
        <v>|Cff00FF7F招魂幡Lv2|r</v>
      </c>
      <c r="K125" s="132" t="str">
        <f t="shared" ref="K125:K126" si="41">I125</f>
        <v>护甲|cffffd24d+50|n|r金币加成|cffffd24d+20%|n|n|r击杀1000个敌人后奖励：|n|cffffd24d8000~13000|r金币|n|cffcc99ff3000-6000|r业力|n|n|cff00ff7f同时只能携带一个招魂幡|r</v>
      </c>
      <c r="L125" s="27"/>
      <c r="M125" s="133" t="str">
        <f>VLOOKUP(LEFT(RIGHT(B125,5),4),物品!B:CU,20,FALSE)</f>
        <v>ReplaceableTextures\\CommandButtons\\BTNZHP2.blp</v>
      </c>
      <c r="N125" s="27">
        <v>0.5</v>
      </c>
      <c r="O125" s="133" t="s">
        <v>96</v>
      </c>
      <c r="P125" s="27">
        <v>1</v>
      </c>
      <c r="Q125" s="27">
        <v>1</v>
      </c>
      <c r="R125" s="151" t="s">
        <v>83</v>
      </c>
      <c r="S125" s="151" t="s">
        <v>83</v>
      </c>
      <c r="T125" s="151" t="s">
        <v>83</v>
      </c>
      <c r="U125" s="151" t="s">
        <v>83</v>
      </c>
      <c r="V125" s="27">
        <v>4</v>
      </c>
      <c r="W125" s="27" t="s">
        <v>85</v>
      </c>
      <c r="X125" s="27">
        <v>0</v>
      </c>
      <c r="Y125" s="151" t="s">
        <v>83</v>
      </c>
      <c r="Z125" s="27">
        <v>0</v>
      </c>
      <c r="AA125" s="27">
        <v>0</v>
      </c>
      <c r="AB125" s="27">
        <v>25</v>
      </c>
      <c r="AC125" s="27">
        <v>1</v>
      </c>
      <c r="AD125" s="27">
        <v>1</v>
      </c>
      <c r="AE125" s="151" t="s">
        <v>83</v>
      </c>
      <c r="AF125" s="151" t="s">
        <v>83</v>
      </c>
      <c r="AG125" s="151" t="s">
        <v>83</v>
      </c>
      <c r="AH125" s="151" t="s">
        <v>83</v>
      </c>
      <c r="AI125" s="27"/>
      <c r="AJ125" s="27"/>
      <c r="AK125" s="27">
        <v>1</v>
      </c>
      <c r="AL125" s="27">
        <v>1</v>
      </c>
      <c r="AM125" s="151" t="s">
        <v>83</v>
      </c>
      <c r="AN125" s="27">
        <v>1000</v>
      </c>
      <c r="AO125" s="27"/>
      <c r="AP125" s="27"/>
    </row>
    <row r="126" spans="1:42">
      <c r="A126" s="130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护甲|cffffd24d+100|n|r金币加成|cffffd24d+25%|n|n|r击杀1000个敌人后奖励：|n|cffffd24d9000~14000|r金币|n|cffcc99ff4000-7000|r业力|n|n|cff00ff7f同时只能携带一个招魂幡|r</v>
      </c>
      <c r="J126" s="132" t="str">
        <f t="shared" si="40"/>
        <v>|Cff00BFFF招魂幡Lv3|r</v>
      </c>
      <c r="K126" s="132" t="str">
        <f t="shared" si="41"/>
        <v>护甲|cffffd24d+100|n|r金币加成|cffffd24d+25%|n|n|r击杀1000个敌人后奖励：|n|cffffd24d9000~14000|r金币|n|cffcc99ff4000-7000|r业力|n|n|cff00ff7f同时只能携带一个招魂幡|r</v>
      </c>
      <c r="L126" s="27"/>
      <c r="M126" s="133" t="str">
        <f>VLOOKUP(LEFT(RIGHT(B126,5),4),物品!B:CU,20,FALSE)</f>
        <v>ReplaceableTextures\\CommandButtons\\BTNZHP3.blp</v>
      </c>
      <c r="N126" s="27">
        <v>0.5</v>
      </c>
      <c r="O126" s="133" t="s">
        <v>96</v>
      </c>
      <c r="P126" s="27">
        <v>2</v>
      </c>
      <c r="Q126" s="27">
        <v>1</v>
      </c>
      <c r="R126" s="151" t="s">
        <v>83</v>
      </c>
      <c r="S126" s="151" t="s">
        <v>83</v>
      </c>
      <c r="T126" s="151" t="s">
        <v>83</v>
      </c>
      <c r="U126" s="151" t="s">
        <v>83</v>
      </c>
      <c r="V126" s="27">
        <v>4</v>
      </c>
      <c r="W126" s="27" t="s">
        <v>85</v>
      </c>
      <c r="X126" s="27">
        <v>0</v>
      </c>
      <c r="Y126" s="151" t="s">
        <v>83</v>
      </c>
      <c r="Z126" s="27">
        <v>0</v>
      </c>
      <c r="AA126" s="27">
        <v>0</v>
      </c>
      <c r="AB126" s="27">
        <v>100</v>
      </c>
      <c r="AC126" s="27">
        <v>1</v>
      </c>
      <c r="AD126" s="27">
        <v>1</v>
      </c>
      <c r="AE126" s="151" t="s">
        <v>83</v>
      </c>
      <c r="AF126" s="151" t="s">
        <v>83</v>
      </c>
      <c r="AG126" s="151" t="s">
        <v>83</v>
      </c>
      <c r="AH126" s="151" t="s">
        <v>83</v>
      </c>
      <c r="AI126" s="27"/>
      <c r="AJ126" s="27"/>
      <c r="AK126" s="27">
        <v>1</v>
      </c>
      <c r="AL126" s="27">
        <v>1</v>
      </c>
      <c r="AM126" s="151" t="s">
        <v>83</v>
      </c>
      <c r="AN126" s="27">
        <v>1000</v>
      </c>
      <c r="AO126" s="27"/>
      <c r="AP126" s="27"/>
    </row>
    <row r="127" spans="1:42">
      <c r="A127" s="130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护甲|cffffd24d+200|n|r金币加成|cffffd24d+30%|n|n|r击杀1000个敌人后奖励：|n|cffffd24d10000~15000|r金币|n|cffcc99ff5000-8000|r业力|n|n|cff00ff7f同时只能携带一个招魂幡|r</v>
      </c>
      <c r="J127" s="132" t="str">
        <f t="shared" ref="J127:J129" si="42">H127</f>
        <v>|CffFFD24D招魂幡Lv4|r</v>
      </c>
      <c r="K127" s="132" t="str">
        <f t="shared" ref="K127:K129" si="43">I127</f>
        <v>护甲|cffffd24d+200|n|r金币加成|cffffd24d+30%|n|n|r击杀1000个敌人后奖励：|n|cffffd24d10000~15000|r金币|n|cffcc99ff5000-8000|r业力|n|n|cff00ff7f同时只能携带一个招魂幡|r</v>
      </c>
      <c r="L127" s="27"/>
      <c r="M127" s="133" t="str">
        <f>VLOOKUP(LEFT(RIGHT(B127,5),4),物品!B:CU,20,FALSE)</f>
        <v>ReplaceableTextures\\CommandButtons\\BTNZHP4.blp</v>
      </c>
      <c r="N127" s="27">
        <v>0.5</v>
      </c>
      <c r="O127" s="133" t="s">
        <v>96</v>
      </c>
      <c r="P127" s="27">
        <v>3</v>
      </c>
      <c r="Q127" s="27">
        <v>1</v>
      </c>
      <c r="R127" s="151" t="s">
        <v>83</v>
      </c>
      <c r="S127" s="151" t="s">
        <v>83</v>
      </c>
      <c r="T127" s="151" t="s">
        <v>83</v>
      </c>
      <c r="U127" s="151" t="s">
        <v>83</v>
      </c>
      <c r="V127" s="27">
        <v>4</v>
      </c>
      <c r="W127" s="27" t="s">
        <v>85</v>
      </c>
      <c r="X127" s="27">
        <v>0</v>
      </c>
      <c r="Y127" s="151" t="s">
        <v>83</v>
      </c>
      <c r="Z127" s="27">
        <v>0</v>
      </c>
      <c r="AA127" s="27">
        <v>0</v>
      </c>
      <c r="AB127" s="27">
        <v>500</v>
      </c>
      <c r="AC127" s="27">
        <v>1</v>
      </c>
      <c r="AD127" s="27">
        <v>1</v>
      </c>
      <c r="AE127" s="151" t="s">
        <v>83</v>
      </c>
      <c r="AF127" s="151" t="s">
        <v>83</v>
      </c>
      <c r="AG127" s="151" t="s">
        <v>83</v>
      </c>
      <c r="AH127" s="151" t="s">
        <v>83</v>
      </c>
      <c r="AI127" s="27"/>
      <c r="AJ127" s="27"/>
      <c r="AK127" s="27">
        <v>1</v>
      </c>
      <c r="AL127" s="27">
        <v>1</v>
      </c>
      <c r="AM127" s="151" t="s">
        <v>83</v>
      </c>
      <c r="AN127" s="27">
        <v>1000</v>
      </c>
      <c r="AO127" s="27"/>
      <c r="AP127" s="27"/>
    </row>
    <row r="128" spans="1:42">
      <c r="A128" s="130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护甲|cffffd24d+300|n|r金币加成|cffffd24d+35%|n|n|r击杀1000个敌人后奖励：|n|cffffd24d12000~17000|r金币|n|cffcc99ff6000-9000|r业力|n|n|cff00ff7f同时只能携带一个招魂幡|r</v>
      </c>
      <c r="J128" s="132" t="str">
        <f t="shared" ref="J128" si="44">H128</f>
        <v>|CffFF0000招魂幡Lv5|r</v>
      </c>
      <c r="K128" s="132" t="str">
        <f t="shared" ref="K128" si="45">I128</f>
        <v>护甲|cffffd24d+300|n|r金币加成|cffffd24d+35%|n|n|r击杀1000个敌人后奖励：|n|cffffd24d12000~17000|r金币|n|cffcc99ff6000-9000|r业力|n|n|cff00ff7f同时只能携带一个招魂幡|r</v>
      </c>
      <c r="L128" s="27"/>
      <c r="M128" s="133" t="str">
        <f>VLOOKUP(LEFT(RIGHT(B128,5),4),物品!B:CU,20,FALSE)</f>
        <v>ReplaceableTextures\\CommandButtons\\BTNZHP5.blp</v>
      </c>
      <c r="N128" s="27">
        <v>0.5</v>
      </c>
      <c r="O128" s="133" t="s">
        <v>96</v>
      </c>
      <c r="P128" s="27">
        <v>0</v>
      </c>
      <c r="Q128" s="27">
        <v>0</v>
      </c>
      <c r="R128" s="151" t="s">
        <v>83</v>
      </c>
      <c r="S128" s="151" t="s">
        <v>83</v>
      </c>
      <c r="T128" s="151" t="s">
        <v>83</v>
      </c>
      <c r="U128" s="151" t="s">
        <v>83</v>
      </c>
      <c r="V128" s="27">
        <v>4</v>
      </c>
      <c r="W128" s="27" t="s">
        <v>85</v>
      </c>
      <c r="X128" s="27">
        <v>0</v>
      </c>
      <c r="Y128" s="151" t="s">
        <v>83</v>
      </c>
      <c r="Z128" s="27">
        <v>0</v>
      </c>
      <c r="AA128" s="27">
        <v>0</v>
      </c>
      <c r="AB128" s="27">
        <v>500</v>
      </c>
      <c r="AC128" s="27">
        <v>1</v>
      </c>
      <c r="AD128" s="27">
        <v>1</v>
      </c>
      <c r="AE128" s="151" t="s">
        <v>83</v>
      </c>
      <c r="AF128" s="151" t="s">
        <v>83</v>
      </c>
      <c r="AG128" s="151" t="s">
        <v>83</v>
      </c>
      <c r="AH128" s="151" t="s">
        <v>83</v>
      </c>
      <c r="AI128" s="27"/>
      <c r="AJ128" s="27"/>
      <c r="AK128" s="27">
        <v>1</v>
      </c>
      <c r="AL128" s="27">
        <v>1</v>
      </c>
      <c r="AM128" s="151" t="s">
        <v>83</v>
      </c>
      <c r="AN128" s="27">
        <v>1000</v>
      </c>
      <c r="AO128" s="27"/>
      <c r="AP128" s="27"/>
    </row>
    <row r="129" spans="1:42">
      <c r="A129" s="130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开启后获得一个|Cffffd24d随机锦囊|r。</v>
      </c>
      <c r="J129" s="132" t="str">
        <f t="shared" si="42"/>
        <v>|CffFFD24D锦囊|r</v>
      </c>
      <c r="K129" s="132" t="str">
        <f t="shared" si="43"/>
        <v>开启后获得一个|Cffffd24d随机锦囊|r。</v>
      </c>
      <c r="L129" s="27"/>
      <c r="M129" s="133" t="str">
        <f>VLOOKUP(LEFT(RIGHT(B129,5),4),物品!B:CU,20,FALSE)</f>
        <v>ReplaceableTextures\\CommandButtons\\BTNIN00.blp</v>
      </c>
      <c r="N129" s="27">
        <v>0.8</v>
      </c>
      <c r="O129" s="133" t="s">
        <v>97</v>
      </c>
      <c r="P129" s="27">
        <v>0</v>
      </c>
      <c r="Q129" s="27">
        <v>0</v>
      </c>
      <c r="R129" s="151" t="s">
        <v>83</v>
      </c>
      <c r="S129" s="151" t="s">
        <v>83</v>
      </c>
      <c r="T129" s="151" t="s">
        <v>83</v>
      </c>
      <c r="U129" s="151" t="s">
        <v>83</v>
      </c>
      <c r="V129" s="27"/>
      <c r="W129" s="27" t="s">
        <v>93</v>
      </c>
      <c r="X129" s="27">
        <v>0</v>
      </c>
      <c r="Y129" s="151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51" t="s">
        <v>83</v>
      </c>
      <c r="AF129" s="151" t="s">
        <v>83</v>
      </c>
      <c r="AG129" s="151" t="s">
        <v>83</v>
      </c>
      <c r="AH129" s="151" t="s">
        <v>83</v>
      </c>
      <c r="AI129" s="27"/>
      <c r="AJ129" s="27"/>
      <c r="AK129" s="27">
        <v>1</v>
      </c>
      <c r="AL129" s="27">
        <v>1</v>
      </c>
      <c r="AM129" s="151" t="s">
        <v>83</v>
      </c>
      <c r="AN129" s="27">
        <v>1</v>
      </c>
      <c r="AO129" s="27">
        <v>1</v>
      </c>
      <c r="AP129" s="27">
        <v>1</v>
      </c>
    </row>
    <row r="130" spans="1:42">
      <c r="A130" s="130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来份快餐</v>
      </c>
      <c r="I130" s="27" t="str">
        <f>VLOOKUP(B130,物品!B:CV,99,FALSE)</f>
        <v>每秒回复|Cffffd24d10%|r生命值，持续|Cffffd24d10|r秒</v>
      </c>
      <c r="J130" s="132" t="str">
        <f t="shared" ref="J130" si="46">H130</f>
        <v>来份快餐</v>
      </c>
      <c r="K130" s="132" t="str">
        <f t="shared" ref="K130" si="47">I130</f>
        <v>每秒回复|Cffffd24d10%|r生命值，持续|Cffffd24d10|r秒</v>
      </c>
      <c r="L130" s="27"/>
      <c r="M130" s="133" t="str">
        <f>VLOOKUP(LEFT(RIGHT(B130,5),4),物品!B:CU,20,FALSE)</f>
        <v>ReplaceableTextures\\CommandButtons\\BTNIN07.blp</v>
      </c>
      <c r="N130" s="151" t="s">
        <v>83</v>
      </c>
      <c r="O130" s="133" t="s">
        <v>94</v>
      </c>
      <c r="P130" s="27">
        <v>0</v>
      </c>
      <c r="Q130" s="27">
        <v>0</v>
      </c>
      <c r="R130" s="151" t="s">
        <v>83</v>
      </c>
      <c r="S130" s="151" t="s">
        <v>83</v>
      </c>
      <c r="T130" s="151" t="s">
        <v>83</v>
      </c>
      <c r="U130" s="151" t="s">
        <v>83</v>
      </c>
      <c r="V130" s="27"/>
      <c r="W130" s="27" t="s">
        <v>93</v>
      </c>
      <c r="X130" s="27">
        <v>0</v>
      </c>
      <c r="Y130" s="151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51" t="s">
        <v>83</v>
      </c>
      <c r="AF130" s="151" t="s">
        <v>83</v>
      </c>
      <c r="AG130" s="151" t="s">
        <v>83</v>
      </c>
      <c r="AH130" s="151" t="s">
        <v>83</v>
      </c>
      <c r="AI130" s="27"/>
      <c r="AJ130" s="27"/>
      <c r="AK130" s="27">
        <v>1</v>
      </c>
      <c r="AL130" s="27">
        <v>1</v>
      </c>
      <c r="AM130" s="151" t="s">
        <v>83</v>
      </c>
      <c r="AN130" s="27">
        <v>1</v>
      </c>
      <c r="AO130" s="27">
        <v>1</v>
      </c>
      <c r="AP130" s="27">
        <v>1</v>
      </c>
    </row>
    <row r="131" spans="1:42">
      <c r="A131" s="130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抬你一手</v>
      </c>
      <c r="I131" s="27" t="str">
        <f>VLOOKUP(B131,物品!B:CV,99,FALSE)</f>
        <v>|CffFFC926击杀|r当前存在的|Cffffc926进攻怪|r和|Cffffc926Boss|r。|n|n|Cff00ff7f无法在大决战时使用|r</v>
      </c>
      <c r="J131" s="132" t="str">
        <f t="shared" ref="J131:J133" si="48">H131</f>
        <v>抬你一手</v>
      </c>
      <c r="K131" s="132" t="str">
        <f t="shared" ref="K131:K133" si="49">I131</f>
        <v>|CffFFC926击杀|r当前存在的|Cffffc926进攻怪|r和|Cffffc926Boss|r。|n|n|Cff00ff7f无法在大决战时使用|r</v>
      </c>
      <c r="L131" s="27"/>
      <c r="M131" s="133" t="str">
        <f>VLOOKUP(LEFT(RIGHT(B131,5),4),物品!B:CU,20,FALSE)</f>
        <v>ReplaceableTextures\\CommandButtons\\BTNIN08.blp</v>
      </c>
      <c r="N131" s="151" t="s">
        <v>83</v>
      </c>
      <c r="O131" s="133" t="s">
        <v>94</v>
      </c>
      <c r="P131" s="27">
        <v>0</v>
      </c>
      <c r="Q131" s="27">
        <v>0</v>
      </c>
      <c r="R131" s="151" t="s">
        <v>83</v>
      </c>
      <c r="S131" s="151" t="s">
        <v>83</v>
      </c>
      <c r="T131" s="151" t="s">
        <v>83</v>
      </c>
      <c r="U131" s="151" t="s">
        <v>83</v>
      </c>
      <c r="V131" s="27"/>
      <c r="W131" s="27" t="s">
        <v>93</v>
      </c>
      <c r="X131" s="27">
        <v>0</v>
      </c>
      <c r="Y131" s="151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51" t="s">
        <v>83</v>
      </c>
      <c r="AF131" s="151" t="s">
        <v>83</v>
      </c>
      <c r="AG131" s="151" t="s">
        <v>83</v>
      </c>
      <c r="AH131" s="151" t="s">
        <v>83</v>
      </c>
      <c r="AI131" s="27"/>
      <c r="AJ131" s="27"/>
      <c r="AK131" s="27">
        <v>1</v>
      </c>
      <c r="AL131" s="27">
        <v>1</v>
      </c>
      <c r="AM131" s="151" t="s">
        <v>83</v>
      </c>
      <c r="AN131" s="27">
        <v>1</v>
      </c>
      <c r="AO131" s="27">
        <v>1</v>
      </c>
      <c r="AP131" s="27">
        <v>1</v>
      </c>
    </row>
    <row r="132" spans="1:42">
      <c r="A132" s="130"/>
      <c r="B132" s="27" t="str">
        <f>物品!B132</f>
        <v>IN09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死者苏生</v>
      </c>
      <c r="I132" s="27" t="str">
        <f>VLOOKUP(B132,物品!B:CV,99,FALSE)</f>
        <v>死亡时复活。</v>
      </c>
      <c r="J132" s="132" t="str">
        <f t="shared" si="48"/>
        <v>死者苏生</v>
      </c>
      <c r="K132" s="132" t="str">
        <f t="shared" si="49"/>
        <v>死亡时复活。</v>
      </c>
      <c r="L132" s="27"/>
      <c r="M132" s="133" t="str">
        <f>VLOOKUP(LEFT(RIGHT(B132,5),4),物品!B:CU,20,FALSE)</f>
        <v>ReplaceableTextures\\CommandButtons\\BTNIN09.blp</v>
      </c>
      <c r="N132" s="151" t="s">
        <v>83</v>
      </c>
      <c r="O132" s="133" t="s">
        <v>94</v>
      </c>
      <c r="P132" s="27">
        <v>0</v>
      </c>
      <c r="Q132" s="27">
        <v>0</v>
      </c>
      <c r="R132" s="151" t="s">
        <v>83</v>
      </c>
      <c r="S132" s="151" t="s">
        <v>83</v>
      </c>
      <c r="T132" s="151" t="s">
        <v>83</v>
      </c>
      <c r="U132" s="151" t="s">
        <v>83</v>
      </c>
      <c r="V132" s="27"/>
      <c r="W132" s="27" t="s">
        <v>93</v>
      </c>
      <c r="X132" s="27">
        <v>0</v>
      </c>
      <c r="Y132" s="151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51" t="s">
        <v>83</v>
      </c>
      <c r="AF132" s="151" t="s">
        <v>83</v>
      </c>
      <c r="AG132" s="151" t="s">
        <v>83</v>
      </c>
      <c r="AH132" s="151" t="s">
        <v>83</v>
      </c>
      <c r="AI132" s="27"/>
      <c r="AJ132" s="27"/>
      <c r="AK132" s="27">
        <v>1</v>
      </c>
      <c r="AL132" s="27">
        <v>1</v>
      </c>
      <c r="AM132" s="151" t="s">
        <v>83</v>
      </c>
      <c r="AN132" s="27">
        <v>1</v>
      </c>
      <c r="AO132" s="27">
        <v>1</v>
      </c>
      <c r="AP132" s="27">
        <v>1</v>
      </c>
    </row>
    <row r="133" spans="1:42">
      <c r="A133" s="130"/>
      <c r="B133" s="27" t="str">
        <f>物品!B133</f>
        <v>IN10</v>
      </c>
      <c r="C133" s="27" t="s">
        <v>41</v>
      </c>
      <c r="D133" s="27" t="s">
        <v>81</v>
      </c>
      <c r="E133" s="27" t="s">
        <v>98</v>
      </c>
      <c r="F133" s="27"/>
      <c r="G133" s="27"/>
      <c r="H133" s="27" t="str">
        <f>VLOOKUP(LEFT(RIGHT(B133,5),4),物品!B:CU,2,FALSE)</f>
        <v>福娃这么可爱..</v>
      </c>
      <c r="I133" s="27" t="str">
        <f>VLOOKUP(B133,物品!B:CV,99,FALSE)</f>
        <v>点金一个|Cffffd24d练功房福娃|r，获得|Cffffd24d100|r倍金币奖励</v>
      </c>
      <c r="J133" s="132" t="str">
        <f t="shared" si="48"/>
        <v>福娃这么可爱..</v>
      </c>
      <c r="K133" s="132" t="str">
        <f t="shared" si="49"/>
        <v>点金一个|Cffffd24d练功房福娃|r，获得|Cffffd24d100|r倍金币奖励</v>
      </c>
      <c r="L133" s="27"/>
      <c r="M133" s="133" t="str">
        <f>VLOOKUP(LEFT(RIGHT(B133,5),4),物品!B:CU,20,FALSE)</f>
        <v>ReplaceableTextures\\CommandButtons\\BTNIN10.blp</v>
      </c>
      <c r="N133" s="151" t="s">
        <v>83</v>
      </c>
      <c r="O133" s="133" t="s">
        <v>94</v>
      </c>
      <c r="P133" s="27">
        <v>0</v>
      </c>
      <c r="Q133" s="27">
        <v>0</v>
      </c>
      <c r="R133" s="151" t="s">
        <v>83</v>
      </c>
      <c r="S133" s="151" t="s">
        <v>83</v>
      </c>
      <c r="T133" s="151" t="s">
        <v>83</v>
      </c>
      <c r="U133" s="151" t="s">
        <v>83</v>
      </c>
      <c r="V133" s="27"/>
      <c r="W133" s="27" t="s">
        <v>93</v>
      </c>
      <c r="X133" s="27">
        <v>0</v>
      </c>
      <c r="Y133" s="151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98</v>
      </c>
      <c r="AF133" s="27">
        <v>1</v>
      </c>
      <c r="AG133" s="151" t="s">
        <v>83</v>
      </c>
      <c r="AH133" s="151" t="s">
        <v>83</v>
      </c>
      <c r="AI133" s="27"/>
      <c r="AJ133" s="27"/>
      <c r="AK133" s="27">
        <v>1</v>
      </c>
      <c r="AL133" s="27">
        <v>1</v>
      </c>
      <c r="AM133" s="151" t="s">
        <v>83</v>
      </c>
      <c r="AN133" s="27">
        <v>0</v>
      </c>
      <c r="AO133" s="27">
        <v>0</v>
      </c>
      <c r="AP133" s="27">
        <v>1</v>
      </c>
    </row>
    <row r="134" spans="1:42">
      <c r="A134" s="130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奥里给Lo他</v>
      </c>
      <c r="I134" s="27" t="str">
        <f>VLOOKUP(B134,物品!B:CV,99,FALSE)</f>
        <v>|CffFFD24D5|r秒内提高|Cffffd24d100%|r物理伤害</v>
      </c>
      <c r="J134" s="132" t="str">
        <f t="shared" ref="J134:J140" si="50">H134</f>
        <v>奥里给Lo他</v>
      </c>
      <c r="K134" s="132" t="str">
        <f t="shared" ref="K134:K140" si="51">I134</f>
        <v>|CffFFD24D5|r秒内提高|Cffffd24d100%|r物理伤害</v>
      </c>
      <c r="L134" s="27"/>
      <c r="M134" s="133" t="str">
        <f>VLOOKUP(LEFT(RIGHT(B134,5),4),物品!B:CU,20,FALSE)</f>
        <v>ReplaceableTextures\\CommandButtons\\BTNIN11.blp</v>
      </c>
      <c r="N134" s="151" t="s">
        <v>83</v>
      </c>
      <c r="O134" s="133" t="s">
        <v>94</v>
      </c>
      <c r="P134" s="27">
        <v>0</v>
      </c>
      <c r="Q134" s="27">
        <v>0</v>
      </c>
      <c r="R134" s="151" t="s">
        <v>83</v>
      </c>
      <c r="S134" s="151" t="s">
        <v>83</v>
      </c>
      <c r="T134" s="151" t="s">
        <v>83</v>
      </c>
      <c r="U134" s="151" t="s">
        <v>83</v>
      </c>
      <c r="V134" s="27"/>
      <c r="W134" s="27" t="s">
        <v>93</v>
      </c>
      <c r="X134" s="27">
        <v>0</v>
      </c>
      <c r="Y134" s="151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51" t="s">
        <v>83</v>
      </c>
      <c r="AF134" s="151" t="s">
        <v>83</v>
      </c>
      <c r="AG134" s="151" t="s">
        <v>83</v>
      </c>
      <c r="AH134" s="151" t="s">
        <v>83</v>
      </c>
      <c r="AI134" s="27"/>
      <c r="AJ134" s="27"/>
      <c r="AK134" s="27">
        <v>1</v>
      </c>
      <c r="AL134" s="27">
        <v>1</v>
      </c>
      <c r="AM134" s="151" t="s">
        <v>83</v>
      </c>
      <c r="AN134" s="27">
        <v>1</v>
      </c>
      <c r="AO134" s="27">
        <v>1</v>
      </c>
      <c r="AP134" s="27">
        <v>1</v>
      </c>
    </row>
    <row r="135" spans="1:42">
      <c r="A135" s="130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以逸待劳</v>
      </c>
      <c r="I135" s="27" t="str">
        <f>VLOOKUP(B135,物品!B:CV,99,FALSE)</f>
        <v>在|Cffffd24d基地-周文王|r附近召唤|Cffffd24d1|r个|Cffffd24d黑市商店|r，仅存在|Cffffd24d30|r秒。</v>
      </c>
      <c r="J135" s="132" t="str">
        <f t="shared" si="50"/>
        <v>以逸待劳</v>
      </c>
      <c r="K135" s="132" t="str">
        <f t="shared" si="51"/>
        <v>在|Cffffd24d基地-周文王|r附近召唤|Cffffd24d1|r个|Cffffd24d黑市商店|r，仅存在|Cffffd24d30|r秒。</v>
      </c>
      <c r="L135" s="27"/>
      <c r="M135" s="133" t="str">
        <f>VLOOKUP(LEFT(RIGHT(B135,5),4),物品!B:CU,20,FALSE)</f>
        <v>ReplaceableTextures\\CommandButtons\\BTNIN12.blp</v>
      </c>
      <c r="N135" s="151" t="s">
        <v>83</v>
      </c>
      <c r="O135" s="133" t="s">
        <v>94</v>
      </c>
      <c r="P135" s="27">
        <v>0</v>
      </c>
      <c r="Q135" s="27">
        <v>0</v>
      </c>
      <c r="R135" s="151" t="s">
        <v>83</v>
      </c>
      <c r="S135" s="151" t="s">
        <v>83</v>
      </c>
      <c r="T135" s="151" t="s">
        <v>83</v>
      </c>
      <c r="U135" s="151" t="s">
        <v>83</v>
      </c>
      <c r="V135" s="27"/>
      <c r="W135" s="27" t="s">
        <v>93</v>
      </c>
      <c r="X135" s="27">
        <v>0</v>
      </c>
      <c r="Y135" s="151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51" t="s">
        <v>83</v>
      </c>
      <c r="AF135" s="151" t="s">
        <v>83</v>
      </c>
      <c r="AG135" s="151" t="s">
        <v>83</v>
      </c>
      <c r="AH135" s="151" t="s">
        <v>83</v>
      </c>
      <c r="AI135" s="27"/>
      <c r="AJ135" s="27"/>
      <c r="AK135" s="27">
        <v>1</v>
      </c>
      <c r="AL135" s="27">
        <v>1</v>
      </c>
      <c r="AM135" s="151" t="s">
        <v>83</v>
      </c>
      <c r="AN135" s="27">
        <v>1</v>
      </c>
      <c r="AO135" s="27">
        <v>1</v>
      </c>
      <c r="AP135" s="27">
        <v>1</v>
      </c>
    </row>
    <row r="136" spans="1:42">
      <c r="A136" s="130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全军出击</v>
      </c>
      <c r="I136" s="27" t="str">
        <f>VLOOKUP(B136,物品!B:CV,99,FALSE)</f>
        <v>场上存活的队友|Cffffd24d10|r秒内提高|Cffffd24d30%|r法术伤害</v>
      </c>
      <c r="J136" s="132" t="str">
        <f t="shared" si="50"/>
        <v>全军出击</v>
      </c>
      <c r="K136" s="132" t="str">
        <f t="shared" si="51"/>
        <v>场上存活的队友|Cffffd24d10|r秒内提高|Cffffd24d30%|r法术伤害</v>
      </c>
      <c r="L136" s="27"/>
      <c r="M136" s="133" t="str">
        <f>VLOOKUP(LEFT(RIGHT(B136,5),4),物品!B:CU,20,FALSE)</f>
        <v>ReplaceableTextures\\CommandButtons\\BTNIN13.blp</v>
      </c>
      <c r="N136" s="151" t="s">
        <v>83</v>
      </c>
      <c r="O136" s="133" t="s">
        <v>94</v>
      </c>
      <c r="P136" s="27">
        <v>0</v>
      </c>
      <c r="Q136" s="27">
        <v>0</v>
      </c>
      <c r="R136" s="151" t="s">
        <v>83</v>
      </c>
      <c r="S136" s="151" t="s">
        <v>83</v>
      </c>
      <c r="T136" s="151" t="s">
        <v>83</v>
      </c>
      <c r="U136" s="151" t="s">
        <v>83</v>
      </c>
      <c r="V136" s="27"/>
      <c r="W136" s="27" t="s">
        <v>93</v>
      </c>
      <c r="X136" s="27">
        <v>0</v>
      </c>
      <c r="Y136" s="151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51" t="s">
        <v>83</v>
      </c>
      <c r="AF136" s="151" t="s">
        <v>83</v>
      </c>
      <c r="AG136" s="151" t="s">
        <v>83</v>
      </c>
      <c r="AH136" s="151" t="s">
        <v>83</v>
      </c>
      <c r="AI136" s="27"/>
      <c r="AJ136" s="27"/>
      <c r="AK136" s="27">
        <v>1</v>
      </c>
      <c r="AL136" s="27">
        <v>1</v>
      </c>
      <c r="AM136" s="151" t="s">
        <v>83</v>
      </c>
      <c r="AN136" s="27">
        <v>1</v>
      </c>
      <c r="AO136" s="27">
        <v>1</v>
      </c>
      <c r="AP136" s="27">
        <v>1</v>
      </c>
    </row>
    <row r="137" spans="1:42">
      <c r="A137" s="130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心跳时刻</v>
      </c>
      <c r="I137" s="27" t="str">
        <f>VLOOKUP(B137,物品!B:CV,99,FALSE)</f>
        <v>使用后基地无敌|Cffffd24d5|r秒。</v>
      </c>
      <c r="J137" s="132" t="str">
        <f t="shared" si="50"/>
        <v>心跳时刻</v>
      </c>
      <c r="K137" s="132" t="str">
        <f t="shared" si="51"/>
        <v>使用后基地无敌|Cffffd24d5|r秒。</v>
      </c>
      <c r="L137" s="27"/>
      <c r="M137" s="133" t="str">
        <f>VLOOKUP(LEFT(RIGHT(B137,5),4),物品!B:CU,20,FALSE)</f>
        <v>ReplaceableTextures\\CommandButtons\\BTNIN14.blp</v>
      </c>
      <c r="N137" s="151" t="s">
        <v>83</v>
      </c>
      <c r="O137" s="133" t="s">
        <v>94</v>
      </c>
      <c r="P137" s="27">
        <v>0</v>
      </c>
      <c r="Q137" s="27">
        <v>0</v>
      </c>
      <c r="R137" s="151" t="s">
        <v>83</v>
      </c>
      <c r="S137" s="151" t="s">
        <v>83</v>
      </c>
      <c r="T137" s="151" t="s">
        <v>83</v>
      </c>
      <c r="U137" s="151" t="s">
        <v>83</v>
      </c>
      <c r="V137" s="27"/>
      <c r="W137" s="27" t="s">
        <v>93</v>
      </c>
      <c r="X137" s="27">
        <v>0</v>
      </c>
      <c r="Y137" s="151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51" t="s">
        <v>83</v>
      </c>
      <c r="AF137" s="151" t="s">
        <v>83</v>
      </c>
      <c r="AG137" s="151" t="s">
        <v>83</v>
      </c>
      <c r="AH137" s="151" t="s">
        <v>83</v>
      </c>
      <c r="AI137" s="27"/>
      <c r="AJ137" s="27"/>
      <c r="AK137" s="27">
        <v>1</v>
      </c>
      <c r="AL137" s="27">
        <v>1</v>
      </c>
      <c r="AM137" s="151" t="s">
        <v>83</v>
      </c>
      <c r="AN137" s="27">
        <v>1</v>
      </c>
      <c r="AO137" s="27">
        <v>1</v>
      </c>
      <c r="AP137" s="27">
        <v>1</v>
      </c>
    </row>
    <row r="138" spans="1:42">
      <c r="A138" s="130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据守</v>
      </c>
      <c r="I138" s="27" t="str">
        <f>VLOOKUP(B138,物品!B:CV,99,FALSE)</f>
        <v>场上存活的队友|Cffffd24d10|r秒内减少|Cffffd24d20%|r承受伤害</v>
      </c>
      <c r="J138" s="132" t="str">
        <f t="shared" si="50"/>
        <v>据守</v>
      </c>
      <c r="K138" s="132" t="str">
        <f t="shared" si="51"/>
        <v>场上存活的队友|Cffffd24d10|r秒内减少|Cffffd24d20%|r承受伤害</v>
      </c>
      <c r="L138" s="27"/>
      <c r="M138" s="133" t="str">
        <f>VLOOKUP(LEFT(RIGHT(B138,5),4),物品!B:CU,20,FALSE)</f>
        <v>ReplaceableTextures\\CommandButtons\\BTNIN15.blp</v>
      </c>
      <c r="N138" s="151" t="s">
        <v>83</v>
      </c>
      <c r="O138" s="133" t="s">
        <v>94</v>
      </c>
      <c r="P138" s="27">
        <v>0</v>
      </c>
      <c r="Q138" s="27">
        <v>0</v>
      </c>
      <c r="R138" s="151" t="s">
        <v>83</v>
      </c>
      <c r="S138" s="151" t="s">
        <v>83</v>
      </c>
      <c r="T138" s="151" t="s">
        <v>83</v>
      </c>
      <c r="U138" s="151" t="s">
        <v>83</v>
      </c>
      <c r="V138" s="27"/>
      <c r="W138" s="27" t="s">
        <v>93</v>
      </c>
      <c r="X138" s="27">
        <v>0</v>
      </c>
      <c r="Y138" s="151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51" t="s">
        <v>83</v>
      </c>
      <c r="AF138" s="151" t="s">
        <v>83</v>
      </c>
      <c r="AG138" s="151" t="s">
        <v>83</v>
      </c>
      <c r="AH138" s="151" t="s">
        <v>83</v>
      </c>
      <c r="AI138" s="27"/>
      <c r="AJ138" s="27"/>
      <c r="AK138" s="27">
        <v>1</v>
      </c>
      <c r="AL138" s="27">
        <v>1</v>
      </c>
      <c r="AM138" s="151" t="s">
        <v>83</v>
      </c>
      <c r="AN138" s="27">
        <v>1</v>
      </c>
      <c r="AO138" s="27">
        <v>1</v>
      </c>
      <c r="AP138" s="27">
        <v>1</v>
      </c>
    </row>
    <row r="139" spans="1:42">
      <c r="A139" s="130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32" t="str">
        <f t="shared" si="50"/>
        <v>赌输可退</v>
      </c>
      <c r="K139" s="132" t="str">
        <f t="shared" si="51"/>
        <v>使|Cffffd24d1|r个|Cffffd24d道果品质|r提高|Cffffd24d-1~+2|r。|n|n|Cff00ff7f只能对天级【7】或以下的道果使用|r</v>
      </c>
      <c r="L139" s="27"/>
      <c r="M139" s="133" t="str">
        <f>VLOOKUP(LEFT(RIGHT(B139,5),4),物品!B:CU,20,FALSE)</f>
        <v>ReplaceableTextures\\CommandButtons\\BTNIN16.blp</v>
      </c>
      <c r="N139" s="151" t="s">
        <v>83</v>
      </c>
      <c r="O139" s="133" t="s">
        <v>94</v>
      </c>
      <c r="P139" s="27">
        <v>0</v>
      </c>
      <c r="Q139" s="27">
        <v>0</v>
      </c>
      <c r="R139" s="151" t="s">
        <v>83</v>
      </c>
      <c r="S139" s="151" t="s">
        <v>83</v>
      </c>
      <c r="T139" s="151" t="s">
        <v>83</v>
      </c>
      <c r="U139" s="151" t="s">
        <v>83</v>
      </c>
      <c r="V139" s="27"/>
      <c r="W139" s="27" t="s">
        <v>93</v>
      </c>
      <c r="X139" s="27">
        <v>0</v>
      </c>
      <c r="Y139" s="151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51" t="s">
        <v>83</v>
      </c>
      <c r="AF139" s="151" t="s">
        <v>83</v>
      </c>
      <c r="AG139" s="151" t="s">
        <v>83</v>
      </c>
      <c r="AH139" s="151" t="s">
        <v>83</v>
      </c>
      <c r="AI139" s="27"/>
      <c r="AJ139" s="27"/>
      <c r="AK139" s="27">
        <v>1</v>
      </c>
      <c r="AL139" s="27">
        <v>1</v>
      </c>
      <c r="AM139" s="151" t="s">
        <v>83</v>
      </c>
      <c r="AN139" s="27">
        <v>1</v>
      </c>
      <c r="AO139" s="27">
        <v>1</v>
      </c>
      <c r="AP139" s="27">
        <v>1</v>
      </c>
    </row>
    <row r="140" spans="1:42">
      <c r="A140" s="130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来点玄铁</v>
      </c>
      <c r="I140" s="27" t="str">
        <f>VLOOKUP(B140,物品!B:CV,99,FALSE)</f>
        <v>玄铁|Cffffd24d+5~50|r</v>
      </c>
      <c r="J140" s="132" t="str">
        <f t="shared" si="50"/>
        <v>来点玄铁</v>
      </c>
      <c r="K140" s="132" t="str">
        <f t="shared" si="51"/>
        <v>玄铁|Cffffd24d+5~50|r</v>
      </c>
      <c r="L140" s="27"/>
      <c r="M140" s="133" t="str">
        <f>VLOOKUP(LEFT(RIGHT(B140,5),4),物品!B:CU,20,FALSE)</f>
        <v>ReplaceableTextures\\CommandButtons\\BTNIN17.blp</v>
      </c>
      <c r="N140" s="151" t="s">
        <v>83</v>
      </c>
      <c r="O140" s="133" t="s">
        <v>94</v>
      </c>
      <c r="P140" s="27">
        <v>0</v>
      </c>
      <c r="Q140" s="27">
        <v>0</v>
      </c>
      <c r="R140" s="151" t="s">
        <v>83</v>
      </c>
      <c r="S140" s="151" t="s">
        <v>83</v>
      </c>
      <c r="T140" s="151" t="s">
        <v>83</v>
      </c>
      <c r="U140" s="151" t="s">
        <v>83</v>
      </c>
      <c r="V140" s="27"/>
      <c r="W140" s="27" t="s">
        <v>93</v>
      </c>
      <c r="X140" s="27">
        <v>0</v>
      </c>
      <c r="Y140" s="151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51" t="s">
        <v>83</v>
      </c>
      <c r="AF140" s="151" t="s">
        <v>83</v>
      </c>
      <c r="AG140" s="151" t="s">
        <v>83</v>
      </c>
      <c r="AH140" s="151" t="s">
        <v>83</v>
      </c>
      <c r="AI140" s="27"/>
      <c r="AJ140" s="27"/>
      <c r="AK140" s="27">
        <v>1</v>
      </c>
      <c r="AL140" s="27">
        <v>1</v>
      </c>
      <c r="AM140" s="151" t="s">
        <v>83</v>
      </c>
      <c r="AN140" s="27">
        <v>1</v>
      </c>
      <c r="AO140" s="27">
        <v>1</v>
      </c>
      <c r="AP140" s="27">
        <v>1</v>
      </c>
    </row>
    <row r="141" spans="1:42">
      <c r="A141" s="130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恭喜发财</v>
      </c>
      <c r="I141" s="27" t="str">
        <f>VLOOKUP(B141,物品!B:CV,99,FALSE)</f>
        <v>|CffFFD24D30|r秒内增加|Cffffd24d30%|r金币加成</v>
      </c>
      <c r="J141" s="132" t="str">
        <f t="shared" ref="J141" si="52">H141</f>
        <v>恭喜发财</v>
      </c>
      <c r="K141" s="132" t="str">
        <f t="shared" ref="K141" si="53">I141</f>
        <v>|CffFFD24D30|r秒内增加|Cffffd24d30%|r金币加成</v>
      </c>
      <c r="L141" s="27"/>
      <c r="M141" s="133" t="str">
        <f>VLOOKUP(LEFT(RIGHT(B141,5),4),物品!B:CU,20,FALSE)</f>
        <v>ReplaceableTextures\\CommandButtons\\BTNIN18.blp</v>
      </c>
      <c r="N141" s="151" t="s">
        <v>83</v>
      </c>
      <c r="O141" s="133" t="s">
        <v>94</v>
      </c>
      <c r="P141" s="27">
        <v>0</v>
      </c>
      <c r="Q141" s="27">
        <v>0</v>
      </c>
      <c r="R141" s="151" t="s">
        <v>83</v>
      </c>
      <c r="S141" s="151" t="s">
        <v>83</v>
      </c>
      <c r="T141" s="151" t="s">
        <v>83</v>
      </c>
      <c r="U141" s="151" t="s">
        <v>83</v>
      </c>
      <c r="V141" s="27"/>
      <c r="W141" s="27" t="s">
        <v>93</v>
      </c>
      <c r="X141" s="27">
        <v>0</v>
      </c>
      <c r="Y141" s="151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51" t="s">
        <v>83</v>
      </c>
      <c r="AF141" s="151" t="s">
        <v>83</v>
      </c>
      <c r="AG141" s="151" t="s">
        <v>83</v>
      </c>
      <c r="AH141" s="151" t="s">
        <v>83</v>
      </c>
      <c r="AI141" s="27"/>
      <c r="AJ141" s="27"/>
      <c r="AK141" s="27">
        <v>1</v>
      </c>
      <c r="AL141" s="27">
        <v>1</v>
      </c>
      <c r="AM141" s="151" t="s">
        <v>83</v>
      </c>
      <c r="AN141" s="27">
        <v>1</v>
      </c>
      <c r="AO141" s="27">
        <v>1</v>
      </c>
      <c r="AP141" s="27">
        <v>1</v>
      </c>
    </row>
    <row r="142" spans="1:42">
      <c r="A142" s="130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32" t="str">
        <f t="shared" ref="J142:J150" si="54">H142</f>
        <v>附魔宝箱</v>
      </c>
      <c r="K142" s="132" t="str">
        <f t="shared" ref="K142:K150" si="55">I142</f>
        <v>使用后获得|Cffffc926随机类型技能附魔石|r</v>
      </c>
      <c r="L142" s="27"/>
      <c r="M142" s="133" t="str">
        <f>VLOOKUP(LEFT(RIGHT(B142,5),4),物品!B:CU,20,FALSE)</f>
        <v>ReplaceableTextures\\CommandButtons\\BTNIN16.blp</v>
      </c>
      <c r="N142" s="151" t="s">
        <v>83</v>
      </c>
      <c r="O142" s="133" t="s">
        <v>99</v>
      </c>
      <c r="P142" s="27">
        <v>0</v>
      </c>
      <c r="Q142" s="27">
        <v>0</v>
      </c>
      <c r="R142" s="151" t="s">
        <v>83</v>
      </c>
      <c r="S142" s="151" t="s">
        <v>83</v>
      </c>
      <c r="T142" s="151" t="s">
        <v>83</v>
      </c>
      <c r="U142" s="151" t="s">
        <v>83</v>
      </c>
      <c r="V142" s="27"/>
      <c r="W142" s="27" t="s">
        <v>93</v>
      </c>
      <c r="X142" s="27">
        <v>0</v>
      </c>
      <c r="Y142" s="151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51" t="s">
        <v>83</v>
      </c>
      <c r="AF142" s="151" t="s">
        <v>83</v>
      </c>
      <c r="AG142" s="151" t="s">
        <v>83</v>
      </c>
      <c r="AH142" s="151" t="s">
        <v>83</v>
      </c>
      <c r="AI142" s="27"/>
      <c r="AJ142" s="27"/>
      <c r="AK142" s="27">
        <v>1</v>
      </c>
      <c r="AL142" s="27">
        <v>1</v>
      </c>
      <c r="AM142" s="151" t="s">
        <v>83</v>
      </c>
      <c r="AN142" s="27">
        <v>1</v>
      </c>
      <c r="AO142" s="27">
        <v>1</v>
      </c>
      <c r="AP142" s="27">
        <v>1</v>
      </c>
    </row>
    <row r="143" spans="1:42">
      <c r="A143" s="130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鼠年大吉</v>
      </c>
      <c r="I143" s="27" t="str">
        <f>VLOOKUP(B143,物品!B:CV,99,FALSE)</f>
        <v>|CffFFD24D30|r秒内杀敌金币|Cffffd24d+10|r</v>
      </c>
      <c r="J143" s="132" t="str">
        <f t="shared" si="54"/>
        <v>鼠年大吉</v>
      </c>
      <c r="K143" s="132" t="str">
        <f t="shared" si="55"/>
        <v>|CffFFD24D30|r秒内杀敌金币|Cffffd24d+10|r</v>
      </c>
      <c r="L143" s="27"/>
      <c r="M143" s="133" t="str">
        <f>VLOOKUP(LEFT(RIGHT(B143,5),4),物品!B:CU,20,FALSE)</f>
        <v>ReplaceableTextures\\CommandButtons\\BTNIN20.blp</v>
      </c>
      <c r="N143" s="151" t="s">
        <v>83</v>
      </c>
      <c r="O143" s="133" t="s">
        <v>94</v>
      </c>
      <c r="P143" s="27">
        <v>0</v>
      </c>
      <c r="Q143" s="27">
        <v>0</v>
      </c>
      <c r="R143" s="151" t="s">
        <v>83</v>
      </c>
      <c r="S143" s="151" t="s">
        <v>83</v>
      </c>
      <c r="T143" s="151" t="s">
        <v>83</v>
      </c>
      <c r="U143" s="151" t="s">
        <v>83</v>
      </c>
      <c r="V143" s="27"/>
      <c r="W143" s="27" t="s">
        <v>93</v>
      </c>
      <c r="X143" s="27">
        <v>0</v>
      </c>
      <c r="Y143" s="151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51" t="s">
        <v>83</v>
      </c>
      <c r="AF143" s="151" t="s">
        <v>83</v>
      </c>
      <c r="AG143" s="151" t="s">
        <v>83</v>
      </c>
      <c r="AH143" s="151" t="s">
        <v>83</v>
      </c>
      <c r="AI143" s="27"/>
      <c r="AJ143" s="27"/>
      <c r="AK143" s="27">
        <v>1</v>
      </c>
      <c r="AL143" s="27">
        <v>1</v>
      </c>
      <c r="AM143" s="151" t="s">
        <v>83</v>
      </c>
      <c r="AN143" s="27">
        <v>1</v>
      </c>
      <c r="AO143" s="27">
        <v>1</v>
      </c>
      <c r="AP143" s="27">
        <v>1</v>
      </c>
    </row>
    <row r="144" spans="1:42">
      <c r="A144" s="130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兄弟们拼了</v>
      </c>
      <c r="I144" s="27" t="str">
        <f>VLOOKUP(B144,物品!B:CV,99,FALSE)</f>
        <v>全体队友|Cffffd24d10|r秒内提高|Cffffd24d30%|r生命恢复，|Cffffd24d物理及法术伤害提高50%|r。|n|Cff00ff7f效果结束时，所有队友当前生命值降低至20%|r|r</v>
      </c>
      <c r="J144" s="132" t="str">
        <f t="shared" si="54"/>
        <v>兄弟们拼了</v>
      </c>
      <c r="K144" s="132" t="str">
        <f t="shared" si="55"/>
        <v>全体队友|Cffffd24d10|r秒内提高|Cffffd24d30%|r生命恢复，|Cffffd24d物理及法术伤害提高50%|r。|n|Cff00ff7f效果结束时，所有队友当前生命值降低至20%|r|r</v>
      </c>
      <c r="L144" s="27"/>
      <c r="M144" s="133" t="str">
        <f>VLOOKUP(LEFT(RIGHT(B144,5),4),物品!B:CU,20,FALSE)</f>
        <v>ReplaceableTextures\\CommandButtons\\BTNIN21.blp</v>
      </c>
      <c r="N144" s="151" t="s">
        <v>83</v>
      </c>
      <c r="O144" s="133" t="s">
        <v>94</v>
      </c>
      <c r="P144" s="27">
        <v>0</v>
      </c>
      <c r="Q144" s="27">
        <v>0</v>
      </c>
      <c r="R144" s="151" t="s">
        <v>83</v>
      </c>
      <c r="S144" s="151" t="s">
        <v>83</v>
      </c>
      <c r="T144" s="151" t="s">
        <v>83</v>
      </c>
      <c r="U144" s="151" t="s">
        <v>83</v>
      </c>
      <c r="V144" s="27"/>
      <c r="W144" s="27" t="s">
        <v>93</v>
      </c>
      <c r="X144" s="27">
        <v>0</v>
      </c>
      <c r="Y144" s="151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51" t="s">
        <v>83</v>
      </c>
      <c r="AF144" s="151" t="s">
        <v>83</v>
      </c>
      <c r="AG144" s="151" t="s">
        <v>83</v>
      </c>
      <c r="AH144" s="151" t="s">
        <v>83</v>
      </c>
      <c r="AI144" s="27"/>
      <c r="AJ144" s="27"/>
      <c r="AK144" s="27">
        <v>1</v>
      </c>
      <c r="AL144" s="27">
        <v>1</v>
      </c>
      <c r="AM144" s="151" t="s">
        <v>83</v>
      </c>
      <c r="AN144" s="27">
        <v>1</v>
      </c>
      <c r="AO144" s="27">
        <v>1</v>
      </c>
      <c r="AP144" s="27">
        <v>1</v>
      </c>
    </row>
    <row r="145" spans="1:42">
      <c r="A145" s="130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老铁忍住啊</v>
      </c>
      <c r="I145" s="27" t="str">
        <f>VLOOKUP(B145,物品!B:CV,99,FALSE)</f>
        <v>使用后|Cffffd24d5|r分钟内|Cffffd24d不使用任何主动技能/药水|r，获得|Cffffd24d1|r个|Cffff0000附魔宝箱|r</v>
      </c>
      <c r="J145" s="132" t="str">
        <f t="shared" si="54"/>
        <v>老铁忍住啊</v>
      </c>
      <c r="K145" s="132" t="str">
        <f t="shared" si="55"/>
        <v>使用后|Cffffd24d5|r分钟内|Cffffd24d不使用任何主动技能/药水|r，获得|Cffffd24d1|r个|Cffff0000附魔宝箱|r</v>
      </c>
      <c r="L145" s="27"/>
      <c r="M145" s="133" t="str">
        <f>VLOOKUP(LEFT(RIGHT(B145,5),4),物品!B:CU,20,FALSE)</f>
        <v>ReplaceableTextures\\CommandButtons\\BTNIN22.blp</v>
      </c>
      <c r="N145" s="151" t="s">
        <v>83</v>
      </c>
      <c r="O145" s="133" t="s">
        <v>94</v>
      </c>
      <c r="P145" s="27">
        <v>0</v>
      </c>
      <c r="Q145" s="27">
        <v>0</v>
      </c>
      <c r="R145" s="151" t="s">
        <v>83</v>
      </c>
      <c r="S145" s="151" t="s">
        <v>83</v>
      </c>
      <c r="T145" s="151" t="s">
        <v>83</v>
      </c>
      <c r="U145" s="151" t="s">
        <v>83</v>
      </c>
      <c r="V145" s="27"/>
      <c r="W145" s="27" t="s">
        <v>93</v>
      </c>
      <c r="X145" s="27">
        <v>0</v>
      </c>
      <c r="Y145" s="151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51" t="s">
        <v>83</v>
      </c>
      <c r="AF145" s="151" t="s">
        <v>83</v>
      </c>
      <c r="AG145" s="151" t="s">
        <v>83</v>
      </c>
      <c r="AH145" s="151" t="s">
        <v>83</v>
      </c>
      <c r="AI145" s="27"/>
      <c r="AJ145" s="27"/>
      <c r="AK145" s="27">
        <v>1</v>
      </c>
      <c r="AL145" s="27">
        <v>1</v>
      </c>
      <c r="AM145" s="151" t="s">
        <v>83</v>
      </c>
      <c r="AN145" s="27">
        <v>1</v>
      </c>
      <c r="AO145" s="27">
        <v>1</v>
      </c>
      <c r="AP145" s="27">
        <v>1</v>
      </c>
    </row>
    <row r="146" spans="1:42">
      <c r="A146" s="130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老铁忍住呀</v>
      </c>
      <c r="I146" s="27" t="str">
        <f>VLOOKUP(B146,物品!B:CV,99,FALSE)</f>
        <v>使用后|Cffffd24d5|r分钟内|Cffffd24d不进行任何挑战|r，获得|Cffffd24d1|r个|Cffff0000附魔宝箱|r</v>
      </c>
      <c r="J146" s="132" t="str">
        <f t="shared" si="54"/>
        <v>老铁忍住呀</v>
      </c>
      <c r="K146" s="132" t="str">
        <f t="shared" si="55"/>
        <v>使用后|Cffffd24d5|r分钟内|Cffffd24d不进行任何挑战|r，获得|Cffffd24d1|r个|Cffff0000附魔宝箱|r</v>
      </c>
      <c r="L146" s="27"/>
      <c r="M146" s="133" t="str">
        <f>VLOOKUP(LEFT(RIGHT(B146,5),4),物品!B:CU,20,FALSE)</f>
        <v>ReplaceableTextures\\CommandButtons\\BTNIN23.blp</v>
      </c>
      <c r="N146" s="151" t="s">
        <v>83</v>
      </c>
      <c r="O146" s="133" t="s">
        <v>94</v>
      </c>
      <c r="P146" s="27">
        <v>0</v>
      </c>
      <c r="Q146" s="27">
        <v>0</v>
      </c>
      <c r="R146" s="151" t="s">
        <v>83</v>
      </c>
      <c r="S146" s="151" t="s">
        <v>83</v>
      </c>
      <c r="T146" s="151" t="s">
        <v>83</v>
      </c>
      <c r="U146" s="151" t="s">
        <v>83</v>
      </c>
      <c r="V146" s="27"/>
      <c r="W146" s="27" t="s">
        <v>93</v>
      </c>
      <c r="X146" s="27">
        <v>0</v>
      </c>
      <c r="Y146" s="151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51" t="s">
        <v>83</v>
      </c>
      <c r="AF146" s="151" t="s">
        <v>83</v>
      </c>
      <c r="AG146" s="151" t="s">
        <v>83</v>
      </c>
      <c r="AH146" s="151" t="s">
        <v>83</v>
      </c>
      <c r="AI146" s="27"/>
      <c r="AJ146" s="27"/>
      <c r="AK146" s="27">
        <v>1</v>
      </c>
      <c r="AL146" s="27">
        <v>1</v>
      </c>
      <c r="AM146" s="151" t="s">
        <v>83</v>
      </c>
      <c r="AN146" s="27">
        <v>1</v>
      </c>
      <c r="AO146" s="27">
        <v>1</v>
      </c>
      <c r="AP146" s="27">
        <v>1</v>
      </c>
    </row>
    <row r="147" spans="1:42">
      <c r="A147" s="130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跳不动了</v>
      </c>
      <c r="I147" s="27" t="str">
        <f>VLOOKUP(B147,物品!B:CV,99,FALSE)</f>
        <v>使用后|Cffffd24d5|r分钟内|Cffffd24d不使用轻功|r，获得|Cffffd24d1|r个|Cffff0000附魔宝箱|r</v>
      </c>
      <c r="J147" s="132" t="str">
        <f t="shared" si="54"/>
        <v>跳不动了</v>
      </c>
      <c r="K147" s="132" t="str">
        <f t="shared" si="55"/>
        <v>使用后|Cffffd24d5|r分钟内|Cffffd24d不使用轻功|r，获得|Cffffd24d1|r个|Cffff0000附魔宝箱|r</v>
      </c>
      <c r="L147" s="27"/>
      <c r="M147" s="133" t="str">
        <f>VLOOKUP(LEFT(RIGHT(B147,5),4),物品!B:CU,20,FALSE)</f>
        <v>ReplaceableTextures\\CommandButtons\\BTNIN24.blp</v>
      </c>
      <c r="N147" s="151" t="s">
        <v>83</v>
      </c>
      <c r="O147" s="133" t="s">
        <v>94</v>
      </c>
      <c r="P147" s="27">
        <v>0</v>
      </c>
      <c r="Q147" s="27">
        <v>0</v>
      </c>
      <c r="R147" s="151" t="s">
        <v>83</v>
      </c>
      <c r="S147" s="151" t="s">
        <v>83</v>
      </c>
      <c r="T147" s="151" t="s">
        <v>83</v>
      </c>
      <c r="U147" s="151" t="s">
        <v>83</v>
      </c>
      <c r="V147" s="27"/>
      <c r="W147" s="27" t="s">
        <v>93</v>
      </c>
      <c r="X147" s="27">
        <v>0</v>
      </c>
      <c r="Y147" s="151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51" t="s">
        <v>83</v>
      </c>
      <c r="AF147" s="151" t="s">
        <v>83</v>
      </c>
      <c r="AG147" s="151" t="s">
        <v>83</v>
      </c>
      <c r="AH147" s="151" t="s">
        <v>83</v>
      </c>
      <c r="AI147" s="27"/>
      <c r="AJ147" s="27"/>
      <c r="AK147" s="27">
        <v>1</v>
      </c>
      <c r="AL147" s="27">
        <v>1</v>
      </c>
      <c r="AM147" s="151" t="s">
        <v>83</v>
      </c>
      <c r="AN147" s="27">
        <v>1</v>
      </c>
      <c r="AO147" s="27">
        <v>1</v>
      </c>
      <c r="AP147" s="27">
        <v>1</v>
      </c>
    </row>
    <row r="148" spans="1:42">
      <c r="A148" s="130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32" t="str">
        <f t="shared" si="54"/>
        <v>|Cff00BFFF入门道果箱|r</v>
      </c>
      <c r="K148" s="132" t="str">
        <f t="shared" si="55"/>
        <v>打开后有几率获得以下奖励：|n【随机品质】中级道果|n|Cff00ff7f【随机品质】高级道果|r</v>
      </c>
      <c r="L148" s="27"/>
      <c r="M148" s="133" t="str">
        <f>VLOOKUP(LEFT(RIGHT(B148,5),4),物品!B:CU,20,FALSE)</f>
        <v>ReplaceableTextures\\CommandButtons\\BTNAM20.blp</v>
      </c>
      <c r="N148" s="151" t="s">
        <v>83</v>
      </c>
      <c r="O148" s="10" t="s">
        <v>100</v>
      </c>
      <c r="P148" s="27">
        <v>0</v>
      </c>
      <c r="Q148" s="27">
        <v>0</v>
      </c>
      <c r="R148" s="151" t="s">
        <v>83</v>
      </c>
      <c r="S148" s="151" t="s">
        <v>83</v>
      </c>
      <c r="T148" s="151" t="s">
        <v>83</v>
      </c>
      <c r="U148" s="151" t="s">
        <v>83</v>
      </c>
      <c r="V148" s="27"/>
      <c r="W148" s="27" t="s">
        <v>93</v>
      </c>
      <c r="X148" s="27">
        <v>0</v>
      </c>
      <c r="Y148" s="151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51" t="s">
        <v>83</v>
      </c>
      <c r="AF148" s="151" t="s">
        <v>83</v>
      </c>
      <c r="AG148" s="151" t="s">
        <v>83</v>
      </c>
      <c r="AH148" s="151" t="s">
        <v>83</v>
      </c>
      <c r="AI148" s="27"/>
      <c r="AJ148" s="27"/>
      <c r="AK148" s="27">
        <v>1</v>
      </c>
      <c r="AL148" s="27">
        <v>1</v>
      </c>
      <c r="AM148" s="151" t="s">
        <v>83</v>
      </c>
      <c r="AN148" s="27">
        <v>1</v>
      </c>
      <c r="AO148" s="27">
        <v>1</v>
      </c>
      <c r="AP148" s="27">
        <v>1</v>
      </c>
    </row>
    <row r="149" spans="1:42">
      <c r="A149" s="130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32" t="str">
        <f t="shared" si="54"/>
        <v>|CffFFD24D后天道果箱|r</v>
      </c>
      <c r="K149" s="132" t="str">
        <f t="shared" si="55"/>
        <v>打开后有几率获得以下奖励：|n|Cff00ff7f【随机品质】黄级道果|r|n|Cff00bfff【随机品质】玄级道果|n【随机品质】地级道果|r</v>
      </c>
      <c r="L149" s="27"/>
      <c r="M149" s="133" t="str">
        <f>VLOOKUP(LEFT(RIGHT(B149,5),4),物品!B:CU,20,FALSE)</f>
        <v>ReplaceableTextures\\CommandButtons\\BTNAM21.blp</v>
      </c>
      <c r="N149" s="151" t="s">
        <v>83</v>
      </c>
      <c r="O149" s="10" t="s">
        <v>101</v>
      </c>
      <c r="P149" s="27">
        <v>0</v>
      </c>
      <c r="Q149" s="27">
        <v>0</v>
      </c>
      <c r="R149" s="151" t="s">
        <v>83</v>
      </c>
      <c r="S149" s="151" t="s">
        <v>83</v>
      </c>
      <c r="T149" s="151" t="s">
        <v>83</v>
      </c>
      <c r="U149" s="151" t="s">
        <v>83</v>
      </c>
      <c r="V149" s="27"/>
      <c r="W149" s="27" t="s">
        <v>93</v>
      </c>
      <c r="X149" s="27">
        <v>0</v>
      </c>
      <c r="Y149" s="151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51" t="s">
        <v>83</v>
      </c>
      <c r="AF149" s="151" t="s">
        <v>83</v>
      </c>
      <c r="AG149" s="151" t="s">
        <v>83</v>
      </c>
      <c r="AH149" s="151" t="s">
        <v>83</v>
      </c>
      <c r="AI149" s="27"/>
      <c r="AJ149" s="27"/>
      <c r="AK149" s="27">
        <v>1</v>
      </c>
      <c r="AL149" s="27">
        <v>1</v>
      </c>
      <c r="AM149" s="151" t="s">
        <v>83</v>
      </c>
      <c r="AN149" s="27">
        <v>1</v>
      </c>
      <c r="AO149" s="27">
        <v>1</v>
      </c>
      <c r="AP149" s="27">
        <v>1</v>
      </c>
    </row>
    <row r="150" spans="1:42">
      <c r="A150" s="130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32" t="str">
        <f t="shared" si="54"/>
        <v>|CffFF0000先天道果箱|r</v>
      </c>
      <c r="K150" s="132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33" t="str">
        <f>VLOOKUP(LEFT(RIGHT(B150,5),4),物品!B:CU,20,FALSE)</f>
        <v>ReplaceableTextures\\CommandButtons\\BTNAM22.blp</v>
      </c>
      <c r="N150" s="151" t="s">
        <v>83</v>
      </c>
      <c r="O150" s="133" t="s">
        <v>102</v>
      </c>
      <c r="P150" s="27">
        <v>0</v>
      </c>
      <c r="Q150" s="27">
        <v>0</v>
      </c>
      <c r="R150" s="151" t="s">
        <v>83</v>
      </c>
      <c r="S150" s="151" t="s">
        <v>83</v>
      </c>
      <c r="T150" s="151" t="s">
        <v>83</v>
      </c>
      <c r="U150" s="151" t="s">
        <v>83</v>
      </c>
      <c r="V150" s="27"/>
      <c r="W150" s="27" t="s">
        <v>93</v>
      </c>
      <c r="X150" s="27">
        <v>0</v>
      </c>
      <c r="Y150" s="151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51" t="s">
        <v>83</v>
      </c>
      <c r="AF150" s="151" t="s">
        <v>83</v>
      </c>
      <c r="AG150" s="151" t="s">
        <v>83</v>
      </c>
      <c r="AH150" s="151" t="s">
        <v>83</v>
      </c>
      <c r="AI150" s="27"/>
      <c r="AJ150" s="27"/>
      <c r="AK150" s="27">
        <v>1</v>
      </c>
      <c r="AL150" s="27">
        <v>1</v>
      </c>
      <c r="AM150" s="151" t="s">
        <v>83</v>
      </c>
      <c r="AN150" s="27">
        <v>1</v>
      </c>
      <c r="AO150" s="27">
        <v>1</v>
      </c>
      <c r="AP150" s="27">
        <v>1</v>
      </c>
    </row>
    <row r="151" spans="1:42">
      <c r="A151" s="130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32" t="str">
        <f t="shared" ref="J151:J152" si="56">H151</f>
        <v>|CffFFD24D技能宝箱|r</v>
      </c>
      <c r="K151" s="132" t="str">
        <f t="shared" ref="K151:K152" si="57">I151</f>
        <v>使用后获得|Cffffc926随机类型技能升阶石|r</v>
      </c>
      <c r="L151" s="27"/>
      <c r="M151" s="133" t="str">
        <f>VLOOKUP(LEFT(RIGHT(B151,5),4),物品!B:CU,20,FALSE)</f>
        <v>ReplaceableTextures\\CommandButtons\\BTNAM23.blp</v>
      </c>
      <c r="N151" s="151" t="s">
        <v>83</v>
      </c>
      <c r="O151" s="10" t="s">
        <v>101</v>
      </c>
      <c r="P151" s="27">
        <v>0</v>
      </c>
      <c r="Q151" s="27">
        <v>0</v>
      </c>
      <c r="R151" s="151" t="s">
        <v>83</v>
      </c>
      <c r="S151" s="151" t="s">
        <v>83</v>
      </c>
      <c r="T151" s="151" t="s">
        <v>83</v>
      </c>
      <c r="U151" s="151" t="s">
        <v>83</v>
      </c>
      <c r="V151" s="27"/>
      <c r="W151" s="27" t="s">
        <v>93</v>
      </c>
      <c r="X151" s="27">
        <v>0</v>
      </c>
      <c r="Y151" s="151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51" t="s">
        <v>83</v>
      </c>
      <c r="AF151" s="151" t="s">
        <v>83</v>
      </c>
      <c r="AG151" s="151" t="s">
        <v>83</v>
      </c>
      <c r="AH151" s="151" t="s">
        <v>83</v>
      </c>
      <c r="AI151" s="27"/>
      <c r="AJ151" s="27"/>
      <c r="AK151" s="27">
        <v>1</v>
      </c>
      <c r="AL151" s="27">
        <v>1</v>
      </c>
      <c r="AM151" s="151" t="s">
        <v>83</v>
      </c>
      <c r="AN151" s="27">
        <v>1</v>
      </c>
      <c r="AO151" s="27">
        <v>1</v>
      </c>
      <c r="AP151" s="27">
        <v>1</v>
      </c>
    </row>
    <row r="152" spans="1:42">
      <c r="A152" s="130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32" t="str">
        <f t="shared" si="56"/>
        <v>|CffFFD24D附魔宝箱|r</v>
      </c>
      <c r="K152" s="132" t="str">
        <f t="shared" si="57"/>
        <v>使用后获得|Cffffc926随机类型技能附魔石|r</v>
      </c>
      <c r="L152" s="27"/>
      <c r="M152" s="133" t="str">
        <f>VLOOKUP(LEFT(RIGHT(B152,5),4),物品!B:CU,20,FALSE)</f>
        <v>ReplaceableTextures\\CommandButtons\\BTNAM24.blp</v>
      </c>
      <c r="N152" s="151" t="s">
        <v>83</v>
      </c>
      <c r="O152" s="10" t="s">
        <v>101</v>
      </c>
      <c r="P152" s="27">
        <v>0</v>
      </c>
      <c r="Q152" s="27">
        <v>0</v>
      </c>
      <c r="R152" s="151" t="s">
        <v>83</v>
      </c>
      <c r="S152" s="151" t="s">
        <v>83</v>
      </c>
      <c r="T152" s="151" t="s">
        <v>83</v>
      </c>
      <c r="U152" s="151" t="s">
        <v>83</v>
      </c>
      <c r="V152" s="27"/>
      <c r="W152" s="27" t="s">
        <v>93</v>
      </c>
      <c r="X152" s="27">
        <v>0</v>
      </c>
      <c r="Y152" s="151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51" t="s">
        <v>83</v>
      </c>
      <c r="AF152" s="151" t="s">
        <v>83</v>
      </c>
      <c r="AG152" s="151" t="s">
        <v>83</v>
      </c>
      <c r="AH152" s="151" t="s">
        <v>83</v>
      </c>
      <c r="AI152" s="27"/>
      <c r="AJ152" s="27"/>
      <c r="AK152" s="27">
        <v>1</v>
      </c>
      <c r="AL152" s="27">
        <v>1</v>
      </c>
      <c r="AM152" s="151" t="s">
        <v>83</v>
      </c>
      <c r="AN152" s="27">
        <v>1</v>
      </c>
      <c r="AO152" s="27">
        <v>1</v>
      </c>
      <c r="AP152" s="27">
        <v>1</v>
      </c>
    </row>
    <row r="153" spans="1:42">
      <c r="A153" s="130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32" t="str">
        <f t="shared" ref="J153:J154" si="58">H153</f>
        <v>|Cff00FF7F幸运星盒|r</v>
      </c>
      <c r="K153" s="132" t="str">
        <f t="shared" ref="K153:K154" si="59">I153</f>
        <v>开启后获得|Cff00bfff随机奖励|r。</v>
      </c>
      <c r="L153" s="27"/>
      <c r="M153" s="133" t="str">
        <f>VLOOKUP(LEFT(RIGHT(B153,5),4),物品!B:CU,20,FALSE)</f>
        <v>ReplaceableTextures\\CommandButtons\\BTNI013.blp</v>
      </c>
      <c r="N153" s="27">
        <v>0.5</v>
      </c>
      <c r="O153" s="10" t="s">
        <v>103</v>
      </c>
      <c r="P153" s="27">
        <v>0</v>
      </c>
      <c r="Q153" s="27">
        <v>0</v>
      </c>
      <c r="R153" s="151" t="s">
        <v>83</v>
      </c>
      <c r="S153" s="151" t="s">
        <v>83</v>
      </c>
      <c r="T153" s="151" t="s">
        <v>83</v>
      </c>
      <c r="U153" s="151" t="s">
        <v>83</v>
      </c>
      <c r="V153" s="27"/>
      <c r="W153" s="27" t="s">
        <v>93</v>
      </c>
      <c r="X153" s="27">
        <v>0</v>
      </c>
      <c r="Y153" s="151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51" t="s">
        <v>83</v>
      </c>
      <c r="AF153" s="151" t="s">
        <v>83</v>
      </c>
      <c r="AG153" s="151" t="s">
        <v>83</v>
      </c>
      <c r="AH153" s="151" t="s">
        <v>83</v>
      </c>
      <c r="AI153" s="27"/>
      <c r="AJ153" s="27"/>
      <c r="AK153" s="27">
        <v>1</v>
      </c>
      <c r="AL153" s="27">
        <v>1</v>
      </c>
      <c r="AM153" s="151" t="s">
        <v>83</v>
      </c>
      <c r="AN153" s="27">
        <v>1</v>
      </c>
      <c r="AO153" s="27">
        <v>1</v>
      </c>
      <c r="AP153" s="27">
        <v>1</v>
      </c>
    </row>
    <row r="154" spans="1:42">
      <c r="A154" s="130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32" t="str">
        <f t="shared" si="58"/>
        <v>|CffFFD24D炽星魔盒|r</v>
      </c>
      <c r="K154" s="132" t="str">
        <f t="shared" si="59"/>
        <v>开启后获得|Cffffd24d随机奖励|r。</v>
      </c>
      <c r="L154" s="27"/>
      <c r="M154" s="133" t="str">
        <f>VLOOKUP(LEFT(RIGHT(B154,5),4),物品!B:CU,20,FALSE)</f>
        <v>ReplaceableTextures\\CommandButtons\\BTNI014.blp</v>
      </c>
      <c r="N154" s="27">
        <v>0.5</v>
      </c>
      <c r="O154" s="10" t="s">
        <v>103</v>
      </c>
      <c r="P154" s="27">
        <v>0</v>
      </c>
      <c r="Q154" s="27">
        <v>0</v>
      </c>
      <c r="R154" s="151" t="s">
        <v>83</v>
      </c>
      <c r="S154" s="151" t="s">
        <v>83</v>
      </c>
      <c r="T154" s="151" t="s">
        <v>83</v>
      </c>
      <c r="U154" s="151" t="s">
        <v>83</v>
      </c>
      <c r="V154" s="27"/>
      <c r="W154" s="27" t="s">
        <v>93</v>
      </c>
      <c r="X154" s="27">
        <v>0</v>
      </c>
      <c r="Y154" s="151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51" t="s">
        <v>83</v>
      </c>
      <c r="AF154" s="151" t="s">
        <v>83</v>
      </c>
      <c r="AG154" s="151" t="s">
        <v>83</v>
      </c>
      <c r="AH154" s="151" t="s">
        <v>83</v>
      </c>
      <c r="AI154" s="27"/>
      <c r="AJ154" s="27"/>
      <c r="AK154" s="27">
        <v>1</v>
      </c>
      <c r="AL154" s="27">
        <v>1</v>
      </c>
      <c r="AM154" s="151" t="s">
        <v>83</v>
      </c>
      <c r="AN154" s="27">
        <v>1</v>
      </c>
      <c r="AO154" s="27">
        <v>1</v>
      </c>
      <c r="AP154" s="27">
        <v>1</v>
      </c>
    </row>
    <row r="155" spans="1:42">
      <c r="A155" s="130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32" t="str">
        <f t="shared" ref="J155" si="60">H155</f>
        <v>|CffFFD24D技能宝箱|r</v>
      </c>
      <c r="K155" s="132" t="str">
        <f t="shared" ref="K155" si="61">I155</f>
        <v>使用后获得|Cffffc926随机类型技能升阶石|r</v>
      </c>
      <c r="L155" s="27"/>
      <c r="M155" s="133" t="str">
        <f>VLOOKUP(LEFT(RIGHT(B155,5),4),物品!B:CU,20,FALSE)</f>
        <v>ReplaceableTextures\\CommandButtons\\BTNAM23.blp</v>
      </c>
      <c r="N155" s="27">
        <v>0.5</v>
      </c>
      <c r="O155" s="10" t="s">
        <v>103</v>
      </c>
      <c r="P155" s="27">
        <v>0</v>
      </c>
      <c r="Q155" s="27">
        <v>0</v>
      </c>
      <c r="R155" s="151" t="s">
        <v>83</v>
      </c>
      <c r="S155" s="151" t="s">
        <v>83</v>
      </c>
      <c r="T155" s="151" t="s">
        <v>83</v>
      </c>
      <c r="U155" s="151" t="s">
        <v>83</v>
      </c>
      <c r="V155" s="27"/>
      <c r="W155" s="27" t="s">
        <v>93</v>
      </c>
      <c r="X155" s="27">
        <v>0</v>
      </c>
      <c r="Y155" s="151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51" t="s">
        <v>83</v>
      </c>
      <c r="AF155" s="151" t="s">
        <v>83</v>
      </c>
      <c r="AG155" s="151" t="s">
        <v>83</v>
      </c>
      <c r="AH155" s="151" t="s">
        <v>83</v>
      </c>
      <c r="AI155" s="27"/>
      <c r="AJ155" s="27"/>
      <c r="AK155" s="27">
        <v>1</v>
      </c>
      <c r="AL155" s="27">
        <v>1</v>
      </c>
      <c r="AM155" s="151" t="s">
        <v>83</v>
      </c>
      <c r="AN155" s="27">
        <v>1</v>
      </c>
      <c r="AO155" s="27">
        <v>1</v>
      </c>
      <c r="AP155" s="27">
        <v>1</v>
      </c>
    </row>
    <row r="156" spans="1:42">
      <c r="A156" s="130"/>
      <c r="B156" s="27" t="str">
        <f>物品!B156</f>
        <v>IP01</v>
      </c>
      <c r="C156" s="27" t="s">
        <v>41</v>
      </c>
      <c r="D156" s="27" t="s">
        <v>81</v>
      </c>
      <c r="E156" s="27"/>
      <c r="F156" s="27"/>
      <c r="G156" s="27"/>
      <c r="H156" s="27" t="str">
        <f>VLOOKUP(LEFT(RIGHT(B156,5),4),物品!B:CU,2,FALSE)</f>
        <v>|CffFF0000时渊入场券|r</v>
      </c>
      <c r="I156" s="27" t="str">
        <f>VLOOKUP(B156,物品!B:CV,99,FALSE)</f>
        <v>每次|Cffffd24d完成|r时渊副本将消耗|Cffffd24d1|r个|Cffffd24d时渊入场券|r</v>
      </c>
      <c r="J156" s="132" t="str">
        <f t="shared" ref="J156" si="62">H156</f>
        <v>|CffFF0000时渊入场券|r</v>
      </c>
      <c r="K156" s="132" t="str">
        <f t="shared" ref="K156" si="63">I156</f>
        <v>每次|Cffffd24d完成|r时渊副本将消耗|Cffffd24d1|r个|Cffffd24d时渊入场券|r</v>
      </c>
      <c r="L156" s="27"/>
      <c r="M156" s="133" t="str">
        <f>VLOOKUP(LEFT(RIGHT(B156,5),4),物品!B:CU,20,FALSE)</f>
        <v>ReplaceableTextures\\CommandButtons\\BTNIP01.blp</v>
      </c>
      <c r="N156" s="151" t="s">
        <v>83</v>
      </c>
      <c r="O156" s="133" t="s">
        <v>95</v>
      </c>
      <c r="P156" s="27">
        <v>0</v>
      </c>
      <c r="Q156" s="27">
        <v>0</v>
      </c>
      <c r="R156" s="151" t="s">
        <v>83</v>
      </c>
      <c r="S156" s="151" t="s">
        <v>83</v>
      </c>
      <c r="T156" s="151" t="s">
        <v>83</v>
      </c>
      <c r="U156" s="151" t="s">
        <v>83</v>
      </c>
      <c r="V156" s="27"/>
      <c r="W156" s="27" t="s">
        <v>88</v>
      </c>
      <c r="X156" s="27">
        <v>0</v>
      </c>
      <c r="Y156" s="151" t="s">
        <v>83</v>
      </c>
      <c r="Z156" s="27">
        <v>0</v>
      </c>
      <c r="AA156" s="27">
        <v>0</v>
      </c>
      <c r="AB156" s="27">
        <v>50</v>
      </c>
      <c r="AC156" s="27">
        <v>1</v>
      </c>
      <c r="AD156" s="27">
        <v>1</v>
      </c>
      <c r="AE156" s="151" t="s">
        <v>83</v>
      </c>
      <c r="AF156" s="151" t="s">
        <v>83</v>
      </c>
      <c r="AG156" s="151" t="s">
        <v>83</v>
      </c>
      <c r="AH156" s="151" t="s">
        <v>83</v>
      </c>
      <c r="AI156" s="27">
        <v>1</v>
      </c>
      <c r="AJ156" s="27"/>
      <c r="AK156" s="27">
        <v>1</v>
      </c>
      <c r="AL156" s="27">
        <v>1</v>
      </c>
      <c r="AM156" s="151" t="s">
        <v>83</v>
      </c>
      <c r="AN156" s="27">
        <v>1</v>
      </c>
      <c r="AO156" s="27">
        <v>1</v>
      </c>
      <c r="AP156" s="27">
        <v>1</v>
      </c>
    </row>
    <row r="157" spans="1:42">
      <c r="A157" s="130"/>
      <c r="B157" s="27" t="str">
        <f>物品!B157</f>
        <v>IP02</v>
      </c>
      <c r="C157" s="27" t="s">
        <v>41</v>
      </c>
      <c r="D157" s="27" t="s">
        <v>81</v>
      </c>
      <c r="E157" s="27"/>
      <c r="F157" s="27"/>
      <c r="G157" s="27"/>
      <c r="H157" s="27" t="str">
        <f>VLOOKUP(LEFT(RIGHT(B157,5),4),物品!B:CU,2,FALSE)</f>
        <v>|CffFFD24D补天石|r</v>
      </c>
      <c r="I157" s="27" t="str">
        <f>VLOOKUP(B157,物品!B:CV,99,FALSE)</f>
        <v>点击|Cffffc926选中指定法宝|r后，再点击|Cffffc926重铸|r，可|Cffffc926重置|r指定法宝，|Cffffc926品质不变|r。|n|n|Cff00ff7f每次重铸消耗1个补天石|r</v>
      </c>
      <c r="J157" s="132" t="str">
        <f t="shared" ref="J157:J179" si="64">H157</f>
        <v>|CffFFD24D补天石|r</v>
      </c>
      <c r="K157" s="132" t="str">
        <f t="shared" ref="K157:K179" si="65">I157</f>
        <v>点击|Cffffc926选中指定法宝|r后，再点击|Cffffc926重铸|r，可|Cffffc926重置|r指定法宝，|Cffffc926品质不变|r。|n|n|Cff00ff7f每次重铸消耗1个补天石|r</v>
      </c>
      <c r="L157" s="27"/>
      <c r="M157" s="133" t="str">
        <f>VLOOKUP(LEFT(RIGHT(B157,5),4),物品!B:CU,20,FALSE)</f>
        <v>ReplaceableTextures\\CommandButtons\\BTNIP02.blp</v>
      </c>
      <c r="N157" s="151" t="s">
        <v>83</v>
      </c>
      <c r="O157" s="133" t="s">
        <v>95</v>
      </c>
      <c r="P157" s="27">
        <v>0</v>
      </c>
      <c r="Q157" s="27">
        <v>0</v>
      </c>
      <c r="R157" s="151" t="s">
        <v>83</v>
      </c>
      <c r="S157" s="151" t="s">
        <v>83</v>
      </c>
      <c r="T157" s="151" t="s">
        <v>83</v>
      </c>
      <c r="U157" s="151" t="s">
        <v>83</v>
      </c>
      <c r="V157" s="27"/>
      <c r="W157" s="27" t="s">
        <v>88</v>
      </c>
      <c r="X157" s="27">
        <v>0</v>
      </c>
      <c r="Y157" s="151" t="s">
        <v>83</v>
      </c>
      <c r="Z157" s="27">
        <v>0</v>
      </c>
      <c r="AA157" s="27">
        <v>0</v>
      </c>
      <c r="AB157" s="27">
        <v>80</v>
      </c>
      <c r="AC157" s="27">
        <v>1</v>
      </c>
      <c r="AD157" s="27">
        <v>1</v>
      </c>
      <c r="AE157" s="151" t="s">
        <v>83</v>
      </c>
      <c r="AF157" s="151" t="s">
        <v>83</v>
      </c>
      <c r="AG157" s="151" t="s">
        <v>83</v>
      </c>
      <c r="AH157" s="151" t="s">
        <v>83</v>
      </c>
      <c r="AI157" s="27">
        <v>1</v>
      </c>
      <c r="AJ157" s="27"/>
      <c r="AK157" s="27">
        <v>1</v>
      </c>
      <c r="AL157" s="27">
        <v>1</v>
      </c>
      <c r="AM157" s="151" t="s">
        <v>83</v>
      </c>
      <c r="AN157" s="27">
        <v>1</v>
      </c>
      <c r="AO157" s="27">
        <v>1</v>
      </c>
      <c r="AP157" s="27">
        <v>1</v>
      </c>
    </row>
    <row r="158" spans="1:42">
      <c r="A158" s="130"/>
      <c r="B158" s="27" t="str">
        <f>物品!B158</f>
        <v>IP03</v>
      </c>
      <c r="C158" s="27" t="s">
        <v>41</v>
      </c>
      <c r="D158" s="27" t="s">
        <v>81</v>
      </c>
      <c r="E158" s="27"/>
      <c r="F158" s="27"/>
      <c r="G158" s="27"/>
      <c r="H158" s="27" t="str">
        <f>VLOOKUP(LEFT(RIGHT(B158,5),4),物品!B:CU,2,FALSE)</f>
        <v>|CffFF0000鸿蒙结晶|r</v>
      </c>
      <c r="I158" s="27" t="str">
        <f>VLOOKUP(B158,物品!B:CV,99,FALSE)</f>
        <v>点击|Cffffc926选中指定法宝|r后，再点击|Cffffc926锻造|r，可|Cffffc926重置|r指定法宝，|Cffffc926品质提升一级|r。|n|n|Cff00ff7f每次重铸消耗1个鸿蒙结晶|r</v>
      </c>
      <c r="J158" s="132" t="str">
        <f t="shared" si="64"/>
        <v>|CffFF0000鸿蒙结晶|r</v>
      </c>
      <c r="K158" s="132" t="str">
        <f t="shared" si="65"/>
        <v>点击|Cffffc926选中指定法宝|r后，再点击|Cffffc926锻造|r，可|Cffffc926重置|r指定法宝，|Cffffc926品质提升一级|r。|n|n|Cff00ff7f每次重铸消耗1个鸿蒙结晶|r</v>
      </c>
      <c r="L158" s="27"/>
      <c r="M158" s="133" t="str">
        <f>VLOOKUP(LEFT(RIGHT(B158,5),4),物品!B:CU,20,FALSE)</f>
        <v>ReplaceableTextures\\CommandButtons\\BTNIP03.blp</v>
      </c>
      <c r="N158" s="151" t="s">
        <v>83</v>
      </c>
      <c r="O158" s="133" t="s">
        <v>95</v>
      </c>
      <c r="P158" s="27">
        <v>0</v>
      </c>
      <c r="Q158" s="27">
        <v>0</v>
      </c>
      <c r="R158" s="151" t="s">
        <v>83</v>
      </c>
      <c r="S158" s="151" t="s">
        <v>83</v>
      </c>
      <c r="T158" s="151" t="s">
        <v>83</v>
      </c>
      <c r="U158" s="151" t="s">
        <v>83</v>
      </c>
      <c r="V158" s="27"/>
      <c r="W158" s="27" t="s">
        <v>88</v>
      </c>
      <c r="X158" s="27">
        <v>0</v>
      </c>
      <c r="Y158" s="151" t="s">
        <v>83</v>
      </c>
      <c r="Z158" s="27">
        <v>0</v>
      </c>
      <c r="AA158" s="27">
        <v>0</v>
      </c>
      <c r="AB158" s="27">
        <v>200</v>
      </c>
      <c r="AC158" s="27">
        <v>1</v>
      </c>
      <c r="AD158" s="27">
        <v>1</v>
      </c>
      <c r="AE158" s="151" t="s">
        <v>83</v>
      </c>
      <c r="AF158" s="151" t="s">
        <v>83</v>
      </c>
      <c r="AG158" s="151" t="s">
        <v>83</v>
      </c>
      <c r="AH158" s="151" t="s">
        <v>83</v>
      </c>
      <c r="AI158" s="27">
        <v>1</v>
      </c>
      <c r="AJ158" s="27"/>
      <c r="AK158" s="27">
        <v>1</v>
      </c>
      <c r="AL158" s="27">
        <v>1</v>
      </c>
      <c r="AM158" s="151" t="s">
        <v>83</v>
      </c>
      <c r="AN158" s="27">
        <v>1</v>
      </c>
      <c r="AO158" s="27">
        <v>1</v>
      </c>
      <c r="AP158" s="27">
        <v>1</v>
      </c>
    </row>
    <row r="159" spans="1:42">
      <c r="A159" s="130"/>
      <c r="B159" s="27" t="str">
        <f>物品!B159</f>
        <v>IP04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|CffFF0000神兽洗灵石|r</v>
      </c>
      <c r="I159" s="27" t="str">
        <f>VLOOKUP(B159,物品!B:CV,99,FALSE)</f>
        <v>使用后|Cffffd24d重置|r当前|Cffff0000神兽神通【R】|r|Cfff0f0f0。|r</v>
      </c>
      <c r="J159" s="132" t="str">
        <f t="shared" ref="J159:J160" si="66">H159</f>
        <v>|CffFF0000神兽洗灵石|r</v>
      </c>
      <c r="K159" s="132" t="str">
        <f t="shared" ref="K159:K160" si="67">I159</f>
        <v>使用后|Cffffd24d重置|r当前|Cffff0000神兽神通【R】|r|Cfff0f0f0。|r</v>
      </c>
      <c r="L159" s="27"/>
      <c r="M159" s="133" t="str">
        <f>VLOOKUP(LEFT(RIGHT(B159,5),4),物品!B:CU,20,FALSE)</f>
        <v>ReplaceableTextures\\CommandButtons\\BTNIN08.blp</v>
      </c>
      <c r="N159" s="151" t="s">
        <v>83</v>
      </c>
      <c r="O159" s="133" t="s">
        <v>95</v>
      </c>
      <c r="P159" s="27">
        <v>0</v>
      </c>
      <c r="Q159" s="27">
        <v>0</v>
      </c>
      <c r="R159" s="151" t="s">
        <v>83</v>
      </c>
      <c r="S159" s="151" t="s">
        <v>83</v>
      </c>
      <c r="T159" s="151" t="s">
        <v>83</v>
      </c>
      <c r="U159" s="151" t="s">
        <v>83</v>
      </c>
      <c r="V159" s="27"/>
      <c r="W159" s="27" t="s">
        <v>93</v>
      </c>
      <c r="X159" s="27">
        <v>80000</v>
      </c>
      <c r="Y159" s="151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51" t="s">
        <v>83</v>
      </c>
      <c r="AF159" s="151" t="s">
        <v>83</v>
      </c>
      <c r="AG159" s="151" t="s">
        <v>83</v>
      </c>
      <c r="AH159" s="151" t="s">
        <v>83</v>
      </c>
      <c r="AI159" s="27"/>
      <c r="AJ159" s="27"/>
      <c r="AK159" s="27">
        <v>1</v>
      </c>
      <c r="AL159" s="27">
        <v>1</v>
      </c>
      <c r="AM159" s="151" t="s">
        <v>83</v>
      </c>
      <c r="AN159" s="27">
        <v>1</v>
      </c>
      <c r="AO159" s="27">
        <v>1</v>
      </c>
      <c r="AP159" s="27">
        <v>1</v>
      </c>
    </row>
    <row r="160" spans="1:42">
      <c r="A160" s="130"/>
      <c r="B160" s="27" t="str">
        <f>物品!B160</f>
        <v>IP05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|CffFF0000虚空圣战卡|r</v>
      </c>
      <c r="I160" s="27" t="str">
        <f>VLOOKUP(B160,物品!B:CV,99,FALSE)</f>
        <v>开启|Cffffd24d结界|r，前往虚空终止|Cffff0000封神圣战|r。</v>
      </c>
      <c r="J160" s="132" t="str">
        <f t="shared" si="66"/>
        <v>|CffFF0000虚空圣战卡|r</v>
      </c>
      <c r="K160" s="132" t="str">
        <f t="shared" si="67"/>
        <v>开启|Cffffd24d结界|r，前往虚空终止|Cffff0000封神圣战|r。</v>
      </c>
      <c r="L160" s="27"/>
      <c r="M160" s="133" t="str">
        <f>VLOOKUP(LEFT(RIGHT(B160,5),4),物品!B:CU,20,FALSE)</f>
        <v>ReplaceableTextures\\CommandButtons\\BTNIP05.blp</v>
      </c>
      <c r="N160" s="151" t="s">
        <v>83</v>
      </c>
      <c r="O160" s="133" t="s">
        <v>95</v>
      </c>
      <c r="P160" s="27">
        <v>0</v>
      </c>
      <c r="Q160" s="27">
        <v>0</v>
      </c>
      <c r="R160" s="151" t="s">
        <v>83</v>
      </c>
      <c r="S160" s="151" t="s">
        <v>83</v>
      </c>
      <c r="T160" s="151" t="s">
        <v>83</v>
      </c>
      <c r="U160" s="151" t="s">
        <v>83</v>
      </c>
      <c r="V160" s="27"/>
      <c r="W160" s="27" t="s">
        <v>93</v>
      </c>
      <c r="X160" s="27">
        <v>0</v>
      </c>
      <c r="Y160" s="151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51" t="s">
        <v>83</v>
      </c>
      <c r="AF160" s="151" t="s">
        <v>83</v>
      </c>
      <c r="AG160" s="151" t="s">
        <v>83</v>
      </c>
      <c r="AH160" s="151" t="s">
        <v>83</v>
      </c>
      <c r="AI160" s="27"/>
      <c r="AJ160" s="27"/>
      <c r="AK160" s="27">
        <v>1</v>
      </c>
      <c r="AL160" s="27">
        <v>1</v>
      </c>
      <c r="AM160" s="151" t="s">
        <v>83</v>
      </c>
      <c r="AN160" s="27">
        <v>1</v>
      </c>
      <c r="AO160" s="27">
        <v>1</v>
      </c>
      <c r="AP160" s="27">
        <v>1</v>
      </c>
    </row>
    <row r="161" spans="1:42">
      <c r="A161" s="130"/>
      <c r="B161" s="27" t="str">
        <f>物品!B161</f>
        <v>IP06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|Cff00FF7F大补丸|r</v>
      </c>
      <c r="I161" s="27" t="str">
        <f>VLOOKUP(B161,物品!B:CV,99,FALSE)</f>
        <v>使用后增加|Cffffd24d100点|r境界经验。</v>
      </c>
      <c r="J161" s="132" t="str">
        <f t="shared" ref="J161:J162" si="68">H161</f>
        <v>|Cff00FF7F大补丸|r</v>
      </c>
      <c r="K161" s="132" t="str">
        <f t="shared" ref="K161:K162" si="69">I161</f>
        <v>使用后增加|Cffffd24d100点|r境界经验。</v>
      </c>
      <c r="L161" s="27"/>
      <c r="M161" s="133" t="str">
        <f>VLOOKUP(LEFT(RIGHT(B161,5),4),物品!B:CU,20,FALSE)</f>
        <v>ReplaceableTextures\\CommandButtons\\BTNAM40.blp</v>
      </c>
      <c r="N161" s="151" t="s">
        <v>83</v>
      </c>
      <c r="O161" s="133" t="s">
        <v>95</v>
      </c>
      <c r="P161" s="27">
        <v>0</v>
      </c>
      <c r="Q161" s="27">
        <v>0</v>
      </c>
      <c r="R161" s="151" t="s">
        <v>83</v>
      </c>
      <c r="S161" s="151" t="s">
        <v>83</v>
      </c>
      <c r="T161" s="151" t="s">
        <v>83</v>
      </c>
      <c r="U161" s="151" t="s">
        <v>83</v>
      </c>
      <c r="V161" s="27"/>
      <c r="W161" s="27" t="s">
        <v>93</v>
      </c>
      <c r="X161" s="27">
        <v>0</v>
      </c>
      <c r="Y161" s="151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51" t="s">
        <v>83</v>
      </c>
      <c r="AF161" s="151" t="s">
        <v>83</v>
      </c>
      <c r="AG161" s="151" t="s">
        <v>83</v>
      </c>
      <c r="AH161" s="151" t="s">
        <v>83</v>
      </c>
      <c r="AI161" s="27"/>
      <c r="AJ161" s="27"/>
      <c r="AK161" s="27">
        <v>1</v>
      </c>
      <c r="AL161" s="27">
        <v>1</v>
      </c>
      <c r="AM161" s="151" t="s">
        <v>83</v>
      </c>
      <c r="AN161" s="27">
        <v>1</v>
      </c>
      <c r="AO161" s="27">
        <v>1</v>
      </c>
      <c r="AP161" s="27">
        <v>1</v>
      </c>
    </row>
    <row r="162" spans="1:42">
      <c r="A162" s="130"/>
      <c r="B162" s="27" t="str">
        <f>物品!B162</f>
        <v>IP07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|Cff00FF7F抽奖抵用券|r</v>
      </c>
      <c r="I162" s="27" t="str">
        <f>VLOOKUP(B162,物品!B:CV,99,FALSE)</f>
        <v>可抵扣|Cffffd24d1|r次抽奖消耗</v>
      </c>
      <c r="J162" s="132" t="str">
        <f t="shared" si="68"/>
        <v>|Cff00FF7F抽奖抵用券|r</v>
      </c>
      <c r="K162" s="132" t="str">
        <f t="shared" si="69"/>
        <v>可抵扣|Cffffd24d1|r次抽奖消耗</v>
      </c>
      <c r="L162" s="27"/>
      <c r="M162" s="133" t="str">
        <f>VLOOKUP(LEFT(RIGHT(B162,5),4),物品!B:CU,20,FALSE)</f>
        <v>ReplaceableTextures\\CommandButtons\\BTNIP07.blp</v>
      </c>
      <c r="N162" s="151" t="s">
        <v>83</v>
      </c>
      <c r="O162" s="133" t="s">
        <v>95</v>
      </c>
      <c r="P162" s="27">
        <v>0</v>
      </c>
      <c r="Q162" s="27">
        <v>0</v>
      </c>
      <c r="R162" s="151" t="s">
        <v>83</v>
      </c>
      <c r="S162" s="151" t="s">
        <v>83</v>
      </c>
      <c r="T162" s="151" t="s">
        <v>83</v>
      </c>
      <c r="U162" s="151" t="s">
        <v>83</v>
      </c>
      <c r="V162" s="27"/>
      <c r="W162" s="27" t="s">
        <v>93</v>
      </c>
      <c r="X162" s="27">
        <v>0</v>
      </c>
      <c r="Y162" s="151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51" t="s">
        <v>83</v>
      </c>
      <c r="AF162" s="151" t="s">
        <v>83</v>
      </c>
      <c r="AG162" s="151" t="s">
        <v>83</v>
      </c>
      <c r="AH162" s="151" t="s">
        <v>83</v>
      </c>
      <c r="AI162" s="27"/>
      <c r="AJ162" s="27"/>
      <c r="AK162" s="27">
        <v>1</v>
      </c>
      <c r="AL162" s="27">
        <v>1</v>
      </c>
      <c r="AM162" s="151" t="s">
        <v>83</v>
      </c>
      <c r="AN162" s="27">
        <v>1</v>
      </c>
      <c r="AO162" s="27">
        <v>1</v>
      </c>
      <c r="AP162" s="27">
        <v>1</v>
      </c>
    </row>
    <row r="163" spans="1:42">
      <c r="A163" s="130"/>
      <c r="B163" s="27" t="str">
        <f>物品!B163</f>
        <v>IP08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|Cff00FF7F超级大补丸|r</v>
      </c>
      <c r="I163" s="27" t="str">
        <f>VLOOKUP(B163,物品!B:CV,99,FALSE)</f>
        <v>使用后增加|Cffffd24d300点|r境界经验。</v>
      </c>
      <c r="J163" s="132" t="str">
        <f t="shared" ref="J163:J164" si="70">H163</f>
        <v>|Cff00FF7F超级大补丸|r</v>
      </c>
      <c r="K163" s="132" t="str">
        <f t="shared" ref="K163:K164" si="71">I163</f>
        <v>使用后增加|Cffffd24d300点|r境界经验。</v>
      </c>
      <c r="L163" s="27"/>
      <c r="M163" s="133" t="str">
        <f>VLOOKUP(LEFT(RIGHT(B163,5),4),物品!B:CU,20,FALSE)</f>
        <v>ReplaceableTextures\\CommandButtons\\BTNAM41.blp</v>
      </c>
      <c r="N163" s="151" t="s">
        <v>83</v>
      </c>
      <c r="O163" s="133" t="s">
        <v>95</v>
      </c>
      <c r="P163" s="27">
        <v>0</v>
      </c>
      <c r="Q163" s="27">
        <v>0</v>
      </c>
      <c r="R163" s="151" t="s">
        <v>83</v>
      </c>
      <c r="S163" s="151" t="s">
        <v>83</v>
      </c>
      <c r="T163" s="151" t="s">
        <v>83</v>
      </c>
      <c r="U163" s="151" t="s">
        <v>83</v>
      </c>
      <c r="V163" s="27"/>
      <c r="W163" s="27" t="s">
        <v>93</v>
      </c>
      <c r="X163" s="27">
        <v>0</v>
      </c>
      <c r="Y163" s="151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51" t="s">
        <v>83</v>
      </c>
      <c r="AF163" s="151" t="s">
        <v>83</v>
      </c>
      <c r="AG163" s="151" t="s">
        <v>83</v>
      </c>
      <c r="AH163" s="151" t="s">
        <v>83</v>
      </c>
      <c r="AI163" s="27"/>
      <c r="AJ163" s="27"/>
      <c r="AK163" s="27">
        <v>1</v>
      </c>
      <c r="AL163" s="27">
        <v>1</v>
      </c>
      <c r="AM163" s="151" t="s">
        <v>83</v>
      </c>
      <c r="AN163" s="27">
        <v>1</v>
      </c>
      <c r="AO163" s="27">
        <v>1</v>
      </c>
      <c r="AP163" s="27">
        <v>1</v>
      </c>
    </row>
    <row r="164" spans="1:42">
      <c r="A164" s="130"/>
      <c r="B164" s="27" t="str">
        <f>物品!B164</f>
        <v>IP09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|Cff00FF7F特级大补丸|r</v>
      </c>
      <c r="I164" s="27" t="str">
        <f>VLOOKUP(B164,物品!B:CV,99,FALSE)</f>
        <v>使用后增加|Cffffd24d500点|r境界经验。</v>
      </c>
      <c r="J164" s="132" t="str">
        <f t="shared" si="70"/>
        <v>|Cff00FF7F特级大补丸|r</v>
      </c>
      <c r="K164" s="132" t="str">
        <f t="shared" si="71"/>
        <v>使用后增加|Cffffd24d500点|r境界经验。</v>
      </c>
      <c r="L164" s="27"/>
      <c r="M164" s="133" t="str">
        <f>VLOOKUP(LEFT(RIGHT(B164,5),4),物品!B:CU,20,FALSE)</f>
        <v>ReplaceableTextures\\CommandButtons\\BTNAM42.blp</v>
      </c>
      <c r="N164" s="151" t="s">
        <v>83</v>
      </c>
      <c r="O164" s="133" t="s">
        <v>95</v>
      </c>
      <c r="P164" s="27">
        <v>0</v>
      </c>
      <c r="Q164" s="27">
        <v>0</v>
      </c>
      <c r="R164" s="151" t="s">
        <v>83</v>
      </c>
      <c r="S164" s="151" t="s">
        <v>83</v>
      </c>
      <c r="T164" s="151" t="s">
        <v>83</v>
      </c>
      <c r="U164" s="151" t="s">
        <v>83</v>
      </c>
      <c r="V164" s="27"/>
      <c r="W164" s="27" t="s">
        <v>93</v>
      </c>
      <c r="X164" s="27">
        <v>0</v>
      </c>
      <c r="Y164" s="151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51" t="s">
        <v>83</v>
      </c>
      <c r="AF164" s="151" t="s">
        <v>83</v>
      </c>
      <c r="AG164" s="151" t="s">
        <v>83</v>
      </c>
      <c r="AH164" s="151" t="s">
        <v>83</v>
      </c>
      <c r="AI164" s="27"/>
      <c r="AJ164" s="27"/>
      <c r="AK164" s="27">
        <v>1</v>
      </c>
      <c r="AL164" s="27">
        <v>1</v>
      </c>
      <c r="AM164" s="151" t="s">
        <v>83</v>
      </c>
      <c r="AN164" s="27">
        <v>1</v>
      </c>
      <c r="AO164" s="27">
        <v>1</v>
      </c>
      <c r="AP164" s="27">
        <v>1</v>
      </c>
    </row>
    <row r="165" spans="1:42">
      <c r="A165" s="130"/>
      <c r="B165" s="27" t="str">
        <f>物品!B165</f>
        <v>IT01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噬心劫</v>
      </c>
      <c r="I165" s="27" t="str">
        <f>VLOOKUP(B165,物品!B:CV,99,FALSE)</f>
        <v>渡过该劫后可结成|CffCCCCCC低级道果|r。|n|n|CffCCCCCC低级道果：|r|n攻击+7500|n生命值+30000|n物理伤害+20%|n法术伤害+20%|n杀敌攻击+8|n杀敌业力+1|n杀敌生命+30|n</v>
      </c>
      <c r="J165" s="132" t="str">
        <f t="shared" si="64"/>
        <v>噬心劫</v>
      </c>
      <c r="K165" s="132" t="str">
        <f t="shared" si="65"/>
        <v>渡过该劫后可结成|CffCCCCCC低级道果|r。|n|n|CffCCCCCC低级道果：|r|n攻击+7500|n生命值+30000|n物理伤害+20%|n法术伤害+20%|n杀敌攻击+8|n杀敌业力+1|n杀敌生命+30|n</v>
      </c>
      <c r="L165" s="27"/>
      <c r="M165" s="133" t="str">
        <f>VLOOKUP(LEFT(RIGHT(B165,5),4),物品!B:CU,20,FALSE)</f>
        <v>ReplaceableTextures\\CommandButtons\\BTNIT01.blp</v>
      </c>
      <c r="N165" s="151" t="s">
        <v>83</v>
      </c>
      <c r="O165" s="133" t="s">
        <v>95</v>
      </c>
      <c r="P165" s="27">
        <v>0</v>
      </c>
      <c r="Q165" s="27">
        <v>0</v>
      </c>
      <c r="R165" s="151" t="s">
        <v>83</v>
      </c>
      <c r="S165" s="151" t="s">
        <v>83</v>
      </c>
      <c r="T165" s="151" t="s">
        <v>83</v>
      </c>
      <c r="U165" s="151" t="s">
        <v>83</v>
      </c>
      <c r="V165" s="27"/>
      <c r="W165" s="27" t="s">
        <v>88</v>
      </c>
      <c r="X165" s="27">
        <v>3000</v>
      </c>
      <c r="Y165" s="151" t="s">
        <v>83</v>
      </c>
      <c r="Z165" s="27">
        <v>0</v>
      </c>
      <c r="AA165" s="27">
        <v>0</v>
      </c>
      <c r="AB165" s="132">
        <v>0</v>
      </c>
      <c r="AC165" s="27">
        <v>1</v>
      </c>
      <c r="AD165" s="27">
        <v>1</v>
      </c>
      <c r="AE165" s="151" t="s">
        <v>83</v>
      </c>
      <c r="AF165" s="151" t="s">
        <v>83</v>
      </c>
      <c r="AG165" s="151" t="s">
        <v>83</v>
      </c>
      <c r="AH165" s="151" t="s">
        <v>83</v>
      </c>
      <c r="AI165" s="27">
        <v>1</v>
      </c>
      <c r="AJ165" s="27"/>
      <c r="AK165" s="27">
        <v>1</v>
      </c>
      <c r="AL165" s="27">
        <v>1</v>
      </c>
      <c r="AM165" s="151" t="s">
        <v>83</v>
      </c>
      <c r="AN165" s="27">
        <v>1</v>
      </c>
      <c r="AO165" s="27">
        <v>1</v>
      </c>
      <c r="AP165" s="27">
        <v>1</v>
      </c>
    </row>
    <row r="166" spans="1:42">
      <c r="A166" s="130"/>
      <c r="B166" s="27" t="str">
        <f>物品!B166</f>
        <v>IT02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三重轰雷劫</v>
      </c>
      <c r="I166" s="27" t="str">
        <f>VLOOKUP(B166,物品!B:CV,99,FALSE)</f>
        <v>渡过该劫后可结成|CffCCCCCC中级道果|r。|n|n|CffCCCCCC中级道果：|r|n攻击+18000|n生命值+72000|n物理伤害+20%|n法术伤害+20%|n杀敌攻击+8|n杀敌业力+1|n杀敌生命+30|n</v>
      </c>
      <c r="J166" s="132" t="str">
        <f t="shared" si="64"/>
        <v>三重轰雷劫</v>
      </c>
      <c r="K166" s="132" t="str">
        <f t="shared" si="65"/>
        <v>渡过该劫后可结成|CffCCCCCC中级道果|r。|n|n|CffCCCCCC中级道果：|r|n攻击+18000|n生命值+72000|n物理伤害+20%|n法术伤害+20%|n杀敌攻击+8|n杀敌业力+1|n杀敌生命+30|n</v>
      </c>
      <c r="L166" s="27"/>
      <c r="M166" s="133" t="str">
        <f>VLOOKUP(LEFT(RIGHT(B166,5),4),物品!B:CU,20,FALSE)</f>
        <v>ReplaceableTextures\\CommandButtons\\BTNIT02.blp</v>
      </c>
      <c r="N166" s="151" t="s">
        <v>83</v>
      </c>
      <c r="O166" s="133" t="s">
        <v>95</v>
      </c>
      <c r="P166" s="27">
        <v>1</v>
      </c>
      <c r="Q166" s="27">
        <v>0</v>
      </c>
      <c r="R166" s="151" t="s">
        <v>83</v>
      </c>
      <c r="S166" s="151" t="s">
        <v>83</v>
      </c>
      <c r="T166" s="151" t="s">
        <v>83</v>
      </c>
      <c r="U166" s="151" t="s">
        <v>83</v>
      </c>
      <c r="V166" s="27"/>
      <c r="W166" s="27" t="s">
        <v>88</v>
      </c>
      <c r="X166" s="27">
        <v>3000</v>
      </c>
      <c r="Y166" s="151" t="s">
        <v>83</v>
      </c>
      <c r="Z166" s="27">
        <v>0</v>
      </c>
      <c r="AA166" s="27">
        <v>0</v>
      </c>
      <c r="AB166" s="132">
        <v>2</v>
      </c>
      <c r="AC166" s="27">
        <v>1</v>
      </c>
      <c r="AD166" s="27">
        <v>1</v>
      </c>
      <c r="AE166" s="151" t="s">
        <v>83</v>
      </c>
      <c r="AF166" s="151" t="s">
        <v>83</v>
      </c>
      <c r="AG166" s="151" t="s">
        <v>83</v>
      </c>
      <c r="AH166" s="151" t="s">
        <v>83</v>
      </c>
      <c r="AI166" s="27">
        <v>1</v>
      </c>
      <c r="AJ166" s="27"/>
      <c r="AK166" s="27">
        <v>1</v>
      </c>
      <c r="AL166" s="27">
        <v>1</v>
      </c>
      <c r="AM166" s="151" t="s">
        <v>83</v>
      </c>
      <c r="AN166" s="27">
        <v>1</v>
      </c>
      <c r="AO166" s="27">
        <v>1</v>
      </c>
      <c r="AP166" s="27">
        <v>1</v>
      </c>
    </row>
    <row r="167" spans="1:42">
      <c r="A167" s="130"/>
      <c r="B167" s="27" t="str">
        <f>物品!B167</f>
        <v>IT03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|Cff00FF7F六重天雷劫|r</v>
      </c>
      <c r="I167" s="27" t="str">
        <f>VLOOKUP(B167,物品!B:CV,99,FALSE)</f>
        <v>渡过该劫后可结成|Cff00ff7f高级道果|r。|n|n|Cff00ff7f高级道果：|r|n攻击+37500|n生命值+150000|n物理伤害+20%|n法术伤害+20%|n杀敌攻击+8|n杀敌业力+1|n杀敌生命+30|n</v>
      </c>
      <c r="J167" s="132" t="str">
        <f t="shared" si="64"/>
        <v>|Cff00FF7F六重天雷劫|r</v>
      </c>
      <c r="K167" s="132" t="str">
        <f t="shared" si="65"/>
        <v>渡过该劫后可结成|Cff00ff7f高级道果|r。|n|n|Cff00ff7f高级道果：|r|n攻击+37500|n生命值+150000|n物理伤害+20%|n法术伤害+20%|n杀敌攻击+8|n杀敌业力+1|n杀敌生命+30|n</v>
      </c>
      <c r="L167" s="27"/>
      <c r="M167" s="133" t="str">
        <f>VLOOKUP(LEFT(RIGHT(B167,5),4),物品!B:CU,20,FALSE)</f>
        <v>ReplaceableTextures\\CommandButtons\\BTNIT03.blp</v>
      </c>
      <c r="N167" s="151" t="s">
        <v>83</v>
      </c>
      <c r="O167" s="133" t="s">
        <v>95</v>
      </c>
      <c r="P167" s="27">
        <v>2</v>
      </c>
      <c r="Q167" s="27">
        <v>0</v>
      </c>
      <c r="R167" s="151" t="s">
        <v>83</v>
      </c>
      <c r="S167" s="151" t="s">
        <v>83</v>
      </c>
      <c r="T167" s="151" t="s">
        <v>83</v>
      </c>
      <c r="U167" s="151" t="s">
        <v>83</v>
      </c>
      <c r="V167" s="27"/>
      <c r="W167" s="27" t="s">
        <v>88</v>
      </c>
      <c r="X167" s="27">
        <v>5000</v>
      </c>
      <c r="Y167" s="151" t="s">
        <v>83</v>
      </c>
      <c r="Z167" s="27">
        <v>0</v>
      </c>
      <c r="AA167" s="27">
        <v>0</v>
      </c>
      <c r="AB167" s="132">
        <v>3</v>
      </c>
      <c r="AC167" s="27">
        <v>1</v>
      </c>
      <c r="AD167" s="27">
        <v>1</v>
      </c>
      <c r="AE167" s="151" t="s">
        <v>83</v>
      </c>
      <c r="AF167" s="151" t="s">
        <v>83</v>
      </c>
      <c r="AG167" s="151" t="s">
        <v>83</v>
      </c>
      <c r="AH167" s="151" t="s">
        <v>83</v>
      </c>
      <c r="AI167" s="27">
        <v>1</v>
      </c>
      <c r="AJ167" s="27"/>
      <c r="AK167" s="27">
        <v>1</v>
      </c>
      <c r="AL167" s="27">
        <v>1</v>
      </c>
      <c r="AM167" s="151" t="s">
        <v>83</v>
      </c>
      <c r="AN167" s="27">
        <v>1</v>
      </c>
      <c r="AO167" s="27">
        <v>1</v>
      </c>
      <c r="AP167" s="27">
        <v>1</v>
      </c>
    </row>
    <row r="168" spans="1:42">
      <c r="A168" s="130"/>
      <c r="B168" s="27" t="str">
        <f>物品!B168</f>
        <v>IT04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|Cff00FF7F九重煅神劫|r</v>
      </c>
      <c r="I168" s="27" t="str">
        <f>VLOOKUP(B168,物品!B:CV,99,FALSE)</f>
        <v>渡过该劫后可结成|Cff00ff7f黄级道果|r。|n|n|Cff00ff7f黄级道果：|r|n攻击+60000|n生命值+240000|n物理伤害+25%|n法术伤害+25%|n杀敌攻击+8|n杀敌业力+1|n杀敌生命+30|n</v>
      </c>
      <c r="J168" s="132" t="str">
        <f t="shared" si="64"/>
        <v>|Cff00FF7F九重煅神劫|r</v>
      </c>
      <c r="K168" s="132" t="str">
        <f t="shared" si="65"/>
        <v>渡过该劫后可结成|Cff00ff7f黄级道果|r。|n|n|Cff00ff7f黄级道果：|r|n攻击+60000|n生命值+240000|n物理伤害+25%|n法术伤害+25%|n杀敌攻击+8|n杀敌业力+1|n杀敌生命+30|n</v>
      </c>
      <c r="L168" s="27"/>
      <c r="M168" s="133" t="str">
        <f>VLOOKUP(LEFT(RIGHT(B168,5),4),物品!B:CU,20,FALSE)</f>
        <v>ReplaceableTextures\\CommandButtons\\BTNIT04.blp</v>
      </c>
      <c r="N168" s="151" t="s">
        <v>83</v>
      </c>
      <c r="O168" s="133" t="s">
        <v>95</v>
      </c>
      <c r="P168" s="27">
        <v>3</v>
      </c>
      <c r="Q168" s="27">
        <v>0</v>
      </c>
      <c r="R168" s="151" t="s">
        <v>83</v>
      </c>
      <c r="S168" s="151" t="s">
        <v>83</v>
      </c>
      <c r="T168" s="151" t="s">
        <v>83</v>
      </c>
      <c r="U168" s="151" t="s">
        <v>83</v>
      </c>
      <c r="V168" s="27"/>
      <c r="W168" s="27" t="s">
        <v>88</v>
      </c>
      <c r="X168" s="27">
        <v>7000</v>
      </c>
      <c r="Y168" s="151" t="s">
        <v>83</v>
      </c>
      <c r="Z168" s="27">
        <v>0</v>
      </c>
      <c r="AA168" s="27">
        <v>0</v>
      </c>
      <c r="AB168" s="132">
        <v>5</v>
      </c>
      <c r="AC168" s="27">
        <v>1</v>
      </c>
      <c r="AD168" s="27">
        <v>1</v>
      </c>
      <c r="AE168" s="151" t="s">
        <v>83</v>
      </c>
      <c r="AF168" s="151" t="s">
        <v>83</v>
      </c>
      <c r="AG168" s="151" t="s">
        <v>83</v>
      </c>
      <c r="AH168" s="151" t="s">
        <v>83</v>
      </c>
      <c r="AI168" s="27">
        <v>1</v>
      </c>
      <c r="AJ168" s="27"/>
      <c r="AK168" s="27">
        <v>1</v>
      </c>
      <c r="AL168" s="27">
        <v>1</v>
      </c>
      <c r="AM168" s="151" t="s">
        <v>83</v>
      </c>
      <c r="AN168" s="27">
        <v>1</v>
      </c>
      <c r="AO168" s="27">
        <v>1</v>
      </c>
      <c r="AP168" s="27">
        <v>1</v>
      </c>
    </row>
    <row r="169" spans="1:42">
      <c r="A169" s="130"/>
      <c r="B169" s="27" t="str">
        <f>物品!B169</f>
        <v>IT05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|Cff00BFFF灭魄血煞劫|r</v>
      </c>
      <c r="I169" s="27" t="str">
        <f>VLOOKUP(B169,物品!B:CV,99,FALSE)</f>
        <v>渡过该劫后可结成|Cff00bfff玄级道果|r。|n|n|Cff00bfff玄级道果：|r|n攻击+82500|n生命值+330000|n物理伤害+25%|n法术伤害+25%|n杀敌攻击+8|n杀敌业力+1|n杀敌生命+30|n</v>
      </c>
      <c r="J169" s="132" t="str">
        <f t="shared" si="64"/>
        <v>|Cff00BFFF灭魄血煞劫|r</v>
      </c>
      <c r="K169" s="132" t="str">
        <f t="shared" si="65"/>
        <v>渡过该劫后可结成|Cff00bfff玄级道果|r。|n|n|Cff00bfff玄级道果：|r|n攻击+82500|n生命值+330000|n物理伤害+25%|n法术伤害+25%|n杀敌攻击+8|n杀敌业力+1|n杀敌生命+30|n</v>
      </c>
      <c r="L169" s="27"/>
      <c r="M169" s="133" t="str">
        <f>VLOOKUP(LEFT(RIGHT(B169,5),4),物品!B:CU,20,FALSE)</f>
        <v>ReplaceableTextures\\CommandButtons\\BTNIT05.blp</v>
      </c>
      <c r="N169" s="151" t="s">
        <v>83</v>
      </c>
      <c r="O169" s="133" t="s">
        <v>95</v>
      </c>
      <c r="P169" s="27">
        <v>0</v>
      </c>
      <c r="Q169" s="27">
        <v>1</v>
      </c>
      <c r="R169" s="151" t="s">
        <v>83</v>
      </c>
      <c r="S169" s="151" t="s">
        <v>83</v>
      </c>
      <c r="T169" s="151" t="s">
        <v>83</v>
      </c>
      <c r="U169" s="151" t="s">
        <v>83</v>
      </c>
      <c r="V169" s="27"/>
      <c r="W169" s="27" t="s">
        <v>88</v>
      </c>
      <c r="X169" s="27">
        <v>10000</v>
      </c>
      <c r="Y169" s="151" t="s">
        <v>83</v>
      </c>
      <c r="Z169" s="27">
        <v>0</v>
      </c>
      <c r="AA169" s="27">
        <v>0</v>
      </c>
      <c r="AB169" s="132">
        <v>7</v>
      </c>
      <c r="AC169" s="27">
        <v>1</v>
      </c>
      <c r="AD169" s="27">
        <v>1</v>
      </c>
      <c r="AE169" s="151" t="s">
        <v>83</v>
      </c>
      <c r="AF169" s="151" t="s">
        <v>83</v>
      </c>
      <c r="AG169" s="151" t="s">
        <v>83</v>
      </c>
      <c r="AH169" s="151" t="s">
        <v>83</v>
      </c>
      <c r="AI169" s="27">
        <v>1</v>
      </c>
      <c r="AJ169" s="27"/>
      <c r="AK169" s="27">
        <v>1</v>
      </c>
      <c r="AL169" s="27">
        <v>1</v>
      </c>
      <c r="AM169" s="151" t="s">
        <v>83</v>
      </c>
      <c r="AN169" s="27">
        <v>1</v>
      </c>
      <c r="AO169" s="27">
        <v>1</v>
      </c>
      <c r="AP169" s="27">
        <v>1</v>
      </c>
    </row>
    <row r="170" spans="1:42">
      <c r="A170" s="130"/>
      <c r="B170" s="27" t="str">
        <f>物品!B170</f>
        <v>IT06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|Cff00BFFF入微洞虚劫|r</v>
      </c>
      <c r="I170" s="27" t="str">
        <f>VLOOKUP(B170,物品!B:CV,99,FALSE)</f>
        <v>渡过该劫后可结成|Cff00bfff地级道果|r。|n|n|Cff00bfff地级道果：|r|n攻击+120000|n生命值+480000|n物理伤害+25%|n法术伤害+25%|n杀敌攻击+8|n杀敌业力+1|n杀敌生命+30|n</v>
      </c>
      <c r="J170" s="132" t="str">
        <f t="shared" si="64"/>
        <v>|Cff00BFFF入微洞虚劫|r</v>
      </c>
      <c r="K170" s="132" t="str">
        <f t="shared" si="65"/>
        <v>渡过该劫后可结成|Cff00bfff地级道果|r。|n|n|Cff00bfff地级道果：|r|n攻击+120000|n生命值+480000|n物理伤害+25%|n法术伤害+25%|n杀敌攻击+8|n杀敌业力+1|n杀敌生命+30|n</v>
      </c>
      <c r="L170" s="27"/>
      <c r="M170" s="133" t="str">
        <f>VLOOKUP(LEFT(RIGHT(B170,5),4),物品!B:CU,20,FALSE)</f>
        <v>ReplaceableTextures\\CommandButtons\\BTNIT06.blp</v>
      </c>
      <c r="N170" s="151" t="s">
        <v>83</v>
      </c>
      <c r="O170" s="133" t="s">
        <v>95</v>
      </c>
      <c r="P170" s="27">
        <v>1</v>
      </c>
      <c r="Q170" s="27">
        <v>1</v>
      </c>
      <c r="R170" s="151" t="s">
        <v>83</v>
      </c>
      <c r="S170" s="151" t="s">
        <v>83</v>
      </c>
      <c r="T170" s="151" t="s">
        <v>83</v>
      </c>
      <c r="U170" s="151" t="s">
        <v>83</v>
      </c>
      <c r="V170" s="27"/>
      <c r="W170" s="27" t="s">
        <v>88</v>
      </c>
      <c r="X170" s="27">
        <v>15000</v>
      </c>
      <c r="Y170" s="151" t="s">
        <v>83</v>
      </c>
      <c r="Z170" s="27">
        <v>0</v>
      </c>
      <c r="AA170" s="27">
        <v>0</v>
      </c>
      <c r="AB170" s="132">
        <v>10</v>
      </c>
      <c r="AC170" s="27">
        <v>1</v>
      </c>
      <c r="AD170" s="27">
        <v>1</v>
      </c>
      <c r="AE170" s="151" t="s">
        <v>83</v>
      </c>
      <c r="AF170" s="151" t="s">
        <v>83</v>
      </c>
      <c r="AG170" s="151" t="s">
        <v>83</v>
      </c>
      <c r="AH170" s="151" t="s">
        <v>83</v>
      </c>
      <c r="AI170" s="27">
        <v>1</v>
      </c>
      <c r="AJ170" s="27"/>
      <c r="AK170" s="27">
        <v>1</v>
      </c>
      <c r="AL170" s="27">
        <v>1</v>
      </c>
      <c r="AM170" s="151" t="s">
        <v>83</v>
      </c>
      <c r="AN170" s="27">
        <v>1</v>
      </c>
      <c r="AO170" s="27">
        <v>1</v>
      </c>
      <c r="AP170" s="27">
        <v>1</v>
      </c>
    </row>
    <row r="171" spans="1:42">
      <c r="A171" s="130"/>
      <c r="B171" s="27" t="str">
        <f>物品!B171</f>
        <v>IT07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|CffFFD24D因果厄难劫|r</v>
      </c>
      <c r="I171" s="27" t="str">
        <f>VLOOKUP(B171,物品!B:CV,99,FALSE)</f>
        <v>渡过该劫后可结成|Cffffc926天级道果|r。|n|n|Cffffc926天级道果：|r|n攻击+180000|n生命值+720000|n物理伤害+30%|n法术伤害+30%|n杀敌攻击+8|n杀敌业力+1|n杀敌生命+30|n</v>
      </c>
      <c r="J171" s="132" t="str">
        <f t="shared" si="64"/>
        <v>|CffFFD24D因果厄难劫|r</v>
      </c>
      <c r="K171" s="132" t="str">
        <f t="shared" si="65"/>
        <v>渡过该劫后可结成|Cffffc926天级道果|r。|n|n|Cffffc926天级道果：|r|n攻击+180000|n生命值+720000|n物理伤害+30%|n法术伤害+30%|n杀敌攻击+8|n杀敌业力+1|n杀敌生命+30|n</v>
      </c>
      <c r="L171" s="27"/>
      <c r="M171" s="133" t="str">
        <f>VLOOKUP(LEFT(RIGHT(B171,5),4),物品!B:CU,20,FALSE)</f>
        <v>ReplaceableTextures\\CommandButtons\\BTNIT07.blp</v>
      </c>
      <c r="N171" s="151" t="s">
        <v>83</v>
      </c>
      <c r="O171" s="133" t="s">
        <v>95</v>
      </c>
      <c r="P171" s="27">
        <v>2</v>
      </c>
      <c r="Q171" s="27">
        <v>1</v>
      </c>
      <c r="R171" s="151" t="s">
        <v>83</v>
      </c>
      <c r="S171" s="151" t="s">
        <v>83</v>
      </c>
      <c r="T171" s="151" t="s">
        <v>83</v>
      </c>
      <c r="U171" s="151" t="s">
        <v>83</v>
      </c>
      <c r="V171" s="27"/>
      <c r="W171" s="27" t="s">
        <v>88</v>
      </c>
      <c r="X171" s="27">
        <v>20000</v>
      </c>
      <c r="Y171" s="151" t="s">
        <v>83</v>
      </c>
      <c r="Z171" s="27">
        <v>0</v>
      </c>
      <c r="AA171" s="27">
        <v>0</v>
      </c>
      <c r="AB171" s="132">
        <v>13</v>
      </c>
      <c r="AC171" s="27">
        <v>1</v>
      </c>
      <c r="AD171" s="27">
        <v>1</v>
      </c>
      <c r="AE171" s="151" t="s">
        <v>83</v>
      </c>
      <c r="AF171" s="151" t="s">
        <v>83</v>
      </c>
      <c r="AG171" s="151" t="s">
        <v>83</v>
      </c>
      <c r="AH171" s="151" t="s">
        <v>83</v>
      </c>
      <c r="AI171" s="27">
        <v>1</v>
      </c>
      <c r="AJ171" s="27"/>
      <c r="AK171" s="27">
        <v>1</v>
      </c>
      <c r="AL171" s="27">
        <v>1</v>
      </c>
      <c r="AM171" s="151" t="s">
        <v>83</v>
      </c>
      <c r="AN171" s="27">
        <v>1</v>
      </c>
      <c r="AO171" s="27">
        <v>1</v>
      </c>
      <c r="AP171" s="27">
        <v>1</v>
      </c>
    </row>
    <row r="172" spans="1:42">
      <c r="A172" s="130"/>
      <c r="B172" s="27" t="str">
        <f>物品!B172</f>
        <v>IT08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|CffFFD24D迷魂幻世劫|r</v>
      </c>
      <c r="I172" s="27" t="str">
        <f>VLOOKUP(B172,物品!B:CV,99,FALSE)</f>
        <v>渡过该劫后可结成|Cffffc926仙品道果|r。|n|n|Cffffc926仙品道果：|r|n攻击+300000|n生命值+1200000|n物理伤害+30%|n法术伤害+30%|n杀敌攻击+8|n杀敌业力+1|n杀敌生命+30|n</v>
      </c>
      <c r="J172" s="132" t="str">
        <f t="shared" si="64"/>
        <v>|CffFFD24D迷魂幻世劫|r</v>
      </c>
      <c r="K172" s="132" t="str">
        <f t="shared" si="65"/>
        <v>渡过该劫后可结成|Cffffc926仙品道果|r。|n|n|Cffffc926仙品道果：|r|n攻击+300000|n生命值+1200000|n物理伤害+30%|n法术伤害+30%|n杀敌攻击+8|n杀敌业力+1|n杀敌生命+30|n</v>
      </c>
      <c r="L172" s="27"/>
      <c r="M172" s="133" t="str">
        <f>VLOOKUP(LEFT(RIGHT(B172,5),4),物品!B:CU,20,FALSE)</f>
        <v>ReplaceableTextures\\CommandButtons\\BTNIT08.blp</v>
      </c>
      <c r="N172" s="151" t="s">
        <v>83</v>
      </c>
      <c r="O172" s="133" t="s">
        <v>95</v>
      </c>
      <c r="P172" s="27">
        <v>3</v>
      </c>
      <c r="Q172" s="27">
        <v>1</v>
      </c>
      <c r="R172" s="151" t="s">
        <v>83</v>
      </c>
      <c r="S172" s="151" t="s">
        <v>83</v>
      </c>
      <c r="T172" s="151" t="s">
        <v>83</v>
      </c>
      <c r="U172" s="151" t="s">
        <v>83</v>
      </c>
      <c r="V172" s="27"/>
      <c r="W172" s="27" t="s">
        <v>88</v>
      </c>
      <c r="X172" s="27">
        <v>25000</v>
      </c>
      <c r="Y172" s="151" t="s">
        <v>83</v>
      </c>
      <c r="Z172" s="27">
        <v>0</v>
      </c>
      <c r="AA172" s="27">
        <v>0</v>
      </c>
      <c r="AB172" s="132">
        <v>16</v>
      </c>
      <c r="AC172" s="27">
        <v>1</v>
      </c>
      <c r="AD172" s="27">
        <v>1</v>
      </c>
      <c r="AE172" s="151" t="s">
        <v>83</v>
      </c>
      <c r="AF172" s="151" t="s">
        <v>83</v>
      </c>
      <c r="AG172" s="151" t="s">
        <v>83</v>
      </c>
      <c r="AH172" s="151" t="s">
        <v>83</v>
      </c>
      <c r="AI172" s="27">
        <v>1</v>
      </c>
      <c r="AJ172" s="27"/>
      <c r="AK172" s="27">
        <v>1</v>
      </c>
      <c r="AL172" s="27">
        <v>1</v>
      </c>
      <c r="AM172" s="151" t="s">
        <v>83</v>
      </c>
      <c r="AN172" s="27">
        <v>1</v>
      </c>
      <c r="AO172" s="27">
        <v>1</v>
      </c>
      <c r="AP172" s="27">
        <v>1</v>
      </c>
    </row>
    <row r="173" spans="1:42">
      <c r="A173" s="130"/>
      <c r="B173" s="27" t="str">
        <f>物品!B173</f>
        <v>IT09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|CffFF0000天人五衰劫|r</v>
      </c>
      <c r="I173" s="27" t="str">
        <f>VLOOKUP(B173,物品!B:CV,99,FALSE)</f>
        <v>渡过该劫后可结成|Cffff0000至圣道果|r。|n|n|Cffff0000至圣道果：|r|n攻击+450000|n生命值+1800000|n物理伤害+30%|n法术伤害+30%|n杀敌攻击+8|n杀敌业力+1|n杀敌生命+30|n</v>
      </c>
      <c r="J173" s="132" t="str">
        <f t="shared" si="64"/>
        <v>|CffFF0000天人五衰劫|r</v>
      </c>
      <c r="K173" s="132" t="str">
        <f t="shared" si="65"/>
        <v>渡过该劫后可结成|Cffff0000至圣道果|r。|n|n|Cffff0000至圣道果：|r|n攻击+450000|n生命值+1800000|n物理伤害+30%|n法术伤害+30%|n杀敌攻击+8|n杀敌业力+1|n杀敌生命+30|n</v>
      </c>
      <c r="L173" s="27"/>
      <c r="M173" s="133" t="str">
        <f>VLOOKUP(LEFT(RIGHT(B173,5),4),物品!B:CU,20,FALSE)</f>
        <v>ReplaceableTextures\\CommandButtons\\BTNIT09.blp</v>
      </c>
      <c r="N173" s="151" t="s">
        <v>83</v>
      </c>
      <c r="O173" s="133" t="s">
        <v>95</v>
      </c>
      <c r="P173" s="27">
        <v>0</v>
      </c>
      <c r="Q173" s="27">
        <v>2</v>
      </c>
      <c r="R173" s="151" t="s">
        <v>83</v>
      </c>
      <c r="S173" s="151" t="s">
        <v>83</v>
      </c>
      <c r="T173" s="151" t="s">
        <v>83</v>
      </c>
      <c r="U173" s="151" t="s">
        <v>83</v>
      </c>
      <c r="V173" s="27"/>
      <c r="W173" s="27" t="s">
        <v>88</v>
      </c>
      <c r="X173" s="27">
        <v>30000</v>
      </c>
      <c r="Y173" s="151" t="s">
        <v>83</v>
      </c>
      <c r="Z173" s="27">
        <v>0</v>
      </c>
      <c r="AA173" s="27">
        <v>0</v>
      </c>
      <c r="AB173" s="132">
        <v>19</v>
      </c>
      <c r="AC173" s="27">
        <v>1</v>
      </c>
      <c r="AD173" s="27">
        <v>1</v>
      </c>
      <c r="AE173" s="151" t="s">
        <v>83</v>
      </c>
      <c r="AF173" s="151" t="s">
        <v>83</v>
      </c>
      <c r="AG173" s="151" t="s">
        <v>83</v>
      </c>
      <c r="AH173" s="151" t="s">
        <v>83</v>
      </c>
      <c r="AI173" s="27">
        <v>1</v>
      </c>
      <c r="AJ173" s="27"/>
      <c r="AK173" s="27">
        <v>1</v>
      </c>
      <c r="AL173" s="27">
        <v>1</v>
      </c>
      <c r="AM173" s="151" t="s">
        <v>83</v>
      </c>
      <c r="AN173" s="27">
        <v>1</v>
      </c>
      <c r="AO173" s="27">
        <v>1</v>
      </c>
      <c r="AP173" s="27">
        <v>1</v>
      </c>
    </row>
    <row r="174" spans="1:42">
      <c r="A174" s="130"/>
      <c r="B174" s="27" t="str">
        <f>物品!B174</f>
        <v>IT10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|CffFF0000混元灭世劫|r</v>
      </c>
      <c r="I174" s="27" t="str">
        <f>VLOOKUP(B174,物品!B:CV,99,FALSE)</f>
        <v>渡过该劫后可结成|Cffff0000混沌道果|r。|n|n|Cffff0000混沌道果：|r|n攻击+750000|n生命值+3000000|n物理伤害+40%|n法术伤害+40%|n杀敌攻击+8|n杀敌业力+1|n杀敌生命+30|n</v>
      </c>
      <c r="J174" s="132" t="str">
        <f t="shared" si="64"/>
        <v>|CffFF0000混元灭世劫|r</v>
      </c>
      <c r="K174" s="132" t="str">
        <f t="shared" si="65"/>
        <v>渡过该劫后可结成|Cffff0000混沌道果|r。|n|n|Cffff0000混沌道果：|r|n攻击+750000|n生命值+3000000|n物理伤害+40%|n法术伤害+40%|n杀敌攻击+8|n杀敌业力+1|n杀敌生命+30|n</v>
      </c>
      <c r="L174" s="27"/>
      <c r="M174" s="133" t="str">
        <f>VLOOKUP(LEFT(RIGHT(B174,5),4),物品!B:CU,20,FALSE)</f>
        <v>ReplaceableTextures\\CommandButtons\\BTNIT10.blp</v>
      </c>
      <c r="N174" s="151" t="s">
        <v>83</v>
      </c>
      <c r="O174" s="133" t="s">
        <v>95</v>
      </c>
      <c r="P174" s="27">
        <v>1</v>
      </c>
      <c r="Q174" s="27">
        <v>2</v>
      </c>
      <c r="R174" s="151" t="s">
        <v>83</v>
      </c>
      <c r="S174" s="151" t="s">
        <v>83</v>
      </c>
      <c r="T174" s="151" t="s">
        <v>83</v>
      </c>
      <c r="U174" s="151" t="s">
        <v>83</v>
      </c>
      <c r="V174" s="27"/>
      <c r="W174" s="27" t="s">
        <v>88</v>
      </c>
      <c r="X174" s="27">
        <v>50000</v>
      </c>
      <c r="Y174" s="151" t="s">
        <v>83</v>
      </c>
      <c r="Z174" s="27">
        <v>0</v>
      </c>
      <c r="AA174" s="27">
        <v>0</v>
      </c>
      <c r="AB174" s="132">
        <v>25</v>
      </c>
      <c r="AC174" s="27">
        <v>1</v>
      </c>
      <c r="AD174" s="27">
        <v>1</v>
      </c>
      <c r="AE174" s="151" t="s">
        <v>83</v>
      </c>
      <c r="AF174" s="151" t="s">
        <v>83</v>
      </c>
      <c r="AG174" s="151" t="s">
        <v>83</v>
      </c>
      <c r="AH174" s="151" t="s">
        <v>83</v>
      </c>
      <c r="AI174" s="27">
        <v>1</v>
      </c>
      <c r="AJ174" s="27"/>
      <c r="AK174" s="27">
        <v>1</v>
      </c>
      <c r="AL174" s="27">
        <v>1</v>
      </c>
      <c r="AM174" s="151" t="s">
        <v>83</v>
      </c>
      <c r="AN174" s="27">
        <v>1</v>
      </c>
      <c r="AO174" s="27">
        <v>1</v>
      </c>
      <c r="AP174" s="27">
        <v>1</v>
      </c>
    </row>
    <row r="175" spans="1:42">
      <c r="A175" s="130"/>
      <c r="B175" s="27" t="str">
        <f>物品!B175</f>
        <v>IT11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斩三尸</v>
      </c>
      <c r="I175" s="27" t="str">
        <f>VLOOKUP(B175,物品!B:CV,99,FALSE)</f>
        <v>境界挑战11</v>
      </c>
      <c r="J175" s="132" t="str">
        <f t="shared" si="64"/>
        <v>斩三尸</v>
      </c>
      <c r="K175" s="132" t="str">
        <f t="shared" si="65"/>
        <v>境界挑战11</v>
      </c>
      <c r="L175" s="27"/>
      <c r="M175" s="133" t="str">
        <f>VLOOKUP(LEFT(RIGHT(B175,5),4),物品!B:CU,20,FALSE)</f>
        <v>ReplaceableTextures\\CommandButtons\\BTNIT11.blp</v>
      </c>
      <c r="N175" s="151" t="s">
        <v>83</v>
      </c>
      <c r="O175" s="133" t="s">
        <v>95</v>
      </c>
      <c r="P175" s="27">
        <v>2</v>
      </c>
      <c r="Q175" s="27">
        <v>1</v>
      </c>
      <c r="R175" s="151" t="s">
        <v>83</v>
      </c>
      <c r="S175" s="151" t="s">
        <v>83</v>
      </c>
      <c r="T175" s="151" t="s">
        <v>83</v>
      </c>
      <c r="U175" s="151" t="s">
        <v>83</v>
      </c>
      <c r="V175" s="27"/>
      <c r="W175" s="27" t="s">
        <v>88</v>
      </c>
      <c r="X175" s="27">
        <v>0</v>
      </c>
      <c r="Y175" s="151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51" t="s">
        <v>83</v>
      </c>
      <c r="AF175" s="151" t="s">
        <v>83</v>
      </c>
      <c r="AG175" s="151" t="s">
        <v>83</v>
      </c>
      <c r="AH175" s="151" t="s">
        <v>83</v>
      </c>
      <c r="AI175" s="27">
        <v>1</v>
      </c>
      <c r="AJ175" s="27"/>
      <c r="AK175" s="27">
        <v>1</v>
      </c>
      <c r="AL175" s="27">
        <v>1</v>
      </c>
      <c r="AM175" s="151" t="s">
        <v>83</v>
      </c>
      <c r="AN175" s="27">
        <v>1</v>
      </c>
      <c r="AO175" s="27">
        <v>1</v>
      </c>
      <c r="AP175" s="27">
        <v>1</v>
      </c>
    </row>
    <row r="176" spans="1:42">
      <c r="A176" s="130"/>
      <c r="B176" s="27" t="str">
        <f>物品!B176</f>
        <v>IT12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无量量劫</v>
      </c>
      <c r="I176" s="27" t="str">
        <f>VLOOKUP(B176,物品!B:CV,99,FALSE)</f>
        <v>境界挑战12</v>
      </c>
      <c r="J176" s="132" t="str">
        <f t="shared" si="64"/>
        <v>无量量劫</v>
      </c>
      <c r="K176" s="132" t="str">
        <f t="shared" si="65"/>
        <v>境界挑战12</v>
      </c>
      <c r="L176" s="27"/>
      <c r="M176" s="133" t="str">
        <f>VLOOKUP(LEFT(RIGHT(B176,5),4),物品!B:CU,20,FALSE)</f>
        <v>ReplaceableTextures\\CommandButtons\\BTNIT12.blp</v>
      </c>
      <c r="N176" s="151" t="s">
        <v>83</v>
      </c>
      <c r="O176" s="133" t="s">
        <v>95</v>
      </c>
      <c r="P176" s="27">
        <v>3</v>
      </c>
      <c r="Q176" s="27">
        <v>1</v>
      </c>
      <c r="R176" s="151" t="s">
        <v>83</v>
      </c>
      <c r="S176" s="151" t="s">
        <v>83</v>
      </c>
      <c r="T176" s="151" t="s">
        <v>83</v>
      </c>
      <c r="U176" s="151" t="s">
        <v>83</v>
      </c>
      <c r="V176" s="27"/>
      <c r="W176" s="27" t="s">
        <v>88</v>
      </c>
      <c r="X176" s="27">
        <v>0</v>
      </c>
      <c r="Y176" s="151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51" t="s">
        <v>83</v>
      </c>
      <c r="AF176" s="151" t="s">
        <v>83</v>
      </c>
      <c r="AG176" s="151" t="s">
        <v>83</v>
      </c>
      <c r="AH176" s="151" t="s">
        <v>83</v>
      </c>
      <c r="AI176" s="27">
        <v>1</v>
      </c>
      <c r="AJ176" s="27"/>
      <c r="AK176" s="27">
        <v>1</v>
      </c>
      <c r="AL176" s="27">
        <v>1</v>
      </c>
      <c r="AM176" s="151" t="s">
        <v>83</v>
      </c>
      <c r="AN176" s="27">
        <v>1</v>
      </c>
      <c r="AO176" s="27">
        <v>1</v>
      </c>
      <c r="AP176" s="27">
        <v>1</v>
      </c>
    </row>
    <row r="177" spans="1:42">
      <c r="A177" s="130"/>
      <c r="B177" s="27" t="str">
        <f>物品!B177</f>
        <v>IT13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鸿钧对练</v>
      </c>
      <c r="I177" s="27" t="str">
        <f>VLOOKUP(B177,物品!B:CV,99,FALSE)</f>
        <v>境界挑战13</v>
      </c>
      <c r="J177" s="132" t="str">
        <f t="shared" si="64"/>
        <v>鸿钧对练</v>
      </c>
      <c r="K177" s="132" t="str">
        <f t="shared" si="65"/>
        <v>境界挑战13</v>
      </c>
      <c r="L177" s="27"/>
      <c r="M177" s="133" t="str">
        <f>VLOOKUP(LEFT(RIGHT(B177,5),4),物品!B:CU,20,FALSE)</f>
        <v>ReplaceableTextures\\CommandButtons\\BTNIT13.blp</v>
      </c>
      <c r="N177" s="151" t="s">
        <v>83</v>
      </c>
      <c r="O177" s="133" t="s">
        <v>95</v>
      </c>
      <c r="P177" s="27">
        <v>0</v>
      </c>
      <c r="Q177" s="27">
        <v>2</v>
      </c>
      <c r="R177" s="151" t="s">
        <v>83</v>
      </c>
      <c r="S177" s="151" t="s">
        <v>83</v>
      </c>
      <c r="T177" s="151" t="s">
        <v>83</v>
      </c>
      <c r="U177" s="151" t="s">
        <v>83</v>
      </c>
      <c r="V177" s="27"/>
      <c r="W177" s="27" t="s">
        <v>88</v>
      </c>
      <c r="X177" s="27">
        <v>0</v>
      </c>
      <c r="Y177" s="151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51" t="s">
        <v>83</v>
      </c>
      <c r="AF177" s="151" t="s">
        <v>83</v>
      </c>
      <c r="AG177" s="151" t="s">
        <v>83</v>
      </c>
      <c r="AH177" s="151" t="s">
        <v>83</v>
      </c>
      <c r="AI177" s="27">
        <v>1</v>
      </c>
      <c r="AJ177" s="27"/>
      <c r="AK177" s="27">
        <v>1</v>
      </c>
      <c r="AL177" s="27">
        <v>1</v>
      </c>
      <c r="AM177" s="151" t="s">
        <v>83</v>
      </c>
      <c r="AN177" s="27">
        <v>1</v>
      </c>
      <c r="AO177" s="27">
        <v>1</v>
      </c>
      <c r="AP177" s="27">
        <v>1</v>
      </c>
    </row>
    <row r="178" spans="1:42">
      <c r="A178" s="130"/>
      <c r="B178" s="27" t="str">
        <f>物品!B178</f>
        <v>IT14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境界挑战14</v>
      </c>
      <c r="I178" s="27" t="str">
        <f>VLOOKUP(B178,物品!B:CV,99,FALSE)</f>
        <v>境界挑战14</v>
      </c>
      <c r="J178" s="132" t="str">
        <f t="shared" si="64"/>
        <v>境界挑战14</v>
      </c>
      <c r="K178" s="132" t="str">
        <f t="shared" si="65"/>
        <v>境界挑战14</v>
      </c>
      <c r="L178" s="27"/>
      <c r="M178" s="133" t="str">
        <f>VLOOKUP(LEFT(RIGHT(B178,5),4),物品!B:CU,20,FALSE)</f>
        <v>ReplaceableTextures\\CommandButtons\\BTNIT14.blp</v>
      </c>
      <c r="N178" s="151" t="s">
        <v>83</v>
      </c>
      <c r="O178" s="133" t="s">
        <v>95</v>
      </c>
      <c r="P178" s="27">
        <v>1</v>
      </c>
      <c r="Q178" s="27">
        <v>2</v>
      </c>
      <c r="R178" s="151" t="s">
        <v>83</v>
      </c>
      <c r="S178" s="151" t="s">
        <v>83</v>
      </c>
      <c r="T178" s="151" t="s">
        <v>83</v>
      </c>
      <c r="U178" s="151" t="s">
        <v>83</v>
      </c>
      <c r="V178" s="27"/>
      <c r="W178" s="27" t="s">
        <v>88</v>
      </c>
      <c r="X178" s="27">
        <v>0</v>
      </c>
      <c r="Y178" s="151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51" t="s">
        <v>83</v>
      </c>
      <c r="AF178" s="151" t="s">
        <v>83</v>
      </c>
      <c r="AG178" s="151" t="s">
        <v>83</v>
      </c>
      <c r="AH178" s="151" t="s">
        <v>83</v>
      </c>
      <c r="AI178" s="27">
        <v>1</v>
      </c>
      <c r="AJ178" s="27"/>
      <c r="AK178" s="27">
        <v>1</v>
      </c>
      <c r="AL178" s="27">
        <v>1</v>
      </c>
      <c r="AM178" s="151" t="s">
        <v>83</v>
      </c>
      <c r="AN178" s="27">
        <v>1</v>
      </c>
      <c r="AO178" s="27">
        <v>1</v>
      </c>
      <c r="AP178" s="27">
        <v>1</v>
      </c>
    </row>
    <row r="179" spans="1:42">
      <c r="A179" s="130"/>
      <c r="B179" s="27" t="str">
        <f>物品!B179</f>
        <v>IZ0A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暂停进攻</v>
      </c>
      <c r="I179" s="27" t="str">
        <f>VLOOKUP(B179,物品!B:CV,99,FALSE)</f>
        <v>延缓敌军2分钟进攻时间。|n|n|Cff999999狗策划一直不想做这个功能，你们就省着点用吧~（逃|r</v>
      </c>
      <c r="J179" s="132" t="str">
        <f t="shared" si="64"/>
        <v>暂停进攻</v>
      </c>
      <c r="K179" s="132" t="str">
        <f t="shared" si="65"/>
        <v>延缓敌军2分钟进攻时间。|n|n|Cff999999狗策划一直不想做这个功能，你们就省着点用吧~（逃|r</v>
      </c>
      <c r="L179" s="27"/>
      <c r="M179" s="134" t="s">
        <v>104</v>
      </c>
      <c r="N179" s="151" t="s">
        <v>83</v>
      </c>
      <c r="O179" s="133" t="s">
        <v>95</v>
      </c>
      <c r="P179" s="27">
        <v>0</v>
      </c>
      <c r="Q179" s="27">
        <v>0</v>
      </c>
      <c r="R179" s="151" t="s">
        <v>83</v>
      </c>
      <c r="S179" s="151" t="s">
        <v>83</v>
      </c>
      <c r="T179" s="151" t="s">
        <v>83</v>
      </c>
      <c r="U179" s="151" t="s">
        <v>83</v>
      </c>
      <c r="V179" s="27"/>
      <c r="W179" s="27" t="s">
        <v>88</v>
      </c>
      <c r="X179" s="27">
        <v>10000</v>
      </c>
      <c r="Y179" s="151" t="s">
        <v>83</v>
      </c>
      <c r="Z179" s="27">
        <v>120</v>
      </c>
      <c r="AA179" s="27">
        <v>300</v>
      </c>
      <c r="AB179" s="27">
        <v>0</v>
      </c>
      <c r="AC179" s="27">
        <v>1</v>
      </c>
      <c r="AD179" s="27">
        <v>1</v>
      </c>
      <c r="AE179" s="151" t="s">
        <v>83</v>
      </c>
      <c r="AF179" s="151" t="s">
        <v>83</v>
      </c>
      <c r="AG179" s="151" t="s">
        <v>83</v>
      </c>
      <c r="AH179" s="151" t="s">
        <v>83</v>
      </c>
      <c r="AI179" s="27">
        <v>1</v>
      </c>
      <c r="AJ179" s="27"/>
      <c r="AK179" s="27">
        <v>1</v>
      </c>
      <c r="AL179" s="27">
        <v>1</v>
      </c>
      <c r="AM179" s="151" t="s">
        <v>83</v>
      </c>
      <c r="AN179" s="27">
        <v>1</v>
      </c>
      <c r="AO179" s="27">
        <v>1</v>
      </c>
      <c r="AP179" s="27">
        <v>1</v>
      </c>
    </row>
    <row r="180" spans="1:42">
      <c r="A180" s="130"/>
      <c r="B180" s="27" t="str">
        <f>物品!B180</f>
        <v>IZ0B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奇经八脉</v>
      </c>
      <c r="I180" s="27" t="str">
        <f>VLOOKUP(B180,物品!B:CV,99,FALSE)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0" s="132" t="str">
        <f t="shared" ref="J180:J183" si="72">H180</f>
        <v>奇经八脉</v>
      </c>
      <c r="K180" s="132" t="str">
        <f t="shared" ref="K180:K183" si="73">I180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0" s="27"/>
      <c r="M180" s="133" t="str">
        <f>VLOOKUP(LEFT(RIGHT(B180,5),4),物品!B:CU,20,FALSE)</f>
        <v>ReplaceableTextures\\CommandButtons\\BTNIZ0B.blp</v>
      </c>
      <c r="N180" s="151" t="s">
        <v>83</v>
      </c>
      <c r="O180" s="133" t="s">
        <v>95</v>
      </c>
      <c r="P180" s="27">
        <v>2</v>
      </c>
      <c r="Q180" s="27">
        <v>2</v>
      </c>
      <c r="R180" s="151" t="s">
        <v>83</v>
      </c>
      <c r="S180" s="151" t="s">
        <v>83</v>
      </c>
      <c r="T180" s="151" t="s">
        <v>83</v>
      </c>
      <c r="U180" s="151" t="s">
        <v>83</v>
      </c>
      <c r="V180" s="27"/>
      <c r="W180" s="27" t="s">
        <v>88</v>
      </c>
      <c r="X180" s="27">
        <v>0</v>
      </c>
      <c r="Y180" s="151" t="s">
        <v>83</v>
      </c>
      <c r="Z180" s="27">
        <v>0</v>
      </c>
      <c r="AA180" s="27">
        <v>600</v>
      </c>
      <c r="AB180" s="27">
        <v>0</v>
      </c>
      <c r="AC180" s="27">
        <v>1</v>
      </c>
      <c r="AD180" s="27">
        <v>1</v>
      </c>
      <c r="AE180" s="151" t="s">
        <v>83</v>
      </c>
      <c r="AF180" s="151" t="s">
        <v>83</v>
      </c>
      <c r="AG180" s="151" t="s">
        <v>83</v>
      </c>
      <c r="AH180" s="151" t="s">
        <v>83</v>
      </c>
      <c r="AI180" s="27">
        <v>1</v>
      </c>
      <c r="AJ180" s="27"/>
      <c r="AK180" s="27">
        <v>1</v>
      </c>
      <c r="AL180" s="27">
        <v>1</v>
      </c>
      <c r="AM180" s="151" t="s">
        <v>83</v>
      </c>
      <c r="AN180" s="27">
        <v>1</v>
      </c>
      <c r="AO180" s="27">
        <v>1</v>
      </c>
      <c r="AP180" s="27">
        <v>1</v>
      </c>
    </row>
    <row r="181" spans="1:42">
      <c r="A181" s="130"/>
      <c r="B181" s="27" t="str">
        <f>物品!B181</f>
        <v>IZ0D</v>
      </c>
      <c r="C181" s="27" t="s">
        <v>41</v>
      </c>
      <c r="D181" s="27" t="s">
        <v>81</v>
      </c>
      <c r="E181" s="27"/>
      <c r="F181" s="27"/>
      <c r="G181" s="27"/>
      <c r="H181" s="27">
        <f>VLOOKUP(LEFT(RIGHT(B181,5),4),物品!B:CU,2,FALSE)</f>
        <v>0</v>
      </c>
      <c r="I181" s="27"/>
      <c r="J181" s="132">
        <f t="shared" si="72"/>
        <v>0</v>
      </c>
      <c r="K181" s="132">
        <f t="shared" si="73"/>
        <v>0</v>
      </c>
      <c r="L181" s="27"/>
      <c r="M181" s="133" t="str">
        <f>VLOOKUP(LEFT(RIGHT(B181,5),4),物品!B:CU,20,FALSE)</f>
        <v>ReplaceableTextures\\CommandButtons\\BTNIZ0D.blp</v>
      </c>
      <c r="N181" s="151" t="s">
        <v>83</v>
      </c>
      <c r="O181" s="133" t="s">
        <v>95</v>
      </c>
      <c r="P181" s="27">
        <v>0</v>
      </c>
      <c r="Q181" s="27">
        <v>0</v>
      </c>
      <c r="R181" s="151" t="s">
        <v>83</v>
      </c>
      <c r="S181" s="151" t="s">
        <v>83</v>
      </c>
      <c r="T181" s="151" t="s">
        <v>83</v>
      </c>
      <c r="U181" s="151" t="s">
        <v>83</v>
      </c>
      <c r="V181" s="27"/>
      <c r="W181" s="27" t="s">
        <v>88</v>
      </c>
      <c r="X181" s="27">
        <v>0</v>
      </c>
      <c r="Y181" s="151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51" t="s">
        <v>83</v>
      </c>
      <c r="AF181" s="151" t="s">
        <v>83</v>
      </c>
      <c r="AG181" s="151" t="s">
        <v>83</v>
      </c>
      <c r="AH181" s="151" t="s">
        <v>83</v>
      </c>
      <c r="AI181" s="27">
        <v>1</v>
      </c>
      <c r="AJ181" s="27"/>
      <c r="AK181" s="27">
        <v>1</v>
      </c>
      <c r="AL181" s="27">
        <v>1</v>
      </c>
      <c r="AM181" s="151" t="s">
        <v>83</v>
      </c>
      <c r="AN181" s="27">
        <v>1</v>
      </c>
      <c r="AO181" s="27">
        <v>1</v>
      </c>
      <c r="AP181" s="27">
        <v>1</v>
      </c>
    </row>
    <row r="182" spans="1:42">
      <c r="A182" s="130"/>
      <c r="B182" s="27" t="str">
        <f>物品!B182</f>
        <v>IZ0E</v>
      </c>
      <c r="C182" s="27" t="s">
        <v>41</v>
      </c>
      <c r="D182" s="27" t="s">
        <v>81</v>
      </c>
      <c r="E182" s="27"/>
      <c r="F182" s="27"/>
      <c r="G182" s="27"/>
      <c r="H182" s="27">
        <f>VLOOKUP(LEFT(RIGHT(B182,5),4),物品!B:CU,2,FALSE)</f>
        <v>0</v>
      </c>
      <c r="I182" s="27"/>
      <c r="J182" s="132">
        <f t="shared" si="72"/>
        <v>0</v>
      </c>
      <c r="K182" s="132">
        <f t="shared" si="73"/>
        <v>0</v>
      </c>
      <c r="L182" s="27"/>
      <c r="M182" s="133" t="str">
        <f>VLOOKUP(LEFT(RIGHT(B182,5),4),物品!B:CU,20,FALSE)</f>
        <v>ReplaceableTextures\\CommandButtons\\BTNIZ0E.blp</v>
      </c>
      <c r="N182" s="151" t="s">
        <v>83</v>
      </c>
      <c r="O182" s="133" t="s">
        <v>95</v>
      </c>
      <c r="P182" s="27">
        <v>0</v>
      </c>
      <c r="Q182" s="27">
        <v>0</v>
      </c>
      <c r="R182" s="151" t="s">
        <v>83</v>
      </c>
      <c r="S182" s="151" t="s">
        <v>83</v>
      </c>
      <c r="T182" s="151" t="s">
        <v>83</v>
      </c>
      <c r="U182" s="151" t="s">
        <v>83</v>
      </c>
      <c r="V182" s="27"/>
      <c r="W182" s="27" t="s">
        <v>88</v>
      </c>
      <c r="X182" s="27">
        <v>0</v>
      </c>
      <c r="Y182" s="151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51" t="s">
        <v>83</v>
      </c>
      <c r="AF182" s="151" t="s">
        <v>83</v>
      </c>
      <c r="AG182" s="151" t="s">
        <v>83</v>
      </c>
      <c r="AH182" s="151" t="s">
        <v>83</v>
      </c>
      <c r="AI182" s="27">
        <v>1</v>
      </c>
      <c r="AJ182" s="27"/>
      <c r="AK182" s="27">
        <v>1</v>
      </c>
      <c r="AL182" s="27">
        <v>1</v>
      </c>
      <c r="AM182" s="151" t="s">
        <v>83</v>
      </c>
      <c r="AN182" s="27">
        <v>1</v>
      </c>
      <c r="AO182" s="27">
        <v>1</v>
      </c>
      <c r="AP182" s="27">
        <v>1</v>
      </c>
    </row>
    <row r="183" spans="1:42">
      <c r="A183" s="130"/>
      <c r="B183" s="27" t="str">
        <f>物品!B183</f>
        <v>IZ0F</v>
      </c>
      <c r="C183" s="27" t="s">
        <v>41</v>
      </c>
      <c r="D183" s="27" t="s">
        <v>81</v>
      </c>
      <c r="E183" s="27"/>
      <c r="F183" s="27"/>
      <c r="G183" s="27"/>
      <c r="H183" s="27">
        <f>VLOOKUP(LEFT(RIGHT(B183,5),4),物品!B:CU,2,FALSE)</f>
        <v>0</v>
      </c>
      <c r="I183" s="27"/>
      <c r="J183" s="132">
        <f t="shared" si="72"/>
        <v>0</v>
      </c>
      <c r="K183" s="132">
        <f t="shared" si="73"/>
        <v>0</v>
      </c>
      <c r="L183" s="27"/>
      <c r="M183" s="133" t="str">
        <f>VLOOKUP(LEFT(RIGHT(B183,5),4),物品!B:CU,20,FALSE)</f>
        <v>ReplaceableTextures\\CommandButtons\\BTNIZ0F.blp</v>
      </c>
      <c r="N183" s="151" t="s">
        <v>83</v>
      </c>
      <c r="O183" s="133" t="s">
        <v>95</v>
      </c>
      <c r="P183" s="27">
        <v>0</v>
      </c>
      <c r="Q183" s="27">
        <v>0</v>
      </c>
      <c r="R183" s="151" t="s">
        <v>83</v>
      </c>
      <c r="S183" s="151" t="s">
        <v>83</v>
      </c>
      <c r="T183" s="151" t="s">
        <v>83</v>
      </c>
      <c r="U183" s="151" t="s">
        <v>83</v>
      </c>
      <c r="V183" s="27"/>
      <c r="W183" s="27" t="s">
        <v>88</v>
      </c>
      <c r="X183" s="27">
        <v>0</v>
      </c>
      <c r="Y183" s="151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51" t="s">
        <v>83</v>
      </c>
      <c r="AF183" s="151" t="s">
        <v>83</v>
      </c>
      <c r="AG183" s="151" t="s">
        <v>83</v>
      </c>
      <c r="AH183" s="151" t="s">
        <v>83</v>
      </c>
      <c r="AI183" s="27">
        <v>1</v>
      </c>
      <c r="AJ183" s="27"/>
      <c r="AK183" s="27">
        <v>1</v>
      </c>
      <c r="AL183" s="27">
        <v>1</v>
      </c>
      <c r="AM183" s="151" t="s">
        <v>83</v>
      </c>
      <c r="AN183" s="27">
        <v>1</v>
      </c>
      <c r="AO183" s="27">
        <v>1</v>
      </c>
      <c r="AP183" s="27">
        <v>1</v>
      </c>
    </row>
    <row r="184" spans="1:42">
      <c r="A184" s="130"/>
      <c r="B184" s="27" t="str">
        <f>物品!B184</f>
        <v>IZ01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|CffFF0000团队副本-万仙阵|r</v>
      </c>
      <c r="I184" s="27" t="str">
        <f>VLOOKUP(B184,物品!B:CV,99,FALSE)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4" s="132" t="str">
        <f t="shared" ref="J184:J185" si="74">H184</f>
        <v>|CffFF0000团队副本-万仙阵|r</v>
      </c>
      <c r="K184" s="132" t="str">
        <f t="shared" ref="K184:K185" si="75">I184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4" s="27"/>
      <c r="M184" s="133" t="str">
        <f>VLOOKUP(LEFT(RIGHT(B184,5),4),物品!B:CU,20,FALSE)</f>
        <v>ReplaceableTextures\\CommandButtons\\BTNIZ01.blp</v>
      </c>
      <c r="N184" s="151" t="s">
        <v>83</v>
      </c>
      <c r="O184" s="133" t="s">
        <v>95</v>
      </c>
      <c r="P184" s="27">
        <v>1</v>
      </c>
      <c r="Q184" s="27">
        <v>2</v>
      </c>
      <c r="R184" s="151" t="s">
        <v>83</v>
      </c>
      <c r="S184" s="151" t="s">
        <v>83</v>
      </c>
      <c r="T184" s="151" t="s">
        <v>83</v>
      </c>
      <c r="U184" s="151" t="s">
        <v>83</v>
      </c>
      <c r="V184" s="27"/>
      <c r="W184" s="27" t="s">
        <v>88</v>
      </c>
      <c r="X184" s="27">
        <v>0</v>
      </c>
      <c r="Y184" s="151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51" t="s">
        <v>83</v>
      </c>
      <c r="AF184" s="151" t="s">
        <v>83</v>
      </c>
      <c r="AG184" s="151" t="s">
        <v>83</v>
      </c>
      <c r="AH184" s="151" t="s">
        <v>83</v>
      </c>
      <c r="AI184" s="27">
        <v>1</v>
      </c>
      <c r="AJ184" s="27"/>
      <c r="AK184" s="27">
        <v>1</v>
      </c>
      <c r="AL184" s="27">
        <v>1</v>
      </c>
      <c r="AM184" s="151" t="s">
        <v>83</v>
      </c>
      <c r="AN184" s="27">
        <v>1</v>
      </c>
      <c r="AO184" s="27">
        <v>1</v>
      </c>
      <c r="AP184" s="27">
        <v>1</v>
      </c>
    </row>
    <row r="185" spans="1:42">
      <c r="A185" s="130"/>
      <c r="B185" s="27" t="str">
        <f>物品!B185</f>
        <v>IS01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学习Q技能</v>
      </c>
      <c r="I185" s="27" t="str">
        <f>VLOOKUP(B185,物品!B:CV,99,FALSE)</f>
        <v>学习或重置当前|cffffd24dQ技能|r。|n|cffffcc00抽取消耗：|r首次免费|n|cffffcc00抽取次数：|r0/10|n|n|cff00ff7f单局最多抽取10次|r</v>
      </c>
      <c r="J185" s="132" t="str">
        <f t="shared" si="74"/>
        <v>学习Q技能</v>
      </c>
      <c r="K185" s="132" t="str">
        <f t="shared" si="75"/>
        <v>学习或重置当前|cffffd24dQ技能|r。|n|cffffcc00抽取消耗：|r首次免费|n|cffffcc00抽取次数：|r0/10|n|n|cff00ff7f单局最多抽取10次|r</v>
      </c>
      <c r="L185" s="27"/>
      <c r="M185" s="133" t="str">
        <f>VLOOKUP(LEFT(RIGHT(B185,5),4),物品!B:CU,20,FALSE)</f>
        <v>ReplaceableTextures\\CommandButtons\\BTN001.blp</v>
      </c>
      <c r="N185" s="151" t="s">
        <v>83</v>
      </c>
      <c r="O185" s="133" t="s">
        <v>95</v>
      </c>
      <c r="P185" s="27">
        <v>0</v>
      </c>
      <c r="Q185" s="27">
        <v>0</v>
      </c>
      <c r="R185" s="151" t="s">
        <v>83</v>
      </c>
      <c r="S185" s="151" t="s">
        <v>83</v>
      </c>
      <c r="T185" s="151" t="s">
        <v>83</v>
      </c>
      <c r="U185" s="151" t="s">
        <v>83</v>
      </c>
      <c r="V185" s="27"/>
      <c r="W185" s="27" t="s">
        <v>88</v>
      </c>
      <c r="X185" s="27">
        <v>0</v>
      </c>
      <c r="Y185" s="151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51" t="s">
        <v>83</v>
      </c>
      <c r="AF185" s="151" t="s">
        <v>83</v>
      </c>
      <c r="AG185" s="151" t="s">
        <v>83</v>
      </c>
      <c r="AH185" s="151" t="s">
        <v>83</v>
      </c>
      <c r="AI185" s="27">
        <v>1</v>
      </c>
      <c r="AJ185" s="27"/>
      <c r="AK185" s="27">
        <v>1</v>
      </c>
      <c r="AL185" s="27">
        <v>1</v>
      </c>
      <c r="AM185" s="151" t="s">
        <v>83</v>
      </c>
      <c r="AN185" s="27">
        <v>1</v>
      </c>
      <c r="AO185" s="27">
        <v>1</v>
      </c>
      <c r="AP185" s="27">
        <v>1</v>
      </c>
    </row>
    <row r="186" spans="1:42">
      <c r="A186" s="130"/>
      <c r="B186" s="27" t="str">
        <f>物品!B186</f>
        <v>IS02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学习W技能</v>
      </c>
      <c r="I186" s="27" t="str">
        <f>VLOOKUP(B186,物品!B:CV,99,FALSE)</f>
        <v>学习或重置当前|cffffd24dW技能|r。|n|cffffcc00抽取消耗：|r灵力*1|n|cffffcc00抽取次数：|r0/10|n|n|cff00ff7f单局最多抽取10次|r</v>
      </c>
      <c r="J186" s="132" t="str">
        <f t="shared" ref="J186:J199" si="76">H186</f>
        <v>学习W技能</v>
      </c>
      <c r="K186" s="132" t="str">
        <f t="shared" ref="K186:K199" si="77">I186</f>
        <v>学习或重置当前|cffffd24dW技能|r。|n|cffffcc00抽取消耗：|r灵力*1|n|cffffcc00抽取次数：|r0/10|n|n|cff00ff7f单局最多抽取10次|r</v>
      </c>
      <c r="L186" s="27"/>
      <c r="M186" s="133" t="str">
        <f>VLOOKUP(LEFT(RIGHT(B186,5),4),物品!B:CU,20,FALSE)</f>
        <v>ReplaceableTextures\\CommandButtons\\BTN002.blp</v>
      </c>
      <c r="N186" s="151" t="s">
        <v>83</v>
      </c>
      <c r="O186" s="133" t="s">
        <v>95</v>
      </c>
      <c r="P186" s="27">
        <v>1</v>
      </c>
      <c r="Q186" s="27">
        <v>0</v>
      </c>
      <c r="R186" s="151" t="s">
        <v>83</v>
      </c>
      <c r="S186" s="151" t="s">
        <v>83</v>
      </c>
      <c r="T186" s="151" t="s">
        <v>83</v>
      </c>
      <c r="U186" s="151" t="s">
        <v>83</v>
      </c>
      <c r="V186" s="27"/>
      <c r="W186" s="27" t="s">
        <v>88</v>
      </c>
      <c r="X186" s="27">
        <v>0</v>
      </c>
      <c r="Y186" s="151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51" t="s">
        <v>83</v>
      </c>
      <c r="AF186" s="151" t="s">
        <v>83</v>
      </c>
      <c r="AG186" s="151" t="s">
        <v>83</v>
      </c>
      <c r="AH186" s="151" t="s">
        <v>83</v>
      </c>
      <c r="AI186" s="27">
        <v>1</v>
      </c>
      <c r="AJ186" s="27"/>
      <c r="AK186" s="27">
        <v>1</v>
      </c>
      <c r="AL186" s="27">
        <v>1</v>
      </c>
      <c r="AM186" s="151" t="s">
        <v>83</v>
      </c>
      <c r="AN186" s="27">
        <v>1</v>
      </c>
      <c r="AO186" s="27">
        <v>1</v>
      </c>
      <c r="AP186" s="27">
        <v>1</v>
      </c>
    </row>
    <row r="187" spans="1:42">
      <c r="A187" s="130"/>
      <c r="B187" s="27" t="str">
        <f>物品!B187</f>
        <v>IS03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学习E技能</v>
      </c>
      <c r="I187" s="27" t="str">
        <f>VLOOKUP(B187,物品!B:CV,99,FALSE)</f>
        <v>学习或重置当前|cffffd24dE技能|r。|n|cffffcc00抽取消耗：|r15000金币*次数|n|cffffcc00抽取次数：|r0/10|n|n|cff00ff7f单局最多抽取10次|r</v>
      </c>
      <c r="J187" s="132" t="str">
        <f t="shared" si="76"/>
        <v>学习E技能</v>
      </c>
      <c r="K187" s="132" t="str">
        <f t="shared" si="77"/>
        <v>学习或重置当前|cffffd24dE技能|r。|n|cffffcc00抽取消耗：|r15000金币*次数|n|cffffcc00抽取次数：|r0/10|n|n|cff00ff7f单局最多抽取10次|r</v>
      </c>
      <c r="L187" s="27"/>
      <c r="M187" s="133" t="str">
        <f>VLOOKUP(LEFT(RIGHT(B187,5),4),物品!B:CU,20,FALSE)</f>
        <v>ReplaceableTextures\\CommandButtons\\BTN003.blp</v>
      </c>
      <c r="N187" s="151" t="s">
        <v>83</v>
      </c>
      <c r="O187" s="133" t="s">
        <v>95</v>
      </c>
      <c r="P187" s="27">
        <v>2</v>
      </c>
      <c r="Q187" s="27">
        <v>0</v>
      </c>
      <c r="R187" s="151" t="s">
        <v>83</v>
      </c>
      <c r="S187" s="151" t="s">
        <v>83</v>
      </c>
      <c r="T187" s="151" t="s">
        <v>83</v>
      </c>
      <c r="U187" s="151" t="s">
        <v>83</v>
      </c>
      <c r="V187" s="27"/>
      <c r="W187" s="27" t="s">
        <v>88</v>
      </c>
      <c r="X187" s="27">
        <v>0</v>
      </c>
      <c r="Y187" s="151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51" t="s">
        <v>83</v>
      </c>
      <c r="AF187" s="151" t="s">
        <v>83</v>
      </c>
      <c r="AG187" s="151" t="s">
        <v>83</v>
      </c>
      <c r="AH187" s="151" t="s">
        <v>83</v>
      </c>
      <c r="AI187" s="27">
        <v>1</v>
      </c>
      <c r="AJ187" s="27"/>
      <c r="AK187" s="27">
        <v>1</v>
      </c>
      <c r="AL187" s="27">
        <v>1</v>
      </c>
      <c r="AM187" s="151" t="s">
        <v>83</v>
      </c>
      <c r="AN187" s="27">
        <v>1</v>
      </c>
      <c r="AO187" s="27">
        <v>1</v>
      </c>
      <c r="AP187" s="27">
        <v>1</v>
      </c>
    </row>
    <row r="188" spans="1:42">
      <c r="A188" s="130"/>
      <c r="B188" s="27" t="str">
        <f>物品!B188</f>
        <v>IS21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Q技能附魔石</v>
      </c>
      <c r="I188" s="27" t="str">
        <f>VLOOKUP(B188,物品!B:CV,99,FALSE)</f>
        <v>为|Cffffd24dQ技能|r附魔一条|Cffffd24d随机属性|r。</v>
      </c>
      <c r="J188" s="132" t="str">
        <f t="shared" si="76"/>
        <v>Q技能附魔石</v>
      </c>
      <c r="K188" s="132" t="str">
        <f t="shared" si="77"/>
        <v>为|Cffffd24dQ技能|r附魔一条|Cffffd24d随机属性|r。</v>
      </c>
      <c r="L188" s="27"/>
      <c r="M188" s="133" t="str">
        <f>VLOOKUP(LEFT(RIGHT(B188,5),4),物品!B:CU,20,FALSE)</f>
        <v>ReplaceableTextures\\CommandButtons\\BTNIN01.blp</v>
      </c>
      <c r="N188" s="151" t="s">
        <v>83</v>
      </c>
      <c r="O188" s="133" t="s">
        <v>95</v>
      </c>
      <c r="P188" s="27">
        <v>0</v>
      </c>
      <c r="Q188" s="27">
        <v>2</v>
      </c>
      <c r="R188" s="151" t="s">
        <v>83</v>
      </c>
      <c r="S188" s="151" t="s">
        <v>83</v>
      </c>
      <c r="T188" s="151" t="s">
        <v>83</v>
      </c>
      <c r="U188" s="151" t="s">
        <v>83</v>
      </c>
      <c r="V188" s="27"/>
      <c r="W188" s="27" t="s">
        <v>93</v>
      </c>
      <c r="X188" s="27">
        <v>0</v>
      </c>
      <c r="Y188" s="151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51" t="s">
        <v>83</v>
      </c>
      <c r="AF188" s="151" t="s">
        <v>83</v>
      </c>
      <c r="AG188" s="151" t="s">
        <v>83</v>
      </c>
      <c r="AH188" s="151" t="s">
        <v>83</v>
      </c>
      <c r="AI188" s="27">
        <v>0</v>
      </c>
      <c r="AJ188" s="27"/>
      <c r="AK188" s="27">
        <v>1</v>
      </c>
      <c r="AL188" s="27">
        <v>1</v>
      </c>
      <c r="AM188" s="151" t="s">
        <v>83</v>
      </c>
      <c r="AN188" s="27">
        <v>1</v>
      </c>
      <c r="AO188" s="27">
        <v>1</v>
      </c>
      <c r="AP188" s="27">
        <v>1</v>
      </c>
    </row>
    <row r="189" spans="1:42">
      <c r="A189" s="130"/>
      <c r="B189" s="27" t="str">
        <f>物品!B189</f>
        <v>IS22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W技能附魔石</v>
      </c>
      <c r="I189" s="27" t="str">
        <f>VLOOKUP(B189,物品!B:CV,99,FALSE)</f>
        <v>为|Cffffd24dW技能|r附魔一条|Cffffd24d随机属性|r。</v>
      </c>
      <c r="J189" s="132" t="str">
        <f t="shared" ref="J189:J191" si="78">H189</f>
        <v>W技能附魔石</v>
      </c>
      <c r="K189" s="132" t="str">
        <f t="shared" ref="K189:K191" si="79">I189</f>
        <v>为|Cffffd24dW技能|r附魔一条|Cffffd24d随机属性|r。</v>
      </c>
      <c r="L189" s="27"/>
      <c r="M189" s="133" t="str">
        <f>VLOOKUP(LEFT(RIGHT(B189,5),4),物品!B:CU,20,FALSE)</f>
        <v>ReplaceableTextures\\CommandButtons\\BTNIN02.blp</v>
      </c>
      <c r="N189" s="151" t="s">
        <v>83</v>
      </c>
      <c r="O189" s="133" t="s">
        <v>95</v>
      </c>
      <c r="P189" s="27">
        <v>1</v>
      </c>
      <c r="Q189" s="27">
        <v>2</v>
      </c>
      <c r="R189" s="151" t="s">
        <v>83</v>
      </c>
      <c r="S189" s="151" t="s">
        <v>83</v>
      </c>
      <c r="T189" s="151" t="s">
        <v>83</v>
      </c>
      <c r="U189" s="151" t="s">
        <v>83</v>
      </c>
      <c r="V189" s="27"/>
      <c r="W189" s="27" t="s">
        <v>93</v>
      </c>
      <c r="X189" s="27">
        <v>0</v>
      </c>
      <c r="Y189" s="151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51" t="s">
        <v>83</v>
      </c>
      <c r="AF189" s="151" t="s">
        <v>83</v>
      </c>
      <c r="AG189" s="151" t="s">
        <v>83</v>
      </c>
      <c r="AH189" s="151" t="s">
        <v>83</v>
      </c>
      <c r="AI189" s="27">
        <v>0</v>
      </c>
      <c r="AJ189" s="27"/>
      <c r="AK189" s="27">
        <v>1</v>
      </c>
      <c r="AL189" s="27">
        <v>1</v>
      </c>
      <c r="AM189" s="151" t="s">
        <v>83</v>
      </c>
      <c r="AN189" s="27">
        <v>1</v>
      </c>
      <c r="AO189" s="27">
        <v>1</v>
      </c>
      <c r="AP189" s="27">
        <v>1</v>
      </c>
    </row>
    <row r="190" spans="1:42">
      <c r="A190" s="130"/>
      <c r="B190" s="27" t="str">
        <f>物品!B190</f>
        <v>IS23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E技能附魔石</v>
      </c>
      <c r="I190" s="27" t="str">
        <f>VLOOKUP(B190,物品!B:CV,99,FALSE)</f>
        <v>为|Cffffd24dE技能|r附魔一条|Cffffd24d随机属性|r。</v>
      </c>
      <c r="J190" s="132" t="str">
        <f t="shared" si="78"/>
        <v>E技能附魔石</v>
      </c>
      <c r="K190" s="132" t="str">
        <f t="shared" si="79"/>
        <v>为|Cffffd24dE技能|r附魔一条|Cffffd24d随机属性|r。</v>
      </c>
      <c r="L190" s="27"/>
      <c r="M190" s="133" t="str">
        <f>VLOOKUP(LEFT(RIGHT(B190,5),4),物品!B:CU,20,FALSE)</f>
        <v>ReplaceableTextures\\CommandButtons\\BTNIN03.blp</v>
      </c>
      <c r="N190" s="151" t="s">
        <v>83</v>
      </c>
      <c r="O190" s="133" t="s">
        <v>95</v>
      </c>
      <c r="P190" s="27">
        <v>2</v>
      </c>
      <c r="Q190" s="27">
        <v>2</v>
      </c>
      <c r="R190" s="151" t="s">
        <v>83</v>
      </c>
      <c r="S190" s="151" t="s">
        <v>83</v>
      </c>
      <c r="T190" s="151" t="s">
        <v>83</v>
      </c>
      <c r="U190" s="151" t="s">
        <v>83</v>
      </c>
      <c r="V190" s="27"/>
      <c r="W190" s="27" t="s">
        <v>93</v>
      </c>
      <c r="X190" s="27">
        <v>0</v>
      </c>
      <c r="Y190" s="151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51" t="s">
        <v>83</v>
      </c>
      <c r="AF190" s="151" t="s">
        <v>83</v>
      </c>
      <c r="AG190" s="151" t="s">
        <v>83</v>
      </c>
      <c r="AH190" s="151" t="s">
        <v>83</v>
      </c>
      <c r="AI190" s="27">
        <v>0</v>
      </c>
      <c r="AJ190" s="27"/>
      <c r="AK190" s="27">
        <v>1</v>
      </c>
      <c r="AL190" s="27">
        <v>1</v>
      </c>
      <c r="AM190" s="151" t="s">
        <v>83</v>
      </c>
      <c r="AN190" s="27">
        <v>1</v>
      </c>
      <c r="AO190" s="27">
        <v>1</v>
      </c>
      <c r="AP190" s="27">
        <v>1</v>
      </c>
    </row>
    <row r="191" spans="1:42">
      <c r="A191" s="130"/>
      <c r="B191" s="27" t="str">
        <f>物品!B191</f>
        <v>IS24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|CffFFD24DQ强力附魔石|r</v>
      </c>
      <c r="I191" s="27" t="str">
        <f>VLOOKUP(B191,物品!B:CV,99,FALSE)</f>
        <v>为|Cffffd24dQ技能|r附魔一条|Cffffd24d随机属性|r。</v>
      </c>
      <c r="J191" s="132" t="str">
        <f t="shared" si="78"/>
        <v>|CffFFD24DQ强力附魔石|r</v>
      </c>
      <c r="K191" s="132" t="str">
        <f t="shared" si="79"/>
        <v>为|Cffffd24dQ技能|r附魔一条|Cffffd24d随机属性|r。</v>
      </c>
      <c r="L191" s="27"/>
      <c r="M191" s="133" t="str">
        <f>VLOOKUP(LEFT(RIGHT(B191,5),4),物品!B:CU,20,FALSE)</f>
        <v>ReplaceableTextures\\CommandButtons\\BTN009.blp</v>
      </c>
      <c r="N191" s="151" t="s">
        <v>83</v>
      </c>
      <c r="O191" s="133" t="s">
        <v>95</v>
      </c>
      <c r="P191" s="27">
        <v>0</v>
      </c>
      <c r="Q191" s="27">
        <v>2</v>
      </c>
      <c r="R191" s="151" t="s">
        <v>83</v>
      </c>
      <c r="S191" s="151" t="s">
        <v>83</v>
      </c>
      <c r="T191" s="151" t="s">
        <v>83</v>
      </c>
      <c r="U191" s="151" t="s">
        <v>83</v>
      </c>
      <c r="V191" s="27"/>
      <c r="W191" s="27" t="s">
        <v>93</v>
      </c>
      <c r="X191" s="27">
        <v>0</v>
      </c>
      <c r="Y191" s="151" t="s">
        <v>83</v>
      </c>
      <c r="Z191" s="27">
        <v>0</v>
      </c>
      <c r="AA191" s="27">
        <v>0</v>
      </c>
      <c r="AB191" s="27">
        <v>30</v>
      </c>
      <c r="AC191" s="27">
        <v>1</v>
      </c>
      <c r="AD191" s="27">
        <v>1</v>
      </c>
      <c r="AE191" s="151" t="s">
        <v>83</v>
      </c>
      <c r="AF191" s="151" t="s">
        <v>83</v>
      </c>
      <c r="AG191" s="151" t="s">
        <v>83</v>
      </c>
      <c r="AH191" s="151" t="s">
        <v>83</v>
      </c>
      <c r="AI191" s="27">
        <v>0</v>
      </c>
      <c r="AJ191" s="27"/>
      <c r="AK191" s="27">
        <v>1</v>
      </c>
      <c r="AL191" s="27">
        <v>1</v>
      </c>
      <c r="AM191" s="151" t="s">
        <v>83</v>
      </c>
      <c r="AN191" s="27">
        <v>1</v>
      </c>
      <c r="AO191" s="27">
        <v>1</v>
      </c>
      <c r="AP191" s="27">
        <v>1</v>
      </c>
    </row>
    <row r="192" spans="1:42">
      <c r="A192" s="130"/>
      <c r="B192" s="27" t="str">
        <f>物品!B192</f>
        <v>IS25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|CffFFD24DW强力附魔石|r</v>
      </c>
      <c r="I192" s="27" t="str">
        <f>VLOOKUP(B192,物品!B:CV,99,FALSE)</f>
        <v>为|Cffffd24dW技能|r附魔一条|Cffffd24d随机属性|r。</v>
      </c>
      <c r="J192" s="132" t="str">
        <f t="shared" ref="J192:J193" si="80">H192</f>
        <v>|CffFFD24DW强力附魔石|r</v>
      </c>
      <c r="K192" s="132" t="str">
        <f t="shared" ref="K192:K193" si="81">I192</f>
        <v>为|Cffffd24dW技能|r附魔一条|Cffffd24d随机属性|r。</v>
      </c>
      <c r="L192" s="27"/>
      <c r="M192" s="133" t="str">
        <f>VLOOKUP(LEFT(RIGHT(B192,5),4),物品!B:CU,20,FALSE)</f>
        <v>ReplaceableTextures\\CommandButtons\\BTN010.blp</v>
      </c>
      <c r="N192" s="151" t="s">
        <v>83</v>
      </c>
      <c r="O192" s="133" t="s">
        <v>95</v>
      </c>
      <c r="P192" s="27">
        <v>1</v>
      </c>
      <c r="Q192" s="27">
        <v>2</v>
      </c>
      <c r="R192" s="151" t="s">
        <v>83</v>
      </c>
      <c r="S192" s="151" t="s">
        <v>83</v>
      </c>
      <c r="T192" s="151" t="s">
        <v>83</v>
      </c>
      <c r="U192" s="151" t="s">
        <v>83</v>
      </c>
      <c r="V192" s="27"/>
      <c r="W192" s="27" t="s">
        <v>93</v>
      </c>
      <c r="X192" s="27">
        <v>0</v>
      </c>
      <c r="Y192" s="151" t="s">
        <v>83</v>
      </c>
      <c r="Z192" s="27">
        <v>0</v>
      </c>
      <c r="AA192" s="27">
        <v>0</v>
      </c>
      <c r="AB192" s="27">
        <v>30</v>
      </c>
      <c r="AC192" s="27">
        <v>1</v>
      </c>
      <c r="AD192" s="27">
        <v>1</v>
      </c>
      <c r="AE192" s="151" t="s">
        <v>83</v>
      </c>
      <c r="AF192" s="151" t="s">
        <v>83</v>
      </c>
      <c r="AG192" s="151" t="s">
        <v>83</v>
      </c>
      <c r="AH192" s="151" t="s">
        <v>83</v>
      </c>
      <c r="AI192" s="27">
        <v>0</v>
      </c>
      <c r="AJ192" s="27"/>
      <c r="AK192" s="27">
        <v>1</v>
      </c>
      <c r="AL192" s="27">
        <v>1</v>
      </c>
      <c r="AM192" s="151" t="s">
        <v>83</v>
      </c>
      <c r="AN192" s="27">
        <v>1</v>
      </c>
      <c r="AO192" s="27">
        <v>1</v>
      </c>
      <c r="AP192" s="27">
        <v>1</v>
      </c>
    </row>
    <row r="193" spans="1:42">
      <c r="A193" s="130"/>
      <c r="B193" s="27" t="str">
        <f>物品!B193</f>
        <v>IS26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|CffFFD24DE强力附魔石|r</v>
      </c>
      <c r="I193" s="27" t="str">
        <f>VLOOKUP(B193,物品!B:CV,99,FALSE)</f>
        <v>为|Cffffd24dE技能|r附魔一条|Cffffd24d随机属性|r。</v>
      </c>
      <c r="J193" s="132" t="str">
        <f t="shared" si="80"/>
        <v>|CffFFD24DE强力附魔石|r</v>
      </c>
      <c r="K193" s="132" t="str">
        <f t="shared" si="81"/>
        <v>为|Cffffd24dE技能|r附魔一条|Cffffd24d随机属性|r。</v>
      </c>
      <c r="L193" s="27"/>
      <c r="M193" s="133" t="str">
        <f>VLOOKUP(LEFT(RIGHT(B193,5),4),物品!B:CU,20,FALSE)</f>
        <v>ReplaceableTextures\\CommandButtons\\BTN011.blp</v>
      </c>
      <c r="N193" s="151" t="s">
        <v>83</v>
      </c>
      <c r="O193" s="133" t="s">
        <v>95</v>
      </c>
      <c r="P193" s="27">
        <v>2</v>
      </c>
      <c r="Q193" s="27">
        <v>2</v>
      </c>
      <c r="R193" s="151" t="s">
        <v>83</v>
      </c>
      <c r="S193" s="151" t="s">
        <v>83</v>
      </c>
      <c r="T193" s="151" t="s">
        <v>83</v>
      </c>
      <c r="U193" s="151" t="s">
        <v>83</v>
      </c>
      <c r="V193" s="27"/>
      <c r="W193" s="27" t="s">
        <v>93</v>
      </c>
      <c r="X193" s="27">
        <v>0</v>
      </c>
      <c r="Y193" s="151" t="s">
        <v>83</v>
      </c>
      <c r="Z193" s="27">
        <v>0</v>
      </c>
      <c r="AA193" s="27">
        <v>0</v>
      </c>
      <c r="AB193" s="27">
        <v>30</v>
      </c>
      <c r="AC193" s="27">
        <v>1</v>
      </c>
      <c r="AD193" s="27">
        <v>1</v>
      </c>
      <c r="AE193" s="151" t="s">
        <v>83</v>
      </c>
      <c r="AF193" s="151" t="s">
        <v>83</v>
      </c>
      <c r="AG193" s="151" t="s">
        <v>83</v>
      </c>
      <c r="AH193" s="151" t="s">
        <v>83</v>
      </c>
      <c r="AI193" s="27">
        <v>0</v>
      </c>
      <c r="AJ193" s="27"/>
      <c r="AK193" s="27">
        <v>1</v>
      </c>
      <c r="AL193" s="27">
        <v>1</v>
      </c>
      <c r="AM193" s="151" t="s">
        <v>83</v>
      </c>
      <c r="AN193" s="27">
        <v>1</v>
      </c>
      <c r="AO193" s="27">
        <v>1</v>
      </c>
      <c r="AP193" s="27">
        <v>1</v>
      </c>
    </row>
    <row r="194" spans="1:42">
      <c r="A194" s="130"/>
      <c r="B194" s="27" t="str">
        <f>物品!B194</f>
        <v>IS11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|CffFF0000占星|r</v>
      </c>
      <c r="I194" s="27" t="str">
        <f>VLOOKUP(B194,物品!B:CV,99,FALSE)</f>
        <v>|CffFF0000占星|r</v>
      </c>
      <c r="J194" s="132" t="str">
        <f t="shared" ref="J194" si="82">H194</f>
        <v>|CffFF0000占星|r</v>
      </c>
      <c r="K194" s="132" t="str">
        <f t="shared" ref="K194" si="83">I194</f>
        <v>|CffFF0000占星|r</v>
      </c>
      <c r="L194" s="27"/>
      <c r="M194" s="133" t="str">
        <f>VLOOKUP(LEFT(RIGHT(B194,5),4),物品!B:CU,20,FALSE)</f>
        <v>ReplaceableTextures\\CommandButtons\\BTNIS11.blp</v>
      </c>
      <c r="N194" s="151" t="s">
        <v>83</v>
      </c>
      <c r="O194" s="133" t="s">
        <v>95</v>
      </c>
      <c r="P194" s="27">
        <v>0</v>
      </c>
      <c r="Q194" s="27">
        <v>0</v>
      </c>
      <c r="R194" s="151" t="s">
        <v>83</v>
      </c>
      <c r="S194" s="151" t="s">
        <v>83</v>
      </c>
      <c r="T194" s="151" t="s">
        <v>83</v>
      </c>
      <c r="U194" s="151" t="s">
        <v>83</v>
      </c>
      <c r="V194" s="27"/>
      <c r="W194" s="27" t="s">
        <v>88</v>
      </c>
      <c r="X194" s="27">
        <v>0</v>
      </c>
      <c r="Y194" s="151" t="s">
        <v>83</v>
      </c>
      <c r="Z194" s="27">
        <v>0</v>
      </c>
      <c r="AA194" s="27">
        <v>240</v>
      </c>
      <c r="AB194" s="27">
        <v>0</v>
      </c>
      <c r="AC194" s="27">
        <v>1</v>
      </c>
      <c r="AD194" s="27">
        <v>1</v>
      </c>
      <c r="AE194" s="151" t="s">
        <v>83</v>
      </c>
      <c r="AF194" s="151" t="s">
        <v>83</v>
      </c>
      <c r="AG194" s="151" t="s">
        <v>83</v>
      </c>
      <c r="AH194" s="151" t="s">
        <v>83</v>
      </c>
      <c r="AI194" s="27">
        <v>1</v>
      </c>
      <c r="AJ194" s="27"/>
      <c r="AK194" s="27">
        <v>1</v>
      </c>
      <c r="AL194" s="27">
        <v>1</v>
      </c>
      <c r="AM194" s="151" t="s">
        <v>83</v>
      </c>
      <c r="AN194" s="27">
        <v>1</v>
      </c>
      <c r="AO194" s="27">
        <v>1</v>
      </c>
      <c r="AP194" s="27">
        <v>1</v>
      </c>
    </row>
    <row r="195" spans="1:42">
      <c r="A195" s="130"/>
      <c r="B195" s="27" t="str">
        <f>物品!B195</f>
        <v>IS12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|CffFFD24D兽魂抽奖|r</v>
      </c>
      <c r="I195" s="27" t="str">
        <f>VLOOKUP(B195,物品!B:CV,99,FALSE)</f>
        <v>|CffFFD24D兽魂抽奖|r</v>
      </c>
      <c r="J195" s="132" t="str">
        <f t="shared" si="76"/>
        <v>|CffFFD24D兽魂抽奖|r</v>
      </c>
      <c r="K195" s="132" t="str">
        <f t="shared" si="77"/>
        <v>|CffFFD24D兽魂抽奖|r</v>
      </c>
      <c r="L195" s="27"/>
      <c r="M195" s="133" t="str">
        <f>VLOOKUP(LEFT(RIGHT(B195,5),4),物品!B:CU,20,FALSE)</f>
        <v>ReplaceableTextures\\CommandButtons\\BTNIH00.blp</v>
      </c>
      <c r="N195" s="151" t="s">
        <v>83</v>
      </c>
      <c r="O195" s="133" t="s">
        <v>95</v>
      </c>
      <c r="P195" s="27">
        <v>0</v>
      </c>
      <c r="Q195" s="27">
        <v>0</v>
      </c>
      <c r="R195" s="151" t="s">
        <v>83</v>
      </c>
      <c r="S195" s="151" t="s">
        <v>83</v>
      </c>
      <c r="T195" s="151" t="s">
        <v>83</v>
      </c>
      <c r="U195" s="151" t="s">
        <v>83</v>
      </c>
      <c r="V195" s="27"/>
      <c r="W195" s="27" t="s">
        <v>88</v>
      </c>
      <c r="X195" s="27">
        <v>0</v>
      </c>
      <c r="Y195" s="151" t="s">
        <v>83</v>
      </c>
      <c r="Z195" s="27">
        <v>0</v>
      </c>
      <c r="AA195" s="27">
        <v>3</v>
      </c>
      <c r="AB195" s="27">
        <v>0</v>
      </c>
      <c r="AC195" s="27">
        <v>1</v>
      </c>
      <c r="AD195" s="27">
        <v>1</v>
      </c>
      <c r="AE195" s="151" t="s">
        <v>83</v>
      </c>
      <c r="AF195" s="151" t="s">
        <v>83</v>
      </c>
      <c r="AG195" s="151" t="s">
        <v>83</v>
      </c>
      <c r="AH195" s="151" t="s">
        <v>83</v>
      </c>
      <c r="AI195" s="27">
        <v>1</v>
      </c>
      <c r="AJ195" s="27"/>
      <c r="AK195" s="27">
        <v>1</v>
      </c>
      <c r="AL195" s="27">
        <v>1</v>
      </c>
      <c r="AM195" s="151" t="s">
        <v>83</v>
      </c>
      <c r="AN195" s="27">
        <v>1</v>
      </c>
      <c r="AO195" s="27">
        <v>1</v>
      </c>
      <c r="AP195" s="27">
        <v>1</v>
      </c>
    </row>
    <row r="196" spans="1:42">
      <c r="A196" s="130"/>
      <c r="B196" s="27" t="str">
        <f>物品!B196</f>
        <v>IZ0C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|CffFFD24D兽魂抽奖|r</v>
      </c>
      <c r="I196" s="27" t="str">
        <f>VLOOKUP(B196,物品!B:CV,99,FALSE)</f>
        <v>|CffFFD24D兽魂抽奖|r</v>
      </c>
      <c r="J196" s="132" t="str">
        <f t="shared" si="76"/>
        <v>|CffFFD24D兽魂抽奖|r</v>
      </c>
      <c r="K196" s="132" t="str">
        <f t="shared" si="77"/>
        <v>|CffFFD24D兽魂抽奖|r</v>
      </c>
      <c r="L196" s="27"/>
      <c r="M196" s="133" t="str">
        <f>VLOOKUP(LEFT(RIGHT(B196,5),4),物品!B:CU,20,FALSE)</f>
        <v>ReplaceableTextures\\CommandButtons\\BTNIH00.blp</v>
      </c>
      <c r="N196" s="151" t="s">
        <v>83</v>
      </c>
      <c r="O196" s="133" t="s">
        <v>95</v>
      </c>
      <c r="P196" s="27">
        <v>0</v>
      </c>
      <c r="Q196" s="27">
        <v>0</v>
      </c>
      <c r="R196" s="151" t="s">
        <v>83</v>
      </c>
      <c r="S196" s="151" t="s">
        <v>83</v>
      </c>
      <c r="T196" s="151" t="s">
        <v>83</v>
      </c>
      <c r="U196" s="151" t="s">
        <v>83</v>
      </c>
      <c r="V196" s="27"/>
      <c r="W196" s="27" t="s">
        <v>88</v>
      </c>
      <c r="X196" s="27">
        <v>0</v>
      </c>
      <c r="Y196" s="151" t="s">
        <v>83</v>
      </c>
      <c r="Z196" s="27">
        <v>0</v>
      </c>
      <c r="AA196" s="27">
        <v>9999999</v>
      </c>
      <c r="AB196" s="27">
        <v>0</v>
      </c>
      <c r="AC196" s="27">
        <v>1</v>
      </c>
      <c r="AD196" s="27">
        <v>1</v>
      </c>
      <c r="AE196" s="151" t="s">
        <v>83</v>
      </c>
      <c r="AF196" s="151" t="s">
        <v>83</v>
      </c>
      <c r="AG196" s="151" t="s">
        <v>83</v>
      </c>
      <c r="AH196" s="151" t="s">
        <v>83</v>
      </c>
      <c r="AI196" s="27">
        <v>1</v>
      </c>
      <c r="AJ196" s="27"/>
      <c r="AK196" s="27">
        <v>1</v>
      </c>
      <c r="AL196" s="27">
        <v>1</v>
      </c>
      <c r="AM196" s="151" t="s">
        <v>83</v>
      </c>
      <c r="AN196" s="27">
        <v>1</v>
      </c>
      <c r="AO196" s="27">
        <v>1</v>
      </c>
      <c r="AP196" s="27">
        <v>1</v>
      </c>
    </row>
    <row r="197" spans="1:42">
      <c r="A197" s="130"/>
      <c r="B197" s="27" t="str">
        <f>物品!B197</f>
        <v>IZ10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|CffFFD24D占星卜卦|r</v>
      </c>
      <c r="I197" s="27" t="str">
        <f>VLOOKUP(B197,物品!B:CV,99,FALSE)</f>
        <v>|CffF0F0F0有几率获得|r|Cffffd24d好东西|r|Cfff0f0f0，也有可能|r|Cffcccccc打水漂|r|Cfff0f0f0。|n|n|r|Cff00ff7f观今夜星象，抽就完事了...|r</v>
      </c>
      <c r="J197" s="132" t="str">
        <f t="shared" si="76"/>
        <v>|CffFFD24D占星卜卦|r</v>
      </c>
      <c r="K197" s="132" t="str">
        <f t="shared" si="77"/>
        <v>|CffF0F0F0有几率获得|r|Cffffd24d好东西|r|Cfff0f0f0，也有可能|r|Cffcccccc打水漂|r|Cfff0f0f0。|n|n|r|Cff00ff7f观今夜星象，抽就完事了...|r</v>
      </c>
      <c r="L197" s="27"/>
      <c r="M197" s="133" t="str">
        <f>VLOOKUP(LEFT(RIGHT(B197,5),4),物品!B:CU,20,FALSE)</f>
        <v>ReplaceableTextures\\CommandButtons\\BTNIH00.blp</v>
      </c>
      <c r="N197" s="151" t="s">
        <v>83</v>
      </c>
      <c r="O197" s="133" t="s">
        <v>95</v>
      </c>
      <c r="P197" s="27">
        <v>0</v>
      </c>
      <c r="Q197" s="27">
        <v>0</v>
      </c>
      <c r="R197" s="151" t="s">
        <v>83</v>
      </c>
      <c r="S197" s="151" t="s">
        <v>83</v>
      </c>
      <c r="T197" s="151" t="s">
        <v>83</v>
      </c>
      <c r="U197" s="151" t="s">
        <v>83</v>
      </c>
      <c r="V197" s="27"/>
      <c r="W197" s="27" t="s">
        <v>88</v>
      </c>
      <c r="X197" s="27">
        <v>3888</v>
      </c>
      <c r="Y197" s="151" t="s">
        <v>83</v>
      </c>
      <c r="Z197" s="27">
        <v>0</v>
      </c>
      <c r="AA197" s="27">
        <v>1</v>
      </c>
      <c r="AB197" s="27">
        <v>0</v>
      </c>
      <c r="AC197" s="27">
        <v>1</v>
      </c>
      <c r="AD197" s="27">
        <v>1</v>
      </c>
      <c r="AE197" s="151" t="s">
        <v>83</v>
      </c>
      <c r="AF197" s="151" t="s">
        <v>83</v>
      </c>
      <c r="AG197" s="151" t="s">
        <v>83</v>
      </c>
      <c r="AH197" s="151" t="s">
        <v>83</v>
      </c>
      <c r="AI197" s="27">
        <v>1</v>
      </c>
      <c r="AJ197" s="27"/>
      <c r="AK197" s="27">
        <v>1</v>
      </c>
      <c r="AL197" s="27">
        <v>1</v>
      </c>
      <c r="AM197" s="151" t="s">
        <v>83</v>
      </c>
      <c r="AN197" s="27">
        <v>1</v>
      </c>
      <c r="AO197" s="27">
        <v>1</v>
      </c>
      <c r="AP197" s="27">
        <v>1</v>
      </c>
    </row>
    <row r="198" spans="1:42">
      <c r="A198" s="130"/>
      <c r="B198" s="27" t="str">
        <f>物品!B198</f>
        <v>IZ11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|CffFFD24D占星卜卦|r - [|cffffcc0010连|r]</v>
      </c>
      <c r="I198" s="27" t="str">
        <f>VLOOKUP(B198,物品!B:CV,99,FALSE)</f>
        <v>|CffF0F0F0有几率获得|r|Cffffd24d很多好东西|r|Cfff0f0f0，也有可能|r|Cffcccccc打很多水漂|r|Cfff0f0f0。|n|n|r|Cff00ff7f观今夜星象，使劲抽就完事了...|r</v>
      </c>
      <c r="J198" s="132" t="str">
        <f t="shared" si="76"/>
        <v>|CffFFD24D占星卜卦|r - [|cffffcc0010连|r]</v>
      </c>
      <c r="K198" s="132" t="str">
        <f t="shared" si="77"/>
        <v>|CffF0F0F0有几率获得|r|Cffffd24d很多好东西|r|Cfff0f0f0，也有可能|r|Cffcccccc打很多水漂|r|Cfff0f0f0。|n|n|r|Cff00ff7f观今夜星象，使劲抽就完事了...|r</v>
      </c>
      <c r="L198" s="27"/>
      <c r="M198" s="133" t="str">
        <f>VLOOKUP(LEFT(RIGHT(B198,5),4),物品!B:CU,20,FALSE)</f>
        <v>ReplaceableTextures\\CommandButtons\\BTNIH00.blp</v>
      </c>
      <c r="N198" s="151" t="s">
        <v>83</v>
      </c>
      <c r="O198" s="133" t="s">
        <v>95</v>
      </c>
      <c r="P198" s="27">
        <v>0</v>
      </c>
      <c r="Q198" s="27">
        <v>0</v>
      </c>
      <c r="R198" s="151" t="s">
        <v>83</v>
      </c>
      <c r="S198" s="151" t="s">
        <v>83</v>
      </c>
      <c r="T198" s="151" t="s">
        <v>83</v>
      </c>
      <c r="U198" s="151" t="s">
        <v>83</v>
      </c>
      <c r="V198" s="27"/>
      <c r="W198" s="27" t="s">
        <v>88</v>
      </c>
      <c r="X198" s="27">
        <v>39999</v>
      </c>
      <c r="Y198" s="151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51" t="s">
        <v>83</v>
      </c>
      <c r="AF198" s="151" t="s">
        <v>83</v>
      </c>
      <c r="AG198" s="151" t="s">
        <v>83</v>
      </c>
      <c r="AH198" s="151" t="s">
        <v>83</v>
      </c>
      <c r="AI198" s="27">
        <v>1</v>
      </c>
      <c r="AJ198" s="27"/>
      <c r="AK198" s="27">
        <v>1</v>
      </c>
      <c r="AL198" s="27">
        <v>1</v>
      </c>
      <c r="AM198" s="151" t="s">
        <v>83</v>
      </c>
      <c r="AN198" s="27">
        <v>1</v>
      </c>
      <c r="AO198" s="27">
        <v>1</v>
      </c>
      <c r="AP198" s="27">
        <v>1</v>
      </c>
    </row>
    <row r="199" spans="1:42">
      <c r="A199" s="130"/>
      <c r="B199" s="27" t="str">
        <f>物品!B199</f>
        <v>IS13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|cffffd24d强化饰品等级|n|r</v>
      </c>
      <c r="I199" s="27" t="str">
        <f>VLOOKUP(B199,物品!B:CV,99,FALSE)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99" s="132" t="str">
        <f t="shared" si="76"/>
        <v>|cffffd24d强化饰品等级|n|r</v>
      </c>
      <c r="K199" s="132" t="str">
        <f t="shared" si="77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99" s="27"/>
      <c r="M199" s="133" t="str">
        <f>VLOOKUP(LEFT(RIGHT(B199,5),4),物品!B:CU,20,FALSE)</f>
        <v>ReplaceableTextures\\CommandButtons\\BTNZ10.blp</v>
      </c>
      <c r="N199" s="151" t="s">
        <v>83</v>
      </c>
      <c r="O199" s="133" t="s">
        <v>95</v>
      </c>
      <c r="P199" s="27">
        <v>1</v>
      </c>
      <c r="Q199" s="27">
        <v>0</v>
      </c>
      <c r="R199" s="151" t="s">
        <v>83</v>
      </c>
      <c r="S199" s="151" t="s">
        <v>83</v>
      </c>
      <c r="T199" s="151" t="s">
        <v>83</v>
      </c>
      <c r="U199" s="151" t="s">
        <v>83</v>
      </c>
      <c r="V199" s="27"/>
      <c r="W199" s="27" t="s">
        <v>88</v>
      </c>
      <c r="X199" s="27">
        <v>0</v>
      </c>
      <c r="Y199" s="151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51" t="s">
        <v>83</v>
      </c>
      <c r="AF199" s="151" t="s">
        <v>83</v>
      </c>
      <c r="AG199" s="151" t="s">
        <v>83</v>
      </c>
      <c r="AH199" s="151" t="s">
        <v>83</v>
      </c>
      <c r="AI199" s="27">
        <v>1</v>
      </c>
      <c r="AJ199" s="27"/>
      <c r="AK199" s="27">
        <v>1</v>
      </c>
      <c r="AL199" s="27">
        <v>1</v>
      </c>
      <c r="AM199" s="151" t="s">
        <v>83</v>
      </c>
      <c r="AN199" s="27">
        <v>1</v>
      </c>
      <c r="AO199" s="27">
        <v>1</v>
      </c>
      <c r="AP199" s="27">
        <v>1</v>
      </c>
    </row>
    <row r="200" spans="1:42">
      <c r="A200" s="130"/>
      <c r="B200" s="27" t="str">
        <f>物品!B200</f>
        <v>IS14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|CffFFD24D强化药品等级|r</v>
      </c>
      <c r="I200" s="27" t="str">
        <f>VLOOKUP(B200,物品!B:CV,99,FALSE)</f>
        <v>|cffffcc00升级消耗：|r150+等级*150杀敌数|n|n|cff00ff7f最高升至10级|r</v>
      </c>
      <c r="J200" s="132" t="str">
        <f t="shared" ref="J200" si="84">H200</f>
        <v>|CffFFD24D强化药品等级|r</v>
      </c>
      <c r="K200" s="132" t="str">
        <f t="shared" ref="K200" si="85">I200</f>
        <v>|cffffcc00升级消耗：|r150+等级*150杀敌数|n|n|cff00ff7f最高升至10级|r</v>
      </c>
      <c r="L200" s="27"/>
      <c r="M200" s="133" t="str">
        <f>VLOOKUP(LEFT(RIGHT(B200,5),4),物品!B:CU,20,FALSE)</f>
        <v>ReplaceableTextures\\CommandButtons\\BTNAG06.blp</v>
      </c>
      <c r="N200" s="151" t="s">
        <v>83</v>
      </c>
      <c r="O200" s="133" t="s">
        <v>95</v>
      </c>
      <c r="P200" s="27">
        <v>0</v>
      </c>
      <c r="Q200" s="27">
        <v>1</v>
      </c>
      <c r="R200" s="151" t="s">
        <v>83</v>
      </c>
      <c r="S200" s="151" t="s">
        <v>83</v>
      </c>
      <c r="T200" s="151" t="s">
        <v>83</v>
      </c>
      <c r="U200" s="151" t="s">
        <v>83</v>
      </c>
      <c r="V200" s="27"/>
      <c r="W200" s="27" t="s">
        <v>88</v>
      </c>
      <c r="X200" s="27">
        <v>0</v>
      </c>
      <c r="Y200" s="151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51" t="s">
        <v>83</v>
      </c>
      <c r="AF200" s="151" t="s">
        <v>83</v>
      </c>
      <c r="AG200" s="151" t="s">
        <v>83</v>
      </c>
      <c r="AH200" s="151" t="s">
        <v>83</v>
      </c>
      <c r="AI200" s="27">
        <v>1</v>
      </c>
      <c r="AJ200" s="27"/>
      <c r="AK200" s="27">
        <v>1</v>
      </c>
      <c r="AL200" s="27">
        <v>1</v>
      </c>
      <c r="AM200" s="151" t="s">
        <v>83</v>
      </c>
      <c r="AN200" s="27">
        <v>1</v>
      </c>
      <c r="AO200" s="27">
        <v>1</v>
      </c>
      <c r="AP200" s="27">
        <v>1</v>
      </c>
    </row>
    <row r="201" spans="1:42">
      <c r="A201" s="130"/>
      <c r="B201" s="27" t="str">
        <f>物品!B201</f>
        <v>IB01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公众号礼包</v>
      </c>
      <c r="I201" s="27" t="str">
        <f>VLOOKUP(B201,物品!B:CV,99,FALSE)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1" s="132" t="str">
        <f t="shared" ref="J201:K205" si="86">H201</f>
        <v>公众号礼包</v>
      </c>
      <c r="K201" s="132" t="str">
        <f t="shared" si="8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1" s="27"/>
      <c r="M201" s="133" t="str">
        <f>VLOOKUP(LEFT(RIGHT(B201,5),4),物品!B:CU,20,FALSE)</f>
        <v>ReplaceableTextures\\CommandButtons\\BTNIB01.blp</v>
      </c>
      <c r="N201" s="151" t="s">
        <v>83</v>
      </c>
      <c r="O201" s="133" t="s">
        <v>95</v>
      </c>
      <c r="P201" s="27">
        <v>0</v>
      </c>
      <c r="Q201" s="27">
        <v>0</v>
      </c>
      <c r="R201" s="151" t="s">
        <v>83</v>
      </c>
      <c r="S201" s="151" t="s">
        <v>83</v>
      </c>
      <c r="T201" s="151" t="s">
        <v>83</v>
      </c>
      <c r="U201" s="151" t="s">
        <v>83</v>
      </c>
      <c r="V201" s="27"/>
      <c r="W201" s="27" t="s">
        <v>88</v>
      </c>
      <c r="X201" s="27">
        <v>0</v>
      </c>
      <c r="Y201" s="151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51" t="s">
        <v>83</v>
      </c>
      <c r="AF201" s="151" t="s">
        <v>83</v>
      </c>
      <c r="AG201" s="151" t="s">
        <v>83</v>
      </c>
      <c r="AH201" s="151" t="s">
        <v>83</v>
      </c>
      <c r="AI201" s="27">
        <v>1</v>
      </c>
      <c r="AJ201" s="27"/>
      <c r="AK201" s="27">
        <v>1</v>
      </c>
      <c r="AL201" s="27">
        <v>1</v>
      </c>
      <c r="AM201" s="151" t="s">
        <v>83</v>
      </c>
      <c r="AN201" s="27">
        <v>1</v>
      </c>
      <c r="AO201" s="27">
        <v>1</v>
      </c>
      <c r="AP201" s="27">
        <v>1</v>
      </c>
    </row>
    <row r="202" spans="1:42">
      <c r="A202" s="130"/>
      <c r="B202" s="27" t="str">
        <f>物品!B202</f>
        <v>IB02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入群礼包</v>
      </c>
      <c r="I202" s="27" t="str">
        <f>VLOOKUP(B202,物品!B:CV,99,FALSE)</f>
        <v>加入《|cff00ffcc全民封神|r》官方QQ群，即可获得入群礼包码！|n|n输入礼包码即可获得：|n|cff00ff7f招魂幡Lv2|r</v>
      </c>
      <c r="J202" s="132" t="str">
        <f t="shared" si="86"/>
        <v>入群礼包</v>
      </c>
      <c r="K202" s="132" t="str">
        <f t="shared" si="86"/>
        <v>加入《|cff00ffcc全民封神|r》官方QQ群，即可获得入群礼包码！|n|n输入礼包码即可获得：|n|cff00ff7f招魂幡Lv2|r</v>
      </c>
      <c r="L202" s="27"/>
      <c r="M202" s="133" t="str">
        <f>VLOOKUP(LEFT(RIGHT(B202,5),4),物品!B:CU,20,FALSE)</f>
        <v>ReplaceableTextures\\CommandButtons\\BTNIB02.blp</v>
      </c>
      <c r="N202" s="151" t="s">
        <v>83</v>
      </c>
      <c r="O202" s="133" t="s">
        <v>95</v>
      </c>
      <c r="P202" s="27">
        <v>1</v>
      </c>
      <c r="Q202" s="27">
        <v>0</v>
      </c>
      <c r="R202" s="151" t="s">
        <v>83</v>
      </c>
      <c r="S202" s="151" t="s">
        <v>83</v>
      </c>
      <c r="T202" s="151" t="s">
        <v>83</v>
      </c>
      <c r="U202" s="151" t="s">
        <v>83</v>
      </c>
      <c r="V202" s="27"/>
      <c r="W202" s="27" t="s">
        <v>88</v>
      </c>
      <c r="X202" s="27">
        <v>0</v>
      </c>
      <c r="Y202" s="151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51" t="s">
        <v>83</v>
      </c>
      <c r="AF202" s="151" t="s">
        <v>83</v>
      </c>
      <c r="AG202" s="151" t="s">
        <v>83</v>
      </c>
      <c r="AH202" s="151" t="s">
        <v>83</v>
      </c>
      <c r="AI202" s="27">
        <v>1</v>
      </c>
      <c r="AJ202" s="27"/>
      <c r="AK202" s="27">
        <v>1</v>
      </c>
      <c r="AL202" s="27">
        <v>1</v>
      </c>
      <c r="AM202" s="151" t="s">
        <v>83</v>
      </c>
      <c r="AN202" s="27">
        <v>1</v>
      </c>
      <c r="AO202" s="27">
        <v>1</v>
      </c>
      <c r="AP202" s="27">
        <v>1</v>
      </c>
    </row>
    <row r="203" spans="1:42">
      <c r="A203" s="130"/>
      <c r="B203" s="27" t="str">
        <f>物品!B203</f>
        <v>IB03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拜年礼包</v>
      </c>
      <c r="I203" s="27" t="str">
        <f>VLOOKUP(B203,物品!B:CV,99,FALSE)</f>
        <v>|cff99ccff给与地图有效评论建议|r即可领取：|n|cffffff00杀敌生命+5+3*通行证等级|n杀敌业力+1|n|n|r|cff808080地图等级达到3级可领取|r</v>
      </c>
      <c r="J203" s="132" t="str">
        <f t="shared" si="86"/>
        <v>拜年礼包</v>
      </c>
      <c r="K203" s="132" t="str">
        <f t="shared" si="86"/>
        <v>|cff99ccff给与地图有效评论建议|r即可领取：|n|cffffff00杀敌生命+5+3*通行证等级|n杀敌业力+1|n|n|r|cff808080地图等级达到3级可领取|r</v>
      </c>
      <c r="L203" s="27"/>
      <c r="M203" s="133" t="str">
        <f>VLOOKUP(LEFT(RIGHT(B203,5),4),物品!B:CU,20,FALSE)</f>
        <v>ReplaceableTextures\\CommandButtons\\BTNIB03.blp</v>
      </c>
      <c r="N203" s="151" t="s">
        <v>83</v>
      </c>
      <c r="O203" s="133" t="s">
        <v>95</v>
      </c>
      <c r="P203" s="27">
        <v>2</v>
      </c>
      <c r="Q203" s="27">
        <v>0</v>
      </c>
      <c r="R203" s="151" t="s">
        <v>83</v>
      </c>
      <c r="S203" s="151" t="s">
        <v>83</v>
      </c>
      <c r="T203" s="151" t="s">
        <v>83</v>
      </c>
      <c r="U203" s="151" t="s">
        <v>83</v>
      </c>
      <c r="V203" s="27"/>
      <c r="W203" s="27" t="s">
        <v>88</v>
      </c>
      <c r="X203" s="27">
        <v>0</v>
      </c>
      <c r="Y203" s="151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51" t="s">
        <v>83</v>
      </c>
      <c r="AF203" s="151" t="s">
        <v>83</v>
      </c>
      <c r="AG203" s="151" t="s">
        <v>83</v>
      </c>
      <c r="AH203" s="151" t="s">
        <v>83</v>
      </c>
      <c r="AI203" s="27">
        <v>1</v>
      </c>
      <c r="AJ203" s="27"/>
      <c r="AK203" s="27">
        <v>1</v>
      </c>
      <c r="AL203" s="27">
        <v>1</v>
      </c>
      <c r="AM203" s="151" t="s">
        <v>83</v>
      </c>
      <c r="AN203" s="27">
        <v>1</v>
      </c>
      <c r="AO203" s="27">
        <v>1</v>
      </c>
      <c r="AP203" s="27">
        <v>1</v>
      </c>
    </row>
    <row r="204" spans="1:42">
      <c r="A204" s="130"/>
      <c r="B204" s="27" t="str">
        <f>物品!B204</f>
        <v>IB04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收藏礼包</v>
      </c>
      <c r="I204" s="27" t="str">
        <f>VLOOKUP(B204,物品!B:CV,99,FALSE)</f>
        <v>|cff99ccff房间大厅界面点击右上角《|r|cffcc99ff收藏|r|cff99ccff》后可领取该礼包。|n|n|r属性：|n|cffffcc33物理伤害+5%|n法术伤害+5%|r</v>
      </c>
      <c r="J204" s="132" t="str">
        <f t="shared" si="86"/>
        <v>收藏礼包</v>
      </c>
      <c r="K204" s="132" t="str">
        <f t="shared" si="86"/>
        <v>|cff99ccff房间大厅界面点击右上角《|r|cffcc99ff收藏|r|cff99ccff》后可领取该礼包。|n|n|r属性：|n|cffffcc33物理伤害+5%|n法术伤害+5%|r</v>
      </c>
      <c r="L204" s="27"/>
      <c r="M204" s="133" t="str">
        <f>VLOOKUP(LEFT(RIGHT(B204,5),4),物品!B:CU,20,FALSE)</f>
        <v>ReplaceableTextures\\CommandButtons\\BTNIB04.blp</v>
      </c>
      <c r="N204" s="151" t="s">
        <v>83</v>
      </c>
      <c r="O204" s="133" t="s">
        <v>95</v>
      </c>
      <c r="P204" s="27">
        <v>3</v>
      </c>
      <c r="Q204" s="27">
        <v>0</v>
      </c>
      <c r="R204" s="151" t="s">
        <v>83</v>
      </c>
      <c r="S204" s="151" t="s">
        <v>83</v>
      </c>
      <c r="T204" s="151" t="s">
        <v>83</v>
      </c>
      <c r="U204" s="151" t="s">
        <v>83</v>
      </c>
      <c r="V204" s="27"/>
      <c r="W204" s="27" t="s">
        <v>88</v>
      </c>
      <c r="X204" s="27">
        <v>0</v>
      </c>
      <c r="Y204" s="151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51" t="s">
        <v>83</v>
      </c>
      <c r="AF204" s="151" t="s">
        <v>83</v>
      </c>
      <c r="AG204" s="151" t="s">
        <v>83</v>
      </c>
      <c r="AH204" s="151" t="s">
        <v>83</v>
      </c>
      <c r="AI204" s="27">
        <v>1</v>
      </c>
      <c r="AJ204" s="27"/>
      <c r="AK204" s="27">
        <v>1</v>
      </c>
      <c r="AL204" s="27">
        <v>1</v>
      </c>
      <c r="AM204" s="151" t="s">
        <v>83</v>
      </c>
      <c r="AN204" s="27">
        <v>1</v>
      </c>
      <c r="AO204" s="27">
        <v>1</v>
      </c>
      <c r="AP204" s="27">
        <v>1</v>
      </c>
    </row>
    <row r="205" spans="1:42">
      <c r="A205" s="130"/>
      <c r="B205" s="27" t="str">
        <f>物品!B205</f>
        <v>IB05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重置版礼包</v>
      </c>
      <c r="I205" s="27" t="str">
        <f>VLOOKUP(B205,物品!B:CV,99,FALSE)</f>
        <v>|cff33ff00购买魔兽重制版可领取该礼包！|n|n|r属性：|n|cffffcc33金币+1000|n每秒攻击+2|n每秒业力+1|r</v>
      </c>
      <c r="J205" s="132" t="str">
        <f t="shared" si="86"/>
        <v>重置版礼包</v>
      </c>
      <c r="K205" s="132" t="str">
        <f t="shared" si="86"/>
        <v>|cff33ff00购买魔兽重制版可领取该礼包！|n|n|r属性：|n|cffffcc33金币+1000|n每秒攻击+2|n每秒业力+1|r</v>
      </c>
      <c r="L205" s="27"/>
      <c r="M205" s="133" t="str">
        <f>VLOOKUP(LEFT(RIGHT(B205,5),4),物品!B:CU,20,FALSE)</f>
        <v>ReplaceableTextures\\CommandButtons\\BTNIB05.blp</v>
      </c>
      <c r="N205" s="151" t="s">
        <v>83</v>
      </c>
      <c r="O205" s="133" t="s">
        <v>95</v>
      </c>
      <c r="P205" s="27">
        <v>0</v>
      </c>
      <c r="Q205" s="27">
        <v>1</v>
      </c>
      <c r="R205" s="151" t="s">
        <v>83</v>
      </c>
      <c r="S205" s="151" t="s">
        <v>83</v>
      </c>
      <c r="T205" s="151" t="s">
        <v>83</v>
      </c>
      <c r="U205" s="151" t="s">
        <v>83</v>
      </c>
      <c r="V205" s="27"/>
      <c r="W205" s="27" t="s">
        <v>88</v>
      </c>
      <c r="X205" s="27">
        <v>0</v>
      </c>
      <c r="Y205" s="151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51" t="s">
        <v>83</v>
      </c>
      <c r="AF205" s="151" t="s">
        <v>83</v>
      </c>
      <c r="AG205" s="151" t="s">
        <v>83</v>
      </c>
      <c r="AH205" s="151" t="s">
        <v>83</v>
      </c>
      <c r="AI205" s="27">
        <v>1</v>
      </c>
      <c r="AJ205" s="27"/>
      <c r="AK205" s="27">
        <v>1</v>
      </c>
      <c r="AL205" s="27">
        <v>1</v>
      </c>
      <c r="AM205" s="151" t="s">
        <v>83</v>
      </c>
      <c r="AN205" s="27">
        <v>1</v>
      </c>
      <c r="AO205" s="27">
        <v>1</v>
      </c>
      <c r="AP205" s="27">
        <v>1</v>
      </c>
    </row>
    <row r="206" spans="1:42">
      <c r="A206" s="130"/>
      <c r="B206" s="27" t="str">
        <f>物品!B206</f>
        <v>IB06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公会福利</v>
      </c>
      <c r="I206" s="27" t="str">
        <f>VLOOKUP(B206,物品!B:CV,99,FALSE)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6" s="132" t="str">
        <f t="shared" ref="J206:J210" si="87">H206</f>
        <v>公会福利</v>
      </c>
      <c r="K206" s="132" t="str">
        <f t="shared" ref="K206:K210" si="88">I206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6" s="27"/>
      <c r="M206" s="133" t="str">
        <f>VLOOKUP(LEFT(RIGHT(B206,5),4),物品!B:CU,20,FALSE)</f>
        <v>ReplaceableTextures\\CommandButtons\\BTNIB06.blp</v>
      </c>
      <c r="N206" s="151" t="s">
        <v>83</v>
      </c>
      <c r="O206" s="133" t="s">
        <v>95</v>
      </c>
      <c r="P206" s="27">
        <v>1</v>
      </c>
      <c r="Q206" s="27">
        <v>1</v>
      </c>
      <c r="R206" s="151" t="s">
        <v>83</v>
      </c>
      <c r="S206" s="151" t="s">
        <v>83</v>
      </c>
      <c r="T206" s="151" t="s">
        <v>83</v>
      </c>
      <c r="U206" s="151" t="s">
        <v>83</v>
      </c>
      <c r="V206" s="27"/>
      <c r="W206" s="27" t="s">
        <v>88</v>
      </c>
      <c r="X206" s="27">
        <v>0</v>
      </c>
      <c r="Y206" s="151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51" t="s">
        <v>83</v>
      </c>
      <c r="AF206" s="151" t="s">
        <v>83</v>
      </c>
      <c r="AG206" s="151" t="s">
        <v>83</v>
      </c>
      <c r="AH206" s="151" t="s">
        <v>83</v>
      </c>
      <c r="AI206" s="27">
        <v>1</v>
      </c>
      <c r="AJ206" s="27"/>
      <c r="AK206" s="27">
        <v>1</v>
      </c>
      <c r="AL206" s="27">
        <v>1</v>
      </c>
      <c r="AM206" s="151" t="s">
        <v>83</v>
      </c>
      <c r="AN206" s="27">
        <v>1</v>
      </c>
      <c r="AO206" s="27">
        <v>1</v>
      </c>
      <c r="AP206" s="27">
        <v>1</v>
      </c>
    </row>
    <row r="207" spans="1:42">
      <c r="A207" s="130"/>
      <c r="B207" s="27" t="str">
        <f>物品!B207</f>
        <v>IB07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星耀礼包</v>
      </c>
      <c r="I207" s="27" t="str">
        <f>VLOOKUP(B207,物品!B:CV,99,FALSE)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7" s="132" t="str">
        <f t="shared" si="87"/>
        <v>星耀礼包</v>
      </c>
      <c r="K207" s="132" t="str">
        <f t="shared" si="8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7" s="27"/>
      <c r="M207" s="133" t="str">
        <f>VLOOKUP(LEFT(RIGHT(B207,5),4),物品!B:CU,20,FALSE)</f>
        <v>ReplaceableTextures\\CommandButtons\\BTNIB07.blp</v>
      </c>
      <c r="N207" s="151" t="s">
        <v>83</v>
      </c>
      <c r="O207" s="133" t="s">
        <v>95</v>
      </c>
      <c r="P207" s="27">
        <v>2</v>
      </c>
      <c r="Q207" s="27">
        <v>1</v>
      </c>
      <c r="R207" s="151" t="s">
        <v>83</v>
      </c>
      <c r="S207" s="151" t="s">
        <v>83</v>
      </c>
      <c r="T207" s="151" t="s">
        <v>83</v>
      </c>
      <c r="U207" s="151" t="s">
        <v>83</v>
      </c>
      <c r="V207" s="27"/>
      <c r="W207" s="27" t="s">
        <v>88</v>
      </c>
      <c r="X207" s="27">
        <v>0</v>
      </c>
      <c r="Y207" s="151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51" t="s">
        <v>83</v>
      </c>
      <c r="AF207" s="151" t="s">
        <v>83</v>
      </c>
      <c r="AG207" s="151" t="s">
        <v>83</v>
      </c>
      <c r="AH207" s="151" t="s">
        <v>83</v>
      </c>
      <c r="AI207" s="27">
        <v>1</v>
      </c>
      <c r="AJ207" s="27"/>
      <c r="AK207" s="27">
        <v>1</v>
      </c>
      <c r="AL207" s="27">
        <v>1</v>
      </c>
      <c r="AM207" s="151" t="s">
        <v>83</v>
      </c>
      <c r="AN207" s="27">
        <v>1</v>
      </c>
      <c r="AO207" s="27">
        <v>1</v>
      </c>
      <c r="AP207" s="27">
        <v>1</v>
      </c>
    </row>
    <row r="208" spans="1:42">
      <c r="A208" s="130"/>
      <c r="B208" s="27" t="str">
        <f>物品!B208</f>
        <v>IB08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魔芝RPG礼包</v>
      </c>
      <c r="I208" s="27" t="str">
        <f>VLOOKUP(B208,物品!B:CV,99,FALSE)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8" s="132" t="str">
        <f t="shared" si="87"/>
        <v>魔芝RPG礼包</v>
      </c>
      <c r="K208" s="132" t="str">
        <f t="shared" si="8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8" s="27"/>
      <c r="M208" s="133" t="str">
        <f>VLOOKUP(LEFT(RIGHT(B208,5),4),物品!B:CU,20,FALSE)</f>
        <v>ReplaceableTextures\\CommandButtons\\BTNIB08.blp</v>
      </c>
      <c r="N208" s="151" t="s">
        <v>83</v>
      </c>
      <c r="O208" s="133" t="s">
        <v>95</v>
      </c>
      <c r="P208" s="27">
        <v>2</v>
      </c>
      <c r="Q208" s="27">
        <v>0</v>
      </c>
      <c r="R208" s="151" t="s">
        <v>83</v>
      </c>
      <c r="S208" s="151" t="s">
        <v>83</v>
      </c>
      <c r="T208" s="151" t="s">
        <v>83</v>
      </c>
      <c r="U208" s="151" t="s">
        <v>83</v>
      </c>
      <c r="V208" s="27"/>
      <c r="W208" s="27" t="s">
        <v>88</v>
      </c>
      <c r="X208" s="27">
        <v>0</v>
      </c>
      <c r="Y208" s="151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51" t="s">
        <v>83</v>
      </c>
      <c r="AF208" s="151" t="s">
        <v>83</v>
      </c>
      <c r="AG208" s="151" t="s">
        <v>83</v>
      </c>
      <c r="AH208" s="151" t="s">
        <v>83</v>
      </c>
      <c r="AI208" s="27">
        <v>1</v>
      </c>
      <c r="AJ208" s="27"/>
      <c r="AK208" s="27">
        <v>1</v>
      </c>
      <c r="AL208" s="27">
        <v>1</v>
      </c>
      <c r="AM208" s="151" t="s">
        <v>83</v>
      </c>
      <c r="AN208" s="27">
        <v>1</v>
      </c>
      <c r="AO208" s="27">
        <v>1</v>
      </c>
      <c r="AP208" s="27">
        <v>1</v>
      </c>
    </row>
    <row r="209" spans="1:42">
      <c r="A209" s="130"/>
      <c r="B209" s="27" t="str">
        <f>物品!B209</f>
        <v>IB09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老铁礼包</v>
      </c>
      <c r="I209" s="27">
        <f>VLOOKUP(B209,物品!B:CV,99,FALSE)</f>
        <v>0</v>
      </c>
      <c r="J209" s="132" t="str">
        <f t="shared" si="87"/>
        <v>老铁礼包</v>
      </c>
      <c r="K209" s="132">
        <f t="shared" si="88"/>
        <v>0</v>
      </c>
      <c r="L209" s="27"/>
      <c r="M209" s="133" t="str">
        <f>VLOOKUP(LEFT(RIGHT(B209,5),4),物品!B:CU,20,FALSE)</f>
        <v>ReplaceableTextures\\CommandButtons\\BTNIB09.blp</v>
      </c>
      <c r="N209" s="151" t="s">
        <v>83</v>
      </c>
      <c r="O209" s="133" t="s">
        <v>95</v>
      </c>
      <c r="P209" s="27">
        <v>0</v>
      </c>
      <c r="Q209" s="27">
        <v>0</v>
      </c>
      <c r="R209" s="151" t="s">
        <v>83</v>
      </c>
      <c r="S209" s="151" t="s">
        <v>83</v>
      </c>
      <c r="T209" s="151" t="s">
        <v>83</v>
      </c>
      <c r="U209" s="151" t="s">
        <v>83</v>
      </c>
      <c r="V209" s="27"/>
      <c r="W209" s="27" t="s">
        <v>88</v>
      </c>
      <c r="X209" s="27">
        <v>0</v>
      </c>
      <c r="Y209" s="151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51" t="s">
        <v>83</v>
      </c>
      <c r="AF209" s="151" t="s">
        <v>83</v>
      </c>
      <c r="AG209" s="151" t="s">
        <v>83</v>
      </c>
      <c r="AH209" s="151" t="s">
        <v>83</v>
      </c>
      <c r="AI209" s="27">
        <v>1</v>
      </c>
      <c r="AJ209" s="27"/>
      <c r="AK209" s="27">
        <v>1</v>
      </c>
      <c r="AL209" s="27">
        <v>1</v>
      </c>
      <c r="AM209" s="151" t="s">
        <v>83</v>
      </c>
      <c r="AN209" s="27">
        <v>1</v>
      </c>
      <c r="AO209" s="27">
        <v>1</v>
      </c>
      <c r="AP209" s="27">
        <v>1</v>
      </c>
    </row>
    <row r="210" spans="1:42">
      <c r="A210" s="130"/>
      <c r="B210" s="27" t="str">
        <f>物品!B210</f>
        <v>IB51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已领取公众号礼包</v>
      </c>
      <c r="I210" s="27" t="str">
        <f>VLOOKUP(B210,物品!B:CV,99,FALSE)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0" s="132" t="str">
        <f t="shared" si="87"/>
        <v>已领取公众号礼包</v>
      </c>
      <c r="K210" s="132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0" s="27"/>
      <c r="M210" s="133" t="str">
        <f>VLOOKUP(LEFT(RIGHT(B210,5),4),物品!B:CU,20,FALSE)</f>
        <v>ReplaceableTextures\\commandButtons\\BTNLBUI01.blp</v>
      </c>
      <c r="N210" s="151" t="s">
        <v>83</v>
      </c>
      <c r="O210" s="133" t="s">
        <v>95</v>
      </c>
      <c r="P210" s="27">
        <v>0</v>
      </c>
      <c r="Q210" s="27">
        <v>0</v>
      </c>
      <c r="R210" s="151" t="s">
        <v>83</v>
      </c>
      <c r="S210" s="151" t="s">
        <v>83</v>
      </c>
      <c r="T210" s="151" t="s">
        <v>83</v>
      </c>
      <c r="U210" s="151" t="s">
        <v>83</v>
      </c>
      <c r="V210" s="27"/>
      <c r="W210" s="27" t="s">
        <v>88</v>
      </c>
      <c r="X210" s="27">
        <v>0</v>
      </c>
      <c r="Y210" s="151" t="s">
        <v>83</v>
      </c>
      <c r="Z210" s="27">
        <v>0</v>
      </c>
      <c r="AA210" s="27">
        <v>0</v>
      </c>
      <c r="AB210" s="27">
        <v>0</v>
      </c>
      <c r="AC210" s="27">
        <v>0</v>
      </c>
      <c r="AD210" s="27">
        <v>1</v>
      </c>
      <c r="AE210" s="151" t="s">
        <v>83</v>
      </c>
      <c r="AF210" s="151" t="s">
        <v>83</v>
      </c>
      <c r="AG210" s="151" t="s">
        <v>83</v>
      </c>
      <c r="AH210" s="151" t="s">
        <v>83</v>
      </c>
      <c r="AI210" s="27">
        <v>1</v>
      </c>
      <c r="AJ210" s="27"/>
      <c r="AK210" s="27">
        <v>1</v>
      </c>
      <c r="AL210" s="27">
        <v>1</v>
      </c>
      <c r="AM210" s="151" t="s">
        <v>83</v>
      </c>
      <c r="AN210" s="27">
        <v>1</v>
      </c>
      <c r="AO210" s="27">
        <v>1</v>
      </c>
      <c r="AP210" s="27">
        <v>1</v>
      </c>
    </row>
    <row r="211" spans="1:42">
      <c r="A211" s="130"/>
      <c r="B211" s="27" t="str">
        <f>物品!B211</f>
        <v>IB52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已领取入群礼包</v>
      </c>
      <c r="I211" s="27" t="str">
        <f>VLOOKUP(B211,物品!B:CV,99,FALSE)</f>
        <v>加入《|cff00ffcc全民封神|r》官方QQ群，即可获得入群礼包码！|n|n输入礼包码即可获得：|n|cff00ff7f招魂幡Lv2|r</v>
      </c>
      <c r="J211" s="132" t="str">
        <f t="shared" ref="J211:J222" si="89">H211</f>
        <v>已领取入群礼包</v>
      </c>
      <c r="K211" s="132" t="str">
        <f t="shared" ref="K211:K222" si="90">I211</f>
        <v>加入《|cff00ffcc全民封神|r》官方QQ群，即可获得入群礼包码！|n|n输入礼包码即可获得：|n|cff00ff7f招魂幡Lv2|r</v>
      </c>
      <c r="L211" s="27"/>
      <c r="M211" s="133" t="str">
        <f>VLOOKUP(LEFT(RIGHT(B211,5),4),物品!B:CU,20,FALSE)</f>
        <v>ReplaceableTextures\\commandButtons\\BTNLBUI01.blp</v>
      </c>
      <c r="N211" s="151" t="s">
        <v>83</v>
      </c>
      <c r="O211" s="133" t="s">
        <v>95</v>
      </c>
      <c r="P211" s="27">
        <v>1</v>
      </c>
      <c r="Q211" s="27">
        <v>0</v>
      </c>
      <c r="R211" s="151" t="s">
        <v>83</v>
      </c>
      <c r="S211" s="151" t="s">
        <v>83</v>
      </c>
      <c r="T211" s="151" t="s">
        <v>83</v>
      </c>
      <c r="U211" s="151" t="s">
        <v>83</v>
      </c>
      <c r="V211" s="27"/>
      <c r="W211" s="27" t="s">
        <v>88</v>
      </c>
      <c r="X211" s="27">
        <v>0</v>
      </c>
      <c r="Y211" s="151" t="s">
        <v>83</v>
      </c>
      <c r="Z211" s="27">
        <v>0</v>
      </c>
      <c r="AA211" s="27">
        <v>0</v>
      </c>
      <c r="AB211" s="27">
        <v>0</v>
      </c>
      <c r="AC211" s="27">
        <v>0</v>
      </c>
      <c r="AD211" s="27">
        <v>1</v>
      </c>
      <c r="AE211" s="151" t="s">
        <v>83</v>
      </c>
      <c r="AF211" s="151" t="s">
        <v>83</v>
      </c>
      <c r="AG211" s="151" t="s">
        <v>83</v>
      </c>
      <c r="AH211" s="151" t="s">
        <v>83</v>
      </c>
      <c r="AI211" s="27">
        <v>1</v>
      </c>
      <c r="AJ211" s="27"/>
      <c r="AK211" s="27">
        <v>1</v>
      </c>
      <c r="AL211" s="27">
        <v>1</v>
      </c>
      <c r="AM211" s="151" t="s">
        <v>83</v>
      </c>
      <c r="AN211" s="27">
        <v>1</v>
      </c>
      <c r="AO211" s="27">
        <v>1</v>
      </c>
      <c r="AP211" s="27">
        <v>1</v>
      </c>
    </row>
    <row r="212" spans="1:42">
      <c r="A212" s="130"/>
      <c r="B212" s="27" t="str">
        <f>物品!B212</f>
        <v>IB53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已领取拜年礼包</v>
      </c>
      <c r="I212" s="27" t="str">
        <f>VLOOKUP(B212,物品!B:CV,99,FALSE)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12" s="132" t="str">
        <f t="shared" si="89"/>
        <v>已领取拜年礼包</v>
      </c>
      <c r="K212" s="132" t="str">
        <f t="shared" si="9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12" s="27"/>
      <c r="M212" s="133" t="str">
        <f>VLOOKUP(LEFT(RIGHT(B212,5),4),物品!B:CU,20,FALSE)</f>
        <v>ReplaceableTextures\\commandButtons\\BTNLBUI01.blp</v>
      </c>
      <c r="N212" s="151" t="s">
        <v>83</v>
      </c>
      <c r="O212" s="133" t="s">
        <v>95</v>
      </c>
      <c r="P212" s="27">
        <v>2</v>
      </c>
      <c r="Q212" s="27">
        <v>0</v>
      </c>
      <c r="R212" s="151" t="s">
        <v>83</v>
      </c>
      <c r="S212" s="151" t="s">
        <v>83</v>
      </c>
      <c r="T212" s="151" t="s">
        <v>83</v>
      </c>
      <c r="U212" s="151" t="s">
        <v>83</v>
      </c>
      <c r="V212" s="27"/>
      <c r="W212" s="27" t="s">
        <v>88</v>
      </c>
      <c r="X212" s="27">
        <v>0</v>
      </c>
      <c r="Y212" s="151" t="s">
        <v>83</v>
      </c>
      <c r="Z212" s="27">
        <v>0</v>
      </c>
      <c r="AA212" s="27">
        <v>0</v>
      </c>
      <c r="AB212" s="27">
        <v>0</v>
      </c>
      <c r="AC212" s="27">
        <v>0</v>
      </c>
      <c r="AD212" s="27">
        <v>1</v>
      </c>
      <c r="AE212" s="151" t="s">
        <v>83</v>
      </c>
      <c r="AF212" s="151" t="s">
        <v>83</v>
      </c>
      <c r="AG212" s="151" t="s">
        <v>83</v>
      </c>
      <c r="AH212" s="151" t="s">
        <v>83</v>
      </c>
      <c r="AI212" s="27">
        <v>1</v>
      </c>
      <c r="AJ212" s="27"/>
      <c r="AK212" s="27">
        <v>1</v>
      </c>
      <c r="AL212" s="27">
        <v>1</v>
      </c>
      <c r="AM212" s="151" t="s">
        <v>83</v>
      </c>
      <c r="AN212" s="27">
        <v>1</v>
      </c>
      <c r="AO212" s="27">
        <v>1</v>
      </c>
      <c r="AP212" s="27">
        <v>1</v>
      </c>
    </row>
    <row r="213" spans="1:42">
      <c r="A213" s="130"/>
      <c r="B213" s="27" t="str">
        <f>物品!B213</f>
        <v>IB54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已领取收藏礼包</v>
      </c>
      <c r="I213" s="27" t="str">
        <f>VLOOKUP(B213,物品!B:CV,99,FALSE)</f>
        <v>|cff99ccff房间大厅界面点击右上角《|r|cffcc99ff收藏|r|cff99ccff》后可领取该礼包。|n|n|r属性：|n|cffffcc33物理伤害+5%|n法术伤害+5%|r</v>
      </c>
      <c r="J213" s="132" t="str">
        <f t="shared" si="89"/>
        <v>已领取收藏礼包</v>
      </c>
      <c r="K213" s="132" t="str">
        <f t="shared" si="90"/>
        <v>|cff99ccff房间大厅界面点击右上角《|r|cffcc99ff收藏|r|cff99ccff》后可领取该礼包。|n|n|r属性：|n|cffffcc33物理伤害+5%|n法术伤害+5%|r</v>
      </c>
      <c r="L213" s="27"/>
      <c r="M213" s="133" t="str">
        <f>VLOOKUP(LEFT(RIGHT(B213,5),4),物品!B:CU,20,FALSE)</f>
        <v>ReplaceableTextures\\commandButtons\\BTNLBUI01.blp</v>
      </c>
      <c r="N213" s="151" t="s">
        <v>83</v>
      </c>
      <c r="O213" s="133" t="s">
        <v>95</v>
      </c>
      <c r="P213" s="27">
        <v>3</v>
      </c>
      <c r="Q213" s="27">
        <v>0</v>
      </c>
      <c r="R213" s="151" t="s">
        <v>83</v>
      </c>
      <c r="S213" s="151" t="s">
        <v>83</v>
      </c>
      <c r="T213" s="151" t="s">
        <v>83</v>
      </c>
      <c r="U213" s="151" t="s">
        <v>83</v>
      </c>
      <c r="V213" s="27"/>
      <c r="W213" s="27" t="s">
        <v>88</v>
      </c>
      <c r="X213" s="27">
        <v>0</v>
      </c>
      <c r="Y213" s="151" t="s">
        <v>83</v>
      </c>
      <c r="Z213" s="27">
        <v>0</v>
      </c>
      <c r="AA213" s="27">
        <v>0</v>
      </c>
      <c r="AB213" s="27">
        <v>0</v>
      </c>
      <c r="AC213" s="27">
        <v>0</v>
      </c>
      <c r="AD213" s="27">
        <v>1</v>
      </c>
      <c r="AE213" s="151" t="s">
        <v>83</v>
      </c>
      <c r="AF213" s="151" t="s">
        <v>83</v>
      </c>
      <c r="AG213" s="151" t="s">
        <v>83</v>
      </c>
      <c r="AH213" s="151" t="s">
        <v>83</v>
      </c>
      <c r="AI213" s="27">
        <v>1</v>
      </c>
      <c r="AJ213" s="27"/>
      <c r="AK213" s="27">
        <v>1</v>
      </c>
      <c r="AL213" s="27">
        <v>1</v>
      </c>
      <c r="AM213" s="151" t="s">
        <v>83</v>
      </c>
      <c r="AN213" s="27">
        <v>1</v>
      </c>
      <c r="AO213" s="27">
        <v>1</v>
      </c>
      <c r="AP213" s="27">
        <v>1</v>
      </c>
    </row>
    <row r="214" spans="1:42">
      <c r="A214" s="130"/>
      <c r="B214" s="27" t="str">
        <f>物品!B214</f>
        <v>IB55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已领取重置版礼包</v>
      </c>
      <c r="I214" s="27" t="str">
        <f>VLOOKUP(B214,物品!B:CV,99,FALSE)</f>
        <v>|cff33ff00购买魔兽重制版可领取该礼包！|n|n|r属性：|n|cffffcc33金币+1000|n每秒攻击+2|n每秒业力+1|r</v>
      </c>
      <c r="J214" s="132" t="str">
        <f t="shared" si="89"/>
        <v>已领取重置版礼包</v>
      </c>
      <c r="K214" s="132" t="str">
        <f t="shared" si="90"/>
        <v>|cff33ff00购买魔兽重制版可领取该礼包！|n|n|r属性：|n|cffffcc33金币+1000|n每秒攻击+2|n每秒业力+1|r</v>
      </c>
      <c r="L214" s="27"/>
      <c r="M214" s="133" t="str">
        <f>VLOOKUP(LEFT(RIGHT(B214,5),4),物品!B:CU,20,FALSE)</f>
        <v>ReplaceableTextures\\commandButtons\\BTNLBUI01.blp</v>
      </c>
      <c r="N214" s="151" t="s">
        <v>83</v>
      </c>
      <c r="O214" s="133" t="s">
        <v>95</v>
      </c>
      <c r="P214" s="27">
        <v>0</v>
      </c>
      <c r="Q214" s="27">
        <v>1</v>
      </c>
      <c r="R214" s="151" t="s">
        <v>83</v>
      </c>
      <c r="S214" s="151" t="s">
        <v>83</v>
      </c>
      <c r="T214" s="151" t="s">
        <v>83</v>
      </c>
      <c r="U214" s="151" t="s">
        <v>83</v>
      </c>
      <c r="V214" s="27"/>
      <c r="W214" s="27" t="s">
        <v>88</v>
      </c>
      <c r="X214" s="27">
        <v>0</v>
      </c>
      <c r="Y214" s="151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51" t="s">
        <v>83</v>
      </c>
      <c r="AF214" s="151" t="s">
        <v>83</v>
      </c>
      <c r="AG214" s="151" t="s">
        <v>83</v>
      </c>
      <c r="AH214" s="151" t="s">
        <v>83</v>
      </c>
      <c r="AI214" s="27">
        <v>1</v>
      </c>
      <c r="AJ214" s="27"/>
      <c r="AK214" s="27">
        <v>1</v>
      </c>
      <c r="AL214" s="27">
        <v>1</v>
      </c>
      <c r="AM214" s="151" t="s">
        <v>83</v>
      </c>
      <c r="AN214" s="27">
        <v>1</v>
      </c>
      <c r="AO214" s="27">
        <v>1</v>
      </c>
      <c r="AP214" s="27">
        <v>1</v>
      </c>
    </row>
    <row r="215" spans="1:42">
      <c r="A215" s="130"/>
      <c r="B215" s="27" t="str">
        <f>物品!B215</f>
        <v>IB56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已领取公会福利</v>
      </c>
      <c r="I215" s="27" t="str">
        <f>VLOOKUP(B215,物品!B:CV,99,FALSE)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5" s="132" t="str">
        <f t="shared" si="89"/>
        <v>已领取公会福利</v>
      </c>
      <c r="K215" s="132" t="str">
        <f t="shared" si="9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5" s="27"/>
      <c r="M215" s="133" t="str">
        <f>VLOOKUP(LEFT(RIGHT(B215,5),4),物品!B:CU,20,FALSE)</f>
        <v>ReplaceableTextures\\commandButtons\\BTNLBUI01.blp</v>
      </c>
      <c r="N215" s="151" t="s">
        <v>83</v>
      </c>
      <c r="O215" s="133" t="s">
        <v>95</v>
      </c>
      <c r="P215" s="27">
        <v>1</v>
      </c>
      <c r="Q215" s="27">
        <v>1</v>
      </c>
      <c r="R215" s="151" t="s">
        <v>83</v>
      </c>
      <c r="S215" s="151" t="s">
        <v>83</v>
      </c>
      <c r="T215" s="151" t="s">
        <v>83</v>
      </c>
      <c r="U215" s="151" t="s">
        <v>83</v>
      </c>
      <c r="V215" s="27"/>
      <c r="W215" s="27" t="s">
        <v>88</v>
      </c>
      <c r="X215" s="27">
        <v>0</v>
      </c>
      <c r="Y215" s="151" t="s">
        <v>83</v>
      </c>
      <c r="Z215" s="27">
        <v>0</v>
      </c>
      <c r="AA215" s="27">
        <v>0</v>
      </c>
      <c r="AB215" s="27">
        <v>0</v>
      </c>
      <c r="AC215" s="27">
        <v>0</v>
      </c>
      <c r="AD215" s="27">
        <v>1</v>
      </c>
      <c r="AE215" s="151" t="s">
        <v>83</v>
      </c>
      <c r="AF215" s="151" t="s">
        <v>83</v>
      </c>
      <c r="AG215" s="151" t="s">
        <v>83</v>
      </c>
      <c r="AH215" s="151" t="s">
        <v>83</v>
      </c>
      <c r="AI215" s="27">
        <v>1</v>
      </c>
      <c r="AJ215" s="27"/>
      <c r="AK215" s="27">
        <v>1</v>
      </c>
      <c r="AL215" s="27">
        <v>1</v>
      </c>
      <c r="AM215" s="151" t="s">
        <v>83</v>
      </c>
      <c r="AN215" s="27">
        <v>1</v>
      </c>
      <c r="AO215" s="27">
        <v>1</v>
      </c>
      <c r="AP215" s="27">
        <v>1</v>
      </c>
    </row>
    <row r="216" spans="1:42">
      <c r="A216" s="130"/>
      <c r="B216" s="27" t="str">
        <f>物品!B216</f>
        <v>IB57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已领取星耀礼包</v>
      </c>
      <c r="I216" s="27" t="str">
        <f>VLOOKUP(B216,物品!B:CV,99,FALSE)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6" s="132" t="str">
        <f t="shared" si="89"/>
        <v>已领取星耀礼包</v>
      </c>
      <c r="K216" s="132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6" s="27"/>
      <c r="M216" s="133" t="str">
        <f>VLOOKUP(LEFT(RIGHT(B216,5),4),物品!B:CU,20,FALSE)</f>
        <v>ReplaceableTextures\\commandButtons\\BTNLBUI01.blp</v>
      </c>
      <c r="N216" s="151" t="s">
        <v>83</v>
      </c>
      <c r="O216" s="133" t="s">
        <v>95</v>
      </c>
      <c r="P216" s="27">
        <v>2</v>
      </c>
      <c r="Q216" s="27">
        <v>1</v>
      </c>
      <c r="R216" s="151" t="s">
        <v>83</v>
      </c>
      <c r="S216" s="151" t="s">
        <v>83</v>
      </c>
      <c r="T216" s="151" t="s">
        <v>83</v>
      </c>
      <c r="U216" s="151" t="s">
        <v>83</v>
      </c>
      <c r="V216" s="27"/>
      <c r="W216" s="27" t="s">
        <v>88</v>
      </c>
      <c r="X216" s="27">
        <v>0</v>
      </c>
      <c r="Y216" s="151" t="s">
        <v>83</v>
      </c>
      <c r="Z216" s="27">
        <v>0</v>
      </c>
      <c r="AA216" s="27">
        <v>0</v>
      </c>
      <c r="AB216" s="27">
        <v>0</v>
      </c>
      <c r="AC216" s="27">
        <v>0</v>
      </c>
      <c r="AD216" s="27">
        <v>1</v>
      </c>
      <c r="AE216" s="151" t="s">
        <v>83</v>
      </c>
      <c r="AF216" s="151" t="s">
        <v>83</v>
      </c>
      <c r="AG216" s="151" t="s">
        <v>83</v>
      </c>
      <c r="AH216" s="151" t="s">
        <v>83</v>
      </c>
      <c r="AI216" s="27">
        <v>1</v>
      </c>
      <c r="AJ216" s="27"/>
      <c r="AK216" s="27">
        <v>1</v>
      </c>
      <c r="AL216" s="27">
        <v>1</v>
      </c>
      <c r="AM216" s="151" t="s">
        <v>83</v>
      </c>
      <c r="AN216" s="27">
        <v>1</v>
      </c>
      <c r="AO216" s="27">
        <v>1</v>
      </c>
      <c r="AP216" s="27">
        <v>1</v>
      </c>
    </row>
    <row r="217" spans="1:42">
      <c r="A217" s="130"/>
      <c r="B217" s="27" t="str">
        <f>物品!B217</f>
        <v>IB58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已领取魔芝RPG礼包</v>
      </c>
      <c r="I217" s="27" t="str">
        <f>VLOOKUP(B217,物品!B:CV,99,FALSE)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7" s="132" t="str">
        <f t="shared" si="89"/>
        <v>已领取魔芝RPG礼包</v>
      </c>
      <c r="K217" s="132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7" s="27"/>
      <c r="M217" s="133" t="str">
        <f>VLOOKUP(LEFT(RIGHT(B217,5),4),物品!B:CU,20,FALSE)</f>
        <v>ReplaceableTextures\\commandButtons\\BTNLBUI01.blp</v>
      </c>
      <c r="N217" s="151" t="s">
        <v>83</v>
      </c>
      <c r="O217" s="133" t="s">
        <v>95</v>
      </c>
      <c r="P217" s="27">
        <v>2</v>
      </c>
      <c r="Q217" s="27">
        <v>0</v>
      </c>
      <c r="R217" s="151" t="s">
        <v>83</v>
      </c>
      <c r="S217" s="151" t="s">
        <v>83</v>
      </c>
      <c r="T217" s="151" t="s">
        <v>83</v>
      </c>
      <c r="U217" s="151" t="s">
        <v>83</v>
      </c>
      <c r="V217" s="27"/>
      <c r="W217" s="27" t="s">
        <v>88</v>
      </c>
      <c r="X217" s="27">
        <v>0</v>
      </c>
      <c r="Y217" s="151" t="s">
        <v>83</v>
      </c>
      <c r="Z217" s="27">
        <v>0</v>
      </c>
      <c r="AA217" s="27">
        <v>0</v>
      </c>
      <c r="AB217" s="27">
        <v>0</v>
      </c>
      <c r="AC217" s="27">
        <v>0</v>
      </c>
      <c r="AD217" s="27">
        <v>1</v>
      </c>
      <c r="AE217" s="151" t="s">
        <v>83</v>
      </c>
      <c r="AF217" s="151" t="s">
        <v>83</v>
      </c>
      <c r="AG217" s="151" t="s">
        <v>83</v>
      </c>
      <c r="AH217" s="151" t="s">
        <v>83</v>
      </c>
      <c r="AI217" s="27">
        <v>1</v>
      </c>
      <c r="AJ217" s="27"/>
      <c r="AK217" s="27">
        <v>1</v>
      </c>
      <c r="AL217" s="27">
        <v>1</v>
      </c>
      <c r="AM217" s="151" t="s">
        <v>83</v>
      </c>
      <c r="AN217" s="27">
        <v>1</v>
      </c>
      <c r="AO217" s="27">
        <v>1</v>
      </c>
      <c r="AP217" s="27">
        <v>1</v>
      </c>
    </row>
    <row r="218" spans="1:42">
      <c r="A218" s="130"/>
      <c r="B218" s="27" t="str">
        <f>物品!B218</f>
        <v>IB59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已领取老铁礼包</v>
      </c>
      <c r="I218" s="27" t="str">
        <f>VLOOKUP(B218,物品!B:CV,99,FALSE)</f>
        <v>已领取老铁礼包</v>
      </c>
      <c r="J218" s="132" t="str">
        <f t="shared" si="89"/>
        <v>已领取老铁礼包</v>
      </c>
      <c r="K218" s="132" t="str">
        <f t="shared" si="90"/>
        <v>已领取老铁礼包</v>
      </c>
      <c r="L218" s="27"/>
      <c r="M218" s="133" t="str">
        <f>VLOOKUP(LEFT(RIGHT(B218,5),4),物品!B:CU,20,FALSE)</f>
        <v>ReplaceableTextures\\commandButtons\\BTNLBUI01.blp</v>
      </c>
      <c r="N218" s="151" t="s">
        <v>83</v>
      </c>
      <c r="O218" s="133" t="s">
        <v>95</v>
      </c>
      <c r="P218" s="27">
        <v>0</v>
      </c>
      <c r="Q218" s="27">
        <v>0</v>
      </c>
      <c r="R218" s="151" t="s">
        <v>83</v>
      </c>
      <c r="S218" s="151" t="s">
        <v>83</v>
      </c>
      <c r="T218" s="151" t="s">
        <v>83</v>
      </c>
      <c r="U218" s="151" t="s">
        <v>83</v>
      </c>
      <c r="V218" s="27"/>
      <c r="W218" s="27" t="s">
        <v>88</v>
      </c>
      <c r="X218" s="27">
        <v>0</v>
      </c>
      <c r="Y218" s="151" t="s">
        <v>83</v>
      </c>
      <c r="Z218" s="27">
        <v>0</v>
      </c>
      <c r="AA218" s="27">
        <v>0</v>
      </c>
      <c r="AB218" s="27">
        <v>0</v>
      </c>
      <c r="AC218" s="27">
        <v>0</v>
      </c>
      <c r="AD218" s="27">
        <v>1</v>
      </c>
      <c r="AE218" s="151" t="s">
        <v>83</v>
      </c>
      <c r="AF218" s="151" t="s">
        <v>83</v>
      </c>
      <c r="AG218" s="151" t="s">
        <v>83</v>
      </c>
      <c r="AH218" s="151" t="s">
        <v>83</v>
      </c>
      <c r="AI218" s="27">
        <v>1</v>
      </c>
      <c r="AJ218" s="27"/>
      <c r="AK218" s="27">
        <v>1</v>
      </c>
      <c r="AL218" s="27">
        <v>1</v>
      </c>
      <c r="AM218" s="151" t="s">
        <v>83</v>
      </c>
      <c r="AN218" s="27">
        <v>1</v>
      </c>
      <c r="AO218" s="27">
        <v>1</v>
      </c>
      <c r="AP218" s="27">
        <v>1</v>
      </c>
    </row>
    <row r="219" spans="1:42">
      <c r="A219" s="130"/>
      <c r="B219" s="27" t="str">
        <f>物品!B219</f>
        <v>IY1C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天乾地坤</v>
      </c>
      <c r="I219" s="27" t="str">
        <f>VLOOKUP(B219,物品!B:CV,99,FALSE)</f>
        <v>代码生成</v>
      </c>
      <c r="J219" s="132" t="str">
        <f t="shared" si="89"/>
        <v>天乾地坤</v>
      </c>
      <c r="K219" s="132" t="str">
        <f t="shared" si="90"/>
        <v>代码生成</v>
      </c>
      <c r="L219" s="27"/>
      <c r="M219" s="133" t="str">
        <f>VLOOKUP(LEFT(RIGHT(B219,5),4),物品!B:CU,20,FALSE)</f>
        <v>ReplaceableTextures\\CommandButtons\\BTNRY1C.blp</v>
      </c>
      <c r="N219" s="151" t="s">
        <v>83</v>
      </c>
      <c r="O219" s="133" t="s">
        <v>95</v>
      </c>
      <c r="P219" s="27">
        <v>0</v>
      </c>
      <c r="Q219" s="27">
        <v>0</v>
      </c>
      <c r="R219" s="151" t="s">
        <v>83</v>
      </c>
      <c r="S219" s="151" t="s">
        <v>83</v>
      </c>
      <c r="T219" s="151" t="s">
        <v>83</v>
      </c>
      <c r="U219" s="151" t="s">
        <v>83</v>
      </c>
      <c r="V219" s="27"/>
      <c r="W219" s="27" t="s">
        <v>88</v>
      </c>
      <c r="X219" s="27">
        <v>0</v>
      </c>
      <c r="Y219" s="151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51" t="s">
        <v>83</v>
      </c>
      <c r="AF219" s="151" t="s">
        <v>83</v>
      </c>
      <c r="AG219" s="151" t="s">
        <v>83</v>
      </c>
      <c r="AH219" s="151" t="s">
        <v>83</v>
      </c>
      <c r="AI219" s="27">
        <v>1</v>
      </c>
      <c r="AJ219" s="27"/>
      <c r="AK219" s="27">
        <v>1</v>
      </c>
      <c r="AL219" s="27">
        <v>1</v>
      </c>
      <c r="AM219" s="151" t="s">
        <v>83</v>
      </c>
      <c r="AN219" s="27">
        <v>1</v>
      </c>
      <c r="AO219" s="27">
        <v>1</v>
      </c>
      <c r="AP219" s="27">
        <v>1</v>
      </c>
    </row>
    <row r="220" spans="1:42">
      <c r="A220" s="130"/>
      <c r="B220" s="27" t="str">
        <f>物品!B220</f>
        <v>IY2C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五彩凰翼</v>
      </c>
      <c r="I220" s="27" t="str">
        <f>VLOOKUP(B220,物品!B:CV,99,FALSE)</f>
        <v>代码生成</v>
      </c>
      <c r="J220" s="132" t="str">
        <f t="shared" si="89"/>
        <v>五彩凰翼</v>
      </c>
      <c r="K220" s="132" t="str">
        <f t="shared" si="90"/>
        <v>代码生成</v>
      </c>
      <c r="L220" s="27"/>
      <c r="M220" s="133" t="str">
        <f>VLOOKUP(LEFT(RIGHT(B220,5),4),物品!B:CU,20,FALSE)</f>
        <v>ReplaceableTextures\\CommandButtons\\BTNRY2C.blp</v>
      </c>
      <c r="N220" s="151" t="s">
        <v>83</v>
      </c>
      <c r="O220" s="133" t="s">
        <v>95</v>
      </c>
      <c r="P220" s="27">
        <v>0</v>
      </c>
      <c r="Q220" s="27">
        <v>0</v>
      </c>
      <c r="R220" s="151" t="s">
        <v>83</v>
      </c>
      <c r="S220" s="151" t="s">
        <v>83</v>
      </c>
      <c r="T220" s="151" t="s">
        <v>83</v>
      </c>
      <c r="U220" s="151" t="s">
        <v>83</v>
      </c>
      <c r="V220" s="27"/>
      <c r="W220" s="27" t="s">
        <v>88</v>
      </c>
      <c r="X220" s="27">
        <v>0</v>
      </c>
      <c r="Y220" s="151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51" t="s">
        <v>83</v>
      </c>
      <c r="AF220" s="151" t="s">
        <v>83</v>
      </c>
      <c r="AG220" s="151" t="s">
        <v>83</v>
      </c>
      <c r="AH220" s="151" t="s">
        <v>83</v>
      </c>
      <c r="AI220" s="27">
        <v>1</v>
      </c>
      <c r="AJ220" s="27"/>
      <c r="AK220" s="27">
        <v>1</v>
      </c>
      <c r="AL220" s="27">
        <v>1</v>
      </c>
      <c r="AM220" s="151" t="s">
        <v>83</v>
      </c>
      <c r="AN220" s="27">
        <v>1</v>
      </c>
      <c r="AO220" s="27">
        <v>1</v>
      </c>
      <c r="AP220" s="27">
        <v>1</v>
      </c>
    </row>
    <row r="221" spans="1:42">
      <c r="A221" s="130"/>
      <c r="B221" s="27" t="str">
        <f>物品!B221</f>
        <v>IY3C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崩鸣刃</v>
      </c>
      <c r="I221" s="27" t="str">
        <f>VLOOKUP(B221,物品!B:CV,99,FALSE)</f>
        <v>代码生成</v>
      </c>
      <c r="J221" s="132" t="str">
        <f t="shared" si="89"/>
        <v>崩鸣刃</v>
      </c>
      <c r="K221" s="132" t="str">
        <f t="shared" si="90"/>
        <v>代码生成</v>
      </c>
      <c r="L221" s="27"/>
      <c r="M221" s="133" t="str">
        <f>VLOOKUP(LEFT(RIGHT(B221,5),4),物品!B:CU,20,FALSE)</f>
        <v>ReplaceableTextures\\CommandButtons\\BTNRY3C.blp</v>
      </c>
      <c r="N221" s="151" t="s">
        <v>83</v>
      </c>
      <c r="O221" s="133" t="s">
        <v>95</v>
      </c>
      <c r="P221" s="27">
        <v>0</v>
      </c>
      <c r="Q221" s="27">
        <v>0</v>
      </c>
      <c r="R221" s="151" t="s">
        <v>83</v>
      </c>
      <c r="S221" s="151" t="s">
        <v>83</v>
      </c>
      <c r="T221" s="151" t="s">
        <v>83</v>
      </c>
      <c r="U221" s="151" t="s">
        <v>83</v>
      </c>
      <c r="V221" s="27"/>
      <c r="W221" s="27" t="s">
        <v>88</v>
      </c>
      <c r="X221" s="27">
        <v>0</v>
      </c>
      <c r="Y221" s="151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51" t="s">
        <v>83</v>
      </c>
      <c r="AF221" s="151" t="s">
        <v>83</v>
      </c>
      <c r="AG221" s="151" t="s">
        <v>83</v>
      </c>
      <c r="AH221" s="151" t="s">
        <v>83</v>
      </c>
      <c r="AI221" s="27">
        <v>1</v>
      </c>
      <c r="AJ221" s="27"/>
      <c r="AK221" s="27">
        <v>1</v>
      </c>
      <c r="AL221" s="27">
        <v>1</v>
      </c>
      <c r="AM221" s="151" t="s">
        <v>83</v>
      </c>
      <c r="AN221" s="27">
        <v>1</v>
      </c>
      <c r="AO221" s="27">
        <v>1</v>
      </c>
      <c r="AP221" s="27">
        <v>1</v>
      </c>
    </row>
    <row r="222" spans="1:42">
      <c r="A222" s="130"/>
      <c r="B222" s="27" t="str">
        <f>物品!B222</f>
        <v>IY4C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俯瞰寰宇</v>
      </c>
      <c r="I222" s="27" t="str">
        <f>VLOOKUP(B222,物品!B:CV,99,FALSE)</f>
        <v>代码生成</v>
      </c>
      <c r="J222" s="132" t="str">
        <f t="shared" si="89"/>
        <v>俯瞰寰宇</v>
      </c>
      <c r="K222" s="132" t="str">
        <f t="shared" si="90"/>
        <v>代码生成</v>
      </c>
      <c r="L222" s="27"/>
      <c r="M222" s="133" t="str">
        <f>VLOOKUP(LEFT(RIGHT(B222,5),4),物品!B:CU,20,FALSE)</f>
        <v>ReplaceableTextures\\CommandButtons\\BTNRY4C.blp</v>
      </c>
      <c r="N222" s="151" t="s">
        <v>83</v>
      </c>
      <c r="O222" s="133" t="s">
        <v>95</v>
      </c>
      <c r="P222" s="27">
        <v>0</v>
      </c>
      <c r="Q222" s="27">
        <v>0</v>
      </c>
      <c r="R222" s="151" t="s">
        <v>83</v>
      </c>
      <c r="S222" s="151" t="s">
        <v>83</v>
      </c>
      <c r="T222" s="151" t="s">
        <v>83</v>
      </c>
      <c r="U222" s="151" t="s">
        <v>83</v>
      </c>
      <c r="V222" s="27"/>
      <c r="W222" s="27" t="s">
        <v>88</v>
      </c>
      <c r="X222" s="27">
        <v>0</v>
      </c>
      <c r="Y222" s="151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51" t="s">
        <v>83</v>
      </c>
      <c r="AF222" s="151" t="s">
        <v>83</v>
      </c>
      <c r="AG222" s="151" t="s">
        <v>83</v>
      </c>
      <c r="AH222" s="151" t="s">
        <v>83</v>
      </c>
      <c r="AI222" s="27">
        <v>1</v>
      </c>
      <c r="AJ222" s="27"/>
      <c r="AK222" s="27">
        <v>1</v>
      </c>
      <c r="AL222" s="27">
        <v>1</v>
      </c>
      <c r="AM222" s="151" t="s">
        <v>83</v>
      </c>
      <c r="AN222" s="27">
        <v>1</v>
      </c>
      <c r="AO222" s="27">
        <v>1</v>
      </c>
      <c r="AP222" s="27">
        <v>1</v>
      </c>
    </row>
    <row r="223" spans="1:42">
      <c r="A223" s="130"/>
      <c r="B223" s="27" t="str">
        <f>物品!B223</f>
        <v>IF01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32" t="str">
        <f t="shared" ref="J223" si="91">H223</f>
        <v>附魔</v>
      </c>
      <c r="K223" s="132">
        <f t="shared" ref="K223" si="92">I223</f>
        <v>0</v>
      </c>
      <c r="L223" s="27"/>
      <c r="M223" s="133">
        <f>VLOOKUP(LEFT(RIGHT(B223,5),4),物品!B:CU,20,FALSE)</f>
        <v>0</v>
      </c>
      <c r="N223" s="151" t="s">
        <v>83</v>
      </c>
      <c r="O223" s="133" t="s">
        <v>95</v>
      </c>
      <c r="P223" s="27">
        <v>0</v>
      </c>
      <c r="Q223" s="27">
        <v>0</v>
      </c>
      <c r="R223" s="151" t="s">
        <v>83</v>
      </c>
      <c r="S223" s="151" t="s">
        <v>83</v>
      </c>
      <c r="T223" s="151" t="s">
        <v>83</v>
      </c>
      <c r="U223" s="151" t="s">
        <v>83</v>
      </c>
      <c r="V223" s="27"/>
      <c r="W223" s="27" t="s">
        <v>88</v>
      </c>
      <c r="X223" s="27">
        <v>0</v>
      </c>
      <c r="Y223" s="151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51" t="s">
        <v>83</v>
      </c>
      <c r="AF223" s="151" t="s">
        <v>83</v>
      </c>
      <c r="AG223" s="151" t="s">
        <v>83</v>
      </c>
      <c r="AH223" s="151" t="s">
        <v>83</v>
      </c>
      <c r="AI223" s="27">
        <v>1</v>
      </c>
      <c r="AJ223" s="27"/>
      <c r="AK223" s="27">
        <v>1</v>
      </c>
      <c r="AL223" s="27">
        <v>1</v>
      </c>
      <c r="AM223" s="151" t="s">
        <v>83</v>
      </c>
      <c r="AN223" s="27">
        <v>1</v>
      </c>
      <c r="AO223" s="27">
        <v>1</v>
      </c>
      <c r="AP223" s="27">
        <v>1</v>
      </c>
    </row>
    <row r="224" spans="1:42">
      <c r="A224" s="130"/>
      <c r="B224" s="27" t="str">
        <f>物品!B224</f>
        <v>IF02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32" t="str">
        <f t="shared" ref="J224:J249" si="93">H224</f>
        <v>附魔</v>
      </c>
      <c r="K224" s="132">
        <f t="shared" ref="K224:K249" si="94">I224</f>
        <v>0</v>
      </c>
      <c r="L224" s="27"/>
      <c r="M224" s="133">
        <f>VLOOKUP(LEFT(RIGHT(B224,5),4),物品!B:CU,20,FALSE)</f>
        <v>0</v>
      </c>
      <c r="N224" s="151" t="s">
        <v>83</v>
      </c>
      <c r="O224" s="133" t="s">
        <v>95</v>
      </c>
      <c r="P224" s="27">
        <v>0</v>
      </c>
      <c r="Q224" s="27">
        <v>0</v>
      </c>
      <c r="R224" s="151" t="s">
        <v>83</v>
      </c>
      <c r="S224" s="151" t="s">
        <v>83</v>
      </c>
      <c r="T224" s="151" t="s">
        <v>83</v>
      </c>
      <c r="U224" s="151" t="s">
        <v>83</v>
      </c>
      <c r="V224" s="27"/>
      <c r="W224" s="27" t="s">
        <v>88</v>
      </c>
      <c r="X224" s="27">
        <v>0</v>
      </c>
      <c r="Y224" s="151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51" t="s">
        <v>83</v>
      </c>
      <c r="AF224" s="151" t="s">
        <v>83</v>
      </c>
      <c r="AG224" s="151" t="s">
        <v>83</v>
      </c>
      <c r="AH224" s="151" t="s">
        <v>83</v>
      </c>
      <c r="AI224" s="27">
        <v>1</v>
      </c>
      <c r="AJ224" s="27"/>
      <c r="AK224" s="27">
        <v>1</v>
      </c>
      <c r="AL224" s="27">
        <v>1</v>
      </c>
      <c r="AM224" s="151" t="s">
        <v>83</v>
      </c>
      <c r="AN224" s="27">
        <v>1</v>
      </c>
      <c r="AO224" s="27">
        <v>1</v>
      </c>
      <c r="AP224" s="27">
        <v>1</v>
      </c>
    </row>
    <row r="225" spans="1:42">
      <c r="A225" s="130"/>
      <c r="B225" s="27" t="str">
        <f>物品!B225</f>
        <v>IF03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32" t="str">
        <f t="shared" si="93"/>
        <v>附魔</v>
      </c>
      <c r="K225" s="132">
        <f t="shared" si="94"/>
        <v>0</v>
      </c>
      <c r="L225" s="27"/>
      <c r="M225" s="133">
        <f>VLOOKUP(LEFT(RIGHT(B225,5),4),物品!B:CU,20,FALSE)</f>
        <v>0</v>
      </c>
      <c r="N225" s="151" t="s">
        <v>83</v>
      </c>
      <c r="O225" s="133" t="s">
        <v>95</v>
      </c>
      <c r="P225" s="27">
        <v>0</v>
      </c>
      <c r="Q225" s="27">
        <v>0</v>
      </c>
      <c r="R225" s="151" t="s">
        <v>83</v>
      </c>
      <c r="S225" s="151" t="s">
        <v>83</v>
      </c>
      <c r="T225" s="151" t="s">
        <v>83</v>
      </c>
      <c r="U225" s="151" t="s">
        <v>83</v>
      </c>
      <c r="V225" s="27"/>
      <c r="W225" s="27" t="s">
        <v>88</v>
      </c>
      <c r="X225" s="27">
        <v>0</v>
      </c>
      <c r="Y225" s="151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51" t="s">
        <v>83</v>
      </c>
      <c r="AF225" s="151" t="s">
        <v>83</v>
      </c>
      <c r="AG225" s="151" t="s">
        <v>83</v>
      </c>
      <c r="AH225" s="151" t="s">
        <v>83</v>
      </c>
      <c r="AI225" s="27">
        <v>1</v>
      </c>
      <c r="AJ225" s="27"/>
      <c r="AK225" s="27">
        <v>1</v>
      </c>
      <c r="AL225" s="27">
        <v>1</v>
      </c>
      <c r="AM225" s="151" t="s">
        <v>83</v>
      </c>
      <c r="AN225" s="27">
        <v>1</v>
      </c>
      <c r="AO225" s="27">
        <v>1</v>
      </c>
      <c r="AP225" s="27">
        <v>1</v>
      </c>
    </row>
    <row r="226" spans="1:42">
      <c r="A226" s="130"/>
      <c r="B226" s="27" t="str">
        <f>物品!B226</f>
        <v>IF04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32" t="str">
        <f t="shared" si="93"/>
        <v>附魔</v>
      </c>
      <c r="K226" s="132">
        <f t="shared" si="94"/>
        <v>0</v>
      </c>
      <c r="L226" s="27"/>
      <c r="M226" s="133">
        <f>VLOOKUP(LEFT(RIGHT(B226,5),4),物品!B:CU,20,FALSE)</f>
        <v>0</v>
      </c>
      <c r="N226" s="151" t="s">
        <v>83</v>
      </c>
      <c r="O226" s="133" t="s">
        <v>95</v>
      </c>
      <c r="P226" s="27">
        <v>0</v>
      </c>
      <c r="Q226" s="27">
        <v>0</v>
      </c>
      <c r="R226" s="151" t="s">
        <v>83</v>
      </c>
      <c r="S226" s="151" t="s">
        <v>83</v>
      </c>
      <c r="T226" s="151" t="s">
        <v>83</v>
      </c>
      <c r="U226" s="151" t="s">
        <v>83</v>
      </c>
      <c r="V226" s="27"/>
      <c r="W226" s="27" t="s">
        <v>88</v>
      </c>
      <c r="X226" s="27">
        <v>0</v>
      </c>
      <c r="Y226" s="151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51" t="s">
        <v>83</v>
      </c>
      <c r="AF226" s="151" t="s">
        <v>83</v>
      </c>
      <c r="AG226" s="151" t="s">
        <v>83</v>
      </c>
      <c r="AH226" s="151" t="s">
        <v>83</v>
      </c>
      <c r="AI226" s="27">
        <v>1</v>
      </c>
      <c r="AJ226" s="27"/>
      <c r="AK226" s="27">
        <v>1</v>
      </c>
      <c r="AL226" s="27">
        <v>1</v>
      </c>
      <c r="AM226" s="151" t="s">
        <v>83</v>
      </c>
      <c r="AN226" s="27">
        <v>1</v>
      </c>
      <c r="AO226" s="27">
        <v>1</v>
      </c>
      <c r="AP226" s="27">
        <v>1</v>
      </c>
    </row>
    <row r="227" spans="1:42">
      <c r="A227" s="130"/>
      <c r="B227" s="27" t="str">
        <f>物品!B227</f>
        <v>IF05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32" t="str">
        <f t="shared" si="93"/>
        <v>附魔</v>
      </c>
      <c r="K227" s="132">
        <f t="shared" si="94"/>
        <v>0</v>
      </c>
      <c r="L227" s="27"/>
      <c r="M227" s="133">
        <f>VLOOKUP(LEFT(RIGHT(B227,5),4),物品!B:CU,20,FALSE)</f>
        <v>0</v>
      </c>
      <c r="N227" s="151" t="s">
        <v>83</v>
      </c>
      <c r="O227" s="133" t="s">
        <v>95</v>
      </c>
      <c r="P227" s="27">
        <v>0</v>
      </c>
      <c r="Q227" s="27">
        <v>0</v>
      </c>
      <c r="R227" s="151" t="s">
        <v>83</v>
      </c>
      <c r="S227" s="151" t="s">
        <v>83</v>
      </c>
      <c r="T227" s="151" t="s">
        <v>83</v>
      </c>
      <c r="U227" s="151" t="s">
        <v>83</v>
      </c>
      <c r="V227" s="27"/>
      <c r="W227" s="27" t="s">
        <v>88</v>
      </c>
      <c r="X227" s="27">
        <v>0</v>
      </c>
      <c r="Y227" s="151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51" t="s">
        <v>83</v>
      </c>
      <c r="AF227" s="151" t="s">
        <v>83</v>
      </c>
      <c r="AG227" s="151" t="s">
        <v>83</v>
      </c>
      <c r="AH227" s="151" t="s">
        <v>83</v>
      </c>
      <c r="AI227" s="27">
        <v>1</v>
      </c>
      <c r="AJ227" s="27"/>
      <c r="AK227" s="27">
        <v>1</v>
      </c>
      <c r="AL227" s="27">
        <v>1</v>
      </c>
      <c r="AM227" s="151" t="s">
        <v>83</v>
      </c>
      <c r="AN227" s="27">
        <v>1</v>
      </c>
      <c r="AO227" s="27">
        <v>1</v>
      </c>
      <c r="AP227" s="27">
        <v>1</v>
      </c>
    </row>
    <row r="228" spans="1:42">
      <c r="A228" s="130"/>
      <c r="B228" s="27" t="str">
        <f>物品!B228</f>
        <v>IF06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32" t="str">
        <f t="shared" si="93"/>
        <v>附魔</v>
      </c>
      <c r="K228" s="132">
        <f t="shared" si="94"/>
        <v>0</v>
      </c>
      <c r="L228" s="27"/>
      <c r="M228" s="133">
        <f>VLOOKUP(LEFT(RIGHT(B228,5),4),物品!B:CU,20,FALSE)</f>
        <v>0</v>
      </c>
      <c r="N228" s="151" t="s">
        <v>83</v>
      </c>
      <c r="O228" s="133" t="s">
        <v>95</v>
      </c>
      <c r="P228" s="27">
        <v>0</v>
      </c>
      <c r="Q228" s="27">
        <v>0</v>
      </c>
      <c r="R228" s="151" t="s">
        <v>83</v>
      </c>
      <c r="S228" s="151" t="s">
        <v>83</v>
      </c>
      <c r="T228" s="151" t="s">
        <v>83</v>
      </c>
      <c r="U228" s="151" t="s">
        <v>83</v>
      </c>
      <c r="V228" s="27"/>
      <c r="W228" s="27" t="s">
        <v>88</v>
      </c>
      <c r="X228" s="27">
        <v>0</v>
      </c>
      <c r="Y228" s="151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51" t="s">
        <v>83</v>
      </c>
      <c r="AF228" s="151" t="s">
        <v>83</v>
      </c>
      <c r="AG228" s="151" t="s">
        <v>83</v>
      </c>
      <c r="AH228" s="151" t="s">
        <v>83</v>
      </c>
      <c r="AI228" s="27">
        <v>1</v>
      </c>
      <c r="AJ228" s="27"/>
      <c r="AK228" s="27">
        <v>1</v>
      </c>
      <c r="AL228" s="27">
        <v>1</v>
      </c>
      <c r="AM228" s="151" t="s">
        <v>83</v>
      </c>
      <c r="AN228" s="27">
        <v>1</v>
      </c>
      <c r="AO228" s="27">
        <v>1</v>
      </c>
      <c r="AP228" s="27">
        <v>1</v>
      </c>
    </row>
    <row r="229" spans="1:42">
      <c r="A229" s="130"/>
      <c r="B229" s="27" t="str">
        <f>物品!B229</f>
        <v>IF07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32" t="str">
        <f t="shared" si="93"/>
        <v>附魔</v>
      </c>
      <c r="K229" s="132">
        <f t="shared" si="94"/>
        <v>0</v>
      </c>
      <c r="L229" s="27"/>
      <c r="M229" s="133">
        <f>VLOOKUP(LEFT(RIGHT(B229,5),4),物品!B:CU,20,FALSE)</f>
        <v>0</v>
      </c>
      <c r="N229" s="151" t="s">
        <v>83</v>
      </c>
      <c r="O229" s="133" t="s">
        <v>95</v>
      </c>
      <c r="P229" s="27">
        <v>0</v>
      </c>
      <c r="Q229" s="27">
        <v>0</v>
      </c>
      <c r="R229" s="151" t="s">
        <v>83</v>
      </c>
      <c r="S229" s="151" t="s">
        <v>83</v>
      </c>
      <c r="T229" s="151" t="s">
        <v>83</v>
      </c>
      <c r="U229" s="151" t="s">
        <v>83</v>
      </c>
      <c r="V229" s="27"/>
      <c r="W229" s="27" t="s">
        <v>88</v>
      </c>
      <c r="X229" s="27">
        <v>0</v>
      </c>
      <c r="Y229" s="151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51" t="s">
        <v>83</v>
      </c>
      <c r="AF229" s="151" t="s">
        <v>83</v>
      </c>
      <c r="AG229" s="151" t="s">
        <v>83</v>
      </c>
      <c r="AH229" s="151" t="s">
        <v>83</v>
      </c>
      <c r="AI229" s="27">
        <v>1</v>
      </c>
      <c r="AJ229" s="27"/>
      <c r="AK229" s="27">
        <v>1</v>
      </c>
      <c r="AL229" s="27">
        <v>1</v>
      </c>
      <c r="AM229" s="151" t="s">
        <v>83</v>
      </c>
      <c r="AN229" s="27">
        <v>1</v>
      </c>
      <c r="AO229" s="27">
        <v>1</v>
      </c>
      <c r="AP229" s="27">
        <v>1</v>
      </c>
    </row>
    <row r="230" spans="1:42">
      <c r="A230" s="130"/>
      <c r="B230" s="27" t="str">
        <f>物品!B230</f>
        <v>IF08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32" t="str">
        <f t="shared" si="93"/>
        <v>附魔</v>
      </c>
      <c r="K230" s="132">
        <f t="shared" si="94"/>
        <v>0</v>
      </c>
      <c r="L230" s="27"/>
      <c r="M230" s="133">
        <f>VLOOKUP(LEFT(RIGHT(B230,5),4),物品!B:CU,20,FALSE)</f>
        <v>0</v>
      </c>
      <c r="N230" s="151" t="s">
        <v>83</v>
      </c>
      <c r="O230" s="133" t="s">
        <v>95</v>
      </c>
      <c r="P230" s="27">
        <v>0</v>
      </c>
      <c r="Q230" s="27">
        <v>0</v>
      </c>
      <c r="R230" s="151" t="s">
        <v>83</v>
      </c>
      <c r="S230" s="151" t="s">
        <v>83</v>
      </c>
      <c r="T230" s="151" t="s">
        <v>83</v>
      </c>
      <c r="U230" s="151" t="s">
        <v>83</v>
      </c>
      <c r="V230" s="27"/>
      <c r="W230" s="27" t="s">
        <v>88</v>
      </c>
      <c r="X230" s="27">
        <v>0</v>
      </c>
      <c r="Y230" s="151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51" t="s">
        <v>83</v>
      </c>
      <c r="AF230" s="151" t="s">
        <v>83</v>
      </c>
      <c r="AG230" s="151" t="s">
        <v>83</v>
      </c>
      <c r="AH230" s="151" t="s">
        <v>83</v>
      </c>
      <c r="AI230" s="27">
        <v>1</v>
      </c>
      <c r="AJ230" s="27"/>
      <c r="AK230" s="27">
        <v>1</v>
      </c>
      <c r="AL230" s="27">
        <v>1</v>
      </c>
      <c r="AM230" s="151" t="s">
        <v>83</v>
      </c>
      <c r="AN230" s="27">
        <v>1</v>
      </c>
      <c r="AO230" s="27">
        <v>1</v>
      </c>
      <c r="AP230" s="27">
        <v>1</v>
      </c>
    </row>
    <row r="231" spans="1:42">
      <c r="A231" s="130"/>
      <c r="B231" s="27" t="str">
        <f>物品!B231</f>
        <v>IF09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32" t="str">
        <f t="shared" si="93"/>
        <v>附魔</v>
      </c>
      <c r="K231" s="132">
        <f t="shared" si="94"/>
        <v>0</v>
      </c>
      <c r="L231" s="27"/>
      <c r="M231" s="133">
        <f>VLOOKUP(LEFT(RIGHT(B231,5),4),物品!B:CU,20,FALSE)</f>
        <v>0</v>
      </c>
      <c r="N231" s="151" t="s">
        <v>83</v>
      </c>
      <c r="O231" s="133" t="s">
        <v>95</v>
      </c>
      <c r="P231" s="27">
        <v>0</v>
      </c>
      <c r="Q231" s="27">
        <v>0</v>
      </c>
      <c r="R231" s="151" t="s">
        <v>83</v>
      </c>
      <c r="S231" s="151" t="s">
        <v>83</v>
      </c>
      <c r="T231" s="151" t="s">
        <v>83</v>
      </c>
      <c r="U231" s="151" t="s">
        <v>83</v>
      </c>
      <c r="V231" s="27"/>
      <c r="W231" s="27" t="s">
        <v>88</v>
      </c>
      <c r="X231" s="27">
        <v>0</v>
      </c>
      <c r="Y231" s="151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51" t="s">
        <v>83</v>
      </c>
      <c r="AF231" s="151" t="s">
        <v>83</v>
      </c>
      <c r="AG231" s="151" t="s">
        <v>83</v>
      </c>
      <c r="AH231" s="151" t="s">
        <v>83</v>
      </c>
      <c r="AI231" s="27">
        <v>1</v>
      </c>
      <c r="AJ231" s="27"/>
      <c r="AK231" s="27">
        <v>1</v>
      </c>
      <c r="AL231" s="27">
        <v>1</v>
      </c>
      <c r="AM231" s="151" t="s">
        <v>83</v>
      </c>
      <c r="AN231" s="27">
        <v>1</v>
      </c>
      <c r="AO231" s="27">
        <v>1</v>
      </c>
      <c r="AP231" s="27">
        <v>1</v>
      </c>
    </row>
    <row r="232" spans="1:42">
      <c r="A232" s="130"/>
      <c r="B232" s="27" t="str">
        <f>物品!B232</f>
        <v>IF10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32" t="str">
        <f t="shared" si="93"/>
        <v>附魔</v>
      </c>
      <c r="K232" s="132">
        <f t="shared" si="94"/>
        <v>0</v>
      </c>
      <c r="L232" s="27"/>
      <c r="M232" s="133">
        <f>VLOOKUP(LEFT(RIGHT(B232,5),4),物品!B:CU,20,FALSE)</f>
        <v>0</v>
      </c>
      <c r="N232" s="151" t="s">
        <v>83</v>
      </c>
      <c r="O232" s="133" t="s">
        <v>95</v>
      </c>
      <c r="P232" s="27">
        <v>0</v>
      </c>
      <c r="Q232" s="27">
        <v>0</v>
      </c>
      <c r="R232" s="151" t="s">
        <v>83</v>
      </c>
      <c r="S232" s="151" t="s">
        <v>83</v>
      </c>
      <c r="T232" s="151" t="s">
        <v>83</v>
      </c>
      <c r="U232" s="151" t="s">
        <v>83</v>
      </c>
      <c r="V232" s="27"/>
      <c r="W232" s="27" t="s">
        <v>88</v>
      </c>
      <c r="X232" s="27">
        <v>0</v>
      </c>
      <c r="Y232" s="151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51" t="s">
        <v>83</v>
      </c>
      <c r="AF232" s="151" t="s">
        <v>83</v>
      </c>
      <c r="AG232" s="151" t="s">
        <v>83</v>
      </c>
      <c r="AH232" s="151" t="s">
        <v>83</v>
      </c>
      <c r="AI232" s="27">
        <v>1</v>
      </c>
      <c r="AJ232" s="27"/>
      <c r="AK232" s="27">
        <v>1</v>
      </c>
      <c r="AL232" s="27">
        <v>1</v>
      </c>
      <c r="AM232" s="151" t="s">
        <v>83</v>
      </c>
      <c r="AN232" s="27">
        <v>1</v>
      </c>
      <c r="AO232" s="27">
        <v>1</v>
      </c>
      <c r="AP232" s="27">
        <v>1</v>
      </c>
    </row>
    <row r="233" spans="1:42">
      <c r="A233" s="130"/>
      <c r="B233" s="27" t="str">
        <f>物品!B233</f>
        <v>IF11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32" t="str">
        <f t="shared" si="93"/>
        <v>附魔</v>
      </c>
      <c r="K233" s="132">
        <f t="shared" si="94"/>
        <v>0</v>
      </c>
      <c r="L233" s="27"/>
      <c r="M233" s="133">
        <f>VLOOKUP(LEFT(RIGHT(B233,5),4),物品!B:CU,20,FALSE)</f>
        <v>0</v>
      </c>
      <c r="N233" s="151" t="s">
        <v>83</v>
      </c>
      <c r="O233" s="133" t="s">
        <v>95</v>
      </c>
      <c r="P233" s="27">
        <v>0</v>
      </c>
      <c r="Q233" s="27">
        <v>0</v>
      </c>
      <c r="R233" s="151" t="s">
        <v>83</v>
      </c>
      <c r="S233" s="151" t="s">
        <v>83</v>
      </c>
      <c r="T233" s="151" t="s">
        <v>83</v>
      </c>
      <c r="U233" s="151" t="s">
        <v>83</v>
      </c>
      <c r="V233" s="27"/>
      <c r="W233" s="27" t="s">
        <v>88</v>
      </c>
      <c r="X233" s="27">
        <v>0</v>
      </c>
      <c r="Y233" s="151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51" t="s">
        <v>83</v>
      </c>
      <c r="AF233" s="151" t="s">
        <v>83</v>
      </c>
      <c r="AG233" s="151" t="s">
        <v>83</v>
      </c>
      <c r="AH233" s="151" t="s">
        <v>83</v>
      </c>
      <c r="AI233" s="27">
        <v>1</v>
      </c>
      <c r="AJ233" s="27"/>
      <c r="AK233" s="27">
        <v>1</v>
      </c>
      <c r="AL233" s="27">
        <v>1</v>
      </c>
      <c r="AM233" s="151" t="s">
        <v>83</v>
      </c>
      <c r="AN233" s="27">
        <v>1</v>
      </c>
      <c r="AO233" s="27">
        <v>1</v>
      </c>
      <c r="AP233" s="27">
        <v>1</v>
      </c>
    </row>
    <row r="234" spans="1:42">
      <c r="A234" s="130"/>
      <c r="B234" s="27" t="str">
        <f>物品!B234</f>
        <v>IF12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32" t="str">
        <f t="shared" si="93"/>
        <v>附魔</v>
      </c>
      <c r="K234" s="132">
        <f t="shared" si="94"/>
        <v>0</v>
      </c>
      <c r="L234" s="27"/>
      <c r="M234" s="133">
        <f>VLOOKUP(LEFT(RIGHT(B234,5),4),物品!B:CU,20,FALSE)</f>
        <v>0</v>
      </c>
      <c r="N234" s="151" t="s">
        <v>83</v>
      </c>
      <c r="O234" s="133" t="s">
        <v>95</v>
      </c>
      <c r="P234" s="27">
        <v>0</v>
      </c>
      <c r="Q234" s="27">
        <v>0</v>
      </c>
      <c r="R234" s="151" t="s">
        <v>83</v>
      </c>
      <c r="S234" s="151" t="s">
        <v>83</v>
      </c>
      <c r="T234" s="151" t="s">
        <v>83</v>
      </c>
      <c r="U234" s="151" t="s">
        <v>83</v>
      </c>
      <c r="V234" s="27"/>
      <c r="W234" s="27" t="s">
        <v>88</v>
      </c>
      <c r="X234" s="27">
        <v>0</v>
      </c>
      <c r="Y234" s="151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51" t="s">
        <v>83</v>
      </c>
      <c r="AF234" s="151" t="s">
        <v>83</v>
      </c>
      <c r="AG234" s="151" t="s">
        <v>83</v>
      </c>
      <c r="AH234" s="151" t="s">
        <v>83</v>
      </c>
      <c r="AI234" s="27">
        <v>1</v>
      </c>
      <c r="AJ234" s="27"/>
      <c r="AK234" s="27">
        <v>1</v>
      </c>
      <c r="AL234" s="27">
        <v>1</v>
      </c>
      <c r="AM234" s="151" t="s">
        <v>83</v>
      </c>
      <c r="AN234" s="27">
        <v>1</v>
      </c>
      <c r="AO234" s="27">
        <v>1</v>
      </c>
      <c r="AP234" s="27">
        <v>1</v>
      </c>
    </row>
    <row r="235" spans="1:42">
      <c r="A235" s="130"/>
      <c r="B235" s="27" t="str">
        <f>物品!B235</f>
        <v>IF13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32" t="str">
        <f t="shared" si="93"/>
        <v>附魔</v>
      </c>
      <c r="K235" s="132">
        <f t="shared" si="94"/>
        <v>0</v>
      </c>
      <c r="L235" s="27"/>
      <c r="M235" s="133">
        <f>VLOOKUP(LEFT(RIGHT(B235,5),4),物品!B:CU,20,FALSE)</f>
        <v>0</v>
      </c>
      <c r="N235" s="151" t="s">
        <v>83</v>
      </c>
      <c r="O235" s="133" t="s">
        <v>95</v>
      </c>
      <c r="P235" s="27">
        <v>0</v>
      </c>
      <c r="Q235" s="27">
        <v>0</v>
      </c>
      <c r="R235" s="151" t="s">
        <v>83</v>
      </c>
      <c r="S235" s="151" t="s">
        <v>83</v>
      </c>
      <c r="T235" s="151" t="s">
        <v>83</v>
      </c>
      <c r="U235" s="151" t="s">
        <v>83</v>
      </c>
      <c r="V235" s="27"/>
      <c r="W235" s="27" t="s">
        <v>88</v>
      </c>
      <c r="X235" s="27">
        <v>0</v>
      </c>
      <c r="Y235" s="151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51" t="s">
        <v>83</v>
      </c>
      <c r="AF235" s="151" t="s">
        <v>83</v>
      </c>
      <c r="AG235" s="151" t="s">
        <v>83</v>
      </c>
      <c r="AH235" s="151" t="s">
        <v>83</v>
      </c>
      <c r="AI235" s="27">
        <v>1</v>
      </c>
      <c r="AJ235" s="27"/>
      <c r="AK235" s="27">
        <v>1</v>
      </c>
      <c r="AL235" s="27">
        <v>1</v>
      </c>
      <c r="AM235" s="151" t="s">
        <v>83</v>
      </c>
      <c r="AN235" s="27">
        <v>1</v>
      </c>
      <c r="AO235" s="27">
        <v>1</v>
      </c>
      <c r="AP235" s="27">
        <v>1</v>
      </c>
    </row>
    <row r="236" spans="1:42">
      <c r="A236" s="130"/>
      <c r="B236" s="27" t="str">
        <f>物品!B236</f>
        <v>IF14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32" t="str">
        <f t="shared" si="93"/>
        <v>附魔</v>
      </c>
      <c r="K236" s="132">
        <f t="shared" si="94"/>
        <v>0</v>
      </c>
      <c r="L236" s="27"/>
      <c r="M236" s="133">
        <f>VLOOKUP(LEFT(RIGHT(B236,5),4),物品!B:CU,20,FALSE)</f>
        <v>0</v>
      </c>
      <c r="N236" s="151" t="s">
        <v>83</v>
      </c>
      <c r="O236" s="133" t="s">
        <v>95</v>
      </c>
      <c r="P236" s="27">
        <v>0</v>
      </c>
      <c r="Q236" s="27">
        <v>0</v>
      </c>
      <c r="R236" s="151" t="s">
        <v>83</v>
      </c>
      <c r="S236" s="151" t="s">
        <v>83</v>
      </c>
      <c r="T236" s="151" t="s">
        <v>83</v>
      </c>
      <c r="U236" s="151" t="s">
        <v>83</v>
      </c>
      <c r="V236" s="27"/>
      <c r="W236" s="27" t="s">
        <v>88</v>
      </c>
      <c r="X236" s="27">
        <v>0</v>
      </c>
      <c r="Y236" s="151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51" t="s">
        <v>83</v>
      </c>
      <c r="AF236" s="151" t="s">
        <v>83</v>
      </c>
      <c r="AG236" s="151" t="s">
        <v>83</v>
      </c>
      <c r="AH236" s="151" t="s">
        <v>83</v>
      </c>
      <c r="AI236" s="27">
        <v>1</v>
      </c>
      <c r="AJ236" s="27"/>
      <c r="AK236" s="27">
        <v>1</v>
      </c>
      <c r="AL236" s="27">
        <v>1</v>
      </c>
      <c r="AM236" s="151" t="s">
        <v>83</v>
      </c>
      <c r="AN236" s="27">
        <v>1</v>
      </c>
      <c r="AO236" s="27">
        <v>1</v>
      </c>
      <c r="AP236" s="27">
        <v>1</v>
      </c>
    </row>
    <row r="237" spans="1:42">
      <c r="A237" s="130"/>
      <c r="B237" s="27" t="str">
        <f>物品!B237</f>
        <v>IF15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32" t="str">
        <f t="shared" si="93"/>
        <v>附魔</v>
      </c>
      <c r="K237" s="132">
        <f t="shared" si="94"/>
        <v>0</v>
      </c>
      <c r="L237" s="27"/>
      <c r="M237" s="133">
        <f>VLOOKUP(LEFT(RIGHT(B237,5),4),物品!B:CU,20,FALSE)</f>
        <v>0</v>
      </c>
      <c r="N237" s="151" t="s">
        <v>83</v>
      </c>
      <c r="O237" s="133" t="s">
        <v>95</v>
      </c>
      <c r="P237" s="27">
        <v>0</v>
      </c>
      <c r="Q237" s="27">
        <v>0</v>
      </c>
      <c r="R237" s="151" t="s">
        <v>83</v>
      </c>
      <c r="S237" s="151" t="s">
        <v>83</v>
      </c>
      <c r="T237" s="151" t="s">
        <v>83</v>
      </c>
      <c r="U237" s="151" t="s">
        <v>83</v>
      </c>
      <c r="V237" s="27"/>
      <c r="W237" s="27" t="s">
        <v>88</v>
      </c>
      <c r="X237" s="27">
        <v>0</v>
      </c>
      <c r="Y237" s="151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51" t="s">
        <v>83</v>
      </c>
      <c r="AF237" s="151" t="s">
        <v>83</v>
      </c>
      <c r="AG237" s="151" t="s">
        <v>83</v>
      </c>
      <c r="AH237" s="151" t="s">
        <v>83</v>
      </c>
      <c r="AI237" s="27">
        <v>1</v>
      </c>
      <c r="AJ237" s="27"/>
      <c r="AK237" s="27">
        <v>1</v>
      </c>
      <c r="AL237" s="27">
        <v>1</v>
      </c>
      <c r="AM237" s="151" t="s">
        <v>83</v>
      </c>
      <c r="AN237" s="27">
        <v>1</v>
      </c>
      <c r="AO237" s="27">
        <v>1</v>
      </c>
      <c r="AP237" s="27">
        <v>1</v>
      </c>
    </row>
    <row r="238" spans="1:42">
      <c r="A238" s="130"/>
      <c r="B238" s="27" t="str">
        <f>物品!B238</f>
        <v>IF16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32" t="str">
        <f t="shared" si="93"/>
        <v>附魔</v>
      </c>
      <c r="K238" s="132">
        <f t="shared" si="94"/>
        <v>0</v>
      </c>
      <c r="L238" s="27"/>
      <c r="M238" s="133">
        <f>VLOOKUP(LEFT(RIGHT(B238,5),4),物品!B:CU,20,FALSE)</f>
        <v>0</v>
      </c>
      <c r="N238" s="151" t="s">
        <v>83</v>
      </c>
      <c r="O238" s="133" t="s">
        <v>95</v>
      </c>
      <c r="P238" s="27">
        <v>0</v>
      </c>
      <c r="Q238" s="27">
        <v>0</v>
      </c>
      <c r="R238" s="151" t="s">
        <v>83</v>
      </c>
      <c r="S238" s="151" t="s">
        <v>83</v>
      </c>
      <c r="T238" s="151" t="s">
        <v>83</v>
      </c>
      <c r="U238" s="151" t="s">
        <v>83</v>
      </c>
      <c r="V238" s="27"/>
      <c r="W238" s="27" t="s">
        <v>88</v>
      </c>
      <c r="X238" s="27">
        <v>0</v>
      </c>
      <c r="Y238" s="151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51" t="s">
        <v>83</v>
      </c>
      <c r="AF238" s="151" t="s">
        <v>83</v>
      </c>
      <c r="AG238" s="151" t="s">
        <v>83</v>
      </c>
      <c r="AH238" s="151" t="s">
        <v>83</v>
      </c>
      <c r="AI238" s="27">
        <v>1</v>
      </c>
      <c r="AJ238" s="27"/>
      <c r="AK238" s="27">
        <v>1</v>
      </c>
      <c r="AL238" s="27">
        <v>1</v>
      </c>
      <c r="AM238" s="151" t="s">
        <v>83</v>
      </c>
      <c r="AN238" s="27">
        <v>1</v>
      </c>
      <c r="AO238" s="27">
        <v>1</v>
      </c>
      <c r="AP238" s="27">
        <v>1</v>
      </c>
    </row>
    <row r="239" spans="1:42">
      <c r="A239" s="130"/>
      <c r="B239" s="27" t="str">
        <f>物品!B239</f>
        <v>IF17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32" t="str">
        <f t="shared" si="93"/>
        <v>附魔</v>
      </c>
      <c r="K239" s="132">
        <f t="shared" si="94"/>
        <v>0</v>
      </c>
      <c r="L239" s="27"/>
      <c r="M239" s="133">
        <f>VLOOKUP(LEFT(RIGHT(B239,5),4),物品!B:CU,20,FALSE)</f>
        <v>0</v>
      </c>
      <c r="N239" s="151" t="s">
        <v>83</v>
      </c>
      <c r="O239" s="133" t="s">
        <v>95</v>
      </c>
      <c r="P239" s="27">
        <v>0</v>
      </c>
      <c r="Q239" s="27">
        <v>0</v>
      </c>
      <c r="R239" s="151" t="s">
        <v>83</v>
      </c>
      <c r="S239" s="151" t="s">
        <v>83</v>
      </c>
      <c r="T239" s="151" t="s">
        <v>83</v>
      </c>
      <c r="U239" s="151" t="s">
        <v>83</v>
      </c>
      <c r="V239" s="27"/>
      <c r="W239" s="27" t="s">
        <v>88</v>
      </c>
      <c r="X239" s="27">
        <v>0</v>
      </c>
      <c r="Y239" s="151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51" t="s">
        <v>83</v>
      </c>
      <c r="AF239" s="151" t="s">
        <v>83</v>
      </c>
      <c r="AG239" s="151" t="s">
        <v>83</v>
      </c>
      <c r="AH239" s="151" t="s">
        <v>83</v>
      </c>
      <c r="AI239" s="27">
        <v>1</v>
      </c>
      <c r="AJ239" s="27"/>
      <c r="AK239" s="27">
        <v>1</v>
      </c>
      <c r="AL239" s="27">
        <v>1</v>
      </c>
      <c r="AM239" s="151" t="s">
        <v>83</v>
      </c>
      <c r="AN239" s="27">
        <v>1</v>
      </c>
      <c r="AO239" s="27">
        <v>1</v>
      </c>
      <c r="AP239" s="27">
        <v>1</v>
      </c>
    </row>
    <row r="240" spans="1:42">
      <c r="A240" s="130"/>
      <c r="B240" s="27" t="str">
        <f>物品!B240</f>
        <v>IF18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32" t="str">
        <f t="shared" si="93"/>
        <v>附魔</v>
      </c>
      <c r="K240" s="132">
        <f t="shared" si="94"/>
        <v>0</v>
      </c>
      <c r="L240" s="27"/>
      <c r="M240" s="133">
        <f>VLOOKUP(LEFT(RIGHT(B240,5),4),物品!B:CU,20,FALSE)</f>
        <v>0</v>
      </c>
      <c r="N240" s="151" t="s">
        <v>83</v>
      </c>
      <c r="O240" s="133" t="s">
        <v>95</v>
      </c>
      <c r="P240" s="27">
        <v>0</v>
      </c>
      <c r="Q240" s="27">
        <v>0</v>
      </c>
      <c r="R240" s="151" t="s">
        <v>83</v>
      </c>
      <c r="S240" s="151" t="s">
        <v>83</v>
      </c>
      <c r="T240" s="151" t="s">
        <v>83</v>
      </c>
      <c r="U240" s="151" t="s">
        <v>83</v>
      </c>
      <c r="V240" s="27"/>
      <c r="W240" s="27" t="s">
        <v>88</v>
      </c>
      <c r="X240" s="27">
        <v>0</v>
      </c>
      <c r="Y240" s="151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51" t="s">
        <v>83</v>
      </c>
      <c r="AF240" s="151" t="s">
        <v>83</v>
      </c>
      <c r="AG240" s="151" t="s">
        <v>83</v>
      </c>
      <c r="AH240" s="151" t="s">
        <v>83</v>
      </c>
      <c r="AI240" s="27">
        <v>1</v>
      </c>
      <c r="AJ240" s="27"/>
      <c r="AK240" s="27">
        <v>1</v>
      </c>
      <c r="AL240" s="27">
        <v>1</v>
      </c>
      <c r="AM240" s="151" t="s">
        <v>83</v>
      </c>
      <c r="AN240" s="27">
        <v>1</v>
      </c>
      <c r="AO240" s="27">
        <v>1</v>
      </c>
      <c r="AP240" s="27">
        <v>1</v>
      </c>
    </row>
    <row r="241" spans="1:42">
      <c r="A241" s="130"/>
      <c r="B241" s="27" t="str">
        <f>物品!B241</f>
        <v>IF19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32" t="str">
        <f t="shared" si="93"/>
        <v>附魔</v>
      </c>
      <c r="K241" s="132">
        <f t="shared" si="94"/>
        <v>0</v>
      </c>
      <c r="L241" s="27"/>
      <c r="M241" s="133">
        <f>VLOOKUP(LEFT(RIGHT(B241,5),4),物品!B:CU,20,FALSE)</f>
        <v>0</v>
      </c>
      <c r="N241" s="151" t="s">
        <v>83</v>
      </c>
      <c r="O241" s="133" t="s">
        <v>95</v>
      </c>
      <c r="P241" s="27">
        <v>0</v>
      </c>
      <c r="Q241" s="27">
        <v>0</v>
      </c>
      <c r="R241" s="151" t="s">
        <v>83</v>
      </c>
      <c r="S241" s="151" t="s">
        <v>83</v>
      </c>
      <c r="T241" s="151" t="s">
        <v>83</v>
      </c>
      <c r="U241" s="151" t="s">
        <v>83</v>
      </c>
      <c r="V241" s="27"/>
      <c r="W241" s="27" t="s">
        <v>88</v>
      </c>
      <c r="X241" s="27">
        <v>0</v>
      </c>
      <c r="Y241" s="151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51" t="s">
        <v>83</v>
      </c>
      <c r="AF241" s="151" t="s">
        <v>83</v>
      </c>
      <c r="AG241" s="151" t="s">
        <v>83</v>
      </c>
      <c r="AH241" s="151" t="s">
        <v>83</v>
      </c>
      <c r="AI241" s="27">
        <v>1</v>
      </c>
      <c r="AJ241" s="27"/>
      <c r="AK241" s="27">
        <v>1</v>
      </c>
      <c r="AL241" s="27">
        <v>1</v>
      </c>
      <c r="AM241" s="151" t="s">
        <v>83</v>
      </c>
      <c r="AN241" s="27">
        <v>1</v>
      </c>
      <c r="AO241" s="27">
        <v>1</v>
      </c>
      <c r="AP241" s="27">
        <v>1</v>
      </c>
    </row>
    <row r="242" spans="1:42">
      <c r="A242" s="130"/>
      <c r="B242" s="27" t="str">
        <f>物品!B242</f>
        <v>IF20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32" t="str">
        <f t="shared" si="93"/>
        <v>附魔</v>
      </c>
      <c r="K242" s="132">
        <f t="shared" si="94"/>
        <v>0</v>
      </c>
      <c r="L242" s="27"/>
      <c r="M242" s="133">
        <f>VLOOKUP(LEFT(RIGHT(B242,5),4),物品!B:CU,20,FALSE)</f>
        <v>0</v>
      </c>
      <c r="N242" s="151" t="s">
        <v>83</v>
      </c>
      <c r="O242" s="133" t="s">
        <v>95</v>
      </c>
      <c r="P242" s="27">
        <v>0</v>
      </c>
      <c r="Q242" s="27">
        <v>0</v>
      </c>
      <c r="R242" s="151" t="s">
        <v>83</v>
      </c>
      <c r="S242" s="151" t="s">
        <v>83</v>
      </c>
      <c r="T242" s="151" t="s">
        <v>83</v>
      </c>
      <c r="U242" s="151" t="s">
        <v>83</v>
      </c>
      <c r="V242" s="27"/>
      <c r="W242" s="27" t="s">
        <v>88</v>
      </c>
      <c r="X242" s="27">
        <v>0</v>
      </c>
      <c r="Y242" s="151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51" t="s">
        <v>83</v>
      </c>
      <c r="AF242" s="151" t="s">
        <v>83</v>
      </c>
      <c r="AG242" s="151" t="s">
        <v>83</v>
      </c>
      <c r="AH242" s="151" t="s">
        <v>83</v>
      </c>
      <c r="AI242" s="27">
        <v>1</v>
      </c>
      <c r="AJ242" s="27"/>
      <c r="AK242" s="27">
        <v>1</v>
      </c>
      <c r="AL242" s="27">
        <v>1</v>
      </c>
      <c r="AM242" s="151" t="s">
        <v>83</v>
      </c>
      <c r="AN242" s="27">
        <v>1</v>
      </c>
      <c r="AO242" s="27">
        <v>1</v>
      </c>
      <c r="AP242" s="27">
        <v>1</v>
      </c>
    </row>
    <row r="243" spans="1:42">
      <c r="A243" s="130"/>
      <c r="B243" s="27" t="str">
        <f>物品!B243</f>
        <v>IF21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32" t="str">
        <f t="shared" si="93"/>
        <v>附魔</v>
      </c>
      <c r="K243" s="132">
        <f t="shared" si="94"/>
        <v>0</v>
      </c>
      <c r="L243" s="27"/>
      <c r="M243" s="133">
        <f>VLOOKUP(LEFT(RIGHT(B243,5),4),物品!B:CU,20,FALSE)</f>
        <v>0</v>
      </c>
      <c r="N243" s="151" t="s">
        <v>83</v>
      </c>
      <c r="O243" s="133" t="s">
        <v>95</v>
      </c>
      <c r="P243" s="27">
        <v>0</v>
      </c>
      <c r="Q243" s="27">
        <v>0</v>
      </c>
      <c r="R243" s="151" t="s">
        <v>83</v>
      </c>
      <c r="S243" s="151" t="s">
        <v>83</v>
      </c>
      <c r="T243" s="151" t="s">
        <v>83</v>
      </c>
      <c r="U243" s="151" t="s">
        <v>83</v>
      </c>
      <c r="V243" s="27"/>
      <c r="W243" s="27" t="s">
        <v>88</v>
      </c>
      <c r="X243" s="27">
        <v>0</v>
      </c>
      <c r="Y243" s="151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51" t="s">
        <v>83</v>
      </c>
      <c r="AF243" s="151" t="s">
        <v>83</v>
      </c>
      <c r="AG243" s="151" t="s">
        <v>83</v>
      </c>
      <c r="AH243" s="151" t="s">
        <v>83</v>
      </c>
      <c r="AI243" s="27">
        <v>1</v>
      </c>
      <c r="AJ243" s="27"/>
      <c r="AK243" s="27">
        <v>1</v>
      </c>
      <c r="AL243" s="27">
        <v>1</v>
      </c>
      <c r="AM243" s="151" t="s">
        <v>83</v>
      </c>
      <c r="AN243" s="27">
        <v>1</v>
      </c>
      <c r="AO243" s="27">
        <v>1</v>
      </c>
      <c r="AP243" s="27">
        <v>1</v>
      </c>
    </row>
    <row r="244" spans="1:42">
      <c r="A244" s="130"/>
      <c r="B244" s="27" t="str">
        <f>物品!B244</f>
        <v>IF22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32" t="str">
        <f t="shared" si="93"/>
        <v>附魔</v>
      </c>
      <c r="K244" s="132">
        <f t="shared" si="94"/>
        <v>0</v>
      </c>
      <c r="L244" s="27"/>
      <c r="M244" s="133">
        <f>VLOOKUP(LEFT(RIGHT(B244,5),4),物品!B:CU,20,FALSE)</f>
        <v>0</v>
      </c>
      <c r="N244" s="151" t="s">
        <v>83</v>
      </c>
      <c r="O244" s="133" t="s">
        <v>95</v>
      </c>
      <c r="P244" s="27">
        <v>0</v>
      </c>
      <c r="Q244" s="27">
        <v>0</v>
      </c>
      <c r="R244" s="151" t="s">
        <v>83</v>
      </c>
      <c r="S244" s="151" t="s">
        <v>83</v>
      </c>
      <c r="T244" s="151" t="s">
        <v>83</v>
      </c>
      <c r="U244" s="151" t="s">
        <v>83</v>
      </c>
      <c r="V244" s="27"/>
      <c r="W244" s="27" t="s">
        <v>88</v>
      </c>
      <c r="X244" s="27">
        <v>0</v>
      </c>
      <c r="Y244" s="151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51" t="s">
        <v>83</v>
      </c>
      <c r="AF244" s="151" t="s">
        <v>83</v>
      </c>
      <c r="AG244" s="151" t="s">
        <v>83</v>
      </c>
      <c r="AH244" s="151" t="s">
        <v>83</v>
      </c>
      <c r="AI244" s="27">
        <v>1</v>
      </c>
      <c r="AJ244" s="27"/>
      <c r="AK244" s="27">
        <v>1</v>
      </c>
      <c r="AL244" s="27">
        <v>1</v>
      </c>
      <c r="AM244" s="151" t="s">
        <v>83</v>
      </c>
      <c r="AN244" s="27">
        <v>1</v>
      </c>
      <c r="AO244" s="27">
        <v>1</v>
      </c>
      <c r="AP244" s="27">
        <v>1</v>
      </c>
    </row>
    <row r="245" spans="1:42">
      <c r="A245" s="130"/>
      <c r="B245" s="27" t="str">
        <f>物品!B245</f>
        <v>IF23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32" t="str">
        <f t="shared" si="93"/>
        <v>附魔</v>
      </c>
      <c r="K245" s="132">
        <f t="shared" si="94"/>
        <v>0</v>
      </c>
      <c r="L245" s="27"/>
      <c r="M245" s="133">
        <f>VLOOKUP(LEFT(RIGHT(B245,5),4),物品!B:CU,20,FALSE)</f>
        <v>0</v>
      </c>
      <c r="N245" s="151" t="s">
        <v>83</v>
      </c>
      <c r="O245" s="133" t="s">
        <v>95</v>
      </c>
      <c r="P245" s="27">
        <v>0</v>
      </c>
      <c r="Q245" s="27">
        <v>0</v>
      </c>
      <c r="R245" s="151" t="s">
        <v>83</v>
      </c>
      <c r="S245" s="151" t="s">
        <v>83</v>
      </c>
      <c r="T245" s="151" t="s">
        <v>83</v>
      </c>
      <c r="U245" s="151" t="s">
        <v>83</v>
      </c>
      <c r="V245" s="27"/>
      <c r="W245" s="27" t="s">
        <v>88</v>
      </c>
      <c r="X245" s="27">
        <v>0</v>
      </c>
      <c r="Y245" s="151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51" t="s">
        <v>83</v>
      </c>
      <c r="AF245" s="151" t="s">
        <v>83</v>
      </c>
      <c r="AG245" s="151" t="s">
        <v>83</v>
      </c>
      <c r="AH245" s="151" t="s">
        <v>83</v>
      </c>
      <c r="AI245" s="27">
        <v>1</v>
      </c>
      <c r="AJ245" s="27"/>
      <c r="AK245" s="27">
        <v>1</v>
      </c>
      <c r="AL245" s="27">
        <v>1</v>
      </c>
      <c r="AM245" s="151" t="s">
        <v>83</v>
      </c>
      <c r="AN245" s="27">
        <v>1</v>
      </c>
      <c r="AO245" s="27">
        <v>1</v>
      </c>
      <c r="AP245" s="27">
        <v>1</v>
      </c>
    </row>
    <row r="246" spans="1:42">
      <c r="A246" s="130"/>
      <c r="B246" s="27" t="str">
        <f>物品!B246</f>
        <v>IF24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32" t="str">
        <f t="shared" si="93"/>
        <v>附魔</v>
      </c>
      <c r="K246" s="132">
        <f t="shared" si="94"/>
        <v>0</v>
      </c>
      <c r="L246" s="27"/>
      <c r="M246" s="133">
        <f>VLOOKUP(LEFT(RIGHT(B246,5),4),物品!B:CU,20,FALSE)</f>
        <v>0</v>
      </c>
      <c r="N246" s="151" t="s">
        <v>83</v>
      </c>
      <c r="O246" s="133" t="s">
        <v>95</v>
      </c>
      <c r="P246" s="27">
        <v>0</v>
      </c>
      <c r="Q246" s="27">
        <v>0</v>
      </c>
      <c r="R246" s="151" t="s">
        <v>83</v>
      </c>
      <c r="S246" s="151" t="s">
        <v>83</v>
      </c>
      <c r="T246" s="151" t="s">
        <v>83</v>
      </c>
      <c r="U246" s="151" t="s">
        <v>83</v>
      </c>
      <c r="V246" s="27"/>
      <c r="W246" s="27" t="s">
        <v>88</v>
      </c>
      <c r="X246" s="27">
        <v>0</v>
      </c>
      <c r="Y246" s="151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51" t="s">
        <v>83</v>
      </c>
      <c r="AF246" s="151" t="s">
        <v>83</v>
      </c>
      <c r="AG246" s="151" t="s">
        <v>83</v>
      </c>
      <c r="AH246" s="151" t="s">
        <v>83</v>
      </c>
      <c r="AI246" s="27">
        <v>1</v>
      </c>
      <c r="AJ246" s="27"/>
      <c r="AK246" s="27">
        <v>1</v>
      </c>
      <c r="AL246" s="27">
        <v>1</v>
      </c>
      <c r="AM246" s="151" t="s">
        <v>83</v>
      </c>
      <c r="AN246" s="27">
        <v>1</v>
      </c>
      <c r="AO246" s="27">
        <v>1</v>
      </c>
      <c r="AP246" s="27">
        <v>1</v>
      </c>
    </row>
    <row r="247" spans="1:42">
      <c r="A247" s="130"/>
      <c r="B247" s="27" t="str">
        <f>物品!B247</f>
        <v>IF25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32" t="str">
        <f t="shared" si="93"/>
        <v>附魔</v>
      </c>
      <c r="K247" s="132">
        <f t="shared" si="94"/>
        <v>0</v>
      </c>
      <c r="L247" s="27"/>
      <c r="M247" s="133">
        <f>VLOOKUP(LEFT(RIGHT(B247,5),4),物品!B:CU,20,FALSE)</f>
        <v>0</v>
      </c>
      <c r="N247" s="151" t="s">
        <v>83</v>
      </c>
      <c r="O247" s="133" t="s">
        <v>95</v>
      </c>
      <c r="P247" s="27">
        <v>0</v>
      </c>
      <c r="Q247" s="27">
        <v>0</v>
      </c>
      <c r="R247" s="151" t="s">
        <v>83</v>
      </c>
      <c r="S247" s="151" t="s">
        <v>83</v>
      </c>
      <c r="T247" s="151" t="s">
        <v>83</v>
      </c>
      <c r="U247" s="151" t="s">
        <v>83</v>
      </c>
      <c r="V247" s="27"/>
      <c r="W247" s="27" t="s">
        <v>88</v>
      </c>
      <c r="X247" s="27">
        <v>0</v>
      </c>
      <c r="Y247" s="151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51" t="s">
        <v>83</v>
      </c>
      <c r="AF247" s="151" t="s">
        <v>83</v>
      </c>
      <c r="AG247" s="151" t="s">
        <v>83</v>
      </c>
      <c r="AH247" s="151" t="s">
        <v>83</v>
      </c>
      <c r="AI247" s="27">
        <v>1</v>
      </c>
      <c r="AJ247" s="27"/>
      <c r="AK247" s="27">
        <v>1</v>
      </c>
      <c r="AL247" s="27">
        <v>1</v>
      </c>
      <c r="AM247" s="151" t="s">
        <v>83</v>
      </c>
      <c r="AN247" s="27">
        <v>1</v>
      </c>
      <c r="AO247" s="27">
        <v>1</v>
      </c>
      <c r="AP247" s="27">
        <v>1</v>
      </c>
    </row>
    <row r="248" spans="1:42">
      <c r="A248" s="130"/>
      <c r="B248" s="27" t="str">
        <f>物品!B248</f>
        <v>IF26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32" t="str">
        <f t="shared" si="93"/>
        <v>附魔</v>
      </c>
      <c r="K248" s="132">
        <f t="shared" si="94"/>
        <v>0</v>
      </c>
      <c r="L248" s="27"/>
      <c r="M248" s="133">
        <f>VLOOKUP(LEFT(RIGHT(B248,5),4),物品!B:CU,20,FALSE)</f>
        <v>0</v>
      </c>
      <c r="N248" s="151" t="s">
        <v>83</v>
      </c>
      <c r="O248" s="133" t="s">
        <v>95</v>
      </c>
      <c r="P248" s="27">
        <v>0</v>
      </c>
      <c r="Q248" s="27">
        <v>0</v>
      </c>
      <c r="R248" s="151" t="s">
        <v>83</v>
      </c>
      <c r="S248" s="151" t="s">
        <v>83</v>
      </c>
      <c r="T248" s="151" t="s">
        <v>83</v>
      </c>
      <c r="U248" s="151" t="s">
        <v>83</v>
      </c>
      <c r="V248" s="27"/>
      <c r="W248" s="27" t="s">
        <v>88</v>
      </c>
      <c r="X248" s="27">
        <v>0</v>
      </c>
      <c r="Y248" s="151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51" t="s">
        <v>83</v>
      </c>
      <c r="AF248" s="151" t="s">
        <v>83</v>
      </c>
      <c r="AG248" s="151" t="s">
        <v>83</v>
      </c>
      <c r="AH248" s="151" t="s">
        <v>83</v>
      </c>
      <c r="AI248" s="27">
        <v>1</v>
      </c>
      <c r="AJ248" s="27"/>
      <c r="AK248" s="27">
        <v>1</v>
      </c>
      <c r="AL248" s="27">
        <v>1</v>
      </c>
      <c r="AM248" s="151" t="s">
        <v>83</v>
      </c>
      <c r="AN248" s="27">
        <v>1</v>
      </c>
      <c r="AO248" s="27">
        <v>1</v>
      </c>
      <c r="AP248" s="27">
        <v>1</v>
      </c>
    </row>
    <row r="249" spans="1:42">
      <c r="A249" s="130"/>
      <c r="B249" s="27" t="str">
        <f>物品!B249</f>
        <v>IF27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32" t="str">
        <f t="shared" si="93"/>
        <v>附魔</v>
      </c>
      <c r="K249" s="132">
        <f t="shared" si="94"/>
        <v>0</v>
      </c>
      <c r="L249" s="27"/>
      <c r="M249" s="133">
        <f>VLOOKUP(LEFT(RIGHT(B249,5),4),物品!B:CU,20,FALSE)</f>
        <v>0</v>
      </c>
      <c r="N249" s="151" t="s">
        <v>83</v>
      </c>
      <c r="O249" s="133" t="s">
        <v>95</v>
      </c>
      <c r="P249" s="27">
        <v>0</v>
      </c>
      <c r="Q249" s="27">
        <v>0</v>
      </c>
      <c r="R249" s="151" t="s">
        <v>83</v>
      </c>
      <c r="S249" s="151" t="s">
        <v>83</v>
      </c>
      <c r="T249" s="151" t="s">
        <v>83</v>
      </c>
      <c r="U249" s="151" t="s">
        <v>83</v>
      </c>
      <c r="V249" s="27"/>
      <c r="W249" s="27" t="s">
        <v>88</v>
      </c>
      <c r="X249" s="27">
        <v>0</v>
      </c>
      <c r="Y249" s="151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51" t="s">
        <v>83</v>
      </c>
      <c r="AF249" s="151" t="s">
        <v>83</v>
      </c>
      <c r="AG249" s="151" t="s">
        <v>83</v>
      </c>
      <c r="AH249" s="151" t="s">
        <v>83</v>
      </c>
      <c r="AI249" s="27">
        <v>1</v>
      </c>
      <c r="AJ249" s="27"/>
      <c r="AK249" s="27">
        <v>1</v>
      </c>
      <c r="AL249" s="27">
        <v>1</v>
      </c>
      <c r="AM249" s="151" t="s">
        <v>83</v>
      </c>
      <c r="AN249" s="27">
        <v>1</v>
      </c>
      <c r="AO249" s="27">
        <v>1</v>
      </c>
      <c r="AP249" s="27">
        <v>1</v>
      </c>
    </row>
    <row r="250" spans="1:42">
      <c r="A250" s="130"/>
      <c r="B250" s="27" t="str">
        <f>物品!B250</f>
        <v>IF28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32" t="str">
        <f t="shared" ref="J250:J252" si="95">H250</f>
        <v>附魔</v>
      </c>
      <c r="K250" s="132">
        <f t="shared" ref="K250:K252" si="96">I250</f>
        <v>0</v>
      </c>
      <c r="L250" s="27"/>
      <c r="M250" s="133">
        <f>VLOOKUP(LEFT(RIGHT(B250,5),4),物品!B:CU,20,FALSE)</f>
        <v>0</v>
      </c>
      <c r="N250" s="151" t="s">
        <v>83</v>
      </c>
      <c r="O250" s="133" t="s">
        <v>95</v>
      </c>
      <c r="P250" s="27">
        <v>0</v>
      </c>
      <c r="Q250" s="27">
        <v>0</v>
      </c>
      <c r="R250" s="151" t="s">
        <v>83</v>
      </c>
      <c r="S250" s="151" t="s">
        <v>83</v>
      </c>
      <c r="T250" s="151" t="s">
        <v>83</v>
      </c>
      <c r="U250" s="151" t="s">
        <v>83</v>
      </c>
      <c r="V250" s="27"/>
      <c r="W250" s="27" t="s">
        <v>88</v>
      </c>
      <c r="X250" s="27">
        <v>0</v>
      </c>
      <c r="Y250" s="151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51" t="s">
        <v>83</v>
      </c>
      <c r="AF250" s="151" t="s">
        <v>83</v>
      </c>
      <c r="AG250" s="151" t="s">
        <v>83</v>
      </c>
      <c r="AH250" s="151" t="s">
        <v>83</v>
      </c>
      <c r="AI250" s="27">
        <v>1</v>
      </c>
      <c r="AJ250" s="27"/>
      <c r="AK250" s="27">
        <v>1</v>
      </c>
      <c r="AL250" s="27">
        <v>1</v>
      </c>
      <c r="AM250" s="151" t="s">
        <v>83</v>
      </c>
      <c r="AN250" s="27">
        <v>1</v>
      </c>
      <c r="AO250" s="27">
        <v>1</v>
      </c>
      <c r="AP250" s="27">
        <v>1</v>
      </c>
    </row>
    <row r="251" spans="1:42">
      <c r="A251" s="130"/>
      <c r="B251" s="27" t="str">
        <f>物品!B251</f>
        <v>IF29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32" t="str">
        <f t="shared" si="95"/>
        <v>附魔</v>
      </c>
      <c r="K251" s="132">
        <f t="shared" si="96"/>
        <v>0</v>
      </c>
      <c r="L251" s="27"/>
      <c r="M251" s="133">
        <f>VLOOKUP(LEFT(RIGHT(B251,5),4),物品!B:CU,20,FALSE)</f>
        <v>0</v>
      </c>
      <c r="N251" s="151" t="s">
        <v>83</v>
      </c>
      <c r="O251" s="133" t="s">
        <v>95</v>
      </c>
      <c r="P251" s="27">
        <v>0</v>
      </c>
      <c r="Q251" s="27">
        <v>0</v>
      </c>
      <c r="R251" s="151" t="s">
        <v>83</v>
      </c>
      <c r="S251" s="151" t="s">
        <v>83</v>
      </c>
      <c r="T251" s="151" t="s">
        <v>83</v>
      </c>
      <c r="U251" s="151" t="s">
        <v>83</v>
      </c>
      <c r="V251" s="27"/>
      <c r="W251" s="27" t="s">
        <v>88</v>
      </c>
      <c r="X251" s="27">
        <v>0</v>
      </c>
      <c r="Y251" s="151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51" t="s">
        <v>83</v>
      </c>
      <c r="AF251" s="151" t="s">
        <v>83</v>
      </c>
      <c r="AG251" s="151" t="s">
        <v>83</v>
      </c>
      <c r="AH251" s="151" t="s">
        <v>83</v>
      </c>
      <c r="AI251" s="27">
        <v>1</v>
      </c>
      <c r="AJ251" s="27"/>
      <c r="AK251" s="27">
        <v>1</v>
      </c>
      <c r="AL251" s="27">
        <v>1</v>
      </c>
      <c r="AM251" s="151" t="s">
        <v>83</v>
      </c>
      <c r="AN251" s="27">
        <v>1</v>
      </c>
      <c r="AO251" s="27">
        <v>1</v>
      </c>
      <c r="AP251" s="27">
        <v>1</v>
      </c>
    </row>
    <row r="252" spans="1:42">
      <c r="A252" s="130"/>
      <c r="B252" s="27" t="str">
        <f>物品!B252</f>
        <v>IF30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32" t="str">
        <f t="shared" si="95"/>
        <v>附魔</v>
      </c>
      <c r="K252" s="132">
        <f t="shared" si="96"/>
        <v>0</v>
      </c>
      <c r="L252" s="27"/>
      <c r="M252" s="133">
        <f>VLOOKUP(LEFT(RIGHT(B252,5),4),物品!B:CU,20,FALSE)</f>
        <v>0</v>
      </c>
      <c r="N252" s="151" t="s">
        <v>83</v>
      </c>
      <c r="O252" s="133" t="s">
        <v>95</v>
      </c>
      <c r="P252" s="27">
        <v>0</v>
      </c>
      <c r="Q252" s="27">
        <v>0</v>
      </c>
      <c r="R252" s="151" t="s">
        <v>83</v>
      </c>
      <c r="S252" s="151" t="s">
        <v>83</v>
      </c>
      <c r="T252" s="151" t="s">
        <v>83</v>
      </c>
      <c r="U252" s="151" t="s">
        <v>83</v>
      </c>
      <c r="V252" s="27"/>
      <c r="W252" s="27" t="s">
        <v>88</v>
      </c>
      <c r="X252" s="27">
        <v>0</v>
      </c>
      <c r="Y252" s="151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51" t="s">
        <v>83</v>
      </c>
      <c r="AF252" s="151" t="s">
        <v>83</v>
      </c>
      <c r="AG252" s="151" t="s">
        <v>83</v>
      </c>
      <c r="AH252" s="151" t="s">
        <v>83</v>
      </c>
      <c r="AI252" s="27">
        <v>1</v>
      </c>
      <c r="AJ252" s="27"/>
      <c r="AK252" s="27">
        <v>1</v>
      </c>
      <c r="AL252" s="27">
        <v>1</v>
      </c>
      <c r="AM252" s="151" t="s">
        <v>83</v>
      </c>
      <c r="AN252" s="27">
        <v>1</v>
      </c>
      <c r="AO252" s="27">
        <v>1</v>
      </c>
      <c r="AP252" s="27">
        <v>1</v>
      </c>
    </row>
    <row r="253" spans="1:42">
      <c r="A253" s="130"/>
      <c r="B253" s="27" t="str">
        <f>物品!B253</f>
        <v>IF31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32" t="str">
        <f t="shared" ref="J253:J266" si="97">H253</f>
        <v>附魔</v>
      </c>
      <c r="K253" s="132">
        <f t="shared" ref="K253:K266" si="98">I253</f>
        <v>0</v>
      </c>
      <c r="L253" s="27"/>
      <c r="M253" s="133">
        <f>VLOOKUP(LEFT(RIGHT(B253,5),4),物品!B:CU,20,FALSE)</f>
        <v>0</v>
      </c>
      <c r="N253" s="151" t="s">
        <v>83</v>
      </c>
      <c r="O253" s="133" t="s">
        <v>95</v>
      </c>
      <c r="P253" s="27">
        <v>0</v>
      </c>
      <c r="Q253" s="27">
        <v>0</v>
      </c>
      <c r="R253" s="151" t="s">
        <v>83</v>
      </c>
      <c r="S253" s="151" t="s">
        <v>83</v>
      </c>
      <c r="T253" s="151" t="s">
        <v>83</v>
      </c>
      <c r="U253" s="151" t="s">
        <v>83</v>
      </c>
      <c r="V253" s="27"/>
      <c r="W253" s="27" t="s">
        <v>88</v>
      </c>
      <c r="X253" s="27">
        <v>0</v>
      </c>
      <c r="Y253" s="151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51" t="s">
        <v>83</v>
      </c>
      <c r="AF253" s="151" t="s">
        <v>83</v>
      </c>
      <c r="AG253" s="151" t="s">
        <v>83</v>
      </c>
      <c r="AH253" s="151" t="s">
        <v>83</v>
      </c>
      <c r="AI253" s="27">
        <v>1</v>
      </c>
      <c r="AJ253" s="27"/>
      <c r="AK253" s="27">
        <v>1</v>
      </c>
      <c r="AL253" s="27">
        <v>1</v>
      </c>
      <c r="AM253" s="151" t="s">
        <v>83</v>
      </c>
      <c r="AN253" s="27">
        <v>1</v>
      </c>
      <c r="AO253" s="27">
        <v>1</v>
      </c>
      <c r="AP253" s="27">
        <v>1</v>
      </c>
    </row>
    <row r="254" spans="1:42">
      <c r="A254" s="130"/>
      <c r="B254" s="27" t="str">
        <f>物品!B254</f>
        <v>IF32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32" t="str">
        <f t="shared" ref="J254" si="99">H254</f>
        <v>附魔</v>
      </c>
      <c r="K254" s="132">
        <f t="shared" ref="K254" si="100">I254</f>
        <v>0</v>
      </c>
      <c r="L254" s="27"/>
      <c r="M254" s="133">
        <f>VLOOKUP(LEFT(RIGHT(B254,5),4),物品!B:CU,20,FALSE)</f>
        <v>0</v>
      </c>
      <c r="N254" s="151" t="s">
        <v>83</v>
      </c>
      <c r="O254" s="133" t="s">
        <v>95</v>
      </c>
      <c r="P254" s="27">
        <v>0</v>
      </c>
      <c r="Q254" s="27">
        <v>0</v>
      </c>
      <c r="R254" s="151" t="s">
        <v>83</v>
      </c>
      <c r="S254" s="151" t="s">
        <v>83</v>
      </c>
      <c r="T254" s="151" t="s">
        <v>83</v>
      </c>
      <c r="U254" s="151" t="s">
        <v>83</v>
      </c>
      <c r="V254" s="27"/>
      <c r="W254" s="27" t="s">
        <v>88</v>
      </c>
      <c r="X254" s="27">
        <v>0</v>
      </c>
      <c r="Y254" s="151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51" t="s">
        <v>83</v>
      </c>
      <c r="AF254" s="151" t="s">
        <v>83</v>
      </c>
      <c r="AG254" s="151" t="s">
        <v>83</v>
      </c>
      <c r="AH254" s="151" t="s">
        <v>83</v>
      </c>
      <c r="AI254" s="27">
        <v>1</v>
      </c>
      <c r="AJ254" s="27"/>
      <c r="AK254" s="27">
        <v>1</v>
      </c>
      <c r="AL254" s="27">
        <v>1</v>
      </c>
      <c r="AM254" s="151" t="s">
        <v>83</v>
      </c>
      <c r="AN254" s="27">
        <v>1</v>
      </c>
      <c r="AO254" s="27">
        <v>1</v>
      </c>
      <c r="AP254" s="27">
        <v>1</v>
      </c>
    </row>
    <row r="255" spans="1:42">
      <c r="A255" s="130"/>
      <c r="B255" s="27" t="str">
        <f>物品!B255</f>
        <v>IC00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没抽到任何东西</v>
      </c>
      <c r="I255" s="27">
        <f>VLOOKUP(B255,物品!B:CV,99,FALSE)</f>
        <v>0</v>
      </c>
      <c r="J255" s="132" t="str">
        <f t="shared" ref="J255" si="101">H255</f>
        <v>没抽到任何东西</v>
      </c>
      <c r="K255" s="132">
        <f t="shared" ref="K255" si="102">I255</f>
        <v>0</v>
      </c>
      <c r="L255" s="27"/>
      <c r="M255" s="133">
        <f>VLOOKUP(LEFT(RIGHT(B255,5),4),物品!B:CU,20,FALSE)</f>
        <v>0</v>
      </c>
      <c r="N255" s="151" t="s">
        <v>83</v>
      </c>
      <c r="O255" s="133" t="s">
        <v>95</v>
      </c>
      <c r="P255" s="27">
        <v>0</v>
      </c>
      <c r="Q255" s="27">
        <v>0</v>
      </c>
      <c r="R255" s="151" t="s">
        <v>83</v>
      </c>
      <c r="S255" s="151" t="s">
        <v>83</v>
      </c>
      <c r="T255" s="151" t="s">
        <v>83</v>
      </c>
      <c r="U255" s="151" t="s">
        <v>83</v>
      </c>
      <c r="V255" s="27"/>
      <c r="W255" s="27" t="s">
        <v>88</v>
      </c>
      <c r="X255" s="27">
        <v>0</v>
      </c>
      <c r="Y255" s="151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51" t="s">
        <v>83</v>
      </c>
      <c r="AF255" s="151" t="s">
        <v>83</v>
      </c>
      <c r="AG255" s="151" t="s">
        <v>83</v>
      </c>
      <c r="AH255" s="151" t="s">
        <v>83</v>
      </c>
      <c r="AI255" s="27">
        <v>1</v>
      </c>
      <c r="AJ255" s="27"/>
      <c r="AK255" s="27">
        <v>1</v>
      </c>
      <c r="AL255" s="27">
        <v>1</v>
      </c>
      <c r="AM255" s="151" t="s">
        <v>83</v>
      </c>
      <c r="AN255" s="27">
        <v>1</v>
      </c>
      <c r="AO255" s="27">
        <v>1</v>
      </c>
      <c r="AP255" s="27">
        <v>1</v>
      </c>
    </row>
    <row r="256" spans="1:42">
      <c r="A256" s="130"/>
      <c r="B256" s="27" t="str">
        <f>物品!B256</f>
        <v>IC01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玄铁</v>
      </c>
      <c r="I256" s="27">
        <f>VLOOKUP(B256,物品!B:CV,99,FALSE)</f>
        <v>0</v>
      </c>
      <c r="J256" s="132" t="str">
        <f t="shared" si="97"/>
        <v>玄铁</v>
      </c>
      <c r="K256" s="132">
        <f t="shared" si="98"/>
        <v>0</v>
      </c>
      <c r="L256" s="27"/>
      <c r="M256" s="133">
        <f>VLOOKUP(LEFT(RIGHT(B256,5),4),物品!B:CU,20,FALSE)</f>
        <v>0</v>
      </c>
      <c r="N256" s="151" t="s">
        <v>83</v>
      </c>
      <c r="O256" s="133" t="s">
        <v>95</v>
      </c>
      <c r="P256" s="27">
        <v>0</v>
      </c>
      <c r="Q256" s="27">
        <v>0</v>
      </c>
      <c r="R256" s="151" t="s">
        <v>83</v>
      </c>
      <c r="S256" s="151" t="s">
        <v>83</v>
      </c>
      <c r="T256" s="151" t="s">
        <v>83</v>
      </c>
      <c r="U256" s="151" t="s">
        <v>83</v>
      </c>
      <c r="V256" s="27"/>
      <c r="W256" s="27" t="s">
        <v>88</v>
      </c>
      <c r="X256" s="27">
        <v>0</v>
      </c>
      <c r="Y256" s="151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51" t="s">
        <v>83</v>
      </c>
      <c r="AF256" s="151" t="s">
        <v>83</v>
      </c>
      <c r="AG256" s="151" t="s">
        <v>83</v>
      </c>
      <c r="AH256" s="151" t="s">
        <v>83</v>
      </c>
      <c r="AI256" s="27">
        <v>1</v>
      </c>
      <c r="AJ256" s="27"/>
      <c r="AK256" s="27">
        <v>1</v>
      </c>
      <c r="AL256" s="27">
        <v>1</v>
      </c>
      <c r="AM256" s="151" t="s">
        <v>83</v>
      </c>
      <c r="AN256" s="27">
        <v>1</v>
      </c>
      <c r="AO256" s="27">
        <v>1</v>
      </c>
      <c r="AP256" s="27">
        <v>1</v>
      </c>
    </row>
    <row r="257" spans="1:42">
      <c r="A257" s="130"/>
      <c r="B257" s="27" t="str">
        <f>物品!B257</f>
        <v>IC02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杀敌数</v>
      </c>
      <c r="I257" s="27">
        <f>VLOOKUP(B257,物品!B:CV,99,FALSE)</f>
        <v>0</v>
      </c>
      <c r="J257" s="132" t="str">
        <f t="shared" si="97"/>
        <v>杀敌数</v>
      </c>
      <c r="K257" s="132">
        <f t="shared" si="98"/>
        <v>0</v>
      </c>
      <c r="L257" s="27"/>
      <c r="M257" s="133">
        <f>VLOOKUP(LEFT(RIGHT(B257,5),4),物品!B:CU,20,FALSE)</f>
        <v>0</v>
      </c>
      <c r="N257" s="151" t="s">
        <v>83</v>
      </c>
      <c r="O257" s="133" t="s">
        <v>95</v>
      </c>
      <c r="P257" s="27">
        <v>0</v>
      </c>
      <c r="Q257" s="27">
        <v>0</v>
      </c>
      <c r="R257" s="151" t="s">
        <v>83</v>
      </c>
      <c r="S257" s="151" t="s">
        <v>83</v>
      </c>
      <c r="T257" s="151" t="s">
        <v>83</v>
      </c>
      <c r="U257" s="151" t="s">
        <v>83</v>
      </c>
      <c r="V257" s="27"/>
      <c r="W257" s="27" t="s">
        <v>88</v>
      </c>
      <c r="X257" s="27">
        <v>0</v>
      </c>
      <c r="Y257" s="151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51" t="s">
        <v>83</v>
      </c>
      <c r="AF257" s="151" t="s">
        <v>83</v>
      </c>
      <c r="AG257" s="151" t="s">
        <v>83</v>
      </c>
      <c r="AH257" s="151" t="s">
        <v>83</v>
      </c>
      <c r="AI257" s="27">
        <v>1</v>
      </c>
      <c r="AJ257" s="27"/>
      <c r="AK257" s="27">
        <v>1</v>
      </c>
      <c r="AL257" s="27">
        <v>1</v>
      </c>
      <c r="AM257" s="151" t="s">
        <v>83</v>
      </c>
      <c r="AN257" s="27">
        <v>1</v>
      </c>
      <c r="AO257" s="27">
        <v>1</v>
      </c>
      <c r="AP257" s="27">
        <v>1</v>
      </c>
    </row>
    <row r="258" spans="1:42">
      <c r="A258" s="130"/>
      <c r="B258" s="27" t="str">
        <f>物品!B258</f>
        <v>IC03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攻击力低</v>
      </c>
      <c r="I258" s="27">
        <f>VLOOKUP(B258,物品!B:CV,99,FALSE)</f>
        <v>0</v>
      </c>
      <c r="J258" s="132" t="str">
        <f t="shared" si="97"/>
        <v>攻击力低</v>
      </c>
      <c r="K258" s="132">
        <f t="shared" si="98"/>
        <v>0</v>
      </c>
      <c r="L258" s="27"/>
      <c r="M258" s="133">
        <f>VLOOKUP(LEFT(RIGHT(B258,5),4),物品!B:CU,20,FALSE)</f>
        <v>0</v>
      </c>
      <c r="N258" s="151" t="s">
        <v>83</v>
      </c>
      <c r="O258" s="133" t="s">
        <v>95</v>
      </c>
      <c r="P258" s="27">
        <v>0</v>
      </c>
      <c r="Q258" s="27">
        <v>0</v>
      </c>
      <c r="R258" s="151" t="s">
        <v>83</v>
      </c>
      <c r="S258" s="151" t="s">
        <v>83</v>
      </c>
      <c r="T258" s="151" t="s">
        <v>83</v>
      </c>
      <c r="U258" s="151" t="s">
        <v>83</v>
      </c>
      <c r="V258" s="27"/>
      <c r="W258" s="27" t="s">
        <v>88</v>
      </c>
      <c r="X258" s="27">
        <v>0</v>
      </c>
      <c r="Y258" s="151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51" t="s">
        <v>83</v>
      </c>
      <c r="AF258" s="151" t="s">
        <v>83</v>
      </c>
      <c r="AG258" s="151" t="s">
        <v>83</v>
      </c>
      <c r="AH258" s="151" t="s">
        <v>83</v>
      </c>
      <c r="AI258" s="27">
        <v>1</v>
      </c>
      <c r="AJ258" s="27"/>
      <c r="AK258" s="27">
        <v>1</v>
      </c>
      <c r="AL258" s="27">
        <v>1</v>
      </c>
      <c r="AM258" s="151" t="s">
        <v>83</v>
      </c>
      <c r="AN258" s="27">
        <v>1</v>
      </c>
      <c r="AO258" s="27">
        <v>1</v>
      </c>
      <c r="AP258" s="27">
        <v>1</v>
      </c>
    </row>
    <row r="259" spans="1:42">
      <c r="A259" s="130"/>
      <c r="B259" s="27" t="str">
        <f>物品!B259</f>
        <v>IC04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攻击力中</v>
      </c>
      <c r="I259" s="27">
        <f>VLOOKUP(B259,物品!B:CV,99,FALSE)</f>
        <v>0</v>
      </c>
      <c r="J259" s="132" t="str">
        <f t="shared" si="97"/>
        <v>攻击力中</v>
      </c>
      <c r="K259" s="132">
        <f t="shared" si="98"/>
        <v>0</v>
      </c>
      <c r="L259" s="27"/>
      <c r="M259" s="133">
        <f>VLOOKUP(LEFT(RIGHT(B259,5),4),物品!B:CU,20,FALSE)</f>
        <v>0</v>
      </c>
      <c r="N259" s="151" t="s">
        <v>83</v>
      </c>
      <c r="O259" s="133" t="s">
        <v>95</v>
      </c>
      <c r="P259" s="27">
        <v>0</v>
      </c>
      <c r="Q259" s="27">
        <v>0</v>
      </c>
      <c r="R259" s="151" t="s">
        <v>83</v>
      </c>
      <c r="S259" s="151" t="s">
        <v>83</v>
      </c>
      <c r="T259" s="151" t="s">
        <v>83</v>
      </c>
      <c r="U259" s="151" t="s">
        <v>83</v>
      </c>
      <c r="V259" s="27"/>
      <c r="W259" s="27" t="s">
        <v>88</v>
      </c>
      <c r="X259" s="27">
        <v>0</v>
      </c>
      <c r="Y259" s="151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51" t="s">
        <v>83</v>
      </c>
      <c r="AF259" s="151" t="s">
        <v>83</v>
      </c>
      <c r="AG259" s="151" t="s">
        <v>83</v>
      </c>
      <c r="AH259" s="151" t="s">
        <v>83</v>
      </c>
      <c r="AI259" s="27">
        <v>1</v>
      </c>
      <c r="AJ259" s="27"/>
      <c r="AK259" s="27">
        <v>1</v>
      </c>
      <c r="AL259" s="27">
        <v>1</v>
      </c>
      <c r="AM259" s="151" t="s">
        <v>83</v>
      </c>
      <c r="AN259" s="27">
        <v>1</v>
      </c>
      <c r="AO259" s="27">
        <v>1</v>
      </c>
      <c r="AP259" s="27">
        <v>1</v>
      </c>
    </row>
    <row r="260" spans="1:42">
      <c r="A260" s="130"/>
      <c r="B260" s="27" t="str">
        <f>物品!B260</f>
        <v>IC05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攻击力高</v>
      </c>
      <c r="I260" s="27">
        <f>VLOOKUP(B260,物品!B:CV,99,FALSE)</f>
        <v>0</v>
      </c>
      <c r="J260" s="132" t="str">
        <f t="shared" si="97"/>
        <v>攻击力高</v>
      </c>
      <c r="K260" s="132">
        <f t="shared" si="98"/>
        <v>0</v>
      </c>
      <c r="L260" s="27"/>
      <c r="M260" s="133">
        <f>VLOOKUP(LEFT(RIGHT(B260,5),4),物品!B:CU,20,FALSE)</f>
        <v>0</v>
      </c>
      <c r="N260" s="151" t="s">
        <v>83</v>
      </c>
      <c r="O260" s="133" t="s">
        <v>95</v>
      </c>
      <c r="P260" s="27">
        <v>0</v>
      </c>
      <c r="Q260" s="27">
        <v>0</v>
      </c>
      <c r="R260" s="151" t="s">
        <v>83</v>
      </c>
      <c r="S260" s="151" t="s">
        <v>83</v>
      </c>
      <c r="T260" s="151" t="s">
        <v>83</v>
      </c>
      <c r="U260" s="151" t="s">
        <v>83</v>
      </c>
      <c r="V260" s="27"/>
      <c r="W260" s="27" t="s">
        <v>88</v>
      </c>
      <c r="X260" s="27">
        <v>0</v>
      </c>
      <c r="Y260" s="151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51" t="s">
        <v>83</v>
      </c>
      <c r="AF260" s="151" t="s">
        <v>83</v>
      </c>
      <c r="AG260" s="151" t="s">
        <v>83</v>
      </c>
      <c r="AH260" s="151" t="s">
        <v>83</v>
      </c>
      <c r="AI260" s="27">
        <v>1</v>
      </c>
      <c r="AJ260" s="27"/>
      <c r="AK260" s="27">
        <v>1</v>
      </c>
      <c r="AL260" s="27">
        <v>1</v>
      </c>
      <c r="AM260" s="151" t="s">
        <v>83</v>
      </c>
      <c r="AN260" s="27">
        <v>1</v>
      </c>
      <c r="AO260" s="27">
        <v>1</v>
      </c>
      <c r="AP260" s="27">
        <v>1</v>
      </c>
    </row>
    <row r="261" spans="1:42">
      <c r="A261" s="130"/>
      <c r="B261" s="27" t="str">
        <f>物品!B261</f>
        <v>IC06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生命值低</v>
      </c>
      <c r="I261" s="27">
        <f>VLOOKUP(B261,物品!B:CV,99,FALSE)</f>
        <v>0</v>
      </c>
      <c r="J261" s="132" t="str">
        <f t="shared" si="97"/>
        <v>生命值低</v>
      </c>
      <c r="K261" s="132">
        <f t="shared" si="98"/>
        <v>0</v>
      </c>
      <c r="L261" s="27"/>
      <c r="M261" s="133">
        <f>VLOOKUP(LEFT(RIGHT(B261,5),4),物品!B:CU,20,FALSE)</f>
        <v>0</v>
      </c>
      <c r="N261" s="151" t="s">
        <v>83</v>
      </c>
      <c r="O261" s="133" t="s">
        <v>95</v>
      </c>
      <c r="P261" s="27">
        <v>0</v>
      </c>
      <c r="Q261" s="27">
        <v>0</v>
      </c>
      <c r="R261" s="151" t="s">
        <v>83</v>
      </c>
      <c r="S261" s="151" t="s">
        <v>83</v>
      </c>
      <c r="T261" s="151" t="s">
        <v>83</v>
      </c>
      <c r="U261" s="151" t="s">
        <v>83</v>
      </c>
      <c r="V261" s="27"/>
      <c r="W261" s="27" t="s">
        <v>88</v>
      </c>
      <c r="X261" s="27">
        <v>0</v>
      </c>
      <c r="Y261" s="151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51" t="s">
        <v>83</v>
      </c>
      <c r="AF261" s="151" t="s">
        <v>83</v>
      </c>
      <c r="AG261" s="151" t="s">
        <v>83</v>
      </c>
      <c r="AH261" s="151" t="s">
        <v>83</v>
      </c>
      <c r="AI261" s="27">
        <v>1</v>
      </c>
      <c r="AJ261" s="27"/>
      <c r="AK261" s="27">
        <v>1</v>
      </c>
      <c r="AL261" s="27">
        <v>1</v>
      </c>
      <c r="AM261" s="151" t="s">
        <v>83</v>
      </c>
      <c r="AN261" s="27">
        <v>1</v>
      </c>
      <c r="AO261" s="27">
        <v>1</v>
      </c>
      <c r="AP261" s="27">
        <v>1</v>
      </c>
    </row>
    <row r="262" spans="1:42">
      <c r="A262" s="130"/>
      <c r="B262" s="27" t="str">
        <f>物品!B262</f>
        <v>IC07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生命值中</v>
      </c>
      <c r="I262" s="27">
        <f>VLOOKUP(B262,物品!B:CV,99,FALSE)</f>
        <v>0</v>
      </c>
      <c r="J262" s="132" t="str">
        <f t="shared" si="97"/>
        <v>生命值中</v>
      </c>
      <c r="K262" s="132">
        <f t="shared" si="98"/>
        <v>0</v>
      </c>
      <c r="L262" s="27"/>
      <c r="M262" s="133">
        <f>VLOOKUP(LEFT(RIGHT(B262,5),4),物品!B:CU,20,FALSE)</f>
        <v>0</v>
      </c>
      <c r="N262" s="151" t="s">
        <v>83</v>
      </c>
      <c r="O262" s="133" t="s">
        <v>95</v>
      </c>
      <c r="P262" s="27">
        <v>0</v>
      </c>
      <c r="Q262" s="27">
        <v>0</v>
      </c>
      <c r="R262" s="151" t="s">
        <v>83</v>
      </c>
      <c r="S262" s="151" t="s">
        <v>83</v>
      </c>
      <c r="T262" s="151" t="s">
        <v>83</v>
      </c>
      <c r="U262" s="151" t="s">
        <v>83</v>
      </c>
      <c r="V262" s="27"/>
      <c r="W262" s="27" t="s">
        <v>88</v>
      </c>
      <c r="X262" s="27">
        <v>0</v>
      </c>
      <c r="Y262" s="151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51" t="s">
        <v>83</v>
      </c>
      <c r="AF262" s="151" t="s">
        <v>83</v>
      </c>
      <c r="AG262" s="151" t="s">
        <v>83</v>
      </c>
      <c r="AH262" s="151" t="s">
        <v>83</v>
      </c>
      <c r="AI262" s="27">
        <v>1</v>
      </c>
      <c r="AJ262" s="27"/>
      <c r="AK262" s="27">
        <v>1</v>
      </c>
      <c r="AL262" s="27">
        <v>1</v>
      </c>
      <c r="AM262" s="151" t="s">
        <v>83</v>
      </c>
      <c r="AN262" s="27">
        <v>1</v>
      </c>
      <c r="AO262" s="27">
        <v>1</v>
      </c>
      <c r="AP262" s="27">
        <v>1</v>
      </c>
    </row>
    <row r="263" spans="1:42">
      <c r="A263" s="130"/>
      <c r="B263" s="27" t="str">
        <f>物品!B263</f>
        <v>IC08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生命值高</v>
      </c>
      <c r="I263" s="27">
        <f>VLOOKUP(B263,物品!B:CV,99,FALSE)</f>
        <v>0</v>
      </c>
      <c r="J263" s="132" t="str">
        <f t="shared" si="97"/>
        <v>生命值高</v>
      </c>
      <c r="K263" s="132">
        <f t="shared" si="98"/>
        <v>0</v>
      </c>
      <c r="L263" s="27"/>
      <c r="M263" s="133">
        <f>VLOOKUP(LEFT(RIGHT(B263,5),4),物品!B:CU,20,FALSE)</f>
        <v>0</v>
      </c>
      <c r="N263" s="151" t="s">
        <v>83</v>
      </c>
      <c r="O263" s="133" t="s">
        <v>95</v>
      </c>
      <c r="P263" s="27">
        <v>0</v>
      </c>
      <c r="Q263" s="27">
        <v>0</v>
      </c>
      <c r="R263" s="151" t="s">
        <v>83</v>
      </c>
      <c r="S263" s="151" t="s">
        <v>83</v>
      </c>
      <c r="T263" s="151" t="s">
        <v>83</v>
      </c>
      <c r="U263" s="151" t="s">
        <v>83</v>
      </c>
      <c r="V263" s="27"/>
      <c r="W263" s="27" t="s">
        <v>88</v>
      </c>
      <c r="X263" s="27">
        <v>0</v>
      </c>
      <c r="Y263" s="151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51" t="s">
        <v>83</v>
      </c>
      <c r="AF263" s="151" t="s">
        <v>83</v>
      </c>
      <c r="AG263" s="151" t="s">
        <v>83</v>
      </c>
      <c r="AH263" s="151" t="s">
        <v>83</v>
      </c>
      <c r="AI263" s="27">
        <v>1</v>
      </c>
      <c r="AJ263" s="27"/>
      <c r="AK263" s="27">
        <v>1</v>
      </c>
      <c r="AL263" s="27">
        <v>1</v>
      </c>
      <c r="AM263" s="151" t="s">
        <v>83</v>
      </c>
      <c r="AN263" s="27">
        <v>1</v>
      </c>
      <c r="AO263" s="27">
        <v>1</v>
      </c>
      <c r="AP263" s="27">
        <v>1</v>
      </c>
    </row>
    <row r="264" spans="1:42">
      <c r="A264" s="130"/>
      <c r="B264" s="27" t="str">
        <f>物品!B264</f>
        <v>IC09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业力低</v>
      </c>
      <c r="I264" s="27">
        <f>VLOOKUP(B264,物品!B:CV,99,FALSE)</f>
        <v>0</v>
      </c>
      <c r="J264" s="132" t="str">
        <f t="shared" si="97"/>
        <v>业力低</v>
      </c>
      <c r="K264" s="132">
        <f t="shared" si="98"/>
        <v>0</v>
      </c>
      <c r="L264" s="27"/>
      <c r="M264" s="133">
        <f>VLOOKUP(LEFT(RIGHT(B264,5),4),物品!B:CU,20,FALSE)</f>
        <v>0</v>
      </c>
      <c r="N264" s="151" t="s">
        <v>83</v>
      </c>
      <c r="O264" s="133" t="s">
        <v>95</v>
      </c>
      <c r="P264" s="27">
        <v>0</v>
      </c>
      <c r="Q264" s="27">
        <v>0</v>
      </c>
      <c r="R264" s="151" t="s">
        <v>83</v>
      </c>
      <c r="S264" s="151" t="s">
        <v>83</v>
      </c>
      <c r="T264" s="151" t="s">
        <v>83</v>
      </c>
      <c r="U264" s="151" t="s">
        <v>83</v>
      </c>
      <c r="V264" s="27"/>
      <c r="W264" s="27" t="s">
        <v>88</v>
      </c>
      <c r="X264" s="27">
        <v>0</v>
      </c>
      <c r="Y264" s="151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51" t="s">
        <v>83</v>
      </c>
      <c r="AF264" s="151" t="s">
        <v>83</v>
      </c>
      <c r="AG264" s="151" t="s">
        <v>83</v>
      </c>
      <c r="AH264" s="151" t="s">
        <v>83</v>
      </c>
      <c r="AI264" s="27">
        <v>1</v>
      </c>
      <c r="AJ264" s="27"/>
      <c r="AK264" s="27">
        <v>1</v>
      </c>
      <c r="AL264" s="27">
        <v>1</v>
      </c>
      <c r="AM264" s="151" t="s">
        <v>83</v>
      </c>
      <c r="AN264" s="27">
        <v>1</v>
      </c>
      <c r="AO264" s="27">
        <v>1</v>
      </c>
      <c r="AP264" s="27">
        <v>1</v>
      </c>
    </row>
    <row r="265" spans="1:42">
      <c r="A265" s="130"/>
      <c r="B265" s="27" t="str">
        <f>物品!B265</f>
        <v>IC10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业力中</v>
      </c>
      <c r="I265" s="27">
        <f>VLOOKUP(B265,物品!B:CV,99,FALSE)</f>
        <v>0</v>
      </c>
      <c r="J265" s="132" t="str">
        <f t="shared" si="97"/>
        <v>业力中</v>
      </c>
      <c r="K265" s="132">
        <f t="shared" si="98"/>
        <v>0</v>
      </c>
      <c r="L265" s="27"/>
      <c r="M265" s="133">
        <f>VLOOKUP(LEFT(RIGHT(B265,5),4),物品!B:CU,20,FALSE)</f>
        <v>0</v>
      </c>
      <c r="N265" s="151" t="s">
        <v>83</v>
      </c>
      <c r="O265" s="133" t="s">
        <v>95</v>
      </c>
      <c r="P265" s="27">
        <v>0</v>
      </c>
      <c r="Q265" s="27">
        <v>0</v>
      </c>
      <c r="R265" s="151" t="s">
        <v>83</v>
      </c>
      <c r="S265" s="151" t="s">
        <v>83</v>
      </c>
      <c r="T265" s="151" t="s">
        <v>83</v>
      </c>
      <c r="U265" s="151" t="s">
        <v>83</v>
      </c>
      <c r="V265" s="27"/>
      <c r="W265" s="27" t="s">
        <v>88</v>
      </c>
      <c r="X265" s="27">
        <v>0</v>
      </c>
      <c r="Y265" s="151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51" t="s">
        <v>83</v>
      </c>
      <c r="AF265" s="151" t="s">
        <v>83</v>
      </c>
      <c r="AG265" s="151" t="s">
        <v>83</v>
      </c>
      <c r="AH265" s="151" t="s">
        <v>83</v>
      </c>
      <c r="AI265" s="27">
        <v>1</v>
      </c>
      <c r="AJ265" s="27"/>
      <c r="AK265" s="27">
        <v>1</v>
      </c>
      <c r="AL265" s="27">
        <v>1</v>
      </c>
      <c r="AM265" s="151" t="s">
        <v>83</v>
      </c>
      <c r="AN265" s="27">
        <v>1</v>
      </c>
      <c r="AO265" s="27">
        <v>1</v>
      </c>
      <c r="AP265" s="27">
        <v>1</v>
      </c>
    </row>
    <row r="266" spans="1:42">
      <c r="A266" s="130"/>
      <c r="B266" s="27" t="str">
        <f>物品!B266</f>
        <v>IC11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业力高</v>
      </c>
      <c r="I266" s="27">
        <f>VLOOKUP(B266,物品!B:CV,99,FALSE)</f>
        <v>0</v>
      </c>
      <c r="J266" s="132" t="str">
        <f t="shared" si="97"/>
        <v>业力高</v>
      </c>
      <c r="K266" s="132">
        <f t="shared" si="98"/>
        <v>0</v>
      </c>
      <c r="L266" s="27"/>
      <c r="M266" s="133">
        <f>VLOOKUP(LEFT(RIGHT(B266,5),4),物品!B:CU,20,FALSE)</f>
        <v>0</v>
      </c>
      <c r="N266" s="151" t="s">
        <v>83</v>
      </c>
      <c r="O266" s="133" t="s">
        <v>95</v>
      </c>
      <c r="P266" s="27">
        <v>0</v>
      </c>
      <c r="Q266" s="27">
        <v>0</v>
      </c>
      <c r="R266" s="151" t="s">
        <v>83</v>
      </c>
      <c r="S266" s="151" t="s">
        <v>83</v>
      </c>
      <c r="T266" s="151" t="s">
        <v>83</v>
      </c>
      <c r="U266" s="151" t="s">
        <v>83</v>
      </c>
      <c r="V266" s="27"/>
      <c r="W266" s="27" t="s">
        <v>88</v>
      </c>
      <c r="X266" s="27">
        <v>0</v>
      </c>
      <c r="Y266" s="151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51" t="s">
        <v>83</v>
      </c>
      <c r="AF266" s="151" t="s">
        <v>83</v>
      </c>
      <c r="AG266" s="151" t="s">
        <v>83</v>
      </c>
      <c r="AH266" s="151" t="s">
        <v>83</v>
      </c>
      <c r="AI266" s="27">
        <v>1</v>
      </c>
      <c r="AJ266" s="27"/>
      <c r="AK266" s="27">
        <v>1</v>
      </c>
      <c r="AL266" s="27">
        <v>1</v>
      </c>
      <c r="AM266" s="151" t="s">
        <v>83</v>
      </c>
      <c r="AN266" s="27">
        <v>1</v>
      </c>
      <c r="AO266" s="27">
        <v>1</v>
      </c>
      <c r="AP266" s="27">
        <v>1</v>
      </c>
    </row>
    <row r="267" spans="1:42">
      <c r="A267" s="130"/>
      <c r="B267" s="27"/>
      <c r="C267" s="27"/>
      <c r="D267" s="27"/>
      <c r="E267" s="27"/>
      <c r="F267" s="27"/>
      <c r="G267" s="27"/>
      <c r="H267" s="27"/>
      <c r="I267" s="27"/>
      <c r="J267" s="132"/>
      <c r="K267" s="132"/>
      <c r="L267" s="27"/>
      <c r="M267" s="133"/>
      <c r="N267" s="27"/>
      <c r="O267" s="133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30"/>
      <c r="B268" s="27"/>
      <c r="C268" s="27"/>
      <c r="D268" s="27"/>
      <c r="E268" s="27"/>
      <c r="F268" s="27"/>
      <c r="G268" s="27"/>
      <c r="H268" s="27"/>
      <c r="I268" s="27"/>
      <c r="J268" s="132"/>
      <c r="K268" s="132"/>
      <c r="L268" s="27"/>
      <c r="M268" s="133"/>
      <c r="N268" s="27"/>
      <c r="O268" s="133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30"/>
      <c r="B269" s="27"/>
      <c r="C269" s="27"/>
      <c r="D269" s="27"/>
      <c r="E269" s="27"/>
      <c r="F269" s="27"/>
      <c r="G269" s="27"/>
      <c r="H269" s="27"/>
      <c r="I269" s="27"/>
      <c r="J269" s="132"/>
      <c r="K269" s="132"/>
      <c r="L269" s="27"/>
      <c r="M269" s="133"/>
      <c r="N269" s="27"/>
      <c r="O269" s="133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30"/>
      <c r="B270" s="27"/>
      <c r="C270" s="27"/>
      <c r="D270" s="27"/>
      <c r="E270" s="27"/>
      <c r="F270" s="27"/>
      <c r="G270" s="27"/>
      <c r="H270" s="27"/>
      <c r="I270" s="27"/>
      <c r="J270" s="132"/>
      <c r="K270" s="132"/>
      <c r="L270" s="27"/>
      <c r="M270" s="133"/>
      <c r="N270" s="27"/>
      <c r="O270" s="133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30"/>
      <c r="B271" s="27"/>
      <c r="C271" s="27"/>
      <c r="D271" s="27"/>
      <c r="E271" s="27"/>
      <c r="F271" s="27"/>
      <c r="G271" s="27"/>
      <c r="H271" s="27"/>
      <c r="I271" s="27"/>
      <c r="J271" s="132"/>
      <c r="K271" s="132"/>
      <c r="L271" s="27"/>
      <c r="M271" s="133"/>
      <c r="N271" s="27"/>
      <c r="O271" s="133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30"/>
      <c r="B272" s="27"/>
      <c r="C272" s="27"/>
      <c r="D272" s="27"/>
      <c r="E272" s="27"/>
      <c r="F272" s="27"/>
      <c r="G272" s="27"/>
      <c r="H272" s="27"/>
      <c r="I272" s="27"/>
      <c r="J272" s="132"/>
      <c r="K272" s="132"/>
      <c r="L272" s="27"/>
      <c r="M272" s="133"/>
      <c r="N272" s="27"/>
      <c r="O272" s="133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30"/>
      <c r="B273" s="27"/>
      <c r="C273" s="27"/>
      <c r="D273" s="27"/>
      <c r="E273" s="27"/>
      <c r="F273" s="27"/>
      <c r="G273" s="27"/>
      <c r="H273" s="27"/>
      <c r="I273" s="27"/>
      <c r="J273" s="132"/>
      <c r="K273" s="132"/>
      <c r="L273" s="27"/>
      <c r="M273" s="133"/>
      <c r="N273" s="27"/>
      <c r="O273" s="133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30"/>
      <c r="B274" s="27"/>
      <c r="C274" s="27"/>
      <c r="D274" s="27"/>
      <c r="E274" s="27"/>
      <c r="F274" s="27"/>
      <c r="G274" s="27"/>
      <c r="H274" s="27"/>
      <c r="I274" s="27"/>
      <c r="J274" s="132"/>
      <c r="K274" s="132"/>
      <c r="L274" s="27"/>
      <c r="M274" s="133"/>
      <c r="N274" s="27"/>
      <c r="O274" s="133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30"/>
      <c r="B275" s="27"/>
      <c r="C275" s="27"/>
      <c r="D275" s="27"/>
      <c r="E275" s="27"/>
      <c r="F275" s="27"/>
      <c r="G275" s="27"/>
      <c r="H275" s="27"/>
      <c r="I275" s="27"/>
      <c r="J275" s="132"/>
      <c r="K275" s="132"/>
      <c r="L275" s="27"/>
      <c r="M275" s="133"/>
      <c r="N275" s="27"/>
      <c r="O275" s="133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30"/>
      <c r="B276" s="27"/>
      <c r="C276" s="27"/>
      <c r="D276" s="27"/>
      <c r="E276" s="27"/>
      <c r="F276" s="27"/>
      <c r="G276" s="27"/>
      <c r="H276" s="27"/>
      <c r="I276" s="27"/>
      <c r="J276" s="132"/>
      <c r="K276" s="132"/>
      <c r="L276" s="27"/>
      <c r="M276" s="133"/>
      <c r="N276" s="27"/>
      <c r="O276" s="133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30"/>
      <c r="B277" s="27"/>
      <c r="C277" s="27"/>
      <c r="D277" s="27"/>
      <c r="E277" s="27"/>
      <c r="F277" s="27"/>
      <c r="G277" s="27"/>
      <c r="H277" s="27"/>
      <c r="I277" s="27"/>
      <c r="J277" s="132"/>
      <c r="K277" s="132"/>
      <c r="L277" s="27"/>
      <c r="M277" s="133"/>
      <c r="N277" s="27"/>
      <c r="O277" s="133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30"/>
      <c r="B278" s="27"/>
      <c r="C278" s="27"/>
      <c r="D278" s="27"/>
      <c r="E278" s="27"/>
      <c r="F278" s="27"/>
      <c r="G278" s="27"/>
      <c r="H278" s="27"/>
      <c r="I278" s="27"/>
      <c r="J278" s="132"/>
      <c r="K278" s="132"/>
      <c r="L278" s="27"/>
      <c r="M278" s="133"/>
      <c r="N278" s="27"/>
      <c r="O278" s="133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30"/>
      <c r="B279" s="27"/>
      <c r="C279" s="27"/>
      <c r="D279" s="27"/>
      <c r="E279" s="27"/>
      <c r="F279" s="27"/>
      <c r="G279" s="27"/>
      <c r="H279" s="27"/>
      <c r="I279" s="27"/>
      <c r="J279" s="132"/>
      <c r="K279" s="132"/>
      <c r="L279" s="27"/>
      <c r="M279" s="133"/>
      <c r="N279" s="27"/>
      <c r="O279" s="133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30"/>
      <c r="B280" s="27"/>
      <c r="C280" s="27"/>
      <c r="D280" s="27"/>
      <c r="E280" s="27"/>
      <c r="F280" s="27"/>
      <c r="G280" s="27"/>
      <c r="H280" s="27"/>
      <c r="I280" s="27"/>
      <c r="J280" s="132"/>
      <c r="K280" s="132"/>
      <c r="L280" s="27"/>
      <c r="M280" s="133"/>
      <c r="N280" s="27"/>
      <c r="O280" s="133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0"/>
      <c r="B281" s="27"/>
      <c r="C281" s="27"/>
      <c r="D281" s="27"/>
      <c r="E281" s="27"/>
      <c r="F281" s="27"/>
      <c r="G281" s="27"/>
      <c r="H281" s="27"/>
      <c r="I281" s="27"/>
      <c r="J281" s="132"/>
      <c r="K281" s="132"/>
      <c r="L281" s="27"/>
      <c r="M281" s="133"/>
      <c r="N281" s="27"/>
      <c r="O281" s="133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0"/>
      <c r="B282" s="27"/>
      <c r="C282" s="27"/>
      <c r="D282" s="27"/>
      <c r="E282" s="27"/>
      <c r="F282" s="27"/>
      <c r="G282" s="27"/>
      <c r="H282" s="27"/>
      <c r="I282" s="27"/>
      <c r="J282" s="132"/>
      <c r="K282" s="132"/>
      <c r="L282" s="27"/>
      <c r="M282" s="133"/>
      <c r="N282" s="27"/>
      <c r="O282" s="133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0"/>
      <c r="B283" s="27"/>
      <c r="C283" s="27"/>
      <c r="D283" s="27"/>
      <c r="E283" s="27"/>
      <c r="F283" s="27"/>
      <c r="G283" s="27"/>
      <c r="H283" s="27"/>
      <c r="I283" s="27"/>
      <c r="J283" s="132"/>
      <c r="K283" s="132"/>
      <c r="L283" s="27"/>
      <c r="M283" s="133"/>
      <c r="N283" s="27"/>
      <c r="O283" s="133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0"/>
      <c r="B284" s="27"/>
      <c r="C284" s="27"/>
      <c r="D284" s="27"/>
      <c r="E284" s="27"/>
      <c r="F284" s="27"/>
      <c r="G284" s="27"/>
      <c r="H284" s="27"/>
      <c r="I284" s="27"/>
      <c r="J284" s="132"/>
      <c r="K284" s="132"/>
      <c r="L284" s="27"/>
      <c r="M284" s="133"/>
      <c r="N284" s="27"/>
      <c r="O284" s="133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0"/>
      <c r="B285" s="27"/>
      <c r="C285" s="27"/>
      <c r="D285" s="27"/>
      <c r="E285" s="27"/>
      <c r="F285" s="27"/>
      <c r="G285" s="27"/>
      <c r="H285" s="27"/>
      <c r="I285" s="27"/>
      <c r="J285" s="132"/>
      <c r="K285" s="132"/>
      <c r="L285" s="27"/>
      <c r="M285" s="133"/>
      <c r="N285" s="27"/>
      <c r="O285" s="133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0"/>
      <c r="B286" s="27"/>
      <c r="C286" s="27"/>
      <c r="D286" s="27"/>
      <c r="E286" s="27"/>
      <c r="F286" s="27"/>
      <c r="G286" s="27"/>
      <c r="H286" s="27"/>
      <c r="I286" s="27"/>
      <c r="J286" s="132"/>
      <c r="K286" s="132"/>
      <c r="L286" s="27"/>
      <c r="M286" s="133"/>
      <c r="N286" s="27"/>
      <c r="O286" s="133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0"/>
      <c r="B287" s="27"/>
      <c r="C287" s="27"/>
      <c r="D287" s="27"/>
      <c r="E287" s="27"/>
      <c r="F287" s="27"/>
      <c r="G287" s="27"/>
      <c r="H287" s="27"/>
      <c r="I287" s="27"/>
      <c r="J287" s="132"/>
      <c r="K287" s="132"/>
      <c r="L287" s="27"/>
      <c r="M287" s="133"/>
      <c r="N287" s="27"/>
      <c r="O287" s="133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0"/>
      <c r="B288" s="27"/>
      <c r="C288" s="27"/>
      <c r="D288" s="27"/>
      <c r="E288" s="27"/>
      <c r="F288" s="27"/>
      <c r="G288" s="27"/>
      <c r="H288" s="27"/>
      <c r="I288" s="27"/>
      <c r="J288" s="132"/>
      <c r="K288" s="132"/>
      <c r="L288" s="27"/>
      <c r="M288" s="133"/>
      <c r="N288" s="27"/>
      <c r="O288" s="133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0"/>
      <c r="B289" s="27"/>
      <c r="C289" s="27"/>
      <c r="D289" s="27"/>
      <c r="E289" s="27"/>
      <c r="F289" s="27"/>
      <c r="G289" s="27"/>
      <c r="H289" s="27"/>
      <c r="I289" s="27"/>
      <c r="J289" s="132"/>
      <c r="K289" s="132"/>
      <c r="L289" s="27"/>
      <c r="M289" s="133"/>
      <c r="N289" s="27"/>
      <c r="O289" s="133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0"/>
      <c r="B290" s="27"/>
      <c r="C290" s="27"/>
      <c r="D290" s="27"/>
      <c r="E290" s="27"/>
      <c r="F290" s="27"/>
      <c r="G290" s="27"/>
      <c r="H290" s="27"/>
      <c r="I290" s="27"/>
      <c r="J290" s="132"/>
      <c r="K290" s="132"/>
      <c r="L290" s="27"/>
      <c r="M290" s="133"/>
      <c r="N290" s="27"/>
      <c r="O290" s="133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0"/>
      <c r="B291" s="27"/>
      <c r="C291" s="27"/>
      <c r="D291" s="27"/>
      <c r="E291" s="27"/>
      <c r="F291" s="27"/>
      <c r="G291" s="27"/>
      <c r="H291" s="27"/>
      <c r="I291" s="27"/>
      <c r="J291" s="132"/>
      <c r="K291" s="132"/>
      <c r="L291" s="27"/>
      <c r="M291" s="133"/>
      <c r="N291" s="27"/>
      <c r="O291" s="133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0"/>
      <c r="B292" s="27"/>
      <c r="C292" s="27"/>
      <c r="D292" s="27"/>
      <c r="E292" s="27"/>
      <c r="F292" s="27"/>
      <c r="G292" s="27"/>
      <c r="H292" s="27"/>
      <c r="I292" s="27"/>
      <c r="J292" s="132"/>
      <c r="K292" s="132"/>
      <c r="L292" s="27"/>
      <c r="M292" s="133"/>
      <c r="N292" s="27"/>
      <c r="O292" s="133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0"/>
      <c r="B293" s="27"/>
      <c r="C293" s="27"/>
      <c r="D293" s="27"/>
      <c r="E293" s="27"/>
      <c r="F293" s="27"/>
      <c r="G293" s="27"/>
      <c r="H293" s="27"/>
      <c r="I293" s="27"/>
      <c r="J293" s="132"/>
      <c r="K293" s="132"/>
      <c r="L293" s="27"/>
      <c r="M293" s="133"/>
      <c r="N293" s="27"/>
      <c r="O293" s="133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0"/>
      <c r="B294" s="27"/>
      <c r="C294" s="27"/>
      <c r="D294" s="27"/>
      <c r="E294" s="27"/>
      <c r="F294" s="27"/>
      <c r="G294" s="27"/>
      <c r="H294" s="27"/>
      <c r="I294" s="27"/>
      <c r="J294" s="132"/>
      <c r="K294" s="132"/>
      <c r="L294" s="27"/>
      <c r="M294" s="133"/>
      <c r="N294" s="27"/>
      <c r="O294" s="133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0"/>
      <c r="B295" s="27"/>
      <c r="C295" s="27"/>
      <c r="D295" s="27"/>
      <c r="E295" s="27"/>
      <c r="F295" s="27"/>
      <c r="G295" s="27"/>
      <c r="H295" s="27"/>
      <c r="I295" s="27"/>
      <c r="J295" s="132"/>
      <c r="K295" s="132"/>
      <c r="L295" s="27"/>
      <c r="M295" s="133"/>
      <c r="N295" s="27"/>
      <c r="O295" s="133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0"/>
      <c r="B296" s="27"/>
      <c r="C296" s="27"/>
      <c r="D296" s="27"/>
      <c r="E296" s="27"/>
      <c r="F296" s="27"/>
      <c r="G296" s="27"/>
      <c r="H296" s="27"/>
      <c r="I296" s="27"/>
      <c r="J296" s="132"/>
      <c r="K296" s="132"/>
      <c r="L296" s="27"/>
      <c r="M296" s="133"/>
      <c r="N296" s="27"/>
      <c r="O296" s="133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0"/>
      <c r="B297" s="27"/>
      <c r="C297" s="27"/>
      <c r="D297" s="27"/>
      <c r="E297" s="27"/>
      <c r="F297" s="27"/>
      <c r="G297" s="27"/>
      <c r="H297" s="27"/>
      <c r="I297" s="27"/>
      <c r="J297" s="132"/>
      <c r="K297" s="132"/>
      <c r="L297" s="27"/>
      <c r="M297" s="133"/>
      <c r="N297" s="27"/>
      <c r="O297" s="133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0"/>
      <c r="B298" s="27"/>
      <c r="C298" s="27"/>
      <c r="D298" s="27"/>
      <c r="E298" s="27"/>
      <c r="F298" s="27"/>
      <c r="G298" s="27"/>
      <c r="H298" s="27"/>
      <c r="I298" s="27"/>
      <c r="J298" s="132"/>
      <c r="K298" s="132"/>
      <c r="L298" s="27"/>
      <c r="M298" s="133"/>
      <c r="N298" s="27"/>
      <c r="O298" s="133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0"/>
      <c r="B299" s="27"/>
      <c r="C299" s="27"/>
      <c r="D299" s="27"/>
      <c r="E299" s="27"/>
      <c r="F299" s="27"/>
      <c r="G299" s="27"/>
      <c r="H299" s="27"/>
      <c r="I299" s="27"/>
      <c r="J299" s="132"/>
      <c r="K299" s="132"/>
      <c r="L299" s="27"/>
      <c r="M299" s="133"/>
      <c r="N299" s="27"/>
      <c r="O299" s="133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0"/>
      <c r="B300" s="27"/>
      <c r="C300" s="27"/>
      <c r="D300" s="27"/>
      <c r="E300" s="27"/>
      <c r="F300" s="27"/>
      <c r="G300" s="27"/>
      <c r="H300" s="27"/>
      <c r="I300" s="27"/>
      <c r="J300" s="132"/>
      <c r="K300" s="132"/>
      <c r="L300" s="27"/>
      <c r="M300" s="133"/>
      <c r="N300" s="27"/>
      <c r="O300" s="133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0"/>
      <c r="B301" s="27"/>
      <c r="C301" s="27"/>
      <c r="D301" s="27"/>
      <c r="E301" s="27"/>
      <c r="F301" s="27"/>
      <c r="G301" s="27"/>
      <c r="H301" s="27"/>
      <c r="I301" s="27"/>
      <c r="J301" s="132"/>
      <c r="K301" s="132"/>
      <c r="L301" s="27"/>
      <c r="M301" s="133"/>
      <c r="N301" s="27"/>
      <c r="O301" s="133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0"/>
      <c r="B302" s="27"/>
      <c r="C302" s="27"/>
      <c r="D302" s="27"/>
      <c r="E302" s="27"/>
      <c r="F302" s="27"/>
      <c r="G302" s="27"/>
      <c r="H302" s="27"/>
      <c r="I302" s="27"/>
      <c r="J302" s="132"/>
      <c r="K302" s="132"/>
      <c r="L302" s="27"/>
      <c r="M302" s="133"/>
      <c r="N302" s="27"/>
      <c r="O302" s="133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30"/>
      <c r="B303" s="27"/>
      <c r="C303" s="27"/>
      <c r="D303" s="27"/>
      <c r="E303" s="27"/>
      <c r="F303" s="27"/>
      <c r="G303" s="27"/>
      <c r="H303" s="27"/>
      <c r="I303" s="27"/>
      <c r="J303" s="132"/>
      <c r="K303" s="132"/>
      <c r="L303" s="27"/>
      <c r="M303" s="133"/>
      <c r="N303" s="27"/>
      <c r="O303" s="133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30"/>
      <c r="B304" s="27"/>
      <c r="C304" s="27"/>
      <c r="D304" s="27"/>
      <c r="E304" s="27"/>
      <c r="F304" s="27"/>
      <c r="G304" s="27"/>
      <c r="H304" s="27"/>
      <c r="I304" s="27"/>
      <c r="J304" s="132"/>
      <c r="K304" s="132"/>
      <c r="L304" s="27"/>
      <c r="M304" s="133"/>
      <c r="N304" s="27"/>
      <c r="O304" s="133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30"/>
      <c r="B305" s="27"/>
      <c r="C305" s="27"/>
      <c r="D305" s="27"/>
      <c r="E305" s="27"/>
      <c r="F305" s="27"/>
      <c r="G305" s="27"/>
      <c r="H305" s="27"/>
      <c r="I305" s="27"/>
      <c r="J305" s="132"/>
      <c r="K305" s="132"/>
      <c r="L305" s="27"/>
      <c r="M305" s="133"/>
      <c r="N305" s="27"/>
      <c r="O305" s="133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30"/>
      <c r="B306" s="27"/>
      <c r="C306" s="27"/>
      <c r="D306" s="27"/>
      <c r="E306" s="27"/>
      <c r="F306" s="27"/>
      <c r="G306" s="27"/>
      <c r="H306" s="27"/>
      <c r="I306" s="27"/>
      <c r="J306" s="132"/>
      <c r="K306" s="132"/>
      <c r="L306" s="27"/>
      <c r="M306" s="133"/>
      <c r="N306" s="27"/>
      <c r="O306" s="133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30"/>
      <c r="B307" s="27"/>
      <c r="C307" s="27"/>
      <c r="D307" s="27"/>
      <c r="E307" s="27"/>
      <c r="F307" s="27"/>
      <c r="G307" s="27"/>
      <c r="H307" s="27"/>
      <c r="I307" s="27"/>
      <c r="J307" s="132"/>
      <c r="K307" s="132"/>
      <c r="L307" s="27"/>
      <c r="M307" s="133"/>
      <c r="N307" s="27"/>
      <c r="O307" s="133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30"/>
      <c r="B308" s="27"/>
      <c r="C308" s="27"/>
      <c r="D308" s="27"/>
      <c r="E308" s="27"/>
      <c r="F308" s="27"/>
      <c r="G308" s="27"/>
      <c r="H308" s="27"/>
      <c r="I308" s="27"/>
      <c r="J308" s="132"/>
      <c r="K308" s="132"/>
      <c r="L308" s="27"/>
      <c r="M308" s="133"/>
      <c r="N308" s="27"/>
      <c r="O308" s="133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30"/>
      <c r="B309" s="27"/>
      <c r="C309" s="27"/>
      <c r="D309" s="27"/>
      <c r="E309" s="27"/>
      <c r="F309" s="27"/>
      <c r="G309" s="27"/>
      <c r="H309" s="27"/>
      <c r="I309" s="27"/>
      <c r="J309" s="132"/>
      <c r="K309" s="132"/>
      <c r="L309" s="27"/>
      <c r="M309" s="133"/>
      <c r="N309" s="27"/>
      <c r="O309" s="133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30"/>
      <c r="B310" s="27"/>
      <c r="C310" s="27"/>
      <c r="D310" s="27"/>
      <c r="E310" s="27"/>
      <c r="F310" s="27"/>
      <c r="G310" s="27"/>
      <c r="H310" s="27"/>
      <c r="I310" s="27"/>
      <c r="J310" s="132"/>
      <c r="K310" s="132"/>
      <c r="L310" s="27"/>
      <c r="M310" s="133"/>
      <c r="N310" s="27"/>
      <c r="O310" s="133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30"/>
      <c r="B311" s="27"/>
      <c r="C311" s="27"/>
      <c r="D311" s="27"/>
      <c r="E311" s="27"/>
      <c r="F311" s="27"/>
      <c r="G311" s="27"/>
      <c r="H311" s="27"/>
      <c r="I311" s="27"/>
      <c r="J311" s="132"/>
      <c r="K311" s="132"/>
      <c r="L311" s="27"/>
      <c r="M311" s="133"/>
      <c r="N311" s="27"/>
      <c r="O311" s="133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30"/>
      <c r="B312" s="27"/>
      <c r="C312" s="27"/>
      <c r="D312" s="27"/>
      <c r="E312" s="27"/>
      <c r="F312" s="27"/>
      <c r="G312" s="27"/>
      <c r="H312" s="27"/>
      <c r="I312" s="27"/>
      <c r="J312" s="132"/>
      <c r="K312" s="132"/>
      <c r="L312" s="27"/>
      <c r="M312" s="133"/>
      <c r="N312" s="27"/>
      <c r="O312" s="133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30"/>
      <c r="B313" s="27"/>
      <c r="C313" s="27"/>
      <c r="D313" s="27"/>
      <c r="E313" s="27"/>
      <c r="F313" s="27"/>
      <c r="G313" s="27"/>
      <c r="H313" s="27"/>
      <c r="I313" s="27"/>
      <c r="J313" s="132"/>
      <c r="K313" s="132"/>
      <c r="L313" s="27"/>
      <c r="M313" s="133"/>
      <c r="N313" s="27"/>
      <c r="O313" s="133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30"/>
      <c r="B314" s="27"/>
      <c r="C314" s="27"/>
      <c r="D314" s="27"/>
      <c r="E314" s="27"/>
      <c r="F314" s="27"/>
      <c r="G314" s="27"/>
      <c r="H314" s="27"/>
      <c r="I314" s="27"/>
      <c r="J314" s="132"/>
      <c r="K314" s="132"/>
      <c r="L314" s="27"/>
      <c r="M314" s="133"/>
      <c r="N314" s="27"/>
      <c r="O314" s="133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B315" s="135"/>
      <c r="C315" s="27"/>
      <c r="D315" s="27"/>
      <c r="E315" s="27"/>
      <c r="H315" s="27"/>
      <c r="J315" s="132"/>
      <c r="K315" s="27"/>
      <c r="L315" s="27"/>
      <c r="O315" s="133"/>
      <c r="P315" s="27"/>
      <c r="Q315" s="27"/>
      <c r="W315" s="126"/>
      <c r="X315" s="126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spans="1:42">
      <c r="B316" s="135"/>
      <c r="C316" s="27"/>
      <c r="D316" s="27"/>
      <c r="E316" s="27"/>
      <c r="H316" s="27"/>
      <c r="J316" s="132"/>
      <c r="K316" s="27"/>
      <c r="L316" s="27"/>
      <c r="O316" s="133"/>
      <c r="P316" s="27"/>
      <c r="Q316" s="27"/>
      <c r="W316" s="126"/>
      <c r="X316" s="126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spans="1:42">
      <c r="B317" s="135"/>
      <c r="C317" s="27"/>
      <c r="D317" s="27"/>
      <c r="E317" s="27"/>
      <c r="H317" s="27"/>
      <c r="J317" s="132"/>
      <c r="K317" s="27"/>
      <c r="L317" s="27"/>
      <c r="O317" s="133"/>
      <c r="P317" s="27"/>
      <c r="Q317" s="27"/>
      <c r="W317" s="126"/>
      <c r="X317" s="126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spans="1:42">
      <c r="B318" s="135"/>
      <c r="C318" s="27"/>
      <c r="D318" s="27"/>
      <c r="E318" s="27"/>
      <c r="H318" s="27"/>
      <c r="J318" s="132"/>
      <c r="K318" s="27"/>
      <c r="L318" s="27"/>
      <c r="O318" s="133"/>
      <c r="P318" s="27"/>
      <c r="Q318" s="27"/>
      <c r="W318" s="126"/>
      <c r="X318" s="126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spans="1:42">
      <c r="B319" s="135"/>
      <c r="C319" s="27"/>
      <c r="D319" s="27"/>
      <c r="E319" s="27"/>
      <c r="H319" s="27"/>
      <c r="J319" s="132"/>
      <c r="K319" s="27"/>
      <c r="L319" s="27"/>
      <c r="O319" s="133"/>
      <c r="P319" s="27"/>
      <c r="Q319" s="27"/>
      <c r="W319" s="126"/>
      <c r="X319" s="126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spans="1:42">
      <c r="B320" s="135"/>
      <c r="C320" s="27"/>
      <c r="D320" s="27"/>
      <c r="E320" s="27"/>
      <c r="H320" s="27"/>
      <c r="J320" s="132"/>
      <c r="K320" s="27"/>
      <c r="L320" s="27"/>
      <c r="O320" s="133"/>
      <c r="P320" s="27"/>
      <c r="Q320" s="27"/>
      <c r="W320" s="126"/>
      <c r="X320" s="126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spans="2:42">
      <c r="B321" s="135"/>
      <c r="C321" s="27"/>
      <c r="D321" s="27"/>
      <c r="E321" s="27"/>
      <c r="H321" s="27"/>
      <c r="J321" s="132"/>
      <c r="K321" s="27"/>
      <c r="L321" s="27"/>
      <c r="O321" s="133"/>
      <c r="P321" s="27"/>
      <c r="Q321" s="27"/>
      <c r="W321" s="126"/>
      <c r="X321" s="126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spans="2:42">
      <c r="B322" s="135"/>
      <c r="C322" s="27"/>
      <c r="D322" s="27"/>
      <c r="E322" s="27"/>
      <c r="H322" s="27"/>
      <c r="J322" s="132"/>
      <c r="K322" s="27"/>
      <c r="L322" s="27"/>
      <c r="O322" s="133"/>
      <c r="P322" s="27"/>
      <c r="Q322" s="27"/>
      <c r="W322" s="126"/>
      <c r="X322" s="126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spans="2:42">
      <c r="B323" s="135"/>
      <c r="C323" s="27"/>
      <c r="D323" s="27"/>
      <c r="E323" s="27"/>
      <c r="H323" s="27"/>
      <c r="J323" s="132"/>
      <c r="K323" s="27"/>
      <c r="L323" s="27"/>
      <c r="O323" s="133"/>
      <c r="P323" s="27"/>
      <c r="Q323" s="27"/>
      <c r="W323" s="126"/>
      <c r="X323" s="126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spans="2:42">
      <c r="B324" s="135"/>
      <c r="C324" s="27"/>
      <c r="D324" s="27"/>
      <c r="E324" s="27"/>
      <c r="H324" s="27"/>
      <c r="J324" s="132"/>
      <c r="K324" s="27"/>
      <c r="L324" s="27"/>
      <c r="O324" s="133"/>
      <c r="P324" s="27"/>
      <c r="Q324" s="27"/>
      <c r="W324" s="126"/>
      <c r="X324" s="126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spans="2:42">
      <c r="B325" s="135"/>
      <c r="C325" s="27"/>
      <c r="D325" s="27"/>
      <c r="E325" s="27"/>
      <c r="H325" s="27"/>
      <c r="J325" s="132"/>
      <c r="K325" s="27"/>
      <c r="L325" s="27"/>
      <c r="O325" s="133"/>
      <c r="P325" s="27"/>
      <c r="Q325" s="27"/>
      <c r="W325" s="126"/>
      <c r="X325" s="126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spans="2:42">
      <c r="B326" s="135"/>
      <c r="C326" s="27"/>
      <c r="D326" s="27"/>
      <c r="E326" s="27"/>
      <c r="H326" s="27"/>
      <c r="J326" s="132"/>
      <c r="K326" s="27"/>
      <c r="L326" s="27"/>
      <c r="O326" s="133"/>
      <c r="P326" s="27"/>
      <c r="Q326" s="27"/>
      <c r="W326" s="126"/>
      <c r="X326" s="126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spans="2:42">
      <c r="B327" s="135"/>
      <c r="C327" s="27"/>
      <c r="D327" s="27"/>
      <c r="E327" s="27"/>
      <c r="H327" s="27"/>
      <c r="J327" s="132"/>
      <c r="K327" s="27"/>
      <c r="L327" s="27"/>
      <c r="O327" s="133"/>
      <c r="P327" s="27"/>
      <c r="Q327" s="27"/>
      <c r="W327" s="126"/>
      <c r="X327" s="126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2:42">
      <c r="B328" s="135"/>
      <c r="C328" s="27"/>
      <c r="D328" s="27"/>
      <c r="E328" s="27"/>
      <c r="H328" s="27"/>
      <c r="J328" s="132"/>
      <c r="K328" s="27"/>
      <c r="L328" s="27"/>
      <c r="O328" s="133"/>
      <c r="P328" s="27"/>
      <c r="Q328" s="27"/>
      <c r="W328" s="126"/>
      <c r="X328" s="126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2:42">
      <c r="B329" s="135"/>
      <c r="C329" s="27"/>
      <c r="D329" s="27"/>
      <c r="E329" s="27"/>
      <c r="H329" s="27"/>
      <c r="J329" s="132"/>
      <c r="K329" s="27"/>
      <c r="L329" s="27"/>
      <c r="O329" s="133"/>
      <c r="P329" s="27"/>
      <c r="Q329" s="27"/>
      <c r="W329" s="126"/>
      <c r="X329" s="126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2:42">
      <c r="B330" s="135"/>
      <c r="C330" s="27"/>
      <c r="D330" s="27"/>
      <c r="E330" s="27"/>
      <c r="H330" s="27"/>
      <c r="J330" s="132"/>
      <c r="K330" s="27"/>
      <c r="L330" s="27"/>
      <c r="O330" s="133"/>
      <c r="P330" s="27"/>
      <c r="Q330" s="27"/>
      <c r="W330" s="126"/>
      <c r="X330" s="126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2:42">
      <c r="B331" s="135"/>
      <c r="C331" s="27"/>
      <c r="D331" s="27"/>
      <c r="E331" s="27"/>
      <c r="H331" s="27"/>
      <c r="J331" s="132"/>
      <c r="K331" s="27"/>
      <c r="L331" s="27"/>
      <c r="O331" s="133"/>
      <c r="P331" s="27"/>
      <c r="Q331" s="27"/>
      <c r="W331" s="126"/>
      <c r="X331" s="126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2:42">
      <c r="B332" s="135"/>
      <c r="C332" s="27"/>
      <c r="D332" s="27"/>
      <c r="E332" s="27"/>
      <c r="H332" s="27"/>
      <c r="J332" s="132"/>
      <c r="K332" s="27"/>
      <c r="L332" s="27"/>
      <c r="O332" s="133"/>
      <c r="P332" s="27"/>
      <c r="Q332" s="27"/>
      <c r="W332" s="126"/>
      <c r="X332" s="126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2:42">
      <c r="B333" s="135"/>
      <c r="C333" s="27"/>
      <c r="D333" s="27"/>
      <c r="E333" s="27"/>
      <c r="H333" s="27"/>
      <c r="J333" s="132"/>
      <c r="K333" s="27"/>
      <c r="L333" s="27"/>
      <c r="O333" s="133"/>
      <c r="P333" s="27"/>
      <c r="Q333" s="27"/>
      <c r="W333" s="126"/>
      <c r="X333" s="126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2:42">
      <c r="B334" s="135"/>
      <c r="C334" s="27"/>
      <c r="D334" s="27"/>
      <c r="E334" s="27"/>
      <c r="H334" s="27"/>
      <c r="J334" s="132"/>
      <c r="K334" s="27"/>
      <c r="L334" s="27"/>
      <c r="O334" s="133"/>
      <c r="P334" s="27"/>
      <c r="Q334" s="27"/>
      <c r="W334" s="126"/>
      <c r="X334" s="126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2:42">
      <c r="B335" s="135"/>
      <c r="C335" s="27"/>
      <c r="D335" s="27"/>
      <c r="E335" s="27"/>
      <c r="H335" s="27"/>
      <c r="J335" s="132"/>
      <c r="K335" s="27"/>
      <c r="L335" s="27"/>
      <c r="O335" s="133"/>
      <c r="P335" s="27"/>
      <c r="Q335" s="27"/>
      <c r="W335" s="126"/>
      <c r="X335" s="126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2:42">
      <c r="B336" s="135"/>
      <c r="C336" s="27"/>
      <c r="D336" s="27"/>
      <c r="E336" s="27"/>
      <c r="H336" s="27"/>
      <c r="J336" s="132"/>
      <c r="K336" s="27"/>
      <c r="L336" s="27"/>
      <c r="O336" s="133"/>
      <c r="P336" s="27"/>
      <c r="Q336" s="27"/>
      <c r="W336" s="126"/>
      <c r="X336" s="126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35"/>
      <c r="C337" s="27"/>
      <c r="D337" s="27"/>
      <c r="E337" s="27"/>
      <c r="H337" s="27"/>
      <c r="J337" s="132"/>
      <c r="K337" s="27"/>
      <c r="L337" s="27"/>
      <c r="O337" s="133"/>
      <c r="P337" s="27"/>
      <c r="Q337" s="27"/>
      <c r="W337" s="126"/>
      <c r="X337" s="126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35"/>
      <c r="C338" s="27"/>
      <c r="D338" s="27"/>
      <c r="E338" s="27"/>
      <c r="H338" s="27"/>
      <c r="J338" s="132"/>
      <c r="K338" s="27"/>
      <c r="L338" s="27"/>
      <c r="O338" s="133"/>
      <c r="P338" s="27"/>
      <c r="Q338" s="27"/>
      <c r="W338" s="126"/>
      <c r="X338" s="126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35"/>
      <c r="C339" s="27"/>
      <c r="D339" s="27"/>
      <c r="E339" s="27"/>
      <c r="H339" s="27"/>
      <c r="J339" s="132"/>
      <c r="K339" s="27"/>
      <c r="L339" s="27"/>
      <c r="O339" s="133"/>
      <c r="P339" s="27"/>
      <c r="Q339" s="27"/>
      <c r="W339" s="126"/>
      <c r="X339" s="126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35"/>
      <c r="C340" s="27"/>
      <c r="D340" s="27"/>
      <c r="E340" s="27"/>
      <c r="H340" s="27"/>
      <c r="J340" s="132"/>
      <c r="K340" s="27"/>
      <c r="L340" s="27"/>
      <c r="O340" s="133"/>
      <c r="P340" s="27"/>
      <c r="Q340" s="27"/>
      <c r="W340" s="126"/>
      <c r="X340" s="126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35"/>
      <c r="C341" s="27"/>
      <c r="D341" s="27"/>
      <c r="E341" s="27"/>
      <c r="H341" s="27"/>
      <c r="J341" s="132"/>
      <c r="K341" s="27"/>
      <c r="L341" s="27"/>
      <c r="O341" s="133"/>
      <c r="P341" s="27"/>
      <c r="Q341" s="27"/>
      <c r="W341" s="126"/>
      <c r="X341" s="126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35"/>
      <c r="C342" s="27"/>
      <c r="D342" s="27"/>
      <c r="E342" s="27"/>
      <c r="H342" s="27"/>
      <c r="J342" s="132"/>
      <c r="K342" s="27"/>
      <c r="L342" s="27"/>
      <c r="O342" s="133"/>
      <c r="P342" s="27"/>
      <c r="Q342" s="27"/>
      <c r="W342" s="126"/>
      <c r="X342" s="126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35"/>
      <c r="C343" s="27"/>
      <c r="D343" s="27"/>
      <c r="E343" s="27"/>
      <c r="H343" s="27"/>
      <c r="J343" s="132"/>
      <c r="K343" s="27"/>
      <c r="L343" s="27"/>
      <c r="O343" s="133"/>
      <c r="P343" s="27"/>
      <c r="Q343" s="27"/>
      <c r="W343" s="126"/>
      <c r="X343" s="126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35"/>
      <c r="C344" s="27"/>
      <c r="D344" s="27"/>
      <c r="E344" s="27"/>
      <c r="H344" s="27"/>
      <c r="J344" s="132"/>
      <c r="K344" s="27"/>
      <c r="L344" s="27"/>
      <c r="O344" s="133"/>
      <c r="P344" s="27"/>
      <c r="Q344" s="27"/>
      <c r="W344" s="126"/>
      <c r="X344" s="126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35"/>
      <c r="C345" s="27"/>
      <c r="D345" s="27"/>
      <c r="E345" s="27"/>
      <c r="H345" s="27"/>
      <c r="J345" s="132"/>
      <c r="K345" s="27"/>
      <c r="L345" s="27"/>
      <c r="O345" s="133"/>
      <c r="P345" s="27"/>
      <c r="Q345" s="27"/>
      <c r="W345" s="126"/>
      <c r="X345" s="126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35"/>
      <c r="C346" s="27"/>
      <c r="D346" s="27"/>
      <c r="E346" s="27"/>
      <c r="H346" s="27"/>
      <c r="J346" s="132"/>
      <c r="K346" s="27"/>
      <c r="L346" s="27"/>
      <c r="O346" s="133"/>
      <c r="P346" s="27"/>
      <c r="Q346" s="27"/>
      <c r="W346" s="126"/>
      <c r="X346" s="126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35"/>
      <c r="C347" s="27"/>
      <c r="D347" s="27"/>
      <c r="E347" s="27"/>
      <c r="H347" s="27"/>
      <c r="J347" s="132"/>
      <c r="K347" s="27"/>
      <c r="L347" s="27"/>
      <c r="O347" s="133"/>
      <c r="P347" s="27"/>
      <c r="Q347" s="27"/>
      <c r="W347" s="126"/>
      <c r="X347" s="126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35"/>
      <c r="C348" s="27"/>
      <c r="D348" s="27"/>
      <c r="E348" s="27"/>
      <c r="H348" s="27"/>
      <c r="J348" s="132"/>
      <c r="K348" s="27"/>
      <c r="L348" s="27"/>
      <c r="O348" s="133"/>
      <c r="P348" s="27"/>
      <c r="Q348" s="27"/>
      <c r="W348" s="126"/>
      <c r="X348" s="126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35"/>
      <c r="C349" s="27"/>
      <c r="D349" s="27"/>
      <c r="E349" s="27"/>
      <c r="H349" s="27"/>
      <c r="J349" s="132"/>
      <c r="K349" s="27"/>
      <c r="L349" s="27"/>
      <c r="O349" s="133"/>
      <c r="P349" s="27"/>
      <c r="Q349" s="27"/>
      <c r="W349" s="126"/>
      <c r="X349" s="126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35"/>
      <c r="C350" s="27"/>
      <c r="D350" s="27"/>
      <c r="E350" s="27"/>
      <c r="H350" s="27"/>
      <c r="J350" s="132"/>
      <c r="K350" s="27"/>
      <c r="L350" s="27"/>
      <c r="O350" s="133"/>
      <c r="P350" s="27"/>
      <c r="Q350" s="27"/>
      <c r="W350" s="126"/>
      <c r="X350" s="126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35"/>
      <c r="C351" s="27"/>
      <c r="D351" s="27"/>
      <c r="E351" s="27"/>
      <c r="H351" s="27"/>
      <c r="J351" s="132"/>
      <c r="K351" s="27"/>
      <c r="L351" s="27"/>
      <c r="O351" s="133"/>
      <c r="P351" s="27"/>
      <c r="Q351" s="27"/>
      <c r="W351" s="126"/>
      <c r="X351" s="126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35"/>
      <c r="C352" s="27"/>
      <c r="D352" s="27"/>
      <c r="E352" s="27"/>
      <c r="H352" s="27"/>
      <c r="J352" s="132"/>
      <c r="K352" s="27"/>
      <c r="L352" s="27"/>
      <c r="O352" s="133"/>
      <c r="P352" s="27"/>
      <c r="Q352" s="27"/>
      <c r="W352" s="126"/>
      <c r="X352" s="126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35"/>
      <c r="C353" s="27"/>
      <c r="D353" s="27"/>
      <c r="E353" s="27"/>
      <c r="H353" s="27"/>
      <c r="J353" s="132"/>
      <c r="K353" s="27"/>
      <c r="L353" s="27"/>
      <c r="O353" s="133"/>
      <c r="P353" s="27"/>
      <c r="Q353" s="27"/>
      <c r="W353" s="126"/>
      <c r="X353" s="126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35"/>
      <c r="C354" s="27"/>
      <c r="D354" s="27"/>
      <c r="E354" s="27"/>
      <c r="H354" s="27"/>
      <c r="J354" s="132"/>
      <c r="K354" s="27"/>
      <c r="L354" s="27"/>
      <c r="O354" s="133"/>
      <c r="P354" s="27"/>
      <c r="Q354" s="27"/>
      <c r="W354" s="126"/>
      <c r="X354" s="126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35"/>
      <c r="C355" s="27"/>
      <c r="D355" s="27"/>
      <c r="E355" s="27"/>
      <c r="H355" s="27"/>
      <c r="J355" s="132"/>
      <c r="K355" s="27"/>
      <c r="L355" s="27"/>
      <c r="O355" s="133"/>
      <c r="P355" s="27"/>
      <c r="Q355" s="27"/>
      <c r="W355" s="126"/>
      <c r="X355" s="126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35"/>
      <c r="C356" s="27"/>
      <c r="D356" s="27"/>
      <c r="E356" s="27"/>
      <c r="H356" s="27"/>
      <c r="J356" s="132"/>
      <c r="K356" s="27"/>
      <c r="L356" s="27"/>
      <c r="O356" s="133"/>
      <c r="P356" s="27"/>
      <c r="Q356" s="27"/>
      <c r="W356" s="126"/>
      <c r="X356" s="126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35"/>
      <c r="C357" s="27"/>
      <c r="D357" s="27"/>
      <c r="E357" s="27"/>
      <c r="H357" s="27"/>
      <c r="J357" s="132"/>
      <c r="K357" s="27"/>
      <c r="L357" s="27"/>
      <c r="O357" s="133"/>
      <c r="P357" s="27"/>
      <c r="Q357" s="27"/>
      <c r="W357" s="126"/>
      <c r="X357" s="126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35"/>
      <c r="C358" s="27"/>
      <c r="D358" s="27"/>
      <c r="E358" s="27"/>
      <c r="H358" s="27"/>
      <c r="J358" s="132"/>
      <c r="K358" s="27"/>
      <c r="L358" s="27"/>
      <c r="O358" s="133"/>
      <c r="P358" s="27"/>
      <c r="Q358" s="27"/>
      <c r="W358" s="126"/>
      <c r="X358" s="126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35"/>
      <c r="C359" s="27"/>
      <c r="D359" s="27"/>
      <c r="E359" s="27"/>
      <c r="H359" s="27"/>
      <c r="J359" s="132"/>
      <c r="K359" s="27"/>
      <c r="L359" s="27"/>
      <c r="O359" s="133"/>
      <c r="P359" s="27"/>
      <c r="Q359" s="27"/>
      <c r="W359" s="126"/>
      <c r="X359" s="126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35"/>
      <c r="C360" s="27"/>
      <c r="D360" s="27"/>
      <c r="E360" s="27"/>
      <c r="H360" s="27"/>
      <c r="J360" s="132"/>
      <c r="K360" s="27"/>
      <c r="L360" s="27"/>
      <c r="O360" s="133"/>
      <c r="P360" s="27"/>
      <c r="Q360" s="27"/>
      <c r="W360" s="126"/>
      <c r="X360" s="126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35"/>
      <c r="C361" s="27"/>
      <c r="D361" s="27"/>
      <c r="E361" s="27"/>
      <c r="H361" s="27"/>
      <c r="J361" s="132"/>
      <c r="K361" s="27"/>
      <c r="L361" s="27"/>
      <c r="O361" s="133"/>
      <c r="P361" s="27"/>
      <c r="Q361" s="27"/>
      <c r="W361" s="126"/>
      <c r="X361" s="126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35"/>
      <c r="C362" s="27"/>
      <c r="D362" s="27"/>
      <c r="E362" s="27"/>
      <c r="H362" s="27"/>
      <c r="J362" s="132"/>
      <c r="K362" s="27"/>
      <c r="L362" s="27"/>
      <c r="O362" s="133"/>
      <c r="P362" s="27"/>
      <c r="Q362" s="27"/>
      <c r="W362" s="126"/>
      <c r="X362" s="126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35"/>
      <c r="C363" s="27"/>
      <c r="D363" s="27"/>
      <c r="E363" s="27"/>
      <c r="H363" s="27"/>
      <c r="J363" s="132"/>
      <c r="K363" s="27"/>
      <c r="L363" s="27"/>
      <c r="O363" s="133"/>
      <c r="P363" s="27"/>
      <c r="Q363" s="27"/>
      <c r="W363" s="126"/>
      <c r="X363" s="126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35"/>
      <c r="C364" s="27"/>
      <c r="D364" s="27"/>
      <c r="E364" s="27"/>
      <c r="H364" s="27"/>
      <c r="J364" s="132"/>
      <c r="K364" s="27"/>
      <c r="L364" s="27"/>
      <c r="O364" s="133"/>
      <c r="P364" s="27"/>
      <c r="Q364" s="27"/>
      <c r="W364" s="126"/>
      <c r="X364" s="126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35"/>
      <c r="C365" s="27"/>
      <c r="D365" s="27"/>
      <c r="E365" s="27"/>
      <c r="H365" s="27"/>
      <c r="J365" s="132"/>
      <c r="K365" s="27"/>
      <c r="L365" s="27"/>
      <c r="O365" s="133"/>
      <c r="P365" s="27"/>
      <c r="Q365" s="27"/>
      <c r="W365" s="126"/>
      <c r="X365" s="126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35"/>
      <c r="C366" s="27"/>
      <c r="D366" s="27"/>
      <c r="E366" s="27"/>
      <c r="H366" s="27"/>
      <c r="J366" s="132"/>
      <c r="K366" s="27"/>
      <c r="L366" s="27"/>
      <c r="O366" s="133"/>
      <c r="P366" s="27"/>
      <c r="Q366" s="27"/>
      <c r="W366" s="126"/>
      <c r="X366" s="126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35"/>
      <c r="C367" s="27"/>
      <c r="D367" s="27"/>
      <c r="E367" s="27"/>
      <c r="H367" s="27"/>
      <c r="J367" s="132"/>
      <c r="K367" s="27"/>
      <c r="L367" s="27"/>
      <c r="O367" s="133"/>
      <c r="P367" s="27"/>
      <c r="Q367" s="27"/>
      <c r="W367" s="126"/>
      <c r="X367" s="126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26"/>
      <c r="C368" s="27"/>
      <c r="D368" s="27"/>
      <c r="E368" s="27"/>
      <c r="H368" s="27"/>
      <c r="J368" s="132"/>
      <c r="K368" s="27"/>
      <c r="L368" s="27"/>
      <c r="M368" s="136"/>
      <c r="O368" s="133"/>
      <c r="P368" s="27"/>
      <c r="Q368" s="27"/>
      <c r="W368" s="27"/>
      <c r="X368" s="27"/>
      <c r="Z368" s="27"/>
      <c r="AA368" s="27"/>
      <c r="AC368" s="27"/>
      <c r="AD368" s="27"/>
      <c r="AJ368" s="27"/>
      <c r="AK368" s="27"/>
      <c r="AO368" s="27"/>
      <c r="AP368" s="27"/>
    </row>
    <row r="369" spans="2:42">
      <c r="B369" s="126"/>
      <c r="C369" s="27"/>
      <c r="D369" s="27"/>
      <c r="E369" s="27"/>
      <c r="H369" s="27"/>
      <c r="J369" s="132"/>
      <c r="K369" s="27"/>
      <c r="L369" s="27"/>
      <c r="M369" s="136"/>
      <c r="O369" s="133"/>
      <c r="P369" s="27"/>
      <c r="Q369" s="27"/>
      <c r="W369" s="27"/>
      <c r="X369" s="27"/>
      <c r="Z369" s="27"/>
      <c r="AA369" s="27"/>
      <c r="AC369" s="27"/>
      <c r="AD369" s="27"/>
      <c r="AJ369" s="27"/>
      <c r="AK369" s="27"/>
      <c r="AO369" s="27"/>
      <c r="AP369" s="27"/>
    </row>
    <row r="370" spans="2:42">
      <c r="B370" s="126"/>
      <c r="C370" s="27"/>
      <c r="D370" s="27"/>
      <c r="E370" s="27"/>
      <c r="H370" s="27"/>
      <c r="J370" s="132"/>
      <c r="K370" s="27"/>
      <c r="L370" s="27"/>
      <c r="M370" s="136"/>
      <c r="O370" s="133"/>
      <c r="P370" s="27"/>
      <c r="Q370" s="27"/>
      <c r="W370" s="27"/>
      <c r="X370" s="27"/>
      <c r="Z370" s="27"/>
      <c r="AA370" s="27"/>
      <c r="AC370" s="27"/>
      <c r="AD370" s="27"/>
      <c r="AJ370" s="27"/>
      <c r="AK370" s="27"/>
      <c r="AO370" s="27"/>
      <c r="AP370" s="27"/>
    </row>
    <row r="371" spans="2:42">
      <c r="B371" s="126"/>
      <c r="C371" s="27"/>
      <c r="D371" s="27"/>
      <c r="E371" s="27"/>
      <c r="H371" s="27"/>
      <c r="J371" s="132"/>
      <c r="K371" s="27"/>
      <c r="L371" s="27"/>
      <c r="M371" s="136"/>
      <c r="O371" s="133"/>
      <c r="P371" s="27"/>
      <c r="Q371" s="27"/>
      <c r="W371" s="27"/>
      <c r="X371" s="27"/>
      <c r="Z371" s="27"/>
      <c r="AA371" s="27"/>
      <c r="AC371" s="27"/>
      <c r="AD371" s="27"/>
      <c r="AJ371" s="27"/>
      <c r="AK371" s="27"/>
      <c r="AO371" s="27"/>
      <c r="AP371" s="27"/>
    </row>
    <row r="372" spans="2:42">
      <c r="B372" s="126"/>
      <c r="C372" s="27"/>
      <c r="D372" s="27"/>
      <c r="E372" s="27"/>
      <c r="H372" s="27"/>
      <c r="J372" s="132"/>
      <c r="K372" s="27"/>
      <c r="L372" s="27"/>
      <c r="M372" s="136"/>
      <c r="O372" s="133"/>
      <c r="P372" s="27"/>
      <c r="Q372" s="27"/>
      <c r="W372" s="27"/>
      <c r="X372" s="27"/>
      <c r="Z372" s="27"/>
      <c r="AA372" s="27"/>
      <c r="AC372" s="27"/>
      <c r="AD372" s="27"/>
      <c r="AJ372" s="27"/>
      <c r="AK372" s="27"/>
      <c r="AO372" s="27"/>
      <c r="AP372" s="27"/>
    </row>
    <row r="373" spans="2:42">
      <c r="B373" s="126"/>
      <c r="C373" s="27"/>
      <c r="D373" s="27"/>
      <c r="E373" s="27"/>
      <c r="H373" s="27"/>
      <c r="J373" s="132"/>
      <c r="K373" s="27"/>
      <c r="L373" s="27"/>
      <c r="M373" s="136"/>
      <c r="O373" s="133"/>
      <c r="P373" s="27"/>
      <c r="Q373" s="27"/>
      <c r="W373" s="27"/>
      <c r="X373" s="27"/>
      <c r="Z373" s="27"/>
      <c r="AA373" s="27"/>
      <c r="AC373" s="27"/>
      <c r="AD373" s="27"/>
      <c r="AJ373" s="27"/>
      <c r="AK373" s="27"/>
      <c r="AO373" s="27"/>
      <c r="AP373" s="27"/>
    </row>
    <row r="374" spans="2:42">
      <c r="B374" s="126"/>
      <c r="C374" s="27"/>
      <c r="D374" s="27"/>
      <c r="E374" s="27"/>
      <c r="H374" s="27"/>
      <c r="J374" s="132"/>
      <c r="K374" s="27"/>
      <c r="L374" s="27"/>
      <c r="M374" s="136"/>
      <c r="P374" s="27"/>
      <c r="Q374" s="27"/>
      <c r="W374" s="27"/>
      <c r="X374" s="27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26"/>
      <c r="C375" s="27"/>
      <c r="D375" s="27"/>
      <c r="E375" s="27"/>
      <c r="H375" s="27"/>
      <c r="J375" s="132"/>
      <c r="K375" s="27"/>
      <c r="L375" s="27"/>
      <c r="M375" s="136"/>
      <c r="P375" s="27"/>
      <c r="Q375" s="27"/>
      <c r="W375" s="27"/>
      <c r="X375" s="27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26"/>
      <c r="C376" s="27"/>
      <c r="D376" s="27"/>
      <c r="E376" s="27"/>
      <c r="H376" s="27"/>
      <c r="J376" s="132"/>
      <c r="K376" s="27"/>
      <c r="L376" s="27"/>
      <c r="M376" s="136"/>
      <c r="P376" s="27"/>
      <c r="Q376" s="27"/>
      <c r="W376" s="27"/>
      <c r="X376" s="27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26"/>
      <c r="C377" s="27"/>
      <c r="D377" s="27"/>
      <c r="E377" s="27"/>
      <c r="H377" s="27"/>
      <c r="J377" s="132"/>
      <c r="K377" s="27"/>
      <c r="L377" s="27"/>
      <c r="M377" s="136"/>
      <c r="P377" s="27"/>
      <c r="Q377" s="27"/>
      <c r="W377" s="27"/>
      <c r="X377" s="27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26"/>
      <c r="C378" s="27"/>
      <c r="D378" s="27"/>
      <c r="E378" s="27"/>
      <c r="H378" s="27"/>
      <c r="J378" s="132"/>
      <c r="K378" s="27"/>
      <c r="L378" s="27"/>
      <c r="M378" s="136"/>
      <c r="P378" s="27"/>
      <c r="Q378" s="27"/>
      <c r="W378" s="27"/>
      <c r="X378" s="27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26"/>
      <c r="C379" s="27"/>
      <c r="D379" s="27"/>
      <c r="E379" s="27"/>
      <c r="H379" s="27"/>
      <c r="J379" s="137"/>
      <c r="K379" s="126"/>
      <c r="L379" s="27"/>
      <c r="M379" s="136"/>
      <c r="O379" s="133"/>
      <c r="P379" s="27"/>
      <c r="Q379" s="27"/>
      <c r="W379" s="126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26"/>
      <c r="C380" s="27"/>
      <c r="D380" s="27"/>
      <c r="E380" s="27"/>
      <c r="H380" s="27"/>
      <c r="J380" s="137"/>
      <c r="K380" s="126"/>
      <c r="L380" s="27"/>
      <c r="M380" s="136"/>
      <c r="O380" s="133"/>
      <c r="P380" s="27"/>
      <c r="Q380" s="27"/>
      <c r="W380" s="126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26"/>
      <c r="C381" s="27"/>
      <c r="D381" s="27"/>
      <c r="E381" s="27"/>
      <c r="H381" s="27"/>
      <c r="J381" s="137"/>
      <c r="K381" s="126"/>
      <c r="L381" s="27"/>
      <c r="M381" s="136"/>
      <c r="O381" s="133"/>
      <c r="P381" s="27"/>
      <c r="Q381" s="27"/>
      <c r="W381" s="126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26"/>
      <c r="C382" s="27"/>
      <c r="D382" s="27"/>
      <c r="E382" s="27"/>
      <c r="H382" s="27"/>
      <c r="J382" s="137"/>
      <c r="K382" s="126"/>
      <c r="L382" s="27"/>
      <c r="M382" s="136"/>
      <c r="O382" s="133"/>
      <c r="P382" s="27"/>
      <c r="Q382" s="27"/>
      <c r="W382" s="126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26"/>
      <c r="C383" s="27"/>
      <c r="D383" s="27"/>
      <c r="E383" s="27"/>
      <c r="H383" s="27"/>
      <c r="J383" s="137"/>
      <c r="K383" s="126"/>
      <c r="L383" s="27"/>
      <c r="M383" s="136"/>
      <c r="O383" s="133"/>
      <c r="P383" s="27"/>
      <c r="Q383" s="27"/>
      <c r="R383" s="126"/>
      <c r="S383" s="126"/>
      <c r="T383" s="126"/>
      <c r="W383" s="126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6"/>
      <c r="C384" s="27"/>
      <c r="D384" s="27"/>
      <c r="E384" s="27"/>
      <c r="H384" s="27"/>
      <c r="J384" s="137"/>
      <c r="K384" s="126"/>
      <c r="L384" s="27"/>
      <c r="M384" s="136"/>
      <c r="O384" s="133"/>
      <c r="P384" s="27"/>
      <c r="Q384" s="27"/>
      <c r="R384" s="126"/>
      <c r="S384" s="126"/>
      <c r="T384" s="126"/>
      <c r="W384" s="126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pans="2:42">
      <c r="B385" s="126"/>
      <c r="C385" s="27"/>
      <c r="D385" s="27"/>
      <c r="E385" s="27"/>
      <c r="H385" s="27"/>
      <c r="J385" s="137"/>
      <c r="K385" s="126"/>
      <c r="L385" s="27"/>
      <c r="M385" s="136"/>
      <c r="O385" s="133"/>
      <c r="P385" s="27"/>
      <c r="Q385" s="27"/>
      <c r="R385" s="126"/>
      <c r="S385" s="126"/>
      <c r="T385" s="126"/>
      <c r="W385" s="126"/>
      <c r="X385" s="27"/>
      <c r="Z385" s="27"/>
      <c r="AA385" s="27"/>
      <c r="AB385" s="27"/>
      <c r="AC385" s="27"/>
      <c r="AD385" s="27"/>
      <c r="AI385" s="27"/>
      <c r="AJ385" s="27"/>
      <c r="AK385" s="27"/>
      <c r="AO385" s="27"/>
      <c r="AP385" s="27"/>
    </row>
    <row r="386" spans="2:42">
      <c r="B386" s="126"/>
      <c r="C386" s="27"/>
      <c r="D386" s="27"/>
      <c r="E386" s="27"/>
      <c r="H386" s="27"/>
      <c r="J386" s="137"/>
      <c r="K386" s="126"/>
      <c r="L386" s="27"/>
      <c r="M386" s="136"/>
      <c r="O386" s="133"/>
      <c r="P386" s="27"/>
      <c r="Q386" s="27"/>
      <c r="R386" s="126"/>
      <c r="S386" s="126"/>
      <c r="T386" s="126"/>
      <c r="W386" s="126"/>
      <c r="X386" s="27"/>
      <c r="Z386" s="27"/>
      <c r="AA386" s="27"/>
      <c r="AB386" s="27"/>
      <c r="AC386" s="27"/>
      <c r="AD386" s="27"/>
      <c r="AI386" s="27"/>
      <c r="AJ386" s="27"/>
      <c r="AK386" s="27"/>
      <c r="AO386" s="27"/>
      <c r="AP386" s="27"/>
    </row>
    <row r="387" spans="2:42">
      <c r="B387" s="126"/>
      <c r="C387" s="27"/>
      <c r="D387" s="27"/>
      <c r="E387" s="27"/>
      <c r="H387" s="27"/>
      <c r="J387" s="137"/>
      <c r="K387" s="126"/>
      <c r="L387" s="27"/>
      <c r="M387" s="136"/>
      <c r="O387" s="133"/>
      <c r="P387" s="27"/>
      <c r="Q387" s="27"/>
      <c r="R387" s="126"/>
      <c r="S387" s="126"/>
      <c r="T387" s="126"/>
      <c r="W387" s="126"/>
      <c r="X387" s="27"/>
      <c r="Z387" s="27"/>
      <c r="AA387" s="27"/>
      <c r="AB387" s="27"/>
      <c r="AC387" s="27"/>
      <c r="AD387" s="27"/>
      <c r="AI387" s="27"/>
      <c r="AJ387" s="27"/>
      <c r="AK387" s="27"/>
      <c r="AO387" s="27"/>
      <c r="AP387" s="27"/>
    </row>
    <row r="388" spans="2:42">
      <c r="B388" s="126"/>
      <c r="C388" s="27"/>
      <c r="D388" s="27"/>
      <c r="E388" s="27"/>
      <c r="H388" s="27"/>
      <c r="J388" s="137"/>
      <c r="K388" s="126"/>
      <c r="L388" s="27"/>
      <c r="M388" s="136"/>
      <c r="O388" s="133"/>
      <c r="P388" s="27"/>
      <c r="Q388" s="27"/>
      <c r="R388" s="126"/>
      <c r="S388" s="126"/>
      <c r="T388" s="126"/>
      <c r="W388" s="126"/>
      <c r="X388" s="27"/>
      <c r="Z388" s="27"/>
      <c r="AA388" s="27"/>
      <c r="AB388" s="27"/>
      <c r="AC388" s="27"/>
      <c r="AD388" s="27"/>
      <c r="AI388" s="27"/>
      <c r="AJ388" s="27"/>
      <c r="AK388" s="27"/>
      <c r="AO388" s="27"/>
      <c r="AP388" s="27"/>
    </row>
    <row r="389" spans="2:42">
      <c r="B389" s="126"/>
      <c r="C389" s="27"/>
      <c r="D389" s="27"/>
      <c r="E389" s="27"/>
      <c r="H389" s="27"/>
      <c r="J389" s="137"/>
      <c r="K389" s="126"/>
      <c r="L389" s="27"/>
      <c r="M389" s="136"/>
      <c r="O389" s="133"/>
      <c r="P389" s="27"/>
      <c r="Q389" s="27"/>
      <c r="R389" s="126"/>
      <c r="S389" s="126"/>
      <c r="T389" s="126"/>
      <c r="W389" s="126"/>
      <c r="X389" s="27"/>
      <c r="Z389" s="27"/>
      <c r="AA389" s="27"/>
      <c r="AB389" s="27"/>
      <c r="AC389" s="27"/>
      <c r="AD389" s="27"/>
      <c r="AI389" s="27"/>
      <c r="AJ389" s="27"/>
      <c r="AK389" s="27"/>
      <c r="AO389" s="27"/>
      <c r="AP389" s="27"/>
    </row>
    <row r="390" spans="2:42">
      <c r="B390" s="126"/>
      <c r="C390" s="27"/>
      <c r="D390" s="27"/>
      <c r="E390" s="27"/>
      <c r="H390" s="27"/>
      <c r="J390" s="137"/>
      <c r="K390" s="126"/>
      <c r="L390" s="27"/>
      <c r="M390" s="136"/>
      <c r="O390" s="133"/>
      <c r="P390" s="27"/>
      <c r="Q390" s="27"/>
      <c r="R390" s="126"/>
      <c r="S390" s="126"/>
      <c r="T390" s="126"/>
      <c r="W390" s="126"/>
      <c r="X390" s="27"/>
      <c r="Z390" s="27"/>
      <c r="AA390" s="27"/>
      <c r="AB390" s="27"/>
      <c r="AC390" s="27"/>
      <c r="AD390" s="27"/>
      <c r="AI390" s="27"/>
      <c r="AJ390" s="27"/>
      <c r="AK390" s="27"/>
      <c r="AO390" s="27"/>
      <c r="AP390" s="27"/>
    </row>
    <row r="391" spans="2:42">
      <c r="B391" s="126"/>
      <c r="C391" s="27"/>
      <c r="D391" s="27"/>
      <c r="E391" s="27"/>
      <c r="H391" s="27"/>
      <c r="J391" s="137"/>
      <c r="K391" s="126"/>
      <c r="L391" s="27"/>
      <c r="M391" s="136"/>
      <c r="O391" s="133"/>
      <c r="P391" s="27"/>
      <c r="Q391" s="27"/>
      <c r="R391" s="126"/>
      <c r="S391" s="126"/>
      <c r="T391" s="126"/>
      <c r="W391" s="126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26"/>
      <c r="C392" s="27"/>
      <c r="D392" s="27"/>
      <c r="E392" s="27"/>
      <c r="H392" s="27"/>
      <c r="J392" s="137"/>
      <c r="K392" s="126"/>
      <c r="L392" s="27"/>
      <c r="M392" s="136"/>
      <c r="O392" s="133"/>
      <c r="P392" s="27"/>
      <c r="Q392" s="27"/>
      <c r="R392" s="126"/>
      <c r="S392" s="126"/>
      <c r="T392" s="126"/>
      <c r="W392" s="126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26"/>
      <c r="C393" s="27"/>
      <c r="D393" s="27"/>
      <c r="E393" s="27"/>
      <c r="H393" s="27"/>
      <c r="J393" s="137"/>
      <c r="K393" s="126"/>
      <c r="L393" s="27"/>
      <c r="M393" s="136"/>
      <c r="O393" s="133"/>
      <c r="P393" s="27"/>
      <c r="Q393" s="27"/>
      <c r="R393" s="126"/>
      <c r="S393" s="126"/>
      <c r="T393" s="126"/>
      <c r="W393" s="126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26"/>
      <c r="C394" s="27"/>
      <c r="D394" s="27"/>
      <c r="E394" s="27"/>
      <c r="H394" s="27"/>
      <c r="J394" s="137"/>
      <c r="K394" s="126"/>
      <c r="L394" s="27"/>
      <c r="M394" s="136"/>
      <c r="O394" s="133"/>
      <c r="P394" s="27"/>
      <c r="Q394" s="27"/>
      <c r="R394" s="126"/>
      <c r="S394" s="126"/>
      <c r="T394" s="126"/>
      <c r="W394" s="126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26"/>
      <c r="C395" s="27"/>
      <c r="D395" s="27"/>
      <c r="E395" s="27"/>
      <c r="H395" s="27"/>
      <c r="J395" s="137"/>
      <c r="K395" s="126"/>
      <c r="L395" s="27"/>
      <c r="M395" s="136"/>
      <c r="O395" s="133"/>
      <c r="P395" s="27"/>
      <c r="Q395" s="27"/>
      <c r="R395" s="27"/>
      <c r="S395" s="27"/>
      <c r="T395" s="27"/>
      <c r="W395" s="126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26"/>
      <c r="C396" s="27"/>
      <c r="D396" s="27"/>
      <c r="E396" s="27"/>
      <c r="H396" s="27"/>
      <c r="J396" s="137"/>
      <c r="K396" s="126"/>
      <c r="L396" s="27"/>
      <c r="M396" s="136"/>
      <c r="O396" s="133"/>
      <c r="P396" s="27"/>
      <c r="Q396" s="27"/>
      <c r="R396" s="27"/>
      <c r="S396" s="27"/>
      <c r="T396" s="27"/>
      <c r="W396" s="126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 s="127" customFormat="1">
      <c r="E397" s="27"/>
      <c r="H397" s="27"/>
      <c r="J397" s="132"/>
      <c r="AB397" s="27"/>
    </row>
    <row r="398" spans="2:42" s="127" customFormat="1">
      <c r="E398" s="27"/>
      <c r="H398" s="27"/>
      <c r="J398" s="132"/>
      <c r="AB398" s="27"/>
    </row>
    <row r="399" spans="2:42" s="127" customFormat="1">
      <c r="E399" s="27"/>
      <c r="H399" s="27"/>
      <c r="J399" s="132"/>
      <c r="AB399" s="27"/>
    </row>
    <row r="400" spans="2:42" s="127" customFormat="1">
      <c r="E400" s="27"/>
      <c r="H400" s="27"/>
      <c r="J400" s="132"/>
      <c r="AB400" s="27"/>
    </row>
    <row r="401" spans="2:42" s="127" customFormat="1">
      <c r="E401" s="27"/>
      <c r="H401" s="27"/>
      <c r="J401" s="132"/>
      <c r="AB401" s="27"/>
    </row>
    <row r="402" spans="2:42" s="127" customFormat="1">
      <c r="E402" s="27"/>
      <c r="H402" s="27"/>
      <c r="J402" s="132"/>
      <c r="AB402" s="27"/>
    </row>
    <row r="403" spans="2:42" s="127" customFormat="1">
      <c r="E403" s="27"/>
      <c r="H403" s="27"/>
      <c r="J403" s="132"/>
      <c r="AB403" s="27"/>
    </row>
    <row r="404" spans="2:42" s="127" customFormat="1">
      <c r="E404" s="27"/>
      <c r="H404" s="27"/>
      <c r="J404" s="132"/>
      <c r="AB404" s="27"/>
    </row>
    <row r="405" spans="2:42" s="127" customFormat="1">
      <c r="E405" s="27"/>
      <c r="H405" s="27"/>
      <c r="J405" s="132"/>
      <c r="AB405" s="27"/>
    </row>
    <row r="406" spans="2:42" s="127" customFormat="1">
      <c r="E406" s="27"/>
      <c r="H406" s="27"/>
      <c r="J406" s="132"/>
      <c r="AB406" s="27"/>
    </row>
    <row r="407" spans="2:42" s="127" customFormat="1">
      <c r="E407" s="27"/>
      <c r="H407" s="27"/>
      <c r="J407" s="132"/>
      <c r="AB407" s="27"/>
    </row>
    <row r="408" spans="2:42" s="127" customFormat="1">
      <c r="E408" s="27"/>
      <c r="H408" s="27"/>
      <c r="J408" s="132"/>
      <c r="AB408" s="27"/>
    </row>
    <row r="409" spans="2:42" s="127" customFormat="1">
      <c r="E409" s="27"/>
      <c r="H409" s="27"/>
      <c r="J409" s="132"/>
      <c r="AB409" s="27"/>
    </row>
    <row r="410" spans="2:42" s="127" customFormat="1">
      <c r="E410" s="27"/>
      <c r="H410" s="27"/>
      <c r="J410" s="132"/>
      <c r="AB410" s="27"/>
    </row>
    <row r="411" spans="2:42" s="127" customFormat="1">
      <c r="E411" s="27"/>
      <c r="H411" s="27"/>
      <c r="J411" s="132"/>
      <c r="AB411" s="27"/>
    </row>
    <row r="412" spans="2:42" s="127" customFormat="1">
      <c r="E412" s="27"/>
      <c r="H412" s="27"/>
      <c r="J412" s="132"/>
      <c r="AB412" s="27"/>
    </row>
    <row r="413" spans="2:42" s="127" customFormat="1">
      <c r="E413" s="27"/>
      <c r="H413" s="27"/>
      <c r="J413" s="132"/>
      <c r="AB413" s="27"/>
    </row>
    <row r="414" spans="2:42" s="127" customFormat="1">
      <c r="E414" s="27"/>
      <c r="H414" s="27"/>
      <c r="J414" s="132"/>
      <c r="AB414" s="27"/>
    </row>
    <row r="415" spans="2:42">
      <c r="B415" s="126"/>
      <c r="C415" s="27"/>
      <c r="D415" s="27"/>
      <c r="E415" s="27"/>
      <c r="H415" s="27"/>
      <c r="J415" s="132"/>
      <c r="K415" s="27"/>
      <c r="L415" s="27"/>
      <c r="O415" s="133"/>
      <c r="P415" s="27"/>
      <c r="Q415" s="27"/>
      <c r="W415" s="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26"/>
      <c r="C416" s="27"/>
      <c r="D416" s="27"/>
      <c r="E416" s="27"/>
      <c r="H416" s="27"/>
      <c r="I416" s="127"/>
      <c r="J416" s="132"/>
      <c r="K416" s="27"/>
      <c r="L416" s="27"/>
      <c r="M416" s="127"/>
      <c r="O416" s="133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26"/>
      <c r="C417" s="27"/>
      <c r="D417" s="27"/>
      <c r="E417" s="27"/>
      <c r="H417" s="27"/>
      <c r="I417" s="127"/>
      <c r="J417" s="132"/>
      <c r="K417" s="27"/>
      <c r="L417" s="27"/>
      <c r="M417" s="127"/>
      <c r="O417" s="133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26"/>
      <c r="C418" s="27"/>
      <c r="D418" s="27"/>
      <c r="E418" s="27"/>
      <c r="H418" s="27"/>
      <c r="I418" s="127"/>
      <c r="J418" s="132"/>
      <c r="K418" s="27"/>
      <c r="L418" s="27"/>
      <c r="M418" s="127"/>
      <c r="O418" s="133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6"/>
      <c r="C419" s="27"/>
      <c r="D419" s="27"/>
      <c r="E419" s="27"/>
      <c r="H419" s="27"/>
      <c r="I419" s="127"/>
      <c r="J419" s="127"/>
      <c r="K419" s="27"/>
      <c r="L419" s="27"/>
      <c r="M419" s="127"/>
      <c r="O419" s="133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6"/>
      <c r="C420" s="27"/>
      <c r="D420" s="27"/>
      <c r="E420" s="27"/>
      <c r="H420" s="27"/>
      <c r="I420" s="127"/>
      <c r="J420" s="127"/>
      <c r="K420" s="27"/>
      <c r="L420" s="27"/>
      <c r="M420" s="127"/>
      <c r="O420" s="133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6"/>
      <c r="C421" s="27"/>
      <c r="D421" s="27"/>
      <c r="E421" s="27"/>
      <c r="H421" s="27"/>
      <c r="I421" s="127"/>
      <c r="J421" s="127"/>
      <c r="K421" s="27"/>
      <c r="L421" s="27"/>
      <c r="M421" s="127"/>
      <c r="O421" s="133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6"/>
      <c r="C422" s="27"/>
      <c r="D422" s="27"/>
      <c r="E422" s="27"/>
      <c r="H422" s="27"/>
      <c r="I422" s="127"/>
      <c r="J422" s="126"/>
      <c r="K422" s="27"/>
      <c r="L422" s="27"/>
      <c r="M422" s="127"/>
      <c r="O422" s="133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6"/>
      <c r="C423" s="27"/>
      <c r="D423" s="27"/>
      <c r="E423" s="27"/>
      <c r="H423" s="27"/>
      <c r="I423" s="127"/>
      <c r="J423" s="126"/>
      <c r="K423" s="27"/>
      <c r="L423" s="27"/>
      <c r="M423" s="127"/>
      <c r="O423" s="133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6"/>
      <c r="C424" s="27"/>
      <c r="D424" s="27"/>
      <c r="E424" s="27"/>
      <c r="H424" s="27"/>
      <c r="J424" s="132"/>
      <c r="K424" s="27"/>
      <c r="L424" s="27"/>
      <c r="M424" s="136"/>
      <c r="O424" s="133"/>
      <c r="P424" s="27"/>
      <c r="Q424" s="27"/>
      <c r="W424" s="126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6"/>
      <c r="C425" s="27"/>
      <c r="D425" s="27"/>
      <c r="E425" s="27"/>
      <c r="H425" s="27"/>
      <c r="J425" s="132"/>
      <c r="K425" s="27"/>
      <c r="L425" s="27"/>
      <c r="M425" s="136"/>
      <c r="O425" s="133"/>
      <c r="P425" s="27"/>
      <c r="Q425" s="27"/>
      <c r="W425" s="126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6"/>
      <c r="C426" s="27"/>
      <c r="D426" s="27"/>
      <c r="E426" s="27"/>
      <c r="H426" s="27"/>
      <c r="J426" s="132"/>
      <c r="K426" s="27"/>
      <c r="L426" s="27"/>
      <c r="M426" s="136"/>
      <c r="O426" s="133"/>
      <c r="P426" s="27"/>
      <c r="Q426" s="27"/>
      <c r="W426" s="126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42">
      <c r="B427" s="126"/>
      <c r="C427" s="27"/>
      <c r="D427" s="27"/>
      <c r="E427" s="27"/>
      <c r="H427" s="27"/>
      <c r="J427" s="132"/>
      <c r="K427" s="27"/>
      <c r="L427" s="27"/>
      <c r="M427" s="136"/>
      <c r="O427" s="133"/>
      <c r="P427" s="27"/>
      <c r="Q427" s="27"/>
      <c r="W427" s="126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26"/>
      <c r="C428" s="27"/>
      <c r="D428" s="27"/>
      <c r="E428" s="27"/>
      <c r="H428" s="27"/>
      <c r="J428" s="132"/>
      <c r="K428" s="27"/>
      <c r="L428" s="27"/>
      <c r="M428" s="138"/>
      <c r="O428" s="133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26"/>
      <c r="C429" s="27"/>
      <c r="D429" s="27"/>
      <c r="E429" s="27"/>
      <c r="H429" s="27"/>
      <c r="J429" s="132"/>
      <c r="K429" s="27"/>
      <c r="L429" s="27"/>
      <c r="M429" s="138"/>
      <c r="O429" s="133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26"/>
      <c r="C430" s="27"/>
      <c r="D430" s="27"/>
      <c r="E430" s="27"/>
      <c r="H430" s="27"/>
      <c r="J430" s="132"/>
      <c r="K430" s="27"/>
      <c r="L430" s="27"/>
      <c r="M430" s="138"/>
      <c r="O430" s="133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26"/>
      <c r="C431" s="27"/>
      <c r="D431" s="27"/>
      <c r="E431" s="27"/>
      <c r="H431" s="27"/>
      <c r="J431" s="132"/>
      <c r="K431" s="27"/>
      <c r="L431" s="27"/>
      <c r="M431" s="138"/>
      <c r="O431" s="133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26"/>
      <c r="C432" s="27"/>
      <c r="D432" s="27"/>
      <c r="E432" s="27"/>
      <c r="H432" s="27"/>
      <c r="J432" s="132"/>
      <c r="K432" s="27"/>
      <c r="L432" s="27"/>
      <c r="M432" s="138"/>
      <c r="O432" s="133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26"/>
      <c r="C433" s="27"/>
      <c r="D433" s="27"/>
      <c r="E433" s="27"/>
      <c r="H433" s="27"/>
      <c r="J433" s="132"/>
      <c r="K433" s="27"/>
      <c r="L433" s="27"/>
      <c r="M433" s="138"/>
      <c r="O433" s="133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6"/>
      <c r="C434" s="27"/>
      <c r="D434" s="27"/>
      <c r="E434" s="27"/>
      <c r="H434" s="27"/>
      <c r="J434" s="132"/>
      <c r="K434" s="27"/>
      <c r="L434" s="27"/>
      <c r="M434" s="138"/>
      <c r="O434" s="133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6"/>
      <c r="C435" s="27"/>
      <c r="D435" s="27"/>
      <c r="E435" s="27"/>
      <c r="H435" s="27"/>
      <c r="J435" s="132"/>
      <c r="K435" s="27"/>
      <c r="L435" s="27"/>
      <c r="M435" s="138"/>
      <c r="O435" s="133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27"/>
      <c r="C436" s="27"/>
      <c r="D436" s="27"/>
      <c r="E436" s="27"/>
      <c r="H436" s="27"/>
      <c r="J436" s="132"/>
      <c r="K436" s="27"/>
      <c r="L436" s="27"/>
      <c r="M436" s="138"/>
      <c r="O436" s="133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27"/>
      <c r="C437" s="27"/>
      <c r="D437" s="27"/>
      <c r="E437" s="27"/>
      <c r="H437" s="27"/>
      <c r="J437" s="132"/>
      <c r="K437" s="27"/>
      <c r="L437" s="27"/>
      <c r="M437" s="138"/>
      <c r="O437" s="133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7"/>
      <c r="C438" s="27"/>
      <c r="D438" s="27"/>
      <c r="E438" s="27"/>
      <c r="H438" s="27"/>
      <c r="J438" s="132"/>
      <c r="K438" s="27"/>
      <c r="L438" s="27"/>
      <c r="M438" s="138"/>
      <c r="O438" s="133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6"/>
      <c r="C439" s="27"/>
      <c r="D439" s="27"/>
      <c r="E439" s="27"/>
      <c r="H439" s="27"/>
      <c r="I439" s="127"/>
      <c r="J439" s="132"/>
      <c r="K439" s="27"/>
      <c r="L439" s="27"/>
      <c r="M439" s="136"/>
      <c r="O439" s="133"/>
      <c r="P439" s="27"/>
      <c r="Q439" s="27"/>
      <c r="W439" s="126"/>
      <c r="X439" s="27"/>
      <c r="Z439" s="27"/>
      <c r="AA439" s="27"/>
      <c r="AC439" s="27"/>
      <c r="AD439" s="27"/>
      <c r="AJ439" s="27"/>
      <c r="AK439" s="27"/>
    </row>
    <row r="440" spans="2:42">
      <c r="B440" s="126"/>
      <c r="C440" s="27"/>
      <c r="D440" s="27"/>
      <c r="E440" s="27"/>
      <c r="H440" s="27"/>
      <c r="J440" s="132"/>
      <c r="K440" s="27"/>
      <c r="L440" s="27"/>
      <c r="M440" s="136"/>
      <c r="O440" s="133"/>
      <c r="P440" s="27"/>
      <c r="Q440" s="27"/>
      <c r="W440" s="126"/>
      <c r="X440" s="27"/>
      <c r="Z440" s="27"/>
      <c r="AA440" s="27"/>
      <c r="AC440" s="27"/>
      <c r="AD440" s="27"/>
      <c r="AJ440" s="27"/>
      <c r="AK440" s="27"/>
    </row>
    <row r="441" spans="2:42">
      <c r="B441" s="126"/>
      <c r="C441" s="27"/>
      <c r="D441" s="27"/>
      <c r="E441" s="27"/>
      <c r="H441" s="27"/>
      <c r="J441" s="132"/>
      <c r="K441" s="27"/>
      <c r="L441" s="27"/>
      <c r="M441" s="136"/>
      <c r="O441" s="133"/>
      <c r="P441" s="27"/>
      <c r="Q441" s="27"/>
      <c r="W441" s="126"/>
      <c r="X441" s="27"/>
      <c r="Z441" s="27"/>
      <c r="AA441" s="27"/>
      <c r="AC441" s="27"/>
      <c r="AD441" s="27"/>
      <c r="AJ441" s="27"/>
      <c r="AK441" s="27"/>
    </row>
    <row r="442" spans="2:42">
      <c r="B442" s="126"/>
      <c r="C442" s="27"/>
      <c r="D442" s="27"/>
      <c r="E442" s="27"/>
      <c r="H442" s="27"/>
      <c r="J442" s="132"/>
      <c r="K442" s="27"/>
      <c r="L442" s="27"/>
      <c r="M442" s="136"/>
      <c r="O442" s="133"/>
      <c r="P442" s="27"/>
      <c r="Q442" s="27"/>
      <c r="W442" s="126"/>
      <c r="X442" s="27"/>
      <c r="Z442" s="27"/>
      <c r="AA442" s="27"/>
      <c r="AC442" s="27"/>
      <c r="AD442" s="27"/>
      <c r="AJ442" s="27"/>
      <c r="AK442" s="27"/>
    </row>
    <row r="443" spans="2:42">
      <c r="B443" s="126"/>
      <c r="C443" s="27"/>
      <c r="D443" s="27"/>
      <c r="E443" s="27"/>
      <c r="H443" s="27"/>
      <c r="J443" s="132"/>
      <c r="K443" s="27"/>
      <c r="L443" s="27"/>
      <c r="P443" s="27"/>
      <c r="Q443" s="27"/>
      <c r="W443" s="126"/>
      <c r="X443" s="27"/>
      <c r="Z443" s="27"/>
      <c r="AA443" s="27"/>
      <c r="AC443" s="27"/>
      <c r="AD443" s="27"/>
      <c r="AJ443" s="27"/>
      <c r="AK443" s="27"/>
      <c r="AO443" s="27"/>
      <c r="AP443" s="27"/>
    </row>
    <row r="444" spans="2:42">
      <c r="B444" s="126"/>
      <c r="C444" s="27"/>
      <c r="D444" s="27"/>
      <c r="E444" s="27"/>
      <c r="H444" s="27"/>
      <c r="J444" s="132"/>
      <c r="K444" s="27"/>
      <c r="L444" s="2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26"/>
      <c r="C445" s="27"/>
      <c r="D445" s="27"/>
      <c r="E445" s="27"/>
      <c r="H445" s="27"/>
      <c r="J445" s="132"/>
      <c r="K445" s="27"/>
      <c r="L445" s="27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26"/>
      <c r="C446" s="27"/>
      <c r="D446" s="27"/>
      <c r="E446" s="27"/>
      <c r="H446" s="27"/>
      <c r="J446" s="132"/>
      <c r="K446" s="27"/>
      <c r="L446" s="27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26"/>
      <c r="C447" s="27"/>
      <c r="D447" s="27"/>
      <c r="E447" s="27"/>
      <c r="H447" s="27"/>
      <c r="J447" s="132"/>
      <c r="K447" s="27"/>
      <c r="L447" s="2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26"/>
      <c r="C448" s="27"/>
      <c r="D448" s="27"/>
      <c r="E448" s="27"/>
      <c r="H448" s="27"/>
      <c r="J448" s="132"/>
      <c r="K448" s="27"/>
      <c r="L448" s="2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26"/>
      <c r="C449" s="27"/>
      <c r="D449" s="27"/>
      <c r="E449" s="27"/>
      <c r="H449" s="27"/>
      <c r="J449" s="132"/>
      <c r="K449" s="27"/>
      <c r="L449" s="2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26"/>
      <c r="C450" s="27"/>
      <c r="D450" s="27"/>
      <c r="E450" s="27"/>
      <c r="H450" s="27"/>
      <c r="J450" s="132"/>
      <c r="K450" s="27"/>
      <c r="L450" s="2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26"/>
      <c r="C451" s="27"/>
      <c r="D451" s="27"/>
      <c r="E451" s="27"/>
      <c r="H451" s="27"/>
      <c r="J451" s="132"/>
      <c r="K451" s="27"/>
      <c r="L451" s="2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26"/>
      <c r="C452" s="27"/>
      <c r="D452" s="27"/>
      <c r="E452" s="27"/>
      <c r="H452" s="27"/>
      <c r="J452" s="132"/>
      <c r="K452" s="27"/>
      <c r="L452" s="2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26"/>
      <c r="C453" s="27"/>
      <c r="D453" s="27"/>
      <c r="E453" s="27"/>
      <c r="H453" s="27"/>
      <c r="J453" s="132"/>
      <c r="K453" s="27"/>
      <c r="L453" s="27"/>
      <c r="O453" s="133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26"/>
      <c r="C454" s="27"/>
      <c r="D454" s="27"/>
      <c r="E454" s="27"/>
      <c r="H454" s="27"/>
      <c r="J454" s="132"/>
      <c r="K454" s="27"/>
      <c r="L454" s="27"/>
      <c r="O454" s="133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26"/>
      <c r="C455" s="27"/>
      <c r="D455" s="27"/>
      <c r="E455" s="27"/>
      <c r="H455" s="27"/>
      <c r="J455" s="132"/>
      <c r="K455" s="27"/>
      <c r="L455" s="27"/>
      <c r="O455" s="133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26"/>
      <c r="C456" s="27"/>
      <c r="D456" s="27"/>
      <c r="E456" s="27"/>
      <c r="H456" s="27"/>
      <c r="J456" s="132"/>
      <c r="K456" s="27"/>
      <c r="L456" s="27"/>
      <c r="M456"/>
      <c r="O456" s="133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26"/>
      <c r="C457" s="27"/>
      <c r="D457" s="27"/>
      <c r="E457" s="27"/>
      <c r="H457" s="27"/>
      <c r="J457" s="132"/>
      <c r="K457" s="27"/>
      <c r="L457" s="27"/>
      <c r="M457"/>
      <c r="O457" s="133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26"/>
      <c r="C458" s="27"/>
      <c r="D458" s="27"/>
      <c r="E458" s="27"/>
      <c r="H458" s="27"/>
      <c r="J458" s="132"/>
      <c r="K458" s="27"/>
      <c r="L458" s="27"/>
      <c r="M458"/>
      <c r="O458" s="133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26"/>
      <c r="C459" s="27"/>
      <c r="D459" s="27"/>
      <c r="E459" s="27"/>
      <c r="H459" s="27"/>
      <c r="J459" s="132"/>
      <c r="K459" s="27"/>
      <c r="L459" s="27"/>
      <c r="M459"/>
      <c r="O459" s="133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6"/>
      <c r="C460" s="27"/>
      <c r="D460" s="27"/>
      <c r="E460" s="27"/>
      <c r="H460" s="27"/>
      <c r="J460" s="132"/>
      <c r="K460" s="27"/>
      <c r="L460" s="27"/>
      <c r="M460"/>
      <c r="O460" s="133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6"/>
      <c r="C461" s="27"/>
      <c r="D461" s="27"/>
      <c r="E461" s="27"/>
      <c r="H461" s="27"/>
      <c r="J461" s="132"/>
      <c r="K461" s="27"/>
      <c r="L461" s="27"/>
      <c r="M461"/>
      <c r="O461" s="133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6"/>
      <c r="C462" s="27"/>
      <c r="D462" s="27"/>
      <c r="E462" s="27"/>
      <c r="H462" s="27"/>
      <c r="J462" s="132"/>
      <c r="K462" s="27"/>
      <c r="L462" s="27"/>
      <c r="M462"/>
      <c r="O462" s="133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6"/>
      <c r="C463" s="27"/>
      <c r="D463" s="27"/>
      <c r="E463" s="27"/>
      <c r="H463" s="27"/>
      <c r="J463" s="132"/>
      <c r="K463" s="27"/>
      <c r="L463" s="27"/>
      <c r="M463"/>
      <c r="O463" s="133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6"/>
      <c r="C464" s="27"/>
      <c r="D464" s="27"/>
      <c r="E464" s="27"/>
      <c r="H464" s="27"/>
      <c r="J464" s="132"/>
      <c r="K464" s="27"/>
      <c r="L464" s="27"/>
      <c r="M464"/>
      <c r="O464" s="133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6"/>
      <c r="C465" s="27"/>
      <c r="D465" s="27"/>
      <c r="E465" s="27"/>
      <c r="H465" s="27"/>
      <c r="J465" s="132"/>
      <c r="K465" s="27"/>
      <c r="L465" s="27"/>
      <c r="M465"/>
      <c r="O465" s="133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6"/>
      <c r="C466" s="27"/>
      <c r="D466" s="27"/>
      <c r="E466" s="27"/>
      <c r="H466" s="27"/>
      <c r="J466" s="132"/>
      <c r="K466" s="27"/>
      <c r="L466" s="27"/>
      <c r="M466"/>
      <c r="O466" s="133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6"/>
      <c r="C467" s="27"/>
      <c r="D467" s="27"/>
      <c r="E467" s="27"/>
      <c r="H467" s="27"/>
      <c r="J467" s="132"/>
      <c r="K467" s="27"/>
      <c r="L467" s="27"/>
      <c r="M467"/>
      <c r="O467" s="133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6"/>
      <c r="C468" s="27"/>
      <c r="D468" s="27"/>
      <c r="E468" s="27"/>
      <c r="H468" s="27"/>
      <c r="J468" s="132"/>
      <c r="K468" s="27"/>
      <c r="L468" s="27"/>
      <c r="M468"/>
      <c r="O468" s="133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6"/>
      <c r="C469" s="27"/>
      <c r="D469" s="27"/>
      <c r="E469" s="27"/>
      <c r="H469" s="27"/>
      <c r="J469" s="132"/>
      <c r="K469" s="27"/>
      <c r="L469" s="27"/>
      <c r="M469"/>
      <c r="O469" s="133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6"/>
      <c r="C470" s="27"/>
      <c r="D470" s="27"/>
      <c r="E470" s="27"/>
      <c r="H470" s="27"/>
      <c r="J470" s="132"/>
      <c r="K470" s="27"/>
      <c r="L470" s="27"/>
      <c r="M470"/>
      <c r="O470" s="133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6"/>
      <c r="C471" s="27"/>
      <c r="D471" s="27"/>
      <c r="E471" s="27"/>
      <c r="H471" s="27"/>
      <c r="J471" s="132"/>
      <c r="K471" s="27"/>
      <c r="L471" s="27"/>
      <c r="M471"/>
      <c r="O471" s="133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6"/>
      <c r="C472" s="27"/>
      <c r="D472" s="27"/>
      <c r="E472" s="27"/>
      <c r="H472" s="27"/>
      <c r="J472" s="132"/>
      <c r="K472" s="27"/>
      <c r="L472" s="27"/>
      <c r="M472"/>
      <c r="O472" s="133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26"/>
      <c r="C473" s="27"/>
      <c r="D473" s="27"/>
      <c r="E473" s="27"/>
      <c r="H473" s="27"/>
      <c r="J473" s="132"/>
      <c r="K473" s="27"/>
      <c r="L473" s="27"/>
      <c r="M473"/>
      <c r="O473" s="133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26"/>
      <c r="C474" s="27"/>
      <c r="D474" s="27"/>
      <c r="E474" s="27"/>
      <c r="H474" s="27"/>
      <c r="J474" s="132"/>
      <c r="K474" s="27"/>
      <c r="L474" s="27"/>
      <c r="M474"/>
      <c r="O474" s="133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26"/>
      <c r="C475" s="27"/>
      <c r="D475" s="27"/>
      <c r="E475" s="27"/>
      <c r="H475" s="27"/>
      <c r="J475" s="132"/>
      <c r="K475" s="27"/>
      <c r="L475" s="27"/>
      <c r="M475"/>
      <c r="O475" s="133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26"/>
      <c r="C476" s="27"/>
      <c r="D476" s="27"/>
      <c r="E476" s="27"/>
      <c r="H476" s="27"/>
      <c r="J476" s="132"/>
      <c r="K476" s="27"/>
      <c r="L476" s="27"/>
      <c r="M476"/>
      <c r="O476" s="133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26"/>
      <c r="C477" s="27"/>
      <c r="D477" s="27"/>
      <c r="E477" s="27"/>
      <c r="H477" s="27"/>
      <c r="J477" s="132"/>
      <c r="K477" s="27"/>
      <c r="L477" s="27"/>
      <c r="M477"/>
      <c r="O477" s="133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26"/>
      <c r="C478" s="27"/>
      <c r="D478" s="27"/>
      <c r="E478" s="27"/>
      <c r="H478" s="27"/>
      <c r="J478" s="132"/>
      <c r="K478" s="27"/>
      <c r="L478" s="27"/>
      <c r="M478"/>
      <c r="O478" s="133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26"/>
      <c r="C479" s="27"/>
      <c r="D479" s="27"/>
      <c r="E479" s="27"/>
      <c r="H479" s="27"/>
      <c r="J479" s="132"/>
      <c r="K479" s="27"/>
      <c r="L479" s="27"/>
      <c r="M479"/>
      <c r="O479" s="133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26"/>
      <c r="C480" s="27"/>
      <c r="D480" s="27"/>
      <c r="E480" s="27"/>
      <c r="H480" s="27"/>
      <c r="J480" s="132"/>
      <c r="K480" s="27"/>
      <c r="M480" s="139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26"/>
      <c r="C481" s="27"/>
      <c r="D481" s="27"/>
      <c r="E481" s="27"/>
      <c r="H481" s="27"/>
      <c r="J481" s="132"/>
      <c r="K481" s="27"/>
      <c r="M481" s="139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26"/>
      <c r="C482" s="27"/>
      <c r="D482" s="27"/>
      <c r="E482" s="27"/>
      <c r="H482" s="27"/>
      <c r="J482" s="132"/>
      <c r="K482" s="27"/>
      <c r="M482" s="139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26"/>
      <c r="C483" s="27"/>
      <c r="D483" s="27"/>
      <c r="E483" s="27"/>
      <c r="H483" s="27"/>
      <c r="J483" s="132"/>
      <c r="K483" s="27"/>
      <c r="M483" s="139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26"/>
      <c r="C484" s="27"/>
      <c r="D484" s="27"/>
      <c r="E484" s="27"/>
      <c r="H484" s="27"/>
      <c r="J484" s="132"/>
      <c r="K484" s="27"/>
      <c r="M484" s="139"/>
      <c r="P484" s="27"/>
      <c r="Q484" s="27"/>
      <c r="W484" s="126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26"/>
      <c r="C485" s="27"/>
      <c r="D485" s="27"/>
      <c r="E485" s="27"/>
      <c r="H485" s="27"/>
      <c r="J485" s="132"/>
      <c r="K485" s="27"/>
      <c r="M485" s="139"/>
      <c r="P485" s="27"/>
      <c r="Q485" s="27"/>
      <c r="W485" s="126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26"/>
      <c r="C486" s="27"/>
      <c r="D486" s="27"/>
      <c r="E486" s="27"/>
      <c r="H486" s="27"/>
      <c r="J486" s="132"/>
      <c r="K486" s="27"/>
      <c r="M486" s="139"/>
      <c r="P486" s="27"/>
      <c r="Q486" s="27"/>
      <c r="W486" s="126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26"/>
      <c r="C487" s="27"/>
      <c r="D487" s="27"/>
      <c r="E487" s="27"/>
      <c r="H487" s="27"/>
      <c r="J487" s="132"/>
      <c r="K487" s="27"/>
      <c r="M487" s="139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6"/>
      <c r="C488" s="27"/>
      <c r="D488" s="27"/>
      <c r="E488" s="27"/>
      <c r="H488" s="27"/>
      <c r="J488" s="132"/>
      <c r="K488" s="27"/>
      <c r="M488" s="139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6"/>
      <c r="C489" s="27"/>
      <c r="D489" s="27"/>
      <c r="E489" s="27"/>
      <c r="H489" s="27"/>
      <c r="J489" s="132"/>
      <c r="K489" s="27"/>
      <c r="M489" s="139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6"/>
      <c r="C490" s="27"/>
      <c r="D490" s="27"/>
      <c r="E490" s="27"/>
      <c r="H490" s="27"/>
      <c r="J490" s="132"/>
      <c r="K490" s="27"/>
      <c r="M490" s="139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6"/>
      <c r="C491" s="27"/>
      <c r="D491" s="27"/>
      <c r="E491" s="27"/>
      <c r="H491" s="27"/>
      <c r="J491" s="132"/>
      <c r="K491" s="27"/>
      <c r="M491" s="139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6"/>
      <c r="C492" s="27"/>
      <c r="D492" s="27"/>
      <c r="E492" s="27"/>
      <c r="H492" s="27"/>
      <c r="J492" s="132"/>
      <c r="K492" s="27"/>
      <c r="M492" s="139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6"/>
      <c r="C493" s="27"/>
      <c r="D493" s="27"/>
      <c r="E493" s="27"/>
      <c r="H493" s="27"/>
      <c r="J493" s="132"/>
      <c r="K493" s="27"/>
      <c r="M493" s="139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6"/>
      <c r="C494" s="27"/>
      <c r="D494" s="27"/>
      <c r="E494" s="27"/>
      <c r="H494" s="27"/>
      <c r="J494" s="132"/>
      <c r="K494" s="27"/>
      <c r="M494" s="139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6"/>
      <c r="C495" s="27"/>
      <c r="D495" s="27"/>
      <c r="E495" s="27"/>
      <c r="H495" s="27"/>
      <c r="J495" s="132"/>
      <c r="K495" s="27"/>
      <c r="M495" s="139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6"/>
      <c r="C496" s="27"/>
      <c r="D496" s="27"/>
      <c r="E496" s="27"/>
      <c r="H496" s="27"/>
      <c r="J496" s="132"/>
      <c r="K496" s="27"/>
      <c r="M496" s="139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6"/>
      <c r="C497" s="27"/>
      <c r="D497" s="27"/>
      <c r="E497" s="27"/>
      <c r="H497" s="27"/>
      <c r="J497" s="132"/>
      <c r="K497" s="27"/>
      <c r="M497" s="139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6"/>
      <c r="C498" s="27"/>
      <c r="D498" s="27"/>
      <c r="E498" s="27"/>
      <c r="H498" s="27"/>
      <c r="J498" s="132"/>
      <c r="K498" s="27"/>
      <c r="M498" s="139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6"/>
      <c r="C499" s="27"/>
      <c r="D499" s="27"/>
      <c r="E499" s="27"/>
      <c r="H499" s="27"/>
      <c r="J499" s="132"/>
      <c r="K499" s="27"/>
      <c r="M499" s="139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7"/>
      <c r="C500" s="27"/>
      <c r="D500" s="27"/>
      <c r="E500" s="27"/>
      <c r="H500" s="27"/>
      <c r="I500" s="127"/>
      <c r="J500" s="132"/>
      <c r="K500" s="27"/>
      <c r="L500" s="27"/>
      <c r="M500" s="139"/>
      <c r="O500" s="133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7"/>
      <c r="C501" s="27"/>
      <c r="D501" s="27"/>
      <c r="E501" s="27"/>
      <c r="H501" s="27"/>
      <c r="I501" s="127"/>
      <c r="J501" s="132"/>
      <c r="K501" s="27"/>
      <c r="L501" s="27"/>
      <c r="M501" s="139"/>
      <c r="O501" s="133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7"/>
      <c r="C502" s="27"/>
      <c r="D502" s="27"/>
      <c r="E502" s="27"/>
      <c r="H502" s="27"/>
      <c r="I502" s="127"/>
      <c r="J502" s="132"/>
      <c r="K502" s="27"/>
      <c r="L502" s="27"/>
      <c r="M502" s="139"/>
      <c r="O502" s="133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7"/>
      <c r="C503" s="27"/>
      <c r="D503" s="27"/>
      <c r="E503" s="27"/>
      <c r="H503" s="27"/>
      <c r="I503" s="127"/>
      <c r="J503" s="132"/>
      <c r="K503" s="27"/>
      <c r="L503" s="27"/>
      <c r="M503" s="139"/>
      <c r="O503" s="133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7"/>
      <c r="C504" s="27"/>
      <c r="D504" s="27"/>
      <c r="E504" s="27"/>
      <c r="H504" s="27"/>
      <c r="I504" s="127"/>
      <c r="J504" s="132"/>
      <c r="K504" s="27"/>
      <c r="L504" s="27"/>
      <c r="M504" s="139"/>
      <c r="O504" s="133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7"/>
      <c r="C505" s="27"/>
      <c r="D505" s="27"/>
      <c r="E505" s="27"/>
      <c r="H505" s="27"/>
      <c r="I505" s="127"/>
      <c r="J505" s="132"/>
      <c r="K505" s="27"/>
      <c r="L505" s="27"/>
      <c r="M505" s="139"/>
      <c r="O505" s="133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7"/>
      <c r="C506" s="27"/>
      <c r="D506" s="27"/>
      <c r="E506" s="27"/>
      <c r="H506" s="27"/>
      <c r="I506" s="127"/>
      <c r="J506" s="132"/>
      <c r="K506" s="27"/>
      <c r="L506" s="27"/>
      <c r="M506" s="139"/>
      <c r="O506" s="133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7"/>
      <c r="C507" s="27"/>
      <c r="D507" s="27"/>
      <c r="E507" s="27"/>
      <c r="H507" s="27"/>
      <c r="I507" s="127"/>
      <c r="J507" s="132"/>
      <c r="K507" s="27"/>
      <c r="L507" s="27"/>
      <c r="M507" s="139"/>
      <c r="O507" s="133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7"/>
      <c r="C508" s="27"/>
      <c r="D508" s="27"/>
      <c r="E508" s="27"/>
      <c r="H508" s="27"/>
      <c r="I508" s="127"/>
      <c r="J508" s="132"/>
      <c r="K508" s="27"/>
      <c r="L508" s="27"/>
      <c r="M508" s="139"/>
      <c r="O508" s="133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7"/>
      <c r="C509" s="27"/>
      <c r="D509" s="27"/>
      <c r="E509" s="27"/>
      <c r="H509" s="27"/>
      <c r="I509" s="127"/>
      <c r="J509" s="132"/>
      <c r="K509" s="27"/>
      <c r="L509" s="27"/>
      <c r="M509" s="139"/>
      <c r="O509" s="133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7"/>
      <c r="C510" s="27"/>
      <c r="D510" s="27"/>
      <c r="E510" s="27"/>
      <c r="H510" s="27"/>
      <c r="I510" s="127"/>
      <c r="J510" s="132"/>
      <c r="K510" s="27"/>
      <c r="L510" s="27"/>
      <c r="M510" s="139"/>
      <c r="O510" s="133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7"/>
      <c r="C511" s="27"/>
      <c r="D511" s="27"/>
      <c r="E511" s="27"/>
      <c r="H511" s="27"/>
      <c r="I511" s="127"/>
      <c r="J511" s="132"/>
      <c r="K511" s="27"/>
      <c r="L511" s="27"/>
      <c r="M511" s="139"/>
      <c r="O511" s="133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7"/>
      <c r="C512" s="27"/>
      <c r="D512" s="27"/>
      <c r="E512" s="27"/>
      <c r="H512" s="27"/>
      <c r="I512" s="127"/>
      <c r="J512" s="132"/>
      <c r="K512" s="27"/>
      <c r="L512" s="27"/>
      <c r="M512" s="139"/>
      <c r="O512" s="133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7"/>
      <c r="C513" s="27"/>
      <c r="D513" s="27"/>
      <c r="E513" s="27"/>
      <c r="H513" s="27"/>
      <c r="I513" s="127"/>
      <c r="J513" s="132"/>
      <c r="K513" s="27"/>
      <c r="L513" s="27"/>
      <c r="M513" s="139"/>
      <c r="O513" s="133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7"/>
      <c r="C514" s="27"/>
      <c r="D514" s="27"/>
      <c r="E514" s="27"/>
      <c r="H514" s="27"/>
      <c r="I514" s="127"/>
      <c r="J514" s="132"/>
      <c r="K514" s="27"/>
      <c r="L514" s="27"/>
      <c r="M514" s="139"/>
      <c r="O514" s="133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7"/>
      <c r="C515" s="27"/>
      <c r="D515" s="27"/>
      <c r="E515" s="27"/>
      <c r="H515" s="27"/>
      <c r="I515" s="127"/>
      <c r="J515" s="132"/>
      <c r="K515" s="27"/>
      <c r="L515" s="27"/>
      <c r="M515" s="139"/>
      <c r="O515" s="133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7"/>
      <c r="C516" s="27"/>
      <c r="D516" s="27"/>
      <c r="E516" s="27"/>
      <c r="H516" s="27"/>
      <c r="I516" s="127"/>
      <c r="J516" s="132"/>
      <c r="K516" s="27"/>
      <c r="L516" s="27"/>
      <c r="M516" s="139"/>
      <c r="O516" s="133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7"/>
      <c r="C517" s="27"/>
      <c r="D517" s="27"/>
      <c r="E517" s="27"/>
      <c r="H517" s="27"/>
      <c r="I517" s="127"/>
      <c r="J517" s="132"/>
      <c r="K517" s="27"/>
      <c r="L517" s="27"/>
      <c r="M517" s="139"/>
      <c r="O517" s="133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7"/>
      <c r="C518" s="27"/>
      <c r="D518" s="27"/>
      <c r="E518" s="27"/>
      <c r="H518" s="27"/>
      <c r="I518" s="127"/>
      <c r="J518" s="132"/>
      <c r="K518" s="27"/>
      <c r="L518" s="27"/>
      <c r="M518" s="139"/>
      <c r="O518" s="133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6"/>
      <c r="C519" s="27"/>
      <c r="D519" s="27"/>
      <c r="E519" s="27"/>
      <c r="H519" s="27"/>
      <c r="J519" s="132"/>
      <c r="K519" s="27"/>
      <c r="L519" s="27"/>
      <c r="O519" s="133"/>
      <c r="P519" s="27"/>
      <c r="Q519" s="27"/>
      <c r="W519" s="126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26"/>
      <c r="C520" s="27"/>
      <c r="D520" s="27"/>
      <c r="E520" s="27"/>
      <c r="H520" s="27"/>
      <c r="J520" s="132"/>
      <c r="K520" s="27"/>
      <c r="L520" s="27"/>
      <c r="O520" s="133"/>
      <c r="P520" s="27"/>
      <c r="Q520" s="27"/>
      <c r="W520" s="126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26"/>
      <c r="C521" s="27"/>
      <c r="D521" s="27"/>
      <c r="E521" s="27"/>
      <c r="H521" s="27"/>
      <c r="J521" s="132"/>
      <c r="K521" s="27"/>
      <c r="L521" s="27"/>
      <c r="O521" s="133"/>
      <c r="P521" s="27"/>
      <c r="Q521" s="27"/>
      <c r="W521" s="126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26"/>
      <c r="C522" s="27"/>
      <c r="D522" s="27"/>
      <c r="E522" s="27"/>
      <c r="H522" s="27"/>
      <c r="J522" s="132"/>
      <c r="K522" s="27"/>
      <c r="L522" s="27"/>
      <c r="O522" s="133"/>
      <c r="P522" s="27"/>
      <c r="Q522" s="27"/>
      <c r="W522" s="126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26"/>
      <c r="C523" s="27"/>
      <c r="D523" s="27"/>
      <c r="E523" s="27"/>
      <c r="H523" s="27"/>
      <c r="J523" s="132"/>
      <c r="K523" s="27"/>
      <c r="L523" s="27"/>
      <c r="O523" s="133"/>
      <c r="P523" s="27"/>
      <c r="Q523" s="27"/>
      <c r="W523" s="126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26"/>
      <c r="C524" s="27"/>
      <c r="D524" s="27"/>
      <c r="E524" s="27"/>
      <c r="H524" s="27"/>
      <c r="J524" s="132"/>
      <c r="K524" s="27"/>
      <c r="L524" s="27"/>
      <c r="O524" s="133"/>
      <c r="P524" s="27"/>
      <c r="Q524" s="27"/>
      <c r="W524" s="126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26"/>
      <c r="C525" s="27"/>
      <c r="D525" s="27"/>
      <c r="E525" s="27"/>
      <c r="H525" s="27"/>
      <c r="J525" s="132"/>
      <c r="K525" s="27"/>
      <c r="L525" s="27"/>
      <c r="O525" s="133"/>
      <c r="P525" s="27"/>
      <c r="Q525" s="27"/>
      <c r="W525" s="126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6"/>
      <c r="C526" s="27"/>
      <c r="D526" s="27"/>
      <c r="E526" s="27"/>
      <c r="H526" s="27"/>
      <c r="J526" s="132"/>
      <c r="K526" s="27"/>
      <c r="L526" s="27"/>
      <c r="O526" s="133"/>
      <c r="P526" s="27"/>
      <c r="Q526" s="27"/>
      <c r="W526" s="126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6"/>
      <c r="C527" s="27"/>
      <c r="D527" s="27"/>
      <c r="E527" s="27"/>
      <c r="H527" s="27"/>
      <c r="J527" s="132"/>
      <c r="K527" s="27"/>
      <c r="L527" s="27"/>
      <c r="O527" s="133"/>
      <c r="P527" s="27"/>
      <c r="Q527" s="27"/>
      <c r="W527" s="126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6"/>
      <c r="C528" s="27"/>
      <c r="D528" s="27"/>
      <c r="E528" s="27"/>
      <c r="H528" s="27"/>
      <c r="J528" s="132"/>
      <c r="K528" s="27"/>
      <c r="L528" s="27"/>
      <c r="O528" s="133"/>
      <c r="P528" s="27"/>
      <c r="Q528" s="27"/>
      <c r="W528" s="126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6"/>
      <c r="C529" s="27"/>
      <c r="D529" s="27"/>
      <c r="E529" s="27"/>
      <c r="H529" s="27"/>
      <c r="J529" s="132"/>
      <c r="K529" s="27"/>
      <c r="L529" s="27"/>
      <c r="O529" s="133"/>
      <c r="P529" s="27"/>
      <c r="Q529" s="27"/>
      <c r="W529" s="126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6"/>
      <c r="C530" s="27"/>
      <c r="D530" s="27"/>
      <c r="E530" s="27"/>
      <c r="H530" s="27"/>
      <c r="I530" s="27"/>
      <c r="J530" s="132"/>
      <c r="K530" s="27"/>
      <c r="L530" s="27"/>
      <c r="N530" s="126"/>
      <c r="O530" s="133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6"/>
      <c r="C531" s="27"/>
      <c r="D531" s="27"/>
      <c r="E531" s="27"/>
      <c r="H531" s="27"/>
      <c r="I531" s="27"/>
      <c r="J531" s="132"/>
      <c r="K531" s="27"/>
      <c r="L531" s="27"/>
      <c r="N531" s="126"/>
      <c r="O531" s="133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6"/>
      <c r="C532" s="27"/>
      <c r="D532" s="27"/>
      <c r="E532" s="27"/>
      <c r="H532" s="27"/>
      <c r="I532" s="27"/>
      <c r="J532" s="132"/>
      <c r="K532" s="27"/>
      <c r="L532" s="27"/>
      <c r="N532" s="126"/>
      <c r="O532" s="133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6"/>
      <c r="C533" s="27"/>
      <c r="D533" s="27"/>
      <c r="E533" s="27"/>
      <c r="H533" s="27"/>
      <c r="I533" s="27"/>
      <c r="J533" s="132"/>
      <c r="K533" s="27"/>
      <c r="L533" s="27"/>
      <c r="N533" s="126"/>
      <c r="O533" s="133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 s="128" customFormat="1">
      <c r="B534" s="140"/>
      <c r="C534" s="141"/>
      <c r="D534" s="141"/>
      <c r="E534" s="27"/>
      <c r="H534" s="27"/>
      <c r="I534" s="141"/>
      <c r="J534" s="142"/>
      <c r="K534" s="141"/>
      <c r="L534" s="141"/>
      <c r="M534" s="136"/>
      <c r="P534" s="141"/>
      <c r="Q534" s="141"/>
      <c r="W534" s="141"/>
      <c r="X534" s="141"/>
      <c r="Z534" s="141"/>
      <c r="AA534" s="27"/>
      <c r="AB534" s="140"/>
      <c r="AC534" s="141"/>
      <c r="AD534" s="141"/>
      <c r="AI534" s="141"/>
      <c r="AJ534" s="141"/>
      <c r="AK534" s="141"/>
      <c r="AN534" s="140"/>
      <c r="AO534" s="141"/>
      <c r="AP534" s="141"/>
    </row>
    <row r="535" spans="2:42" s="128" customFormat="1">
      <c r="B535" s="140"/>
      <c r="C535" s="141"/>
      <c r="D535" s="141"/>
      <c r="E535" s="27"/>
      <c r="H535" s="27"/>
      <c r="I535" s="141"/>
      <c r="J535" s="142"/>
      <c r="K535" s="141"/>
      <c r="L535" s="141"/>
      <c r="M535" s="136"/>
      <c r="P535" s="141"/>
      <c r="Q535" s="141"/>
      <c r="W535" s="141"/>
      <c r="X535" s="141"/>
      <c r="Z535" s="141"/>
      <c r="AA535" s="27"/>
      <c r="AB535" s="140"/>
      <c r="AC535" s="141"/>
      <c r="AD535" s="141"/>
      <c r="AI535" s="141"/>
      <c r="AJ535" s="141"/>
      <c r="AK535" s="141"/>
      <c r="AN535" s="140"/>
      <c r="AO535" s="141"/>
      <c r="AP535" s="141"/>
    </row>
    <row r="536" spans="2:42">
      <c r="B536" s="126"/>
      <c r="C536" s="27"/>
      <c r="D536" s="27"/>
      <c r="E536" s="27"/>
      <c r="H536" s="27"/>
      <c r="I536" s="27"/>
      <c r="J536" s="132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6"/>
      <c r="C537" s="27"/>
      <c r="D537" s="27"/>
      <c r="E537" s="27"/>
      <c r="H537" s="27"/>
      <c r="I537" s="27"/>
      <c r="J537" s="132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26"/>
      <c r="C538" s="27"/>
      <c r="D538" s="27"/>
      <c r="E538" s="27"/>
      <c r="H538" s="27"/>
      <c r="I538" s="27"/>
      <c r="J538" s="132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26"/>
      <c r="C539" s="27"/>
      <c r="D539" s="27"/>
      <c r="E539" s="27"/>
      <c r="H539" s="27"/>
      <c r="I539" s="27"/>
      <c r="J539" s="132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6"/>
      <c r="C540" s="27"/>
      <c r="D540" s="27"/>
      <c r="E540" s="27"/>
      <c r="H540" s="27"/>
      <c r="I540" s="27"/>
      <c r="J540" s="132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6"/>
      <c r="C541" s="27"/>
      <c r="D541" s="27"/>
      <c r="E541" s="27"/>
      <c r="H541" s="27"/>
      <c r="I541" s="27"/>
      <c r="J541" s="132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6"/>
      <c r="C542" s="27"/>
      <c r="D542" s="27"/>
      <c r="E542" s="27"/>
      <c r="H542" s="27"/>
      <c r="I542" s="27"/>
      <c r="J542" s="132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6"/>
      <c r="C543" s="27"/>
      <c r="D543" s="27"/>
      <c r="E543" s="27"/>
      <c r="H543" s="27"/>
      <c r="I543" s="27"/>
      <c r="J543" s="132"/>
      <c r="K543" s="27"/>
      <c r="L543" s="2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26"/>
      <c r="C544" s="27"/>
      <c r="D544" s="27"/>
      <c r="E544" s="27"/>
      <c r="H544" s="27"/>
      <c r="I544" s="27"/>
      <c r="J544" s="132"/>
      <c r="K544" s="27"/>
      <c r="L544" s="2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26"/>
      <c r="C545" s="27"/>
      <c r="D545" s="27"/>
      <c r="E545" s="27"/>
      <c r="H545" s="27"/>
      <c r="I545" s="27"/>
      <c r="J545" s="132"/>
      <c r="K545" s="27"/>
      <c r="L545" s="27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26"/>
      <c r="C546" s="27"/>
      <c r="D546" s="27"/>
      <c r="E546" s="27"/>
      <c r="H546" s="27"/>
      <c r="I546" s="27"/>
      <c r="J546" s="132"/>
      <c r="K546" s="27"/>
      <c r="L546" s="27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26"/>
      <c r="C547" s="27"/>
      <c r="D547" s="27"/>
      <c r="E547" s="27"/>
      <c r="H547" s="27"/>
      <c r="I547" s="27"/>
      <c r="J547" s="132"/>
      <c r="K547" s="27"/>
      <c r="L547" s="27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26"/>
      <c r="C548" s="27"/>
      <c r="D548" s="27"/>
      <c r="E548" s="27"/>
      <c r="H548" s="27"/>
      <c r="I548" s="27"/>
      <c r="J548" s="132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26"/>
      <c r="C549" s="27"/>
      <c r="D549" s="27"/>
      <c r="E549" s="27"/>
      <c r="H549" s="27"/>
      <c r="I549" s="27"/>
      <c r="J549" s="132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26"/>
      <c r="C550" s="27"/>
      <c r="D550" s="27"/>
      <c r="E550" s="27"/>
      <c r="H550" s="27"/>
      <c r="I550" s="27"/>
      <c r="J550" s="132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26"/>
      <c r="C551" s="27"/>
      <c r="D551" s="27"/>
      <c r="E551" s="27"/>
      <c r="H551" s="27"/>
      <c r="I551" s="27"/>
      <c r="J551" s="132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26"/>
      <c r="C552" s="27"/>
      <c r="D552" s="27"/>
      <c r="E552" s="27"/>
      <c r="H552" s="27"/>
      <c r="I552" s="27"/>
      <c r="J552" s="132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26"/>
      <c r="C553" s="27"/>
      <c r="D553" s="27"/>
      <c r="E553" s="27"/>
      <c r="H553" s="27"/>
      <c r="I553" s="27"/>
      <c r="J553" s="132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26"/>
      <c r="C554" s="27"/>
      <c r="D554" s="27"/>
      <c r="E554" s="27"/>
      <c r="H554" s="27"/>
      <c r="I554" s="27"/>
      <c r="J554" s="132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26"/>
      <c r="C555" s="27"/>
      <c r="D555" s="27"/>
      <c r="E555" s="27"/>
      <c r="H555" s="27"/>
      <c r="I555" s="127"/>
      <c r="J555" s="132"/>
      <c r="K555" s="27"/>
      <c r="L555" s="27"/>
      <c r="P555" s="27"/>
      <c r="Q555" s="27"/>
      <c r="V555" s="27"/>
      <c r="W555" s="126"/>
      <c r="X555" s="27"/>
      <c r="Z555" s="27"/>
      <c r="AA555" s="27"/>
      <c r="AB555" s="27"/>
      <c r="AC555" s="27"/>
      <c r="AD555" s="27"/>
      <c r="AI555" s="27"/>
      <c r="AJ555" s="27"/>
      <c r="AK555" s="27"/>
      <c r="AO555" s="27"/>
      <c r="AP555" s="27"/>
    </row>
    <row r="556" spans="2:42">
      <c r="B556" s="126"/>
      <c r="C556" s="27"/>
      <c r="D556" s="27"/>
      <c r="E556" s="27"/>
      <c r="H556" s="27"/>
      <c r="I556" s="132"/>
      <c r="J556" s="132"/>
      <c r="K556" s="27"/>
      <c r="L556" s="27"/>
      <c r="P556" s="27"/>
      <c r="Q556" s="27"/>
      <c r="V556" s="27"/>
      <c r="W556" s="126"/>
      <c r="X556" s="27"/>
      <c r="Z556" s="27"/>
      <c r="AA556" s="27"/>
      <c r="AB556" s="27"/>
      <c r="AC556" s="27"/>
      <c r="AD556" s="27"/>
      <c r="AI556" s="27"/>
      <c r="AJ556" s="27"/>
      <c r="AK556" s="27"/>
      <c r="AO556" s="27"/>
      <c r="AP556" s="27"/>
    </row>
    <row r="557" spans="2:42">
      <c r="B557" s="126"/>
      <c r="C557" s="27"/>
      <c r="D557" s="27"/>
      <c r="E557" s="27"/>
      <c r="H557" s="27"/>
      <c r="I557" s="132"/>
      <c r="J557" s="132"/>
      <c r="K557" s="27"/>
      <c r="L557" s="27"/>
      <c r="P557" s="27"/>
      <c r="Q557" s="27"/>
      <c r="V557" s="27"/>
      <c r="W557" s="126"/>
      <c r="X557" s="27"/>
      <c r="Z557" s="27"/>
      <c r="AA557" s="27"/>
      <c r="AB557" s="27"/>
      <c r="AC557" s="27"/>
      <c r="AD557" s="27"/>
      <c r="AI557" s="27"/>
      <c r="AJ557" s="27"/>
      <c r="AK557" s="27"/>
      <c r="AO557" s="27"/>
      <c r="AP557" s="27"/>
    </row>
    <row r="558" spans="2:42">
      <c r="B558" s="126"/>
      <c r="C558" s="27"/>
      <c r="D558" s="27"/>
      <c r="E558" s="27"/>
      <c r="H558" s="27"/>
      <c r="I558" s="132"/>
      <c r="J558" s="132"/>
      <c r="K558" s="27"/>
      <c r="L558" s="27"/>
      <c r="P558" s="27"/>
      <c r="Q558" s="27"/>
      <c r="V558" s="27"/>
      <c r="W558" s="126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2:42">
      <c r="B559" s="126"/>
      <c r="C559" s="27"/>
      <c r="D559" s="27"/>
      <c r="E559" s="27"/>
      <c r="H559" s="27"/>
      <c r="I559" s="132"/>
      <c r="J559" s="132"/>
      <c r="K559" s="27"/>
      <c r="L559" s="27"/>
      <c r="P559" s="27"/>
      <c r="Q559" s="27"/>
      <c r="V559" s="27"/>
      <c r="W559" s="126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26"/>
      <c r="C560" s="27"/>
      <c r="D560" s="27"/>
      <c r="E560" s="27"/>
      <c r="H560" s="27"/>
      <c r="I560" s="132"/>
      <c r="J560" s="132"/>
      <c r="K560" s="27"/>
      <c r="L560" s="27"/>
      <c r="P560" s="27"/>
      <c r="Q560" s="27"/>
      <c r="V560" s="27"/>
      <c r="W560" s="126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26"/>
      <c r="C561" s="27"/>
      <c r="D561" s="27"/>
      <c r="E561" s="27"/>
      <c r="H561" s="27"/>
      <c r="I561" s="132"/>
      <c r="J561" s="132"/>
      <c r="K561" s="27"/>
      <c r="L561" s="27"/>
      <c r="P561" s="27"/>
      <c r="Q561" s="27"/>
      <c r="V561" s="27"/>
      <c r="W561" s="126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26"/>
      <c r="C562" s="27"/>
      <c r="D562" s="27"/>
      <c r="E562" s="27"/>
      <c r="H562" s="27"/>
      <c r="I562" s="132"/>
      <c r="J562" s="132"/>
      <c r="K562" s="27"/>
      <c r="L562" s="27"/>
      <c r="P562" s="27"/>
      <c r="Q562" s="27"/>
      <c r="V562" s="27"/>
      <c r="W562" s="126"/>
      <c r="X562" s="27"/>
      <c r="Z562" s="27"/>
      <c r="AA562" s="27"/>
      <c r="AB562" s="27"/>
      <c r="AC562" s="27"/>
      <c r="AD562" s="27"/>
      <c r="AI562" s="27"/>
      <c r="AJ562" s="27"/>
      <c r="AK562" s="27"/>
      <c r="AO562" s="27"/>
      <c r="AP562" s="27"/>
    </row>
    <row r="563" spans="2:42">
      <c r="B563" s="126"/>
      <c r="C563" s="27"/>
      <c r="D563" s="27"/>
      <c r="E563" s="27"/>
      <c r="H563" s="27"/>
      <c r="I563" s="132"/>
      <c r="J563" s="132"/>
      <c r="K563" s="27"/>
      <c r="L563" s="27"/>
      <c r="P563" s="27"/>
      <c r="Q563" s="27"/>
      <c r="V563" s="27"/>
      <c r="W563" s="126"/>
      <c r="X563" s="27"/>
      <c r="Z563" s="27"/>
      <c r="AA563" s="27"/>
      <c r="AB563" s="27"/>
      <c r="AC563" s="27"/>
      <c r="AD563" s="27"/>
      <c r="AI563" s="27"/>
      <c r="AJ563" s="27"/>
      <c r="AK563" s="27"/>
      <c r="AO563" s="27"/>
      <c r="AP563" s="27"/>
    </row>
    <row r="564" spans="2:42">
      <c r="B564" s="27"/>
      <c r="C564" s="27"/>
      <c r="D564" s="27"/>
      <c r="E564" s="27"/>
      <c r="F564" s="27"/>
      <c r="G564" s="27"/>
      <c r="H564" s="27"/>
      <c r="I564" s="27"/>
      <c r="J564" s="132"/>
      <c r="K564" s="132"/>
      <c r="L564" s="27"/>
      <c r="M564" s="133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  <c r="AA564" s="27"/>
      <c r="AB564" s="27"/>
      <c r="AC564" s="27"/>
      <c r="AD564" s="27"/>
      <c r="AE564" s="27"/>
      <c r="AF564" s="27"/>
      <c r="AG564" s="27"/>
      <c r="AH564" s="27"/>
      <c r="AI564" s="27"/>
      <c r="AJ564" s="27"/>
      <c r="AK564" s="27"/>
      <c r="AL564" s="27"/>
      <c r="AM564" s="27"/>
      <c r="AN564" s="27"/>
      <c r="AO564" s="27"/>
      <c r="AP564" s="27"/>
    </row>
    <row r="565" spans="2:42">
      <c r="B565" s="27"/>
      <c r="C565" s="27"/>
      <c r="D565" s="27"/>
      <c r="E565" s="27"/>
      <c r="F565" s="27"/>
      <c r="G565" s="27"/>
      <c r="H565" s="27"/>
      <c r="I565" s="27"/>
      <c r="J565" s="132"/>
      <c r="K565" s="132"/>
      <c r="L565" s="27"/>
      <c r="M565" s="133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  <c r="AA565" s="27"/>
      <c r="AB565" s="27"/>
      <c r="AC565" s="27"/>
      <c r="AD565" s="27"/>
      <c r="AE565" s="27"/>
      <c r="AF565" s="27"/>
      <c r="AG565" s="27"/>
      <c r="AH565" s="27"/>
      <c r="AI565" s="27"/>
      <c r="AJ565" s="27"/>
      <c r="AK565" s="27"/>
      <c r="AL565" s="27"/>
      <c r="AM565" s="27"/>
      <c r="AN565" s="27"/>
      <c r="AO565" s="27"/>
      <c r="AP565" s="27"/>
    </row>
    <row r="566" spans="2:42">
      <c r="B566" s="27"/>
      <c r="C566" s="27"/>
      <c r="D566" s="27"/>
      <c r="E566" s="27"/>
      <c r="F566" s="27"/>
      <c r="G566" s="27"/>
      <c r="H566" s="27"/>
      <c r="I566" s="27"/>
      <c r="J566" s="132"/>
      <c r="K566" s="132"/>
      <c r="L566" s="27"/>
      <c r="M566" s="133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  <c r="AA566" s="27"/>
      <c r="AB566" s="27"/>
      <c r="AC566" s="27"/>
      <c r="AD566" s="27"/>
      <c r="AE566" s="27"/>
      <c r="AF566" s="27"/>
      <c r="AG566" s="27"/>
      <c r="AH566" s="27"/>
      <c r="AI566" s="27"/>
      <c r="AJ566" s="27"/>
      <c r="AK566" s="27"/>
      <c r="AL566" s="27"/>
      <c r="AM566" s="27"/>
      <c r="AN566" s="27"/>
      <c r="AO566" s="27"/>
      <c r="AP566" s="27"/>
    </row>
    <row r="567" spans="2:42">
      <c r="B567" s="27"/>
      <c r="C567" s="27"/>
      <c r="D567" s="27"/>
      <c r="E567" s="27"/>
      <c r="F567" s="27"/>
      <c r="G567" s="27"/>
      <c r="H567" s="27"/>
      <c r="I567" s="27"/>
      <c r="J567" s="132"/>
      <c r="K567" s="132"/>
      <c r="L567" s="27"/>
      <c r="M567" s="133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  <c r="AA567" s="27"/>
      <c r="AB567" s="27"/>
      <c r="AC567" s="27"/>
      <c r="AD567" s="27"/>
      <c r="AE567" s="27"/>
      <c r="AF567" s="27"/>
      <c r="AG567" s="27"/>
      <c r="AH567" s="27"/>
      <c r="AI567" s="27"/>
      <c r="AJ567" s="27"/>
      <c r="AK567" s="27"/>
      <c r="AL567" s="27"/>
      <c r="AM567" s="27"/>
      <c r="AN567" s="27"/>
      <c r="AO567" s="27"/>
      <c r="AP567" s="27"/>
    </row>
    <row r="568" spans="2:42">
      <c r="B568" s="27"/>
      <c r="C568" s="27"/>
      <c r="D568" s="27"/>
      <c r="E568" s="27"/>
      <c r="F568" s="27"/>
      <c r="G568" s="27"/>
      <c r="H568" s="27"/>
      <c r="I568" s="27"/>
      <c r="J568" s="132"/>
      <c r="K568" s="132"/>
      <c r="L568" s="27"/>
      <c r="M568" s="133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  <c r="AB568" s="27"/>
      <c r="AC568" s="27"/>
      <c r="AD568" s="27"/>
      <c r="AE568" s="27"/>
      <c r="AF568" s="27"/>
      <c r="AG568" s="27"/>
      <c r="AH568" s="27"/>
      <c r="AI568" s="27"/>
      <c r="AJ568" s="27"/>
      <c r="AK568" s="27"/>
      <c r="AL568" s="27"/>
      <c r="AM568" s="27"/>
      <c r="AN568" s="27"/>
      <c r="AO568" s="27"/>
      <c r="AP568" s="27"/>
    </row>
    <row r="569" spans="2:42">
      <c r="B569" s="27"/>
      <c r="C569" s="27"/>
      <c r="D569" s="27"/>
      <c r="E569" s="27"/>
      <c r="F569" s="27"/>
      <c r="G569" s="27"/>
      <c r="H569" s="27"/>
      <c r="I569" s="27"/>
      <c r="J569" s="132"/>
      <c r="K569" s="132"/>
      <c r="L569" s="27"/>
      <c r="M569" s="133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  <c r="AB569" s="27"/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  <c r="AM569" s="27"/>
      <c r="AN569" s="27"/>
      <c r="AO569" s="27"/>
      <c r="AP569" s="27"/>
    </row>
    <row r="570" spans="2:42">
      <c r="B570" s="27"/>
      <c r="C570" s="27"/>
      <c r="D570" s="27"/>
      <c r="E570" s="27"/>
      <c r="F570" s="27"/>
      <c r="G570" s="27"/>
      <c r="H570" s="27"/>
      <c r="I570" s="27"/>
      <c r="J570" s="132"/>
      <c r="K570" s="132"/>
      <c r="L570" s="27"/>
      <c r="M570" s="133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  <c r="AB570" s="27"/>
      <c r="AC570" s="27"/>
      <c r="AD570" s="27"/>
      <c r="AE570" s="27"/>
      <c r="AF570" s="27"/>
      <c r="AG570" s="27"/>
      <c r="AH570" s="27"/>
      <c r="AI570" s="27"/>
      <c r="AJ570" s="27"/>
      <c r="AK570" s="27"/>
      <c r="AL570" s="27"/>
      <c r="AM570" s="27"/>
      <c r="AN570" s="27"/>
      <c r="AO570" s="27"/>
      <c r="AP570" s="27"/>
    </row>
    <row r="571" spans="2:42">
      <c r="B571" s="27"/>
      <c r="C571" s="27"/>
      <c r="D571" s="27"/>
      <c r="E571" s="27"/>
      <c r="H571" s="27"/>
      <c r="I571" s="132"/>
      <c r="J571" s="132"/>
      <c r="K571" s="27"/>
      <c r="L571" s="27"/>
      <c r="M571" s="143"/>
      <c r="O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132"/>
      <c r="J572" s="132"/>
      <c r="K572" s="27"/>
      <c r="L572" s="27"/>
      <c r="M572" s="143"/>
      <c r="O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132"/>
      <c r="J573" s="132"/>
      <c r="K573" s="27"/>
      <c r="L573" s="27"/>
      <c r="M573" s="144"/>
      <c r="O573" s="27"/>
      <c r="P573" s="27"/>
      <c r="Q573" s="27"/>
      <c r="W573" s="27"/>
      <c r="X573" s="27"/>
      <c r="Z573" s="27"/>
      <c r="AA573" s="27"/>
      <c r="AC573" s="27"/>
      <c r="AD573" s="27"/>
      <c r="AI573" s="126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132"/>
      <c r="J574" s="132"/>
      <c r="K574" s="27"/>
      <c r="L574" s="27"/>
      <c r="M574" s="143"/>
      <c r="O574" s="27"/>
      <c r="P574" s="27"/>
      <c r="Q574" s="27"/>
      <c r="W574" s="27"/>
      <c r="X574" s="27"/>
      <c r="Z574" s="27"/>
      <c r="AA574" s="27"/>
      <c r="AC574" s="27"/>
      <c r="AD574" s="27"/>
      <c r="AI574" s="126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132"/>
      <c r="J575" s="132"/>
      <c r="K575" s="27"/>
      <c r="L575" s="27"/>
      <c r="M575" s="143"/>
      <c r="O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32"/>
      <c r="K576" s="27"/>
      <c r="L576" s="27"/>
      <c r="M576" s="143"/>
      <c r="N576" s="126"/>
      <c r="O576" s="145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32"/>
      <c r="K577" s="27"/>
      <c r="L577" s="27"/>
      <c r="M577" s="143"/>
      <c r="N577" s="126"/>
      <c r="O577" s="145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32"/>
      <c r="K578" s="27"/>
      <c r="L578" s="27"/>
      <c r="M578" s="143"/>
      <c r="N578" s="126"/>
      <c r="O578" s="145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32"/>
      <c r="K579" s="27"/>
      <c r="L579" s="27"/>
      <c r="M579" s="143"/>
      <c r="N579" s="126"/>
      <c r="O579" s="145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32"/>
      <c r="K580" s="27"/>
      <c r="L580" s="27"/>
      <c r="M580" s="143"/>
      <c r="N580" s="126"/>
      <c r="O580" s="145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32"/>
      <c r="K581" s="27"/>
      <c r="L581" s="27"/>
      <c r="M581" s="143"/>
      <c r="N581" s="126"/>
      <c r="O581" s="145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32"/>
      <c r="K582" s="27"/>
      <c r="L582" s="27"/>
      <c r="M582" s="143"/>
      <c r="N582" s="126"/>
      <c r="O582" s="145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32"/>
      <c r="K583" s="27"/>
      <c r="L583" s="27"/>
      <c r="M583" s="143"/>
      <c r="N583" s="126"/>
      <c r="O583" s="145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32"/>
      <c r="K584" s="27"/>
      <c r="L584" s="27"/>
      <c r="M584" s="143"/>
      <c r="N584" s="126"/>
      <c r="O584" s="145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32"/>
      <c r="K585" s="27"/>
      <c r="L585" s="27"/>
      <c r="M585" s="143"/>
      <c r="N585" s="126"/>
      <c r="O585" s="145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32"/>
      <c r="K586" s="27"/>
      <c r="L586" s="27"/>
      <c r="M586" s="143"/>
      <c r="N586" s="126"/>
      <c r="O586" s="145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32"/>
      <c r="K587" s="27"/>
      <c r="L587" s="27"/>
      <c r="M587" s="143"/>
      <c r="N587" s="126"/>
      <c r="O587" s="145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32"/>
      <c r="K588" s="27"/>
      <c r="L588" s="27"/>
      <c r="M588" s="143"/>
      <c r="N588" s="126"/>
      <c r="O588" s="145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32"/>
      <c r="K589" s="27"/>
      <c r="L589" s="27"/>
      <c r="M589" s="143"/>
      <c r="N589" s="126"/>
      <c r="O589" s="145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32"/>
      <c r="K590" s="27"/>
      <c r="L590" s="27"/>
      <c r="M590" s="143"/>
      <c r="N590" s="126"/>
      <c r="O590" s="145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32"/>
      <c r="K591" s="27"/>
      <c r="L591" s="27"/>
      <c r="M591" s="143"/>
      <c r="N591" s="126"/>
      <c r="O591" s="145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32"/>
      <c r="K592" s="27"/>
      <c r="L592" s="27"/>
      <c r="M592" s="143"/>
      <c r="N592" s="126"/>
      <c r="O592" s="145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32"/>
      <c r="K593" s="27"/>
      <c r="L593" s="27"/>
      <c r="M593" s="143"/>
      <c r="N593" s="126"/>
      <c r="O593" s="145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32"/>
      <c r="K594" s="27"/>
      <c r="L594" s="27"/>
      <c r="M594" s="143"/>
      <c r="N594" s="126"/>
      <c r="O594" s="145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32"/>
      <c r="K595" s="27"/>
      <c r="L595" s="27"/>
      <c r="M595" s="143"/>
      <c r="N595" s="126"/>
      <c r="O595" s="145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32"/>
      <c r="K596" s="27"/>
      <c r="L596" s="27"/>
      <c r="M596" s="144"/>
      <c r="N596" s="126"/>
      <c r="O596" s="145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32"/>
      <c r="K597" s="27"/>
      <c r="L597" s="27"/>
      <c r="M597" s="144"/>
      <c r="N597" s="126"/>
      <c r="O597" s="145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32"/>
      <c r="K598" s="27"/>
      <c r="L598" s="27"/>
      <c r="M598" s="144"/>
      <c r="N598" s="126"/>
      <c r="O598" s="145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32"/>
      <c r="K599" s="27"/>
      <c r="L599" s="27"/>
      <c r="M599" s="144"/>
      <c r="N599" s="126"/>
      <c r="O599" s="145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32"/>
      <c r="K600" s="27"/>
      <c r="L600" s="27"/>
      <c r="M600" s="144"/>
      <c r="N600" s="126"/>
      <c r="O600" s="145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32"/>
      <c r="K601" s="27"/>
      <c r="L601" s="27"/>
      <c r="M601" s="144"/>
      <c r="N601" s="126"/>
      <c r="O601" s="145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32"/>
      <c r="K602" s="27"/>
      <c r="L602" s="27"/>
      <c r="M602" s="144"/>
      <c r="N602" s="126"/>
      <c r="O602" s="145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32"/>
      <c r="K603" s="27"/>
      <c r="L603" s="27"/>
      <c r="M603" s="144"/>
      <c r="N603" s="126"/>
      <c r="O603" s="145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32"/>
      <c r="K604" s="27"/>
      <c r="L604" s="27"/>
      <c r="M604" s="144"/>
      <c r="N604" s="126"/>
      <c r="O604" s="145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32"/>
      <c r="K605" s="27"/>
      <c r="L605" s="27"/>
      <c r="M605" s="144"/>
      <c r="N605" s="126"/>
      <c r="O605" s="145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32"/>
      <c r="K606" s="27"/>
      <c r="L606" s="27"/>
      <c r="M606" s="143"/>
      <c r="N606" s="126"/>
      <c r="O606" s="145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32"/>
      <c r="K607" s="27"/>
      <c r="L607" s="27"/>
      <c r="M607" s="143"/>
      <c r="N607" s="126"/>
      <c r="O607" s="145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32"/>
      <c r="K608" s="27"/>
      <c r="L608" s="27"/>
      <c r="M608" s="143"/>
      <c r="N608" s="126"/>
      <c r="O608" s="145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32"/>
      <c r="K609" s="27"/>
      <c r="L609" s="27"/>
      <c r="M609" s="143"/>
      <c r="N609" s="126"/>
      <c r="O609" s="145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32"/>
      <c r="K610" s="27"/>
      <c r="L610" s="27"/>
      <c r="M610" s="143"/>
      <c r="N610" s="126"/>
      <c r="O610" s="145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32"/>
      <c r="K611" s="27"/>
      <c r="L611" s="27"/>
      <c r="M611" s="143"/>
      <c r="N611" s="126"/>
      <c r="O611" s="145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32"/>
      <c r="K612" s="27"/>
      <c r="L612" s="27"/>
      <c r="M612" s="143"/>
      <c r="N612" s="126"/>
      <c r="O612" s="145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32"/>
      <c r="K613" s="27"/>
      <c r="L613" s="27"/>
      <c r="M613" s="143"/>
      <c r="N613" s="126"/>
      <c r="O613" s="145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32"/>
      <c r="K614" s="27"/>
      <c r="L614" s="27"/>
      <c r="M614" s="143"/>
      <c r="N614" s="126"/>
      <c r="O614" s="145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32"/>
      <c r="K615" s="27"/>
      <c r="L615" s="27"/>
      <c r="M615" s="143"/>
      <c r="N615" s="126"/>
      <c r="O615" s="145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32"/>
      <c r="K616" s="27"/>
      <c r="M616" s="143"/>
      <c r="N616" s="126"/>
      <c r="O616" s="145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32"/>
      <c r="K617" s="27"/>
      <c r="M617" s="143"/>
      <c r="N617" s="126"/>
      <c r="O617" s="145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32"/>
      <c r="K618" s="27"/>
      <c r="M618" s="143"/>
      <c r="N618" s="126"/>
      <c r="O618" s="145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32"/>
      <c r="K619" s="27"/>
      <c r="M619" s="143"/>
      <c r="N619" s="126"/>
      <c r="O619" s="145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32"/>
      <c r="K620" s="27"/>
      <c r="M620" s="143"/>
      <c r="N620" s="126"/>
      <c r="O620" s="145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32"/>
      <c r="K621" s="27"/>
      <c r="M621" s="143"/>
      <c r="N621" s="126"/>
      <c r="O621" s="145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32"/>
      <c r="K622" s="27"/>
      <c r="M622" s="143"/>
      <c r="N622" s="126"/>
      <c r="O622" s="145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32"/>
      <c r="K623" s="27"/>
      <c r="M623" s="143"/>
      <c r="N623" s="126"/>
      <c r="O623" s="145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32"/>
      <c r="K624" s="27"/>
      <c r="M624" s="143"/>
      <c r="N624" s="126"/>
      <c r="O624" s="145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32"/>
      <c r="K625" s="27"/>
      <c r="M625" s="143"/>
      <c r="N625" s="126"/>
      <c r="O625" s="145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32"/>
      <c r="K626" s="27"/>
      <c r="L626" s="27"/>
      <c r="M626" s="145"/>
      <c r="O626" s="130"/>
      <c r="P626" s="27"/>
      <c r="Q626" s="27"/>
      <c r="V626" s="27"/>
      <c r="W626" s="126"/>
      <c r="X626" s="27"/>
      <c r="Z626" s="27"/>
      <c r="AA626" s="27"/>
      <c r="AC626" s="27"/>
      <c r="AD626" s="27"/>
      <c r="AJ626" s="27"/>
      <c r="AK626" s="27"/>
    </row>
    <row r="627" spans="2:42">
      <c r="B627" s="27"/>
      <c r="C627" s="27"/>
      <c r="D627" s="27"/>
      <c r="E627" s="27"/>
      <c r="H627" s="27"/>
      <c r="I627" s="27"/>
      <c r="J627" s="132"/>
      <c r="K627" s="27"/>
      <c r="L627" s="27"/>
      <c r="M627" s="145"/>
      <c r="O627" s="130"/>
      <c r="P627" s="27"/>
      <c r="Q627" s="27"/>
      <c r="V627" s="27"/>
      <c r="W627" s="126"/>
      <c r="X627" s="27"/>
      <c r="Z627" s="27"/>
      <c r="AA627" s="27"/>
      <c r="AB627" s="27"/>
      <c r="AC627" s="27"/>
      <c r="AD627" s="27"/>
      <c r="AJ627" s="27"/>
      <c r="AK627" s="27"/>
    </row>
    <row r="628" spans="2:42">
      <c r="B628" s="27"/>
      <c r="C628" s="27"/>
      <c r="D628" s="27"/>
      <c r="E628" s="27"/>
      <c r="H628" s="27"/>
      <c r="I628" s="27"/>
      <c r="J628" s="132"/>
      <c r="K628" s="27"/>
      <c r="L628" s="27"/>
      <c r="M628" s="145"/>
      <c r="O628" s="130"/>
      <c r="P628" s="27"/>
      <c r="Q628" s="27"/>
      <c r="V628" s="27"/>
      <c r="W628" s="126"/>
      <c r="X628" s="27"/>
      <c r="Z628" s="27"/>
      <c r="AA628" s="27"/>
      <c r="AB628" s="27"/>
      <c r="AC628" s="27"/>
      <c r="AD628" s="27"/>
      <c r="AJ628" s="27"/>
      <c r="AK628" s="27"/>
    </row>
    <row r="629" spans="2:42">
      <c r="B629" s="27"/>
      <c r="C629" s="27"/>
      <c r="D629" s="27"/>
      <c r="E629" s="27"/>
      <c r="H629" s="27"/>
      <c r="I629" s="27"/>
      <c r="J629" s="132"/>
      <c r="K629" s="27"/>
      <c r="L629" s="27"/>
      <c r="M629" s="145"/>
      <c r="O629" s="130"/>
      <c r="P629" s="27"/>
      <c r="Q629" s="27"/>
      <c r="V629" s="27"/>
      <c r="W629" s="126"/>
      <c r="X629" s="27"/>
      <c r="Z629" s="27"/>
      <c r="AA629" s="27"/>
      <c r="AB629" s="27"/>
      <c r="AC629" s="27"/>
      <c r="AD629" s="27"/>
      <c r="AJ629" s="27"/>
      <c r="AK629" s="27"/>
    </row>
    <row r="630" spans="2:42" s="129" customFormat="1">
      <c r="B630" s="146"/>
      <c r="C630" s="146"/>
      <c r="D630" s="146"/>
      <c r="E630" s="27"/>
      <c r="H630" s="27"/>
      <c r="I630" s="146"/>
      <c r="J630" s="147"/>
      <c r="K630" s="146"/>
      <c r="L630" s="146"/>
      <c r="M630" s="148"/>
      <c r="O630" s="149"/>
      <c r="P630" s="146"/>
      <c r="Q630" s="146"/>
      <c r="V630" s="146"/>
      <c r="W630" s="150"/>
      <c r="X630" s="146"/>
      <c r="Z630" s="146"/>
      <c r="AA630" s="146"/>
      <c r="AB630" s="150"/>
      <c r="AC630" s="146"/>
      <c r="AD630" s="146"/>
      <c r="AJ630" s="146"/>
      <c r="AK630" s="146"/>
      <c r="AN630" s="150"/>
    </row>
    <row r="631" spans="2:42" s="129" customFormat="1">
      <c r="B631" s="146"/>
      <c r="C631" s="146"/>
      <c r="D631" s="146"/>
      <c r="E631" s="27"/>
      <c r="H631" s="27"/>
      <c r="I631" s="146"/>
      <c r="J631" s="147"/>
      <c r="K631" s="146"/>
      <c r="L631" s="146"/>
      <c r="M631" s="148"/>
      <c r="O631" s="149"/>
      <c r="P631" s="146"/>
      <c r="Q631" s="146"/>
      <c r="V631" s="146"/>
      <c r="W631" s="150"/>
      <c r="X631" s="146"/>
      <c r="Z631" s="146"/>
      <c r="AA631" s="146"/>
      <c r="AB631" s="150"/>
      <c r="AC631" s="146"/>
      <c r="AD631" s="146"/>
      <c r="AJ631" s="146"/>
      <c r="AK631" s="146"/>
      <c r="AN631" s="150"/>
    </row>
    <row r="632" spans="2:42" s="129" customFormat="1">
      <c r="B632" s="146"/>
      <c r="C632" s="146"/>
      <c r="D632" s="146"/>
      <c r="E632" s="27"/>
      <c r="H632" s="27"/>
      <c r="I632" s="146"/>
      <c r="J632" s="147"/>
      <c r="K632" s="146"/>
      <c r="L632" s="146"/>
      <c r="M632" s="148"/>
      <c r="O632" s="149"/>
      <c r="P632" s="146"/>
      <c r="Q632" s="146"/>
      <c r="V632" s="146"/>
      <c r="W632" s="150"/>
      <c r="X632" s="146"/>
      <c r="Z632" s="146"/>
      <c r="AA632" s="146"/>
      <c r="AB632" s="150"/>
      <c r="AC632" s="146"/>
      <c r="AD632" s="146"/>
      <c r="AJ632" s="146"/>
      <c r="AK632" s="146"/>
      <c r="AN632" s="150"/>
    </row>
    <row r="633" spans="2:42" s="129" customFormat="1">
      <c r="B633" s="146"/>
      <c r="C633" s="146"/>
      <c r="D633" s="146"/>
      <c r="E633" s="27"/>
      <c r="H633" s="27"/>
      <c r="I633" s="146"/>
      <c r="J633" s="147"/>
      <c r="K633" s="146"/>
      <c r="L633" s="146"/>
      <c r="M633" s="148"/>
      <c r="O633" s="149"/>
      <c r="P633" s="146"/>
      <c r="Q633" s="146"/>
      <c r="V633" s="146"/>
      <c r="W633" s="150"/>
      <c r="X633" s="146"/>
      <c r="Z633" s="146"/>
      <c r="AA633" s="146"/>
      <c r="AB633" s="150"/>
      <c r="AC633" s="146"/>
      <c r="AD633" s="146"/>
      <c r="AJ633" s="146"/>
      <c r="AK633" s="146"/>
      <c r="AN633" s="150"/>
    </row>
    <row r="634" spans="2:42">
      <c r="B634" s="27"/>
      <c r="C634" s="27"/>
      <c r="D634" s="27"/>
      <c r="E634" s="27"/>
      <c r="H634" s="27"/>
      <c r="I634" s="27"/>
      <c r="J634" s="132"/>
      <c r="K634" s="27"/>
      <c r="L634" s="27"/>
      <c r="M634" s="145"/>
      <c r="O634" s="130"/>
      <c r="P634" s="27"/>
      <c r="Q634" s="27"/>
      <c r="W634" s="27"/>
      <c r="X634" s="27"/>
      <c r="Z634" s="27"/>
      <c r="AA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32"/>
      <c r="K635" s="27"/>
      <c r="L635" s="27"/>
      <c r="M635" s="145"/>
      <c r="O635" s="13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32"/>
      <c r="K636" s="27"/>
      <c r="L636" s="27"/>
      <c r="M636" s="145"/>
      <c r="O636" s="13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32"/>
      <c r="K637" s="27"/>
      <c r="L637" s="27"/>
      <c r="M637" s="145"/>
      <c r="O637" s="13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 s="129" customFormat="1">
      <c r="B638" s="146"/>
      <c r="C638" s="146"/>
      <c r="D638" s="146"/>
      <c r="E638" s="27"/>
      <c r="H638" s="27"/>
      <c r="I638" s="146"/>
      <c r="J638" s="147"/>
      <c r="K638" s="146"/>
      <c r="L638" s="146"/>
      <c r="M638" s="148"/>
      <c r="O638" s="149"/>
      <c r="P638" s="146"/>
      <c r="Q638" s="146"/>
      <c r="W638" s="146"/>
      <c r="X638" s="146"/>
      <c r="Z638" s="146"/>
      <c r="AA638" s="146"/>
      <c r="AB638" s="150"/>
      <c r="AC638" s="146"/>
      <c r="AD638" s="146"/>
      <c r="AJ638" s="146"/>
      <c r="AK638" s="146"/>
      <c r="AN638" s="150"/>
      <c r="AO638" s="146"/>
      <c r="AP638" s="146"/>
    </row>
    <row r="639" spans="2:42" s="129" customFormat="1">
      <c r="B639" s="146"/>
      <c r="C639" s="146"/>
      <c r="D639" s="146"/>
      <c r="E639" s="27"/>
      <c r="H639" s="27"/>
      <c r="I639" s="146"/>
      <c r="J639" s="147"/>
      <c r="K639" s="146"/>
      <c r="L639" s="146"/>
      <c r="M639" s="148"/>
      <c r="O639" s="149"/>
      <c r="P639" s="146"/>
      <c r="Q639" s="146"/>
      <c r="W639" s="146"/>
      <c r="X639" s="146"/>
      <c r="Z639" s="146"/>
      <c r="AA639" s="146"/>
      <c r="AB639" s="150"/>
      <c r="AC639" s="146"/>
      <c r="AD639" s="146"/>
      <c r="AJ639" s="146"/>
      <c r="AK639" s="146"/>
      <c r="AN639" s="150"/>
      <c r="AO639" s="146"/>
      <c r="AP639" s="146"/>
    </row>
    <row r="640" spans="2:42" s="129" customFormat="1">
      <c r="B640" s="146"/>
      <c r="C640" s="146"/>
      <c r="D640" s="146"/>
      <c r="E640" s="27"/>
      <c r="H640" s="27"/>
      <c r="I640" s="146"/>
      <c r="J640" s="147"/>
      <c r="K640" s="146"/>
      <c r="L640" s="146"/>
      <c r="M640" s="148"/>
      <c r="O640" s="149"/>
      <c r="P640" s="146"/>
      <c r="Q640" s="146"/>
      <c r="W640" s="146"/>
      <c r="X640" s="146"/>
      <c r="Z640" s="146"/>
      <c r="AA640" s="146"/>
      <c r="AB640" s="150"/>
      <c r="AC640" s="146"/>
      <c r="AD640" s="146"/>
      <c r="AJ640" s="146"/>
      <c r="AK640" s="146"/>
      <c r="AN640" s="150"/>
      <c r="AO640" s="146"/>
      <c r="AP640" s="146"/>
    </row>
    <row r="641" spans="2:42" s="129" customFormat="1">
      <c r="B641" s="146"/>
      <c r="C641" s="146"/>
      <c r="D641" s="146"/>
      <c r="E641" s="27"/>
      <c r="H641" s="27"/>
      <c r="I641" s="146"/>
      <c r="J641" s="147"/>
      <c r="K641" s="146"/>
      <c r="L641" s="146"/>
      <c r="M641" s="148"/>
      <c r="O641" s="149"/>
      <c r="P641" s="146"/>
      <c r="Q641" s="146"/>
      <c r="W641" s="146"/>
      <c r="X641" s="146"/>
      <c r="Z641" s="146"/>
      <c r="AA641" s="146"/>
      <c r="AB641" s="150"/>
      <c r="AC641" s="146"/>
      <c r="AD641" s="146"/>
      <c r="AJ641" s="146"/>
      <c r="AK641" s="146"/>
      <c r="AN641" s="150"/>
      <c r="AO641" s="146"/>
      <c r="AP641" s="146"/>
    </row>
    <row r="642" spans="2:42">
      <c r="B642" s="27"/>
      <c r="C642" s="27"/>
      <c r="D642" s="27"/>
      <c r="E642" s="27"/>
      <c r="H642" s="27"/>
      <c r="I642" s="27"/>
      <c r="J642" s="132"/>
      <c r="K642" s="27"/>
      <c r="L642" s="27"/>
      <c r="M642" s="133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32"/>
      <c r="K643" s="27"/>
      <c r="L643" s="27"/>
      <c r="M643" s="133"/>
      <c r="O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32"/>
      <c r="K644" s="27"/>
      <c r="L644" s="27"/>
      <c r="M644" s="133"/>
      <c r="O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32"/>
      <c r="K645" s="27"/>
      <c r="L645" s="27"/>
      <c r="M645" s="133"/>
      <c r="O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32"/>
      <c r="K646" s="27"/>
      <c r="L646" s="27"/>
      <c r="M646" s="133"/>
      <c r="O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32"/>
      <c r="K647" s="27"/>
      <c r="L647" s="27"/>
      <c r="M647" s="133"/>
      <c r="O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32"/>
      <c r="K648" s="27"/>
      <c r="L648" s="27"/>
      <c r="M648" s="133"/>
      <c r="O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32"/>
      <c r="K649" s="27"/>
      <c r="L649" s="27"/>
      <c r="M649" s="133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32"/>
      <c r="K650" s="27"/>
      <c r="L650" s="27"/>
      <c r="M650" s="133"/>
      <c r="O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32"/>
      <c r="K651" s="27"/>
      <c r="L651" s="27"/>
      <c r="M651" s="133"/>
      <c r="O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32"/>
      <c r="K652" s="27"/>
      <c r="L652" s="27"/>
      <c r="M652" s="133"/>
      <c r="O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32"/>
      <c r="K653" s="27"/>
      <c r="L653" s="27"/>
      <c r="M653" s="133"/>
      <c r="O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32"/>
      <c r="K654" s="27"/>
      <c r="L654" s="27"/>
      <c r="M654" s="133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32"/>
      <c r="K655" s="27"/>
      <c r="L655" s="27"/>
      <c r="M655" s="133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132"/>
      <c r="C656" s="27"/>
      <c r="D656" s="27"/>
      <c r="E656" s="27"/>
      <c r="H656" s="27"/>
      <c r="I656" s="132"/>
      <c r="J656" s="132"/>
      <c r="K656" s="27"/>
      <c r="L656" s="27"/>
      <c r="M656" s="133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32"/>
      <c r="K657" s="27"/>
      <c r="L657" s="27"/>
      <c r="O657" s="130"/>
      <c r="P657" s="27"/>
      <c r="Q657" s="27"/>
      <c r="V657" s="27"/>
      <c r="W657" s="126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32"/>
      <c r="K658" s="27"/>
      <c r="L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32"/>
      <c r="K659" s="27"/>
      <c r="L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32"/>
      <c r="K660" s="27"/>
      <c r="L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32"/>
      <c r="K661" s="27"/>
      <c r="L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32"/>
      <c r="K662" s="27"/>
      <c r="L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32"/>
      <c r="K663" s="27"/>
      <c r="L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32"/>
      <c r="K664" s="27"/>
      <c r="L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32"/>
      <c r="K665" s="27"/>
      <c r="L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32"/>
      <c r="K666" s="27"/>
      <c r="L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</row>
    <row r="667" spans="2:42">
      <c r="B667" s="27"/>
      <c r="C667" s="27"/>
      <c r="D667" s="27"/>
      <c r="E667" s="27"/>
      <c r="H667" s="27"/>
      <c r="I667" s="27"/>
      <c r="J667" s="132"/>
      <c r="K667" s="27"/>
      <c r="L667" s="27"/>
      <c r="P667" s="27"/>
      <c r="Q667" s="27"/>
      <c r="R667" s="126"/>
      <c r="S667" s="126"/>
      <c r="T667" s="126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32"/>
      <c r="K668" s="27"/>
      <c r="L668" s="27"/>
      <c r="P668" s="27"/>
      <c r="Q668" s="27"/>
      <c r="R668" s="126"/>
      <c r="S668" s="126"/>
      <c r="T668" s="126"/>
      <c r="W668" s="27"/>
      <c r="X668" s="27"/>
      <c r="Z668" s="27"/>
      <c r="AA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32"/>
      <c r="K669" s="27"/>
      <c r="L669" s="27"/>
      <c r="P669" s="27"/>
      <c r="Q669" s="27"/>
      <c r="R669" s="126"/>
      <c r="S669" s="126"/>
      <c r="T669" s="126"/>
      <c r="W669" s="27"/>
      <c r="X669" s="27"/>
      <c r="Z669" s="27"/>
      <c r="AA669" s="27"/>
      <c r="AC669" s="27"/>
      <c r="AD669" s="27"/>
      <c r="AJ669" s="27"/>
      <c r="AK669" s="27"/>
    </row>
    <row r="670" spans="2:42">
      <c r="B670" s="27"/>
      <c r="C670" s="27"/>
      <c r="D670" s="27"/>
      <c r="E670" s="27"/>
      <c r="H670" s="27"/>
      <c r="I670" s="27"/>
      <c r="J670" s="132"/>
      <c r="K670" s="27"/>
      <c r="L670" s="27"/>
      <c r="P670" s="27"/>
      <c r="Q670" s="27"/>
      <c r="R670" s="126"/>
      <c r="S670" s="126"/>
      <c r="T670" s="126"/>
      <c r="W670" s="27"/>
      <c r="X670" s="27"/>
      <c r="Z670" s="27"/>
      <c r="AA670" s="27"/>
      <c r="AC670" s="27"/>
      <c r="AD670" s="27"/>
      <c r="AJ670" s="27"/>
      <c r="AK670" s="27"/>
    </row>
    <row r="671" spans="2:42">
      <c r="B671" s="27"/>
      <c r="C671" s="27"/>
      <c r="D671" s="27"/>
      <c r="E671" s="27"/>
      <c r="H671" s="27"/>
      <c r="I671" s="27"/>
      <c r="J671" s="132"/>
      <c r="K671" s="27"/>
      <c r="L671" s="27"/>
      <c r="P671" s="27"/>
      <c r="Q671" s="27"/>
      <c r="R671" s="126"/>
      <c r="S671" s="126"/>
      <c r="T671" s="126"/>
      <c r="W671" s="27"/>
      <c r="X671" s="27"/>
      <c r="Z671" s="27"/>
      <c r="AA671" s="27"/>
      <c r="AC671" s="27"/>
      <c r="AD671" s="27"/>
      <c r="AJ671" s="27"/>
      <c r="AK671" s="27"/>
    </row>
    <row r="672" spans="2:42">
      <c r="B672" s="27"/>
      <c r="C672" s="27"/>
      <c r="D672" s="27"/>
      <c r="E672" s="27"/>
      <c r="H672" s="27"/>
      <c r="I672" s="27"/>
      <c r="J672" s="132"/>
      <c r="K672" s="27"/>
      <c r="L672" s="27"/>
      <c r="P672" s="27"/>
      <c r="Q672" s="27"/>
      <c r="R672" s="126"/>
      <c r="S672" s="126"/>
      <c r="T672" s="126"/>
      <c r="W672" s="27"/>
      <c r="X672" s="27"/>
      <c r="Z672" s="27"/>
      <c r="AA672" s="27"/>
      <c r="AC672" s="27"/>
      <c r="AD672" s="27"/>
      <c r="AJ672" s="27"/>
      <c r="AK672" s="27"/>
    </row>
    <row r="673" spans="2:41">
      <c r="B673" s="27"/>
      <c r="C673" s="27"/>
      <c r="D673" s="27"/>
      <c r="E673" s="27"/>
      <c r="H673" s="27"/>
      <c r="I673" s="27"/>
      <c r="J673" s="132"/>
      <c r="K673" s="27"/>
      <c r="L673" s="27"/>
      <c r="P673" s="27"/>
      <c r="Q673" s="27"/>
      <c r="R673" s="126"/>
      <c r="S673" s="126"/>
      <c r="T673" s="126"/>
      <c r="W673" s="27"/>
      <c r="X673" s="27"/>
      <c r="Z673" s="27"/>
      <c r="AA673" s="27"/>
      <c r="AC673" s="27"/>
      <c r="AD673" s="27"/>
      <c r="AJ673" s="27"/>
      <c r="AK673" s="27"/>
    </row>
    <row r="674" spans="2:41">
      <c r="B674" s="27"/>
      <c r="C674" s="27"/>
      <c r="D674" s="27"/>
      <c r="E674" s="27"/>
      <c r="H674" s="27"/>
      <c r="I674" s="27"/>
      <c r="J674" s="132"/>
      <c r="K674" s="27"/>
      <c r="L674" s="27"/>
      <c r="P674" s="27"/>
      <c r="Q674" s="27"/>
      <c r="R674" s="126"/>
      <c r="S674" s="126"/>
      <c r="T674" s="126"/>
      <c r="W674" s="27"/>
      <c r="X674" s="27"/>
      <c r="Z674" s="27"/>
      <c r="AA674" s="27"/>
      <c r="AC674" s="27"/>
      <c r="AD674" s="27"/>
      <c r="AJ674" s="27"/>
      <c r="AK674" s="27"/>
    </row>
    <row r="675" spans="2:41">
      <c r="B675" s="27"/>
      <c r="C675" s="27"/>
      <c r="D675" s="27"/>
      <c r="E675" s="27"/>
      <c r="H675" s="27"/>
      <c r="I675" s="27"/>
      <c r="J675" s="132"/>
      <c r="K675" s="27"/>
      <c r="L675" s="27"/>
      <c r="P675" s="27"/>
      <c r="Q675" s="27"/>
      <c r="R675" s="126"/>
      <c r="S675" s="126"/>
      <c r="T675" s="126"/>
      <c r="W675" s="27"/>
      <c r="X675" s="27"/>
      <c r="Z675" s="27"/>
      <c r="AA675" s="27"/>
      <c r="AC675" s="27"/>
      <c r="AD675" s="27"/>
      <c r="AJ675" s="27"/>
      <c r="AK675" s="27"/>
    </row>
    <row r="676" spans="2:41">
      <c r="B676" s="27"/>
      <c r="C676" s="27"/>
      <c r="D676" s="27"/>
      <c r="E676" s="27"/>
      <c r="H676" s="27"/>
      <c r="I676" s="130"/>
      <c r="J676" s="132"/>
      <c r="K676" s="27"/>
      <c r="M676" s="139"/>
      <c r="W676" s="27"/>
      <c r="Z676" s="27"/>
      <c r="AA676" s="27"/>
      <c r="AC676" s="27"/>
      <c r="AD676" s="27"/>
      <c r="AI676" s="27"/>
      <c r="AO676" s="27"/>
    </row>
    <row r="677" spans="2:41">
      <c r="B677" s="27"/>
      <c r="C677" s="27"/>
      <c r="D677" s="27"/>
      <c r="E677" s="27"/>
      <c r="H677" s="27"/>
      <c r="I677" s="130"/>
      <c r="J677" s="132"/>
      <c r="K677" s="27"/>
      <c r="M677" s="139"/>
      <c r="W677" s="27"/>
      <c r="Z677" s="27"/>
      <c r="AA677" s="27"/>
      <c r="AC677" s="27"/>
      <c r="AD677" s="27"/>
      <c r="AI677" s="27"/>
      <c r="AO677" s="27"/>
    </row>
    <row r="678" spans="2:41">
      <c r="B678" s="27"/>
      <c r="C678" s="27"/>
      <c r="D678" s="27"/>
      <c r="E678" s="27"/>
      <c r="H678" s="27"/>
      <c r="I678" s="130"/>
      <c r="J678" s="132"/>
      <c r="K678" s="27"/>
      <c r="M678" s="139"/>
      <c r="W678" s="27"/>
      <c r="Z678" s="27"/>
      <c r="AA678" s="27"/>
      <c r="AC678" s="27"/>
      <c r="AD678" s="27"/>
      <c r="AI678" s="27"/>
      <c r="AO678" s="27"/>
    </row>
    <row r="679" spans="2:41">
      <c r="B679" s="27"/>
      <c r="C679" s="27"/>
      <c r="D679" s="27"/>
      <c r="E679" s="27"/>
      <c r="H679" s="27"/>
      <c r="I679" s="130"/>
      <c r="J679" s="132"/>
      <c r="K679" s="27"/>
      <c r="M679" s="139"/>
      <c r="W679" s="27"/>
      <c r="Z679" s="27"/>
      <c r="AA679" s="27"/>
      <c r="AC679" s="27"/>
      <c r="AD679" s="27"/>
      <c r="AI679" s="27"/>
      <c r="AO679" s="27"/>
    </row>
    <row r="680" spans="2:41">
      <c r="B680" s="27"/>
      <c r="C680" s="27"/>
      <c r="D680" s="27"/>
      <c r="E680" s="27"/>
      <c r="H680" s="27"/>
      <c r="I680" s="130"/>
      <c r="J680" s="132"/>
      <c r="K680" s="27"/>
      <c r="M680" s="139"/>
      <c r="W680" s="27"/>
      <c r="Z680" s="27"/>
      <c r="AA680" s="27"/>
      <c r="AC680" s="27"/>
      <c r="AD680" s="27"/>
      <c r="AI680" s="27"/>
      <c r="AO680" s="27"/>
    </row>
    <row r="681" spans="2:41">
      <c r="B681" s="27"/>
      <c r="C681" s="27"/>
      <c r="D681" s="27"/>
      <c r="E681" s="27"/>
      <c r="H681" s="27"/>
      <c r="I681" s="130"/>
      <c r="J681" s="132"/>
      <c r="K681" s="27"/>
      <c r="M681" s="139"/>
      <c r="W681" s="27"/>
      <c r="Z681" s="27"/>
      <c r="AA681" s="27"/>
      <c r="AC681" s="27"/>
      <c r="AD681" s="27"/>
      <c r="AI681" s="27"/>
      <c r="AO681" s="27"/>
    </row>
    <row r="682" spans="2:41">
      <c r="B682" s="27"/>
      <c r="C682" s="27"/>
      <c r="D682" s="27"/>
      <c r="E682" s="27"/>
      <c r="H682" s="27"/>
      <c r="I682" s="130"/>
      <c r="J682" s="132"/>
      <c r="K682" s="27"/>
      <c r="M682" s="139"/>
      <c r="W682" s="27"/>
      <c r="Z682" s="27"/>
      <c r="AA682" s="27"/>
      <c r="AC682" s="27"/>
      <c r="AD682" s="27"/>
      <c r="AI682" s="27"/>
      <c r="AO682" s="27"/>
    </row>
    <row r="683" spans="2:41">
      <c r="B683" s="27"/>
      <c r="C683" s="27"/>
      <c r="D683" s="27"/>
      <c r="E683" s="27"/>
      <c r="H683" s="27"/>
      <c r="I683" s="130"/>
      <c r="J683" s="132"/>
      <c r="K683" s="27"/>
      <c r="M683" s="139"/>
      <c r="W683" s="27"/>
      <c r="Z683" s="27"/>
      <c r="AA683" s="27"/>
      <c r="AC683" s="27"/>
      <c r="AD683" s="27"/>
      <c r="AI683" s="27"/>
      <c r="AO683" s="27"/>
    </row>
    <row r="684" spans="2:41">
      <c r="B684" s="27"/>
      <c r="C684" s="27"/>
      <c r="D684" s="27"/>
      <c r="E684" s="27"/>
      <c r="H684" s="27"/>
      <c r="J684" s="132"/>
      <c r="K684" s="27"/>
    </row>
    <row r="685" spans="2:41">
      <c r="B685" s="27"/>
      <c r="C685" s="27"/>
      <c r="D685" s="27"/>
      <c r="E685" s="27"/>
      <c r="H685" s="27"/>
      <c r="J685" s="132"/>
      <c r="K685" s="126"/>
    </row>
    <row r="686" spans="2:41">
      <c r="E686" s="27"/>
      <c r="J686" s="132"/>
    </row>
    <row r="687" spans="2:41">
      <c r="E687" s="27"/>
      <c r="J687" s="132"/>
    </row>
    <row r="688" spans="2:41">
      <c r="E688" s="27"/>
      <c r="J688" s="132"/>
    </row>
    <row r="689" spans="5:10">
      <c r="E689" s="27"/>
      <c r="J689" s="132"/>
    </row>
    <row r="690" spans="5:10">
      <c r="E690" s="27"/>
      <c r="J690" s="132"/>
    </row>
    <row r="691" spans="5:10">
      <c r="E691" s="27"/>
      <c r="J691" s="132"/>
    </row>
    <row r="692" spans="5:10">
      <c r="E692" s="27"/>
      <c r="J692" s="132"/>
    </row>
    <row r="693" spans="5:10">
      <c r="E693" s="27"/>
      <c r="J693" s="132"/>
    </row>
    <row r="694" spans="5:10">
      <c r="E694" s="27"/>
      <c r="J694" s="132"/>
    </row>
    <row r="695" spans="5:10">
      <c r="E695" s="27"/>
      <c r="J695" s="132"/>
    </row>
    <row r="696" spans="5:10">
      <c r="E696" s="27"/>
      <c r="J696" s="132"/>
    </row>
    <row r="697" spans="5:10">
      <c r="E697" s="27"/>
      <c r="J697" s="132"/>
    </row>
    <row r="698" spans="5:10">
      <c r="E698" s="27"/>
      <c r="J698" s="132"/>
    </row>
    <row r="699" spans="5:10">
      <c r="E699" s="27"/>
      <c r="J699" s="132"/>
    </row>
    <row r="700" spans="5:10">
      <c r="E700" s="27"/>
      <c r="J700" s="132"/>
    </row>
    <row r="701" spans="5:10">
      <c r="E701" s="27"/>
      <c r="J701" s="132"/>
    </row>
    <row r="702" spans="5:10">
      <c r="E702" s="27"/>
      <c r="J702" s="132"/>
    </row>
    <row r="703" spans="5:10">
      <c r="E703" s="27"/>
      <c r="J703" s="132"/>
    </row>
    <row r="704" spans="5:10">
      <c r="E704" s="27"/>
      <c r="J704" s="132"/>
    </row>
    <row r="705" spans="5:10">
      <c r="E705" s="27"/>
      <c r="J705" s="132"/>
    </row>
    <row r="706" spans="5:10">
      <c r="E706" s="27"/>
      <c r="J706" s="132"/>
    </row>
    <row r="707" spans="5:10">
      <c r="E707" s="27"/>
      <c r="J707" s="132"/>
    </row>
    <row r="708" spans="5:10">
      <c r="E708" s="27"/>
      <c r="J708" s="132"/>
    </row>
    <row r="709" spans="5:10">
      <c r="E709" s="27"/>
      <c r="J709" s="132"/>
    </row>
    <row r="710" spans="5:10">
      <c r="E710" s="27"/>
      <c r="J710" s="132"/>
    </row>
    <row r="711" spans="5:10">
      <c r="E711" s="27"/>
      <c r="J711" s="132"/>
    </row>
    <row r="712" spans="5:10">
      <c r="E712" s="27"/>
      <c r="J712" s="132"/>
    </row>
    <row r="713" spans="5:10">
      <c r="E713" s="27"/>
      <c r="J713" s="132"/>
    </row>
    <row r="714" spans="5:10">
      <c r="E714" s="27"/>
      <c r="J714" s="132"/>
    </row>
    <row r="715" spans="5:10">
      <c r="E715" s="27"/>
      <c r="J715" s="132"/>
    </row>
    <row r="716" spans="5:10">
      <c r="E716" s="27"/>
      <c r="J716" s="132"/>
    </row>
    <row r="717" spans="5:10">
      <c r="E717" s="27"/>
      <c r="J717" s="132"/>
    </row>
    <row r="718" spans="5:10">
      <c r="E718" s="27"/>
      <c r="J718" s="132"/>
    </row>
    <row r="719" spans="5:10">
      <c r="E719" s="27"/>
      <c r="J719" s="132"/>
    </row>
    <row r="720" spans="5:10">
      <c r="E720" s="27"/>
      <c r="J720" s="132"/>
    </row>
    <row r="721" spans="5:10">
      <c r="E721" s="27"/>
      <c r="J721" s="132"/>
    </row>
    <row r="722" spans="5:10">
      <c r="E722" s="27"/>
      <c r="J722" s="132"/>
    </row>
    <row r="723" spans="5:10">
      <c r="E723" s="27"/>
      <c r="J723" s="132"/>
    </row>
    <row r="724" spans="5:10">
      <c r="E724" s="27"/>
    </row>
    <row r="725" spans="5:10">
      <c r="E725" s="27"/>
    </row>
  </sheetData>
  <autoFilter ref="A1:AP723">
    <extLst/>
  </autoFilter>
  <phoneticPr fontId="30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45"/>
  <sheetViews>
    <sheetView workbookViewId="0">
      <pane xSplit="5" ySplit="2" topLeftCell="F87" activePane="bottomRight" state="frozen"/>
      <selection pane="topRight"/>
      <selection pane="bottomLeft"/>
      <selection pane="bottomRight" activeCell="N108" sqref="N108"/>
    </sheetView>
  </sheetViews>
  <sheetFormatPr defaultColWidth="9" defaultRowHeight="14.25"/>
  <cols>
    <col min="1" max="1" width="2.125" style="37" customWidth="1"/>
    <col min="2" max="2" width="5.125" style="37" customWidth="1"/>
    <col min="3" max="3" width="27.125" style="37" customWidth="1"/>
    <col min="4" max="5" width="4.25" style="37" customWidth="1"/>
    <col min="6" max="6" width="8.125" style="38" customWidth="1"/>
    <col min="7" max="8" width="6.125" style="38" customWidth="1"/>
    <col min="9" max="9" width="6.625" style="38" customWidth="1"/>
    <col min="10" max="10" width="4.875" style="38" customWidth="1"/>
    <col min="11" max="11" width="5.125" style="38" customWidth="1"/>
    <col min="12" max="12" width="4.625" style="38" customWidth="1"/>
    <col min="13" max="13" width="5.25" style="38" customWidth="1"/>
    <col min="14" max="15" width="4.375" style="38" customWidth="1"/>
    <col min="16" max="19" width="5" style="60" customWidth="1"/>
    <col min="20" max="20" width="37.625" style="61" customWidth="1"/>
    <col min="21" max="21" width="50.375" style="62" customWidth="1"/>
    <col min="22" max="22" width="8.625" style="63" customWidth="1"/>
    <col min="23" max="43" width="8.625" style="64" customWidth="1"/>
    <col min="44" max="45" width="8.625" style="65" customWidth="1"/>
    <col min="46" max="91" width="8.625" style="64" customWidth="1"/>
    <col min="92" max="92" width="9.625" style="36" hidden="1" customWidth="1"/>
    <col min="93" max="93" width="14.5" style="36" hidden="1" customWidth="1"/>
    <col min="94" max="94" width="12" style="36" hidden="1" customWidth="1"/>
    <col min="95" max="95" width="13.125" style="36" hidden="1" customWidth="1"/>
    <col min="96" max="98" width="15.375" style="36" hidden="1" customWidth="1"/>
    <col min="99" max="99" width="46" style="19" customWidth="1"/>
    <col min="100" max="104" width="9" style="19"/>
    <col min="105" max="105" width="63" style="19" customWidth="1"/>
    <col min="106" max="119" width="3.625" style="66" customWidth="1"/>
    <col min="120" max="120" width="14.875" style="66" customWidth="1"/>
    <col min="121" max="131" width="3.625" style="66" customWidth="1"/>
    <col min="132" max="132" width="19.875" style="66" customWidth="1"/>
    <col min="133" max="133" width="9" style="66" customWidth="1"/>
    <col min="134" max="146" width="3.625" style="66" customWidth="1"/>
    <col min="147" max="147" width="4" style="19" customWidth="1"/>
    <col min="148" max="175" width="3.625" style="19" customWidth="1"/>
    <col min="176" max="16384" width="9" style="19"/>
  </cols>
  <sheetData>
    <row r="1" spans="1:175">
      <c r="F1" s="155" t="s">
        <v>105</v>
      </c>
      <c r="G1" s="155"/>
      <c r="H1" s="155"/>
      <c r="I1" s="155"/>
      <c r="J1" s="155"/>
      <c r="K1" s="155"/>
      <c r="L1" s="155"/>
      <c r="M1" s="155"/>
      <c r="N1" s="155"/>
      <c r="O1" s="155"/>
      <c r="P1" s="156" t="s">
        <v>106</v>
      </c>
      <c r="Q1" s="157"/>
      <c r="R1" s="157"/>
      <c r="S1" s="158"/>
      <c r="T1" s="159" t="s">
        <v>7</v>
      </c>
      <c r="U1" s="159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3">
        <v>23</v>
      </c>
      <c r="AS1" s="83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107</v>
      </c>
      <c r="CR1" s="85" t="s">
        <v>107</v>
      </c>
      <c r="CS1" s="87"/>
      <c r="CT1" s="87"/>
      <c r="DB1"/>
      <c r="DC1"/>
      <c r="DD1"/>
      <c r="DE1"/>
      <c r="DF1"/>
      <c r="DG1"/>
      <c r="DH1"/>
      <c r="DI1"/>
      <c r="DJ1" t="s">
        <v>108</v>
      </c>
      <c r="DK1" t="s">
        <v>108</v>
      </c>
      <c r="DL1" t="s">
        <v>108</v>
      </c>
      <c r="DM1" t="s">
        <v>108</v>
      </c>
      <c r="DN1" t="s">
        <v>108</v>
      </c>
      <c r="DO1" t="s">
        <v>108</v>
      </c>
      <c r="DP1" t="s">
        <v>108</v>
      </c>
      <c r="DQ1" t="s">
        <v>108</v>
      </c>
      <c r="DR1" t="s">
        <v>108</v>
      </c>
      <c r="DS1" t="s">
        <v>108</v>
      </c>
      <c r="DT1" t="s">
        <v>108</v>
      </c>
      <c r="DU1" t="s">
        <v>108</v>
      </c>
      <c r="DV1" t="s">
        <v>108</v>
      </c>
      <c r="DW1" t="s">
        <v>108</v>
      </c>
      <c r="DX1" t="s">
        <v>108</v>
      </c>
      <c r="DY1" t="s">
        <v>108</v>
      </c>
      <c r="DZ1" t="s">
        <v>108</v>
      </c>
      <c r="EA1"/>
      <c r="EB1"/>
      <c r="EC1"/>
      <c r="ED1"/>
      <c r="EE1"/>
      <c r="EF1" t="s">
        <v>108</v>
      </c>
      <c r="EG1" t="s">
        <v>108</v>
      </c>
      <c r="EH1" t="s">
        <v>108</v>
      </c>
      <c r="FJ1" s="29" t="s">
        <v>108</v>
      </c>
      <c r="FK1" s="29" t="s">
        <v>108</v>
      </c>
      <c r="FL1" s="29" t="s">
        <v>108</v>
      </c>
      <c r="FM1" s="29" t="s">
        <v>108</v>
      </c>
      <c r="FN1" s="29" t="s">
        <v>108</v>
      </c>
      <c r="FO1" s="29" t="s">
        <v>108</v>
      </c>
      <c r="FP1" s="29" t="s">
        <v>108</v>
      </c>
      <c r="FQ1" s="29" t="s">
        <v>108</v>
      </c>
      <c r="FR1" s="29" t="s">
        <v>108</v>
      </c>
    </row>
    <row r="2" spans="1:175">
      <c r="B2" s="37" t="s">
        <v>109</v>
      </c>
      <c r="D2" s="37" t="s">
        <v>110</v>
      </c>
      <c r="E2" s="37" t="s">
        <v>111</v>
      </c>
      <c r="F2" s="38" t="s">
        <v>112</v>
      </c>
      <c r="G2" s="38" t="s">
        <v>113</v>
      </c>
      <c r="H2" s="38" t="s">
        <v>114</v>
      </c>
      <c r="I2" s="38" t="s">
        <v>115</v>
      </c>
      <c r="J2" s="38" t="s">
        <v>116</v>
      </c>
      <c r="K2" s="38" t="s">
        <v>117</v>
      </c>
      <c r="L2" s="38" t="s">
        <v>118</v>
      </c>
      <c r="M2" s="38" t="s">
        <v>119</v>
      </c>
      <c r="N2" s="38" t="s">
        <v>120</v>
      </c>
      <c r="O2" s="38" t="s">
        <v>121</v>
      </c>
      <c r="P2" s="72" t="s">
        <v>112</v>
      </c>
      <c r="Q2" s="72" t="s">
        <v>122</v>
      </c>
      <c r="R2" s="72" t="s">
        <v>123</v>
      </c>
      <c r="S2" s="72" t="s">
        <v>124</v>
      </c>
      <c r="T2" s="75" t="s">
        <v>125</v>
      </c>
      <c r="U2" s="62" t="s">
        <v>126</v>
      </c>
      <c r="V2" t="s">
        <v>127</v>
      </c>
      <c r="W2" s="10" t="s">
        <v>128</v>
      </c>
      <c r="X2" t="s">
        <v>129</v>
      </c>
      <c r="Y2" t="s">
        <v>130</v>
      </c>
      <c r="Z2" t="s">
        <v>23</v>
      </c>
      <c r="AA2" t="s">
        <v>131</v>
      </c>
      <c r="AB2" t="s">
        <v>132</v>
      </c>
      <c r="AC2" t="s">
        <v>133</v>
      </c>
      <c r="AD2" t="s">
        <v>134</v>
      </c>
      <c r="AE2" t="s">
        <v>135</v>
      </c>
      <c r="AF2" t="s">
        <v>136</v>
      </c>
      <c r="AG2" t="s">
        <v>137</v>
      </c>
      <c r="AH2" t="s">
        <v>138</v>
      </c>
      <c r="AI2" t="s">
        <v>139</v>
      </c>
      <c r="AJ2" t="s">
        <v>140</v>
      </c>
      <c r="AK2" t="s">
        <v>141</v>
      </c>
      <c r="AL2" t="s">
        <v>142</v>
      </c>
      <c r="AM2" t="s">
        <v>143</v>
      </c>
      <c r="AN2" t="s">
        <v>144</v>
      </c>
      <c r="AO2" t="s">
        <v>145</v>
      </c>
      <c r="AP2" t="s">
        <v>146</v>
      </c>
      <c r="AQ2" t="s">
        <v>147</v>
      </c>
      <c r="AR2" s="83" t="s">
        <v>148</v>
      </c>
      <c r="AS2" s="83" t="s">
        <v>149</v>
      </c>
      <c r="AT2" t="s">
        <v>150</v>
      </c>
      <c r="AU2" t="s">
        <v>151</v>
      </c>
      <c r="AV2" s="10" t="s">
        <v>152</v>
      </c>
      <c r="AW2" s="10" t="s">
        <v>153</v>
      </c>
      <c r="AX2" s="10" t="s">
        <v>154</v>
      </c>
      <c r="AY2"/>
      <c r="AZ2" s="10" t="s">
        <v>155</v>
      </c>
      <c r="BA2" s="10" t="s">
        <v>156</v>
      </c>
      <c r="BB2" s="10" t="s">
        <v>157</v>
      </c>
      <c r="BC2" s="10" t="s">
        <v>158</v>
      </c>
      <c r="BD2" s="10" t="s">
        <v>159</v>
      </c>
      <c r="BE2" s="10"/>
      <c r="BF2" s="10"/>
      <c r="BG2" s="10"/>
      <c r="BH2" s="10"/>
      <c r="BI2" s="10" t="s">
        <v>160</v>
      </c>
      <c r="BJ2" s="10" t="s">
        <v>161</v>
      </c>
      <c r="BK2"/>
      <c r="BL2" s="25" t="s">
        <v>162</v>
      </c>
      <c r="BM2" s="25" t="s">
        <v>163</v>
      </c>
      <c r="BN2" s="25" t="s">
        <v>164</v>
      </c>
      <c r="BO2" s="25" t="s">
        <v>165</v>
      </c>
      <c r="BP2" s="25" t="s">
        <v>166</v>
      </c>
      <c r="BQ2" s="25" t="s">
        <v>167</v>
      </c>
      <c r="BR2" s="25" t="s">
        <v>168</v>
      </c>
      <c r="BS2" s="25" t="s">
        <v>169</v>
      </c>
      <c r="BT2" s="10" t="s">
        <v>170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171</v>
      </c>
      <c r="CO2" s="36" t="s">
        <v>172</v>
      </c>
      <c r="CP2" s="36" t="s">
        <v>173</v>
      </c>
      <c r="CQ2" s="36" t="s">
        <v>174</v>
      </c>
      <c r="CR2" s="36" t="s">
        <v>175</v>
      </c>
      <c r="CS2" s="36" t="s">
        <v>176</v>
      </c>
      <c r="CT2" s="36" t="s">
        <v>177</v>
      </c>
      <c r="DB2" s="89" t="str">
        <f>V2</f>
        <v>攻击</v>
      </c>
      <c r="DC2" s="89" t="str">
        <f t="shared" ref="DC2:FN2" si="0">W2</f>
        <v>业力</v>
      </c>
      <c r="DD2" s="89" t="str">
        <f t="shared" si="0"/>
        <v>护甲</v>
      </c>
      <c r="DE2" s="89" t="str">
        <f t="shared" si="0"/>
        <v>法抗</v>
      </c>
      <c r="DF2" s="89" t="str">
        <f t="shared" si="0"/>
        <v>生命值</v>
      </c>
      <c r="DG2" s="89" t="str">
        <f t="shared" si="0"/>
        <v>魔法值</v>
      </c>
      <c r="DH2" s="89" t="str">
        <f t="shared" si="0"/>
        <v>生命回复</v>
      </c>
      <c r="DI2" s="89" t="str">
        <f t="shared" si="0"/>
        <v>魔法回复</v>
      </c>
      <c r="DJ2" s="89" t="str">
        <f t="shared" si="0"/>
        <v>攻速</v>
      </c>
      <c r="DK2" s="89" t="str">
        <f t="shared" si="0"/>
        <v>闪避</v>
      </c>
      <c r="DL2" s="89" t="str">
        <f t="shared" si="0"/>
        <v>免伤</v>
      </c>
      <c r="DM2" s="89" t="str">
        <f t="shared" si="0"/>
        <v>普攻伤害</v>
      </c>
      <c r="DN2" s="89" t="str">
        <f t="shared" si="0"/>
        <v>物理穿透</v>
      </c>
      <c r="DO2" s="89" t="str">
        <f t="shared" si="0"/>
        <v>法术穿透</v>
      </c>
      <c r="DP2" s="89" t="str">
        <f t="shared" si="0"/>
        <v>物理伤害</v>
      </c>
      <c r="DQ2" s="89" t="str">
        <f t="shared" si="0"/>
        <v>法术伤害</v>
      </c>
      <c r="DR2" s="89" t="str">
        <f t="shared" si="0"/>
        <v>伤害加成</v>
      </c>
      <c r="DS2" s="89" t="str">
        <f t="shared" si="0"/>
        <v>伤害减免</v>
      </c>
      <c r="DT2" s="89" t="str">
        <f t="shared" si="0"/>
        <v>暴击</v>
      </c>
      <c r="DU2" s="89" t="str">
        <f t="shared" si="0"/>
        <v>暴伤</v>
      </c>
      <c r="DV2" s="89" t="str">
        <f t="shared" si="0"/>
        <v>伤害吸取</v>
      </c>
      <c r="DW2" s="89" t="str">
        <f t="shared" si="0"/>
        <v>分裂</v>
      </c>
      <c r="DX2" s="89" t="str">
        <f t="shared" si="0"/>
        <v>致命概率</v>
      </c>
      <c r="DY2" s="89" t="str">
        <f t="shared" si="0"/>
        <v>致命倍率</v>
      </c>
      <c r="DZ2" s="89" t="str">
        <f t="shared" si="0"/>
        <v>冷却缩减</v>
      </c>
      <c r="EA2" s="89" t="str">
        <f t="shared" si="0"/>
        <v>冷却降低</v>
      </c>
      <c r="EB2" s="89" t="str">
        <f t="shared" si="0"/>
        <v>触发概率</v>
      </c>
      <c r="EC2" s="89" t="str">
        <f t="shared" si="0"/>
        <v>生命恢复%</v>
      </c>
      <c r="ED2" s="89" t="str">
        <f t="shared" si="0"/>
        <v>魔法恢复%</v>
      </c>
      <c r="EE2" s="89">
        <f t="shared" si="0"/>
        <v>0</v>
      </c>
      <c r="EF2" s="89" t="str">
        <f t="shared" si="0"/>
        <v>生命%</v>
      </c>
      <c r="EG2" s="89" t="str">
        <f t="shared" si="0"/>
        <v>攻击%</v>
      </c>
      <c r="EH2" s="89" t="str">
        <f t="shared" si="0"/>
        <v>法强%</v>
      </c>
      <c r="EI2" s="89" t="str">
        <f t="shared" si="0"/>
        <v>攻速-%</v>
      </c>
      <c r="EJ2" s="89" t="str">
        <f t="shared" si="0"/>
        <v>冷却-%</v>
      </c>
      <c r="EK2" s="89">
        <f t="shared" si="0"/>
        <v>0</v>
      </c>
      <c r="EL2" s="89">
        <f t="shared" si="0"/>
        <v>0</v>
      </c>
      <c r="EM2" s="89">
        <f t="shared" si="0"/>
        <v>0</v>
      </c>
      <c r="EN2" s="89">
        <f t="shared" si="0"/>
        <v>0</v>
      </c>
      <c r="EO2" s="89" t="str">
        <f t="shared" si="0"/>
        <v>元神力</v>
      </c>
      <c r="EP2" s="89" t="str">
        <f t="shared" si="0"/>
        <v>金币加成</v>
      </c>
      <c r="EQ2" s="89">
        <f t="shared" si="0"/>
        <v>0</v>
      </c>
      <c r="ER2" s="89" t="str">
        <f t="shared" si="0"/>
        <v>杀敌攻击</v>
      </c>
      <c r="ES2" s="89" t="str">
        <f t="shared" si="0"/>
        <v>杀敌业力</v>
      </c>
      <c r="ET2" s="89" t="str">
        <f t="shared" si="0"/>
        <v>杀敌生命</v>
      </c>
      <c r="EU2" s="89" t="str">
        <f t="shared" si="0"/>
        <v>杀敌金币</v>
      </c>
      <c r="EV2" s="89" t="str">
        <f t="shared" si="0"/>
        <v>每秒攻击</v>
      </c>
      <c r="EW2" s="89" t="str">
        <f t="shared" si="0"/>
        <v>每秒业力</v>
      </c>
      <c r="EX2" s="89" t="str">
        <f t="shared" si="0"/>
        <v>每秒生命</v>
      </c>
      <c r="EY2" s="89" t="str">
        <f t="shared" si="0"/>
        <v>每秒金币</v>
      </c>
      <c r="EZ2" s="89" t="str">
        <f t="shared" si="0"/>
        <v>攻击距离</v>
      </c>
      <c r="FA2" s="89">
        <f t="shared" si="0"/>
        <v>0</v>
      </c>
      <c r="FB2" s="89">
        <f t="shared" si="0"/>
        <v>0</v>
      </c>
      <c r="FC2" s="89">
        <f t="shared" si="0"/>
        <v>0</v>
      </c>
      <c r="FD2" s="89">
        <f t="shared" si="0"/>
        <v>0</v>
      </c>
      <c r="FE2" s="89">
        <f t="shared" si="0"/>
        <v>0</v>
      </c>
      <c r="FF2" s="89">
        <f t="shared" si="0"/>
        <v>0</v>
      </c>
      <c r="FG2" s="89">
        <f t="shared" si="0"/>
        <v>0</v>
      </c>
      <c r="FH2" s="89">
        <f t="shared" si="0"/>
        <v>0</v>
      </c>
      <c r="FI2" s="89">
        <f t="shared" si="0"/>
        <v>0</v>
      </c>
      <c r="FJ2" s="89">
        <f t="shared" si="0"/>
        <v>0</v>
      </c>
      <c r="FK2" s="89">
        <f t="shared" si="0"/>
        <v>0</v>
      </c>
      <c r="FL2" s="89">
        <f t="shared" si="0"/>
        <v>0</v>
      </c>
      <c r="FM2" s="89">
        <f t="shared" si="0"/>
        <v>0</v>
      </c>
      <c r="FN2" s="89">
        <f t="shared" si="0"/>
        <v>0</v>
      </c>
      <c r="FO2" s="89">
        <f t="shared" ref="FO2:FS2" si="1">CI2</f>
        <v>0</v>
      </c>
      <c r="FP2" s="89">
        <f t="shared" si="1"/>
        <v>0</v>
      </c>
      <c r="FQ2" s="89">
        <f t="shared" si="1"/>
        <v>0</v>
      </c>
      <c r="FR2" s="89">
        <f t="shared" si="1"/>
        <v>0</v>
      </c>
      <c r="FS2" s="89">
        <f t="shared" si="1"/>
        <v>0</v>
      </c>
    </row>
    <row r="3" spans="1:175" s="33" customFormat="1" ht="16.5">
      <c r="A3" s="2"/>
      <c r="B3" s="1" t="s">
        <v>178</v>
      </c>
      <c r="C3" s="2" t="s">
        <v>179</v>
      </c>
      <c r="D3" s="67"/>
      <c r="E3" s="68"/>
      <c r="F3" s="69">
        <v>800</v>
      </c>
      <c r="G3" s="70">
        <v>100</v>
      </c>
      <c r="H3" s="70"/>
      <c r="I3" s="70" t="str">
        <f>B4</f>
        <v>E002</v>
      </c>
      <c r="J3" s="70"/>
      <c r="K3" s="70"/>
      <c r="L3" s="70"/>
      <c r="M3" s="70"/>
      <c r="N3" s="70"/>
      <c r="O3" s="70"/>
      <c r="P3" s="73"/>
      <c r="Q3" s="73"/>
      <c r="R3" s="73"/>
      <c r="S3" s="73"/>
      <c r="T3" s="76" t="s">
        <v>180</v>
      </c>
      <c r="U3" s="77" t="s">
        <v>181</v>
      </c>
      <c r="V3" s="78">
        <v>1000</v>
      </c>
      <c r="W3" s="78"/>
      <c r="X3" s="78"/>
      <c r="Y3" s="78"/>
      <c r="Z3" s="78"/>
      <c r="AA3" s="78"/>
      <c r="AB3" s="78"/>
      <c r="AC3" s="78"/>
      <c r="AD3" s="81"/>
      <c r="AE3" s="78"/>
      <c r="AF3" s="78"/>
      <c r="AG3" s="82"/>
      <c r="AH3" s="78"/>
      <c r="AI3" s="78"/>
      <c r="AJ3" s="78"/>
      <c r="AK3" s="78"/>
      <c r="AL3" s="82"/>
      <c r="AM3" s="78"/>
      <c r="AN3" s="78"/>
      <c r="AO3" s="78"/>
      <c r="AP3" s="78"/>
      <c r="AQ3" s="78"/>
      <c r="AR3" s="84"/>
      <c r="AS3" s="84"/>
      <c r="AT3" s="78"/>
      <c r="AU3" s="78"/>
      <c r="AV3" s="78"/>
      <c r="AW3" s="78"/>
      <c r="AX3" s="78"/>
      <c r="AY3" s="78"/>
      <c r="AZ3" s="78"/>
      <c r="BA3" s="78"/>
      <c r="BB3" s="78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78"/>
      <c r="CF3" s="78"/>
      <c r="CG3" s="78"/>
      <c r="CH3" s="78"/>
      <c r="CI3" s="78"/>
      <c r="CJ3" s="78"/>
      <c r="CK3" s="78"/>
      <c r="CL3" s="78"/>
      <c r="CM3" s="78"/>
      <c r="CN3" s="8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8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8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8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8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86"/>
      <c r="CT3" s="86"/>
      <c r="CU3" s="8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pans="1:175" s="33" customFormat="1" ht="16.5">
      <c r="A4" s="2"/>
      <c r="B4" s="1" t="s">
        <v>182</v>
      </c>
      <c r="C4" s="2" t="s">
        <v>183</v>
      </c>
      <c r="D4" s="67"/>
      <c r="E4" s="68"/>
      <c r="F4" s="69">
        <v>800</v>
      </c>
      <c r="G4" s="70">
        <v>100</v>
      </c>
      <c r="H4" s="70"/>
      <c r="I4" s="70" t="str">
        <f t="shared" ref="I4:I26" si="77">B5</f>
        <v>E003</v>
      </c>
      <c r="J4" s="70"/>
      <c r="K4" s="70"/>
      <c r="L4" s="70"/>
      <c r="M4" s="70"/>
      <c r="N4" s="70"/>
      <c r="O4" s="70"/>
      <c r="P4" s="73"/>
      <c r="Q4" s="73"/>
      <c r="R4" s="73"/>
      <c r="S4" s="73"/>
      <c r="T4" s="76" t="s">
        <v>180</v>
      </c>
      <c r="U4" s="77" t="s">
        <v>181</v>
      </c>
      <c r="V4" s="78">
        <v>2500</v>
      </c>
      <c r="W4" s="78"/>
      <c r="X4" s="78"/>
      <c r="Y4" s="78"/>
      <c r="Z4" s="78"/>
      <c r="AA4" s="78"/>
      <c r="AB4" s="78"/>
      <c r="AC4" s="78"/>
      <c r="AD4" s="81"/>
      <c r="AE4" s="78"/>
      <c r="AF4" s="78"/>
      <c r="AG4" s="82"/>
      <c r="AH4" s="78"/>
      <c r="AI4" s="78"/>
      <c r="AJ4" s="78"/>
      <c r="AK4" s="78"/>
      <c r="AL4" s="82"/>
      <c r="AM4" s="78"/>
      <c r="AN4" s="78"/>
      <c r="AO4" s="78"/>
      <c r="AP4" s="78"/>
      <c r="AQ4" s="78"/>
      <c r="AR4" s="84"/>
      <c r="AS4" s="84"/>
      <c r="AT4" s="78"/>
      <c r="AU4" s="78"/>
      <c r="AV4" s="78"/>
      <c r="AW4" s="78"/>
      <c r="AX4" s="78"/>
      <c r="AY4" s="78"/>
      <c r="AZ4" s="78"/>
      <c r="BA4" s="78"/>
      <c r="BB4" s="78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78"/>
      <c r="CF4" s="78"/>
      <c r="CG4" s="78"/>
      <c r="CH4" s="78"/>
      <c r="CI4" s="78"/>
      <c r="CJ4" s="78"/>
      <c r="CK4" s="78"/>
      <c r="CL4" s="78"/>
      <c r="CM4" s="78"/>
      <c r="CN4" s="86" t="str">
        <f t="shared" si="2"/>
        <v>InitUnitState('E002',2500,,,,,,,,,)</v>
      </c>
      <c r="CO4" s="86" t="str">
        <f t="shared" si="3"/>
        <v>InitUnitNormal('E002',,,,,,,,,,)</v>
      </c>
      <c r="CP4" s="86" t="str">
        <f t="shared" si="4"/>
        <v>InitUnitMagic('E002',,,,,,,,,,)</v>
      </c>
      <c r="CQ4" s="86" t="str">
        <f t="shared" si="5"/>
        <v>InitUnitAdd('E002',,,,,,,,,,)</v>
      </c>
      <c r="CR4" s="86" t="str">
        <f t="shared" si="6"/>
        <v>InitEquipData('E002',,"",,E003,800,100,'','','','','','',"ReplaceableTextures\\CommandButtons\\BTNZ01.blp")</v>
      </c>
      <c r="CS4" s="86"/>
      <c r="CT4" s="86"/>
      <c r="CU4" s="8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pans="1:175" s="33" customFormat="1" ht="16.5">
      <c r="A5" s="2"/>
      <c r="B5" s="1" t="s">
        <v>184</v>
      </c>
      <c r="C5" s="2" t="s">
        <v>185</v>
      </c>
      <c r="D5" s="67"/>
      <c r="E5" s="68"/>
      <c r="F5" s="69">
        <v>800</v>
      </c>
      <c r="G5" s="70">
        <v>100</v>
      </c>
      <c r="H5" s="70"/>
      <c r="I5" s="70" t="str">
        <f t="shared" si="77"/>
        <v>E004</v>
      </c>
      <c r="J5" s="70"/>
      <c r="K5" s="70"/>
      <c r="L5" s="70"/>
      <c r="M5" s="70"/>
      <c r="N5" s="70"/>
      <c r="O5" s="70"/>
      <c r="P5" s="73"/>
      <c r="Q5" s="73"/>
      <c r="R5" s="73"/>
      <c r="S5" s="73"/>
      <c r="T5" s="76" t="s">
        <v>180</v>
      </c>
      <c r="U5" s="77" t="s">
        <v>181</v>
      </c>
      <c r="V5" s="78">
        <v>4000</v>
      </c>
      <c r="W5" s="78"/>
      <c r="X5" s="78"/>
      <c r="Y5" s="78"/>
      <c r="Z5" s="78"/>
      <c r="AA5" s="78"/>
      <c r="AB5" s="78"/>
      <c r="AC5" s="78"/>
      <c r="AD5" s="81"/>
      <c r="AE5" s="78"/>
      <c r="AF5" s="78"/>
      <c r="AG5" s="82"/>
      <c r="AH5" s="78"/>
      <c r="AI5" s="78"/>
      <c r="AJ5" s="78"/>
      <c r="AK5" s="78"/>
      <c r="AL5" s="82"/>
      <c r="AM5" s="78"/>
      <c r="AN5" s="78"/>
      <c r="AO5" s="78"/>
      <c r="AP5" s="78"/>
      <c r="AQ5" s="78"/>
      <c r="AR5" s="84"/>
      <c r="AS5" s="84"/>
      <c r="AT5" s="78"/>
      <c r="AU5" s="78"/>
      <c r="AV5" s="78"/>
      <c r="AW5" s="78"/>
      <c r="AX5" s="78"/>
      <c r="AY5" s="78"/>
      <c r="AZ5" s="78"/>
      <c r="BA5" s="78"/>
      <c r="BB5" s="78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78"/>
      <c r="CF5" s="78"/>
      <c r="CG5" s="78"/>
      <c r="CH5" s="78"/>
      <c r="CI5" s="78"/>
      <c r="CJ5" s="78"/>
      <c r="CK5" s="78"/>
      <c r="CL5" s="78"/>
      <c r="CM5" s="78"/>
      <c r="CN5" s="86" t="str">
        <f t="shared" si="2"/>
        <v>InitUnitState('E003',4000,,,,,,,,,)</v>
      </c>
      <c r="CO5" s="86" t="str">
        <f t="shared" si="3"/>
        <v>InitUnitNormal('E003',,,,,,,,,,)</v>
      </c>
      <c r="CP5" s="86" t="str">
        <f t="shared" si="4"/>
        <v>InitUnitMagic('E003',,,,,,,,,,)</v>
      </c>
      <c r="CQ5" s="86" t="str">
        <f t="shared" si="5"/>
        <v>InitUnitAdd('E003',,,,,,,,,,)</v>
      </c>
      <c r="CR5" s="86" t="str">
        <f t="shared" si="6"/>
        <v>InitEquipData('E003',,"",,E004,800,100,'','','','','','',"ReplaceableTextures\\CommandButtons\\BTNZ01.blp")</v>
      </c>
      <c r="CS5" s="86"/>
      <c r="CT5" s="86"/>
      <c r="CU5" s="88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pans="1:175" s="33" customFormat="1" ht="16.5">
      <c r="A6" s="2"/>
      <c r="B6" s="1" t="s">
        <v>186</v>
      </c>
      <c r="C6" s="2" t="s">
        <v>187</v>
      </c>
      <c r="D6" s="67"/>
      <c r="E6" s="68"/>
      <c r="F6" s="69">
        <v>800</v>
      </c>
      <c r="G6" s="70">
        <v>100</v>
      </c>
      <c r="H6" s="70"/>
      <c r="I6" s="70" t="str">
        <f t="shared" si="77"/>
        <v>E005</v>
      </c>
      <c r="J6" s="70"/>
      <c r="K6" s="70"/>
      <c r="L6" s="70"/>
      <c r="M6" s="70"/>
      <c r="N6" s="70"/>
      <c r="O6" s="70"/>
      <c r="P6" s="73"/>
      <c r="Q6" s="73"/>
      <c r="R6" s="73"/>
      <c r="S6" s="73"/>
      <c r="T6" s="76" t="s">
        <v>180</v>
      </c>
      <c r="U6" s="77" t="s">
        <v>181</v>
      </c>
      <c r="V6" s="78">
        <v>6000</v>
      </c>
      <c r="W6" s="78"/>
      <c r="X6" s="78"/>
      <c r="Y6" s="78"/>
      <c r="Z6" s="78"/>
      <c r="AA6" s="78"/>
      <c r="AB6" s="78"/>
      <c r="AC6" s="78"/>
      <c r="AD6" s="81"/>
      <c r="AE6" s="78"/>
      <c r="AF6" s="78"/>
      <c r="AG6" s="82"/>
      <c r="AH6" s="78"/>
      <c r="AI6" s="78"/>
      <c r="AJ6" s="78"/>
      <c r="AK6" s="78"/>
      <c r="AL6" s="82"/>
      <c r="AM6" s="78"/>
      <c r="AN6" s="78"/>
      <c r="AO6" s="78"/>
      <c r="AP6" s="78"/>
      <c r="AQ6" s="78"/>
      <c r="AR6" s="84"/>
      <c r="AS6" s="84"/>
      <c r="AT6" s="78"/>
      <c r="AU6" s="78"/>
      <c r="AV6" s="78"/>
      <c r="AW6" s="78"/>
      <c r="AX6" s="78"/>
      <c r="AY6" s="78"/>
      <c r="AZ6" s="78"/>
      <c r="BA6" s="78"/>
      <c r="BB6" s="78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78"/>
      <c r="CF6" s="78"/>
      <c r="CG6" s="78"/>
      <c r="CH6" s="78"/>
      <c r="CI6" s="78"/>
      <c r="CJ6" s="78"/>
      <c r="CK6" s="78"/>
      <c r="CL6" s="78"/>
      <c r="CM6" s="78"/>
      <c r="CN6" s="86" t="str">
        <f t="shared" si="2"/>
        <v>InitUnitState('E004',6000,,,,,,,,,)</v>
      </c>
      <c r="CO6" s="86" t="str">
        <f t="shared" si="3"/>
        <v>InitUnitNormal('E004',,,,,,,,,,)</v>
      </c>
      <c r="CP6" s="86" t="str">
        <f t="shared" si="4"/>
        <v>InitUnitMagic('E004',,,,,,,,,,)</v>
      </c>
      <c r="CQ6" s="86" t="str">
        <f t="shared" si="5"/>
        <v>InitUnitAdd('E004',,,,,,,,,,)</v>
      </c>
      <c r="CR6" s="86" t="str">
        <f t="shared" si="6"/>
        <v>InitEquipData('E004',,"",,E005,800,100,'','','','','','',"ReplaceableTextures\\CommandButtons\\BTNZ01.blp")</v>
      </c>
      <c r="CS6" s="86"/>
      <c r="CT6" s="86"/>
      <c r="CU6" s="88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pans="1:175" s="33" customFormat="1" ht="16.5">
      <c r="A7" s="2"/>
      <c r="B7" s="1" t="s">
        <v>188</v>
      </c>
      <c r="C7" s="2" t="s">
        <v>189</v>
      </c>
      <c r="D7" s="67"/>
      <c r="E7" s="68"/>
      <c r="F7" s="69">
        <v>2500</v>
      </c>
      <c r="G7" s="70">
        <v>100</v>
      </c>
      <c r="H7" s="71" t="s">
        <v>190</v>
      </c>
      <c r="I7" s="70" t="str">
        <f t="shared" si="77"/>
        <v>E006</v>
      </c>
      <c r="J7" s="70"/>
      <c r="K7" s="70"/>
      <c r="L7" s="70"/>
      <c r="M7" s="70"/>
      <c r="N7" s="70"/>
      <c r="O7" s="70"/>
      <c r="P7" s="73"/>
      <c r="Q7" s="73"/>
      <c r="R7" s="73"/>
      <c r="S7" s="73"/>
      <c r="T7" s="76" t="s">
        <v>180</v>
      </c>
      <c r="U7" s="77" t="s">
        <v>181</v>
      </c>
      <c r="V7" s="78">
        <v>8000</v>
      </c>
      <c r="W7" s="78"/>
      <c r="X7" s="78"/>
      <c r="Y7" s="78"/>
      <c r="Z7" s="78"/>
      <c r="AA7" s="78"/>
      <c r="AB7" s="78"/>
      <c r="AC7" s="78"/>
      <c r="AD7" s="81"/>
      <c r="AE7" s="78"/>
      <c r="AF7" s="78"/>
      <c r="AG7" s="82"/>
      <c r="AH7" s="78"/>
      <c r="AI7" s="78"/>
      <c r="AJ7" s="78"/>
      <c r="AK7" s="78"/>
      <c r="AL7" s="82"/>
      <c r="AM7" s="78"/>
      <c r="AN7" s="78"/>
      <c r="AO7" s="78"/>
      <c r="AP7" s="78"/>
      <c r="AQ7" s="78"/>
      <c r="AR7" s="84"/>
      <c r="AS7" s="84"/>
      <c r="AT7" s="78"/>
      <c r="AU7" s="78"/>
      <c r="AV7" s="78"/>
      <c r="AW7" s="78"/>
      <c r="AX7" s="78"/>
      <c r="AY7" s="78"/>
      <c r="AZ7" s="78"/>
      <c r="BA7" s="78"/>
      <c r="BB7" s="78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78"/>
      <c r="CF7" s="78"/>
      <c r="CG7" s="78"/>
      <c r="CH7" s="78"/>
      <c r="CI7" s="78"/>
      <c r="CJ7" s="78"/>
      <c r="CK7" s="78"/>
      <c r="CL7" s="78"/>
      <c r="CM7" s="78"/>
      <c r="CN7" s="86" t="str">
        <f t="shared" si="2"/>
        <v>InitUnitState('E005',8000,,,,,,,,,)</v>
      </c>
      <c r="CO7" s="86" t="str">
        <f t="shared" si="3"/>
        <v>InitUnitNormal('E005',,,,,,,,,,)</v>
      </c>
      <c r="CP7" s="86" t="str">
        <f t="shared" si="4"/>
        <v>InitUnitMagic('E005',,,,,,,,,,)</v>
      </c>
      <c r="CQ7" s="86" t="str">
        <f t="shared" si="5"/>
        <v>InitUnitAdd('E005',,,,,,,,,,)</v>
      </c>
      <c r="CR7" s="86" t="str">
        <f t="shared" si="6"/>
        <v>InitEquipData('E005',,"",,E006,2500,100,'','','','','','',"ReplaceableTextures\\CommandButtons\\BTNZ02.blp")</v>
      </c>
      <c r="CS7" s="86"/>
      <c r="CT7" s="86"/>
      <c r="CU7" s="88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pans="1:175" s="33" customFormat="1" ht="16.5">
      <c r="A8" s="2"/>
      <c r="B8" s="1" t="s">
        <v>191</v>
      </c>
      <c r="C8" s="2" t="s">
        <v>192</v>
      </c>
      <c r="D8" s="67"/>
      <c r="E8" s="68"/>
      <c r="F8" s="69">
        <v>2500</v>
      </c>
      <c r="G8" s="70">
        <v>85</v>
      </c>
      <c r="H8" s="70"/>
      <c r="I8" s="70" t="str">
        <f t="shared" si="77"/>
        <v>E007</v>
      </c>
      <c r="J8" s="70"/>
      <c r="K8" s="70"/>
      <c r="L8" s="70"/>
      <c r="M8" s="70"/>
      <c r="N8" s="70"/>
      <c r="O8" s="70"/>
      <c r="P8" s="73"/>
      <c r="Q8" s="73"/>
      <c r="R8" s="73"/>
      <c r="S8" s="73"/>
      <c r="T8" s="76" t="s">
        <v>180</v>
      </c>
      <c r="U8" s="77" t="s">
        <v>193</v>
      </c>
      <c r="V8" s="78">
        <v>12000</v>
      </c>
      <c r="W8" s="78"/>
      <c r="X8" s="78"/>
      <c r="Y8" s="78"/>
      <c r="Z8" s="78"/>
      <c r="AA8" s="78"/>
      <c r="AB8" s="78"/>
      <c r="AC8" s="78"/>
      <c r="AD8" s="81"/>
      <c r="AE8" s="78"/>
      <c r="AF8" s="78"/>
      <c r="AG8" s="82"/>
      <c r="AH8" s="78"/>
      <c r="AI8" s="78"/>
      <c r="AJ8" s="78"/>
      <c r="AK8" s="78"/>
      <c r="AL8" s="82"/>
      <c r="AM8" s="78"/>
      <c r="AN8" s="78">
        <v>5</v>
      </c>
      <c r="AO8" s="78">
        <v>100</v>
      </c>
      <c r="AP8" s="78">
        <v>1</v>
      </c>
      <c r="AQ8" s="78"/>
      <c r="AR8" s="84"/>
      <c r="AS8" s="84"/>
      <c r="AT8" s="78"/>
      <c r="AU8" s="78"/>
      <c r="AV8" s="78"/>
      <c r="AW8" s="78"/>
      <c r="AX8" s="78"/>
      <c r="AY8" s="78"/>
      <c r="AZ8" s="78"/>
      <c r="BA8" s="78"/>
      <c r="BB8" s="7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78"/>
      <c r="CF8" s="78"/>
      <c r="CG8" s="78"/>
      <c r="CH8" s="78"/>
      <c r="CI8" s="78"/>
      <c r="CJ8" s="78"/>
      <c r="CK8" s="78"/>
      <c r="CL8" s="78"/>
      <c r="CM8" s="78"/>
      <c r="CN8" s="86" t="str">
        <f t="shared" si="2"/>
        <v>InitUnitState('E006',12000,,,,,,,,,)</v>
      </c>
      <c r="CO8" s="86" t="str">
        <f t="shared" si="3"/>
        <v>InitUnitNormal('E006',,,,,,,,,5,100)</v>
      </c>
      <c r="CP8" s="86" t="str">
        <f t="shared" si="4"/>
        <v>InitUnitMagic('E006',1,,,,,,,,,)</v>
      </c>
      <c r="CQ8" s="86" t="str">
        <f t="shared" si="5"/>
        <v>InitUnitAdd('E006',,,,,,,,,,)</v>
      </c>
      <c r="CR8" s="86" t="str">
        <f t="shared" si="6"/>
        <v>InitEquipData('E006',,"",,E007,2500,85,'','','','','','',"ReplaceableTextures\\CommandButtons\\BTNZ02.blp")</v>
      </c>
      <c r="CS8" s="86"/>
      <c r="CT8" s="86"/>
      <c r="CU8" s="88" t="str">
        <f t="shared" si="78"/>
        <v>|n攻击+12000|n暴击+5%|n暴伤+100%|n伤害吸取+1%|n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/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pans="1:175" s="33" customFormat="1" ht="16.5">
      <c r="A9" s="2"/>
      <c r="B9" s="1" t="s">
        <v>194</v>
      </c>
      <c r="C9" s="2" t="s">
        <v>195</v>
      </c>
      <c r="D9" s="67"/>
      <c r="E9" s="68"/>
      <c r="F9" s="69">
        <v>2500</v>
      </c>
      <c r="G9" s="70">
        <v>85</v>
      </c>
      <c r="H9" s="70"/>
      <c r="I9" s="70" t="str">
        <f t="shared" si="77"/>
        <v>E008</v>
      </c>
      <c r="J9" s="70"/>
      <c r="K9" s="70"/>
      <c r="L9" s="70"/>
      <c r="M9" s="70"/>
      <c r="N9" s="70"/>
      <c r="O9" s="70"/>
      <c r="P9" s="73"/>
      <c r="Q9" s="73"/>
      <c r="R9" s="73"/>
      <c r="S9" s="73"/>
      <c r="T9" s="76" t="s">
        <v>180</v>
      </c>
      <c r="U9" s="77" t="s">
        <v>193</v>
      </c>
      <c r="V9" s="78">
        <v>16000</v>
      </c>
      <c r="W9" s="78"/>
      <c r="X9" s="78"/>
      <c r="Y9" s="78"/>
      <c r="Z9" s="78"/>
      <c r="AA9" s="78"/>
      <c r="AB9" s="78"/>
      <c r="AC9" s="78"/>
      <c r="AD9" s="81"/>
      <c r="AE9" s="78"/>
      <c r="AF9" s="78"/>
      <c r="AG9" s="82"/>
      <c r="AH9" s="78"/>
      <c r="AI9" s="78"/>
      <c r="AJ9" s="78"/>
      <c r="AK9" s="78"/>
      <c r="AL9" s="82"/>
      <c r="AM9" s="78"/>
      <c r="AN9" s="78">
        <v>5</v>
      </c>
      <c r="AO9" s="78">
        <v>100</v>
      </c>
      <c r="AP9" s="78">
        <v>1</v>
      </c>
      <c r="AQ9" s="78"/>
      <c r="AR9" s="84"/>
      <c r="AS9" s="84"/>
      <c r="AT9" s="78"/>
      <c r="AU9" s="78"/>
      <c r="AV9" s="78"/>
      <c r="AW9" s="78"/>
      <c r="AX9" s="78"/>
      <c r="AY9" s="78"/>
      <c r="AZ9" s="78"/>
      <c r="BA9" s="78"/>
      <c r="BB9" s="78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78"/>
      <c r="CF9" s="78"/>
      <c r="CG9" s="78"/>
      <c r="CH9" s="78"/>
      <c r="CI9" s="78"/>
      <c r="CJ9" s="78"/>
      <c r="CK9" s="78"/>
      <c r="CL9" s="78"/>
      <c r="CM9" s="78"/>
      <c r="CN9" s="86" t="str">
        <f t="shared" si="2"/>
        <v>InitUnitState('E007',16000,,,,,,,,,)</v>
      </c>
      <c r="CO9" s="86" t="str">
        <f t="shared" si="3"/>
        <v>InitUnitNormal('E007',,,,,,,,,5,100)</v>
      </c>
      <c r="CP9" s="86" t="str">
        <f t="shared" si="4"/>
        <v>InitUnitMagic('E007',1,,,,,,,,,)</v>
      </c>
      <c r="CQ9" s="86" t="str">
        <f t="shared" si="5"/>
        <v>InitUnitAdd('E007',,,,,,,,,,)</v>
      </c>
      <c r="CR9" s="86" t="str">
        <f t="shared" si="6"/>
        <v>InitEquipData('E007',,"",,E008,2500,85,'','','','','','',"ReplaceableTextures\\CommandButtons\\BTNZ02.blp")</v>
      </c>
      <c r="CS9" s="86"/>
      <c r="CT9" s="86"/>
      <c r="CU9" s="88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pans="1:175" s="33" customFormat="1" ht="16.5">
      <c r="A10" s="2"/>
      <c r="B10" s="1" t="s">
        <v>196</v>
      </c>
      <c r="C10" s="2" t="s">
        <v>197</v>
      </c>
      <c r="D10" s="67"/>
      <c r="E10" s="68"/>
      <c r="F10" s="69">
        <v>2500</v>
      </c>
      <c r="G10" s="70">
        <v>85</v>
      </c>
      <c r="H10" s="70"/>
      <c r="I10" s="70" t="str">
        <f t="shared" si="77"/>
        <v>E009</v>
      </c>
      <c r="J10" s="70"/>
      <c r="K10" s="70"/>
      <c r="L10" s="70"/>
      <c r="M10" s="70"/>
      <c r="N10" s="70"/>
      <c r="O10" s="70"/>
      <c r="P10" s="73"/>
      <c r="Q10" s="73"/>
      <c r="R10" s="73"/>
      <c r="S10" s="73"/>
      <c r="T10" s="76" t="s">
        <v>180</v>
      </c>
      <c r="U10" s="77" t="s">
        <v>193</v>
      </c>
      <c r="V10" s="78">
        <v>20000</v>
      </c>
      <c r="W10" s="78"/>
      <c r="X10" s="78"/>
      <c r="Y10" s="78"/>
      <c r="Z10" s="78"/>
      <c r="AA10" s="78"/>
      <c r="AB10" s="78"/>
      <c r="AC10" s="78"/>
      <c r="AD10" s="81"/>
      <c r="AE10" s="78"/>
      <c r="AF10" s="78"/>
      <c r="AG10" s="82"/>
      <c r="AH10" s="78"/>
      <c r="AI10" s="78"/>
      <c r="AJ10" s="78"/>
      <c r="AK10" s="78"/>
      <c r="AL10" s="82"/>
      <c r="AM10" s="78"/>
      <c r="AN10" s="78">
        <v>5</v>
      </c>
      <c r="AO10" s="78">
        <v>100</v>
      </c>
      <c r="AP10" s="78">
        <v>2</v>
      </c>
      <c r="AQ10" s="78"/>
      <c r="AR10" s="84"/>
      <c r="AS10" s="84"/>
      <c r="AT10" s="78"/>
      <c r="AU10" s="78"/>
      <c r="AV10" s="78"/>
      <c r="AW10" s="78"/>
      <c r="AX10" s="78"/>
      <c r="AY10" s="78"/>
      <c r="AZ10" s="78"/>
      <c r="BA10" s="78"/>
      <c r="BB10" s="78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78"/>
      <c r="CF10" s="78"/>
      <c r="CG10" s="78"/>
      <c r="CH10" s="78"/>
      <c r="CI10" s="78"/>
      <c r="CJ10" s="78"/>
      <c r="CK10" s="78"/>
      <c r="CL10" s="78"/>
      <c r="CM10" s="78"/>
      <c r="CN10" s="86" t="str">
        <f t="shared" si="2"/>
        <v>InitUnitState('E008',20000,,,,,,,,,)</v>
      </c>
      <c r="CO10" s="86" t="str">
        <f t="shared" si="3"/>
        <v>InitUnitNormal('E008',,,,,,,,,5,100)</v>
      </c>
      <c r="CP10" s="86" t="str">
        <f t="shared" si="4"/>
        <v>InitUnitMagic('E008',2,,,,,,,,,)</v>
      </c>
      <c r="CQ10" s="86" t="str">
        <f t="shared" si="5"/>
        <v>InitUnitAdd('E008',,,,,,,,,,)</v>
      </c>
      <c r="CR10" s="86" t="str">
        <f t="shared" si="6"/>
        <v>InitEquipData('E008',,"",,E009,2500,85,'','','','','','',"ReplaceableTextures\\CommandButtons\\BTNZ02.blp")</v>
      </c>
      <c r="CS10" s="86"/>
      <c r="CT10" s="86"/>
      <c r="CU10" s="88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pans="1:175" s="33" customFormat="1" ht="16.5">
      <c r="A11" s="2"/>
      <c r="B11" s="1" t="s">
        <v>198</v>
      </c>
      <c r="C11" s="2" t="s">
        <v>199</v>
      </c>
      <c r="D11" s="67"/>
      <c r="E11" s="68"/>
      <c r="F11" s="69">
        <v>2500</v>
      </c>
      <c r="G11" s="70">
        <v>85</v>
      </c>
      <c r="H11" s="70"/>
      <c r="I11" s="70" t="str">
        <f t="shared" si="77"/>
        <v>E010</v>
      </c>
      <c r="J11" s="70"/>
      <c r="K11" s="70"/>
      <c r="L11" s="70"/>
      <c r="M11" s="70"/>
      <c r="N11" s="70"/>
      <c r="O11" s="70"/>
      <c r="P11" s="73"/>
      <c r="Q11" s="73"/>
      <c r="R11" s="73"/>
      <c r="S11" s="73"/>
      <c r="T11" s="76" t="s">
        <v>180</v>
      </c>
      <c r="U11" s="77" t="s">
        <v>193</v>
      </c>
      <c r="V11" s="78">
        <v>24000</v>
      </c>
      <c r="W11" s="78"/>
      <c r="X11" s="78"/>
      <c r="Y11" s="78"/>
      <c r="Z11" s="78"/>
      <c r="AA11" s="78"/>
      <c r="AB11" s="78"/>
      <c r="AC11" s="78"/>
      <c r="AD11" s="81"/>
      <c r="AE11" s="78"/>
      <c r="AF11" s="78"/>
      <c r="AG11" s="82"/>
      <c r="AH11" s="78"/>
      <c r="AI11" s="78"/>
      <c r="AJ11" s="78"/>
      <c r="AK11" s="78"/>
      <c r="AL11" s="82"/>
      <c r="AM11" s="78"/>
      <c r="AN11" s="78">
        <v>5</v>
      </c>
      <c r="AO11" s="78">
        <v>100</v>
      </c>
      <c r="AP11" s="78">
        <v>2</v>
      </c>
      <c r="AQ11" s="78"/>
      <c r="AR11" s="84"/>
      <c r="AS11" s="84"/>
      <c r="AT11" s="78"/>
      <c r="AU11" s="78"/>
      <c r="AV11" s="78"/>
      <c r="AW11" s="78"/>
      <c r="AX11" s="78"/>
      <c r="AY11" s="78"/>
      <c r="AZ11" s="78"/>
      <c r="BA11" s="78"/>
      <c r="BB11" s="78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78"/>
      <c r="CF11" s="78"/>
      <c r="CG11" s="78"/>
      <c r="CH11" s="78"/>
      <c r="CI11" s="78"/>
      <c r="CJ11" s="78"/>
      <c r="CK11" s="78"/>
      <c r="CL11" s="78"/>
      <c r="CM11" s="78"/>
      <c r="CN11" s="86" t="str">
        <f t="shared" si="2"/>
        <v>InitUnitState('E009',24000,,,,,,,,,)</v>
      </c>
      <c r="CO11" s="86" t="str">
        <f t="shared" si="3"/>
        <v>InitUnitNormal('E009',,,,,,,,,5,100)</v>
      </c>
      <c r="CP11" s="86" t="str">
        <f t="shared" si="4"/>
        <v>InitUnitMagic('E009',2,,,,,,,,,)</v>
      </c>
      <c r="CQ11" s="86" t="str">
        <f t="shared" si="5"/>
        <v>InitUnitAdd('E009',,,,,,,,,,)</v>
      </c>
      <c r="CR11" s="86" t="str">
        <f t="shared" si="6"/>
        <v>InitEquipData('E009',,"",,E010,2500,85,'','','','','','',"ReplaceableTextures\\CommandButtons\\BTNZ02.blp")</v>
      </c>
      <c r="CS11" s="86"/>
      <c r="CT11" s="86"/>
      <c r="CU11" s="88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pans="1:175" s="33" customFormat="1" ht="16.5">
      <c r="A12" s="2"/>
      <c r="B12" s="1" t="s">
        <v>200</v>
      </c>
      <c r="C12" s="2" t="s">
        <v>201</v>
      </c>
      <c r="D12" s="67"/>
      <c r="E12" s="68"/>
      <c r="F12" s="69">
        <v>10000</v>
      </c>
      <c r="G12" s="70">
        <v>100</v>
      </c>
      <c r="H12" s="71" t="s">
        <v>202</v>
      </c>
      <c r="I12" s="70" t="str">
        <f t="shared" si="77"/>
        <v>E011</v>
      </c>
      <c r="J12" s="70"/>
      <c r="K12" s="70"/>
      <c r="L12" s="70"/>
      <c r="M12" s="70"/>
      <c r="N12" s="70"/>
      <c r="O12" s="70"/>
      <c r="P12" s="73"/>
      <c r="Q12" s="73"/>
      <c r="R12" s="73"/>
      <c r="S12" s="73"/>
      <c r="T12" s="76" t="s">
        <v>180</v>
      </c>
      <c r="U12" s="77" t="s">
        <v>193</v>
      </c>
      <c r="V12" s="78">
        <v>28000</v>
      </c>
      <c r="W12" s="78"/>
      <c r="X12" s="78"/>
      <c r="Y12" s="78"/>
      <c r="Z12" s="78"/>
      <c r="AA12" s="78"/>
      <c r="AB12" s="78"/>
      <c r="AC12" s="78"/>
      <c r="AD12" s="81"/>
      <c r="AE12" s="78"/>
      <c r="AF12" s="78"/>
      <c r="AG12" s="82"/>
      <c r="AH12" s="78"/>
      <c r="AI12" s="78"/>
      <c r="AJ12" s="78"/>
      <c r="AK12" s="78"/>
      <c r="AL12" s="82"/>
      <c r="AM12" s="78"/>
      <c r="AN12" s="78">
        <v>5</v>
      </c>
      <c r="AO12" s="78">
        <v>100</v>
      </c>
      <c r="AP12" s="78">
        <v>2</v>
      </c>
      <c r="AQ12" s="78"/>
      <c r="AR12" s="84"/>
      <c r="AS12" s="84"/>
      <c r="AT12" s="78"/>
      <c r="AU12" s="78"/>
      <c r="AV12" s="78"/>
      <c r="AW12" s="78"/>
      <c r="AX12" s="78"/>
      <c r="AY12" s="78"/>
      <c r="AZ12" s="78"/>
      <c r="BA12" s="78"/>
      <c r="BB12" s="78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78"/>
      <c r="CF12" s="78"/>
      <c r="CG12" s="78"/>
      <c r="CH12" s="78"/>
      <c r="CI12" s="78"/>
      <c r="CJ12" s="78"/>
      <c r="CK12" s="78"/>
      <c r="CL12" s="78"/>
      <c r="CM12" s="78"/>
      <c r="CN12" s="86" t="str">
        <f t="shared" si="2"/>
        <v>InitUnitState('E010',28000,,,,,,,,,)</v>
      </c>
      <c r="CO12" s="86" t="str">
        <f t="shared" si="3"/>
        <v>InitUnitNormal('E010',,,,,,,,,5,100)</v>
      </c>
      <c r="CP12" s="86" t="str">
        <f t="shared" si="4"/>
        <v>InitUnitMagic('E010',2,,,,,,,,,)</v>
      </c>
      <c r="CQ12" s="86" t="str">
        <f t="shared" si="5"/>
        <v>InitUnitAdd('E010',,,,,,,,,,)</v>
      </c>
      <c r="CR12" s="86" t="str">
        <f t="shared" si="6"/>
        <v>InitEquipData('E010',,"",,E011,10000,100,'','','','','','',"ReplaceableTextures\\CommandButtons\\BTNZ03.blp")</v>
      </c>
      <c r="CS12" s="86"/>
      <c r="CT12" s="86"/>
      <c r="CU12" s="88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pans="1:175" s="33" customFormat="1" ht="16.5">
      <c r="A13" s="2"/>
      <c r="B13" s="1" t="s">
        <v>203</v>
      </c>
      <c r="C13" s="2" t="s">
        <v>204</v>
      </c>
      <c r="D13" s="67"/>
      <c r="E13" s="68"/>
      <c r="F13" s="69">
        <v>8000</v>
      </c>
      <c r="G13" s="70">
        <v>70</v>
      </c>
      <c r="H13" s="70"/>
      <c r="I13" s="70" t="str">
        <f t="shared" si="77"/>
        <v>E012</v>
      </c>
      <c r="J13" s="70"/>
      <c r="K13" s="70"/>
      <c r="L13" s="70"/>
      <c r="M13" s="70"/>
      <c r="N13" s="70"/>
      <c r="O13" s="70"/>
      <c r="P13" s="73"/>
      <c r="Q13" s="73"/>
      <c r="R13" s="73"/>
      <c r="S13" s="73"/>
      <c r="T13" s="76" t="s">
        <v>180</v>
      </c>
      <c r="U13" s="77" t="s">
        <v>205</v>
      </c>
      <c r="V13" s="78">
        <v>60000</v>
      </c>
      <c r="W13" s="78"/>
      <c r="X13" s="78"/>
      <c r="Y13" s="78"/>
      <c r="Z13" s="78"/>
      <c r="AA13" s="78"/>
      <c r="AB13" s="78"/>
      <c r="AC13" s="78"/>
      <c r="AD13" s="81"/>
      <c r="AE13" s="78"/>
      <c r="AF13" s="78"/>
      <c r="AG13" s="82"/>
      <c r="AH13" s="78"/>
      <c r="AI13" s="78"/>
      <c r="AJ13" s="78"/>
      <c r="AK13" s="78"/>
      <c r="AL13" s="82"/>
      <c r="AM13" s="78"/>
      <c r="AN13" s="78">
        <v>6</v>
      </c>
      <c r="AO13" s="78">
        <f t="shared" ref="AO13:AO27" si="219">AO8+100</f>
        <v>200</v>
      </c>
      <c r="AP13" s="78">
        <v>3</v>
      </c>
      <c r="AQ13" s="78"/>
      <c r="AR13" s="84"/>
      <c r="AS13" s="84"/>
      <c r="AT13" s="78"/>
      <c r="AU13" s="78"/>
      <c r="AV13" s="78"/>
      <c r="AW13" s="78"/>
      <c r="AX13" s="78"/>
      <c r="AY13" s="78"/>
      <c r="AZ13" s="78"/>
      <c r="BA13" s="78"/>
      <c r="BB13" s="78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78"/>
      <c r="CF13" s="78"/>
      <c r="CG13" s="78"/>
      <c r="CH13" s="78"/>
      <c r="CI13" s="78"/>
      <c r="CJ13" s="78"/>
      <c r="CK13" s="78"/>
      <c r="CL13" s="78"/>
      <c r="CM13" s="78"/>
      <c r="CN13" s="86" t="str">
        <f t="shared" si="2"/>
        <v>InitUnitState('E011',60000,,,,,,,,,)</v>
      </c>
      <c r="CO13" s="86" t="str">
        <f t="shared" si="3"/>
        <v>InitUnitNormal('E011',,,,,,,,,6,200)</v>
      </c>
      <c r="CP13" s="86" t="str">
        <f t="shared" si="4"/>
        <v>InitUnitMagic('E011',3,,,,,,,,,)</v>
      </c>
      <c r="CQ13" s="86" t="str">
        <f t="shared" si="5"/>
        <v>InitUnitAdd('E011',,,,,,,,,,)</v>
      </c>
      <c r="CR13" s="86" t="str">
        <f t="shared" si="6"/>
        <v>InitEquipData('E011',,"",,E012,8000,70,'','','','','','',"ReplaceableTextures\\CommandButtons\\BTNZ03.blp")</v>
      </c>
      <c r="CS13" s="86"/>
      <c r="CT13" s="86"/>
      <c r="CU13" s="88" t="str">
        <f t="shared" si="78"/>
        <v>|n攻击+60000|n暴击+6%|n暴伤+200%|n伤害吸取+3%|n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/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pans="1:175" s="33" customFormat="1" ht="16.5">
      <c r="A14" s="2"/>
      <c r="B14" s="1" t="s">
        <v>206</v>
      </c>
      <c r="C14" s="2" t="s">
        <v>207</v>
      </c>
      <c r="D14" s="67"/>
      <c r="E14" s="68"/>
      <c r="F14" s="69">
        <v>8000</v>
      </c>
      <c r="G14" s="70">
        <v>70</v>
      </c>
      <c r="H14" s="70"/>
      <c r="I14" s="70" t="str">
        <f t="shared" si="77"/>
        <v>E013</v>
      </c>
      <c r="J14" s="70"/>
      <c r="K14" s="70"/>
      <c r="L14" s="70"/>
      <c r="M14" s="70"/>
      <c r="N14" s="70"/>
      <c r="O14" s="70"/>
      <c r="P14" s="73"/>
      <c r="Q14" s="73"/>
      <c r="R14" s="73"/>
      <c r="S14" s="73"/>
      <c r="T14" s="76" t="s">
        <v>180</v>
      </c>
      <c r="U14" s="77" t="s">
        <v>205</v>
      </c>
      <c r="V14" s="78">
        <v>80000</v>
      </c>
      <c r="W14" s="78"/>
      <c r="X14" s="78"/>
      <c r="Y14" s="78"/>
      <c r="Z14" s="78"/>
      <c r="AA14" s="78"/>
      <c r="AB14" s="78"/>
      <c r="AC14" s="78"/>
      <c r="AD14" s="81"/>
      <c r="AE14" s="78"/>
      <c r="AF14" s="78"/>
      <c r="AG14" s="82"/>
      <c r="AH14" s="78"/>
      <c r="AI14" s="78"/>
      <c r="AJ14" s="78"/>
      <c r="AK14" s="78"/>
      <c r="AL14" s="82"/>
      <c r="AM14" s="78"/>
      <c r="AN14" s="78">
        <v>6</v>
      </c>
      <c r="AO14" s="78">
        <f t="shared" si="219"/>
        <v>200</v>
      </c>
      <c r="AP14" s="78">
        <v>3</v>
      </c>
      <c r="AQ14" s="78"/>
      <c r="AR14" s="84"/>
      <c r="AS14" s="84"/>
      <c r="AT14" s="78"/>
      <c r="AU14" s="78"/>
      <c r="AV14" s="78"/>
      <c r="AW14" s="78"/>
      <c r="AX14" s="78"/>
      <c r="AY14" s="78"/>
      <c r="AZ14" s="78"/>
      <c r="BA14" s="78"/>
      <c r="BB14" s="78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78"/>
      <c r="CF14" s="78"/>
      <c r="CG14" s="78"/>
      <c r="CH14" s="78"/>
      <c r="CI14" s="78"/>
      <c r="CJ14" s="78"/>
      <c r="CK14" s="78"/>
      <c r="CL14" s="78"/>
      <c r="CM14" s="78"/>
      <c r="CN14" s="86" t="str">
        <f t="shared" si="2"/>
        <v>InitUnitState('E012',80000,,,,,,,,,)</v>
      </c>
      <c r="CO14" s="86" t="str">
        <f t="shared" si="3"/>
        <v>InitUnitNormal('E012',,,,,,,,,6,200)</v>
      </c>
      <c r="CP14" s="86" t="str">
        <f t="shared" si="4"/>
        <v>InitUnitMagic('E012',3,,,,,,,,,)</v>
      </c>
      <c r="CQ14" s="86" t="str">
        <f t="shared" si="5"/>
        <v>InitUnitAdd('E012',,,,,,,,,,)</v>
      </c>
      <c r="CR14" s="86" t="str">
        <f t="shared" si="6"/>
        <v>InitEquipData('E012',,"",,E013,8000,70,'','','','','','',"ReplaceableTextures\\CommandButtons\\BTNZ03.blp")</v>
      </c>
      <c r="CS14" s="86"/>
      <c r="CT14" s="86"/>
      <c r="CU14" s="88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pans="1:175" s="33" customFormat="1" ht="16.5">
      <c r="A15" s="2"/>
      <c r="B15" s="1" t="s">
        <v>208</v>
      </c>
      <c r="C15" s="2" t="s">
        <v>209</v>
      </c>
      <c r="D15" s="67"/>
      <c r="E15" s="68"/>
      <c r="F15" s="69">
        <v>8000</v>
      </c>
      <c r="G15" s="70">
        <v>70</v>
      </c>
      <c r="H15" s="70"/>
      <c r="I15" s="70" t="str">
        <f t="shared" si="77"/>
        <v>E014</v>
      </c>
      <c r="J15" s="70"/>
      <c r="K15" s="70"/>
      <c r="L15" s="70"/>
      <c r="M15" s="70"/>
      <c r="N15" s="70"/>
      <c r="O15" s="70"/>
      <c r="P15" s="73"/>
      <c r="Q15" s="73"/>
      <c r="R15" s="73"/>
      <c r="S15" s="73"/>
      <c r="T15" s="76" t="s">
        <v>180</v>
      </c>
      <c r="U15" s="77" t="s">
        <v>205</v>
      </c>
      <c r="V15" s="78">
        <v>100000</v>
      </c>
      <c r="W15" s="78"/>
      <c r="X15" s="78"/>
      <c r="Y15" s="78"/>
      <c r="Z15" s="78"/>
      <c r="AA15" s="78"/>
      <c r="AB15" s="78"/>
      <c r="AC15" s="78"/>
      <c r="AD15" s="81"/>
      <c r="AE15" s="78"/>
      <c r="AF15" s="78"/>
      <c r="AG15" s="82"/>
      <c r="AH15" s="78"/>
      <c r="AI15" s="78"/>
      <c r="AJ15" s="78"/>
      <c r="AK15" s="78"/>
      <c r="AL15" s="82"/>
      <c r="AM15" s="78"/>
      <c r="AN15" s="78">
        <v>6</v>
      </c>
      <c r="AO15" s="78">
        <f t="shared" si="219"/>
        <v>200</v>
      </c>
      <c r="AP15" s="78">
        <v>3</v>
      </c>
      <c r="AQ15" s="78"/>
      <c r="AR15" s="84"/>
      <c r="AS15" s="84"/>
      <c r="AT15" s="78"/>
      <c r="AU15" s="78"/>
      <c r="AV15" s="78"/>
      <c r="AW15" s="78"/>
      <c r="AX15" s="78"/>
      <c r="AY15" s="78"/>
      <c r="AZ15" s="78"/>
      <c r="BA15" s="78"/>
      <c r="BB15" s="78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78"/>
      <c r="CF15" s="78"/>
      <c r="CG15" s="78"/>
      <c r="CH15" s="78"/>
      <c r="CI15" s="78"/>
      <c r="CJ15" s="78"/>
      <c r="CK15" s="78"/>
      <c r="CL15" s="78"/>
      <c r="CM15" s="78"/>
      <c r="CN15" s="86" t="str">
        <f t="shared" si="2"/>
        <v>InitUnitState('E013',100000,,,,,,,,,)</v>
      </c>
      <c r="CO15" s="86" t="str">
        <f t="shared" si="3"/>
        <v>InitUnitNormal('E013',,,,,,,,,6,200)</v>
      </c>
      <c r="CP15" s="86" t="str">
        <f t="shared" si="4"/>
        <v>InitUnitMagic('E013',3,,,,,,,,,)</v>
      </c>
      <c r="CQ15" s="86" t="str">
        <f t="shared" si="5"/>
        <v>InitUnitAdd('E013',,,,,,,,,,)</v>
      </c>
      <c r="CR15" s="86" t="str">
        <f t="shared" si="6"/>
        <v>InitEquipData('E013',,"",,E014,8000,70,'','','','','','',"ReplaceableTextures\\CommandButtons\\BTNZ03.blp")</v>
      </c>
      <c r="CS15" s="86"/>
      <c r="CT15" s="86"/>
      <c r="CU15" s="88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pans="1:175" s="33" customFormat="1" ht="16.5">
      <c r="A16" s="2"/>
      <c r="B16" s="1" t="s">
        <v>210</v>
      </c>
      <c r="C16" s="2" t="s">
        <v>211</v>
      </c>
      <c r="D16" s="67"/>
      <c r="E16" s="68"/>
      <c r="F16" s="69">
        <v>8000</v>
      </c>
      <c r="G16" s="70">
        <v>70</v>
      </c>
      <c r="H16" s="70"/>
      <c r="I16" s="70" t="str">
        <f t="shared" si="77"/>
        <v>E015</v>
      </c>
      <c r="J16" s="70"/>
      <c r="K16" s="70"/>
      <c r="L16" s="70"/>
      <c r="M16" s="70"/>
      <c r="N16" s="70"/>
      <c r="O16" s="70"/>
      <c r="P16" s="73"/>
      <c r="Q16" s="73"/>
      <c r="R16" s="73"/>
      <c r="S16" s="73"/>
      <c r="T16" s="76" t="s">
        <v>180</v>
      </c>
      <c r="U16" s="77" t="s">
        <v>205</v>
      </c>
      <c r="V16" s="78">
        <v>120000</v>
      </c>
      <c r="W16" s="78"/>
      <c r="X16" s="78"/>
      <c r="Y16" s="78"/>
      <c r="Z16" s="78"/>
      <c r="AA16" s="78"/>
      <c r="AB16" s="78"/>
      <c r="AC16" s="78"/>
      <c r="AD16" s="81"/>
      <c r="AE16" s="78"/>
      <c r="AF16" s="78"/>
      <c r="AG16" s="82"/>
      <c r="AH16" s="78"/>
      <c r="AI16" s="78"/>
      <c r="AJ16" s="78"/>
      <c r="AK16" s="78"/>
      <c r="AL16" s="82"/>
      <c r="AM16" s="78"/>
      <c r="AN16" s="78">
        <v>6</v>
      </c>
      <c r="AO16" s="78">
        <f t="shared" si="219"/>
        <v>200</v>
      </c>
      <c r="AP16" s="78">
        <v>3</v>
      </c>
      <c r="AQ16" s="78"/>
      <c r="AR16" s="84"/>
      <c r="AS16" s="84"/>
      <c r="AT16" s="78"/>
      <c r="AU16" s="78"/>
      <c r="AV16" s="78"/>
      <c r="AW16" s="78"/>
      <c r="AX16" s="78"/>
      <c r="AY16" s="78"/>
      <c r="AZ16" s="78"/>
      <c r="BA16" s="78"/>
      <c r="BB16" s="78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78"/>
      <c r="CF16" s="78"/>
      <c r="CG16" s="78"/>
      <c r="CH16" s="78"/>
      <c r="CI16" s="78"/>
      <c r="CJ16" s="78"/>
      <c r="CK16" s="78"/>
      <c r="CL16" s="78"/>
      <c r="CM16" s="78"/>
      <c r="CN16" s="86" t="str">
        <f t="shared" si="2"/>
        <v>InitUnitState('E014',120000,,,,,,,,,)</v>
      </c>
      <c r="CO16" s="86" t="str">
        <f t="shared" si="3"/>
        <v>InitUnitNormal('E014',,,,,,,,,6,200)</v>
      </c>
      <c r="CP16" s="86" t="str">
        <f t="shared" si="4"/>
        <v>InitUnitMagic('E014',3,,,,,,,,,)</v>
      </c>
      <c r="CQ16" s="86" t="str">
        <f t="shared" si="5"/>
        <v>InitUnitAdd('E014',,,,,,,,,,)</v>
      </c>
      <c r="CR16" s="86" t="str">
        <f t="shared" si="6"/>
        <v>InitEquipData('E014',,"",,E015,8000,70,'','','','','','',"ReplaceableTextures\\CommandButtons\\BTNZ03.blp")</v>
      </c>
      <c r="CS16" s="86"/>
      <c r="CT16" s="86"/>
      <c r="CU16" s="88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pans="1:175" s="33" customFormat="1" ht="16.5">
      <c r="A17" s="2"/>
      <c r="B17" s="1" t="s">
        <v>212</v>
      </c>
      <c r="C17" s="2" t="s">
        <v>213</v>
      </c>
      <c r="D17" s="67"/>
      <c r="E17" s="68"/>
      <c r="F17" s="69">
        <v>30000</v>
      </c>
      <c r="G17" s="70">
        <v>100</v>
      </c>
      <c r="H17" s="71" t="s">
        <v>214</v>
      </c>
      <c r="I17" s="70" t="str">
        <f t="shared" si="77"/>
        <v>E016</v>
      </c>
      <c r="J17" s="70"/>
      <c r="K17" s="70"/>
      <c r="L17" s="70"/>
      <c r="M17" s="70"/>
      <c r="N17" s="70"/>
      <c r="O17" s="70"/>
      <c r="P17" s="73"/>
      <c r="Q17" s="73"/>
      <c r="R17" s="73"/>
      <c r="S17" s="73"/>
      <c r="T17" s="76" t="s">
        <v>180</v>
      </c>
      <c r="U17" s="77" t="s">
        <v>205</v>
      </c>
      <c r="V17" s="78">
        <v>140000</v>
      </c>
      <c r="W17" s="78"/>
      <c r="X17" s="78"/>
      <c r="Y17" s="78"/>
      <c r="Z17" s="78"/>
      <c r="AA17" s="78"/>
      <c r="AB17" s="78"/>
      <c r="AC17" s="78"/>
      <c r="AD17" s="81"/>
      <c r="AE17" s="78"/>
      <c r="AF17" s="78"/>
      <c r="AG17" s="82"/>
      <c r="AH17" s="78"/>
      <c r="AI17" s="78"/>
      <c r="AJ17" s="78"/>
      <c r="AK17" s="78"/>
      <c r="AL17" s="82"/>
      <c r="AM17" s="78"/>
      <c r="AN17" s="78">
        <v>6</v>
      </c>
      <c r="AO17" s="78">
        <f t="shared" si="219"/>
        <v>200</v>
      </c>
      <c r="AP17" s="78">
        <v>3</v>
      </c>
      <c r="AQ17" s="78"/>
      <c r="AR17" s="84"/>
      <c r="AS17" s="84"/>
      <c r="AT17" s="78"/>
      <c r="AU17" s="78"/>
      <c r="AV17" s="78"/>
      <c r="AW17" s="78"/>
      <c r="AX17" s="78"/>
      <c r="AY17" s="78"/>
      <c r="AZ17" s="78"/>
      <c r="BA17" s="78"/>
      <c r="BB17" s="78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78"/>
      <c r="CF17" s="78"/>
      <c r="CG17" s="78"/>
      <c r="CH17" s="78"/>
      <c r="CI17" s="78"/>
      <c r="CJ17" s="78"/>
      <c r="CK17" s="78"/>
      <c r="CL17" s="78"/>
      <c r="CM17" s="78"/>
      <c r="CN17" s="86" t="str">
        <f t="shared" si="2"/>
        <v>InitUnitState('E015',140000,,,,,,,,,)</v>
      </c>
      <c r="CO17" s="86" t="str">
        <f t="shared" si="3"/>
        <v>InitUnitNormal('E015',,,,,,,,,6,200)</v>
      </c>
      <c r="CP17" s="86" t="str">
        <f t="shared" si="4"/>
        <v>InitUnitMagic('E015',3,,,,,,,,,)</v>
      </c>
      <c r="CQ17" s="86" t="str">
        <f t="shared" si="5"/>
        <v>InitUnitAdd('E015',,,,,,,,,,)</v>
      </c>
      <c r="CR17" s="86" t="str">
        <f t="shared" si="6"/>
        <v>InitEquipData('E015',,"",,E016,30000,100,'','','','','','',"ReplaceableTextures\\CommandButtons\\BTNZ04.blp")</v>
      </c>
      <c r="CS17" s="86"/>
      <c r="CT17" s="86"/>
      <c r="CU17" s="88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pans="1:175" s="33" customFormat="1" ht="16.5">
      <c r="A18" s="2"/>
      <c r="B18" s="1" t="s">
        <v>215</v>
      </c>
      <c r="C18" s="2" t="s">
        <v>216</v>
      </c>
      <c r="D18" s="67"/>
      <c r="E18" s="68"/>
      <c r="F18" s="69">
        <v>20000</v>
      </c>
      <c r="G18" s="70">
        <v>60</v>
      </c>
      <c r="H18" s="70"/>
      <c r="I18" s="70" t="str">
        <f t="shared" si="77"/>
        <v>E017</v>
      </c>
      <c r="J18" s="70"/>
      <c r="K18" s="70"/>
      <c r="L18" s="70"/>
      <c r="M18" s="70"/>
      <c r="N18" s="70"/>
      <c r="O18" s="70"/>
      <c r="P18" s="73"/>
      <c r="Q18" s="73"/>
      <c r="R18" s="73"/>
      <c r="S18" s="73"/>
      <c r="T18" s="76" t="s">
        <v>180</v>
      </c>
      <c r="U18" s="77" t="s">
        <v>217</v>
      </c>
      <c r="V18" s="78">
        <v>300000</v>
      </c>
      <c r="W18" s="78"/>
      <c r="X18" s="78"/>
      <c r="Y18" s="78"/>
      <c r="Z18" s="78"/>
      <c r="AA18" s="78"/>
      <c r="AB18" s="78"/>
      <c r="AC18" s="78"/>
      <c r="AD18" s="81"/>
      <c r="AE18" s="78"/>
      <c r="AF18" s="78"/>
      <c r="AG18" s="82"/>
      <c r="AH18" s="78"/>
      <c r="AI18" s="78"/>
      <c r="AJ18" s="78"/>
      <c r="AK18" s="78"/>
      <c r="AL18" s="82"/>
      <c r="AM18" s="78"/>
      <c r="AN18" s="78">
        <v>7</v>
      </c>
      <c r="AO18" s="78">
        <f t="shared" si="219"/>
        <v>300</v>
      </c>
      <c r="AP18" s="78">
        <v>4</v>
      </c>
      <c r="AQ18" s="78"/>
      <c r="AR18" s="84"/>
      <c r="AS18" s="84"/>
      <c r="AT18" s="78"/>
      <c r="AU18" s="78"/>
      <c r="AV18" s="78"/>
      <c r="AW18" s="78"/>
      <c r="AX18" s="78"/>
      <c r="AY18" s="78"/>
      <c r="AZ18" s="78"/>
      <c r="BA18" s="78"/>
      <c r="BB18" s="7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78"/>
      <c r="CF18" s="78"/>
      <c r="CG18" s="78"/>
      <c r="CH18" s="78"/>
      <c r="CI18" s="78"/>
      <c r="CJ18" s="78"/>
      <c r="CK18" s="78"/>
      <c r="CL18" s="78"/>
      <c r="CM18" s="78"/>
      <c r="CN18" s="86" t="str">
        <f t="shared" si="2"/>
        <v>InitUnitState('E016',300000,,,,,,,,,)</v>
      </c>
      <c r="CO18" s="86" t="str">
        <f t="shared" si="3"/>
        <v>InitUnitNormal('E016',,,,,,,,,7,300)</v>
      </c>
      <c r="CP18" s="86" t="str">
        <f t="shared" si="4"/>
        <v>InitUnitMagic('E016',4,,,,,,,,,)</v>
      </c>
      <c r="CQ18" s="86" t="str">
        <f t="shared" si="5"/>
        <v>InitUnitAdd('E016',,,,,,,,,,)</v>
      </c>
      <c r="CR18" s="86" t="str">
        <f t="shared" si="6"/>
        <v>InitEquipData('E016',,"",,E017,20000,60,'','','','','','',"ReplaceableTextures\\CommandButtons\\BTNZ04.blp")</v>
      </c>
      <c r="CS18" s="86"/>
      <c r="CT18" s="86"/>
      <c r="CU18" s="88" t="str">
        <f t="shared" si="78"/>
        <v>|n攻击+300000|n暴击+7%|n暴伤+300%|n伤害吸取+4%|n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/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pans="1:175" s="33" customFormat="1" ht="16.5">
      <c r="A19" s="2"/>
      <c r="B19" s="1" t="s">
        <v>218</v>
      </c>
      <c r="C19" s="2" t="s">
        <v>219</v>
      </c>
      <c r="D19" s="67"/>
      <c r="E19" s="68"/>
      <c r="F19" s="69">
        <v>20000</v>
      </c>
      <c r="G19" s="70">
        <v>60</v>
      </c>
      <c r="H19" s="70"/>
      <c r="I19" s="70" t="str">
        <f t="shared" si="77"/>
        <v>E018</v>
      </c>
      <c r="J19" s="70"/>
      <c r="K19" s="70"/>
      <c r="L19" s="70"/>
      <c r="M19" s="70"/>
      <c r="N19" s="70"/>
      <c r="O19" s="70"/>
      <c r="P19" s="73"/>
      <c r="Q19" s="73"/>
      <c r="R19" s="73"/>
      <c r="S19" s="73"/>
      <c r="T19" s="76" t="s">
        <v>180</v>
      </c>
      <c r="U19" s="77" t="s">
        <v>217</v>
      </c>
      <c r="V19" s="78">
        <v>350000</v>
      </c>
      <c r="W19" s="78"/>
      <c r="X19" s="78"/>
      <c r="Y19" s="78"/>
      <c r="Z19" s="78"/>
      <c r="AA19" s="78"/>
      <c r="AB19" s="78"/>
      <c r="AC19" s="78"/>
      <c r="AD19" s="81"/>
      <c r="AE19" s="78"/>
      <c r="AF19" s="78"/>
      <c r="AG19" s="82"/>
      <c r="AH19" s="78"/>
      <c r="AI19" s="78"/>
      <c r="AJ19" s="78"/>
      <c r="AK19" s="78"/>
      <c r="AL19" s="82"/>
      <c r="AM19" s="78"/>
      <c r="AN19" s="78">
        <v>7</v>
      </c>
      <c r="AO19" s="78">
        <f t="shared" si="219"/>
        <v>300</v>
      </c>
      <c r="AP19" s="78">
        <v>4</v>
      </c>
      <c r="AQ19" s="78"/>
      <c r="AR19" s="84"/>
      <c r="AS19" s="84"/>
      <c r="AT19" s="78"/>
      <c r="AU19" s="78"/>
      <c r="AV19" s="78"/>
      <c r="AW19" s="78"/>
      <c r="AX19" s="78"/>
      <c r="AY19" s="78"/>
      <c r="AZ19" s="78"/>
      <c r="BA19" s="78"/>
      <c r="BB19" s="78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78"/>
      <c r="CF19" s="78"/>
      <c r="CG19" s="78"/>
      <c r="CH19" s="78"/>
      <c r="CI19" s="78"/>
      <c r="CJ19" s="78"/>
      <c r="CK19" s="78"/>
      <c r="CL19" s="78"/>
      <c r="CM19" s="78"/>
      <c r="CN19" s="86" t="str">
        <f t="shared" si="2"/>
        <v>InitUnitState('E017',350000,,,,,,,,,)</v>
      </c>
      <c r="CO19" s="86" t="str">
        <f t="shared" si="3"/>
        <v>InitUnitNormal('E017',,,,,,,,,7,300)</v>
      </c>
      <c r="CP19" s="86" t="str">
        <f t="shared" si="4"/>
        <v>InitUnitMagic('E017',4,,,,,,,,,)</v>
      </c>
      <c r="CQ19" s="86" t="str">
        <f t="shared" si="5"/>
        <v>InitUnitAdd('E017',,,,,,,,,,)</v>
      </c>
      <c r="CR19" s="86" t="str">
        <f t="shared" si="6"/>
        <v>InitEquipData('E017',,"",,E018,20000,60,'','','','','','',"ReplaceableTextures\\CommandButtons\\BTNZ04.blp")</v>
      </c>
      <c r="CS19" s="86"/>
      <c r="CT19" s="86"/>
      <c r="CU19" s="88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pans="1:175" s="33" customFormat="1" ht="16.5">
      <c r="A20" s="2"/>
      <c r="B20" s="1" t="s">
        <v>220</v>
      </c>
      <c r="C20" s="2" t="s">
        <v>221</v>
      </c>
      <c r="D20" s="67"/>
      <c r="E20" s="68"/>
      <c r="F20" s="69">
        <v>20000</v>
      </c>
      <c r="G20" s="70">
        <v>60</v>
      </c>
      <c r="H20" s="70"/>
      <c r="I20" s="70" t="str">
        <f t="shared" si="77"/>
        <v>E019</v>
      </c>
      <c r="J20" s="70"/>
      <c r="K20" s="70"/>
      <c r="L20" s="70"/>
      <c r="M20" s="70"/>
      <c r="N20" s="70"/>
      <c r="O20" s="70"/>
      <c r="P20" s="73"/>
      <c r="Q20" s="73"/>
      <c r="R20" s="73"/>
      <c r="S20" s="73"/>
      <c r="T20" s="76" t="s">
        <v>180</v>
      </c>
      <c r="U20" s="77" t="s">
        <v>217</v>
      </c>
      <c r="V20" s="78">
        <v>400000</v>
      </c>
      <c r="W20" s="78"/>
      <c r="X20" s="78"/>
      <c r="Y20" s="78"/>
      <c r="Z20" s="78"/>
      <c r="AA20" s="78"/>
      <c r="AB20" s="78"/>
      <c r="AC20" s="78"/>
      <c r="AD20" s="81"/>
      <c r="AE20" s="78"/>
      <c r="AF20" s="78"/>
      <c r="AG20" s="82"/>
      <c r="AH20" s="78"/>
      <c r="AI20" s="78"/>
      <c r="AJ20" s="78"/>
      <c r="AK20" s="78"/>
      <c r="AL20" s="82"/>
      <c r="AM20" s="78"/>
      <c r="AN20" s="78">
        <v>7</v>
      </c>
      <c r="AO20" s="78">
        <f t="shared" si="219"/>
        <v>300</v>
      </c>
      <c r="AP20" s="78">
        <v>4</v>
      </c>
      <c r="AQ20" s="78"/>
      <c r="AR20" s="84"/>
      <c r="AS20" s="84"/>
      <c r="AT20" s="78"/>
      <c r="AU20" s="78"/>
      <c r="AV20" s="78"/>
      <c r="AW20" s="78"/>
      <c r="AX20" s="78"/>
      <c r="AY20" s="78"/>
      <c r="AZ20" s="78"/>
      <c r="BA20" s="78"/>
      <c r="BB20" s="78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78"/>
      <c r="CF20" s="78"/>
      <c r="CG20" s="78"/>
      <c r="CH20" s="78"/>
      <c r="CI20" s="78"/>
      <c r="CJ20" s="78"/>
      <c r="CK20" s="78"/>
      <c r="CL20" s="78"/>
      <c r="CM20" s="78"/>
      <c r="CN20" s="86" t="str">
        <f t="shared" si="2"/>
        <v>InitUnitState('E018',400000,,,,,,,,,)</v>
      </c>
      <c r="CO20" s="86" t="str">
        <f t="shared" si="3"/>
        <v>InitUnitNormal('E018',,,,,,,,,7,300)</v>
      </c>
      <c r="CP20" s="86" t="str">
        <f t="shared" si="4"/>
        <v>InitUnitMagic('E018',4,,,,,,,,,)</v>
      </c>
      <c r="CQ20" s="86" t="str">
        <f t="shared" si="5"/>
        <v>InitUnitAdd('E018',,,,,,,,,,)</v>
      </c>
      <c r="CR20" s="86" t="str">
        <f t="shared" si="6"/>
        <v>InitEquipData('E018',,"",,E019,20000,60,'','','','','','',"ReplaceableTextures\\CommandButtons\\BTNZ04.blp")</v>
      </c>
      <c r="CS20" s="86"/>
      <c r="CT20" s="86"/>
      <c r="CU20" s="88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pans="1:175" s="33" customFormat="1" ht="16.5">
      <c r="A21" s="2"/>
      <c r="B21" s="1" t="s">
        <v>222</v>
      </c>
      <c r="C21" s="2" t="s">
        <v>223</v>
      </c>
      <c r="D21" s="67"/>
      <c r="E21" s="68"/>
      <c r="F21" s="69">
        <v>20000</v>
      </c>
      <c r="G21" s="70">
        <v>60</v>
      </c>
      <c r="H21" s="70"/>
      <c r="I21" s="70" t="str">
        <f t="shared" si="77"/>
        <v>E020</v>
      </c>
      <c r="J21" s="70"/>
      <c r="K21" s="70"/>
      <c r="L21" s="70"/>
      <c r="M21" s="70"/>
      <c r="N21" s="70"/>
      <c r="O21" s="70"/>
      <c r="P21" s="73"/>
      <c r="Q21" s="73"/>
      <c r="R21" s="73"/>
      <c r="S21" s="73"/>
      <c r="T21" s="76" t="s">
        <v>180</v>
      </c>
      <c r="U21" s="77" t="s">
        <v>217</v>
      </c>
      <c r="V21" s="78">
        <v>450000</v>
      </c>
      <c r="W21" s="78"/>
      <c r="X21" s="78"/>
      <c r="Y21" s="78"/>
      <c r="Z21" s="78"/>
      <c r="AA21" s="78"/>
      <c r="AB21" s="78"/>
      <c r="AC21" s="78"/>
      <c r="AD21" s="81"/>
      <c r="AE21" s="78"/>
      <c r="AF21" s="78"/>
      <c r="AG21" s="82"/>
      <c r="AH21" s="78"/>
      <c r="AI21" s="78"/>
      <c r="AJ21" s="78"/>
      <c r="AK21" s="78"/>
      <c r="AL21" s="82"/>
      <c r="AM21" s="78"/>
      <c r="AN21" s="78">
        <v>7</v>
      </c>
      <c r="AO21" s="78">
        <f t="shared" si="219"/>
        <v>300</v>
      </c>
      <c r="AP21" s="78">
        <v>4</v>
      </c>
      <c r="AQ21" s="78"/>
      <c r="AR21" s="84"/>
      <c r="AS21" s="84"/>
      <c r="AT21" s="78"/>
      <c r="AU21" s="78"/>
      <c r="AV21" s="78"/>
      <c r="AW21" s="78"/>
      <c r="AX21" s="78"/>
      <c r="AY21" s="78"/>
      <c r="AZ21" s="78"/>
      <c r="BA21" s="78"/>
      <c r="BB21" s="78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78"/>
      <c r="CF21" s="78"/>
      <c r="CG21" s="78"/>
      <c r="CH21" s="78"/>
      <c r="CI21" s="78"/>
      <c r="CJ21" s="78"/>
      <c r="CK21" s="78"/>
      <c r="CL21" s="78"/>
      <c r="CM21" s="78"/>
      <c r="CN21" s="86" t="str">
        <f t="shared" si="2"/>
        <v>InitUnitState('E019',450000,,,,,,,,,)</v>
      </c>
      <c r="CO21" s="86" t="str">
        <f t="shared" si="3"/>
        <v>InitUnitNormal('E019',,,,,,,,,7,300)</v>
      </c>
      <c r="CP21" s="86" t="str">
        <f t="shared" si="4"/>
        <v>InitUnitMagic('E019',4,,,,,,,,,)</v>
      </c>
      <c r="CQ21" s="86" t="str">
        <f t="shared" si="5"/>
        <v>InitUnitAdd('E019',,,,,,,,,,)</v>
      </c>
      <c r="CR21" s="86" t="str">
        <f t="shared" si="6"/>
        <v>InitEquipData('E019',,"",,E020,20000,60,'','','','','','',"ReplaceableTextures\\CommandButtons\\BTNZ04.blp")</v>
      </c>
      <c r="CS21" s="86"/>
      <c r="CT21" s="86"/>
      <c r="CU21" s="88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pans="1:175" s="33" customFormat="1" ht="16.5">
      <c r="A22" s="2"/>
      <c r="B22" s="1" t="s">
        <v>224</v>
      </c>
      <c r="C22" s="2" t="s">
        <v>225</v>
      </c>
      <c r="D22" s="67"/>
      <c r="E22" s="68"/>
      <c r="F22" s="69">
        <v>35000</v>
      </c>
      <c r="G22" s="70">
        <v>100</v>
      </c>
      <c r="H22" s="71" t="s">
        <v>226</v>
      </c>
      <c r="I22" s="70" t="str">
        <f t="shared" si="77"/>
        <v>E021</v>
      </c>
      <c r="J22" s="70"/>
      <c r="K22" s="70"/>
      <c r="L22" s="70"/>
      <c r="M22" s="70"/>
      <c r="N22" s="70"/>
      <c r="O22" s="70"/>
      <c r="P22" s="73"/>
      <c r="Q22" s="73"/>
      <c r="R22" s="73"/>
      <c r="S22" s="73"/>
      <c r="T22" s="76" t="s">
        <v>180</v>
      </c>
      <c r="U22" s="77" t="s">
        <v>217</v>
      </c>
      <c r="V22" s="78">
        <v>550000</v>
      </c>
      <c r="W22" s="78"/>
      <c r="X22" s="78"/>
      <c r="Y22" s="78"/>
      <c r="Z22" s="78"/>
      <c r="AA22" s="78"/>
      <c r="AB22" s="78"/>
      <c r="AC22" s="78"/>
      <c r="AD22" s="81"/>
      <c r="AE22" s="78"/>
      <c r="AF22" s="78"/>
      <c r="AG22" s="82"/>
      <c r="AH22" s="78"/>
      <c r="AI22" s="78"/>
      <c r="AJ22" s="78"/>
      <c r="AK22" s="78"/>
      <c r="AL22" s="82"/>
      <c r="AM22" s="78"/>
      <c r="AN22" s="78">
        <v>7</v>
      </c>
      <c r="AO22" s="78">
        <f t="shared" si="219"/>
        <v>300</v>
      </c>
      <c r="AP22" s="78">
        <v>4</v>
      </c>
      <c r="AQ22" s="78"/>
      <c r="AR22" s="84"/>
      <c r="AS22" s="84"/>
      <c r="AT22" s="78"/>
      <c r="AU22" s="78"/>
      <c r="AV22" s="78"/>
      <c r="AW22" s="78"/>
      <c r="AX22" s="78"/>
      <c r="AY22" s="78"/>
      <c r="AZ22" s="78"/>
      <c r="BA22" s="78"/>
      <c r="BB22" s="78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78"/>
      <c r="CF22" s="78"/>
      <c r="CG22" s="78"/>
      <c r="CH22" s="78"/>
      <c r="CI22" s="78"/>
      <c r="CJ22" s="78"/>
      <c r="CK22" s="78"/>
      <c r="CL22" s="78"/>
      <c r="CM22" s="78"/>
      <c r="CN22" s="86" t="str">
        <f t="shared" si="2"/>
        <v>InitUnitState('E020',550000,,,,,,,,,)</v>
      </c>
      <c r="CO22" s="86" t="str">
        <f t="shared" si="3"/>
        <v>InitUnitNormal('E020',,,,,,,,,7,300)</v>
      </c>
      <c r="CP22" s="86" t="str">
        <f t="shared" si="4"/>
        <v>InitUnitMagic('E020',4,,,,,,,,,)</v>
      </c>
      <c r="CQ22" s="86" t="str">
        <f t="shared" si="5"/>
        <v>InitUnitAdd('E020',,,,,,,,,,)</v>
      </c>
      <c r="CR22" s="86" t="str">
        <f t="shared" si="6"/>
        <v>InitEquipData('E020',,"",,E021,35000,100,'','','','','','',"ReplaceableTextures\\CommandButtons\\BTNZ05.blp")</v>
      </c>
      <c r="CS22" s="86"/>
      <c r="CT22" s="86"/>
      <c r="CU22" s="88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pans="1:175" s="33" customFormat="1" ht="16.5">
      <c r="A23" s="2"/>
      <c r="B23" s="1" t="s">
        <v>227</v>
      </c>
      <c r="C23" s="2" t="s">
        <v>228</v>
      </c>
      <c r="D23" s="67"/>
      <c r="E23" s="68"/>
      <c r="F23" s="69">
        <v>35000</v>
      </c>
      <c r="G23" s="70">
        <v>50</v>
      </c>
      <c r="H23" s="70"/>
      <c r="I23" s="70" t="str">
        <f t="shared" si="77"/>
        <v>E022</v>
      </c>
      <c r="J23" s="70"/>
      <c r="K23" s="70"/>
      <c r="L23" s="70"/>
      <c r="M23" s="70"/>
      <c r="N23" s="70"/>
      <c r="O23" s="70"/>
      <c r="P23" s="73"/>
      <c r="Q23" s="73"/>
      <c r="R23" s="73"/>
      <c r="S23" s="73"/>
      <c r="T23" s="76" t="s">
        <v>180</v>
      </c>
      <c r="U23" s="77" t="s">
        <v>229</v>
      </c>
      <c r="V23" s="78">
        <v>800000</v>
      </c>
      <c r="W23" s="78"/>
      <c r="X23" s="78"/>
      <c r="Y23" s="78"/>
      <c r="Z23" s="78"/>
      <c r="AA23" s="78"/>
      <c r="AB23" s="78"/>
      <c r="AC23" s="78"/>
      <c r="AD23" s="81"/>
      <c r="AE23" s="78"/>
      <c r="AF23" s="78"/>
      <c r="AG23" s="82"/>
      <c r="AH23" s="78"/>
      <c r="AI23" s="78"/>
      <c r="AJ23" s="78"/>
      <c r="AK23" s="78"/>
      <c r="AL23" s="82"/>
      <c r="AM23" s="78"/>
      <c r="AN23" s="78">
        <v>8</v>
      </c>
      <c r="AO23" s="78">
        <f t="shared" si="219"/>
        <v>400</v>
      </c>
      <c r="AP23" s="78">
        <v>5</v>
      </c>
      <c r="AQ23" s="78"/>
      <c r="AR23" s="84"/>
      <c r="AS23" s="84"/>
      <c r="AT23" s="78"/>
      <c r="AU23" s="78"/>
      <c r="AV23" s="78"/>
      <c r="AW23" s="78"/>
      <c r="AX23" s="78"/>
      <c r="AY23" s="78"/>
      <c r="AZ23" s="78"/>
      <c r="BA23" s="78"/>
      <c r="BB23" s="78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78"/>
      <c r="CF23" s="78"/>
      <c r="CG23" s="78"/>
      <c r="CH23" s="78"/>
      <c r="CI23" s="78"/>
      <c r="CJ23" s="78"/>
      <c r="CK23" s="78"/>
      <c r="CL23" s="78"/>
      <c r="CM23" s="78"/>
      <c r="CN23" s="86" t="str">
        <f t="shared" si="2"/>
        <v>InitUnitState('E021',800000,,,,,,,,,)</v>
      </c>
      <c r="CO23" s="86" t="str">
        <f t="shared" si="3"/>
        <v>InitUnitNormal('E021',,,,,,,,,8,400)</v>
      </c>
      <c r="CP23" s="86" t="str">
        <f t="shared" si="4"/>
        <v>InitUnitMagic('E021',5,,,,,,,,,)</v>
      </c>
      <c r="CQ23" s="86" t="str">
        <f t="shared" si="5"/>
        <v>InitUnitAdd('E021',,,,,,,,,,)</v>
      </c>
      <c r="CR23" s="86" t="str">
        <f t="shared" si="6"/>
        <v>InitEquipData('E021',,"",,E022,35000,50,'','','','','','',"ReplaceableTextures\\CommandButtons\\BTNZ05.blp")</v>
      </c>
      <c r="CS23" s="86"/>
      <c r="CT23" s="86"/>
      <c r="CU23" s="88" t="str">
        <f t="shared" si="78"/>
        <v>|n攻击+800000|n暴击+8%|n暴伤+400%|n伤害吸取+5%|n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/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pans="1:175" s="33" customFormat="1" ht="16.5">
      <c r="A24" s="2"/>
      <c r="B24" s="1" t="s">
        <v>230</v>
      </c>
      <c r="C24" s="2" t="s">
        <v>231</v>
      </c>
      <c r="D24" s="67"/>
      <c r="E24" s="68"/>
      <c r="F24" s="69">
        <v>35000</v>
      </c>
      <c r="G24" s="70">
        <v>50</v>
      </c>
      <c r="H24" s="70"/>
      <c r="I24" s="70" t="str">
        <f t="shared" si="77"/>
        <v>E023</v>
      </c>
      <c r="J24" s="70"/>
      <c r="K24" s="70"/>
      <c r="L24" s="70"/>
      <c r="M24" s="70"/>
      <c r="N24" s="70"/>
      <c r="O24" s="70"/>
      <c r="P24" s="73"/>
      <c r="Q24" s="73"/>
      <c r="R24" s="73"/>
      <c r="S24" s="73"/>
      <c r="T24" s="76" t="s">
        <v>180</v>
      </c>
      <c r="U24" s="77" t="s">
        <v>229</v>
      </c>
      <c r="V24" s="78">
        <v>1000000</v>
      </c>
      <c r="W24" s="78"/>
      <c r="X24" s="78"/>
      <c r="Y24" s="78"/>
      <c r="Z24" s="78"/>
      <c r="AA24" s="78"/>
      <c r="AB24" s="78"/>
      <c r="AC24" s="78"/>
      <c r="AD24" s="81"/>
      <c r="AE24" s="78"/>
      <c r="AF24" s="78"/>
      <c r="AG24" s="82"/>
      <c r="AH24" s="78"/>
      <c r="AI24" s="78"/>
      <c r="AJ24" s="78"/>
      <c r="AK24" s="78"/>
      <c r="AL24" s="82"/>
      <c r="AM24" s="78"/>
      <c r="AN24" s="78">
        <v>8</v>
      </c>
      <c r="AO24" s="78">
        <f t="shared" si="219"/>
        <v>400</v>
      </c>
      <c r="AP24" s="78">
        <v>5</v>
      </c>
      <c r="AQ24" s="78"/>
      <c r="AR24" s="84"/>
      <c r="AS24" s="84"/>
      <c r="AT24" s="78"/>
      <c r="AU24" s="78"/>
      <c r="AV24" s="78"/>
      <c r="AW24" s="78"/>
      <c r="AX24" s="78"/>
      <c r="AY24" s="78"/>
      <c r="AZ24" s="78"/>
      <c r="BA24" s="78"/>
      <c r="BB24" s="78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78"/>
      <c r="CF24" s="78"/>
      <c r="CG24" s="78"/>
      <c r="CH24" s="78"/>
      <c r="CI24" s="78"/>
      <c r="CJ24" s="78"/>
      <c r="CK24" s="78"/>
      <c r="CL24" s="78"/>
      <c r="CM24" s="78"/>
      <c r="CN24" s="86" t="str">
        <f t="shared" si="2"/>
        <v>InitUnitState('E022',1000000,,,,,,,,,)</v>
      </c>
      <c r="CO24" s="86" t="str">
        <f t="shared" si="3"/>
        <v>InitUnitNormal('E022',,,,,,,,,8,400)</v>
      </c>
      <c r="CP24" s="86" t="str">
        <f t="shared" si="4"/>
        <v>InitUnitMagic('E022',5,,,,,,,,,)</v>
      </c>
      <c r="CQ24" s="86" t="str">
        <f t="shared" si="5"/>
        <v>InitUnitAdd('E022',,,,,,,,,,)</v>
      </c>
      <c r="CR24" s="86" t="str">
        <f t="shared" si="6"/>
        <v>InitEquipData('E022',,"",,E023,35000,50,'','','','','','',"ReplaceableTextures\\CommandButtons\\BTNZ05.blp")</v>
      </c>
      <c r="CS24" s="86"/>
      <c r="CT24" s="86"/>
      <c r="CU24" s="88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pans="1:175" s="33" customFormat="1" ht="16.5">
      <c r="A25" s="2"/>
      <c r="B25" s="1" t="s">
        <v>232</v>
      </c>
      <c r="C25" s="2" t="s">
        <v>233</v>
      </c>
      <c r="D25" s="67"/>
      <c r="E25" s="68"/>
      <c r="F25" s="69">
        <v>35000</v>
      </c>
      <c r="G25" s="70">
        <v>50</v>
      </c>
      <c r="H25" s="70"/>
      <c r="I25" s="70" t="str">
        <f t="shared" si="77"/>
        <v>E024</v>
      </c>
      <c r="J25" s="70"/>
      <c r="K25" s="70"/>
      <c r="L25" s="70"/>
      <c r="M25" s="70"/>
      <c r="N25" s="70"/>
      <c r="O25" s="70"/>
      <c r="P25" s="73"/>
      <c r="Q25" s="73"/>
      <c r="R25" s="73"/>
      <c r="S25" s="73"/>
      <c r="T25" s="76" t="s">
        <v>180</v>
      </c>
      <c r="U25" s="77" t="s">
        <v>229</v>
      </c>
      <c r="V25" s="78">
        <v>1200000</v>
      </c>
      <c r="W25" s="78"/>
      <c r="X25" s="78"/>
      <c r="Y25" s="78"/>
      <c r="Z25" s="78"/>
      <c r="AA25" s="78"/>
      <c r="AB25" s="78"/>
      <c r="AC25" s="78"/>
      <c r="AD25" s="81"/>
      <c r="AE25" s="78"/>
      <c r="AF25" s="78"/>
      <c r="AG25" s="82"/>
      <c r="AH25" s="78"/>
      <c r="AI25" s="78"/>
      <c r="AJ25" s="78"/>
      <c r="AK25" s="78"/>
      <c r="AL25" s="82"/>
      <c r="AM25" s="78"/>
      <c r="AN25" s="78">
        <v>8</v>
      </c>
      <c r="AO25" s="78">
        <f t="shared" si="219"/>
        <v>400</v>
      </c>
      <c r="AP25" s="78">
        <v>5</v>
      </c>
      <c r="AQ25" s="78"/>
      <c r="AR25" s="84"/>
      <c r="AS25" s="84"/>
      <c r="AT25" s="78"/>
      <c r="AU25" s="78"/>
      <c r="AV25" s="78"/>
      <c r="AW25" s="78"/>
      <c r="AX25" s="78"/>
      <c r="AY25" s="78"/>
      <c r="AZ25" s="78"/>
      <c r="BA25" s="78"/>
      <c r="BB25" s="78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78"/>
      <c r="CF25" s="78"/>
      <c r="CG25" s="78"/>
      <c r="CH25" s="78"/>
      <c r="CI25" s="78"/>
      <c r="CJ25" s="78"/>
      <c r="CK25" s="78"/>
      <c r="CL25" s="78"/>
      <c r="CM25" s="78"/>
      <c r="CN25" s="86" t="str">
        <f t="shared" si="2"/>
        <v>InitUnitState('E023',1200000,,,,,,,,,)</v>
      </c>
      <c r="CO25" s="86" t="str">
        <f t="shared" si="3"/>
        <v>InitUnitNormal('E023',,,,,,,,,8,400)</v>
      </c>
      <c r="CP25" s="86" t="str">
        <f t="shared" si="4"/>
        <v>InitUnitMagic('E023',5,,,,,,,,,)</v>
      </c>
      <c r="CQ25" s="86" t="str">
        <f t="shared" si="5"/>
        <v>InitUnitAdd('E023',,,,,,,,,,)</v>
      </c>
      <c r="CR25" s="86" t="str">
        <f t="shared" si="6"/>
        <v>InitEquipData('E023',,"",,E024,35000,50,'','','','','','',"ReplaceableTextures\\CommandButtons\\BTNZ05.blp")</v>
      </c>
      <c r="CS25" s="86"/>
      <c r="CT25" s="86"/>
      <c r="CU25" s="88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pans="1:175" s="33" customFormat="1" ht="16.5">
      <c r="A26" s="2"/>
      <c r="B26" s="1" t="s">
        <v>234</v>
      </c>
      <c r="C26" s="2" t="s">
        <v>235</v>
      </c>
      <c r="D26" s="67"/>
      <c r="E26" s="68"/>
      <c r="F26" s="69">
        <v>35000</v>
      </c>
      <c r="G26" s="70">
        <v>50</v>
      </c>
      <c r="H26" s="70"/>
      <c r="I26" s="70" t="str">
        <f t="shared" si="77"/>
        <v>E025</v>
      </c>
      <c r="J26" s="70"/>
      <c r="K26" s="70"/>
      <c r="L26" s="70"/>
      <c r="M26" s="70"/>
      <c r="N26" s="70"/>
      <c r="O26" s="70"/>
      <c r="P26" s="73"/>
      <c r="Q26" s="73"/>
      <c r="R26" s="73"/>
      <c r="S26" s="73"/>
      <c r="T26" s="76" t="s">
        <v>180</v>
      </c>
      <c r="U26" s="77" t="s">
        <v>229</v>
      </c>
      <c r="V26" s="78">
        <v>1400000</v>
      </c>
      <c r="W26" s="78"/>
      <c r="X26" s="78"/>
      <c r="Y26" s="78"/>
      <c r="Z26" s="78"/>
      <c r="AA26" s="78"/>
      <c r="AB26" s="78"/>
      <c r="AC26" s="78"/>
      <c r="AD26" s="81"/>
      <c r="AE26" s="78"/>
      <c r="AF26" s="78"/>
      <c r="AG26" s="82"/>
      <c r="AH26" s="78"/>
      <c r="AI26" s="78"/>
      <c r="AJ26" s="78"/>
      <c r="AK26" s="78"/>
      <c r="AL26" s="82"/>
      <c r="AM26" s="78"/>
      <c r="AN26" s="78">
        <v>8</v>
      </c>
      <c r="AO26" s="78">
        <f t="shared" si="219"/>
        <v>400</v>
      </c>
      <c r="AP26" s="78">
        <v>5</v>
      </c>
      <c r="AQ26" s="78"/>
      <c r="AR26" s="84"/>
      <c r="AS26" s="84"/>
      <c r="AT26" s="78"/>
      <c r="AU26" s="78"/>
      <c r="AV26" s="78"/>
      <c r="AW26" s="78"/>
      <c r="AX26" s="78"/>
      <c r="AY26" s="78"/>
      <c r="AZ26" s="78"/>
      <c r="BA26" s="78"/>
      <c r="BB26" s="78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78"/>
      <c r="CF26" s="78"/>
      <c r="CG26" s="78"/>
      <c r="CH26" s="78"/>
      <c r="CI26" s="78"/>
      <c r="CJ26" s="78"/>
      <c r="CK26" s="78"/>
      <c r="CL26" s="78"/>
      <c r="CM26" s="78"/>
      <c r="CN26" s="86" t="str">
        <f t="shared" si="2"/>
        <v>InitUnitState('E024',1400000,,,,,,,,,)</v>
      </c>
      <c r="CO26" s="86" t="str">
        <f t="shared" si="3"/>
        <v>InitUnitNormal('E024',,,,,,,,,8,400)</v>
      </c>
      <c r="CP26" s="86" t="str">
        <f t="shared" si="4"/>
        <v>InitUnitMagic('E024',5,,,,,,,,,)</v>
      </c>
      <c r="CQ26" s="86" t="str">
        <f t="shared" si="5"/>
        <v>InitUnitAdd('E024',,,,,,,,,,)</v>
      </c>
      <c r="CR26" s="86" t="str">
        <f t="shared" si="6"/>
        <v>InitEquipData('E024',,"",,E025,35000,50,'','','','','','',"ReplaceableTextures\\CommandButtons\\BTNZ05.blp")</v>
      </c>
      <c r="CS26" s="86"/>
      <c r="CT26" s="86"/>
      <c r="CU26" s="88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pans="1:175" s="33" customFormat="1" ht="16.5">
      <c r="A27" s="2"/>
      <c r="B27" s="1" t="s">
        <v>236</v>
      </c>
      <c r="C27" s="2" t="s">
        <v>237</v>
      </c>
      <c r="D27" s="67"/>
      <c r="E27" s="68"/>
      <c r="F27" s="69"/>
      <c r="G27" s="70"/>
      <c r="H27" s="70"/>
      <c r="I27" s="70"/>
      <c r="J27" s="70"/>
      <c r="K27" s="70"/>
      <c r="L27" s="70"/>
      <c r="M27" s="70"/>
      <c r="N27" s="70"/>
      <c r="O27" s="70"/>
      <c r="P27" s="73"/>
      <c r="Q27" s="73"/>
      <c r="R27" s="73"/>
      <c r="S27" s="73"/>
      <c r="T27" s="76" t="s">
        <v>238</v>
      </c>
      <c r="U27" s="77" t="s">
        <v>229</v>
      </c>
      <c r="V27" s="78">
        <v>1600000</v>
      </c>
      <c r="W27" s="78"/>
      <c r="X27" s="78"/>
      <c r="Y27" s="78"/>
      <c r="Z27" s="78"/>
      <c r="AA27" s="78"/>
      <c r="AB27" s="78"/>
      <c r="AC27" s="78"/>
      <c r="AD27" s="81"/>
      <c r="AE27" s="78"/>
      <c r="AF27" s="78"/>
      <c r="AG27" s="82"/>
      <c r="AH27" s="78"/>
      <c r="AI27" s="78"/>
      <c r="AJ27" s="78"/>
      <c r="AK27" s="78"/>
      <c r="AL27" s="82"/>
      <c r="AM27" s="78"/>
      <c r="AN27" s="78">
        <v>8</v>
      </c>
      <c r="AO27" s="78">
        <f t="shared" si="219"/>
        <v>400</v>
      </c>
      <c r="AP27" s="78">
        <v>5</v>
      </c>
      <c r="AQ27" s="78"/>
      <c r="AR27" s="84"/>
      <c r="AS27" s="84"/>
      <c r="AT27" s="78"/>
      <c r="AU27" s="78"/>
      <c r="AV27" s="78"/>
      <c r="AW27" s="78"/>
      <c r="AX27" s="78"/>
      <c r="AY27" s="78"/>
      <c r="AZ27" s="78"/>
      <c r="BA27" s="78"/>
      <c r="BB27" s="78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78"/>
      <c r="CF27" s="78"/>
      <c r="CG27" s="78"/>
      <c r="CH27" s="78"/>
      <c r="CI27" s="78"/>
      <c r="CJ27" s="78"/>
      <c r="CK27" s="78"/>
      <c r="CL27" s="78"/>
      <c r="CM27" s="78"/>
      <c r="CN27" s="86" t="str">
        <f t="shared" si="2"/>
        <v>InitUnitState('E025',1600000,,,,,,,,,)</v>
      </c>
      <c r="CO27" s="86" t="str">
        <f t="shared" si="3"/>
        <v>InitUnitNormal('E025',,,,,,,,,8,400)</v>
      </c>
      <c r="CP27" s="86" t="str">
        <f t="shared" si="4"/>
        <v>InitUnitMagic('E025',5,,,,,,,,,)</v>
      </c>
      <c r="CQ27" s="86" t="str">
        <f t="shared" si="5"/>
        <v>InitUnitAdd('E025',,,,,,,,,,)</v>
      </c>
      <c r="CR27" s="86" t="str">
        <f t="shared" si="6"/>
        <v>InitEquipData('E025',,"",,,,,'','','','','','',"ReplaceableTextures\\CommandButtons\\BTNZ06.blp")</v>
      </c>
      <c r="CS27" s="86"/>
      <c r="CT27" s="86"/>
      <c r="CU27" s="88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pans="1:175" s="33" customFormat="1" ht="16.5">
      <c r="A28" s="2"/>
      <c r="B28" s="1" t="s">
        <v>239</v>
      </c>
      <c r="C28" s="10" t="s">
        <v>240</v>
      </c>
      <c r="D28" s="27">
        <v>150</v>
      </c>
      <c r="E28" s="68"/>
      <c r="F28" s="69"/>
      <c r="G28" s="70">
        <v>50</v>
      </c>
      <c r="H28" s="70"/>
      <c r="I28" s="70" t="str">
        <f>B29</f>
        <v>E102</v>
      </c>
      <c r="J28" s="70"/>
      <c r="K28" s="70"/>
      <c r="L28" s="70"/>
      <c r="M28" s="70"/>
      <c r="N28" s="70"/>
      <c r="O28" s="70"/>
      <c r="P28" s="73"/>
      <c r="Q28" s="73"/>
      <c r="R28" s="73"/>
      <c r="S28" s="73"/>
      <c r="T28" s="76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77" t="s">
        <v>241</v>
      </c>
      <c r="V28" s="78">
        <v>270</v>
      </c>
      <c r="W28" s="78"/>
      <c r="X28" s="78"/>
      <c r="Y28" s="78"/>
      <c r="Z28" s="78">
        <v>900</v>
      </c>
      <c r="AA28" s="78"/>
      <c r="AB28" s="78">
        <f t="shared" ref="AB28:AB32" si="290">Z28/50</f>
        <v>18</v>
      </c>
      <c r="AC28" s="78"/>
      <c r="AD28" s="78">
        <v>30</v>
      </c>
      <c r="AE28" s="78">
        <v>3</v>
      </c>
      <c r="AF28" s="78"/>
      <c r="AG28" s="82"/>
      <c r="AH28" s="78"/>
      <c r="AI28" s="78"/>
      <c r="AJ28" s="78"/>
      <c r="AK28" s="78"/>
      <c r="AL28" s="82"/>
      <c r="AM28" s="78"/>
      <c r="AN28" s="78"/>
      <c r="AO28" s="78"/>
      <c r="AP28" s="78"/>
      <c r="AQ28" s="78"/>
      <c r="AR28" s="84"/>
      <c r="AS28" s="84"/>
      <c r="AT28" s="78"/>
      <c r="AU28" s="78"/>
      <c r="AV28" s="78"/>
      <c r="AW28" s="78"/>
      <c r="AX28" s="78"/>
      <c r="AY28" s="78"/>
      <c r="AZ28" s="78"/>
      <c r="BA28" s="78"/>
      <c r="BB28" s="7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78"/>
      <c r="CF28" s="78"/>
      <c r="CG28" s="78"/>
      <c r="CH28" s="78"/>
      <c r="CI28" s="78"/>
      <c r="CJ28" s="78"/>
      <c r="CK28" s="78"/>
      <c r="CL28" s="78"/>
      <c r="CM28" s="78"/>
      <c r="CN28" s="86" t="str">
        <f t="shared" si="2"/>
        <v>InitUnitState('E101',270,,,,900,,18,,30,3)</v>
      </c>
      <c r="CO28" s="86" t="str">
        <f t="shared" si="3"/>
        <v>InitUnitNormal('E101',,,,,,,,,,)</v>
      </c>
      <c r="CP28" s="86" t="str">
        <f t="shared" si="4"/>
        <v>InitUnitMagic('E101',,,,,,,,,,)</v>
      </c>
      <c r="CQ28" s="86" t="str">
        <f t="shared" si="5"/>
        <v>InitUnitAdd('E101',,,,,,,1,,,)</v>
      </c>
      <c r="CR28" s="86" t="str">
        <f t="shared" si="6"/>
        <v>InitEquipData('E101',150,"",,E102,,50,'','','','','','',"ReplaceableTextures\\CommandButtons\\BTNZ06.blp")</v>
      </c>
      <c r="CS28" s="86"/>
      <c r="CT28" s="86"/>
      <c r="CU28" s="88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pans="1:175" s="33" customFormat="1" ht="16.5">
      <c r="A29" s="2"/>
      <c r="B29" s="1" t="s">
        <v>242</v>
      </c>
      <c r="C29" s="10" t="s">
        <v>243</v>
      </c>
      <c r="D29" s="27">
        <v>150</v>
      </c>
      <c r="E29" s="68"/>
      <c r="F29" s="69"/>
      <c r="G29" s="70">
        <v>50</v>
      </c>
      <c r="H29" s="70"/>
      <c r="I29" s="70" t="str">
        <f t="shared" ref="I29:I51" si="291">B30</f>
        <v>E103</v>
      </c>
      <c r="J29" s="70"/>
      <c r="K29" s="70"/>
      <c r="L29" s="70"/>
      <c r="M29" s="70"/>
      <c r="N29" s="70"/>
      <c r="O29" s="70"/>
      <c r="P29" s="73"/>
      <c r="Q29" s="73"/>
      <c r="R29" s="73"/>
      <c r="S29" s="73"/>
      <c r="T29" s="76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77" t="s">
        <v>241</v>
      </c>
      <c r="V29" s="78">
        <v>540</v>
      </c>
      <c r="W29" s="78"/>
      <c r="X29" s="78"/>
      <c r="Y29"/>
      <c r="Z29" s="78">
        <v>1800</v>
      </c>
      <c r="AA29" s="78"/>
      <c r="AB29" s="78">
        <f t="shared" si="290"/>
        <v>36</v>
      </c>
      <c r="AC29" s="78"/>
      <c r="AD29" s="78">
        <v>35</v>
      </c>
      <c r="AE29" s="78">
        <v>3</v>
      </c>
      <c r="AF29" s="78"/>
      <c r="AG29" s="82"/>
      <c r="AH29" s="78"/>
      <c r="AI29" s="78"/>
      <c r="AJ29" s="78"/>
      <c r="AK29" s="78"/>
      <c r="AL29" s="82"/>
      <c r="AM29" s="78"/>
      <c r="AN29" s="78"/>
      <c r="AO29" s="78"/>
      <c r="AP29" s="78"/>
      <c r="AQ29" s="78"/>
      <c r="AR29" s="84"/>
      <c r="AS29" s="84"/>
      <c r="AT29" s="78"/>
      <c r="AU29" s="78"/>
      <c r="AV29" s="78"/>
      <c r="AW29" s="78"/>
      <c r="AX29" s="78"/>
      <c r="AY29" s="78"/>
      <c r="AZ29" s="78"/>
      <c r="BA29" s="78"/>
      <c r="BB29" s="78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78"/>
      <c r="CF29" s="78"/>
      <c r="CG29" s="78"/>
      <c r="CH29" s="78"/>
      <c r="CI29" s="78"/>
      <c r="CJ29" s="78"/>
      <c r="CK29" s="78"/>
      <c r="CL29" s="78"/>
      <c r="CM29" s="78"/>
      <c r="CN29" s="86" t="str">
        <f t="shared" si="2"/>
        <v>InitUnitState('E102',540,,,,1800,,36,,35,3)</v>
      </c>
      <c r="CO29" s="86" t="str">
        <f t="shared" si="3"/>
        <v>InitUnitNormal('E102',,,,,,,,,,)</v>
      </c>
      <c r="CP29" s="86" t="str">
        <f t="shared" si="4"/>
        <v>InitUnitMagic('E102',,,,,,,,,,)</v>
      </c>
      <c r="CQ29" s="86" t="str">
        <f t="shared" si="5"/>
        <v>InitUnitAdd('E102',,,,,,,2,,,)</v>
      </c>
      <c r="CR29" s="86" t="str">
        <f t="shared" si="6"/>
        <v>InitEquipData('E102',150,"",,E103,,50,'','','','','','',"ReplaceableTextures\\CommandButtons\\BTNZ06.blp")</v>
      </c>
      <c r="CS29" s="86"/>
      <c r="CT29" s="86"/>
      <c r="CU29" s="88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pans="1:175" s="33" customFormat="1" ht="16.5">
      <c r="A30" s="2"/>
      <c r="B30" s="1" t="s">
        <v>244</v>
      </c>
      <c r="C30" s="10" t="s">
        <v>245</v>
      </c>
      <c r="D30" s="27">
        <v>150</v>
      </c>
      <c r="E30" s="68"/>
      <c r="F30" s="69"/>
      <c r="G30" s="70">
        <v>50</v>
      </c>
      <c r="H30" s="70"/>
      <c r="I30" s="70" t="str">
        <f t="shared" si="291"/>
        <v>E104</v>
      </c>
      <c r="J30" s="70"/>
      <c r="K30" s="70"/>
      <c r="L30" s="70"/>
      <c r="M30" s="70"/>
      <c r="N30" s="70"/>
      <c r="O30" s="70"/>
      <c r="P30" s="73"/>
      <c r="Q30" s="73"/>
      <c r="R30" s="73"/>
      <c r="S30" s="73"/>
      <c r="T30" s="76" t="str">
        <f t="shared" si="292"/>
        <v>|n攻击6%概率范围|cffff4646业力*15|r魔法伤害|n|n|Cff00ff7f击杀150只怪有50%概率升级|r</v>
      </c>
      <c r="U30" s="77" t="s">
        <v>241</v>
      </c>
      <c r="V30" s="78">
        <v>1080</v>
      </c>
      <c r="W30" s="78"/>
      <c r="X30" s="78"/>
      <c r="Y30"/>
      <c r="Z30" s="78">
        <v>3600</v>
      </c>
      <c r="AA30" s="78"/>
      <c r="AB30" s="78">
        <f t="shared" si="290"/>
        <v>72</v>
      </c>
      <c r="AC30" s="78"/>
      <c r="AD30" s="78">
        <v>40</v>
      </c>
      <c r="AE30" s="78">
        <v>3</v>
      </c>
      <c r="AF30" s="78"/>
      <c r="AG30" s="82"/>
      <c r="AH30"/>
      <c r="AI30" s="78"/>
      <c r="AJ30" s="78"/>
      <c r="AK30" s="78"/>
      <c r="AL30" s="82"/>
      <c r="AM30" s="78"/>
      <c r="AN30" s="78"/>
      <c r="AO30" s="78"/>
      <c r="AP30" s="78"/>
      <c r="AQ30" s="78"/>
      <c r="AR30" s="84"/>
      <c r="AS30" s="84"/>
      <c r="AT30" s="78"/>
      <c r="AU30" s="78"/>
      <c r="AV30" s="78"/>
      <c r="AW30" s="78"/>
      <c r="AX30" s="78"/>
      <c r="AY30" s="78"/>
      <c r="AZ30" s="78"/>
      <c r="BA30" s="78"/>
      <c r="BB30" s="78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78"/>
      <c r="CF30" s="78"/>
      <c r="CG30" s="78"/>
      <c r="CH30" s="78"/>
      <c r="CI30" s="78"/>
      <c r="CJ30" s="78"/>
      <c r="CK30" s="78"/>
      <c r="CL30" s="78"/>
      <c r="CM30" s="78"/>
      <c r="CN30" s="86" t="str">
        <f t="shared" si="2"/>
        <v>InitUnitState('E103',1080,,,,3600,,72,,40,3)</v>
      </c>
      <c r="CO30" s="86" t="str">
        <f t="shared" si="3"/>
        <v>InitUnitNormal('E103',,,,,,,,,,)</v>
      </c>
      <c r="CP30" s="86" t="str">
        <f t="shared" si="4"/>
        <v>InitUnitMagic('E103',,,,,,,,,,)</v>
      </c>
      <c r="CQ30" s="86" t="str">
        <f t="shared" si="5"/>
        <v>InitUnitAdd('E103',,,,,,,3,,,)</v>
      </c>
      <c r="CR30" s="86" t="str">
        <f t="shared" si="6"/>
        <v>InitEquipData('E103',150,"",,E104,,50,'','','','','','',"ReplaceableTextures\\CommandButtons\\BTNZ06.blp")</v>
      </c>
      <c r="CS30" s="86"/>
      <c r="CT30" s="86"/>
      <c r="CU30" s="88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pans="1:175" s="33" customFormat="1" ht="16.5">
      <c r="A31" s="2"/>
      <c r="B31" s="1" t="s">
        <v>246</v>
      </c>
      <c r="C31" s="10" t="s">
        <v>247</v>
      </c>
      <c r="D31" s="27">
        <v>150</v>
      </c>
      <c r="E31" s="68"/>
      <c r="F31" s="69"/>
      <c r="G31" s="70">
        <v>50</v>
      </c>
      <c r="H31" s="70"/>
      <c r="I31" s="70" t="str">
        <f t="shared" si="291"/>
        <v>E105</v>
      </c>
      <c r="J31" s="70"/>
      <c r="K31" s="70"/>
      <c r="L31" s="70"/>
      <c r="M31" s="70"/>
      <c r="N31" s="70"/>
      <c r="O31" s="70"/>
      <c r="P31" s="73"/>
      <c r="Q31" s="73"/>
      <c r="R31" s="73"/>
      <c r="S31" s="73"/>
      <c r="T31" s="76" t="str">
        <f t="shared" si="292"/>
        <v>|n攻击6%概率范围|cffff4646业力*15|r魔法伤害|n|n|Cff00ff7f击杀150只怪有50%概率升级|r</v>
      </c>
      <c r="U31" s="77" t="s">
        <v>241</v>
      </c>
      <c r="V31" s="78">
        <v>1620</v>
      </c>
      <c r="W31" s="78"/>
      <c r="X31" s="78"/>
      <c r="Y31"/>
      <c r="Z31" s="78">
        <v>5400</v>
      </c>
      <c r="AA31" s="78"/>
      <c r="AB31" s="78">
        <f t="shared" si="290"/>
        <v>108</v>
      </c>
      <c r="AC31" s="78"/>
      <c r="AD31" s="78">
        <v>45</v>
      </c>
      <c r="AE31" s="78">
        <v>3</v>
      </c>
      <c r="AF31" s="78"/>
      <c r="AG31" s="82"/>
      <c r="AH31"/>
      <c r="AI31" s="78"/>
      <c r="AJ31" s="78"/>
      <c r="AK31" s="78"/>
      <c r="AL31" s="82"/>
      <c r="AM31" s="78"/>
      <c r="AN31" s="78"/>
      <c r="AO31" s="78"/>
      <c r="AP31" s="78"/>
      <c r="AQ31" s="78"/>
      <c r="AR31" s="84"/>
      <c r="AS31" s="84"/>
      <c r="AT31" s="78"/>
      <c r="AU31" s="78"/>
      <c r="AV31" s="78"/>
      <c r="AW31" s="78"/>
      <c r="AX31" s="78"/>
      <c r="AY31" s="78"/>
      <c r="AZ31" s="78"/>
      <c r="BA31" s="78"/>
      <c r="BB31" s="78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78"/>
      <c r="CF31" s="78"/>
      <c r="CG31" s="78"/>
      <c r="CH31" s="78"/>
      <c r="CI31" s="78"/>
      <c r="CJ31" s="78"/>
      <c r="CK31" s="78"/>
      <c r="CL31" s="78"/>
      <c r="CM31" s="78"/>
      <c r="CN31" s="86" t="str">
        <f t="shared" si="2"/>
        <v>InitUnitState('E104',1620,,,,5400,,108,,45,3)</v>
      </c>
      <c r="CO31" s="86" t="str">
        <f t="shared" si="3"/>
        <v>InitUnitNormal('E104',,,,,,,,,,)</v>
      </c>
      <c r="CP31" s="86" t="str">
        <f t="shared" si="4"/>
        <v>InitUnitMagic('E104',,,,,,,,,,)</v>
      </c>
      <c r="CQ31" s="86" t="str">
        <f t="shared" si="5"/>
        <v>InitUnitAdd('E104',,,,,,,4,,,)</v>
      </c>
      <c r="CR31" s="86" t="str">
        <f t="shared" si="6"/>
        <v>InitEquipData('E104',150,"",,E105,,50,'','','','','','',"ReplaceableTextures\\CommandButtons\\BTNZ06.blp")</v>
      </c>
      <c r="CS31" s="86"/>
      <c r="CT31" s="86"/>
      <c r="CU31" s="88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pans="1:175" s="33" customFormat="1" ht="16.5">
      <c r="A32" s="2"/>
      <c r="B32" s="1" t="s">
        <v>248</v>
      </c>
      <c r="C32" s="10" t="s">
        <v>249</v>
      </c>
      <c r="D32" s="27">
        <v>150</v>
      </c>
      <c r="E32" s="68"/>
      <c r="F32" s="69"/>
      <c r="G32" s="70">
        <v>50</v>
      </c>
      <c r="H32" s="70"/>
      <c r="I32" s="70" t="str">
        <f t="shared" si="291"/>
        <v>E106</v>
      </c>
      <c r="J32" s="70"/>
      <c r="K32" s="70"/>
      <c r="L32" s="70"/>
      <c r="M32" s="70"/>
      <c r="N32" s="70"/>
      <c r="O32" s="70"/>
      <c r="P32" s="73"/>
      <c r="Q32" s="73"/>
      <c r="R32" s="73"/>
      <c r="S32" s="73"/>
      <c r="T32" s="76" t="str">
        <f t="shared" si="292"/>
        <v>|n攻击6%概率范围|cffff4646业力*15|r魔法伤害|n|n|Cff00ff7f击杀150只怪有50%概率升级|r</v>
      </c>
      <c r="U32" s="77" t="s">
        <v>241</v>
      </c>
      <c r="V32" s="78">
        <v>2700</v>
      </c>
      <c r="W32" s="78"/>
      <c r="X32"/>
      <c r="Y32"/>
      <c r="Z32" s="78">
        <v>9000</v>
      </c>
      <c r="AA32" s="78"/>
      <c r="AB32" s="78">
        <f t="shared" si="290"/>
        <v>180</v>
      </c>
      <c r="AC32" s="78"/>
      <c r="AD32" s="78">
        <v>50</v>
      </c>
      <c r="AE32" s="78">
        <v>3</v>
      </c>
      <c r="AF32" s="78"/>
      <c r="AG32" s="82"/>
      <c r="AH32"/>
      <c r="AI32" s="78"/>
      <c r="AJ32" s="78"/>
      <c r="AK32" s="78"/>
      <c r="AL32" s="82"/>
      <c r="AM32" s="78"/>
      <c r="AN32" s="78"/>
      <c r="AO32" s="78"/>
      <c r="AP32" s="78"/>
      <c r="AQ32" s="78"/>
      <c r="AR32" s="84"/>
      <c r="AS32" s="84"/>
      <c r="AT32" s="78"/>
      <c r="AU32" s="78"/>
      <c r="AV32" s="78"/>
      <c r="AW32" s="78"/>
      <c r="AX32" s="78"/>
      <c r="AY32" s="78"/>
      <c r="AZ32" s="78"/>
      <c r="BA32" s="78"/>
      <c r="BB32" s="78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78"/>
      <c r="CF32" s="78"/>
      <c r="CG32" s="78"/>
      <c r="CH32" s="78"/>
      <c r="CI32" s="78"/>
      <c r="CJ32" s="78"/>
      <c r="CK32" s="78"/>
      <c r="CL32" s="78"/>
      <c r="CM32" s="78"/>
      <c r="CN32" s="86" t="str">
        <f t="shared" si="2"/>
        <v>InitUnitState('E105',2700,,,,9000,,180,,50,3)</v>
      </c>
      <c r="CO32" s="86" t="str">
        <f t="shared" si="3"/>
        <v>InitUnitNormal('E105',,,,,,,,,,)</v>
      </c>
      <c r="CP32" s="86" t="str">
        <f t="shared" si="4"/>
        <v>InitUnitMagic('E105',,,,,,,,,,)</v>
      </c>
      <c r="CQ32" s="86" t="str">
        <f t="shared" si="5"/>
        <v>InitUnitAdd('E105',,,,,,,5,,,)</v>
      </c>
      <c r="CR32" s="86" t="str">
        <f t="shared" si="6"/>
        <v>InitEquipData('E105',150,"",,E106,,50,'','','','','','',"ReplaceableTextures\\CommandButtons\\BTNZ07.blp")</v>
      </c>
      <c r="CS32" s="86"/>
      <c r="CT32" s="86"/>
      <c r="CU32" s="88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pans="1:175" s="33" customFormat="1" ht="16.5">
      <c r="A33" s="2"/>
      <c r="B33" s="1" t="s">
        <v>250</v>
      </c>
      <c r="C33" s="10" t="s">
        <v>251</v>
      </c>
      <c r="D33" s="27">
        <v>200</v>
      </c>
      <c r="E33" s="68"/>
      <c r="F33" s="69"/>
      <c r="G33" s="70">
        <v>50</v>
      </c>
      <c r="H33" s="70"/>
      <c r="I33" s="70" t="str">
        <f t="shared" si="291"/>
        <v>E107</v>
      </c>
      <c r="J33" s="70"/>
      <c r="K33" s="70"/>
      <c r="L33" s="70"/>
      <c r="M33" s="70"/>
      <c r="N33" s="70"/>
      <c r="O33" s="70"/>
      <c r="P33" s="73"/>
      <c r="Q33" s="73"/>
      <c r="R33" s="73"/>
      <c r="S33" s="73"/>
      <c r="T33" s="76" t="str">
        <f t="shared" si="292"/>
        <v>|n攻击6%概率范围|cffff4646业力*15|r魔法伤害|n|n|Cff00ff7f击杀200只怪有50%概率升级|r</v>
      </c>
      <c r="U33" s="77" t="s">
        <v>252</v>
      </c>
      <c r="V33" s="78">
        <v>3780</v>
      </c>
      <c r="W33" s="78"/>
      <c r="X33"/>
      <c r="Y33"/>
      <c r="Z33" s="78">
        <v>12600</v>
      </c>
      <c r="AA33" s="78"/>
      <c r="AB33" s="78">
        <f t="shared" ref="AB33:AB77" si="293">Z33/50</f>
        <v>252</v>
      </c>
      <c r="AC33" s="78"/>
      <c r="AD33" s="78">
        <v>55</v>
      </c>
      <c r="AE33" s="78">
        <v>6</v>
      </c>
      <c r="AF33" s="78"/>
      <c r="AG33" s="82"/>
      <c r="AH33"/>
      <c r="AI33" s="78"/>
      <c r="AJ33" s="78"/>
      <c r="AK33" s="78"/>
      <c r="AL33" s="82"/>
      <c r="AM33" s="78"/>
      <c r="AN33" s="78"/>
      <c r="AO33" s="78"/>
      <c r="AP33" s="78"/>
      <c r="AQ33" s="78"/>
      <c r="AR33" s="84"/>
      <c r="AS33" s="84"/>
      <c r="AT33" s="78"/>
      <c r="AU33" s="78"/>
      <c r="AV33" s="78"/>
      <c r="AW33" s="78"/>
      <c r="AX33" s="78"/>
      <c r="AY33" s="78"/>
      <c r="AZ33" s="78"/>
      <c r="BA33" s="78"/>
      <c r="BB33" s="78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78"/>
      <c r="CF33" s="78"/>
      <c r="CG33" s="78"/>
      <c r="CH33" s="78"/>
      <c r="CI33" s="78"/>
      <c r="CJ33" s="78"/>
      <c r="CK33" s="78"/>
      <c r="CL33" s="78"/>
      <c r="CM33" s="78"/>
      <c r="CN33" s="86" t="str">
        <f t="shared" si="2"/>
        <v>InitUnitState('E106',3780,,,,12600,,252,,55,6)</v>
      </c>
      <c r="CO33" s="86" t="str">
        <f t="shared" si="3"/>
        <v>InitUnitNormal('E106',,,,,,,,,,)</v>
      </c>
      <c r="CP33" s="86" t="str">
        <f t="shared" si="4"/>
        <v>InitUnitMagic('E106',,,,,,,,,,)</v>
      </c>
      <c r="CQ33" s="86" t="str">
        <f t="shared" si="5"/>
        <v>InitUnitAdd('E106',,,,,,,6,,,)</v>
      </c>
      <c r="CR33" s="86" t="str">
        <f t="shared" si="6"/>
        <v>InitEquipData('E106',200,"",,E107,,50,'','','','','','',"ReplaceableTextures\\CommandButtons\\BTNZ07.blp")</v>
      </c>
      <c r="CS33" s="86"/>
      <c r="CT33" s="86"/>
      <c r="CU33" s="88" t="str">
        <f t="shared" si="78"/>
        <v>|n攻击+3780|n生命值+12600|n生命回复+252|n攻速+55%|n闪避+6%|n每秒业力+6|n</v>
      </c>
      <c r="CV33" s="19" t="str">
        <f>"|Cffbbbbbb属性：|r"&amp;CU33&amp;VLOOKUP(A33,合成公式!A:P,16,FALSE)&amp;T33</f>
        <v>|Cffbbbbbb属性：|r|n攻击+3780|n生命值+12600|n生命回复+252|n攻速+55%|n闪避+6%|n每秒业力+6|n|n攻击6%概率范围|cffff4646业力*15|r魔法伤害|n|n|Cff00ff7f击杀200只怪有50%概率升级|r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/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pans="1:175" s="33" customFormat="1" ht="16.5">
      <c r="A34" s="2"/>
      <c r="B34" s="1" t="s">
        <v>253</v>
      </c>
      <c r="C34" s="10" t="s">
        <v>254</v>
      </c>
      <c r="D34" s="27">
        <v>200</v>
      </c>
      <c r="E34" s="68"/>
      <c r="F34" s="69"/>
      <c r="G34" s="70">
        <v>50</v>
      </c>
      <c r="H34" s="70"/>
      <c r="I34" s="70" t="str">
        <f t="shared" si="291"/>
        <v>E108</v>
      </c>
      <c r="J34" s="70"/>
      <c r="K34" s="70"/>
      <c r="L34" s="70"/>
      <c r="M34" s="70"/>
      <c r="N34" s="70"/>
      <c r="O34" s="70"/>
      <c r="P34" s="73"/>
      <c r="Q34" s="73"/>
      <c r="R34" s="73"/>
      <c r="S34" s="73"/>
      <c r="T34" s="76" t="str">
        <f t="shared" si="292"/>
        <v>|n攻击6%概率范围|cffff4646业力*15|r魔法伤害|n|n|Cff00ff7f击杀200只怪有50%概率升级|r</v>
      </c>
      <c r="U34" s="77" t="s">
        <v>252</v>
      </c>
      <c r="V34" s="78">
        <v>5400</v>
      </c>
      <c r="W34" s="78"/>
      <c r="X34" s="78"/>
      <c r="Y34" s="78"/>
      <c r="Z34" s="78">
        <v>18000</v>
      </c>
      <c r="AA34" s="78"/>
      <c r="AB34" s="78">
        <f t="shared" si="293"/>
        <v>360</v>
      </c>
      <c r="AC34" s="78"/>
      <c r="AD34" s="78">
        <v>60</v>
      </c>
      <c r="AE34" s="78">
        <v>6</v>
      </c>
      <c r="AF34" s="78"/>
      <c r="AG34" s="82"/>
      <c r="AH34"/>
      <c r="AI34" s="78"/>
      <c r="AJ34" s="78"/>
      <c r="AK34" s="78"/>
      <c r="AL34" s="82"/>
      <c r="AM34" s="78"/>
      <c r="AN34" s="78"/>
      <c r="AO34" s="78"/>
      <c r="AP34" s="78"/>
      <c r="AQ34" s="78"/>
      <c r="AR34" s="84"/>
      <c r="AS34" s="84"/>
      <c r="AT34" s="78"/>
      <c r="AU34" s="78"/>
      <c r="AV34" s="78"/>
      <c r="AW34" s="78"/>
      <c r="AX34" s="78"/>
      <c r="AY34" s="78"/>
      <c r="AZ34" s="78"/>
      <c r="BA34" s="78"/>
      <c r="BB34" s="78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78"/>
      <c r="CF34" s="78"/>
      <c r="CG34" s="78"/>
      <c r="CH34" s="78"/>
      <c r="CI34" s="78"/>
      <c r="CJ34" s="78"/>
      <c r="CK34" s="78"/>
      <c r="CL34" s="78"/>
      <c r="CM34" s="78"/>
      <c r="CN34" s="86" t="str">
        <f t="shared" si="2"/>
        <v>InitUnitState('E107',5400,,,,18000,,360,,60,6)</v>
      </c>
      <c r="CO34" s="86" t="str">
        <f t="shared" si="3"/>
        <v>InitUnitNormal('E107',,,,,,,,,,)</v>
      </c>
      <c r="CP34" s="86" t="str">
        <f t="shared" si="4"/>
        <v>InitUnitMagic('E107',,,,,,,,,,)</v>
      </c>
      <c r="CQ34" s="86" t="str">
        <f t="shared" si="5"/>
        <v>InitUnitAdd('E107',,,,,,,7,,,)</v>
      </c>
      <c r="CR34" s="86" t="str">
        <f t="shared" si="6"/>
        <v>InitEquipData('E107',200,"",,E108,,50,'','','','','','',"ReplaceableTextures\\CommandButtons\\BTNZ07.blp")</v>
      </c>
      <c r="CS34" s="86"/>
      <c r="CT34" s="86"/>
      <c r="CU34" s="88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pans="1:175" s="33" customFormat="1" ht="16.5">
      <c r="A35" s="2"/>
      <c r="B35" s="1" t="s">
        <v>255</v>
      </c>
      <c r="C35" s="10" t="s">
        <v>256</v>
      </c>
      <c r="D35" s="27">
        <v>200</v>
      </c>
      <c r="E35" s="68"/>
      <c r="F35" s="69"/>
      <c r="G35" s="70">
        <v>50</v>
      </c>
      <c r="H35" s="70"/>
      <c r="I35" s="70" t="str">
        <f t="shared" si="291"/>
        <v>E109</v>
      </c>
      <c r="J35" s="70"/>
      <c r="K35" s="70"/>
      <c r="L35" s="70"/>
      <c r="M35" s="70"/>
      <c r="N35" s="70"/>
      <c r="O35" s="70"/>
      <c r="P35" s="73"/>
      <c r="Q35" s="73"/>
      <c r="R35" s="73"/>
      <c r="S35" s="73"/>
      <c r="T35" s="76" t="str">
        <f t="shared" si="292"/>
        <v>|n攻击6%概率范围|cffff4646业力*15|r魔法伤害|n|n|Cff00ff7f击杀200只怪有50%概率升级|r</v>
      </c>
      <c r="U35" s="77" t="s">
        <v>252</v>
      </c>
      <c r="V35" s="78">
        <v>8100</v>
      </c>
      <c r="W35" s="78"/>
      <c r="X35" s="78"/>
      <c r="Y35" s="78"/>
      <c r="Z35" s="78">
        <v>27000</v>
      </c>
      <c r="AA35" s="78"/>
      <c r="AB35" s="78">
        <f t="shared" si="293"/>
        <v>540</v>
      </c>
      <c r="AC35" s="78"/>
      <c r="AD35" s="78">
        <v>65</v>
      </c>
      <c r="AE35" s="78">
        <v>6</v>
      </c>
      <c r="AF35" s="78"/>
      <c r="AG35" s="82"/>
      <c r="AH35"/>
      <c r="AI35" s="78"/>
      <c r="AJ35" s="78"/>
      <c r="AK35" s="78"/>
      <c r="AL35" s="82"/>
      <c r="AM35" s="78"/>
      <c r="AN35" s="78"/>
      <c r="AO35" s="78"/>
      <c r="AP35" s="78"/>
      <c r="AQ35" s="78"/>
      <c r="AR35" s="84"/>
      <c r="AS35" s="84"/>
      <c r="AT35" s="78"/>
      <c r="AU35" s="78"/>
      <c r="AV35" s="78"/>
      <c r="AW35" s="78"/>
      <c r="AX35" s="78"/>
      <c r="AY35" s="78"/>
      <c r="AZ35" s="78"/>
      <c r="BA35" s="78"/>
      <c r="BB35" s="78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78"/>
      <c r="CF35" s="78"/>
      <c r="CG35" s="78"/>
      <c r="CH35" s="78"/>
      <c r="CI35" s="78"/>
      <c r="CJ35" s="78"/>
      <c r="CK35" s="78"/>
      <c r="CL35" s="78"/>
      <c r="CM35" s="78"/>
      <c r="CN35" s="8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8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8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8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8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86"/>
      <c r="CT35" s="86"/>
      <c r="CU35" s="88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pans="1:175" s="33" customFormat="1" ht="16.5">
      <c r="A36" s="2"/>
      <c r="B36" s="1" t="s">
        <v>257</v>
      </c>
      <c r="C36" s="10" t="s">
        <v>258</v>
      </c>
      <c r="D36" s="27">
        <v>200</v>
      </c>
      <c r="E36" s="68"/>
      <c r="F36" s="69"/>
      <c r="G36" s="70">
        <v>50</v>
      </c>
      <c r="H36" s="70"/>
      <c r="I36" s="70" t="str">
        <f t="shared" si="291"/>
        <v>E110</v>
      </c>
      <c r="J36" s="70"/>
      <c r="K36" s="70"/>
      <c r="L36" s="70"/>
      <c r="M36" s="70"/>
      <c r="N36" s="70"/>
      <c r="O36" s="70"/>
      <c r="P36" s="73"/>
      <c r="Q36" s="73"/>
      <c r="R36" s="73"/>
      <c r="S36" s="73"/>
      <c r="T36" s="76" t="str">
        <f t="shared" si="292"/>
        <v>|n攻击6%概率范围|cffff4646业力*15|r魔法伤害|n|n|Cff00ff7f击杀200只怪有50%概率升级|r</v>
      </c>
      <c r="U36" s="77" t="s">
        <v>252</v>
      </c>
      <c r="V36" s="78">
        <v>10800</v>
      </c>
      <c r="W36" s="78"/>
      <c r="X36" s="78"/>
      <c r="Y36" s="78"/>
      <c r="Z36" s="78">
        <v>36000</v>
      </c>
      <c r="AA36" s="78"/>
      <c r="AB36" s="78">
        <f t="shared" si="293"/>
        <v>720</v>
      </c>
      <c r="AC36" s="78"/>
      <c r="AD36" s="78">
        <v>70</v>
      </c>
      <c r="AE36" s="78">
        <v>6</v>
      </c>
      <c r="AF36" s="78"/>
      <c r="AG36" s="82"/>
      <c r="AH36" s="78"/>
      <c r="AI36" s="78"/>
      <c r="AJ36" s="78"/>
      <c r="AK36" s="78"/>
      <c r="AL36" s="82"/>
      <c r="AM36" s="78"/>
      <c r="AN36" s="78"/>
      <c r="AO36" s="78"/>
      <c r="AP36" s="78"/>
      <c r="AQ36" s="78"/>
      <c r="AR36" s="84"/>
      <c r="AS36" s="84"/>
      <c r="AT36" s="78"/>
      <c r="AU36" s="78"/>
      <c r="AV36" s="78"/>
      <c r="AW36" s="78"/>
      <c r="AX36" s="78"/>
      <c r="AY36" s="78"/>
      <c r="AZ36" s="78"/>
      <c r="BA36" s="78"/>
      <c r="BB36" s="78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78"/>
      <c r="CF36" s="78"/>
      <c r="CG36" s="78"/>
      <c r="CH36" s="78"/>
      <c r="CI36" s="78"/>
      <c r="CJ36" s="78"/>
      <c r="CK36" s="78"/>
      <c r="CL36" s="78"/>
      <c r="CM36" s="78"/>
      <c r="CN36" s="86" t="str">
        <f t="shared" si="294"/>
        <v>InitUnitState('E109',10800,,,,36000,,720,,70,6)</v>
      </c>
      <c r="CO36" s="86" t="str">
        <f t="shared" si="295"/>
        <v>InitUnitNormal('E109',,,,,,,,,,)</v>
      </c>
      <c r="CP36" s="86" t="str">
        <f t="shared" si="296"/>
        <v>InitUnitMagic('E109',,,,,,,,,,)</v>
      </c>
      <c r="CQ36" s="86" t="str">
        <f t="shared" si="297"/>
        <v>InitUnitAdd('E109',,,,,,,9,,,)</v>
      </c>
      <c r="CR36" s="86" t="str">
        <f t="shared" si="298"/>
        <v>InitEquipData('E109',200,"",,E110,,50,'','','','','','',"ReplaceableTextures\\CommandButtons\\BTNZ07.blp")</v>
      </c>
      <c r="CS36" s="86"/>
      <c r="CT36" s="86"/>
      <c r="CU36" s="88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pans="1:175" s="33" customFormat="1" ht="16.5">
      <c r="A37" s="2"/>
      <c r="B37" s="1" t="s">
        <v>259</v>
      </c>
      <c r="C37" s="10" t="s">
        <v>260</v>
      </c>
      <c r="D37" s="27">
        <v>200</v>
      </c>
      <c r="E37" s="68"/>
      <c r="F37" s="69"/>
      <c r="G37" s="70">
        <v>50</v>
      </c>
      <c r="H37" s="70"/>
      <c r="I37" s="70" t="str">
        <f t="shared" si="291"/>
        <v>E111</v>
      </c>
      <c r="J37" s="70"/>
      <c r="K37" s="70"/>
      <c r="L37" s="70"/>
      <c r="M37" s="70"/>
      <c r="N37" s="70"/>
      <c r="O37" s="70"/>
      <c r="P37" s="73"/>
      <c r="Q37" s="73"/>
      <c r="R37" s="73"/>
      <c r="S37" s="73"/>
      <c r="T37" s="76" t="str">
        <f t="shared" si="292"/>
        <v>|n攻击6%概率范围|cffff4646业力*15|r魔法伤害|n|n|Cff00ff7f击杀200只怪有50%概率升级|r</v>
      </c>
      <c r="U37" s="77" t="s">
        <v>252</v>
      </c>
      <c r="V37" s="78">
        <v>13500</v>
      </c>
      <c r="W37" s="78"/>
      <c r="X37"/>
      <c r="Y37" s="78"/>
      <c r="Z37" s="78">
        <v>45000</v>
      </c>
      <c r="AA37" s="78"/>
      <c r="AB37" s="78">
        <f t="shared" si="293"/>
        <v>900</v>
      </c>
      <c r="AC37" s="78"/>
      <c r="AD37" s="78">
        <v>75</v>
      </c>
      <c r="AE37" s="78">
        <v>6</v>
      </c>
      <c r="AF37" s="78"/>
      <c r="AG37" s="82"/>
      <c r="AH37" s="78"/>
      <c r="AI37" s="78"/>
      <c r="AJ37" s="78"/>
      <c r="AK37" s="78"/>
      <c r="AL37" s="82"/>
      <c r="AM37" s="78"/>
      <c r="AN37" s="78"/>
      <c r="AO37" s="78"/>
      <c r="AP37" s="78"/>
      <c r="AQ37" s="78"/>
      <c r="AR37" s="84"/>
      <c r="AS37" s="84"/>
      <c r="AT37" s="78"/>
      <c r="AU37" s="78"/>
      <c r="AV37" s="78"/>
      <c r="AW37" s="78"/>
      <c r="AX37" s="78"/>
      <c r="AY37" s="78"/>
      <c r="AZ37" s="78"/>
      <c r="BA37" s="78"/>
      <c r="BB37" s="78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78"/>
      <c r="CF37" s="78"/>
      <c r="CG37" s="78"/>
      <c r="CH37" s="78"/>
      <c r="CI37" s="78"/>
      <c r="CJ37" s="78"/>
      <c r="CK37" s="78"/>
      <c r="CL37" s="78"/>
      <c r="CM37" s="78"/>
      <c r="CN37" s="86" t="str">
        <f t="shared" si="294"/>
        <v>InitUnitState('E110',13500,,,,45000,,900,,75,6)</v>
      </c>
      <c r="CO37" s="86" t="str">
        <f t="shared" si="295"/>
        <v>InitUnitNormal('E110',,,,,,,,,,)</v>
      </c>
      <c r="CP37" s="86" t="str">
        <f t="shared" si="296"/>
        <v>InitUnitMagic('E110',,,,,,,,,,)</v>
      </c>
      <c r="CQ37" s="86" t="str">
        <f t="shared" si="297"/>
        <v>InitUnitAdd('E110',,,,,,,10,,,)</v>
      </c>
      <c r="CR37" s="86" t="str">
        <f t="shared" si="298"/>
        <v>InitEquipData('E110',200,"",,E111,,50,'','','','','','',"ReplaceableTextures\\CommandButtons\\BTNZ08.blp")</v>
      </c>
      <c r="CS37" s="86"/>
      <c r="CT37" s="86"/>
      <c r="CU37" s="88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pans="1:175" s="33" customFormat="1" ht="16.5">
      <c r="A38" s="2"/>
      <c r="B38" s="1" t="s">
        <v>261</v>
      </c>
      <c r="C38" s="10" t="s">
        <v>262</v>
      </c>
      <c r="D38" s="27">
        <v>300</v>
      </c>
      <c r="E38" s="68"/>
      <c r="F38" s="69"/>
      <c r="G38" s="70">
        <v>50</v>
      </c>
      <c r="H38" s="70"/>
      <c r="I38" s="70" t="str">
        <f t="shared" ref="I38:I43" si="369">B39</f>
        <v>E112</v>
      </c>
      <c r="J38" s="70"/>
      <c r="K38" s="70"/>
      <c r="L38" s="70"/>
      <c r="M38" s="70"/>
      <c r="N38" s="70"/>
      <c r="O38" s="70"/>
      <c r="P38" s="73"/>
      <c r="Q38" s="73"/>
      <c r="R38" s="73"/>
      <c r="S38" s="73"/>
      <c r="T38" s="76" t="str">
        <f t="shared" si="292"/>
        <v>|n攻击6%概率范围|cffff4646业力*15|r魔法伤害|n|n|Cff00ff7f击杀300只怪有50%概率升级|r</v>
      </c>
      <c r="U38" s="77" t="s">
        <v>263</v>
      </c>
      <c r="V38" s="78">
        <v>27000</v>
      </c>
      <c r="W38" s="78"/>
      <c r="X38"/>
      <c r="Y38" s="78"/>
      <c r="Z38" s="78">
        <v>90000</v>
      </c>
      <c r="AA38" s="78"/>
      <c r="AB38" s="78">
        <f t="shared" si="293"/>
        <v>1800</v>
      </c>
      <c r="AC38" s="78"/>
      <c r="AD38" s="78">
        <v>80</v>
      </c>
      <c r="AE38" s="78">
        <v>9</v>
      </c>
      <c r="AF38" s="78"/>
      <c r="AG38" s="82"/>
      <c r="AH38" s="78"/>
      <c r="AI38" s="78"/>
      <c r="AJ38" s="78"/>
      <c r="AK38" s="78"/>
      <c r="AL38" s="82"/>
      <c r="AM38" s="78"/>
      <c r="AN38" s="78"/>
      <c r="AO38" s="78"/>
      <c r="AP38" s="78"/>
      <c r="AQ38" s="78"/>
      <c r="AR38" s="84"/>
      <c r="AS38" s="84"/>
      <c r="AT38" s="78"/>
      <c r="AU38" s="78"/>
      <c r="AV38" s="78"/>
      <c r="AW38" s="78"/>
      <c r="AX38" s="78"/>
      <c r="AY38" s="78"/>
      <c r="AZ38" s="78"/>
      <c r="BA38" s="78"/>
      <c r="BB38" s="7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78"/>
      <c r="CF38" s="78"/>
      <c r="CG38" s="78"/>
      <c r="CH38" s="78"/>
      <c r="CI38" s="78"/>
      <c r="CJ38" s="78"/>
      <c r="CK38" s="78"/>
      <c r="CL38" s="78"/>
      <c r="CM38" s="78"/>
      <c r="CN38" s="86" t="str">
        <f t="shared" si="294"/>
        <v>InitUnitState('E111',27000,,,,90000,,1800,,80,9)</v>
      </c>
      <c r="CO38" s="86" t="str">
        <f t="shared" si="295"/>
        <v>InitUnitNormal('E111',,,,,,,,,,)</v>
      </c>
      <c r="CP38" s="86" t="str">
        <f t="shared" si="296"/>
        <v>InitUnitMagic('E111',,,,,,,,,,)</v>
      </c>
      <c r="CQ38" s="86" t="str">
        <f t="shared" si="297"/>
        <v>InitUnitAdd('E111',,,,,,,11,,,)</v>
      </c>
      <c r="CR38" s="86" t="str">
        <f t="shared" si="298"/>
        <v>InitEquipData('E111',300,"",,E112,,50,'','','','','','',"ReplaceableTextures\\CommandButtons\\BTNZ08.blp")</v>
      </c>
      <c r="CS38" s="86"/>
      <c r="CT38" s="86"/>
      <c r="CU38" s="88" t="str">
        <f t="shared" si="78"/>
        <v>|n攻击+27000|n生命值+90000|n生命回复+1800|n攻速+80%|n闪避+9%|n每秒业力+11|n</v>
      </c>
      <c r="CV38" s="19" t="str">
        <f>"|Cffbbbbbb属性：|r"&amp;CU38&amp;VLOOKUP(A38,合成公式!A:P,16,FALSE)&amp;T38</f>
        <v>|Cffbbbbbb属性：|r|n攻击+27000|n生命值+90000|n生命回复+1800|n攻速+80%|n闪避+9%|n每秒业力+11|n|n攻击6%概率范围|cffff4646业力*15|r魔法伤害|n|n|Cff00ff7f击杀300只怪有50%概率升级|r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/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pans="1:175" s="33" customFormat="1" ht="16.5">
      <c r="A39" s="2"/>
      <c r="B39" s="1" t="s">
        <v>264</v>
      </c>
      <c r="C39" s="10" t="s">
        <v>265</v>
      </c>
      <c r="D39" s="27">
        <v>300</v>
      </c>
      <c r="E39" s="68"/>
      <c r="F39" s="69"/>
      <c r="G39" s="70">
        <v>50</v>
      </c>
      <c r="H39" s="70"/>
      <c r="I39" s="70" t="str">
        <f t="shared" si="369"/>
        <v>E113</v>
      </c>
      <c r="J39" s="70"/>
      <c r="K39" s="70"/>
      <c r="L39" s="70"/>
      <c r="M39" s="70"/>
      <c r="N39" s="70"/>
      <c r="O39" s="70"/>
      <c r="P39" s="73"/>
      <c r="Q39" s="73"/>
      <c r="R39" s="73"/>
      <c r="S39" s="73"/>
      <c r="T39" s="76" t="str">
        <f t="shared" si="292"/>
        <v>|n攻击6%概率范围|cffff4646业力*15|r魔法伤害|n|n|Cff00ff7f击杀300只怪有50%概率升级|r</v>
      </c>
      <c r="U39" s="77" t="s">
        <v>263</v>
      </c>
      <c r="V39" s="78">
        <v>35100</v>
      </c>
      <c r="W39" s="78"/>
      <c r="X39" s="78"/>
      <c r="Y39" s="78"/>
      <c r="Z39" s="78">
        <v>117000</v>
      </c>
      <c r="AA39" s="78"/>
      <c r="AB39" s="78">
        <f t="shared" si="293"/>
        <v>2340</v>
      </c>
      <c r="AC39" s="78"/>
      <c r="AD39" s="78">
        <v>85</v>
      </c>
      <c r="AE39" s="78">
        <v>9</v>
      </c>
      <c r="AF39" s="78"/>
      <c r="AG39" s="82"/>
      <c r="AH39" s="78"/>
      <c r="AI39" s="78"/>
      <c r="AJ39" s="78"/>
      <c r="AK39" s="78"/>
      <c r="AL39" s="82"/>
      <c r="AM39" s="78"/>
      <c r="AN39" s="78"/>
      <c r="AO39" s="78"/>
      <c r="AP39" s="78"/>
      <c r="AQ39" s="78"/>
      <c r="AR39" s="84"/>
      <c r="AS39" s="84"/>
      <c r="AT39" s="78"/>
      <c r="AU39" s="78"/>
      <c r="AV39" s="78"/>
      <c r="AW39" s="78"/>
      <c r="AX39" s="78"/>
      <c r="AY39" s="78"/>
      <c r="AZ39" s="78"/>
      <c r="BA39" s="78"/>
      <c r="BB39" s="78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78"/>
      <c r="CF39" s="78"/>
      <c r="CG39" s="78"/>
      <c r="CH39" s="78"/>
      <c r="CI39" s="78"/>
      <c r="CJ39" s="78"/>
      <c r="CK39" s="78"/>
      <c r="CL39" s="78"/>
      <c r="CM39" s="78"/>
      <c r="CN39" s="86" t="str">
        <f t="shared" si="294"/>
        <v>InitUnitState('E112',35100,,,,117000,,2340,,85,9)</v>
      </c>
      <c r="CO39" s="86" t="str">
        <f t="shared" si="295"/>
        <v>InitUnitNormal('E112',,,,,,,,,,)</v>
      </c>
      <c r="CP39" s="86" t="str">
        <f t="shared" si="296"/>
        <v>InitUnitMagic('E112',,,,,,,,,,)</v>
      </c>
      <c r="CQ39" s="86" t="str">
        <f t="shared" si="297"/>
        <v>InitUnitAdd('E112',,,,,,,12,,,)</v>
      </c>
      <c r="CR39" s="8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86"/>
      <c r="CT39" s="86"/>
      <c r="CU39" s="88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pans="1:175" s="33" customFormat="1" ht="16.5">
      <c r="A40" s="2"/>
      <c r="B40" s="1" t="s">
        <v>266</v>
      </c>
      <c r="C40" s="10" t="s">
        <v>267</v>
      </c>
      <c r="D40" s="27">
        <v>300</v>
      </c>
      <c r="E40" s="68"/>
      <c r="F40" s="69"/>
      <c r="G40" s="70">
        <v>50</v>
      </c>
      <c r="H40" s="70"/>
      <c r="I40" s="70" t="str">
        <f t="shared" si="369"/>
        <v>E114</v>
      </c>
      <c r="J40" s="70"/>
      <c r="K40" s="70"/>
      <c r="L40" s="70"/>
      <c r="M40" s="70"/>
      <c r="N40" s="70"/>
      <c r="O40" s="70"/>
      <c r="P40" s="73"/>
      <c r="Q40" s="73"/>
      <c r="R40" s="73"/>
      <c r="S40" s="73"/>
      <c r="T40" s="76" t="str">
        <f t="shared" si="292"/>
        <v>|n攻击6%概率范围|cffff4646业力*15|r魔法伤害|n|n|Cff00ff7f击杀300只怪有50%概率升级|r</v>
      </c>
      <c r="U40" s="77" t="s">
        <v>263</v>
      </c>
      <c r="V40" s="78">
        <v>43200</v>
      </c>
      <c r="W40" s="78"/>
      <c r="X40" s="78"/>
      <c r="Y40" s="78"/>
      <c r="Z40" s="78">
        <v>144000</v>
      </c>
      <c r="AA40" s="78"/>
      <c r="AB40" s="78">
        <f t="shared" si="293"/>
        <v>2880</v>
      </c>
      <c r="AC40" s="78"/>
      <c r="AD40" s="78">
        <v>90</v>
      </c>
      <c r="AE40" s="78">
        <v>9</v>
      </c>
      <c r="AF40" s="78"/>
      <c r="AG40" s="82"/>
      <c r="AH40" s="78"/>
      <c r="AI40" s="78"/>
      <c r="AJ40" s="78"/>
      <c r="AK40" s="78"/>
      <c r="AL40" s="82"/>
      <c r="AM40" s="78"/>
      <c r="AN40" s="78"/>
      <c r="AO40" s="78"/>
      <c r="AP40" s="78"/>
      <c r="AQ40" s="78"/>
      <c r="AR40" s="84"/>
      <c r="AS40" s="84"/>
      <c r="AT40" s="78"/>
      <c r="AU40" s="78"/>
      <c r="AV40" s="78"/>
      <c r="AW40" s="78"/>
      <c r="AX40" s="78"/>
      <c r="AY40" s="78"/>
      <c r="AZ40" s="78"/>
      <c r="BA40" s="78"/>
      <c r="BB40" s="78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78"/>
      <c r="CF40" s="78"/>
      <c r="CG40" s="78"/>
      <c r="CH40" s="78"/>
      <c r="CI40" s="78"/>
      <c r="CJ40" s="78"/>
      <c r="CK40" s="78"/>
      <c r="CL40" s="78"/>
      <c r="CM40" s="78"/>
      <c r="CN40" s="86" t="str">
        <f t="shared" si="294"/>
        <v>InitUnitState('E113',43200,,,,144000,,2880,,90,9)</v>
      </c>
      <c r="CO40" s="86" t="str">
        <f t="shared" si="295"/>
        <v>InitUnitNormal('E113',,,,,,,,,,)</v>
      </c>
      <c r="CP40" s="86" t="str">
        <f t="shared" si="296"/>
        <v>InitUnitMagic('E113',,,,,,,,,,)</v>
      </c>
      <c r="CQ40" s="86" t="str">
        <f t="shared" si="297"/>
        <v>InitUnitAdd('E113',,,,,,,13,,,)</v>
      </c>
      <c r="CR40" s="8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86"/>
      <c r="CT40" s="86"/>
      <c r="CU40" s="88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pans="1:175" s="33" customFormat="1" ht="16.5">
      <c r="A41" s="2"/>
      <c r="B41" s="1" t="s">
        <v>268</v>
      </c>
      <c r="C41" s="10" t="s">
        <v>269</v>
      </c>
      <c r="D41" s="27">
        <v>300</v>
      </c>
      <c r="E41" s="68"/>
      <c r="F41" s="69"/>
      <c r="G41" s="70">
        <v>50</v>
      </c>
      <c r="H41" s="70"/>
      <c r="I41" s="70" t="str">
        <f t="shared" si="369"/>
        <v>E115</v>
      </c>
      <c r="J41" s="70"/>
      <c r="K41" s="70"/>
      <c r="L41" s="70"/>
      <c r="M41" s="70"/>
      <c r="N41" s="70"/>
      <c r="O41" s="70"/>
      <c r="P41" s="73"/>
      <c r="Q41" s="73"/>
      <c r="R41" s="73"/>
      <c r="S41" s="73"/>
      <c r="T41" s="76" t="str">
        <f t="shared" si="292"/>
        <v>|n攻击6%概率范围|cffff4646业力*15|r魔法伤害|n|n|Cff00ff7f击杀300只怪有50%概率升级|r</v>
      </c>
      <c r="U41" s="77" t="s">
        <v>263</v>
      </c>
      <c r="V41" s="78">
        <v>51300</v>
      </c>
      <c r="W41" s="78"/>
      <c r="X41" s="78"/>
      <c r="Y41" s="78"/>
      <c r="Z41" s="78">
        <v>171000</v>
      </c>
      <c r="AA41" s="78"/>
      <c r="AB41" s="78">
        <f t="shared" si="293"/>
        <v>3420</v>
      </c>
      <c r="AC41" s="78"/>
      <c r="AD41" s="78">
        <v>95</v>
      </c>
      <c r="AE41" s="78">
        <v>9</v>
      </c>
      <c r="AF41" s="78"/>
      <c r="AG41" s="82"/>
      <c r="AH41" s="78"/>
      <c r="AI41" s="78"/>
      <c r="AJ41" s="78"/>
      <c r="AK41" s="78"/>
      <c r="AL41" s="82"/>
      <c r="AM41" s="78"/>
      <c r="AN41" s="78"/>
      <c r="AO41" s="78"/>
      <c r="AP41" s="78"/>
      <c r="AQ41" s="78"/>
      <c r="AR41" s="84"/>
      <c r="AS41" s="84"/>
      <c r="AT41" s="78"/>
      <c r="AU41" s="78"/>
      <c r="AV41" s="78"/>
      <c r="AW41" s="78"/>
      <c r="AX41" s="78"/>
      <c r="AY41" s="78"/>
      <c r="AZ41" s="78"/>
      <c r="BA41" s="78"/>
      <c r="BB41" s="78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78"/>
      <c r="CF41" s="78"/>
      <c r="CG41" s="78"/>
      <c r="CH41" s="78"/>
      <c r="CI41" s="78"/>
      <c r="CJ41" s="78"/>
      <c r="CK41" s="78"/>
      <c r="CL41" s="78"/>
      <c r="CM41" s="78"/>
      <c r="CN41" s="86" t="str">
        <f t="shared" si="294"/>
        <v>InitUnitState('E114',51300,,,,171000,,3420,,95,9)</v>
      </c>
      <c r="CO41" s="86" t="str">
        <f t="shared" si="295"/>
        <v>InitUnitNormal('E114',,,,,,,,,,)</v>
      </c>
      <c r="CP41" s="86" t="str">
        <f t="shared" si="296"/>
        <v>InitUnitMagic('E114',,,,,,,,,,)</v>
      </c>
      <c r="CQ41" s="86" t="str">
        <f t="shared" si="297"/>
        <v>InitUnitAdd('E114',,,,,,,14,,,)</v>
      </c>
      <c r="CR41" s="8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86"/>
      <c r="CT41" s="86"/>
      <c r="CU41" s="88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pans="1:175" s="33" customFormat="1" ht="16.5">
      <c r="A42" s="2"/>
      <c r="B42" s="1" t="s">
        <v>270</v>
      </c>
      <c r="C42" s="10" t="s">
        <v>271</v>
      </c>
      <c r="D42" s="27">
        <v>300</v>
      </c>
      <c r="E42" s="68"/>
      <c r="F42" s="69"/>
      <c r="G42" s="70">
        <v>50</v>
      </c>
      <c r="H42" s="70"/>
      <c r="I42" s="70" t="str">
        <f t="shared" si="369"/>
        <v>E116</v>
      </c>
      <c r="J42" s="70"/>
      <c r="K42" s="70"/>
      <c r="L42" s="70"/>
      <c r="M42" s="70"/>
      <c r="N42" s="70"/>
      <c r="O42" s="70"/>
      <c r="P42" s="73"/>
      <c r="Q42" s="73"/>
      <c r="R42" s="73"/>
      <c r="S42" s="73"/>
      <c r="T42" s="76" t="str">
        <f t="shared" si="292"/>
        <v>|n攻击6%概率范围|cffff4646业力*15|r魔法伤害|n|n|Cff00ff7f击杀300只怪有50%概率升级|r</v>
      </c>
      <c r="U42" s="77" t="s">
        <v>263</v>
      </c>
      <c r="V42" s="78">
        <v>56700</v>
      </c>
      <c r="W42" s="78"/>
      <c r="X42"/>
      <c r="Y42" s="78"/>
      <c r="Z42" s="78">
        <v>189000</v>
      </c>
      <c r="AA42" s="78"/>
      <c r="AB42" s="78">
        <f t="shared" si="293"/>
        <v>3780</v>
      </c>
      <c r="AC42" s="78"/>
      <c r="AD42" s="78">
        <v>100</v>
      </c>
      <c r="AE42" s="78">
        <v>9</v>
      </c>
      <c r="AF42" s="78"/>
      <c r="AG42" s="82"/>
      <c r="AH42" s="78"/>
      <c r="AI42" s="78"/>
      <c r="AJ42" s="78"/>
      <c r="AK42" s="78"/>
      <c r="AL42" s="82"/>
      <c r="AM42" s="78"/>
      <c r="AN42" s="78"/>
      <c r="AO42" s="78"/>
      <c r="AP42" s="78"/>
      <c r="AQ42" s="78"/>
      <c r="AR42" s="84"/>
      <c r="AS42" s="84"/>
      <c r="AT42" s="78"/>
      <c r="AU42" s="78"/>
      <c r="AV42" s="78"/>
      <c r="AW42" s="78"/>
      <c r="AX42" s="78"/>
      <c r="AY42" s="78"/>
      <c r="AZ42" s="78"/>
      <c r="BA42" s="78"/>
      <c r="BB42" s="78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78"/>
      <c r="CF42" s="78"/>
      <c r="CG42" s="78"/>
      <c r="CH42" s="78"/>
      <c r="CI42" s="78"/>
      <c r="CJ42" s="78"/>
      <c r="CK42" s="78"/>
      <c r="CL42" s="78"/>
      <c r="CM42" s="78"/>
      <c r="CN42" s="86" t="str">
        <f t="shared" si="294"/>
        <v>InitUnitState('E115',56700,,,,189000,,3780,,100,9)</v>
      </c>
      <c r="CO42" s="86" t="str">
        <f t="shared" si="295"/>
        <v>InitUnitNormal('E115',,,,,,,,,,)</v>
      </c>
      <c r="CP42" s="86" t="str">
        <f t="shared" si="296"/>
        <v>InitUnitMagic('E115',,,,,,,,,,)</v>
      </c>
      <c r="CQ42" s="86" t="str">
        <f t="shared" si="297"/>
        <v>InitUnitAdd('E115',,,,,,,15,,,)</v>
      </c>
      <c r="CR42" s="8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86"/>
      <c r="CT42" s="86"/>
      <c r="CU42" s="88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pans="1:175" s="33" customFormat="1" ht="16.5">
      <c r="A43" s="2"/>
      <c r="B43" s="1" t="s">
        <v>272</v>
      </c>
      <c r="C43" s="10" t="s">
        <v>273</v>
      </c>
      <c r="D43" s="27">
        <v>400</v>
      </c>
      <c r="E43" s="68"/>
      <c r="F43" s="69"/>
      <c r="G43" s="70">
        <v>50</v>
      </c>
      <c r="H43" s="70"/>
      <c r="I43" s="70" t="str">
        <f t="shared" si="369"/>
        <v>E117</v>
      </c>
      <c r="J43" s="70"/>
      <c r="K43" s="70"/>
      <c r="L43" s="70"/>
      <c r="M43" s="70"/>
      <c r="N43" s="70"/>
      <c r="O43" s="70"/>
      <c r="P43" s="73"/>
      <c r="Q43" s="73"/>
      <c r="R43" s="73"/>
      <c r="S43" s="73"/>
      <c r="T43" s="76" t="str">
        <f t="shared" si="292"/>
        <v>|n攻击6%概率范围|cffff4646业力*15|r魔法伤害|n|n|Cff00ff7f击杀400只怪有50%概率升级|r</v>
      </c>
      <c r="U43" s="77" t="s">
        <v>274</v>
      </c>
      <c r="V43" s="78">
        <v>81000</v>
      </c>
      <c r="W43" s="78"/>
      <c r="X43"/>
      <c r="Y43" s="78"/>
      <c r="Z43" s="78">
        <v>270000</v>
      </c>
      <c r="AA43" s="78"/>
      <c r="AB43" s="78">
        <f t="shared" si="293"/>
        <v>5400</v>
      </c>
      <c r="AC43" s="78"/>
      <c r="AD43" s="78">
        <v>105</v>
      </c>
      <c r="AE43" s="78">
        <v>12</v>
      </c>
      <c r="AF43" s="78"/>
      <c r="AG43" s="82"/>
      <c r="AH43" s="78"/>
      <c r="AI43" s="78"/>
      <c r="AJ43" s="78"/>
      <c r="AK43" s="78"/>
      <c r="AL43" s="82"/>
      <c r="AM43" s="78"/>
      <c r="AN43" s="78"/>
      <c r="AO43" s="78"/>
      <c r="AP43" s="78"/>
      <c r="AQ43" s="78"/>
      <c r="AR43" s="84"/>
      <c r="AS43" s="84"/>
      <c r="AT43" s="78"/>
      <c r="AU43" s="78"/>
      <c r="AV43" s="78"/>
      <c r="AW43" s="78"/>
      <c r="AX43" s="78"/>
      <c r="AY43" s="78"/>
      <c r="AZ43" s="78"/>
      <c r="BA43" s="78"/>
      <c r="BB43" s="78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78"/>
      <c r="CF43" s="78"/>
      <c r="CG43" s="78"/>
      <c r="CH43" s="78"/>
      <c r="CI43" s="78"/>
      <c r="CJ43" s="78"/>
      <c r="CK43" s="78"/>
      <c r="CL43" s="78"/>
      <c r="CM43" s="78"/>
      <c r="CN43" s="86" t="str">
        <f t="shared" si="294"/>
        <v>InitUnitState('E116',81000,,,,270000,,5400,,105,12)</v>
      </c>
      <c r="CO43" s="86" t="str">
        <f t="shared" si="295"/>
        <v>InitUnitNormal('E116',,,,,,,,,,)</v>
      </c>
      <c r="CP43" s="86" t="str">
        <f t="shared" si="296"/>
        <v>InitUnitMagic('E116',,,,,,,,,,)</v>
      </c>
      <c r="CQ43" s="86" t="str">
        <f t="shared" si="297"/>
        <v>InitUnitAdd('E116',,,,,,,16,,,)</v>
      </c>
      <c r="CR43" s="8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86"/>
      <c r="CT43" s="86"/>
      <c r="CU43" s="88" t="str">
        <f t="shared" si="78"/>
        <v>|n攻击+81000|n生命值+270000|n生命回复+5400|n攻速+105%|n闪避+12%|n每秒业力+16|n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/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pans="1:175" s="33" customFormat="1" ht="16.5">
      <c r="A44" s="2"/>
      <c r="B44" s="1" t="s">
        <v>275</v>
      </c>
      <c r="C44" s="10" t="s">
        <v>276</v>
      </c>
      <c r="D44" s="27">
        <v>400</v>
      </c>
      <c r="E44" s="68"/>
      <c r="F44" s="69"/>
      <c r="G44" s="70">
        <v>50</v>
      </c>
      <c r="H44" s="70"/>
      <c r="I44" s="70" t="str">
        <f t="shared" si="291"/>
        <v>E118</v>
      </c>
      <c r="J44" s="70"/>
      <c r="K44" s="70"/>
      <c r="L44" s="70"/>
      <c r="M44" s="70"/>
      <c r="N44" s="70"/>
      <c r="O44" s="70"/>
      <c r="P44" s="73"/>
      <c r="Q44" s="73"/>
      <c r="R44" s="73"/>
      <c r="S44" s="73"/>
      <c r="T44" s="76" t="str">
        <f t="shared" si="292"/>
        <v>|n攻击6%概率范围|cffff4646业力*15|r魔法伤害|n|n|Cff00ff7f击杀400只怪有50%概率升级|r</v>
      </c>
      <c r="U44" s="77" t="s">
        <v>274</v>
      </c>
      <c r="V44" s="78">
        <v>94500</v>
      </c>
      <c r="W44" s="78"/>
      <c r="X44" s="78"/>
      <c r="Y44" s="78"/>
      <c r="Z44" s="78">
        <v>315000</v>
      </c>
      <c r="AA44" s="78"/>
      <c r="AB44" s="78">
        <f t="shared" si="293"/>
        <v>6300</v>
      </c>
      <c r="AC44" s="78"/>
      <c r="AD44" s="78">
        <v>110</v>
      </c>
      <c r="AE44" s="78">
        <v>12</v>
      </c>
      <c r="AF44" s="78"/>
      <c r="AG44" s="82"/>
      <c r="AH44" s="78"/>
      <c r="AI44" s="78"/>
      <c r="AJ44" s="78"/>
      <c r="AK44" s="78"/>
      <c r="AL44" s="82"/>
      <c r="AM44" s="78"/>
      <c r="AN44" s="78"/>
      <c r="AO44" s="78"/>
      <c r="AP44" s="78"/>
      <c r="AQ44" s="78"/>
      <c r="AR44" s="84"/>
      <c r="AS44" s="84"/>
      <c r="AT44" s="78"/>
      <c r="AU44" s="78"/>
      <c r="AV44" s="78"/>
      <c r="AW44" s="78"/>
      <c r="AX44" s="78"/>
      <c r="AY44" s="78"/>
      <c r="AZ44" s="78"/>
      <c r="BA44" s="78"/>
      <c r="BB44" s="78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78"/>
      <c r="CF44" s="78"/>
      <c r="CG44" s="78"/>
      <c r="CH44" s="78"/>
      <c r="CI44" s="78"/>
      <c r="CJ44" s="78"/>
      <c r="CK44" s="78"/>
      <c r="CL44" s="78"/>
      <c r="CM44" s="78"/>
      <c r="CN44" s="86" t="str">
        <f t="shared" si="294"/>
        <v>InitUnitState('E117',94500,,,,315000,,6300,,110,12)</v>
      </c>
      <c r="CO44" s="86" t="str">
        <f t="shared" si="295"/>
        <v>InitUnitNormal('E117',,,,,,,,,,)</v>
      </c>
      <c r="CP44" s="86" t="str">
        <f t="shared" si="296"/>
        <v>InitUnitMagic('E117',,,,,,,,,,)</v>
      </c>
      <c r="CQ44" s="86" t="str">
        <f t="shared" si="297"/>
        <v>InitUnitAdd('E117',,,,,,,17,,,)</v>
      </c>
      <c r="CR44" s="86" t="str">
        <f t="shared" si="298"/>
        <v>InitEquipData('E117',400,"",,E118,,50,'','','','','','',"ReplaceableTextures\\CommandButtons\\BTNZ09.blp")</v>
      </c>
      <c r="CS44" s="86"/>
      <c r="CT44" s="86"/>
      <c r="CU44" s="88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pans="1:175" s="33" customFormat="1" ht="16.5">
      <c r="A45" s="2"/>
      <c r="B45" s="1" t="s">
        <v>277</v>
      </c>
      <c r="C45" s="10" t="s">
        <v>278</v>
      </c>
      <c r="D45" s="27">
        <v>400</v>
      </c>
      <c r="E45" s="68"/>
      <c r="F45" s="69"/>
      <c r="G45" s="70">
        <v>50</v>
      </c>
      <c r="H45" s="70"/>
      <c r="I45" s="70" t="str">
        <f t="shared" si="291"/>
        <v>E119</v>
      </c>
      <c r="J45" s="70"/>
      <c r="K45" s="70"/>
      <c r="L45" s="70"/>
      <c r="M45" s="70"/>
      <c r="N45" s="70"/>
      <c r="O45" s="70"/>
      <c r="P45" s="73"/>
      <c r="Q45" s="73"/>
      <c r="R45" s="73"/>
      <c r="S45" s="73"/>
      <c r="T45" s="76" t="str">
        <f t="shared" si="292"/>
        <v>|n攻击6%概率范围|cffff4646业力*15|r魔法伤害|n|n|Cff00ff7f击杀400只怪有50%概率升级|r</v>
      </c>
      <c r="U45" s="77" t="s">
        <v>274</v>
      </c>
      <c r="V45" s="78">
        <v>108000</v>
      </c>
      <c r="W45" s="78"/>
      <c r="X45" s="78"/>
      <c r="Y45" s="78"/>
      <c r="Z45" s="78">
        <v>360000</v>
      </c>
      <c r="AA45" s="78"/>
      <c r="AB45" s="78">
        <f t="shared" si="293"/>
        <v>7200</v>
      </c>
      <c r="AC45" s="78"/>
      <c r="AD45" s="78">
        <v>115</v>
      </c>
      <c r="AE45" s="78">
        <v>12</v>
      </c>
      <c r="AF45" s="78"/>
      <c r="AG45" s="82"/>
      <c r="AH45" s="78"/>
      <c r="AI45" s="78"/>
      <c r="AJ45" s="78"/>
      <c r="AK45" s="78"/>
      <c r="AL45" s="82"/>
      <c r="AM45" s="78"/>
      <c r="AN45" s="78"/>
      <c r="AO45" s="78"/>
      <c r="AP45" s="78"/>
      <c r="AQ45" s="78"/>
      <c r="AR45" s="84"/>
      <c r="AS45" s="84"/>
      <c r="AT45" s="78"/>
      <c r="AU45" s="78"/>
      <c r="AV45" s="78"/>
      <c r="AW45" s="78"/>
      <c r="AX45" s="78"/>
      <c r="AY45" s="78"/>
      <c r="AZ45" s="78"/>
      <c r="BA45" s="78"/>
      <c r="BB45" s="78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78"/>
      <c r="CF45" s="78"/>
      <c r="CG45" s="78"/>
      <c r="CH45" s="78"/>
      <c r="CI45" s="78"/>
      <c r="CJ45" s="78"/>
      <c r="CK45" s="78"/>
      <c r="CL45" s="78"/>
      <c r="CM45" s="78"/>
      <c r="CN45" s="86" t="str">
        <f t="shared" si="294"/>
        <v>InitUnitState('E118',108000,,,,360000,,7200,,115,12)</v>
      </c>
      <c r="CO45" s="86" t="str">
        <f t="shared" si="295"/>
        <v>InitUnitNormal('E118',,,,,,,,,,)</v>
      </c>
      <c r="CP45" s="86" t="str">
        <f t="shared" si="296"/>
        <v>InitUnitMagic('E118',,,,,,,,,,)</v>
      </c>
      <c r="CQ45" s="86" t="str">
        <f t="shared" si="297"/>
        <v>InitUnitAdd('E118',,,,,,,18,,,)</v>
      </c>
      <c r="CR45" s="86" t="str">
        <f t="shared" si="298"/>
        <v>InitEquipData('E118',400,"",,E119,,50,'','','','','','',"ReplaceableTextures\\CommandButtons\\BTNZ09.blp")</v>
      </c>
      <c r="CS45" s="86"/>
      <c r="CT45" s="86"/>
      <c r="CU45" s="88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pans="1:175" s="33" customFormat="1" ht="16.5">
      <c r="A46" s="2"/>
      <c r="B46" s="1" t="s">
        <v>279</v>
      </c>
      <c r="C46" s="10" t="s">
        <v>280</v>
      </c>
      <c r="D46" s="27">
        <v>400</v>
      </c>
      <c r="E46" s="68"/>
      <c r="F46" s="69"/>
      <c r="G46" s="70">
        <v>50</v>
      </c>
      <c r="H46" s="70"/>
      <c r="I46" s="70" t="str">
        <f t="shared" si="291"/>
        <v>E120</v>
      </c>
      <c r="J46" s="70"/>
      <c r="K46" s="70"/>
      <c r="L46" s="70"/>
      <c r="M46" s="70"/>
      <c r="N46" s="70"/>
      <c r="O46" s="70"/>
      <c r="P46" s="73"/>
      <c r="Q46" s="73"/>
      <c r="R46" s="73"/>
      <c r="S46" s="73"/>
      <c r="T46" s="76" t="str">
        <f t="shared" si="292"/>
        <v>|n攻击6%概率范围|cffff4646业力*15|r魔法伤害|n|n|Cff00ff7f击杀400只怪有50%概率升级|r</v>
      </c>
      <c r="U46" s="77" t="s">
        <v>274</v>
      </c>
      <c r="V46" s="78">
        <v>121500</v>
      </c>
      <c r="W46" s="78"/>
      <c r="X46" s="78"/>
      <c r="Y46" s="78"/>
      <c r="Z46" s="78">
        <v>405000</v>
      </c>
      <c r="AA46" s="78"/>
      <c r="AB46" s="78">
        <f t="shared" si="293"/>
        <v>8100</v>
      </c>
      <c r="AC46" s="78"/>
      <c r="AD46" s="78">
        <v>120</v>
      </c>
      <c r="AE46" s="78">
        <v>12</v>
      </c>
      <c r="AF46" s="78"/>
      <c r="AG46" s="82"/>
      <c r="AH46" s="78"/>
      <c r="AI46" s="78"/>
      <c r="AJ46" s="78"/>
      <c r="AK46" s="78"/>
      <c r="AL46" s="82"/>
      <c r="AM46" s="78"/>
      <c r="AN46" s="78"/>
      <c r="AO46" s="78"/>
      <c r="AP46" s="78"/>
      <c r="AQ46" s="78"/>
      <c r="AR46" s="84"/>
      <c r="AS46" s="84"/>
      <c r="AT46" s="78"/>
      <c r="AU46" s="78"/>
      <c r="AV46" s="78"/>
      <c r="AW46" s="78"/>
      <c r="AX46" s="78"/>
      <c r="AY46" s="78"/>
      <c r="AZ46" s="78"/>
      <c r="BA46" s="78"/>
      <c r="BB46" s="78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78"/>
      <c r="CF46" s="78"/>
      <c r="CG46" s="78"/>
      <c r="CH46" s="78"/>
      <c r="CI46" s="78"/>
      <c r="CJ46" s="78"/>
      <c r="CK46" s="78"/>
      <c r="CL46" s="78"/>
      <c r="CM46" s="78"/>
      <c r="CN46" s="86" t="str">
        <f t="shared" si="294"/>
        <v>InitUnitState('E119',121500,,,,405000,,8100,,120,12)</v>
      </c>
      <c r="CO46" s="86" t="str">
        <f t="shared" si="295"/>
        <v>InitUnitNormal('E119',,,,,,,,,,)</v>
      </c>
      <c r="CP46" s="86" t="str">
        <f t="shared" si="296"/>
        <v>InitUnitMagic('E119',,,,,,,,,,)</v>
      </c>
      <c r="CQ46" s="86" t="str">
        <f t="shared" si="297"/>
        <v>InitUnitAdd('E119',,,,,,,19,,,)</v>
      </c>
      <c r="CR46" s="86" t="str">
        <f t="shared" si="298"/>
        <v>InitEquipData('E119',400,"",,E120,,50,'','','','','','',"ReplaceableTextures\\CommandButtons\\BTNZ09.blp")</v>
      </c>
      <c r="CS46" s="86"/>
      <c r="CT46" s="86"/>
      <c r="CU46" s="88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pans="1:175" s="33" customFormat="1" ht="16.5">
      <c r="A47" s="2"/>
      <c r="B47" s="1" t="s">
        <v>281</v>
      </c>
      <c r="C47" s="10" t="s">
        <v>282</v>
      </c>
      <c r="D47" s="27">
        <v>400</v>
      </c>
      <c r="E47" s="68"/>
      <c r="F47" s="69"/>
      <c r="G47" s="70">
        <v>50</v>
      </c>
      <c r="H47" s="70"/>
      <c r="I47" s="70" t="str">
        <f t="shared" si="291"/>
        <v>E121</v>
      </c>
      <c r="J47" s="70"/>
      <c r="K47" s="70"/>
      <c r="L47" s="70"/>
      <c r="M47" s="70"/>
      <c r="N47" s="70"/>
      <c r="O47" s="70"/>
      <c r="P47" s="73"/>
      <c r="Q47" s="73"/>
      <c r="R47" s="73"/>
      <c r="S47" s="73"/>
      <c r="T47" s="76" t="str">
        <f t="shared" si="292"/>
        <v>|n攻击6%概率范围|cffff4646业力*15|r魔法伤害|n|n|Cff00ff7f击杀400只怪有50%概率升级|r</v>
      </c>
      <c r="U47" s="77" t="s">
        <v>274</v>
      </c>
      <c r="V47" s="78">
        <v>135000</v>
      </c>
      <c r="W47" s="78"/>
      <c r="X47"/>
      <c r="Y47" s="78"/>
      <c r="Z47" s="78">
        <v>450000</v>
      </c>
      <c r="AA47" s="78"/>
      <c r="AB47" s="78">
        <f t="shared" si="293"/>
        <v>9000</v>
      </c>
      <c r="AC47" s="78"/>
      <c r="AD47" s="78">
        <v>125</v>
      </c>
      <c r="AE47" s="78">
        <v>12</v>
      </c>
      <c r="AF47" s="78"/>
      <c r="AG47" s="82"/>
      <c r="AH47" s="78"/>
      <c r="AI47" s="78"/>
      <c r="AJ47" s="78"/>
      <c r="AK47" s="78"/>
      <c r="AL47" s="82"/>
      <c r="AM47" s="78"/>
      <c r="AN47" s="78"/>
      <c r="AO47" s="78"/>
      <c r="AP47" s="78"/>
      <c r="AQ47" s="78"/>
      <c r="AR47" s="84"/>
      <c r="AS47" s="84"/>
      <c r="AT47" s="78"/>
      <c r="AU47" s="78"/>
      <c r="AV47" s="78"/>
      <c r="AW47" s="78"/>
      <c r="AX47" s="78"/>
      <c r="AY47" s="78"/>
      <c r="AZ47" s="78"/>
      <c r="BA47" s="78"/>
      <c r="BB47" s="78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78"/>
      <c r="CF47" s="78"/>
      <c r="CG47" s="78"/>
      <c r="CH47" s="78"/>
      <c r="CI47" s="78"/>
      <c r="CJ47" s="78"/>
      <c r="CK47" s="78"/>
      <c r="CL47" s="78"/>
      <c r="CM47" s="78"/>
      <c r="CN47" s="86" t="str">
        <f t="shared" si="294"/>
        <v>InitUnitState('E120',135000,,,,450000,,9000,,125,12)</v>
      </c>
      <c r="CO47" s="86" t="str">
        <f t="shared" si="295"/>
        <v>InitUnitNormal('E120',,,,,,,,,,)</v>
      </c>
      <c r="CP47" s="86" t="str">
        <f t="shared" si="296"/>
        <v>InitUnitMagic('E120',,,,,,,,,,)</v>
      </c>
      <c r="CQ47" s="86" t="str">
        <f t="shared" si="297"/>
        <v>InitUnitAdd('E120',,,,,,,20,,,)</v>
      </c>
      <c r="CR47" s="86" t="str">
        <f t="shared" si="298"/>
        <v>InitEquipData('E120',400,"",,E121,,50,'','','','','','',"ReplaceableTextures\\CommandButtons\\BTNZ10.blp")</v>
      </c>
      <c r="CS47" s="86"/>
      <c r="CT47" s="86"/>
      <c r="CU47" s="88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pans="1:175" s="33" customFormat="1" ht="16.5">
      <c r="A48" s="2"/>
      <c r="B48" s="1" t="s">
        <v>283</v>
      </c>
      <c r="C48" s="10" t="s">
        <v>284</v>
      </c>
      <c r="D48" s="27">
        <v>500</v>
      </c>
      <c r="E48" s="68"/>
      <c r="F48" s="69"/>
      <c r="G48" s="70">
        <v>50</v>
      </c>
      <c r="H48" s="70"/>
      <c r="I48" s="70" t="str">
        <f t="shared" si="291"/>
        <v>E122</v>
      </c>
      <c r="J48" s="70"/>
      <c r="K48" s="70"/>
      <c r="L48" s="70"/>
      <c r="M48" s="70"/>
      <c r="N48" s="70"/>
      <c r="O48" s="70"/>
      <c r="P48" s="73"/>
      <c r="Q48" s="73"/>
      <c r="R48" s="73"/>
      <c r="S48" s="73"/>
      <c r="T48" s="76" t="str">
        <f t="shared" si="292"/>
        <v>|n攻击6%概率范围|cffff4646业力*15|r魔法伤害|n|n|Cff00ff7f击杀500只怪有50%概率升级|r</v>
      </c>
      <c r="U48" s="77" t="s">
        <v>285</v>
      </c>
      <c r="V48" s="78">
        <v>202500</v>
      </c>
      <c r="W48" s="78"/>
      <c r="X48"/>
      <c r="Y48" s="78"/>
      <c r="Z48" s="78">
        <v>675000</v>
      </c>
      <c r="AA48" s="78"/>
      <c r="AB48" s="78">
        <f t="shared" si="293"/>
        <v>13500</v>
      </c>
      <c r="AC48" s="78"/>
      <c r="AD48" s="78">
        <v>130</v>
      </c>
      <c r="AE48" s="78">
        <v>15</v>
      </c>
      <c r="AF48" s="78"/>
      <c r="AG48" s="82"/>
      <c r="AH48" s="78"/>
      <c r="AI48" s="78"/>
      <c r="AJ48" s="78"/>
      <c r="AK48" s="78"/>
      <c r="AL48" s="82"/>
      <c r="AM48" s="78"/>
      <c r="AN48" s="78"/>
      <c r="AO48" s="78"/>
      <c r="AP48" s="78"/>
      <c r="AQ48" s="78"/>
      <c r="AR48" s="84"/>
      <c r="AS48" s="84"/>
      <c r="AT48" s="78"/>
      <c r="AU48" s="78"/>
      <c r="AV48" s="78"/>
      <c r="AW48" s="78"/>
      <c r="AX48" s="78"/>
      <c r="AY48" s="78"/>
      <c r="AZ48" s="78"/>
      <c r="BA48" s="78"/>
      <c r="BB48" s="7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78"/>
      <c r="CF48" s="78"/>
      <c r="CG48" s="78"/>
      <c r="CH48" s="78"/>
      <c r="CI48" s="78"/>
      <c r="CJ48" s="78"/>
      <c r="CK48" s="78"/>
      <c r="CL48" s="78"/>
      <c r="CM48" s="78"/>
      <c r="CN48" s="86" t="str">
        <f t="shared" si="294"/>
        <v>InitUnitState('E121',202500,,,,675000,,13500,,130,15)</v>
      </c>
      <c r="CO48" s="86" t="str">
        <f t="shared" si="295"/>
        <v>InitUnitNormal('E121',,,,,,,,,,)</v>
      </c>
      <c r="CP48" s="86" t="str">
        <f t="shared" si="296"/>
        <v>InitUnitMagic('E121',,,,,,,,,,)</v>
      </c>
      <c r="CQ48" s="86" t="str">
        <f t="shared" si="297"/>
        <v>InitUnitAdd('E121',,,,,,,21,,,)</v>
      </c>
      <c r="CR48" s="86" t="str">
        <f t="shared" si="298"/>
        <v>InitEquipData('E121',500,"",,E122,,50,'','','','','','',"ReplaceableTextures\\CommandButtons\\BTNZ10.blp")</v>
      </c>
      <c r="CS48" s="86"/>
      <c r="CT48" s="86"/>
      <c r="CU48" s="88" t="str">
        <f t="shared" si="78"/>
        <v>|n攻击+202500|n生命值+675000|n生命回复+13500|n攻速+130%|n闪避+15%|n每秒业力+21|n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/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pans="1:175" s="33" customFormat="1" ht="16.5">
      <c r="A49" s="2"/>
      <c r="B49" s="1" t="s">
        <v>286</v>
      </c>
      <c r="C49" s="10" t="s">
        <v>287</v>
      </c>
      <c r="D49" s="27">
        <v>500</v>
      </c>
      <c r="E49" s="68"/>
      <c r="F49" s="69"/>
      <c r="G49" s="70">
        <v>50</v>
      </c>
      <c r="H49" s="70"/>
      <c r="I49" s="70" t="str">
        <f t="shared" si="291"/>
        <v>E123</v>
      </c>
      <c r="J49" s="70"/>
      <c r="K49" s="70"/>
      <c r="L49" s="70"/>
      <c r="M49" s="70"/>
      <c r="N49" s="70"/>
      <c r="O49" s="70"/>
      <c r="P49" s="73"/>
      <c r="Q49" s="73"/>
      <c r="R49" s="73"/>
      <c r="S49" s="73"/>
      <c r="T49" s="76" t="str">
        <f t="shared" si="292"/>
        <v>|n攻击6%概率范围|cffff4646业力*15|r魔法伤害|n|n|Cff00ff7f击杀500只怪有50%概率升级|r</v>
      </c>
      <c r="U49" s="77" t="s">
        <v>285</v>
      </c>
      <c r="V49" s="78">
        <v>229500</v>
      </c>
      <c r="W49" s="78"/>
      <c r="X49" s="78"/>
      <c r="Y49" s="78"/>
      <c r="Z49" s="78">
        <v>765000</v>
      </c>
      <c r="AA49" s="78"/>
      <c r="AB49" s="78">
        <f t="shared" si="293"/>
        <v>15300</v>
      </c>
      <c r="AC49" s="78"/>
      <c r="AD49" s="78">
        <v>135</v>
      </c>
      <c r="AE49" s="78">
        <v>15</v>
      </c>
      <c r="AF49" s="78"/>
      <c r="AG49" s="82"/>
      <c r="AH49" s="78"/>
      <c r="AI49" s="78"/>
      <c r="AJ49" s="78"/>
      <c r="AK49" s="78"/>
      <c r="AL49" s="82"/>
      <c r="AM49" s="78"/>
      <c r="AN49" s="78"/>
      <c r="AO49" s="78"/>
      <c r="AP49" s="78"/>
      <c r="AQ49" s="78"/>
      <c r="AR49" s="84"/>
      <c r="AS49" s="84"/>
      <c r="AT49" s="78"/>
      <c r="AU49" s="78"/>
      <c r="AV49" s="78"/>
      <c r="AW49" s="78"/>
      <c r="AX49" s="78"/>
      <c r="AY49" s="78"/>
      <c r="AZ49" s="78"/>
      <c r="BA49" s="78"/>
      <c r="BB49" s="78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78"/>
      <c r="CF49" s="78"/>
      <c r="CG49" s="78"/>
      <c r="CH49" s="78"/>
      <c r="CI49" s="78"/>
      <c r="CJ49" s="78"/>
      <c r="CK49" s="78"/>
      <c r="CL49" s="78"/>
      <c r="CM49" s="78"/>
      <c r="CN49" s="86" t="str">
        <f t="shared" si="294"/>
        <v>InitUnitState('E122',229500,,,,765000,,15300,,135,15)</v>
      </c>
      <c r="CO49" s="86" t="str">
        <f t="shared" si="295"/>
        <v>InitUnitNormal('E122',,,,,,,,,,)</v>
      </c>
      <c r="CP49" s="86" t="str">
        <f t="shared" si="296"/>
        <v>InitUnitMagic('E122',,,,,,,,,,)</v>
      </c>
      <c r="CQ49" s="86" t="str">
        <f t="shared" si="297"/>
        <v>InitUnitAdd('E122',,,,,,,22,,,)</v>
      </c>
      <c r="CR49" s="86" t="str">
        <f t="shared" si="298"/>
        <v>InitEquipData('E122',500,"",,E123,,50,'','','','','','',"ReplaceableTextures\\CommandButtons\\BTNZ10.blp")</v>
      </c>
      <c r="CS49" s="86"/>
      <c r="CT49" s="86"/>
      <c r="CU49" s="88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pans="1:175" s="33" customFormat="1" ht="16.5">
      <c r="A50" s="2"/>
      <c r="B50" s="1" t="s">
        <v>288</v>
      </c>
      <c r="C50" s="10" t="s">
        <v>289</v>
      </c>
      <c r="D50" s="27">
        <v>500</v>
      </c>
      <c r="E50" s="68"/>
      <c r="F50" s="69"/>
      <c r="G50" s="70">
        <v>50</v>
      </c>
      <c r="H50" s="70"/>
      <c r="I50" s="70" t="str">
        <f t="shared" si="291"/>
        <v>E124</v>
      </c>
      <c r="J50" s="70"/>
      <c r="K50" s="70"/>
      <c r="L50" s="70"/>
      <c r="M50" s="70"/>
      <c r="N50" s="70"/>
      <c r="O50" s="70"/>
      <c r="P50" s="73"/>
      <c r="Q50" s="73"/>
      <c r="R50" s="73"/>
      <c r="S50" s="73"/>
      <c r="T50" s="76" t="str">
        <f t="shared" si="292"/>
        <v>|n攻击6%概率范围|cffff4646业力*15|r魔法伤害|n|n|Cff00ff7f击杀500只怪有50%概率升级|r</v>
      </c>
      <c r="U50" s="77" t="s">
        <v>285</v>
      </c>
      <c r="V50" s="78">
        <v>256500</v>
      </c>
      <c r="W50" s="78"/>
      <c r="X50" s="78"/>
      <c r="Y50" s="78"/>
      <c r="Z50" s="78">
        <v>855000</v>
      </c>
      <c r="AA50" s="78"/>
      <c r="AB50" s="78">
        <f t="shared" si="293"/>
        <v>17100</v>
      </c>
      <c r="AC50" s="78"/>
      <c r="AD50" s="78">
        <v>140</v>
      </c>
      <c r="AE50" s="78">
        <v>15</v>
      </c>
      <c r="AF50" s="78"/>
      <c r="AG50" s="82"/>
      <c r="AH50" s="78"/>
      <c r="AI50" s="78"/>
      <c r="AJ50" s="78"/>
      <c r="AK50" s="78"/>
      <c r="AL50" s="82"/>
      <c r="AM50" s="78"/>
      <c r="AN50" s="78"/>
      <c r="AO50" s="78"/>
      <c r="AP50" s="78"/>
      <c r="AQ50" s="78"/>
      <c r="AR50" s="84"/>
      <c r="AS50" s="84"/>
      <c r="AT50" s="78"/>
      <c r="AU50" s="78"/>
      <c r="AV50" s="78"/>
      <c r="AW50" s="78"/>
      <c r="AX50" s="78"/>
      <c r="AY50" s="78"/>
      <c r="AZ50" s="78"/>
      <c r="BA50" s="78"/>
      <c r="BB50" s="78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78"/>
      <c r="CF50" s="78"/>
      <c r="CG50" s="78"/>
      <c r="CH50" s="78"/>
      <c r="CI50" s="78"/>
      <c r="CJ50" s="78"/>
      <c r="CK50" s="78"/>
      <c r="CL50" s="78"/>
      <c r="CM50" s="78"/>
      <c r="CN50" s="86" t="str">
        <f t="shared" si="294"/>
        <v>InitUnitState('E123',256500,,,,855000,,17100,,140,15)</v>
      </c>
      <c r="CO50" s="86" t="str">
        <f t="shared" si="295"/>
        <v>InitUnitNormal('E123',,,,,,,,,,)</v>
      </c>
      <c r="CP50" s="86" t="str">
        <f t="shared" si="296"/>
        <v>InitUnitMagic('E123',,,,,,,,,,)</v>
      </c>
      <c r="CQ50" s="86" t="str">
        <f t="shared" si="297"/>
        <v>InitUnitAdd('E123',,,,,,,23,,,)</v>
      </c>
      <c r="CR50" s="86" t="str">
        <f t="shared" si="298"/>
        <v>InitEquipData('E123',500,"",,E124,,50,'','','','','','',"ReplaceableTextures\\CommandButtons\\BTNZ10.blp")</v>
      </c>
      <c r="CS50" s="86"/>
      <c r="CT50" s="86"/>
      <c r="CU50" s="88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pans="1:175" s="33" customFormat="1" ht="16.5">
      <c r="A51" s="2"/>
      <c r="B51" s="1" t="s">
        <v>290</v>
      </c>
      <c r="C51" s="10" t="s">
        <v>291</v>
      </c>
      <c r="D51" s="27">
        <v>500</v>
      </c>
      <c r="E51" s="68"/>
      <c r="F51" s="69"/>
      <c r="G51" s="70">
        <v>50</v>
      </c>
      <c r="H51" s="70"/>
      <c r="I51" s="70" t="str">
        <f t="shared" si="291"/>
        <v>E125</v>
      </c>
      <c r="J51" s="70"/>
      <c r="K51" s="70"/>
      <c r="L51" s="70"/>
      <c r="M51" s="70"/>
      <c r="N51" s="70"/>
      <c r="O51" s="70"/>
      <c r="P51" s="73"/>
      <c r="Q51" s="73"/>
      <c r="R51" s="73"/>
      <c r="S51" s="73"/>
      <c r="T51" s="76" t="str">
        <f t="shared" si="292"/>
        <v>|n攻击6%概率范围|cffff4646业力*15|r魔法伤害|n|n|Cff00ff7f击杀500只怪有50%概率升级|r</v>
      </c>
      <c r="U51" s="77" t="s">
        <v>285</v>
      </c>
      <c r="V51" s="78">
        <v>283500</v>
      </c>
      <c r="W51" s="78"/>
      <c r="X51" s="78"/>
      <c r="Y51" s="78"/>
      <c r="Z51" s="78">
        <v>945000</v>
      </c>
      <c r="AA51" s="78"/>
      <c r="AB51" s="78">
        <f t="shared" si="293"/>
        <v>18900</v>
      </c>
      <c r="AC51" s="78"/>
      <c r="AD51" s="78">
        <v>145</v>
      </c>
      <c r="AE51" s="78">
        <v>15</v>
      </c>
      <c r="AF51" s="78"/>
      <c r="AG51" s="82"/>
      <c r="AH51" s="78"/>
      <c r="AI51" s="78"/>
      <c r="AJ51" s="78"/>
      <c r="AK51" s="78"/>
      <c r="AL51" s="82"/>
      <c r="AM51" s="78"/>
      <c r="AN51" s="78"/>
      <c r="AO51" s="78"/>
      <c r="AP51" s="78"/>
      <c r="AQ51" s="78"/>
      <c r="AR51" s="84"/>
      <c r="AS51" s="84"/>
      <c r="AT51" s="78"/>
      <c r="AU51" s="78"/>
      <c r="AV51" s="78"/>
      <c r="AW51" s="78"/>
      <c r="AX51" s="78"/>
      <c r="AY51" s="78"/>
      <c r="AZ51" s="78"/>
      <c r="BA51" s="78"/>
      <c r="BB51" s="78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78"/>
      <c r="CF51" s="78"/>
      <c r="CG51" s="78"/>
      <c r="CH51" s="78"/>
      <c r="CI51" s="78"/>
      <c r="CJ51" s="78"/>
      <c r="CK51" s="78"/>
      <c r="CL51" s="78"/>
      <c r="CM51" s="78"/>
      <c r="CN51" s="86" t="str">
        <f t="shared" si="294"/>
        <v>InitUnitState('E124',283500,,,,945000,,18900,,145,15)</v>
      </c>
      <c r="CO51" s="86" t="str">
        <f t="shared" si="295"/>
        <v>InitUnitNormal('E124',,,,,,,,,,)</v>
      </c>
      <c r="CP51" s="86" t="str">
        <f t="shared" si="296"/>
        <v>InitUnitMagic('E124',,,,,,,,,,)</v>
      </c>
      <c r="CQ51" s="86" t="str">
        <f t="shared" si="297"/>
        <v>InitUnitAdd('E124',,,,,,,24,,,)</v>
      </c>
      <c r="CR51" s="86" t="str">
        <f t="shared" si="298"/>
        <v>InitEquipData('E124',500,"",,E125,,50,'','','','','','',"ReplaceableTextures\\CommandButtons\\BTNZ10.blp")</v>
      </c>
      <c r="CS51" s="86"/>
      <c r="CT51" s="86"/>
      <c r="CU51" s="88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pans="1:175" s="33" customFormat="1" ht="16.5">
      <c r="A52" s="2"/>
      <c r="B52" s="1" t="s">
        <v>292</v>
      </c>
      <c r="C52" s="10" t="s">
        <v>293</v>
      </c>
      <c r="D52" s="27"/>
      <c r="E52" s="68"/>
      <c r="F52" s="69"/>
      <c r="G52" s="70"/>
      <c r="H52" s="70"/>
      <c r="I52" s="70"/>
      <c r="J52" s="70"/>
      <c r="K52" s="70"/>
      <c r="L52" s="70"/>
      <c r="M52" s="70"/>
      <c r="N52" s="70"/>
      <c r="O52" s="70"/>
      <c r="P52" s="73"/>
      <c r="Q52" s="73"/>
      <c r="R52" s="73"/>
      <c r="S52" s="73"/>
      <c r="T52" s="76" t="str">
        <f>"|n攻击6%概率范围|cffff4646业力*15|r魔法伤害"</f>
        <v>|n攻击6%概率范围|cffff4646业力*15|r魔法伤害</v>
      </c>
      <c r="U52" s="77" t="s">
        <v>285</v>
      </c>
      <c r="V52" s="78">
        <v>337500</v>
      </c>
      <c r="W52" s="78"/>
      <c r="X52"/>
      <c r="Y52" s="78"/>
      <c r="Z52" s="78">
        <v>1125000</v>
      </c>
      <c r="AA52" s="78"/>
      <c r="AB52" s="78">
        <f t="shared" si="293"/>
        <v>22500</v>
      </c>
      <c r="AC52" s="78"/>
      <c r="AD52" s="78">
        <v>150</v>
      </c>
      <c r="AE52" s="78">
        <v>15</v>
      </c>
      <c r="AF52" s="78"/>
      <c r="AG52" s="82"/>
      <c r="AH52" s="78"/>
      <c r="AI52" s="78"/>
      <c r="AJ52" s="78"/>
      <c r="AK52" s="78"/>
      <c r="AL52" s="82"/>
      <c r="AM52" s="78"/>
      <c r="AN52" s="78"/>
      <c r="AO52" s="78"/>
      <c r="AP52" s="78"/>
      <c r="AQ52" s="78"/>
      <c r="AR52" s="84"/>
      <c r="AS52" s="84"/>
      <c r="AT52" s="78"/>
      <c r="AU52" s="78"/>
      <c r="AV52" s="78"/>
      <c r="AW52" s="78"/>
      <c r="AX52" s="78"/>
      <c r="AY52" s="78"/>
      <c r="AZ52" s="78"/>
      <c r="BA52" s="78"/>
      <c r="BB52" s="78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78"/>
      <c r="CF52" s="78"/>
      <c r="CG52" s="78"/>
      <c r="CH52" s="78"/>
      <c r="CI52" s="78"/>
      <c r="CJ52" s="78"/>
      <c r="CK52" s="78"/>
      <c r="CL52" s="78"/>
      <c r="CM52" s="78"/>
      <c r="CN52" s="86" t="str">
        <f t="shared" si="294"/>
        <v>InitUnitState('E125',337500,,,,1125000,,22500,,150,15)</v>
      </c>
      <c r="CO52" s="86" t="str">
        <f t="shared" si="295"/>
        <v>InitUnitNormal('E125',,,,,,,,,,)</v>
      </c>
      <c r="CP52" s="86" t="str">
        <f t="shared" si="296"/>
        <v>InitUnitMagic('E125',,,,,,,,,,)</v>
      </c>
      <c r="CQ52" s="86" t="str">
        <f t="shared" si="297"/>
        <v>InitUnitAdd('E125',,,,,,,25,,,)</v>
      </c>
      <c r="CR52" s="86" t="str">
        <f t="shared" si="298"/>
        <v>InitEquipData('E125',,"",,,,,'','','','','','',"ReplaceableTextures\\CommandButtons\\BTNZ11.blp")</v>
      </c>
      <c r="CS52" s="86"/>
      <c r="CT52" s="86"/>
      <c r="CU52" s="88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pans="1:175" s="33" customFormat="1" ht="16.5">
      <c r="A53" s="2"/>
      <c r="B53" s="1" t="s">
        <v>294</v>
      </c>
      <c r="C53" s="2" t="s">
        <v>295</v>
      </c>
      <c r="D53" s="67"/>
      <c r="E53" s="68"/>
      <c r="F53" s="69">
        <v>800</v>
      </c>
      <c r="G53" s="70">
        <v>100</v>
      </c>
      <c r="H53" s="70"/>
      <c r="I53" s="70" t="str">
        <f>B54</f>
        <v>E202</v>
      </c>
      <c r="J53" s="70"/>
      <c r="K53" s="70"/>
      <c r="L53" s="70"/>
      <c r="M53" s="70"/>
      <c r="N53" s="70"/>
      <c r="O53" s="70"/>
      <c r="P53" s="73"/>
      <c r="Q53" s="73"/>
      <c r="R53" s="73"/>
      <c r="S53" s="73"/>
      <c r="T53" s="76"/>
      <c r="U53" s="77" t="s">
        <v>296</v>
      </c>
      <c r="V53" s="78"/>
      <c r="W53" s="78"/>
      <c r="X53" s="78">
        <v>30</v>
      </c>
      <c r="Y53" s="78"/>
      <c r="Z53" s="78">
        <v>750</v>
      </c>
      <c r="AA53" s="78"/>
      <c r="AB53" s="78">
        <f t="shared" si="293"/>
        <v>15</v>
      </c>
      <c r="AC53" s="78"/>
      <c r="AD53" s="78"/>
      <c r="AE53" s="78"/>
      <c r="AF53" s="78"/>
      <c r="AG53" s="82"/>
      <c r="AH53" s="78"/>
      <c r="AI53" s="78"/>
      <c r="AJ53" s="78"/>
      <c r="AK53" s="78"/>
      <c r="AL53" s="82"/>
      <c r="AM53" s="78"/>
      <c r="AN53" s="78"/>
      <c r="AO53" s="78"/>
      <c r="AP53" s="78"/>
      <c r="AQ53" s="78"/>
      <c r="AR53" s="84"/>
      <c r="AS53" s="84"/>
      <c r="AT53" s="78"/>
      <c r="AU53" s="78"/>
      <c r="AV53" s="78"/>
      <c r="AW53" s="78"/>
      <c r="AX53" s="78"/>
      <c r="AY53" s="78"/>
      <c r="AZ53" s="78"/>
      <c r="BA53" s="78"/>
      <c r="BB53" s="78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78"/>
      <c r="CF53" s="78"/>
      <c r="CG53" s="78"/>
      <c r="CH53" s="78"/>
      <c r="CI53" s="78"/>
      <c r="CJ53" s="78"/>
      <c r="CK53" s="78"/>
      <c r="CL53" s="78"/>
      <c r="CM53" s="78"/>
      <c r="CN53" s="86" t="str">
        <f t="shared" si="294"/>
        <v>InitUnitState('E201',,,30,,750,,15,,,)</v>
      </c>
      <c r="CO53" s="86" t="str">
        <f t="shared" si="295"/>
        <v>InitUnitNormal('E201',,,,,,,,,,)</v>
      </c>
      <c r="CP53" s="86" t="str">
        <f t="shared" si="296"/>
        <v>InitUnitMagic('E201',,,,,,,,,,)</v>
      </c>
      <c r="CQ53" s="86" t="str">
        <f t="shared" si="297"/>
        <v>InitUnitAdd('E201',,,,,,,,,,)</v>
      </c>
      <c r="CR53" s="8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86"/>
      <c r="CT53" s="86"/>
      <c r="CU53" s="88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pans="1:175" s="33" customFormat="1" ht="16.5">
      <c r="A54" s="2"/>
      <c r="B54" s="1" t="s">
        <v>297</v>
      </c>
      <c r="C54" s="2" t="s">
        <v>298</v>
      </c>
      <c r="D54" s="67"/>
      <c r="E54" s="68"/>
      <c r="F54" s="69">
        <v>800</v>
      </c>
      <c r="G54" s="70">
        <v>100</v>
      </c>
      <c r="H54" s="70"/>
      <c r="I54" s="70" t="str">
        <f t="shared" ref="I54:I76" si="440">B55</f>
        <v>E203</v>
      </c>
      <c r="J54" s="70"/>
      <c r="K54" s="70"/>
      <c r="L54" s="70"/>
      <c r="M54" s="70"/>
      <c r="N54" s="70"/>
      <c r="O54" s="70"/>
      <c r="P54" s="73"/>
      <c r="Q54" s="73"/>
      <c r="R54" s="73"/>
      <c r="S54" s="73"/>
      <c r="T54" s="76"/>
      <c r="U54" s="77" t="s">
        <v>296</v>
      </c>
      <c r="V54" s="78"/>
      <c r="W54" s="78"/>
      <c r="X54" s="78">
        <v>60</v>
      </c>
      <c r="Y54" s="78"/>
      <c r="Z54" s="78">
        <v>1500</v>
      </c>
      <c r="AA54" s="78"/>
      <c r="AB54" s="78">
        <f t="shared" si="293"/>
        <v>30</v>
      </c>
      <c r="AC54" s="78"/>
      <c r="AD54" s="78"/>
      <c r="AE54" s="78"/>
      <c r="AF54" s="78"/>
      <c r="AG54" s="82"/>
      <c r="AH54" s="78"/>
      <c r="AI54" s="78"/>
      <c r="AJ54" s="78"/>
      <c r="AK54" s="78"/>
      <c r="AL54" s="82"/>
      <c r="AM54" s="78"/>
      <c r="AN54" s="78"/>
      <c r="AO54" s="78"/>
      <c r="AP54" s="78"/>
      <c r="AQ54" s="78"/>
      <c r="AR54" s="84"/>
      <c r="AS54" s="84"/>
      <c r="AT54" s="78"/>
      <c r="AU54" s="78"/>
      <c r="AV54" s="78"/>
      <c r="AW54" s="78"/>
      <c r="AX54" s="78"/>
      <c r="AY54" s="78"/>
      <c r="AZ54" s="78"/>
      <c r="BA54" s="78"/>
      <c r="BB54" s="78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78"/>
      <c r="CF54" s="78"/>
      <c r="CG54" s="78"/>
      <c r="CH54" s="78"/>
      <c r="CI54" s="78"/>
      <c r="CJ54" s="78"/>
      <c r="CK54" s="78"/>
      <c r="CL54" s="78"/>
      <c r="CM54" s="78"/>
      <c r="CN54" s="86" t="str">
        <f t="shared" si="294"/>
        <v>InitUnitState('E202',,,60,,1500,,30,,,)</v>
      </c>
      <c r="CO54" s="86" t="str">
        <f t="shared" si="295"/>
        <v>InitUnitNormal('E202',,,,,,,,,,)</v>
      </c>
      <c r="CP54" s="86" t="str">
        <f t="shared" si="296"/>
        <v>InitUnitMagic('E202',,,,,,,,,,)</v>
      </c>
      <c r="CQ54" s="86" t="str">
        <f t="shared" si="297"/>
        <v>InitUnitAdd('E202',,,,,,,,,,)</v>
      </c>
      <c r="CR54" s="8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86"/>
      <c r="CT54" s="86"/>
      <c r="CU54" s="88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pans="1:175" s="33" customFormat="1" ht="16.5">
      <c r="A55" s="2"/>
      <c r="B55" s="1" t="s">
        <v>299</v>
      </c>
      <c r="C55" s="2" t="s">
        <v>300</v>
      </c>
      <c r="D55" s="67"/>
      <c r="E55" s="68"/>
      <c r="F55" s="69">
        <v>800</v>
      </c>
      <c r="G55" s="70">
        <v>100</v>
      </c>
      <c r="H55" s="70"/>
      <c r="I55" s="70" t="str">
        <f t="shared" si="440"/>
        <v>E204</v>
      </c>
      <c r="J55" s="70"/>
      <c r="K55" s="70"/>
      <c r="L55" s="70"/>
      <c r="M55" s="70"/>
      <c r="N55" s="70"/>
      <c r="O55" s="70"/>
      <c r="P55" s="73"/>
      <c r="Q55" s="73"/>
      <c r="R55" s="73"/>
      <c r="S55" s="73"/>
      <c r="T55" s="76"/>
      <c r="U55" s="77" t="s">
        <v>296</v>
      </c>
      <c r="V55" s="78"/>
      <c r="W55" s="78"/>
      <c r="X55" s="78">
        <v>90</v>
      </c>
      <c r="Y55" s="78"/>
      <c r="Z55" s="78">
        <v>2250</v>
      </c>
      <c r="AA55" s="78"/>
      <c r="AB55" s="78">
        <f t="shared" si="293"/>
        <v>45</v>
      </c>
      <c r="AC55" s="78"/>
      <c r="AD55" s="78"/>
      <c r="AE55" s="78"/>
      <c r="AF55" s="78"/>
      <c r="AG55" s="82"/>
      <c r="AH55" s="78"/>
      <c r="AI55" s="78"/>
      <c r="AJ55" s="78"/>
      <c r="AK55" s="78"/>
      <c r="AL55" s="82"/>
      <c r="AM55" s="78"/>
      <c r="AN55" s="78"/>
      <c r="AO55" s="78"/>
      <c r="AP55" s="78"/>
      <c r="AQ55" s="78"/>
      <c r="AR55" s="84"/>
      <c r="AS55" s="84"/>
      <c r="AT55" s="78"/>
      <c r="AU55" s="78"/>
      <c r="AV55" s="78"/>
      <c r="AW55" s="78"/>
      <c r="AX55" s="78"/>
      <c r="AY55" s="78"/>
      <c r="AZ55" s="78"/>
      <c r="BA55" s="78"/>
      <c r="BB55" s="78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78"/>
      <c r="CF55" s="78"/>
      <c r="CG55" s="78"/>
      <c r="CH55" s="78"/>
      <c r="CI55" s="78"/>
      <c r="CJ55" s="78"/>
      <c r="CK55" s="78"/>
      <c r="CL55" s="78"/>
      <c r="CM55" s="78"/>
      <c r="CN55" s="86" t="str">
        <f t="shared" si="294"/>
        <v>InitUnitState('E203',,,90,,2250,,45,,,)</v>
      </c>
      <c r="CO55" s="86" t="str">
        <f t="shared" si="295"/>
        <v>InitUnitNormal('E203',,,,,,,,,,)</v>
      </c>
      <c r="CP55" s="86" t="str">
        <f t="shared" si="296"/>
        <v>InitUnitMagic('E203',,,,,,,,,,)</v>
      </c>
      <c r="CQ55" s="86" t="str">
        <f t="shared" si="297"/>
        <v>InitUnitAdd('E203',,,,,,,,,,)</v>
      </c>
      <c r="CR55" s="86" t="str">
        <f t="shared" si="441"/>
        <v>InitEquipData('E203',,"",,E204,800,100,'','','','','','',"ReplaceableTextures\\CommandButtons\\BTNZ13.blp")</v>
      </c>
      <c r="CS55" s="86"/>
      <c r="CT55" s="86"/>
      <c r="CU55" s="88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pans="1:175" s="33" customFormat="1" ht="16.5">
      <c r="A56" s="2"/>
      <c r="B56" s="1" t="s">
        <v>301</v>
      </c>
      <c r="C56" s="2" t="s">
        <v>302</v>
      </c>
      <c r="D56" s="67"/>
      <c r="E56" s="68"/>
      <c r="F56" s="69">
        <v>800</v>
      </c>
      <c r="G56" s="70">
        <v>100</v>
      </c>
      <c r="H56" s="70"/>
      <c r="I56" s="70" t="str">
        <f t="shared" si="440"/>
        <v>E205</v>
      </c>
      <c r="J56" s="70"/>
      <c r="K56" s="70"/>
      <c r="L56" s="70"/>
      <c r="M56" s="70"/>
      <c r="N56" s="70"/>
      <c r="O56" s="70"/>
      <c r="P56" s="73"/>
      <c r="Q56" s="73"/>
      <c r="R56" s="73"/>
      <c r="S56" s="73"/>
      <c r="T56" s="76"/>
      <c r="U56" s="77" t="s">
        <v>296</v>
      </c>
      <c r="V56" s="78"/>
      <c r="W56" s="78"/>
      <c r="X56" s="78">
        <v>120</v>
      </c>
      <c r="Y56" s="78"/>
      <c r="Z56" s="78">
        <v>3750</v>
      </c>
      <c r="AA56" s="78"/>
      <c r="AB56" s="78">
        <f t="shared" si="293"/>
        <v>75</v>
      </c>
      <c r="AC56" s="78"/>
      <c r="AD56" s="78"/>
      <c r="AE56" s="78"/>
      <c r="AF56" s="78"/>
      <c r="AG56" s="82"/>
      <c r="AH56" s="78"/>
      <c r="AI56" s="78"/>
      <c r="AJ56" s="78"/>
      <c r="AK56" s="78"/>
      <c r="AL56" s="82"/>
      <c r="AM56" s="78"/>
      <c r="AN56" s="78"/>
      <c r="AO56" s="78"/>
      <c r="AP56" s="78"/>
      <c r="AQ56" s="78"/>
      <c r="AR56" s="84"/>
      <c r="AS56" s="84"/>
      <c r="AT56" s="78"/>
      <c r="AU56" s="78"/>
      <c r="AV56" s="78"/>
      <c r="AW56" s="78"/>
      <c r="AX56" s="78"/>
      <c r="AY56" s="78"/>
      <c r="AZ56" s="78"/>
      <c r="BA56" s="78"/>
      <c r="BB56" s="78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78"/>
      <c r="CF56" s="78"/>
      <c r="CG56" s="78"/>
      <c r="CH56" s="78"/>
      <c r="CI56" s="78"/>
      <c r="CJ56" s="78"/>
      <c r="CK56" s="78"/>
      <c r="CL56" s="78"/>
      <c r="CM56" s="78"/>
      <c r="CN56" s="86" t="str">
        <f t="shared" si="294"/>
        <v>InitUnitState('E204',,,120,,3750,,75,,,)</v>
      </c>
      <c r="CO56" s="86" t="str">
        <f t="shared" si="295"/>
        <v>InitUnitNormal('E204',,,,,,,,,,)</v>
      </c>
      <c r="CP56" s="86" t="str">
        <f t="shared" si="296"/>
        <v>InitUnitMagic('E204',,,,,,,,,,)</v>
      </c>
      <c r="CQ56" s="86" t="str">
        <f t="shared" si="297"/>
        <v>InitUnitAdd('E204',,,,,,,,,,)</v>
      </c>
      <c r="CR56" s="86" t="str">
        <f t="shared" si="441"/>
        <v>InitEquipData('E204',,"",,E205,800,100,'','','','','','',"ReplaceableTextures\\CommandButtons\\BTNZ13.blp")</v>
      </c>
      <c r="CS56" s="86"/>
      <c r="CT56" s="86"/>
      <c r="CU56" s="88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pans="1:175" s="33" customFormat="1" ht="16.5">
      <c r="A57" s="2"/>
      <c r="B57" s="1" t="s">
        <v>303</v>
      </c>
      <c r="C57" s="2" t="s">
        <v>304</v>
      </c>
      <c r="D57" s="67"/>
      <c r="E57" s="68"/>
      <c r="F57" s="69">
        <v>2500</v>
      </c>
      <c r="G57" s="70">
        <v>100</v>
      </c>
      <c r="H57" s="71" t="s">
        <v>305</v>
      </c>
      <c r="I57" s="70" t="str">
        <f t="shared" si="440"/>
        <v>E206</v>
      </c>
      <c r="J57" s="70"/>
      <c r="K57" s="70"/>
      <c r="L57" s="70"/>
      <c r="M57" s="70"/>
      <c r="N57" s="70"/>
      <c r="O57" s="70"/>
      <c r="P57" s="73"/>
      <c r="Q57" s="73"/>
      <c r="R57" s="73"/>
      <c r="S57" s="73"/>
      <c r="T57" s="76"/>
      <c r="U57" s="77" t="s">
        <v>296</v>
      </c>
      <c r="V57" s="78"/>
      <c r="W57" s="78"/>
      <c r="X57" s="78">
        <v>150</v>
      </c>
      <c r="Y57" s="78"/>
      <c r="Z57" s="78">
        <v>5250</v>
      </c>
      <c r="AA57" s="78"/>
      <c r="AB57" s="78">
        <f t="shared" si="293"/>
        <v>105</v>
      </c>
      <c r="AC57" s="78"/>
      <c r="AD57" s="78"/>
      <c r="AE57" s="78"/>
      <c r="AF57" s="78"/>
      <c r="AG57" s="82"/>
      <c r="AH57" s="78"/>
      <c r="AI57" s="78"/>
      <c r="AJ57" s="78"/>
      <c r="AK57" s="78"/>
      <c r="AL57" s="82"/>
      <c r="AM57" s="78"/>
      <c r="AN57" s="78"/>
      <c r="AO57" s="78"/>
      <c r="AP57" s="78"/>
      <c r="AQ57" s="78"/>
      <c r="AR57" s="84"/>
      <c r="AS57" s="84"/>
      <c r="AT57" s="78"/>
      <c r="AU57" s="78"/>
      <c r="AV57" s="78"/>
      <c r="AW57" s="78"/>
      <c r="AX57" s="78"/>
      <c r="AY57" s="78"/>
      <c r="AZ57" s="78"/>
      <c r="BA57" s="78"/>
      <c r="BB57" s="78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78"/>
      <c r="CF57" s="78"/>
      <c r="CG57" s="78"/>
      <c r="CH57" s="78"/>
      <c r="CI57" s="78"/>
      <c r="CJ57" s="78"/>
      <c r="CK57" s="78"/>
      <c r="CL57" s="78"/>
      <c r="CM57" s="78"/>
      <c r="CN57" s="86" t="str">
        <f t="shared" si="294"/>
        <v>InitUnitState('E205',,,150,,5250,,105,,,)</v>
      </c>
      <c r="CO57" s="86" t="str">
        <f t="shared" si="295"/>
        <v>InitUnitNormal('E205',,,,,,,,,,)</v>
      </c>
      <c r="CP57" s="86" t="str">
        <f t="shared" si="296"/>
        <v>InitUnitMagic('E205',,,,,,,,,,)</v>
      </c>
      <c r="CQ57" s="86" t="str">
        <f t="shared" si="297"/>
        <v>InitUnitAdd('E205',,,,,,,,,,)</v>
      </c>
      <c r="CR57" s="86" t="str">
        <f t="shared" si="441"/>
        <v>InitEquipData('E205',,"",,E206,2500,100,'','','','','','',"ReplaceableTextures\\CommandButtons\\BTNZ13.blp")</v>
      </c>
      <c r="CS57" s="86"/>
      <c r="CT57" s="86"/>
      <c r="CU57" s="88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pans="1:175" s="33" customFormat="1" ht="16.5">
      <c r="A58" s="2"/>
      <c r="B58" s="1" t="s">
        <v>306</v>
      </c>
      <c r="C58" s="2" t="s">
        <v>307</v>
      </c>
      <c r="D58" s="67"/>
      <c r="E58" s="68"/>
      <c r="F58" s="69">
        <v>2500</v>
      </c>
      <c r="G58" s="70">
        <v>85</v>
      </c>
      <c r="H58" s="70"/>
      <c r="I58" s="70" t="str">
        <f t="shared" si="440"/>
        <v>E207</v>
      </c>
      <c r="J58" s="70"/>
      <c r="K58" s="70"/>
      <c r="L58" s="70"/>
      <c r="M58" s="70"/>
      <c r="N58" s="70"/>
      <c r="O58" s="70"/>
      <c r="P58" s="73"/>
      <c r="Q58" s="73"/>
      <c r="R58" s="73"/>
      <c r="S58" s="73"/>
      <c r="T58" s="76"/>
      <c r="U58" s="77" t="s">
        <v>308</v>
      </c>
      <c r="V58" s="78"/>
      <c r="W58" s="78"/>
      <c r="X58" s="78">
        <v>200</v>
      </c>
      <c r="Y58" s="78"/>
      <c r="Z58" s="78">
        <v>7500</v>
      </c>
      <c r="AA58" s="78"/>
      <c r="AB58" s="78">
        <f t="shared" si="293"/>
        <v>150</v>
      </c>
      <c r="AC58" s="78"/>
      <c r="AD58" s="78"/>
      <c r="AE58" s="78"/>
      <c r="AF58" s="78"/>
      <c r="AG58" s="82"/>
      <c r="AH58" s="78"/>
      <c r="AI58" s="78"/>
      <c r="AJ58" s="78"/>
      <c r="AK58" s="78"/>
      <c r="AL58" s="82"/>
      <c r="AM58" s="78"/>
      <c r="AN58" s="78"/>
      <c r="AO58" s="78"/>
      <c r="AP58" s="78"/>
      <c r="AQ58" s="78"/>
      <c r="AR58" s="84"/>
      <c r="AS58" s="84"/>
      <c r="AT58" s="78"/>
      <c r="AU58" s="78"/>
      <c r="AV58" s="78"/>
      <c r="AW58" s="78">
        <v>1</v>
      </c>
      <c r="AX58" s="78"/>
      <c r="AY58" s="78"/>
      <c r="AZ58" s="78"/>
      <c r="BA58" s="78"/>
      <c r="BB58" s="7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78"/>
      <c r="CF58" s="78"/>
      <c r="CG58" s="78"/>
      <c r="CH58" s="78"/>
      <c r="CI58" s="78"/>
      <c r="CJ58" s="78"/>
      <c r="CK58" s="78"/>
      <c r="CL58" s="78"/>
      <c r="CM58" s="78"/>
      <c r="CN58" s="86" t="str">
        <f t="shared" si="294"/>
        <v>InitUnitState('E206',,,200,,7500,,150,,,)</v>
      </c>
      <c r="CO58" s="86" t="str">
        <f t="shared" si="295"/>
        <v>InitUnitNormal('E206',,,,,,,,,,)</v>
      </c>
      <c r="CP58" s="86" t="str">
        <f t="shared" si="296"/>
        <v>InitUnitMagic('E206',,,,,,,,1,,)</v>
      </c>
      <c r="CQ58" s="86" t="str">
        <f t="shared" si="297"/>
        <v>InitUnitAdd('E206',,,,,,,,,,)</v>
      </c>
      <c r="CR58" s="86" t="str">
        <f t="shared" si="441"/>
        <v>InitEquipData('E206',,"",,E207,2500,85,'','','','','','',"ReplaceableTextures\\CommandButtons\\BTNZ13.blp")</v>
      </c>
      <c r="CS58" s="86"/>
      <c r="CT58" s="86"/>
      <c r="CU58" s="88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pans="1:175" s="33" customFormat="1" ht="16.5">
      <c r="A59" s="2"/>
      <c r="B59" s="1" t="s">
        <v>309</v>
      </c>
      <c r="C59" s="2" t="s">
        <v>310</v>
      </c>
      <c r="D59" s="67"/>
      <c r="E59" s="68"/>
      <c r="F59" s="69">
        <v>2500</v>
      </c>
      <c r="G59" s="70">
        <v>85</v>
      </c>
      <c r="H59" s="70"/>
      <c r="I59" s="70" t="str">
        <f t="shared" si="440"/>
        <v>E208</v>
      </c>
      <c r="J59" s="70"/>
      <c r="K59" s="70"/>
      <c r="L59" s="70"/>
      <c r="M59" s="70"/>
      <c r="N59" s="70"/>
      <c r="O59" s="70"/>
      <c r="P59" s="73"/>
      <c r="Q59" s="73"/>
      <c r="R59" s="73"/>
      <c r="S59" s="73"/>
      <c r="T59" s="76"/>
      <c r="U59" s="77" t="s">
        <v>308</v>
      </c>
      <c r="V59" s="78"/>
      <c r="W59" s="78"/>
      <c r="X59" s="78">
        <v>260</v>
      </c>
      <c r="Y59" s="78"/>
      <c r="Z59" s="78">
        <v>12000</v>
      </c>
      <c r="AA59" s="78"/>
      <c r="AB59" s="78">
        <f t="shared" si="293"/>
        <v>240</v>
      </c>
      <c r="AC59" s="78"/>
      <c r="AD59" s="78"/>
      <c r="AE59" s="78"/>
      <c r="AF59" s="78"/>
      <c r="AG59" s="82"/>
      <c r="AH59" s="78"/>
      <c r="AI59" s="78"/>
      <c r="AJ59" s="78"/>
      <c r="AK59" s="78"/>
      <c r="AL59" s="82"/>
      <c r="AM59" s="78"/>
      <c r="AN59" s="78"/>
      <c r="AO59" s="78"/>
      <c r="AP59" s="78"/>
      <c r="AQ59" s="78"/>
      <c r="AR59" s="84"/>
      <c r="AS59" s="84"/>
      <c r="AT59" s="78"/>
      <c r="AU59" s="78"/>
      <c r="AV59" s="78"/>
      <c r="AW59" s="78">
        <v>1</v>
      </c>
      <c r="AX59" s="78"/>
      <c r="AY59" s="78"/>
      <c r="AZ59" s="78"/>
      <c r="BA59" s="78"/>
      <c r="BB59" s="78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78"/>
      <c r="CF59" s="78"/>
      <c r="CG59" s="78"/>
      <c r="CH59" s="78"/>
      <c r="CI59" s="78"/>
      <c r="CJ59" s="78"/>
      <c r="CK59" s="78"/>
      <c r="CL59" s="78"/>
      <c r="CM59" s="78"/>
      <c r="CN59" s="86" t="str">
        <f t="shared" si="294"/>
        <v>InitUnitState('E207',,,260,,12000,,240,,,)</v>
      </c>
      <c r="CO59" s="86" t="str">
        <f t="shared" si="295"/>
        <v>InitUnitNormal('E207',,,,,,,,,,)</v>
      </c>
      <c r="CP59" s="86" t="str">
        <f t="shared" si="296"/>
        <v>InitUnitMagic('E207',,,,,,,,1,,)</v>
      </c>
      <c r="CQ59" s="86" t="str">
        <f t="shared" si="297"/>
        <v>InitUnitAdd('E207',,,,,,,,,,)</v>
      </c>
      <c r="CR59" s="86" t="str">
        <f t="shared" si="441"/>
        <v>InitEquipData('E207',,"",,E208,2500,85,'','','','','','',"ReplaceableTextures\\CommandButtons\\BTNZ14.blp")</v>
      </c>
      <c r="CS59" s="86"/>
      <c r="CT59" s="86"/>
      <c r="CU59" s="88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pans="1:175" s="33" customFormat="1" ht="16.5">
      <c r="A60" s="2"/>
      <c r="B60" s="1" t="s">
        <v>311</v>
      </c>
      <c r="C60" s="2" t="s">
        <v>312</v>
      </c>
      <c r="D60" s="67"/>
      <c r="E60" s="68"/>
      <c r="F60" s="69">
        <v>2500</v>
      </c>
      <c r="G60" s="70">
        <v>85</v>
      </c>
      <c r="H60" s="70"/>
      <c r="I60" s="70" t="str">
        <f t="shared" si="440"/>
        <v>E209</v>
      </c>
      <c r="J60" s="70"/>
      <c r="K60" s="70"/>
      <c r="L60" s="70"/>
      <c r="M60" s="70"/>
      <c r="N60" s="70"/>
      <c r="O60" s="70"/>
      <c r="P60" s="73"/>
      <c r="Q60" s="73"/>
      <c r="R60" s="73"/>
      <c r="S60" s="73"/>
      <c r="T60" s="76"/>
      <c r="U60" s="77" t="s">
        <v>308</v>
      </c>
      <c r="V60" s="78"/>
      <c r="W60" s="78"/>
      <c r="X60" s="78">
        <v>320</v>
      </c>
      <c r="Y60" s="78"/>
      <c r="Z60" s="78">
        <v>16500</v>
      </c>
      <c r="AA60" s="78"/>
      <c r="AB60" s="78">
        <f t="shared" si="293"/>
        <v>330</v>
      </c>
      <c r="AC60" s="78"/>
      <c r="AD60" s="78"/>
      <c r="AE60" s="78"/>
      <c r="AF60" s="78"/>
      <c r="AG60" s="82"/>
      <c r="AH60" s="78"/>
      <c r="AI60" s="78"/>
      <c r="AJ60" s="78"/>
      <c r="AK60" s="78"/>
      <c r="AL60" s="82"/>
      <c r="AM60" s="78"/>
      <c r="AN60" s="78"/>
      <c r="AO60" s="78"/>
      <c r="AP60" s="78"/>
      <c r="AQ60" s="78"/>
      <c r="AR60" s="84"/>
      <c r="AS60" s="84"/>
      <c r="AT60" s="78"/>
      <c r="AU60" s="78"/>
      <c r="AV60" s="78"/>
      <c r="AW60" s="78">
        <v>1</v>
      </c>
      <c r="AX60" s="78"/>
      <c r="AY60" s="78"/>
      <c r="AZ60" s="78"/>
      <c r="BA60" s="78"/>
      <c r="BB60" s="78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78"/>
      <c r="CF60" s="78"/>
      <c r="CG60" s="78"/>
      <c r="CH60" s="78"/>
      <c r="CI60" s="78"/>
      <c r="CJ60" s="78"/>
      <c r="CK60" s="78"/>
      <c r="CL60" s="78"/>
      <c r="CM60" s="78"/>
      <c r="CN60" s="86" t="str">
        <f t="shared" si="294"/>
        <v>InitUnitState('E208',,,320,,16500,,330,,,)</v>
      </c>
      <c r="CO60" s="86" t="str">
        <f t="shared" si="295"/>
        <v>InitUnitNormal('E208',,,,,,,,,,)</v>
      </c>
      <c r="CP60" s="86" t="str">
        <f t="shared" si="296"/>
        <v>InitUnitMagic('E208',,,,,,,,1,,)</v>
      </c>
      <c r="CQ60" s="86" t="str">
        <f t="shared" si="297"/>
        <v>InitUnitAdd('E208',,,,,,,,,,)</v>
      </c>
      <c r="CR60" s="86" t="str">
        <f t="shared" si="441"/>
        <v>InitEquipData('E208',,"",,E209,2500,85,'','','','','','',"ReplaceableTextures\\CommandButtons\\BTNZ14.blp")</v>
      </c>
      <c r="CS60" s="86"/>
      <c r="CT60" s="86"/>
      <c r="CU60" s="88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pans="1:175" s="33" customFormat="1" ht="16.5">
      <c r="A61" s="2"/>
      <c r="B61" s="1" t="s">
        <v>313</v>
      </c>
      <c r="C61" s="2" t="s">
        <v>314</v>
      </c>
      <c r="D61" s="67"/>
      <c r="E61" s="68"/>
      <c r="F61" s="69">
        <v>2500</v>
      </c>
      <c r="G61" s="70">
        <v>85</v>
      </c>
      <c r="H61" s="70"/>
      <c r="I61" s="70" t="str">
        <f t="shared" si="440"/>
        <v>E210</v>
      </c>
      <c r="J61" s="70"/>
      <c r="K61" s="70"/>
      <c r="L61" s="70"/>
      <c r="M61" s="70"/>
      <c r="N61" s="70"/>
      <c r="O61" s="70"/>
      <c r="P61" s="73"/>
      <c r="Q61" s="73"/>
      <c r="R61" s="73"/>
      <c r="S61" s="73"/>
      <c r="T61" s="76"/>
      <c r="U61" s="77" t="s">
        <v>308</v>
      </c>
      <c r="V61" s="78"/>
      <c r="W61" s="78"/>
      <c r="X61" s="78">
        <v>380</v>
      </c>
      <c r="Y61" s="78"/>
      <c r="Z61" s="78">
        <v>21000</v>
      </c>
      <c r="AA61" s="78"/>
      <c r="AB61" s="78">
        <f t="shared" si="293"/>
        <v>420</v>
      </c>
      <c r="AC61" s="78"/>
      <c r="AD61" s="78"/>
      <c r="AE61" s="78"/>
      <c r="AF61" s="78"/>
      <c r="AG61" s="82"/>
      <c r="AH61" s="78"/>
      <c r="AI61" s="78"/>
      <c r="AJ61" s="78"/>
      <c r="AK61" s="78"/>
      <c r="AL61" s="82"/>
      <c r="AM61" s="78"/>
      <c r="AN61" s="78"/>
      <c r="AO61" s="78"/>
      <c r="AP61" s="78"/>
      <c r="AQ61" s="78"/>
      <c r="AR61" s="84"/>
      <c r="AS61" s="84"/>
      <c r="AT61" s="78"/>
      <c r="AU61" s="78"/>
      <c r="AV61" s="78"/>
      <c r="AW61" s="78">
        <v>1</v>
      </c>
      <c r="AX61" s="78"/>
      <c r="AY61" s="78"/>
      <c r="AZ61" s="78"/>
      <c r="BA61" s="78"/>
      <c r="BB61" s="78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78"/>
      <c r="CF61" s="78"/>
      <c r="CG61" s="78"/>
      <c r="CH61" s="78"/>
      <c r="CI61" s="78"/>
      <c r="CJ61" s="78"/>
      <c r="CK61" s="78"/>
      <c r="CL61" s="78"/>
      <c r="CM61" s="78"/>
      <c r="CN61" s="86" t="str">
        <f t="shared" si="294"/>
        <v>InitUnitState('E209',,,380,,21000,,420,,,)</v>
      </c>
      <c r="CO61" s="86" t="str">
        <f t="shared" si="295"/>
        <v>InitUnitNormal('E209',,,,,,,,,,)</v>
      </c>
      <c r="CP61" s="86" t="str">
        <f t="shared" si="296"/>
        <v>InitUnitMagic('E209',,,,,,,,1,,)</v>
      </c>
      <c r="CQ61" s="86" t="str">
        <f t="shared" si="297"/>
        <v>InitUnitAdd('E209',,,,,,,,,,)</v>
      </c>
      <c r="CR61" s="86" t="str">
        <f t="shared" si="441"/>
        <v>InitEquipData('E209',,"",,E210,2500,85,'','','','','','',"ReplaceableTextures\\CommandButtons\\BTNZ14.blp")</v>
      </c>
      <c r="CS61" s="86"/>
      <c r="CT61" s="86"/>
      <c r="CU61" s="88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pans="1:175" s="33" customFormat="1" ht="16.5">
      <c r="A62" s="2"/>
      <c r="B62" s="1" t="s">
        <v>315</v>
      </c>
      <c r="C62" s="2" t="s">
        <v>316</v>
      </c>
      <c r="D62" s="67"/>
      <c r="E62" s="68"/>
      <c r="F62" s="69">
        <v>10000</v>
      </c>
      <c r="G62" s="70">
        <v>100</v>
      </c>
      <c r="H62" s="71" t="s">
        <v>317</v>
      </c>
      <c r="I62" s="70" t="str">
        <f t="shared" si="440"/>
        <v>E211</v>
      </c>
      <c r="J62" s="70"/>
      <c r="K62" s="70"/>
      <c r="L62" s="70"/>
      <c r="M62" s="70"/>
      <c r="N62" s="70"/>
      <c r="O62" s="70"/>
      <c r="P62" s="73"/>
      <c r="Q62" s="73"/>
      <c r="R62" s="73"/>
      <c r="S62" s="73"/>
      <c r="T62" s="76"/>
      <c r="U62" s="77" t="s">
        <v>308</v>
      </c>
      <c r="V62" s="78"/>
      <c r="W62" s="78"/>
      <c r="X62" s="78">
        <v>440</v>
      </c>
      <c r="Y62" s="78"/>
      <c r="Z62" s="78">
        <v>25500</v>
      </c>
      <c r="AA62" s="78"/>
      <c r="AB62" s="78">
        <f t="shared" si="293"/>
        <v>510</v>
      </c>
      <c r="AC62" s="78"/>
      <c r="AD62" s="78"/>
      <c r="AE62" s="78"/>
      <c r="AF62" s="78"/>
      <c r="AG62" s="82"/>
      <c r="AH62" s="78"/>
      <c r="AI62" s="78"/>
      <c r="AJ62" s="78"/>
      <c r="AK62" s="78"/>
      <c r="AL62" s="82"/>
      <c r="AM62" s="78"/>
      <c r="AN62" s="78"/>
      <c r="AO62" s="78"/>
      <c r="AP62" s="78"/>
      <c r="AQ62" s="78"/>
      <c r="AR62" s="84"/>
      <c r="AS62" s="84"/>
      <c r="AT62" s="78"/>
      <c r="AU62" s="78"/>
      <c r="AV62" s="78"/>
      <c r="AW62" s="78">
        <v>1</v>
      </c>
      <c r="AX62" s="78"/>
      <c r="AY62" s="78"/>
      <c r="AZ62" s="78"/>
      <c r="BA62" s="78"/>
      <c r="BB62" s="78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78"/>
      <c r="CF62" s="78"/>
      <c r="CG62" s="78"/>
      <c r="CH62" s="78"/>
      <c r="CI62" s="78"/>
      <c r="CJ62" s="78"/>
      <c r="CK62" s="78"/>
      <c r="CL62" s="78"/>
      <c r="CM62" s="78"/>
      <c r="CN62" s="86" t="str">
        <f t="shared" si="294"/>
        <v>InitUnitState('E210',,,440,,25500,,510,,,)</v>
      </c>
      <c r="CO62" s="86" t="str">
        <f t="shared" si="295"/>
        <v>InitUnitNormal('E210',,,,,,,,,,)</v>
      </c>
      <c r="CP62" s="86" t="str">
        <f t="shared" si="296"/>
        <v>InitUnitMagic('E210',,,,,,,,1,,)</v>
      </c>
      <c r="CQ62" s="86" t="str">
        <f t="shared" si="297"/>
        <v>InitUnitAdd('E210',,,,,,,,,,)</v>
      </c>
      <c r="CR62" s="86" t="str">
        <f t="shared" si="441"/>
        <v>InitEquipData('E210',,"",,E211,10000,100,'','','','','','',"ReplaceableTextures\\CommandButtons\\BTNZ14.blp")</v>
      </c>
      <c r="CS62" s="86"/>
      <c r="CT62" s="86"/>
      <c r="CU62" s="88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pans="1:175" s="33" customFormat="1" ht="16.5">
      <c r="A63" s="2"/>
      <c r="B63" s="1" t="s">
        <v>318</v>
      </c>
      <c r="C63" s="2" t="s">
        <v>319</v>
      </c>
      <c r="D63" s="67"/>
      <c r="E63" s="68"/>
      <c r="F63" s="69">
        <v>8000</v>
      </c>
      <c r="G63" s="70">
        <v>70</v>
      </c>
      <c r="H63" s="70"/>
      <c r="I63" s="70" t="str">
        <f t="shared" si="440"/>
        <v>E212</v>
      </c>
      <c r="J63" s="70"/>
      <c r="K63" s="70"/>
      <c r="L63" s="70"/>
      <c r="M63" s="70"/>
      <c r="N63" s="70"/>
      <c r="O63" s="70"/>
      <c r="P63" s="74"/>
      <c r="Q63" s="74"/>
      <c r="R63" s="74"/>
      <c r="S63" s="79"/>
      <c r="T63" s="80"/>
      <c r="U63" s="77" t="s">
        <v>320</v>
      </c>
      <c r="V63" s="78"/>
      <c r="W63" s="78"/>
      <c r="X63" s="78">
        <v>500</v>
      </c>
      <c r="Y63" s="78"/>
      <c r="Z63" s="78">
        <v>37500</v>
      </c>
      <c r="AA63" s="78"/>
      <c r="AB63" s="78">
        <f t="shared" si="293"/>
        <v>750</v>
      </c>
      <c r="AC63" s="78"/>
      <c r="AD63" s="78"/>
      <c r="AE63" s="78"/>
      <c r="AF63" s="78"/>
      <c r="AG63" s="82"/>
      <c r="AH63" s="78"/>
      <c r="AI63" s="78"/>
      <c r="AJ63" s="78"/>
      <c r="AK63" s="78"/>
      <c r="AL63" s="82"/>
      <c r="AM63" s="78"/>
      <c r="AN63" s="78"/>
      <c r="AO63" s="78"/>
      <c r="AP63" s="78"/>
      <c r="AQ63" s="78"/>
      <c r="AR63" s="84"/>
      <c r="AS63" s="84"/>
      <c r="AT63" s="78"/>
      <c r="AU63" s="78"/>
      <c r="AV63" s="78"/>
      <c r="AW63" s="78">
        <v>1</v>
      </c>
      <c r="AX63" s="78"/>
      <c r="AY63" s="78"/>
      <c r="AZ63" s="78"/>
      <c r="BA63" s="78"/>
      <c r="BB63" s="78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78"/>
      <c r="CF63" s="78"/>
      <c r="CG63" s="78"/>
      <c r="CH63" s="78"/>
      <c r="CI63" s="78"/>
      <c r="CJ63" s="78"/>
      <c r="CK63" s="78"/>
      <c r="CL63" s="78"/>
      <c r="CM63" s="78"/>
      <c r="CN63" s="86" t="str">
        <f t="shared" si="294"/>
        <v>InitUnitState('E211',,,500,,37500,,750,,,)</v>
      </c>
      <c r="CO63" s="86" t="str">
        <f t="shared" si="295"/>
        <v>InitUnitNormal('E211',,,,,,,,,,)</v>
      </c>
      <c r="CP63" s="86" t="str">
        <f t="shared" si="296"/>
        <v>InitUnitMagic('E211',,,,,,,,1,,)</v>
      </c>
      <c r="CQ63" s="86" t="str">
        <f t="shared" si="297"/>
        <v>InitUnitAdd('E211',,,,,,,,,,)</v>
      </c>
      <c r="CR63" s="8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86"/>
      <c r="CT63" s="86"/>
      <c r="CU63" s="88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pans="1:175" s="33" customFormat="1" ht="16.5">
      <c r="A64" s="2"/>
      <c r="B64" s="1" t="s">
        <v>321</v>
      </c>
      <c r="C64" s="2" t="s">
        <v>322</v>
      </c>
      <c r="D64" s="67"/>
      <c r="E64" s="68"/>
      <c r="F64" s="69">
        <v>8000</v>
      </c>
      <c r="G64" s="70">
        <v>70</v>
      </c>
      <c r="H64" s="70"/>
      <c r="I64" s="70" t="str">
        <f t="shared" si="440"/>
        <v>E213</v>
      </c>
      <c r="J64" s="70"/>
      <c r="K64" s="70"/>
      <c r="L64" s="70"/>
      <c r="M64" s="70"/>
      <c r="N64" s="70"/>
      <c r="O64" s="70"/>
      <c r="P64" s="74"/>
      <c r="Q64" s="74"/>
      <c r="R64" s="74"/>
      <c r="S64" s="79"/>
      <c r="T64" s="80"/>
      <c r="U64" s="77" t="s">
        <v>320</v>
      </c>
      <c r="V64" s="78"/>
      <c r="W64" s="78"/>
      <c r="X64" s="78">
        <v>580</v>
      </c>
      <c r="Y64" s="78"/>
      <c r="Z64" s="78">
        <v>52500</v>
      </c>
      <c r="AA64" s="78"/>
      <c r="AB64" s="78">
        <f t="shared" si="293"/>
        <v>1050</v>
      </c>
      <c r="AC64" s="78"/>
      <c r="AD64" s="78"/>
      <c r="AE64" s="78"/>
      <c r="AF64" s="78"/>
      <c r="AG64" s="82"/>
      <c r="AH64" s="78"/>
      <c r="AI64" s="78"/>
      <c r="AJ64" s="78"/>
      <c r="AK64" s="78"/>
      <c r="AL64" s="82"/>
      <c r="AM64" s="78"/>
      <c r="AN64" s="78"/>
      <c r="AO64" s="78"/>
      <c r="AP64" s="78"/>
      <c r="AQ64" s="78"/>
      <c r="AR64" s="84"/>
      <c r="AS64" s="84"/>
      <c r="AT64" s="78"/>
      <c r="AU64" s="78"/>
      <c r="AV64" s="78"/>
      <c r="AW64" s="78">
        <v>1</v>
      </c>
      <c r="AX64" s="78"/>
      <c r="AY64" s="78"/>
      <c r="AZ64" s="78"/>
      <c r="BA64" s="78"/>
      <c r="BB64" s="78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78"/>
      <c r="CF64" s="78"/>
      <c r="CG64" s="78"/>
      <c r="CH64" s="78"/>
      <c r="CI64" s="78"/>
      <c r="CJ64" s="78"/>
      <c r="CK64" s="78"/>
      <c r="CL64" s="78"/>
      <c r="CM64" s="78"/>
      <c r="CN64" s="86" t="str">
        <f t="shared" si="294"/>
        <v>InitUnitState('E212',,,580,,52500,,1050,,,)</v>
      </c>
      <c r="CO64" s="86" t="str">
        <f t="shared" si="295"/>
        <v>InitUnitNormal('E212',,,,,,,,,,)</v>
      </c>
      <c r="CP64" s="86" t="str">
        <f t="shared" si="296"/>
        <v>InitUnitMagic('E212',,,,,,,,1,,)</v>
      </c>
      <c r="CQ64" s="86" t="str">
        <f t="shared" si="297"/>
        <v>InitUnitAdd('E212',,,,,,,,,,)</v>
      </c>
      <c r="CR64" s="86" t="str">
        <f t="shared" si="652"/>
        <v>InitEquipData('E212',,"",,E213,8000,70,'','','','','','',"ReplaceableTextures\\CommandButtons\\BTNZ13.blp")</v>
      </c>
      <c r="CS64" s="86"/>
      <c r="CT64" s="86"/>
      <c r="CU64" s="88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pans="1:175" s="33" customFormat="1" ht="16.5">
      <c r="A65" s="2"/>
      <c r="B65" s="1" t="s">
        <v>323</v>
      </c>
      <c r="C65" s="2" t="s">
        <v>324</v>
      </c>
      <c r="D65" s="67"/>
      <c r="E65" s="68"/>
      <c r="F65" s="69">
        <v>8000</v>
      </c>
      <c r="G65" s="70">
        <v>70</v>
      </c>
      <c r="H65" s="70"/>
      <c r="I65" s="70" t="str">
        <f t="shared" si="440"/>
        <v>E214</v>
      </c>
      <c r="J65" s="70"/>
      <c r="K65" s="70"/>
      <c r="L65" s="70"/>
      <c r="M65" s="70"/>
      <c r="N65" s="70"/>
      <c r="O65" s="70"/>
      <c r="P65" s="74"/>
      <c r="Q65" s="74"/>
      <c r="R65" s="74"/>
      <c r="S65" s="79"/>
      <c r="T65" s="80"/>
      <c r="U65" s="77" t="s">
        <v>320</v>
      </c>
      <c r="V65" s="78"/>
      <c r="W65" s="78"/>
      <c r="X65" s="78">
        <v>660</v>
      </c>
      <c r="Y65" s="78"/>
      <c r="Z65" s="78">
        <v>67500</v>
      </c>
      <c r="AA65" s="78"/>
      <c r="AB65" s="78">
        <f t="shared" si="293"/>
        <v>1350</v>
      </c>
      <c r="AC65" s="78"/>
      <c r="AD65" s="78"/>
      <c r="AE65" s="78"/>
      <c r="AF65" s="78"/>
      <c r="AG65" s="82"/>
      <c r="AH65" s="78"/>
      <c r="AI65" s="78"/>
      <c r="AJ65" s="78"/>
      <c r="AK65" s="78"/>
      <c r="AL65" s="82"/>
      <c r="AM65" s="78"/>
      <c r="AN65" s="78"/>
      <c r="AO65" s="78"/>
      <c r="AP65" s="78"/>
      <c r="AQ65" s="78"/>
      <c r="AR65" s="84"/>
      <c r="AS65" s="84"/>
      <c r="AT65" s="78"/>
      <c r="AU65" s="78"/>
      <c r="AV65" s="78"/>
      <c r="AW65" s="78">
        <v>1</v>
      </c>
      <c r="AX65" s="78"/>
      <c r="AY65" s="78"/>
      <c r="AZ65" s="78"/>
      <c r="BA65" s="78"/>
      <c r="BB65" s="78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78"/>
      <c r="CF65" s="78"/>
      <c r="CG65" s="78"/>
      <c r="CH65" s="78"/>
      <c r="CI65" s="78"/>
      <c r="CJ65" s="78"/>
      <c r="CK65" s="78"/>
      <c r="CL65" s="78"/>
      <c r="CM65" s="78"/>
      <c r="CN65" s="86" t="str">
        <f t="shared" si="294"/>
        <v>InitUnitState('E213',,,660,,67500,,1350,,,)</v>
      </c>
      <c r="CO65" s="86" t="str">
        <f t="shared" si="295"/>
        <v>InitUnitNormal('E213',,,,,,,,,,)</v>
      </c>
      <c r="CP65" s="86" t="str">
        <f t="shared" si="296"/>
        <v>InitUnitMagic('E213',,,,,,,,1,,)</v>
      </c>
      <c r="CQ65" s="86" t="str">
        <f t="shared" si="297"/>
        <v>InitUnitAdd('E213',,,,,,,,,,)</v>
      </c>
      <c r="CR65" s="86" t="str">
        <f t="shared" si="652"/>
        <v>InitEquipData('E213',,"",,E214,8000,70,'','','','','','',"ReplaceableTextures\\CommandButtons\\BTNZ13.blp")</v>
      </c>
      <c r="CS65" s="86"/>
      <c r="CT65" s="86"/>
      <c r="CU65" s="88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pans="1:175" s="33" customFormat="1" ht="16.5">
      <c r="A66" s="2"/>
      <c r="B66" s="1" t="s">
        <v>325</v>
      </c>
      <c r="C66" s="2" t="s">
        <v>326</v>
      </c>
      <c r="D66" s="67"/>
      <c r="E66" s="68"/>
      <c r="F66" s="69">
        <v>8000</v>
      </c>
      <c r="G66" s="70">
        <v>70</v>
      </c>
      <c r="H66" s="70"/>
      <c r="I66" s="70" t="str">
        <f t="shared" si="440"/>
        <v>E215</v>
      </c>
      <c r="J66" s="70"/>
      <c r="K66" s="70"/>
      <c r="L66" s="70"/>
      <c r="M66" s="70"/>
      <c r="N66" s="70"/>
      <c r="O66" s="70"/>
      <c r="P66" s="74"/>
      <c r="Q66" s="74"/>
      <c r="R66" s="74"/>
      <c r="S66" s="79"/>
      <c r="T66" s="80"/>
      <c r="U66" s="77" t="s">
        <v>320</v>
      </c>
      <c r="V66" s="78"/>
      <c r="W66" s="78"/>
      <c r="X66" s="78">
        <v>740</v>
      </c>
      <c r="Y66" s="78"/>
      <c r="Z66" s="78">
        <v>82500</v>
      </c>
      <c r="AA66" s="78"/>
      <c r="AB66" s="78">
        <f t="shared" si="293"/>
        <v>1650</v>
      </c>
      <c r="AC66" s="78"/>
      <c r="AD66" s="78"/>
      <c r="AE66" s="78"/>
      <c r="AF66" s="78"/>
      <c r="AG66" s="82"/>
      <c r="AH66" s="78"/>
      <c r="AI66" s="78"/>
      <c r="AJ66" s="78"/>
      <c r="AK66" s="78"/>
      <c r="AL66" s="82"/>
      <c r="AM66" s="78"/>
      <c r="AN66" s="78"/>
      <c r="AO66" s="78"/>
      <c r="AP66" s="78"/>
      <c r="AQ66" s="78"/>
      <c r="AR66" s="84"/>
      <c r="AS66" s="84"/>
      <c r="AT66" s="78"/>
      <c r="AU66" s="78"/>
      <c r="AV66" s="78"/>
      <c r="AW66" s="78">
        <v>1</v>
      </c>
      <c r="AX66" s="78"/>
      <c r="AY66" s="78"/>
      <c r="AZ66" s="78"/>
      <c r="BA66" s="78"/>
      <c r="BB66" s="78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78"/>
      <c r="CF66" s="78"/>
      <c r="CG66" s="78"/>
      <c r="CH66" s="78"/>
      <c r="CI66" s="78"/>
      <c r="CJ66" s="78"/>
      <c r="CK66" s="78"/>
      <c r="CL66" s="78"/>
      <c r="CM66" s="78"/>
      <c r="CN66" s="86" t="str">
        <f t="shared" si="294"/>
        <v>InitUnitState('E214',,,740,,82500,,1650,,,)</v>
      </c>
      <c r="CO66" s="86" t="str">
        <f t="shared" si="295"/>
        <v>InitUnitNormal('E214',,,,,,,,,,)</v>
      </c>
      <c r="CP66" s="86" t="str">
        <f t="shared" si="296"/>
        <v>InitUnitMagic('E214',,,,,,,,1,,)</v>
      </c>
      <c r="CQ66" s="86" t="str">
        <f t="shared" si="297"/>
        <v>InitUnitAdd('E214',,,,,,,,,,)</v>
      </c>
      <c r="CR66" s="86" t="str">
        <f t="shared" si="652"/>
        <v>InitEquipData('E214',,"",,E215,8000,70,'','','','','','',"ReplaceableTextures\\CommandButtons\\BTNZ13.blp")</v>
      </c>
      <c r="CS66" s="86"/>
      <c r="CT66" s="86"/>
      <c r="CU66" s="88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pans="1:175" s="33" customFormat="1" ht="16.5">
      <c r="A67" s="2"/>
      <c r="B67" s="1" t="s">
        <v>327</v>
      </c>
      <c r="C67" s="2" t="s">
        <v>328</v>
      </c>
      <c r="D67" s="67"/>
      <c r="E67" s="68"/>
      <c r="F67" s="69">
        <v>30000</v>
      </c>
      <c r="G67" s="70">
        <v>100</v>
      </c>
      <c r="H67" s="71" t="s">
        <v>329</v>
      </c>
      <c r="I67" s="70" t="str">
        <f t="shared" si="440"/>
        <v>E216</v>
      </c>
      <c r="J67" s="70"/>
      <c r="K67" s="70"/>
      <c r="L67" s="70"/>
      <c r="M67" s="70"/>
      <c r="N67" s="70"/>
      <c r="O67" s="70"/>
      <c r="P67" s="74"/>
      <c r="Q67" s="74"/>
      <c r="R67" s="74"/>
      <c r="S67" s="79"/>
      <c r="T67" s="80"/>
      <c r="U67" s="77" t="s">
        <v>320</v>
      </c>
      <c r="V67" s="78"/>
      <c r="W67" s="78"/>
      <c r="X67" s="78">
        <v>820</v>
      </c>
      <c r="Y67" s="78"/>
      <c r="Z67" s="78">
        <v>97500</v>
      </c>
      <c r="AA67" s="78"/>
      <c r="AB67" s="78">
        <f t="shared" si="293"/>
        <v>1950</v>
      </c>
      <c r="AC67" s="78"/>
      <c r="AD67" s="78"/>
      <c r="AE67" s="78"/>
      <c r="AF67" s="78"/>
      <c r="AG67" s="82"/>
      <c r="AH67" s="78"/>
      <c r="AI67" s="78"/>
      <c r="AJ67" s="78"/>
      <c r="AK67" s="78"/>
      <c r="AL67" s="82"/>
      <c r="AM67" s="78"/>
      <c r="AN67" s="78"/>
      <c r="AO67" s="78"/>
      <c r="AP67" s="78"/>
      <c r="AQ67" s="78"/>
      <c r="AR67" s="84"/>
      <c r="AS67" s="84"/>
      <c r="AT67" s="78"/>
      <c r="AU67" s="78"/>
      <c r="AV67" s="78"/>
      <c r="AW67" s="78">
        <v>1</v>
      </c>
      <c r="AX67" s="78"/>
      <c r="AY67" s="78"/>
      <c r="AZ67" s="78"/>
      <c r="BA67" s="78"/>
      <c r="BB67" s="78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78"/>
      <c r="CF67" s="78"/>
      <c r="CG67" s="78"/>
      <c r="CH67" s="78"/>
      <c r="CI67" s="78"/>
      <c r="CJ67" s="78"/>
      <c r="CK67" s="78"/>
      <c r="CL67" s="78"/>
      <c r="CM67" s="78"/>
      <c r="CN67" s="8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8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8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8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86" t="str">
        <f t="shared" si="652"/>
        <v>InitEquipData('E215',,"",,E216,30000,100,'','','','','','',"ReplaceableTextures\\CommandButtons\\BTNZ14.blp")</v>
      </c>
      <c r="CS67" s="86"/>
      <c r="CT67" s="86"/>
      <c r="CU67" s="88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pans="1:175" s="33" customFormat="1" ht="16.5">
      <c r="A68" s="2"/>
      <c r="B68" s="1" t="s">
        <v>330</v>
      </c>
      <c r="C68" s="2" t="s">
        <v>331</v>
      </c>
      <c r="D68" s="67"/>
      <c r="E68" s="68"/>
      <c r="F68" s="69">
        <v>20000</v>
      </c>
      <c r="G68" s="70">
        <v>60</v>
      </c>
      <c r="H68" s="70"/>
      <c r="I68" s="70" t="str">
        <f t="shared" si="440"/>
        <v>E217</v>
      </c>
      <c r="J68" s="70"/>
      <c r="K68" s="70"/>
      <c r="L68" s="70"/>
      <c r="M68" s="70"/>
      <c r="N68" s="70"/>
      <c r="O68" s="70"/>
      <c r="P68" s="74"/>
      <c r="Q68" s="74"/>
      <c r="R68" s="74"/>
      <c r="S68" s="79"/>
      <c r="T68" s="80"/>
      <c r="U68" s="77" t="s">
        <v>332</v>
      </c>
      <c r="V68" s="78"/>
      <c r="W68" s="78"/>
      <c r="X68" s="78">
        <v>1000</v>
      </c>
      <c r="Y68" s="78"/>
      <c r="Z68" s="78">
        <v>150000</v>
      </c>
      <c r="AA68" s="78"/>
      <c r="AB68" s="78">
        <f t="shared" si="293"/>
        <v>3000</v>
      </c>
      <c r="AC68" s="78"/>
      <c r="AD68" s="78"/>
      <c r="AE68" s="78"/>
      <c r="AF68" s="78"/>
      <c r="AG68" s="82"/>
      <c r="AH68" s="78"/>
      <c r="AI68" s="78"/>
      <c r="AJ68" s="78"/>
      <c r="AK68" s="78"/>
      <c r="AL68" s="82"/>
      <c r="AM68" s="78"/>
      <c r="AN68" s="78"/>
      <c r="AO68" s="78"/>
      <c r="AP68" s="78"/>
      <c r="AQ68" s="78"/>
      <c r="AR68" s="84"/>
      <c r="AS68" s="84"/>
      <c r="AT68" s="78"/>
      <c r="AU68" s="78"/>
      <c r="AV68" s="78"/>
      <c r="AW68" s="78">
        <f t="shared" ref="AW68:AW76" si="867">AW63+1</f>
        <v>2</v>
      </c>
      <c r="AX68" s="78"/>
      <c r="AY68" s="78"/>
      <c r="AZ68" s="78"/>
      <c r="BA68" s="78"/>
      <c r="BB68" s="7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78"/>
      <c r="CF68" s="78"/>
      <c r="CG68" s="78"/>
      <c r="CH68" s="78"/>
      <c r="CI68" s="78"/>
      <c r="CJ68" s="78"/>
      <c r="CK68" s="78"/>
      <c r="CL68" s="78"/>
      <c r="CM68" s="78"/>
      <c r="CN68" s="86" t="str">
        <f t="shared" si="863"/>
        <v>InitUnitState('E216',,,1000,,150000,,3000,,,)</v>
      </c>
      <c r="CO68" s="86" t="str">
        <f t="shared" si="864"/>
        <v>InitUnitNormal('E216',,,,,,,,,,)</v>
      </c>
      <c r="CP68" s="86" t="str">
        <f t="shared" si="865"/>
        <v>InitUnitMagic('E216',,,,,,,,2,,)</v>
      </c>
      <c r="CQ68" s="86" t="str">
        <f t="shared" si="866"/>
        <v>InitUnitAdd('E216',,,,,,,,,,)</v>
      </c>
      <c r="CR68" s="86" t="str">
        <f t="shared" si="652"/>
        <v>InitEquipData('E216',,"",,E217,20000,60,'','','','','','',"ReplaceableTextures\\CommandButtons\\BTNZ14.blp")</v>
      </c>
      <c r="CS68" s="86"/>
      <c r="CT68" s="86"/>
      <c r="CU68" s="8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pans="1:175" s="33" customFormat="1" ht="16.5">
      <c r="A69" s="2"/>
      <c r="B69" s="1" t="s">
        <v>333</v>
      </c>
      <c r="C69" s="2" t="s">
        <v>334</v>
      </c>
      <c r="D69" s="67"/>
      <c r="E69" s="68"/>
      <c r="F69" s="69">
        <v>20000</v>
      </c>
      <c r="G69" s="70">
        <v>60</v>
      </c>
      <c r="H69" s="70"/>
      <c r="I69" s="70" t="str">
        <f t="shared" si="440"/>
        <v>E218</v>
      </c>
      <c r="J69" s="70"/>
      <c r="K69" s="70"/>
      <c r="L69" s="70"/>
      <c r="M69" s="70"/>
      <c r="N69" s="70"/>
      <c r="O69" s="70"/>
      <c r="P69" s="74"/>
      <c r="Q69" s="74"/>
      <c r="R69" s="74"/>
      <c r="S69" s="79"/>
      <c r="T69" s="80"/>
      <c r="U69" s="77" t="s">
        <v>332</v>
      </c>
      <c r="V69" s="78"/>
      <c r="W69" s="78"/>
      <c r="X69" s="78">
        <v>1100</v>
      </c>
      <c r="Y69" s="78"/>
      <c r="Z69" s="78">
        <v>225000</v>
      </c>
      <c r="AA69" s="78"/>
      <c r="AB69" s="78">
        <f t="shared" si="293"/>
        <v>4500</v>
      </c>
      <c r="AC69" s="78"/>
      <c r="AD69" s="78"/>
      <c r="AE69" s="78"/>
      <c r="AF69" s="78"/>
      <c r="AG69" s="82"/>
      <c r="AH69" s="78"/>
      <c r="AI69" s="78"/>
      <c r="AJ69" s="78"/>
      <c r="AK69" s="78"/>
      <c r="AL69" s="82"/>
      <c r="AM69" s="78"/>
      <c r="AN69" s="78"/>
      <c r="AO69" s="78"/>
      <c r="AP69" s="78"/>
      <c r="AQ69" s="78"/>
      <c r="AR69" s="84"/>
      <c r="AS69" s="84"/>
      <c r="AT69" s="78"/>
      <c r="AU69" s="78"/>
      <c r="AV69" s="78"/>
      <c r="AW69" s="78">
        <f t="shared" si="867"/>
        <v>2</v>
      </c>
      <c r="AX69" s="78"/>
      <c r="AY69" s="78"/>
      <c r="AZ69" s="78"/>
      <c r="BA69" s="78"/>
      <c r="BB69" s="78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78"/>
      <c r="CF69" s="78"/>
      <c r="CG69" s="78"/>
      <c r="CH69" s="78"/>
      <c r="CI69" s="78"/>
      <c r="CJ69" s="78"/>
      <c r="CK69" s="78"/>
      <c r="CL69" s="78"/>
      <c r="CM69" s="78"/>
      <c r="CN69" s="86" t="str">
        <f t="shared" si="863"/>
        <v>InitUnitState('E217',,,1100,,225000,,4500,,,)</v>
      </c>
      <c r="CO69" s="86" t="str">
        <f t="shared" si="864"/>
        <v>InitUnitNormal('E217',,,,,,,,,,)</v>
      </c>
      <c r="CP69" s="86" t="str">
        <f t="shared" si="865"/>
        <v>InitUnitMagic('E217',,,,,,,,2,,)</v>
      </c>
      <c r="CQ69" s="86" t="str">
        <f t="shared" si="866"/>
        <v>InitUnitAdd('E217',,,,,,,,,,)</v>
      </c>
      <c r="CR69" s="86" t="str">
        <f t="shared" si="652"/>
        <v>InitEquipData('E217',,"",,E218,20000,60,'','','','','','',"ReplaceableTextures\\CommandButtons\\BTNZ14.blp")</v>
      </c>
      <c r="CS69" s="86"/>
      <c r="CT69" s="86"/>
      <c r="CU69" s="88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pans="1:175" s="33" customFormat="1" ht="16.5">
      <c r="A70" s="2"/>
      <c r="B70" s="1" t="s">
        <v>335</v>
      </c>
      <c r="C70" s="2" t="s">
        <v>336</v>
      </c>
      <c r="D70" s="67"/>
      <c r="E70" s="68"/>
      <c r="F70" s="69">
        <v>20000</v>
      </c>
      <c r="G70" s="70">
        <v>60</v>
      </c>
      <c r="H70" s="70"/>
      <c r="I70" s="70" t="str">
        <f t="shared" si="440"/>
        <v>E219</v>
      </c>
      <c r="J70" s="70"/>
      <c r="K70" s="70"/>
      <c r="L70" s="70"/>
      <c r="M70" s="70"/>
      <c r="N70" s="70"/>
      <c r="O70" s="70"/>
      <c r="P70" s="74"/>
      <c r="Q70" s="74"/>
      <c r="R70" s="74"/>
      <c r="S70" s="79"/>
      <c r="T70" s="80"/>
      <c r="U70" s="77" t="s">
        <v>332</v>
      </c>
      <c r="V70" s="78"/>
      <c r="W70" s="78"/>
      <c r="X70" s="78">
        <v>1200</v>
      </c>
      <c r="Y70" s="78"/>
      <c r="Z70" s="78">
        <v>300000</v>
      </c>
      <c r="AA70" s="78"/>
      <c r="AB70" s="78">
        <f t="shared" si="293"/>
        <v>6000</v>
      </c>
      <c r="AC70" s="78"/>
      <c r="AD70" s="78"/>
      <c r="AE70" s="78"/>
      <c r="AF70" s="78"/>
      <c r="AG70" s="82"/>
      <c r="AH70" s="78"/>
      <c r="AI70" s="78"/>
      <c r="AJ70" s="78"/>
      <c r="AK70" s="78"/>
      <c r="AL70" s="82"/>
      <c r="AM70" s="78"/>
      <c r="AN70" s="78"/>
      <c r="AO70" s="78"/>
      <c r="AP70" s="78"/>
      <c r="AQ70" s="78"/>
      <c r="AR70" s="84"/>
      <c r="AS70" s="84"/>
      <c r="AT70" s="78"/>
      <c r="AU70" s="78"/>
      <c r="AV70" s="78"/>
      <c r="AW70" s="78">
        <f t="shared" si="867"/>
        <v>2</v>
      </c>
      <c r="AX70" s="78"/>
      <c r="AY70" s="78"/>
      <c r="AZ70" s="78"/>
      <c r="BA70" s="78"/>
      <c r="BB70" s="78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78"/>
      <c r="CF70" s="78"/>
      <c r="CG70" s="78"/>
      <c r="CH70" s="78"/>
      <c r="CI70" s="78"/>
      <c r="CJ70" s="78"/>
      <c r="CK70" s="78"/>
      <c r="CL70" s="78"/>
      <c r="CM70" s="78"/>
      <c r="CN70" s="86" t="str">
        <f t="shared" si="863"/>
        <v>InitUnitState('E218',,,1200,,300000,,6000,,,)</v>
      </c>
      <c r="CO70" s="86" t="str">
        <f t="shared" si="864"/>
        <v>InitUnitNormal('E218',,,,,,,,,,)</v>
      </c>
      <c r="CP70" s="86" t="str">
        <f t="shared" si="865"/>
        <v>InitUnitMagic('E218',,,,,,,,2,,)</v>
      </c>
      <c r="CQ70" s="86" t="str">
        <f t="shared" si="866"/>
        <v>InitUnitAdd('E218',,,,,,,,,,)</v>
      </c>
      <c r="CR70" s="86" t="str">
        <f t="shared" si="652"/>
        <v>InitEquipData('E218',,"",,E219,20000,60,'','','','','','',"ReplaceableTextures\\CommandButtons\\BTNZ14.blp")</v>
      </c>
      <c r="CS70" s="86"/>
      <c r="CT70" s="86"/>
      <c r="CU70" s="88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pans="1:175" s="33" customFormat="1" ht="16.5">
      <c r="A71" s="2"/>
      <c r="B71" s="1" t="s">
        <v>337</v>
      </c>
      <c r="C71" s="2" t="s">
        <v>338</v>
      </c>
      <c r="D71" s="67"/>
      <c r="E71" s="68"/>
      <c r="F71" s="69">
        <v>20000</v>
      </c>
      <c r="G71" s="70">
        <v>60</v>
      </c>
      <c r="H71" s="70"/>
      <c r="I71" s="70" t="str">
        <f t="shared" si="440"/>
        <v>E220</v>
      </c>
      <c r="J71" s="70"/>
      <c r="K71" s="70"/>
      <c r="L71" s="70"/>
      <c r="M71" s="70"/>
      <c r="N71" s="70"/>
      <c r="O71" s="70"/>
      <c r="P71" s="74"/>
      <c r="Q71" s="74"/>
      <c r="R71" s="74"/>
      <c r="S71" s="79"/>
      <c r="T71" s="80"/>
      <c r="U71" s="77" t="s">
        <v>332</v>
      </c>
      <c r="V71" s="78"/>
      <c r="W71" s="78"/>
      <c r="X71" s="78">
        <v>1300</v>
      </c>
      <c r="Y71" s="78"/>
      <c r="Z71" s="78">
        <v>375000</v>
      </c>
      <c r="AA71" s="78"/>
      <c r="AB71" s="78">
        <f t="shared" si="293"/>
        <v>7500</v>
      </c>
      <c r="AC71" s="78"/>
      <c r="AD71" s="78"/>
      <c r="AE71" s="78"/>
      <c r="AF71" s="78"/>
      <c r="AG71" s="82"/>
      <c r="AH71" s="78"/>
      <c r="AI71" s="78"/>
      <c r="AJ71" s="78"/>
      <c r="AK71" s="78"/>
      <c r="AL71" s="82"/>
      <c r="AM71" s="78"/>
      <c r="AN71" s="78"/>
      <c r="AO71" s="78"/>
      <c r="AP71" s="78"/>
      <c r="AQ71" s="78"/>
      <c r="AR71" s="84"/>
      <c r="AS71" s="84"/>
      <c r="AT71" s="78"/>
      <c r="AU71" s="78"/>
      <c r="AV71" s="78"/>
      <c r="AW71" s="78">
        <f t="shared" si="867"/>
        <v>2</v>
      </c>
      <c r="AX71" s="78"/>
      <c r="AY71" s="78"/>
      <c r="AZ71" s="78"/>
      <c r="BA71" s="78"/>
      <c r="BB71" s="78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78"/>
      <c r="CF71" s="78"/>
      <c r="CG71" s="78"/>
      <c r="CH71" s="78"/>
      <c r="CI71" s="78"/>
      <c r="CJ71" s="78"/>
      <c r="CK71" s="78"/>
      <c r="CL71" s="78"/>
      <c r="CM71" s="78"/>
      <c r="CN71" s="86" t="str">
        <f t="shared" si="863"/>
        <v>InitUnitState('E219',,,1300,,375000,,7500,,,)</v>
      </c>
      <c r="CO71" s="86" t="str">
        <f t="shared" si="864"/>
        <v>InitUnitNormal('E219',,,,,,,,,,)</v>
      </c>
      <c r="CP71" s="86" t="str">
        <f t="shared" si="865"/>
        <v>InitUnitMagic('E219',,,,,,,,2,,)</v>
      </c>
      <c r="CQ71" s="86" t="str">
        <f t="shared" si="866"/>
        <v>InitUnitAdd('E219',,,,,,,,,,)</v>
      </c>
      <c r="CR71" s="86" t="str">
        <f t="shared" si="652"/>
        <v>InitEquipData('E219',,"",,E220,20000,60,'','','','','','',"ReplaceableTextures\\CommandButtons\\BTNZ14.blp")</v>
      </c>
      <c r="CS71" s="86"/>
      <c r="CT71" s="86"/>
      <c r="CU71" s="88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pans="1:175" s="33" customFormat="1" ht="16.5">
      <c r="A72" s="2"/>
      <c r="B72" s="1" t="s">
        <v>339</v>
      </c>
      <c r="C72" s="2" t="s">
        <v>340</v>
      </c>
      <c r="D72" s="67"/>
      <c r="E72" s="68"/>
      <c r="F72" s="69">
        <v>35000</v>
      </c>
      <c r="G72" s="70">
        <v>100</v>
      </c>
      <c r="H72" s="71" t="s">
        <v>341</v>
      </c>
      <c r="I72" s="70" t="str">
        <f t="shared" si="440"/>
        <v>E221</v>
      </c>
      <c r="J72" s="70"/>
      <c r="K72" s="70"/>
      <c r="L72" s="70"/>
      <c r="M72" s="70"/>
      <c r="N72" s="70"/>
      <c r="O72" s="70"/>
      <c r="P72" s="74"/>
      <c r="Q72" s="74"/>
      <c r="R72" s="74"/>
      <c r="S72" s="79"/>
      <c r="T72" s="80"/>
      <c r="U72" s="77" t="s">
        <v>332</v>
      </c>
      <c r="V72" s="78"/>
      <c r="W72" s="78"/>
      <c r="X72" s="78">
        <v>1400</v>
      </c>
      <c r="Y72" s="78"/>
      <c r="Z72" s="78">
        <v>450000</v>
      </c>
      <c r="AA72" s="78"/>
      <c r="AB72" s="78">
        <f t="shared" si="293"/>
        <v>9000</v>
      </c>
      <c r="AC72" s="78"/>
      <c r="AD72" s="78"/>
      <c r="AE72" s="78"/>
      <c r="AF72" s="78"/>
      <c r="AG72" s="82"/>
      <c r="AH72" s="78"/>
      <c r="AI72" s="78"/>
      <c r="AJ72" s="78"/>
      <c r="AK72" s="78"/>
      <c r="AL72" s="82"/>
      <c r="AM72" s="78"/>
      <c r="AN72" s="78"/>
      <c r="AO72" s="78"/>
      <c r="AP72" s="78"/>
      <c r="AQ72" s="78"/>
      <c r="AR72" s="84"/>
      <c r="AS72" s="84"/>
      <c r="AT72" s="78"/>
      <c r="AU72" s="78"/>
      <c r="AV72" s="78"/>
      <c r="AW72" s="78">
        <f t="shared" si="867"/>
        <v>2</v>
      </c>
      <c r="AX72" s="78"/>
      <c r="AY72" s="78"/>
      <c r="AZ72" s="78"/>
      <c r="BA72" s="78"/>
      <c r="BB72" s="78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78"/>
      <c r="CF72" s="78"/>
      <c r="CG72" s="78"/>
      <c r="CH72" s="78"/>
      <c r="CI72" s="78"/>
      <c r="CJ72" s="78"/>
      <c r="CK72" s="78"/>
      <c r="CL72" s="78"/>
      <c r="CM72" s="78"/>
      <c r="CN72" s="86" t="str">
        <f t="shared" si="863"/>
        <v>InitUnitState('E220',,,1400,,450000,,9000,,,)</v>
      </c>
      <c r="CO72" s="86" t="str">
        <f t="shared" si="864"/>
        <v>InitUnitNormal('E220',,,,,,,,,,)</v>
      </c>
      <c r="CP72" s="86" t="str">
        <f t="shared" si="865"/>
        <v>InitUnitMagic('E220',,,,,,,,2,,)</v>
      </c>
      <c r="CQ72" s="86" t="str">
        <f t="shared" si="866"/>
        <v>InitUnitAdd('E220',,,,,,,,,,)</v>
      </c>
      <c r="CR72" s="86" t="str">
        <f t="shared" si="652"/>
        <v>InitEquipData('E220',,"",,E221,35000,100,'','','','','','',"ReplaceableTextures\\CommandButtons\\BTNZ15.blp")</v>
      </c>
      <c r="CS72" s="86"/>
      <c r="CT72" s="86"/>
      <c r="CU72" s="88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pans="1:175" s="33" customFormat="1" ht="16.5">
      <c r="A73" s="2"/>
      <c r="B73" s="1" t="s">
        <v>342</v>
      </c>
      <c r="C73" s="2" t="s">
        <v>343</v>
      </c>
      <c r="D73" s="67"/>
      <c r="E73" s="68"/>
      <c r="F73" s="69">
        <v>35000</v>
      </c>
      <c r="G73" s="70">
        <v>50</v>
      </c>
      <c r="H73" s="70"/>
      <c r="I73" s="70" t="str">
        <f t="shared" si="440"/>
        <v>E222</v>
      </c>
      <c r="J73" s="70"/>
      <c r="K73" s="70"/>
      <c r="L73" s="70"/>
      <c r="M73" s="70"/>
      <c r="N73" s="70"/>
      <c r="O73" s="70"/>
      <c r="P73" s="74"/>
      <c r="Q73" s="74"/>
      <c r="R73" s="74"/>
      <c r="S73" s="79"/>
      <c r="T73" s="80"/>
      <c r="U73" s="77" t="s">
        <v>344</v>
      </c>
      <c r="V73" s="78"/>
      <c r="W73" s="78"/>
      <c r="X73" s="78">
        <v>1800</v>
      </c>
      <c r="Y73" s="78"/>
      <c r="Z73" s="78">
        <v>750000</v>
      </c>
      <c r="AA73" s="78"/>
      <c r="AB73" s="78">
        <f t="shared" si="293"/>
        <v>15000</v>
      </c>
      <c r="AC73" s="78"/>
      <c r="AD73" s="78"/>
      <c r="AE73" s="78"/>
      <c r="AF73" s="78"/>
      <c r="AG73" s="82"/>
      <c r="AH73" s="78"/>
      <c r="AI73" s="78"/>
      <c r="AJ73" s="78"/>
      <c r="AK73" s="78"/>
      <c r="AL73" s="82"/>
      <c r="AM73" s="78"/>
      <c r="AN73" s="78"/>
      <c r="AO73" s="78"/>
      <c r="AP73" s="78"/>
      <c r="AQ73" s="78"/>
      <c r="AR73" s="84"/>
      <c r="AS73" s="84"/>
      <c r="AT73" s="78"/>
      <c r="AU73" s="78"/>
      <c r="AV73" s="78"/>
      <c r="AW73" s="78">
        <f t="shared" si="867"/>
        <v>3</v>
      </c>
      <c r="AX73" s="78"/>
      <c r="AY73" s="78"/>
      <c r="AZ73" s="78"/>
      <c r="BA73" s="78"/>
      <c r="BB73" s="78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78"/>
      <c r="CF73" s="78"/>
      <c r="CG73" s="78"/>
      <c r="CH73" s="78"/>
      <c r="CI73" s="78"/>
      <c r="CJ73" s="78"/>
      <c r="CK73" s="78"/>
      <c r="CL73" s="78"/>
      <c r="CM73" s="78"/>
      <c r="CN73" s="86" t="str">
        <f t="shared" si="863"/>
        <v>InitUnitState('E221',,,1800,,750000,,15000,,,)</v>
      </c>
      <c r="CO73" s="86" t="str">
        <f t="shared" si="864"/>
        <v>InitUnitNormal('E221',,,,,,,,,,)</v>
      </c>
      <c r="CP73" s="86" t="str">
        <f t="shared" si="865"/>
        <v>InitUnitMagic('E221',,,,,,,,3,,)</v>
      </c>
      <c r="CQ73" s="86" t="str">
        <f t="shared" si="866"/>
        <v>InitUnitAdd('E221',,,,,,,,,,)</v>
      </c>
      <c r="CR73" s="86" t="str">
        <f t="shared" si="652"/>
        <v>InitEquipData('E221',,"",,E222,35000,50,'','','','','','',"ReplaceableTextures\\CommandButtons\\BTNZ15.blp")</v>
      </c>
      <c r="CS73" s="86"/>
      <c r="CT73" s="86"/>
      <c r="CU73" s="88" t="str">
        <f t="shared" si="868"/>
        <v>|n护甲+1800|n生命值+750000|n生命回复+15000|n生命恢复%+3|n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|Cffbbbbbb属性：|r|n护甲+1800|n生命值+750000|n生命回复+15000|n生命恢复%+3|n|n|Cff00ff7f点击消耗35000金币进行强化|n成功率50%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|n护甲+1800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pans="1:175" s="33" customFormat="1" ht="16.5">
      <c r="A74" s="2"/>
      <c r="B74" s="1" t="s">
        <v>345</v>
      </c>
      <c r="C74" s="2" t="s">
        <v>346</v>
      </c>
      <c r="D74" s="67"/>
      <c r="E74" s="68"/>
      <c r="F74" s="69">
        <v>35000</v>
      </c>
      <c r="G74" s="70">
        <v>50</v>
      </c>
      <c r="H74" s="70"/>
      <c r="I74" s="70" t="str">
        <f t="shared" si="440"/>
        <v>E223</v>
      </c>
      <c r="J74" s="70"/>
      <c r="K74" s="70"/>
      <c r="L74" s="70"/>
      <c r="M74" s="70"/>
      <c r="N74" s="70"/>
      <c r="O74" s="70"/>
      <c r="P74" s="74"/>
      <c r="Q74" s="74"/>
      <c r="R74" s="74"/>
      <c r="S74" s="79"/>
      <c r="T74" s="80"/>
      <c r="U74" s="77" t="s">
        <v>344</v>
      </c>
      <c r="V74" s="78"/>
      <c r="W74" s="78"/>
      <c r="X74" s="78">
        <v>2000</v>
      </c>
      <c r="Y74" s="78"/>
      <c r="Z74" s="78">
        <v>1200000</v>
      </c>
      <c r="AA74" s="78"/>
      <c r="AB74" s="78">
        <f t="shared" si="293"/>
        <v>24000</v>
      </c>
      <c r="AC74" s="78"/>
      <c r="AD74" s="78"/>
      <c r="AE74" s="78"/>
      <c r="AF74" s="78"/>
      <c r="AG74" s="82"/>
      <c r="AH74" s="78"/>
      <c r="AI74" s="78"/>
      <c r="AJ74" s="78"/>
      <c r="AK74" s="78"/>
      <c r="AL74" s="82"/>
      <c r="AM74" s="78"/>
      <c r="AN74" s="78"/>
      <c r="AO74" s="78"/>
      <c r="AP74" s="78"/>
      <c r="AQ74" s="78"/>
      <c r="AR74" s="84"/>
      <c r="AS74" s="84"/>
      <c r="AT74" s="78"/>
      <c r="AU74" s="78"/>
      <c r="AV74" s="78"/>
      <c r="AW74" s="78">
        <f t="shared" si="867"/>
        <v>3</v>
      </c>
      <c r="AX74" s="78"/>
      <c r="AY74" s="78"/>
      <c r="AZ74" s="78"/>
      <c r="BA74" s="78"/>
      <c r="BB74" s="78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78"/>
      <c r="CF74" s="78"/>
      <c r="CG74" s="78"/>
      <c r="CH74" s="78"/>
      <c r="CI74" s="78"/>
      <c r="CJ74" s="78"/>
      <c r="CK74" s="78"/>
      <c r="CL74" s="78"/>
      <c r="CM74" s="78"/>
      <c r="CN74" s="86" t="str">
        <f t="shared" si="863"/>
        <v>InitUnitState('E222',,,2000,,1200000,,24000,,,)</v>
      </c>
      <c r="CO74" s="86" t="str">
        <f t="shared" si="864"/>
        <v>InitUnitNormal('E222',,,,,,,,,,)</v>
      </c>
      <c r="CP74" s="86" t="str">
        <f t="shared" si="865"/>
        <v>InitUnitMagic('E222',,,,,,,,3,,)</v>
      </c>
      <c r="CQ74" s="86" t="str">
        <f t="shared" si="866"/>
        <v>InitUnitAdd('E222',,,,,,,,,,)</v>
      </c>
      <c r="CR74" s="86" t="str">
        <f t="shared" si="652"/>
        <v>InitEquipData('E222',,"",,E223,35000,50,'','','','','','',"ReplaceableTextures\\CommandButtons\\BTNZ15.blp")</v>
      </c>
      <c r="CS74" s="86"/>
      <c r="CT74" s="86"/>
      <c r="CU74" s="88" t="str">
        <f t="shared" si="868"/>
        <v>|n护甲+2000|n生命值+1200000|n生命回复+24000|n生命恢复%+3|n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|Cffbbbbbb属性：|r|n护甲+2000|n生命值+1200000|n生命回复+24000|n生命恢复%+3|n|n|Cff00ff7f点击消耗35000金币进行强化|n成功率50%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|n护甲+2000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pans="1:175" s="33" customFormat="1" ht="16.5">
      <c r="A75" s="2"/>
      <c r="B75" s="1" t="s">
        <v>347</v>
      </c>
      <c r="C75" s="2" t="s">
        <v>348</v>
      </c>
      <c r="D75" s="67"/>
      <c r="E75" s="68"/>
      <c r="F75" s="69">
        <v>35000</v>
      </c>
      <c r="G75" s="70">
        <v>50</v>
      </c>
      <c r="H75" s="70"/>
      <c r="I75" s="70" t="str">
        <f t="shared" si="440"/>
        <v>E224</v>
      </c>
      <c r="J75" s="70"/>
      <c r="K75" s="70"/>
      <c r="L75" s="70"/>
      <c r="M75" s="70"/>
      <c r="N75" s="70"/>
      <c r="O75" s="70"/>
      <c r="P75" s="74"/>
      <c r="Q75" s="74"/>
      <c r="R75" s="74"/>
      <c r="S75" s="79"/>
      <c r="T75" s="80"/>
      <c r="U75" s="77" t="s">
        <v>344</v>
      </c>
      <c r="V75" s="78"/>
      <c r="W75" s="78"/>
      <c r="X75" s="78">
        <v>2200</v>
      </c>
      <c r="Y75" s="78"/>
      <c r="Z75" s="78">
        <v>1650000</v>
      </c>
      <c r="AA75" s="78"/>
      <c r="AB75" s="78">
        <f t="shared" si="293"/>
        <v>33000</v>
      </c>
      <c r="AC75" s="78"/>
      <c r="AD75" s="78"/>
      <c r="AE75" s="78"/>
      <c r="AF75" s="78"/>
      <c r="AG75" s="82"/>
      <c r="AH75" s="78"/>
      <c r="AI75" s="78"/>
      <c r="AJ75" s="78"/>
      <c r="AK75" s="78"/>
      <c r="AL75" s="82"/>
      <c r="AM75" s="78"/>
      <c r="AN75" s="78"/>
      <c r="AO75" s="78"/>
      <c r="AP75" s="78"/>
      <c r="AQ75" s="78"/>
      <c r="AR75" s="84"/>
      <c r="AS75" s="84"/>
      <c r="AT75" s="78"/>
      <c r="AU75" s="78"/>
      <c r="AV75" s="78"/>
      <c r="AW75" s="78">
        <f t="shared" si="867"/>
        <v>3</v>
      </c>
      <c r="AX75" s="78"/>
      <c r="AY75" s="78"/>
      <c r="AZ75" s="78"/>
      <c r="BA75" s="78"/>
      <c r="BB75" s="78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78"/>
      <c r="CF75" s="78"/>
      <c r="CG75" s="78"/>
      <c r="CH75" s="78"/>
      <c r="CI75" s="78"/>
      <c r="CJ75" s="78"/>
      <c r="CK75" s="78"/>
      <c r="CL75" s="78"/>
      <c r="CM75" s="78"/>
      <c r="CN75" s="86" t="str">
        <f t="shared" si="863"/>
        <v>InitUnitState('E223',,,2200,,1650000,,33000,,,)</v>
      </c>
      <c r="CO75" s="86" t="str">
        <f t="shared" si="864"/>
        <v>InitUnitNormal('E223',,,,,,,,,,)</v>
      </c>
      <c r="CP75" s="86" t="str">
        <f t="shared" si="865"/>
        <v>InitUnitMagic('E223',,,,,,,,3,,)</v>
      </c>
      <c r="CQ75" s="86" t="str">
        <f t="shared" si="866"/>
        <v>InitUnitAdd('E223',,,,,,,,,,)</v>
      </c>
      <c r="CR75" s="86" t="str">
        <f t="shared" si="652"/>
        <v>InitEquipData('E223',,"",,E224,35000,50,'','','','','','',"ReplaceableTextures\\CommandButtons\\BTNZ15.blp")</v>
      </c>
      <c r="CS75" s="86"/>
      <c r="CT75" s="86"/>
      <c r="CU75" s="88" t="str">
        <f t="shared" si="868"/>
        <v>|n护甲+2200|n生命值+1650000|n生命回复+33000|n生命恢复%+3|n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|Cffbbbbbb属性：|r|n护甲+2200|n生命值+1650000|n生命回复+33000|n生命恢复%+3|n|n|Cff00ff7f点击消耗35000金币进行强化|n成功率50%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|n护甲+2200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pans="1:175" s="33" customFormat="1" ht="16.5">
      <c r="A76" s="2"/>
      <c r="B76" s="1" t="s">
        <v>349</v>
      </c>
      <c r="C76" s="2" t="s">
        <v>350</v>
      </c>
      <c r="D76" s="67"/>
      <c r="E76" s="68"/>
      <c r="F76" s="69">
        <v>35000</v>
      </c>
      <c r="G76" s="70">
        <v>50</v>
      </c>
      <c r="H76" s="70"/>
      <c r="I76" s="70" t="str">
        <f t="shared" si="440"/>
        <v>E225</v>
      </c>
      <c r="J76" s="70"/>
      <c r="K76" s="70"/>
      <c r="L76" s="70"/>
      <c r="M76" s="70"/>
      <c r="N76" s="70"/>
      <c r="O76" s="70"/>
      <c r="P76" s="74"/>
      <c r="Q76" s="74"/>
      <c r="R76" s="74"/>
      <c r="S76" s="79"/>
      <c r="T76" s="80"/>
      <c r="U76" s="77" t="s">
        <v>344</v>
      </c>
      <c r="V76" s="78"/>
      <c r="W76" s="78"/>
      <c r="X76" s="78">
        <v>2400</v>
      </c>
      <c r="Y76" s="78"/>
      <c r="Z76" s="78">
        <v>2100000</v>
      </c>
      <c r="AA76" s="78"/>
      <c r="AB76" s="78">
        <f t="shared" si="293"/>
        <v>42000</v>
      </c>
      <c r="AC76" s="78"/>
      <c r="AD76" s="78"/>
      <c r="AE76" s="78"/>
      <c r="AF76" s="78"/>
      <c r="AG76" s="82"/>
      <c r="AH76" s="78"/>
      <c r="AI76" s="78"/>
      <c r="AJ76" s="78"/>
      <c r="AK76" s="78"/>
      <c r="AL76" s="82"/>
      <c r="AM76" s="78"/>
      <c r="AN76" s="78"/>
      <c r="AO76" s="78"/>
      <c r="AP76" s="78"/>
      <c r="AQ76" s="78"/>
      <c r="AR76" s="84"/>
      <c r="AS76" s="84"/>
      <c r="AT76" s="78"/>
      <c r="AU76" s="78"/>
      <c r="AV76" s="78"/>
      <c r="AW76" s="78">
        <f t="shared" si="867"/>
        <v>3</v>
      </c>
      <c r="AX76" s="78"/>
      <c r="AY76" s="78"/>
      <c r="AZ76" s="78"/>
      <c r="BA76" s="78"/>
      <c r="BB76" s="78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78"/>
      <c r="CF76" s="78"/>
      <c r="CG76" s="78"/>
      <c r="CH76" s="78"/>
      <c r="CI76" s="78"/>
      <c r="CJ76" s="78"/>
      <c r="CK76" s="78"/>
      <c r="CL76" s="78"/>
      <c r="CM76" s="78"/>
      <c r="CN76" s="86" t="str">
        <f t="shared" si="863"/>
        <v>InitUnitState('E224',,,2400,,2100000,,42000,,,)</v>
      </c>
      <c r="CO76" s="86" t="str">
        <f t="shared" si="864"/>
        <v>InitUnitNormal('E224',,,,,,,,,,)</v>
      </c>
      <c r="CP76" s="86" t="str">
        <f t="shared" si="865"/>
        <v>InitUnitMagic('E224',,,,,,,,3,,)</v>
      </c>
      <c r="CQ76" s="86" t="str">
        <f t="shared" si="866"/>
        <v>InitUnitAdd('E224',,,,,,,,,,)</v>
      </c>
      <c r="CR76" s="86" t="str">
        <f t="shared" si="652"/>
        <v>InitEquipData('E224',,"",,E225,35000,50,'','','','','','',"ReplaceableTextures\\CommandButtons\\BTNZ15.blp")</v>
      </c>
      <c r="CS76" s="86"/>
      <c r="CT76" s="86"/>
      <c r="CU76" s="88" t="str">
        <f t="shared" si="868"/>
        <v>|n护甲+2400|n生命值+2100000|n生命回复+42000|n生命恢复%+3|n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|Cffbbbbbb属性：|r|n护甲+2400|n生命值+2100000|n生命回复+42000|n生命恢复%+3|n|n|Cff00ff7f点击消耗35000金币进行强化|n成功率50%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|n护甲+2400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pans="1:175" s="33" customFormat="1" ht="16.5">
      <c r="A77" s="2"/>
      <c r="B77" s="1" t="s">
        <v>351</v>
      </c>
      <c r="C77" s="2" t="s">
        <v>352</v>
      </c>
      <c r="D77" s="67"/>
      <c r="E77" s="68"/>
      <c r="F77" s="69"/>
      <c r="G77" s="70"/>
      <c r="H77" s="70"/>
      <c r="I77" s="70"/>
      <c r="J77" s="70"/>
      <c r="K77" s="70"/>
      <c r="L77" s="70"/>
      <c r="M77" s="70"/>
      <c r="N77" s="70"/>
      <c r="O77" s="70"/>
      <c r="P77" s="74"/>
      <c r="Q77" s="74"/>
      <c r="R77" s="74"/>
      <c r="S77" s="79"/>
      <c r="T77" s="80" t="s">
        <v>353</v>
      </c>
      <c r="U77" s="77" t="s">
        <v>344</v>
      </c>
      <c r="V77" s="78"/>
      <c r="W77" s="78"/>
      <c r="X77" s="78">
        <v>2600</v>
      </c>
      <c r="Y77" s="78"/>
      <c r="Z77" s="78">
        <v>3000000</v>
      </c>
      <c r="AA77" s="78"/>
      <c r="AB77" s="78">
        <f t="shared" si="293"/>
        <v>60000</v>
      </c>
      <c r="AC77" s="78"/>
      <c r="AD77" s="78"/>
      <c r="AE77" s="78"/>
      <c r="AF77" s="78"/>
      <c r="AG77" s="82"/>
      <c r="AH77" s="78"/>
      <c r="AI77" s="78"/>
      <c r="AJ77" s="78"/>
      <c r="AK77" s="78"/>
      <c r="AL77" s="82"/>
      <c r="AM77" s="78"/>
      <c r="AN77" s="78"/>
      <c r="AO77" s="78"/>
      <c r="AP77" s="78"/>
      <c r="AQ77" s="78"/>
      <c r="AR77" s="84"/>
      <c r="AS77" s="84"/>
      <c r="AT77" s="78"/>
      <c r="AU77" s="78"/>
      <c r="AV77" s="78"/>
      <c r="AW77" s="78">
        <v>5</v>
      </c>
      <c r="AX77" s="78"/>
      <c r="AY77" s="78"/>
      <c r="AZ77" s="78"/>
      <c r="BA77" s="78"/>
      <c r="BB77" s="78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78"/>
      <c r="CF77" s="78"/>
      <c r="CG77" s="78"/>
      <c r="CH77" s="78"/>
      <c r="CI77" s="78"/>
      <c r="CJ77" s="78"/>
      <c r="CK77" s="78"/>
      <c r="CL77" s="78"/>
      <c r="CM77" s="78"/>
      <c r="CN77" s="86" t="str">
        <f t="shared" si="863"/>
        <v>InitUnitState('E225',,,2600,,3000000,,60000,,,)</v>
      </c>
      <c r="CO77" s="86" t="str">
        <f t="shared" si="864"/>
        <v>InitUnitNormal('E225',,,,,,,,,,)</v>
      </c>
      <c r="CP77" s="86" t="str">
        <f t="shared" si="865"/>
        <v>InitUnitMagic('E225',,,,,,,,5,,)</v>
      </c>
      <c r="CQ77" s="86" t="str">
        <f t="shared" si="866"/>
        <v>InitUnitAdd('E225',,,,,,,,,,)</v>
      </c>
      <c r="CR77" s="8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86"/>
      <c r="CT77" s="86"/>
      <c r="CU77" s="88" t="str">
        <f t="shared" si="868"/>
        <v>|n护甲+2600|n生命值+3000000|n生命回复+60000|n生命恢复%+5|n</v>
      </c>
      <c r="CV77" s="19" t="str">
        <f>"|Cffbbbbbb属性：|r"&amp;CU77&amp;VLOOKUP(A77,合成公式!A:P,16,FALSE)&amp;T77</f>
        <v>|Cffbbbbbb属性：|r|n护甲+2600|n生命值+3000000|n生命回复+60000|n生命恢复%+5|n|Cff999999装备进化：未开放|r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|n护甲+2600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spans="1:175" ht="16.5">
      <c r="A78" s="12"/>
      <c r="B78" s="1" t="s">
        <v>354</v>
      </c>
      <c r="C78" s="12" t="s">
        <v>355</v>
      </c>
      <c r="E78" s="90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2"/>
      <c r="Q78" s="92"/>
      <c r="R78" s="92"/>
      <c r="S78" s="92"/>
      <c r="T78" s="93"/>
      <c r="U78" s="94" t="s">
        <v>356</v>
      </c>
      <c r="V78" s="10">
        <v>7500</v>
      </c>
      <c r="Z78" s="10">
        <v>30000</v>
      </c>
      <c r="AG78" s="98"/>
      <c r="AJ78" s="64">
        <v>20</v>
      </c>
      <c r="AK78" s="64">
        <v>20</v>
      </c>
      <c r="AL78" s="98"/>
      <c r="BC78" s="99"/>
      <c r="BD78" s="99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88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spans="1:175" ht="16.5">
      <c r="A79" s="12"/>
      <c r="B79" s="1" t="s">
        <v>357</v>
      </c>
      <c r="C79" s="12" t="s">
        <v>358</v>
      </c>
      <c r="E79" s="90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2"/>
      <c r="Q79" s="92"/>
      <c r="R79" s="92"/>
      <c r="S79" s="92"/>
      <c r="T79" s="93"/>
      <c r="U79" s="94" t="s">
        <v>359</v>
      </c>
      <c r="V79" s="10">
        <v>18000</v>
      </c>
      <c r="Z79" s="10">
        <v>72000</v>
      </c>
      <c r="AG79" s="98"/>
      <c r="AJ79" s="64">
        <v>20</v>
      </c>
      <c r="AK79" s="64">
        <v>20</v>
      </c>
      <c r="AL79" s="98"/>
      <c r="BC79" s="99"/>
      <c r="BD79" s="99"/>
      <c r="BL79" s="64">
        <v>8</v>
      </c>
      <c r="BM79" s="64">
        <v>1</v>
      </c>
      <c r="BN79" s="64">
        <v>30</v>
      </c>
      <c r="CU79" s="88" t="str">
        <f t="shared" si="868"/>
        <v>|n攻击+18000|n生命值+72000|n物理伤害+20%|n法术伤害+20%|n杀敌攻击+8|n杀敌业力+1|n杀敌生命+30|n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|Cffbbbbbb属性：|r|n攻击+18000|n生命值+72000|n物理伤害+20%|n法术伤害+20%|n杀敌攻击+8|n杀敌业力+1|n杀敌生命+30|n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|n攻击+18000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|n生命值+72000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spans="1:175" ht="16.5">
      <c r="A80" s="13"/>
      <c r="B80" s="1" t="s">
        <v>360</v>
      </c>
      <c r="C80" s="13" t="s">
        <v>361</v>
      </c>
      <c r="E80" s="90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2"/>
      <c r="Q80" s="92"/>
      <c r="R80" s="92"/>
      <c r="S80" s="95"/>
      <c r="T80" s="93"/>
      <c r="U80" s="94" t="s">
        <v>362</v>
      </c>
      <c r="V80" s="10">
        <v>37500</v>
      </c>
      <c r="Z80" s="10">
        <v>150000</v>
      </c>
      <c r="AG80" s="98"/>
      <c r="AJ80" s="64">
        <v>20</v>
      </c>
      <c r="AK80" s="64">
        <v>20</v>
      </c>
      <c r="AL80" s="98"/>
      <c r="BC80" s="99"/>
      <c r="BD80" s="99"/>
      <c r="BL80" s="64">
        <v>8</v>
      </c>
      <c r="BM80" s="64">
        <v>1</v>
      </c>
      <c r="BN80" s="64">
        <v>30</v>
      </c>
      <c r="CU80" s="88" t="str">
        <f t="shared" si="868"/>
        <v>|n攻击+37500|n生命值+150000|n物理伤害+20%|n法术伤害+20%|n杀敌攻击+8|n杀敌业力+1|n杀敌生命+30|n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|Cffbbbbbb属性：|r|n攻击+37500|n生命值+150000|n物理伤害+20%|n法术伤害+20%|n杀敌攻击+8|n杀敌业力+1|n杀敌生命+30|n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|n攻击+37500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|n生命值+150000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spans="1:175" ht="16.5">
      <c r="A81" s="13"/>
      <c r="B81" s="1" t="s">
        <v>363</v>
      </c>
      <c r="C81" s="13" t="s">
        <v>364</v>
      </c>
      <c r="E81" s="90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2"/>
      <c r="Q81" s="92"/>
      <c r="R81" s="92"/>
      <c r="S81" s="95"/>
      <c r="T81" s="93"/>
      <c r="U81" s="94" t="s">
        <v>365</v>
      </c>
      <c r="V81" s="10">
        <v>60000</v>
      </c>
      <c r="Z81" s="10">
        <v>240000</v>
      </c>
      <c r="AG81" s="98"/>
      <c r="AJ81" s="64">
        <v>25</v>
      </c>
      <c r="AK81" s="64">
        <v>25</v>
      </c>
      <c r="AL81" s="98"/>
      <c r="BC81" s="99"/>
      <c r="BD81" s="99"/>
      <c r="BL81" s="64">
        <v>8</v>
      </c>
      <c r="BM81" s="64">
        <v>1</v>
      </c>
      <c r="BN81" s="64">
        <v>30</v>
      </c>
      <c r="CU81" s="88" t="str">
        <f t="shared" si="868"/>
        <v>|n攻击+60000|n生命值+240000|n物理伤害+25%|n法术伤害+25%|n杀敌攻击+8|n杀敌业力+1|n杀敌生命+30|n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|Cffbbbbbb属性：|r|n攻击+60000|n生命值+240000|n物理伤害+25%|n法术伤害+25%|n杀敌攻击+8|n杀敌业力+1|n杀敌生命+30|n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|n攻击+60000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|n生命值+240000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spans="1:175" ht="16.5">
      <c r="A82" s="13"/>
      <c r="B82" s="1" t="s">
        <v>366</v>
      </c>
      <c r="C82" s="13" t="s">
        <v>367</v>
      </c>
      <c r="E82" s="90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2"/>
      <c r="Q82" s="92"/>
      <c r="R82" s="92"/>
      <c r="S82" s="95"/>
      <c r="T82" s="93"/>
      <c r="U82" s="94" t="s">
        <v>368</v>
      </c>
      <c r="V82" s="10">
        <v>82500</v>
      </c>
      <c r="Z82" s="10">
        <v>330000</v>
      </c>
      <c r="AG82" s="98"/>
      <c r="AJ82" s="64">
        <v>25</v>
      </c>
      <c r="AK82" s="64">
        <v>25</v>
      </c>
      <c r="AL82" s="98"/>
      <c r="BC82" s="99"/>
      <c r="BD82" s="99"/>
      <c r="BL82" s="64">
        <v>8</v>
      </c>
      <c r="BM82" s="64">
        <v>1</v>
      </c>
      <c r="BN82" s="64">
        <v>30</v>
      </c>
      <c r="CU82" s="88" t="str">
        <f t="shared" si="868"/>
        <v>|n攻击+82500|n生命值+330000|n物理伤害+25%|n法术伤害+25%|n杀敌攻击+8|n杀敌业力+1|n杀敌生命+30|n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|Cffbbbbbb属性：|r|n攻击+82500|n生命值+330000|n物理伤害+25%|n法术伤害+25%|n杀敌攻击+8|n杀敌业力+1|n杀敌生命+30|n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|n攻击+82500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|n生命值+330000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spans="1:175" ht="16.5">
      <c r="A83" s="2"/>
      <c r="B83" s="1" t="s">
        <v>369</v>
      </c>
      <c r="C83" s="2" t="s">
        <v>370</v>
      </c>
      <c r="E83" s="90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2"/>
      <c r="Q83" s="92"/>
      <c r="R83" s="92"/>
      <c r="S83" s="95"/>
      <c r="T83" s="93"/>
      <c r="U83" s="94" t="s">
        <v>371</v>
      </c>
      <c r="V83" s="10">
        <v>120000</v>
      </c>
      <c r="Z83" s="10">
        <v>480000</v>
      </c>
      <c r="AG83" s="98"/>
      <c r="AJ83" s="64">
        <v>25</v>
      </c>
      <c r="AK83" s="64">
        <v>25</v>
      </c>
      <c r="AL83" s="98"/>
      <c r="BC83" s="99"/>
      <c r="BD83" s="99"/>
      <c r="BL83" s="64">
        <v>8</v>
      </c>
      <c r="BM83" s="64">
        <v>1</v>
      </c>
      <c r="BN83" s="64">
        <v>30</v>
      </c>
      <c r="CU83" s="88" t="str">
        <f t="shared" si="868"/>
        <v>|n攻击+120000|n生命值+480000|n物理伤害+25%|n法术伤害+25%|n杀敌攻击+8|n杀敌业力+1|n杀敌生命+30|n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|Cffbbbbbb属性：|r|n攻击+120000|n生命值+480000|n物理伤害+25%|n法术伤害+25%|n杀敌攻击+8|n杀敌业力+1|n杀敌生命+30|n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|n攻击+120000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|n生命值+480000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spans="1:175" ht="16.5">
      <c r="A84" s="2"/>
      <c r="B84" s="1" t="s">
        <v>372</v>
      </c>
      <c r="C84" s="2" t="s">
        <v>373</v>
      </c>
      <c r="E84" s="90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2"/>
      <c r="Q84" s="92"/>
      <c r="R84" s="92"/>
      <c r="S84" s="95"/>
      <c r="T84" s="93"/>
      <c r="U84" s="94" t="s">
        <v>374</v>
      </c>
      <c r="V84" s="10">
        <v>180000</v>
      </c>
      <c r="Z84" s="10">
        <v>720000</v>
      </c>
      <c r="AG84" s="98"/>
      <c r="AJ84" s="64">
        <v>30</v>
      </c>
      <c r="AK84" s="64">
        <v>30</v>
      </c>
      <c r="AL84" s="98"/>
      <c r="BC84" s="99"/>
      <c r="BD84" s="99"/>
      <c r="BL84" s="64">
        <v>8</v>
      </c>
      <c r="BM84" s="64">
        <v>1</v>
      </c>
      <c r="BN84" s="64">
        <v>30</v>
      </c>
      <c r="CU84" s="88" t="str">
        <f t="shared" si="868"/>
        <v>|n攻击+180000|n生命值+720000|n物理伤害+30%|n法术伤害+30%|n杀敌攻击+8|n杀敌业力+1|n杀敌生命+30|n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|Cffbbbbbb属性：|r|n攻击+180000|n生命值+720000|n物理伤害+30%|n法术伤害+30%|n杀敌攻击+8|n杀敌业力+1|n杀敌生命+30|n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|n攻击+180000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|n生命值+720000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spans="1:175" ht="16.5">
      <c r="A85" s="2"/>
      <c r="B85" s="1" t="s">
        <v>375</v>
      </c>
      <c r="C85" s="2" t="s">
        <v>376</v>
      </c>
      <c r="E85" s="91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2"/>
      <c r="Q85" s="92"/>
      <c r="R85" s="92"/>
      <c r="S85" s="95"/>
      <c r="T85" s="93"/>
      <c r="U85" s="94" t="s">
        <v>377</v>
      </c>
      <c r="V85" s="10">
        <v>300000</v>
      </c>
      <c r="Z85" s="10">
        <v>1200000</v>
      </c>
      <c r="AG85" s="98"/>
      <c r="AJ85" s="64">
        <v>30</v>
      </c>
      <c r="AK85" s="64">
        <v>30</v>
      </c>
      <c r="AL85" s="98"/>
      <c r="BC85" s="99"/>
      <c r="BD85" s="99"/>
      <c r="BL85" s="64">
        <v>8</v>
      </c>
      <c r="BM85" s="64">
        <v>1</v>
      </c>
      <c r="BN85" s="64">
        <v>30</v>
      </c>
      <c r="CU85" s="88" t="str">
        <f t="shared" si="868"/>
        <v>|n攻击+300000|n生命值+1200000|n物理伤害+30%|n法术伤害+30%|n杀敌攻击+8|n杀敌业力+1|n杀敌生命+30|n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|Cffbbbbbb属性：|r|n攻击+300000|n生命值+1200000|n物理伤害+30%|n法术伤害+30%|n杀敌攻击+8|n杀敌业力+1|n杀敌生命+30|n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|n攻击+300000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|n生命值+1200000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spans="1:175" ht="16.5">
      <c r="A86" s="2"/>
      <c r="B86" s="1" t="s">
        <v>378</v>
      </c>
      <c r="C86" s="2" t="s">
        <v>379</v>
      </c>
      <c r="E86" s="91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2"/>
      <c r="Q86" s="92"/>
      <c r="R86" s="92"/>
      <c r="S86" s="95"/>
      <c r="T86" s="93"/>
      <c r="U86" s="94" t="s">
        <v>380</v>
      </c>
      <c r="V86" s="10">
        <v>450000</v>
      </c>
      <c r="Z86" s="10">
        <v>1800000</v>
      </c>
      <c r="AG86" s="98"/>
      <c r="AJ86" s="64">
        <v>30</v>
      </c>
      <c r="AK86" s="64">
        <v>30</v>
      </c>
      <c r="AL86" s="98"/>
      <c r="BC86" s="99"/>
      <c r="BD86" s="99"/>
      <c r="BL86" s="64">
        <v>8</v>
      </c>
      <c r="BM86" s="64">
        <v>1</v>
      </c>
      <c r="BN86" s="64">
        <v>30</v>
      </c>
      <c r="CU86" s="88" t="str">
        <f t="shared" si="868"/>
        <v>|n攻击+450000|n生命值+1800000|n物理伤害+30%|n法术伤害+30%|n杀敌攻击+8|n杀敌业力+1|n杀敌生命+30|n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|Cffbbbbbb属性：|r|n攻击+450000|n生命值+1800000|n物理伤害+30%|n法术伤害+30%|n杀敌攻击+8|n杀敌业力+1|n杀敌生命+30|n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|n攻击+450000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|n生命值+1800000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spans="1:175" ht="16.5">
      <c r="A87" s="2"/>
      <c r="B87" s="1" t="s">
        <v>381</v>
      </c>
      <c r="C87" s="2" t="s">
        <v>382</v>
      </c>
      <c r="E87" s="91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2"/>
      <c r="Q87" s="92"/>
      <c r="R87" s="92"/>
      <c r="S87" s="95"/>
      <c r="T87" s="93"/>
      <c r="U87" s="94" t="s">
        <v>383</v>
      </c>
      <c r="V87" s="10">
        <v>750000</v>
      </c>
      <c r="Z87" s="10">
        <v>3000000</v>
      </c>
      <c r="AG87" s="98"/>
      <c r="AJ87" s="64">
        <v>40</v>
      </c>
      <c r="AK87" s="64">
        <v>40</v>
      </c>
      <c r="AL87" s="98"/>
      <c r="BC87" s="99"/>
      <c r="BD87" s="99"/>
      <c r="BL87" s="64">
        <v>8</v>
      </c>
      <c r="BM87" s="64">
        <v>1</v>
      </c>
      <c r="BN87" s="64">
        <v>30</v>
      </c>
      <c r="CU87" s="88" t="str">
        <f t="shared" si="868"/>
        <v>|n攻击+750000|n生命值+3000000|n物理伤害+40%|n法术伤害+40%|n杀敌攻击+8|n杀敌业力+1|n杀敌生命+30|n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|Cffbbbbbb属性：|r|n攻击+750000|n生命值+3000000|n物理伤害+40%|n法术伤害+40%|n杀敌攻击+8|n杀敌业力+1|n杀敌生命+30|n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|n攻击+750000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|n生命值+3000000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spans="1:175" ht="16.5">
      <c r="A88" s="9"/>
      <c r="B88" s="9" t="s">
        <v>384</v>
      </c>
      <c r="C88" s="12" t="s">
        <v>385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77" t="s">
        <v>386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8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spans="1:175" ht="16.5">
      <c r="A89" s="9"/>
      <c r="B89" s="9" t="s">
        <v>387</v>
      </c>
      <c r="C89" s="12" t="s">
        <v>388</v>
      </c>
      <c r="T89" s="9" t="str">
        <f t="shared" ref="T89:T97" si="1015">"|CffCCCCCC道果属性：|r"&amp;CU79&amp;"|n|Cff00FF7F点击吸收道果，强行突破境界。|r"</f>
        <v>|CffCCCCCC道果属性：|r|n攻击+18000|n生命值+72000|n物理伤害+20%|n法术伤害+20%|n杀敌攻击+8|n杀敌业力+1|n杀敌生命+30|n|n|Cff00FF7F点击吸收道果，强行突破境界。|r</v>
      </c>
      <c r="U89" s="77" t="s">
        <v>389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88" t="str">
        <f t="shared" si="943"/>
        <v>|n</v>
      </c>
      <c r="CV89" s="19" t="str">
        <f t="shared" si="944"/>
        <v>|CffCCCCCC道果属性：|r|n攻击+18000|n生命值+72000|n物理伤害+20%|n法术伤害+20%|n杀敌攻击+8|n杀敌业力+1|n杀敌生命+30|n|n|Cff00FF7F点击吸收道果，强行突破境界。|r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spans="1:175" ht="16.5">
      <c r="A90" s="9"/>
      <c r="B90" s="9" t="s">
        <v>390</v>
      </c>
      <c r="C90" s="13" t="s">
        <v>391</v>
      </c>
      <c r="T90" s="9" t="str">
        <f t="shared" si="1015"/>
        <v>|CffCCCCCC道果属性：|r|n攻击+37500|n生命值+150000|n物理伤害+20%|n法术伤害+20%|n杀敌攻击+8|n杀敌业力+1|n杀敌生命+30|n|n|Cff00FF7F点击吸收道果，强行突破境界。|r</v>
      </c>
      <c r="U90" s="77" t="s">
        <v>392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88" t="str">
        <f t="shared" si="943"/>
        <v>|n</v>
      </c>
      <c r="CV90" s="19" t="str">
        <f t="shared" si="944"/>
        <v>|CffCCCCCC道果属性：|r|n攻击+37500|n生命值+150000|n物理伤害+20%|n法术伤害+20%|n杀敌攻击+8|n杀敌业力+1|n杀敌生命+30|n|n|Cff00FF7F点击吸收道果，强行突破境界。|r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spans="1:175" ht="16.5">
      <c r="A91" s="9"/>
      <c r="B91" s="9" t="s">
        <v>393</v>
      </c>
      <c r="C91" s="13" t="s">
        <v>394</v>
      </c>
      <c r="T91" s="9" t="str">
        <f t="shared" si="1015"/>
        <v>|CffCCCCCC道果属性：|r|n攻击+60000|n生命值+240000|n物理伤害+25%|n法术伤害+25%|n杀敌攻击+8|n杀敌业力+1|n杀敌生命+30|n|n|Cff00FF7F点击吸收道果，强行突破境界。|r</v>
      </c>
      <c r="U91" s="77" t="s">
        <v>395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88" t="str">
        <f t="shared" si="943"/>
        <v>|n</v>
      </c>
      <c r="CV91" s="19" t="str">
        <f t="shared" si="944"/>
        <v>|CffCCCCCC道果属性：|r|n攻击+60000|n生命值+240000|n物理伤害+25%|n法术伤害+25%|n杀敌攻击+8|n杀敌业力+1|n杀敌生命+30|n|n|Cff00FF7F点击吸收道果，强行突破境界。|r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spans="1:175" ht="16.5">
      <c r="A92" s="9"/>
      <c r="B92" s="9" t="s">
        <v>396</v>
      </c>
      <c r="C92" s="13" t="s">
        <v>397</v>
      </c>
      <c r="T92" s="9" t="str">
        <f t="shared" si="1015"/>
        <v>|CffCCCCCC道果属性：|r|n攻击+82500|n生命值+330000|n物理伤害+25%|n法术伤害+25%|n杀敌攻击+8|n杀敌业力+1|n杀敌生命+30|n|n|Cff00FF7F点击吸收道果，强行突破境界。|r</v>
      </c>
      <c r="U92" s="77" t="s">
        <v>398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8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|CffCCCCCC道果属性：|r|n攻击+82500|n生命值+330000|n物理伤害+25%|n法术伤害+25%|n杀敌攻击+8|n杀敌业力+1|n杀敌生命+30|n|n|Cff00FF7F点击吸收道果，强行突破境界。|r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spans="1:175" ht="16.5">
      <c r="A93" s="9"/>
      <c r="B93" s="9" t="s">
        <v>399</v>
      </c>
      <c r="C93" s="2" t="s">
        <v>400</v>
      </c>
      <c r="T93" s="9" t="str">
        <f t="shared" si="1015"/>
        <v>|CffCCCCCC道果属性：|r|n攻击+120000|n生命值+480000|n物理伤害+25%|n法术伤害+25%|n杀敌攻击+8|n杀敌业力+1|n杀敌生命+30|n|n|Cff00FF7F点击吸收道果，强行突破境界。|r</v>
      </c>
      <c r="U93" s="77" t="s">
        <v>401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88" t="str">
        <f t="shared" si="1020"/>
        <v>|n</v>
      </c>
      <c r="CV93" s="19" t="str">
        <f t="shared" si="1021"/>
        <v>|CffCCCCCC道果属性：|r|n攻击+120000|n生命值+480000|n物理伤害+25%|n法术伤害+25%|n杀敌攻击+8|n杀敌业力+1|n杀敌生命+30|n|n|Cff00FF7F点击吸收道果，强行突破境界。|r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spans="1:175" ht="16.5">
      <c r="A94" s="9"/>
      <c r="B94" s="9" t="s">
        <v>402</v>
      </c>
      <c r="C94" s="2" t="s">
        <v>403</v>
      </c>
      <c r="T94" s="9" t="str">
        <f t="shared" si="1015"/>
        <v>|CffCCCCCC道果属性：|r|n攻击+180000|n生命值+720000|n物理伤害+30%|n法术伤害+30%|n杀敌攻击+8|n杀敌业力+1|n杀敌生命+30|n|n|Cff00FF7F点击吸收道果，强行突破境界。|r</v>
      </c>
      <c r="U94" s="77" t="s">
        <v>404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88" t="str">
        <f t="shared" si="1020"/>
        <v>|n</v>
      </c>
      <c r="CV94" s="19" t="str">
        <f t="shared" si="1021"/>
        <v>|CffCCCCCC道果属性：|r|n攻击+180000|n生命值+720000|n物理伤害+30%|n法术伤害+30%|n杀敌攻击+8|n杀敌业力+1|n杀敌生命+30|n|n|Cff00FF7F点击吸收道果，强行突破境界。|r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spans="1:175" ht="16.5">
      <c r="A95" s="9"/>
      <c r="B95" s="9" t="s">
        <v>405</v>
      </c>
      <c r="C95" s="2" t="s">
        <v>406</v>
      </c>
      <c r="T95" s="9" t="str">
        <f t="shared" si="1015"/>
        <v>|CffCCCCCC道果属性：|r|n攻击+300000|n生命值+1200000|n物理伤害+30%|n法术伤害+30%|n杀敌攻击+8|n杀敌业力+1|n杀敌生命+30|n|n|Cff00FF7F点击吸收道果，强行突破境界。|r</v>
      </c>
      <c r="U95" s="77" t="s">
        <v>407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88" t="str">
        <f t="shared" si="1020"/>
        <v>|n</v>
      </c>
      <c r="CV95" s="19" t="str">
        <f t="shared" si="1021"/>
        <v>|CffCCCCCC道果属性：|r|n攻击+300000|n生命值+1200000|n物理伤害+30%|n法术伤害+30%|n杀敌攻击+8|n杀敌业力+1|n杀敌生命+30|n|n|Cff00FF7F点击吸收道果，强行突破境界。|r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spans="1:175" ht="16.5">
      <c r="A96" s="9"/>
      <c r="B96" s="9" t="s">
        <v>408</v>
      </c>
      <c r="C96" s="2" t="s">
        <v>409</v>
      </c>
      <c r="T96" s="9" t="str">
        <f t="shared" si="1015"/>
        <v>|CffCCCCCC道果属性：|r|n攻击+450000|n生命值+1800000|n物理伤害+30%|n法术伤害+30%|n杀敌攻击+8|n杀敌业力+1|n杀敌生命+30|n|n|Cff00FF7F点击吸收道果，强行突破境界。|r</v>
      </c>
      <c r="U96" s="77" t="s">
        <v>410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8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|CffCCCCCC道果属性：|r|n攻击+450000|n生命值+1800000|n物理伤害+30%|n法术伤害+30%|n杀敌攻击+8|n杀敌业力+1|n杀敌生命+30|n|n|Cff00FF7F点击吸收道果，强行突破境界。|r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spans="1:175" ht="16.5">
      <c r="A97" s="9"/>
      <c r="B97" s="9" t="s">
        <v>411</v>
      </c>
      <c r="C97" s="2" t="s">
        <v>412</v>
      </c>
      <c r="T97" s="9" t="str">
        <f t="shared" si="1015"/>
        <v>|CffCCCCCC道果属性：|r|n攻击+750000|n生命值+3000000|n物理伤害+40%|n法术伤害+40%|n杀敌攻击+8|n杀敌业力+1|n杀敌生命+30|n|n|Cff00FF7F点击吸收道果，强行突破境界。|r</v>
      </c>
      <c r="U97" s="77" t="s">
        <v>413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8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|CffCCCCCC道果属性：|r|n攻击+750000|n生命值+3000000|n物理伤害+40%|n法术伤害+40%|n杀敌攻击+8|n杀敌业力+1|n杀敌生命+30|n|n|Cff00FF7F点击吸收道果，强行突破境界。|r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spans="1:175" ht="16.5">
      <c r="A98" s="9"/>
      <c r="B98" s="9" t="s">
        <v>414</v>
      </c>
      <c r="C98" s="12" t="s">
        <v>415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77" t="s">
        <v>416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88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spans="1:175" ht="16.5">
      <c r="A99" s="9"/>
      <c r="B99" s="9" t="s">
        <v>417</v>
      </c>
      <c r="C99" s="12" t="s">
        <v>418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|CffCCCCCC道果属性：|r|n攻击+18000|n生命值+72000|n物理伤害+20%|n法术伤害+20%|n杀敌攻击+8|n杀敌业力+1|n杀敌生命+30|n|n|Cff00FF7F点击吸收道果，境界突破一级。|n需境界经验达到圆满。|r</v>
      </c>
      <c r="U99" s="77" t="s">
        <v>419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88" t="str">
        <f t="shared" si="1242"/>
        <v>|n</v>
      </c>
      <c r="CV99" s="19" t="str">
        <f t="shared" si="1243"/>
        <v>|CffCCCCCC道果属性：|r|n攻击+18000|n生命值+72000|n物理伤害+20%|n法术伤害+20%|n杀敌攻击+8|n杀敌业力+1|n杀敌生命+30|n|n|Cff00FF7F点击吸收道果，境界突破一级。|n需境界经验达到圆满。|r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spans="1:175" ht="16.5">
      <c r="A100" s="9"/>
      <c r="B100" s="9" t="s">
        <v>420</v>
      </c>
      <c r="C100" s="13" t="s">
        <v>421</v>
      </c>
      <c r="T100" s="9" t="str">
        <f t="shared" si="1244"/>
        <v>|CffCCCCCC道果属性：|r|n攻击+37500|n生命值+150000|n物理伤害+20%|n法术伤害+20%|n杀敌攻击+8|n杀敌业力+1|n杀敌生命+30|n|n|Cff00FF7F点击吸收道果，境界突破一级。|n需境界经验达到圆满。|r</v>
      </c>
      <c r="U100" s="77" t="s">
        <v>422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88" t="str">
        <f t="shared" si="1242"/>
        <v>|n</v>
      </c>
      <c r="CV100" s="19" t="str">
        <f t="shared" si="1243"/>
        <v>|CffCCCCCC道果属性：|r|n攻击+37500|n生命值+150000|n物理伤害+20%|n法术伤害+20%|n杀敌攻击+8|n杀敌业力+1|n杀敌生命+30|n|n|Cff00FF7F点击吸收道果，境界突破一级。|n需境界经验达到圆满。|r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spans="1:175" ht="16.5">
      <c r="A101" s="9"/>
      <c r="B101" s="9" t="s">
        <v>423</v>
      </c>
      <c r="C101" s="13" t="s">
        <v>424</v>
      </c>
      <c r="T101" s="9" t="str">
        <f t="shared" si="1244"/>
        <v>|CffCCCCCC道果属性：|r|n攻击+60000|n生命值+240000|n物理伤害+25%|n法术伤害+25%|n杀敌攻击+8|n杀敌业力+1|n杀敌生命+30|n|n|Cff00FF7F点击吸收道果，境界突破一级。|n需境界经验达到圆满。|r</v>
      </c>
      <c r="U101" s="77" t="s">
        <v>425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88" t="str">
        <f t="shared" si="1242"/>
        <v>|n</v>
      </c>
      <c r="CV101" s="19" t="str">
        <f t="shared" si="1243"/>
        <v>|CffCCCCCC道果属性：|r|n攻击+60000|n生命值+240000|n物理伤害+25%|n法术伤害+25%|n杀敌攻击+8|n杀敌业力+1|n杀敌生命+30|n|n|Cff00FF7F点击吸收道果，境界突破一级。|n需境界经验达到圆满。|r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spans="1:175" ht="16.5">
      <c r="A102" s="9"/>
      <c r="B102" s="9" t="s">
        <v>426</v>
      </c>
      <c r="C102" s="13" t="s">
        <v>427</v>
      </c>
      <c r="T102" s="9" t="str">
        <f t="shared" si="1244"/>
        <v>|CffCCCCCC道果属性：|r|n攻击+82500|n生命值+330000|n物理伤害+25%|n法术伤害+25%|n杀敌攻击+8|n杀敌业力+1|n杀敌生命+30|n|n|Cff00FF7F点击吸收道果，境界突破一级。|n需境界经验达到圆满。|r</v>
      </c>
      <c r="U102" s="77" t="s">
        <v>428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88" t="str">
        <f t="shared" si="1242"/>
        <v>|n</v>
      </c>
      <c r="CV102" s="19" t="str">
        <f t="shared" si="1243"/>
        <v>|CffCCCCCC道果属性：|r|n攻击+82500|n生命值+330000|n物理伤害+25%|n法术伤害+25%|n杀敌攻击+8|n杀敌业力+1|n杀敌生命+30|n|n|Cff00FF7F点击吸收道果，境界突破一级。|n需境界经验达到圆满。|r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12" si="1245">IF(V102="","","|n"&amp;DB$2&amp;"+"&amp;V102&amp;DB$1)</f>
        <v/>
      </c>
      <c r="DC102" s="66" t="str">
        <f t="shared" ref="DC102:DC112" si="1246">IF(W102="","","|n"&amp;DC$2&amp;"+"&amp;W102&amp;DC$1)</f>
        <v/>
      </c>
      <c r="DD102" s="66" t="str">
        <f t="shared" ref="DD102:DD112" si="1247">IF(X102="","","|n"&amp;DD$2&amp;"+"&amp;X102&amp;DD$1)</f>
        <v/>
      </c>
      <c r="DE102" s="66" t="str">
        <f t="shared" ref="DE102:DE112" si="1248">IF(Y102="","","|n"&amp;DE$2&amp;"+"&amp;Y102&amp;DE$1)</f>
        <v/>
      </c>
      <c r="DF102" s="66" t="str">
        <f t="shared" ref="DF102:DF112" si="1249">IF(Z102="","","|n"&amp;DF$2&amp;"+"&amp;Z102&amp;DF$1)</f>
        <v/>
      </c>
      <c r="DG102" s="66" t="str">
        <f t="shared" ref="DG102:DG112" si="1250">IF(AA102="","","|n"&amp;DG$2&amp;"+"&amp;AA102&amp;DG$1)</f>
        <v/>
      </c>
      <c r="DH102" s="66" t="str">
        <f t="shared" ref="DH102:DH112" si="1251">IF(AB102="","","|n"&amp;DH$2&amp;"+"&amp;AB102&amp;DH$1)</f>
        <v/>
      </c>
      <c r="DI102" s="66" t="str">
        <f t="shared" ref="DI102:DI112" si="1252">IF(AC102="","","|n"&amp;DI$2&amp;"+"&amp;AC102&amp;DI$1)</f>
        <v/>
      </c>
      <c r="DJ102" s="66" t="str">
        <f t="shared" ref="DJ102:DJ112" si="1253">IF(AD102="","","|n"&amp;DJ$2&amp;"+"&amp;AD102&amp;DJ$1)</f>
        <v/>
      </c>
      <c r="DK102" s="66" t="str">
        <f t="shared" ref="DK102:DK112" si="1254">IF(AE102="","","|n"&amp;DK$2&amp;"+"&amp;AE102&amp;DK$1)</f>
        <v/>
      </c>
      <c r="DL102" s="66" t="str">
        <f t="shared" ref="DL102:DL112" si="1255">IF(AF102="","","|n"&amp;DL$2&amp;"+"&amp;AF102&amp;DL$1)</f>
        <v/>
      </c>
      <c r="DM102" s="66" t="str">
        <f t="shared" ref="DM102:DM112" si="1256">IF(AG102="","","|n"&amp;DM$2&amp;"+"&amp;AG102&amp;DM$1)</f>
        <v/>
      </c>
      <c r="DN102" s="66" t="str">
        <f t="shared" ref="DN102:DN112" si="1257">IF(AH102="","","|n"&amp;DN$2&amp;"+"&amp;AH102&amp;DN$1)</f>
        <v/>
      </c>
      <c r="DO102" s="66" t="str">
        <f t="shared" ref="DO102:DO112" si="1258">IF(AI102="","","|n"&amp;DO$2&amp;"+"&amp;AI102&amp;DO$1)</f>
        <v/>
      </c>
      <c r="DP102" s="66" t="str">
        <f t="shared" ref="DP102:DP112" si="1259">IF(AJ102="","","|n"&amp;DP$2&amp;"+"&amp;AJ102&amp;DP$1)</f>
        <v/>
      </c>
      <c r="DQ102" s="66" t="str">
        <f t="shared" ref="DQ102:DQ112" si="1260">IF(AK102="","","|n"&amp;DQ$2&amp;"+"&amp;AK102&amp;DQ$1)</f>
        <v/>
      </c>
      <c r="DR102" s="66" t="str">
        <f t="shared" ref="DR102:DR112" si="1261">IF(AL102="","","|n"&amp;DR$2&amp;"+"&amp;AL102&amp;DR$1)</f>
        <v/>
      </c>
      <c r="DS102" s="66" t="str">
        <f t="shared" ref="DS102:DS112" si="1262">IF(AM102="","","|n"&amp;DS$2&amp;"+"&amp;AM102&amp;DS$1)</f>
        <v/>
      </c>
      <c r="DT102" s="66" t="str">
        <f t="shared" ref="DT102:DT112" si="1263">IF(AN102="","","|n"&amp;DT$2&amp;"+"&amp;AN102&amp;DT$1)</f>
        <v/>
      </c>
      <c r="DU102" s="66" t="str">
        <f t="shared" ref="DU102:DU112" si="1264">IF(AO102="","","|n"&amp;DU$2&amp;"+"&amp;AO102&amp;DU$1)</f>
        <v/>
      </c>
      <c r="DV102" s="66" t="str">
        <f t="shared" ref="DV102:DV112" si="1265">IF(AP102="","","|n"&amp;DV$2&amp;"+"&amp;AP102&amp;DV$1)</f>
        <v/>
      </c>
      <c r="DW102" s="66" t="str">
        <f t="shared" ref="DW102:DW112" si="1266">IF(AQ102="","","|n"&amp;DW$2&amp;"+"&amp;AQ102&amp;DW$1)</f>
        <v/>
      </c>
      <c r="DX102" s="66" t="str">
        <f t="shared" ref="DX102:DX112" si="1267">IF(AR102="","","|n"&amp;DX$2&amp;"+"&amp;AR102&amp;DX$1)</f>
        <v/>
      </c>
      <c r="DY102" s="66" t="str">
        <f t="shared" ref="DY102:DY112" si="1268">IF(AS102="","","|n"&amp;DY$2&amp;"+"&amp;AS102&amp;DY$1)</f>
        <v/>
      </c>
      <c r="DZ102" s="66" t="str">
        <f t="shared" ref="DZ102:DZ112" si="1269">IF(AT102="","","|n"&amp;DZ$2&amp;"+"&amp;AT102&amp;DZ$1)</f>
        <v/>
      </c>
      <c r="EA102" s="66" t="str">
        <f t="shared" ref="EA102:EA112" si="1270">IF(AU102="","","|n"&amp;EA$2&amp;"+"&amp;AU102&amp;EA$1)</f>
        <v/>
      </c>
      <c r="EB102" s="66" t="str">
        <f t="shared" ref="EB102:EB112" si="1271">IF(AV102="","","|n"&amp;EB$2&amp;"+"&amp;AV102&amp;EB$1)</f>
        <v/>
      </c>
      <c r="EC102" s="66" t="str">
        <f t="shared" ref="EC102:EC112" si="1272">IF(AW102="","","|n"&amp;EC$2&amp;"+"&amp;AW102&amp;EC$1)</f>
        <v/>
      </c>
      <c r="ED102" s="66" t="str">
        <f t="shared" ref="ED102:ED112" si="1273">IF(AX102="","","|n"&amp;ED$2&amp;"+"&amp;AX102&amp;ED$1)</f>
        <v/>
      </c>
      <c r="EE102" s="66" t="str">
        <f t="shared" ref="EE102:EE112" si="1274">IF(AY102="","","|n"&amp;EE$2&amp;"+"&amp;AY102&amp;EE$1)</f>
        <v/>
      </c>
      <c r="EF102" s="66" t="str">
        <f t="shared" ref="EF102:EF112" si="1275">IF(AZ102="","","|n"&amp;EF$2&amp;"+"&amp;AZ102&amp;EF$1)</f>
        <v/>
      </c>
      <c r="EG102" s="66" t="str">
        <f t="shared" ref="EG102:EG112" si="1276">IF(BA102="","","|n"&amp;EG$2&amp;"+"&amp;BA102&amp;EG$1)</f>
        <v/>
      </c>
      <c r="EH102" s="66" t="str">
        <f t="shared" ref="EH102:EH112" si="1277">IF(BB102="","","|n"&amp;EH$2&amp;"+"&amp;BB102&amp;EH$1)</f>
        <v/>
      </c>
      <c r="EI102" s="66" t="str">
        <f t="shared" ref="EI102:EI112" si="1278">IF(BC102="","","|n"&amp;EI$2&amp;"+"&amp;BC102&amp;EI$1)</f>
        <v/>
      </c>
      <c r="EJ102" s="66" t="str">
        <f t="shared" ref="EJ102:EJ112" si="1279">IF(BD102="","","|n"&amp;EJ$2&amp;"+"&amp;BD102&amp;EJ$1)</f>
        <v/>
      </c>
      <c r="EK102" s="66" t="str">
        <f t="shared" ref="EK102:EK112" si="1280">IF(BE102="","","|n"&amp;EK$2&amp;"+"&amp;BE102&amp;EK$1)</f>
        <v/>
      </c>
      <c r="EL102" s="66" t="str">
        <f t="shared" ref="EL102:EL112" si="1281">IF(BF102="","","|n"&amp;EL$2&amp;"+"&amp;BF102&amp;EL$1)</f>
        <v/>
      </c>
      <c r="EM102" s="66" t="str">
        <f t="shared" ref="EM102:EM112" si="1282">IF(BG102="","","|n"&amp;EM$2&amp;"+"&amp;BG102&amp;EM$1)</f>
        <v/>
      </c>
      <c r="EN102" s="66" t="str">
        <f t="shared" ref="EN102:EN112" si="1283">IF(BH102="","","|n"&amp;EN$2&amp;"+"&amp;BH102&amp;EN$1)</f>
        <v/>
      </c>
      <c r="EO102" s="66" t="str">
        <f t="shared" ref="EO102:EO112" si="1284">IF(BI102="","","|n"&amp;EO$2&amp;"+"&amp;BI102&amp;EO$1)</f>
        <v/>
      </c>
      <c r="EP102" s="66" t="str">
        <f t="shared" ref="EP102:EP112" si="1285">IF(BJ102="","","|n"&amp;EP$2&amp;"+"&amp;BJ102&amp;EP$1)</f>
        <v/>
      </c>
      <c r="EQ102" s="66" t="str">
        <f t="shared" ref="EQ102:EQ112" si="1286">IF(BK102="","","|n"&amp;EQ$2&amp;"+"&amp;BK102&amp;EQ$1)</f>
        <v/>
      </c>
      <c r="ER102" s="66" t="str">
        <f t="shared" ref="ER102:ER112" si="1287">IF(BL102="","","|n"&amp;ER$2&amp;"+"&amp;BL102&amp;ER$1)</f>
        <v/>
      </c>
      <c r="ES102" s="66" t="str">
        <f t="shared" ref="ES102:ES112" si="1288">IF(BM102="","","|n"&amp;ES$2&amp;"+"&amp;BM102&amp;ES$1)</f>
        <v/>
      </c>
      <c r="ET102" s="66" t="str">
        <f t="shared" ref="ET102:ET112" si="1289">IF(BN102="","","|n"&amp;ET$2&amp;"+"&amp;BN102&amp;ET$1)</f>
        <v/>
      </c>
      <c r="EU102" s="66" t="str">
        <f t="shared" ref="EU102:EU112" si="1290">IF(BO102="","","|n"&amp;EU$2&amp;"+"&amp;BO102&amp;EU$1)</f>
        <v/>
      </c>
      <c r="EV102" s="66" t="str">
        <f t="shared" ref="EV102:EV112" si="1291">IF(BP102="","","|n"&amp;EV$2&amp;"+"&amp;BP102&amp;EV$1)</f>
        <v/>
      </c>
      <c r="EW102" s="66" t="str">
        <f t="shared" ref="EW102:EW112" si="1292">IF(BQ102="","","|n"&amp;EW$2&amp;"+"&amp;BQ102&amp;EW$1)</f>
        <v/>
      </c>
      <c r="EX102" s="66" t="str">
        <f t="shared" ref="EX102:EX112" si="1293">IF(BR102="","","|n"&amp;EX$2&amp;"+"&amp;BR102&amp;EX$1)</f>
        <v/>
      </c>
      <c r="EY102" s="66" t="str">
        <f t="shared" ref="EY102:EY112" si="1294">IF(BS102="","","|n"&amp;EY$2&amp;"+"&amp;BS102&amp;EY$1)</f>
        <v/>
      </c>
      <c r="EZ102" s="66" t="str">
        <f t="shared" ref="EZ102:EZ112" si="1295">IF(BT102="","","|n"&amp;EZ$2&amp;"+"&amp;BT102&amp;EZ$1)</f>
        <v/>
      </c>
      <c r="FA102" s="66" t="str">
        <f t="shared" ref="FA102:FA112" si="1296">IF(BU102="","","|n"&amp;FA$2&amp;"+"&amp;BU102&amp;FA$1)</f>
        <v/>
      </c>
      <c r="FB102" s="66" t="str">
        <f t="shared" ref="FB102:FB112" si="1297">IF(BV102="","","|n"&amp;FB$2&amp;"+"&amp;BV102&amp;FB$1)</f>
        <v/>
      </c>
      <c r="FC102" s="66" t="str">
        <f t="shared" ref="FC102:FC112" si="1298">IF(BW102="","","|n"&amp;FC$2&amp;"+"&amp;BW102&amp;FC$1)</f>
        <v/>
      </c>
      <c r="FD102" s="66" t="str">
        <f t="shared" ref="FD102:FD112" si="1299">IF(BX102="","","|n"&amp;FD$2&amp;"+"&amp;BX102&amp;FD$1)</f>
        <v/>
      </c>
      <c r="FE102" s="66" t="str">
        <f t="shared" ref="FE102:FE112" si="1300">IF(BY102="","","|n"&amp;FE$2&amp;"+"&amp;BY102&amp;FE$1)</f>
        <v/>
      </c>
      <c r="FF102" s="66" t="str">
        <f t="shared" ref="FF102:FF112" si="1301">IF(BZ102="","","|n"&amp;FF$2&amp;"+"&amp;BZ102&amp;FF$1)</f>
        <v/>
      </c>
      <c r="FG102" s="66" t="str">
        <f t="shared" ref="FG102:FG112" si="1302">IF(CA102="","","|n"&amp;FG$2&amp;"+"&amp;CA102&amp;FG$1)</f>
        <v/>
      </c>
      <c r="FH102" s="66" t="str">
        <f t="shared" ref="FH102:FH112" si="1303">IF(CB102="","","|n"&amp;FH$2&amp;"+"&amp;CB102&amp;FH$1)</f>
        <v/>
      </c>
      <c r="FI102" s="66" t="str">
        <f t="shared" ref="FI102:FI112" si="1304">IF(CC102="","","|n"&amp;FI$2&amp;"+"&amp;CC102&amp;FI$1)</f>
        <v/>
      </c>
      <c r="FJ102" s="66" t="str">
        <f t="shared" ref="FJ102:FJ112" si="1305">IF(CD102="","","|n"&amp;FJ$2&amp;"+"&amp;CD102&amp;FJ$1)</f>
        <v/>
      </c>
      <c r="FK102" s="66" t="str">
        <f t="shared" ref="FK102:FK112" si="1306">IF(CE102="","","|n"&amp;FK$2&amp;"+"&amp;CE102&amp;FK$1)</f>
        <v/>
      </c>
      <c r="FL102" s="66" t="str">
        <f t="shared" ref="FL102:FL112" si="1307">IF(CF102="","","|n"&amp;FL$2&amp;"+"&amp;CF102&amp;FL$1)</f>
        <v/>
      </c>
      <c r="FM102" s="66" t="str">
        <f t="shared" ref="FM102:FM112" si="1308">IF(CG102="","","|n"&amp;FM$2&amp;"+"&amp;CG102&amp;FM$1)</f>
        <v/>
      </c>
      <c r="FN102" s="66" t="str">
        <f t="shared" ref="FN102:FN112" si="1309">IF(CH102="","","|n"&amp;FN$2&amp;"+"&amp;CH102&amp;FN$1)</f>
        <v/>
      </c>
      <c r="FO102" s="66" t="str">
        <f t="shared" ref="FO102:FO112" si="1310">IF(CI102="","","|n"&amp;FO$2&amp;"+"&amp;CI102&amp;FO$1)</f>
        <v/>
      </c>
      <c r="FP102" s="66" t="str">
        <f t="shared" ref="FP102:FP112" si="1311">IF(CJ102="","","|n"&amp;FP$2&amp;"+"&amp;CJ102&amp;FP$1)</f>
        <v/>
      </c>
      <c r="FQ102" s="66" t="str">
        <f t="shared" ref="FQ102:FQ112" si="1312">IF(CK102="","","|n"&amp;FQ$2&amp;"+"&amp;CK102&amp;FQ$1)</f>
        <v/>
      </c>
      <c r="FR102" s="66" t="str">
        <f t="shared" ref="FR102:FR112" si="1313">IF(CL102="","","|n"&amp;FR$2&amp;"+"&amp;CL102&amp;FR$1)</f>
        <v/>
      </c>
      <c r="FS102" s="66" t="str">
        <f t="shared" ref="FS102:FS112" si="1314">IF(CM102="","","|n"&amp;FS$2&amp;"+"&amp;CM102&amp;FS$1)</f>
        <v/>
      </c>
    </row>
    <row r="103" spans="1:175" ht="16.5">
      <c r="A103" s="9"/>
      <c r="B103" s="9" t="s">
        <v>429</v>
      </c>
      <c r="C103" s="2" t="s">
        <v>430</v>
      </c>
      <c r="T103" s="9" t="str">
        <f t="shared" si="1244"/>
        <v>|CffCCCCCC道果属性：|r|n攻击+120000|n生命值+480000|n物理伤害+25%|n法术伤害+25%|n杀敌攻击+8|n杀敌业力+1|n杀敌生命+30|n|n|Cff00FF7F点击吸收道果，境界突破一级。|n需境界经验达到圆满。|r</v>
      </c>
      <c r="U103" s="77" t="s">
        <v>431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88" t="str">
        <f t="shared" si="1242"/>
        <v>|n</v>
      </c>
      <c r="CV103" s="19" t="str">
        <f t="shared" si="1243"/>
        <v>|CffCCCCCC道果属性：|r|n攻击+120000|n生命值+480000|n物理伤害+25%|n法术伤害+25%|n杀敌攻击+8|n杀敌业力+1|n杀敌生命+30|n|n|Cff00FF7F点击吸收道果，境界突破一级。|n需境界经验达到圆满。|r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spans="1:175" ht="16.5">
      <c r="A104" s="9"/>
      <c r="B104" s="9" t="s">
        <v>432</v>
      </c>
      <c r="C104" s="2" t="s">
        <v>433</v>
      </c>
      <c r="T104" s="9" t="str">
        <f t="shared" si="1244"/>
        <v>|CffCCCCCC道果属性：|r|n攻击+180000|n生命值+720000|n物理伤害+30%|n法术伤害+30%|n杀敌攻击+8|n杀敌业力+1|n杀敌生命+30|n|n|Cff00FF7F点击吸收道果，境界突破一级。|n需境界经验达到圆满。|r</v>
      </c>
      <c r="U104" s="77" t="s">
        <v>434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88" t="str">
        <f t="shared" si="1242"/>
        <v>|n</v>
      </c>
      <c r="CV104" s="19" t="str">
        <f t="shared" si="1243"/>
        <v>|CffCCCCCC道果属性：|r|n攻击+180000|n生命值+720000|n物理伤害+30%|n法术伤害+30%|n杀敌攻击+8|n杀敌业力+1|n杀敌生命+30|n|n|Cff00FF7F点击吸收道果，境界突破一级。|n需境界经验达到圆满。|r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spans="1:175" ht="16.5">
      <c r="A105" s="9"/>
      <c r="B105" s="9" t="s">
        <v>435</v>
      </c>
      <c r="C105" s="2" t="s">
        <v>436</v>
      </c>
      <c r="T105" s="9" t="str">
        <f t="shared" si="1244"/>
        <v>|CffCCCCCC道果属性：|r|n攻击+300000|n生命值+1200000|n物理伤害+30%|n法术伤害+30%|n杀敌攻击+8|n杀敌业力+1|n杀敌生命+30|n|n|Cff00FF7F点击吸收道果，境界突破一级。|n需境界经验达到圆满。|r</v>
      </c>
      <c r="U105" s="77" t="s">
        <v>437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88" t="str">
        <f t="shared" si="1242"/>
        <v>|n</v>
      </c>
      <c r="CV105" s="19" t="str">
        <f t="shared" si="1243"/>
        <v>|CffCCCCCC道果属性：|r|n攻击+300000|n生命值+1200000|n物理伤害+30%|n法术伤害+30%|n杀敌攻击+8|n杀敌业力+1|n杀敌生命+30|n|n|Cff00FF7F点击吸收道果，境界突破一级。|n需境界经验达到圆满。|r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spans="1:175" ht="16.5">
      <c r="A106" s="9"/>
      <c r="B106" s="9" t="s">
        <v>438</v>
      </c>
      <c r="C106" s="2" t="s">
        <v>439</v>
      </c>
      <c r="T106" s="9" t="str">
        <f t="shared" si="1244"/>
        <v>|CffCCCCCC道果属性：|r|n攻击+450000|n生命值+1800000|n物理伤害+30%|n法术伤害+30%|n杀敌攻击+8|n杀敌业力+1|n杀敌生命+30|n|n|Cff00FF7F点击吸收道果，境界突破一级。|n需境界经验达到圆满。|r</v>
      </c>
      <c r="U106" s="77" t="s">
        <v>440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88" t="str">
        <f t="shared" si="1242"/>
        <v>|n</v>
      </c>
      <c r="CV106" s="19" t="str">
        <f t="shared" si="1243"/>
        <v>|CffCCCCCC道果属性：|r|n攻击+450000|n生命值+1800000|n物理伤害+30%|n法术伤害+30%|n杀敌攻击+8|n杀敌业力+1|n杀敌生命+30|n|n|Cff00FF7F点击吸收道果，境界突破一级。|n需境界经验达到圆满。|r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spans="1:175" ht="16.5">
      <c r="A107" s="9"/>
      <c r="B107" s="9" t="s">
        <v>441</v>
      </c>
      <c r="C107" s="2" t="s">
        <v>442</v>
      </c>
      <c r="T107" s="9" t="str">
        <f t="shared" si="1244"/>
        <v>|CffCCCCCC道果属性：|r|n攻击+750000|n生命值+3000000|n物理伤害+40%|n法术伤害+40%|n杀敌攻击+8|n杀敌业力+1|n杀敌生命+30|n|n|Cff00FF7F点击吸收道果，境界突破一级。|n需境界经验达到圆满。|r</v>
      </c>
      <c r="U107" s="77" t="s">
        <v>443</v>
      </c>
      <c r="CN107" s="36" t="str">
        <f t="shared" ref="CN107:CN112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12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12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12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88" t="str">
        <f t="shared" ref="CU107:CU112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12" si="1320">T107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spans="1:175" ht="16.5">
      <c r="A108" s="9"/>
      <c r="B108" s="9" t="s">
        <v>444</v>
      </c>
      <c r="C108" s="9" t="s">
        <v>445</v>
      </c>
      <c r="T108" s="9" t="s">
        <v>446</v>
      </c>
      <c r="U108" s="77" t="s">
        <v>447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88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spans="1:175" ht="16.5">
      <c r="A109" s="9"/>
      <c r="B109" s="9" t="s">
        <v>922</v>
      </c>
      <c r="C109" s="9" t="s">
        <v>449</v>
      </c>
      <c r="T109" s="9" t="s">
        <v>930</v>
      </c>
      <c r="U109" s="77" t="s">
        <v>450</v>
      </c>
      <c r="CN109" s="36" t="str">
        <f t="shared" si="1315"/>
        <v>InitUnitState('I021',,,,,,,,,,)</v>
      </c>
      <c r="CO109" s="36" t="str">
        <f t="shared" si="1316"/>
        <v>InitUnitNormal('I021',,,,,,,,,,)</v>
      </c>
      <c r="CP109" s="36" t="str">
        <f t="shared" si="1317"/>
        <v>InitUnitMagic('I021',,,,,,,,,,)</v>
      </c>
      <c r="CQ109" s="36" t="str">
        <f t="shared" si="1318"/>
        <v>InitUnitAdd('I021',,,,,,,,,,)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88" t="str">
        <f t="shared" si="1319"/>
        <v>|n</v>
      </c>
      <c r="CV109" s="19" t="str">
        <f t="shared" si="1320"/>
        <v>购买需求：灵力x10|n|n使用技能进阶石可消耗品质潜力提升技能品质，只能对A级及以下的技能使用。</v>
      </c>
      <c r="CW109" s="33"/>
      <c r="CX109" s="33"/>
      <c r="CY109" s="33"/>
      <c r="CZ109" s="33"/>
      <c r="DA109" s="33"/>
      <c r="DB109" s="66" t="str">
        <f t="shared" si="1245"/>
        <v/>
      </c>
      <c r="DC109" s="66" t="str">
        <f t="shared" si="1246"/>
        <v/>
      </c>
      <c r="DD109" s="66" t="str">
        <f t="shared" si="1247"/>
        <v/>
      </c>
      <c r="DE109" s="66" t="str">
        <f t="shared" si="1248"/>
        <v/>
      </c>
      <c r="DF109" s="66" t="str">
        <f t="shared" si="1249"/>
        <v/>
      </c>
      <c r="DG109" s="66" t="str">
        <f t="shared" si="1250"/>
        <v/>
      </c>
      <c r="DH109" s="66" t="str">
        <f t="shared" si="1251"/>
        <v/>
      </c>
      <c r="DI109" s="66" t="str">
        <f t="shared" si="1252"/>
        <v/>
      </c>
      <c r="DJ109" s="66" t="str">
        <f t="shared" si="1253"/>
        <v/>
      </c>
      <c r="DK109" s="66" t="str">
        <f t="shared" si="1254"/>
        <v/>
      </c>
      <c r="DL109" s="66" t="str">
        <f t="shared" si="1255"/>
        <v/>
      </c>
      <c r="DM109" s="66" t="str">
        <f t="shared" si="1256"/>
        <v/>
      </c>
      <c r="DN109" s="66" t="str">
        <f t="shared" si="1257"/>
        <v/>
      </c>
      <c r="DO109" s="66" t="str">
        <f t="shared" si="1258"/>
        <v/>
      </c>
      <c r="DP109" s="66" t="str">
        <f t="shared" si="1259"/>
        <v/>
      </c>
      <c r="DQ109" s="66" t="str">
        <f t="shared" si="1260"/>
        <v/>
      </c>
      <c r="DR109" s="66" t="str">
        <f t="shared" si="1261"/>
        <v/>
      </c>
      <c r="DS109" s="66" t="str">
        <f t="shared" si="1262"/>
        <v/>
      </c>
      <c r="DT109" s="66" t="str">
        <f t="shared" si="1263"/>
        <v/>
      </c>
      <c r="DU109" s="66" t="str">
        <f t="shared" si="1264"/>
        <v/>
      </c>
      <c r="DV109" s="66" t="str">
        <f t="shared" si="1265"/>
        <v/>
      </c>
      <c r="DW109" s="66" t="str">
        <f t="shared" si="1266"/>
        <v/>
      </c>
      <c r="DX109" s="66" t="str">
        <f t="shared" si="1267"/>
        <v/>
      </c>
      <c r="DY109" s="66" t="str">
        <f t="shared" si="1268"/>
        <v/>
      </c>
      <c r="DZ109" s="66" t="str">
        <f t="shared" si="1269"/>
        <v/>
      </c>
      <c r="EA109" s="66" t="str">
        <f t="shared" si="1270"/>
        <v/>
      </c>
      <c r="EB109" s="66" t="str">
        <f t="shared" si="1271"/>
        <v/>
      </c>
      <c r="EC109" s="66" t="str">
        <f t="shared" si="1272"/>
        <v/>
      </c>
      <c r="ED109" s="66" t="str">
        <f t="shared" si="1273"/>
        <v/>
      </c>
      <c r="EE109" s="66" t="str">
        <f t="shared" si="1274"/>
        <v/>
      </c>
      <c r="EF109" s="66" t="str">
        <f t="shared" si="1275"/>
        <v/>
      </c>
      <c r="EG109" s="66" t="str">
        <f t="shared" si="1276"/>
        <v/>
      </c>
      <c r="EH109" s="66" t="str">
        <f t="shared" si="1277"/>
        <v/>
      </c>
      <c r="EI109" s="66" t="str">
        <f t="shared" si="1278"/>
        <v/>
      </c>
      <c r="EJ109" s="66" t="str">
        <f t="shared" si="1279"/>
        <v/>
      </c>
      <c r="EK109" s="66" t="str">
        <f t="shared" si="1280"/>
        <v/>
      </c>
      <c r="EL109" s="66" t="str">
        <f t="shared" si="1281"/>
        <v/>
      </c>
      <c r="EM109" s="66" t="str">
        <f t="shared" si="1282"/>
        <v/>
      </c>
      <c r="EN109" s="66" t="str">
        <f t="shared" si="1283"/>
        <v/>
      </c>
      <c r="EO109" s="66" t="str">
        <f t="shared" si="1284"/>
        <v/>
      </c>
      <c r="EP109" s="66" t="str">
        <f t="shared" si="1285"/>
        <v/>
      </c>
      <c r="EQ109" s="66" t="str">
        <f t="shared" si="1286"/>
        <v/>
      </c>
      <c r="ER109" s="66" t="str">
        <f t="shared" si="1287"/>
        <v/>
      </c>
      <c r="ES109" s="66" t="str">
        <f t="shared" si="1288"/>
        <v/>
      </c>
      <c r="ET109" s="66" t="str">
        <f t="shared" si="1289"/>
        <v/>
      </c>
      <c r="EU109" s="66" t="str">
        <f t="shared" si="1290"/>
        <v/>
      </c>
      <c r="EV109" s="66" t="str">
        <f t="shared" si="1291"/>
        <v/>
      </c>
      <c r="EW109" s="66" t="str">
        <f t="shared" si="1292"/>
        <v/>
      </c>
      <c r="EX109" s="66" t="str">
        <f t="shared" si="1293"/>
        <v/>
      </c>
      <c r="EY109" s="66" t="str">
        <f t="shared" si="1294"/>
        <v/>
      </c>
      <c r="EZ109" s="66" t="str">
        <f t="shared" si="1295"/>
        <v/>
      </c>
      <c r="FA109" s="66" t="str">
        <f t="shared" si="1296"/>
        <v/>
      </c>
      <c r="FB109" s="66" t="str">
        <f t="shared" si="1297"/>
        <v/>
      </c>
      <c r="FC109" s="66" t="str">
        <f t="shared" si="1298"/>
        <v/>
      </c>
      <c r="FD109" s="66" t="str">
        <f t="shared" si="1299"/>
        <v/>
      </c>
      <c r="FE109" s="66" t="str">
        <f t="shared" si="1300"/>
        <v/>
      </c>
      <c r="FF109" s="66" t="str">
        <f t="shared" si="1301"/>
        <v/>
      </c>
      <c r="FG109" s="66" t="str">
        <f t="shared" si="1302"/>
        <v/>
      </c>
      <c r="FH109" s="66" t="str">
        <f t="shared" si="1303"/>
        <v/>
      </c>
      <c r="FI109" s="66" t="str">
        <f t="shared" si="1304"/>
        <v/>
      </c>
      <c r="FJ109" s="66" t="str">
        <f t="shared" si="1305"/>
        <v/>
      </c>
      <c r="FK109" s="66" t="str">
        <f t="shared" si="1306"/>
        <v/>
      </c>
      <c r="FL109" s="66" t="str">
        <f t="shared" si="1307"/>
        <v/>
      </c>
      <c r="FM109" s="66" t="str">
        <f t="shared" si="1308"/>
        <v/>
      </c>
      <c r="FN109" s="66" t="str">
        <f t="shared" si="1309"/>
        <v/>
      </c>
      <c r="FO109" s="66" t="str">
        <f t="shared" si="1310"/>
        <v/>
      </c>
      <c r="FP109" s="66" t="str">
        <f t="shared" si="1311"/>
        <v/>
      </c>
      <c r="FQ109" s="66" t="str">
        <f t="shared" si="1312"/>
        <v/>
      </c>
      <c r="FR109" s="66" t="str">
        <f t="shared" si="1313"/>
        <v/>
      </c>
      <c r="FS109" s="66" t="str">
        <f t="shared" si="1314"/>
        <v/>
      </c>
    </row>
    <row r="110" spans="1:175" ht="16.5">
      <c r="A110" s="9"/>
      <c r="B110" s="9" t="s">
        <v>923</v>
      </c>
      <c r="C110" s="9" t="s">
        <v>926</v>
      </c>
      <c r="T110" s="9" t="s">
        <v>928</v>
      </c>
      <c r="U110" s="77" t="s">
        <v>453</v>
      </c>
      <c r="CN110" s="36" t="str">
        <f t="shared" si="1315"/>
        <v>InitUnitState('I022',,,,,,,,,,)</v>
      </c>
      <c r="CO110" s="36" t="str">
        <f t="shared" si="1316"/>
        <v>InitUnitNormal('I022',,,,,,,,,,)</v>
      </c>
      <c r="CP110" s="36" t="str">
        <f t="shared" si="1317"/>
        <v>InitUnitMagic('I022',,,,,,,,,,)</v>
      </c>
      <c r="CQ110" s="36" t="str">
        <f t="shared" si="1318"/>
        <v>InitUnitAdd('I022',,,,,,,,,,)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88" t="str">
        <f t="shared" si="1319"/>
        <v>|n</v>
      </c>
      <c r="CV110" s="19" t="str">
        <f t="shared" si="1320"/>
        <v>购买需求：灵力x20|n|n使用后为指定技能增加1点品质潜力</v>
      </c>
      <c r="CW110" s="33"/>
      <c r="CX110" s="33"/>
      <c r="CY110" s="33"/>
      <c r="CZ110" s="33"/>
      <c r="DA110" s="33"/>
      <c r="DB110" s="66" t="str">
        <f t="shared" si="1245"/>
        <v/>
      </c>
      <c r="DC110" s="66" t="str">
        <f t="shared" si="1246"/>
        <v/>
      </c>
      <c r="DD110" s="66" t="str">
        <f t="shared" si="1247"/>
        <v/>
      </c>
      <c r="DE110" s="66" t="str">
        <f t="shared" si="1248"/>
        <v/>
      </c>
      <c r="DF110" s="66" t="str">
        <f t="shared" si="1249"/>
        <v/>
      </c>
      <c r="DG110" s="66" t="str">
        <f t="shared" si="1250"/>
        <v/>
      </c>
      <c r="DH110" s="66" t="str">
        <f t="shared" si="1251"/>
        <v/>
      </c>
      <c r="DI110" s="66" t="str">
        <f t="shared" si="1252"/>
        <v/>
      </c>
      <c r="DJ110" s="66" t="str">
        <f t="shared" si="1253"/>
        <v/>
      </c>
      <c r="DK110" s="66" t="str">
        <f t="shared" si="1254"/>
        <v/>
      </c>
      <c r="DL110" s="66" t="str">
        <f t="shared" si="1255"/>
        <v/>
      </c>
      <c r="DM110" s="66" t="str">
        <f t="shared" si="1256"/>
        <v/>
      </c>
      <c r="DN110" s="66" t="str">
        <f t="shared" si="1257"/>
        <v/>
      </c>
      <c r="DO110" s="66" t="str">
        <f t="shared" si="1258"/>
        <v/>
      </c>
      <c r="DP110" s="66" t="str">
        <f t="shared" si="1259"/>
        <v/>
      </c>
      <c r="DQ110" s="66" t="str">
        <f t="shared" si="1260"/>
        <v/>
      </c>
      <c r="DR110" s="66" t="str">
        <f t="shared" si="1261"/>
        <v/>
      </c>
      <c r="DS110" s="66" t="str">
        <f t="shared" si="1262"/>
        <v/>
      </c>
      <c r="DT110" s="66" t="str">
        <f t="shared" si="1263"/>
        <v/>
      </c>
      <c r="DU110" s="66" t="str">
        <f t="shared" si="1264"/>
        <v/>
      </c>
      <c r="DV110" s="66" t="str">
        <f t="shared" si="1265"/>
        <v/>
      </c>
      <c r="DW110" s="66" t="str">
        <f t="shared" si="1266"/>
        <v/>
      </c>
      <c r="DX110" s="66" t="str">
        <f t="shared" si="1267"/>
        <v/>
      </c>
      <c r="DY110" s="66" t="str">
        <f t="shared" si="1268"/>
        <v/>
      </c>
      <c r="DZ110" s="66" t="str">
        <f t="shared" si="1269"/>
        <v/>
      </c>
      <c r="EA110" s="66" t="str">
        <f t="shared" si="1270"/>
        <v/>
      </c>
      <c r="EB110" s="66" t="str">
        <f t="shared" si="1271"/>
        <v/>
      </c>
      <c r="EC110" s="66" t="str">
        <f t="shared" si="1272"/>
        <v/>
      </c>
      <c r="ED110" s="66" t="str">
        <f t="shared" si="1273"/>
        <v/>
      </c>
      <c r="EE110" s="66" t="str">
        <f t="shared" si="1274"/>
        <v/>
      </c>
      <c r="EF110" s="66" t="str">
        <f t="shared" si="1275"/>
        <v/>
      </c>
      <c r="EG110" s="66" t="str">
        <f t="shared" si="1276"/>
        <v/>
      </c>
      <c r="EH110" s="66" t="str">
        <f t="shared" si="1277"/>
        <v/>
      </c>
      <c r="EI110" s="66" t="str">
        <f t="shared" si="1278"/>
        <v/>
      </c>
      <c r="EJ110" s="66" t="str">
        <f t="shared" si="1279"/>
        <v/>
      </c>
      <c r="EK110" s="66" t="str">
        <f t="shared" si="1280"/>
        <v/>
      </c>
      <c r="EL110" s="66" t="str">
        <f t="shared" si="1281"/>
        <v/>
      </c>
      <c r="EM110" s="66" t="str">
        <f t="shared" si="1282"/>
        <v/>
      </c>
      <c r="EN110" s="66" t="str">
        <f t="shared" si="1283"/>
        <v/>
      </c>
      <c r="EO110" s="66" t="str">
        <f t="shared" si="1284"/>
        <v/>
      </c>
      <c r="EP110" s="66" t="str">
        <f t="shared" si="1285"/>
        <v/>
      </c>
      <c r="EQ110" s="66" t="str">
        <f t="shared" si="1286"/>
        <v/>
      </c>
      <c r="ER110" s="66" t="str">
        <f t="shared" si="1287"/>
        <v/>
      </c>
      <c r="ES110" s="66" t="str">
        <f t="shared" si="1288"/>
        <v/>
      </c>
      <c r="ET110" s="66" t="str">
        <f t="shared" si="1289"/>
        <v/>
      </c>
      <c r="EU110" s="66" t="str">
        <f t="shared" si="1290"/>
        <v/>
      </c>
      <c r="EV110" s="66" t="str">
        <f t="shared" si="1291"/>
        <v/>
      </c>
      <c r="EW110" s="66" t="str">
        <f t="shared" si="1292"/>
        <v/>
      </c>
      <c r="EX110" s="66" t="str">
        <f t="shared" si="1293"/>
        <v/>
      </c>
      <c r="EY110" s="66" t="str">
        <f t="shared" si="1294"/>
        <v/>
      </c>
      <c r="EZ110" s="66" t="str">
        <f t="shared" si="1295"/>
        <v/>
      </c>
      <c r="FA110" s="66" t="str">
        <f t="shared" si="1296"/>
        <v/>
      </c>
      <c r="FB110" s="66" t="str">
        <f t="shared" si="1297"/>
        <v/>
      </c>
      <c r="FC110" s="66" t="str">
        <f t="shared" si="1298"/>
        <v/>
      </c>
      <c r="FD110" s="66" t="str">
        <f t="shared" si="1299"/>
        <v/>
      </c>
      <c r="FE110" s="66" t="str">
        <f t="shared" si="1300"/>
        <v/>
      </c>
      <c r="FF110" s="66" t="str">
        <f t="shared" si="1301"/>
        <v/>
      </c>
      <c r="FG110" s="66" t="str">
        <f t="shared" si="1302"/>
        <v/>
      </c>
      <c r="FH110" s="66" t="str">
        <f t="shared" si="1303"/>
        <v/>
      </c>
      <c r="FI110" s="66" t="str">
        <f t="shared" si="1304"/>
        <v/>
      </c>
      <c r="FJ110" s="66" t="str">
        <f t="shared" si="1305"/>
        <v/>
      </c>
      <c r="FK110" s="66" t="str">
        <f t="shared" si="1306"/>
        <v/>
      </c>
      <c r="FL110" s="66" t="str">
        <f t="shared" si="1307"/>
        <v/>
      </c>
      <c r="FM110" s="66" t="str">
        <f t="shared" si="1308"/>
        <v/>
      </c>
      <c r="FN110" s="66" t="str">
        <f t="shared" si="1309"/>
        <v/>
      </c>
      <c r="FO110" s="66" t="str">
        <f t="shared" si="1310"/>
        <v/>
      </c>
      <c r="FP110" s="66" t="str">
        <f t="shared" si="1311"/>
        <v/>
      </c>
      <c r="FQ110" s="66" t="str">
        <f t="shared" si="1312"/>
        <v/>
      </c>
      <c r="FR110" s="66" t="str">
        <f t="shared" si="1313"/>
        <v/>
      </c>
      <c r="FS110" s="66" t="str">
        <f t="shared" si="1314"/>
        <v/>
      </c>
    </row>
    <row r="111" spans="1:175" ht="16.5">
      <c r="A111" s="9"/>
      <c r="B111" s="9" t="s">
        <v>924</v>
      </c>
      <c r="C111" s="9" t="s">
        <v>455</v>
      </c>
      <c r="T111" s="9" t="s">
        <v>929</v>
      </c>
      <c r="U111" s="77" t="s">
        <v>456</v>
      </c>
      <c r="CN111" s="36" t="str">
        <f t="shared" si="1315"/>
        <v>InitUnitState('I023',,,,,,,,,,)</v>
      </c>
      <c r="CO111" s="36" t="str">
        <f t="shared" si="1316"/>
        <v>InitUnitNormal('I023',,,,,,,,,,)</v>
      </c>
      <c r="CP111" s="36" t="str">
        <f t="shared" si="1317"/>
        <v>InitUnitMagic('I023',,,,,,,,,,)</v>
      </c>
      <c r="CQ111" s="36" t="str">
        <f t="shared" si="1318"/>
        <v>InitUnitAdd('I023',,,,,,,,,,)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88" t="str">
        <f t="shared" si="1319"/>
        <v>|n</v>
      </c>
      <c r="CV111" s="19" t="str">
        <f t="shared" si="1320"/>
        <v>购买需求：灵力x4|n|n使用技能进阶石可消耗品质潜力提升技能品质，只能对A级及以下的技能使用。只有50%的概率成功</v>
      </c>
      <c r="CW111" s="33"/>
      <c r="CX111" s="33"/>
      <c r="CY111" s="33"/>
      <c r="CZ111" s="33"/>
      <c r="DA111" s="33"/>
      <c r="DB111" s="66" t="str">
        <f t="shared" si="1245"/>
        <v/>
      </c>
      <c r="DC111" s="66" t="str">
        <f t="shared" si="1246"/>
        <v/>
      </c>
      <c r="DD111" s="66" t="str">
        <f t="shared" si="1247"/>
        <v/>
      </c>
      <c r="DE111" s="66" t="str">
        <f t="shared" si="1248"/>
        <v/>
      </c>
      <c r="DF111" s="66" t="str">
        <f t="shared" si="1249"/>
        <v/>
      </c>
      <c r="DG111" s="66" t="str">
        <f t="shared" si="1250"/>
        <v/>
      </c>
      <c r="DH111" s="66" t="str">
        <f t="shared" si="1251"/>
        <v/>
      </c>
      <c r="DI111" s="66" t="str">
        <f t="shared" si="1252"/>
        <v/>
      </c>
      <c r="DJ111" s="66" t="str">
        <f t="shared" si="1253"/>
        <v/>
      </c>
      <c r="DK111" s="66" t="str">
        <f t="shared" si="1254"/>
        <v/>
      </c>
      <c r="DL111" s="66" t="str">
        <f t="shared" si="1255"/>
        <v/>
      </c>
      <c r="DM111" s="66" t="str">
        <f t="shared" si="1256"/>
        <v/>
      </c>
      <c r="DN111" s="66" t="str">
        <f t="shared" si="1257"/>
        <v/>
      </c>
      <c r="DO111" s="66" t="str">
        <f t="shared" si="1258"/>
        <v/>
      </c>
      <c r="DP111" s="66" t="str">
        <f t="shared" si="1259"/>
        <v/>
      </c>
      <c r="DQ111" s="66" t="str">
        <f t="shared" si="1260"/>
        <v/>
      </c>
      <c r="DR111" s="66" t="str">
        <f t="shared" si="1261"/>
        <v/>
      </c>
      <c r="DS111" s="66" t="str">
        <f t="shared" si="1262"/>
        <v/>
      </c>
      <c r="DT111" s="66" t="str">
        <f t="shared" si="1263"/>
        <v/>
      </c>
      <c r="DU111" s="66" t="str">
        <f t="shared" si="1264"/>
        <v/>
      </c>
      <c r="DV111" s="66" t="str">
        <f t="shared" si="1265"/>
        <v/>
      </c>
      <c r="DW111" s="66" t="str">
        <f t="shared" si="1266"/>
        <v/>
      </c>
      <c r="DX111" s="66" t="str">
        <f t="shared" si="1267"/>
        <v/>
      </c>
      <c r="DY111" s="66" t="str">
        <f t="shared" si="1268"/>
        <v/>
      </c>
      <c r="DZ111" s="66" t="str">
        <f t="shared" si="1269"/>
        <v/>
      </c>
      <c r="EA111" s="66" t="str">
        <f t="shared" si="1270"/>
        <v/>
      </c>
      <c r="EB111" s="66" t="str">
        <f t="shared" si="1271"/>
        <v/>
      </c>
      <c r="EC111" s="66" t="str">
        <f t="shared" si="1272"/>
        <v/>
      </c>
      <c r="ED111" s="66" t="str">
        <f t="shared" si="1273"/>
        <v/>
      </c>
      <c r="EE111" s="66" t="str">
        <f t="shared" si="1274"/>
        <v/>
      </c>
      <c r="EF111" s="66" t="str">
        <f t="shared" si="1275"/>
        <v/>
      </c>
      <c r="EG111" s="66" t="str">
        <f t="shared" si="1276"/>
        <v/>
      </c>
      <c r="EH111" s="66" t="str">
        <f t="shared" si="1277"/>
        <v/>
      </c>
      <c r="EI111" s="66" t="str">
        <f t="shared" si="1278"/>
        <v/>
      </c>
      <c r="EJ111" s="66" t="str">
        <f t="shared" si="1279"/>
        <v/>
      </c>
      <c r="EK111" s="66" t="str">
        <f t="shared" si="1280"/>
        <v/>
      </c>
      <c r="EL111" s="66" t="str">
        <f t="shared" si="1281"/>
        <v/>
      </c>
      <c r="EM111" s="66" t="str">
        <f t="shared" si="1282"/>
        <v/>
      </c>
      <c r="EN111" s="66" t="str">
        <f t="shared" si="1283"/>
        <v/>
      </c>
      <c r="EO111" s="66" t="str">
        <f t="shared" si="1284"/>
        <v/>
      </c>
      <c r="EP111" s="66" t="str">
        <f t="shared" si="1285"/>
        <v/>
      </c>
      <c r="EQ111" s="66" t="str">
        <f t="shared" si="1286"/>
        <v/>
      </c>
      <c r="ER111" s="66" t="str">
        <f t="shared" si="1287"/>
        <v/>
      </c>
      <c r="ES111" s="66" t="str">
        <f t="shared" si="1288"/>
        <v/>
      </c>
      <c r="ET111" s="66" t="str">
        <f t="shared" si="1289"/>
        <v/>
      </c>
      <c r="EU111" s="66" t="str">
        <f t="shared" si="1290"/>
        <v/>
      </c>
      <c r="EV111" s="66" t="str">
        <f t="shared" si="1291"/>
        <v/>
      </c>
      <c r="EW111" s="66" t="str">
        <f t="shared" si="1292"/>
        <v/>
      </c>
      <c r="EX111" s="66" t="str">
        <f t="shared" si="1293"/>
        <v/>
      </c>
      <c r="EY111" s="66" t="str">
        <f t="shared" si="1294"/>
        <v/>
      </c>
      <c r="EZ111" s="66" t="str">
        <f t="shared" si="1295"/>
        <v/>
      </c>
      <c r="FA111" s="66" t="str">
        <f t="shared" si="1296"/>
        <v/>
      </c>
      <c r="FB111" s="66" t="str">
        <f t="shared" si="1297"/>
        <v/>
      </c>
      <c r="FC111" s="66" t="str">
        <f t="shared" si="1298"/>
        <v/>
      </c>
      <c r="FD111" s="66" t="str">
        <f t="shared" si="1299"/>
        <v/>
      </c>
      <c r="FE111" s="66" t="str">
        <f t="shared" si="1300"/>
        <v/>
      </c>
      <c r="FF111" s="66" t="str">
        <f t="shared" si="1301"/>
        <v/>
      </c>
      <c r="FG111" s="66" t="str">
        <f t="shared" si="1302"/>
        <v/>
      </c>
      <c r="FH111" s="66" t="str">
        <f t="shared" si="1303"/>
        <v/>
      </c>
      <c r="FI111" s="66" t="str">
        <f t="shared" si="1304"/>
        <v/>
      </c>
      <c r="FJ111" s="66" t="str">
        <f t="shared" si="1305"/>
        <v/>
      </c>
      <c r="FK111" s="66" t="str">
        <f t="shared" si="1306"/>
        <v/>
      </c>
      <c r="FL111" s="66" t="str">
        <f t="shared" si="1307"/>
        <v/>
      </c>
      <c r="FM111" s="66" t="str">
        <f t="shared" si="1308"/>
        <v/>
      </c>
      <c r="FN111" s="66" t="str">
        <f t="shared" si="1309"/>
        <v/>
      </c>
      <c r="FO111" s="66" t="str">
        <f t="shared" si="1310"/>
        <v/>
      </c>
      <c r="FP111" s="66" t="str">
        <f t="shared" si="1311"/>
        <v/>
      </c>
      <c r="FQ111" s="66" t="str">
        <f t="shared" si="1312"/>
        <v/>
      </c>
      <c r="FR111" s="66" t="str">
        <f t="shared" si="1313"/>
        <v/>
      </c>
      <c r="FS111" s="66" t="str">
        <f t="shared" si="1314"/>
        <v/>
      </c>
    </row>
    <row r="112" spans="1:175" ht="16.5">
      <c r="A112" s="9"/>
      <c r="B112" s="9" t="s">
        <v>925</v>
      </c>
      <c r="C112" s="9" t="s">
        <v>927</v>
      </c>
      <c r="T112" s="9"/>
      <c r="U112" s="77" t="s">
        <v>453</v>
      </c>
      <c r="CN112" s="36" t="str">
        <f t="shared" si="1315"/>
        <v>InitUnitState('I024',,,,,,,,,,)</v>
      </c>
      <c r="CO112" s="36" t="str">
        <f t="shared" si="1316"/>
        <v>InitUnitNormal('I024',,,,,,,,,,)</v>
      </c>
      <c r="CP112" s="36" t="str">
        <f t="shared" si="1317"/>
        <v>InitUnitMagic('I024',,,,,,,,,,)</v>
      </c>
      <c r="CQ112" s="36" t="str">
        <f t="shared" si="1318"/>
        <v>InitUnitAdd('I024',,,,,,,,,,)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88" t="str">
        <f t="shared" si="1319"/>
        <v>|n</v>
      </c>
      <c r="CV112" s="19">
        <f t="shared" si="1320"/>
        <v>0</v>
      </c>
      <c r="CW112" s="33"/>
      <c r="CX112" s="33"/>
      <c r="CY112" s="33"/>
      <c r="CZ112" s="33"/>
      <c r="DA112" s="33"/>
      <c r="DB112" s="66" t="str">
        <f t="shared" si="1245"/>
        <v/>
      </c>
      <c r="DC112" s="66" t="str">
        <f t="shared" si="1246"/>
        <v/>
      </c>
      <c r="DD112" s="66" t="str">
        <f t="shared" si="1247"/>
        <v/>
      </c>
      <c r="DE112" s="66" t="str">
        <f t="shared" si="1248"/>
        <v/>
      </c>
      <c r="DF112" s="66" t="str">
        <f t="shared" si="1249"/>
        <v/>
      </c>
      <c r="DG112" s="66" t="str">
        <f t="shared" si="1250"/>
        <v/>
      </c>
      <c r="DH112" s="66" t="str">
        <f t="shared" si="1251"/>
        <v/>
      </c>
      <c r="DI112" s="66" t="str">
        <f t="shared" si="1252"/>
        <v/>
      </c>
      <c r="DJ112" s="66" t="str">
        <f t="shared" si="1253"/>
        <v/>
      </c>
      <c r="DK112" s="66" t="str">
        <f t="shared" si="1254"/>
        <v/>
      </c>
      <c r="DL112" s="66" t="str">
        <f t="shared" si="1255"/>
        <v/>
      </c>
      <c r="DM112" s="66" t="str">
        <f t="shared" si="1256"/>
        <v/>
      </c>
      <c r="DN112" s="66" t="str">
        <f t="shared" si="1257"/>
        <v/>
      </c>
      <c r="DO112" s="66" t="str">
        <f t="shared" si="1258"/>
        <v/>
      </c>
      <c r="DP112" s="66" t="str">
        <f t="shared" si="1259"/>
        <v/>
      </c>
      <c r="DQ112" s="66" t="str">
        <f t="shared" si="1260"/>
        <v/>
      </c>
      <c r="DR112" s="66" t="str">
        <f t="shared" si="1261"/>
        <v/>
      </c>
      <c r="DS112" s="66" t="str">
        <f t="shared" si="1262"/>
        <v/>
      </c>
      <c r="DT112" s="66" t="str">
        <f t="shared" si="1263"/>
        <v/>
      </c>
      <c r="DU112" s="66" t="str">
        <f t="shared" si="1264"/>
        <v/>
      </c>
      <c r="DV112" s="66" t="str">
        <f t="shared" si="1265"/>
        <v/>
      </c>
      <c r="DW112" s="66" t="str">
        <f t="shared" si="1266"/>
        <v/>
      </c>
      <c r="DX112" s="66" t="str">
        <f t="shared" si="1267"/>
        <v/>
      </c>
      <c r="DY112" s="66" t="str">
        <f t="shared" si="1268"/>
        <v/>
      </c>
      <c r="DZ112" s="66" t="str">
        <f t="shared" si="1269"/>
        <v/>
      </c>
      <c r="EA112" s="66" t="str">
        <f t="shared" si="1270"/>
        <v/>
      </c>
      <c r="EB112" s="66" t="str">
        <f t="shared" si="1271"/>
        <v/>
      </c>
      <c r="EC112" s="66" t="str">
        <f t="shared" si="1272"/>
        <v/>
      </c>
      <c r="ED112" s="66" t="str">
        <f t="shared" si="1273"/>
        <v/>
      </c>
      <c r="EE112" s="66" t="str">
        <f t="shared" si="1274"/>
        <v/>
      </c>
      <c r="EF112" s="66" t="str">
        <f t="shared" si="1275"/>
        <v/>
      </c>
      <c r="EG112" s="66" t="str">
        <f t="shared" si="1276"/>
        <v/>
      </c>
      <c r="EH112" s="66" t="str">
        <f t="shared" si="1277"/>
        <v/>
      </c>
      <c r="EI112" s="66" t="str">
        <f t="shared" si="1278"/>
        <v/>
      </c>
      <c r="EJ112" s="66" t="str">
        <f t="shared" si="1279"/>
        <v/>
      </c>
      <c r="EK112" s="66" t="str">
        <f t="shared" si="1280"/>
        <v/>
      </c>
      <c r="EL112" s="66" t="str">
        <f t="shared" si="1281"/>
        <v/>
      </c>
      <c r="EM112" s="66" t="str">
        <f t="shared" si="1282"/>
        <v/>
      </c>
      <c r="EN112" s="66" t="str">
        <f t="shared" si="1283"/>
        <v/>
      </c>
      <c r="EO112" s="66" t="str">
        <f t="shared" si="1284"/>
        <v/>
      </c>
      <c r="EP112" s="66" t="str">
        <f t="shared" si="1285"/>
        <v/>
      </c>
      <c r="EQ112" s="66" t="str">
        <f t="shared" si="1286"/>
        <v/>
      </c>
      <c r="ER112" s="66" t="str">
        <f t="shared" si="1287"/>
        <v/>
      </c>
      <c r="ES112" s="66" t="str">
        <f t="shared" si="1288"/>
        <v/>
      </c>
      <c r="ET112" s="66" t="str">
        <f t="shared" si="1289"/>
        <v/>
      </c>
      <c r="EU112" s="66" t="str">
        <f t="shared" si="1290"/>
        <v/>
      </c>
      <c r="EV112" s="66" t="str">
        <f t="shared" si="1291"/>
        <v/>
      </c>
      <c r="EW112" s="66" t="str">
        <f t="shared" si="1292"/>
        <v/>
      </c>
      <c r="EX112" s="66" t="str">
        <f t="shared" si="1293"/>
        <v/>
      </c>
      <c r="EY112" s="66" t="str">
        <f t="shared" si="1294"/>
        <v/>
      </c>
      <c r="EZ112" s="66" t="str">
        <f t="shared" si="1295"/>
        <v/>
      </c>
      <c r="FA112" s="66" t="str">
        <f t="shared" si="1296"/>
        <v/>
      </c>
      <c r="FB112" s="66" t="str">
        <f t="shared" si="1297"/>
        <v/>
      </c>
      <c r="FC112" s="66" t="str">
        <f t="shared" si="1298"/>
        <v/>
      </c>
      <c r="FD112" s="66" t="str">
        <f t="shared" si="1299"/>
        <v/>
      </c>
      <c r="FE112" s="66" t="str">
        <f t="shared" si="1300"/>
        <v/>
      </c>
      <c r="FF112" s="66" t="str">
        <f t="shared" si="1301"/>
        <v/>
      </c>
      <c r="FG112" s="66" t="str">
        <f t="shared" si="1302"/>
        <v/>
      </c>
      <c r="FH112" s="66" t="str">
        <f t="shared" si="1303"/>
        <v/>
      </c>
      <c r="FI112" s="66" t="str">
        <f t="shared" si="1304"/>
        <v/>
      </c>
      <c r="FJ112" s="66" t="str">
        <f t="shared" si="1305"/>
        <v/>
      </c>
      <c r="FK112" s="66" t="str">
        <f t="shared" si="1306"/>
        <v/>
      </c>
      <c r="FL112" s="66" t="str">
        <f t="shared" si="1307"/>
        <v/>
      </c>
      <c r="FM112" s="66" t="str">
        <f t="shared" si="1308"/>
        <v/>
      </c>
      <c r="FN112" s="66" t="str">
        <f t="shared" si="1309"/>
        <v/>
      </c>
      <c r="FO112" s="66" t="str">
        <f t="shared" si="1310"/>
        <v/>
      </c>
      <c r="FP112" s="66" t="str">
        <f t="shared" si="1311"/>
        <v/>
      </c>
      <c r="FQ112" s="66" t="str">
        <f t="shared" si="1312"/>
        <v/>
      </c>
      <c r="FR112" s="66" t="str">
        <f t="shared" si="1313"/>
        <v/>
      </c>
      <c r="FS112" s="66" t="str">
        <f t="shared" si="1314"/>
        <v/>
      </c>
    </row>
    <row r="113" spans="1:175" ht="16.5">
      <c r="A113" s="9"/>
      <c r="B113" s="9" t="s">
        <v>448</v>
      </c>
      <c r="C113" s="9" t="s">
        <v>449</v>
      </c>
      <c r="T113" s="9" t="s">
        <v>931</v>
      </c>
      <c r="U113" s="77" t="s">
        <v>450</v>
      </c>
      <c r="CN113" s="36" t="str">
        <f t="shared" ref="CN113:CN114" si="1321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36" t="str">
        <f t="shared" ref="CO113:CO114" si="1322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36" t="str">
        <f t="shared" ref="CP113:CP114" si="1323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36" t="str">
        <f t="shared" ref="CQ113:CQ114" si="1324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36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88" t="str">
        <f t="shared" ref="CU113:CU114" si="1325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326">T113</f>
        <v>使用技能进阶石可消耗品质潜力提升技能品质，只能对A级及以下的技能使用。</v>
      </c>
      <c r="CW113" s="33"/>
      <c r="CX113" s="33"/>
      <c r="CY113" s="33"/>
      <c r="CZ113" s="33"/>
      <c r="DA113" s="33"/>
      <c r="DB113" s="66" t="str">
        <f t="shared" ref="DB113:DB114" si="1327">IF(V113="","","|n"&amp;DB$2&amp;"+"&amp;V113&amp;DB$1)</f>
        <v/>
      </c>
      <c r="DC113" s="66" t="str">
        <f t="shared" ref="DC113:DC114" si="1328">IF(W113="","","|n"&amp;DC$2&amp;"+"&amp;W113&amp;DC$1)</f>
        <v/>
      </c>
      <c r="DD113" s="66" t="str">
        <f t="shared" ref="DD113:DD114" si="1329">IF(X113="","","|n"&amp;DD$2&amp;"+"&amp;X113&amp;DD$1)</f>
        <v/>
      </c>
      <c r="DE113" s="66" t="str">
        <f t="shared" ref="DE113:DE114" si="1330">IF(Y113="","","|n"&amp;DE$2&amp;"+"&amp;Y113&amp;DE$1)</f>
        <v/>
      </c>
      <c r="DF113" s="66" t="str">
        <f t="shared" ref="DF113:DF114" si="1331">IF(Z113="","","|n"&amp;DF$2&amp;"+"&amp;Z113&amp;DF$1)</f>
        <v/>
      </c>
      <c r="DG113" s="66" t="str">
        <f t="shared" ref="DG113:DG114" si="1332">IF(AA113="","","|n"&amp;DG$2&amp;"+"&amp;AA113&amp;DG$1)</f>
        <v/>
      </c>
      <c r="DH113" s="66" t="str">
        <f t="shared" ref="DH113:DH114" si="1333">IF(AB113="","","|n"&amp;DH$2&amp;"+"&amp;AB113&amp;DH$1)</f>
        <v/>
      </c>
      <c r="DI113" s="66" t="str">
        <f t="shared" ref="DI113:DI114" si="1334">IF(AC113="","","|n"&amp;DI$2&amp;"+"&amp;AC113&amp;DI$1)</f>
        <v/>
      </c>
      <c r="DJ113" s="66" t="str">
        <f t="shared" ref="DJ113:DJ114" si="1335">IF(AD113="","","|n"&amp;DJ$2&amp;"+"&amp;AD113&amp;DJ$1)</f>
        <v/>
      </c>
      <c r="DK113" s="66" t="str">
        <f t="shared" ref="DK113:DK114" si="1336">IF(AE113="","","|n"&amp;DK$2&amp;"+"&amp;AE113&amp;DK$1)</f>
        <v/>
      </c>
      <c r="DL113" s="66" t="str">
        <f t="shared" ref="DL113:DL114" si="1337">IF(AF113="","","|n"&amp;DL$2&amp;"+"&amp;AF113&amp;DL$1)</f>
        <v/>
      </c>
      <c r="DM113" s="66" t="str">
        <f t="shared" ref="DM113:DM114" si="1338">IF(AG113="","","|n"&amp;DM$2&amp;"+"&amp;AG113&amp;DM$1)</f>
        <v/>
      </c>
      <c r="DN113" s="66" t="str">
        <f t="shared" ref="DN113:DN114" si="1339">IF(AH113="","","|n"&amp;DN$2&amp;"+"&amp;AH113&amp;DN$1)</f>
        <v/>
      </c>
      <c r="DO113" s="66" t="str">
        <f t="shared" ref="DO113:DO114" si="1340">IF(AI113="","","|n"&amp;DO$2&amp;"+"&amp;AI113&amp;DO$1)</f>
        <v/>
      </c>
      <c r="DP113" s="66" t="str">
        <f t="shared" ref="DP113:DP114" si="1341">IF(AJ113="","","|n"&amp;DP$2&amp;"+"&amp;AJ113&amp;DP$1)</f>
        <v/>
      </c>
      <c r="DQ113" s="66" t="str">
        <f t="shared" ref="DQ113:DQ114" si="1342">IF(AK113="","","|n"&amp;DQ$2&amp;"+"&amp;AK113&amp;DQ$1)</f>
        <v/>
      </c>
      <c r="DR113" s="66" t="str">
        <f t="shared" ref="DR113:DR114" si="1343">IF(AL113="","","|n"&amp;DR$2&amp;"+"&amp;AL113&amp;DR$1)</f>
        <v/>
      </c>
      <c r="DS113" s="66" t="str">
        <f t="shared" ref="DS113:DS114" si="1344">IF(AM113="","","|n"&amp;DS$2&amp;"+"&amp;AM113&amp;DS$1)</f>
        <v/>
      </c>
      <c r="DT113" s="66" t="str">
        <f t="shared" ref="DT113:DT114" si="1345">IF(AN113="","","|n"&amp;DT$2&amp;"+"&amp;AN113&amp;DT$1)</f>
        <v/>
      </c>
      <c r="DU113" s="66" t="str">
        <f t="shared" ref="DU113:DU114" si="1346">IF(AO113="","","|n"&amp;DU$2&amp;"+"&amp;AO113&amp;DU$1)</f>
        <v/>
      </c>
      <c r="DV113" s="66" t="str">
        <f t="shared" ref="DV113:DV114" si="1347">IF(AP113="","","|n"&amp;DV$2&amp;"+"&amp;AP113&amp;DV$1)</f>
        <v/>
      </c>
      <c r="DW113" s="66" t="str">
        <f t="shared" ref="DW113:DW114" si="1348">IF(AQ113="","","|n"&amp;DW$2&amp;"+"&amp;AQ113&amp;DW$1)</f>
        <v/>
      </c>
      <c r="DX113" s="66" t="str">
        <f t="shared" ref="DX113:DX114" si="1349">IF(AR113="","","|n"&amp;DX$2&amp;"+"&amp;AR113&amp;DX$1)</f>
        <v/>
      </c>
      <c r="DY113" s="66" t="str">
        <f t="shared" ref="DY113:DY114" si="1350">IF(AS113="","","|n"&amp;DY$2&amp;"+"&amp;AS113&amp;DY$1)</f>
        <v/>
      </c>
      <c r="DZ113" s="66" t="str">
        <f t="shared" ref="DZ113:DZ114" si="1351">IF(AT113="","","|n"&amp;DZ$2&amp;"+"&amp;AT113&amp;DZ$1)</f>
        <v/>
      </c>
      <c r="EA113" s="66" t="str">
        <f t="shared" ref="EA113:EA114" si="1352">IF(AU113="","","|n"&amp;EA$2&amp;"+"&amp;AU113&amp;EA$1)</f>
        <v/>
      </c>
      <c r="EB113" s="66" t="str">
        <f t="shared" ref="EB113:EB114" si="1353">IF(AV113="","","|n"&amp;EB$2&amp;"+"&amp;AV113&amp;EB$1)</f>
        <v/>
      </c>
      <c r="EC113" s="66" t="str">
        <f t="shared" ref="EC113:EC114" si="1354">IF(AW113="","","|n"&amp;EC$2&amp;"+"&amp;AW113&amp;EC$1)</f>
        <v/>
      </c>
      <c r="ED113" s="66" t="str">
        <f t="shared" ref="ED113:ED114" si="1355">IF(AX113="","","|n"&amp;ED$2&amp;"+"&amp;AX113&amp;ED$1)</f>
        <v/>
      </c>
      <c r="EE113" s="66" t="str">
        <f t="shared" ref="EE113:EE114" si="1356">IF(AY113="","","|n"&amp;EE$2&amp;"+"&amp;AY113&amp;EE$1)</f>
        <v/>
      </c>
      <c r="EF113" s="66" t="str">
        <f t="shared" ref="EF113:EF114" si="1357">IF(AZ113="","","|n"&amp;EF$2&amp;"+"&amp;AZ113&amp;EF$1)</f>
        <v/>
      </c>
      <c r="EG113" s="66" t="str">
        <f t="shared" ref="EG113:EG114" si="1358">IF(BA113="","","|n"&amp;EG$2&amp;"+"&amp;BA113&amp;EG$1)</f>
        <v/>
      </c>
      <c r="EH113" s="66" t="str">
        <f t="shared" ref="EH113:EH114" si="1359">IF(BB113="","","|n"&amp;EH$2&amp;"+"&amp;BB113&amp;EH$1)</f>
        <v/>
      </c>
      <c r="EI113" s="66" t="str">
        <f t="shared" ref="EI113:EI114" si="1360">IF(BC113="","","|n"&amp;EI$2&amp;"+"&amp;BC113&amp;EI$1)</f>
        <v/>
      </c>
      <c r="EJ113" s="66" t="str">
        <f t="shared" ref="EJ113:EJ114" si="1361">IF(BD113="","","|n"&amp;EJ$2&amp;"+"&amp;BD113&amp;EJ$1)</f>
        <v/>
      </c>
      <c r="EK113" s="66" t="str">
        <f t="shared" ref="EK113:EK114" si="1362">IF(BE113="","","|n"&amp;EK$2&amp;"+"&amp;BE113&amp;EK$1)</f>
        <v/>
      </c>
      <c r="EL113" s="66" t="str">
        <f t="shared" ref="EL113:EL114" si="1363">IF(BF113="","","|n"&amp;EL$2&amp;"+"&amp;BF113&amp;EL$1)</f>
        <v/>
      </c>
      <c r="EM113" s="66" t="str">
        <f t="shared" ref="EM113:EM114" si="1364">IF(BG113="","","|n"&amp;EM$2&amp;"+"&amp;BG113&amp;EM$1)</f>
        <v/>
      </c>
      <c r="EN113" s="66" t="str">
        <f t="shared" ref="EN113:EN114" si="1365">IF(BH113="","","|n"&amp;EN$2&amp;"+"&amp;BH113&amp;EN$1)</f>
        <v/>
      </c>
      <c r="EO113" s="66" t="str">
        <f t="shared" ref="EO113:EO114" si="1366">IF(BI113="","","|n"&amp;EO$2&amp;"+"&amp;BI113&amp;EO$1)</f>
        <v/>
      </c>
      <c r="EP113" s="66" t="str">
        <f t="shared" ref="EP113:EP114" si="1367">IF(BJ113="","","|n"&amp;EP$2&amp;"+"&amp;BJ113&amp;EP$1)</f>
        <v/>
      </c>
      <c r="EQ113" s="66" t="str">
        <f t="shared" ref="EQ113:EQ114" si="1368">IF(BK113="","","|n"&amp;EQ$2&amp;"+"&amp;BK113&amp;EQ$1)</f>
        <v/>
      </c>
      <c r="ER113" s="66" t="str">
        <f t="shared" ref="ER113:ER114" si="1369">IF(BL113="","","|n"&amp;ER$2&amp;"+"&amp;BL113&amp;ER$1)</f>
        <v/>
      </c>
      <c r="ES113" s="66" t="str">
        <f t="shared" ref="ES113:ES114" si="1370">IF(BM113="","","|n"&amp;ES$2&amp;"+"&amp;BM113&amp;ES$1)</f>
        <v/>
      </c>
      <c r="ET113" s="66" t="str">
        <f t="shared" ref="ET113:ET114" si="1371">IF(BN113="","","|n"&amp;ET$2&amp;"+"&amp;BN113&amp;ET$1)</f>
        <v/>
      </c>
      <c r="EU113" s="66" t="str">
        <f t="shared" ref="EU113:EU114" si="1372">IF(BO113="","","|n"&amp;EU$2&amp;"+"&amp;BO113&amp;EU$1)</f>
        <v/>
      </c>
      <c r="EV113" s="66" t="str">
        <f t="shared" ref="EV113:EV114" si="1373">IF(BP113="","","|n"&amp;EV$2&amp;"+"&amp;BP113&amp;EV$1)</f>
        <v/>
      </c>
      <c r="EW113" s="66" t="str">
        <f t="shared" ref="EW113:EW114" si="1374">IF(BQ113="","","|n"&amp;EW$2&amp;"+"&amp;BQ113&amp;EW$1)</f>
        <v/>
      </c>
      <c r="EX113" s="66" t="str">
        <f t="shared" ref="EX113:EX114" si="1375">IF(BR113="","","|n"&amp;EX$2&amp;"+"&amp;BR113&amp;EX$1)</f>
        <v/>
      </c>
      <c r="EY113" s="66" t="str">
        <f t="shared" ref="EY113:EY114" si="1376">IF(BS113="","","|n"&amp;EY$2&amp;"+"&amp;BS113&amp;EY$1)</f>
        <v/>
      </c>
      <c r="EZ113" s="66" t="str">
        <f t="shared" ref="EZ113:EZ114" si="1377">IF(BT113="","","|n"&amp;EZ$2&amp;"+"&amp;BT113&amp;EZ$1)</f>
        <v/>
      </c>
      <c r="FA113" s="66" t="str">
        <f t="shared" ref="FA113:FA114" si="1378">IF(BU113="","","|n"&amp;FA$2&amp;"+"&amp;BU113&amp;FA$1)</f>
        <v/>
      </c>
      <c r="FB113" s="66" t="str">
        <f t="shared" ref="FB113:FB114" si="1379">IF(BV113="","","|n"&amp;FB$2&amp;"+"&amp;BV113&amp;FB$1)</f>
        <v/>
      </c>
      <c r="FC113" s="66" t="str">
        <f t="shared" ref="FC113:FC114" si="1380">IF(BW113="","","|n"&amp;FC$2&amp;"+"&amp;BW113&amp;FC$1)</f>
        <v/>
      </c>
      <c r="FD113" s="66" t="str">
        <f t="shared" ref="FD113:FD114" si="1381">IF(BX113="","","|n"&amp;FD$2&amp;"+"&amp;BX113&amp;FD$1)</f>
        <v/>
      </c>
      <c r="FE113" s="66" t="str">
        <f t="shared" ref="FE113:FE114" si="1382">IF(BY113="","","|n"&amp;FE$2&amp;"+"&amp;BY113&amp;FE$1)</f>
        <v/>
      </c>
      <c r="FF113" s="66" t="str">
        <f t="shared" ref="FF113:FF114" si="1383">IF(BZ113="","","|n"&amp;FF$2&amp;"+"&amp;BZ113&amp;FF$1)</f>
        <v/>
      </c>
      <c r="FG113" s="66" t="str">
        <f t="shared" ref="FG113:FG114" si="1384">IF(CA113="","","|n"&amp;FG$2&amp;"+"&amp;CA113&amp;FG$1)</f>
        <v/>
      </c>
      <c r="FH113" s="66" t="str">
        <f t="shared" ref="FH113:FH114" si="1385">IF(CB113="","","|n"&amp;FH$2&amp;"+"&amp;CB113&amp;FH$1)</f>
        <v/>
      </c>
      <c r="FI113" s="66" t="str">
        <f t="shared" ref="FI113:FI114" si="1386">IF(CC113="","","|n"&amp;FI$2&amp;"+"&amp;CC113&amp;FI$1)</f>
        <v/>
      </c>
      <c r="FJ113" s="66" t="str">
        <f t="shared" ref="FJ113:FJ114" si="1387">IF(CD113="","","|n"&amp;FJ$2&amp;"+"&amp;CD113&amp;FJ$1)</f>
        <v/>
      </c>
      <c r="FK113" s="66" t="str">
        <f t="shared" ref="FK113:FK114" si="1388">IF(CE113="","","|n"&amp;FK$2&amp;"+"&amp;CE113&amp;FK$1)</f>
        <v/>
      </c>
      <c r="FL113" s="66" t="str">
        <f t="shared" ref="FL113:FL114" si="1389">IF(CF113="","","|n"&amp;FL$2&amp;"+"&amp;CF113&amp;FL$1)</f>
        <v/>
      </c>
      <c r="FM113" s="66" t="str">
        <f t="shared" ref="FM113:FM114" si="1390">IF(CG113="","","|n"&amp;FM$2&amp;"+"&amp;CG113&amp;FM$1)</f>
        <v/>
      </c>
      <c r="FN113" s="66" t="str">
        <f t="shared" ref="FN113:FN114" si="1391">IF(CH113="","","|n"&amp;FN$2&amp;"+"&amp;CH113&amp;FN$1)</f>
        <v/>
      </c>
      <c r="FO113" s="66" t="str">
        <f t="shared" ref="FO113:FO114" si="1392">IF(CI113="","","|n"&amp;FO$2&amp;"+"&amp;CI113&amp;FO$1)</f>
        <v/>
      </c>
      <c r="FP113" s="66" t="str">
        <f t="shared" ref="FP113:FP114" si="1393">IF(CJ113="","","|n"&amp;FP$2&amp;"+"&amp;CJ113&amp;FP$1)</f>
        <v/>
      </c>
      <c r="FQ113" s="66" t="str">
        <f t="shared" ref="FQ113:FQ114" si="1394">IF(CK113="","","|n"&amp;FQ$2&amp;"+"&amp;CK113&amp;FQ$1)</f>
        <v/>
      </c>
      <c r="FR113" s="66" t="str">
        <f t="shared" ref="FR113:FR114" si="1395">IF(CL113="","","|n"&amp;FR$2&amp;"+"&amp;CL113&amp;FR$1)</f>
        <v/>
      </c>
      <c r="FS113" s="66" t="str">
        <f t="shared" ref="FS113:FS114" si="1396">IF(CM113="","","|n"&amp;FS$2&amp;"+"&amp;CM113&amp;FS$1)</f>
        <v/>
      </c>
    </row>
    <row r="114" spans="1:175" ht="16.5">
      <c r="A114" s="9"/>
      <c r="B114" s="9" t="s">
        <v>451</v>
      </c>
      <c r="C114" s="9" t="s">
        <v>926</v>
      </c>
      <c r="T114" s="9" t="s">
        <v>932</v>
      </c>
      <c r="U114" s="77" t="s">
        <v>453</v>
      </c>
      <c r="CN114" s="36" t="str">
        <f t="shared" si="1321"/>
        <v>InitUnitState('CS22',,,,,,,,,,)</v>
      </c>
      <c r="CO114" s="36" t="str">
        <f t="shared" si="1322"/>
        <v>InitUnitNormal('CS22',,,,,,,,,,)</v>
      </c>
      <c r="CP114" s="36" t="str">
        <f t="shared" si="1323"/>
        <v>InitUnitMagic('CS22',,,,,,,,,,)</v>
      </c>
      <c r="CQ114" s="36" t="str">
        <f t="shared" si="1324"/>
        <v>InitUnitAdd('CS22',,,,,,,,,,)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88" t="str">
        <f t="shared" si="1325"/>
        <v>|n</v>
      </c>
      <c r="CV114" s="19" t="str">
        <f t="shared" si="1326"/>
        <v>使用后为指定技能增加1点品质潜力</v>
      </c>
      <c r="CW114" s="33"/>
      <c r="CX114" s="33"/>
      <c r="CY114" s="33"/>
      <c r="CZ114" s="33"/>
      <c r="DA114" s="33"/>
      <c r="DB114" s="66" t="str">
        <f t="shared" si="1327"/>
        <v/>
      </c>
      <c r="DC114" s="66" t="str">
        <f t="shared" si="1328"/>
        <v/>
      </c>
      <c r="DD114" s="66" t="str">
        <f t="shared" si="1329"/>
        <v/>
      </c>
      <c r="DE114" s="66" t="str">
        <f t="shared" si="1330"/>
        <v/>
      </c>
      <c r="DF114" s="66" t="str">
        <f t="shared" si="1331"/>
        <v/>
      </c>
      <c r="DG114" s="66" t="str">
        <f t="shared" si="1332"/>
        <v/>
      </c>
      <c r="DH114" s="66" t="str">
        <f t="shared" si="1333"/>
        <v/>
      </c>
      <c r="DI114" s="66" t="str">
        <f t="shared" si="1334"/>
        <v/>
      </c>
      <c r="DJ114" s="66" t="str">
        <f t="shared" si="1335"/>
        <v/>
      </c>
      <c r="DK114" s="66" t="str">
        <f t="shared" si="1336"/>
        <v/>
      </c>
      <c r="DL114" s="66" t="str">
        <f t="shared" si="1337"/>
        <v/>
      </c>
      <c r="DM114" s="66" t="str">
        <f t="shared" si="1338"/>
        <v/>
      </c>
      <c r="DN114" s="66" t="str">
        <f t="shared" si="1339"/>
        <v/>
      </c>
      <c r="DO114" s="66" t="str">
        <f t="shared" si="1340"/>
        <v/>
      </c>
      <c r="DP114" s="66" t="str">
        <f t="shared" si="1341"/>
        <v/>
      </c>
      <c r="DQ114" s="66" t="str">
        <f t="shared" si="1342"/>
        <v/>
      </c>
      <c r="DR114" s="66" t="str">
        <f t="shared" si="1343"/>
        <v/>
      </c>
      <c r="DS114" s="66" t="str">
        <f t="shared" si="1344"/>
        <v/>
      </c>
      <c r="DT114" s="66" t="str">
        <f t="shared" si="1345"/>
        <v/>
      </c>
      <c r="DU114" s="66" t="str">
        <f t="shared" si="1346"/>
        <v/>
      </c>
      <c r="DV114" s="66" t="str">
        <f t="shared" si="1347"/>
        <v/>
      </c>
      <c r="DW114" s="66" t="str">
        <f t="shared" si="1348"/>
        <v/>
      </c>
      <c r="DX114" s="66" t="str">
        <f t="shared" si="1349"/>
        <v/>
      </c>
      <c r="DY114" s="66" t="str">
        <f t="shared" si="1350"/>
        <v/>
      </c>
      <c r="DZ114" s="66" t="str">
        <f t="shared" si="1351"/>
        <v/>
      </c>
      <c r="EA114" s="66" t="str">
        <f t="shared" si="1352"/>
        <v/>
      </c>
      <c r="EB114" s="66" t="str">
        <f t="shared" si="1353"/>
        <v/>
      </c>
      <c r="EC114" s="66" t="str">
        <f t="shared" si="1354"/>
        <v/>
      </c>
      <c r="ED114" s="66" t="str">
        <f t="shared" si="1355"/>
        <v/>
      </c>
      <c r="EE114" s="66" t="str">
        <f t="shared" si="1356"/>
        <v/>
      </c>
      <c r="EF114" s="66" t="str">
        <f t="shared" si="1357"/>
        <v/>
      </c>
      <c r="EG114" s="66" t="str">
        <f t="shared" si="1358"/>
        <v/>
      </c>
      <c r="EH114" s="66" t="str">
        <f t="shared" si="1359"/>
        <v/>
      </c>
      <c r="EI114" s="66" t="str">
        <f t="shared" si="1360"/>
        <v/>
      </c>
      <c r="EJ114" s="66" t="str">
        <f t="shared" si="1361"/>
        <v/>
      </c>
      <c r="EK114" s="66" t="str">
        <f t="shared" si="1362"/>
        <v/>
      </c>
      <c r="EL114" s="66" t="str">
        <f t="shared" si="1363"/>
        <v/>
      </c>
      <c r="EM114" s="66" t="str">
        <f t="shared" si="1364"/>
        <v/>
      </c>
      <c r="EN114" s="66" t="str">
        <f t="shared" si="1365"/>
        <v/>
      </c>
      <c r="EO114" s="66" t="str">
        <f t="shared" si="1366"/>
        <v/>
      </c>
      <c r="EP114" s="66" t="str">
        <f t="shared" si="1367"/>
        <v/>
      </c>
      <c r="EQ114" s="66" t="str">
        <f t="shared" si="1368"/>
        <v/>
      </c>
      <c r="ER114" s="66" t="str">
        <f t="shared" si="1369"/>
        <v/>
      </c>
      <c r="ES114" s="66" t="str">
        <f t="shared" si="1370"/>
        <v/>
      </c>
      <c r="ET114" s="66" t="str">
        <f t="shared" si="1371"/>
        <v/>
      </c>
      <c r="EU114" s="66" t="str">
        <f t="shared" si="1372"/>
        <v/>
      </c>
      <c r="EV114" s="66" t="str">
        <f t="shared" si="1373"/>
        <v/>
      </c>
      <c r="EW114" s="66" t="str">
        <f t="shared" si="1374"/>
        <v/>
      </c>
      <c r="EX114" s="66" t="str">
        <f t="shared" si="1375"/>
        <v/>
      </c>
      <c r="EY114" s="66" t="str">
        <f t="shared" si="1376"/>
        <v/>
      </c>
      <c r="EZ114" s="66" t="str">
        <f t="shared" si="1377"/>
        <v/>
      </c>
      <c r="FA114" s="66" t="str">
        <f t="shared" si="1378"/>
        <v/>
      </c>
      <c r="FB114" s="66" t="str">
        <f t="shared" si="1379"/>
        <v/>
      </c>
      <c r="FC114" s="66" t="str">
        <f t="shared" si="1380"/>
        <v/>
      </c>
      <c r="FD114" s="66" t="str">
        <f t="shared" si="1381"/>
        <v/>
      </c>
      <c r="FE114" s="66" t="str">
        <f t="shared" si="1382"/>
        <v/>
      </c>
      <c r="FF114" s="66" t="str">
        <f t="shared" si="1383"/>
        <v/>
      </c>
      <c r="FG114" s="66" t="str">
        <f t="shared" si="1384"/>
        <v/>
      </c>
      <c r="FH114" s="66" t="str">
        <f t="shared" si="1385"/>
        <v/>
      </c>
      <c r="FI114" s="66" t="str">
        <f t="shared" si="1386"/>
        <v/>
      </c>
      <c r="FJ114" s="66" t="str">
        <f t="shared" si="1387"/>
        <v/>
      </c>
      <c r="FK114" s="66" t="str">
        <f t="shared" si="1388"/>
        <v/>
      </c>
      <c r="FL114" s="66" t="str">
        <f t="shared" si="1389"/>
        <v/>
      </c>
      <c r="FM114" s="66" t="str">
        <f t="shared" si="1390"/>
        <v/>
      </c>
      <c r="FN114" s="66" t="str">
        <f t="shared" si="1391"/>
        <v/>
      </c>
      <c r="FO114" s="66" t="str">
        <f t="shared" si="1392"/>
        <v/>
      </c>
      <c r="FP114" s="66" t="str">
        <f t="shared" si="1393"/>
        <v/>
      </c>
      <c r="FQ114" s="66" t="str">
        <f t="shared" si="1394"/>
        <v/>
      </c>
      <c r="FR114" s="66" t="str">
        <f t="shared" si="1395"/>
        <v/>
      </c>
      <c r="FS114" s="66" t="str">
        <f t="shared" si="1396"/>
        <v/>
      </c>
    </row>
    <row r="115" spans="1:175" ht="16.5">
      <c r="A115" s="9"/>
      <c r="B115" s="9" t="s">
        <v>454</v>
      </c>
      <c r="C115" s="9" t="s">
        <v>455</v>
      </c>
      <c r="T115" s="9" t="s">
        <v>933</v>
      </c>
      <c r="U115" s="77" t="s">
        <v>456</v>
      </c>
      <c r="CN115" s="36" t="str">
        <f t="shared" ref="CN115" si="1397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36" t="str">
        <f t="shared" ref="CO115" si="1398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36" t="str">
        <f t="shared" ref="CP115" si="1399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36" t="str">
        <f t="shared" ref="CQ115" si="1400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88" t="str">
        <f t="shared" ref="CU115" si="1401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" si="1402">T115</f>
        <v>使用技能进阶石可消耗品质潜力提升技能品质，只能对A级及以下的技能使用。只有50%的概率成功</v>
      </c>
      <c r="CW115" s="33"/>
      <c r="CX115" s="33"/>
      <c r="CY115" s="33"/>
      <c r="CZ115" s="33"/>
      <c r="DA115" s="33"/>
      <c r="DB115" s="66" t="str">
        <f t="shared" ref="DB115" si="1403">IF(V115="","","|n"&amp;DB$2&amp;"+"&amp;V115&amp;DB$1)</f>
        <v/>
      </c>
      <c r="DC115" s="66" t="str">
        <f t="shared" ref="DC115" si="1404">IF(W115="","","|n"&amp;DC$2&amp;"+"&amp;W115&amp;DC$1)</f>
        <v/>
      </c>
      <c r="DD115" s="66" t="str">
        <f t="shared" ref="DD115" si="1405">IF(X115="","","|n"&amp;DD$2&amp;"+"&amp;X115&amp;DD$1)</f>
        <v/>
      </c>
      <c r="DE115" s="66" t="str">
        <f t="shared" ref="DE115" si="1406">IF(Y115="","","|n"&amp;DE$2&amp;"+"&amp;Y115&amp;DE$1)</f>
        <v/>
      </c>
      <c r="DF115" s="66" t="str">
        <f t="shared" ref="DF115" si="1407">IF(Z115="","","|n"&amp;DF$2&amp;"+"&amp;Z115&amp;DF$1)</f>
        <v/>
      </c>
      <c r="DG115" s="66" t="str">
        <f t="shared" ref="DG115" si="1408">IF(AA115="","","|n"&amp;DG$2&amp;"+"&amp;AA115&amp;DG$1)</f>
        <v/>
      </c>
      <c r="DH115" s="66" t="str">
        <f t="shared" ref="DH115" si="1409">IF(AB115="","","|n"&amp;DH$2&amp;"+"&amp;AB115&amp;DH$1)</f>
        <v/>
      </c>
      <c r="DI115" s="66" t="str">
        <f t="shared" ref="DI115" si="1410">IF(AC115="","","|n"&amp;DI$2&amp;"+"&amp;AC115&amp;DI$1)</f>
        <v/>
      </c>
      <c r="DJ115" s="66" t="str">
        <f t="shared" ref="DJ115" si="1411">IF(AD115="","","|n"&amp;DJ$2&amp;"+"&amp;AD115&amp;DJ$1)</f>
        <v/>
      </c>
      <c r="DK115" s="66" t="str">
        <f t="shared" ref="DK115" si="1412">IF(AE115="","","|n"&amp;DK$2&amp;"+"&amp;AE115&amp;DK$1)</f>
        <v/>
      </c>
      <c r="DL115" s="66" t="str">
        <f t="shared" ref="DL115" si="1413">IF(AF115="","","|n"&amp;DL$2&amp;"+"&amp;AF115&amp;DL$1)</f>
        <v/>
      </c>
      <c r="DM115" s="66" t="str">
        <f t="shared" ref="DM115" si="1414">IF(AG115="","","|n"&amp;DM$2&amp;"+"&amp;AG115&amp;DM$1)</f>
        <v/>
      </c>
      <c r="DN115" s="66" t="str">
        <f t="shared" ref="DN115" si="1415">IF(AH115="","","|n"&amp;DN$2&amp;"+"&amp;AH115&amp;DN$1)</f>
        <v/>
      </c>
      <c r="DO115" s="66" t="str">
        <f t="shared" ref="DO115" si="1416">IF(AI115="","","|n"&amp;DO$2&amp;"+"&amp;AI115&amp;DO$1)</f>
        <v/>
      </c>
      <c r="DP115" s="66" t="str">
        <f t="shared" ref="DP115" si="1417">IF(AJ115="","","|n"&amp;DP$2&amp;"+"&amp;AJ115&amp;DP$1)</f>
        <v/>
      </c>
      <c r="DQ115" s="66" t="str">
        <f t="shared" ref="DQ115" si="1418">IF(AK115="","","|n"&amp;DQ$2&amp;"+"&amp;AK115&amp;DQ$1)</f>
        <v/>
      </c>
      <c r="DR115" s="66" t="str">
        <f t="shared" ref="DR115" si="1419">IF(AL115="","","|n"&amp;DR$2&amp;"+"&amp;AL115&amp;DR$1)</f>
        <v/>
      </c>
      <c r="DS115" s="66" t="str">
        <f t="shared" ref="DS115" si="1420">IF(AM115="","","|n"&amp;DS$2&amp;"+"&amp;AM115&amp;DS$1)</f>
        <v/>
      </c>
      <c r="DT115" s="66" t="str">
        <f t="shared" ref="DT115" si="1421">IF(AN115="","","|n"&amp;DT$2&amp;"+"&amp;AN115&amp;DT$1)</f>
        <v/>
      </c>
      <c r="DU115" s="66" t="str">
        <f t="shared" ref="DU115" si="1422">IF(AO115="","","|n"&amp;DU$2&amp;"+"&amp;AO115&amp;DU$1)</f>
        <v/>
      </c>
      <c r="DV115" s="66" t="str">
        <f t="shared" ref="DV115" si="1423">IF(AP115="","","|n"&amp;DV$2&amp;"+"&amp;AP115&amp;DV$1)</f>
        <v/>
      </c>
      <c r="DW115" s="66" t="str">
        <f t="shared" ref="DW115" si="1424">IF(AQ115="","","|n"&amp;DW$2&amp;"+"&amp;AQ115&amp;DW$1)</f>
        <v/>
      </c>
      <c r="DX115" s="66" t="str">
        <f t="shared" ref="DX115" si="1425">IF(AR115="","","|n"&amp;DX$2&amp;"+"&amp;AR115&amp;DX$1)</f>
        <v/>
      </c>
      <c r="DY115" s="66" t="str">
        <f t="shared" ref="DY115" si="1426">IF(AS115="","","|n"&amp;DY$2&amp;"+"&amp;AS115&amp;DY$1)</f>
        <v/>
      </c>
      <c r="DZ115" s="66" t="str">
        <f t="shared" ref="DZ115" si="1427">IF(AT115="","","|n"&amp;DZ$2&amp;"+"&amp;AT115&amp;DZ$1)</f>
        <v/>
      </c>
      <c r="EA115" s="66" t="str">
        <f t="shared" ref="EA115" si="1428">IF(AU115="","","|n"&amp;EA$2&amp;"+"&amp;AU115&amp;EA$1)</f>
        <v/>
      </c>
      <c r="EB115" s="66" t="str">
        <f t="shared" ref="EB115" si="1429">IF(AV115="","","|n"&amp;EB$2&amp;"+"&amp;AV115&amp;EB$1)</f>
        <v/>
      </c>
      <c r="EC115" s="66" t="str">
        <f t="shared" ref="EC115" si="1430">IF(AW115="","","|n"&amp;EC$2&amp;"+"&amp;AW115&amp;EC$1)</f>
        <v/>
      </c>
      <c r="ED115" s="66" t="str">
        <f t="shared" ref="ED115" si="1431">IF(AX115="","","|n"&amp;ED$2&amp;"+"&amp;AX115&amp;ED$1)</f>
        <v/>
      </c>
      <c r="EE115" s="66" t="str">
        <f t="shared" ref="EE115" si="1432">IF(AY115="","","|n"&amp;EE$2&amp;"+"&amp;AY115&amp;EE$1)</f>
        <v/>
      </c>
      <c r="EF115" s="66" t="str">
        <f t="shared" ref="EF115" si="1433">IF(AZ115="","","|n"&amp;EF$2&amp;"+"&amp;AZ115&amp;EF$1)</f>
        <v/>
      </c>
      <c r="EG115" s="66" t="str">
        <f t="shared" ref="EG115" si="1434">IF(BA115="","","|n"&amp;EG$2&amp;"+"&amp;BA115&amp;EG$1)</f>
        <v/>
      </c>
      <c r="EH115" s="66" t="str">
        <f t="shared" ref="EH115" si="1435">IF(BB115="","","|n"&amp;EH$2&amp;"+"&amp;BB115&amp;EH$1)</f>
        <v/>
      </c>
      <c r="EI115" s="66" t="str">
        <f t="shared" ref="EI115" si="1436">IF(BC115="","","|n"&amp;EI$2&amp;"+"&amp;BC115&amp;EI$1)</f>
        <v/>
      </c>
      <c r="EJ115" s="66" t="str">
        <f t="shared" ref="EJ115" si="1437">IF(BD115="","","|n"&amp;EJ$2&amp;"+"&amp;BD115&amp;EJ$1)</f>
        <v/>
      </c>
      <c r="EK115" s="66" t="str">
        <f t="shared" ref="EK115" si="1438">IF(BE115="","","|n"&amp;EK$2&amp;"+"&amp;BE115&amp;EK$1)</f>
        <v/>
      </c>
      <c r="EL115" s="66" t="str">
        <f t="shared" ref="EL115" si="1439">IF(BF115="","","|n"&amp;EL$2&amp;"+"&amp;BF115&amp;EL$1)</f>
        <v/>
      </c>
      <c r="EM115" s="66" t="str">
        <f t="shared" ref="EM115" si="1440">IF(BG115="","","|n"&amp;EM$2&amp;"+"&amp;BG115&amp;EM$1)</f>
        <v/>
      </c>
      <c r="EN115" s="66" t="str">
        <f t="shared" ref="EN115" si="1441">IF(BH115="","","|n"&amp;EN$2&amp;"+"&amp;BH115&amp;EN$1)</f>
        <v/>
      </c>
      <c r="EO115" s="66" t="str">
        <f t="shared" ref="EO115" si="1442">IF(BI115="","","|n"&amp;EO$2&amp;"+"&amp;BI115&amp;EO$1)</f>
        <v/>
      </c>
      <c r="EP115" s="66" t="str">
        <f t="shared" ref="EP115" si="1443">IF(BJ115="","","|n"&amp;EP$2&amp;"+"&amp;BJ115&amp;EP$1)</f>
        <v/>
      </c>
      <c r="EQ115" s="66" t="str">
        <f t="shared" ref="EQ115" si="1444">IF(BK115="","","|n"&amp;EQ$2&amp;"+"&amp;BK115&amp;EQ$1)</f>
        <v/>
      </c>
      <c r="ER115" s="66" t="str">
        <f t="shared" ref="ER115" si="1445">IF(BL115="","","|n"&amp;ER$2&amp;"+"&amp;BL115&amp;ER$1)</f>
        <v/>
      </c>
      <c r="ES115" s="66" t="str">
        <f t="shared" ref="ES115" si="1446">IF(BM115="","","|n"&amp;ES$2&amp;"+"&amp;BM115&amp;ES$1)</f>
        <v/>
      </c>
      <c r="ET115" s="66" t="str">
        <f t="shared" ref="ET115" si="1447">IF(BN115="","","|n"&amp;ET$2&amp;"+"&amp;BN115&amp;ET$1)</f>
        <v/>
      </c>
      <c r="EU115" s="66" t="str">
        <f t="shared" ref="EU115" si="1448">IF(BO115="","","|n"&amp;EU$2&amp;"+"&amp;BO115&amp;EU$1)</f>
        <v/>
      </c>
      <c r="EV115" s="66" t="str">
        <f t="shared" ref="EV115" si="1449">IF(BP115="","","|n"&amp;EV$2&amp;"+"&amp;BP115&amp;EV$1)</f>
        <v/>
      </c>
      <c r="EW115" s="66" t="str">
        <f t="shared" ref="EW115" si="1450">IF(BQ115="","","|n"&amp;EW$2&amp;"+"&amp;BQ115&amp;EW$1)</f>
        <v/>
      </c>
      <c r="EX115" s="66" t="str">
        <f t="shared" ref="EX115" si="1451">IF(BR115="","","|n"&amp;EX$2&amp;"+"&amp;BR115&amp;EX$1)</f>
        <v/>
      </c>
      <c r="EY115" s="66" t="str">
        <f t="shared" ref="EY115" si="1452">IF(BS115="","","|n"&amp;EY$2&amp;"+"&amp;BS115&amp;EY$1)</f>
        <v/>
      </c>
      <c r="EZ115" s="66" t="str">
        <f t="shared" ref="EZ115" si="1453">IF(BT115="","","|n"&amp;EZ$2&amp;"+"&amp;BT115&amp;EZ$1)</f>
        <v/>
      </c>
      <c r="FA115" s="66" t="str">
        <f t="shared" ref="FA115" si="1454">IF(BU115="","","|n"&amp;FA$2&amp;"+"&amp;BU115&amp;FA$1)</f>
        <v/>
      </c>
      <c r="FB115" s="66" t="str">
        <f t="shared" ref="FB115" si="1455">IF(BV115="","","|n"&amp;FB$2&amp;"+"&amp;BV115&amp;FB$1)</f>
        <v/>
      </c>
      <c r="FC115" s="66" t="str">
        <f t="shared" ref="FC115" si="1456">IF(BW115="","","|n"&amp;FC$2&amp;"+"&amp;BW115&amp;FC$1)</f>
        <v/>
      </c>
      <c r="FD115" s="66" t="str">
        <f t="shared" ref="FD115" si="1457">IF(BX115="","","|n"&amp;FD$2&amp;"+"&amp;BX115&amp;FD$1)</f>
        <v/>
      </c>
      <c r="FE115" s="66" t="str">
        <f t="shared" ref="FE115" si="1458">IF(BY115="","","|n"&amp;FE$2&amp;"+"&amp;BY115&amp;FE$1)</f>
        <v/>
      </c>
      <c r="FF115" s="66" t="str">
        <f t="shared" ref="FF115" si="1459">IF(BZ115="","","|n"&amp;FF$2&amp;"+"&amp;BZ115&amp;FF$1)</f>
        <v/>
      </c>
      <c r="FG115" s="66" t="str">
        <f t="shared" ref="FG115" si="1460">IF(CA115="","","|n"&amp;FG$2&amp;"+"&amp;CA115&amp;FG$1)</f>
        <v/>
      </c>
      <c r="FH115" s="66" t="str">
        <f t="shared" ref="FH115" si="1461">IF(CB115="","","|n"&amp;FH$2&amp;"+"&amp;CB115&amp;FH$1)</f>
        <v/>
      </c>
      <c r="FI115" s="66" t="str">
        <f t="shared" ref="FI115" si="1462">IF(CC115="","","|n"&amp;FI$2&amp;"+"&amp;CC115&amp;FI$1)</f>
        <v/>
      </c>
      <c r="FJ115" s="66" t="str">
        <f t="shared" ref="FJ115" si="1463">IF(CD115="","","|n"&amp;FJ$2&amp;"+"&amp;CD115&amp;FJ$1)</f>
        <v/>
      </c>
      <c r="FK115" s="66" t="str">
        <f t="shared" ref="FK115" si="1464">IF(CE115="","","|n"&amp;FK$2&amp;"+"&amp;CE115&amp;FK$1)</f>
        <v/>
      </c>
      <c r="FL115" s="66" t="str">
        <f t="shared" ref="FL115" si="1465">IF(CF115="","","|n"&amp;FL$2&amp;"+"&amp;CF115&amp;FL$1)</f>
        <v/>
      </c>
      <c r="FM115" s="66" t="str">
        <f t="shared" ref="FM115" si="1466">IF(CG115="","","|n"&amp;FM$2&amp;"+"&amp;CG115&amp;FM$1)</f>
        <v/>
      </c>
      <c r="FN115" s="66" t="str">
        <f t="shared" ref="FN115" si="1467">IF(CH115="","","|n"&amp;FN$2&amp;"+"&amp;CH115&amp;FN$1)</f>
        <v/>
      </c>
      <c r="FO115" s="66" t="str">
        <f t="shared" ref="FO115" si="1468">IF(CI115="","","|n"&amp;FO$2&amp;"+"&amp;CI115&amp;FO$1)</f>
        <v/>
      </c>
      <c r="FP115" s="66" t="str">
        <f t="shared" ref="FP115" si="1469">IF(CJ115="","","|n"&amp;FP$2&amp;"+"&amp;CJ115&amp;FP$1)</f>
        <v/>
      </c>
      <c r="FQ115" s="66" t="str">
        <f t="shared" ref="FQ115" si="1470">IF(CK115="","","|n"&amp;FQ$2&amp;"+"&amp;CK115&amp;FQ$1)</f>
        <v/>
      </c>
      <c r="FR115" s="66" t="str">
        <f t="shared" ref="FR115" si="1471">IF(CL115="","","|n"&amp;FR$2&amp;"+"&amp;CL115&amp;FR$1)</f>
        <v/>
      </c>
      <c r="FS115" s="66" t="str">
        <f t="shared" ref="FS115" si="1472">IF(CM115="","","|n"&amp;FS$2&amp;"+"&amp;CM115&amp;FS$1)</f>
        <v/>
      </c>
    </row>
    <row r="116" spans="1:175" ht="16.5">
      <c r="A116" s="9"/>
      <c r="B116" s="9" t="s">
        <v>457</v>
      </c>
      <c r="C116" s="9" t="s">
        <v>927</v>
      </c>
      <c r="T116" s="9"/>
      <c r="U116" s="77" t="s">
        <v>453</v>
      </c>
      <c r="CN116" s="36" t="str">
        <f t="shared" ref="CN116" si="1473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36" t="str">
        <f t="shared" ref="CO116" si="1474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36" t="str">
        <f t="shared" ref="CP116" si="1475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36" t="str">
        <f t="shared" ref="CQ116" si="1476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88" t="str">
        <f t="shared" ref="CU116" si="1477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19">
        <f t="shared" ref="CV116" si="1478">T116</f>
        <v>0</v>
      </c>
      <c r="CW116" s="33"/>
      <c r="CX116" s="33"/>
      <c r="CY116" s="33"/>
      <c r="CZ116" s="33"/>
      <c r="DA116" s="33"/>
      <c r="DB116" s="66" t="str">
        <f t="shared" ref="DB116" si="1479">IF(V116="","","|n"&amp;DB$2&amp;"+"&amp;V116&amp;DB$1)</f>
        <v/>
      </c>
      <c r="DC116" s="66" t="str">
        <f t="shared" ref="DC116" si="1480">IF(W116="","","|n"&amp;DC$2&amp;"+"&amp;W116&amp;DC$1)</f>
        <v/>
      </c>
      <c r="DD116" s="66" t="str">
        <f t="shared" ref="DD116" si="1481">IF(X116="","","|n"&amp;DD$2&amp;"+"&amp;X116&amp;DD$1)</f>
        <v/>
      </c>
      <c r="DE116" s="66" t="str">
        <f t="shared" ref="DE116" si="1482">IF(Y116="","","|n"&amp;DE$2&amp;"+"&amp;Y116&amp;DE$1)</f>
        <v/>
      </c>
      <c r="DF116" s="66" t="str">
        <f t="shared" ref="DF116" si="1483">IF(Z116="","","|n"&amp;DF$2&amp;"+"&amp;Z116&amp;DF$1)</f>
        <v/>
      </c>
      <c r="DG116" s="66" t="str">
        <f t="shared" ref="DG116" si="1484">IF(AA116="","","|n"&amp;DG$2&amp;"+"&amp;AA116&amp;DG$1)</f>
        <v/>
      </c>
      <c r="DH116" s="66" t="str">
        <f t="shared" ref="DH116" si="1485">IF(AB116="","","|n"&amp;DH$2&amp;"+"&amp;AB116&amp;DH$1)</f>
        <v/>
      </c>
      <c r="DI116" s="66" t="str">
        <f t="shared" ref="DI116" si="1486">IF(AC116="","","|n"&amp;DI$2&amp;"+"&amp;AC116&amp;DI$1)</f>
        <v/>
      </c>
      <c r="DJ116" s="66" t="str">
        <f t="shared" ref="DJ116" si="1487">IF(AD116="","","|n"&amp;DJ$2&amp;"+"&amp;AD116&amp;DJ$1)</f>
        <v/>
      </c>
      <c r="DK116" s="66" t="str">
        <f t="shared" ref="DK116" si="1488">IF(AE116="","","|n"&amp;DK$2&amp;"+"&amp;AE116&amp;DK$1)</f>
        <v/>
      </c>
      <c r="DL116" s="66" t="str">
        <f t="shared" ref="DL116" si="1489">IF(AF116="","","|n"&amp;DL$2&amp;"+"&amp;AF116&amp;DL$1)</f>
        <v/>
      </c>
      <c r="DM116" s="66" t="str">
        <f t="shared" ref="DM116" si="1490">IF(AG116="","","|n"&amp;DM$2&amp;"+"&amp;AG116&amp;DM$1)</f>
        <v/>
      </c>
      <c r="DN116" s="66" t="str">
        <f t="shared" ref="DN116" si="1491">IF(AH116="","","|n"&amp;DN$2&amp;"+"&amp;AH116&amp;DN$1)</f>
        <v/>
      </c>
      <c r="DO116" s="66" t="str">
        <f t="shared" ref="DO116" si="1492">IF(AI116="","","|n"&amp;DO$2&amp;"+"&amp;AI116&amp;DO$1)</f>
        <v/>
      </c>
      <c r="DP116" s="66" t="str">
        <f t="shared" ref="DP116" si="1493">IF(AJ116="","","|n"&amp;DP$2&amp;"+"&amp;AJ116&amp;DP$1)</f>
        <v/>
      </c>
      <c r="DQ116" s="66" t="str">
        <f t="shared" ref="DQ116" si="1494">IF(AK116="","","|n"&amp;DQ$2&amp;"+"&amp;AK116&amp;DQ$1)</f>
        <v/>
      </c>
      <c r="DR116" s="66" t="str">
        <f t="shared" ref="DR116" si="1495">IF(AL116="","","|n"&amp;DR$2&amp;"+"&amp;AL116&amp;DR$1)</f>
        <v/>
      </c>
      <c r="DS116" s="66" t="str">
        <f t="shared" ref="DS116" si="1496">IF(AM116="","","|n"&amp;DS$2&amp;"+"&amp;AM116&amp;DS$1)</f>
        <v/>
      </c>
      <c r="DT116" s="66" t="str">
        <f t="shared" ref="DT116" si="1497">IF(AN116="","","|n"&amp;DT$2&amp;"+"&amp;AN116&amp;DT$1)</f>
        <v/>
      </c>
      <c r="DU116" s="66" t="str">
        <f t="shared" ref="DU116" si="1498">IF(AO116="","","|n"&amp;DU$2&amp;"+"&amp;AO116&amp;DU$1)</f>
        <v/>
      </c>
      <c r="DV116" s="66" t="str">
        <f t="shared" ref="DV116" si="1499">IF(AP116="","","|n"&amp;DV$2&amp;"+"&amp;AP116&amp;DV$1)</f>
        <v/>
      </c>
      <c r="DW116" s="66" t="str">
        <f t="shared" ref="DW116" si="1500">IF(AQ116="","","|n"&amp;DW$2&amp;"+"&amp;AQ116&amp;DW$1)</f>
        <v/>
      </c>
      <c r="DX116" s="66" t="str">
        <f t="shared" ref="DX116" si="1501">IF(AR116="","","|n"&amp;DX$2&amp;"+"&amp;AR116&amp;DX$1)</f>
        <v/>
      </c>
      <c r="DY116" s="66" t="str">
        <f t="shared" ref="DY116" si="1502">IF(AS116="","","|n"&amp;DY$2&amp;"+"&amp;AS116&amp;DY$1)</f>
        <v/>
      </c>
      <c r="DZ116" s="66" t="str">
        <f t="shared" ref="DZ116" si="1503">IF(AT116="","","|n"&amp;DZ$2&amp;"+"&amp;AT116&amp;DZ$1)</f>
        <v/>
      </c>
      <c r="EA116" s="66" t="str">
        <f t="shared" ref="EA116" si="1504">IF(AU116="","","|n"&amp;EA$2&amp;"+"&amp;AU116&amp;EA$1)</f>
        <v/>
      </c>
      <c r="EB116" s="66" t="str">
        <f t="shared" ref="EB116" si="1505">IF(AV116="","","|n"&amp;EB$2&amp;"+"&amp;AV116&amp;EB$1)</f>
        <v/>
      </c>
      <c r="EC116" s="66" t="str">
        <f t="shared" ref="EC116" si="1506">IF(AW116="","","|n"&amp;EC$2&amp;"+"&amp;AW116&amp;EC$1)</f>
        <v/>
      </c>
      <c r="ED116" s="66" t="str">
        <f t="shared" ref="ED116" si="1507">IF(AX116="","","|n"&amp;ED$2&amp;"+"&amp;AX116&amp;ED$1)</f>
        <v/>
      </c>
      <c r="EE116" s="66" t="str">
        <f t="shared" ref="EE116" si="1508">IF(AY116="","","|n"&amp;EE$2&amp;"+"&amp;AY116&amp;EE$1)</f>
        <v/>
      </c>
      <c r="EF116" s="66" t="str">
        <f t="shared" ref="EF116" si="1509">IF(AZ116="","","|n"&amp;EF$2&amp;"+"&amp;AZ116&amp;EF$1)</f>
        <v/>
      </c>
      <c r="EG116" s="66" t="str">
        <f t="shared" ref="EG116" si="1510">IF(BA116="","","|n"&amp;EG$2&amp;"+"&amp;BA116&amp;EG$1)</f>
        <v/>
      </c>
      <c r="EH116" s="66" t="str">
        <f t="shared" ref="EH116" si="1511">IF(BB116="","","|n"&amp;EH$2&amp;"+"&amp;BB116&amp;EH$1)</f>
        <v/>
      </c>
      <c r="EI116" s="66" t="str">
        <f t="shared" ref="EI116" si="1512">IF(BC116="","","|n"&amp;EI$2&amp;"+"&amp;BC116&amp;EI$1)</f>
        <v/>
      </c>
      <c r="EJ116" s="66" t="str">
        <f t="shared" ref="EJ116" si="1513">IF(BD116="","","|n"&amp;EJ$2&amp;"+"&amp;BD116&amp;EJ$1)</f>
        <v/>
      </c>
      <c r="EK116" s="66" t="str">
        <f t="shared" ref="EK116" si="1514">IF(BE116="","","|n"&amp;EK$2&amp;"+"&amp;BE116&amp;EK$1)</f>
        <v/>
      </c>
      <c r="EL116" s="66" t="str">
        <f t="shared" ref="EL116" si="1515">IF(BF116="","","|n"&amp;EL$2&amp;"+"&amp;BF116&amp;EL$1)</f>
        <v/>
      </c>
      <c r="EM116" s="66" t="str">
        <f t="shared" ref="EM116" si="1516">IF(BG116="","","|n"&amp;EM$2&amp;"+"&amp;BG116&amp;EM$1)</f>
        <v/>
      </c>
      <c r="EN116" s="66" t="str">
        <f t="shared" ref="EN116" si="1517">IF(BH116="","","|n"&amp;EN$2&amp;"+"&amp;BH116&amp;EN$1)</f>
        <v/>
      </c>
      <c r="EO116" s="66" t="str">
        <f t="shared" ref="EO116" si="1518">IF(BI116="","","|n"&amp;EO$2&amp;"+"&amp;BI116&amp;EO$1)</f>
        <v/>
      </c>
      <c r="EP116" s="66" t="str">
        <f t="shared" ref="EP116" si="1519">IF(BJ116="","","|n"&amp;EP$2&amp;"+"&amp;BJ116&amp;EP$1)</f>
        <v/>
      </c>
      <c r="EQ116" s="66" t="str">
        <f t="shared" ref="EQ116" si="1520">IF(BK116="","","|n"&amp;EQ$2&amp;"+"&amp;BK116&amp;EQ$1)</f>
        <v/>
      </c>
      <c r="ER116" s="66" t="str">
        <f t="shared" ref="ER116" si="1521">IF(BL116="","","|n"&amp;ER$2&amp;"+"&amp;BL116&amp;ER$1)</f>
        <v/>
      </c>
      <c r="ES116" s="66" t="str">
        <f t="shared" ref="ES116" si="1522">IF(BM116="","","|n"&amp;ES$2&amp;"+"&amp;BM116&amp;ES$1)</f>
        <v/>
      </c>
      <c r="ET116" s="66" t="str">
        <f t="shared" ref="ET116" si="1523">IF(BN116="","","|n"&amp;ET$2&amp;"+"&amp;BN116&amp;ET$1)</f>
        <v/>
      </c>
      <c r="EU116" s="66" t="str">
        <f t="shared" ref="EU116" si="1524">IF(BO116="","","|n"&amp;EU$2&amp;"+"&amp;BO116&amp;EU$1)</f>
        <v/>
      </c>
      <c r="EV116" s="66" t="str">
        <f t="shared" ref="EV116" si="1525">IF(BP116="","","|n"&amp;EV$2&amp;"+"&amp;BP116&amp;EV$1)</f>
        <v/>
      </c>
      <c r="EW116" s="66" t="str">
        <f t="shared" ref="EW116" si="1526">IF(BQ116="","","|n"&amp;EW$2&amp;"+"&amp;BQ116&amp;EW$1)</f>
        <v/>
      </c>
      <c r="EX116" s="66" t="str">
        <f t="shared" ref="EX116" si="1527">IF(BR116="","","|n"&amp;EX$2&amp;"+"&amp;BR116&amp;EX$1)</f>
        <v/>
      </c>
      <c r="EY116" s="66" t="str">
        <f t="shared" ref="EY116" si="1528">IF(BS116="","","|n"&amp;EY$2&amp;"+"&amp;BS116&amp;EY$1)</f>
        <v/>
      </c>
      <c r="EZ116" s="66" t="str">
        <f t="shared" ref="EZ116" si="1529">IF(BT116="","","|n"&amp;EZ$2&amp;"+"&amp;BT116&amp;EZ$1)</f>
        <v/>
      </c>
      <c r="FA116" s="66" t="str">
        <f t="shared" ref="FA116" si="1530">IF(BU116="","","|n"&amp;FA$2&amp;"+"&amp;BU116&amp;FA$1)</f>
        <v/>
      </c>
      <c r="FB116" s="66" t="str">
        <f t="shared" ref="FB116" si="1531">IF(BV116="","","|n"&amp;FB$2&amp;"+"&amp;BV116&amp;FB$1)</f>
        <v/>
      </c>
      <c r="FC116" s="66" t="str">
        <f t="shared" ref="FC116" si="1532">IF(BW116="","","|n"&amp;FC$2&amp;"+"&amp;BW116&amp;FC$1)</f>
        <v/>
      </c>
      <c r="FD116" s="66" t="str">
        <f t="shared" ref="FD116" si="1533">IF(BX116="","","|n"&amp;FD$2&amp;"+"&amp;BX116&amp;FD$1)</f>
        <v/>
      </c>
      <c r="FE116" s="66" t="str">
        <f t="shared" ref="FE116" si="1534">IF(BY116="","","|n"&amp;FE$2&amp;"+"&amp;BY116&amp;FE$1)</f>
        <v/>
      </c>
      <c r="FF116" s="66" t="str">
        <f t="shared" ref="FF116" si="1535">IF(BZ116="","","|n"&amp;FF$2&amp;"+"&amp;BZ116&amp;FF$1)</f>
        <v/>
      </c>
      <c r="FG116" s="66" t="str">
        <f t="shared" ref="FG116" si="1536">IF(CA116="","","|n"&amp;FG$2&amp;"+"&amp;CA116&amp;FG$1)</f>
        <v/>
      </c>
      <c r="FH116" s="66" t="str">
        <f t="shared" ref="FH116" si="1537">IF(CB116="","","|n"&amp;FH$2&amp;"+"&amp;CB116&amp;FH$1)</f>
        <v/>
      </c>
      <c r="FI116" s="66" t="str">
        <f t="shared" ref="FI116" si="1538">IF(CC116="","","|n"&amp;FI$2&amp;"+"&amp;CC116&amp;FI$1)</f>
        <v/>
      </c>
      <c r="FJ116" s="66" t="str">
        <f t="shared" ref="FJ116" si="1539">IF(CD116="","","|n"&amp;FJ$2&amp;"+"&amp;CD116&amp;FJ$1)</f>
        <v/>
      </c>
      <c r="FK116" s="66" t="str">
        <f t="shared" ref="FK116" si="1540">IF(CE116="","","|n"&amp;FK$2&amp;"+"&amp;CE116&amp;FK$1)</f>
        <v/>
      </c>
      <c r="FL116" s="66" t="str">
        <f t="shared" ref="FL116" si="1541">IF(CF116="","","|n"&amp;FL$2&amp;"+"&amp;CF116&amp;FL$1)</f>
        <v/>
      </c>
      <c r="FM116" s="66" t="str">
        <f t="shared" ref="FM116" si="1542">IF(CG116="","","|n"&amp;FM$2&amp;"+"&amp;CG116&amp;FM$1)</f>
        <v/>
      </c>
      <c r="FN116" s="66" t="str">
        <f t="shared" ref="FN116" si="1543">IF(CH116="","","|n"&amp;FN$2&amp;"+"&amp;CH116&amp;FN$1)</f>
        <v/>
      </c>
      <c r="FO116" s="66" t="str">
        <f t="shared" ref="FO116" si="1544">IF(CI116="","","|n"&amp;FO$2&amp;"+"&amp;CI116&amp;FO$1)</f>
        <v/>
      </c>
      <c r="FP116" s="66" t="str">
        <f t="shared" ref="FP116" si="1545">IF(CJ116="","","|n"&amp;FP$2&amp;"+"&amp;CJ116&amp;FP$1)</f>
        <v/>
      </c>
      <c r="FQ116" s="66" t="str">
        <f t="shared" ref="FQ116" si="1546">IF(CK116="","","|n"&amp;FQ$2&amp;"+"&amp;CK116&amp;FQ$1)</f>
        <v/>
      </c>
      <c r="FR116" s="66" t="str">
        <f t="shared" ref="FR116" si="1547">IF(CL116="","","|n"&amp;FR$2&amp;"+"&amp;CL116&amp;FR$1)</f>
        <v/>
      </c>
      <c r="FS116" s="66" t="str">
        <f t="shared" ref="FS116" si="1548">IF(CM116="","","|n"&amp;FS$2&amp;"+"&amp;CM116&amp;FS$1)</f>
        <v/>
      </c>
    </row>
    <row r="117" spans="1:175" ht="27">
      <c r="A117" s="14"/>
      <c r="B117" s="9" t="s">
        <v>459</v>
      </c>
      <c r="C117" s="14" t="s">
        <v>460</v>
      </c>
      <c r="T117" s="96" t="s">
        <v>461</v>
      </c>
      <c r="U117" s="77" t="str">
        <f t="shared" ref="U117:U141" si="1549">"ReplaceableTextures\\CommandButtons\\BTN"&amp;B117&amp;".blp"</f>
        <v>ReplaceableTextures\\CommandButtons\\BTNCF01.blp</v>
      </c>
      <c r="CN117" s="36" t="str">
        <f t="shared" ref="CN117:CN127" si="1550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36" t="str">
        <f t="shared" ref="CO117:CO127" si="1551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36" t="str">
        <f t="shared" ref="CP117:CP127" si="1552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36" t="str">
        <f t="shared" ref="CQ117:CQ127" si="1553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36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88" t="str">
        <f t="shared" ref="CU117:CU118" si="1554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18" si="1555">T117</f>
        <v>获得一个随机品质的法宝。|n|n|Cff00ff7f副本难度影响法宝品质稀有度。|r</v>
      </c>
      <c r="CW117" s="33"/>
      <c r="CX117" s="33"/>
      <c r="CY117" s="33"/>
      <c r="CZ117" s="33"/>
      <c r="DA117" s="33"/>
      <c r="DB117" s="66" t="str">
        <f t="shared" ref="DB117:DB118" si="1556">IF(V117="","","|n"&amp;DB$2&amp;"+"&amp;V117&amp;DB$1)</f>
        <v/>
      </c>
      <c r="DC117" s="66" t="str">
        <f t="shared" ref="DC117:DC118" si="1557">IF(W117="","","|n"&amp;DC$2&amp;"+"&amp;W117&amp;DC$1)</f>
        <v/>
      </c>
      <c r="DD117" s="66" t="str">
        <f t="shared" ref="DD117:DD118" si="1558">IF(X117="","","|n"&amp;DD$2&amp;"+"&amp;X117&amp;DD$1)</f>
        <v/>
      </c>
      <c r="DE117" s="66" t="str">
        <f t="shared" ref="DE117:DE118" si="1559">IF(Y117="","","|n"&amp;DE$2&amp;"+"&amp;Y117&amp;DE$1)</f>
        <v/>
      </c>
      <c r="DF117" s="66" t="str">
        <f t="shared" ref="DF117:DF118" si="1560">IF(Z117="","","|n"&amp;DF$2&amp;"+"&amp;Z117&amp;DF$1)</f>
        <v/>
      </c>
      <c r="DG117" s="66" t="str">
        <f t="shared" ref="DG117:DG118" si="1561">IF(AA117="","","|n"&amp;DG$2&amp;"+"&amp;AA117&amp;DG$1)</f>
        <v/>
      </c>
      <c r="DH117" s="66" t="str">
        <f t="shared" ref="DH117:DH118" si="1562">IF(AB117="","","|n"&amp;DH$2&amp;"+"&amp;AB117&amp;DH$1)</f>
        <v/>
      </c>
      <c r="DI117" s="66" t="str">
        <f t="shared" ref="DI117:DI118" si="1563">IF(AC117="","","|n"&amp;DI$2&amp;"+"&amp;AC117&amp;DI$1)</f>
        <v/>
      </c>
      <c r="DJ117" s="66" t="str">
        <f t="shared" ref="DJ117:DJ118" si="1564">IF(AD117="","","|n"&amp;DJ$2&amp;"+"&amp;AD117&amp;DJ$1)</f>
        <v/>
      </c>
      <c r="DK117" s="66" t="str">
        <f t="shared" ref="DK117:DK118" si="1565">IF(AE117="","","|n"&amp;DK$2&amp;"+"&amp;AE117&amp;DK$1)</f>
        <v/>
      </c>
      <c r="DL117" s="66" t="str">
        <f t="shared" ref="DL117:DL118" si="1566">IF(AF117="","","|n"&amp;DL$2&amp;"+"&amp;AF117&amp;DL$1)</f>
        <v/>
      </c>
      <c r="DM117" s="66" t="str">
        <f t="shared" ref="DM117:DM118" si="1567">IF(AG117="","","|n"&amp;DM$2&amp;"+"&amp;AG117&amp;DM$1)</f>
        <v/>
      </c>
      <c r="DN117" s="66" t="str">
        <f t="shared" ref="DN117:DN118" si="1568">IF(AH117="","","|n"&amp;DN$2&amp;"+"&amp;AH117&amp;DN$1)</f>
        <v/>
      </c>
      <c r="DO117" s="66" t="str">
        <f t="shared" ref="DO117:DO118" si="1569">IF(AI117="","","|n"&amp;DO$2&amp;"+"&amp;AI117&amp;DO$1)</f>
        <v/>
      </c>
      <c r="DP117" s="66" t="str">
        <f t="shared" ref="DP117:DP118" si="1570">IF(AJ117="","","|n"&amp;DP$2&amp;"+"&amp;AJ117&amp;DP$1)</f>
        <v/>
      </c>
      <c r="DQ117" s="66" t="str">
        <f t="shared" ref="DQ117:DQ118" si="1571">IF(AK117="","","|n"&amp;DQ$2&amp;"+"&amp;AK117&amp;DQ$1)</f>
        <v/>
      </c>
      <c r="DR117" s="66" t="str">
        <f t="shared" ref="DR117:DR118" si="1572">IF(AL117="","","|n"&amp;DR$2&amp;"+"&amp;AL117&amp;DR$1)</f>
        <v/>
      </c>
      <c r="DS117" s="66" t="str">
        <f t="shared" ref="DS117:DS118" si="1573">IF(AM117="","","|n"&amp;DS$2&amp;"+"&amp;AM117&amp;DS$1)</f>
        <v/>
      </c>
      <c r="DT117" s="66" t="str">
        <f t="shared" ref="DT117:DT118" si="1574">IF(AN117="","","|n"&amp;DT$2&amp;"+"&amp;AN117&amp;DT$1)</f>
        <v/>
      </c>
      <c r="DU117" s="66" t="str">
        <f t="shared" ref="DU117:DU118" si="1575">IF(AO117="","","|n"&amp;DU$2&amp;"+"&amp;AO117&amp;DU$1)</f>
        <v/>
      </c>
      <c r="DV117" s="66" t="str">
        <f t="shared" ref="DV117:DV118" si="1576">IF(AP117="","","|n"&amp;DV$2&amp;"+"&amp;AP117&amp;DV$1)</f>
        <v/>
      </c>
      <c r="DW117" s="66" t="str">
        <f t="shared" ref="DW117:DW118" si="1577">IF(AQ117="","","|n"&amp;DW$2&amp;"+"&amp;AQ117&amp;DW$1)</f>
        <v/>
      </c>
      <c r="DX117" s="66" t="str">
        <f t="shared" ref="DX117:DX118" si="1578">IF(AR117="","","|n"&amp;DX$2&amp;"+"&amp;AR117&amp;DX$1)</f>
        <v/>
      </c>
      <c r="DY117" s="66" t="str">
        <f t="shared" ref="DY117:DY118" si="1579">IF(AS117="","","|n"&amp;DY$2&amp;"+"&amp;AS117&amp;DY$1)</f>
        <v/>
      </c>
      <c r="DZ117" s="66" t="str">
        <f t="shared" ref="DZ117:DZ118" si="1580">IF(AT117="","","|n"&amp;DZ$2&amp;"+"&amp;AT117&amp;DZ$1)</f>
        <v/>
      </c>
      <c r="EA117" s="66" t="str">
        <f t="shared" ref="EA117:EA118" si="1581">IF(AU117="","","|n"&amp;EA$2&amp;"+"&amp;AU117&amp;EA$1)</f>
        <v/>
      </c>
      <c r="EB117" s="66" t="str">
        <f t="shared" ref="EB117:EB118" si="1582">IF(AV117="","","|n"&amp;EB$2&amp;"+"&amp;AV117&amp;EB$1)</f>
        <v/>
      </c>
      <c r="EC117" s="66" t="str">
        <f t="shared" ref="EC117:EC118" si="1583">IF(AW117="","","|n"&amp;EC$2&amp;"+"&amp;AW117&amp;EC$1)</f>
        <v/>
      </c>
      <c r="ED117" s="66" t="str">
        <f t="shared" ref="ED117:ED118" si="1584">IF(AX117="","","|n"&amp;ED$2&amp;"+"&amp;AX117&amp;ED$1)</f>
        <v/>
      </c>
      <c r="EE117" s="66" t="str">
        <f t="shared" ref="EE117:EE118" si="1585">IF(AY117="","","|n"&amp;EE$2&amp;"+"&amp;AY117&amp;EE$1)</f>
        <v/>
      </c>
      <c r="EF117" s="66" t="str">
        <f t="shared" ref="EF117:EF118" si="1586">IF(AZ117="","","|n"&amp;EF$2&amp;"+"&amp;AZ117&amp;EF$1)</f>
        <v/>
      </c>
      <c r="EG117" s="66" t="str">
        <f t="shared" ref="EG117:EG118" si="1587">IF(BA117="","","|n"&amp;EG$2&amp;"+"&amp;BA117&amp;EG$1)</f>
        <v/>
      </c>
      <c r="EH117" s="66" t="str">
        <f t="shared" ref="EH117:EH118" si="1588">IF(BB117="","","|n"&amp;EH$2&amp;"+"&amp;BB117&amp;EH$1)</f>
        <v/>
      </c>
      <c r="EI117" s="66" t="str">
        <f t="shared" ref="EI117:EI118" si="1589">IF(BC117="","","|n"&amp;EI$2&amp;"+"&amp;BC117&amp;EI$1)</f>
        <v/>
      </c>
      <c r="EJ117" s="66" t="str">
        <f t="shared" ref="EJ117:EJ118" si="1590">IF(BD117="","","|n"&amp;EJ$2&amp;"+"&amp;BD117&amp;EJ$1)</f>
        <v/>
      </c>
      <c r="EK117" s="66" t="str">
        <f t="shared" ref="EK117:EK118" si="1591">IF(BE117="","","|n"&amp;EK$2&amp;"+"&amp;BE117&amp;EK$1)</f>
        <v/>
      </c>
      <c r="EL117" s="66" t="str">
        <f t="shared" ref="EL117:EL118" si="1592">IF(BF117="","","|n"&amp;EL$2&amp;"+"&amp;BF117&amp;EL$1)</f>
        <v/>
      </c>
      <c r="EM117" s="66" t="str">
        <f t="shared" ref="EM117:EM118" si="1593">IF(BG117="","","|n"&amp;EM$2&amp;"+"&amp;BG117&amp;EM$1)</f>
        <v/>
      </c>
      <c r="EN117" s="66" t="str">
        <f t="shared" ref="EN117:EN118" si="1594">IF(BH117="","","|n"&amp;EN$2&amp;"+"&amp;BH117&amp;EN$1)</f>
        <v/>
      </c>
      <c r="EO117" s="66" t="str">
        <f t="shared" ref="EO117:EO118" si="1595">IF(BI117="","","|n"&amp;EO$2&amp;"+"&amp;BI117&amp;EO$1)</f>
        <v/>
      </c>
      <c r="EP117" s="66" t="str">
        <f t="shared" ref="EP117:EP118" si="1596">IF(BJ117="","","|n"&amp;EP$2&amp;"+"&amp;BJ117&amp;EP$1)</f>
        <v/>
      </c>
      <c r="EQ117" s="66" t="str">
        <f t="shared" ref="EQ117:EQ118" si="1597">IF(BK117="","","|n"&amp;EQ$2&amp;"+"&amp;BK117&amp;EQ$1)</f>
        <v/>
      </c>
      <c r="ER117" s="66" t="str">
        <f t="shared" ref="ER117:ER118" si="1598">IF(BL117="","","|n"&amp;ER$2&amp;"+"&amp;BL117&amp;ER$1)</f>
        <v/>
      </c>
      <c r="ES117" s="66" t="str">
        <f t="shared" ref="ES117:ES118" si="1599">IF(BM117="","","|n"&amp;ES$2&amp;"+"&amp;BM117&amp;ES$1)</f>
        <v/>
      </c>
      <c r="ET117" s="66" t="str">
        <f t="shared" ref="ET117:ET118" si="1600">IF(BN117="","","|n"&amp;ET$2&amp;"+"&amp;BN117&amp;ET$1)</f>
        <v/>
      </c>
      <c r="EU117" s="66" t="str">
        <f t="shared" ref="EU117:EU118" si="1601">IF(BO117="","","|n"&amp;EU$2&amp;"+"&amp;BO117&amp;EU$1)</f>
        <v/>
      </c>
      <c r="EV117" s="66" t="str">
        <f t="shared" ref="EV117:EV118" si="1602">IF(BP117="","","|n"&amp;EV$2&amp;"+"&amp;BP117&amp;EV$1)</f>
        <v/>
      </c>
      <c r="EW117" s="66" t="str">
        <f t="shared" ref="EW117:EW118" si="1603">IF(BQ117="","","|n"&amp;EW$2&amp;"+"&amp;BQ117&amp;EW$1)</f>
        <v/>
      </c>
      <c r="EX117" s="66" t="str">
        <f t="shared" ref="EX117:EX118" si="1604">IF(BR117="","","|n"&amp;EX$2&amp;"+"&amp;BR117&amp;EX$1)</f>
        <v/>
      </c>
      <c r="EY117" s="66" t="str">
        <f t="shared" ref="EY117:EY118" si="1605">IF(BS117="","","|n"&amp;EY$2&amp;"+"&amp;BS117&amp;EY$1)</f>
        <v/>
      </c>
      <c r="EZ117" s="66" t="str">
        <f t="shared" ref="EZ117:EZ118" si="1606">IF(BT117="","","|n"&amp;EZ$2&amp;"+"&amp;BT117&amp;EZ$1)</f>
        <v/>
      </c>
      <c r="FA117" s="66" t="str">
        <f t="shared" ref="FA117:FA118" si="1607">IF(BU117="","","|n"&amp;FA$2&amp;"+"&amp;BU117&amp;FA$1)</f>
        <v/>
      </c>
      <c r="FB117" s="66" t="str">
        <f t="shared" ref="FB117:FB118" si="1608">IF(BV117="","","|n"&amp;FB$2&amp;"+"&amp;BV117&amp;FB$1)</f>
        <v/>
      </c>
      <c r="FC117" s="66" t="str">
        <f t="shared" ref="FC117:FC118" si="1609">IF(BW117="","","|n"&amp;FC$2&amp;"+"&amp;BW117&amp;FC$1)</f>
        <v/>
      </c>
      <c r="FD117" s="66" t="str">
        <f t="shared" ref="FD117:FD118" si="1610">IF(BX117="","","|n"&amp;FD$2&amp;"+"&amp;BX117&amp;FD$1)</f>
        <v/>
      </c>
      <c r="FE117" s="66" t="str">
        <f t="shared" ref="FE117:FE118" si="1611">IF(BY117="","","|n"&amp;FE$2&amp;"+"&amp;BY117&amp;FE$1)</f>
        <v/>
      </c>
      <c r="FF117" s="66" t="str">
        <f t="shared" ref="FF117:FF118" si="1612">IF(BZ117="","","|n"&amp;FF$2&amp;"+"&amp;BZ117&amp;FF$1)</f>
        <v/>
      </c>
      <c r="FG117" s="66" t="str">
        <f t="shared" ref="FG117:FG118" si="1613">IF(CA117="","","|n"&amp;FG$2&amp;"+"&amp;CA117&amp;FG$1)</f>
        <v/>
      </c>
      <c r="FH117" s="66" t="str">
        <f t="shared" ref="FH117:FH118" si="1614">IF(CB117="","","|n"&amp;FH$2&amp;"+"&amp;CB117&amp;FH$1)</f>
        <v/>
      </c>
      <c r="FI117" s="66" t="str">
        <f t="shared" ref="FI117:FI118" si="1615">IF(CC117="","","|n"&amp;FI$2&amp;"+"&amp;CC117&amp;FI$1)</f>
        <v/>
      </c>
      <c r="FJ117" s="66" t="str">
        <f t="shared" ref="FJ117:FJ118" si="1616">IF(CD117="","","|n"&amp;FJ$2&amp;"+"&amp;CD117&amp;FJ$1)</f>
        <v/>
      </c>
      <c r="FK117" s="66" t="str">
        <f t="shared" ref="FK117:FK118" si="1617">IF(CE117="","","|n"&amp;FK$2&amp;"+"&amp;CE117&amp;FK$1)</f>
        <v/>
      </c>
      <c r="FL117" s="66" t="str">
        <f t="shared" ref="FL117:FL118" si="1618">IF(CF117="","","|n"&amp;FL$2&amp;"+"&amp;CF117&amp;FL$1)</f>
        <v/>
      </c>
      <c r="FM117" s="66" t="str">
        <f t="shared" ref="FM117:FM118" si="1619">IF(CG117="","","|n"&amp;FM$2&amp;"+"&amp;CG117&amp;FM$1)</f>
        <v/>
      </c>
      <c r="FN117" s="66" t="str">
        <f t="shared" ref="FN117:FN118" si="1620">IF(CH117="","","|n"&amp;FN$2&amp;"+"&amp;CH117&amp;FN$1)</f>
        <v/>
      </c>
      <c r="FO117" s="66" t="str">
        <f t="shared" ref="FO117:FO118" si="1621">IF(CI117="","","|n"&amp;FO$2&amp;"+"&amp;CI117&amp;FO$1)</f>
        <v/>
      </c>
      <c r="FP117" s="66" t="str">
        <f t="shared" ref="FP117:FP118" si="1622">IF(CJ117="","","|n"&amp;FP$2&amp;"+"&amp;CJ117&amp;FP$1)</f>
        <v/>
      </c>
      <c r="FQ117" s="66" t="str">
        <f t="shared" ref="FQ117:FQ118" si="1623">IF(CK117="","","|n"&amp;FQ$2&amp;"+"&amp;CK117&amp;FQ$1)</f>
        <v/>
      </c>
      <c r="FR117" s="66" t="str">
        <f t="shared" ref="FR117:FR118" si="1624">IF(CL117="","","|n"&amp;FR$2&amp;"+"&amp;CL117&amp;FR$1)</f>
        <v/>
      </c>
      <c r="FS117" s="66" t="str">
        <f t="shared" ref="FS117:FS118" si="1625">IF(CM117="","","|n"&amp;FS$2&amp;"+"&amp;CM117&amp;FS$1)</f>
        <v/>
      </c>
    </row>
    <row r="118" spans="1:175" ht="16.5">
      <c r="A118" s="9"/>
      <c r="B118" s="9" t="s">
        <v>462</v>
      </c>
      <c r="C118" s="9" t="s">
        <v>463</v>
      </c>
      <c r="T118" s="97" t="s">
        <v>464</v>
      </c>
      <c r="U118" s="77" t="str">
        <f t="shared" si="1549"/>
        <v>ReplaceableTextures\\CommandButtons\\BTNI001.blp</v>
      </c>
      <c r="CN118" s="36" t="str">
        <f t="shared" si="1550"/>
        <v>InitUnitState('I001',,,,,,,,,,)</v>
      </c>
      <c r="CO118" s="36" t="str">
        <f t="shared" si="1551"/>
        <v>InitUnitNormal('I001',,,,,,,,,,)</v>
      </c>
      <c r="CP118" s="36" t="str">
        <f t="shared" si="1552"/>
        <v>InitUnitMagic('I001',,,,,,,,,,)</v>
      </c>
      <c r="CQ118" s="36" t="str">
        <f t="shared" si="1553"/>
        <v>InitUnitAdd('I001',,,,,,,,,,)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156&amp;CR$1&amp;")"</f>
        <v>InitEquipData('I001',,"",,,,,'','','','','','',"ReplaceableTextures\\CommandButtons\\BTNIP01.blp")</v>
      </c>
      <c r="CU118" s="88" t="str">
        <f t="shared" si="1554"/>
        <v>|n</v>
      </c>
      <c r="CV118" s="19" t="str">
        <f t="shared" si="1555"/>
        <v>回复|Cffffd24d80%|r生命，|Cff00ff7f解除|r异常状态</v>
      </c>
      <c r="CW118" s="33"/>
      <c r="CX118" s="33"/>
      <c r="CY118" s="33"/>
      <c r="CZ118" s="33"/>
      <c r="DA118" s="33"/>
      <c r="DB118" s="66" t="str">
        <f t="shared" si="1556"/>
        <v/>
      </c>
      <c r="DC118" s="66" t="str">
        <f t="shared" si="1557"/>
        <v/>
      </c>
      <c r="DD118" s="66" t="str">
        <f t="shared" si="1558"/>
        <v/>
      </c>
      <c r="DE118" s="66" t="str">
        <f t="shared" si="1559"/>
        <v/>
      </c>
      <c r="DF118" s="66" t="str">
        <f t="shared" si="1560"/>
        <v/>
      </c>
      <c r="DG118" s="66" t="str">
        <f t="shared" si="1561"/>
        <v/>
      </c>
      <c r="DH118" s="66" t="str">
        <f t="shared" si="1562"/>
        <v/>
      </c>
      <c r="DI118" s="66" t="str">
        <f t="shared" si="1563"/>
        <v/>
      </c>
      <c r="DJ118" s="66" t="str">
        <f t="shared" si="1564"/>
        <v/>
      </c>
      <c r="DK118" s="66" t="str">
        <f t="shared" si="1565"/>
        <v/>
      </c>
      <c r="DL118" s="66" t="str">
        <f t="shared" si="1566"/>
        <v/>
      </c>
      <c r="DM118" s="66" t="str">
        <f t="shared" si="1567"/>
        <v/>
      </c>
      <c r="DN118" s="66" t="str">
        <f t="shared" si="1568"/>
        <v/>
      </c>
      <c r="DO118" s="66" t="str">
        <f t="shared" si="1569"/>
        <v/>
      </c>
      <c r="DP118" s="66" t="str">
        <f t="shared" si="1570"/>
        <v/>
      </c>
      <c r="DQ118" s="66" t="str">
        <f t="shared" si="1571"/>
        <v/>
      </c>
      <c r="DR118" s="66" t="str">
        <f t="shared" si="1572"/>
        <v/>
      </c>
      <c r="DS118" s="66" t="str">
        <f t="shared" si="1573"/>
        <v/>
      </c>
      <c r="DT118" s="66" t="str">
        <f t="shared" si="1574"/>
        <v/>
      </c>
      <c r="DU118" s="66" t="str">
        <f t="shared" si="1575"/>
        <v/>
      </c>
      <c r="DV118" s="66" t="str">
        <f t="shared" si="1576"/>
        <v/>
      </c>
      <c r="DW118" s="66" t="str">
        <f t="shared" si="1577"/>
        <v/>
      </c>
      <c r="DX118" s="66" t="str">
        <f t="shared" si="1578"/>
        <v/>
      </c>
      <c r="DY118" s="66" t="str">
        <f t="shared" si="1579"/>
        <v/>
      </c>
      <c r="DZ118" s="66" t="str">
        <f t="shared" si="1580"/>
        <v/>
      </c>
      <c r="EA118" s="66" t="str">
        <f t="shared" si="1581"/>
        <v/>
      </c>
      <c r="EB118" s="66" t="str">
        <f t="shared" si="1582"/>
        <v/>
      </c>
      <c r="EC118" s="66" t="str">
        <f t="shared" si="1583"/>
        <v/>
      </c>
      <c r="ED118" s="66" t="str">
        <f t="shared" si="1584"/>
        <v/>
      </c>
      <c r="EE118" s="66" t="str">
        <f t="shared" si="1585"/>
        <v/>
      </c>
      <c r="EF118" s="66" t="str">
        <f t="shared" si="1586"/>
        <v/>
      </c>
      <c r="EG118" s="66" t="str">
        <f t="shared" si="1587"/>
        <v/>
      </c>
      <c r="EH118" s="66" t="str">
        <f t="shared" si="1588"/>
        <v/>
      </c>
      <c r="EI118" s="66" t="str">
        <f t="shared" si="1589"/>
        <v/>
      </c>
      <c r="EJ118" s="66" t="str">
        <f t="shared" si="1590"/>
        <v/>
      </c>
      <c r="EK118" s="66" t="str">
        <f t="shared" si="1591"/>
        <v/>
      </c>
      <c r="EL118" s="66" t="str">
        <f t="shared" si="1592"/>
        <v/>
      </c>
      <c r="EM118" s="66" t="str">
        <f t="shared" si="1593"/>
        <v/>
      </c>
      <c r="EN118" s="66" t="str">
        <f t="shared" si="1594"/>
        <v/>
      </c>
      <c r="EO118" s="66" t="str">
        <f t="shared" si="1595"/>
        <v/>
      </c>
      <c r="EP118" s="66" t="str">
        <f t="shared" si="1596"/>
        <v/>
      </c>
      <c r="EQ118" s="66" t="str">
        <f t="shared" si="1597"/>
        <v/>
      </c>
      <c r="ER118" s="66" t="str">
        <f t="shared" si="1598"/>
        <v/>
      </c>
      <c r="ES118" s="66" t="str">
        <f t="shared" si="1599"/>
        <v/>
      </c>
      <c r="ET118" s="66" t="str">
        <f t="shared" si="1600"/>
        <v/>
      </c>
      <c r="EU118" s="66" t="str">
        <f t="shared" si="1601"/>
        <v/>
      </c>
      <c r="EV118" s="66" t="str">
        <f t="shared" si="1602"/>
        <v/>
      </c>
      <c r="EW118" s="66" t="str">
        <f t="shared" si="1603"/>
        <v/>
      </c>
      <c r="EX118" s="66" t="str">
        <f t="shared" si="1604"/>
        <v/>
      </c>
      <c r="EY118" s="66" t="str">
        <f t="shared" si="1605"/>
        <v/>
      </c>
      <c r="EZ118" s="66" t="str">
        <f t="shared" si="1606"/>
        <v/>
      </c>
      <c r="FA118" s="66" t="str">
        <f t="shared" si="1607"/>
        <v/>
      </c>
      <c r="FB118" s="66" t="str">
        <f t="shared" si="1608"/>
        <v/>
      </c>
      <c r="FC118" s="66" t="str">
        <f t="shared" si="1609"/>
        <v/>
      </c>
      <c r="FD118" s="66" t="str">
        <f t="shared" si="1610"/>
        <v/>
      </c>
      <c r="FE118" s="66" t="str">
        <f t="shared" si="1611"/>
        <v/>
      </c>
      <c r="FF118" s="66" t="str">
        <f t="shared" si="1612"/>
        <v/>
      </c>
      <c r="FG118" s="66" t="str">
        <f t="shared" si="1613"/>
        <v/>
      </c>
      <c r="FH118" s="66" t="str">
        <f t="shared" si="1614"/>
        <v/>
      </c>
      <c r="FI118" s="66" t="str">
        <f t="shared" si="1615"/>
        <v/>
      </c>
      <c r="FJ118" s="66" t="str">
        <f t="shared" si="1616"/>
        <v/>
      </c>
      <c r="FK118" s="66" t="str">
        <f t="shared" si="1617"/>
        <v/>
      </c>
      <c r="FL118" s="66" t="str">
        <f t="shared" si="1618"/>
        <v/>
      </c>
      <c r="FM118" s="66" t="str">
        <f t="shared" si="1619"/>
        <v/>
      </c>
      <c r="FN118" s="66" t="str">
        <f t="shared" si="1620"/>
        <v/>
      </c>
      <c r="FO118" s="66" t="str">
        <f t="shared" si="1621"/>
        <v/>
      </c>
      <c r="FP118" s="66" t="str">
        <f t="shared" si="1622"/>
        <v/>
      </c>
      <c r="FQ118" s="66" t="str">
        <f t="shared" si="1623"/>
        <v/>
      </c>
      <c r="FR118" s="66" t="str">
        <f t="shared" si="1624"/>
        <v/>
      </c>
      <c r="FS118" s="66" t="str">
        <f t="shared" si="1625"/>
        <v/>
      </c>
    </row>
    <row r="119" spans="1:175" ht="16.5">
      <c r="A119" s="9"/>
      <c r="B119" s="9" t="s">
        <v>465</v>
      </c>
      <c r="C119" s="9" t="s">
        <v>466</v>
      </c>
      <c r="T119" s="97" t="s">
        <v>467</v>
      </c>
      <c r="U119" s="77" t="str">
        <f t="shared" si="1549"/>
        <v>ReplaceableTextures\\CommandButtons\\BTNI002.blp</v>
      </c>
      <c r="CN119" s="36" t="str">
        <f t="shared" si="1550"/>
        <v>InitUnitState('I002',,,,,,,,,,)</v>
      </c>
      <c r="CO119" s="36" t="str">
        <f t="shared" si="1551"/>
        <v>InitUnitNormal('I002',,,,,,,,,,)</v>
      </c>
      <c r="CP119" s="36" t="str">
        <f t="shared" si="1552"/>
        <v>InitUnitMagic('I002',,,,,,,,,,)</v>
      </c>
      <c r="CQ119" s="36" t="str">
        <f t="shared" si="1553"/>
        <v>InitUnitAdd('I002',,,,,,,,,,)</v>
      </c>
      <c r="CR119" s="36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157&amp;CR$1&amp;")"</f>
        <v>InitEquipData('I002',,"",,,,,'','','','','','',"ReplaceableTextures\\CommandButtons\\BTNIP02.blp")</v>
      </c>
      <c r="CU119" s="88" t="str">
        <f t="shared" ref="CU119:CU120" si="1626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19" t="str">
        <f t="shared" ref="CV119:CV120" si="1627">T119</f>
        <v>暴击|Cffff0000+10%|n|n|r|Cff00ff7f效果持续15秒。|r</v>
      </c>
      <c r="CW119" s="33"/>
      <c r="CX119" s="33"/>
      <c r="CY119" s="33"/>
      <c r="CZ119" s="33"/>
      <c r="DA119" s="33"/>
      <c r="DB119" s="66" t="str">
        <f t="shared" ref="DB119:DB120" si="1628">IF(V119="","","|n"&amp;DB$2&amp;"+"&amp;V119&amp;DB$1)</f>
        <v/>
      </c>
      <c r="DC119" s="66" t="str">
        <f t="shared" ref="DC119:DC120" si="1629">IF(W119="","","|n"&amp;DC$2&amp;"+"&amp;W119&amp;DC$1)</f>
        <v/>
      </c>
      <c r="DD119" s="66" t="str">
        <f t="shared" ref="DD119:DD120" si="1630">IF(X119="","","|n"&amp;DD$2&amp;"+"&amp;X119&amp;DD$1)</f>
        <v/>
      </c>
      <c r="DE119" s="66" t="str">
        <f t="shared" ref="DE119:DE120" si="1631">IF(Y119="","","|n"&amp;DE$2&amp;"+"&amp;Y119&amp;DE$1)</f>
        <v/>
      </c>
      <c r="DF119" s="66" t="str">
        <f t="shared" ref="DF119:DF120" si="1632">IF(Z119="","","|n"&amp;DF$2&amp;"+"&amp;Z119&amp;DF$1)</f>
        <v/>
      </c>
      <c r="DG119" s="66" t="str">
        <f t="shared" ref="DG119:DG120" si="1633">IF(AA119="","","|n"&amp;DG$2&amp;"+"&amp;AA119&amp;DG$1)</f>
        <v/>
      </c>
      <c r="DH119" s="66" t="str">
        <f t="shared" ref="DH119:DH120" si="1634">IF(AB119="","","|n"&amp;DH$2&amp;"+"&amp;AB119&amp;DH$1)</f>
        <v/>
      </c>
      <c r="DI119" s="66" t="str">
        <f t="shared" ref="DI119:DI120" si="1635">IF(AC119="","","|n"&amp;DI$2&amp;"+"&amp;AC119&amp;DI$1)</f>
        <v/>
      </c>
      <c r="DJ119" s="66" t="str">
        <f t="shared" ref="DJ119:DJ120" si="1636">IF(AD119="","","|n"&amp;DJ$2&amp;"+"&amp;AD119&amp;DJ$1)</f>
        <v/>
      </c>
      <c r="DK119" s="66" t="str">
        <f t="shared" ref="DK119:DK120" si="1637">IF(AE119="","","|n"&amp;DK$2&amp;"+"&amp;AE119&amp;DK$1)</f>
        <v/>
      </c>
      <c r="DL119" s="66" t="str">
        <f t="shared" ref="DL119:DL120" si="1638">IF(AF119="","","|n"&amp;DL$2&amp;"+"&amp;AF119&amp;DL$1)</f>
        <v/>
      </c>
      <c r="DM119" s="66" t="str">
        <f t="shared" ref="DM119:DM120" si="1639">IF(AG119="","","|n"&amp;DM$2&amp;"+"&amp;AG119&amp;DM$1)</f>
        <v/>
      </c>
      <c r="DN119" s="66" t="str">
        <f t="shared" ref="DN119:DN120" si="1640">IF(AH119="","","|n"&amp;DN$2&amp;"+"&amp;AH119&amp;DN$1)</f>
        <v/>
      </c>
      <c r="DO119" s="66" t="str">
        <f t="shared" ref="DO119:DO120" si="1641">IF(AI119="","","|n"&amp;DO$2&amp;"+"&amp;AI119&amp;DO$1)</f>
        <v/>
      </c>
      <c r="DP119" s="66" t="str">
        <f t="shared" ref="DP119:DP120" si="1642">IF(AJ119="","","|n"&amp;DP$2&amp;"+"&amp;AJ119&amp;DP$1)</f>
        <v/>
      </c>
      <c r="DQ119" s="66" t="str">
        <f t="shared" ref="DQ119:DQ120" si="1643">IF(AK119="","","|n"&amp;DQ$2&amp;"+"&amp;AK119&amp;DQ$1)</f>
        <v/>
      </c>
      <c r="DR119" s="66" t="str">
        <f t="shared" ref="DR119:DR120" si="1644">IF(AL119="","","|n"&amp;DR$2&amp;"+"&amp;AL119&amp;DR$1)</f>
        <v/>
      </c>
      <c r="DS119" s="66" t="str">
        <f t="shared" ref="DS119:DS120" si="1645">IF(AM119="","","|n"&amp;DS$2&amp;"+"&amp;AM119&amp;DS$1)</f>
        <v/>
      </c>
      <c r="DT119" s="66" t="str">
        <f t="shared" ref="DT119:DT120" si="1646">IF(AN119="","","|n"&amp;DT$2&amp;"+"&amp;AN119&amp;DT$1)</f>
        <v/>
      </c>
      <c r="DU119" s="66" t="str">
        <f t="shared" ref="DU119:DU120" si="1647">IF(AO119="","","|n"&amp;DU$2&amp;"+"&amp;AO119&amp;DU$1)</f>
        <v/>
      </c>
      <c r="DV119" s="66" t="str">
        <f t="shared" ref="DV119:DV120" si="1648">IF(AP119="","","|n"&amp;DV$2&amp;"+"&amp;AP119&amp;DV$1)</f>
        <v/>
      </c>
      <c r="DW119" s="66" t="str">
        <f t="shared" ref="DW119:DW120" si="1649">IF(AQ119="","","|n"&amp;DW$2&amp;"+"&amp;AQ119&amp;DW$1)</f>
        <v/>
      </c>
      <c r="DX119" s="66" t="str">
        <f t="shared" ref="DX119:DX120" si="1650">IF(AR119="","","|n"&amp;DX$2&amp;"+"&amp;AR119&amp;DX$1)</f>
        <v/>
      </c>
      <c r="DY119" s="66" t="str">
        <f t="shared" ref="DY119:DY120" si="1651">IF(AS119="","","|n"&amp;DY$2&amp;"+"&amp;AS119&amp;DY$1)</f>
        <v/>
      </c>
      <c r="DZ119" s="66" t="str">
        <f t="shared" ref="DZ119:DZ120" si="1652">IF(AT119="","","|n"&amp;DZ$2&amp;"+"&amp;AT119&amp;DZ$1)</f>
        <v/>
      </c>
      <c r="EA119" s="66" t="str">
        <f t="shared" ref="EA119:EA120" si="1653">IF(AU119="","","|n"&amp;EA$2&amp;"+"&amp;AU119&amp;EA$1)</f>
        <v/>
      </c>
      <c r="EB119" s="66" t="str">
        <f t="shared" ref="EB119:EB120" si="1654">IF(AV119="","","|n"&amp;EB$2&amp;"+"&amp;AV119&amp;EB$1)</f>
        <v/>
      </c>
      <c r="EC119" s="66" t="str">
        <f t="shared" ref="EC119:EC120" si="1655">IF(AW119="","","|n"&amp;EC$2&amp;"+"&amp;AW119&amp;EC$1)</f>
        <v/>
      </c>
      <c r="ED119" s="66" t="str">
        <f t="shared" ref="ED119:ED120" si="1656">IF(AX119="","","|n"&amp;ED$2&amp;"+"&amp;AX119&amp;ED$1)</f>
        <v/>
      </c>
      <c r="EE119" s="66" t="str">
        <f t="shared" ref="EE119:EE120" si="1657">IF(AY119="","","|n"&amp;EE$2&amp;"+"&amp;AY119&amp;EE$1)</f>
        <v/>
      </c>
      <c r="EF119" s="66" t="str">
        <f t="shared" ref="EF119:EF120" si="1658">IF(AZ119="","","|n"&amp;EF$2&amp;"+"&amp;AZ119&amp;EF$1)</f>
        <v/>
      </c>
      <c r="EG119" s="66" t="str">
        <f t="shared" ref="EG119:EG120" si="1659">IF(BA119="","","|n"&amp;EG$2&amp;"+"&amp;BA119&amp;EG$1)</f>
        <v/>
      </c>
      <c r="EH119" s="66" t="str">
        <f t="shared" ref="EH119:EH120" si="1660">IF(BB119="","","|n"&amp;EH$2&amp;"+"&amp;BB119&amp;EH$1)</f>
        <v/>
      </c>
      <c r="EI119" s="66" t="str">
        <f t="shared" ref="EI119:EI120" si="1661">IF(BC119="","","|n"&amp;EI$2&amp;"+"&amp;BC119&amp;EI$1)</f>
        <v/>
      </c>
      <c r="EJ119" s="66" t="str">
        <f t="shared" ref="EJ119:EJ120" si="1662">IF(BD119="","","|n"&amp;EJ$2&amp;"+"&amp;BD119&amp;EJ$1)</f>
        <v/>
      </c>
      <c r="EK119" s="66" t="str">
        <f t="shared" ref="EK119:EK120" si="1663">IF(BE119="","","|n"&amp;EK$2&amp;"+"&amp;BE119&amp;EK$1)</f>
        <v/>
      </c>
      <c r="EL119" s="66" t="str">
        <f t="shared" ref="EL119:EL120" si="1664">IF(BF119="","","|n"&amp;EL$2&amp;"+"&amp;BF119&amp;EL$1)</f>
        <v/>
      </c>
      <c r="EM119" s="66" t="str">
        <f t="shared" ref="EM119:EM120" si="1665">IF(BG119="","","|n"&amp;EM$2&amp;"+"&amp;BG119&amp;EM$1)</f>
        <v/>
      </c>
      <c r="EN119" s="66" t="str">
        <f t="shared" ref="EN119:EN120" si="1666">IF(BH119="","","|n"&amp;EN$2&amp;"+"&amp;BH119&amp;EN$1)</f>
        <v/>
      </c>
      <c r="EO119" s="66" t="str">
        <f t="shared" ref="EO119:EO120" si="1667">IF(BI119="","","|n"&amp;EO$2&amp;"+"&amp;BI119&amp;EO$1)</f>
        <v/>
      </c>
      <c r="EP119" s="66" t="str">
        <f t="shared" ref="EP119:EP120" si="1668">IF(BJ119="","","|n"&amp;EP$2&amp;"+"&amp;BJ119&amp;EP$1)</f>
        <v/>
      </c>
      <c r="EQ119" s="66" t="str">
        <f t="shared" ref="EQ119:EQ120" si="1669">IF(BK119="","","|n"&amp;EQ$2&amp;"+"&amp;BK119&amp;EQ$1)</f>
        <v/>
      </c>
      <c r="ER119" s="66" t="str">
        <f t="shared" ref="ER119:ER120" si="1670">IF(BL119="","","|n"&amp;ER$2&amp;"+"&amp;BL119&amp;ER$1)</f>
        <v/>
      </c>
      <c r="ES119" s="66" t="str">
        <f t="shared" ref="ES119:ES120" si="1671">IF(BM119="","","|n"&amp;ES$2&amp;"+"&amp;BM119&amp;ES$1)</f>
        <v/>
      </c>
      <c r="ET119" s="66" t="str">
        <f t="shared" ref="ET119:ET120" si="1672">IF(BN119="","","|n"&amp;ET$2&amp;"+"&amp;BN119&amp;ET$1)</f>
        <v/>
      </c>
      <c r="EU119" s="66" t="str">
        <f t="shared" ref="EU119:EU120" si="1673">IF(BO119="","","|n"&amp;EU$2&amp;"+"&amp;BO119&amp;EU$1)</f>
        <v/>
      </c>
      <c r="EV119" s="66" t="str">
        <f t="shared" ref="EV119:EV120" si="1674">IF(BP119="","","|n"&amp;EV$2&amp;"+"&amp;BP119&amp;EV$1)</f>
        <v/>
      </c>
      <c r="EW119" s="66" t="str">
        <f t="shared" ref="EW119:EW120" si="1675">IF(BQ119="","","|n"&amp;EW$2&amp;"+"&amp;BQ119&amp;EW$1)</f>
        <v/>
      </c>
      <c r="EX119" s="66" t="str">
        <f t="shared" ref="EX119:EX120" si="1676">IF(BR119="","","|n"&amp;EX$2&amp;"+"&amp;BR119&amp;EX$1)</f>
        <v/>
      </c>
      <c r="EY119" s="66" t="str">
        <f t="shared" ref="EY119:EY120" si="1677">IF(BS119="","","|n"&amp;EY$2&amp;"+"&amp;BS119&amp;EY$1)</f>
        <v/>
      </c>
      <c r="EZ119" s="66" t="str">
        <f t="shared" ref="EZ119:EZ120" si="1678">IF(BT119="","","|n"&amp;EZ$2&amp;"+"&amp;BT119&amp;EZ$1)</f>
        <v/>
      </c>
      <c r="FA119" s="66" t="str">
        <f t="shared" ref="FA119:FA120" si="1679">IF(BU119="","","|n"&amp;FA$2&amp;"+"&amp;BU119&amp;FA$1)</f>
        <v/>
      </c>
      <c r="FB119" s="66" t="str">
        <f t="shared" ref="FB119:FB120" si="1680">IF(BV119="","","|n"&amp;FB$2&amp;"+"&amp;BV119&amp;FB$1)</f>
        <v/>
      </c>
      <c r="FC119" s="66" t="str">
        <f t="shared" ref="FC119:FC120" si="1681">IF(BW119="","","|n"&amp;FC$2&amp;"+"&amp;BW119&amp;FC$1)</f>
        <v/>
      </c>
      <c r="FD119" s="66" t="str">
        <f t="shared" ref="FD119:FD120" si="1682">IF(BX119="","","|n"&amp;FD$2&amp;"+"&amp;BX119&amp;FD$1)</f>
        <v/>
      </c>
      <c r="FE119" s="66" t="str">
        <f t="shared" ref="FE119:FE120" si="1683">IF(BY119="","","|n"&amp;FE$2&amp;"+"&amp;BY119&amp;FE$1)</f>
        <v/>
      </c>
      <c r="FF119" s="66" t="str">
        <f t="shared" ref="FF119:FF120" si="1684">IF(BZ119="","","|n"&amp;FF$2&amp;"+"&amp;BZ119&amp;FF$1)</f>
        <v/>
      </c>
      <c r="FG119" s="66" t="str">
        <f t="shared" ref="FG119:FG120" si="1685">IF(CA119="","","|n"&amp;FG$2&amp;"+"&amp;CA119&amp;FG$1)</f>
        <v/>
      </c>
      <c r="FH119" s="66" t="str">
        <f t="shared" ref="FH119:FH120" si="1686">IF(CB119="","","|n"&amp;FH$2&amp;"+"&amp;CB119&amp;FH$1)</f>
        <v/>
      </c>
      <c r="FI119" s="66" t="str">
        <f t="shared" ref="FI119:FI120" si="1687">IF(CC119="","","|n"&amp;FI$2&amp;"+"&amp;CC119&amp;FI$1)</f>
        <v/>
      </c>
      <c r="FJ119" s="66" t="str">
        <f t="shared" ref="FJ119:FJ120" si="1688">IF(CD119="","","|n"&amp;FJ$2&amp;"+"&amp;CD119&amp;FJ$1)</f>
        <v/>
      </c>
      <c r="FK119" s="66" t="str">
        <f t="shared" ref="FK119:FK120" si="1689">IF(CE119="","","|n"&amp;FK$2&amp;"+"&amp;CE119&amp;FK$1)</f>
        <v/>
      </c>
      <c r="FL119" s="66" t="str">
        <f t="shared" ref="FL119:FL120" si="1690">IF(CF119="","","|n"&amp;FL$2&amp;"+"&amp;CF119&amp;FL$1)</f>
        <v/>
      </c>
      <c r="FM119" s="66" t="str">
        <f t="shared" ref="FM119:FM120" si="1691">IF(CG119="","","|n"&amp;FM$2&amp;"+"&amp;CG119&amp;FM$1)</f>
        <v/>
      </c>
      <c r="FN119" s="66" t="str">
        <f t="shared" ref="FN119:FN120" si="1692">IF(CH119="","","|n"&amp;FN$2&amp;"+"&amp;CH119&amp;FN$1)</f>
        <v/>
      </c>
      <c r="FO119" s="66" t="str">
        <f t="shared" ref="FO119:FO120" si="1693">IF(CI119="","","|n"&amp;FO$2&amp;"+"&amp;CI119&amp;FO$1)</f>
        <v/>
      </c>
      <c r="FP119" s="66" t="str">
        <f t="shared" ref="FP119:FP120" si="1694">IF(CJ119="","","|n"&amp;FP$2&amp;"+"&amp;CJ119&amp;FP$1)</f>
        <v/>
      </c>
      <c r="FQ119" s="66" t="str">
        <f t="shared" ref="FQ119:FQ120" si="1695">IF(CK119="","","|n"&amp;FQ$2&amp;"+"&amp;CK119&amp;FQ$1)</f>
        <v/>
      </c>
      <c r="FR119" s="66" t="str">
        <f t="shared" ref="FR119:FR120" si="1696">IF(CL119="","","|n"&amp;FR$2&amp;"+"&amp;CL119&amp;FR$1)</f>
        <v/>
      </c>
      <c r="FS119" s="66" t="str">
        <f t="shared" ref="FS119:FS120" si="1697">IF(CM119="","","|n"&amp;FS$2&amp;"+"&amp;CM119&amp;FS$1)</f>
        <v/>
      </c>
    </row>
    <row r="120" spans="1:175" ht="16.5">
      <c r="A120" s="9"/>
      <c r="B120" s="9" t="s">
        <v>468</v>
      </c>
      <c r="C120" s="9" t="s">
        <v>469</v>
      </c>
      <c r="T120" s="97" t="s">
        <v>470</v>
      </c>
      <c r="U120" s="77" t="str">
        <f t="shared" si="1549"/>
        <v>ReplaceableTextures\\CommandButtons\\BTNI003.blp</v>
      </c>
      <c r="CN120" s="36" t="str">
        <f t="shared" si="1550"/>
        <v>InitUnitState('I003',,,,,,,,,,)</v>
      </c>
      <c r="CO120" s="36" t="str">
        <f t="shared" si="1551"/>
        <v>InitUnitNormal('I003',,,,,,,,,,)</v>
      </c>
      <c r="CP120" s="36" t="str">
        <f t="shared" si="1552"/>
        <v>InitUnitMagic('I003',,,,,,,,,,)</v>
      </c>
      <c r="CQ120" s="36" t="str">
        <f t="shared" si="1553"/>
        <v>InitUnitAdd('I003',,,,,,,,,,)</v>
      </c>
      <c r="CR120" s="36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158&amp;CR$1&amp;")"</f>
        <v>InitEquipData('I003',,"",,,,,'','','','','','',"ReplaceableTextures\\CommandButtons\\BTNIP03.blp")</v>
      </c>
      <c r="CU120" s="88" t="str">
        <f t="shared" si="1626"/>
        <v>|n</v>
      </c>
      <c r="CV120" s="19" t="str">
        <f t="shared" si="1627"/>
        <v>攻击速度|Cffffd24d+40%|r。|n|n|Cff00ff7f持续15秒。|r</v>
      </c>
      <c r="CW120" s="33"/>
      <c r="CX120" s="33"/>
      <c r="CY120" s="33"/>
      <c r="CZ120" s="33"/>
      <c r="DA120" s="33"/>
      <c r="DB120" s="66" t="str">
        <f t="shared" si="1628"/>
        <v/>
      </c>
      <c r="DC120" s="66" t="str">
        <f t="shared" si="1629"/>
        <v/>
      </c>
      <c r="DD120" s="66" t="str">
        <f t="shared" si="1630"/>
        <v/>
      </c>
      <c r="DE120" s="66" t="str">
        <f t="shared" si="1631"/>
        <v/>
      </c>
      <c r="DF120" s="66" t="str">
        <f t="shared" si="1632"/>
        <v/>
      </c>
      <c r="DG120" s="66" t="str">
        <f t="shared" si="1633"/>
        <v/>
      </c>
      <c r="DH120" s="66" t="str">
        <f t="shared" si="1634"/>
        <v/>
      </c>
      <c r="DI120" s="66" t="str">
        <f t="shared" si="1635"/>
        <v/>
      </c>
      <c r="DJ120" s="66" t="str">
        <f t="shared" si="1636"/>
        <v/>
      </c>
      <c r="DK120" s="66" t="str">
        <f t="shared" si="1637"/>
        <v/>
      </c>
      <c r="DL120" s="66" t="str">
        <f t="shared" si="1638"/>
        <v/>
      </c>
      <c r="DM120" s="66" t="str">
        <f t="shared" si="1639"/>
        <v/>
      </c>
      <c r="DN120" s="66" t="str">
        <f t="shared" si="1640"/>
        <v/>
      </c>
      <c r="DO120" s="66" t="str">
        <f t="shared" si="1641"/>
        <v/>
      </c>
      <c r="DP120" s="66" t="str">
        <f t="shared" si="1642"/>
        <v/>
      </c>
      <c r="DQ120" s="66" t="str">
        <f t="shared" si="1643"/>
        <v/>
      </c>
      <c r="DR120" s="66" t="str">
        <f t="shared" si="1644"/>
        <v/>
      </c>
      <c r="DS120" s="66" t="str">
        <f t="shared" si="1645"/>
        <v/>
      </c>
      <c r="DT120" s="66" t="str">
        <f t="shared" si="1646"/>
        <v/>
      </c>
      <c r="DU120" s="66" t="str">
        <f t="shared" si="1647"/>
        <v/>
      </c>
      <c r="DV120" s="66" t="str">
        <f t="shared" si="1648"/>
        <v/>
      </c>
      <c r="DW120" s="66" t="str">
        <f t="shared" si="1649"/>
        <v/>
      </c>
      <c r="DX120" s="66" t="str">
        <f t="shared" si="1650"/>
        <v/>
      </c>
      <c r="DY120" s="66" t="str">
        <f t="shared" si="1651"/>
        <v/>
      </c>
      <c r="DZ120" s="66" t="str">
        <f t="shared" si="1652"/>
        <v/>
      </c>
      <c r="EA120" s="66" t="str">
        <f t="shared" si="1653"/>
        <v/>
      </c>
      <c r="EB120" s="66" t="str">
        <f t="shared" si="1654"/>
        <v/>
      </c>
      <c r="EC120" s="66" t="str">
        <f t="shared" si="1655"/>
        <v/>
      </c>
      <c r="ED120" s="66" t="str">
        <f t="shared" si="1656"/>
        <v/>
      </c>
      <c r="EE120" s="66" t="str">
        <f t="shared" si="1657"/>
        <v/>
      </c>
      <c r="EF120" s="66" t="str">
        <f t="shared" si="1658"/>
        <v/>
      </c>
      <c r="EG120" s="66" t="str">
        <f t="shared" si="1659"/>
        <v/>
      </c>
      <c r="EH120" s="66" t="str">
        <f t="shared" si="1660"/>
        <v/>
      </c>
      <c r="EI120" s="66" t="str">
        <f t="shared" si="1661"/>
        <v/>
      </c>
      <c r="EJ120" s="66" t="str">
        <f t="shared" si="1662"/>
        <v/>
      </c>
      <c r="EK120" s="66" t="str">
        <f t="shared" si="1663"/>
        <v/>
      </c>
      <c r="EL120" s="66" t="str">
        <f t="shared" si="1664"/>
        <v/>
      </c>
      <c r="EM120" s="66" t="str">
        <f t="shared" si="1665"/>
        <v/>
      </c>
      <c r="EN120" s="66" t="str">
        <f t="shared" si="1666"/>
        <v/>
      </c>
      <c r="EO120" s="66" t="str">
        <f t="shared" si="1667"/>
        <v/>
      </c>
      <c r="EP120" s="66" t="str">
        <f t="shared" si="1668"/>
        <v/>
      </c>
      <c r="EQ120" s="66" t="str">
        <f t="shared" si="1669"/>
        <v/>
      </c>
      <c r="ER120" s="66" t="str">
        <f t="shared" si="1670"/>
        <v/>
      </c>
      <c r="ES120" s="66" t="str">
        <f t="shared" si="1671"/>
        <v/>
      </c>
      <c r="ET120" s="66" t="str">
        <f t="shared" si="1672"/>
        <v/>
      </c>
      <c r="EU120" s="66" t="str">
        <f t="shared" si="1673"/>
        <v/>
      </c>
      <c r="EV120" s="66" t="str">
        <f t="shared" si="1674"/>
        <v/>
      </c>
      <c r="EW120" s="66" t="str">
        <f t="shared" si="1675"/>
        <v/>
      </c>
      <c r="EX120" s="66" t="str">
        <f t="shared" si="1676"/>
        <v/>
      </c>
      <c r="EY120" s="66" t="str">
        <f t="shared" si="1677"/>
        <v/>
      </c>
      <c r="EZ120" s="66" t="str">
        <f t="shared" si="1678"/>
        <v/>
      </c>
      <c r="FA120" s="66" t="str">
        <f t="shared" si="1679"/>
        <v/>
      </c>
      <c r="FB120" s="66" t="str">
        <f t="shared" si="1680"/>
        <v/>
      </c>
      <c r="FC120" s="66" t="str">
        <f t="shared" si="1681"/>
        <v/>
      </c>
      <c r="FD120" s="66" t="str">
        <f t="shared" si="1682"/>
        <v/>
      </c>
      <c r="FE120" s="66" t="str">
        <f t="shared" si="1683"/>
        <v/>
      </c>
      <c r="FF120" s="66" t="str">
        <f t="shared" si="1684"/>
        <v/>
      </c>
      <c r="FG120" s="66" t="str">
        <f t="shared" si="1685"/>
        <v/>
      </c>
      <c r="FH120" s="66" t="str">
        <f t="shared" si="1686"/>
        <v/>
      </c>
      <c r="FI120" s="66" t="str">
        <f t="shared" si="1687"/>
        <v/>
      </c>
      <c r="FJ120" s="66" t="str">
        <f t="shared" si="1688"/>
        <v/>
      </c>
      <c r="FK120" s="66" t="str">
        <f t="shared" si="1689"/>
        <v/>
      </c>
      <c r="FL120" s="66" t="str">
        <f t="shared" si="1690"/>
        <v/>
      </c>
      <c r="FM120" s="66" t="str">
        <f t="shared" si="1691"/>
        <v/>
      </c>
      <c r="FN120" s="66" t="str">
        <f t="shared" si="1692"/>
        <v/>
      </c>
      <c r="FO120" s="66" t="str">
        <f t="shared" si="1693"/>
        <v/>
      </c>
      <c r="FP120" s="66" t="str">
        <f t="shared" si="1694"/>
        <v/>
      </c>
      <c r="FQ120" s="66" t="str">
        <f t="shared" si="1695"/>
        <v/>
      </c>
      <c r="FR120" s="66" t="str">
        <f t="shared" si="1696"/>
        <v/>
      </c>
      <c r="FS120" s="66" t="str">
        <f t="shared" si="1697"/>
        <v/>
      </c>
    </row>
    <row r="121" spans="1:175" ht="16.5">
      <c r="A121" s="9"/>
      <c r="B121" s="9" t="s">
        <v>471</v>
      </c>
      <c r="C121" s="9" t="s">
        <v>472</v>
      </c>
      <c r="T121" s="97" t="s">
        <v>473</v>
      </c>
      <c r="U121" s="77" t="str">
        <f t="shared" si="1549"/>
        <v>ReplaceableTextures\\CommandButtons\\BTNI004.blp</v>
      </c>
      <c r="CN121" s="36" t="str">
        <f t="shared" si="1550"/>
        <v>InitUnitState('I004',,,,,,,,,,)</v>
      </c>
      <c r="CO121" s="36" t="str">
        <f t="shared" si="1551"/>
        <v>InitUnitNormal('I004',,,,,,,,,,)</v>
      </c>
      <c r="CP121" s="36" t="str">
        <f t="shared" si="1552"/>
        <v>InitUnitMagic('I004',,,,,,,,,,)</v>
      </c>
      <c r="CQ121" s="36" t="str">
        <f t="shared" si="1553"/>
        <v>InitUnitAdd('I004',,,,,,,,,,)</v>
      </c>
      <c r="CR121" s="36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165&amp;CR$1&amp;")"</f>
        <v>InitEquipData('I004',,"",,,,,'','','','','','',"ReplaceableTextures\\CommandButtons\\BTNIT01.blp")</v>
      </c>
      <c r="CU121" s="88" t="str">
        <f t="shared" ref="CU121:CU124" si="1698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19" t="str">
        <f t="shared" ref="CV121:CV124" si="1699">T121</f>
        <v>法术伤害提高|Cffffd24d20%|r|Cfff0f0f0。|n|n|r|Cff00ff7f持续15秒。|r</v>
      </c>
      <c r="CW121" s="33"/>
      <c r="CX121" s="33"/>
      <c r="CY121" s="33"/>
      <c r="CZ121" s="33"/>
      <c r="DA121" s="33"/>
      <c r="DB121" s="66" t="str">
        <f t="shared" ref="DB121:DB124" si="1700">IF(V121="","","|n"&amp;DB$2&amp;"+"&amp;V121&amp;DB$1)</f>
        <v/>
      </c>
      <c r="DC121" s="66" t="str">
        <f t="shared" ref="DC121:DC124" si="1701">IF(W121="","","|n"&amp;DC$2&amp;"+"&amp;W121&amp;DC$1)</f>
        <v/>
      </c>
      <c r="DD121" s="66" t="str">
        <f t="shared" ref="DD121:DD124" si="1702">IF(X121="","","|n"&amp;DD$2&amp;"+"&amp;X121&amp;DD$1)</f>
        <v/>
      </c>
      <c r="DE121" s="66" t="str">
        <f t="shared" ref="DE121:DE124" si="1703">IF(Y121="","","|n"&amp;DE$2&amp;"+"&amp;Y121&amp;DE$1)</f>
        <v/>
      </c>
      <c r="DF121" s="66" t="str">
        <f t="shared" ref="DF121:DF124" si="1704">IF(Z121="","","|n"&amp;DF$2&amp;"+"&amp;Z121&amp;DF$1)</f>
        <v/>
      </c>
      <c r="DG121" s="66" t="str">
        <f t="shared" ref="DG121:DG124" si="1705">IF(AA121="","","|n"&amp;DG$2&amp;"+"&amp;AA121&amp;DG$1)</f>
        <v/>
      </c>
      <c r="DH121" s="66" t="str">
        <f t="shared" ref="DH121:DH124" si="1706">IF(AB121="","","|n"&amp;DH$2&amp;"+"&amp;AB121&amp;DH$1)</f>
        <v/>
      </c>
      <c r="DI121" s="66" t="str">
        <f t="shared" ref="DI121:DI124" si="1707">IF(AC121="","","|n"&amp;DI$2&amp;"+"&amp;AC121&amp;DI$1)</f>
        <v/>
      </c>
      <c r="DJ121" s="66" t="str">
        <f t="shared" ref="DJ121:DJ124" si="1708">IF(AD121="","","|n"&amp;DJ$2&amp;"+"&amp;AD121&amp;DJ$1)</f>
        <v/>
      </c>
      <c r="DK121" s="66" t="str">
        <f t="shared" ref="DK121:DK124" si="1709">IF(AE121="","","|n"&amp;DK$2&amp;"+"&amp;AE121&amp;DK$1)</f>
        <v/>
      </c>
      <c r="DL121" s="66" t="str">
        <f t="shared" ref="DL121:DL124" si="1710">IF(AF121="","","|n"&amp;DL$2&amp;"+"&amp;AF121&amp;DL$1)</f>
        <v/>
      </c>
      <c r="DM121" s="66" t="str">
        <f t="shared" ref="DM121:DM124" si="1711">IF(AG121="","","|n"&amp;DM$2&amp;"+"&amp;AG121&amp;DM$1)</f>
        <v/>
      </c>
      <c r="DN121" s="66" t="str">
        <f t="shared" ref="DN121:DN124" si="1712">IF(AH121="","","|n"&amp;DN$2&amp;"+"&amp;AH121&amp;DN$1)</f>
        <v/>
      </c>
      <c r="DO121" s="66" t="str">
        <f t="shared" ref="DO121:DO124" si="1713">IF(AI121="","","|n"&amp;DO$2&amp;"+"&amp;AI121&amp;DO$1)</f>
        <v/>
      </c>
      <c r="DP121" s="66" t="str">
        <f t="shared" ref="DP121:DP124" si="1714">IF(AJ121="","","|n"&amp;DP$2&amp;"+"&amp;AJ121&amp;DP$1)</f>
        <v/>
      </c>
      <c r="DQ121" s="66" t="str">
        <f t="shared" ref="DQ121:DQ124" si="1715">IF(AK121="","","|n"&amp;DQ$2&amp;"+"&amp;AK121&amp;DQ$1)</f>
        <v/>
      </c>
      <c r="DR121" s="66" t="str">
        <f t="shared" ref="DR121:DR124" si="1716">IF(AL121="","","|n"&amp;DR$2&amp;"+"&amp;AL121&amp;DR$1)</f>
        <v/>
      </c>
      <c r="DS121" s="66" t="str">
        <f t="shared" ref="DS121:DS124" si="1717">IF(AM121="","","|n"&amp;DS$2&amp;"+"&amp;AM121&amp;DS$1)</f>
        <v/>
      </c>
      <c r="DT121" s="66" t="str">
        <f t="shared" ref="DT121:DT124" si="1718">IF(AN121="","","|n"&amp;DT$2&amp;"+"&amp;AN121&amp;DT$1)</f>
        <v/>
      </c>
      <c r="DU121" s="66" t="str">
        <f t="shared" ref="DU121:DU124" si="1719">IF(AO121="","","|n"&amp;DU$2&amp;"+"&amp;AO121&amp;DU$1)</f>
        <v/>
      </c>
      <c r="DV121" s="66" t="str">
        <f t="shared" ref="DV121:DV124" si="1720">IF(AP121="","","|n"&amp;DV$2&amp;"+"&amp;AP121&amp;DV$1)</f>
        <v/>
      </c>
      <c r="DW121" s="66" t="str">
        <f t="shared" ref="DW121:DW124" si="1721">IF(AQ121="","","|n"&amp;DW$2&amp;"+"&amp;AQ121&amp;DW$1)</f>
        <v/>
      </c>
      <c r="DX121" s="66" t="str">
        <f t="shared" ref="DX121:DX124" si="1722">IF(AR121="","","|n"&amp;DX$2&amp;"+"&amp;AR121&amp;DX$1)</f>
        <v/>
      </c>
      <c r="DY121" s="66" t="str">
        <f t="shared" ref="DY121:DY124" si="1723">IF(AS121="","","|n"&amp;DY$2&amp;"+"&amp;AS121&amp;DY$1)</f>
        <v/>
      </c>
      <c r="DZ121" s="66" t="str">
        <f t="shared" ref="DZ121:DZ124" si="1724">IF(AT121="","","|n"&amp;DZ$2&amp;"+"&amp;AT121&amp;DZ$1)</f>
        <v/>
      </c>
      <c r="EA121" s="66" t="str">
        <f t="shared" ref="EA121:EA124" si="1725">IF(AU121="","","|n"&amp;EA$2&amp;"+"&amp;AU121&amp;EA$1)</f>
        <v/>
      </c>
      <c r="EB121" s="66" t="str">
        <f t="shared" ref="EB121:EB124" si="1726">IF(AV121="","","|n"&amp;EB$2&amp;"+"&amp;AV121&amp;EB$1)</f>
        <v/>
      </c>
      <c r="EC121" s="66" t="str">
        <f t="shared" ref="EC121:EC124" si="1727">IF(AW121="","","|n"&amp;EC$2&amp;"+"&amp;AW121&amp;EC$1)</f>
        <v/>
      </c>
      <c r="ED121" s="66" t="str">
        <f t="shared" ref="ED121:ED124" si="1728">IF(AX121="","","|n"&amp;ED$2&amp;"+"&amp;AX121&amp;ED$1)</f>
        <v/>
      </c>
      <c r="EE121" s="66" t="str">
        <f t="shared" ref="EE121:EE124" si="1729">IF(AY121="","","|n"&amp;EE$2&amp;"+"&amp;AY121&amp;EE$1)</f>
        <v/>
      </c>
      <c r="EF121" s="66" t="str">
        <f t="shared" ref="EF121:EF124" si="1730">IF(AZ121="","","|n"&amp;EF$2&amp;"+"&amp;AZ121&amp;EF$1)</f>
        <v/>
      </c>
      <c r="EG121" s="66" t="str">
        <f t="shared" ref="EG121:EG124" si="1731">IF(BA121="","","|n"&amp;EG$2&amp;"+"&amp;BA121&amp;EG$1)</f>
        <v/>
      </c>
      <c r="EH121" s="66" t="str">
        <f t="shared" ref="EH121:EH124" si="1732">IF(BB121="","","|n"&amp;EH$2&amp;"+"&amp;BB121&amp;EH$1)</f>
        <v/>
      </c>
      <c r="EI121" s="66" t="str">
        <f t="shared" ref="EI121:EI124" si="1733">IF(BC121="","","|n"&amp;EI$2&amp;"+"&amp;BC121&amp;EI$1)</f>
        <v/>
      </c>
      <c r="EJ121" s="66" t="str">
        <f t="shared" ref="EJ121:EJ124" si="1734">IF(BD121="","","|n"&amp;EJ$2&amp;"+"&amp;BD121&amp;EJ$1)</f>
        <v/>
      </c>
      <c r="EK121" s="66" t="str">
        <f t="shared" ref="EK121:EK124" si="1735">IF(BE121="","","|n"&amp;EK$2&amp;"+"&amp;BE121&amp;EK$1)</f>
        <v/>
      </c>
      <c r="EL121" s="66" t="str">
        <f t="shared" ref="EL121:EL124" si="1736">IF(BF121="","","|n"&amp;EL$2&amp;"+"&amp;BF121&amp;EL$1)</f>
        <v/>
      </c>
      <c r="EM121" s="66" t="str">
        <f t="shared" ref="EM121:EM124" si="1737">IF(BG121="","","|n"&amp;EM$2&amp;"+"&amp;BG121&amp;EM$1)</f>
        <v/>
      </c>
      <c r="EN121" s="66" t="str">
        <f t="shared" ref="EN121:EN124" si="1738">IF(BH121="","","|n"&amp;EN$2&amp;"+"&amp;BH121&amp;EN$1)</f>
        <v/>
      </c>
      <c r="EO121" s="66" t="str">
        <f t="shared" ref="EO121:EO124" si="1739">IF(BI121="","","|n"&amp;EO$2&amp;"+"&amp;BI121&amp;EO$1)</f>
        <v/>
      </c>
      <c r="EP121" s="66" t="str">
        <f t="shared" ref="EP121:EP124" si="1740">IF(BJ121="","","|n"&amp;EP$2&amp;"+"&amp;BJ121&amp;EP$1)</f>
        <v/>
      </c>
      <c r="EQ121" s="66" t="str">
        <f t="shared" ref="EQ121:EQ124" si="1741">IF(BK121="","","|n"&amp;EQ$2&amp;"+"&amp;BK121&amp;EQ$1)</f>
        <v/>
      </c>
      <c r="ER121" s="66" t="str">
        <f t="shared" ref="ER121:ER124" si="1742">IF(BL121="","","|n"&amp;ER$2&amp;"+"&amp;BL121&amp;ER$1)</f>
        <v/>
      </c>
      <c r="ES121" s="66" t="str">
        <f t="shared" ref="ES121:ES124" si="1743">IF(BM121="","","|n"&amp;ES$2&amp;"+"&amp;BM121&amp;ES$1)</f>
        <v/>
      </c>
      <c r="ET121" s="66" t="str">
        <f t="shared" ref="ET121:ET124" si="1744">IF(BN121="","","|n"&amp;ET$2&amp;"+"&amp;BN121&amp;ET$1)</f>
        <v/>
      </c>
      <c r="EU121" s="66" t="str">
        <f t="shared" ref="EU121:EU124" si="1745">IF(BO121="","","|n"&amp;EU$2&amp;"+"&amp;BO121&amp;EU$1)</f>
        <v/>
      </c>
      <c r="EV121" s="66" t="str">
        <f t="shared" ref="EV121:EV124" si="1746">IF(BP121="","","|n"&amp;EV$2&amp;"+"&amp;BP121&amp;EV$1)</f>
        <v/>
      </c>
      <c r="EW121" s="66" t="str">
        <f t="shared" ref="EW121:EW124" si="1747">IF(BQ121="","","|n"&amp;EW$2&amp;"+"&amp;BQ121&amp;EW$1)</f>
        <v/>
      </c>
      <c r="EX121" s="66" t="str">
        <f t="shared" ref="EX121:EX124" si="1748">IF(BR121="","","|n"&amp;EX$2&amp;"+"&amp;BR121&amp;EX$1)</f>
        <v/>
      </c>
      <c r="EY121" s="66" t="str">
        <f t="shared" ref="EY121:EY124" si="1749">IF(BS121="","","|n"&amp;EY$2&amp;"+"&amp;BS121&amp;EY$1)</f>
        <v/>
      </c>
      <c r="EZ121" s="66" t="str">
        <f t="shared" ref="EZ121:EZ124" si="1750">IF(BT121="","","|n"&amp;EZ$2&amp;"+"&amp;BT121&amp;EZ$1)</f>
        <v/>
      </c>
      <c r="FA121" s="66" t="str">
        <f t="shared" ref="FA121:FA124" si="1751">IF(BU121="","","|n"&amp;FA$2&amp;"+"&amp;BU121&amp;FA$1)</f>
        <v/>
      </c>
      <c r="FB121" s="66" t="str">
        <f t="shared" ref="FB121:FB124" si="1752">IF(BV121="","","|n"&amp;FB$2&amp;"+"&amp;BV121&amp;FB$1)</f>
        <v/>
      </c>
      <c r="FC121" s="66" t="str">
        <f t="shared" ref="FC121:FC124" si="1753">IF(BW121="","","|n"&amp;FC$2&amp;"+"&amp;BW121&amp;FC$1)</f>
        <v/>
      </c>
      <c r="FD121" s="66" t="str">
        <f t="shared" ref="FD121:FD124" si="1754">IF(BX121="","","|n"&amp;FD$2&amp;"+"&amp;BX121&amp;FD$1)</f>
        <v/>
      </c>
      <c r="FE121" s="66" t="str">
        <f t="shared" ref="FE121:FE124" si="1755">IF(BY121="","","|n"&amp;FE$2&amp;"+"&amp;BY121&amp;FE$1)</f>
        <v/>
      </c>
      <c r="FF121" s="66" t="str">
        <f t="shared" ref="FF121:FF124" si="1756">IF(BZ121="","","|n"&amp;FF$2&amp;"+"&amp;BZ121&amp;FF$1)</f>
        <v/>
      </c>
      <c r="FG121" s="66" t="str">
        <f t="shared" ref="FG121:FG124" si="1757">IF(CA121="","","|n"&amp;FG$2&amp;"+"&amp;CA121&amp;FG$1)</f>
        <v/>
      </c>
      <c r="FH121" s="66" t="str">
        <f t="shared" ref="FH121:FH124" si="1758">IF(CB121="","","|n"&amp;FH$2&amp;"+"&amp;CB121&amp;FH$1)</f>
        <v/>
      </c>
      <c r="FI121" s="66" t="str">
        <f t="shared" ref="FI121:FI124" si="1759">IF(CC121="","","|n"&amp;FI$2&amp;"+"&amp;CC121&amp;FI$1)</f>
        <v/>
      </c>
      <c r="FJ121" s="66" t="str">
        <f t="shared" ref="FJ121:FJ124" si="1760">IF(CD121="","","|n"&amp;FJ$2&amp;"+"&amp;CD121&amp;FJ$1)</f>
        <v/>
      </c>
      <c r="FK121" s="66" t="str">
        <f t="shared" ref="FK121:FK124" si="1761">IF(CE121="","","|n"&amp;FK$2&amp;"+"&amp;CE121&amp;FK$1)</f>
        <v/>
      </c>
      <c r="FL121" s="66" t="str">
        <f t="shared" ref="FL121:FL124" si="1762">IF(CF121="","","|n"&amp;FL$2&amp;"+"&amp;CF121&amp;FL$1)</f>
        <v/>
      </c>
      <c r="FM121" s="66" t="str">
        <f t="shared" ref="FM121:FM124" si="1763">IF(CG121="","","|n"&amp;FM$2&amp;"+"&amp;CG121&amp;FM$1)</f>
        <v/>
      </c>
      <c r="FN121" s="66" t="str">
        <f t="shared" ref="FN121:FN124" si="1764">IF(CH121="","","|n"&amp;FN$2&amp;"+"&amp;CH121&amp;FN$1)</f>
        <v/>
      </c>
      <c r="FO121" s="66" t="str">
        <f t="shared" ref="FO121:FO124" si="1765">IF(CI121="","","|n"&amp;FO$2&amp;"+"&amp;CI121&amp;FO$1)</f>
        <v/>
      </c>
      <c r="FP121" s="66" t="str">
        <f t="shared" ref="FP121:FP124" si="1766">IF(CJ121="","","|n"&amp;FP$2&amp;"+"&amp;CJ121&amp;FP$1)</f>
        <v/>
      </c>
      <c r="FQ121" s="66" t="str">
        <f t="shared" ref="FQ121:FQ124" si="1767">IF(CK121="","","|n"&amp;FQ$2&amp;"+"&amp;CK121&amp;FQ$1)</f>
        <v/>
      </c>
      <c r="FR121" s="66" t="str">
        <f t="shared" ref="FR121:FR124" si="1768">IF(CL121="","","|n"&amp;FR$2&amp;"+"&amp;CL121&amp;FR$1)</f>
        <v/>
      </c>
      <c r="FS121" s="66" t="str">
        <f t="shared" ref="FS121:FS124" si="1769">IF(CM121="","","|n"&amp;FS$2&amp;"+"&amp;CM121&amp;FS$1)</f>
        <v/>
      </c>
    </row>
    <row r="122" spans="1:175" ht="16.5">
      <c r="A122" s="9"/>
      <c r="B122" s="9" t="s">
        <v>474</v>
      </c>
      <c r="C122" s="9" t="s">
        <v>475</v>
      </c>
      <c r="T122" s="97" t="s">
        <v>476</v>
      </c>
      <c r="U122" s="77" t="str">
        <f t="shared" si="1549"/>
        <v>ReplaceableTextures\\CommandButtons\\BTNI005.blp</v>
      </c>
      <c r="CN122" s="36" t="str">
        <f t="shared" si="1550"/>
        <v>InitUnitState('I005',,,,,,,,,,)</v>
      </c>
      <c r="CO122" s="36" t="str">
        <f t="shared" si="1551"/>
        <v>InitUnitNormal('I005',,,,,,,,,,)</v>
      </c>
      <c r="CP122" s="36" t="str">
        <f t="shared" si="1552"/>
        <v>InitUnitMagic('I005',,,,,,,,,,)</v>
      </c>
      <c r="CQ122" s="36" t="str">
        <f t="shared" si="1553"/>
        <v>InitUnitAdd('I005',,,,,,,,,,)</v>
      </c>
      <c r="CR122" s="36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166&amp;CR$1&amp;")"</f>
        <v>InitEquipData('I005',,"",,,,,'','','','','','',"ReplaceableTextures\\CommandButtons\\BTNIT02.blp")</v>
      </c>
      <c r="CU122" s="88" t="str">
        <f t="shared" ref="CU122:CU123" si="1770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19" t="str">
        <f t="shared" ref="CV122:CV123" si="1771">T122</f>
        <v>物理伤害提高|Cffffd24d20%|r。|n|n|Cff00ff7f持续15秒。|r</v>
      </c>
      <c r="CW122" s="33"/>
      <c r="CX122" s="33"/>
      <c r="CY122" s="33"/>
      <c r="CZ122" s="33"/>
      <c r="DA122" s="33"/>
      <c r="DB122" s="66" t="str">
        <f t="shared" ref="DB122:DB123" si="1772">IF(V122="","","|n"&amp;DB$2&amp;"+"&amp;V122&amp;DB$1)</f>
        <v/>
      </c>
      <c r="DC122" s="66" t="str">
        <f t="shared" ref="DC122:DC123" si="1773">IF(W122="","","|n"&amp;DC$2&amp;"+"&amp;W122&amp;DC$1)</f>
        <v/>
      </c>
      <c r="DD122" s="66" t="str">
        <f t="shared" ref="DD122:DD123" si="1774">IF(X122="","","|n"&amp;DD$2&amp;"+"&amp;X122&amp;DD$1)</f>
        <v/>
      </c>
      <c r="DE122" s="66" t="str">
        <f t="shared" ref="DE122:DE123" si="1775">IF(Y122="","","|n"&amp;DE$2&amp;"+"&amp;Y122&amp;DE$1)</f>
        <v/>
      </c>
      <c r="DF122" s="66" t="str">
        <f t="shared" ref="DF122:DF123" si="1776">IF(Z122="","","|n"&amp;DF$2&amp;"+"&amp;Z122&amp;DF$1)</f>
        <v/>
      </c>
      <c r="DG122" s="66" t="str">
        <f t="shared" ref="DG122:DG123" si="1777">IF(AA122="","","|n"&amp;DG$2&amp;"+"&amp;AA122&amp;DG$1)</f>
        <v/>
      </c>
      <c r="DH122" s="66" t="str">
        <f t="shared" ref="DH122:DH123" si="1778">IF(AB122="","","|n"&amp;DH$2&amp;"+"&amp;AB122&amp;DH$1)</f>
        <v/>
      </c>
      <c r="DI122" s="66" t="str">
        <f t="shared" ref="DI122:DI123" si="1779">IF(AC122="","","|n"&amp;DI$2&amp;"+"&amp;AC122&amp;DI$1)</f>
        <v/>
      </c>
      <c r="DJ122" s="66" t="str">
        <f t="shared" ref="DJ122:DJ123" si="1780">IF(AD122="","","|n"&amp;DJ$2&amp;"+"&amp;AD122&amp;DJ$1)</f>
        <v/>
      </c>
      <c r="DK122" s="66" t="str">
        <f t="shared" ref="DK122:DK123" si="1781">IF(AE122="","","|n"&amp;DK$2&amp;"+"&amp;AE122&amp;DK$1)</f>
        <v/>
      </c>
      <c r="DL122" s="66" t="str">
        <f t="shared" ref="DL122:DL123" si="1782">IF(AF122="","","|n"&amp;DL$2&amp;"+"&amp;AF122&amp;DL$1)</f>
        <v/>
      </c>
      <c r="DM122" s="66" t="str">
        <f t="shared" ref="DM122:DM123" si="1783">IF(AG122="","","|n"&amp;DM$2&amp;"+"&amp;AG122&amp;DM$1)</f>
        <v/>
      </c>
      <c r="DN122" s="66" t="str">
        <f t="shared" ref="DN122:DN123" si="1784">IF(AH122="","","|n"&amp;DN$2&amp;"+"&amp;AH122&amp;DN$1)</f>
        <v/>
      </c>
      <c r="DO122" s="66" t="str">
        <f t="shared" ref="DO122:DO123" si="1785">IF(AI122="","","|n"&amp;DO$2&amp;"+"&amp;AI122&amp;DO$1)</f>
        <v/>
      </c>
      <c r="DP122" s="66" t="str">
        <f t="shared" ref="DP122:DP123" si="1786">IF(AJ122="","","|n"&amp;DP$2&amp;"+"&amp;AJ122&amp;DP$1)</f>
        <v/>
      </c>
      <c r="DQ122" s="66" t="str">
        <f t="shared" ref="DQ122:DQ123" si="1787">IF(AK122="","","|n"&amp;DQ$2&amp;"+"&amp;AK122&amp;DQ$1)</f>
        <v/>
      </c>
      <c r="DR122" s="66" t="str">
        <f t="shared" ref="DR122:DR123" si="1788">IF(AL122="","","|n"&amp;DR$2&amp;"+"&amp;AL122&amp;DR$1)</f>
        <v/>
      </c>
      <c r="DS122" s="66" t="str">
        <f t="shared" ref="DS122:DS123" si="1789">IF(AM122="","","|n"&amp;DS$2&amp;"+"&amp;AM122&amp;DS$1)</f>
        <v/>
      </c>
      <c r="DT122" s="66" t="str">
        <f t="shared" ref="DT122:DT123" si="1790">IF(AN122="","","|n"&amp;DT$2&amp;"+"&amp;AN122&amp;DT$1)</f>
        <v/>
      </c>
      <c r="DU122" s="66" t="str">
        <f t="shared" ref="DU122:DU123" si="1791">IF(AO122="","","|n"&amp;DU$2&amp;"+"&amp;AO122&amp;DU$1)</f>
        <v/>
      </c>
      <c r="DV122" s="66" t="str">
        <f t="shared" ref="DV122:DV123" si="1792">IF(AP122="","","|n"&amp;DV$2&amp;"+"&amp;AP122&amp;DV$1)</f>
        <v/>
      </c>
      <c r="DW122" s="66" t="str">
        <f t="shared" ref="DW122:DW123" si="1793">IF(AQ122="","","|n"&amp;DW$2&amp;"+"&amp;AQ122&amp;DW$1)</f>
        <v/>
      </c>
      <c r="DX122" s="66" t="str">
        <f t="shared" ref="DX122:DX123" si="1794">IF(AR122="","","|n"&amp;DX$2&amp;"+"&amp;AR122&amp;DX$1)</f>
        <v/>
      </c>
      <c r="DY122" s="66" t="str">
        <f t="shared" ref="DY122:DY123" si="1795">IF(AS122="","","|n"&amp;DY$2&amp;"+"&amp;AS122&amp;DY$1)</f>
        <v/>
      </c>
      <c r="DZ122" s="66" t="str">
        <f t="shared" ref="DZ122:DZ123" si="1796">IF(AT122="","","|n"&amp;DZ$2&amp;"+"&amp;AT122&amp;DZ$1)</f>
        <v/>
      </c>
      <c r="EA122" s="66" t="str">
        <f t="shared" ref="EA122:EA123" si="1797">IF(AU122="","","|n"&amp;EA$2&amp;"+"&amp;AU122&amp;EA$1)</f>
        <v/>
      </c>
      <c r="EB122" s="66" t="str">
        <f t="shared" ref="EB122:EB123" si="1798">IF(AV122="","","|n"&amp;EB$2&amp;"+"&amp;AV122&amp;EB$1)</f>
        <v/>
      </c>
      <c r="EC122" s="66" t="str">
        <f t="shared" ref="EC122:EC123" si="1799">IF(AW122="","","|n"&amp;EC$2&amp;"+"&amp;AW122&amp;EC$1)</f>
        <v/>
      </c>
      <c r="ED122" s="66" t="str">
        <f t="shared" ref="ED122:ED123" si="1800">IF(AX122="","","|n"&amp;ED$2&amp;"+"&amp;AX122&amp;ED$1)</f>
        <v/>
      </c>
      <c r="EE122" s="66" t="str">
        <f t="shared" ref="EE122:EE123" si="1801">IF(AY122="","","|n"&amp;EE$2&amp;"+"&amp;AY122&amp;EE$1)</f>
        <v/>
      </c>
      <c r="EF122" s="66" t="str">
        <f t="shared" ref="EF122:EF123" si="1802">IF(AZ122="","","|n"&amp;EF$2&amp;"+"&amp;AZ122&amp;EF$1)</f>
        <v/>
      </c>
      <c r="EG122" s="66" t="str">
        <f t="shared" ref="EG122:EG123" si="1803">IF(BA122="","","|n"&amp;EG$2&amp;"+"&amp;BA122&amp;EG$1)</f>
        <v/>
      </c>
      <c r="EH122" s="66" t="str">
        <f t="shared" ref="EH122:EH123" si="1804">IF(BB122="","","|n"&amp;EH$2&amp;"+"&amp;BB122&amp;EH$1)</f>
        <v/>
      </c>
      <c r="EI122" s="66" t="str">
        <f t="shared" ref="EI122:EI123" si="1805">IF(BC122="","","|n"&amp;EI$2&amp;"+"&amp;BC122&amp;EI$1)</f>
        <v/>
      </c>
      <c r="EJ122" s="66" t="str">
        <f t="shared" ref="EJ122:EJ123" si="1806">IF(BD122="","","|n"&amp;EJ$2&amp;"+"&amp;BD122&amp;EJ$1)</f>
        <v/>
      </c>
      <c r="EK122" s="66" t="str">
        <f t="shared" ref="EK122:EK123" si="1807">IF(BE122="","","|n"&amp;EK$2&amp;"+"&amp;BE122&amp;EK$1)</f>
        <v/>
      </c>
      <c r="EL122" s="66" t="str">
        <f t="shared" ref="EL122:EL123" si="1808">IF(BF122="","","|n"&amp;EL$2&amp;"+"&amp;BF122&amp;EL$1)</f>
        <v/>
      </c>
      <c r="EM122" s="66" t="str">
        <f t="shared" ref="EM122:EM123" si="1809">IF(BG122="","","|n"&amp;EM$2&amp;"+"&amp;BG122&amp;EM$1)</f>
        <v/>
      </c>
      <c r="EN122" s="66" t="str">
        <f t="shared" ref="EN122:EN123" si="1810">IF(BH122="","","|n"&amp;EN$2&amp;"+"&amp;BH122&amp;EN$1)</f>
        <v/>
      </c>
      <c r="EO122" s="66" t="str">
        <f t="shared" ref="EO122:EO123" si="1811">IF(BI122="","","|n"&amp;EO$2&amp;"+"&amp;BI122&amp;EO$1)</f>
        <v/>
      </c>
      <c r="EP122" s="66" t="str">
        <f t="shared" ref="EP122:EP123" si="1812">IF(BJ122="","","|n"&amp;EP$2&amp;"+"&amp;BJ122&amp;EP$1)</f>
        <v/>
      </c>
      <c r="EQ122" s="66" t="str">
        <f t="shared" ref="EQ122:EQ123" si="1813">IF(BK122="","","|n"&amp;EQ$2&amp;"+"&amp;BK122&amp;EQ$1)</f>
        <v/>
      </c>
      <c r="ER122" s="66" t="str">
        <f t="shared" ref="ER122:ER123" si="1814">IF(BL122="","","|n"&amp;ER$2&amp;"+"&amp;BL122&amp;ER$1)</f>
        <v/>
      </c>
      <c r="ES122" s="66" t="str">
        <f t="shared" ref="ES122:ES123" si="1815">IF(BM122="","","|n"&amp;ES$2&amp;"+"&amp;BM122&amp;ES$1)</f>
        <v/>
      </c>
      <c r="ET122" s="66" t="str">
        <f t="shared" ref="ET122:ET123" si="1816">IF(BN122="","","|n"&amp;ET$2&amp;"+"&amp;BN122&amp;ET$1)</f>
        <v/>
      </c>
      <c r="EU122" s="66" t="str">
        <f t="shared" ref="EU122:EU123" si="1817">IF(BO122="","","|n"&amp;EU$2&amp;"+"&amp;BO122&amp;EU$1)</f>
        <v/>
      </c>
      <c r="EV122" s="66" t="str">
        <f t="shared" ref="EV122:EV123" si="1818">IF(BP122="","","|n"&amp;EV$2&amp;"+"&amp;BP122&amp;EV$1)</f>
        <v/>
      </c>
      <c r="EW122" s="66" t="str">
        <f t="shared" ref="EW122:EW123" si="1819">IF(BQ122="","","|n"&amp;EW$2&amp;"+"&amp;BQ122&amp;EW$1)</f>
        <v/>
      </c>
      <c r="EX122" s="66" t="str">
        <f t="shared" ref="EX122:EX123" si="1820">IF(BR122="","","|n"&amp;EX$2&amp;"+"&amp;BR122&amp;EX$1)</f>
        <v/>
      </c>
      <c r="EY122" s="66" t="str">
        <f t="shared" ref="EY122:EY123" si="1821">IF(BS122="","","|n"&amp;EY$2&amp;"+"&amp;BS122&amp;EY$1)</f>
        <v/>
      </c>
      <c r="EZ122" s="66" t="str">
        <f t="shared" ref="EZ122:EZ123" si="1822">IF(BT122="","","|n"&amp;EZ$2&amp;"+"&amp;BT122&amp;EZ$1)</f>
        <v/>
      </c>
      <c r="FA122" s="66" t="str">
        <f t="shared" ref="FA122:FA123" si="1823">IF(BU122="","","|n"&amp;FA$2&amp;"+"&amp;BU122&amp;FA$1)</f>
        <v/>
      </c>
      <c r="FB122" s="66" t="str">
        <f t="shared" ref="FB122:FB123" si="1824">IF(BV122="","","|n"&amp;FB$2&amp;"+"&amp;BV122&amp;FB$1)</f>
        <v/>
      </c>
      <c r="FC122" s="66" t="str">
        <f t="shared" ref="FC122:FC123" si="1825">IF(BW122="","","|n"&amp;FC$2&amp;"+"&amp;BW122&amp;FC$1)</f>
        <v/>
      </c>
      <c r="FD122" s="66" t="str">
        <f t="shared" ref="FD122:FD123" si="1826">IF(BX122="","","|n"&amp;FD$2&amp;"+"&amp;BX122&amp;FD$1)</f>
        <v/>
      </c>
      <c r="FE122" s="66" t="str">
        <f t="shared" ref="FE122:FE123" si="1827">IF(BY122="","","|n"&amp;FE$2&amp;"+"&amp;BY122&amp;FE$1)</f>
        <v/>
      </c>
      <c r="FF122" s="66" t="str">
        <f t="shared" ref="FF122:FF123" si="1828">IF(BZ122="","","|n"&amp;FF$2&amp;"+"&amp;BZ122&amp;FF$1)</f>
        <v/>
      </c>
      <c r="FG122" s="66" t="str">
        <f t="shared" ref="FG122:FG123" si="1829">IF(CA122="","","|n"&amp;FG$2&amp;"+"&amp;CA122&amp;FG$1)</f>
        <v/>
      </c>
      <c r="FH122" s="66" t="str">
        <f t="shared" ref="FH122:FH123" si="1830">IF(CB122="","","|n"&amp;FH$2&amp;"+"&amp;CB122&amp;FH$1)</f>
        <v/>
      </c>
      <c r="FI122" s="66" t="str">
        <f t="shared" ref="FI122:FI123" si="1831">IF(CC122="","","|n"&amp;FI$2&amp;"+"&amp;CC122&amp;FI$1)</f>
        <v/>
      </c>
      <c r="FJ122" s="66" t="str">
        <f t="shared" ref="FJ122:FJ123" si="1832">IF(CD122="","","|n"&amp;FJ$2&amp;"+"&amp;CD122&amp;FJ$1)</f>
        <v/>
      </c>
      <c r="FK122" s="66" t="str">
        <f t="shared" ref="FK122:FK123" si="1833">IF(CE122="","","|n"&amp;FK$2&amp;"+"&amp;CE122&amp;FK$1)</f>
        <v/>
      </c>
      <c r="FL122" s="66" t="str">
        <f t="shared" ref="FL122:FL123" si="1834">IF(CF122="","","|n"&amp;FL$2&amp;"+"&amp;CF122&amp;FL$1)</f>
        <v/>
      </c>
      <c r="FM122" s="66" t="str">
        <f t="shared" ref="FM122:FM123" si="1835">IF(CG122="","","|n"&amp;FM$2&amp;"+"&amp;CG122&amp;FM$1)</f>
        <v/>
      </c>
      <c r="FN122" s="66" t="str">
        <f t="shared" ref="FN122:FN123" si="1836">IF(CH122="","","|n"&amp;FN$2&amp;"+"&amp;CH122&amp;FN$1)</f>
        <v/>
      </c>
      <c r="FO122" s="66" t="str">
        <f t="shared" ref="FO122:FO123" si="1837">IF(CI122="","","|n"&amp;FO$2&amp;"+"&amp;CI122&amp;FO$1)</f>
        <v/>
      </c>
      <c r="FP122" s="66" t="str">
        <f t="shared" ref="FP122:FP123" si="1838">IF(CJ122="","","|n"&amp;FP$2&amp;"+"&amp;CJ122&amp;FP$1)</f>
        <v/>
      </c>
      <c r="FQ122" s="66" t="str">
        <f t="shared" ref="FQ122:FQ123" si="1839">IF(CK122="","","|n"&amp;FQ$2&amp;"+"&amp;CK122&amp;FQ$1)</f>
        <v/>
      </c>
      <c r="FR122" s="66" t="str">
        <f t="shared" ref="FR122:FR123" si="1840">IF(CL122="","","|n"&amp;FR$2&amp;"+"&amp;CL122&amp;FR$1)</f>
        <v/>
      </c>
      <c r="FS122" s="66" t="str">
        <f t="shared" ref="FS122:FS123" si="1841">IF(CM122="","","|n"&amp;FS$2&amp;"+"&amp;CM122&amp;FS$1)</f>
        <v/>
      </c>
    </row>
    <row r="123" spans="1:175" ht="16.5">
      <c r="A123" s="9"/>
      <c r="B123" s="9" t="s">
        <v>477</v>
      </c>
      <c r="C123" s="15" t="s">
        <v>478</v>
      </c>
      <c r="T123" s="11" t="s">
        <v>479</v>
      </c>
      <c r="U123" s="77" t="s">
        <v>480</v>
      </c>
      <c r="CN123" s="36" t="str">
        <f t="shared" ref="CN123" si="1842">"InitUnitState('"&amp;B123&amp;"',"&amp;V123&amp;","&amp;W123&amp;","&amp;X123&amp;","&amp;Y123&amp;","&amp;Z123&amp;","&amp;AA123&amp;","&amp;AB123&amp;","&amp;AC123&amp;","&amp;AD123&amp;","&amp;AE123&amp;")"</f>
        <v>InitUnitState('I010',,,,,,,,,,)</v>
      </c>
      <c r="CO123" s="36" t="str">
        <f t="shared" ref="CO123" si="1843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36" t="str">
        <f t="shared" ref="CP123" si="1844">"InitUnitMagic('"&amp;B123&amp;"',"&amp;AP123&amp;","&amp;AQ123&amp;","&amp;AR123&amp;","&amp;AS123&amp;","&amp;AT123&amp;","&amp;AU123&amp;","&amp;AV123&amp;","&amp;AW123&amp;","&amp;BI123&amp;","&amp;BJ123&amp;")"</f>
        <v>InitUnitMagic('I010',,,,,,,,,,)</v>
      </c>
      <c r="CQ123" s="36" t="str">
        <f t="shared" ref="CQ123" si="1845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36" t="str">
        <f t="shared" ref="CR123:CR128" si="1846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InitEquipData('I010',,"",,,,,'','','','','','',"ReplaceableTextures\\CommandButtons\\BTNIT01.blp")</v>
      </c>
      <c r="CU123" s="88" t="str">
        <f t="shared" si="1770"/>
        <v>|n</v>
      </c>
      <c r="CV123" s="19" t="str">
        <f t="shared" si="1771"/>
        <v>护甲|Cffffd24d+10|r|n金币加成|Cffffd24d+10%|n|r|n击杀300个敌人后奖励：|n|CffFFD24D3000~6000|r金币|n|CffCC99FF1000-2000|r业力|n|n|Cff00FF7F同时只能携带一个招魂幡|r</v>
      </c>
      <c r="CW123" s="33"/>
      <c r="CX123" s="33"/>
      <c r="CY123" s="33"/>
      <c r="CZ123" s="33"/>
      <c r="DA123" s="33"/>
      <c r="DB123" s="66" t="str">
        <f t="shared" si="1772"/>
        <v/>
      </c>
      <c r="DC123" s="66" t="str">
        <f t="shared" si="1773"/>
        <v/>
      </c>
      <c r="DD123" s="66" t="str">
        <f t="shared" si="1774"/>
        <v/>
      </c>
      <c r="DE123" s="66" t="str">
        <f t="shared" si="1775"/>
        <v/>
      </c>
      <c r="DF123" s="66" t="str">
        <f t="shared" si="1776"/>
        <v/>
      </c>
      <c r="DG123" s="66" t="str">
        <f t="shared" si="1777"/>
        <v/>
      </c>
      <c r="DH123" s="66" t="str">
        <f t="shared" si="1778"/>
        <v/>
      </c>
      <c r="DI123" s="66" t="str">
        <f t="shared" si="1779"/>
        <v/>
      </c>
      <c r="DJ123" s="66" t="str">
        <f t="shared" si="1780"/>
        <v/>
      </c>
      <c r="DK123" s="66" t="str">
        <f t="shared" si="1781"/>
        <v/>
      </c>
      <c r="DL123" s="66" t="str">
        <f t="shared" si="1782"/>
        <v/>
      </c>
      <c r="DM123" s="66" t="str">
        <f t="shared" si="1783"/>
        <v/>
      </c>
      <c r="DN123" s="66" t="str">
        <f t="shared" si="1784"/>
        <v/>
      </c>
      <c r="DO123" s="66" t="str">
        <f t="shared" si="1785"/>
        <v/>
      </c>
      <c r="DP123" s="66" t="str">
        <f t="shared" si="1786"/>
        <v/>
      </c>
      <c r="DQ123" s="66" t="str">
        <f t="shared" si="1787"/>
        <v/>
      </c>
      <c r="DR123" s="66" t="str">
        <f t="shared" si="1788"/>
        <v/>
      </c>
      <c r="DS123" s="66" t="str">
        <f t="shared" si="1789"/>
        <v/>
      </c>
      <c r="DT123" s="66" t="str">
        <f t="shared" si="1790"/>
        <v/>
      </c>
      <c r="DU123" s="66" t="str">
        <f t="shared" si="1791"/>
        <v/>
      </c>
      <c r="DV123" s="66" t="str">
        <f t="shared" si="1792"/>
        <v/>
      </c>
      <c r="DW123" s="66" t="str">
        <f t="shared" si="1793"/>
        <v/>
      </c>
      <c r="DX123" s="66" t="str">
        <f t="shared" si="1794"/>
        <v/>
      </c>
      <c r="DY123" s="66" t="str">
        <f t="shared" si="1795"/>
        <v/>
      </c>
      <c r="DZ123" s="66" t="str">
        <f t="shared" si="1796"/>
        <v/>
      </c>
      <c r="EA123" s="66" t="str">
        <f t="shared" si="1797"/>
        <v/>
      </c>
      <c r="EB123" s="66" t="str">
        <f t="shared" si="1798"/>
        <v/>
      </c>
      <c r="EC123" s="66" t="str">
        <f t="shared" si="1799"/>
        <v/>
      </c>
      <c r="ED123" s="66" t="str">
        <f t="shared" si="1800"/>
        <v/>
      </c>
      <c r="EE123" s="66" t="str">
        <f t="shared" si="1801"/>
        <v/>
      </c>
      <c r="EF123" s="66" t="str">
        <f t="shared" si="1802"/>
        <v/>
      </c>
      <c r="EG123" s="66" t="str">
        <f t="shared" si="1803"/>
        <v/>
      </c>
      <c r="EH123" s="66" t="str">
        <f t="shared" si="1804"/>
        <v/>
      </c>
      <c r="EI123" s="66" t="str">
        <f t="shared" si="1805"/>
        <v/>
      </c>
      <c r="EJ123" s="66" t="str">
        <f t="shared" si="1806"/>
        <v/>
      </c>
      <c r="EK123" s="66" t="str">
        <f t="shared" si="1807"/>
        <v/>
      </c>
      <c r="EL123" s="66" t="str">
        <f t="shared" si="1808"/>
        <v/>
      </c>
      <c r="EM123" s="66" t="str">
        <f t="shared" si="1809"/>
        <v/>
      </c>
      <c r="EN123" s="66" t="str">
        <f t="shared" si="1810"/>
        <v/>
      </c>
      <c r="EO123" s="66" t="str">
        <f t="shared" si="1811"/>
        <v/>
      </c>
      <c r="EP123" s="66" t="str">
        <f t="shared" si="1812"/>
        <v/>
      </c>
      <c r="EQ123" s="66" t="str">
        <f t="shared" si="1813"/>
        <v/>
      </c>
      <c r="ER123" s="66" t="str">
        <f t="shared" si="1814"/>
        <v/>
      </c>
      <c r="ES123" s="66" t="str">
        <f t="shared" si="1815"/>
        <v/>
      </c>
      <c r="ET123" s="66" t="str">
        <f t="shared" si="1816"/>
        <v/>
      </c>
      <c r="EU123" s="66" t="str">
        <f t="shared" si="1817"/>
        <v/>
      </c>
      <c r="EV123" s="66" t="str">
        <f t="shared" si="1818"/>
        <v/>
      </c>
      <c r="EW123" s="66" t="str">
        <f t="shared" si="1819"/>
        <v/>
      </c>
      <c r="EX123" s="66" t="str">
        <f t="shared" si="1820"/>
        <v/>
      </c>
      <c r="EY123" s="66" t="str">
        <f t="shared" si="1821"/>
        <v/>
      </c>
      <c r="EZ123" s="66" t="str">
        <f t="shared" si="1822"/>
        <v/>
      </c>
      <c r="FA123" s="66" t="str">
        <f t="shared" si="1823"/>
        <v/>
      </c>
      <c r="FB123" s="66" t="str">
        <f t="shared" si="1824"/>
        <v/>
      </c>
      <c r="FC123" s="66" t="str">
        <f t="shared" si="1825"/>
        <v/>
      </c>
      <c r="FD123" s="66" t="str">
        <f t="shared" si="1826"/>
        <v/>
      </c>
      <c r="FE123" s="66" t="str">
        <f t="shared" si="1827"/>
        <v/>
      </c>
      <c r="FF123" s="66" t="str">
        <f t="shared" si="1828"/>
        <v/>
      </c>
      <c r="FG123" s="66" t="str">
        <f t="shared" si="1829"/>
        <v/>
      </c>
      <c r="FH123" s="66" t="str">
        <f t="shared" si="1830"/>
        <v/>
      </c>
      <c r="FI123" s="66" t="str">
        <f t="shared" si="1831"/>
        <v/>
      </c>
      <c r="FJ123" s="66" t="str">
        <f t="shared" si="1832"/>
        <v/>
      </c>
      <c r="FK123" s="66" t="str">
        <f t="shared" si="1833"/>
        <v/>
      </c>
      <c r="FL123" s="66" t="str">
        <f t="shared" si="1834"/>
        <v/>
      </c>
      <c r="FM123" s="66" t="str">
        <f t="shared" si="1835"/>
        <v/>
      </c>
      <c r="FN123" s="66" t="str">
        <f t="shared" si="1836"/>
        <v/>
      </c>
      <c r="FO123" s="66" t="str">
        <f t="shared" si="1837"/>
        <v/>
      </c>
      <c r="FP123" s="66" t="str">
        <f t="shared" si="1838"/>
        <v/>
      </c>
      <c r="FQ123" s="66" t="str">
        <f t="shared" si="1839"/>
        <v/>
      </c>
      <c r="FR123" s="66" t="str">
        <f t="shared" si="1840"/>
        <v/>
      </c>
      <c r="FS123" s="66" t="str">
        <f t="shared" si="1841"/>
        <v/>
      </c>
    </row>
    <row r="124" spans="1:175" ht="16.5">
      <c r="A124" s="9"/>
      <c r="B124" s="9" t="s">
        <v>481</v>
      </c>
      <c r="C124" s="15" t="s">
        <v>482</v>
      </c>
      <c r="T124" s="11" t="s">
        <v>483</v>
      </c>
      <c r="U124" s="77" t="s">
        <v>480</v>
      </c>
      <c r="CN124" s="36" t="str">
        <f t="shared" si="1550"/>
        <v>InitUnitState('I011',,,,,,,,,,)</v>
      </c>
      <c r="CO124" s="36" t="str">
        <f t="shared" si="1551"/>
        <v>InitUnitNormal('I011',,,,,,,,,,)</v>
      </c>
      <c r="CP124" s="36" t="str">
        <f t="shared" si="1552"/>
        <v>InitUnitMagic('I011',,,,,,,,,,)</v>
      </c>
      <c r="CQ124" s="36" t="str">
        <f t="shared" si="1553"/>
        <v>InitUnitAdd('I011',,,,,,,,,,)</v>
      </c>
      <c r="CR124" s="36" t="str">
        <f t="shared" si="1846"/>
        <v>InitEquipData('I011',,"",,,,,'','','','','','',"ReplaceableTextures\\CommandButtons\\BTNIT02.blp")</v>
      </c>
      <c r="CU124" s="88" t="str">
        <f t="shared" si="1698"/>
        <v>|n</v>
      </c>
      <c r="CV124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24" s="33"/>
      <c r="CX124" s="33"/>
      <c r="CY124" s="33"/>
      <c r="CZ124" s="33"/>
      <c r="DA124" s="33"/>
      <c r="DB124" s="66" t="str">
        <f t="shared" si="1700"/>
        <v/>
      </c>
      <c r="DC124" s="66" t="str">
        <f t="shared" si="1701"/>
        <v/>
      </c>
      <c r="DD124" s="66" t="str">
        <f t="shared" si="1702"/>
        <v/>
      </c>
      <c r="DE124" s="66" t="str">
        <f t="shared" si="1703"/>
        <v/>
      </c>
      <c r="DF124" s="66" t="str">
        <f t="shared" si="1704"/>
        <v/>
      </c>
      <c r="DG124" s="66" t="str">
        <f t="shared" si="1705"/>
        <v/>
      </c>
      <c r="DH124" s="66" t="str">
        <f t="shared" si="1706"/>
        <v/>
      </c>
      <c r="DI124" s="66" t="str">
        <f t="shared" si="1707"/>
        <v/>
      </c>
      <c r="DJ124" s="66" t="str">
        <f t="shared" si="1708"/>
        <v/>
      </c>
      <c r="DK124" s="66" t="str">
        <f t="shared" si="1709"/>
        <v/>
      </c>
      <c r="DL124" s="66" t="str">
        <f t="shared" si="1710"/>
        <v/>
      </c>
      <c r="DM124" s="66" t="str">
        <f t="shared" si="1711"/>
        <v/>
      </c>
      <c r="DN124" s="66" t="str">
        <f t="shared" si="1712"/>
        <v/>
      </c>
      <c r="DO124" s="66" t="str">
        <f t="shared" si="1713"/>
        <v/>
      </c>
      <c r="DP124" s="66" t="str">
        <f t="shared" si="1714"/>
        <v/>
      </c>
      <c r="DQ124" s="66" t="str">
        <f t="shared" si="1715"/>
        <v/>
      </c>
      <c r="DR124" s="66" t="str">
        <f t="shared" si="1716"/>
        <v/>
      </c>
      <c r="DS124" s="66" t="str">
        <f t="shared" si="1717"/>
        <v/>
      </c>
      <c r="DT124" s="66" t="str">
        <f t="shared" si="1718"/>
        <v/>
      </c>
      <c r="DU124" s="66" t="str">
        <f t="shared" si="1719"/>
        <v/>
      </c>
      <c r="DV124" s="66" t="str">
        <f t="shared" si="1720"/>
        <v/>
      </c>
      <c r="DW124" s="66" t="str">
        <f t="shared" si="1721"/>
        <v/>
      </c>
      <c r="DX124" s="66" t="str">
        <f t="shared" si="1722"/>
        <v/>
      </c>
      <c r="DY124" s="66" t="str">
        <f t="shared" si="1723"/>
        <v/>
      </c>
      <c r="DZ124" s="66" t="str">
        <f t="shared" si="1724"/>
        <v/>
      </c>
      <c r="EA124" s="66" t="str">
        <f t="shared" si="1725"/>
        <v/>
      </c>
      <c r="EB124" s="66" t="str">
        <f t="shared" si="1726"/>
        <v/>
      </c>
      <c r="EC124" s="66" t="str">
        <f t="shared" si="1727"/>
        <v/>
      </c>
      <c r="ED124" s="66" t="str">
        <f t="shared" si="1728"/>
        <v/>
      </c>
      <c r="EE124" s="66" t="str">
        <f t="shared" si="1729"/>
        <v/>
      </c>
      <c r="EF124" s="66" t="str">
        <f t="shared" si="1730"/>
        <v/>
      </c>
      <c r="EG124" s="66" t="str">
        <f t="shared" si="1731"/>
        <v/>
      </c>
      <c r="EH124" s="66" t="str">
        <f t="shared" si="1732"/>
        <v/>
      </c>
      <c r="EI124" s="66" t="str">
        <f t="shared" si="1733"/>
        <v/>
      </c>
      <c r="EJ124" s="66" t="str">
        <f t="shared" si="1734"/>
        <v/>
      </c>
      <c r="EK124" s="66" t="str">
        <f t="shared" si="1735"/>
        <v/>
      </c>
      <c r="EL124" s="66" t="str">
        <f t="shared" si="1736"/>
        <v/>
      </c>
      <c r="EM124" s="66" t="str">
        <f t="shared" si="1737"/>
        <v/>
      </c>
      <c r="EN124" s="66" t="str">
        <f t="shared" si="1738"/>
        <v/>
      </c>
      <c r="EO124" s="66" t="str">
        <f t="shared" si="1739"/>
        <v/>
      </c>
      <c r="EP124" s="66" t="str">
        <f t="shared" si="1740"/>
        <v/>
      </c>
      <c r="EQ124" s="66" t="str">
        <f t="shared" si="1741"/>
        <v/>
      </c>
      <c r="ER124" s="66" t="str">
        <f t="shared" si="1742"/>
        <v/>
      </c>
      <c r="ES124" s="66" t="str">
        <f t="shared" si="1743"/>
        <v/>
      </c>
      <c r="ET124" s="66" t="str">
        <f t="shared" si="1744"/>
        <v/>
      </c>
      <c r="EU124" s="66" t="str">
        <f t="shared" si="1745"/>
        <v/>
      </c>
      <c r="EV124" s="66" t="str">
        <f t="shared" si="1746"/>
        <v/>
      </c>
      <c r="EW124" s="66" t="str">
        <f t="shared" si="1747"/>
        <v/>
      </c>
      <c r="EX124" s="66" t="str">
        <f t="shared" si="1748"/>
        <v/>
      </c>
      <c r="EY124" s="66" t="str">
        <f t="shared" si="1749"/>
        <v/>
      </c>
      <c r="EZ124" s="66" t="str">
        <f t="shared" si="1750"/>
        <v/>
      </c>
      <c r="FA124" s="66" t="str">
        <f t="shared" si="1751"/>
        <v/>
      </c>
      <c r="FB124" s="66" t="str">
        <f t="shared" si="1752"/>
        <v/>
      </c>
      <c r="FC124" s="66" t="str">
        <f t="shared" si="1753"/>
        <v/>
      </c>
      <c r="FD124" s="66" t="str">
        <f t="shared" si="1754"/>
        <v/>
      </c>
      <c r="FE124" s="66" t="str">
        <f t="shared" si="1755"/>
        <v/>
      </c>
      <c r="FF124" s="66" t="str">
        <f t="shared" si="1756"/>
        <v/>
      </c>
      <c r="FG124" s="66" t="str">
        <f t="shared" si="1757"/>
        <v/>
      </c>
      <c r="FH124" s="66" t="str">
        <f t="shared" si="1758"/>
        <v/>
      </c>
      <c r="FI124" s="66" t="str">
        <f t="shared" si="1759"/>
        <v/>
      </c>
      <c r="FJ124" s="66" t="str">
        <f t="shared" si="1760"/>
        <v/>
      </c>
      <c r="FK124" s="66" t="str">
        <f t="shared" si="1761"/>
        <v/>
      </c>
      <c r="FL124" s="66" t="str">
        <f t="shared" si="1762"/>
        <v/>
      </c>
      <c r="FM124" s="66" t="str">
        <f t="shared" si="1763"/>
        <v/>
      </c>
      <c r="FN124" s="66" t="str">
        <f t="shared" si="1764"/>
        <v/>
      </c>
      <c r="FO124" s="66" t="str">
        <f t="shared" si="1765"/>
        <v/>
      </c>
      <c r="FP124" s="66" t="str">
        <f t="shared" si="1766"/>
        <v/>
      </c>
      <c r="FQ124" s="66" t="str">
        <f t="shared" si="1767"/>
        <v/>
      </c>
      <c r="FR124" s="66" t="str">
        <f t="shared" si="1768"/>
        <v/>
      </c>
      <c r="FS124" s="66" t="str">
        <f t="shared" si="1769"/>
        <v/>
      </c>
    </row>
    <row r="125" spans="1:175" ht="16.5">
      <c r="A125" s="9"/>
      <c r="B125" s="9" t="s">
        <v>484</v>
      </c>
      <c r="C125" s="16" t="s">
        <v>485</v>
      </c>
      <c r="T125" s="11" t="s">
        <v>486</v>
      </c>
      <c r="U125" s="77" t="s">
        <v>487</v>
      </c>
      <c r="CN125" s="36" t="str">
        <f t="shared" si="1550"/>
        <v>InitUnitState('I012',,,,,,,,,,)</v>
      </c>
      <c r="CO125" s="36" t="str">
        <f t="shared" si="1551"/>
        <v>InitUnitNormal('I012',,,,,,,,,,)</v>
      </c>
      <c r="CP125" s="36" t="str">
        <f t="shared" si="1552"/>
        <v>InitUnitMagic('I012',,,,,,,,,,)</v>
      </c>
      <c r="CQ125" s="36" t="str">
        <f t="shared" si="1553"/>
        <v>InitUnitAdd('I012',,,,,,,,,,)</v>
      </c>
      <c r="CR125" s="36" t="str">
        <f t="shared" si="1846"/>
        <v>InitEquipData('I012',,"",,,,,'','','','','','',"ReplaceableTextures\\CommandButtons\\BTNIT03.blp")</v>
      </c>
      <c r="CU125" s="88" t="str">
        <f t="shared" ref="CU125:CU126" si="184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19" t="str">
        <f t="shared" ref="CV125:CV126" si="1848">T125</f>
        <v>护甲|cffffd24d+50|n|r金币加成|cffffd24d+20%|n|n|r击杀1000个敌人后奖励：|n|cffffd24d8000~13000|r金币|n|cffcc99ff3000-6000|r业力|n|n|cff00ff7f同时只能携带一个招魂幡|r</v>
      </c>
      <c r="CW125" s="33"/>
      <c r="CX125" s="33"/>
      <c r="CY125" s="33"/>
      <c r="CZ125" s="33"/>
      <c r="DA125" s="33"/>
      <c r="DB125" s="66" t="str">
        <f t="shared" ref="DB125:DB126" si="1849">IF(V125="","","|n"&amp;DB$2&amp;"+"&amp;V125&amp;DB$1)</f>
        <v/>
      </c>
      <c r="DC125" s="66" t="str">
        <f t="shared" ref="DC125:DC126" si="1850">IF(W125="","","|n"&amp;DC$2&amp;"+"&amp;W125&amp;DC$1)</f>
        <v/>
      </c>
      <c r="DD125" s="66" t="str">
        <f t="shared" ref="DD125:DD126" si="1851">IF(X125="","","|n"&amp;DD$2&amp;"+"&amp;X125&amp;DD$1)</f>
        <v/>
      </c>
      <c r="DE125" s="66" t="str">
        <f t="shared" ref="DE125:DE126" si="1852">IF(Y125="","","|n"&amp;DE$2&amp;"+"&amp;Y125&amp;DE$1)</f>
        <v/>
      </c>
      <c r="DF125" s="66" t="str">
        <f t="shared" ref="DF125:DF126" si="1853">IF(Z125="","","|n"&amp;DF$2&amp;"+"&amp;Z125&amp;DF$1)</f>
        <v/>
      </c>
      <c r="DG125" s="66" t="str">
        <f t="shared" ref="DG125:DG126" si="1854">IF(AA125="","","|n"&amp;DG$2&amp;"+"&amp;AA125&amp;DG$1)</f>
        <v/>
      </c>
      <c r="DH125" s="66" t="str">
        <f t="shared" ref="DH125:DH126" si="1855">IF(AB125="","","|n"&amp;DH$2&amp;"+"&amp;AB125&amp;DH$1)</f>
        <v/>
      </c>
      <c r="DI125" s="66" t="str">
        <f t="shared" ref="DI125:DI126" si="1856">IF(AC125="","","|n"&amp;DI$2&amp;"+"&amp;AC125&amp;DI$1)</f>
        <v/>
      </c>
      <c r="DJ125" s="66" t="str">
        <f t="shared" ref="DJ125:DJ126" si="1857">IF(AD125="","","|n"&amp;DJ$2&amp;"+"&amp;AD125&amp;DJ$1)</f>
        <v/>
      </c>
      <c r="DK125" s="66" t="str">
        <f t="shared" ref="DK125:DK126" si="1858">IF(AE125="","","|n"&amp;DK$2&amp;"+"&amp;AE125&amp;DK$1)</f>
        <v/>
      </c>
      <c r="DL125" s="66" t="str">
        <f t="shared" ref="DL125:DL126" si="1859">IF(AF125="","","|n"&amp;DL$2&amp;"+"&amp;AF125&amp;DL$1)</f>
        <v/>
      </c>
      <c r="DM125" s="66" t="str">
        <f t="shared" ref="DM125:DM126" si="1860">IF(AG125="","","|n"&amp;DM$2&amp;"+"&amp;AG125&amp;DM$1)</f>
        <v/>
      </c>
      <c r="DN125" s="66" t="str">
        <f t="shared" ref="DN125:DN126" si="1861">IF(AH125="","","|n"&amp;DN$2&amp;"+"&amp;AH125&amp;DN$1)</f>
        <v/>
      </c>
      <c r="DO125" s="66" t="str">
        <f t="shared" ref="DO125:DO126" si="1862">IF(AI125="","","|n"&amp;DO$2&amp;"+"&amp;AI125&amp;DO$1)</f>
        <v/>
      </c>
      <c r="DP125" s="66" t="str">
        <f t="shared" ref="DP125:DP126" si="1863">IF(AJ125="","","|n"&amp;DP$2&amp;"+"&amp;AJ125&amp;DP$1)</f>
        <v/>
      </c>
      <c r="DQ125" s="66" t="str">
        <f t="shared" ref="DQ125:DQ126" si="1864">IF(AK125="","","|n"&amp;DQ$2&amp;"+"&amp;AK125&amp;DQ$1)</f>
        <v/>
      </c>
      <c r="DR125" s="66" t="str">
        <f t="shared" ref="DR125:DR126" si="1865">IF(AL125="","","|n"&amp;DR$2&amp;"+"&amp;AL125&amp;DR$1)</f>
        <v/>
      </c>
      <c r="DS125" s="66" t="str">
        <f t="shared" ref="DS125:DS126" si="1866">IF(AM125="","","|n"&amp;DS$2&amp;"+"&amp;AM125&amp;DS$1)</f>
        <v/>
      </c>
      <c r="DT125" s="66" t="str">
        <f t="shared" ref="DT125:DT126" si="1867">IF(AN125="","","|n"&amp;DT$2&amp;"+"&amp;AN125&amp;DT$1)</f>
        <v/>
      </c>
      <c r="DU125" s="66" t="str">
        <f t="shared" ref="DU125:DU126" si="1868">IF(AO125="","","|n"&amp;DU$2&amp;"+"&amp;AO125&amp;DU$1)</f>
        <v/>
      </c>
      <c r="DV125" s="66" t="str">
        <f t="shared" ref="DV125:DV126" si="1869">IF(AP125="","","|n"&amp;DV$2&amp;"+"&amp;AP125&amp;DV$1)</f>
        <v/>
      </c>
      <c r="DW125" s="66" t="str">
        <f t="shared" ref="DW125:DW126" si="1870">IF(AQ125="","","|n"&amp;DW$2&amp;"+"&amp;AQ125&amp;DW$1)</f>
        <v/>
      </c>
      <c r="DX125" s="66" t="str">
        <f t="shared" ref="DX125:DX126" si="1871">IF(AR125="","","|n"&amp;DX$2&amp;"+"&amp;AR125&amp;DX$1)</f>
        <v/>
      </c>
      <c r="DY125" s="66" t="str">
        <f t="shared" ref="DY125:DY126" si="1872">IF(AS125="","","|n"&amp;DY$2&amp;"+"&amp;AS125&amp;DY$1)</f>
        <v/>
      </c>
      <c r="DZ125" s="66" t="str">
        <f t="shared" ref="DZ125:DZ126" si="1873">IF(AT125="","","|n"&amp;DZ$2&amp;"+"&amp;AT125&amp;DZ$1)</f>
        <v/>
      </c>
      <c r="EA125" s="66" t="str">
        <f t="shared" ref="EA125:EA126" si="1874">IF(AU125="","","|n"&amp;EA$2&amp;"+"&amp;AU125&amp;EA$1)</f>
        <v/>
      </c>
      <c r="EB125" s="66" t="str">
        <f t="shared" ref="EB125:EB126" si="1875">IF(AV125="","","|n"&amp;EB$2&amp;"+"&amp;AV125&amp;EB$1)</f>
        <v/>
      </c>
      <c r="EC125" s="66" t="str">
        <f t="shared" ref="EC125:EC126" si="1876">IF(AW125="","","|n"&amp;EC$2&amp;"+"&amp;AW125&amp;EC$1)</f>
        <v/>
      </c>
      <c r="ED125" s="66" t="str">
        <f t="shared" ref="ED125:ED126" si="1877">IF(AX125="","","|n"&amp;ED$2&amp;"+"&amp;AX125&amp;ED$1)</f>
        <v/>
      </c>
      <c r="EE125" s="66" t="str">
        <f t="shared" ref="EE125:EE126" si="1878">IF(AY125="","","|n"&amp;EE$2&amp;"+"&amp;AY125&amp;EE$1)</f>
        <v/>
      </c>
      <c r="EF125" s="66" t="str">
        <f t="shared" ref="EF125:EF126" si="1879">IF(AZ125="","","|n"&amp;EF$2&amp;"+"&amp;AZ125&amp;EF$1)</f>
        <v/>
      </c>
      <c r="EG125" s="66" t="str">
        <f t="shared" ref="EG125:EG126" si="1880">IF(BA125="","","|n"&amp;EG$2&amp;"+"&amp;BA125&amp;EG$1)</f>
        <v/>
      </c>
      <c r="EH125" s="66" t="str">
        <f t="shared" ref="EH125:EH126" si="1881">IF(BB125="","","|n"&amp;EH$2&amp;"+"&amp;BB125&amp;EH$1)</f>
        <v/>
      </c>
      <c r="EI125" s="66" t="str">
        <f t="shared" ref="EI125:EI126" si="1882">IF(BC125="","","|n"&amp;EI$2&amp;"+"&amp;BC125&amp;EI$1)</f>
        <v/>
      </c>
      <c r="EJ125" s="66" t="str">
        <f t="shared" ref="EJ125:EJ126" si="1883">IF(BD125="","","|n"&amp;EJ$2&amp;"+"&amp;BD125&amp;EJ$1)</f>
        <v/>
      </c>
      <c r="EK125" s="66" t="str">
        <f t="shared" ref="EK125:EK126" si="1884">IF(BE125="","","|n"&amp;EK$2&amp;"+"&amp;BE125&amp;EK$1)</f>
        <v/>
      </c>
      <c r="EL125" s="66" t="str">
        <f t="shared" ref="EL125:EL126" si="1885">IF(BF125="","","|n"&amp;EL$2&amp;"+"&amp;BF125&amp;EL$1)</f>
        <v/>
      </c>
      <c r="EM125" s="66" t="str">
        <f t="shared" ref="EM125:EM126" si="1886">IF(BG125="","","|n"&amp;EM$2&amp;"+"&amp;BG125&amp;EM$1)</f>
        <v/>
      </c>
      <c r="EN125" s="66" t="str">
        <f t="shared" ref="EN125:EN126" si="1887">IF(BH125="","","|n"&amp;EN$2&amp;"+"&amp;BH125&amp;EN$1)</f>
        <v/>
      </c>
      <c r="EO125" s="66" t="str">
        <f t="shared" ref="EO125:EO126" si="1888">IF(BI125="","","|n"&amp;EO$2&amp;"+"&amp;BI125&amp;EO$1)</f>
        <v/>
      </c>
      <c r="EP125" s="66" t="str">
        <f t="shared" ref="EP125:EP126" si="1889">IF(BJ125="","","|n"&amp;EP$2&amp;"+"&amp;BJ125&amp;EP$1)</f>
        <v/>
      </c>
      <c r="EQ125" s="66" t="str">
        <f t="shared" ref="EQ125:EQ126" si="1890">IF(BK125="","","|n"&amp;EQ$2&amp;"+"&amp;BK125&amp;EQ$1)</f>
        <v/>
      </c>
      <c r="ER125" s="66" t="str">
        <f t="shared" ref="ER125:ER126" si="1891">IF(BL125="","","|n"&amp;ER$2&amp;"+"&amp;BL125&amp;ER$1)</f>
        <v/>
      </c>
      <c r="ES125" s="66" t="str">
        <f t="shared" ref="ES125:ES126" si="1892">IF(BM125="","","|n"&amp;ES$2&amp;"+"&amp;BM125&amp;ES$1)</f>
        <v/>
      </c>
      <c r="ET125" s="66" t="str">
        <f t="shared" ref="ET125:ET126" si="1893">IF(BN125="","","|n"&amp;ET$2&amp;"+"&amp;BN125&amp;ET$1)</f>
        <v/>
      </c>
      <c r="EU125" s="66" t="str">
        <f t="shared" ref="EU125:EU126" si="1894">IF(BO125="","","|n"&amp;EU$2&amp;"+"&amp;BO125&amp;EU$1)</f>
        <v/>
      </c>
      <c r="EV125" s="66" t="str">
        <f t="shared" ref="EV125:EV126" si="1895">IF(BP125="","","|n"&amp;EV$2&amp;"+"&amp;BP125&amp;EV$1)</f>
        <v/>
      </c>
      <c r="EW125" s="66" t="str">
        <f t="shared" ref="EW125:EW126" si="1896">IF(BQ125="","","|n"&amp;EW$2&amp;"+"&amp;BQ125&amp;EW$1)</f>
        <v/>
      </c>
      <c r="EX125" s="66" t="str">
        <f t="shared" ref="EX125:EX126" si="1897">IF(BR125="","","|n"&amp;EX$2&amp;"+"&amp;BR125&amp;EX$1)</f>
        <v/>
      </c>
      <c r="EY125" s="66" t="str">
        <f t="shared" ref="EY125:EY126" si="1898">IF(BS125="","","|n"&amp;EY$2&amp;"+"&amp;BS125&amp;EY$1)</f>
        <v/>
      </c>
      <c r="EZ125" s="66" t="str">
        <f t="shared" ref="EZ125:EZ126" si="1899">IF(BT125="","","|n"&amp;EZ$2&amp;"+"&amp;BT125&amp;EZ$1)</f>
        <v/>
      </c>
      <c r="FA125" s="66" t="str">
        <f t="shared" ref="FA125:FA126" si="1900">IF(BU125="","","|n"&amp;FA$2&amp;"+"&amp;BU125&amp;FA$1)</f>
        <v/>
      </c>
      <c r="FB125" s="66" t="str">
        <f t="shared" ref="FB125:FB126" si="1901">IF(BV125="","","|n"&amp;FB$2&amp;"+"&amp;BV125&amp;FB$1)</f>
        <v/>
      </c>
      <c r="FC125" s="66" t="str">
        <f t="shared" ref="FC125:FC126" si="1902">IF(BW125="","","|n"&amp;FC$2&amp;"+"&amp;BW125&amp;FC$1)</f>
        <v/>
      </c>
      <c r="FD125" s="66" t="str">
        <f t="shared" ref="FD125:FD126" si="1903">IF(BX125="","","|n"&amp;FD$2&amp;"+"&amp;BX125&amp;FD$1)</f>
        <v/>
      </c>
      <c r="FE125" s="66" t="str">
        <f t="shared" ref="FE125:FE126" si="1904">IF(BY125="","","|n"&amp;FE$2&amp;"+"&amp;BY125&amp;FE$1)</f>
        <v/>
      </c>
      <c r="FF125" s="66" t="str">
        <f t="shared" ref="FF125:FF126" si="1905">IF(BZ125="","","|n"&amp;FF$2&amp;"+"&amp;BZ125&amp;FF$1)</f>
        <v/>
      </c>
      <c r="FG125" s="66" t="str">
        <f t="shared" ref="FG125:FG126" si="1906">IF(CA125="","","|n"&amp;FG$2&amp;"+"&amp;CA125&amp;FG$1)</f>
        <v/>
      </c>
      <c r="FH125" s="66" t="str">
        <f t="shared" ref="FH125:FH126" si="1907">IF(CB125="","","|n"&amp;FH$2&amp;"+"&amp;CB125&amp;FH$1)</f>
        <v/>
      </c>
      <c r="FI125" s="66" t="str">
        <f t="shared" ref="FI125:FI126" si="1908">IF(CC125="","","|n"&amp;FI$2&amp;"+"&amp;CC125&amp;FI$1)</f>
        <v/>
      </c>
      <c r="FJ125" s="66" t="str">
        <f t="shared" ref="FJ125:FJ126" si="1909">IF(CD125="","","|n"&amp;FJ$2&amp;"+"&amp;CD125&amp;FJ$1)</f>
        <v/>
      </c>
      <c r="FK125" s="66" t="str">
        <f t="shared" ref="FK125:FK126" si="1910">IF(CE125="","","|n"&amp;FK$2&amp;"+"&amp;CE125&amp;FK$1)</f>
        <v/>
      </c>
      <c r="FL125" s="66" t="str">
        <f t="shared" ref="FL125:FL126" si="1911">IF(CF125="","","|n"&amp;FL$2&amp;"+"&amp;CF125&amp;FL$1)</f>
        <v/>
      </c>
      <c r="FM125" s="66" t="str">
        <f t="shared" ref="FM125:FM126" si="1912">IF(CG125="","","|n"&amp;FM$2&amp;"+"&amp;CG125&amp;FM$1)</f>
        <v/>
      </c>
      <c r="FN125" s="66" t="str">
        <f t="shared" ref="FN125:FN126" si="1913">IF(CH125="","","|n"&amp;FN$2&amp;"+"&amp;CH125&amp;FN$1)</f>
        <v/>
      </c>
      <c r="FO125" s="66" t="str">
        <f t="shared" ref="FO125:FO126" si="1914">IF(CI125="","","|n"&amp;FO$2&amp;"+"&amp;CI125&amp;FO$1)</f>
        <v/>
      </c>
      <c r="FP125" s="66" t="str">
        <f t="shared" ref="FP125:FP126" si="1915">IF(CJ125="","","|n"&amp;FP$2&amp;"+"&amp;CJ125&amp;FP$1)</f>
        <v/>
      </c>
      <c r="FQ125" s="66" t="str">
        <f t="shared" ref="FQ125:FQ126" si="1916">IF(CK125="","","|n"&amp;FQ$2&amp;"+"&amp;CK125&amp;FQ$1)</f>
        <v/>
      </c>
      <c r="FR125" s="66" t="str">
        <f t="shared" ref="FR125:FR126" si="1917">IF(CL125="","","|n"&amp;FR$2&amp;"+"&amp;CL125&amp;FR$1)</f>
        <v/>
      </c>
      <c r="FS125" s="66" t="str">
        <f t="shared" ref="FS125:FS126" si="1918">IF(CM125="","","|n"&amp;FS$2&amp;"+"&amp;CM125&amp;FS$1)</f>
        <v/>
      </c>
    </row>
    <row r="126" spans="1:175" ht="16.5">
      <c r="A126" s="9"/>
      <c r="B126" s="9" t="s">
        <v>488</v>
      </c>
      <c r="C126" s="16" t="s">
        <v>489</v>
      </c>
      <c r="T126" s="11" t="s">
        <v>490</v>
      </c>
      <c r="U126" s="77" t="s">
        <v>491</v>
      </c>
      <c r="CN126" s="36" t="str">
        <f t="shared" si="1550"/>
        <v>InitUnitState('I013',,,,,,,,,,)</v>
      </c>
      <c r="CO126" s="36" t="str">
        <f t="shared" si="1551"/>
        <v>InitUnitNormal('I013',,,,,,,,,,)</v>
      </c>
      <c r="CP126" s="36" t="str">
        <f t="shared" si="1552"/>
        <v>InitUnitMagic('I013',,,,,,,,,,)</v>
      </c>
      <c r="CQ126" s="36" t="str">
        <f t="shared" si="1553"/>
        <v>InitUnitAdd('I013',,,,,,,,,,)</v>
      </c>
      <c r="CR126" s="36" t="str">
        <f t="shared" si="1846"/>
        <v>InitEquipData('I013',,"",,,,,'','','','','','',"ReplaceableTextures\\CommandButtons\\BTNIT04.blp")</v>
      </c>
      <c r="CU126" s="88" t="str">
        <f t="shared" si="1847"/>
        <v>|n</v>
      </c>
      <c r="CV126" s="19" t="str">
        <f t="shared" si="1848"/>
        <v>护甲|cffffd24d+100|n|r金币加成|cffffd24d+25%|n|n|r击杀1000个敌人后奖励：|n|cffffd24d9000~14000|r金币|n|cffcc99ff4000-7000|r业力|n|n|cff00ff7f同时只能携带一个招魂幡|r</v>
      </c>
      <c r="CW126" s="33"/>
      <c r="CX126" s="33"/>
      <c r="CY126" s="33"/>
      <c r="CZ126" s="33"/>
      <c r="DA126" s="33"/>
      <c r="DB126" s="66" t="str">
        <f t="shared" si="1849"/>
        <v/>
      </c>
      <c r="DC126" s="66" t="str">
        <f t="shared" si="1850"/>
        <v/>
      </c>
      <c r="DD126" s="66" t="str">
        <f t="shared" si="1851"/>
        <v/>
      </c>
      <c r="DE126" s="66" t="str">
        <f t="shared" si="1852"/>
        <v/>
      </c>
      <c r="DF126" s="66" t="str">
        <f t="shared" si="1853"/>
        <v/>
      </c>
      <c r="DG126" s="66" t="str">
        <f t="shared" si="1854"/>
        <v/>
      </c>
      <c r="DH126" s="66" t="str">
        <f t="shared" si="1855"/>
        <v/>
      </c>
      <c r="DI126" s="66" t="str">
        <f t="shared" si="1856"/>
        <v/>
      </c>
      <c r="DJ126" s="66" t="str">
        <f t="shared" si="1857"/>
        <v/>
      </c>
      <c r="DK126" s="66" t="str">
        <f t="shared" si="1858"/>
        <v/>
      </c>
      <c r="DL126" s="66" t="str">
        <f t="shared" si="1859"/>
        <v/>
      </c>
      <c r="DM126" s="66" t="str">
        <f t="shared" si="1860"/>
        <v/>
      </c>
      <c r="DN126" s="66" t="str">
        <f t="shared" si="1861"/>
        <v/>
      </c>
      <c r="DO126" s="66" t="str">
        <f t="shared" si="1862"/>
        <v/>
      </c>
      <c r="DP126" s="66" t="str">
        <f t="shared" si="1863"/>
        <v/>
      </c>
      <c r="DQ126" s="66" t="str">
        <f t="shared" si="1864"/>
        <v/>
      </c>
      <c r="DR126" s="66" t="str">
        <f t="shared" si="1865"/>
        <v/>
      </c>
      <c r="DS126" s="66" t="str">
        <f t="shared" si="1866"/>
        <v/>
      </c>
      <c r="DT126" s="66" t="str">
        <f t="shared" si="1867"/>
        <v/>
      </c>
      <c r="DU126" s="66" t="str">
        <f t="shared" si="1868"/>
        <v/>
      </c>
      <c r="DV126" s="66" t="str">
        <f t="shared" si="1869"/>
        <v/>
      </c>
      <c r="DW126" s="66" t="str">
        <f t="shared" si="1870"/>
        <v/>
      </c>
      <c r="DX126" s="66" t="str">
        <f t="shared" si="1871"/>
        <v/>
      </c>
      <c r="DY126" s="66" t="str">
        <f t="shared" si="1872"/>
        <v/>
      </c>
      <c r="DZ126" s="66" t="str">
        <f t="shared" si="1873"/>
        <v/>
      </c>
      <c r="EA126" s="66" t="str">
        <f t="shared" si="1874"/>
        <v/>
      </c>
      <c r="EB126" s="66" t="str">
        <f t="shared" si="1875"/>
        <v/>
      </c>
      <c r="EC126" s="66" t="str">
        <f t="shared" si="1876"/>
        <v/>
      </c>
      <c r="ED126" s="66" t="str">
        <f t="shared" si="1877"/>
        <v/>
      </c>
      <c r="EE126" s="66" t="str">
        <f t="shared" si="1878"/>
        <v/>
      </c>
      <c r="EF126" s="66" t="str">
        <f t="shared" si="1879"/>
        <v/>
      </c>
      <c r="EG126" s="66" t="str">
        <f t="shared" si="1880"/>
        <v/>
      </c>
      <c r="EH126" s="66" t="str">
        <f t="shared" si="1881"/>
        <v/>
      </c>
      <c r="EI126" s="66" t="str">
        <f t="shared" si="1882"/>
        <v/>
      </c>
      <c r="EJ126" s="66" t="str">
        <f t="shared" si="1883"/>
        <v/>
      </c>
      <c r="EK126" s="66" t="str">
        <f t="shared" si="1884"/>
        <v/>
      </c>
      <c r="EL126" s="66" t="str">
        <f t="shared" si="1885"/>
        <v/>
      </c>
      <c r="EM126" s="66" t="str">
        <f t="shared" si="1886"/>
        <v/>
      </c>
      <c r="EN126" s="66" t="str">
        <f t="shared" si="1887"/>
        <v/>
      </c>
      <c r="EO126" s="66" t="str">
        <f t="shared" si="1888"/>
        <v/>
      </c>
      <c r="EP126" s="66" t="str">
        <f t="shared" si="1889"/>
        <v/>
      </c>
      <c r="EQ126" s="66" t="str">
        <f t="shared" si="1890"/>
        <v/>
      </c>
      <c r="ER126" s="66" t="str">
        <f t="shared" si="1891"/>
        <v/>
      </c>
      <c r="ES126" s="66" t="str">
        <f t="shared" si="1892"/>
        <v/>
      </c>
      <c r="ET126" s="66" t="str">
        <f t="shared" si="1893"/>
        <v/>
      </c>
      <c r="EU126" s="66" t="str">
        <f t="shared" si="1894"/>
        <v/>
      </c>
      <c r="EV126" s="66" t="str">
        <f t="shared" si="1895"/>
        <v/>
      </c>
      <c r="EW126" s="66" t="str">
        <f t="shared" si="1896"/>
        <v/>
      </c>
      <c r="EX126" s="66" t="str">
        <f t="shared" si="1897"/>
        <v/>
      </c>
      <c r="EY126" s="66" t="str">
        <f t="shared" si="1898"/>
        <v/>
      </c>
      <c r="EZ126" s="66" t="str">
        <f t="shared" si="1899"/>
        <v/>
      </c>
      <c r="FA126" s="66" t="str">
        <f t="shared" si="1900"/>
        <v/>
      </c>
      <c r="FB126" s="66" t="str">
        <f t="shared" si="1901"/>
        <v/>
      </c>
      <c r="FC126" s="66" t="str">
        <f t="shared" si="1902"/>
        <v/>
      </c>
      <c r="FD126" s="66" t="str">
        <f t="shared" si="1903"/>
        <v/>
      </c>
      <c r="FE126" s="66" t="str">
        <f t="shared" si="1904"/>
        <v/>
      </c>
      <c r="FF126" s="66" t="str">
        <f t="shared" si="1905"/>
        <v/>
      </c>
      <c r="FG126" s="66" t="str">
        <f t="shared" si="1906"/>
        <v/>
      </c>
      <c r="FH126" s="66" t="str">
        <f t="shared" si="1907"/>
        <v/>
      </c>
      <c r="FI126" s="66" t="str">
        <f t="shared" si="1908"/>
        <v/>
      </c>
      <c r="FJ126" s="66" t="str">
        <f t="shared" si="1909"/>
        <v/>
      </c>
      <c r="FK126" s="66" t="str">
        <f t="shared" si="1910"/>
        <v/>
      </c>
      <c r="FL126" s="66" t="str">
        <f t="shared" si="1911"/>
        <v/>
      </c>
      <c r="FM126" s="66" t="str">
        <f t="shared" si="1912"/>
        <v/>
      </c>
      <c r="FN126" s="66" t="str">
        <f t="shared" si="1913"/>
        <v/>
      </c>
      <c r="FO126" s="66" t="str">
        <f t="shared" si="1914"/>
        <v/>
      </c>
      <c r="FP126" s="66" t="str">
        <f t="shared" si="1915"/>
        <v/>
      </c>
      <c r="FQ126" s="66" t="str">
        <f t="shared" si="1916"/>
        <v/>
      </c>
      <c r="FR126" s="66" t="str">
        <f t="shared" si="1917"/>
        <v/>
      </c>
      <c r="FS126" s="66" t="str">
        <f t="shared" si="1918"/>
        <v/>
      </c>
    </row>
    <row r="127" spans="1:175" ht="16.5">
      <c r="A127" s="9"/>
      <c r="B127" s="9" t="s">
        <v>492</v>
      </c>
      <c r="C127" s="16" t="s">
        <v>493</v>
      </c>
      <c r="T127" s="11" t="s">
        <v>494</v>
      </c>
      <c r="U127" s="77" t="s">
        <v>495</v>
      </c>
      <c r="CN127" s="36" t="str">
        <f t="shared" si="1550"/>
        <v>InitUnitState('I014',,,,,,,,,,)</v>
      </c>
      <c r="CO127" s="36" t="str">
        <f t="shared" si="1551"/>
        <v>InitUnitNormal('I014',,,,,,,,,,)</v>
      </c>
      <c r="CP127" s="36" t="str">
        <f t="shared" si="1552"/>
        <v>InitUnitMagic('I014',,,,,,,,,,)</v>
      </c>
      <c r="CQ127" s="36" t="str">
        <f t="shared" si="1553"/>
        <v>InitUnitAdd('I014',,,,,,,,,,)</v>
      </c>
      <c r="CR127" s="36" t="str">
        <f t="shared" si="1846"/>
        <v>InitEquipData('I014',,"",,,,,'','','','','','',"ReplaceableTextures\\CommandButtons\\BTNIT05.blp")</v>
      </c>
      <c r="CU127" s="88" t="str">
        <f t="shared" ref="CU127:CU137" si="1919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19" t="str">
        <f t="shared" ref="CV127:CV137" si="1920">T127</f>
        <v>护甲|cffffd24d+200|n|r金币加成|cffffd24d+30%|n|n|r击杀1000个敌人后奖励：|n|cffffd24d10000~15000|r金币|n|cffcc99ff5000-8000|r业力|n|n|cff00ff7f同时只能携带一个招魂幡|r</v>
      </c>
      <c r="CW127" s="33"/>
      <c r="CX127" s="33"/>
      <c r="CY127" s="33"/>
      <c r="CZ127" s="33"/>
      <c r="DA127" s="33"/>
      <c r="DB127" s="66" t="str">
        <f t="shared" ref="DB127:DB137" si="1921">IF(V127="","","|n"&amp;DB$2&amp;"+"&amp;V127&amp;DB$1)</f>
        <v/>
      </c>
      <c r="DC127" s="66" t="str">
        <f t="shared" ref="DC127:DC137" si="1922">IF(W127="","","|n"&amp;DC$2&amp;"+"&amp;W127&amp;DC$1)</f>
        <v/>
      </c>
      <c r="DD127" s="66" t="str">
        <f t="shared" ref="DD127:DD137" si="1923">IF(X127="","","|n"&amp;DD$2&amp;"+"&amp;X127&amp;DD$1)</f>
        <v/>
      </c>
      <c r="DE127" s="66" t="str">
        <f t="shared" ref="DE127:DE137" si="1924">IF(Y127="","","|n"&amp;DE$2&amp;"+"&amp;Y127&amp;DE$1)</f>
        <v/>
      </c>
      <c r="DF127" s="66" t="str">
        <f t="shared" ref="DF127:DF137" si="1925">IF(Z127="","","|n"&amp;DF$2&amp;"+"&amp;Z127&amp;DF$1)</f>
        <v/>
      </c>
      <c r="DG127" s="66" t="str">
        <f t="shared" ref="DG127:DG137" si="1926">IF(AA127="","","|n"&amp;DG$2&amp;"+"&amp;AA127&amp;DG$1)</f>
        <v/>
      </c>
      <c r="DH127" s="66" t="str">
        <f t="shared" ref="DH127:DH137" si="1927">IF(AB127="","","|n"&amp;DH$2&amp;"+"&amp;AB127&amp;DH$1)</f>
        <v/>
      </c>
      <c r="DI127" s="66" t="str">
        <f t="shared" ref="DI127:DI137" si="1928">IF(AC127="","","|n"&amp;DI$2&amp;"+"&amp;AC127&amp;DI$1)</f>
        <v/>
      </c>
      <c r="DJ127" s="66" t="str">
        <f t="shared" ref="DJ127:DJ137" si="1929">IF(AD127="","","|n"&amp;DJ$2&amp;"+"&amp;AD127&amp;DJ$1)</f>
        <v/>
      </c>
      <c r="DK127" s="66" t="str">
        <f t="shared" ref="DK127:DK137" si="1930">IF(AE127="","","|n"&amp;DK$2&amp;"+"&amp;AE127&amp;DK$1)</f>
        <v/>
      </c>
      <c r="DL127" s="66" t="str">
        <f t="shared" ref="DL127:DL137" si="1931">IF(AF127="","","|n"&amp;DL$2&amp;"+"&amp;AF127&amp;DL$1)</f>
        <v/>
      </c>
      <c r="DM127" s="66" t="str">
        <f t="shared" ref="DM127:DM137" si="1932">IF(AG127="","","|n"&amp;DM$2&amp;"+"&amp;AG127&amp;DM$1)</f>
        <v/>
      </c>
      <c r="DN127" s="66" t="str">
        <f t="shared" ref="DN127:DN137" si="1933">IF(AH127="","","|n"&amp;DN$2&amp;"+"&amp;AH127&amp;DN$1)</f>
        <v/>
      </c>
      <c r="DO127" s="66" t="str">
        <f t="shared" ref="DO127:DO137" si="1934">IF(AI127="","","|n"&amp;DO$2&amp;"+"&amp;AI127&amp;DO$1)</f>
        <v/>
      </c>
      <c r="DP127" s="66" t="str">
        <f t="shared" ref="DP127:DP137" si="1935">IF(AJ127="","","|n"&amp;DP$2&amp;"+"&amp;AJ127&amp;DP$1)</f>
        <v/>
      </c>
      <c r="DQ127" s="66" t="str">
        <f t="shared" ref="DQ127:DQ137" si="1936">IF(AK127="","","|n"&amp;DQ$2&amp;"+"&amp;AK127&amp;DQ$1)</f>
        <v/>
      </c>
      <c r="DR127" s="66" t="str">
        <f t="shared" ref="DR127:DR137" si="1937">IF(AL127="","","|n"&amp;DR$2&amp;"+"&amp;AL127&amp;DR$1)</f>
        <v/>
      </c>
      <c r="DS127" s="66" t="str">
        <f t="shared" ref="DS127:DS137" si="1938">IF(AM127="","","|n"&amp;DS$2&amp;"+"&amp;AM127&amp;DS$1)</f>
        <v/>
      </c>
      <c r="DT127" s="66" t="str">
        <f t="shared" ref="DT127:DT137" si="1939">IF(AN127="","","|n"&amp;DT$2&amp;"+"&amp;AN127&amp;DT$1)</f>
        <v/>
      </c>
      <c r="DU127" s="66" t="str">
        <f t="shared" ref="DU127:DU137" si="1940">IF(AO127="","","|n"&amp;DU$2&amp;"+"&amp;AO127&amp;DU$1)</f>
        <v/>
      </c>
      <c r="DV127" s="66" t="str">
        <f t="shared" ref="DV127:DV137" si="1941">IF(AP127="","","|n"&amp;DV$2&amp;"+"&amp;AP127&amp;DV$1)</f>
        <v/>
      </c>
      <c r="DW127" s="66" t="str">
        <f t="shared" ref="DW127:DW137" si="1942">IF(AQ127="","","|n"&amp;DW$2&amp;"+"&amp;AQ127&amp;DW$1)</f>
        <v/>
      </c>
      <c r="DX127" s="66" t="str">
        <f t="shared" ref="DX127:DX137" si="1943">IF(AR127="","","|n"&amp;DX$2&amp;"+"&amp;AR127&amp;DX$1)</f>
        <v/>
      </c>
      <c r="DY127" s="66" t="str">
        <f t="shared" ref="DY127:DY137" si="1944">IF(AS127="","","|n"&amp;DY$2&amp;"+"&amp;AS127&amp;DY$1)</f>
        <v/>
      </c>
      <c r="DZ127" s="66" t="str">
        <f t="shared" ref="DZ127:DZ137" si="1945">IF(AT127="","","|n"&amp;DZ$2&amp;"+"&amp;AT127&amp;DZ$1)</f>
        <v/>
      </c>
      <c r="EA127" s="66" t="str">
        <f t="shared" ref="EA127:EA137" si="1946">IF(AU127="","","|n"&amp;EA$2&amp;"+"&amp;AU127&amp;EA$1)</f>
        <v/>
      </c>
      <c r="EB127" s="66" t="str">
        <f t="shared" ref="EB127:EB137" si="1947">IF(AV127="","","|n"&amp;EB$2&amp;"+"&amp;AV127&amp;EB$1)</f>
        <v/>
      </c>
      <c r="EC127" s="66" t="str">
        <f t="shared" ref="EC127:EC137" si="1948">IF(AW127="","","|n"&amp;EC$2&amp;"+"&amp;AW127&amp;EC$1)</f>
        <v/>
      </c>
      <c r="ED127" s="66" t="str">
        <f t="shared" ref="ED127:ED137" si="1949">IF(AX127="","","|n"&amp;ED$2&amp;"+"&amp;AX127&amp;ED$1)</f>
        <v/>
      </c>
      <c r="EE127" s="66" t="str">
        <f t="shared" ref="EE127:EE137" si="1950">IF(AY127="","","|n"&amp;EE$2&amp;"+"&amp;AY127&amp;EE$1)</f>
        <v/>
      </c>
      <c r="EF127" s="66" t="str">
        <f t="shared" ref="EF127:EF137" si="1951">IF(AZ127="","","|n"&amp;EF$2&amp;"+"&amp;AZ127&amp;EF$1)</f>
        <v/>
      </c>
      <c r="EG127" s="66" t="str">
        <f t="shared" ref="EG127:EG137" si="1952">IF(BA127="","","|n"&amp;EG$2&amp;"+"&amp;BA127&amp;EG$1)</f>
        <v/>
      </c>
      <c r="EH127" s="66" t="str">
        <f t="shared" ref="EH127:EH137" si="1953">IF(BB127="","","|n"&amp;EH$2&amp;"+"&amp;BB127&amp;EH$1)</f>
        <v/>
      </c>
      <c r="EI127" s="66" t="str">
        <f t="shared" ref="EI127:EI137" si="1954">IF(BC127="","","|n"&amp;EI$2&amp;"+"&amp;BC127&amp;EI$1)</f>
        <v/>
      </c>
      <c r="EJ127" s="66" t="str">
        <f t="shared" ref="EJ127:EJ137" si="1955">IF(BD127="","","|n"&amp;EJ$2&amp;"+"&amp;BD127&amp;EJ$1)</f>
        <v/>
      </c>
      <c r="EK127" s="66" t="str">
        <f t="shared" ref="EK127:EK137" si="1956">IF(BE127="","","|n"&amp;EK$2&amp;"+"&amp;BE127&amp;EK$1)</f>
        <v/>
      </c>
      <c r="EL127" s="66" t="str">
        <f t="shared" ref="EL127:EL137" si="1957">IF(BF127="","","|n"&amp;EL$2&amp;"+"&amp;BF127&amp;EL$1)</f>
        <v/>
      </c>
      <c r="EM127" s="66" t="str">
        <f t="shared" ref="EM127:EM137" si="1958">IF(BG127="","","|n"&amp;EM$2&amp;"+"&amp;BG127&amp;EM$1)</f>
        <v/>
      </c>
      <c r="EN127" s="66" t="str">
        <f t="shared" ref="EN127:EN137" si="1959">IF(BH127="","","|n"&amp;EN$2&amp;"+"&amp;BH127&amp;EN$1)</f>
        <v/>
      </c>
      <c r="EO127" s="66" t="str">
        <f t="shared" ref="EO127:EO137" si="1960">IF(BI127="","","|n"&amp;EO$2&amp;"+"&amp;BI127&amp;EO$1)</f>
        <v/>
      </c>
      <c r="EP127" s="66" t="str">
        <f t="shared" ref="EP127:EP137" si="1961">IF(BJ127="","","|n"&amp;EP$2&amp;"+"&amp;BJ127&amp;EP$1)</f>
        <v/>
      </c>
      <c r="EQ127" s="66" t="str">
        <f t="shared" ref="EQ127:EQ137" si="1962">IF(BK127="","","|n"&amp;EQ$2&amp;"+"&amp;BK127&amp;EQ$1)</f>
        <v/>
      </c>
      <c r="ER127" s="66" t="str">
        <f t="shared" ref="ER127:ER137" si="1963">IF(BL127="","","|n"&amp;ER$2&amp;"+"&amp;BL127&amp;ER$1)</f>
        <v/>
      </c>
      <c r="ES127" s="66" t="str">
        <f t="shared" ref="ES127:ES137" si="1964">IF(BM127="","","|n"&amp;ES$2&amp;"+"&amp;BM127&amp;ES$1)</f>
        <v/>
      </c>
      <c r="ET127" s="66" t="str">
        <f t="shared" ref="ET127:ET137" si="1965">IF(BN127="","","|n"&amp;ET$2&amp;"+"&amp;BN127&amp;ET$1)</f>
        <v/>
      </c>
      <c r="EU127" s="66" t="str">
        <f t="shared" ref="EU127:EU137" si="1966">IF(BO127="","","|n"&amp;EU$2&amp;"+"&amp;BO127&amp;EU$1)</f>
        <v/>
      </c>
      <c r="EV127" s="66" t="str">
        <f t="shared" ref="EV127:EV137" si="1967">IF(BP127="","","|n"&amp;EV$2&amp;"+"&amp;BP127&amp;EV$1)</f>
        <v/>
      </c>
      <c r="EW127" s="66" t="str">
        <f t="shared" ref="EW127:EW137" si="1968">IF(BQ127="","","|n"&amp;EW$2&amp;"+"&amp;BQ127&amp;EW$1)</f>
        <v/>
      </c>
      <c r="EX127" s="66" t="str">
        <f t="shared" ref="EX127:EX137" si="1969">IF(BR127="","","|n"&amp;EX$2&amp;"+"&amp;BR127&amp;EX$1)</f>
        <v/>
      </c>
      <c r="EY127" s="66" t="str">
        <f t="shared" ref="EY127:EY137" si="1970">IF(BS127="","","|n"&amp;EY$2&amp;"+"&amp;BS127&amp;EY$1)</f>
        <v/>
      </c>
      <c r="EZ127" s="66" t="str">
        <f t="shared" ref="EZ127:EZ137" si="1971">IF(BT127="","","|n"&amp;EZ$2&amp;"+"&amp;BT127&amp;EZ$1)</f>
        <v/>
      </c>
      <c r="FA127" s="66" t="str">
        <f t="shared" ref="FA127:FA137" si="1972">IF(BU127="","","|n"&amp;FA$2&amp;"+"&amp;BU127&amp;FA$1)</f>
        <v/>
      </c>
      <c r="FB127" s="66" t="str">
        <f t="shared" ref="FB127:FB137" si="1973">IF(BV127="","","|n"&amp;FB$2&amp;"+"&amp;BV127&amp;FB$1)</f>
        <v/>
      </c>
      <c r="FC127" s="66" t="str">
        <f t="shared" ref="FC127:FC137" si="1974">IF(BW127="","","|n"&amp;FC$2&amp;"+"&amp;BW127&amp;FC$1)</f>
        <v/>
      </c>
      <c r="FD127" s="66" t="str">
        <f t="shared" ref="FD127:FD137" si="1975">IF(BX127="","","|n"&amp;FD$2&amp;"+"&amp;BX127&amp;FD$1)</f>
        <v/>
      </c>
      <c r="FE127" s="66" t="str">
        <f t="shared" ref="FE127:FE137" si="1976">IF(BY127="","","|n"&amp;FE$2&amp;"+"&amp;BY127&amp;FE$1)</f>
        <v/>
      </c>
      <c r="FF127" s="66" t="str">
        <f t="shared" ref="FF127:FF137" si="1977">IF(BZ127="","","|n"&amp;FF$2&amp;"+"&amp;BZ127&amp;FF$1)</f>
        <v/>
      </c>
      <c r="FG127" s="66" t="str">
        <f t="shared" ref="FG127:FG137" si="1978">IF(CA127="","","|n"&amp;FG$2&amp;"+"&amp;CA127&amp;FG$1)</f>
        <v/>
      </c>
      <c r="FH127" s="66" t="str">
        <f t="shared" ref="FH127:FH137" si="1979">IF(CB127="","","|n"&amp;FH$2&amp;"+"&amp;CB127&amp;FH$1)</f>
        <v/>
      </c>
      <c r="FI127" s="66" t="str">
        <f t="shared" ref="FI127:FI137" si="1980">IF(CC127="","","|n"&amp;FI$2&amp;"+"&amp;CC127&amp;FI$1)</f>
        <v/>
      </c>
      <c r="FJ127" s="66" t="str">
        <f t="shared" ref="FJ127:FJ137" si="1981">IF(CD127="","","|n"&amp;FJ$2&amp;"+"&amp;CD127&amp;FJ$1)</f>
        <v/>
      </c>
      <c r="FK127" s="66" t="str">
        <f t="shared" ref="FK127:FK137" si="1982">IF(CE127="","","|n"&amp;FK$2&amp;"+"&amp;CE127&amp;FK$1)</f>
        <v/>
      </c>
      <c r="FL127" s="66" t="str">
        <f t="shared" ref="FL127:FL137" si="1983">IF(CF127="","","|n"&amp;FL$2&amp;"+"&amp;CF127&amp;FL$1)</f>
        <v/>
      </c>
      <c r="FM127" s="66" t="str">
        <f t="shared" ref="FM127:FM137" si="1984">IF(CG127="","","|n"&amp;FM$2&amp;"+"&amp;CG127&amp;FM$1)</f>
        <v/>
      </c>
      <c r="FN127" s="66" t="str">
        <f t="shared" ref="FN127:FN137" si="1985">IF(CH127="","","|n"&amp;FN$2&amp;"+"&amp;CH127&amp;FN$1)</f>
        <v/>
      </c>
      <c r="FO127" s="66" t="str">
        <f t="shared" ref="FO127:FO137" si="1986">IF(CI127="","","|n"&amp;FO$2&amp;"+"&amp;CI127&amp;FO$1)</f>
        <v/>
      </c>
      <c r="FP127" s="66" t="str">
        <f t="shared" ref="FP127:FP137" si="1987">IF(CJ127="","","|n"&amp;FP$2&amp;"+"&amp;CJ127&amp;FP$1)</f>
        <v/>
      </c>
      <c r="FQ127" s="66" t="str">
        <f t="shared" ref="FQ127:FQ137" si="1988">IF(CK127="","","|n"&amp;FQ$2&amp;"+"&amp;CK127&amp;FQ$1)</f>
        <v/>
      </c>
      <c r="FR127" s="66" t="str">
        <f t="shared" ref="FR127:FR137" si="1989">IF(CL127="","","|n"&amp;FR$2&amp;"+"&amp;CL127&amp;FR$1)</f>
        <v/>
      </c>
      <c r="FS127" s="66" t="str">
        <f t="shared" ref="FS127:FS137" si="1990">IF(CM127="","","|n"&amp;FS$2&amp;"+"&amp;CM127&amp;FS$1)</f>
        <v/>
      </c>
    </row>
    <row r="128" spans="1:175" ht="16.5">
      <c r="A128" s="9"/>
      <c r="B128" s="9" t="s">
        <v>496</v>
      </c>
      <c r="C128" s="16" t="s">
        <v>497</v>
      </c>
      <c r="T128" s="11" t="s">
        <v>498</v>
      </c>
      <c r="U128" s="77" t="s">
        <v>499</v>
      </c>
      <c r="CN128" s="36" t="str">
        <f t="shared" ref="CN128" si="1991">"InitUnitState('"&amp;B128&amp;"',"&amp;V128&amp;","&amp;W128&amp;","&amp;X128&amp;","&amp;Y128&amp;","&amp;Z128&amp;","&amp;AA128&amp;","&amp;AB128&amp;","&amp;AC128&amp;","&amp;AD128&amp;","&amp;AE128&amp;")"</f>
        <v>InitUnitState('I015',,,,,,,,,,)</v>
      </c>
      <c r="CO128" s="36" t="str">
        <f t="shared" ref="CO128" si="1992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36" t="str">
        <f t="shared" ref="CP128" si="1993">"InitUnitMagic('"&amp;B128&amp;"',"&amp;AP128&amp;","&amp;AQ128&amp;","&amp;AR128&amp;","&amp;AS128&amp;","&amp;AT128&amp;","&amp;AU128&amp;","&amp;AV128&amp;","&amp;AW128&amp;","&amp;BI128&amp;","&amp;BJ128&amp;")"</f>
        <v>InitUnitMagic('I015',,,,,,,,,,)</v>
      </c>
      <c r="CQ128" s="36" t="str">
        <f t="shared" ref="CQ128" si="1994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36" t="str">
        <f t="shared" si="1846"/>
        <v>InitEquipData('I015',,"",,,,,'','','','','','',"ReplaceableTextures\\CommandButtons\\BTNIT06.blp")</v>
      </c>
      <c r="CU128" s="88" t="str">
        <f t="shared" ref="CU128" si="1995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19" t="str">
        <f t="shared" ref="CV128" si="1996">T128</f>
        <v>护甲|cffffd24d+300|n|r金币加成|cffffd24d+35%|n|n|r击杀1000个敌人后奖励：|n|cffffd24d12000~17000|r金币|n|cffcc99ff6000-9000|r业力|n|n|cff00ff7f同时只能携带一个招魂幡|r</v>
      </c>
      <c r="CW128" s="33"/>
      <c r="CX128" s="33"/>
      <c r="CY128" s="33"/>
      <c r="CZ128" s="33"/>
      <c r="DA128" s="33"/>
      <c r="DB128" s="66" t="str">
        <f t="shared" ref="DB128" si="1997">IF(V128="","","|n"&amp;DB$2&amp;"+"&amp;V128&amp;DB$1)</f>
        <v/>
      </c>
      <c r="DC128" s="66" t="str">
        <f t="shared" ref="DC128" si="1998">IF(W128="","","|n"&amp;DC$2&amp;"+"&amp;W128&amp;DC$1)</f>
        <v/>
      </c>
      <c r="DD128" s="66" t="str">
        <f t="shared" ref="DD128" si="1999">IF(X128="","","|n"&amp;DD$2&amp;"+"&amp;X128&amp;DD$1)</f>
        <v/>
      </c>
      <c r="DE128" s="66" t="str">
        <f t="shared" ref="DE128" si="2000">IF(Y128="","","|n"&amp;DE$2&amp;"+"&amp;Y128&amp;DE$1)</f>
        <v/>
      </c>
      <c r="DF128" s="66" t="str">
        <f t="shared" ref="DF128" si="2001">IF(Z128="","","|n"&amp;DF$2&amp;"+"&amp;Z128&amp;DF$1)</f>
        <v/>
      </c>
      <c r="DG128" s="66" t="str">
        <f t="shared" ref="DG128" si="2002">IF(AA128="","","|n"&amp;DG$2&amp;"+"&amp;AA128&amp;DG$1)</f>
        <v/>
      </c>
      <c r="DH128" s="66" t="str">
        <f t="shared" ref="DH128" si="2003">IF(AB128="","","|n"&amp;DH$2&amp;"+"&amp;AB128&amp;DH$1)</f>
        <v/>
      </c>
      <c r="DI128" s="66" t="str">
        <f t="shared" ref="DI128" si="2004">IF(AC128="","","|n"&amp;DI$2&amp;"+"&amp;AC128&amp;DI$1)</f>
        <v/>
      </c>
      <c r="DJ128" s="66" t="str">
        <f t="shared" ref="DJ128" si="2005">IF(AD128="","","|n"&amp;DJ$2&amp;"+"&amp;AD128&amp;DJ$1)</f>
        <v/>
      </c>
      <c r="DK128" s="66" t="str">
        <f t="shared" ref="DK128" si="2006">IF(AE128="","","|n"&amp;DK$2&amp;"+"&amp;AE128&amp;DK$1)</f>
        <v/>
      </c>
      <c r="DL128" s="66" t="str">
        <f t="shared" ref="DL128" si="2007">IF(AF128="","","|n"&amp;DL$2&amp;"+"&amp;AF128&amp;DL$1)</f>
        <v/>
      </c>
      <c r="DM128" s="66" t="str">
        <f t="shared" ref="DM128" si="2008">IF(AG128="","","|n"&amp;DM$2&amp;"+"&amp;AG128&amp;DM$1)</f>
        <v/>
      </c>
      <c r="DN128" s="66" t="str">
        <f t="shared" ref="DN128" si="2009">IF(AH128="","","|n"&amp;DN$2&amp;"+"&amp;AH128&amp;DN$1)</f>
        <v/>
      </c>
      <c r="DO128" s="66" t="str">
        <f t="shared" ref="DO128" si="2010">IF(AI128="","","|n"&amp;DO$2&amp;"+"&amp;AI128&amp;DO$1)</f>
        <v/>
      </c>
      <c r="DP128" s="66" t="str">
        <f t="shared" ref="DP128" si="2011">IF(AJ128="","","|n"&amp;DP$2&amp;"+"&amp;AJ128&amp;DP$1)</f>
        <v/>
      </c>
      <c r="DQ128" s="66" t="str">
        <f t="shared" ref="DQ128" si="2012">IF(AK128="","","|n"&amp;DQ$2&amp;"+"&amp;AK128&amp;DQ$1)</f>
        <v/>
      </c>
      <c r="DR128" s="66" t="str">
        <f t="shared" ref="DR128" si="2013">IF(AL128="","","|n"&amp;DR$2&amp;"+"&amp;AL128&amp;DR$1)</f>
        <v/>
      </c>
      <c r="DS128" s="66" t="str">
        <f t="shared" ref="DS128" si="2014">IF(AM128="","","|n"&amp;DS$2&amp;"+"&amp;AM128&amp;DS$1)</f>
        <v/>
      </c>
      <c r="DT128" s="66" t="str">
        <f t="shared" ref="DT128" si="2015">IF(AN128="","","|n"&amp;DT$2&amp;"+"&amp;AN128&amp;DT$1)</f>
        <v/>
      </c>
      <c r="DU128" s="66" t="str">
        <f t="shared" ref="DU128" si="2016">IF(AO128="","","|n"&amp;DU$2&amp;"+"&amp;AO128&amp;DU$1)</f>
        <v/>
      </c>
      <c r="DV128" s="66" t="str">
        <f t="shared" ref="DV128" si="2017">IF(AP128="","","|n"&amp;DV$2&amp;"+"&amp;AP128&amp;DV$1)</f>
        <v/>
      </c>
      <c r="DW128" s="66" t="str">
        <f t="shared" ref="DW128" si="2018">IF(AQ128="","","|n"&amp;DW$2&amp;"+"&amp;AQ128&amp;DW$1)</f>
        <v/>
      </c>
      <c r="DX128" s="66" t="str">
        <f t="shared" ref="DX128" si="2019">IF(AR128="","","|n"&amp;DX$2&amp;"+"&amp;AR128&amp;DX$1)</f>
        <v/>
      </c>
      <c r="DY128" s="66" t="str">
        <f t="shared" ref="DY128" si="2020">IF(AS128="","","|n"&amp;DY$2&amp;"+"&amp;AS128&amp;DY$1)</f>
        <v/>
      </c>
      <c r="DZ128" s="66" t="str">
        <f t="shared" ref="DZ128" si="2021">IF(AT128="","","|n"&amp;DZ$2&amp;"+"&amp;AT128&amp;DZ$1)</f>
        <v/>
      </c>
      <c r="EA128" s="66" t="str">
        <f t="shared" ref="EA128" si="2022">IF(AU128="","","|n"&amp;EA$2&amp;"+"&amp;AU128&amp;EA$1)</f>
        <v/>
      </c>
      <c r="EB128" s="66" t="str">
        <f t="shared" ref="EB128" si="2023">IF(AV128="","","|n"&amp;EB$2&amp;"+"&amp;AV128&amp;EB$1)</f>
        <v/>
      </c>
      <c r="EC128" s="66" t="str">
        <f t="shared" ref="EC128" si="2024">IF(AW128="","","|n"&amp;EC$2&amp;"+"&amp;AW128&amp;EC$1)</f>
        <v/>
      </c>
      <c r="ED128" s="66" t="str">
        <f t="shared" ref="ED128" si="2025">IF(AX128="","","|n"&amp;ED$2&amp;"+"&amp;AX128&amp;ED$1)</f>
        <v/>
      </c>
      <c r="EE128" s="66" t="str">
        <f t="shared" ref="EE128" si="2026">IF(AY128="","","|n"&amp;EE$2&amp;"+"&amp;AY128&amp;EE$1)</f>
        <v/>
      </c>
      <c r="EF128" s="66" t="str">
        <f t="shared" ref="EF128" si="2027">IF(AZ128="","","|n"&amp;EF$2&amp;"+"&amp;AZ128&amp;EF$1)</f>
        <v/>
      </c>
      <c r="EG128" s="66" t="str">
        <f t="shared" ref="EG128" si="2028">IF(BA128="","","|n"&amp;EG$2&amp;"+"&amp;BA128&amp;EG$1)</f>
        <v/>
      </c>
      <c r="EH128" s="66" t="str">
        <f t="shared" ref="EH128" si="2029">IF(BB128="","","|n"&amp;EH$2&amp;"+"&amp;BB128&amp;EH$1)</f>
        <v/>
      </c>
      <c r="EI128" s="66" t="str">
        <f t="shared" ref="EI128" si="2030">IF(BC128="","","|n"&amp;EI$2&amp;"+"&amp;BC128&amp;EI$1)</f>
        <v/>
      </c>
      <c r="EJ128" s="66" t="str">
        <f t="shared" ref="EJ128" si="2031">IF(BD128="","","|n"&amp;EJ$2&amp;"+"&amp;BD128&amp;EJ$1)</f>
        <v/>
      </c>
      <c r="EK128" s="66" t="str">
        <f t="shared" ref="EK128" si="2032">IF(BE128="","","|n"&amp;EK$2&amp;"+"&amp;BE128&amp;EK$1)</f>
        <v/>
      </c>
      <c r="EL128" s="66" t="str">
        <f t="shared" ref="EL128" si="2033">IF(BF128="","","|n"&amp;EL$2&amp;"+"&amp;BF128&amp;EL$1)</f>
        <v/>
      </c>
      <c r="EM128" s="66" t="str">
        <f t="shared" ref="EM128" si="2034">IF(BG128="","","|n"&amp;EM$2&amp;"+"&amp;BG128&amp;EM$1)</f>
        <v/>
      </c>
      <c r="EN128" s="66" t="str">
        <f t="shared" ref="EN128" si="2035">IF(BH128="","","|n"&amp;EN$2&amp;"+"&amp;BH128&amp;EN$1)</f>
        <v/>
      </c>
      <c r="EO128" s="66" t="str">
        <f t="shared" ref="EO128" si="2036">IF(BI128="","","|n"&amp;EO$2&amp;"+"&amp;BI128&amp;EO$1)</f>
        <v/>
      </c>
      <c r="EP128" s="66" t="str">
        <f t="shared" ref="EP128" si="2037">IF(BJ128="","","|n"&amp;EP$2&amp;"+"&amp;BJ128&amp;EP$1)</f>
        <v/>
      </c>
      <c r="EQ128" s="66" t="str">
        <f t="shared" ref="EQ128" si="2038">IF(BK128="","","|n"&amp;EQ$2&amp;"+"&amp;BK128&amp;EQ$1)</f>
        <v/>
      </c>
      <c r="ER128" s="66" t="str">
        <f t="shared" ref="ER128" si="2039">IF(BL128="","","|n"&amp;ER$2&amp;"+"&amp;BL128&amp;ER$1)</f>
        <v/>
      </c>
      <c r="ES128" s="66" t="str">
        <f t="shared" ref="ES128" si="2040">IF(BM128="","","|n"&amp;ES$2&amp;"+"&amp;BM128&amp;ES$1)</f>
        <v/>
      </c>
      <c r="ET128" s="66" t="str">
        <f t="shared" ref="ET128" si="2041">IF(BN128="","","|n"&amp;ET$2&amp;"+"&amp;BN128&amp;ET$1)</f>
        <v/>
      </c>
      <c r="EU128" s="66" t="str">
        <f t="shared" ref="EU128" si="2042">IF(BO128="","","|n"&amp;EU$2&amp;"+"&amp;BO128&amp;EU$1)</f>
        <v/>
      </c>
      <c r="EV128" s="66" t="str">
        <f t="shared" ref="EV128" si="2043">IF(BP128="","","|n"&amp;EV$2&amp;"+"&amp;BP128&amp;EV$1)</f>
        <v/>
      </c>
      <c r="EW128" s="66" t="str">
        <f t="shared" ref="EW128" si="2044">IF(BQ128="","","|n"&amp;EW$2&amp;"+"&amp;BQ128&amp;EW$1)</f>
        <v/>
      </c>
      <c r="EX128" s="66" t="str">
        <f t="shared" ref="EX128" si="2045">IF(BR128="","","|n"&amp;EX$2&amp;"+"&amp;BR128&amp;EX$1)</f>
        <v/>
      </c>
      <c r="EY128" s="66" t="str">
        <f t="shared" ref="EY128" si="2046">IF(BS128="","","|n"&amp;EY$2&amp;"+"&amp;BS128&amp;EY$1)</f>
        <v/>
      </c>
      <c r="EZ128" s="66" t="str">
        <f t="shared" ref="EZ128" si="2047">IF(BT128="","","|n"&amp;EZ$2&amp;"+"&amp;BT128&amp;EZ$1)</f>
        <v/>
      </c>
      <c r="FA128" s="66" t="str">
        <f t="shared" ref="FA128" si="2048">IF(BU128="","","|n"&amp;FA$2&amp;"+"&amp;BU128&amp;FA$1)</f>
        <v/>
      </c>
      <c r="FB128" s="66" t="str">
        <f t="shared" ref="FB128" si="2049">IF(BV128="","","|n"&amp;FB$2&amp;"+"&amp;BV128&amp;FB$1)</f>
        <v/>
      </c>
      <c r="FC128" s="66" t="str">
        <f t="shared" ref="FC128" si="2050">IF(BW128="","","|n"&amp;FC$2&amp;"+"&amp;BW128&amp;FC$1)</f>
        <v/>
      </c>
      <c r="FD128" s="66" t="str">
        <f t="shared" ref="FD128" si="2051">IF(BX128="","","|n"&amp;FD$2&amp;"+"&amp;BX128&amp;FD$1)</f>
        <v/>
      </c>
      <c r="FE128" s="66" t="str">
        <f t="shared" ref="FE128" si="2052">IF(BY128="","","|n"&amp;FE$2&amp;"+"&amp;BY128&amp;FE$1)</f>
        <v/>
      </c>
      <c r="FF128" s="66" t="str">
        <f t="shared" ref="FF128" si="2053">IF(BZ128="","","|n"&amp;FF$2&amp;"+"&amp;BZ128&amp;FF$1)</f>
        <v/>
      </c>
      <c r="FG128" s="66" t="str">
        <f t="shared" ref="FG128" si="2054">IF(CA128="","","|n"&amp;FG$2&amp;"+"&amp;CA128&amp;FG$1)</f>
        <v/>
      </c>
      <c r="FH128" s="66" t="str">
        <f t="shared" ref="FH128" si="2055">IF(CB128="","","|n"&amp;FH$2&amp;"+"&amp;CB128&amp;FH$1)</f>
        <v/>
      </c>
      <c r="FI128" s="66" t="str">
        <f t="shared" ref="FI128" si="2056">IF(CC128="","","|n"&amp;FI$2&amp;"+"&amp;CC128&amp;FI$1)</f>
        <v/>
      </c>
      <c r="FJ128" s="66" t="str">
        <f t="shared" ref="FJ128" si="2057">IF(CD128="","","|n"&amp;FJ$2&amp;"+"&amp;CD128&amp;FJ$1)</f>
        <v/>
      </c>
      <c r="FK128" s="66" t="str">
        <f t="shared" ref="FK128" si="2058">IF(CE128="","","|n"&amp;FK$2&amp;"+"&amp;CE128&amp;FK$1)</f>
        <v/>
      </c>
      <c r="FL128" s="66" t="str">
        <f t="shared" ref="FL128" si="2059">IF(CF128="","","|n"&amp;FL$2&amp;"+"&amp;CF128&amp;FL$1)</f>
        <v/>
      </c>
      <c r="FM128" s="66" t="str">
        <f t="shared" ref="FM128" si="2060">IF(CG128="","","|n"&amp;FM$2&amp;"+"&amp;CG128&amp;FM$1)</f>
        <v/>
      </c>
      <c r="FN128" s="66" t="str">
        <f t="shared" ref="FN128" si="2061">IF(CH128="","","|n"&amp;FN$2&amp;"+"&amp;CH128&amp;FN$1)</f>
        <v/>
      </c>
      <c r="FO128" s="66" t="str">
        <f t="shared" ref="FO128" si="2062">IF(CI128="","","|n"&amp;FO$2&amp;"+"&amp;CI128&amp;FO$1)</f>
        <v/>
      </c>
      <c r="FP128" s="66" t="str">
        <f t="shared" ref="FP128" si="2063">IF(CJ128="","","|n"&amp;FP$2&amp;"+"&amp;CJ128&amp;FP$1)</f>
        <v/>
      </c>
      <c r="FQ128" s="66" t="str">
        <f t="shared" ref="FQ128" si="2064">IF(CK128="","","|n"&amp;FQ$2&amp;"+"&amp;CK128&amp;FQ$1)</f>
        <v/>
      </c>
      <c r="FR128" s="66" t="str">
        <f t="shared" ref="FR128" si="2065">IF(CL128="","","|n"&amp;FR$2&amp;"+"&amp;CL128&amp;FR$1)</f>
        <v/>
      </c>
      <c r="FS128" s="66" t="str">
        <f t="shared" ref="FS128" si="2066">IF(CM128="","","|n"&amp;FS$2&amp;"+"&amp;CM128&amp;FS$1)</f>
        <v/>
      </c>
    </row>
    <row r="129" spans="1:175" ht="16.5">
      <c r="A129" s="9"/>
      <c r="B129" s="9" t="s">
        <v>500</v>
      </c>
      <c r="C129" s="9" t="s">
        <v>501</v>
      </c>
      <c r="T129" s="96" t="s">
        <v>502</v>
      </c>
      <c r="U129" s="77" t="str">
        <f t="shared" si="1549"/>
        <v>ReplaceableTextures\\CommandButtons\\BTNIN00.blp</v>
      </c>
      <c r="CN129" s="36" t="str">
        <f t="shared" ref="CN129:CN152" si="2067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36" t="str">
        <f t="shared" ref="CO129:CO152" si="2068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36" t="str">
        <f t="shared" ref="CP129:CP152" si="2069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36" t="str">
        <f t="shared" ref="CQ129:CQ152" si="2070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36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170&amp;CR$1&amp;")"</f>
        <v>InitEquipData('IN00',,"",,,,,'','','','','','',"ReplaceableTextures\\CommandButtons\\BTNIT06.blp")</v>
      </c>
      <c r="CU129" s="88" t="str">
        <f t="shared" si="1919"/>
        <v>|n</v>
      </c>
      <c r="CV129" s="19" t="str">
        <f t="shared" si="1920"/>
        <v>开启后获得一个|Cffffd24d随机锦囊|r。</v>
      </c>
      <c r="CW129" s="33"/>
      <c r="CX129" s="33"/>
      <c r="CY129" s="33"/>
      <c r="CZ129" s="33"/>
      <c r="DA129" s="33"/>
      <c r="DB129" s="66" t="str">
        <f t="shared" si="1921"/>
        <v/>
      </c>
      <c r="DC129" s="66" t="str">
        <f t="shared" si="1922"/>
        <v/>
      </c>
      <c r="DD129" s="66" t="str">
        <f t="shared" si="1923"/>
        <v/>
      </c>
      <c r="DE129" s="66" t="str">
        <f t="shared" si="1924"/>
        <v/>
      </c>
      <c r="DF129" s="66" t="str">
        <f t="shared" si="1925"/>
        <v/>
      </c>
      <c r="DG129" s="66" t="str">
        <f t="shared" si="1926"/>
        <v/>
      </c>
      <c r="DH129" s="66" t="str">
        <f t="shared" si="1927"/>
        <v/>
      </c>
      <c r="DI129" s="66" t="str">
        <f t="shared" si="1928"/>
        <v/>
      </c>
      <c r="DJ129" s="66" t="str">
        <f t="shared" si="1929"/>
        <v/>
      </c>
      <c r="DK129" s="66" t="str">
        <f t="shared" si="1930"/>
        <v/>
      </c>
      <c r="DL129" s="66" t="str">
        <f t="shared" si="1931"/>
        <v/>
      </c>
      <c r="DM129" s="66" t="str">
        <f t="shared" si="1932"/>
        <v/>
      </c>
      <c r="DN129" s="66" t="str">
        <f t="shared" si="1933"/>
        <v/>
      </c>
      <c r="DO129" s="66" t="str">
        <f t="shared" si="1934"/>
        <v/>
      </c>
      <c r="DP129" s="66" t="str">
        <f t="shared" si="1935"/>
        <v/>
      </c>
      <c r="DQ129" s="66" t="str">
        <f t="shared" si="1936"/>
        <v/>
      </c>
      <c r="DR129" s="66" t="str">
        <f t="shared" si="1937"/>
        <v/>
      </c>
      <c r="DS129" s="66" t="str">
        <f t="shared" si="1938"/>
        <v/>
      </c>
      <c r="DT129" s="66" t="str">
        <f t="shared" si="1939"/>
        <v/>
      </c>
      <c r="DU129" s="66" t="str">
        <f t="shared" si="1940"/>
        <v/>
      </c>
      <c r="DV129" s="66" t="str">
        <f t="shared" si="1941"/>
        <v/>
      </c>
      <c r="DW129" s="66" t="str">
        <f t="shared" si="1942"/>
        <v/>
      </c>
      <c r="DX129" s="66" t="str">
        <f t="shared" si="1943"/>
        <v/>
      </c>
      <c r="DY129" s="66" t="str">
        <f t="shared" si="1944"/>
        <v/>
      </c>
      <c r="DZ129" s="66" t="str">
        <f t="shared" si="1945"/>
        <v/>
      </c>
      <c r="EA129" s="66" t="str">
        <f t="shared" si="1946"/>
        <v/>
      </c>
      <c r="EB129" s="66" t="str">
        <f t="shared" si="1947"/>
        <v/>
      </c>
      <c r="EC129" s="66" t="str">
        <f t="shared" si="1948"/>
        <v/>
      </c>
      <c r="ED129" s="66" t="str">
        <f t="shared" si="1949"/>
        <v/>
      </c>
      <c r="EE129" s="66" t="str">
        <f t="shared" si="1950"/>
        <v/>
      </c>
      <c r="EF129" s="66" t="str">
        <f t="shared" si="1951"/>
        <v/>
      </c>
      <c r="EG129" s="66" t="str">
        <f t="shared" si="1952"/>
        <v/>
      </c>
      <c r="EH129" s="66" t="str">
        <f t="shared" si="1953"/>
        <v/>
      </c>
      <c r="EI129" s="66" t="str">
        <f t="shared" si="1954"/>
        <v/>
      </c>
      <c r="EJ129" s="66" t="str">
        <f t="shared" si="1955"/>
        <v/>
      </c>
      <c r="EK129" s="66" t="str">
        <f t="shared" si="1956"/>
        <v/>
      </c>
      <c r="EL129" s="66" t="str">
        <f t="shared" si="1957"/>
        <v/>
      </c>
      <c r="EM129" s="66" t="str">
        <f t="shared" si="1958"/>
        <v/>
      </c>
      <c r="EN129" s="66" t="str">
        <f t="shared" si="1959"/>
        <v/>
      </c>
      <c r="EO129" s="66" t="str">
        <f t="shared" si="1960"/>
        <v/>
      </c>
      <c r="EP129" s="66" t="str">
        <f t="shared" si="1961"/>
        <v/>
      </c>
      <c r="EQ129" s="66" t="str">
        <f t="shared" si="1962"/>
        <v/>
      </c>
      <c r="ER129" s="66" t="str">
        <f t="shared" si="1963"/>
        <v/>
      </c>
      <c r="ES129" s="66" t="str">
        <f t="shared" si="1964"/>
        <v/>
      </c>
      <c r="ET129" s="66" t="str">
        <f t="shared" si="1965"/>
        <v/>
      </c>
      <c r="EU129" s="66" t="str">
        <f t="shared" si="1966"/>
        <v/>
      </c>
      <c r="EV129" s="66" t="str">
        <f t="shared" si="1967"/>
        <v/>
      </c>
      <c r="EW129" s="66" t="str">
        <f t="shared" si="1968"/>
        <v/>
      </c>
      <c r="EX129" s="66" t="str">
        <f t="shared" si="1969"/>
        <v/>
      </c>
      <c r="EY129" s="66" t="str">
        <f t="shared" si="1970"/>
        <v/>
      </c>
      <c r="EZ129" s="66" t="str">
        <f t="shared" si="1971"/>
        <v/>
      </c>
      <c r="FA129" s="66" t="str">
        <f t="shared" si="1972"/>
        <v/>
      </c>
      <c r="FB129" s="66" t="str">
        <f t="shared" si="1973"/>
        <v/>
      </c>
      <c r="FC129" s="66" t="str">
        <f t="shared" si="1974"/>
        <v/>
      </c>
      <c r="FD129" s="66" t="str">
        <f t="shared" si="1975"/>
        <v/>
      </c>
      <c r="FE129" s="66" t="str">
        <f t="shared" si="1976"/>
        <v/>
      </c>
      <c r="FF129" s="66" t="str">
        <f t="shared" si="1977"/>
        <v/>
      </c>
      <c r="FG129" s="66" t="str">
        <f t="shared" si="1978"/>
        <v/>
      </c>
      <c r="FH129" s="66" t="str">
        <f t="shared" si="1979"/>
        <v/>
      </c>
      <c r="FI129" s="66" t="str">
        <f t="shared" si="1980"/>
        <v/>
      </c>
      <c r="FJ129" s="66" t="str">
        <f t="shared" si="1981"/>
        <v/>
      </c>
      <c r="FK129" s="66" t="str">
        <f t="shared" si="1982"/>
        <v/>
      </c>
      <c r="FL129" s="66" t="str">
        <f t="shared" si="1983"/>
        <v/>
      </c>
      <c r="FM129" s="66" t="str">
        <f t="shared" si="1984"/>
        <v/>
      </c>
      <c r="FN129" s="66" t="str">
        <f t="shared" si="1985"/>
        <v/>
      </c>
      <c r="FO129" s="66" t="str">
        <f t="shared" si="1986"/>
        <v/>
      </c>
      <c r="FP129" s="66" t="str">
        <f t="shared" si="1987"/>
        <v/>
      </c>
      <c r="FQ129" s="66" t="str">
        <f t="shared" si="1988"/>
        <v/>
      </c>
      <c r="FR129" s="66" t="str">
        <f t="shared" si="1989"/>
        <v/>
      </c>
      <c r="FS129" s="66" t="str">
        <f t="shared" si="1990"/>
        <v/>
      </c>
    </row>
    <row r="130" spans="1:175" ht="16.5">
      <c r="A130" s="9"/>
      <c r="B130" s="17" t="s">
        <v>503</v>
      </c>
      <c r="C130" s="18" t="s">
        <v>504</v>
      </c>
      <c r="T130" s="19" t="s">
        <v>505</v>
      </c>
      <c r="U130" s="77" t="str">
        <f t="shared" si="1549"/>
        <v>ReplaceableTextures\\CommandButtons\\BTNIN07.blp</v>
      </c>
      <c r="CN130" s="36" t="str">
        <f t="shared" si="2067"/>
        <v>InitUnitState('IN07',,,,,,,,,,)</v>
      </c>
      <c r="CO130" s="36" t="str">
        <f t="shared" si="2068"/>
        <v>InitUnitNormal('IN07',,,,,,,,,,)</v>
      </c>
      <c r="CP130" s="36" t="str">
        <f t="shared" si="2069"/>
        <v>InitUnitMagic('IN07',,,,,,,,,,)</v>
      </c>
      <c r="CQ130" s="36" t="str">
        <f t="shared" si="2070"/>
        <v>InitUnitAdd('IN07',,,,,,,,,,)</v>
      </c>
      <c r="CR130" s="36" t="str">
        <f t="shared" ref="CR130:CR144" si="2071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165&amp;CR$1&amp;")"</f>
        <v>InitEquipData('IN07',,"",,,,,'','','','','','',"ReplaceableTextures\\CommandButtons\\BTNIT01.blp")</v>
      </c>
      <c r="CU130" s="88" t="str">
        <f t="shared" ref="CU130:CU135" si="2072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19" t="str">
        <f t="shared" ref="CV130:CV135" si="2073">T130</f>
        <v>每秒回复|Cffffd24d10%|r生命值，持续|Cffffd24d10|r秒</v>
      </c>
      <c r="CW130" s="33"/>
      <c r="CX130" s="33"/>
      <c r="CY130" s="33"/>
      <c r="CZ130" s="33"/>
      <c r="DA130" s="33"/>
      <c r="DB130" s="66" t="str">
        <f t="shared" ref="DB130:DB135" si="2074">IF(V130="","","|n"&amp;DB$2&amp;"+"&amp;V130&amp;DB$1)</f>
        <v/>
      </c>
      <c r="DC130" s="66" t="str">
        <f t="shared" ref="DC130:DC135" si="2075">IF(W130="","","|n"&amp;DC$2&amp;"+"&amp;W130&amp;DC$1)</f>
        <v/>
      </c>
      <c r="DD130" s="66" t="str">
        <f t="shared" ref="DD130:DD135" si="2076">IF(X130="","","|n"&amp;DD$2&amp;"+"&amp;X130&amp;DD$1)</f>
        <v/>
      </c>
      <c r="DE130" s="66" t="str">
        <f t="shared" ref="DE130:DE135" si="2077">IF(Y130="","","|n"&amp;DE$2&amp;"+"&amp;Y130&amp;DE$1)</f>
        <v/>
      </c>
      <c r="DF130" s="66" t="str">
        <f t="shared" ref="DF130:DF135" si="2078">IF(Z130="","","|n"&amp;DF$2&amp;"+"&amp;Z130&amp;DF$1)</f>
        <v/>
      </c>
      <c r="DG130" s="66" t="str">
        <f t="shared" ref="DG130:DG135" si="2079">IF(AA130="","","|n"&amp;DG$2&amp;"+"&amp;AA130&amp;DG$1)</f>
        <v/>
      </c>
      <c r="DH130" s="66" t="str">
        <f t="shared" ref="DH130:DH135" si="2080">IF(AB130="","","|n"&amp;DH$2&amp;"+"&amp;AB130&amp;DH$1)</f>
        <v/>
      </c>
      <c r="DI130" s="66" t="str">
        <f t="shared" ref="DI130:DI135" si="2081">IF(AC130="","","|n"&amp;DI$2&amp;"+"&amp;AC130&amp;DI$1)</f>
        <v/>
      </c>
      <c r="DJ130" s="66" t="str">
        <f t="shared" ref="DJ130:DJ135" si="2082">IF(AD130="","","|n"&amp;DJ$2&amp;"+"&amp;AD130&amp;DJ$1)</f>
        <v/>
      </c>
      <c r="DK130" s="66" t="str">
        <f t="shared" ref="DK130:DK135" si="2083">IF(AE130="","","|n"&amp;DK$2&amp;"+"&amp;AE130&amp;DK$1)</f>
        <v/>
      </c>
      <c r="DL130" s="66" t="str">
        <f t="shared" ref="DL130:DL135" si="2084">IF(AF130="","","|n"&amp;DL$2&amp;"+"&amp;AF130&amp;DL$1)</f>
        <v/>
      </c>
      <c r="DM130" s="66" t="str">
        <f t="shared" ref="DM130:DM135" si="2085">IF(AG130="","","|n"&amp;DM$2&amp;"+"&amp;AG130&amp;DM$1)</f>
        <v/>
      </c>
      <c r="DN130" s="66" t="str">
        <f t="shared" ref="DN130:DN135" si="2086">IF(AH130="","","|n"&amp;DN$2&amp;"+"&amp;AH130&amp;DN$1)</f>
        <v/>
      </c>
      <c r="DO130" s="66" t="str">
        <f t="shared" ref="DO130:DO135" si="2087">IF(AI130="","","|n"&amp;DO$2&amp;"+"&amp;AI130&amp;DO$1)</f>
        <v/>
      </c>
      <c r="DP130" s="66" t="str">
        <f t="shared" ref="DP130:DP135" si="2088">IF(AJ130="","","|n"&amp;DP$2&amp;"+"&amp;AJ130&amp;DP$1)</f>
        <v/>
      </c>
      <c r="DQ130" s="66" t="str">
        <f t="shared" ref="DQ130:DQ135" si="2089">IF(AK130="","","|n"&amp;DQ$2&amp;"+"&amp;AK130&amp;DQ$1)</f>
        <v/>
      </c>
      <c r="DR130" s="66" t="str">
        <f t="shared" ref="DR130:DR135" si="2090">IF(AL130="","","|n"&amp;DR$2&amp;"+"&amp;AL130&amp;DR$1)</f>
        <v/>
      </c>
      <c r="DS130" s="66" t="str">
        <f t="shared" ref="DS130:DS135" si="2091">IF(AM130="","","|n"&amp;DS$2&amp;"+"&amp;AM130&amp;DS$1)</f>
        <v/>
      </c>
      <c r="DT130" s="66" t="str">
        <f t="shared" ref="DT130:DT135" si="2092">IF(AN130="","","|n"&amp;DT$2&amp;"+"&amp;AN130&amp;DT$1)</f>
        <v/>
      </c>
      <c r="DU130" s="66" t="str">
        <f t="shared" ref="DU130:DU135" si="2093">IF(AO130="","","|n"&amp;DU$2&amp;"+"&amp;AO130&amp;DU$1)</f>
        <v/>
      </c>
      <c r="DV130" s="66" t="str">
        <f t="shared" ref="DV130:DV135" si="2094">IF(AP130="","","|n"&amp;DV$2&amp;"+"&amp;AP130&amp;DV$1)</f>
        <v/>
      </c>
      <c r="DW130" s="66" t="str">
        <f t="shared" ref="DW130:DW135" si="2095">IF(AQ130="","","|n"&amp;DW$2&amp;"+"&amp;AQ130&amp;DW$1)</f>
        <v/>
      </c>
      <c r="DX130" s="66" t="str">
        <f t="shared" ref="DX130:DX135" si="2096">IF(AR130="","","|n"&amp;DX$2&amp;"+"&amp;AR130&amp;DX$1)</f>
        <v/>
      </c>
      <c r="DY130" s="66" t="str">
        <f t="shared" ref="DY130:DY135" si="2097">IF(AS130="","","|n"&amp;DY$2&amp;"+"&amp;AS130&amp;DY$1)</f>
        <v/>
      </c>
      <c r="DZ130" s="66" t="str">
        <f t="shared" ref="DZ130:DZ135" si="2098">IF(AT130="","","|n"&amp;DZ$2&amp;"+"&amp;AT130&amp;DZ$1)</f>
        <v/>
      </c>
      <c r="EA130" s="66" t="str">
        <f t="shared" ref="EA130:EA135" si="2099">IF(AU130="","","|n"&amp;EA$2&amp;"+"&amp;AU130&amp;EA$1)</f>
        <v/>
      </c>
      <c r="EB130" s="66" t="str">
        <f t="shared" ref="EB130:EB135" si="2100">IF(AV130="","","|n"&amp;EB$2&amp;"+"&amp;AV130&amp;EB$1)</f>
        <v/>
      </c>
      <c r="EC130" s="66" t="str">
        <f t="shared" ref="EC130:EC135" si="2101">IF(AW130="","","|n"&amp;EC$2&amp;"+"&amp;AW130&amp;EC$1)</f>
        <v/>
      </c>
      <c r="ED130" s="66" t="str">
        <f t="shared" ref="ED130:ED135" si="2102">IF(AX130="","","|n"&amp;ED$2&amp;"+"&amp;AX130&amp;ED$1)</f>
        <v/>
      </c>
      <c r="EE130" s="66" t="str">
        <f t="shared" ref="EE130:EE135" si="2103">IF(AY130="","","|n"&amp;EE$2&amp;"+"&amp;AY130&amp;EE$1)</f>
        <v/>
      </c>
      <c r="EF130" s="66" t="str">
        <f t="shared" ref="EF130:EF135" si="2104">IF(AZ130="","","|n"&amp;EF$2&amp;"+"&amp;AZ130&amp;EF$1)</f>
        <v/>
      </c>
      <c r="EG130" s="66" t="str">
        <f t="shared" ref="EG130:EG135" si="2105">IF(BA130="","","|n"&amp;EG$2&amp;"+"&amp;BA130&amp;EG$1)</f>
        <v/>
      </c>
      <c r="EH130" s="66" t="str">
        <f t="shared" ref="EH130:EH135" si="2106">IF(BB130="","","|n"&amp;EH$2&amp;"+"&amp;BB130&amp;EH$1)</f>
        <v/>
      </c>
      <c r="EI130" s="66" t="str">
        <f t="shared" ref="EI130:EI135" si="2107">IF(BC130="","","|n"&amp;EI$2&amp;"+"&amp;BC130&amp;EI$1)</f>
        <v/>
      </c>
      <c r="EJ130" s="66" t="str">
        <f t="shared" ref="EJ130:EJ135" si="2108">IF(BD130="","","|n"&amp;EJ$2&amp;"+"&amp;BD130&amp;EJ$1)</f>
        <v/>
      </c>
      <c r="EK130" s="66" t="str">
        <f t="shared" ref="EK130:EK135" si="2109">IF(BE130="","","|n"&amp;EK$2&amp;"+"&amp;BE130&amp;EK$1)</f>
        <v/>
      </c>
      <c r="EL130" s="66" t="str">
        <f t="shared" ref="EL130:EL135" si="2110">IF(BF130="","","|n"&amp;EL$2&amp;"+"&amp;BF130&amp;EL$1)</f>
        <v/>
      </c>
      <c r="EM130" s="66" t="str">
        <f t="shared" ref="EM130:EM135" si="2111">IF(BG130="","","|n"&amp;EM$2&amp;"+"&amp;BG130&amp;EM$1)</f>
        <v/>
      </c>
      <c r="EN130" s="66" t="str">
        <f t="shared" ref="EN130:EN135" si="2112">IF(BH130="","","|n"&amp;EN$2&amp;"+"&amp;BH130&amp;EN$1)</f>
        <v/>
      </c>
      <c r="EO130" s="66" t="str">
        <f t="shared" ref="EO130:EO135" si="2113">IF(BI130="","","|n"&amp;EO$2&amp;"+"&amp;BI130&amp;EO$1)</f>
        <v/>
      </c>
      <c r="EP130" s="66" t="str">
        <f t="shared" ref="EP130:EP135" si="2114">IF(BJ130="","","|n"&amp;EP$2&amp;"+"&amp;BJ130&amp;EP$1)</f>
        <v/>
      </c>
      <c r="EQ130" s="66" t="str">
        <f t="shared" ref="EQ130:EQ135" si="2115">IF(BK130="","","|n"&amp;EQ$2&amp;"+"&amp;BK130&amp;EQ$1)</f>
        <v/>
      </c>
      <c r="ER130" s="66" t="str">
        <f t="shared" ref="ER130:ER135" si="2116">IF(BL130="","","|n"&amp;ER$2&amp;"+"&amp;BL130&amp;ER$1)</f>
        <v/>
      </c>
      <c r="ES130" s="66" t="str">
        <f t="shared" ref="ES130:ES135" si="2117">IF(BM130="","","|n"&amp;ES$2&amp;"+"&amp;BM130&amp;ES$1)</f>
        <v/>
      </c>
      <c r="ET130" s="66" t="str">
        <f t="shared" ref="ET130:ET135" si="2118">IF(BN130="","","|n"&amp;ET$2&amp;"+"&amp;BN130&amp;ET$1)</f>
        <v/>
      </c>
      <c r="EU130" s="66" t="str">
        <f t="shared" ref="EU130:EU135" si="2119">IF(BO130="","","|n"&amp;EU$2&amp;"+"&amp;BO130&amp;EU$1)</f>
        <v/>
      </c>
      <c r="EV130" s="66" t="str">
        <f t="shared" ref="EV130:EV135" si="2120">IF(BP130="","","|n"&amp;EV$2&amp;"+"&amp;BP130&amp;EV$1)</f>
        <v/>
      </c>
      <c r="EW130" s="66" t="str">
        <f t="shared" ref="EW130:EW135" si="2121">IF(BQ130="","","|n"&amp;EW$2&amp;"+"&amp;BQ130&amp;EW$1)</f>
        <v/>
      </c>
      <c r="EX130" s="66" t="str">
        <f t="shared" ref="EX130:EX135" si="2122">IF(BR130="","","|n"&amp;EX$2&amp;"+"&amp;BR130&amp;EX$1)</f>
        <v/>
      </c>
      <c r="EY130" s="66" t="str">
        <f t="shared" ref="EY130:EY135" si="2123">IF(BS130="","","|n"&amp;EY$2&amp;"+"&amp;BS130&amp;EY$1)</f>
        <v/>
      </c>
      <c r="EZ130" s="66" t="str">
        <f t="shared" ref="EZ130:EZ135" si="2124">IF(BT130="","","|n"&amp;EZ$2&amp;"+"&amp;BT130&amp;EZ$1)</f>
        <v/>
      </c>
      <c r="FA130" s="66" t="str">
        <f t="shared" ref="FA130:FA135" si="2125">IF(BU130="","","|n"&amp;FA$2&amp;"+"&amp;BU130&amp;FA$1)</f>
        <v/>
      </c>
      <c r="FB130" s="66" t="str">
        <f t="shared" ref="FB130:FB135" si="2126">IF(BV130="","","|n"&amp;FB$2&amp;"+"&amp;BV130&amp;FB$1)</f>
        <v/>
      </c>
      <c r="FC130" s="66" t="str">
        <f t="shared" ref="FC130:FC135" si="2127">IF(BW130="","","|n"&amp;FC$2&amp;"+"&amp;BW130&amp;FC$1)</f>
        <v/>
      </c>
      <c r="FD130" s="66" t="str">
        <f t="shared" ref="FD130:FD135" si="2128">IF(BX130="","","|n"&amp;FD$2&amp;"+"&amp;BX130&amp;FD$1)</f>
        <v/>
      </c>
      <c r="FE130" s="66" t="str">
        <f t="shared" ref="FE130:FE135" si="2129">IF(BY130="","","|n"&amp;FE$2&amp;"+"&amp;BY130&amp;FE$1)</f>
        <v/>
      </c>
      <c r="FF130" s="66" t="str">
        <f t="shared" ref="FF130:FF135" si="2130">IF(BZ130="","","|n"&amp;FF$2&amp;"+"&amp;BZ130&amp;FF$1)</f>
        <v/>
      </c>
      <c r="FG130" s="66" t="str">
        <f t="shared" ref="FG130:FG135" si="2131">IF(CA130="","","|n"&amp;FG$2&amp;"+"&amp;CA130&amp;FG$1)</f>
        <v/>
      </c>
      <c r="FH130" s="66" t="str">
        <f t="shared" ref="FH130:FH135" si="2132">IF(CB130="","","|n"&amp;FH$2&amp;"+"&amp;CB130&amp;FH$1)</f>
        <v/>
      </c>
      <c r="FI130" s="66" t="str">
        <f t="shared" ref="FI130:FI135" si="2133">IF(CC130="","","|n"&amp;FI$2&amp;"+"&amp;CC130&amp;FI$1)</f>
        <v/>
      </c>
      <c r="FJ130" s="66" t="str">
        <f t="shared" ref="FJ130:FJ135" si="2134">IF(CD130="","","|n"&amp;FJ$2&amp;"+"&amp;CD130&amp;FJ$1)</f>
        <v/>
      </c>
      <c r="FK130" s="66" t="str">
        <f t="shared" ref="FK130:FK135" si="2135">IF(CE130="","","|n"&amp;FK$2&amp;"+"&amp;CE130&amp;FK$1)</f>
        <v/>
      </c>
      <c r="FL130" s="66" t="str">
        <f t="shared" ref="FL130:FL135" si="2136">IF(CF130="","","|n"&amp;FL$2&amp;"+"&amp;CF130&amp;FL$1)</f>
        <v/>
      </c>
      <c r="FM130" s="66" t="str">
        <f t="shared" ref="FM130:FM135" si="2137">IF(CG130="","","|n"&amp;FM$2&amp;"+"&amp;CG130&amp;FM$1)</f>
        <v/>
      </c>
      <c r="FN130" s="66" t="str">
        <f t="shared" ref="FN130:FN135" si="2138">IF(CH130="","","|n"&amp;FN$2&amp;"+"&amp;CH130&amp;FN$1)</f>
        <v/>
      </c>
      <c r="FO130" s="66" t="str">
        <f t="shared" ref="FO130:FO135" si="2139">IF(CI130="","","|n"&amp;FO$2&amp;"+"&amp;CI130&amp;FO$1)</f>
        <v/>
      </c>
      <c r="FP130" s="66" t="str">
        <f t="shared" ref="FP130:FP135" si="2140">IF(CJ130="","","|n"&amp;FP$2&amp;"+"&amp;CJ130&amp;FP$1)</f>
        <v/>
      </c>
      <c r="FQ130" s="66" t="str">
        <f t="shared" ref="FQ130:FQ135" si="2141">IF(CK130="","","|n"&amp;FQ$2&amp;"+"&amp;CK130&amp;FQ$1)</f>
        <v/>
      </c>
      <c r="FR130" s="66" t="str">
        <f t="shared" ref="FR130:FR135" si="2142">IF(CL130="","","|n"&amp;FR$2&amp;"+"&amp;CL130&amp;FR$1)</f>
        <v/>
      </c>
      <c r="FS130" s="66" t="str">
        <f t="shared" ref="FS130:FS135" si="2143">IF(CM130="","","|n"&amp;FS$2&amp;"+"&amp;CM130&amp;FS$1)</f>
        <v/>
      </c>
    </row>
    <row r="131" spans="1:175" ht="16.5">
      <c r="A131" s="9"/>
      <c r="B131" s="9" t="s">
        <v>506</v>
      </c>
      <c r="C131" s="19" t="s">
        <v>507</v>
      </c>
      <c r="T131" s="19" t="s">
        <v>508</v>
      </c>
      <c r="U131" s="77" t="str">
        <f t="shared" si="1549"/>
        <v>ReplaceableTextures\\CommandButtons\\BTNIN08.blp</v>
      </c>
      <c r="CN131" s="36" t="str">
        <f t="shared" si="2067"/>
        <v>InitUnitState('IN08',,,,,,,,,,)</v>
      </c>
      <c r="CO131" s="36" t="str">
        <f t="shared" si="2068"/>
        <v>InitUnitNormal('IN08',,,,,,,,,,)</v>
      </c>
      <c r="CP131" s="36" t="str">
        <f t="shared" si="2069"/>
        <v>InitUnitMagic('IN08',,,,,,,,,,)</v>
      </c>
      <c r="CQ131" s="36" t="str">
        <f t="shared" si="2070"/>
        <v>InitUnitAdd('IN08',,,,,,,,,,)</v>
      </c>
      <c r="CR131" s="36" t="str">
        <f t="shared" si="2071"/>
        <v>InitEquipData('IN08',,"",,,,,'','','','','','',"ReplaceableTextures\\CommandButtons\\BTNIT02.blp")</v>
      </c>
      <c r="CU131" s="88" t="str">
        <f t="shared" si="2072"/>
        <v>|n</v>
      </c>
      <c r="CV131" s="19" t="str">
        <f t="shared" si="2073"/>
        <v>|CffFFC926击杀|r当前存在的|Cffffc926进攻怪|r和|Cffffc926Boss|r。|n|n|Cff00ff7f无法在大决战时使用|r</v>
      </c>
      <c r="CW131" s="33"/>
      <c r="CX131" s="33"/>
      <c r="CY131" s="33"/>
      <c r="CZ131" s="33"/>
      <c r="DA131" s="33"/>
      <c r="DB131" s="66" t="str">
        <f t="shared" si="2074"/>
        <v/>
      </c>
      <c r="DC131" s="66" t="str">
        <f t="shared" si="2075"/>
        <v/>
      </c>
      <c r="DD131" s="66" t="str">
        <f t="shared" si="2076"/>
        <v/>
      </c>
      <c r="DE131" s="66" t="str">
        <f t="shared" si="2077"/>
        <v/>
      </c>
      <c r="DF131" s="66" t="str">
        <f t="shared" si="2078"/>
        <v/>
      </c>
      <c r="DG131" s="66" t="str">
        <f t="shared" si="2079"/>
        <v/>
      </c>
      <c r="DH131" s="66" t="str">
        <f t="shared" si="2080"/>
        <v/>
      </c>
      <c r="DI131" s="66" t="str">
        <f t="shared" si="2081"/>
        <v/>
      </c>
      <c r="DJ131" s="66" t="str">
        <f t="shared" si="2082"/>
        <v/>
      </c>
      <c r="DK131" s="66" t="str">
        <f t="shared" si="2083"/>
        <v/>
      </c>
      <c r="DL131" s="66" t="str">
        <f t="shared" si="2084"/>
        <v/>
      </c>
      <c r="DM131" s="66" t="str">
        <f t="shared" si="2085"/>
        <v/>
      </c>
      <c r="DN131" s="66" t="str">
        <f t="shared" si="2086"/>
        <v/>
      </c>
      <c r="DO131" s="66" t="str">
        <f t="shared" si="2087"/>
        <v/>
      </c>
      <c r="DP131" s="66" t="str">
        <f t="shared" si="2088"/>
        <v/>
      </c>
      <c r="DQ131" s="66" t="str">
        <f t="shared" si="2089"/>
        <v/>
      </c>
      <c r="DR131" s="66" t="str">
        <f t="shared" si="2090"/>
        <v/>
      </c>
      <c r="DS131" s="66" t="str">
        <f t="shared" si="2091"/>
        <v/>
      </c>
      <c r="DT131" s="66" t="str">
        <f t="shared" si="2092"/>
        <v/>
      </c>
      <c r="DU131" s="66" t="str">
        <f t="shared" si="2093"/>
        <v/>
      </c>
      <c r="DV131" s="66" t="str">
        <f t="shared" si="2094"/>
        <v/>
      </c>
      <c r="DW131" s="66" t="str">
        <f t="shared" si="2095"/>
        <v/>
      </c>
      <c r="DX131" s="66" t="str">
        <f t="shared" si="2096"/>
        <v/>
      </c>
      <c r="DY131" s="66" t="str">
        <f t="shared" si="2097"/>
        <v/>
      </c>
      <c r="DZ131" s="66" t="str">
        <f t="shared" si="2098"/>
        <v/>
      </c>
      <c r="EA131" s="66" t="str">
        <f t="shared" si="2099"/>
        <v/>
      </c>
      <c r="EB131" s="66" t="str">
        <f t="shared" si="2100"/>
        <v/>
      </c>
      <c r="EC131" s="66" t="str">
        <f t="shared" si="2101"/>
        <v/>
      </c>
      <c r="ED131" s="66" t="str">
        <f t="shared" si="2102"/>
        <v/>
      </c>
      <c r="EE131" s="66" t="str">
        <f t="shared" si="2103"/>
        <v/>
      </c>
      <c r="EF131" s="66" t="str">
        <f t="shared" si="2104"/>
        <v/>
      </c>
      <c r="EG131" s="66" t="str">
        <f t="shared" si="2105"/>
        <v/>
      </c>
      <c r="EH131" s="66" t="str">
        <f t="shared" si="2106"/>
        <v/>
      </c>
      <c r="EI131" s="66" t="str">
        <f t="shared" si="2107"/>
        <v/>
      </c>
      <c r="EJ131" s="66" t="str">
        <f t="shared" si="2108"/>
        <v/>
      </c>
      <c r="EK131" s="66" t="str">
        <f t="shared" si="2109"/>
        <v/>
      </c>
      <c r="EL131" s="66" t="str">
        <f t="shared" si="2110"/>
        <v/>
      </c>
      <c r="EM131" s="66" t="str">
        <f t="shared" si="2111"/>
        <v/>
      </c>
      <c r="EN131" s="66" t="str">
        <f t="shared" si="2112"/>
        <v/>
      </c>
      <c r="EO131" s="66" t="str">
        <f t="shared" si="2113"/>
        <v/>
      </c>
      <c r="EP131" s="66" t="str">
        <f t="shared" si="2114"/>
        <v/>
      </c>
      <c r="EQ131" s="66" t="str">
        <f t="shared" si="2115"/>
        <v/>
      </c>
      <c r="ER131" s="66" t="str">
        <f t="shared" si="2116"/>
        <v/>
      </c>
      <c r="ES131" s="66" t="str">
        <f t="shared" si="2117"/>
        <v/>
      </c>
      <c r="ET131" s="66" t="str">
        <f t="shared" si="2118"/>
        <v/>
      </c>
      <c r="EU131" s="66" t="str">
        <f t="shared" si="2119"/>
        <v/>
      </c>
      <c r="EV131" s="66" t="str">
        <f t="shared" si="2120"/>
        <v/>
      </c>
      <c r="EW131" s="66" t="str">
        <f t="shared" si="2121"/>
        <v/>
      </c>
      <c r="EX131" s="66" t="str">
        <f t="shared" si="2122"/>
        <v/>
      </c>
      <c r="EY131" s="66" t="str">
        <f t="shared" si="2123"/>
        <v/>
      </c>
      <c r="EZ131" s="66" t="str">
        <f t="shared" si="2124"/>
        <v/>
      </c>
      <c r="FA131" s="66" t="str">
        <f t="shared" si="2125"/>
        <v/>
      </c>
      <c r="FB131" s="66" t="str">
        <f t="shared" si="2126"/>
        <v/>
      </c>
      <c r="FC131" s="66" t="str">
        <f t="shared" si="2127"/>
        <v/>
      </c>
      <c r="FD131" s="66" t="str">
        <f t="shared" si="2128"/>
        <v/>
      </c>
      <c r="FE131" s="66" t="str">
        <f t="shared" si="2129"/>
        <v/>
      </c>
      <c r="FF131" s="66" t="str">
        <f t="shared" si="2130"/>
        <v/>
      </c>
      <c r="FG131" s="66" t="str">
        <f t="shared" si="2131"/>
        <v/>
      </c>
      <c r="FH131" s="66" t="str">
        <f t="shared" si="2132"/>
        <v/>
      </c>
      <c r="FI131" s="66" t="str">
        <f t="shared" si="2133"/>
        <v/>
      </c>
      <c r="FJ131" s="66" t="str">
        <f t="shared" si="2134"/>
        <v/>
      </c>
      <c r="FK131" s="66" t="str">
        <f t="shared" si="2135"/>
        <v/>
      </c>
      <c r="FL131" s="66" t="str">
        <f t="shared" si="2136"/>
        <v/>
      </c>
      <c r="FM131" s="66" t="str">
        <f t="shared" si="2137"/>
        <v/>
      </c>
      <c r="FN131" s="66" t="str">
        <f t="shared" si="2138"/>
        <v/>
      </c>
      <c r="FO131" s="66" t="str">
        <f t="shared" si="2139"/>
        <v/>
      </c>
      <c r="FP131" s="66" t="str">
        <f t="shared" si="2140"/>
        <v/>
      </c>
      <c r="FQ131" s="66" t="str">
        <f t="shared" si="2141"/>
        <v/>
      </c>
      <c r="FR131" s="66" t="str">
        <f t="shared" si="2142"/>
        <v/>
      </c>
      <c r="FS131" s="66" t="str">
        <f t="shared" si="2143"/>
        <v/>
      </c>
    </row>
    <row r="132" spans="1:175" ht="16.5">
      <c r="A132" s="9"/>
      <c r="B132" s="17" t="s">
        <v>509</v>
      </c>
      <c r="C132" s="18" t="s">
        <v>510</v>
      </c>
      <c r="T132" s="19" t="s">
        <v>511</v>
      </c>
      <c r="U132" s="77" t="str">
        <f t="shared" si="1549"/>
        <v>ReplaceableTextures\\CommandButtons\\BTNIN09.blp</v>
      </c>
      <c r="CN132" s="36" t="str">
        <f t="shared" si="2067"/>
        <v>InitUnitState('IN09',,,,,,,,,,)</v>
      </c>
      <c r="CO132" s="36" t="str">
        <f t="shared" si="2068"/>
        <v>InitUnitNormal('IN09',,,,,,,,,,)</v>
      </c>
      <c r="CP132" s="36" t="str">
        <f t="shared" si="2069"/>
        <v>InitUnitMagic('IN09',,,,,,,,,,)</v>
      </c>
      <c r="CQ132" s="36" t="str">
        <f t="shared" si="2070"/>
        <v>InitUnitAdd('IN09',,,,,,,,,,)</v>
      </c>
      <c r="CR132" s="36" t="str">
        <f t="shared" si="2071"/>
        <v>InitEquipData('IN09',,"",,,,,'','','','','','',"ReplaceableTextures\\CommandButtons\\BTNIT03.blp")</v>
      </c>
      <c r="CU132" s="88" t="str">
        <f t="shared" si="2072"/>
        <v>|n</v>
      </c>
      <c r="CV132" s="19" t="str">
        <f t="shared" si="2073"/>
        <v>死亡时复活。</v>
      </c>
      <c r="CW132" s="33"/>
      <c r="CX132" s="33"/>
      <c r="CY132" s="33"/>
      <c r="CZ132" s="33"/>
      <c r="DA132" s="33"/>
      <c r="DB132" s="66" t="str">
        <f t="shared" si="2074"/>
        <v/>
      </c>
      <c r="DC132" s="66" t="str">
        <f t="shared" si="2075"/>
        <v/>
      </c>
      <c r="DD132" s="66" t="str">
        <f t="shared" si="2076"/>
        <v/>
      </c>
      <c r="DE132" s="66" t="str">
        <f t="shared" si="2077"/>
        <v/>
      </c>
      <c r="DF132" s="66" t="str">
        <f t="shared" si="2078"/>
        <v/>
      </c>
      <c r="DG132" s="66" t="str">
        <f t="shared" si="2079"/>
        <v/>
      </c>
      <c r="DH132" s="66" t="str">
        <f t="shared" si="2080"/>
        <v/>
      </c>
      <c r="DI132" s="66" t="str">
        <f t="shared" si="2081"/>
        <v/>
      </c>
      <c r="DJ132" s="66" t="str">
        <f t="shared" si="2082"/>
        <v/>
      </c>
      <c r="DK132" s="66" t="str">
        <f t="shared" si="2083"/>
        <v/>
      </c>
      <c r="DL132" s="66" t="str">
        <f t="shared" si="2084"/>
        <v/>
      </c>
      <c r="DM132" s="66" t="str">
        <f t="shared" si="2085"/>
        <v/>
      </c>
      <c r="DN132" s="66" t="str">
        <f t="shared" si="2086"/>
        <v/>
      </c>
      <c r="DO132" s="66" t="str">
        <f t="shared" si="2087"/>
        <v/>
      </c>
      <c r="DP132" s="66" t="str">
        <f t="shared" si="2088"/>
        <v/>
      </c>
      <c r="DQ132" s="66" t="str">
        <f t="shared" si="2089"/>
        <v/>
      </c>
      <c r="DR132" s="66" t="str">
        <f t="shared" si="2090"/>
        <v/>
      </c>
      <c r="DS132" s="66" t="str">
        <f t="shared" si="2091"/>
        <v/>
      </c>
      <c r="DT132" s="66" t="str">
        <f t="shared" si="2092"/>
        <v/>
      </c>
      <c r="DU132" s="66" t="str">
        <f t="shared" si="2093"/>
        <v/>
      </c>
      <c r="DV132" s="66" t="str">
        <f t="shared" si="2094"/>
        <v/>
      </c>
      <c r="DW132" s="66" t="str">
        <f t="shared" si="2095"/>
        <v/>
      </c>
      <c r="DX132" s="66" t="str">
        <f t="shared" si="2096"/>
        <v/>
      </c>
      <c r="DY132" s="66" t="str">
        <f t="shared" si="2097"/>
        <v/>
      </c>
      <c r="DZ132" s="66" t="str">
        <f t="shared" si="2098"/>
        <v/>
      </c>
      <c r="EA132" s="66" t="str">
        <f t="shared" si="2099"/>
        <v/>
      </c>
      <c r="EB132" s="66" t="str">
        <f t="shared" si="2100"/>
        <v/>
      </c>
      <c r="EC132" s="66" t="str">
        <f t="shared" si="2101"/>
        <v/>
      </c>
      <c r="ED132" s="66" t="str">
        <f t="shared" si="2102"/>
        <v/>
      </c>
      <c r="EE132" s="66" t="str">
        <f t="shared" si="2103"/>
        <v/>
      </c>
      <c r="EF132" s="66" t="str">
        <f t="shared" si="2104"/>
        <v/>
      </c>
      <c r="EG132" s="66" t="str">
        <f t="shared" si="2105"/>
        <v/>
      </c>
      <c r="EH132" s="66" t="str">
        <f t="shared" si="2106"/>
        <v/>
      </c>
      <c r="EI132" s="66" t="str">
        <f t="shared" si="2107"/>
        <v/>
      </c>
      <c r="EJ132" s="66" t="str">
        <f t="shared" si="2108"/>
        <v/>
      </c>
      <c r="EK132" s="66" t="str">
        <f t="shared" si="2109"/>
        <v/>
      </c>
      <c r="EL132" s="66" t="str">
        <f t="shared" si="2110"/>
        <v/>
      </c>
      <c r="EM132" s="66" t="str">
        <f t="shared" si="2111"/>
        <v/>
      </c>
      <c r="EN132" s="66" t="str">
        <f t="shared" si="2112"/>
        <v/>
      </c>
      <c r="EO132" s="66" t="str">
        <f t="shared" si="2113"/>
        <v/>
      </c>
      <c r="EP132" s="66" t="str">
        <f t="shared" si="2114"/>
        <v/>
      </c>
      <c r="EQ132" s="66" t="str">
        <f t="shared" si="2115"/>
        <v/>
      </c>
      <c r="ER132" s="66" t="str">
        <f t="shared" si="2116"/>
        <v/>
      </c>
      <c r="ES132" s="66" t="str">
        <f t="shared" si="2117"/>
        <v/>
      </c>
      <c r="ET132" s="66" t="str">
        <f t="shared" si="2118"/>
        <v/>
      </c>
      <c r="EU132" s="66" t="str">
        <f t="shared" si="2119"/>
        <v/>
      </c>
      <c r="EV132" s="66" t="str">
        <f t="shared" si="2120"/>
        <v/>
      </c>
      <c r="EW132" s="66" t="str">
        <f t="shared" si="2121"/>
        <v/>
      </c>
      <c r="EX132" s="66" t="str">
        <f t="shared" si="2122"/>
        <v/>
      </c>
      <c r="EY132" s="66" t="str">
        <f t="shared" si="2123"/>
        <v/>
      </c>
      <c r="EZ132" s="66" t="str">
        <f t="shared" si="2124"/>
        <v/>
      </c>
      <c r="FA132" s="66" t="str">
        <f t="shared" si="2125"/>
        <v/>
      </c>
      <c r="FB132" s="66" t="str">
        <f t="shared" si="2126"/>
        <v/>
      </c>
      <c r="FC132" s="66" t="str">
        <f t="shared" si="2127"/>
        <v/>
      </c>
      <c r="FD132" s="66" t="str">
        <f t="shared" si="2128"/>
        <v/>
      </c>
      <c r="FE132" s="66" t="str">
        <f t="shared" si="2129"/>
        <v/>
      </c>
      <c r="FF132" s="66" t="str">
        <f t="shared" si="2130"/>
        <v/>
      </c>
      <c r="FG132" s="66" t="str">
        <f t="shared" si="2131"/>
        <v/>
      </c>
      <c r="FH132" s="66" t="str">
        <f t="shared" si="2132"/>
        <v/>
      </c>
      <c r="FI132" s="66" t="str">
        <f t="shared" si="2133"/>
        <v/>
      </c>
      <c r="FJ132" s="66" t="str">
        <f t="shared" si="2134"/>
        <v/>
      </c>
      <c r="FK132" s="66" t="str">
        <f t="shared" si="2135"/>
        <v/>
      </c>
      <c r="FL132" s="66" t="str">
        <f t="shared" si="2136"/>
        <v/>
      </c>
      <c r="FM132" s="66" t="str">
        <f t="shared" si="2137"/>
        <v/>
      </c>
      <c r="FN132" s="66" t="str">
        <f t="shared" si="2138"/>
        <v/>
      </c>
      <c r="FO132" s="66" t="str">
        <f t="shared" si="2139"/>
        <v/>
      </c>
      <c r="FP132" s="66" t="str">
        <f t="shared" si="2140"/>
        <v/>
      </c>
      <c r="FQ132" s="66" t="str">
        <f t="shared" si="2141"/>
        <v/>
      </c>
      <c r="FR132" s="66" t="str">
        <f t="shared" si="2142"/>
        <v/>
      </c>
      <c r="FS132" s="66" t="str">
        <f t="shared" si="2143"/>
        <v/>
      </c>
    </row>
    <row r="133" spans="1:175" ht="16.5">
      <c r="A133" s="9"/>
      <c r="B133" s="17" t="s">
        <v>512</v>
      </c>
      <c r="C133" s="18" t="s">
        <v>513</v>
      </c>
      <c r="T133" s="19" t="s">
        <v>514</v>
      </c>
      <c r="U133" s="77" t="str">
        <f t="shared" si="1549"/>
        <v>ReplaceableTextures\\CommandButtons\\BTNIN10.blp</v>
      </c>
      <c r="CN133" s="36" t="str">
        <f t="shared" si="2067"/>
        <v>InitUnitState('IN10',,,,,,,,,,)</v>
      </c>
      <c r="CO133" s="36" t="str">
        <f t="shared" si="2068"/>
        <v>InitUnitNormal('IN10',,,,,,,,,,)</v>
      </c>
      <c r="CP133" s="36" t="str">
        <f t="shared" si="2069"/>
        <v>InitUnitMagic('IN10',,,,,,,,,,)</v>
      </c>
      <c r="CQ133" s="36" t="str">
        <f t="shared" si="2070"/>
        <v>InitUnitAdd('IN10',,,,,,,,,,)</v>
      </c>
      <c r="CR133" s="36" t="str">
        <f t="shared" si="2071"/>
        <v>InitEquipData('IN10',,"",,,,,'','','','','','',"ReplaceableTextures\\CommandButtons\\BTNIT04.blp")</v>
      </c>
      <c r="CU133" s="88" t="str">
        <f t="shared" si="2072"/>
        <v>|n</v>
      </c>
      <c r="CV133" s="19" t="str">
        <f t="shared" si="2073"/>
        <v>点金一个|Cffffd24d练功房福娃|r，获得|Cffffd24d100|r倍金币奖励</v>
      </c>
      <c r="CW133" s="33"/>
      <c r="CX133" s="33"/>
      <c r="CY133" s="33"/>
      <c r="CZ133" s="33"/>
      <c r="DA133" s="33"/>
      <c r="DB133" s="66" t="str">
        <f t="shared" si="2074"/>
        <v/>
      </c>
      <c r="DC133" s="66" t="str">
        <f t="shared" si="2075"/>
        <v/>
      </c>
      <c r="DD133" s="66" t="str">
        <f t="shared" si="2076"/>
        <v/>
      </c>
      <c r="DE133" s="66" t="str">
        <f t="shared" si="2077"/>
        <v/>
      </c>
      <c r="DF133" s="66" t="str">
        <f t="shared" si="2078"/>
        <v/>
      </c>
      <c r="DG133" s="66" t="str">
        <f t="shared" si="2079"/>
        <v/>
      </c>
      <c r="DH133" s="66" t="str">
        <f t="shared" si="2080"/>
        <v/>
      </c>
      <c r="DI133" s="66" t="str">
        <f t="shared" si="2081"/>
        <v/>
      </c>
      <c r="DJ133" s="66" t="str">
        <f t="shared" si="2082"/>
        <v/>
      </c>
      <c r="DK133" s="66" t="str">
        <f t="shared" si="2083"/>
        <v/>
      </c>
      <c r="DL133" s="66" t="str">
        <f t="shared" si="2084"/>
        <v/>
      </c>
      <c r="DM133" s="66" t="str">
        <f t="shared" si="2085"/>
        <v/>
      </c>
      <c r="DN133" s="66" t="str">
        <f t="shared" si="2086"/>
        <v/>
      </c>
      <c r="DO133" s="66" t="str">
        <f t="shared" si="2087"/>
        <v/>
      </c>
      <c r="DP133" s="66" t="str">
        <f t="shared" si="2088"/>
        <v/>
      </c>
      <c r="DQ133" s="66" t="str">
        <f t="shared" si="2089"/>
        <v/>
      </c>
      <c r="DR133" s="66" t="str">
        <f t="shared" si="2090"/>
        <v/>
      </c>
      <c r="DS133" s="66" t="str">
        <f t="shared" si="2091"/>
        <v/>
      </c>
      <c r="DT133" s="66" t="str">
        <f t="shared" si="2092"/>
        <v/>
      </c>
      <c r="DU133" s="66" t="str">
        <f t="shared" si="2093"/>
        <v/>
      </c>
      <c r="DV133" s="66" t="str">
        <f t="shared" si="2094"/>
        <v/>
      </c>
      <c r="DW133" s="66" t="str">
        <f t="shared" si="2095"/>
        <v/>
      </c>
      <c r="DX133" s="66" t="str">
        <f t="shared" si="2096"/>
        <v/>
      </c>
      <c r="DY133" s="66" t="str">
        <f t="shared" si="2097"/>
        <v/>
      </c>
      <c r="DZ133" s="66" t="str">
        <f t="shared" si="2098"/>
        <v/>
      </c>
      <c r="EA133" s="66" t="str">
        <f t="shared" si="2099"/>
        <v/>
      </c>
      <c r="EB133" s="66" t="str">
        <f t="shared" si="2100"/>
        <v/>
      </c>
      <c r="EC133" s="66" t="str">
        <f t="shared" si="2101"/>
        <v/>
      </c>
      <c r="ED133" s="66" t="str">
        <f t="shared" si="2102"/>
        <v/>
      </c>
      <c r="EE133" s="66" t="str">
        <f t="shared" si="2103"/>
        <v/>
      </c>
      <c r="EF133" s="66" t="str">
        <f t="shared" si="2104"/>
        <v/>
      </c>
      <c r="EG133" s="66" t="str">
        <f t="shared" si="2105"/>
        <v/>
      </c>
      <c r="EH133" s="66" t="str">
        <f t="shared" si="2106"/>
        <v/>
      </c>
      <c r="EI133" s="66" t="str">
        <f t="shared" si="2107"/>
        <v/>
      </c>
      <c r="EJ133" s="66" t="str">
        <f t="shared" si="2108"/>
        <v/>
      </c>
      <c r="EK133" s="66" t="str">
        <f t="shared" si="2109"/>
        <v/>
      </c>
      <c r="EL133" s="66" t="str">
        <f t="shared" si="2110"/>
        <v/>
      </c>
      <c r="EM133" s="66" t="str">
        <f t="shared" si="2111"/>
        <v/>
      </c>
      <c r="EN133" s="66" t="str">
        <f t="shared" si="2112"/>
        <v/>
      </c>
      <c r="EO133" s="66" t="str">
        <f t="shared" si="2113"/>
        <v/>
      </c>
      <c r="EP133" s="66" t="str">
        <f t="shared" si="2114"/>
        <v/>
      </c>
      <c r="EQ133" s="66" t="str">
        <f t="shared" si="2115"/>
        <v/>
      </c>
      <c r="ER133" s="66" t="str">
        <f t="shared" si="2116"/>
        <v/>
      </c>
      <c r="ES133" s="66" t="str">
        <f t="shared" si="2117"/>
        <v/>
      </c>
      <c r="ET133" s="66" t="str">
        <f t="shared" si="2118"/>
        <v/>
      </c>
      <c r="EU133" s="66" t="str">
        <f t="shared" si="2119"/>
        <v/>
      </c>
      <c r="EV133" s="66" t="str">
        <f t="shared" si="2120"/>
        <v/>
      </c>
      <c r="EW133" s="66" t="str">
        <f t="shared" si="2121"/>
        <v/>
      </c>
      <c r="EX133" s="66" t="str">
        <f t="shared" si="2122"/>
        <v/>
      </c>
      <c r="EY133" s="66" t="str">
        <f t="shared" si="2123"/>
        <v/>
      </c>
      <c r="EZ133" s="66" t="str">
        <f t="shared" si="2124"/>
        <v/>
      </c>
      <c r="FA133" s="66" t="str">
        <f t="shared" si="2125"/>
        <v/>
      </c>
      <c r="FB133" s="66" t="str">
        <f t="shared" si="2126"/>
        <v/>
      </c>
      <c r="FC133" s="66" t="str">
        <f t="shared" si="2127"/>
        <v/>
      </c>
      <c r="FD133" s="66" t="str">
        <f t="shared" si="2128"/>
        <v/>
      </c>
      <c r="FE133" s="66" t="str">
        <f t="shared" si="2129"/>
        <v/>
      </c>
      <c r="FF133" s="66" t="str">
        <f t="shared" si="2130"/>
        <v/>
      </c>
      <c r="FG133" s="66" t="str">
        <f t="shared" si="2131"/>
        <v/>
      </c>
      <c r="FH133" s="66" t="str">
        <f t="shared" si="2132"/>
        <v/>
      </c>
      <c r="FI133" s="66" t="str">
        <f t="shared" si="2133"/>
        <v/>
      </c>
      <c r="FJ133" s="66" t="str">
        <f t="shared" si="2134"/>
        <v/>
      </c>
      <c r="FK133" s="66" t="str">
        <f t="shared" si="2135"/>
        <v/>
      </c>
      <c r="FL133" s="66" t="str">
        <f t="shared" si="2136"/>
        <v/>
      </c>
      <c r="FM133" s="66" t="str">
        <f t="shared" si="2137"/>
        <v/>
      </c>
      <c r="FN133" s="66" t="str">
        <f t="shared" si="2138"/>
        <v/>
      </c>
      <c r="FO133" s="66" t="str">
        <f t="shared" si="2139"/>
        <v/>
      </c>
      <c r="FP133" s="66" t="str">
        <f t="shared" si="2140"/>
        <v/>
      </c>
      <c r="FQ133" s="66" t="str">
        <f t="shared" si="2141"/>
        <v/>
      </c>
      <c r="FR133" s="66" t="str">
        <f t="shared" si="2142"/>
        <v/>
      </c>
      <c r="FS133" s="66" t="str">
        <f t="shared" si="2143"/>
        <v/>
      </c>
    </row>
    <row r="134" spans="1:175" ht="16.5">
      <c r="A134" s="9"/>
      <c r="B134" s="17" t="s">
        <v>515</v>
      </c>
      <c r="C134" s="18" t="s">
        <v>516</v>
      </c>
      <c r="T134" s="19" t="s">
        <v>517</v>
      </c>
      <c r="U134" s="77" t="str">
        <f t="shared" si="1549"/>
        <v>ReplaceableTextures\\CommandButtons\\BTNIN11.blp</v>
      </c>
      <c r="CN134" s="36" t="str">
        <f t="shared" si="2067"/>
        <v>InitUnitState('IN11',,,,,,,,,,)</v>
      </c>
      <c r="CO134" s="36" t="str">
        <f t="shared" si="2068"/>
        <v>InitUnitNormal('IN11',,,,,,,,,,)</v>
      </c>
      <c r="CP134" s="36" t="str">
        <f t="shared" si="2069"/>
        <v>InitUnitMagic('IN11',,,,,,,,,,)</v>
      </c>
      <c r="CQ134" s="36" t="str">
        <f t="shared" si="2070"/>
        <v>InitUnitAdd('IN11',,,,,,,,,,)</v>
      </c>
      <c r="CR134" s="36" t="str">
        <f t="shared" si="2071"/>
        <v>InitEquipData('IN11',,"",,,,,'','','','','','',"ReplaceableTextures\\CommandButtons\\BTNIT05.blp")</v>
      </c>
      <c r="CU134" s="88" t="str">
        <f t="shared" si="2072"/>
        <v>|n</v>
      </c>
      <c r="CV134" s="19" t="str">
        <f t="shared" si="2073"/>
        <v>|CffFFD24D5|r秒内提高|Cffffd24d100%|r物理伤害</v>
      </c>
      <c r="CW134" s="33"/>
      <c r="CX134" s="33"/>
      <c r="CY134" s="33"/>
      <c r="CZ134" s="33"/>
      <c r="DA134" s="33"/>
      <c r="DB134" s="66" t="str">
        <f t="shared" si="2074"/>
        <v/>
      </c>
      <c r="DC134" s="66" t="str">
        <f t="shared" si="2075"/>
        <v/>
      </c>
      <c r="DD134" s="66" t="str">
        <f t="shared" si="2076"/>
        <v/>
      </c>
      <c r="DE134" s="66" t="str">
        <f t="shared" si="2077"/>
        <v/>
      </c>
      <c r="DF134" s="66" t="str">
        <f t="shared" si="2078"/>
        <v/>
      </c>
      <c r="DG134" s="66" t="str">
        <f t="shared" si="2079"/>
        <v/>
      </c>
      <c r="DH134" s="66" t="str">
        <f t="shared" si="2080"/>
        <v/>
      </c>
      <c r="DI134" s="66" t="str">
        <f t="shared" si="2081"/>
        <v/>
      </c>
      <c r="DJ134" s="66" t="str">
        <f t="shared" si="2082"/>
        <v/>
      </c>
      <c r="DK134" s="66" t="str">
        <f t="shared" si="2083"/>
        <v/>
      </c>
      <c r="DL134" s="66" t="str">
        <f t="shared" si="2084"/>
        <v/>
      </c>
      <c r="DM134" s="66" t="str">
        <f t="shared" si="2085"/>
        <v/>
      </c>
      <c r="DN134" s="66" t="str">
        <f t="shared" si="2086"/>
        <v/>
      </c>
      <c r="DO134" s="66" t="str">
        <f t="shared" si="2087"/>
        <v/>
      </c>
      <c r="DP134" s="66" t="str">
        <f t="shared" si="2088"/>
        <v/>
      </c>
      <c r="DQ134" s="66" t="str">
        <f t="shared" si="2089"/>
        <v/>
      </c>
      <c r="DR134" s="66" t="str">
        <f t="shared" si="2090"/>
        <v/>
      </c>
      <c r="DS134" s="66" t="str">
        <f t="shared" si="2091"/>
        <v/>
      </c>
      <c r="DT134" s="66" t="str">
        <f t="shared" si="2092"/>
        <v/>
      </c>
      <c r="DU134" s="66" t="str">
        <f t="shared" si="2093"/>
        <v/>
      </c>
      <c r="DV134" s="66" t="str">
        <f t="shared" si="2094"/>
        <v/>
      </c>
      <c r="DW134" s="66" t="str">
        <f t="shared" si="2095"/>
        <v/>
      </c>
      <c r="DX134" s="66" t="str">
        <f t="shared" si="2096"/>
        <v/>
      </c>
      <c r="DY134" s="66" t="str">
        <f t="shared" si="2097"/>
        <v/>
      </c>
      <c r="DZ134" s="66" t="str">
        <f t="shared" si="2098"/>
        <v/>
      </c>
      <c r="EA134" s="66" t="str">
        <f t="shared" si="2099"/>
        <v/>
      </c>
      <c r="EB134" s="66" t="str">
        <f t="shared" si="2100"/>
        <v/>
      </c>
      <c r="EC134" s="66" t="str">
        <f t="shared" si="2101"/>
        <v/>
      </c>
      <c r="ED134" s="66" t="str">
        <f t="shared" si="2102"/>
        <v/>
      </c>
      <c r="EE134" s="66" t="str">
        <f t="shared" si="2103"/>
        <v/>
      </c>
      <c r="EF134" s="66" t="str">
        <f t="shared" si="2104"/>
        <v/>
      </c>
      <c r="EG134" s="66" t="str">
        <f t="shared" si="2105"/>
        <v/>
      </c>
      <c r="EH134" s="66" t="str">
        <f t="shared" si="2106"/>
        <v/>
      </c>
      <c r="EI134" s="66" t="str">
        <f t="shared" si="2107"/>
        <v/>
      </c>
      <c r="EJ134" s="66" t="str">
        <f t="shared" si="2108"/>
        <v/>
      </c>
      <c r="EK134" s="66" t="str">
        <f t="shared" si="2109"/>
        <v/>
      </c>
      <c r="EL134" s="66" t="str">
        <f t="shared" si="2110"/>
        <v/>
      </c>
      <c r="EM134" s="66" t="str">
        <f t="shared" si="2111"/>
        <v/>
      </c>
      <c r="EN134" s="66" t="str">
        <f t="shared" si="2112"/>
        <v/>
      </c>
      <c r="EO134" s="66" t="str">
        <f t="shared" si="2113"/>
        <v/>
      </c>
      <c r="EP134" s="66" t="str">
        <f t="shared" si="2114"/>
        <v/>
      </c>
      <c r="EQ134" s="66" t="str">
        <f t="shared" si="2115"/>
        <v/>
      </c>
      <c r="ER134" s="66" t="str">
        <f t="shared" si="2116"/>
        <v/>
      </c>
      <c r="ES134" s="66" t="str">
        <f t="shared" si="2117"/>
        <v/>
      </c>
      <c r="ET134" s="66" t="str">
        <f t="shared" si="2118"/>
        <v/>
      </c>
      <c r="EU134" s="66" t="str">
        <f t="shared" si="2119"/>
        <v/>
      </c>
      <c r="EV134" s="66" t="str">
        <f t="shared" si="2120"/>
        <v/>
      </c>
      <c r="EW134" s="66" t="str">
        <f t="shared" si="2121"/>
        <v/>
      </c>
      <c r="EX134" s="66" t="str">
        <f t="shared" si="2122"/>
        <v/>
      </c>
      <c r="EY134" s="66" t="str">
        <f t="shared" si="2123"/>
        <v/>
      </c>
      <c r="EZ134" s="66" t="str">
        <f t="shared" si="2124"/>
        <v/>
      </c>
      <c r="FA134" s="66" t="str">
        <f t="shared" si="2125"/>
        <v/>
      </c>
      <c r="FB134" s="66" t="str">
        <f t="shared" si="2126"/>
        <v/>
      </c>
      <c r="FC134" s="66" t="str">
        <f t="shared" si="2127"/>
        <v/>
      </c>
      <c r="FD134" s="66" t="str">
        <f t="shared" si="2128"/>
        <v/>
      </c>
      <c r="FE134" s="66" t="str">
        <f t="shared" si="2129"/>
        <v/>
      </c>
      <c r="FF134" s="66" t="str">
        <f t="shared" si="2130"/>
        <v/>
      </c>
      <c r="FG134" s="66" t="str">
        <f t="shared" si="2131"/>
        <v/>
      </c>
      <c r="FH134" s="66" t="str">
        <f t="shared" si="2132"/>
        <v/>
      </c>
      <c r="FI134" s="66" t="str">
        <f t="shared" si="2133"/>
        <v/>
      </c>
      <c r="FJ134" s="66" t="str">
        <f t="shared" si="2134"/>
        <v/>
      </c>
      <c r="FK134" s="66" t="str">
        <f t="shared" si="2135"/>
        <v/>
      </c>
      <c r="FL134" s="66" t="str">
        <f t="shared" si="2136"/>
        <v/>
      </c>
      <c r="FM134" s="66" t="str">
        <f t="shared" si="2137"/>
        <v/>
      </c>
      <c r="FN134" s="66" t="str">
        <f t="shared" si="2138"/>
        <v/>
      </c>
      <c r="FO134" s="66" t="str">
        <f t="shared" si="2139"/>
        <v/>
      </c>
      <c r="FP134" s="66" t="str">
        <f t="shared" si="2140"/>
        <v/>
      </c>
      <c r="FQ134" s="66" t="str">
        <f t="shared" si="2141"/>
        <v/>
      </c>
      <c r="FR134" s="66" t="str">
        <f t="shared" si="2142"/>
        <v/>
      </c>
      <c r="FS134" s="66" t="str">
        <f t="shared" si="2143"/>
        <v/>
      </c>
    </row>
    <row r="135" spans="1:175" ht="16.5">
      <c r="A135" s="9"/>
      <c r="B135" s="17" t="s">
        <v>518</v>
      </c>
      <c r="C135" s="18" t="s">
        <v>519</v>
      </c>
      <c r="T135" s="19" t="s">
        <v>520</v>
      </c>
      <c r="U135" s="77" t="str">
        <f t="shared" si="1549"/>
        <v>ReplaceableTextures\\CommandButtons\\BTNIN12.blp</v>
      </c>
      <c r="CN135" s="36" t="str">
        <f t="shared" si="2067"/>
        <v>InitUnitState('IN12',,,,,,,,,,)</v>
      </c>
      <c r="CO135" s="36" t="str">
        <f t="shared" si="2068"/>
        <v>InitUnitNormal('IN12',,,,,,,,,,)</v>
      </c>
      <c r="CP135" s="36" t="str">
        <f t="shared" si="2069"/>
        <v>InitUnitMagic('IN12',,,,,,,,,,)</v>
      </c>
      <c r="CQ135" s="36" t="str">
        <f t="shared" si="2070"/>
        <v>InitUnitAdd('IN12',,,,,,,,,,)</v>
      </c>
      <c r="CR135" s="36" t="str">
        <f t="shared" si="2071"/>
        <v>InitEquipData('IN12',,"",,,,,'','','','','','',"ReplaceableTextures\\CommandButtons\\BTNIT06.blp")</v>
      </c>
      <c r="CU135" s="88" t="str">
        <f t="shared" si="2072"/>
        <v>|n</v>
      </c>
      <c r="CV135" s="19" t="str">
        <f t="shared" si="2073"/>
        <v>在|Cffffd24d基地-周文王|r附近召唤|Cffffd24d1|r个|Cffffd24d黑市商店|r，仅存在|Cffffd24d30|r秒。</v>
      </c>
      <c r="CW135" s="33"/>
      <c r="CX135" s="33"/>
      <c r="CY135" s="33"/>
      <c r="CZ135" s="33"/>
      <c r="DA135" s="33"/>
      <c r="DB135" s="66" t="str">
        <f t="shared" si="2074"/>
        <v/>
      </c>
      <c r="DC135" s="66" t="str">
        <f t="shared" si="2075"/>
        <v/>
      </c>
      <c r="DD135" s="66" t="str">
        <f t="shared" si="2076"/>
        <v/>
      </c>
      <c r="DE135" s="66" t="str">
        <f t="shared" si="2077"/>
        <v/>
      </c>
      <c r="DF135" s="66" t="str">
        <f t="shared" si="2078"/>
        <v/>
      </c>
      <c r="DG135" s="66" t="str">
        <f t="shared" si="2079"/>
        <v/>
      </c>
      <c r="DH135" s="66" t="str">
        <f t="shared" si="2080"/>
        <v/>
      </c>
      <c r="DI135" s="66" t="str">
        <f t="shared" si="2081"/>
        <v/>
      </c>
      <c r="DJ135" s="66" t="str">
        <f t="shared" si="2082"/>
        <v/>
      </c>
      <c r="DK135" s="66" t="str">
        <f t="shared" si="2083"/>
        <v/>
      </c>
      <c r="DL135" s="66" t="str">
        <f t="shared" si="2084"/>
        <v/>
      </c>
      <c r="DM135" s="66" t="str">
        <f t="shared" si="2085"/>
        <v/>
      </c>
      <c r="DN135" s="66" t="str">
        <f t="shared" si="2086"/>
        <v/>
      </c>
      <c r="DO135" s="66" t="str">
        <f t="shared" si="2087"/>
        <v/>
      </c>
      <c r="DP135" s="66" t="str">
        <f t="shared" si="2088"/>
        <v/>
      </c>
      <c r="DQ135" s="66" t="str">
        <f t="shared" si="2089"/>
        <v/>
      </c>
      <c r="DR135" s="66" t="str">
        <f t="shared" si="2090"/>
        <v/>
      </c>
      <c r="DS135" s="66" t="str">
        <f t="shared" si="2091"/>
        <v/>
      </c>
      <c r="DT135" s="66" t="str">
        <f t="shared" si="2092"/>
        <v/>
      </c>
      <c r="DU135" s="66" t="str">
        <f t="shared" si="2093"/>
        <v/>
      </c>
      <c r="DV135" s="66" t="str">
        <f t="shared" si="2094"/>
        <v/>
      </c>
      <c r="DW135" s="66" t="str">
        <f t="shared" si="2095"/>
        <v/>
      </c>
      <c r="DX135" s="66" t="str">
        <f t="shared" si="2096"/>
        <v/>
      </c>
      <c r="DY135" s="66" t="str">
        <f t="shared" si="2097"/>
        <v/>
      </c>
      <c r="DZ135" s="66" t="str">
        <f t="shared" si="2098"/>
        <v/>
      </c>
      <c r="EA135" s="66" t="str">
        <f t="shared" si="2099"/>
        <v/>
      </c>
      <c r="EB135" s="66" t="str">
        <f t="shared" si="2100"/>
        <v/>
      </c>
      <c r="EC135" s="66" t="str">
        <f t="shared" si="2101"/>
        <v/>
      </c>
      <c r="ED135" s="66" t="str">
        <f t="shared" si="2102"/>
        <v/>
      </c>
      <c r="EE135" s="66" t="str">
        <f t="shared" si="2103"/>
        <v/>
      </c>
      <c r="EF135" s="66" t="str">
        <f t="shared" si="2104"/>
        <v/>
      </c>
      <c r="EG135" s="66" t="str">
        <f t="shared" si="2105"/>
        <v/>
      </c>
      <c r="EH135" s="66" t="str">
        <f t="shared" si="2106"/>
        <v/>
      </c>
      <c r="EI135" s="66" t="str">
        <f t="shared" si="2107"/>
        <v/>
      </c>
      <c r="EJ135" s="66" t="str">
        <f t="shared" si="2108"/>
        <v/>
      </c>
      <c r="EK135" s="66" t="str">
        <f t="shared" si="2109"/>
        <v/>
      </c>
      <c r="EL135" s="66" t="str">
        <f t="shared" si="2110"/>
        <v/>
      </c>
      <c r="EM135" s="66" t="str">
        <f t="shared" si="2111"/>
        <v/>
      </c>
      <c r="EN135" s="66" t="str">
        <f t="shared" si="2112"/>
        <v/>
      </c>
      <c r="EO135" s="66" t="str">
        <f t="shared" si="2113"/>
        <v/>
      </c>
      <c r="EP135" s="66" t="str">
        <f t="shared" si="2114"/>
        <v/>
      </c>
      <c r="EQ135" s="66" t="str">
        <f t="shared" si="2115"/>
        <v/>
      </c>
      <c r="ER135" s="66" t="str">
        <f t="shared" si="2116"/>
        <v/>
      </c>
      <c r="ES135" s="66" t="str">
        <f t="shared" si="2117"/>
        <v/>
      </c>
      <c r="ET135" s="66" t="str">
        <f t="shared" si="2118"/>
        <v/>
      </c>
      <c r="EU135" s="66" t="str">
        <f t="shared" si="2119"/>
        <v/>
      </c>
      <c r="EV135" s="66" t="str">
        <f t="shared" si="2120"/>
        <v/>
      </c>
      <c r="EW135" s="66" t="str">
        <f t="shared" si="2121"/>
        <v/>
      </c>
      <c r="EX135" s="66" t="str">
        <f t="shared" si="2122"/>
        <v/>
      </c>
      <c r="EY135" s="66" t="str">
        <f t="shared" si="2123"/>
        <v/>
      </c>
      <c r="EZ135" s="66" t="str">
        <f t="shared" si="2124"/>
        <v/>
      </c>
      <c r="FA135" s="66" t="str">
        <f t="shared" si="2125"/>
        <v/>
      </c>
      <c r="FB135" s="66" t="str">
        <f t="shared" si="2126"/>
        <v/>
      </c>
      <c r="FC135" s="66" t="str">
        <f t="shared" si="2127"/>
        <v/>
      </c>
      <c r="FD135" s="66" t="str">
        <f t="shared" si="2128"/>
        <v/>
      </c>
      <c r="FE135" s="66" t="str">
        <f t="shared" si="2129"/>
        <v/>
      </c>
      <c r="FF135" s="66" t="str">
        <f t="shared" si="2130"/>
        <v/>
      </c>
      <c r="FG135" s="66" t="str">
        <f t="shared" si="2131"/>
        <v/>
      </c>
      <c r="FH135" s="66" t="str">
        <f t="shared" si="2132"/>
        <v/>
      </c>
      <c r="FI135" s="66" t="str">
        <f t="shared" si="2133"/>
        <v/>
      </c>
      <c r="FJ135" s="66" t="str">
        <f t="shared" si="2134"/>
        <v/>
      </c>
      <c r="FK135" s="66" t="str">
        <f t="shared" si="2135"/>
        <v/>
      </c>
      <c r="FL135" s="66" t="str">
        <f t="shared" si="2136"/>
        <v/>
      </c>
      <c r="FM135" s="66" t="str">
        <f t="shared" si="2137"/>
        <v/>
      </c>
      <c r="FN135" s="66" t="str">
        <f t="shared" si="2138"/>
        <v/>
      </c>
      <c r="FO135" s="66" t="str">
        <f t="shared" si="2139"/>
        <v/>
      </c>
      <c r="FP135" s="66" t="str">
        <f t="shared" si="2140"/>
        <v/>
      </c>
      <c r="FQ135" s="66" t="str">
        <f t="shared" si="2141"/>
        <v/>
      </c>
      <c r="FR135" s="66" t="str">
        <f t="shared" si="2142"/>
        <v/>
      </c>
      <c r="FS135" s="66" t="str">
        <f t="shared" si="2143"/>
        <v/>
      </c>
    </row>
    <row r="136" spans="1:175" ht="16.5">
      <c r="A136" s="9"/>
      <c r="B136" s="17" t="s">
        <v>521</v>
      </c>
      <c r="C136" s="18" t="s">
        <v>522</v>
      </c>
      <c r="T136" s="19" t="s">
        <v>523</v>
      </c>
      <c r="U136" s="77" t="str">
        <f t="shared" si="1549"/>
        <v>ReplaceableTextures\\CommandButtons\\BTNIN13.blp</v>
      </c>
      <c r="CN136" s="36" t="str">
        <f t="shared" si="2067"/>
        <v>InitUnitState('IN13',,,,,,,,,,)</v>
      </c>
      <c r="CO136" s="36" t="str">
        <f t="shared" si="2068"/>
        <v>InitUnitNormal('IN13',,,,,,,,,,)</v>
      </c>
      <c r="CP136" s="36" t="str">
        <f t="shared" si="2069"/>
        <v>InitUnitMagic('IN13',,,,,,,,,,)</v>
      </c>
      <c r="CQ136" s="36" t="str">
        <f t="shared" si="2070"/>
        <v>InitUnitAdd('IN13',,,,,,,,,,)</v>
      </c>
      <c r="CR136" s="36" t="str">
        <f t="shared" si="2071"/>
        <v>InitEquipData('IN13',,"",,,,,'','','','','','',"ReplaceableTextures\\CommandButtons\\BTNIT07.blp")</v>
      </c>
      <c r="CU136" s="88" t="str">
        <f t="shared" si="1919"/>
        <v>|n</v>
      </c>
      <c r="CV136" s="19" t="str">
        <f t="shared" si="1920"/>
        <v>场上存活的队友|Cffffd24d10|r秒内提高|Cffffd24d30%|r法术伤害</v>
      </c>
      <c r="CW136" s="33"/>
      <c r="CX136" s="33"/>
      <c r="CY136" s="33"/>
      <c r="CZ136" s="33"/>
      <c r="DA136" s="33"/>
      <c r="DB136" s="66" t="str">
        <f t="shared" si="1921"/>
        <v/>
      </c>
      <c r="DC136" s="66" t="str">
        <f t="shared" si="1922"/>
        <v/>
      </c>
      <c r="DD136" s="66" t="str">
        <f t="shared" si="1923"/>
        <v/>
      </c>
      <c r="DE136" s="66" t="str">
        <f t="shared" si="1924"/>
        <v/>
      </c>
      <c r="DF136" s="66" t="str">
        <f t="shared" si="1925"/>
        <v/>
      </c>
      <c r="DG136" s="66" t="str">
        <f t="shared" si="1926"/>
        <v/>
      </c>
      <c r="DH136" s="66" t="str">
        <f t="shared" si="1927"/>
        <v/>
      </c>
      <c r="DI136" s="66" t="str">
        <f t="shared" si="1928"/>
        <v/>
      </c>
      <c r="DJ136" s="66" t="str">
        <f t="shared" si="1929"/>
        <v/>
      </c>
      <c r="DK136" s="66" t="str">
        <f t="shared" si="1930"/>
        <v/>
      </c>
      <c r="DL136" s="66" t="str">
        <f t="shared" si="1931"/>
        <v/>
      </c>
      <c r="DM136" s="66" t="str">
        <f t="shared" si="1932"/>
        <v/>
      </c>
      <c r="DN136" s="66" t="str">
        <f t="shared" si="1933"/>
        <v/>
      </c>
      <c r="DO136" s="66" t="str">
        <f t="shared" si="1934"/>
        <v/>
      </c>
      <c r="DP136" s="66" t="str">
        <f t="shared" si="1935"/>
        <v/>
      </c>
      <c r="DQ136" s="66" t="str">
        <f t="shared" si="1936"/>
        <v/>
      </c>
      <c r="DR136" s="66" t="str">
        <f t="shared" si="1937"/>
        <v/>
      </c>
      <c r="DS136" s="66" t="str">
        <f t="shared" si="1938"/>
        <v/>
      </c>
      <c r="DT136" s="66" t="str">
        <f t="shared" si="1939"/>
        <v/>
      </c>
      <c r="DU136" s="66" t="str">
        <f t="shared" si="1940"/>
        <v/>
      </c>
      <c r="DV136" s="66" t="str">
        <f t="shared" si="1941"/>
        <v/>
      </c>
      <c r="DW136" s="66" t="str">
        <f t="shared" si="1942"/>
        <v/>
      </c>
      <c r="DX136" s="66" t="str">
        <f t="shared" si="1943"/>
        <v/>
      </c>
      <c r="DY136" s="66" t="str">
        <f t="shared" si="1944"/>
        <v/>
      </c>
      <c r="DZ136" s="66" t="str">
        <f t="shared" si="1945"/>
        <v/>
      </c>
      <c r="EA136" s="66" t="str">
        <f t="shared" si="1946"/>
        <v/>
      </c>
      <c r="EB136" s="66" t="str">
        <f t="shared" si="1947"/>
        <v/>
      </c>
      <c r="EC136" s="66" t="str">
        <f t="shared" si="1948"/>
        <v/>
      </c>
      <c r="ED136" s="66" t="str">
        <f t="shared" si="1949"/>
        <v/>
      </c>
      <c r="EE136" s="66" t="str">
        <f t="shared" si="1950"/>
        <v/>
      </c>
      <c r="EF136" s="66" t="str">
        <f t="shared" si="1951"/>
        <v/>
      </c>
      <c r="EG136" s="66" t="str">
        <f t="shared" si="1952"/>
        <v/>
      </c>
      <c r="EH136" s="66" t="str">
        <f t="shared" si="1953"/>
        <v/>
      </c>
      <c r="EI136" s="66" t="str">
        <f t="shared" si="1954"/>
        <v/>
      </c>
      <c r="EJ136" s="66" t="str">
        <f t="shared" si="1955"/>
        <v/>
      </c>
      <c r="EK136" s="66" t="str">
        <f t="shared" si="1956"/>
        <v/>
      </c>
      <c r="EL136" s="66" t="str">
        <f t="shared" si="1957"/>
        <v/>
      </c>
      <c r="EM136" s="66" t="str">
        <f t="shared" si="1958"/>
        <v/>
      </c>
      <c r="EN136" s="66" t="str">
        <f t="shared" si="1959"/>
        <v/>
      </c>
      <c r="EO136" s="66" t="str">
        <f t="shared" si="1960"/>
        <v/>
      </c>
      <c r="EP136" s="66" t="str">
        <f t="shared" si="1961"/>
        <v/>
      </c>
      <c r="EQ136" s="66" t="str">
        <f t="shared" si="1962"/>
        <v/>
      </c>
      <c r="ER136" s="66" t="str">
        <f t="shared" si="1963"/>
        <v/>
      </c>
      <c r="ES136" s="66" t="str">
        <f t="shared" si="1964"/>
        <v/>
      </c>
      <c r="ET136" s="66" t="str">
        <f t="shared" si="1965"/>
        <v/>
      </c>
      <c r="EU136" s="66" t="str">
        <f t="shared" si="1966"/>
        <v/>
      </c>
      <c r="EV136" s="66" t="str">
        <f t="shared" si="1967"/>
        <v/>
      </c>
      <c r="EW136" s="66" t="str">
        <f t="shared" si="1968"/>
        <v/>
      </c>
      <c r="EX136" s="66" t="str">
        <f t="shared" si="1969"/>
        <v/>
      </c>
      <c r="EY136" s="66" t="str">
        <f t="shared" si="1970"/>
        <v/>
      </c>
      <c r="EZ136" s="66" t="str">
        <f t="shared" si="1971"/>
        <v/>
      </c>
      <c r="FA136" s="66" t="str">
        <f t="shared" si="1972"/>
        <v/>
      </c>
      <c r="FB136" s="66" t="str">
        <f t="shared" si="1973"/>
        <v/>
      </c>
      <c r="FC136" s="66" t="str">
        <f t="shared" si="1974"/>
        <v/>
      </c>
      <c r="FD136" s="66" t="str">
        <f t="shared" si="1975"/>
        <v/>
      </c>
      <c r="FE136" s="66" t="str">
        <f t="shared" si="1976"/>
        <v/>
      </c>
      <c r="FF136" s="66" t="str">
        <f t="shared" si="1977"/>
        <v/>
      </c>
      <c r="FG136" s="66" t="str">
        <f t="shared" si="1978"/>
        <v/>
      </c>
      <c r="FH136" s="66" t="str">
        <f t="shared" si="1979"/>
        <v/>
      </c>
      <c r="FI136" s="66" t="str">
        <f t="shared" si="1980"/>
        <v/>
      </c>
      <c r="FJ136" s="66" t="str">
        <f t="shared" si="1981"/>
        <v/>
      </c>
      <c r="FK136" s="66" t="str">
        <f t="shared" si="1982"/>
        <v/>
      </c>
      <c r="FL136" s="66" t="str">
        <f t="shared" si="1983"/>
        <v/>
      </c>
      <c r="FM136" s="66" t="str">
        <f t="shared" si="1984"/>
        <v/>
      </c>
      <c r="FN136" s="66" t="str">
        <f t="shared" si="1985"/>
        <v/>
      </c>
      <c r="FO136" s="66" t="str">
        <f t="shared" si="1986"/>
        <v/>
      </c>
      <c r="FP136" s="66" t="str">
        <f t="shared" si="1987"/>
        <v/>
      </c>
      <c r="FQ136" s="66" t="str">
        <f t="shared" si="1988"/>
        <v/>
      </c>
      <c r="FR136" s="66" t="str">
        <f t="shared" si="1989"/>
        <v/>
      </c>
      <c r="FS136" s="66" t="str">
        <f t="shared" si="1990"/>
        <v/>
      </c>
    </row>
    <row r="137" spans="1:175" ht="16.5">
      <c r="A137" s="9"/>
      <c r="B137" s="17" t="s">
        <v>524</v>
      </c>
      <c r="C137" s="18" t="s">
        <v>525</v>
      </c>
      <c r="T137" s="100" t="s">
        <v>526</v>
      </c>
      <c r="U137" s="77" t="str">
        <f t="shared" si="1549"/>
        <v>ReplaceableTextures\\CommandButtons\\BTNIN14.blp</v>
      </c>
      <c r="CN137" s="36" t="str">
        <f t="shared" si="2067"/>
        <v>InitUnitState('IN14',,,,,,,,,,)</v>
      </c>
      <c r="CO137" s="36" t="str">
        <f t="shared" si="2068"/>
        <v>InitUnitNormal('IN14',,,,,,,,,,)</v>
      </c>
      <c r="CP137" s="36" t="str">
        <f t="shared" si="2069"/>
        <v>InitUnitMagic('IN14',,,,,,,,,,)</v>
      </c>
      <c r="CQ137" s="36" t="str">
        <f t="shared" si="2070"/>
        <v>InitUnitAdd('IN14',,,,,,,,,,)</v>
      </c>
      <c r="CR137" s="36" t="str">
        <f t="shared" si="2071"/>
        <v>InitEquipData('IN14',,"",,,,,'','','','','','',"ReplaceableTextures\\CommandButtons\\BTNIT08.blp")</v>
      </c>
      <c r="CU137" s="88" t="str">
        <f t="shared" si="1919"/>
        <v>|n</v>
      </c>
      <c r="CV137" s="19" t="str">
        <f t="shared" si="1920"/>
        <v>使用后基地无敌|Cffffd24d5|r秒。</v>
      </c>
      <c r="CW137" s="33"/>
      <c r="CX137" s="33"/>
      <c r="CY137" s="33"/>
      <c r="CZ137" s="33"/>
      <c r="DA137" s="33"/>
      <c r="DB137" s="66" t="str">
        <f t="shared" si="1921"/>
        <v/>
      </c>
      <c r="DC137" s="66" t="str">
        <f t="shared" si="1922"/>
        <v/>
      </c>
      <c r="DD137" s="66" t="str">
        <f t="shared" si="1923"/>
        <v/>
      </c>
      <c r="DE137" s="66" t="str">
        <f t="shared" si="1924"/>
        <v/>
      </c>
      <c r="DF137" s="66" t="str">
        <f t="shared" si="1925"/>
        <v/>
      </c>
      <c r="DG137" s="66" t="str">
        <f t="shared" si="1926"/>
        <v/>
      </c>
      <c r="DH137" s="66" t="str">
        <f t="shared" si="1927"/>
        <v/>
      </c>
      <c r="DI137" s="66" t="str">
        <f t="shared" si="1928"/>
        <v/>
      </c>
      <c r="DJ137" s="66" t="str">
        <f t="shared" si="1929"/>
        <v/>
      </c>
      <c r="DK137" s="66" t="str">
        <f t="shared" si="1930"/>
        <v/>
      </c>
      <c r="DL137" s="66" t="str">
        <f t="shared" si="1931"/>
        <v/>
      </c>
      <c r="DM137" s="66" t="str">
        <f t="shared" si="1932"/>
        <v/>
      </c>
      <c r="DN137" s="66" t="str">
        <f t="shared" si="1933"/>
        <v/>
      </c>
      <c r="DO137" s="66" t="str">
        <f t="shared" si="1934"/>
        <v/>
      </c>
      <c r="DP137" s="66" t="str">
        <f t="shared" si="1935"/>
        <v/>
      </c>
      <c r="DQ137" s="66" t="str">
        <f t="shared" si="1936"/>
        <v/>
      </c>
      <c r="DR137" s="66" t="str">
        <f t="shared" si="1937"/>
        <v/>
      </c>
      <c r="DS137" s="66" t="str">
        <f t="shared" si="1938"/>
        <v/>
      </c>
      <c r="DT137" s="66" t="str">
        <f t="shared" si="1939"/>
        <v/>
      </c>
      <c r="DU137" s="66" t="str">
        <f t="shared" si="1940"/>
        <v/>
      </c>
      <c r="DV137" s="66" t="str">
        <f t="shared" si="1941"/>
        <v/>
      </c>
      <c r="DW137" s="66" t="str">
        <f t="shared" si="1942"/>
        <v/>
      </c>
      <c r="DX137" s="66" t="str">
        <f t="shared" si="1943"/>
        <v/>
      </c>
      <c r="DY137" s="66" t="str">
        <f t="shared" si="1944"/>
        <v/>
      </c>
      <c r="DZ137" s="66" t="str">
        <f t="shared" si="1945"/>
        <v/>
      </c>
      <c r="EA137" s="66" t="str">
        <f t="shared" si="1946"/>
        <v/>
      </c>
      <c r="EB137" s="66" t="str">
        <f t="shared" si="1947"/>
        <v/>
      </c>
      <c r="EC137" s="66" t="str">
        <f t="shared" si="1948"/>
        <v/>
      </c>
      <c r="ED137" s="66" t="str">
        <f t="shared" si="1949"/>
        <v/>
      </c>
      <c r="EE137" s="66" t="str">
        <f t="shared" si="1950"/>
        <v/>
      </c>
      <c r="EF137" s="66" t="str">
        <f t="shared" si="1951"/>
        <v/>
      </c>
      <c r="EG137" s="66" t="str">
        <f t="shared" si="1952"/>
        <v/>
      </c>
      <c r="EH137" s="66" t="str">
        <f t="shared" si="1953"/>
        <v/>
      </c>
      <c r="EI137" s="66" t="str">
        <f t="shared" si="1954"/>
        <v/>
      </c>
      <c r="EJ137" s="66" t="str">
        <f t="shared" si="1955"/>
        <v/>
      </c>
      <c r="EK137" s="66" t="str">
        <f t="shared" si="1956"/>
        <v/>
      </c>
      <c r="EL137" s="66" t="str">
        <f t="shared" si="1957"/>
        <v/>
      </c>
      <c r="EM137" s="66" t="str">
        <f t="shared" si="1958"/>
        <v/>
      </c>
      <c r="EN137" s="66" t="str">
        <f t="shared" si="1959"/>
        <v/>
      </c>
      <c r="EO137" s="66" t="str">
        <f t="shared" si="1960"/>
        <v/>
      </c>
      <c r="EP137" s="66" t="str">
        <f t="shared" si="1961"/>
        <v/>
      </c>
      <c r="EQ137" s="66" t="str">
        <f t="shared" si="1962"/>
        <v/>
      </c>
      <c r="ER137" s="66" t="str">
        <f t="shared" si="1963"/>
        <v/>
      </c>
      <c r="ES137" s="66" t="str">
        <f t="shared" si="1964"/>
        <v/>
      </c>
      <c r="ET137" s="66" t="str">
        <f t="shared" si="1965"/>
        <v/>
      </c>
      <c r="EU137" s="66" t="str">
        <f t="shared" si="1966"/>
        <v/>
      </c>
      <c r="EV137" s="66" t="str">
        <f t="shared" si="1967"/>
        <v/>
      </c>
      <c r="EW137" s="66" t="str">
        <f t="shared" si="1968"/>
        <v/>
      </c>
      <c r="EX137" s="66" t="str">
        <f t="shared" si="1969"/>
        <v/>
      </c>
      <c r="EY137" s="66" t="str">
        <f t="shared" si="1970"/>
        <v/>
      </c>
      <c r="EZ137" s="66" t="str">
        <f t="shared" si="1971"/>
        <v/>
      </c>
      <c r="FA137" s="66" t="str">
        <f t="shared" si="1972"/>
        <v/>
      </c>
      <c r="FB137" s="66" t="str">
        <f t="shared" si="1973"/>
        <v/>
      </c>
      <c r="FC137" s="66" t="str">
        <f t="shared" si="1974"/>
        <v/>
      </c>
      <c r="FD137" s="66" t="str">
        <f t="shared" si="1975"/>
        <v/>
      </c>
      <c r="FE137" s="66" t="str">
        <f t="shared" si="1976"/>
        <v/>
      </c>
      <c r="FF137" s="66" t="str">
        <f t="shared" si="1977"/>
        <v/>
      </c>
      <c r="FG137" s="66" t="str">
        <f t="shared" si="1978"/>
        <v/>
      </c>
      <c r="FH137" s="66" t="str">
        <f t="shared" si="1979"/>
        <v/>
      </c>
      <c r="FI137" s="66" t="str">
        <f t="shared" si="1980"/>
        <v/>
      </c>
      <c r="FJ137" s="66" t="str">
        <f t="shared" si="1981"/>
        <v/>
      </c>
      <c r="FK137" s="66" t="str">
        <f t="shared" si="1982"/>
        <v/>
      </c>
      <c r="FL137" s="66" t="str">
        <f t="shared" si="1983"/>
        <v/>
      </c>
      <c r="FM137" s="66" t="str">
        <f t="shared" si="1984"/>
        <v/>
      </c>
      <c r="FN137" s="66" t="str">
        <f t="shared" si="1985"/>
        <v/>
      </c>
      <c r="FO137" s="66" t="str">
        <f t="shared" si="1986"/>
        <v/>
      </c>
      <c r="FP137" s="66" t="str">
        <f t="shared" si="1987"/>
        <v/>
      </c>
      <c r="FQ137" s="66" t="str">
        <f t="shared" si="1988"/>
        <v/>
      </c>
      <c r="FR137" s="66" t="str">
        <f t="shared" si="1989"/>
        <v/>
      </c>
      <c r="FS137" s="66" t="str">
        <f t="shared" si="1990"/>
        <v/>
      </c>
    </row>
    <row r="138" spans="1:175" ht="28.5">
      <c r="A138" s="9"/>
      <c r="B138" s="17" t="s">
        <v>527</v>
      </c>
      <c r="C138" s="18" t="s">
        <v>528</v>
      </c>
      <c r="T138" s="101" t="s">
        <v>529</v>
      </c>
      <c r="U138" s="77" t="str">
        <f t="shared" si="1549"/>
        <v>ReplaceableTextures\\CommandButtons\\BTNIN15.blp</v>
      </c>
      <c r="CN138" s="36" t="str">
        <f t="shared" si="2067"/>
        <v>InitUnitState('IN15',,,,,,,,,,)</v>
      </c>
      <c r="CO138" s="36" t="str">
        <f t="shared" si="2068"/>
        <v>InitUnitNormal('IN15',,,,,,,,,,)</v>
      </c>
      <c r="CP138" s="36" t="str">
        <f t="shared" si="2069"/>
        <v>InitUnitMagic('IN15',,,,,,,,,,)</v>
      </c>
      <c r="CQ138" s="36" t="str">
        <f t="shared" si="2070"/>
        <v>InitUnitAdd('IN15',,,,,,,,,,)</v>
      </c>
      <c r="CR138" s="36" t="str">
        <f t="shared" si="2071"/>
        <v>InitEquipData('IN15',,"",,,,,'','','','','','',"ReplaceableTextures\\CommandButtons\\BTNIT09.blp")</v>
      </c>
      <c r="CU138" s="88" t="str">
        <f t="shared" ref="CU138:CU140" si="2144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19" t="str">
        <f t="shared" ref="CV138:CV140" si="2145">T138</f>
        <v>场上存活的队友|Cffffd24d10|r秒内减少|Cffffd24d20%|r承受伤害</v>
      </c>
      <c r="CW138" s="33"/>
      <c r="CX138" s="33"/>
      <c r="CY138" s="33"/>
      <c r="CZ138" s="33"/>
      <c r="DA138" s="33"/>
      <c r="DB138" s="66" t="str">
        <f t="shared" ref="DB138:DB140" si="2146">IF(V138="","","|n"&amp;DB$2&amp;"+"&amp;V138&amp;DB$1)</f>
        <v/>
      </c>
      <c r="DC138" s="66" t="str">
        <f t="shared" ref="DC138:DC140" si="2147">IF(W138="","","|n"&amp;DC$2&amp;"+"&amp;W138&amp;DC$1)</f>
        <v/>
      </c>
      <c r="DD138" s="66" t="str">
        <f t="shared" ref="DD138:DD140" si="2148">IF(X138="","","|n"&amp;DD$2&amp;"+"&amp;X138&amp;DD$1)</f>
        <v/>
      </c>
      <c r="DE138" s="66" t="str">
        <f t="shared" ref="DE138:DE140" si="2149">IF(Y138="","","|n"&amp;DE$2&amp;"+"&amp;Y138&amp;DE$1)</f>
        <v/>
      </c>
      <c r="DF138" s="66" t="str">
        <f t="shared" ref="DF138:DF140" si="2150">IF(Z138="","","|n"&amp;DF$2&amp;"+"&amp;Z138&amp;DF$1)</f>
        <v/>
      </c>
      <c r="DG138" s="66" t="str">
        <f t="shared" ref="DG138:DG140" si="2151">IF(AA138="","","|n"&amp;DG$2&amp;"+"&amp;AA138&amp;DG$1)</f>
        <v/>
      </c>
      <c r="DH138" s="66" t="str">
        <f t="shared" ref="DH138:DH140" si="2152">IF(AB138="","","|n"&amp;DH$2&amp;"+"&amp;AB138&amp;DH$1)</f>
        <v/>
      </c>
      <c r="DI138" s="66" t="str">
        <f t="shared" ref="DI138:DI140" si="2153">IF(AC138="","","|n"&amp;DI$2&amp;"+"&amp;AC138&amp;DI$1)</f>
        <v/>
      </c>
      <c r="DJ138" s="66" t="str">
        <f t="shared" ref="DJ138:DJ140" si="2154">IF(AD138="","","|n"&amp;DJ$2&amp;"+"&amp;AD138&amp;DJ$1)</f>
        <v/>
      </c>
      <c r="DK138" s="66" t="str">
        <f t="shared" ref="DK138:DK140" si="2155">IF(AE138="","","|n"&amp;DK$2&amp;"+"&amp;AE138&amp;DK$1)</f>
        <v/>
      </c>
      <c r="DL138" s="66" t="str">
        <f t="shared" ref="DL138:DL140" si="2156">IF(AF138="","","|n"&amp;DL$2&amp;"+"&amp;AF138&amp;DL$1)</f>
        <v/>
      </c>
      <c r="DM138" s="66" t="str">
        <f t="shared" ref="DM138:DM140" si="2157">IF(AG138="","","|n"&amp;DM$2&amp;"+"&amp;AG138&amp;DM$1)</f>
        <v/>
      </c>
      <c r="DN138" s="66" t="str">
        <f t="shared" ref="DN138:DN140" si="2158">IF(AH138="","","|n"&amp;DN$2&amp;"+"&amp;AH138&amp;DN$1)</f>
        <v/>
      </c>
      <c r="DO138" s="66" t="str">
        <f t="shared" ref="DO138:DO140" si="2159">IF(AI138="","","|n"&amp;DO$2&amp;"+"&amp;AI138&amp;DO$1)</f>
        <v/>
      </c>
      <c r="DP138" s="66" t="str">
        <f t="shared" ref="DP138:DP140" si="2160">IF(AJ138="","","|n"&amp;DP$2&amp;"+"&amp;AJ138&amp;DP$1)</f>
        <v/>
      </c>
      <c r="DQ138" s="66" t="str">
        <f t="shared" ref="DQ138:DQ140" si="2161">IF(AK138="","","|n"&amp;DQ$2&amp;"+"&amp;AK138&amp;DQ$1)</f>
        <v/>
      </c>
      <c r="DR138" s="66" t="str">
        <f t="shared" ref="DR138:DR140" si="2162">IF(AL138="","","|n"&amp;DR$2&amp;"+"&amp;AL138&amp;DR$1)</f>
        <v/>
      </c>
      <c r="DS138" s="66" t="str">
        <f t="shared" ref="DS138:DS140" si="2163">IF(AM138="","","|n"&amp;DS$2&amp;"+"&amp;AM138&amp;DS$1)</f>
        <v/>
      </c>
      <c r="DT138" s="66" t="str">
        <f t="shared" ref="DT138:DT140" si="2164">IF(AN138="","","|n"&amp;DT$2&amp;"+"&amp;AN138&amp;DT$1)</f>
        <v/>
      </c>
      <c r="DU138" s="66" t="str">
        <f t="shared" ref="DU138:DU140" si="2165">IF(AO138="","","|n"&amp;DU$2&amp;"+"&amp;AO138&amp;DU$1)</f>
        <v/>
      </c>
      <c r="DV138" s="66" t="str">
        <f t="shared" ref="DV138:DV140" si="2166">IF(AP138="","","|n"&amp;DV$2&amp;"+"&amp;AP138&amp;DV$1)</f>
        <v/>
      </c>
      <c r="DW138" s="66" t="str">
        <f t="shared" ref="DW138:DW140" si="2167">IF(AQ138="","","|n"&amp;DW$2&amp;"+"&amp;AQ138&amp;DW$1)</f>
        <v/>
      </c>
      <c r="DX138" s="66" t="str">
        <f t="shared" ref="DX138:DX140" si="2168">IF(AR138="","","|n"&amp;DX$2&amp;"+"&amp;AR138&amp;DX$1)</f>
        <v/>
      </c>
      <c r="DY138" s="66" t="str">
        <f t="shared" ref="DY138:DY140" si="2169">IF(AS138="","","|n"&amp;DY$2&amp;"+"&amp;AS138&amp;DY$1)</f>
        <v/>
      </c>
      <c r="DZ138" s="66" t="str">
        <f t="shared" ref="DZ138:DZ140" si="2170">IF(AT138="","","|n"&amp;DZ$2&amp;"+"&amp;AT138&amp;DZ$1)</f>
        <v/>
      </c>
      <c r="EA138" s="66" t="str">
        <f t="shared" ref="EA138:EA140" si="2171">IF(AU138="","","|n"&amp;EA$2&amp;"+"&amp;AU138&amp;EA$1)</f>
        <v/>
      </c>
      <c r="EB138" s="66" t="str">
        <f t="shared" ref="EB138:EB140" si="2172">IF(AV138="","","|n"&amp;EB$2&amp;"+"&amp;AV138&amp;EB$1)</f>
        <v/>
      </c>
      <c r="EC138" s="66" t="str">
        <f t="shared" ref="EC138:EC140" si="2173">IF(AW138="","","|n"&amp;EC$2&amp;"+"&amp;AW138&amp;EC$1)</f>
        <v/>
      </c>
      <c r="ED138" s="66" t="str">
        <f t="shared" ref="ED138:ED140" si="2174">IF(AX138="","","|n"&amp;ED$2&amp;"+"&amp;AX138&amp;ED$1)</f>
        <v/>
      </c>
      <c r="EE138" s="66" t="str">
        <f t="shared" ref="EE138:EE140" si="2175">IF(AY138="","","|n"&amp;EE$2&amp;"+"&amp;AY138&amp;EE$1)</f>
        <v/>
      </c>
      <c r="EF138" s="66" t="str">
        <f t="shared" ref="EF138:EF140" si="2176">IF(AZ138="","","|n"&amp;EF$2&amp;"+"&amp;AZ138&amp;EF$1)</f>
        <v/>
      </c>
      <c r="EG138" s="66" t="str">
        <f t="shared" ref="EG138:EG140" si="2177">IF(BA138="","","|n"&amp;EG$2&amp;"+"&amp;BA138&amp;EG$1)</f>
        <v/>
      </c>
      <c r="EH138" s="66" t="str">
        <f t="shared" ref="EH138:EH140" si="2178">IF(BB138="","","|n"&amp;EH$2&amp;"+"&amp;BB138&amp;EH$1)</f>
        <v/>
      </c>
      <c r="EI138" s="66" t="str">
        <f t="shared" ref="EI138:EI140" si="2179">IF(BC138="","","|n"&amp;EI$2&amp;"+"&amp;BC138&amp;EI$1)</f>
        <v/>
      </c>
      <c r="EJ138" s="66" t="str">
        <f t="shared" ref="EJ138:EJ140" si="2180">IF(BD138="","","|n"&amp;EJ$2&amp;"+"&amp;BD138&amp;EJ$1)</f>
        <v/>
      </c>
      <c r="EK138" s="66" t="str">
        <f t="shared" ref="EK138:EK140" si="2181">IF(BE138="","","|n"&amp;EK$2&amp;"+"&amp;BE138&amp;EK$1)</f>
        <v/>
      </c>
      <c r="EL138" s="66" t="str">
        <f t="shared" ref="EL138:EL140" si="2182">IF(BF138="","","|n"&amp;EL$2&amp;"+"&amp;BF138&amp;EL$1)</f>
        <v/>
      </c>
      <c r="EM138" s="66" t="str">
        <f t="shared" ref="EM138:EM140" si="2183">IF(BG138="","","|n"&amp;EM$2&amp;"+"&amp;BG138&amp;EM$1)</f>
        <v/>
      </c>
      <c r="EN138" s="66" t="str">
        <f t="shared" ref="EN138:EN140" si="2184">IF(BH138="","","|n"&amp;EN$2&amp;"+"&amp;BH138&amp;EN$1)</f>
        <v/>
      </c>
      <c r="EO138" s="66" t="str">
        <f t="shared" ref="EO138:EO140" si="2185">IF(BI138="","","|n"&amp;EO$2&amp;"+"&amp;BI138&amp;EO$1)</f>
        <v/>
      </c>
      <c r="EP138" s="66" t="str">
        <f t="shared" ref="EP138:EP140" si="2186">IF(BJ138="","","|n"&amp;EP$2&amp;"+"&amp;BJ138&amp;EP$1)</f>
        <v/>
      </c>
      <c r="EQ138" s="66" t="str">
        <f t="shared" ref="EQ138:EQ140" si="2187">IF(BK138="","","|n"&amp;EQ$2&amp;"+"&amp;BK138&amp;EQ$1)</f>
        <v/>
      </c>
      <c r="ER138" s="66" t="str">
        <f t="shared" ref="ER138:ER140" si="2188">IF(BL138="","","|n"&amp;ER$2&amp;"+"&amp;BL138&amp;ER$1)</f>
        <v/>
      </c>
      <c r="ES138" s="66" t="str">
        <f t="shared" ref="ES138:ES140" si="2189">IF(BM138="","","|n"&amp;ES$2&amp;"+"&amp;BM138&amp;ES$1)</f>
        <v/>
      </c>
      <c r="ET138" s="66" t="str">
        <f t="shared" ref="ET138:ET140" si="2190">IF(BN138="","","|n"&amp;ET$2&amp;"+"&amp;BN138&amp;ET$1)</f>
        <v/>
      </c>
      <c r="EU138" s="66" t="str">
        <f t="shared" ref="EU138:EU140" si="2191">IF(BO138="","","|n"&amp;EU$2&amp;"+"&amp;BO138&amp;EU$1)</f>
        <v/>
      </c>
      <c r="EV138" s="66" t="str">
        <f t="shared" ref="EV138:EV140" si="2192">IF(BP138="","","|n"&amp;EV$2&amp;"+"&amp;BP138&amp;EV$1)</f>
        <v/>
      </c>
      <c r="EW138" s="66" t="str">
        <f t="shared" ref="EW138:EW140" si="2193">IF(BQ138="","","|n"&amp;EW$2&amp;"+"&amp;BQ138&amp;EW$1)</f>
        <v/>
      </c>
      <c r="EX138" s="66" t="str">
        <f t="shared" ref="EX138:EX140" si="2194">IF(BR138="","","|n"&amp;EX$2&amp;"+"&amp;BR138&amp;EX$1)</f>
        <v/>
      </c>
      <c r="EY138" s="66" t="str">
        <f t="shared" ref="EY138:EY140" si="2195">IF(BS138="","","|n"&amp;EY$2&amp;"+"&amp;BS138&amp;EY$1)</f>
        <v/>
      </c>
      <c r="EZ138" s="66" t="str">
        <f t="shared" ref="EZ138:EZ140" si="2196">IF(BT138="","","|n"&amp;EZ$2&amp;"+"&amp;BT138&amp;EZ$1)</f>
        <v/>
      </c>
      <c r="FA138" s="66" t="str">
        <f t="shared" ref="FA138:FA140" si="2197">IF(BU138="","","|n"&amp;FA$2&amp;"+"&amp;BU138&amp;FA$1)</f>
        <v/>
      </c>
      <c r="FB138" s="66" t="str">
        <f t="shared" ref="FB138:FB140" si="2198">IF(BV138="","","|n"&amp;FB$2&amp;"+"&amp;BV138&amp;FB$1)</f>
        <v/>
      </c>
      <c r="FC138" s="66" t="str">
        <f t="shared" ref="FC138:FC140" si="2199">IF(BW138="","","|n"&amp;FC$2&amp;"+"&amp;BW138&amp;FC$1)</f>
        <v/>
      </c>
      <c r="FD138" s="66" t="str">
        <f t="shared" ref="FD138:FD140" si="2200">IF(BX138="","","|n"&amp;FD$2&amp;"+"&amp;BX138&amp;FD$1)</f>
        <v/>
      </c>
      <c r="FE138" s="66" t="str">
        <f t="shared" ref="FE138:FE140" si="2201">IF(BY138="","","|n"&amp;FE$2&amp;"+"&amp;BY138&amp;FE$1)</f>
        <v/>
      </c>
      <c r="FF138" s="66" t="str">
        <f t="shared" ref="FF138:FF140" si="2202">IF(BZ138="","","|n"&amp;FF$2&amp;"+"&amp;BZ138&amp;FF$1)</f>
        <v/>
      </c>
      <c r="FG138" s="66" t="str">
        <f t="shared" ref="FG138:FG140" si="2203">IF(CA138="","","|n"&amp;FG$2&amp;"+"&amp;CA138&amp;FG$1)</f>
        <v/>
      </c>
      <c r="FH138" s="66" t="str">
        <f t="shared" ref="FH138:FH140" si="2204">IF(CB138="","","|n"&amp;FH$2&amp;"+"&amp;CB138&amp;FH$1)</f>
        <v/>
      </c>
      <c r="FI138" s="66" t="str">
        <f t="shared" ref="FI138:FI140" si="2205">IF(CC138="","","|n"&amp;FI$2&amp;"+"&amp;CC138&amp;FI$1)</f>
        <v/>
      </c>
      <c r="FJ138" s="66" t="str">
        <f t="shared" ref="FJ138:FJ140" si="2206">IF(CD138="","","|n"&amp;FJ$2&amp;"+"&amp;CD138&amp;FJ$1)</f>
        <v/>
      </c>
      <c r="FK138" s="66" t="str">
        <f t="shared" ref="FK138:FK140" si="2207">IF(CE138="","","|n"&amp;FK$2&amp;"+"&amp;CE138&amp;FK$1)</f>
        <v/>
      </c>
      <c r="FL138" s="66" t="str">
        <f t="shared" ref="FL138:FL140" si="2208">IF(CF138="","","|n"&amp;FL$2&amp;"+"&amp;CF138&amp;FL$1)</f>
        <v/>
      </c>
      <c r="FM138" s="66" t="str">
        <f t="shared" ref="FM138:FM140" si="2209">IF(CG138="","","|n"&amp;FM$2&amp;"+"&amp;CG138&amp;FM$1)</f>
        <v/>
      </c>
      <c r="FN138" s="66" t="str">
        <f t="shared" ref="FN138:FN140" si="2210">IF(CH138="","","|n"&amp;FN$2&amp;"+"&amp;CH138&amp;FN$1)</f>
        <v/>
      </c>
      <c r="FO138" s="66" t="str">
        <f t="shared" ref="FO138:FO140" si="2211">IF(CI138="","","|n"&amp;FO$2&amp;"+"&amp;CI138&amp;FO$1)</f>
        <v/>
      </c>
      <c r="FP138" s="66" t="str">
        <f t="shared" ref="FP138:FP140" si="2212">IF(CJ138="","","|n"&amp;FP$2&amp;"+"&amp;CJ138&amp;FP$1)</f>
        <v/>
      </c>
      <c r="FQ138" s="66" t="str">
        <f t="shared" ref="FQ138:FQ140" si="2213">IF(CK138="","","|n"&amp;FQ$2&amp;"+"&amp;CK138&amp;FQ$1)</f>
        <v/>
      </c>
      <c r="FR138" s="66" t="str">
        <f t="shared" ref="FR138:FR140" si="2214">IF(CL138="","","|n"&amp;FR$2&amp;"+"&amp;CL138&amp;FR$1)</f>
        <v/>
      </c>
      <c r="FS138" s="66" t="str">
        <f t="shared" ref="FS138:FS140" si="2215">IF(CM138="","","|n"&amp;FS$2&amp;"+"&amp;CM138&amp;FS$1)</f>
        <v/>
      </c>
    </row>
    <row r="139" spans="1:175" ht="42.75">
      <c r="A139" s="9"/>
      <c r="B139" s="17" t="s">
        <v>530</v>
      </c>
      <c r="C139" s="17" t="s">
        <v>531</v>
      </c>
      <c r="T139" s="100" t="s">
        <v>532</v>
      </c>
      <c r="U139" s="77" t="str">
        <f t="shared" si="1549"/>
        <v>ReplaceableTextures\\CommandButtons\\BTNIN16.blp</v>
      </c>
      <c r="CN139" s="36" t="str">
        <f t="shared" si="2067"/>
        <v>InitUnitState('IN16',,,,,,,,,,)</v>
      </c>
      <c r="CO139" s="36" t="str">
        <f t="shared" si="2068"/>
        <v>InitUnitNormal('IN16',,,,,,,,,,)</v>
      </c>
      <c r="CP139" s="36" t="str">
        <f t="shared" si="2069"/>
        <v>InitUnitMagic('IN16',,,,,,,,,,)</v>
      </c>
      <c r="CQ139" s="36" t="str">
        <f t="shared" si="2070"/>
        <v>InitUnitAdd('IN16',,,,,,,,,,)</v>
      </c>
      <c r="CR139" s="36" t="str">
        <f t="shared" si="2071"/>
        <v>InitEquipData('IN16',,"",,,,,'','','','','','',"ReplaceableTextures\\CommandButtons\\BTNIT10.blp")</v>
      </c>
      <c r="CU139" s="88" t="str">
        <f t="shared" si="2144"/>
        <v>|n</v>
      </c>
      <c r="CV139" s="19" t="str">
        <f t="shared" si="2145"/>
        <v>使|Cffffd24d1|r个|Cffffd24d道果品质|r提高|Cffffd24d-1~+2|r。|n|n|Cff00ff7f只能对天级【7】或以下的道果使用|r</v>
      </c>
      <c r="CW139" s="33"/>
      <c r="CX139" s="33"/>
      <c r="CY139" s="33"/>
      <c r="CZ139" s="33"/>
      <c r="DA139" s="33"/>
      <c r="DB139" s="66" t="str">
        <f t="shared" si="2146"/>
        <v/>
      </c>
      <c r="DC139" s="66" t="str">
        <f t="shared" si="2147"/>
        <v/>
      </c>
      <c r="DD139" s="66" t="str">
        <f t="shared" si="2148"/>
        <v/>
      </c>
      <c r="DE139" s="66" t="str">
        <f t="shared" si="2149"/>
        <v/>
      </c>
      <c r="DF139" s="66" t="str">
        <f t="shared" si="2150"/>
        <v/>
      </c>
      <c r="DG139" s="66" t="str">
        <f t="shared" si="2151"/>
        <v/>
      </c>
      <c r="DH139" s="66" t="str">
        <f t="shared" si="2152"/>
        <v/>
      </c>
      <c r="DI139" s="66" t="str">
        <f t="shared" si="2153"/>
        <v/>
      </c>
      <c r="DJ139" s="66" t="str">
        <f t="shared" si="2154"/>
        <v/>
      </c>
      <c r="DK139" s="66" t="str">
        <f t="shared" si="2155"/>
        <v/>
      </c>
      <c r="DL139" s="66" t="str">
        <f t="shared" si="2156"/>
        <v/>
      </c>
      <c r="DM139" s="66" t="str">
        <f t="shared" si="2157"/>
        <v/>
      </c>
      <c r="DN139" s="66" t="str">
        <f t="shared" si="2158"/>
        <v/>
      </c>
      <c r="DO139" s="66" t="str">
        <f t="shared" si="2159"/>
        <v/>
      </c>
      <c r="DP139" s="66" t="str">
        <f t="shared" si="2160"/>
        <v/>
      </c>
      <c r="DQ139" s="66" t="str">
        <f t="shared" si="2161"/>
        <v/>
      </c>
      <c r="DR139" s="66" t="str">
        <f t="shared" si="2162"/>
        <v/>
      </c>
      <c r="DS139" s="66" t="str">
        <f t="shared" si="2163"/>
        <v/>
      </c>
      <c r="DT139" s="66" t="str">
        <f t="shared" si="2164"/>
        <v/>
      </c>
      <c r="DU139" s="66" t="str">
        <f t="shared" si="2165"/>
        <v/>
      </c>
      <c r="DV139" s="66" t="str">
        <f t="shared" si="2166"/>
        <v/>
      </c>
      <c r="DW139" s="66" t="str">
        <f t="shared" si="2167"/>
        <v/>
      </c>
      <c r="DX139" s="66" t="str">
        <f t="shared" si="2168"/>
        <v/>
      </c>
      <c r="DY139" s="66" t="str">
        <f t="shared" si="2169"/>
        <v/>
      </c>
      <c r="DZ139" s="66" t="str">
        <f t="shared" si="2170"/>
        <v/>
      </c>
      <c r="EA139" s="66" t="str">
        <f t="shared" si="2171"/>
        <v/>
      </c>
      <c r="EB139" s="66" t="str">
        <f t="shared" si="2172"/>
        <v/>
      </c>
      <c r="EC139" s="66" t="str">
        <f t="shared" si="2173"/>
        <v/>
      </c>
      <c r="ED139" s="66" t="str">
        <f t="shared" si="2174"/>
        <v/>
      </c>
      <c r="EE139" s="66" t="str">
        <f t="shared" si="2175"/>
        <v/>
      </c>
      <c r="EF139" s="66" t="str">
        <f t="shared" si="2176"/>
        <v/>
      </c>
      <c r="EG139" s="66" t="str">
        <f t="shared" si="2177"/>
        <v/>
      </c>
      <c r="EH139" s="66" t="str">
        <f t="shared" si="2178"/>
        <v/>
      </c>
      <c r="EI139" s="66" t="str">
        <f t="shared" si="2179"/>
        <v/>
      </c>
      <c r="EJ139" s="66" t="str">
        <f t="shared" si="2180"/>
        <v/>
      </c>
      <c r="EK139" s="66" t="str">
        <f t="shared" si="2181"/>
        <v/>
      </c>
      <c r="EL139" s="66" t="str">
        <f t="shared" si="2182"/>
        <v/>
      </c>
      <c r="EM139" s="66" t="str">
        <f t="shared" si="2183"/>
        <v/>
      </c>
      <c r="EN139" s="66" t="str">
        <f t="shared" si="2184"/>
        <v/>
      </c>
      <c r="EO139" s="66" t="str">
        <f t="shared" si="2185"/>
        <v/>
      </c>
      <c r="EP139" s="66" t="str">
        <f t="shared" si="2186"/>
        <v/>
      </c>
      <c r="EQ139" s="66" t="str">
        <f t="shared" si="2187"/>
        <v/>
      </c>
      <c r="ER139" s="66" t="str">
        <f t="shared" si="2188"/>
        <v/>
      </c>
      <c r="ES139" s="66" t="str">
        <f t="shared" si="2189"/>
        <v/>
      </c>
      <c r="ET139" s="66" t="str">
        <f t="shared" si="2190"/>
        <v/>
      </c>
      <c r="EU139" s="66" t="str">
        <f t="shared" si="2191"/>
        <v/>
      </c>
      <c r="EV139" s="66" t="str">
        <f t="shared" si="2192"/>
        <v/>
      </c>
      <c r="EW139" s="66" t="str">
        <f t="shared" si="2193"/>
        <v/>
      </c>
      <c r="EX139" s="66" t="str">
        <f t="shared" si="2194"/>
        <v/>
      </c>
      <c r="EY139" s="66" t="str">
        <f t="shared" si="2195"/>
        <v/>
      </c>
      <c r="EZ139" s="66" t="str">
        <f t="shared" si="2196"/>
        <v/>
      </c>
      <c r="FA139" s="66" t="str">
        <f t="shared" si="2197"/>
        <v/>
      </c>
      <c r="FB139" s="66" t="str">
        <f t="shared" si="2198"/>
        <v/>
      </c>
      <c r="FC139" s="66" t="str">
        <f t="shared" si="2199"/>
        <v/>
      </c>
      <c r="FD139" s="66" t="str">
        <f t="shared" si="2200"/>
        <v/>
      </c>
      <c r="FE139" s="66" t="str">
        <f t="shared" si="2201"/>
        <v/>
      </c>
      <c r="FF139" s="66" t="str">
        <f t="shared" si="2202"/>
        <v/>
      </c>
      <c r="FG139" s="66" t="str">
        <f t="shared" si="2203"/>
        <v/>
      </c>
      <c r="FH139" s="66" t="str">
        <f t="shared" si="2204"/>
        <v/>
      </c>
      <c r="FI139" s="66" t="str">
        <f t="shared" si="2205"/>
        <v/>
      </c>
      <c r="FJ139" s="66" t="str">
        <f t="shared" si="2206"/>
        <v/>
      </c>
      <c r="FK139" s="66" t="str">
        <f t="shared" si="2207"/>
        <v/>
      </c>
      <c r="FL139" s="66" t="str">
        <f t="shared" si="2208"/>
        <v/>
      </c>
      <c r="FM139" s="66" t="str">
        <f t="shared" si="2209"/>
        <v/>
      </c>
      <c r="FN139" s="66" t="str">
        <f t="shared" si="2210"/>
        <v/>
      </c>
      <c r="FO139" s="66" t="str">
        <f t="shared" si="2211"/>
        <v/>
      </c>
      <c r="FP139" s="66" t="str">
        <f t="shared" si="2212"/>
        <v/>
      </c>
      <c r="FQ139" s="66" t="str">
        <f t="shared" si="2213"/>
        <v/>
      </c>
      <c r="FR139" s="66" t="str">
        <f t="shared" si="2214"/>
        <v/>
      </c>
      <c r="FS139" s="66" t="str">
        <f t="shared" si="2215"/>
        <v/>
      </c>
    </row>
    <row r="140" spans="1:175" ht="16.5">
      <c r="A140" s="9"/>
      <c r="B140" s="17" t="s">
        <v>533</v>
      </c>
      <c r="C140" s="18" t="s">
        <v>534</v>
      </c>
      <c r="T140" s="19" t="s">
        <v>535</v>
      </c>
      <c r="U140" s="77" t="str">
        <f t="shared" si="1549"/>
        <v>ReplaceableTextures\\CommandButtons\\BTNIN17.blp</v>
      </c>
      <c r="CN140" s="36" t="str">
        <f t="shared" si="2067"/>
        <v>InitUnitState('IN17',,,,,,,,,,)</v>
      </c>
      <c r="CO140" s="36" t="str">
        <f t="shared" si="2068"/>
        <v>InitUnitNormal('IN17',,,,,,,,,,)</v>
      </c>
      <c r="CP140" s="36" t="str">
        <f t="shared" si="2069"/>
        <v>InitUnitMagic('IN17',,,,,,,,,,)</v>
      </c>
      <c r="CQ140" s="36" t="str">
        <f t="shared" si="2070"/>
        <v>InitUnitAdd('IN17',,,,,,,,,,)</v>
      </c>
      <c r="CR140" s="36" t="str">
        <f t="shared" si="2071"/>
        <v>InitEquipData('IN17',,"",,,,,'','','','','','',"ReplaceableTextures\\CommandButtons\\BTNIT11.blp")</v>
      </c>
      <c r="CU140" s="88" t="str">
        <f t="shared" si="2144"/>
        <v>|n</v>
      </c>
      <c r="CV140" s="19" t="str">
        <f t="shared" si="2145"/>
        <v>玄铁|Cffffd24d+5~50|r</v>
      </c>
      <c r="CW140" s="33"/>
      <c r="CX140" s="33"/>
      <c r="CY140" s="33"/>
      <c r="CZ140" s="33"/>
      <c r="DA140" s="33"/>
      <c r="DB140" s="66" t="str">
        <f t="shared" si="2146"/>
        <v/>
      </c>
      <c r="DC140" s="66" t="str">
        <f t="shared" si="2147"/>
        <v/>
      </c>
      <c r="DD140" s="66" t="str">
        <f t="shared" si="2148"/>
        <v/>
      </c>
      <c r="DE140" s="66" t="str">
        <f t="shared" si="2149"/>
        <v/>
      </c>
      <c r="DF140" s="66" t="str">
        <f t="shared" si="2150"/>
        <v/>
      </c>
      <c r="DG140" s="66" t="str">
        <f t="shared" si="2151"/>
        <v/>
      </c>
      <c r="DH140" s="66" t="str">
        <f t="shared" si="2152"/>
        <v/>
      </c>
      <c r="DI140" s="66" t="str">
        <f t="shared" si="2153"/>
        <v/>
      </c>
      <c r="DJ140" s="66" t="str">
        <f t="shared" si="2154"/>
        <v/>
      </c>
      <c r="DK140" s="66" t="str">
        <f t="shared" si="2155"/>
        <v/>
      </c>
      <c r="DL140" s="66" t="str">
        <f t="shared" si="2156"/>
        <v/>
      </c>
      <c r="DM140" s="66" t="str">
        <f t="shared" si="2157"/>
        <v/>
      </c>
      <c r="DN140" s="66" t="str">
        <f t="shared" si="2158"/>
        <v/>
      </c>
      <c r="DO140" s="66" t="str">
        <f t="shared" si="2159"/>
        <v/>
      </c>
      <c r="DP140" s="66" t="str">
        <f t="shared" si="2160"/>
        <v/>
      </c>
      <c r="DQ140" s="66" t="str">
        <f t="shared" si="2161"/>
        <v/>
      </c>
      <c r="DR140" s="66" t="str">
        <f t="shared" si="2162"/>
        <v/>
      </c>
      <c r="DS140" s="66" t="str">
        <f t="shared" si="2163"/>
        <v/>
      </c>
      <c r="DT140" s="66" t="str">
        <f t="shared" si="2164"/>
        <v/>
      </c>
      <c r="DU140" s="66" t="str">
        <f t="shared" si="2165"/>
        <v/>
      </c>
      <c r="DV140" s="66" t="str">
        <f t="shared" si="2166"/>
        <v/>
      </c>
      <c r="DW140" s="66" t="str">
        <f t="shared" si="2167"/>
        <v/>
      </c>
      <c r="DX140" s="66" t="str">
        <f t="shared" si="2168"/>
        <v/>
      </c>
      <c r="DY140" s="66" t="str">
        <f t="shared" si="2169"/>
        <v/>
      </c>
      <c r="DZ140" s="66" t="str">
        <f t="shared" si="2170"/>
        <v/>
      </c>
      <c r="EA140" s="66" t="str">
        <f t="shared" si="2171"/>
        <v/>
      </c>
      <c r="EB140" s="66" t="str">
        <f t="shared" si="2172"/>
        <v/>
      </c>
      <c r="EC140" s="66" t="str">
        <f t="shared" si="2173"/>
        <v/>
      </c>
      <c r="ED140" s="66" t="str">
        <f t="shared" si="2174"/>
        <v/>
      </c>
      <c r="EE140" s="66" t="str">
        <f t="shared" si="2175"/>
        <v/>
      </c>
      <c r="EF140" s="66" t="str">
        <f t="shared" si="2176"/>
        <v/>
      </c>
      <c r="EG140" s="66" t="str">
        <f t="shared" si="2177"/>
        <v/>
      </c>
      <c r="EH140" s="66" t="str">
        <f t="shared" si="2178"/>
        <v/>
      </c>
      <c r="EI140" s="66" t="str">
        <f t="shared" si="2179"/>
        <v/>
      </c>
      <c r="EJ140" s="66" t="str">
        <f t="shared" si="2180"/>
        <v/>
      </c>
      <c r="EK140" s="66" t="str">
        <f t="shared" si="2181"/>
        <v/>
      </c>
      <c r="EL140" s="66" t="str">
        <f t="shared" si="2182"/>
        <v/>
      </c>
      <c r="EM140" s="66" t="str">
        <f t="shared" si="2183"/>
        <v/>
      </c>
      <c r="EN140" s="66" t="str">
        <f t="shared" si="2184"/>
        <v/>
      </c>
      <c r="EO140" s="66" t="str">
        <f t="shared" si="2185"/>
        <v/>
      </c>
      <c r="EP140" s="66" t="str">
        <f t="shared" si="2186"/>
        <v/>
      </c>
      <c r="EQ140" s="66" t="str">
        <f t="shared" si="2187"/>
        <v/>
      </c>
      <c r="ER140" s="66" t="str">
        <f t="shared" si="2188"/>
        <v/>
      </c>
      <c r="ES140" s="66" t="str">
        <f t="shared" si="2189"/>
        <v/>
      </c>
      <c r="ET140" s="66" t="str">
        <f t="shared" si="2190"/>
        <v/>
      </c>
      <c r="EU140" s="66" t="str">
        <f t="shared" si="2191"/>
        <v/>
      </c>
      <c r="EV140" s="66" t="str">
        <f t="shared" si="2192"/>
        <v/>
      </c>
      <c r="EW140" s="66" t="str">
        <f t="shared" si="2193"/>
        <v/>
      </c>
      <c r="EX140" s="66" t="str">
        <f t="shared" si="2194"/>
        <v/>
      </c>
      <c r="EY140" s="66" t="str">
        <f t="shared" si="2195"/>
        <v/>
      </c>
      <c r="EZ140" s="66" t="str">
        <f t="shared" si="2196"/>
        <v/>
      </c>
      <c r="FA140" s="66" t="str">
        <f t="shared" si="2197"/>
        <v/>
      </c>
      <c r="FB140" s="66" t="str">
        <f t="shared" si="2198"/>
        <v/>
      </c>
      <c r="FC140" s="66" t="str">
        <f t="shared" si="2199"/>
        <v/>
      </c>
      <c r="FD140" s="66" t="str">
        <f t="shared" si="2200"/>
        <v/>
      </c>
      <c r="FE140" s="66" t="str">
        <f t="shared" si="2201"/>
        <v/>
      </c>
      <c r="FF140" s="66" t="str">
        <f t="shared" si="2202"/>
        <v/>
      </c>
      <c r="FG140" s="66" t="str">
        <f t="shared" si="2203"/>
        <v/>
      </c>
      <c r="FH140" s="66" t="str">
        <f t="shared" si="2204"/>
        <v/>
      </c>
      <c r="FI140" s="66" t="str">
        <f t="shared" si="2205"/>
        <v/>
      </c>
      <c r="FJ140" s="66" t="str">
        <f t="shared" si="2206"/>
        <v/>
      </c>
      <c r="FK140" s="66" t="str">
        <f t="shared" si="2207"/>
        <v/>
      </c>
      <c r="FL140" s="66" t="str">
        <f t="shared" si="2208"/>
        <v/>
      </c>
      <c r="FM140" s="66" t="str">
        <f t="shared" si="2209"/>
        <v/>
      </c>
      <c r="FN140" s="66" t="str">
        <f t="shared" si="2210"/>
        <v/>
      </c>
      <c r="FO140" s="66" t="str">
        <f t="shared" si="2211"/>
        <v/>
      </c>
      <c r="FP140" s="66" t="str">
        <f t="shared" si="2212"/>
        <v/>
      </c>
      <c r="FQ140" s="66" t="str">
        <f t="shared" si="2213"/>
        <v/>
      </c>
      <c r="FR140" s="66" t="str">
        <f t="shared" si="2214"/>
        <v/>
      </c>
      <c r="FS140" s="66" t="str">
        <f t="shared" si="2215"/>
        <v/>
      </c>
    </row>
    <row r="141" spans="1:175" ht="16.5">
      <c r="A141" s="9"/>
      <c r="B141" s="17" t="s">
        <v>536</v>
      </c>
      <c r="C141" s="18" t="s">
        <v>537</v>
      </c>
      <c r="T141" s="29" t="s">
        <v>538</v>
      </c>
      <c r="U141" s="77" t="str">
        <f t="shared" si="1549"/>
        <v>ReplaceableTextures\\CommandButtons\\BTNIN18.blp</v>
      </c>
      <c r="CN141" s="36" t="str">
        <f t="shared" si="2067"/>
        <v>InitUnitState('IN18',,,,,,,,,,)</v>
      </c>
      <c r="CO141" s="36" t="str">
        <f t="shared" si="2068"/>
        <v>InitUnitNormal('IN18',,,,,,,,,,)</v>
      </c>
      <c r="CP141" s="36" t="str">
        <f t="shared" si="2069"/>
        <v>InitUnitMagic('IN18',,,,,,,,,,)</v>
      </c>
      <c r="CQ141" s="36" t="str">
        <f t="shared" si="2070"/>
        <v>InitUnitAdd('IN18',,,,,,,,,,)</v>
      </c>
      <c r="CR141" s="36" t="str">
        <f t="shared" si="2071"/>
        <v>InitEquipData('IN18',,"",,,,,'','','','','','',"ReplaceableTextures\\CommandButtons\\BTNIT12.blp")</v>
      </c>
      <c r="CU141" s="88" t="str">
        <f t="shared" ref="CU141" si="2216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19" t="str">
        <f t="shared" ref="CV141" si="2217">T141</f>
        <v>|CffFFD24D30|r秒内增加|Cffffd24d30%|r金币加成</v>
      </c>
      <c r="CW141" s="33"/>
      <c r="CX141" s="33"/>
      <c r="CY141" s="33"/>
      <c r="CZ141" s="33"/>
      <c r="DA141" s="33"/>
      <c r="DB141" s="66" t="str">
        <f t="shared" ref="DB141" si="2218">IF(V141="","","|n"&amp;DB$2&amp;"+"&amp;V141&amp;DB$1)</f>
        <v/>
      </c>
      <c r="DC141" s="66" t="str">
        <f t="shared" ref="DC141" si="2219">IF(W141="","","|n"&amp;DC$2&amp;"+"&amp;W141&amp;DC$1)</f>
        <v/>
      </c>
      <c r="DD141" s="66" t="str">
        <f t="shared" ref="DD141" si="2220">IF(X141="","","|n"&amp;DD$2&amp;"+"&amp;X141&amp;DD$1)</f>
        <v/>
      </c>
      <c r="DE141" s="66" t="str">
        <f t="shared" ref="DE141" si="2221">IF(Y141="","","|n"&amp;DE$2&amp;"+"&amp;Y141&amp;DE$1)</f>
        <v/>
      </c>
      <c r="DF141" s="66" t="str">
        <f t="shared" ref="DF141" si="2222">IF(Z141="","","|n"&amp;DF$2&amp;"+"&amp;Z141&amp;DF$1)</f>
        <v/>
      </c>
      <c r="DG141" s="66" t="str">
        <f t="shared" ref="DG141" si="2223">IF(AA141="","","|n"&amp;DG$2&amp;"+"&amp;AA141&amp;DG$1)</f>
        <v/>
      </c>
      <c r="DH141" s="66" t="str">
        <f t="shared" ref="DH141" si="2224">IF(AB141="","","|n"&amp;DH$2&amp;"+"&amp;AB141&amp;DH$1)</f>
        <v/>
      </c>
      <c r="DI141" s="66" t="str">
        <f t="shared" ref="DI141" si="2225">IF(AC141="","","|n"&amp;DI$2&amp;"+"&amp;AC141&amp;DI$1)</f>
        <v/>
      </c>
      <c r="DJ141" s="66" t="str">
        <f t="shared" ref="DJ141" si="2226">IF(AD141="","","|n"&amp;DJ$2&amp;"+"&amp;AD141&amp;DJ$1)</f>
        <v/>
      </c>
      <c r="DK141" s="66" t="str">
        <f t="shared" ref="DK141" si="2227">IF(AE141="","","|n"&amp;DK$2&amp;"+"&amp;AE141&amp;DK$1)</f>
        <v/>
      </c>
      <c r="DL141" s="66" t="str">
        <f t="shared" ref="DL141" si="2228">IF(AF141="","","|n"&amp;DL$2&amp;"+"&amp;AF141&amp;DL$1)</f>
        <v/>
      </c>
      <c r="DM141" s="66" t="str">
        <f t="shared" ref="DM141" si="2229">IF(AG141="","","|n"&amp;DM$2&amp;"+"&amp;AG141&amp;DM$1)</f>
        <v/>
      </c>
      <c r="DN141" s="66" t="str">
        <f t="shared" ref="DN141" si="2230">IF(AH141="","","|n"&amp;DN$2&amp;"+"&amp;AH141&amp;DN$1)</f>
        <v/>
      </c>
      <c r="DO141" s="66" t="str">
        <f t="shared" ref="DO141" si="2231">IF(AI141="","","|n"&amp;DO$2&amp;"+"&amp;AI141&amp;DO$1)</f>
        <v/>
      </c>
      <c r="DP141" s="66" t="str">
        <f t="shared" ref="DP141" si="2232">IF(AJ141="","","|n"&amp;DP$2&amp;"+"&amp;AJ141&amp;DP$1)</f>
        <v/>
      </c>
      <c r="DQ141" s="66" t="str">
        <f t="shared" ref="DQ141" si="2233">IF(AK141="","","|n"&amp;DQ$2&amp;"+"&amp;AK141&amp;DQ$1)</f>
        <v/>
      </c>
      <c r="DR141" s="66" t="str">
        <f t="shared" ref="DR141" si="2234">IF(AL141="","","|n"&amp;DR$2&amp;"+"&amp;AL141&amp;DR$1)</f>
        <v/>
      </c>
      <c r="DS141" s="66" t="str">
        <f t="shared" ref="DS141" si="2235">IF(AM141="","","|n"&amp;DS$2&amp;"+"&amp;AM141&amp;DS$1)</f>
        <v/>
      </c>
      <c r="DT141" s="66" t="str">
        <f t="shared" ref="DT141" si="2236">IF(AN141="","","|n"&amp;DT$2&amp;"+"&amp;AN141&amp;DT$1)</f>
        <v/>
      </c>
      <c r="DU141" s="66" t="str">
        <f t="shared" ref="DU141" si="2237">IF(AO141="","","|n"&amp;DU$2&amp;"+"&amp;AO141&amp;DU$1)</f>
        <v/>
      </c>
      <c r="DV141" s="66" t="str">
        <f t="shared" ref="DV141" si="2238">IF(AP141="","","|n"&amp;DV$2&amp;"+"&amp;AP141&amp;DV$1)</f>
        <v/>
      </c>
      <c r="DW141" s="66" t="str">
        <f t="shared" ref="DW141" si="2239">IF(AQ141="","","|n"&amp;DW$2&amp;"+"&amp;AQ141&amp;DW$1)</f>
        <v/>
      </c>
      <c r="DX141" s="66" t="str">
        <f t="shared" ref="DX141" si="2240">IF(AR141="","","|n"&amp;DX$2&amp;"+"&amp;AR141&amp;DX$1)</f>
        <v/>
      </c>
      <c r="DY141" s="66" t="str">
        <f t="shared" ref="DY141" si="2241">IF(AS141="","","|n"&amp;DY$2&amp;"+"&amp;AS141&amp;DY$1)</f>
        <v/>
      </c>
      <c r="DZ141" s="66" t="str">
        <f t="shared" ref="DZ141" si="2242">IF(AT141="","","|n"&amp;DZ$2&amp;"+"&amp;AT141&amp;DZ$1)</f>
        <v/>
      </c>
      <c r="EA141" s="66" t="str">
        <f t="shared" ref="EA141" si="2243">IF(AU141="","","|n"&amp;EA$2&amp;"+"&amp;AU141&amp;EA$1)</f>
        <v/>
      </c>
      <c r="EB141" s="66" t="str">
        <f t="shared" ref="EB141" si="2244">IF(AV141="","","|n"&amp;EB$2&amp;"+"&amp;AV141&amp;EB$1)</f>
        <v/>
      </c>
      <c r="EC141" s="66" t="str">
        <f t="shared" ref="EC141" si="2245">IF(AW141="","","|n"&amp;EC$2&amp;"+"&amp;AW141&amp;EC$1)</f>
        <v/>
      </c>
      <c r="ED141" s="66" t="str">
        <f t="shared" ref="ED141" si="2246">IF(AX141="","","|n"&amp;ED$2&amp;"+"&amp;AX141&amp;ED$1)</f>
        <v/>
      </c>
      <c r="EE141" s="66" t="str">
        <f t="shared" ref="EE141" si="2247">IF(AY141="","","|n"&amp;EE$2&amp;"+"&amp;AY141&amp;EE$1)</f>
        <v/>
      </c>
      <c r="EF141" s="66" t="str">
        <f t="shared" ref="EF141" si="2248">IF(AZ141="","","|n"&amp;EF$2&amp;"+"&amp;AZ141&amp;EF$1)</f>
        <v/>
      </c>
      <c r="EG141" s="66" t="str">
        <f t="shared" ref="EG141" si="2249">IF(BA141="","","|n"&amp;EG$2&amp;"+"&amp;BA141&amp;EG$1)</f>
        <v/>
      </c>
      <c r="EH141" s="66" t="str">
        <f t="shared" ref="EH141" si="2250">IF(BB141="","","|n"&amp;EH$2&amp;"+"&amp;BB141&amp;EH$1)</f>
        <v/>
      </c>
      <c r="EI141" s="66" t="str">
        <f t="shared" ref="EI141" si="2251">IF(BC141="","","|n"&amp;EI$2&amp;"+"&amp;BC141&amp;EI$1)</f>
        <v/>
      </c>
      <c r="EJ141" s="66" t="str">
        <f t="shared" ref="EJ141" si="2252">IF(BD141="","","|n"&amp;EJ$2&amp;"+"&amp;BD141&amp;EJ$1)</f>
        <v/>
      </c>
      <c r="EK141" s="66" t="str">
        <f t="shared" ref="EK141" si="2253">IF(BE141="","","|n"&amp;EK$2&amp;"+"&amp;BE141&amp;EK$1)</f>
        <v/>
      </c>
      <c r="EL141" s="66" t="str">
        <f t="shared" ref="EL141" si="2254">IF(BF141="","","|n"&amp;EL$2&amp;"+"&amp;BF141&amp;EL$1)</f>
        <v/>
      </c>
      <c r="EM141" s="66" t="str">
        <f t="shared" ref="EM141" si="2255">IF(BG141="","","|n"&amp;EM$2&amp;"+"&amp;BG141&amp;EM$1)</f>
        <v/>
      </c>
      <c r="EN141" s="66" t="str">
        <f t="shared" ref="EN141" si="2256">IF(BH141="","","|n"&amp;EN$2&amp;"+"&amp;BH141&amp;EN$1)</f>
        <v/>
      </c>
      <c r="EO141" s="66" t="str">
        <f t="shared" ref="EO141" si="2257">IF(BI141="","","|n"&amp;EO$2&amp;"+"&amp;BI141&amp;EO$1)</f>
        <v/>
      </c>
      <c r="EP141" s="66" t="str">
        <f t="shared" ref="EP141" si="2258">IF(BJ141="","","|n"&amp;EP$2&amp;"+"&amp;BJ141&amp;EP$1)</f>
        <v/>
      </c>
      <c r="EQ141" s="66" t="str">
        <f t="shared" ref="EQ141" si="2259">IF(BK141="","","|n"&amp;EQ$2&amp;"+"&amp;BK141&amp;EQ$1)</f>
        <v/>
      </c>
      <c r="ER141" s="66" t="str">
        <f t="shared" ref="ER141" si="2260">IF(BL141="","","|n"&amp;ER$2&amp;"+"&amp;BL141&amp;ER$1)</f>
        <v/>
      </c>
      <c r="ES141" s="66" t="str">
        <f t="shared" ref="ES141" si="2261">IF(BM141="","","|n"&amp;ES$2&amp;"+"&amp;BM141&amp;ES$1)</f>
        <v/>
      </c>
      <c r="ET141" s="66" t="str">
        <f t="shared" ref="ET141" si="2262">IF(BN141="","","|n"&amp;ET$2&amp;"+"&amp;BN141&amp;ET$1)</f>
        <v/>
      </c>
      <c r="EU141" s="66" t="str">
        <f t="shared" ref="EU141" si="2263">IF(BO141="","","|n"&amp;EU$2&amp;"+"&amp;BO141&amp;EU$1)</f>
        <v/>
      </c>
      <c r="EV141" s="66" t="str">
        <f t="shared" ref="EV141" si="2264">IF(BP141="","","|n"&amp;EV$2&amp;"+"&amp;BP141&amp;EV$1)</f>
        <v/>
      </c>
      <c r="EW141" s="66" t="str">
        <f t="shared" ref="EW141" si="2265">IF(BQ141="","","|n"&amp;EW$2&amp;"+"&amp;BQ141&amp;EW$1)</f>
        <v/>
      </c>
      <c r="EX141" s="66" t="str">
        <f t="shared" ref="EX141" si="2266">IF(BR141="","","|n"&amp;EX$2&amp;"+"&amp;BR141&amp;EX$1)</f>
        <v/>
      </c>
      <c r="EY141" s="66" t="str">
        <f t="shared" ref="EY141" si="2267">IF(BS141="","","|n"&amp;EY$2&amp;"+"&amp;BS141&amp;EY$1)</f>
        <v/>
      </c>
      <c r="EZ141" s="66" t="str">
        <f t="shared" ref="EZ141" si="2268">IF(BT141="","","|n"&amp;EZ$2&amp;"+"&amp;BT141&amp;EZ$1)</f>
        <v/>
      </c>
      <c r="FA141" s="66" t="str">
        <f t="shared" ref="FA141" si="2269">IF(BU141="","","|n"&amp;FA$2&amp;"+"&amp;BU141&amp;FA$1)</f>
        <v/>
      </c>
      <c r="FB141" s="66" t="str">
        <f t="shared" ref="FB141" si="2270">IF(BV141="","","|n"&amp;FB$2&amp;"+"&amp;BV141&amp;FB$1)</f>
        <v/>
      </c>
      <c r="FC141" s="66" t="str">
        <f t="shared" ref="FC141" si="2271">IF(BW141="","","|n"&amp;FC$2&amp;"+"&amp;BW141&amp;FC$1)</f>
        <v/>
      </c>
      <c r="FD141" s="66" t="str">
        <f t="shared" ref="FD141" si="2272">IF(BX141="","","|n"&amp;FD$2&amp;"+"&amp;BX141&amp;FD$1)</f>
        <v/>
      </c>
      <c r="FE141" s="66" t="str">
        <f t="shared" ref="FE141" si="2273">IF(BY141="","","|n"&amp;FE$2&amp;"+"&amp;BY141&amp;FE$1)</f>
        <v/>
      </c>
      <c r="FF141" s="66" t="str">
        <f t="shared" ref="FF141" si="2274">IF(BZ141="","","|n"&amp;FF$2&amp;"+"&amp;BZ141&amp;FF$1)</f>
        <v/>
      </c>
      <c r="FG141" s="66" t="str">
        <f t="shared" ref="FG141" si="2275">IF(CA141="","","|n"&amp;FG$2&amp;"+"&amp;CA141&amp;FG$1)</f>
        <v/>
      </c>
      <c r="FH141" s="66" t="str">
        <f t="shared" ref="FH141" si="2276">IF(CB141="","","|n"&amp;FH$2&amp;"+"&amp;CB141&amp;FH$1)</f>
        <v/>
      </c>
      <c r="FI141" s="66" t="str">
        <f t="shared" ref="FI141" si="2277">IF(CC141="","","|n"&amp;FI$2&amp;"+"&amp;CC141&amp;FI$1)</f>
        <v/>
      </c>
      <c r="FJ141" s="66" t="str">
        <f t="shared" ref="FJ141" si="2278">IF(CD141="","","|n"&amp;FJ$2&amp;"+"&amp;CD141&amp;FJ$1)</f>
        <v/>
      </c>
      <c r="FK141" s="66" t="str">
        <f t="shared" ref="FK141" si="2279">IF(CE141="","","|n"&amp;FK$2&amp;"+"&amp;CE141&amp;FK$1)</f>
        <v/>
      </c>
      <c r="FL141" s="66" t="str">
        <f t="shared" ref="FL141" si="2280">IF(CF141="","","|n"&amp;FL$2&amp;"+"&amp;CF141&amp;FL$1)</f>
        <v/>
      </c>
      <c r="FM141" s="66" t="str">
        <f t="shared" ref="FM141" si="2281">IF(CG141="","","|n"&amp;FM$2&amp;"+"&amp;CG141&amp;FM$1)</f>
        <v/>
      </c>
      <c r="FN141" s="66" t="str">
        <f t="shared" ref="FN141" si="2282">IF(CH141="","","|n"&amp;FN$2&amp;"+"&amp;CH141&amp;FN$1)</f>
        <v/>
      </c>
      <c r="FO141" s="66" t="str">
        <f t="shared" ref="FO141" si="2283">IF(CI141="","","|n"&amp;FO$2&amp;"+"&amp;CI141&amp;FO$1)</f>
        <v/>
      </c>
      <c r="FP141" s="66" t="str">
        <f t="shared" ref="FP141" si="2284">IF(CJ141="","","|n"&amp;FP$2&amp;"+"&amp;CJ141&amp;FP$1)</f>
        <v/>
      </c>
      <c r="FQ141" s="66" t="str">
        <f t="shared" ref="FQ141" si="2285">IF(CK141="","","|n"&amp;FQ$2&amp;"+"&amp;CK141&amp;FQ$1)</f>
        <v/>
      </c>
      <c r="FR141" s="66" t="str">
        <f t="shared" ref="FR141" si="2286">IF(CL141="","","|n"&amp;FR$2&amp;"+"&amp;CL141&amp;FR$1)</f>
        <v/>
      </c>
      <c r="FS141" s="66" t="str">
        <f t="shared" ref="FS141" si="2287">IF(CM141="","","|n"&amp;FS$2&amp;"+"&amp;CM141&amp;FS$1)</f>
        <v/>
      </c>
    </row>
    <row r="142" spans="1:175" ht="16.5">
      <c r="A142" s="9"/>
      <c r="B142" s="9" t="s">
        <v>539</v>
      </c>
      <c r="C142" s="20" t="s">
        <v>540</v>
      </c>
      <c r="T142" s="29" t="s">
        <v>541</v>
      </c>
      <c r="U142" s="77" t="s">
        <v>542</v>
      </c>
      <c r="CN142" s="36" t="str">
        <f t="shared" si="2067"/>
        <v>InitUnitState('IN19',,,,,,,,,,)</v>
      </c>
      <c r="CO142" s="36" t="str">
        <f t="shared" si="2068"/>
        <v>InitUnitNormal('IN19',,,,,,,,,,)</v>
      </c>
      <c r="CP142" s="36" t="str">
        <f t="shared" si="2069"/>
        <v>InitUnitMagic('IN19',,,,,,,,,,)</v>
      </c>
      <c r="CQ142" s="36" t="str">
        <f t="shared" si="2070"/>
        <v>InitUnitAdd('IN19',,,,,,,,,,)</v>
      </c>
      <c r="CR142" s="36" t="str">
        <f t="shared" si="2071"/>
        <v>InitEquipData('IN19',,"",,,,,'','','','','','',"ReplaceableTextures\\CommandButtons\\BTNIT13.blp")</v>
      </c>
      <c r="CU142" s="88" t="str">
        <f t="shared" ref="CU142:CU152" si="2288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19" t="str">
        <f t="shared" ref="CV142:CV152" si="2289">T142</f>
        <v>使用后获得|Cffffc926随机类型技能附魔石|r</v>
      </c>
      <c r="CW142" s="33"/>
      <c r="CX142" s="33"/>
      <c r="CY142" s="33"/>
      <c r="CZ142" s="33"/>
      <c r="DA142" s="33"/>
      <c r="DB142" s="66" t="str">
        <f t="shared" ref="DB142" si="2290">IF(V142="","","|n"&amp;DB$2&amp;"+"&amp;V142&amp;DB$1)</f>
        <v/>
      </c>
      <c r="DC142" s="66" t="str">
        <f t="shared" ref="DC142" si="2291">IF(W142="","","|n"&amp;DC$2&amp;"+"&amp;W142&amp;DC$1)</f>
        <v/>
      </c>
      <c r="DD142" s="66" t="str">
        <f t="shared" ref="DD142" si="2292">IF(X142="","","|n"&amp;DD$2&amp;"+"&amp;X142&amp;DD$1)</f>
        <v/>
      </c>
      <c r="DE142" s="66" t="str">
        <f t="shared" ref="DE142" si="2293">IF(Y142="","","|n"&amp;DE$2&amp;"+"&amp;Y142&amp;DE$1)</f>
        <v/>
      </c>
      <c r="DF142" s="66" t="str">
        <f t="shared" ref="DF142" si="2294">IF(Z142="","","|n"&amp;DF$2&amp;"+"&amp;Z142&amp;DF$1)</f>
        <v/>
      </c>
      <c r="DG142" s="66" t="str">
        <f t="shared" ref="DG142" si="2295">IF(AA142="","","|n"&amp;DG$2&amp;"+"&amp;AA142&amp;DG$1)</f>
        <v/>
      </c>
      <c r="DH142" s="66" t="str">
        <f t="shared" ref="DH142" si="2296">IF(AB142="","","|n"&amp;DH$2&amp;"+"&amp;AB142&amp;DH$1)</f>
        <v/>
      </c>
      <c r="DI142" s="66" t="str">
        <f t="shared" ref="DI142" si="2297">IF(AC142="","","|n"&amp;DI$2&amp;"+"&amp;AC142&amp;DI$1)</f>
        <v/>
      </c>
      <c r="DJ142" s="66" t="str">
        <f t="shared" ref="DJ142" si="2298">IF(AD142="","","|n"&amp;DJ$2&amp;"+"&amp;AD142&amp;DJ$1)</f>
        <v/>
      </c>
      <c r="DK142" s="66" t="str">
        <f t="shared" ref="DK142" si="2299">IF(AE142="","","|n"&amp;DK$2&amp;"+"&amp;AE142&amp;DK$1)</f>
        <v/>
      </c>
      <c r="DL142" s="66" t="str">
        <f t="shared" ref="DL142" si="2300">IF(AF142="","","|n"&amp;DL$2&amp;"+"&amp;AF142&amp;DL$1)</f>
        <v/>
      </c>
      <c r="DM142" s="66" t="str">
        <f t="shared" ref="DM142" si="2301">IF(AG142="","","|n"&amp;DM$2&amp;"+"&amp;AG142&amp;DM$1)</f>
        <v/>
      </c>
      <c r="DN142" s="66" t="str">
        <f t="shared" ref="DN142" si="2302">IF(AH142="","","|n"&amp;DN$2&amp;"+"&amp;AH142&amp;DN$1)</f>
        <v/>
      </c>
      <c r="DO142" s="66" t="str">
        <f t="shared" ref="DO142" si="2303">IF(AI142="","","|n"&amp;DO$2&amp;"+"&amp;AI142&amp;DO$1)</f>
        <v/>
      </c>
      <c r="DP142" s="66" t="str">
        <f t="shared" ref="DP142" si="2304">IF(AJ142="","","|n"&amp;DP$2&amp;"+"&amp;AJ142&amp;DP$1)</f>
        <v/>
      </c>
      <c r="DQ142" s="66" t="str">
        <f t="shared" ref="DQ142" si="2305">IF(AK142="","","|n"&amp;DQ$2&amp;"+"&amp;AK142&amp;DQ$1)</f>
        <v/>
      </c>
      <c r="DR142" s="66" t="str">
        <f t="shared" ref="DR142" si="2306">IF(AL142="","","|n"&amp;DR$2&amp;"+"&amp;AL142&amp;DR$1)</f>
        <v/>
      </c>
      <c r="DS142" s="66" t="str">
        <f t="shared" ref="DS142" si="2307">IF(AM142="","","|n"&amp;DS$2&amp;"+"&amp;AM142&amp;DS$1)</f>
        <v/>
      </c>
      <c r="DT142" s="66" t="str">
        <f t="shared" ref="DT142" si="2308">IF(AN142="","","|n"&amp;DT$2&amp;"+"&amp;AN142&amp;DT$1)</f>
        <v/>
      </c>
      <c r="DU142" s="66" t="str">
        <f t="shared" ref="DU142" si="2309">IF(AO142="","","|n"&amp;DU$2&amp;"+"&amp;AO142&amp;DU$1)</f>
        <v/>
      </c>
      <c r="DV142" s="66" t="str">
        <f t="shared" ref="DV142" si="2310">IF(AP142="","","|n"&amp;DV$2&amp;"+"&amp;AP142&amp;DV$1)</f>
        <v/>
      </c>
      <c r="DW142" s="66" t="str">
        <f t="shared" ref="DW142" si="2311">IF(AQ142="","","|n"&amp;DW$2&amp;"+"&amp;AQ142&amp;DW$1)</f>
        <v/>
      </c>
      <c r="DX142" s="66" t="str">
        <f t="shared" ref="DX142" si="2312">IF(AR142="","","|n"&amp;DX$2&amp;"+"&amp;AR142&amp;DX$1)</f>
        <v/>
      </c>
      <c r="DY142" s="66" t="str">
        <f t="shared" ref="DY142" si="2313">IF(AS142="","","|n"&amp;DY$2&amp;"+"&amp;AS142&amp;DY$1)</f>
        <v/>
      </c>
      <c r="DZ142" s="66" t="str">
        <f t="shared" ref="DZ142" si="2314">IF(AT142="","","|n"&amp;DZ$2&amp;"+"&amp;AT142&amp;DZ$1)</f>
        <v/>
      </c>
      <c r="EA142" s="66" t="str">
        <f t="shared" ref="EA142" si="2315">IF(AU142="","","|n"&amp;EA$2&amp;"+"&amp;AU142&amp;EA$1)</f>
        <v/>
      </c>
      <c r="EB142" s="66" t="str">
        <f t="shared" ref="EB142" si="2316">IF(AV142="","","|n"&amp;EB$2&amp;"+"&amp;AV142&amp;EB$1)</f>
        <v/>
      </c>
      <c r="EC142" s="66" t="str">
        <f t="shared" ref="EC142" si="2317">IF(AW142="","","|n"&amp;EC$2&amp;"+"&amp;AW142&amp;EC$1)</f>
        <v/>
      </c>
      <c r="ED142" s="66" t="str">
        <f t="shared" ref="ED142" si="2318">IF(AX142="","","|n"&amp;ED$2&amp;"+"&amp;AX142&amp;ED$1)</f>
        <v/>
      </c>
      <c r="EE142" s="66" t="str">
        <f t="shared" ref="EE142" si="2319">IF(AY142="","","|n"&amp;EE$2&amp;"+"&amp;AY142&amp;EE$1)</f>
        <v/>
      </c>
      <c r="EF142" s="66" t="str">
        <f t="shared" ref="EF142" si="2320">IF(AZ142="","","|n"&amp;EF$2&amp;"+"&amp;AZ142&amp;EF$1)</f>
        <v/>
      </c>
      <c r="EG142" s="66" t="str">
        <f t="shared" ref="EG142" si="2321">IF(BA142="","","|n"&amp;EG$2&amp;"+"&amp;BA142&amp;EG$1)</f>
        <v/>
      </c>
      <c r="EH142" s="66" t="str">
        <f t="shared" ref="EH142" si="2322">IF(BB142="","","|n"&amp;EH$2&amp;"+"&amp;BB142&amp;EH$1)</f>
        <v/>
      </c>
      <c r="EI142" s="66" t="str">
        <f t="shared" ref="EI142" si="2323">IF(BC142="","","|n"&amp;EI$2&amp;"+"&amp;BC142&amp;EI$1)</f>
        <v/>
      </c>
      <c r="EJ142" s="66" t="str">
        <f t="shared" ref="EJ142" si="2324">IF(BD142="","","|n"&amp;EJ$2&amp;"+"&amp;BD142&amp;EJ$1)</f>
        <v/>
      </c>
      <c r="EK142" s="66" t="str">
        <f t="shared" ref="EK142" si="2325">IF(BE142="","","|n"&amp;EK$2&amp;"+"&amp;BE142&amp;EK$1)</f>
        <v/>
      </c>
      <c r="EL142" s="66" t="str">
        <f t="shared" ref="EL142" si="2326">IF(BF142="","","|n"&amp;EL$2&amp;"+"&amp;BF142&amp;EL$1)</f>
        <v/>
      </c>
      <c r="EM142" s="66" t="str">
        <f t="shared" ref="EM142" si="2327">IF(BG142="","","|n"&amp;EM$2&amp;"+"&amp;BG142&amp;EM$1)</f>
        <v/>
      </c>
      <c r="EN142" s="66" t="str">
        <f t="shared" ref="EN142" si="2328">IF(BH142="","","|n"&amp;EN$2&amp;"+"&amp;BH142&amp;EN$1)</f>
        <v/>
      </c>
      <c r="EO142" s="66" t="str">
        <f t="shared" ref="EO142" si="2329">IF(BI142="","","|n"&amp;EO$2&amp;"+"&amp;BI142&amp;EO$1)</f>
        <v/>
      </c>
      <c r="EP142" s="66" t="str">
        <f t="shared" ref="EP142" si="2330">IF(BJ142="","","|n"&amp;EP$2&amp;"+"&amp;BJ142&amp;EP$1)</f>
        <v/>
      </c>
      <c r="EQ142" s="66" t="str">
        <f t="shared" ref="EQ142" si="2331">IF(BK142="","","|n"&amp;EQ$2&amp;"+"&amp;BK142&amp;EQ$1)</f>
        <v/>
      </c>
      <c r="ER142" s="66" t="str">
        <f t="shared" ref="ER142" si="2332">IF(BL142="","","|n"&amp;ER$2&amp;"+"&amp;BL142&amp;ER$1)</f>
        <v/>
      </c>
      <c r="ES142" s="66" t="str">
        <f t="shared" ref="ES142" si="2333">IF(BM142="","","|n"&amp;ES$2&amp;"+"&amp;BM142&amp;ES$1)</f>
        <v/>
      </c>
      <c r="ET142" s="66" t="str">
        <f t="shared" ref="ET142" si="2334">IF(BN142="","","|n"&amp;ET$2&amp;"+"&amp;BN142&amp;ET$1)</f>
        <v/>
      </c>
      <c r="EU142" s="66" t="str">
        <f t="shared" ref="EU142" si="2335">IF(BO142="","","|n"&amp;EU$2&amp;"+"&amp;BO142&amp;EU$1)</f>
        <v/>
      </c>
      <c r="EV142" s="66" t="str">
        <f t="shared" ref="EV142" si="2336">IF(BP142="","","|n"&amp;EV$2&amp;"+"&amp;BP142&amp;EV$1)</f>
        <v/>
      </c>
      <c r="EW142" s="66" t="str">
        <f t="shared" ref="EW142" si="2337">IF(BQ142="","","|n"&amp;EW$2&amp;"+"&amp;BQ142&amp;EW$1)</f>
        <v/>
      </c>
      <c r="EX142" s="66" t="str">
        <f t="shared" ref="EX142" si="2338">IF(BR142="","","|n"&amp;EX$2&amp;"+"&amp;BR142&amp;EX$1)</f>
        <v/>
      </c>
      <c r="EY142" s="66" t="str">
        <f t="shared" ref="EY142" si="2339">IF(BS142="","","|n"&amp;EY$2&amp;"+"&amp;BS142&amp;EY$1)</f>
        <v/>
      </c>
      <c r="EZ142" s="66" t="str">
        <f t="shared" ref="EZ142" si="2340">IF(BT142="","","|n"&amp;EZ$2&amp;"+"&amp;BT142&amp;EZ$1)</f>
        <v/>
      </c>
      <c r="FA142" s="66" t="str">
        <f t="shared" ref="FA142" si="2341">IF(BU142="","","|n"&amp;FA$2&amp;"+"&amp;BU142&amp;FA$1)</f>
        <v/>
      </c>
      <c r="FB142" s="66" t="str">
        <f t="shared" ref="FB142" si="2342">IF(BV142="","","|n"&amp;FB$2&amp;"+"&amp;BV142&amp;FB$1)</f>
        <v/>
      </c>
      <c r="FC142" s="66" t="str">
        <f t="shared" ref="FC142" si="2343">IF(BW142="","","|n"&amp;FC$2&amp;"+"&amp;BW142&amp;FC$1)</f>
        <v/>
      </c>
      <c r="FD142" s="66" t="str">
        <f t="shared" ref="FD142" si="2344">IF(BX142="","","|n"&amp;FD$2&amp;"+"&amp;BX142&amp;FD$1)</f>
        <v/>
      </c>
      <c r="FE142" s="66" t="str">
        <f t="shared" ref="FE142" si="2345">IF(BY142="","","|n"&amp;FE$2&amp;"+"&amp;BY142&amp;FE$1)</f>
        <v/>
      </c>
      <c r="FF142" s="66" t="str">
        <f t="shared" ref="FF142" si="2346">IF(BZ142="","","|n"&amp;FF$2&amp;"+"&amp;BZ142&amp;FF$1)</f>
        <v/>
      </c>
      <c r="FG142" s="66" t="str">
        <f t="shared" ref="FG142" si="2347">IF(CA142="","","|n"&amp;FG$2&amp;"+"&amp;CA142&amp;FG$1)</f>
        <v/>
      </c>
      <c r="FH142" s="66" t="str">
        <f t="shared" ref="FH142" si="2348">IF(CB142="","","|n"&amp;FH$2&amp;"+"&amp;CB142&amp;FH$1)</f>
        <v/>
      </c>
      <c r="FI142" s="66" t="str">
        <f t="shared" ref="FI142" si="2349">IF(CC142="","","|n"&amp;FI$2&amp;"+"&amp;CC142&amp;FI$1)</f>
        <v/>
      </c>
      <c r="FJ142" s="66" t="str">
        <f t="shared" ref="FJ142" si="2350">IF(CD142="","","|n"&amp;FJ$2&amp;"+"&amp;CD142&amp;FJ$1)</f>
        <v/>
      </c>
      <c r="FK142" s="66" t="str">
        <f t="shared" ref="FK142" si="2351">IF(CE142="","","|n"&amp;FK$2&amp;"+"&amp;CE142&amp;FK$1)</f>
        <v/>
      </c>
      <c r="FL142" s="66" t="str">
        <f t="shared" ref="FL142" si="2352">IF(CF142="","","|n"&amp;FL$2&amp;"+"&amp;CF142&amp;FL$1)</f>
        <v/>
      </c>
      <c r="FM142" s="66" t="str">
        <f t="shared" ref="FM142" si="2353">IF(CG142="","","|n"&amp;FM$2&amp;"+"&amp;CG142&amp;FM$1)</f>
        <v/>
      </c>
      <c r="FN142" s="66" t="str">
        <f t="shared" ref="FN142" si="2354">IF(CH142="","","|n"&amp;FN$2&amp;"+"&amp;CH142&amp;FN$1)</f>
        <v/>
      </c>
      <c r="FO142" s="66" t="str">
        <f t="shared" ref="FO142" si="2355">IF(CI142="","","|n"&amp;FO$2&amp;"+"&amp;CI142&amp;FO$1)</f>
        <v/>
      </c>
      <c r="FP142" s="66" t="str">
        <f t="shared" ref="FP142" si="2356">IF(CJ142="","","|n"&amp;FP$2&amp;"+"&amp;CJ142&amp;FP$1)</f>
        <v/>
      </c>
      <c r="FQ142" s="66" t="str">
        <f t="shared" ref="FQ142" si="2357">IF(CK142="","","|n"&amp;FQ$2&amp;"+"&amp;CK142&amp;FQ$1)</f>
        <v/>
      </c>
      <c r="FR142" s="66" t="str">
        <f t="shared" ref="FR142" si="2358">IF(CL142="","","|n"&amp;FR$2&amp;"+"&amp;CL142&amp;FR$1)</f>
        <v/>
      </c>
      <c r="FS142" s="66" t="str">
        <f t="shared" ref="FS142" si="2359">IF(CM142="","","|n"&amp;FS$2&amp;"+"&amp;CM142&amp;FS$1)</f>
        <v/>
      </c>
    </row>
    <row r="143" spans="1:175" s="29" customFormat="1" ht="16.5">
      <c r="A143" s="9"/>
      <c r="B143" s="17" t="s">
        <v>543</v>
      </c>
      <c r="C143" s="21" t="s">
        <v>544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2"/>
      <c r="Q143" s="92"/>
      <c r="R143" s="92"/>
      <c r="S143" s="92"/>
      <c r="T143" s="29" t="s">
        <v>545</v>
      </c>
      <c r="U143" s="77" t="str">
        <f t="shared" ref="U143:U158" si="2360">"ReplaceableTextures\\CommandButtons\\BTN"&amp;B143&amp;".blp"</f>
        <v>ReplaceableTextures\\CommandButtons\\BTNIN20.blp</v>
      </c>
      <c r="V143" s="102"/>
      <c r="W143" s="103"/>
      <c r="X143" s="103"/>
      <c r="Y143" s="103"/>
      <c r="Z143" s="103"/>
      <c r="AA143" s="103"/>
      <c r="AB143" s="103"/>
      <c r="AC143" s="103"/>
      <c r="AD143" s="103"/>
      <c r="AE143" s="103"/>
      <c r="AF143" s="103"/>
      <c r="AG143" s="103"/>
      <c r="AH143" s="103"/>
      <c r="AI143" s="103"/>
      <c r="AJ143" s="103"/>
      <c r="AK143" s="103"/>
      <c r="AL143" s="103"/>
      <c r="AM143" s="103"/>
      <c r="AN143" s="103"/>
      <c r="AO143" s="103"/>
      <c r="AP143" s="103"/>
      <c r="AQ143" s="103"/>
      <c r="AR143" s="106"/>
      <c r="AS143" s="106"/>
      <c r="AT143" s="103"/>
      <c r="AU143" s="103"/>
      <c r="AV143" s="103"/>
      <c r="AW143" s="103"/>
      <c r="AX143" s="103"/>
      <c r="AY143" s="103"/>
      <c r="AZ143" s="103"/>
      <c r="BA143" s="103"/>
      <c r="BB143" s="103"/>
      <c r="BC143" s="103"/>
      <c r="BD143" s="103"/>
      <c r="BE143" s="103"/>
      <c r="BF143" s="103"/>
      <c r="BG143" s="103"/>
      <c r="BH143" s="103"/>
      <c r="BI143" s="103"/>
      <c r="BJ143" s="103"/>
      <c r="BK143" s="103"/>
      <c r="BL143" s="103"/>
      <c r="BM143" s="103"/>
      <c r="BN143" s="103"/>
      <c r="BO143" s="103"/>
      <c r="BP143" s="103"/>
      <c r="BQ143" s="103"/>
      <c r="BR143" s="103"/>
      <c r="BS143" s="103"/>
      <c r="BT143" s="103"/>
      <c r="BU143" s="103"/>
      <c r="BV143" s="103"/>
      <c r="BW143" s="103"/>
      <c r="BX143" s="103"/>
      <c r="BY143" s="103"/>
      <c r="BZ143" s="103"/>
      <c r="CA143" s="103"/>
      <c r="CB143" s="103"/>
      <c r="CC143" s="103"/>
      <c r="CD143" s="103"/>
      <c r="CE143" s="103"/>
      <c r="CF143" s="103"/>
      <c r="CG143" s="103"/>
      <c r="CH143" s="103"/>
      <c r="CI143" s="103"/>
      <c r="CJ143" s="103"/>
      <c r="CK143" s="103"/>
      <c r="CL143" s="103"/>
      <c r="CM143" s="103"/>
      <c r="CN143" s="107" t="str">
        <f t="shared" si="2067"/>
        <v>InitUnitState('IN20',,,,,,,,,,)</v>
      </c>
      <c r="CO143" s="107" t="str">
        <f t="shared" si="2068"/>
        <v>InitUnitNormal('IN20',,,,,,,,,,)</v>
      </c>
      <c r="CP143" s="107" t="str">
        <f t="shared" si="2069"/>
        <v>InitUnitMagic('IN20',,,,,,,,,,)</v>
      </c>
      <c r="CQ143" s="107" t="str">
        <f t="shared" si="2070"/>
        <v>InitUnitAdd('IN20',,,,,,,,,,)</v>
      </c>
      <c r="CR143" s="107" t="str">
        <f t="shared" si="2071"/>
        <v>InitEquipData('IN20',,"",,,,,'','','','','','',"ReplaceableTextures\\CommandButtons\\BTNIT14.blp")</v>
      </c>
      <c r="CS143" s="107"/>
      <c r="CT143" s="107"/>
      <c r="CU143" s="88" t="str">
        <f t="shared" si="2288"/>
        <v>|n</v>
      </c>
      <c r="CV143" s="29" t="str">
        <f t="shared" si="2289"/>
        <v>|CffFFD24D30|r秒内杀敌金币|Cffffd24d+10|r</v>
      </c>
      <c r="CW143" s="33"/>
      <c r="CX143" s="33"/>
      <c r="CY143" s="33"/>
      <c r="CZ143" s="33"/>
      <c r="DA143" s="33"/>
      <c r="DB143" s="108" t="str">
        <f t="shared" ref="DB143:FM143" si="2361">IF(V143="","","|n"&amp;DB$2&amp;"+"&amp;V143&amp;DB$1)</f>
        <v/>
      </c>
      <c r="DC143" s="108" t="str">
        <f t="shared" si="2361"/>
        <v/>
      </c>
      <c r="DD143" s="108" t="str">
        <f t="shared" si="2361"/>
        <v/>
      </c>
      <c r="DE143" s="108" t="str">
        <f t="shared" si="2361"/>
        <v/>
      </c>
      <c r="DF143" s="108" t="str">
        <f t="shared" si="2361"/>
        <v/>
      </c>
      <c r="DG143" s="108" t="str">
        <f t="shared" si="2361"/>
        <v/>
      </c>
      <c r="DH143" s="108" t="str">
        <f t="shared" si="2361"/>
        <v/>
      </c>
      <c r="DI143" s="108" t="str">
        <f t="shared" si="2361"/>
        <v/>
      </c>
      <c r="DJ143" s="108" t="str">
        <f t="shared" si="2361"/>
        <v/>
      </c>
      <c r="DK143" s="108" t="str">
        <f t="shared" si="2361"/>
        <v/>
      </c>
      <c r="DL143" s="108" t="str">
        <f t="shared" si="2361"/>
        <v/>
      </c>
      <c r="DM143" s="108" t="str">
        <f t="shared" si="2361"/>
        <v/>
      </c>
      <c r="DN143" s="108" t="str">
        <f t="shared" si="2361"/>
        <v/>
      </c>
      <c r="DO143" s="108" t="str">
        <f t="shared" si="2361"/>
        <v/>
      </c>
      <c r="DP143" s="108" t="str">
        <f t="shared" si="2361"/>
        <v/>
      </c>
      <c r="DQ143" s="108" t="str">
        <f t="shared" si="2361"/>
        <v/>
      </c>
      <c r="DR143" s="108" t="str">
        <f t="shared" si="2361"/>
        <v/>
      </c>
      <c r="DS143" s="108" t="str">
        <f t="shared" si="2361"/>
        <v/>
      </c>
      <c r="DT143" s="108" t="str">
        <f t="shared" si="2361"/>
        <v/>
      </c>
      <c r="DU143" s="108" t="str">
        <f t="shared" si="2361"/>
        <v/>
      </c>
      <c r="DV143" s="108" t="str">
        <f t="shared" si="2361"/>
        <v/>
      </c>
      <c r="DW143" s="108" t="str">
        <f t="shared" si="2361"/>
        <v/>
      </c>
      <c r="DX143" s="108" t="str">
        <f t="shared" si="2361"/>
        <v/>
      </c>
      <c r="DY143" s="108" t="str">
        <f t="shared" si="2361"/>
        <v/>
      </c>
      <c r="DZ143" s="108" t="str">
        <f t="shared" si="2361"/>
        <v/>
      </c>
      <c r="EA143" s="108" t="str">
        <f t="shared" si="2361"/>
        <v/>
      </c>
      <c r="EB143" s="108" t="str">
        <f t="shared" si="2361"/>
        <v/>
      </c>
      <c r="EC143" s="108" t="str">
        <f t="shared" si="2361"/>
        <v/>
      </c>
      <c r="ED143" s="108" t="str">
        <f t="shared" si="2361"/>
        <v/>
      </c>
      <c r="EE143" s="108" t="str">
        <f t="shared" si="2361"/>
        <v/>
      </c>
      <c r="EF143" s="108" t="str">
        <f t="shared" si="2361"/>
        <v/>
      </c>
      <c r="EG143" s="108" t="str">
        <f t="shared" si="2361"/>
        <v/>
      </c>
      <c r="EH143" s="108" t="str">
        <f t="shared" si="2361"/>
        <v/>
      </c>
      <c r="EI143" s="108" t="str">
        <f t="shared" si="2361"/>
        <v/>
      </c>
      <c r="EJ143" s="108" t="str">
        <f t="shared" si="2361"/>
        <v/>
      </c>
      <c r="EK143" s="108" t="str">
        <f t="shared" si="2361"/>
        <v/>
      </c>
      <c r="EL143" s="108" t="str">
        <f t="shared" si="2361"/>
        <v/>
      </c>
      <c r="EM143" s="108" t="str">
        <f t="shared" si="2361"/>
        <v/>
      </c>
      <c r="EN143" s="108" t="str">
        <f t="shared" si="2361"/>
        <v/>
      </c>
      <c r="EO143" s="108" t="str">
        <f t="shared" si="2361"/>
        <v/>
      </c>
      <c r="EP143" s="108" t="str">
        <f t="shared" si="2361"/>
        <v/>
      </c>
      <c r="EQ143" s="108" t="str">
        <f t="shared" si="2361"/>
        <v/>
      </c>
      <c r="ER143" s="108" t="str">
        <f t="shared" si="2361"/>
        <v/>
      </c>
      <c r="ES143" s="108" t="str">
        <f t="shared" si="2361"/>
        <v/>
      </c>
      <c r="ET143" s="108" t="str">
        <f t="shared" si="2361"/>
        <v/>
      </c>
      <c r="EU143" s="108" t="str">
        <f t="shared" si="2361"/>
        <v/>
      </c>
      <c r="EV143" s="108" t="str">
        <f t="shared" si="2361"/>
        <v/>
      </c>
      <c r="EW143" s="108" t="str">
        <f t="shared" si="2361"/>
        <v/>
      </c>
      <c r="EX143" s="108" t="str">
        <f t="shared" si="2361"/>
        <v/>
      </c>
      <c r="EY143" s="108" t="str">
        <f t="shared" si="2361"/>
        <v/>
      </c>
      <c r="EZ143" s="108" t="str">
        <f t="shared" si="2361"/>
        <v/>
      </c>
      <c r="FA143" s="108" t="str">
        <f t="shared" si="2361"/>
        <v/>
      </c>
      <c r="FB143" s="108" t="str">
        <f t="shared" si="2361"/>
        <v/>
      </c>
      <c r="FC143" s="108" t="str">
        <f t="shared" si="2361"/>
        <v/>
      </c>
      <c r="FD143" s="108" t="str">
        <f t="shared" si="2361"/>
        <v/>
      </c>
      <c r="FE143" s="108" t="str">
        <f t="shared" si="2361"/>
        <v/>
      </c>
      <c r="FF143" s="108" t="str">
        <f t="shared" si="2361"/>
        <v/>
      </c>
      <c r="FG143" s="108" t="str">
        <f t="shared" si="2361"/>
        <v/>
      </c>
      <c r="FH143" s="108" t="str">
        <f t="shared" si="2361"/>
        <v/>
      </c>
      <c r="FI143" s="108" t="str">
        <f t="shared" si="2361"/>
        <v/>
      </c>
      <c r="FJ143" s="108" t="str">
        <f t="shared" si="2361"/>
        <v/>
      </c>
      <c r="FK143" s="108" t="str">
        <f t="shared" si="2361"/>
        <v/>
      </c>
      <c r="FL143" s="108" t="str">
        <f t="shared" si="2361"/>
        <v/>
      </c>
      <c r="FM143" s="108" t="str">
        <f t="shared" si="2361"/>
        <v/>
      </c>
      <c r="FN143" s="108" t="str">
        <f t="shared" ref="FN143:FS143" si="2362">IF(CH143="","","|n"&amp;FN$2&amp;"+"&amp;CH143&amp;FN$1)</f>
        <v/>
      </c>
      <c r="FO143" s="108" t="str">
        <f t="shared" si="2362"/>
        <v/>
      </c>
      <c r="FP143" s="108" t="str">
        <f t="shared" si="2362"/>
        <v/>
      </c>
      <c r="FQ143" s="108" t="str">
        <f t="shared" si="2362"/>
        <v/>
      </c>
      <c r="FR143" s="108" t="str">
        <f t="shared" si="2362"/>
        <v/>
      </c>
      <c r="FS143" s="108" t="str">
        <f t="shared" si="2362"/>
        <v/>
      </c>
    </row>
    <row r="144" spans="1:175" s="29" customFormat="1" ht="16.5">
      <c r="A144" s="9"/>
      <c r="B144" s="17" t="s">
        <v>546</v>
      </c>
      <c r="C144" s="22" t="s">
        <v>547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2"/>
      <c r="Q144" s="92"/>
      <c r="R144" s="92"/>
      <c r="S144" s="92"/>
      <c r="T144" s="29" t="s">
        <v>548</v>
      </c>
      <c r="U144" s="77" t="str">
        <f t="shared" si="2360"/>
        <v>ReplaceableTextures\\CommandButtons\\BTNIN21.blp</v>
      </c>
      <c r="V144" s="102"/>
      <c r="W144" s="103"/>
      <c r="X144" s="103"/>
      <c r="Y144" s="103"/>
      <c r="Z144" s="103"/>
      <c r="AA144" s="103"/>
      <c r="AB144" s="103"/>
      <c r="AC144" s="103"/>
      <c r="AD144" s="103"/>
      <c r="AE144" s="103"/>
      <c r="AF144" s="103"/>
      <c r="AG144" s="103"/>
      <c r="AH144" s="103"/>
      <c r="AI144" s="103"/>
      <c r="AJ144" s="103"/>
      <c r="AK144" s="103"/>
      <c r="AL144" s="103"/>
      <c r="AM144" s="103"/>
      <c r="AN144" s="103"/>
      <c r="AO144" s="103"/>
      <c r="AP144" s="103"/>
      <c r="AQ144" s="103"/>
      <c r="AR144" s="106"/>
      <c r="AS144" s="106"/>
      <c r="AT144" s="103"/>
      <c r="AU144" s="103"/>
      <c r="AV144" s="103"/>
      <c r="AW144" s="103"/>
      <c r="AX144" s="103"/>
      <c r="AY144" s="103"/>
      <c r="AZ144" s="103"/>
      <c r="BA144" s="103"/>
      <c r="BB144" s="103"/>
      <c r="BC144" s="103"/>
      <c r="BD144" s="103"/>
      <c r="BE144" s="103"/>
      <c r="BF144" s="103"/>
      <c r="BG144" s="103"/>
      <c r="BH144" s="103"/>
      <c r="BI144" s="103"/>
      <c r="BJ144" s="103"/>
      <c r="BK144" s="103"/>
      <c r="BL144" s="103"/>
      <c r="BM144" s="103"/>
      <c r="BN144" s="103"/>
      <c r="BO144" s="103"/>
      <c r="BP144" s="103"/>
      <c r="BQ144" s="103"/>
      <c r="BR144" s="103"/>
      <c r="BS144" s="103"/>
      <c r="BT144" s="103"/>
      <c r="BU144" s="103"/>
      <c r="BV144" s="103"/>
      <c r="BW144" s="103"/>
      <c r="BX144" s="103"/>
      <c r="BY144" s="103"/>
      <c r="BZ144" s="103"/>
      <c r="CA144" s="103"/>
      <c r="CB144" s="103"/>
      <c r="CC144" s="103"/>
      <c r="CD144" s="103"/>
      <c r="CE144" s="103"/>
      <c r="CF144" s="103"/>
      <c r="CG144" s="103"/>
      <c r="CH144" s="103"/>
      <c r="CI144" s="103"/>
      <c r="CJ144" s="103"/>
      <c r="CK144" s="103"/>
      <c r="CL144" s="103"/>
      <c r="CM144" s="103"/>
      <c r="CN144" s="107" t="str">
        <f t="shared" si="2067"/>
        <v>InitUnitState('IN21',,,,,,,,,,)</v>
      </c>
      <c r="CO144" s="107" t="str">
        <f t="shared" si="2068"/>
        <v>InitUnitNormal('IN21',,,,,,,,,,)</v>
      </c>
      <c r="CP144" s="107" t="str">
        <f t="shared" si="2069"/>
        <v>InitUnitMagic('IN21',,,,,,,,,,)</v>
      </c>
      <c r="CQ144" s="107" t="str">
        <f t="shared" si="2070"/>
        <v>InitUnitAdd('IN21',,,,,,,,,,)</v>
      </c>
      <c r="CR144" s="107" t="str">
        <f t="shared" si="2071"/>
        <v>InitEquipData('IN21',,"",,,,,'','','','','','',"ReplaceableTextures\\CommandButtons\\BTNIZ0A.blp")</v>
      </c>
      <c r="CS144" s="107"/>
      <c r="CT144" s="107"/>
      <c r="CU144" s="88" t="str">
        <f t="shared" si="2288"/>
        <v>|n</v>
      </c>
      <c r="CV144" s="29" t="str">
        <f t="shared" si="2289"/>
        <v>全体队友|Cffffd24d10|r秒内提高|Cffffd24d30%|r生命恢复，|Cffffd24d物理及法术伤害提高50%|r。|n|Cff00ff7f效果结束时，所有队友当前生命值降低至20%|r|r</v>
      </c>
      <c r="CW144" s="33"/>
      <c r="CX144" s="33"/>
      <c r="CY144" s="33"/>
      <c r="CZ144" s="33"/>
      <c r="DA144" s="33"/>
      <c r="DB144" s="108" t="str">
        <f t="shared" ref="DB144:FM144" si="2363">IF(V144="","","|n"&amp;DB$2&amp;"+"&amp;V144&amp;DB$1)</f>
        <v/>
      </c>
      <c r="DC144" s="108" t="str">
        <f t="shared" si="2363"/>
        <v/>
      </c>
      <c r="DD144" s="108" t="str">
        <f t="shared" si="2363"/>
        <v/>
      </c>
      <c r="DE144" s="108" t="str">
        <f t="shared" si="2363"/>
        <v/>
      </c>
      <c r="DF144" s="108" t="str">
        <f t="shared" si="2363"/>
        <v/>
      </c>
      <c r="DG144" s="108" t="str">
        <f t="shared" si="2363"/>
        <v/>
      </c>
      <c r="DH144" s="108" t="str">
        <f t="shared" si="2363"/>
        <v/>
      </c>
      <c r="DI144" s="108" t="str">
        <f t="shared" si="2363"/>
        <v/>
      </c>
      <c r="DJ144" s="108" t="str">
        <f t="shared" si="2363"/>
        <v/>
      </c>
      <c r="DK144" s="108" t="str">
        <f t="shared" si="2363"/>
        <v/>
      </c>
      <c r="DL144" s="108" t="str">
        <f t="shared" si="2363"/>
        <v/>
      </c>
      <c r="DM144" s="108" t="str">
        <f t="shared" si="2363"/>
        <v/>
      </c>
      <c r="DN144" s="108" t="str">
        <f t="shared" si="2363"/>
        <v/>
      </c>
      <c r="DO144" s="108" t="str">
        <f t="shared" si="2363"/>
        <v/>
      </c>
      <c r="DP144" s="108" t="str">
        <f t="shared" si="2363"/>
        <v/>
      </c>
      <c r="DQ144" s="108" t="str">
        <f t="shared" si="2363"/>
        <v/>
      </c>
      <c r="DR144" s="108" t="str">
        <f t="shared" si="2363"/>
        <v/>
      </c>
      <c r="DS144" s="108" t="str">
        <f t="shared" si="2363"/>
        <v/>
      </c>
      <c r="DT144" s="108" t="str">
        <f t="shared" si="2363"/>
        <v/>
      </c>
      <c r="DU144" s="108" t="str">
        <f t="shared" si="2363"/>
        <v/>
      </c>
      <c r="DV144" s="108" t="str">
        <f t="shared" si="2363"/>
        <v/>
      </c>
      <c r="DW144" s="108" t="str">
        <f t="shared" si="2363"/>
        <v/>
      </c>
      <c r="DX144" s="108" t="str">
        <f t="shared" si="2363"/>
        <v/>
      </c>
      <c r="DY144" s="108" t="str">
        <f t="shared" si="2363"/>
        <v/>
      </c>
      <c r="DZ144" s="108" t="str">
        <f t="shared" si="2363"/>
        <v/>
      </c>
      <c r="EA144" s="108" t="str">
        <f t="shared" si="2363"/>
        <v/>
      </c>
      <c r="EB144" s="108" t="str">
        <f t="shared" si="2363"/>
        <v/>
      </c>
      <c r="EC144" s="108" t="str">
        <f t="shared" si="2363"/>
        <v/>
      </c>
      <c r="ED144" s="108" t="str">
        <f t="shared" si="2363"/>
        <v/>
      </c>
      <c r="EE144" s="108" t="str">
        <f t="shared" si="2363"/>
        <v/>
      </c>
      <c r="EF144" s="108" t="str">
        <f t="shared" si="2363"/>
        <v/>
      </c>
      <c r="EG144" s="108" t="str">
        <f t="shared" si="2363"/>
        <v/>
      </c>
      <c r="EH144" s="108" t="str">
        <f t="shared" si="2363"/>
        <v/>
      </c>
      <c r="EI144" s="108" t="str">
        <f t="shared" si="2363"/>
        <v/>
      </c>
      <c r="EJ144" s="108" t="str">
        <f t="shared" si="2363"/>
        <v/>
      </c>
      <c r="EK144" s="108" t="str">
        <f t="shared" si="2363"/>
        <v/>
      </c>
      <c r="EL144" s="108" t="str">
        <f t="shared" si="2363"/>
        <v/>
      </c>
      <c r="EM144" s="108" t="str">
        <f t="shared" si="2363"/>
        <v/>
      </c>
      <c r="EN144" s="108" t="str">
        <f t="shared" si="2363"/>
        <v/>
      </c>
      <c r="EO144" s="108" t="str">
        <f t="shared" si="2363"/>
        <v/>
      </c>
      <c r="EP144" s="108" t="str">
        <f t="shared" si="2363"/>
        <v/>
      </c>
      <c r="EQ144" s="108" t="str">
        <f t="shared" si="2363"/>
        <v/>
      </c>
      <c r="ER144" s="108" t="str">
        <f t="shared" si="2363"/>
        <v/>
      </c>
      <c r="ES144" s="108" t="str">
        <f t="shared" si="2363"/>
        <v/>
      </c>
      <c r="ET144" s="108" t="str">
        <f t="shared" si="2363"/>
        <v/>
      </c>
      <c r="EU144" s="108" t="str">
        <f t="shared" si="2363"/>
        <v/>
      </c>
      <c r="EV144" s="108" t="str">
        <f t="shared" si="2363"/>
        <v/>
      </c>
      <c r="EW144" s="108" t="str">
        <f t="shared" si="2363"/>
        <v/>
      </c>
      <c r="EX144" s="108" t="str">
        <f t="shared" si="2363"/>
        <v/>
      </c>
      <c r="EY144" s="108" t="str">
        <f t="shared" si="2363"/>
        <v/>
      </c>
      <c r="EZ144" s="108" t="str">
        <f t="shared" si="2363"/>
        <v/>
      </c>
      <c r="FA144" s="108" t="str">
        <f t="shared" si="2363"/>
        <v/>
      </c>
      <c r="FB144" s="108" t="str">
        <f t="shared" si="2363"/>
        <v/>
      </c>
      <c r="FC144" s="108" t="str">
        <f t="shared" si="2363"/>
        <v/>
      </c>
      <c r="FD144" s="108" t="str">
        <f t="shared" si="2363"/>
        <v/>
      </c>
      <c r="FE144" s="108" t="str">
        <f t="shared" si="2363"/>
        <v/>
      </c>
      <c r="FF144" s="108" t="str">
        <f t="shared" si="2363"/>
        <v/>
      </c>
      <c r="FG144" s="108" t="str">
        <f t="shared" si="2363"/>
        <v/>
      </c>
      <c r="FH144" s="108" t="str">
        <f t="shared" si="2363"/>
        <v/>
      </c>
      <c r="FI144" s="108" t="str">
        <f t="shared" si="2363"/>
        <v/>
      </c>
      <c r="FJ144" s="108" t="str">
        <f t="shared" si="2363"/>
        <v/>
      </c>
      <c r="FK144" s="108" t="str">
        <f t="shared" si="2363"/>
        <v/>
      </c>
      <c r="FL144" s="108" t="str">
        <f t="shared" si="2363"/>
        <v/>
      </c>
      <c r="FM144" s="108" t="str">
        <f t="shared" si="2363"/>
        <v/>
      </c>
      <c r="FN144" s="108" t="str">
        <f t="shared" ref="FN144:FS144" si="2364">IF(CH144="","","|n"&amp;FN$2&amp;"+"&amp;CH144&amp;FN$1)</f>
        <v/>
      </c>
      <c r="FO144" s="108" t="str">
        <f t="shared" si="2364"/>
        <v/>
      </c>
      <c r="FP144" s="108" t="str">
        <f t="shared" si="2364"/>
        <v/>
      </c>
      <c r="FQ144" s="108" t="str">
        <f t="shared" si="2364"/>
        <v/>
      </c>
      <c r="FR144" s="108" t="str">
        <f t="shared" si="2364"/>
        <v/>
      </c>
      <c r="FS144" s="108" t="str">
        <f t="shared" si="2364"/>
        <v/>
      </c>
    </row>
    <row r="145" spans="1:175" s="29" customFormat="1" ht="16.5">
      <c r="A145" s="9"/>
      <c r="B145" s="9" t="s">
        <v>549</v>
      </c>
      <c r="C145" s="23" t="s">
        <v>550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2"/>
      <c r="Q145" s="92"/>
      <c r="R145" s="92"/>
      <c r="S145" s="92"/>
      <c r="T145" s="29" t="s">
        <v>551</v>
      </c>
      <c r="U145" s="77" t="str">
        <f t="shared" si="2360"/>
        <v>ReplaceableTextures\\CommandButtons\\BTNIN22.blp</v>
      </c>
      <c r="V145" s="102"/>
      <c r="W145" s="103"/>
      <c r="X145" s="103"/>
      <c r="Y145" s="103"/>
      <c r="Z145" s="103"/>
      <c r="AA145" s="103"/>
      <c r="AB145" s="103"/>
      <c r="AC145" s="103"/>
      <c r="AD145" s="103"/>
      <c r="AE145" s="103"/>
      <c r="AF145" s="103"/>
      <c r="AG145" s="103"/>
      <c r="AH145" s="103"/>
      <c r="AI145" s="103"/>
      <c r="AJ145" s="103"/>
      <c r="AK145" s="103"/>
      <c r="AL145" s="103"/>
      <c r="AM145" s="103"/>
      <c r="AN145" s="103"/>
      <c r="AO145" s="103"/>
      <c r="AP145" s="103"/>
      <c r="AQ145" s="103"/>
      <c r="AR145" s="106"/>
      <c r="AS145" s="106"/>
      <c r="AT145" s="103"/>
      <c r="AU145" s="103"/>
      <c r="AV145" s="103"/>
      <c r="AW145" s="103"/>
      <c r="AX145" s="103"/>
      <c r="AY145" s="103"/>
      <c r="AZ145" s="103"/>
      <c r="BA145" s="103"/>
      <c r="BB145" s="103"/>
      <c r="BC145" s="103"/>
      <c r="BD145" s="103"/>
      <c r="BE145" s="103"/>
      <c r="BF145" s="103"/>
      <c r="BG145" s="103"/>
      <c r="BH145" s="103"/>
      <c r="BI145" s="103"/>
      <c r="BJ145" s="103"/>
      <c r="BK145" s="103"/>
      <c r="BL145" s="103"/>
      <c r="BM145" s="103"/>
      <c r="BN145" s="103"/>
      <c r="BO145" s="103"/>
      <c r="BP145" s="103"/>
      <c r="BQ145" s="103"/>
      <c r="BR145" s="103"/>
      <c r="BS145" s="103"/>
      <c r="BT145" s="103"/>
      <c r="BU145" s="103"/>
      <c r="BV145" s="103"/>
      <c r="BW145" s="103"/>
      <c r="BX145" s="103"/>
      <c r="BY145" s="103"/>
      <c r="BZ145" s="103"/>
      <c r="CA145" s="103"/>
      <c r="CB145" s="103"/>
      <c r="CC145" s="103"/>
      <c r="CD145" s="103"/>
      <c r="CE145" s="103"/>
      <c r="CF145" s="103"/>
      <c r="CG145" s="103"/>
      <c r="CH145" s="103"/>
      <c r="CI145" s="103"/>
      <c r="CJ145" s="103"/>
      <c r="CK145" s="103"/>
      <c r="CL145" s="103"/>
      <c r="CM145" s="103"/>
      <c r="CN145" s="107" t="str">
        <f t="shared" si="2067"/>
        <v>InitUnitState('IN22',,,,,,,,,,)</v>
      </c>
      <c r="CO145" s="107" t="str">
        <f t="shared" si="2068"/>
        <v>InitUnitNormal('IN22',,,,,,,,,,)</v>
      </c>
      <c r="CP145" s="107" t="str">
        <f t="shared" si="2069"/>
        <v>InitUnitMagic('IN22',,,,,,,,,,)</v>
      </c>
      <c r="CQ145" s="107" t="str">
        <f t="shared" si="2070"/>
        <v>InitUnitAdd('IN22',,,,,,,,,,)</v>
      </c>
      <c r="CR145" s="107" t="str">
        <f t="shared" ref="CR145:CR155" si="2365"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184&amp;CR$1&amp;")"</f>
        <v>InitEquipData('IN22',,"",,,,,'','','','','','',"ReplaceableTextures\\CommandButtons\\BTNIZ01.blp")</v>
      </c>
      <c r="CS145" s="107"/>
      <c r="CT145" s="107"/>
      <c r="CU145" s="88" t="str">
        <f t="shared" si="2288"/>
        <v>|n</v>
      </c>
      <c r="CV145" s="29" t="str">
        <f t="shared" si="2289"/>
        <v>使用后|Cffffd24d5|r分钟内|Cffffd24d不使用任何主动技能/药水|r，获得|Cffffd24d1|r个|Cffff0000附魔宝箱|r</v>
      </c>
      <c r="CW145" s="33"/>
      <c r="CX145" s="33"/>
      <c r="CY145" s="33"/>
      <c r="CZ145" s="33"/>
      <c r="DA145" s="33"/>
      <c r="DB145" s="108" t="str">
        <f t="shared" ref="DB145:FM145" si="2366">IF(V145="","","|n"&amp;DB$2&amp;"+"&amp;V145&amp;DB$1)</f>
        <v/>
      </c>
      <c r="DC145" s="108" t="str">
        <f t="shared" si="2366"/>
        <v/>
      </c>
      <c r="DD145" s="108" t="str">
        <f t="shared" si="2366"/>
        <v/>
      </c>
      <c r="DE145" s="108" t="str">
        <f t="shared" si="2366"/>
        <v/>
      </c>
      <c r="DF145" s="108" t="str">
        <f t="shared" si="2366"/>
        <v/>
      </c>
      <c r="DG145" s="108" t="str">
        <f t="shared" si="2366"/>
        <v/>
      </c>
      <c r="DH145" s="108" t="str">
        <f t="shared" si="2366"/>
        <v/>
      </c>
      <c r="DI145" s="108" t="str">
        <f t="shared" si="2366"/>
        <v/>
      </c>
      <c r="DJ145" s="108" t="str">
        <f t="shared" si="2366"/>
        <v/>
      </c>
      <c r="DK145" s="108" t="str">
        <f t="shared" si="2366"/>
        <v/>
      </c>
      <c r="DL145" s="108" t="str">
        <f t="shared" si="2366"/>
        <v/>
      </c>
      <c r="DM145" s="108" t="str">
        <f t="shared" si="2366"/>
        <v/>
      </c>
      <c r="DN145" s="108" t="str">
        <f t="shared" si="2366"/>
        <v/>
      </c>
      <c r="DO145" s="108" t="str">
        <f t="shared" si="2366"/>
        <v/>
      </c>
      <c r="DP145" s="108" t="str">
        <f t="shared" si="2366"/>
        <v/>
      </c>
      <c r="DQ145" s="108" t="str">
        <f t="shared" si="2366"/>
        <v/>
      </c>
      <c r="DR145" s="108" t="str">
        <f t="shared" si="2366"/>
        <v/>
      </c>
      <c r="DS145" s="108" t="str">
        <f t="shared" si="2366"/>
        <v/>
      </c>
      <c r="DT145" s="108" t="str">
        <f t="shared" si="2366"/>
        <v/>
      </c>
      <c r="DU145" s="108" t="str">
        <f t="shared" si="2366"/>
        <v/>
      </c>
      <c r="DV145" s="108" t="str">
        <f t="shared" si="2366"/>
        <v/>
      </c>
      <c r="DW145" s="108" t="str">
        <f t="shared" si="2366"/>
        <v/>
      </c>
      <c r="DX145" s="108" t="str">
        <f t="shared" si="2366"/>
        <v/>
      </c>
      <c r="DY145" s="108" t="str">
        <f t="shared" si="2366"/>
        <v/>
      </c>
      <c r="DZ145" s="108" t="str">
        <f t="shared" si="2366"/>
        <v/>
      </c>
      <c r="EA145" s="108" t="str">
        <f t="shared" si="2366"/>
        <v/>
      </c>
      <c r="EB145" s="108" t="str">
        <f t="shared" si="2366"/>
        <v/>
      </c>
      <c r="EC145" s="108" t="str">
        <f t="shared" si="2366"/>
        <v/>
      </c>
      <c r="ED145" s="108" t="str">
        <f t="shared" si="2366"/>
        <v/>
      </c>
      <c r="EE145" s="108" t="str">
        <f t="shared" si="2366"/>
        <v/>
      </c>
      <c r="EF145" s="108" t="str">
        <f t="shared" si="2366"/>
        <v/>
      </c>
      <c r="EG145" s="108" t="str">
        <f t="shared" si="2366"/>
        <v/>
      </c>
      <c r="EH145" s="108" t="str">
        <f t="shared" si="2366"/>
        <v/>
      </c>
      <c r="EI145" s="108" t="str">
        <f t="shared" si="2366"/>
        <v/>
      </c>
      <c r="EJ145" s="108" t="str">
        <f t="shared" si="2366"/>
        <v/>
      </c>
      <c r="EK145" s="108" t="str">
        <f t="shared" si="2366"/>
        <v/>
      </c>
      <c r="EL145" s="108" t="str">
        <f t="shared" si="2366"/>
        <v/>
      </c>
      <c r="EM145" s="108" t="str">
        <f t="shared" si="2366"/>
        <v/>
      </c>
      <c r="EN145" s="108" t="str">
        <f t="shared" si="2366"/>
        <v/>
      </c>
      <c r="EO145" s="108" t="str">
        <f t="shared" si="2366"/>
        <v/>
      </c>
      <c r="EP145" s="108" t="str">
        <f t="shared" si="2366"/>
        <v/>
      </c>
      <c r="EQ145" s="108" t="str">
        <f t="shared" si="2366"/>
        <v/>
      </c>
      <c r="ER145" s="108" t="str">
        <f t="shared" si="2366"/>
        <v/>
      </c>
      <c r="ES145" s="108" t="str">
        <f t="shared" si="2366"/>
        <v/>
      </c>
      <c r="ET145" s="108" t="str">
        <f t="shared" si="2366"/>
        <v/>
      </c>
      <c r="EU145" s="108" t="str">
        <f t="shared" si="2366"/>
        <v/>
      </c>
      <c r="EV145" s="108" t="str">
        <f t="shared" si="2366"/>
        <v/>
      </c>
      <c r="EW145" s="108" t="str">
        <f t="shared" si="2366"/>
        <v/>
      </c>
      <c r="EX145" s="108" t="str">
        <f t="shared" si="2366"/>
        <v/>
      </c>
      <c r="EY145" s="108" t="str">
        <f t="shared" si="2366"/>
        <v/>
      </c>
      <c r="EZ145" s="108" t="str">
        <f t="shared" si="2366"/>
        <v/>
      </c>
      <c r="FA145" s="108" t="str">
        <f t="shared" si="2366"/>
        <v/>
      </c>
      <c r="FB145" s="108" t="str">
        <f t="shared" si="2366"/>
        <v/>
      </c>
      <c r="FC145" s="108" t="str">
        <f t="shared" si="2366"/>
        <v/>
      </c>
      <c r="FD145" s="108" t="str">
        <f t="shared" si="2366"/>
        <v/>
      </c>
      <c r="FE145" s="108" t="str">
        <f t="shared" si="2366"/>
        <v/>
      </c>
      <c r="FF145" s="108" t="str">
        <f t="shared" si="2366"/>
        <v/>
      </c>
      <c r="FG145" s="108" t="str">
        <f t="shared" si="2366"/>
        <v/>
      </c>
      <c r="FH145" s="108" t="str">
        <f t="shared" si="2366"/>
        <v/>
      </c>
      <c r="FI145" s="108" t="str">
        <f t="shared" si="2366"/>
        <v/>
      </c>
      <c r="FJ145" s="108" t="str">
        <f t="shared" si="2366"/>
        <v/>
      </c>
      <c r="FK145" s="108" t="str">
        <f t="shared" si="2366"/>
        <v/>
      </c>
      <c r="FL145" s="108" t="str">
        <f t="shared" si="2366"/>
        <v/>
      </c>
      <c r="FM145" s="108" t="str">
        <f t="shared" si="2366"/>
        <v/>
      </c>
      <c r="FN145" s="108" t="str">
        <f t="shared" ref="FN145:FS145" si="2367">IF(CH145="","","|n"&amp;FN$2&amp;"+"&amp;CH145&amp;FN$1)</f>
        <v/>
      </c>
      <c r="FO145" s="108" t="str">
        <f t="shared" si="2367"/>
        <v/>
      </c>
      <c r="FP145" s="108" t="str">
        <f t="shared" si="2367"/>
        <v/>
      </c>
      <c r="FQ145" s="108" t="str">
        <f t="shared" si="2367"/>
        <v/>
      </c>
      <c r="FR145" s="108" t="str">
        <f t="shared" si="2367"/>
        <v/>
      </c>
      <c r="FS145" s="108" t="str">
        <f t="shared" si="2367"/>
        <v/>
      </c>
    </row>
    <row r="146" spans="1:175" s="29" customFormat="1" ht="16.5">
      <c r="A146" s="9"/>
      <c r="B146" s="17" t="s">
        <v>552</v>
      </c>
      <c r="C146" s="21" t="s">
        <v>553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2"/>
      <c r="Q146" s="92"/>
      <c r="R146" s="92"/>
      <c r="S146" s="92"/>
      <c r="T146" s="29" t="s">
        <v>554</v>
      </c>
      <c r="U146" s="77" t="str">
        <f t="shared" si="2360"/>
        <v>ReplaceableTextures\\CommandButtons\\BTNIN23.blp</v>
      </c>
      <c r="V146" s="102"/>
      <c r="W146" s="103"/>
      <c r="X146" s="103"/>
      <c r="Y146" s="103"/>
      <c r="Z146" s="103"/>
      <c r="AA146" s="103"/>
      <c r="AB146" s="103"/>
      <c r="AC146" s="103"/>
      <c r="AD146" s="103"/>
      <c r="AE146" s="103"/>
      <c r="AF146" s="103"/>
      <c r="AG146" s="103"/>
      <c r="AH146" s="103"/>
      <c r="AI146" s="103"/>
      <c r="AJ146" s="103"/>
      <c r="AK146" s="103"/>
      <c r="AL146" s="103"/>
      <c r="AM146" s="103"/>
      <c r="AN146" s="103"/>
      <c r="AO146" s="103"/>
      <c r="AP146" s="103"/>
      <c r="AQ146" s="103"/>
      <c r="AR146" s="106"/>
      <c r="AS146" s="106"/>
      <c r="AT146" s="103"/>
      <c r="AU146" s="103"/>
      <c r="AV146" s="103"/>
      <c r="AW146" s="103"/>
      <c r="AX146" s="103"/>
      <c r="AY146" s="103"/>
      <c r="AZ146" s="103"/>
      <c r="BA146" s="103"/>
      <c r="BB146" s="103"/>
      <c r="BC146" s="103"/>
      <c r="BD146" s="103"/>
      <c r="BE146" s="103"/>
      <c r="BF146" s="103"/>
      <c r="BG146" s="103"/>
      <c r="BH146" s="103"/>
      <c r="BI146" s="103"/>
      <c r="BJ146" s="103"/>
      <c r="BK146" s="103"/>
      <c r="BL146" s="103"/>
      <c r="BM146" s="103"/>
      <c r="BN146" s="103"/>
      <c r="BO146" s="103"/>
      <c r="BP146" s="103"/>
      <c r="BQ146" s="103"/>
      <c r="BR146" s="103"/>
      <c r="BS146" s="103"/>
      <c r="BT146" s="103"/>
      <c r="BU146" s="103"/>
      <c r="BV146" s="103"/>
      <c r="BW146" s="103"/>
      <c r="BX146" s="103"/>
      <c r="BY146" s="103"/>
      <c r="BZ146" s="103"/>
      <c r="CA146" s="103"/>
      <c r="CB146" s="103"/>
      <c r="CC146" s="103"/>
      <c r="CD146" s="103"/>
      <c r="CE146" s="103"/>
      <c r="CF146" s="103"/>
      <c r="CG146" s="103"/>
      <c r="CH146" s="103"/>
      <c r="CI146" s="103"/>
      <c r="CJ146" s="103"/>
      <c r="CK146" s="103"/>
      <c r="CL146" s="103"/>
      <c r="CM146" s="103"/>
      <c r="CN146" s="107" t="str">
        <f t="shared" si="2067"/>
        <v>InitUnitState('IN23',,,,,,,,,,)</v>
      </c>
      <c r="CO146" s="107" t="str">
        <f t="shared" si="2068"/>
        <v>InitUnitNormal('IN23',,,,,,,,,,)</v>
      </c>
      <c r="CP146" s="107" t="str">
        <f t="shared" si="2069"/>
        <v>InitUnitMagic('IN23',,,,,,,,,,)</v>
      </c>
      <c r="CQ146" s="107" t="str">
        <f t="shared" si="2070"/>
        <v>InitUnitAdd('IN23',,,,,,,,,,)</v>
      </c>
      <c r="CR146" s="107" t="str">
        <f t="shared" si="2365"/>
        <v>InitEquipData('IN23',,"",,,,,'','','','','','',"ReplaceableTextures\\CommandButtons\\BTN001.blp")</v>
      </c>
      <c r="CS146" s="107"/>
      <c r="CT146" s="107"/>
      <c r="CU146" s="88" t="str">
        <f t="shared" si="2288"/>
        <v>|n</v>
      </c>
      <c r="CV146" s="29" t="str">
        <f t="shared" si="2289"/>
        <v>使用后|Cffffd24d5|r分钟内|Cffffd24d不进行任何挑战|r，获得|Cffffd24d1|r个|Cffff0000附魔宝箱|r</v>
      </c>
      <c r="CW146" s="33"/>
      <c r="CX146" s="33"/>
      <c r="CY146" s="33"/>
      <c r="CZ146" s="33"/>
      <c r="DA146" s="33"/>
      <c r="DB146" s="108" t="str">
        <f t="shared" ref="DB146:FM146" si="2368">IF(V146="","","|n"&amp;DB$2&amp;"+"&amp;V146&amp;DB$1)</f>
        <v/>
      </c>
      <c r="DC146" s="108" t="str">
        <f t="shared" si="2368"/>
        <v/>
      </c>
      <c r="DD146" s="108" t="str">
        <f t="shared" si="2368"/>
        <v/>
      </c>
      <c r="DE146" s="108" t="str">
        <f t="shared" si="2368"/>
        <v/>
      </c>
      <c r="DF146" s="108" t="str">
        <f t="shared" si="2368"/>
        <v/>
      </c>
      <c r="DG146" s="108" t="str">
        <f t="shared" si="2368"/>
        <v/>
      </c>
      <c r="DH146" s="108" t="str">
        <f t="shared" si="2368"/>
        <v/>
      </c>
      <c r="DI146" s="108" t="str">
        <f t="shared" si="2368"/>
        <v/>
      </c>
      <c r="DJ146" s="108" t="str">
        <f t="shared" si="2368"/>
        <v/>
      </c>
      <c r="DK146" s="108" t="str">
        <f t="shared" si="2368"/>
        <v/>
      </c>
      <c r="DL146" s="108" t="str">
        <f t="shared" si="2368"/>
        <v/>
      </c>
      <c r="DM146" s="108" t="str">
        <f t="shared" si="2368"/>
        <v/>
      </c>
      <c r="DN146" s="108" t="str">
        <f t="shared" si="2368"/>
        <v/>
      </c>
      <c r="DO146" s="108" t="str">
        <f t="shared" si="2368"/>
        <v/>
      </c>
      <c r="DP146" s="108" t="str">
        <f t="shared" si="2368"/>
        <v/>
      </c>
      <c r="DQ146" s="108" t="str">
        <f t="shared" si="2368"/>
        <v/>
      </c>
      <c r="DR146" s="108" t="str">
        <f t="shared" si="2368"/>
        <v/>
      </c>
      <c r="DS146" s="108" t="str">
        <f t="shared" si="2368"/>
        <v/>
      </c>
      <c r="DT146" s="108" t="str">
        <f t="shared" si="2368"/>
        <v/>
      </c>
      <c r="DU146" s="108" t="str">
        <f t="shared" si="2368"/>
        <v/>
      </c>
      <c r="DV146" s="108" t="str">
        <f t="shared" si="2368"/>
        <v/>
      </c>
      <c r="DW146" s="108" t="str">
        <f t="shared" si="2368"/>
        <v/>
      </c>
      <c r="DX146" s="108" t="str">
        <f t="shared" si="2368"/>
        <v/>
      </c>
      <c r="DY146" s="108" t="str">
        <f t="shared" si="2368"/>
        <v/>
      </c>
      <c r="DZ146" s="108" t="str">
        <f t="shared" si="2368"/>
        <v/>
      </c>
      <c r="EA146" s="108" t="str">
        <f t="shared" si="2368"/>
        <v/>
      </c>
      <c r="EB146" s="108" t="str">
        <f t="shared" si="2368"/>
        <v/>
      </c>
      <c r="EC146" s="108" t="str">
        <f t="shared" si="2368"/>
        <v/>
      </c>
      <c r="ED146" s="108" t="str">
        <f t="shared" si="2368"/>
        <v/>
      </c>
      <c r="EE146" s="108" t="str">
        <f t="shared" si="2368"/>
        <v/>
      </c>
      <c r="EF146" s="108" t="str">
        <f t="shared" si="2368"/>
        <v/>
      </c>
      <c r="EG146" s="108" t="str">
        <f t="shared" si="2368"/>
        <v/>
      </c>
      <c r="EH146" s="108" t="str">
        <f t="shared" si="2368"/>
        <v/>
      </c>
      <c r="EI146" s="108" t="str">
        <f t="shared" si="2368"/>
        <v/>
      </c>
      <c r="EJ146" s="108" t="str">
        <f t="shared" si="2368"/>
        <v/>
      </c>
      <c r="EK146" s="108" t="str">
        <f t="shared" si="2368"/>
        <v/>
      </c>
      <c r="EL146" s="108" t="str">
        <f t="shared" si="2368"/>
        <v/>
      </c>
      <c r="EM146" s="108" t="str">
        <f t="shared" si="2368"/>
        <v/>
      </c>
      <c r="EN146" s="108" t="str">
        <f t="shared" si="2368"/>
        <v/>
      </c>
      <c r="EO146" s="108" t="str">
        <f t="shared" si="2368"/>
        <v/>
      </c>
      <c r="EP146" s="108" t="str">
        <f t="shared" si="2368"/>
        <v/>
      </c>
      <c r="EQ146" s="108" t="str">
        <f t="shared" si="2368"/>
        <v/>
      </c>
      <c r="ER146" s="108" t="str">
        <f t="shared" si="2368"/>
        <v/>
      </c>
      <c r="ES146" s="108" t="str">
        <f t="shared" si="2368"/>
        <v/>
      </c>
      <c r="ET146" s="108" t="str">
        <f t="shared" si="2368"/>
        <v/>
      </c>
      <c r="EU146" s="108" t="str">
        <f t="shared" si="2368"/>
        <v/>
      </c>
      <c r="EV146" s="108" t="str">
        <f t="shared" si="2368"/>
        <v/>
      </c>
      <c r="EW146" s="108" t="str">
        <f t="shared" si="2368"/>
        <v/>
      </c>
      <c r="EX146" s="108" t="str">
        <f t="shared" si="2368"/>
        <v/>
      </c>
      <c r="EY146" s="108" t="str">
        <f t="shared" si="2368"/>
        <v/>
      </c>
      <c r="EZ146" s="108" t="str">
        <f t="shared" si="2368"/>
        <v/>
      </c>
      <c r="FA146" s="108" t="str">
        <f t="shared" si="2368"/>
        <v/>
      </c>
      <c r="FB146" s="108" t="str">
        <f t="shared" si="2368"/>
        <v/>
      </c>
      <c r="FC146" s="108" t="str">
        <f t="shared" si="2368"/>
        <v/>
      </c>
      <c r="FD146" s="108" t="str">
        <f t="shared" si="2368"/>
        <v/>
      </c>
      <c r="FE146" s="108" t="str">
        <f t="shared" si="2368"/>
        <v/>
      </c>
      <c r="FF146" s="108" t="str">
        <f t="shared" si="2368"/>
        <v/>
      </c>
      <c r="FG146" s="108" t="str">
        <f t="shared" si="2368"/>
        <v/>
      </c>
      <c r="FH146" s="108" t="str">
        <f t="shared" si="2368"/>
        <v/>
      </c>
      <c r="FI146" s="108" t="str">
        <f t="shared" si="2368"/>
        <v/>
      </c>
      <c r="FJ146" s="108" t="str">
        <f t="shared" si="2368"/>
        <v/>
      </c>
      <c r="FK146" s="108" t="str">
        <f t="shared" si="2368"/>
        <v/>
      </c>
      <c r="FL146" s="108" t="str">
        <f t="shared" si="2368"/>
        <v/>
      </c>
      <c r="FM146" s="108" t="str">
        <f t="shared" si="2368"/>
        <v/>
      </c>
      <c r="FN146" s="108" t="str">
        <f t="shared" ref="FN146:FS146" si="2369">IF(CH146="","","|n"&amp;FN$2&amp;"+"&amp;CH146&amp;FN$1)</f>
        <v/>
      </c>
      <c r="FO146" s="108" t="str">
        <f t="shared" si="2369"/>
        <v/>
      </c>
      <c r="FP146" s="108" t="str">
        <f t="shared" si="2369"/>
        <v/>
      </c>
      <c r="FQ146" s="108" t="str">
        <f t="shared" si="2369"/>
        <v/>
      </c>
      <c r="FR146" s="108" t="str">
        <f t="shared" si="2369"/>
        <v/>
      </c>
      <c r="FS146" s="108" t="str">
        <f t="shared" si="2369"/>
        <v/>
      </c>
    </row>
    <row r="147" spans="1:175" s="29" customFormat="1" ht="16.5">
      <c r="A147" s="9"/>
      <c r="B147" s="17" t="s">
        <v>555</v>
      </c>
      <c r="C147" s="21" t="s">
        <v>556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2"/>
      <c r="Q147" s="92"/>
      <c r="R147" s="92"/>
      <c r="S147" s="92"/>
      <c r="T147" s="29" t="s">
        <v>557</v>
      </c>
      <c r="U147" s="77" t="str">
        <f t="shared" si="2360"/>
        <v>ReplaceableTextures\\CommandButtons\\BTNIN24.blp</v>
      </c>
      <c r="V147" s="102"/>
      <c r="W147" s="103"/>
      <c r="X147" s="103"/>
      <c r="Y147" s="103"/>
      <c r="Z147" s="103"/>
      <c r="AA147" s="103"/>
      <c r="AB147" s="103"/>
      <c r="AC147" s="103"/>
      <c r="AD147" s="103"/>
      <c r="AE147" s="103"/>
      <c r="AF147" s="103"/>
      <c r="AG147" s="103"/>
      <c r="AH147" s="103"/>
      <c r="AI147" s="103"/>
      <c r="AJ147" s="103"/>
      <c r="AK147" s="103"/>
      <c r="AL147" s="103"/>
      <c r="AM147" s="103"/>
      <c r="AN147" s="103"/>
      <c r="AO147" s="103"/>
      <c r="AP147" s="103"/>
      <c r="AQ147" s="103"/>
      <c r="AR147" s="106"/>
      <c r="AS147" s="106"/>
      <c r="AT147" s="103"/>
      <c r="AU147" s="103"/>
      <c r="AV147" s="103"/>
      <c r="AW147" s="103"/>
      <c r="AX147" s="103"/>
      <c r="AY147" s="103"/>
      <c r="AZ147" s="103"/>
      <c r="BA147" s="103"/>
      <c r="BB147" s="103"/>
      <c r="BC147" s="103"/>
      <c r="BD147" s="103"/>
      <c r="BE147" s="103"/>
      <c r="BF147" s="103"/>
      <c r="BG147" s="103"/>
      <c r="BH147" s="103"/>
      <c r="BI147" s="103"/>
      <c r="BJ147" s="103"/>
      <c r="BK147" s="103"/>
      <c r="BL147" s="103"/>
      <c r="BM147" s="103"/>
      <c r="BN147" s="103"/>
      <c r="BO147" s="103"/>
      <c r="BP147" s="103"/>
      <c r="BQ147" s="103"/>
      <c r="BR147" s="103"/>
      <c r="BS147" s="103"/>
      <c r="BT147" s="103"/>
      <c r="BU147" s="103"/>
      <c r="BV147" s="103"/>
      <c r="BW147" s="103"/>
      <c r="BX147" s="103"/>
      <c r="BY147" s="103"/>
      <c r="BZ147" s="103"/>
      <c r="CA147" s="103"/>
      <c r="CB147" s="103"/>
      <c r="CC147" s="103"/>
      <c r="CD147" s="103"/>
      <c r="CE147" s="103"/>
      <c r="CF147" s="103"/>
      <c r="CG147" s="103"/>
      <c r="CH147" s="103"/>
      <c r="CI147" s="103"/>
      <c r="CJ147" s="103"/>
      <c r="CK147" s="103"/>
      <c r="CL147" s="103"/>
      <c r="CM147" s="103"/>
      <c r="CN147" s="107" t="str">
        <f t="shared" si="2067"/>
        <v>InitUnitState('IN24',,,,,,,,,,)</v>
      </c>
      <c r="CO147" s="107" t="str">
        <f t="shared" si="2068"/>
        <v>InitUnitNormal('IN24',,,,,,,,,,)</v>
      </c>
      <c r="CP147" s="107" t="str">
        <f t="shared" si="2069"/>
        <v>InitUnitMagic('IN24',,,,,,,,,,)</v>
      </c>
      <c r="CQ147" s="107" t="str">
        <f t="shared" si="2070"/>
        <v>InitUnitAdd('IN24',,,,,,,,,,)</v>
      </c>
      <c r="CR147" s="107" t="str">
        <f t="shared" si="2365"/>
        <v>InitEquipData('IN24',,"",,,,,'','','','','','',"ReplaceableTextures\\CommandButtons\\BTN002.blp")</v>
      </c>
      <c r="CS147" s="107"/>
      <c r="CT147" s="107"/>
      <c r="CU147" s="88" t="str">
        <f t="shared" si="2288"/>
        <v>|n</v>
      </c>
      <c r="CV147" s="29" t="str">
        <f t="shared" si="2289"/>
        <v>使用后|Cffffd24d5|r分钟内|Cffffd24d不使用轻功|r，获得|Cffffd24d1|r个|Cffff0000附魔宝箱|r</v>
      </c>
      <c r="CW147" s="33"/>
      <c r="CX147" s="33"/>
      <c r="CY147" s="33"/>
      <c r="CZ147" s="33"/>
      <c r="DA147" s="33"/>
      <c r="DB147" s="108" t="str">
        <f t="shared" ref="DB147:FM147" si="2370">IF(V147="","","|n"&amp;DB$2&amp;"+"&amp;V147&amp;DB$1)</f>
        <v/>
      </c>
      <c r="DC147" s="108" t="str">
        <f t="shared" si="2370"/>
        <v/>
      </c>
      <c r="DD147" s="108" t="str">
        <f t="shared" si="2370"/>
        <v/>
      </c>
      <c r="DE147" s="108" t="str">
        <f t="shared" si="2370"/>
        <v/>
      </c>
      <c r="DF147" s="108" t="str">
        <f t="shared" si="2370"/>
        <v/>
      </c>
      <c r="DG147" s="108" t="str">
        <f t="shared" si="2370"/>
        <v/>
      </c>
      <c r="DH147" s="108" t="str">
        <f t="shared" si="2370"/>
        <v/>
      </c>
      <c r="DI147" s="108" t="str">
        <f t="shared" si="2370"/>
        <v/>
      </c>
      <c r="DJ147" s="108" t="str">
        <f t="shared" si="2370"/>
        <v/>
      </c>
      <c r="DK147" s="108" t="str">
        <f t="shared" si="2370"/>
        <v/>
      </c>
      <c r="DL147" s="108" t="str">
        <f t="shared" si="2370"/>
        <v/>
      </c>
      <c r="DM147" s="108" t="str">
        <f t="shared" si="2370"/>
        <v/>
      </c>
      <c r="DN147" s="108" t="str">
        <f t="shared" si="2370"/>
        <v/>
      </c>
      <c r="DO147" s="108" t="str">
        <f t="shared" si="2370"/>
        <v/>
      </c>
      <c r="DP147" s="108" t="str">
        <f t="shared" si="2370"/>
        <v/>
      </c>
      <c r="DQ147" s="108" t="str">
        <f t="shared" si="2370"/>
        <v/>
      </c>
      <c r="DR147" s="108" t="str">
        <f t="shared" si="2370"/>
        <v/>
      </c>
      <c r="DS147" s="108" t="str">
        <f t="shared" si="2370"/>
        <v/>
      </c>
      <c r="DT147" s="108" t="str">
        <f t="shared" si="2370"/>
        <v/>
      </c>
      <c r="DU147" s="108" t="str">
        <f t="shared" si="2370"/>
        <v/>
      </c>
      <c r="DV147" s="108" t="str">
        <f t="shared" si="2370"/>
        <v/>
      </c>
      <c r="DW147" s="108" t="str">
        <f t="shared" si="2370"/>
        <v/>
      </c>
      <c r="DX147" s="108" t="str">
        <f t="shared" si="2370"/>
        <v/>
      </c>
      <c r="DY147" s="108" t="str">
        <f t="shared" si="2370"/>
        <v/>
      </c>
      <c r="DZ147" s="108" t="str">
        <f t="shared" si="2370"/>
        <v/>
      </c>
      <c r="EA147" s="108" t="str">
        <f t="shared" si="2370"/>
        <v/>
      </c>
      <c r="EB147" s="108" t="str">
        <f t="shared" si="2370"/>
        <v/>
      </c>
      <c r="EC147" s="108" t="str">
        <f t="shared" si="2370"/>
        <v/>
      </c>
      <c r="ED147" s="108" t="str">
        <f t="shared" si="2370"/>
        <v/>
      </c>
      <c r="EE147" s="108" t="str">
        <f t="shared" si="2370"/>
        <v/>
      </c>
      <c r="EF147" s="108" t="str">
        <f t="shared" si="2370"/>
        <v/>
      </c>
      <c r="EG147" s="108" t="str">
        <f t="shared" si="2370"/>
        <v/>
      </c>
      <c r="EH147" s="108" t="str">
        <f t="shared" si="2370"/>
        <v/>
      </c>
      <c r="EI147" s="108" t="str">
        <f t="shared" si="2370"/>
        <v/>
      </c>
      <c r="EJ147" s="108" t="str">
        <f t="shared" si="2370"/>
        <v/>
      </c>
      <c r="EK147" s="108" t="str">
        <f t="shared" si="2370"/>
        <v/>
      </c>
      <c r="EL147" s="108" t="str">
        <f t="shared" si="2370"/>
        <v/>
      </c>
      <c r="EM147" s="108" t="str">
        <f t="shared" si="2370"/>
        <v/>
      </c>
      <c r="EN147" s="108" t="str">
        <f t="shared" si="2370"/>
        <v/>
      </c>
      <c r="EO147" s="108" t="str">
        <f t="shared" si="2370"/>
        <v/>
      </c>
      <c r="EP147" s="108" t="str">
        <f t="shared" si="2370"/>
        <v/>
      </c>
      <c r="EQ147" s="108" t="str">
        <f t="shared" si="2370"/>
        <v/>
      </c>
      <c r="ER147" s="108" t="str">
        <f t="shared" si="2370"/>
        <v/>
      </c>
      <c r="ES147" s="108" t="str">
        <f t="shared" si="2370"/>
        <v/>
      </c>
      <c r="ET147" s="108" t="str">
        <f t="shared" si="2370"/>
        <v/>
      </c>
      <c r="EU147" s="108" t="str">
        <f t="shared" si="2370"/>
        <v/>
      </c>
      <c r="EV147" s="108" t="str">
        <f t="shared" si="2370"/>
        <v/>
      </c>
      <c r="EW147" s="108" t="str">
        <f t="shared" si="2370"/>
        <v/>
      </c>
      <c r="EX147" s="108" t="str">
        <f t="shared" si="2370"/>
        <v/>
      </c>
      <c r="EY147" s="108" t="str">
        <f t="shared" si="2370"/>
        <v/>
      </c>
      <c r="EZ147" s="108" t="str">
        <f t="shared" si="2370"/>
        <v/>
      </c>
      <c r="FA147" s="108" t="str">
        <f t="shared" si="2370"/>
        <v/>
      </c>
      <c r="FB147" s="108" t="str">
        <f t="shared" si="2370"/>
        <v/>
      </c>
      <c r="FC147" s="108" t="str">
        <f t="shared" si="2370"/>
        <v/>
      </c>
      <c r="FD147" s="108" t="str">
        <f t="shared" si="2370"/>
        <v/>
      </c>
      <c r="FE147" s="108" t="str">
        <f t="shared" si="2370"/>
        <v/>
      </c>
      <c r="FF147" s="108" t="str">
        <f t="shared" si="2370"/>
        <v/>
      </c>
      <c r="FG147" s="108" t="str">
        <f t="shared" si="2370"/>
        <v/>
      </c>
      <c r="FH147" s="108" t="str">
        <f t="shared" si="2370"/>
        <v/>
      </c>
      <c r="FI147" s="108" t="str">
        <f t="shared" si="2370"/>
        <v/>
      </c>
      <c r="FJ147" s="108" t="str">
        <f t="shared" si="2370"/>
        <v/>
      </c>
      <c r="FK147" s="108" t="str">
        <f t="shared" si="2370"/>
        <v/>
      </c>
      <c r="FL147" s="108" t="str">
        <f t="shared" si="2370"/>
        <v/>
      </c>
      <c r="FM147" s="108" t="str">
        <f t="shared" si="2370"/>
        <v/>
      </c>
      <c r="FN147" s="108" t="str">
        <f t="shared" ref="FN147:FS147" si="2371">IF(CH147="","","|n"&amp;FN$2&amp;"+"&amp;CH147&amp;FN$1)</f>
        <v/>
      </c>
      <c r="FO147" s="108" t="str">
        <f t="shared" si="2371"/>
        <v/>
      </c>
      <c r="FP147" s="108" t="str">
        <f t="shared" si="2371"/>
        <v/>
      </c>
      <c r="FQ147" s="108" t="str">
        <f t="shared" si="2371"/>
        <v/>
      </c>
      <c r="FR147" s="108" t="str">
        <f t="shared" si="2371"/>
        <v/>
      </c>
      <c r="FS147" s="108" t="str">
        <f t="shared" si="2371"/>
        <v/>
      </c>
    </row>
    <row r="148" spans="1:175" s="29" customFormat="1" ht="16.5">
      <c r="A148" s="9"/>
      <c r="B148" s="24" t="s">
        <v>558</v>
      </c>
      <c r="C148" s="23" t="s">
        <v>559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2"/>
      <c r="Q148" s="92"/>
      <c r="R148" s="92"/>
      <c r="S148" s="92"/>
      <c r="T148" s="29" t="s">
        <v>560</v>
      </c>
      <c r="U148" s="77" t="s">
        <v>561</v>
      </c>
      <c r="V148" s="102"/>
      <c r="W148" s="103"/>
      <c r="X148" s="103"/>
      <c r="Y148" s="103"/>
      <c r="Z148" s="103"/>
      <c r="AA148" s="103"/>
      <c r="AB148" s="103"/>
      <c r="AC148" s="103"/>
      <c r="AD148" s="103"/>
      <c r="AE148" s="103"/>
      <c r="AF148" s="103"/>
      <c r="AG148" s="103"/>
      <c r="AH148" s="103"/>
      <c r="AI148" s="103"/>
      <c r="AJ148" s="103"/>
      <c r="AK148" s="103"/>
      <c r="AL148" s="103"/>
      <c r="AM148" s="103"/>
      <c r="AN148" s="103"/>
      <c r="AO148" s="103"/>
      <c r="AP148" s="103"/>
      <c r="AQ148" s="103"/>
      <c r="AR148" s="106"/>
      <c r="AS148" s="106"/>
      <c r="AT148" s="103"/>
      <c r="AU148" s="103"/>
      <c r="AV148" s="103"/>
      <c r="AW148" s="103"/>
      <c r="AX148" s="103"/>
      <c r="AY148" s="103"/>
      <c r="AZ148" s="103"/>
      <c r="BA148" s="103"/>
      <c r="BB148" s="103"/>
      <c r="BC148" s="103"/>
      <c r="BD148" s="103"/>
      <c r="BE148" s="103"/>
      <c r="BF148" s="103"/>
      <c r="BG148" s="103"/>
      <c r="BH148" s="103"/>
      <c r="BI148" s="103"/>
      <c r="BJ148" s="103"/>
      <c r="BK148" s="103"/>
      <c r="BL148" s="103"/>
      <c r="BM148" s="103"/>
      <c r="BN148" s="103"/>
      <c r="BO148" s="103"/>
      <c r="BP148" s="103"/>
      <c r="BQ148" s="103"/>
      <c r="BR148" s="103"/>
      <c r="BS148" s="103"/>
      <c r="BT148" s="103"/>
      <c r="BU148" s="103"/>
      <c r="BV148" s="103"/>
      <c r="BW148" s="103"/>
      <c r="BX148" s="103"/>
      <c r="BY148" s="103"/>
      <c r="BZ148" s="103"/>
      <c r="CA148" s="103"/>
      <c r="CB148" s="103"/>
      <c r="CC148" s="103"/>
      <c r="CD148" s="103"/>
      <c r="CE148" s="103"/>
      <c r="CF148" s="103"/>
      <c r="CG148" s="103"/>
      <c r="CH148" s="103"/>
      <c r="CI148" s="103"/>
      <c r="CJ148" s="103"/>
      <c r="CK148" s="103"/>
      <c r="CL148" s="103"/>
      <c r="CM148" s="103"/>
      <c r="CN148" s="107" t="str">
        <f t="shared" si="2067"/>
        <v>InitUnitState('IN25',,,,,,,,,,)</v>
      </c>
      <c r="CO148" s="107" t="str">
        <f t="shared" si="2068"/>
        <v>InitUnitNormal('IN25',,,,,,,,,,)</v>
      </c>
      <c r="CP148" s="107" t="str">
        <f t="shared" si="2069"/>
        <v>InitUnitMagic('IN25',,,,,,,,,,)</v>
      </c>
      <c r="CQ148" s="107" t="str">
        <f t="shared" si="2070"/>
        <v>InitUnitAdd('IN25',,,,,,,,,,)</v>
      </c>
      <c r="CR148" s="107" t="str">
        <f t="shared" si="2365"/>
        <v>InitEquipData('IN25',,"",,,,,'','','','','','',"ReplaceableTextures\\CommandButtons\\BTN003.blp")</v>
      </c>
      <c r="CS148" s="107"/>
      <c r="CT148" s="107"/>
      <c r="CU148" s="88" t="str">
        <f t="shared" si="2288"/>
        <v>|n</v>
      </c>
      <c r="CV148" s="29" t="str">
        <f t="shared" si="2289"/>
        <v>打开后有几率获得以下奖励：|n【随机品质】中级道果|n|Cff00ff7f【随机品质】高级道果|r</v>
      </c>
      <c r="CW148" s="33"/>
      <c r="CX148" s="33"/>
      <c r="CY148" s="33"/>
      <c r="CZ148" s="33"/>
      <c r="DA148" s="33"/>
      <c r="DB148" s="108" t="str">
        <f t="shared" ref="DB148:FM148" si="2372">IF(V148="","","|n"&amp;DB$2&amp;"+"&amp;V148&amp;DB$1)</f>
        <v/>
      </c>
      <c r="DC148" s="108" t="str">
        <f t="shared" si="2372"/>
        <v/>
      </c>
      <c r="DD148" s="108" t="str">
        <f t="shared" si="2372"/>
        <v/>
      </c>
      <c r="DE148" s="108" t="str">
        <f t="shared" si="2372"/>
        <v/>
      </c>
      <c r="DF148" s="108" t="str">
        <f t="shared" si="2372"/>
        <v/>
      </c>
      <c r="DG148" s="108" t="str">
        <f t="shared" si="2372"/>
        <v/>
      </c>
      <c r="DH148" s="108" t="str">
        <f t="shared" si="2372"/>
        <v/>
      </c>
      <c r="DI148" s="108" t="str">
        <f t="shared" si="2372"/>
        <v/>
      </c>
      <c r="DJ148" s="108" t="str">
        <f t="shared" si="2372"/>
        <v/>
      </c>
      <c r="DK148" s="108" t="str">
        <f t="shared" si="2372"/>
        <v/>
      </c>
      <c r="DL148" s="108" t="str">
        <f t="shared" si="2372"/>
        <v/>
      </c>
      <c r="DM148" s="108" t="str">
        <f t="shared" si="2372"/>
        <v/>
      </c>
      <c r="DN148" s="108" t="str">
        <f t="shared" si="2372"/>
        <v/>
      </c>
      <c r="DO148" s="108" t="str">
        <f t="shared" si="2372"/>
        <v/>
      </c>
      <c r="DP148" s="108" t="str">
        <f t="shared" si="2372"/>
        <v/>
      </c>
      <c r="DQ148" s="108" t="str">
        <f t="shared" si="2372"/>
        <v/>
      </c>
      <c r="DR148" s="108" t="str">
        <f t="shared" si="2372"/>
        <v/>
      </c>
      <c r="DS148" s="108" t="str">
        <f t="shared" si="2372"/>
        <v/>
      </c>
      <c r="DT148" s="108" t="str">
        <f t="shared" si="2372"/>
        <v/>
      </c>
      <c r="DU148" s="108" t="str">
        <f t="shared" si="2372"/>
        <v/>
      </c>
      <c r="DV148" s="108" t="str">
        <f t="shared" si="2372"/>
        <v/>
      </c>
      <c r="DW148" s="108" t="str">
        <f t="shared" si="2372"/>
        <v/>
      </c>
      <c r="DX148" s="108" t="str">
        <f t="shared" si="2372"/>
        <v/>
      </c>
      <c r="DY148" s="108" t="str">
        <f t="shared" si="2372"/>
        <v/>
      </c>
      <c r="DZ148" s="108" t="str">
        <f t="shared" si="2372"/>
        <v/>
      </c>
      <c r="EA148" s="108" t="str">
        <f t="shared" si="2372"/>
        <v/>
      </c>
      <c r="EB148" s="108" t="str">
        <f t="shared" si="2372"/>
        <v/>
      </c>
      <c r="EC148" s="108" t="str">
        <f t="shared" si="2372"/>
        <v/>
      </c>
      <c r="ED148" s="108" t="str">
        <f t="shared" si="2372"/>
        <v/>
      </c>
      <c r="EE148" s="108" t="str">
        <f t="shared" si="2372"/>
        <v/>
      </c>
      <c r="EF148" s="108" t="str">
        <f t="shared" si="2372"/>
        <v/>
      </c>
      <c r="EG148" s="108" t="str">
        <f t="shared" si="2372"/>
        <v/>
      </c>
      <c r="EH148" s="108" t="str">
        <f t="shared" si="2372"/>
        <v/>
      </c>
      <c r="EI148" s="108" t="str">
        <f t="shared" si="2372"/>
        <v/>
      </c>
      <c r="EJ148" s="108" t="str">
        <f t="shared" si="2372"/>
        <v/>
      </c>
      <c r="EK148" s="108" t="str">
        <f t="shared" si="2372"/>
        <v/>
      </c>
      <c r="EL148" s="108" t="str">
        <f t="shared" si="2372"/>
        <v/>
      </c>
      <c r="EM148" s="108" t="str">
        <f t="shared" si="2372"/>
        <v/>
      </c>
      <c r="EN148" s="108" t="str">
        <f t="shared" si="2372"/>
        <v/>
      </c>
      <c r="EO148" s="108" t="str">
        <f t="shared" si="2372"/>
        <v/>
      </c>
      <c r="EP148" s="108" t="str">
        <f t="shared" si="2372"/>
        <v/>
      </c>
      <c r="EQ148" s="108" t="str">
        <f t="shared" si="2372"/>
        <v/>
      </c>
      <c r="ER148" s="108" t="str">
        <f t="shared" si="2372"/>
        <v/>
      </c>
      <c r="ES148" s="108" t="str">
        <f t="shared" si="2372"/>
        <v/>
      </c>
      <c r="ET148" s="108" t="str">
        <f t="shared" si="2372"/>
        <v/>
      </c>
      <c r="EU148" s="108" t="str">
        <f t="shared" si="2372"/>
        <v/>
      </c>
      <c r="EV148" s="108" t="str">
        <f t="shared" si="2372"/>
        <v/>
      </c>
      <c r="EW148" s="108" t="str">
        <f t="shared" si="2372"/>
        <v/>
      </c>
      <c r="EX148" s="108" t="str">
        <f t="shared" si="2372"/>
        <v/>
      </c>
      <c r="EY148" s="108" t="str">
        <f t="shared" si="2372"/>
        <v/>
      </c>
      <c r="EZ148" s="108" t="str">
        <f t="shared" si="2372"/>
        <v/>
      </c>
      <c r="FA148" s="108" t="str">
        <f t="shared" si="2372"/>
        <v/>
      </c>
      <c r="FB148" s="108" t="str">
        <f t="shared" si="2372"/>
        <v/>
      </c>
      <c r="FC148" s="108" t="str">
        <f t="shared" si="2372"/>
        <v/>
      </c>
      <c r="FD148" s="108" t="str">
        <f t="shared" si="2372"/>
        <v/>
      </c>
      <c r="FE148" s="108" t="str">
        <f t="shared" si="2372"/>
        <v/>
      </c>
      <c r="FF148" s="108" t="str">
        <f t="shared" si="2372"/>
        <v/>
      </c>
      <c r="FG148" s="108" t="str">
        <f t="shared" si="2372"/>
        <v/>
      </c>
      <c r="FH148" s="108" t="str">
        <f t="shared" si="2372"/>
        <v/>
      </c>
      <c r="FI148" s="108" t="str">
        <f t="shared" si="2372"/>
        <v/>
      </c>
      <c r="FJ148" s="108" t="str">
        <f t="shared" si="2372"/>
        <v/>
      </c>
      <c r="FK148" s="108" t="str">
        <f t="shared" si="2372"/>
        <v/>
      </c>
      <c r="FL148" s="108" t="str">
        <f t="shared" si="2372"/>
        <v/>
      </c>
      <c r="FM148" s="108" t="str">
        <f t="shared" si="2372"/>
        <v/>
      </c>
      <c r="FN148" s="108" t="str">
        <f t="shared" ref="FN148:FS148" si="2373">IF(CH148="","","|n"&amp;FN$2&amp;"+"&amp;CH148&amp;FN$1)</f>
        <v/>
      </c>
      <c r="FO148" s="108" t="str">
        <f t="shared" si="2373"/>
        <v/>
      </c>
      <c r="FP148" s="108" t="str">
        <f t="shared" si="2373"/>
        <v/>
      </c>
      <c r="FQ148" s="108" t="str">
        <f t="shared" si="2373"/>
        <v/>
      </c>
      <c r="FR148" s="108" t="str">
        <f t="shared" si="2373"/>
        <v/>
      </c>
      <c r="FS148" s="108" t="str">
        <f t="shared" si="2373"/>
        <v/>
      </c>
    </row>
    <row r="149" spans="1:175" s="29" customFormat="1" ht="16.5">
      <c r="A149" s="9"/>
      <c r="B149" s="24" t="s">
        <v>562</v>
      </c>
      <c r="C149" s="23" t="s">
        <v>563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2"/>
      <c r="Q149" s="92"/>
      <c r="R149" s="92"/>
      <c r="S149" s="92"/>
      <c r="T149" s="29" t="s">
        <v>564</v>
      </c>
      <c r="U149" s="77" t="s">
        <v>565</v>
      </c>
      <c r="V149" s="102"/>
      <c r="W149" s="103"/>
      <c r="X149" s="103"/>
      <c r="Y149" s="103"/>
      <c r="Z149" s="103"/>
      <c r="AA149" s="103"/>
      <c r="AB149" s="103"/>
      <c r="AC149" s="103"/>
      <c r="AD149" s="103"/>
      <c r="AE149" s="103"/>
      <c r="AF149" s="103"/>
      <c r="AG149" s="103"/>
      <c r="AH149" s="103"/>
      <c r="AI149" s="103"/>
      <c r="AJ149" s="103"/>
      <c r="AK149" s="103"/>
      <c r="AL149" s="103"/>
      <c r="AM149" s="103"/>
      <c r="AN149" s="103"/>
      <c r="AO149" s="103"/>
      <c r="AP149" s="103"/>
      <c r="AQ149" s="103"/>
      <c r="AR149" s="106"/>
      <c r="AS149" s="106"/>
      <c r="AT149" s="103"/>
      <c r="AU149" s="103"/>
      <c r="AV149" s="103"/>
      <c r="AW149" s="103"/>
      <c r="AX149" s="103"/>
      <c r="AY149" s="103"/>
      <c r="AZ149" s="103"/>
      <c r="BA149" s="103"/>
      <c r="BB149" s="103"/>
      <c r="BC149" s="103"/>
      <c r="BD149" s="103"/>
      <c r="BE149" s="103"/>
      <c r="BF149" s="103"/>
      <c r="BG149" s="103"/>
      <c r="BH149" s="103"/>
      <c r="BI149" s="103"/>
      <c r="BJ149" s="103"/>
      <c r="BK149" s="103"/>
      <c r="BL149" s="103"/>
      <c r="BM149" s="103"/>
      <c r="BN149" s="103"/>
      <c r="BO149" s="103"/>
      <c r="BP149" s="103"/>
      <c r="BQ149" s="103"/>
      <c r="BR149" s="103"/>
      <c r="BS149" s="103"/>
      <c r="BT149" s="103"/>
      <c r="BU149" s="103"/>
      <c r="BV149" s="103"/>
      <c r="BW149" s="103"/>
      <c r="BX149" s="103"/>
      <c r="BY149" s="103"/>
      <c r="BZ149" s="103"/>
      <c r="CA149" s="103"/>
      <c r="CB149" s="103"/>
      <c r="CC149" s="103"/>
      <c r="CD149" s="103"/>
      <c r="CE149" s="103"/>
      <c r="CF149" s="103"/>
      <c r="CG149" s="103"/>
      <c r="CH149" s="103"/>
      <c r="CI149" s="103"/>
      <c r="CJ149" s="103"/>
      <c r="CK149" s="103"/>
      <c r="CL149" s="103"/>
      <c r="CM149" s="103"/>
      <c r="CN149" s="107" t="str">
        <f t="shared" si="2067"/>
        <v>InitUnitState('IN26',,,,,,,,,,)</v>
      </c>
      <c r="CO149" s="107" t="str">
        <f t="shared" si="2068"/>
        <v>InitUnitNormal('IN26',,,,,,,,,,)</v>
      </c>
      <c r="CP149" s="107" t="str">
        <f t="shared" si="2069"/>
        <v>InitUnitMagic('IN26',,,,,,,,,,)</v>
      </c>
      <c r="CQ149" s="107" t="str">
        <f t="shared" si="2070"/>
        <v>InitUnitAdd('IN26',,,,,,,,,,)</v>
      </c>
      <c r="CR149" s="107" t="str">
        <f t="shared" si="2365"/>
        <v>InitEquipData('IN26',,"",,,,,'','','','','','',"ReplaceableTextures\\CommandButtons\\BTNIN01.blp")</v>
      </c>
      <c r="CS149" s="107"/>
      <c r="CT149" s="107"/>
      <c r="CU149" s="88" t="str">
        <f t="shared" si="2288"/>
        <v>|n</v>
      </c>
      <c r="CV149" s="29" t="str">
        <f t="shared" si="2289"/>
        <v>打开后有几率获得以下奖励：|n|Cff00ff7f【随机品质】黄级道果|r|n|Cff00bfff【随机品质】玄级道果|n【随机品质】地级道果|r</v>
      </c>
      <c r="CW149" s="33"/>
      <c r="CX149" s="33"/>
      <c r="CY149" s="33"/>
      <c r="CZ149" s="33"/>
      <c r="DA149" s="33"/>
      <c r="DB149" s="108" t="str">
        <f t="shared" ref="DB149:FM149" si="2374">IF(V149="","","|n"&amp;DB$2&amp;"+"&amp;V149&amp;DB$1)</f>
        <v/>
      </c>
      <c r="DC149" s="108" t="str">
        <f t="shared" si="2374"/>
        <v/>
      </c>
      <c r="DD149" s="108" t="str">
        <f t="shared" si="2374"/>
        <v/>
      </c>
      <c r="DE149" s="108" t="str">
        <f t="shared" si="2374"/>
        <v/>
      </c>
      <c r="DF149" s="108" t="str">
        <f t="shared" si="2374"/>
        <v/>
      </c>
      <c r="DG149" s="108" t="str">
        <f t="shared" si="2374"/>
        <v/>
      </c>
      <c r="DH149" s="108" t="str">
        <f t="shared" si="2374"/>
        <v/>
      </c>
      <c r="DI149" s="108" t="str">
        <f t="shared" si="2374"/>
        <v/>
      </c>
      <c r="DJ149" s="108" t="str">
        <f t="shared" si="2374"/>
        <v/>
      </c>
      <c r="DK149" s="108" t="str">
        <f t="shared" si="2374"/>
        <v/>
      </c>
      <c r="DL149" s="108" t="str">
        <f t="shared" si="2374"/>
        <v/>
      </c>
      <c r="DM149" s="108" t="str">
        <f t="shared" si="2374"/>
        <v/>
      </c>
      <c r="DN149" s="108" t="str">
        <f t="shared" si="2374"/>
        <v/>
      </c>
      <c r="DO149" s="108" t="str">
        <f t="shared" si="2374"/>
        <v/>
      </c>
      <c r="DP149" s="108" t="str">
        <f t="shared" si="2374"/>
        <v/>
      </c>
      <c r="DQ149" s="108" t="str">
        <f t="shared" si="2374"/>
        <v/>
      </c>
      <c r="DR149" s="108" t="str">
        <f t="shared" si="2374"/>
        <v/>
      </c>
      <c r="DS149" s="108" t="str">
        <f t="shared" si="2374"/>
        <v/>
      </c>
      <c r="DT149" s="108" t="str">
        <f t="shared" si="2374"/>
        <v/>
      </c>
      <c r="DU149" s="108" t="str">
        <f t="shared" si="2374"/>
        <v/>
      </c>
      <c r="DV149" s="108" t="str">
        <f t="shared" si="2374"/>
        <v/>
      </c>
      <c r="DW149" s="108" t="str">
        <f t="shared" si="2374"/>
        <v/>
      </c>
      <c r="DX149" s="108" t="str">
        <f t="shared" si="2374"/>
        <v/>
      </c>
      <c r="DY149" s="108" t="str">
        <f t="shared" si="2374"/>
        <v/>
      </c>
      <c r="DZ149" s="108" t="str">
        <f t="shared" si="2374"/>
        <v/>
      </c>
      <c r="EA149" s="108" t="str">
        <f t="shared" si="2374"/>
        <v/>
      </c>
      <c r="EB149" s="108" t="str">
        <f t="shared" si="2374"/>
        <v/>
      </c>
      <c r="EC149" s="108" t="str">
        <f t="shared" si="2374"/>
        <v/>
      </c>
      <c r="ED149" s="108" t="str">
        <f t="shared" si="2374"/>
        <v/>
      </c>
      <c r="EE149" s="108" t="str">
        <f t="shared" si="2374"/>
        <v/>
      </c>
      <c r="EF149" s="108" t="str">
        <f t="shared" si="2374"/>
        <v/>
      </c>
      <c r="EG149" s="108" t="str">
        <f t="shared" si="2374"/>
        <v/>
      </c>
      <c r="EH149" s="108" t="str">
        <f t="shared" si="2374"/>
        <v/>
      </c>
      <c r="EI149" s="108" t="str">
        <f t="shared" si="2374"/>
        <v/>
      </c>
      <c r="EJ149" s="108" t="str">
        <f t="shared" si="2374"/>
        <v/>
      </c>
      <c r="EK149" s="108" t="str">
        <f t="shared" si="2374"/>
        <v/>
      </c>
      <c r="EL149" s="108" t="str">
        <f t="shared" si="2374"/>
        <v/>
      </c>
      <c r="EM149" s="108" t="str">
        <f t="shared" si="2374"/>
        <v/>
      </c>
      <c r="EN149" s="108" t="str">
        <f t="shared" si="2374"/>
        <v/>
      </c>
      <c r="EO149" s="108" t="str">
        <f t="shared" si="2374"/>
        <v/>
      </c>
      <c r="EP149" s="108" t="str">
        <f t="shared" si="2374"/>
        <v/>
      </c>
      <c r="EQ149" s="108" t="str">
        <f t="shared" si="2374"/>
        <v/>
      </c>
      <c r="ER149" s="108" t="str">
        <f t="shared" si="2374"/>
        <v/>
      </c>
      <c r="ES149" s="108" t="str">
        <f t="shared" si="2374"/>
        <v/>
      </c>
      <c r="ET149" s="108" t="str">
        <f t="shared" si="2374"/>
        <v/>
      </c>
      <c r="EU149" s="108" t="str">
        <f t="shared" si="2374"/>
        <v/>
      </c>
      <c r="EV149" s="108" t="str">
        <f t="shared" si="2374"/>
        <v/>
      </c>
      <c r="EW149" s="108" t="str">
        <f t="shared" si="2374"/>
        <v/>
      </c>
      <c r="EX149" s="108" t="str">
        <f t="shared" si="2374"/>
        <v/>
      </c>
      <c r="EY149" s="108" t="str">
        <f t="shared" si="2374"/>
        <v/>
      </c>
      <c r="EZ149" s="108" t="str">
        <f t="shared" si="2374"/>
        <v/>
      </c>
      <c r="FA149" s="108" t="str">
        <f t="shared" si="2374"/>
        <v/>
      </c>
      <c r="FB149" s="108" t="str">
        <f t="shared" si="2374"/>
        <v/>
      </c>
      <c r="FC149" s="108" t="str">
        <f t="shared" si="2374"/>
        <v/>
      </c>
      <c r="FD149" s="108" t="str">
        <f t="shared" si="2374"/>
        <v/>
      </c>
      <c r="FE149" s="108" t="str">
        <f t="shared" si="2374"/>
        <v/>
      </c>
      <c r="FF149" s="108" t="str">
        <f t="shared" si="2374"/>
        <v/>
      </c>
      <c r="FG149" s="108" t="str">
        <f t="shared" si="2374"/>
        <v/>
      </c>
      <c r="FH149" s="108" t="str">
        <f t="shared" si="2374"/>
        <v/>
      </c>
      <c r="FI149" s="108" t="str">
        <f t="shared" si="2374"/>
        <v/>
      </c>
      <c r="FJ149" s="108" t="str">
        <f t="shared" si="2374"/>
        <v/>
      </c>
      <c r="FK149" s="108" t="str">
        <f t="shared" si="2374"/>
        <v/>
      </c>
      <c r="FL149" s="108" t="str">
        <f t="shared" si="2374"/>
        <v/>
      </c>
      <c r="FM149" s="108" t="str">
        <f t="shared" si="2374"/>
        <v/>
      </c>
      <c r="FN149" s="108" t="str">
        <f t="shared" ref="FN149:FS149" si="2375">IF(CH149="","","|n"&amp;FN$2&amp;"+"&amp;CH149&amp;FN$1)</f>
        <v/>
      </c>
      <c r="FO149" s="108" t="str">
        <f t="shared" si="2375"/>
        <v/>
      </c>
      <c r="FP149" s="108" t="str">
        <f t="shared" si="2375"/>
        <v/>
      </c>
      <c r="FQ149" s="108" t="str">
        <f t="shared" si="2375"/>
        <v/>
      </c>
      <c r="FR149" s="108" t="str">
        <f t="shared" si="2375"/>
        <v/>
      </c>
      <c r="FS149" s="108" t="str">
        <f t="shared" si="2375"/>
        <v/>
      </c>
    </row>
    <row r="150" spans="1:175" s="29" customFormat="1" ht="16.5">
      <c r="A150" s="9"/>
      <c r="B150" s="24" t="s">
        <v>566</v>
      </c>
      <c r="C150" s="23" t="s">
        <v>567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2"/>
      <c r="Q150" s="92"/>
      <c r="R150" s="92"/>
      <c r="S150" s="92"/>
      <c r="T150" s="29" t="s">
        <v>568</v>
      </c>
      <c r="U150" s="77" t="s">
        <v>569</v>
      </c>
      <c r="V150" s="102"/>
      <c r="W150" s="103"/>
      <c r="X150" s="103"/>
      <c r="Y150" s="103"/>
      <c r="Z150" s="103"/>
      <c r="AA150" s="103"/>
      <c r="AB150" s="103"/>
      <c r="AC150" s="103"/>
      <c r="AD150" s="103"/>
      <c r="AE150" s="103"/>
      <c r="AF150" s="103"/>
      <c r="AG150" s="103"/>
      <c r="AH150" s="103"/>
      <c r="AI150" s="103"/>
      <c r="AJ150" s="103"/>
      <c r="AK150" s="103"/>
      <c r="AL150" s="103"/>
      <c r="AM150" s="103"/>
      <c r="AN150" s="103"/>
      <c r="AO150" s="103"/>
      <c r="AP150" s="103"/>
      <c r="AQ150" s="103"/>
      <c r="AR150" s="106"/>
      <c r="AS150" s="106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103"/>
      <c r="BD150" s="103"/>
      <c r="BE150" s="103"/>
      <c r="BF150" s="103"/>
      <c r="BG150" s="103"/>
      <c r="BH150" s="103"/>
      <c r="BI150" s="103"/>
      <c r="BJ150" s="103"/>
      <c r="BK150" s="103"/>
      <c r="BL150" s="103"/>
      <c r="BM150" s="103"/>
      <c r="BN150" s="103"/>
      <c r="BO150" s="103"/>
      <c r="BP150" s="103"/>
      <c r="BQ150" s="103"/>
      <c r="BR150" s="103"/>
      <c r="BS150" s="103"/>
      <c r="BT150" s="103"/>
      <c r="BU150" s="103"/>
      <c r="BV150" s="103"/>
      <c r="BW150" s="103"/>
      <c r="BX150" s="103"/>
      <c r="BY150" s="103"/>
      <c r="BZ150" s="103"/>
      <c r="CA150" s="103"/>
      <c r="CB150" s="103"/>
      <c r="CC150" s="103"/>
      <c r="CD150" s="103"/>
      <c r="CE150" s="103"/>
      <c r="CF150" s="103"/>
      <c r="CG150" s="103"/>
      <c r="CH150" s="103"/>
      <c r="CI150" s="103"/>
      <c r="CJ150" s="103"/>
      <c r="CK150" s="103"/>
      <c r="CL150" s="103"/>
      <c r="CM150" s="103"/>
      <c r="CN150" s="107" t="str">
        <f t="shared" si="2067"/>
        <v>InitUnitState('IN27',,,,,,,,,,)</v>
      </c>
      <c r="CO150" s="107" t="str">
        <f t="shared" si="2068"/>
        <v>InitUnitNormal('IN27',,,,,,,,,,)</v>
      </c>
      <c r="CP150" s="107" t="str">
        <f t="shared" si="2069"/>
        <v>InitUnitMagic('IN27',,,,,,,,,,)</v>
      </c>
      <c r="CQ150" s="107" t="str">
        <f t="shared" si="2070"/>
        <v>InitUnitAdd('IN27',,,,,,,,,,)</v>
      </c>
      <c r="CR150" s="107" t="str">
        <f t="shared" si="2365"/>
        <v>InitEquipData('IN27',,"",,,,,'','','','','','',"ReplaceableTextures\\CommandButtons\\BTNIN02.blp")</v>
      </c>
      <c r="CS150" s="107"/>
      <c r="CT150" s="107"/>
      <c r="CU150" s="88" t="str">
        <f t="shared" si="2288"/>
        <v>|n</v>
      </c>
      <c r="CV150" s="29" t="str">
        <f t="shared" si="2289"/>
        <v>打开后有几率获得以下奖励：|n|Cffffd24d【随机品质】天级道果|n【随机品质】仙品道果|n|r|Cffff0000【随机品质】至圣道果|n【随机品质】混沌道果|r</v>
      </c>
      <c r="CW150" s="33"/>
      <c r="CX150" s="33"/>
      <c r="CY150" s="33"/>
      <c r="CZ150" s="33"/>
      <c r="DA150" s="33"/>
      <c r="DB150" s="108" t="str">
        <f t="shared" ref="DB150:FM150" si="2376">IF(V150="","","|n"&amp;DB$2&amp;"+"&amp;V150&amp;DB$1)</f>
        <v/>
      </c>
      <c r="DC150" s="108" t="str">
        <f t="shared" si="2376"/>
        <v/>
      </c>
      <c r="DD150" s="108" t="str">
        <f t="shared" si="2376"/>
        <v/>
      </c>
      <c r="DE150" s="108" t="str">
        <f t="shared" si="2376"/>
        <v/>
      </c>
      <c r="DF150" s="108" t="str">
        <f t="shared" si="2376"/>
        <v/>
      </c>
      <c r="DG150" s="108" t="str">
        <f t="shared" si="2376"/>
        <v/>
      </c>
      <c r="DH150" s="108" t="str">
        <f t="shared" si="2376"/>
        <v/>
      </c>
      <c r="DI150" s="108" t="str">
        <f t="shared" si="2376"/>
        <v/>
      </c>
      <c r="DJ150" s="108" t="str">
        <f t="shared" si="2376"/>
        <v/>
      </c>
      <c r="DK150" s="108" t="str">
        <f t="shared" si="2376"/>
        <v/>
      </c>
      <c r="DL150" s="108" t="str">
        <f t="shared" si="2376"/>
        <v/>
      </c>
      <c r="DM150" s="108" t="str">
        <f t="shared" si="2376"/>
        <v/>
      </c>
      <c r="DN150" s="108" t="str">
        <f t="shared" si="2376"/>
        <v/>
      </c>
      <c r="DO150" s="108" t="str">
        <f t="shared" si="2376"/>
        <v/>
      </c>
      <c r="DP150" s="108" t="str">
        <f t="shared" si="2376"/>
        <v/>
      </c>
      <c r="DQ150" s="108" t="str">
        <f t="shared" si="2376"/>
        <v/>
      </c>
      <c r="DR150" s="108" t="str">
        <f t="shared" si="2376"/>
        <v/>
      </c>
      <c r="DS150" s="108" t="str">
        <f t="shared" si="2376"/>
        <v/>
      </c>
      <c r="DT150" s="108" t="str">
        <f t="shared" si="2376"/>
        <v/>
      </c>
      <c r="DU150" s="108" t="str">
        <f t="shared" si="2376"/>
        <v/>
      </c>
      <c r="DV150" s="108" t="str">
        <f t="shared" si="2376"/>
        <v/>
      </c>
      <c r="DW150" s="108" t="str">
        <f t="shared" si="2376"/>
        <v/>
      </c>
      <c r="DX150" s="108" t="str">
        <f t="shared" si="2376"/>
        <v/>
      </c>
      <c r="DY150" s="108" t="str">
        <f t="shared" si="2376"/>
        <v/>
      </c>
      <c r="DZ150" s="108" t="str">
        <f t="shared" si="2376"/>
        <v/>
      </c>
      <c r="EA150" s="108" t="str">
        <f t="shared" si="2376"/>
        <v/>
      </c>
      <c r="EB150" s="108" t="str">
        <f t="shared" si="2376"/>
        <v/>
      </c>
      <c r="EC150" s="108" t="str">
        <f t="shared" si="2376"/>
        <v/>
      </c>
      <c r="ED150" s="108" t="str">
        <f t="shared" si="2376"/>
        <v/>
      </c>
      <c r="EE150" s="108" t="str">
        <f t="shared" si="2376"/>
        <v/>
      </c>
      <c r="EF150" s="108" t="str">
        <f t="shared" si="2376"/>
        <v/>
      </c>
      <c r="EG150" s="108" t="str">
        <f t="shared" si="2376"/>
        <v/>
      </c>
      <c r="EH150" s="108" t="str">
        <f t="shared" si="2376"/>
        <v/>
      </c>
      <c r="EI150" s="108" t="str">
        <f t="shared" si="2376"/>
        <v/>
      </c>
      <c r="EJ150" s="108" t="str">
        <f t="shared" si="2376"/>
        <v/>
      </c>
      <c r="EK150" s="108" t="str">
        <f t="shared" si="2376"/>
        <v/>
      </c>
      <c r="EL150" s="108" t="str">
        <f t="shared" si="2376"/>
        <v/>
      </c>
      <c r="EM150" s="108" t="str">
        <f t="shared" si="2376"/>
        <v/>
      </c>
      <c r="EN150" s="108" t="str">
        <f t="shared" si="2376"/>
        <v/>
      </c>
      <c r="EO150" s="108" t="str">
        <f t="shared" si="2376"/>
        <v/>
      </c>
      <c r="EP150" s="108" t="str">
        <f t="shared" si="2376"/>
        <v/>
      </c>
      <c r="EQ150" s="108" t="str">
        <f t="shared" si="2376"/>
        <v/>
      </c>
      <c r="ER150" s="108" t="str">
        <f t="shared" si="2376"/>
        <v/>
      </c>
      <c r="ES150" s="108" t="str">
        <f t="shared" si="2376"/>
        <v/>
      </c>
      <c r="ET150" s="108" t="str">
        <f t="shared" si="2376"/>
        <v/>
      </c>
      <c r="EU150" s="108" t="str">
        <f t="shared" si="2376"/>
        <v/>
      </c>
      <c r="EV150" s="108" t="str">
        <f t="shared" si="2376"/>
        <v/>
      </c>
      <c r="EW150" s="108" t="str">
        <f t="shared" si="2376"/>
        <v/>
      </c>
      <c r="EX150" s="108" t="str">
        <f t="shared" si="2376"/>
        <v/>
      </c>
      <c r="EY150" s="108" t="str">
        <f t="shared" si="2376"/>
        <v/>
      </c>
      <c r="EZ150" s="108" t="str">
        <f t="shared" si="2376"/>
        <v/>
      </c>
      <c r="FA150" s="108" t="str">
        <f t="shared" si="2376"/>
        <v/>
      </c>
      <c r="FB150" s="108" t="str">
        <f t="shared" si="2376"/>
        <v/>
      </c>
      <c r="FC150" s="108" t="str">
        <f t="shared" si="2376"/>
        <v/>
      </c>
      <c r="FD150" s="108" t="str">
        <f t="shared" si="2376"/>
        <v/>
      </c>
      <c r="FE150" s="108" t="str">
        <f t="shared" si="2376"/>
        <v/>
      </c>
      <c r="FF150" s="108" t="str">
        <f t="shared" si="2376"/>
        <v/>
      </c>
      <c r="FG150" s="108" t="str">
        <f t="shared" si="2376"/>
        <v/>
      </c>
      <c r="FH150" s="108" t="str">
        <f t="shared" si="2376"/>
        <v/>
      </c>
      <c r="FI150" s="108" t="str">
        <f t="shared" si="2376"/>
        <v/>
      </c>
      <c r="FJ150" s="108" t="str">
        <f t="shared" si="2376"/>
        <v/>
      </c>
      <c r="FK150" s="108" t="str">
        <f t="shared" si="2376"/>
        <v/>
      </c>
      <c r="FL150" s="108" t="str">
        <f t="shared" si="2376"/>
        <v/>
      </c>
      <c r="FM150" s="108" t="str">
        <f t="shared" si="2376"/>
        <v/>
      </c>
      <c r="FN150" s="108" t="str">
        <f t="shared" ref="FN150:FS150" si="2377">IF(CH150="","","|n"&amp;FN$2&amp;"+"&amp;CH150&amp;FN$1)</f>
        <v/>
      </c>
      <c r="FO150" s="108" t="str">
        <f t="shared" si="2377"/>
        <v/>
      </c>
      <c r="FP150" s="108" t="str">
        <f t="shared" si="2377"/>
        <v/>
      </c>
      <c r="FQ150" s="108" t="str">
        <f t="shared" si="2377"/>
        <v/>
      </c>
      <c r="FR150" s="108" t="str">
        <f t="shared" si="2377"/>
        <v/>
      </c>
      <c r="FS150" s="108" t="str">
        <f t="shared" si="2377"/>
        <v/>
      </c>
    </row>
    <row r="151" spans="1:175" s="29" customFormat="1" ht="16.5">
      <c r="A151" s="9"/>
      <c r="B151" s="24" t="s">
        <v>570</v>
      </c>
      <c r="C151" s="20" t="s">
        <v>571</v>
      </c>
      <c r="D151" s="12"/>
      <c r="E151" s="12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92"/>
      <c r="Q151" s="92"/>
      <c r="R151" s="92"/>
      <c r="S151" s="92"/>
      <c r="T151" s="29" t="s">
        <v>572</v>
      </c>
      <c r="U151" s="77" t="s">
        <v>573</v>
      </c>
      <c r="V151" s="102"/>
      <c r="W151" s="103"/>
      <c r="X151" s="103"/>
      <c r="Y151" s="103"/>
      <c r="Z151" s="103"/>
      <c r="AA151" s="103"/>
      <c r="AB151" s="103"/>
      <c r="AC151" s="103"/>
      <c r="AD151" s="103"/>
      <c r="AE151" s="103"/>
      <c r="AF151" s="103"/>
      <c r="AG151" s="103"/>
      <c r="AH151" s="103"/>
      <c r="AI151" s="103"/>
      <c r="AJ151" s="103"/>
      <c r="AK151" s="103"/>
      <c r="AL151" s="103"/>
      <c r="AM151" s="103"/>
      <c r="AN151" s="103"/>
      <c r="AO151" s="103"/>
      <c r="AP151" s="103"/>
      <c r="AQ151" s="103"/>
      <c r="AR151" s="106"/>
      <c r="AS151" s="106"/>
      <c r="AT151" s="103"/>
      <c r="AU151" s="103"/>
      <c r="AV151" s="103"/>
      <c r="AW151" s="103"/>
      <c r="AX151" s="103"/>
      <c r="AY151" s="103"/>
      <c r="AZ151" s="103"/>
      <c r="BA151" s="103"/>
      <c r="BB151" s="103"/>
      <c r="BC151" s="103"/>
      <c r="BD151" s="103"/>
      <c r="BE151" s="103"/>
      <c r="BF151" s="103"/>
      <c r="BG151" s="103"/>
      <c r="BH151" s="103"/>
      <c r="BI151" s="103"/>
      <c r="BJ151" s="103"/>
      <c r="BK151" s="103"/>
      <c r="BL151" s="103"/>
      <c r="BM151" s="103"/>
      <c r="BN151" s="103"/>
      <c r="BO151" s="103"/>
      <c r="BP151" s="103"/>
      <c r="BQ151" s="103"/>
      <c r="BR151" s="103"/>
      <c r="BS151" s="103"/>
      <c r="BT151" s="103"/>
      <c r="BU151" s="103"/>
      <c r="BV151" s="103"/>
      <c r="BW151" s="103"/>
      <c r="BX151" s="103"/>
      <c r="BY151" s="103"/>
      <c r="BZ151" s="103"/>
      <c r="CA151" s="103"/>
      <c r="CB151" s="103"/>
      <c r="CC151" s="103"/>
      <c r="CD151" s="103"/>
      <c r="CE151" s="103"/>
      <c r="CF151" s="103"/>
      <c r="CG151" s="103"/>
      <c r="CH151" s="103"/>
      <c r="CI151" s="103"/>
      <c r="CJ151" s="103"/>
      <c r="CK151" s="103"/>
      <c r="CL151" s="103"/>
      <c r="CM151" s="103"/>
      <c r="CN151" s="107" t="str">
        <f t="shared" si="2067"/>
        <v>InitUnitState('IN28',,,,,,,,,,)</v>
      </c>
      <c r="CO151" s="107" t="str">
        <f t="shared" si="2068"/>
        <v>InitUnitNormal('IN28',,,,,,,,,,)</v>
      </c>
      <c r="CP151" s="107" t="str">
        <f t="shared" si="2069"/>
        <v>InitUnitMagic('IN28',,,,,,,,,,)</v>
      </c>
      <c r="CQ151" s="107" t="str">
        <f t="shared" si="2070"/>
        <v>InitUnitAdd('IN28',,,,,,,,,,)</v>
      </c>
      <c r="CR151" s="107" t="str">
        <f t="shared" si="2365"/>
        <v>InitEquipData('IN28',,"",,,,,'','','','','','',"ReplaceableTextures\\CommandButtons\\BTNIN03.blp")</v>
      </c>
      <c r="CS151" s="107"/>
      <c r="CT151" s="107"/>
      <c r="CU151" s="88" t="str">
        <f t="shared" si="2288"/>
        <v>|n</v>
      </c>
      <c r="CV151" s="29" t="str">
        <f t="shared" si="2289"/>
        <v>使用后获得|Cffffc926随机类型技能升阶石|r</v>
      </c>
      <c r="CW151" s="33"/>
      <c r="CX151" s="33"/>
      <c r="CY151" s="33"/>
      <c r="CZ151" s="33"/>
      <c r="DA151" s="33"/>
      <c r="DB151" s="108" t="str">
        <f t="shared" ref="DB151:FM151" si="2378">IF(V151="","","|n"&amp;DB$2&amp;"+"&amp;V151&amp;DB$1)</f>
        <v/>
      </c>
      <c r="DC151" s="108" t="str">
        <f t="shared" si="2378"/>
        <v/>
      </c>
      <c r="DD151" s="108" t="str">
        <f t="shared" si="2378"/>
        <v/>
      </c>
      <c r="DE151" s="108" t="str">
        <f t="shared" si="2378"/>
        <v/>
      </c>
      <c r="DF151" s="108" t="str">
        <f t="shared" si="2378"/>
        <v/>
      </c>
      <c r="DG151" s="108" t="str">
        <f t="shared" si="2378"/>
        <v/>
      </c>
      <c r="DH151" s="108" t="str">
        <f t="shared" si="2378"/>
        <v/>
      </c>
      <c r="DI151" s="108" t="str">
        <f t="shared" si="2378"/>
        <v/>
      </c>
      <c r="DJ151" s="108" t="str">
        <f t="shared" si="2378"/>
        <v/>
      </c>
      <c r="DK151" s="108" t="str">
        <f t="shared" si="2378"/>
        <v/>
      </c>
      <c r="DL151" s="108" t="str">
        <f t="shared" si="2378"/>
        <v/>
      </c>
      <c r="DM151" s="108" t="str">
        <f t="shared" si="2378"/>
        <v/>
      </c>
      <c r="DN151" s="108" t="str">
        <f t="shared" si="2378"/>
        <v/>
      </c>
      <c r="DO151" s="108" t="str">
        <f t="shared" si="2378"/>
        <v/>
      </c>
      <c r="DP151" s="108" t="str">
        <f t="shared" si="2378"/>
        <v/>
      </c>
      <c r="DQ151" s="108" t="str">
        <f t="shared" si="2378"/>
        <v/>
      </c>
      <c r="DR151" s="108" t="str">
        <f t="shared" si="2378"/>
        <v/>
      </c>
      <c r="DS151" s="108" t="str">
        <f t="shared" si="2378"/>
        <v/>
      </c>
      <c r="DT151" s="108" t="str">
        <f t="shared" si="2378"/>
        <v/>
      </c>
      <c r="DU151" s="108" t="str">
        <f t="shared" si="2378"/>
        <v/>
      </c>
      <c r="DV151" s="108" t="str">
        <f t="shared" si="2378"/>
        <v/>
      </c>
      <c r="DW151" s="108" t="str">
        <f t="shared" si="2378"/>
        <v/>
      </c>
      <c r="DX151" s="108" t="str">
        <f t="shared" si="2378"/>
        <v/>
      </c>
      <c r="DY151" s="108" t="str">
        <f t="shared" si="2378"/>
        <v/>
      </c>
      <c r="DZ151" s="108" t="str">
        <f t="shared" si="2378"/>
        <v/>
      </c>
      <c r="EA151" s="108" t="str">
        <f t="shared" si="2378"/>
        <v/>
      </c>
      <c r="EB151" s="108" t="str">
        <f t="shared" si="2378"/>
        <v/>
      </c>
      <c r="EC151" s="108" t="str">
        <f t="shared" si="2378"/>
        <v/>
      </c>
      <c r="ED151" s="108" t="str">
        <f t="shared" si="2378"/>
        <v/>
      </c>
      <c r="EE151" s="108" t="str">
        <f t="shared" si="2378"/>
        <v/>
      </c>
      <c r="EF151" s="108" t="str">
        <f t="shared" si="2378"/>
        <v/>
      </c>
      <c r="EG151" s="108" t="str">
        <f t="shared" si="2378"/>
        <v/>
      </c>
      <c r="EH151" s="108" t="str">
        <f t="shared" si="2378"/>
        <v/>
      </c>
      <c r="EI151" s="108" t="str">
        <f t="shared" si="2378"/>
        <v/>
      </c>
      <c r="EJ151" s="108" t="str">
        <f t="shared" si="2378"/>
        <v/>
      </c>
      <c r="EK151" s="108" t="str">
        <f t="shared" si="2378"/>
        <v/>
      </c>
      <c r="EL151" s="108" t="str">
        <f t="shared" si="2378"/>
        <v/>
      </c>
      <c r="EM151" s="108" t="str">
        <f t="shared" si="2378"/>
        <v/>
      </c>
      <c r="EN151" s="108" t="str">
        <f t="shared" si="2378"/>
        <v/>
      </c>
      <c r="EO151" s="108" t="str">
        <f t="shared" si="2378"/>
        <v/>
      </c>
      <c r="EP151" s="108" t="str">
        <f t="shared" si="2378"/>
        <v/>
      </c>
      <c r="EQ151" s="108" t="str">
        <f t="shared" si="2378"/>
        <v/>
      </c>
      <c r="ER151" s="108" t="str">
        <f t="shared" si="2378"/>
        <v/>
      </c>
      <c r="ES151" s="108" t="str">
        <f t="shared" si="2378"/>
        <v/>
      </c>
      <c r="ET151" s="108" t="str">
        <f t="shared" si="2378"/>
        <v/>
      </c>
      <c r="EU151" s="108" t="str">
        <f t="shared" si="2378"/>
        <v/>
      </c>
      <c r="EV151" s="108" t="str">
        <f t="shared" si="2378"/>
        <v/>
      </c>
      <c r="EW151" s="108" t="str">
        <f t="shared" si="2378"/>
        <v/>
      </c>
      <c r="EX151" s="108" t="str">
        <f t="shared" si="2378"/>
        <v/>
      </c>
      <c r="EY151" s="108" t="str">
        <f t="shared" si="2378"/>
        <v/>
      </c>
      <c r="EZ151" s="108" t="str">
        <f t="shared" si="2378"/>
        <v/>
      </c>
      <c r="FA151" s="108" t="str">
        <f t="shared" si="2378"/>
        <v/>
      </c>
      <c r="FB151" s="108" t="str">
        <f t="shared" si="2378"/>
        <v/>
      </c>
      <c r="FC151" s="108" t="str">
        <f t="shared" si="2378"/>
        <v/>
      </c>
      <c r="FD151" s="108" t="str">
        <f t="shared" si="2378"/>
        <v/>
      </c>
      <c r="FE151" s="108" t="str">
        <f t="shared" si="2378"/>
        <v/>
      </c>
      <c r="FF151" s="108" t="str">
        <f t="shared" si="2378"/>
        <v/>
      </c>
      <c r="FG151" s="108" t="str">
        <f t="shared" si="2378"/>
        <v/>
      </c>
      <c r="FH151" s="108" t="str">
        <f t="shared" si="2378"/>
        <v/>
      </c>
      <c r="FI151" s="108" t="str">
        <f t="shared" si="2378"/>
        <v/>
      </c>
      <c r="FJ151" s="108" t="str">
        <f t="shared" si="2378"/>
        <v/>
      </c>
      <c r="FK151" s="108" t="str">
        <f t="shared" si="2378"/>
        <v/>
      </c>
      <c r="FL151" s="108" t="str">
        <f t="shared" si="2378"/>
        <v/>
      </c>
      <c r="FM151" s="108" t="str">
        <f t="shared" si="2378"/>
        <v/>
      </c>
      <c r="FN151" s="108" t="str">
        <f t="shared" ref="FN151:FS151" si="2379">IF(CH151="","","|n"&amp;FN$2&amp;"+"&amp;CH151&amp;FN$1)</f>
        <v/>
      </c>
      <c r="FO151" s="108" t="str">
        <f t="shared" si="2379"/>
        <v/>
      </c>
      <c r="FP151" s="108" t="str">
        <f t="shared" si="2379"/>
        <v/>
      </c>
      <c r="FQ151" s="108" t="str">
        <f t="shared" si="2379"/>
        <v/>
      </c>
      <c r="FR151" s="108" t="str">
        <f t="shared" si="2379"/>
        <v/>
      </c>
      <c r="FS151" s="108" t="str">
        <f t="shared" si="2379"/>
        <v/>
      </c>
    </row>
    <row r="152" spans="1:175" s="29" customFormat="1" ht="16.5">
      <c r="A152" s="9"/>
      <c r="B152" s="24" t="s">
        <v>574</v>
      </c>
      <c r="C152" s="20" t="s">
        <v>575</v>
      </c>
      <c r="D152" s="12"/>
      <c r="E152" s="12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92"/>
      <c r="Q152" s="92"/>
      <c r="R152" s="92"/>
      <c r="S152" s="92"/>
      <c r="T152" s="29" t="s">
        <v>541</v>
      </c>
      <c r="U152" s="77" t="s">
        <v>576</v>
      </c>
      <c r="V152" s="102"/>
      <c r="W152" s="103"/>
      <c r="X152" s="103"/>
      <c r="Y152" s="103"/>
      <c r="Z152" s="103"/>
      <c r="AA152" s="103"/>
      <c r="AB152" s="103"/>
      <c r="AC152" s="103"/>
      <c r="AD152" s="103"/>
      <c r="AE152" s="103"/>
      <c r="AF152" s="103"/>
      <c r="AG152" s="103"/>
      <c r="AH152" s="103"/>
      <c r="AI152" s="103"/>
      <c r="AJ152" s="103"/>
      <c r="AK152" s="103"/>
      <c r="AL152" s="103"/>
      <c r="AM152" s="103"/>
      <c r="AN152" s="103"/>
      <c r="AO152" s="103"/>
      <c r="AP152" s="103"/>
      <c r="AQ152" s="103"/>
      <c r="AR152" s="106"/>
      <c r="AS152" s="106"/>
      <c r="AT152" s="103"/>
      <c r="AU152" s="103"/>
      <c r="AV152" s="103"/>
      <c r="AW152" s="103"/>
      <c r="AX152" s="103"/>
      <c r="AY152" s="103"/>
      <c r="AZ152" s="103"/>
      <c r="BA152" s="103"/>
      <c r="BB152" s="103"/>
      <c r="BC152" s="103"/>
      <c r="BD152" s="103"/>
      <c r="BE152" s="103"/>
      <c r="BF152" s="103"/>
      <c r="BG152" s="103"/>
      <c r="BH152" s="103"/>
      <c r="BI152" s="103"/>
      <c r="BJ152" s="103"/>
      <c r="BK152" s="103"/>
      <c r="BL152" s="103"/>
      <c r="BM152" s="103"/>
      <c r="BN152" s="103"/>
      <c r="BO152" s="103"/>
      <c r="BP152" s="103"/>
      <c r="BQ152" s="103"/>
      <c r="BR152" s="103"/>
      <c r="BS152" s="103"/>
      <c r="BT152" s="103"/>
      <c r="BU152" s="103"/>
      <c r="BV152" s="103"/>
      <c r="BW152" s="103"/>
      <c r="BX152" s="103"/>
      <c r="BY152" s="103"/>
      <c r="BZ152" s="103"/>
      <c r="CA152" s="103"/>
      <c r="CB152" s="103"/>
      <c r="CC152" s="103"/>
      <c r="CD152" s="103"/>
      <c r="CE152" s="103"/>
      <c r="CF152" s="103"/>
      <c r="CG152" s="103"/>
      <c r="CH152" s="103"/>
      <c r="CI152" s="103"/>
      <c r="CJ152" s="103"/>
      <c r="CK152" s="103"/>
      <c r="CL152" s="103"/>
      <c r="CM152" s="103"/>
      <c r="CN152" s="107" t="str">
        <f t="shared" si="2067"/>
        <v>InitUnitState('IN29',,,,,,,,,,)</v>
      </c>
      <c r="CO152" s="107" t="str">
        <f t="shared" si="2068"/>
        <v>InitUnitNormal('IN29',,,,,,,,,,)</v>
      </c>
      <c r="CP152" s="107" t="str">
        <f t="shared" si="2069"/>
        <v>InitUnitMagic('IN29',,,,,,,,,,)</v>
      </c>
      <c r="CQ152" s="107" t="str">
        <f t="shared" si="2070"/>
        <v>InitUnitAdd('IN29',,,,,,,,,,)</v>
      </c>
      <c r="CR152" s="107" t="str">
        <f t="shared" si="2365"/>
        <v>InitEquipData('IN29',,"",,,,,'','','','','','',"ReplaceableTextures\\CommandButtons\\BTN009.blp")</v>
      </c>
      <c r="CS152" s="107"/>
      <c r="CT152" s="107"/>
      <c r="CU152" s="88" t="str">
        <f t="shared" si="2288"/>
        <v>|n</v>
      </c>
      <c r="CV152" s="29" t="str">
        <f t="shared" si="2289"/>
        <v>使用后获得|Cffffc926随机类型技能附魔石|r</v>
      </c>
      <c r="CW152" s="33"/>
      <c r="CX152" s="33"/>
      <c r="CY152" s="33"/>
      <c r="CZ152" s="33"/>
      <c r="DA152" s="33"/>
      <c r="DB152" s="108" t="str">
        <f t="shared" ref="DB152:FM153" si="2380">IF(V152="","","|n"&amp;DB$2&amp;"+"&amp;V152&amp;DB$1)</f>
        <v/>
      </c>
      <c r="DC152" s="108" t="str">
        <f t="shared" si="2380"/>
        <v/>
      </c>
      <c r="DD152" s="108" t="str">
        <f t="shared" si="2380"/>
        <v/>
      </c>
      <c r="DE152" s="108" t="str">
        <f t="shared" si="2380"/>
        <v/>
      </c>
      <c r="DF152" s="108" t="str">
        <f t="shared" si="2380"/>
        <v/>
      </c>
      <c r="DG152" s="108" t="str">
        <f t="shared" si="2380"/>
        <v/>
      </c>
      <c r="DH152" s="108" t="str">
        <f t="shared" si="2380"/>
        <v/>
      </c>
      <c r="DI152" s="108" t="str">
        <f t="shared" si="2380"/>
        <v/>
      </c>
      <c r="DJ152" s="108" t="str">
        <f t="shared" si="2380"/>
        <v/>
      </c>
      <c r="DK152" s="108" t="str">
        <f t="shared" si="2380"/>
        <v/>
      </c>
      <c r="DL152" s="108" t="str">
        <f t="shared" si="2380"/>
        <v/>
      </c>
      <c r="DM152" s="108" t="str">
        <f t="shared" si="2380"/>
        <v/>
      </c>
      <c r="DN152" s="108" t="str">
        <f t="shared" si="2380"/>
        <v/>
      </c>
      <c r="DO152" s="108" t="str">
        <f t="shared" si="2380"/>
        <v/>
      </c>
      <c r="DP152" s="108" t="str">
        <f t="shared" si="2380"/>
        <v/>
      </c>
      <c r="DQ152" s="108" t="str">
        <f t="shared" si="2380"/>
        <v/>
      </c>
      <c r="DR152" s="108" t="str">
        <f t="shared" si="2380"/>
        <v/>
      </c>
      <c r="DS152" s="108" t="str">
        <f t="shared" si="2380"/>
        <v/>
      </c>
      <c r="DT152" s="108" t="str">
        <f t="shared" si="2380"/>
        <v/>
      </c>
      <c r="DU152" s="108" t="str">
        <f t="shared" si="2380"/>
        <v/>
      </c>
      <c r="DV152" s="108" t="str">
        <f t="shared" si="2380"/>
        <v/>
      </c>
      <c r="DW152" s="108" t="str">
        <f t="shared" si="2380"/>
        <v/>
      </c>
      <c r="DX152" s="108" t="str">
        <f t="shared" si="2380"/>
        <v/>
      </c>
      <c r="DY152" s="108" t="str">
        <f t="shared" si="2380"/>
        <v/>
      </c>
      <c r="DZ152" s="108" t="str">
        <f t="shared" si="2380"/>
        <v/>
      </c>
      <c r="EA152" s="108" t="str">
        <f t="shared" si="2380"/>
        <v/>
      </c>
      <c r="EB152" s="108" t="str">
        <f t="shared" si="2380"/>
        <v/>
      </c>
      <c r="EC152" s="108" t="str">
        <f t="shared" si="2380"/>
        <v/>
      </c>
      <c r="ED152" s="108" t="str">
        <f t="shared" si="2380"/>
        <v/>
      </c>
      <c r="EE152" s="108" t="str">
        <f t="shared" si="2380"/>
        <v/>
      </c>
      <c r="EF152" s="108" t="str">
        <f t="shared" si="2380"/>
        <v/>
      </c>
      <c r="EG152" s="108" t="str">
        <f t="shared" si="2380"/>
        <v/>
      </c>
      <c r="EH152" s="108" t="str">
        <f t="shared" si="2380"/>
        <v/>
      </c>
      <c r="EI152" s="108" t="str">
        <f t="shared" si="2380"/>
        <v/>
      </c>
      <c r="EJ152" s="108" t="str">
        <f t="shared" si="2380"/>
        <v/>
      </c>
      <c r="EK152" s="108" t="str">
        <f t="shared" si="2380"/>
        <v/>
      </c>
      <c r="EL152" s="108" t="str">
        <f t="shared" si="2380"/>
        <v/>
      </c>
      <c r="EM152" s="108" t="str">
        <f t="shared" si="2380"/>
        <v/>
      </c>
      <c r="EN152" s="108" t="str">
        <f t="shared" si="2380"/>
        <v/>
      </c>
      <c r="EO152" s="108" t="str">
        <f t="shared" si="2380"/>
        <v/>
      </c>
      <c r="EP152" s="108" t="str">
        <f t="shared" si="2380"/>
        <v/>
      </c>
      <c r="EQ152" s="108" t="str">
        <f t="shared" si="2380"/>
        <v/>
      </c>
      <c r="ER152" s="108" t="str">
        <f t="shared" si="2380"/>
        <v/>
      </c>
      <c r="ES152" s="108" t="str">
        <f t="shared" si="2380"/>
        <v/>
      </c>
      <c r="ET152" s="108" t="str">
        <f t="shared" si="2380"/>
        <v/>
      </c>
      <c r="EU152" s="108" t="str">
        <f t="shared" si="2380"/>
        <v/>
      </c>
      <c r="EV152" s="108" t="str">
        <f t="shared" si="2380"/>
        <v/>
      </c>
      <c r="EW152" s="108" t="str">
        <f t="shared" si="2380"/>
        <v/>
      </c>
      <c r="EX152" s="108" t="str">
        <f t="shared" si="2380"/>
        <v/>
      </c>
      <c r="EY152" s="108" t="str">
        <f t="shared" si="2380"/>
        <v/>
      </c>
      <c r="EZ152" s="108" t="str">
        <f t="shared" si="2380"/>
        <v/>
      </c>
      <c r="FA152" s="108" t="str">
        <f t="shared" si="2380"/>
        <v/>
      </c>
      <c r="FB152" s="108" t="str">
        <f t="shared" si="2380"/>
        <v/>
      </c>
      <c r="FC152" s="108" t="str">
        <f t="shared" si="2380"/>
        <v/>
      </c>
      <c r="FD152" s="108" t="str">
        <f t="shared" si="2380"/>
        <v/>
      </c>
      <c r="FE152" s="108" t="str">
        <f t="shared" si="2380"/>
        <v/>
      </c>
      <c r="FF152" s="108" t="str">
        <f t="shared" si="2380"/>
        <v/>
      </c>
      <c r="FG152" s="108" t="str">
        <f t="shared" si="2380"/>
        <v/>
      </c>
      <c r="FH152" s="108" t="str">
        <f t="shared" si="2380"/>
        <v/>
      </c>
      <c r="FI152" s="108" t="str">
        <f t="shared" si="2380"/>
        <v/>
      </c>
      <c r="FJ152" s="108" t="str">
        <f t="shared" si="2380"/>
        <v/>
      </c>
      <c r="FK152" s="108" t="str">
        <f t="shared" si="2380"/>
        <v/>
      </c>
      <c r="FL152" s="108" t="str">
        <f t="shared" si="2380"/>
        <v/>
      </c>
      <c r="FM152" s="108" t="str">
        <f t="shared" si="2380"/>
        <v/>
      </c>
      <c r="FN152" s="108" t="str">
        <f t="shared" ref="FN152:FS153" si="2381">IF(CH152="","","|n"&amp;FN$2&amp;"+"&amp;CH152&amp;FN$1)</f>
        <v/>
      </c>
      <c r="FO152" s="108" t="str">
        <f t="shared" si="2381"/>
        <v/>
      </c>
      <c r="FP152" s="108" t="str">
        <f t="shared" si="2381"/>
        <v/>
      </c>
      <c r="FQ152" s="108" t="str">
        <f t="shared" si="2381"/>
        <v/>
      </c>
      <c r="FR152" s="108" t="str">
        <f t="shared" si="2381"/>
        <v/>
      </c>
      <c r="FS152" s="108" t="str">
        <f t="shared" si="2381"/>
        <v/>
      </c>
    </row>
    <row r="153" spans="1:175" s="29" customFormat="1" ht="16.5">
      <c r="A153" s="9"/>
      <c r="B153" s="24" t="s">
        <v>577</v>
      </c>
      <c r="C153" s="20" t="s">
        <v>578</v>
      </c>
      <c r="D153" s="12"/>
      <c r="E153" s="12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92"/>
      <c r="Q153" s="92"/>
      <c r="R153" s="92"/>
      <c r="S153" s="92"/>
      <c r="T153" s="20" t="s">
        <v>579</v>
      </c>
      <c r="U153" s="77" t="s">
        <v>580</v>
      </c>
      <c r="V153" s="102"/>
      <c r="W153" s="103"/>
      <c r="X153" s="103"/>
      <c r="Y153" s="103"/>
      <c r="Z153" s="103"/>
      <c r="AA153" s="103"/>
      <c r="AB153" s="103"/>
      <c r="AC153" s="103"/>
      <c r="AD153" s="103"/>
      <c r="AE153" s="103"/>
      <c r="AF153" s="103"/>
      <c r="AG153" s="103"/>
      <c r="AH153" s="103"/>
      <c r="AI153" s="103"/>
      <c r="AJ153" s="103"/>
      <c r="AK153" s="103"/>
      <c r="AL153" s="103"/>
      <c r="AM153" s="103"/>
      <c r="AN153" s="103"/>
      <c r="AO153" s="103"/>
      <c r="AP153" s="103"/>
      <c r="AQ153" s="103"/>
      <c r="AR153" s="106"/>
      <c r="AS153" s="106"/>
      <c r="AT153" s="103"/>
      <c r="AU153" s="103"/>
      <c r="AV153" s="103"/>
      <c r="AW153" s="103"/>
      <c r="AX153" s="103"/>
      <c r="AY153" s="103"/>
      <c r="AZ153" s="103"/>
      <c r="BA153" s="103"/>
      <c r="BB153" s="103"/>
      <c r="BC153" s="103"/>
      <c r="BD153" s="103"/>
      <c r="BE153" s="103"/>
      <c r="BF153" s="103"/>
      <c r="BG153" s="103"/>
      <c r="BH153" s="103"/>
      <c r="BI153" s="103"/>
      <c r="BJ153" s="103"/>
      <c r="BK153" s="103"/>
      <c r="BL153" s="103"/>
      <c r="BM153" s="103"/>
      <c r="BN153" s="103"/>
      <c r="BO153" s="103"/>
      <c r="BP153" s="103"/>
      <c r="BQ153" s="103"/>
      <c r="BR153" s="103"/>
      <c r="BS153" s="103"/>
      <c r="BT153" s="103"/>
      <c r="BU153" s="103"/>
      <c r="BV153" s="103"/>
      <c r="BW153" s="103"/>
      <c r="BX153" s="103"/>
      <c r="BY153" s="103"/>
      <c r="BZ153" s="103"/>
      <c r="CA153" s="103"/>
      <c r="CB153" s="103"/>
      <c r="CC153" s="103"/>
      <c r="CD153" s="103"/>
      <c r="CE153" s="103"/>
      <c r="CF153" s="103"/>
      <c r="CG153" s="103"/>
      <c r="CH153" s="103"/>
      <c r="CI153" s="103"/>
      <c r="CJ153" s="103"/>
      <c r="CK153" s="103"/>
      <c r="CL153" s="103"/>
      <c r="CM153" s="103"/>
      <c r="CN153" s="107" t="str">
        <f t="shared" ref="CN153:CN155" si="2382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107" t="str">
        <f t="shared" ref="CO153:CO155" si="2383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107" t="str">
        <f t="shared" ref="CP153:CP155" si="2384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107" t="str">
        <f t="shared" ref="CQ153:CQ155" si="2385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107" t="str">
        <f t="shared" si="2365"/>
        <v>InitEquipData('IN30',,"",,,,,'','','','','','',"ReplaceableTextures\\CommandButtons\\BTN010.blp")</v>
      </c>
      <c r="CS153" s="107"/>
      <c r="CT153" s="107"/>
      <c r="CU153" s="88" t="str">
        <f t="shared" ref="CU153:CU155" si="2386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29" t="str">
        <f t="shared" ref="CV153:CV155" si="2387">T153</f>
        <v>开启后获得|Cff00bfff随机奖励|r。</v>
      </c>
      <c r="CW153" s="33"/>
      <c r="CX153" s="33"/>
      <c r="CY153" s="33"/>
      <c r="CZ153" s="33"/>
      <c r="DA153" s="33"/>
      <c r="DB153" s="108" t="str">
        <f t="shared" si="2380"/>
        <v/>
      </c>
      <c r="DC153" s="108" t="str">
        <f t="shared" si="2380"/>
        <v/>
      </c>
      <c r="DD153" s="108" t="str">
        <f t="shared" si="2380"/>
        <v/>
      </c>
      <c r="DE153" s="108" t="str">
        <f t="shared" si="2380"/>
        <v/>
      </c>
      <c r="DF153" s="108" t="str">
        <f t="shared" si="2380"/>
        <v/>
      </c>
      <c r="DG153" s="108" t="str">
        <f t="shared" si="2380"/>
        <v/>
      </c>
      <c r="DH153" s="108" t="str">
        <f t="shared" si="2380"/>
        <v/>
      </c>
      <c r="DI153" s="108" t="str">
        <f t="shared" si="2380"/>
        <v/>
      </c>
      <c r="DJ153" s="108" t="str">
        <f t="shared" si="2380"/>
        <v/>
      </c>
      <c r="DK153" s="108" t="str">
        <f t="shared" si="2380"/>
        <v/>
      </c>
      <c r="DL153" s="108" t="str">
        <f t="shared" si="2380"/>
        <v/>
      </c>
      <c r="DM153" s="108" t="str">
        <f t="shared" si="2380"/>
        <v/>
      </c>
      <c r="DN153" s="108" t="str">
        <f t="shared" si="2380"/>
        <v/>
      </c>
      <c r="DO153" s="108" t="str">
        <f t="shared" si="2380"/>
        <v/>
      </c>
      <c r="DP153" s="108" t="str">
        <f t="shared" si="2380"/>
        <v/>
      </c>
      <c r="DQ153" s="108" t="str">
        <f t="shared" si="2380"/>
        <v/>
      </c>
      <c r="DR153" s="108" t="str">
        <f t="shared" si="2380"/>
        <v/>
      </c>
      <c r="DS153" s="108" t="str">
        <f t="shared" si="2380"/>
        <v/>
      </c>
      <c r="DT153" s="108" t="str">
        <f t="shared" si="2380"/>
        <v/>
      </c>
      <c r="DU153" s="108" t="str">
        <f t="shared" si="2380"/>
        <v/>
      </c>
      <c r="DV153" s="108" t="str">
        <f t="shared" si="2380"/>
        <v/>
      </c>
      <c r="DW153" s="108" t="str">
        <f t="shared" si="2380"/>
        <v/>
      </c>
      <c r="DX153" s="108" t="str">
        <f t="shared" si="2380"/>
        <v/>
      </c>
      <c r="DY153" s="108" t="str">
        <f t="shared" si="2380"/>
        <v/>
      </c>
      <c r="DZ153" s="108" t="str">
        <f t="shared" si="2380"/>
        <v/>
      </c>
      <c r="EA153" s="108" t="str">
        <f t="shared" si="2380"/>
        <v/>
      </c>
      <c r="EB153" s="108" t="str">
        <f t="shared" si="2380"/>
        <v/>
      </c>
      <c r="EC153" s="108" t="str">
        <f t="shared" si="2380"/>
        <v/>
      </c>
      <c r="ED153" s="108" t="str">
        <f t="shared" si="2380"/>
        <v/>
      </c>
      <c r="EE153" s="108" t="str">
        <f t="shared" si="2380"/>
        <v/>
      </c>
      <c r="EF153" s="108" t="str">
        <f t="shared" si="2380"/>
        <v/>
      </c>
      <c r="EG153" s="108" t="str">
        <f t="shared" si="2380"/>
        <v/>
      </c>
      <c r="EH153" s="108" t="str">
        <f t="shared" si="2380"/>
        <v/>
      </c>
      <c r="EI153" s="108" t="str">
        <f t="shared" si="2380"/>
        <v/>
      </c>
      <c r="EJ153" s="108" t="str">
        <f t="shared" si="2380"/>
        <v/>
      </c>
      <c r="EK153" s="108" t="str">
        <f t="shared" si="2380"/>
        <v/>
      </c>
      <c r="EL153" s="108" t="str">
        <f t="shared" si="2380"/>
        <v/>
      </c>
      <c r="EM153" s="108" t="str">
        <f t="shared" si="2380"/>
        <v/>
      </c>
      <c r="EN153" s="108" t="str">
        <f t="shared" si="2380"/>
        <v/>
      </c>
      <c r="EO153" s="108" t="str">
        <f t="shared" si="2380"/>
        <v/>
      </c>
      <c r="EP153" s="108" t="str">
        <f t="shared" si="2380"/>
        <v/>
      </c>
      <c r="EQ153" s="108" t="str">
        <f t="shared" si="2380"/>
        <v/>
      </c>
      <c r="ER153" s="108" t="str">
        <f t="shared" si="2380"/>
        <v/>
      </c>
      <c r="ES153" s="108" t="str">
        <f t="shared" si="2380"/>
        <v/>
      </c>
      <c r="ET153" s="108" t="str">
        <f t="shared" si="2380"/>
        <v/>
      </c>
      <c r="EU153" s="108" t="str">
        <f t="shared" si="2380"/>
        <v/>
      </c>
      <c r="EV153" s="108" t="str">
        <f t="shared" si="2380"/>
        <v/>
      </c>
      <c r="EW153" s="108" t="str">
        <f t="shared" si="2380"/>
        <v/>
      </c>
      <c r="EX153" s="108" t="str">
        <f t="shared" si="2380"/>
        <v/>
      </c>
      <c r="EY153" s="108" t="str">
        <f t="shared" si="2380"/>
        <v/>
      </c>
      <c r="EZ153" s="108" t="str">
        <f t="shared" si="2380"/>
        <v/>
      </c>
      <c r="FA153" s="108" t="str">
        <f t="shared" si="2380"/>
        <v/>
      </c>
      <c r="FB153" s="108" t="str">
        <f t="shared" si="2380"/>
        <v/>
      </c>
      <c r="FC153" s="108" t="str">
        <f t="shared" si="2380"/>
        <v/>
      </c>
      <c r="FD153" s="108" t="str">
        <f t="shared" si="2380"/>
        <v/>
      </c>
      <c r="FE153" s="108" t="str">
        <f t="shared" si="2380"/>
        <v/>
      </c>
      <c r="FF153" s="108" t="str">
        <f t="shared" si="2380"/>
        <v/>
      </c>
      <c r="FG153" s="108" t="str">
        <f t="shared" si="2380"/>
        <v/>
      </c>
      <c r="FH153" s="108" t="str">
        <f t="shared" si="2380"/>
        <v/>
      </c>
      <c r="FI153" s="108" t="str">
        <f t="shared" si="2380"/>
        <v/>
      </c>
      <c r="FJ153" s="108" t="str">
        <f t="shared" si="2380"/>
        <v/>
      </c>
      <c r="FK153" s="108" t="str">
        <f t="shared" si="2380"/>
        <v/>
      </c>
      <c r="FL153" s="108" t="str">
        <f t="shared" si="2380"/>
        <v/>
      </c>
      <c r="FM153" s="108" t="str">
        <f t="shared" si="2380"/>
        <v/>
      </c>
      <c r="FN153" s="108" t="str">
        <f t="shared" si="2381"/>
        <v/>
      </c>
      <c r="FO153" s="108" t="str">
        <f t="shared" si="2381"/>
        <v/>
      </c>
      <c r="FP153" s="108" t="str">
        <f t="shared" si="2381"/>
        <v/>
      </c>
      <c r="FQ153" s="108" t="str">
        <f t="shared" si="2381"/>
        <v/>
      </c>
      <c r="FR153" s="108" t="str">
        <f t="shared" si="2381"/>
        <v/>
      </c>
      <c r="FS153" s="108" t="str">
        <f t="shared" si="2381"/>
        <v/>
      </c>
    </row>
    <row r="154" spans="1:175" s="29" customFormat="1" ht="16.5">
      <c r="A154" s="9"/>
      <c r="B154" s="24" t="s">
        <v>581</v>
      </c>
      <c r="C154" s="20" t="s">
        <v>582</v>
      </c>
      <c r="D154" s="12"/>
      <c r="E154" s="12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92"/>
      <c r="Q154" s="92"/>
      <c r="R154" s="92"/>
      <c r="S154" s="92"/>
      <c r="T154" s="20" t="s">
        <v>583</v>
      </c>
      <c r="U154" s="77" t="s">
        <v>584</v>
      </c>
      <c r="V154" s="102"/>
      <c r="W154" s="103"/>
      <c r="X154" s="103"/>
      <c r="Y154" s="103"/>
      <c r="Z154" s="103"/>
      <c r="AA154" s="103"/>
      <c r="AB154" s="103"/>
      <c r="AC154" s="103"/>
      <c r="AD154" s="103"/>
      <c r="AE154" s="103"/>
      <c r="AF154" s="103"/>
      <c r="AG154" s="103"/>
      <c r="AH154" s="103"/>
      <c r="AI154" s="103"/>
      <c r="AJ154" s="103"/>
      <c r="AK154" s="103"/>
      <c r="AL154" s="103"/>
      <c r="AM154" s="103"/>
      <c r="AN154" s="103"/>
      <c r="AO154" s="103"/>
      <c r="AP154" s="103"/>
      <c r="AQ154" s="103"/>
      <c r="AR154" s="106"/>
      <c r="AS154" s="106"/>
      <c r="AT154" s="103"/>
      <c r="AU154" s="103"/>
      <c r="AV154" s="103"/>
      <c r="AW154" s="103"/>
      <c r="AX154" s="103"/>
      <c r="AY154" s="103"/>
      <c r="AZ154" s="103"/>
      <c r="BA154" s="103"/>
      <c r="BB154" s="103"/>
      <c r="BC154" s="103"/>
      <c r="BD154" s="103"/>
      <c r="BE154" s="103"/>
      <c r="BF154" s="103"/>
      <c r="BG154" s="103"/>
      <c r="BH154" s="103"/>
      <c r="BI154" s="103"/>
      <c r="BJ154" s="103"/>
      <c r="BK154" s="103"/>
      <c r="BL154" s="103"/>
      <c r="BM154" s="103"/>
      <c r="BN154" s="103"/>
      <c r="BO154" s="103"/>
      <c r="BP154" s="103"/>
      <c r="BQ154" s="103"/>
      <c r="BR154" s="103"/>
      <c r="BS154" s="103"/>
      <c r="BT154" s="103"/>
      <c r="BU154" s="103"/>
      <c r="BV154" s="103"/>
      <c r="BW154" s="103"/>
      <c r="BX154" s="103"/>
      <c r="BY154" s="103"/>
      <c r="BZ154" s="103"/>
      <c r="CA154" s="103"/>
      <c r="CB154" s="103"/>
      <c r="CC154" s="103"/>
      <c r="CD154" s="103"/>
      <c r="CE154" s="103"/>
      <c r="CF154" s="103"/>
      <c r="CG154" s="103"/>
      <c r="CH154" s="103"/>
      <c r="CI154" s="103"/>
      <c r="CJ154" s="103"/>
      <c r="CK154" s="103"/>
      <c r="CL154" s="103"/>
      <c r="CM154" s="103"/>
      <c r="CN154" s="107" t="str">
        <f t="shared" si="2382"/>
        <v>InitUnitState('IN31',,,,,,,,,,)</v>
      </c>
      <c r="CO154" s="107" t="str">
        <f t="shared" si="2383"/>
        <v>InitUnitNormal('IN31',,,,,,,,,,)</v>
      </c>
      <c r="CP154" s="107" t="str">
        <f t="shared" si="2384"/>
        <v>InitUnitMagic('IN31',,,,,,,,,,)</v>
      </c>
      <c r="CQ154" s="107" t="str">
        <f t="shared" si="2385"/>
        <v>InitUnitAdd('IN31',,,,,,,,,,)</v>
      </c>
      <c r="CR154" s="107" t="str">
        <f t="shared" si="2365"/>
        <v>InitEquipData('IN31',,"",,,,,'','','','','','',"ReplaceableTextures\\CommandButtons\\BTN011.blp")</v>
      </c>
      <c r="CS154" s="107"/>
      <c r="CT154" s="107"/>
      <c r="CU154" s="88" t="str">
        <f t="shared" si="2386"/>
        <v>|n</v>
      </c>
      <c r="CV154" s="29" t="str">
        <f t="shared" si="2387"/>
        <v>开启后获得|Cffffd24d随机奖励|r。</v>
      </c>
      <c r="CW154" s="33"/>
      <c r="CX154" s="33"/>
      <c r="CY154" s="33"/>
      <c r="CZ154" s="33"/>
      <c r="DA154" s="33"/>
      <c r="DB154" s="108" t="str">
        <f t="shared" ref="DB154:DB155" si="2388">IF(V154="","","|n"&amp;DB$2&amp;"+"&amp;V154&amp;DB$1)</f>
        <v/>
      </c>
      <c r="DC154" s="108" t="str">
        <f t="shared" ref="DC154:DC155" si="2389">IF(W154="","","|n"&amp;DC$2&amp;"+"&amp;W154&amp;DC$1)</f>
        <v/>
      </c>
      <c r="DD154" s="108" t="str">
        <f t="shared" ref="DD154:DD155" si="2390">IF(X154="","","|n"&amp;DD$2&amp;"+"&amp;X154&amp;DD$1)</f>
        <v/>
      </c>
      <c r="DE154" s="108" t="str">
        <f t="shared" ref="DE154:DE155" si="2391">IF(Y154="","","|n"&amp;DE$2&amp;"+"&amp;Y154&amp;DE$1)</f>
        <v/>
      </c>
      <c r="DF154" s="108" t="str">
        <f t="shared" ref="DF154:DF155" si="2392">IF(Z154="","","|n"&amp;DF$2&amp;"+"&amp;Z154&amp;DF$1)</f>
        <v/>
      </c>
      <c r="DG154" s="108" t="str">
        <f t="shared" ref="DG154:DG155" si="2393">IF(AA154="","","|n"&amp;DG$2&amp;"+"&amp;AA154&amp;DG$1)</f>
        <v/>
      </c>
      <c r="DH154" s="108" t="str">
        <f t="shared" ref="DH154:DH155" si="2394">IF(AB154="","","|n"&amp;DH$2&amp;"+"&amp;AB154&amp;DH$1)</f>
        <v/>
      </c>
      <c r="DI154" s="108" t="str">
        <f t="shared" ref="DI154:DI155" si="2395">IF(AC154="","","|n"&amp;DI$2&amp;"+"&amp;AC154&amp;DI$1)</f>
        <v/>
      </c>
      <c r="DJ154" s="108" t="str">
        <f t="shared" ref="DJ154:DJ155" si="2396">IF(AD154="","","|n"&amp;DJ$2&amp;"+"&amp;AD154&amp;DJ$1)</f>
        <v/>
      </c>
      <c r="DK154" s="108" t="str">
        <f t="shared" ref="DK154:DK155" si="2397">IF(AE154="","","|n"&amp;DK$2&amp;"+"&amp;AE154&amp;DK$1)</f>
        <v/>
      </c>
      <c r="DL154" s="108" t="str">
        <f t="shared" ref="DL154:DL155" si="2398">IF(AF154="","","|n"&amp;DL$2&amp;"+"&amp;AF154&amp;DL$1)</f>
        <v/>
      </c>
      <c r="DM154" s="108" t="str">
        <f t="shared" ref="DM154:DM155" si="2399">IF(AG154="","","|n"&amp;DM$2&amp;"+"&amp;AG154&amp;DM$1)</f>
        <v/>
      </c>
      <c r="DN154" s="108" t="str">
        <f t="shared" ref="DN154:DN155" si="2400">IF(AH154="","","|n"&amp;DN$2&amp;"+"&amp;AH154&amp;DN$1)</f>
        <v/>
      </c>
      <c r="DO154" s="108" t="str">
        <f t="shared" ref="DO154:DO155" si="2401">IF(AI154="","","|n"&amp;DO$2&amp;"+"&amp;AI154&amp;DO$1)</f>
        <v/>
      </c>
      <c r="DP154" s="108" t="str">
        <f t="shared" ref="DP154:DP155" si="2402">IF(AJ154="","","|n"&amp;DP$2&amp;"+"&amp;AJ154&amp;DP$1)</f>
        <v/>
      </c>
      <c r="DQ154" s="108" t="str">
        <f t="shared" ref="DQ154:DQ155" si="2403">IF(AK154="","","|n"&amp;DQ$2&amp;"+"&amp;AK154&amp;DQ$1)</f>
        <v/>
      </c>
      <c r="DR154" s="108" t="str">
        <f t="shared" ref="DR154:DR155" si="2404">IF(AL154="","","|n"&amp;DR$2&amp;"+"&amp;AL154&amp;DR$1)</f>
        <v/>
      </c>
      <c r="DS154" s="108" t="str">
        <f t="shared" ref="DS154:DS155" si="2405">IF(AM154="","","|n"&amp;DS$2&amp;"+"&amp;AM154&amp;DS$1)</f>
        <v/>
      </c>
      <c r="DT154" s="108" t="str">
        <f t="shared" ref="DT154:DT155" si="2406">IF(AN154="","","|n"&amp;DT$2&amp;"+"&amp;AN154&amp;DT$1)</f>
        <v/>
      </c>
      <c r="DU154" s="108" t="str">
        <f t="shared" ref="DU154:DU155" si="2407">IF(AO154="","","|n"&amp;DU$2&amp;"+"&amp;AO154&amp;DU$1)</f>
        <v/>
      </c>
      <c r="DV154" s="108" t="str">
        <f t="shared" ref="DV154:DV155" si="2408">IF(AP154="","","|n"&amp;DV$2&amp;"+"&amp;AP154&amp;DV$1)</f>
        <v/>
      </c>
      <c r="DW154" s="108" t="str">
        <f t="shared" ref="DW154:DW155" si="2409">IF(AQ154="","","|n"&amp;DW$2&amp;"+"&amp;AQ154&amp;DW$1)</f>
        <v/>
      </c>
      <c r="DX154" s="108" t="str">
        <f t="shared" ref="DX154:DX155" si="2410">IF(AR154="","","|n"&amp;DX$2&amp;"+"&amp;AR154&amp;DX$1)</f>
        <v/>
      </c>
      <c r="DY154" s="108" t="str">
        <f t="shared" ref="DY154:DY155" si="2411">IF(AS154="","","|n"&amp;DY$2&amp;"+"&amp;AS154&amp;DY$1)</f>
        <v/>
      </c>
      <c r="DZ154" s="108" t="str">
        <f t="shared" ref="DZ154:DZ155" si="2412">IF(AT154="","","|n"&amp;DZ$2&amp;"+"&amp;AT154&amp;DZ$1)</f>
        <v/>
      </c>
      <c r="EA154" s="108" t="str">
        <f t="shared" ref="EA154:EA155" si="2413">IF(AU154="","","|n"&amp;EA$2&amp;"+"&amp;AU154&amp;EA$1)</f>
        <v/>
      </c>
      <c r="EB154" s="108" t="str">
        <f t="shared" ref="EB154:EB155" si="2414">IF(AV154="","","|n"&amp;EB$2&amp;"+"&amp;AV154&amp;EB$1)</f>
        <v/>
      </c>
      <c r="EC154" s="108" t="str">
        <f t="shared" ref="EC154:EC155" si="2415">IF(AW154="","","|n"&amp;EC$2&amp;"+"&amp;AW154&amp;EC$1)</f>
        <v/>
      </c>
      <c r="ED154" s="108" t="str">
        <f t="shared" ref="ED154:ED155" si="2416">IF(AX154="","","|n"&amp;ED$2&amp;"+"&amp;AX154&amp;ED$1)</f>
        <v/>
      </c>
      <c r="EE154" s="108" t="str">
        <f t="shared" ref="EE154:EE155" si="2417">IF(AY154="","","|n"&amp;EE$2&amp;"+"&amp;AY154&amp;EE$1)</f>
        <v/>
      </c>
      <c r="EF154" s="108" t="str">
        <f t="shared" ref="EF154:EF155" si="2418">IF(AZ154="","","|n"&amp;EF$2&amp;"+"&amp;AZ154&amp;EF$1)</f>
        <v/>
      </c>
      <c r="EG154" s="108" t="str">
        <f t="shared" ref="EG154:EG155" si="2419">IF(BA154="","","|n"&amp;EG$2&amp;"+"&amp;BA154&amp;EG$1)</f>
        <v/>
      </c>
      <c r="EH154" s="108" t="str">
        <f t="shared" ref="EH154:EH155" si="2420">IF(BB154="","","|n"&amp;EH$2&amp;"+"&amp;BB154&amp;EH$1)</f>
        <v/>
      </c>
      <c r="EI154" s="108" t="str">
        <f t="shared" ref="EI154:EI155" si="2421">IF(BC154="","","|n"&amp;EI$2&amp;"+"&amp;BC154&amp;EI$1)</f>
        <v/>
      </c>
      <c r="EJ154" s="108" t="str">
        <f t="shared" ref="EJ154:EJ155" si="2422">IF(BD154="","","|n"&amp;EJ$2&amp;"+"&amp;BD154&amp;EJ$1)</f>
        <v/>
      </c>
      <c r="EK154" s="108" t="str">
        <f t="shared" ref="EK154:EK155" si="2423">IF(BE154="","","|n"&amp;EK$2&amp;"+"&amp;BE154&amp;EK$1)</f>
        <v/>
      </c>
      <c r="EL154" s="108" t="str">
        <f t="shared" ref="EL154:EL155" si="2424">IF(BF154="","","|n"&amp;EL$2&amp;"+"&amp;BF154&amp;EL$1)</f>
        <v/>
      </c>
      <c r="EM154" s="108" t="str">
        <f t="shared" ref="EM154:EM155" si="2425">IF(BG154="","","|n"&amp;EM$2&amp;"+"&amp;BG154&amp;EM$1)</f>
        <v/>
      </c>
      <c r="EN154" s="108" t="str">
        <f t="shared" ref="EN154:EN155" si="2426">IF(BH154="","","|n"&amp;EN$2&amp;"+"&amp;BH154&amp;EN$1)</f>
        <v/>
      </c>
      <c r="EO154" s="108" t="str">
        <f t="shared" ref="EO154:EO155" si="2427">IF(BI154="","","|n"&amp;EO$2&amp;"+"&amp;BI154&amp;EO$1)</f>
        <v/>
      </c>
      <c r="EP154" s="108" t="str">
        <f t="shared" ref="EP154:EP155" si="2428">IF(BJ154="","","|n"&amp;EP$2&amp;"+"&amp;BJ154&amp;EP$1)</f>
        <v/>
      </c>
      <c r="EQ154" s="108" t="str">
        <f t="shared" ref="EQ154:EQ155" si="2429">IF(BK154="","","|n"&amp;EQ$2&amp;"+"&amp;BK154&amp;EQ$1)</f>
        <v/>
      </c>
      <c r="ER154" s="108" t="str">
        <f t="shared" ref="ER154:ER155" si="2430">IF(BL154="","","|n"&amp;ER$2&amp;"+"&amp;BL154&amp;ER$1)</f>
        <v/>
      </c>
      <c r="ES154" s="108" t="str">
        <f t="shared" ref="ES154:ES155" si="2431">IF(BM154="","","|n"&amp;ES$2&amp;"+"&amp;BM154&amp;ES$1)</f>
        <v/>
      </c>
      <c r="ET154" s="108" t="str">
        <f t="shared" ref="ET154:ET155" si="2432">IF(BN154="","","|n"&amp;ET$2&amp;"+"&amp;BN154&amp;ET$1)</f>
        <v/>
      </c>
      <c r="EU154" s="108" t="str">
        <f t="shared" ref="EU154:EU155" si="2433">IF(BO154="","","|n"&amp;EU$2&amp;"+"&amp;BO154&amp;EU$1)</f>
        <v/>
      </c>
      <c r="EV154" s="108" t="str">
        <f t="shared" ref="EV154:EV155" si="2434">IF(BP154="","","|n"&amp;EV$2&amp;"+"&amp;BP154&amp;EV$1)</f>
        <v/>
      </c>
      <c r="EW154" s="108" t="str">
        <f t="shared" ref="EW154:EW155" si="2435">IF(BQ154="","","|n"&amp;EW$2&amp;"+"&amp;BQ154&amp;EW$1)</f>
        <v/>
      </c>
      <c r="EX154" s="108" t="str">
        <f t="shared" ref="EX154:EX155" si="2436">IF(BR154="","","|n"&amp;EX$2&amp;"+"&amp;BR154&amp;EX$1)</f>
        <v/>
      </c>
      <c r="EY154" s="108" t="str">
        <f t="shared" ref="EY154:EY155" si="2437">IF(BS154="","","|n"&amp;EY$2&amp;"+"&amp;BS154&amp;EY$1)</f>
        <v/>
      </c>
      <c r="EZ154" s="108" t="str">
        <f t="shared" ref="EZ154:EZ155" si="2438">IF(BT154="","","|n"&amp;EZ$2&amp;"+"&amp;BT154&amp;EZ$1)</f>
        <v/>
      </c>
      <c r="FA154" s="108" t="str">
        <f t="shared" ref="FA154:FA155" si="2439">IF(BU154="","","|n"&amp;FA$2&amp;"+"&amp;BU154&amp;FA$1)</f>
        <v/>
      </c>
      <c r="FB154" s="108" t="str">
        <f t="shared" ref="FB154:FB155" si="2440">IF(BV154="","","|n"&amp;FB$2&amp;"+"&amp;BV154&amp;FB$1)</f>
        <v/>
      </c>
      <c r="FC154" s="108" t="str">
        <f t="shared" ref="FC154:FC155" si="2441">IF(BW154="","","|n"&amp;FC$2&amp;"+"&amp;BW154&amp;FC$1)</f>
        <v/>
      </c>
      <c r="FD154" s="108" t="str">
        <f t="shared" ref="FD154:FD155" si="2442">IF(BX154="","","|n"&amp;FD$2&amp;"+"&amp;BX154&amp;FD$1)</f>
        <v/>
      </c>
      <c r="FE154" s="108" t="str">
        <f t="shared" ref="FE154:FE155" si="2443">IF(BY154="","","|n"&amp;FE$2&amp;"+"&amp;BY154&amp;FE$1)</f>
        <v/>
      </c>
      <c r="FF154" s="108" t="str">
        <f t="shared" ref="FF154:FF155" si="2444">IF(BZ154="","","|n"&amp;FF$2&amp;"+"&amp;BZ154&amp;FF$1)</f>
        <v/>
      </c>
      <c r="FG154" s="108" t="str">
        <f t="shared" ref="FG154:FG155" si="2445">IF(CA154="","","|n"&amp;FG$2&amp;"+"&amp;CA154&amp;FG$1)</f>
        <v/>
      </c>
      <c r="FH154" s="108" t="str">
        <f t="shared" ref="FH154:FH155" si="2446">IF(CB154="","","|n"&amp;FH$2&amp;"+"&amp;CB154&amp;FH$1)</f>
        <v/>
      </c>
      <c r="FI154" s="108" t="str">
        <f t="shared" ref="FI154:FI155" si="2447">IF(CC154="","","|n"&amp;FI$2&amp;"+"&amp;CC154&amp;FI$1)</f>
        <v/>
      </c>
      <c r="FJ154" s="108" t="str">
        <f t="shared" ref="FJ154:FJ155" si="2448">IF(CD154="","","|n"&amp;FJ$2&amp;"+"&amp;CD154&amp;FJ$1)</f>
        <v/>
      </c>
      <c r="FK154" s="108" t="str">
        <f t="shared" ref="FK154:FK155" si="2449">IF(CE154="","","|n"&amp;FK$2&amp;"+"&amp;CE154&amp;FK$1)</f>
        <v/>
      </c>
      <c r="FL154" s="108" t="str">
        <f t="shared" ref="FL154:FL155" si="2450">IF(CF154="","","|n"&amp;FL$2&amp;"+"&amp;CF154&amp;FL$1)</f>
        <v/>
      </c>
      <c r="FM154" s="108" t="str">
        <f t="shared" ref="FM154:FM155" si="2451">IF(CG154="","","|n"&amp;FM$2&amp;"+"&amp;CG154&amp;FM$1)</f>
        <v/>
      </c>
      <c r="FN154" s="108" t="str">
        <f t="shared" ref="FN154:FN155" si="2452">IF(CH154="","","|n"&amp;FN$2&amp;"+"&amp;CH154&amp;FN$1)</f>
        <v/>
      </c>
      <c r="FO154" s="108" t="str">
        <f t="shared" ref="FO154:FO155" si="2453">IF(CI154="","","|n"&amp;FO$2&amp;"+"&amp;CI154&amp;FO$1)</f>
        <v/>
      </c>
      <c r="FP154" s="108" t="str">
        <f t="shared" ref="FP154:FP155" si="2454">IF(CJ154="","","|n"&amp;FP$2&amp;"+"&amp;CJ154&amp;FP$1)</f>
        <v/>
      </c>
      <c r="FQ154" s="108" t="str">
        <f t="shared" ref="FQ154:FQ155" si="2455">IF(CK154="","","|n"&amp;FQ$2&amp;"+"&amp;CK154&amp;FQ$1)</f>
        <v/>
      </c>
      <c r="FR154" s="108" t="str">
        <f t="shared" ref="FR154:FR155" si="2456">IF(CL154="","","|n"&amp;FR$2&amp;"+"&amp;CL154&amp;FR$1)</f>
        <v/>
      </c>
      <c r="FS154" s="108" t="str">
        <f t="shared" ref="FS154:FS155" si="2457">IF(CM154="","","|n"&amp;FS$2&amp;"+"&amp;CM154&amp;FS$1)</f>
        <v/>
      </c>
    </row>
    <row r="155" spans="1:175" s="29" customFormat="1" ht="16.5">
      <c r="A155" s="9"/>
      <c r="B155" s="24" t="s">
        <v>585</v>
      </c>
      <c r="C155" s="20" t="s">
        <v>571</v>
      </c>
      <c r="D155" s="12"/>
      <c r="E155" s="12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92"/>
      <c r="Q155" s="92"/>
      <c r="R155" s="92"/>
      <c r="S155" s="92"/>
      <c r="T155" s="29" t="s">
        <v>572</v>
      </c>
      <c r="U155" s="77" t="s">
        <v>573</v>
      </c>
      <c r="V155" s="102"/>
      <c r="W155" s="103"/>
      <c r="X155" s="103"/>
      <c r="Y155" s="103"/>
      <c r="Z155" s="103"/>
      <c r="AA155" s="103"/>
      <c r="AB155" s="103"/>
      <c r="AC155" s="103"/>
      <c r="AD155" s="103"/>
      <c r="AE155" s="103"/>
      <c r="AF155" s="103"/>
      <c r="AG155" s="103"/>
      <c r="AH155" s="103"/>
      <c r="AI155" s="103"/>
      <c r="AJ155" s="103"/>
      <c r="AK155" s="103"/>
      <c r="AL155" s="103"/>
      <c r="AM155" s="103"/>
      <c r="AN155" s="103"/>
      <c r="AO155" s="103"/>
      <c r="AP155" s="103"/>
      <c r="AQ155" s="103"/>
      <c r="AR155" s="106"/>
      <c r="AS155" s="106"/>
      <c r="AT155" s="103"/>
      <c r="AU155" s="103"/>
      <c r="AV155" s="103"/>
      <c r="AW155" s="103"/>
      <c r="AX155" s="103"/>
      <c r="AY155" s="103"/>
      <c r="AZ155" s="103"/>
      <c r="BA155" s="103"/>
      <c r="BB155" s="103"/>
      <c r="BC155" s="103"/>
      <c r="BD155" s="103"/>
      <c r="BE155" s="103"/>
      <c r="BF155" s="103"/>
      <c r="BG155" s="103"/>
      <c r="BH155" s="103"/>
      <c r="BI155" s="103"/>
      <c r="BJ155" s="103"/>
      <c r="BK155" s="103"/>
      <c r="BL155" s="103"/>
      <c r="BM155" s="103"/>
      <c r="BN155" s="103"/>
      <c r="BO155" s="103"/>
      <c r="BP155" s="103"/>
      <c r="BQ155" s="103"/>
      <c r="BR155" s="103"/>
      <c r="BS155" s="103"/>
      <c r="BT155" s="103"/>
      <c r="BU155" s="103"/>
      <c r="BV155" s="103"/>
      <c r="BW155" s="103"/>
      <c r="BX155" s="103"/>
      <c r="BY155" s="103"/>
      <c r="BZ155" s="103"/>
      <c r="CA155" s="103"/>
      <c r="CB155" s="103"/>
      <c r="CC155" s="103"/>
      <c r="CD155" s="103"/>
      <c r="CE155" s="103"/>
      <c r="CF155" s="103"/>
      <c r="CG155" s="103"/>
      <c r="CH155" s="103"/>
      <c r="CI155" s="103"/>
      <c r="CJ155" s="103"/>
      <c r="CK155" s="103"/>
      <c r="CL155" s="103"/>
      <c r="CM155" s="103"/>
      <c r="CN155" s="107" t="str">
        <f t="shared" si="2382"/>
        <v>InitUnitState('IN32',,,,,,,,,,)</v>
      </c>
      <c r="CO155" s="107" t="str">
        <f t="shared" si="2383"/>
        <v>InitUnitNormal('IN32',,,,,,,,,,)</v>
      </c>
      <c r="CP155" s="107" t="str">
        <f t="shared" si="2384"/>
        <v>InitUnitMagic('IN32',,,,,,,,,,)</v>
      </c>
      <c r="CQ155" s="107" t="str">
        <f t="shared" si="2385"/>
        <v>InitUnitAdd('IN32',,,,,,,,,,)</v>
      </c>
      <c r="CR155" s="107" t="str">
        <f t="shared" si="2365"/>
        <v>InitEquipData('IN32',,"",,,,,'','','','','','',"ReplaceableTextures\\CommandButtons\\BTNIS11.blp")</v>
      </c>
      <c r="CS155" s="107"/>
      <c r="CT155" s="107"/>
      <c r="CU155" s="88" t="str">
        <f t="shared" si="2386"/>
        <v>|n</v>
      </c>
      <c r="CV155" s="29" t="str">
        <f t="shared" si="2387"/>
        <v>使用后获得|Cffffc926随机类型技能升阶石|r</v>
      </c>
      <c r="CW155" s="33"/>
      <c r="CX155" s="33"/>
      <c r="CY155" s="33"/>
      <c r="CZ155" s="33"/>
      <c r="DA155" s="33"/>
      <c r="DB155" s="108" t="str">
        <f t="shared" si="2388"/>
        <v/>
      </c>
      <c r="DC155" s="108" t="str">
        <f t="shared" si="2389"/>
        <v/>
      </c>
      <c r="DD155" s="108" t="str">
        <f t="shared" si="2390"/>
        <v/>
      </c>
      <c r="DE155" s="108" t="str">
        <f t="shared" si="2391"/>
        <v/>
      </c>
      <c r="DF155" s="108" t="str">
        <f t="shared" si="2392"/>
        <v/>
      </c>
      <c r="DG155" s="108" t="str">
        <f t="shared" si="2393"/>
        <v/>
      </c>
      <c r="DH155" s="108" t="str">
        <f t="shared" si="2394"/>
        <v/>
      </c>
      <c r="DI155" s="108" t="str">
        <f t="shared" si="2395"/>
        <v/>
      </c>
      <c r="DJ155" s="108" t="str">
        <f t="shared" si="2396"/>
        <v/>
      </c>
      <c r="DK155" s="108" t="str">
        <f t="shared" si="2397"/>
        <v/>
      </c>
      <c r="DL155" s="108" t="str">
        <f t="shared" si="2398"/>
        <v/>
      </c>
      <c r="DM155" s="108" t="str">
        <f t="shared" si="2399"/>
        <v/>
      </c>
      <c r="DN155" s="108" t="str">
        <f t="shared" si="2400"/>
        <v/>
      </c>
      <c r="DO155" s="108" t="str">
        <f t="shared" si="2401"/>
        <v/>
      </c>
      <c r="DP155" s="108" t="str">
        <f t="shared" si="2402"/>
        <v/>
      </c>
      <c r="DQ155" s="108" t="str">
        <f t="shared" si="2403"/>
        <v/>
      </c>
      <c r="DR155" s="108" t="str">
        <f t="shared" si="2404"/>
        <v/>
      </c>
      <c r="DS155" s="108" t="str">
        <f t="shared" si="2405"/>
        <v/>
      </c>
      <c r="DT155" s="108" t="str">
        <f t="shared" si="2406"/>
        <v/>
      </c>
      <c r="DU155" s="108" t="str">
        <f t="shared" si="2407"/>
        <v/>
      </c>
      <c r="DV155" s="108" t="str">
        <f t="shared" si="2408"/>
        <v/>
      </c>
      <c r="DW155" s="108" t="str">
        <f t="shared" si="2409"/>
        <v/>
      </c>
      <c r="DX155" s="108" t="str">
        <f t="shared" si="2410"/>
        <v/>
      </c>
      <c r="DY155" s="108" t="str">
        <f t="shared" si="2411"/>
        <v/>
      </c>
      <c r="DZ155" s="108" t="str">
        <f t="shared" si="2412"/>
        <v/>
      </c>
      <c r="EA155" s="108" t="str">
        <f t="shared" si="2413"/>
        <v/>
      </c>
      <c r="EB155" s="108" t="str">
        <f t="shared" si="2414"/>
        <v/>
      </c>
      <c r="EC155" s="108" t="str">
        <f t="shared" si="2415"/>
        <v/>
      </c>
      <c r="ED155" s="108" t="str">
        <f t="shared" si="2416"/>
        <v/>
      </c>
      <c r="EE155" s="108" t="str">
        <f t="shared" si="2417"/>
        <v/>
      </c>
      <c r="EF155" s="108" t="str">
        <f t="shared" si="2418"/>
        <v/>
      </c>
      <c r="EG155" s="108" t="str">
        <f t="shared" si="2419"/>
        <v/>
      </c>
      <c r="EH155" s="108" t="str">
        <f t="shared" si="2420"/>
        <v/>
      </c>
      <c r="EI155" s="108" t="str">
        <f t="shared" si="2421"/>
        <v/>
      </c>
      <c r="EJ155" s="108" t="str">
        <f t="shared" si="2422"/>
        <v/>
      </c>
      <c r="EK155" s="108" t="str">
        <f t="shared" si="2423"/>
        <v/>
      </c>
      <c r="EL155" s="108" t="str">
        <f t="shared" si="2424"/>
        <v/>
      </c>
      <c r="EM155" s="108" t="str">
        <f t="shared" si="2425"/>
        <v/>
      </c>
      <c r="EN155" s="108" t="str">
        <f t="shared" si="2426"/>
        <v/>
      </c>
      <c r="EO155" s="108" t="str">
        <f t="shared" si="2427"/>
        <v/>
      </c>
      <c r="EP155" s="108" t="str">
        <f t="shared" si="2428"/>
        <v/>
      </c>
      <c r="EQ155" s="108" t="str">
        <f t="shared" si="2429"/>
        <v/>
      </c>
      <c r="ER155" s="108" t="str">
        <f t="shared" si="2430"/>
        <v/>
      </c>
      <c r="ES155" s="108" t="str">
        <f t="shared" si="2431"/>
        <v/>
      </c>
      <c r="ET155" s="108" t="str">
        <f t="shared" si="2432"/>
        <v/>
      </c>
      <c r="EU155" s="108" t="str">
        <f t="shared" si="2433"/>
        <v/>
      </c>
      <c r="EV155" s="108" t="str">
        <f t="shared" si="2434"/>
        <v/>
      </c>
      <c r="EW155" s="108" t="str">
        <f t="shared" si="2435"/>
        <v/>
      </c>
      <c r="EX155" s="108" t="str">
        <f t="shared" si="2436"/>
        <v/>
      </c>
      <c r="EY155" s="108" t="str">
        <f t="shared" si="2437"/>
        <v/>
      </c>
      <c r="EZ155" s="108" t="str">
        <f t="shared" si="2438"/>
        <v/>
      </c>
      <c r="FA155" s="108" t="str">
        <f t="shared" si="2439"/>
        <v/>
      </c>
      <c r="FB155" s="108" t="str">
        <f t="shared" si="2440"/>
        <v/>
      </c>
      <c r="FC155" s="108" t="str">
        <f t="shared" si="2441"/>
        <v/>
      </c>
      <c r="FD155" s="108" t="str">
        <f t="shared" si="2442"/>
        <v/>
      </c>
      <c r="FE155" s="108" t="str">
        <f t="shared" si="2443"/>
        <v/>
      </c>
      <c r="FF155" s="108" t="str">
        <f t="shared" si="2444"/>
        <v/>
      </c>
      <c r="FG155" s="108" t="str">
        <f t="shared" si="2445"/>
        <v/>
      </c>
      <c r="FH155" s="108" t="str">
        <f t="shared" si="2446"/>
        <v/>
      </c>
      <c r="FI155" s="108" t="str">
        <f t="shared" si="2447"/>
        <v/>
      </c>
      <c r="FJ155" s="108" t="str">
        <f t="shared" si="2448"/>
        <v/>
      </c>
      <c r="FK155" s="108" t="str">
        <f t="shared" si="2449"/>
        <v/>
      </c>
      <c r="FL155" s="108" t="str">
        <f t="shared" si="2450"/>
        <v/>
      </c>
      <c r="FM155" s="108" t="str">
        <f t="shared" si="2451"/>
        <v/>
      </c>
      <c r="FN155" s="108" t="str">
        <f t="shared" si="2452"/>
        <v/>
      </c>
      <c r="FO155" s="108" t="str">
        <f t="shared" si="2453"/>
        <v/>
      </c>
      <c r="FP155" s="108" t="str">
        <f t="shared" si="2454"/>
        <v/>
      </c>
      <c r="FQ155" s="108" t="str">
        <f t="shared" si="2455"/>
        <v/>
      </c>
      <c r="FR155" s="108" t="str">
        <f t="shared" si="2456"/>
        <v/>
      </c>
      <c r="FS155" s="108" t="str">
        <f t="shared" si="2457"/>
        <v/>
      </c>
    </row>
    <row r="156" spans="1:175" ht="16.5">
      <c r="A156" s="9"/>
      <c r="B156" s="9" t="s">
        <v>586</v>
      </c>
      <c r="C156" s="9" t="s">
        <v>587</v>
      </c>
      <c r="T156" s="104" t="s">
        <v>588</v>
      </c>
      <c r="U156" s="77" t="str">
        <f t="shared" si="2360"/>
        <v>ReplaceableTextures\\CommandButtons\\BTNIP01.blp</v>
      </c>
      <c r="CN156" s="36" t="str">
        <f t="shared" ref="CN156:CN164" si="2458">"InitUnitState('"&amp;B156&amp;"',"&amp;V156&amp;","&amp;W156&amp;","&amp;X156&amp;","&amp;Y156&amp;","&amp;Z156&amp;","&amp;AA156&amp;","&amp;AB156&amp;","&amp;AC156&amp;","&amp;AD156&amp;","&amp;AE156&amp;")"</f>
        <v>InitUnitState('IP01',,,,,,,,,,)</v>
      </c>
      <c r="CO156" s="36" t="str">
        <f t="shared" ref="CO156:CO164" si="2459">"InitUnitNormal('"&amp;B156&amp;"',"&amp;AF156&amp;","&amp;AG156&amp;","&amp;AH156&amp;","&amp;AI156&amp;","&amp;AJ156&amp;","&amp;AK156&amp;","&amp;AL156&amp;","&amp;AM156&amp;","&amp;AN156&amp;","&amp;AO156&amp;")"</f>
        <v>InitUnitNormal('IP01',,,,,,,,,,)</v>
      </c>
      <c r="CP156" s="36" t="str">
        <f t="shared" ref="CP156:CP164" si="2460">"InitUnitMagic('"&amp;B156&amp;"',"&amp;AP156&amp;","&amp;AQ156&amp;","&amp;AR156&amp;","&amp;AS156&amp;","&amp;AT156&amp;","&amp;AU156&amp;","&amp;AV156&amp;","&amp;AW156&amp;","&amp;BI156&amp;","&amp;BJ156&amp;")"</f>
        <v>InitUnitMagic('IP01',,,,,,,,,,)</v>
      </c>
      <c r="CQ156" s="36" t="str">
        <f t="shared" ref="CQ156:CQ164" si="2461">"InitUnitAdd('"&amp;B156&amp;"',"&amp;BK156&amp;","&amp;BL156&amp;","&amp;BM156&amp;","&amp;BN156&amp;","&amp;BO156&amp;","&amp;BP156&amp;","&amp;BQ156&amp;","&amp;BR156&amp;","&amp;BS156&amp;","&amp;BT156&amp;")"</f>
        <v>InitUnitAdd('IP01',,,,,,,,,,)</v>
      </c>
      <c r="CR156" s="36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157&amp;CR$1&amp;")"</f>
        <v>InitEquipData('IP01',,"",,,,,'','','','','','',"ReplaceableTextures\\CommandButtons\\BTNIP02.blp")</v>
      </c>
      <c r="CU156" s="88" t="str">
        <f t="shared" ref="CU156" si="246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19" t="str">
        <f t="shared" ref="CV156" si="2463">T156</f>
        <v>每次|Cffffd24d完成|r时渊副本将消耗|Cffffd24d1|r个|Cffffd24d时渊入场券|r</v>
      </c>
      <c r="CW156" s="33"/>
      <c r="CX156" s="33"/>
      <c r="CY156" s="33"/>
      <c r="CZ156" s="33"/>
      <c r="DA156" s="33"/>
      <c r="DB156" s="66" t="str">
        <f t="shared" ref="DB156" si="2464">IF(V156="","","|n"&amp;DB$2&amp;"+"&amp;V156&amp;DB$1)</f>
        <v/>
      </c>
      <c r="DC156" s="66" t="str">
        <f t="shared" ref="DC156" si="2465">IF(W156="","","|n"&amp;DC$2&amp;"+"&amp;W156&amp;DC$1)</f>
        <v/>
      </c>
      <c r="DD156" s="66" t="str">
        <f t="shared" ref="DD156" si="2466">IF(X156="","","|n"&amp;DD$2&amp;"+"&amp;X156&amp;DD$1)</f>
        <v/>
      </c>
      <c r="DE156" s="66" t="str">
        <f t="shared" ref="DE156" si="2467">IF(Y156="","","|n"&amp;DE$2&amp;"+"&amp;Y156&amp;DE$1)</f>
        <v/>
      </c>
      <c r="DF156" s="66" t="str">
        <f t="shared" ref="DF156" si="2468">IF(Z156="","","|n"&amp;DF$2&amp;"+"&amp;Z156&amp;DF$1)</f>
        <v/>
      </c>
      <c r="DG156" s="66" t="str">
        <f t="shared" ref="DG156" si="2469">IF(AA156="","","|n"&amp;DG$2&amp;"+"&amp;AA156&amp;DG$1)</f>
        <v/>
      </c>
      <c r="DH156" s="66" t="str">
        <f t="shared" ref="DH156" si="2470">IF(AB156="","","|n"&amp;DH$2&amp;"+"&amp;AB156&amp;DH$1)</f>
        <v/>
      </c>
      <c r="DI156" s="66" t="str">
        <f t="shared" ref="DI156" si="2471">IF(AC156="","","|n"&amp;DI$2&amp;"+"&amp;AC156&amp;DI$1)</f>
        <v/>
      </c>
      <c r="DJ156" s="66" t="str">
        <f t="shared" ref="DJ156" si="2472">IF(AD156="","","|n"&amp;DJ$2&amp;"+"&amp;AD156&amp;DJ$1)</f>
        <v/>
      </c>
      <c r="DK156" s="66" t="str">
        <f t="shared" ref="DK156" si="2473">IF(AE156="","","|n"&amp;DK$2&amp;"+"&amp;AE156&amp;DK$1)</f>
        <v/>
      </c>
      <c r="DL156" s="66" t="str">
        <f t="shared" ref="DL156" si="2474">IF(AF156="","","|n"&amp;DL$2&amp;"+"&amp;AF156&amp;DL$1)</f>
        <v/>
      </c>
      <c r="DM156" s="66" t="str">
        <f t="shared" ref="DM156" si="2475">IF(AG156="","","|n"&amp;DM$2&amp;"+"&amp;AG156&amp;DM$1)</f>
        <v/>
      </c>
      <c r="DN156" s="66" t="str">
        <f t="shared" ref="DN156" si="2476">IF(AH156="","","|n"&amp;DN$2&amp;"+"&amp;AH156&amp;DN$1)</f>
        <v/>
      </c>
      <c r="DO156" s="66" t="str">
        <f t="shared" ref="DO156" si="2477">IF(AI156="","","|n"&amp;DO$2&amp;"+"&amp;AI156&amp;DO$1)</f>
        <v/>
      </c>
      <c r="DP156" s="66" t="str">
        <f t="shared" ref="DP156" si="2478">IF(AJ156="","","|n"&amp;DP$2&amp;"+"&amp;AJ156&amp;DP$1)</f>
        <v/>
      </c>
      <c r="DQ156" s="66" t="str">
        <f t="shared" ref="DQ156" si="2479">IF(AK156="","","|n"&amp;DQ$2&amp;"+"&amp;AK156&amp;DQ$1)</f>
        <v/>
      </c>
      <c r="DR156" s="66" t="str">
        <f t="shared" ref="DR156" si="2480">IF(AL156="","","|n"&amp;DR$2&amp;"+"&amp;AL156&amp;DR$1)</f>
        <v/>
      </c>
      <c r="DS156" s="66" t="str">
        <f t="shared" ref="DS156" si="2481">IF(AM156="","","|n"&amp;DS$2&amp;"+"&amp;AM156&amp;DS$1)</f>
        <v/>
      </c>
      <c r="DT156" s="66" t="str">
        <f t="shared" ref="DT156" si="2482">IF(AN156="","","|n"&amp;DT$2&amp;"+"&amp;AN156&amp;DT$1)</f>
        <v/>
      </c>
      <c r="DU156" s="66" t="str">
        <f t="shared" ref="DU156" si="2483">IF(AO156="","","|n"&amp;DU$2&amp;"+"&amp;AO156&amp;DU$1)</f>
        <v/>
      </c>
      <c r="DV156" s="66" t="str">
        <f t="shared" ref="DV156" si="2484">IF(AP156="","","|n"&amp;DV$2&amp;"+"&amp;AP156&amp;DV$1)</f>
        <v/>
      </c>
      <c r="DW156" s="66" t="str">
        <f t="shared" ref="DW156" si="2485">IF(AQ156="","","|n"&amp;DW$2&amp;"+"&amp;AQ156&amp;DW$1)</f>
        <v/>
      </c>
      <c r="DX156" s="66" t="str">
        <f t="shared" ref="DX156" si="2486">IF(AR156="","","|n"&amp;DX$2&amp;"+"&amp;AR156&amp;DX$1)</f>
        <v/>
      </c>
      <c r="DY156" s="66" t="str">
        <f t="shared" ref="DY156" si="2487">IF(AS156="","","|n"&amp;DY$2&amp;"+"&amp;AS156&amp;DY$1)</f>
        <v/>
      </c>
      <c r="DZ156" s="66" t="str">
        <f t="shared" ref="DZ156" si="2488">IF(AT156="","","|n"&amp;DZ$2&amp;"+"&amp;AT156&amp;DZ$1)</f>
        <v/>
      </c>
      <c r="EA156" s="66" t="str">
        <f t="shared" ref="EA156" si="2489">IF(AU156="","","|n"&amp;EA$2&amp;"+"&amp;AU156&amp;EA$1)</f>
        <v/>
      </c>
      <c r="EB156" s="66" t="str">
        <f t="shared" ref="EB156" si="2490">IF(AV156="","","|n"&amp;EB$2&amp;"+"&amp;AV156&amp;EB$1)</f>
        <v/>
      </c>
      <c r="EC156" s="66" t="str">
        <f t="shared" ref="EC156" si="2491">IF(AW156="","","|n"&amp;EC$2&amp;"+"&amp;AW156&amp;EC$1)</f>
        <v/>
      </c>
      <c r="ED156" s="66" t="str">
        <f t="shared" ref="ED156" si="2492">IF(AX156="","","|n"&amp;ED$2&amp;"+"&amp;AX156&amp;ED$1)</f>
        <v/>
      </c>
      <c r="EE156" s="66" t="str">
        <f t="shared" ref="EE156" si="2493">IF(AY156="","","|n"&amp;EE$2&amp;"+"&amp;AY156&amp;EE$1)</f>
        <v/>
      </c>
      <c r="EF156" s="66" t="str">
        <f t="shared" ref="EF156" si="2494">IF(AZ156="","","|n"&amp;EF$2&amp;"+"&amp;AZ156&amp;EF$1)</f>
        <v/>
      </c>
      <c r="EG156" s="66" t="str">
        <f t="shared" ref="EG156" si="2495">IF(BA156="","","|n"&amp;EG$2&amp;"+"&amp;BA156&amp;EG$1)</f>
        <v/>
      </c>
      <c r="EH156" s="66" t="str">
        <f t="shared" ref="EH156" si="2496">IF(BB156="","","|n"&amp;EH$2&amp;"+"&amp;BB156&amp;EH$1)</f>
        <v/>
      </c>
      <c r="EI156" s="66" t="str">
        <f t="shared" ref="EI156" si="2497">IF(BC156="","","|n"&amp;EI$2&amp;"+"&amp;BC156&amp;EI$1)</f>
        <v/>
      </c>
      <c r="EJ156" s="66" t="str">
        <f t="shared" ref="EJ156" si="2498">IF(BD156="","","|n"&amp;EJ$2&amp;"+"&amp;BD156&amp;EJ$1)</f>
        <v/>
      </c>
      <c r="EK156" s="66" t="str">
        <f t="shared" ref="EK156" si="2499">IF(BE156="","","|n"&amp;EK$2&amp;"+"&amp;BE156&amp;EK$1)</f>
        <v/>
      </c>
      <c r="EL156" s="66" t="str">
        <f t="shared" ref="EL156" si="2500">IF(BF156="","","|n"&amp;EL$2&amp;"+"&amp;BF156&amp;EL$1)</f>
        <v/>
      </c>
      <c r="EM156" s="66" t="str">
        <f t="shared" ref="EM156" si="2501">IF(BG156="","","|n"&amp;EM$2&amp;"+"&amp;BG156&amp;EM$1)</f>
        <v/>
      </c>
      <c r="EN156" s="66" t="str">
        <f t="shared" ref="EN156" si="2502">IF(BH156="","","|n"&amp;EN$2&amp;"+"&amp;BH156&amp;EN$1)</f>
        <v/>
      </c>
      <c r="EO156" s="66" t="str">
        <f t="shared" ref="EO156" si="2503">IF(BI156="","","|n"&amp;EO$2&amp;"+"&amp;BI156&amp;EO$1)</f>
        <v/>
      </c>
      <c r="EP156" s="66" t="str">
        <f t="shared" ref="EP156" si="2504">IF(BJ156="","","|n"&amp;EP$2&amp;"+"&amp;BJ156&amp;EP$1)</f>
        <v/>
      </c>
      <c r="EQ156" s="66" t="str">
        <f t="shared" ref="EQ156" si="2505">IF(BK156="","","|n"&amp;EQ$2&amp;"+"&amp;BK156&amp;EQ$1)</f>
        <v/>
      </c>
      <c r="ER156" s="66" t="str">
        <f t="shared" ref="ER156" si="2506">IF(BL156="","","|n"&amp;ER$2&amp;"+"&amp;BL156&amp;ER$1)</f>
        <v/>
      </c>
      <c r="ES156" s="66" t="str">
        <f t="shared" ref="ES156" si="2507">IF(BM156="","","|n"&amp;ES$2&amp;"+"&amp;BM156&amp;ES$1)</f>
        <v/>
      </c>
      <c r="ET156" s="66" t="str">
        <f t="shared" ref="ET156" si="2508">IF(BN156="","","|n"&amp;ET$2&amp;"+"&amp;BN156&amp;ET$1)</f>
        <v/>
      </c>
      <c r="EU156" s="66" t="str">
        <f t="shared" ref="EU156" si="2509">IF(BO156="","","|n"&amp;EU$2&amp;"+"&amp;BO156&amp;EU$1)</f>
        <v/>
      </c>
      <c r="EV156" s="66" t="str">
        <f t="shared" ref="EV156" si="2510">IF(BP156="","","|n"&amp;EV$2&amp;"+"&amp;BP156&amp;EV$1)</f>
        <v/>
      </c>
      <c r="EW156" s="66" t="str">
        <f t="shared" ref="EW156" si="2511">IF(BQ156="","","|n"&amp;EW$2&amp;"+"&amp;BQ156&amp;EW$1)</f>
        <v/>
      </c>
      <c r="EX156" s="66" t="str">
        <f t="shared" ref="EX156" si="2512">IF(BR156="","","|n"&amp;EX$2&amp;"+"&amp;BR156&amp;EX$1)</f>
        <v/>
      </c>
      <c r="EY156" s="66" t="str">
        <f t="shared" ref="EY156" si="2513">IF(BS156="","","|n"&amp;EY$2&amp;"+"&amp;BS156&amp;EY$1)</f>
        <v/>
      </c>
      <c r="EZ156" s="66" t="str">
        <f t="shared" ref="EZ156" si="2514">IF(BT156="","","|n"&amp;EZ$2&amp;"+"&amp;BT156&amp;EZ$1)</f>
        <v/>
      </c>
      <c r="FA156" s="66" t="str">
        <f t="shared" ref="FA156" si="2515">IF(BU156="","","|n"&amp;FA$2&amp;"+"&amp;BU156&amp;FA$1)</f>
        <v/>
      </c>
      <c r="FB156" s="66" t="str">
        <f t="shared" ref="FB156" si="2516">IF(BV156="","","|n"&amp;FB$2&amp;"+"&amp;BV156&amp;FB$1)</f>
        <v/>
      </c>
      <c r="FC156" s="66" t="str">
        <f t="shared" ref="FC156" si="2517">IF(BW156="","","|n"&amp;FC$2&amp;"+"&amp;BW156&amp;FC$1)</f>
        <v/>
      </c>
      <c r="FD156" s="66" t="str">
        <f t="shared" ref="FD156" si="2518">IF(BX156="","","|n"&amp;FD$2&amp;"+"&amp;BX156&amp;FD$1)</f>
        <v/>
      </c>
      <c r="FE156" s="66" t="str">
        <f t="shared" ref="FE156" si="2519">IF(BY156="","","|n"&amp;FE$2&amp;"+"&amp;BY156&amp;FE$1)</f>
        <v/>
      </c>
      <c r="FF156" s="66" t="str">
        <f t="shared" ref="FF156" si="2520">IF(BZ156="","","|n"&amp;FF$2&amp;"+"&amp;BZ156&amp;FF$1)</f>
        <v/>
      </c>
      <c r="FG156" s="66" t="str">
        <f t="shared" ref="FG156" si="2521">IF(CA156="","","|n"&amp;FG$2&amp;"+"&amp;CA156&amp;FG$1)</f>
        <v/>
      </c>
      <c r="FH156" s="66" t="str">
        <f t="shared" ref="FH156" si="2522">IF(CB156="","","|n"&amp;FH$2&amp;"+"&amp;CB156&amp;FH$1)</f>
        <v/>
      </c>
      <c r="FI156" s="66" t="str">
        <f t="shared" ref="FI156" si="2523">IF(CC156="","","|n"&amp;FI$2&amp;"+"&amp;CC156&amp;FI$1)</f>
        <v/>
      </c>
      <c r="FJ156" s="66" t="str">
        <f t="shared" ref="FJ156" si="2524">IF(CD156="","","|n"&amp;FJ$2&amp;"+"&amp;CD156&amp;FJ$1)</f>
        <v/>
      </c>
      <c r="FK156" s="66" t="str">
        <f t="shared" ref="FK156" si="2525">IF(CE156="","","|n"&amp;FK$2&amp;"+"&amp;CE156&amp;FK$1)</f>
        <v/>
      </c>
      <c r="FL156" s="66" t="str">
        <f t="shared" ref="FL156" si="2526">IF(CF156="","","|n"&amp;FL$2&amp;"+"&amp;CF156&amp;FL$1)</f>
        <v/>
      </c>
      <c r="FM156" s="66" t="str">
        <f t="shared" ref="FM156" si="2527">IF(CG156="","","|n"&amp;FM$2&amp;"+"&amp;CG156&amp;FM$1)</f>
        <v/>
      </c>
      <c r="FN156" s="66" t="str">
        <f t="shared" ref="FN156" si="2528">IF(CH156="","","|n"&amp;FN$2&amp;"+"&amp;CH156&amp;FN$1)</f>
        <v/>
      </c>
      <c r="FO156" s="66" t="str">
        <f t="shared" ref="FO156" si="2529">IF(CI156="","","|n"&amp;FO$2&amp;"+"&amp;CI156&amp;FO$1)</f>
        <v/>
      </c>
      <c r="FP156" s="66" t="str">
        <f t="shared" ref="FP156" si="2530">IF(CJ156="","","|n"&amp;FP$2&amp;"+"&amp;CJ156&amp;FP$1)</f>
        <v/>
      </c>
      <c r="FQ156" s="66" t="str">
        <f t="shared" ref="FQ156" si="2531">IF(CK156="","","|n"&amp;FQ$2&amp;"+"&amp;CK156&amp;FQ$1)</f>
        <v/>
      </c>
      <c r="FR156" s="66" t="str">
        <f t="shared" ref="FR156" si="2532">IF(CL156="","","|n"&amp;FR$2&amp;"+"&amp;CL156&amp;FR$1)</f>
        <v/>
      </c>
      <c r="FS156" s="66" t="str">
        <f t="shared" ref="FS156" si="2533">IF(CM156="","","|n"&amp;FS$2&amp;"+"&amp;CM156&amp;FS$1)</f>
        <v/>
      </c>
    </row>
    <row r="157" spans="1:175" ht="16.5">
      <c r="A157" s="15"/>
      <c r="B157" s="9" t="s">
        <v>589</v>
      </c>
      <c r="C157" s="15" t="s">
        <v>590</v>
      </c>
      <c r="T157" s="16" t="s">
        <v>591</v>
      </c>
      <c r="U157" s="77" t="str">
        <f t="shared" si="2360"/>
        <v>ReplaceableTextures\\CommandButtons\\BTNIP02.blp</v>
      </c>
      <c r="CN157" s="36" t="str">
        <f t="shared" si="2458"/>
        <v>InitUnitState('IP02',,,,,,,,,,)</v>
      </c>
      <c r="CO157" s="36" t="str">
        <f t="shared" si="2459"/>
        <v>InitUnitNormal('IP02',,,,,,,,,,)</v>
      </c>
      <c r="CP157" s="36" t="str">
        <f t="shared" si="2460"/>
        <v>InitUnitMagic('IP02',,,,,,,,,,)</v>
      </c>
      <c r="CQ157" s="36" t="str">
        <f t="shared" si="2461"/>
        <v>InitUnitAdd('IP02',,,,,,,,,,)</v>
      </c>
      <c r="CR157" s="36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158&amp;CR$1&amp;")"</f>
        <v>InitEquipData('IP02',,"",,,,,'','','','','','',"ReplaceableTextures\\CommandButtons\\BTNIP03.blp")</v>
      </c>
      <c r="CU157" s="88" t="str">
        <f t="shared" ref="CU157:CU158" si="2534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19" t="str">
        <f t="shared" ref="CV157:CV158" si="2535">T157</f>
        <v>点击|Cffffc926选中指定法宝|r后，再点击|Cffffc926重铸|r，可|Cffffc926重置|r指定法宝，|Cffffc926品质不变|r。|n|n|Cff00ff7f每次重铸消耗1个补天石|r</v>
      </c>
      <c r="CW157" s="33"/>
      <c r="CX157" s="33"/>
      <c r="CY157" s="33"/>
      <c r="CZ157" s="33"/>
      <c r="DA157" s="33"/>
      <c r="DB157" s="66" t="str">
        <f t="shared" ref="DB157:DB158" si="2536">IF(V157="","","|n"&amp;DB$2&amp;"+"&amp;V157&amp;DB$1)</f>
        <v/>
      </c>
      <c r="DC157" s="66" t="str">
        <f t="shared" ref="DC157:DC158" si="2537">IF(W157="","","|n"&amp;DC$2&amp;"+"&amp;W157&amp;DC$1)</f>
        <v/>
      </c>
      <c r="DD157" s="66" t="str">
        <f t="shared" ref="DD157:DD158" si="2538">IF(X157="","","|n"&amp;DD$2&amp;"+"&amp;X157&amp;DD$1)</f>
        <v/>
      </c>
      <c r="DE157" s="66" t="str">
        <f t="shared" ref="DE157:DE158" si="2539">IF(Y157="","","|n"&amp;DE$2&amp;"+"&amp;Y157&amp;DE$1)</f>
        <v/>
      </c>
      <c r="DF157" s="66" t="str">
        <f t="shared" ref="DF157:DF158" si="2540">IF(Z157="","","|n"&amp;DF$2&amp;"+"&amp;Z157&amp;DF$1)</f>
        <v/>
      </c>
      <c r="DG157" s="66" t="str">
        <f t="shared" ref="DG157:DG158" si="2541">IF(AA157="","","|n"&amp;DG$2&amp;"+"&amp;AA157&amp;DG$1)</f>
        <v/>
      </c>
      <c r="DH157" s="66" t="str">
        <f t="shared" ref="DH157:DH158" si="2542">IF(AB157="","","|n"&amp;DH$2&amp;"+"&amp;AB157&amp;DH$1)</f>
        <v/>
      </c>
      <c r="DI157" s="66" t="str">
        <f t="shared" ref="DI157:DI158" si="2543">IF(AC157="","","|n"&amp;DI$2&amp;"+"&amp;AC157&amp;DI$1)</f>
        <v/>
      </c>
      <c r="DJ157" s="66" t="str">
        <f t="shared" ref="DJ157:DJ158" si="2544">IF(AD157="","","|n"&amp;DJ$2&amp;"+"&amp;AD157&amp;DJ$1)</f>
        <v/>
      </c>
      <c r="DK157" s="66" t="str">
        <f t="shared" ref="DK157:DK158" si="2545">IF(AE157="","","|n"&amp;DK$2&amp;"+"&amp;AE157&amp;DK$1)</f>
        <v/>
      </c>
      <c r="DL157" s="66" t="str">
        <f t="shared" ref="DL157:DL158" si="2546">IF(AF157="","","|n"&amp;DL$2&amp;"+"&amp;AF157&amp;DL$1)</f>
        <v/>
      </c>
      <c r="DM157" s="66" t="str">
        <f t="shared" ref="DM157:DM158" si="2547">IF(AG157="","","|n"&amp;DM$2&amp;"+"&amp;AG157&amp;DM$1)</f>
        <v/>
      </c>
      <c r="DN157" s="66" t="str">
        <f t="shared" ref="DN157:DN158" si="2548">IF(AH157="","","|n"&amp;DN$2&amp;"+"&amp;AH157&amp;DN$1)</f>
        <v/>
      </c>
      <c r="DO157" s="66" t="str">
        <f t="shared" ref="DO157:DO158" si="2549">IF(AI157="","","|n"&amp;DO$2&amp;"+"&amp;AI157&amp;DO$1)</f>
        <v/>
      </c>
      <c r="DP157" s="66" t="str">
        <f t="shared" ref="DP157:DP158" si="2550">IF(AJ157="","","|n"&amp;DP$2&amp;"+"&amp;AJ157&amp;DP$1)</f>
        <v/>
      </c>
      <c r="DQ157" s="66" t="str">
        <f t="shared" ref="DQ157:DQ158" si="2551">IF(AK157="","","|n"&amp;DQ$2&amp;"+"&amp;AK157&amp;DQ$1)</f>
        <v/>
      </c>
      <c r="DR157" s="66" t="str">
        <f t="shared" ref="DR157:DR158" si="2552">IF(AL157="","","|n"&amp;DR$2&amp;"+"&amp;AL157&amp;DR$1)</f>
        <v/>
      </c>
      <c r="DS157" s="66" t="str">
        <f t="shared" ref="DS157:DS158" si="2553">IF(AM157="","","|n"&amp;DS$2&amp;"+"&amp;AM157&amp;DS$1)</f>
        <v/>
      </c>
      <c r="DT157" s="66" t="str">
        <f t="shared" ref="DT157:DT158" si="2554">IF(AN157="","","|n"&amp;DT$2&amp;"+"&amp;AN157&amp;DT$1)</f>
        <v/>
      </c>
      <c r="DU157" s="66" t="str">
        <f t="shared" ref="DU157:DU158" si="2555">IF(AO157="","","|n"&amp;DU$2&amp;"+"&amp;AO157&amp;DU$1)</f>
        <v/>
      </c>
      <c r="DV157" s="66" t="str">
        <f t="shared" ref="DV157:DV158" si="2556">IF(AP157="","","|n"&amp;DV$2&amp;"+"&amp;AP157&amp;DV$1)</f>
        <v/>
      </c>
      <c r="DW157" s="66" t="str">
        <f t="shared" ref="DW157:DW158" si="2557">IF(AQ157="","","|n"&amp;DW$2&amp;"+"&amp;AQ157&amp;DW$1)</f>
        <v/>
      </c>
      <c r="DX157" s="66" t="str">
        <f t="shared" ref="DX157:DX158" si="2558">IF(AR157="","","|n"&amp;DX$2&amp;"+"&amp;AR157&amp;DX$1)</f>
        <v/>
      </c>
      <c r="DY157" s="66" t="str">
        <f t="shared" ref="DY157:DY158" si="2559">IF(AS157="","","|n"&amp;DY$2&amp;"+"&amp;AS157&amp;DY$1)</f>
        <v/>
      </c>
      <c r="DZ157" s="66" t="str">
        <f t="shared" ref="DZ157:DZ158" si="2560">IF(AT157="","","|n"&amp;DZ$2&amp;"+"&amp;AT157&amp;DZ$1)</f>
        <v/>
      </c>
      <c r="EA157" s="66" t="str">
        <f t="shared" ref="EA157:EA158" si="2561">IF(AU157="","","|n"&amp;EA$2&amp;"+"&amp;AU157&amp;EA$1)</f>
        <v/>
      </c>
      <c r="EB157" s="66" t="str">
        <f t="shared" ref="EB157:EB158" si="2562">IF(AV157="","","|n"&amp;EB$2&amp;"+"&amp;AV157&amp;EB$1)</f>
        <v/>
      </c>
      <c r="EC157" s="66" t="str">
        <f t="shared" ref="EC157:EC158" si="2563">IF(AW157="","","|n"&amp;EC$2&amp;"+"&amp;AW157&amp;EC$1)</f>
        <v/>
      </c>
      <c r="ED157" s="66" t="str">
        <f t="shared" ref="ED157:ED158" si="2564">IF(AX157="","","|n"&amp;ED$2&amp;"+"&amp;AX157&amp;ED$1)</f>
        <v/>
      </c>
      <c r="EE157" s="66" t="str">
        <f t="shared" ref="EE157:EE158" si="2565">IF(AY157="","","|n"&amp;EE$2&amp;"+"&amp;AY157&amp;EE$1)</f>
        <v/>
      </c>
      <c r="EF157" s="66" t="str">
        <f t="shared" ref="EF157:EF158" si="2566">IF(AZ157="","","|n"&amp;EF$2&amp;"+"&amp;AZ157&amp;EF$1)</f>
        <v/>
      </c>
      <c r="EG157" s="66" t="str">
        <f t="shared" ref="EG157:EG158" si="2567">IF(BA157="","","|n"&amp;EG$2&amp;"+"&amp;BA157&amp;EG$1)</f>
        <v/>
      </c>
      <c r="EH157" s="66" t="str">
        <f t="shared" ref="EH157:EH158" si="2568">IF(BB157="","","|n"&amp;EH$2&amp;"+"&amp;BB157&amp;EH$1)</f>
        <v/>
      </c>
      <c r="EI157" s="66" t="str">
        <f t="shared" ref="EI157:EI158" si="2569">IF(BC157="","","|n"&amp;EI$2&amp;"+"&amp;BC157&amp;EI$1)</f>
        <v/>
      </c>
      <c r="EJ157" s="66" t="str">
        <f t="shared" ref="EJ157:EJ158" si="2570">IF(BD157="","","|n"&amp;EJ$2&amp;"+"&amp;BD157&amp;EJ$1)</f>
        <v/>
      </c>
      <c r="EK157" s="66" t="str">
        <f t="shared" ref="EK157:EK158" si="2571">IF(BE157="","","|n"&amp;EK$2&amp;"+"&amp;BE157&amp;EK$1)</f>
        <v/>
      </c>
      <c r="EL157" s="66" t="str">
        <f t="shared" ref="EL157:EL158" si="2572">IF(BF157="","","|n"&amp;EL$2&amp;"+"&amp;BF157&amp;EL$1)</f>
        <v/>
      </c>
      <c r="EM157" s="66" t="str">
        <f t="shared" ref="EM157:EM158" si="2573">IF(BG157="","","|n"&amp;EM$2&amp;"+"&amp;BG157&amp;EM$1)</f>
        <v/>
      </c>
      <c r="EN157" s="66" t="str">
        <f t="shared" ref="EN157:EN158" si="2574">IF(BH157="","","|n"&amp;EN$2&amp;"+"&amp;BH157&amp;EN$1)</f>
        <v/>
      </c>
      <c r="EO157" s="66" t="str">
        <f t="shared" ref="EO157:EO158" si="2575">IF(BI157="","","|n"&amp;EO$2&amp;"+"&amp;BI157&amp;EO$1)</f>
        <v/>
      </c>
      <c r="EP157" s="66" t="str">
        <f t="shared" ref="EP157:EP158" si="2576">IF(BJ157="","","|n"&amp;EP$2&amp;"+"&amp;BJ157&amp;EP$1)</f>
        <v/>
      </c>
      <c r="EQ157" s="66" t="str">
        <f t="shared" ref="EQ157:EQ158" si="2577">IF(BK157="","","|n"&amp;EQ$2&amp;"+"&amp;BK157&amp;EQ$1)</f>
        <v/>
      </c>
      <c r="ER157" s="66" t="str">
        <f t="shared" ref="ER157:ER158" si="2578">IF(BL157="","","|n"&amp;ER$2&amp;"+"&amp;BL157&amp;ER$1)</f>
        <v/>
      </c>
      <c r="ES157" s="66" t="str">
        <f t="shared" ref="ES157:ES158" si="2579">IF(BM157="","","|n"&amp;ES$2&amp;"+"&amp;BM157&amp;ES$1)</f>
        <v/>
      </c>
      <c r="ET157" s="66" t="str">
        <f t="shared" ref="ET157:ET158" si="2580">IF(BN157="","","|n"&amp;ET$2&amp;"+"&amp;BN157&amp;ET$1)</f>
        <v/>
      </c>
      <c r="EU157" s="66" t="str">
        <f t="shared" ref="EU157:EU158" si="2581">IF(BO157="","","|n"&amp;EU$2&amp;"+"&amp;BO157&amp;EU$1)</f>
        <v/>
      </c>
      <c r="EV157" s="66" t="str">
        <f t="shared" ref="EV157:EV158" si="2582">IF(BP157="","","|n"&amp;EV$2&amp;"+"&amp;BP157&amp;EV$1)</f>
        <v/>
      </c>
      <c r="EW157" s="66" t="str">
        <f t="shared" ref="EW157:EW158" si="2583">IF(BQ157="","","|n"&amp;EW$2&amp;"+"&amp;BQ157&amp;EW$1)</f>
        <v/>
      </c>
      <c r="EX157" s="66" t="str">
        <f t="shared" ref="EX157:EX158" si="2584">IF(BR157="","","|n"&amp;EX$2&amp;"+"&amp;BR157&amp;EX$1)</f>
        <v/>
      </c>
      <c r="EY157" s="66" t="str">
        <f t="shared" ref="EY157:EY158" si="2585">IF(BS157="","","|n"&amp;EY$2&amp;"+"&amp;BS157&amp;EY$1)</f>
        <v/>
      </c>
      <c r="EZ157" s="66" t="str">
        <f t="shared" ref="EZ157:EZ158" si="2586">IF(BT157="","","|n"&amp;EZ$2&amp;"+"&amp;BT157&amp;EZ$1)</f>
        <v/>
      </c>
      <c r="FA157" s="66" t="str">
        <f t="shared" ref="FA157:FA158" si="2587">IF(BU157="","","|n"&amp;FA$2&amp;"+"&amp;BU157&amp;FA$1)</f>
        <v/>
      </c>
      <c r="FB157" s="66" t="str">
        <f t="shared" ref="FB157:FB158" si="2588">IF(BV157="","","|n"&amp;FB$2&amp;"+"&amp;BV157&amp;FB$1)</f>
        <v/>
      </c>
      <c r="FC157" s="66" t="str">
        <f t="shared" ref="FC157:FC158" si="2589">IF(BW157="","","|n"&amp;FC$2&amp;"+"&amp;BW157&amp;FC$1)</f>
        <v/>
      </c>
      <c r="FD157" s="66" t="str">
        <f t="shared" ref="FD157:FD158" si="2590">IF(BX157="","","|n"&amp;FD$2&amp;"+"&amp;BX157&amp;FD$1)</f>
        <v/>
      </c>
      <c r="FE157" s="66" t="str">
        <f t="shared" ref="FE157:FE158" si="2591">IF(BY157="","","|n"&amp;FE$2&amp;"+"&amp;BY157&amp;FE$1)</f>
        <v/>
      </c>
      <c r="FF157" s="66" t="str">
        <f t="shared" ref="FF157:FF158" si="2592">IF(BZ157="","","|n"&amp;FF$2&amp;"+"&amp;BZ157&amp;FF$1)</f>
        <v/>
      </c>
      <c r="FG157" s="66" t="str">
        <f t="shared" ref="FG157:FG158" si="2593">IF(CA157="","","|n"&amp;FG$2&amp;"+"&amp;CA157&amp;FG$1)</f>
        <v/>
      </c>
      <c r="FH157" s="66" t="str">
        <f t="shared" ref="FH157:FH158" si="2594">IF(CB157="","","|n"&amp;FH$2&amp;"+"&amp;CB157&amp;FH$1)</f>
        <v/>
      </c>
      <c r="FI157" s="66" t="str">
        <f t="shared" ref="FI157:FI158" si="2595">IF(CC157="","","|n"&amp;FI$2&amp;"+"&amp;CC157&amp;FI$1)</f>
        <v/>
      </c>
      <c r="FJ157" s="66" t="str">
        <f t="shared" ref="FJ157:FJ158" si="2596">IF(CD157="","","|n"&amp;FJ$2&amp;"+"&amp;CD157&amp;FJ$1)</f>
        <v/>
      </c>
      <c r="FK157" s="66" t="str">
        <f t="shared" ref="FK157:FK158" si="2597">IF(CE157="","","|n"&amp;FK$2&amp;"+"&amp;CE157&amp;FK$1)</f>
        <v/>
      </c>
      <c r="FL157" s="66" t="str">
        <f t="shared" ref="FL157:FL158" si="2598">IF(CF157="","","|n"&amp;FL$2&amp;"+"&amp;CF157&amp;FL$1)</f>
        <v/>
      </c>
      <c r="FM157" s="66" t="str">
        <f t="shared" ref="FM157:FM158" si="2599">IF(CG157="","","|n"&amp;FM$2&amp;"+"&amp;CG157&amp;FM$1)</f>
        <v/>
      </c>
      <c r="FN157" s="66" t="str">
        <f t="shared" ref="FN157:FN158" si="2600">IF(CH157="","","|n"&amp;FN$2&amp;"+"&amp;CH157&amp;FN$1)</f>
        <v/>
      </c>
      <c r="FO157" s="66" t="str">
        <f t="shared" ref="FO157:FO158" si="2601">IF(CI157="","","|n"&amp;FO$2&amp;"+"&amp;CI157&amp;FO$1)</f>
        <v/>
      </c>
      <c r="FP157" s="66" t="str">
        <f t="shared" ref="FP157:FP158" si="2602">IF(CJ157="","","|n"&amp;FP$2&amp;"+"&amp;CJ157&amp;FP$1)</f>
        <v/>
      </c>
      <c r="FQ157" s="66" t="str">
        <f t="shared" ref="FQ157:FQ158" si="2603">IF(CK157="","","|n"&amp;FQ$2&amp;"+"&amp;CK157&amp;FQ$1)</f>
        <v/>
      </c>
      <c r="FR157" s="66" t="str">
        <f t="shared" ref="FR157:FR158" si="2604">IF(CL157="","","|n"&amp;FR$2&amp;"+"&amp;CL157&amp;FR$1)</f>
        <v/>
      </c>
      <c r="FS157" s="66" t="str">
        <f t="shared" ref="FS157:FS158" si="2605">IF(CM157="","","|n"&amp;FS$2&amp;"+"&amp;CM157&amp;FS$1)</f>
        <v/>
      </c>
    </row>
    <row r="158" spans="1:175" ht="16.5">
      <c r="A158" s="15"/>
      <c r="B158" s="9" t="s">
        <v>592</v>
      </c>
      <c r="C158" s="15" t="s">
        <v>593</v>
      </c>
      <c r="T158" s="16" t="s">
        <v>594</v>
      </c>
      <c r="U158" s="77" t="str">
        <f t="shared" si="2360"/>
        <v>ReplaceableTextures\\CommandButtons\\BTNIP03.blp</v>
      </c>
      <c r="CN158" s="36" t="str">
        <f t="shared" si="2458"/>
        <v>InitUnitState('IP03',,,,,,,,,,)</v>
      </c>
      <c r="CO158" s="36" t="str">
        <f t="shared" si="2459"/>
        <v>InitUnitNormal('IP03',,,,,,,,,,)</v>
      </c>
      <c r="CP158" s="36" t="str">
        <f t="shared" si="2460"/>
        <v>InitUnitMagic('IP03',,,,,,,,,,)</v>
      </c>
      <c r="CQ158" s="36" t="str">
        <f t="shared" si="2461"/>
        <v>InitUnitAdd('IP03',,,,,,,,,,)</v>
      </c>
      <c r="CR158" s="36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InitEquipData('IP03',,"",,,,,'','','','','','',"ReplaceableTextures\\CommandButtons\\BTNIT01.blp")</v>
      </c>
      <c r="CU158" s="88" t="str">
        <f t="shared" si="2534"/>
        <v>|n</v>
      </c>
      <c r="CV158" s="19" t="str">
        <f t="shared" si="2535"/>
        <v>点击|Cffffc926选中指定法宝|r后，再点击|Cffffc926锻造|r，可|Cffffc926重置|r指定法宝，|Cffffc926品质提升一级|r。|n|n|Cff00ff7f每次重铸消耗1个鸿蒙结晶|r</v>
      </c>
      <c r="CW158" s="33"/>
      <c r="CX158" s="33"/>
      <c r="CY158" s="33"/>
      <c r="CZ158" s="33"/>
      <c r="DA158" s="33"/>
      <c r="DB158" s="66" t="str">
        <f t="shared" si="2536"/>
        <v/>
      </c>
      <c r="DC158" s="66" t="str">
        <f t="shared" si="2537"/>
        <v/>
      </c>
      <c r="DD158" s="66" t="str">
        <f t="shared" si="2538"/>
        <v/>
      </c>
      <c r="DE158" s="66" t="str">
        <f t="shared" si="2539"/>
        <v/>
      </c>
      <c r="DF158" s="66" t="str">
        <f t="shared" si="2540"/>
        <v/>
      </c>
      <c r="DG158" s="66" t="str">
        <f t="shared" si="2541"/>
        <v/>
      </c>
      <c r="DH158" s="66" t="str">
        <f t="shared" si="2542"/>
        <v/>
      </c>
      <c r="DI158" s="66" t="str">
        <f t="shared" si="2543"/>
        <v/>
      </c>
      <c r="DJ158" s="66" t="str">
        <f t="shared" si="2544"/>
        <v/>
      </c>
      <c r="DK158" s="66" t="str">
        <f t="shared" si="2545"/>
        <v/>
      </c>
      <c r="DL158" s="66" t="str">
        <f t="shared" si="2546"/>
        <v/>
      </c>
      <c r="DM158" s="66" t="str">
        <f t="shared" si="2547"/>
        <v/>
      </c>
      <c r="DN158" s="66" t="str">
        <f t="shared" si="2548"/>
        <v/>
      </c>
      <c r="DO158" s="66" t="str">
        <f t="shared" si="2549"/>
        <v/>
      </c>
      <c r="DP158" s="66" t="str">
        <f t="shared" si="2550"/>
        <v/>
      </c>
      <c r="DQ158" s="66" t="str">
        <f t="shared" si="2551"/>
        <v/>
      </c>
      <c r="DR158" s="66" t="str">
        <f t="shared" si="2552"/>
        <v/>
      </c>
      <c r="DS158" s="66" t="str">
        <f t="shared" si="2553"/>
        <v/>
      </c>
      <c r="DT158" s="66" t="str">
        <f t="shared" si="2554"/>
        <v/>
      </c>
      <c r="DU158" s="66" t="str">
        <f t="shared" si="2555"/>
        <v/>
      </c>
      <c r="DV158" s="66" t="str">
        <f t="shared" si="2556"/>
        <v/>
      </c>
      <c r="DW158" s="66" t="str">
        <f t="shared" si="2557"/>
        <v/>
      </c>
      <c r="DX158" s="66" t="str">
        <f t="shared" si="2558"/>
        <v/>
      </c>
      <c r="DY158" s="66" t="str">
        <f t="shared" si="2559"/>
        <v/>
      </c>
      <c r="DZ158" s="66" t="str">
        <f t="shared" si="2560"/>
        <v/>
      </c>
      <c r="EA158" s="66" t="str">
        <f t="shared" si="2561"/>
        <v/>
      </c>
      <c r="EB158" s="66" t="str">
        <f t="shared" si="2562"/>
        <v/>
      </c>
      <c r="EC158" s="66" t="str">
        <f t="shared" si="2563"/>
        <v/>
      </c>
      <c r="ED158" s="66" t="str">
        <f t="shared" si="2564"/>
        <v/>
      </c>
      <c r="EE158" s="66" t="str">
        <f t="shared" si="2565"/>
        <v/>
      </c>
      <c r="EF158" s="66" t="str">
        <f t="shared" si="2566"/>
        <v/>
      </c>
      <c r="EG158" s="66" t="str">
        <f t="shared" si="2567"/>
        <v/>
      </c>
      <c r="EH158" s="66" t="str">
        <f t="shared" si="2568"/>
        <v/>
      </c>
      <c r="EI158" s="66" t="str">
        <f t="shared" si="2569"/>
        <v/>
      </c>
      <c r="EJ158" s="66" t="str">
        <f t="shared" si="2570"/>
        <v/>
      </c>
      <c r="EK158" s="66" t="str">
        <f t="shared" si="2571"/>
        <v/>
      </c>
      <c r="EL158" s="66" t="str">
        <f t="shared" si="2572"/>
        <v/>
      </c>
      <c r="EM158" s="66" t="str">
        <f t="shared" si="2573"/>
        <v/>
      </c>
      <c r="EN158" s="66" t="str">
        <f t="shared" si="2574"/>
        <v/>
      </c>
      <c r="EO158" s="66" t="str">
        <f t="shared" si="2575"/>
        <v/>
      </c>
      <c r="EP158" s="66" t="str">
        <f t="shared" si="2576"/>
        <v/>
      </c>
      <c r="EQ158" s="66" t="str">
        <f t="shared" si="2577"/>
        <v/>
      </c>
      <c r="ER158" s="66" t="str">
        <f t="shared" si="2578"/>
        <v/>
      </c>
      <c r="ES158" s="66" t="str">
        <f t="shared" si="2579"/>
        <v/>
      </c>
      <c r="ET158" s="66" t="str">
        <f t="shared" si="2580"/>
        <v/>
      </c>
      <c r="EU158" s="66" t="str">
        <f t="shared" si="2581"/>
        <v/>
      </c>
      <c r="EV158" s="66" t="str">
        <f t="shared" si="2582"/>
        <v/>
      </c>
      <c r="EW158" s="66" t="str">
        <f t="shared" si="2583"/>
        <v/>
      </c>
      <c r="EX158" s="66" t="str">
        <f t="shared" si="2584"/>
        <v/>
      </c>
      <c r="EY158" s="66" t="str">
        <f t="shared" si="2585"/>
        <v/>
      </c>
      <c r="EZ158" s="66" t="str">
        <f t="shared" si="2586"/>
        <v/>
      </c>
      <c r="FA158" s="66" t="str">
        <f t="shared" si="2587"/>
        <v/>
      </c>
      <c r="FB158" s="66" t="str">
        <f t="shared" si="2588"/>
        <v/>
      </c>
      <c r="FC158" s="66" t="str">
        <f t="shared" si="2589"/>
        <v/>
      </c>
      <c r="FD158" s="66" t="str">
        <f t="shared" si="2590"/>
        <v/>
      </c>
      <c r="FE158" s="66" t="str">
        <f t="shared" si="2591"/>
        <v/>
      </c>
      <c r="FF158" s="66" t="str">
        <f t="shared" si="2592"/>
        <v/>
      </c>
      <c r="FG158" s="66" t="str">
        <f t="shared" si="2593"/>
        <v/>
      </c>
      <c r="FH158" s="66" t="str">
        <f t="shared" si="2594"/>
        <v/>
      </c>
      <c r="FI158" s="66" t="str">
        <f t="shared" si="2595"/>
        <v/>
      </c>
      <c r="FJ158" s="66" t="str">
        <f t="shared" si="2596"/>
        <v/>
      </c>
      <c r="FK158" s="66" t="str">
        <f t="shared" si="2597"/>
        <v/>
      </c>
      <c r="FL158" s="66" t="str">
        <f t="shared" si="2598"/>
        <v/>
      </c>
      <c r="FM158" s="66" t="str">
        <f t="shared" si="2599"/>
        <v/>
      </c>
      <c r="FN158" s="66" t="str">
        <f t="shared" si="2600"/>
        <v/>
      </c>
      <c r="FO158" s="66" t="str">
        <f t="shared" si="2601"/>
        <v/>
      </c>
      <c r="FP158" s="66" t="str">
        <f t="shared" si="2602"/>
        <v/>
      </c>
      <c r="FQ158" s="66" t="str">
        <f t="shared" si="2603"/>
        <v/>
      </c>
      <c r="FR158" s="66" t="str">
        <f t="shared" si="2604"/>
        <v/>
      </c>
      <c r="FS158" s="66" t="str">
        <f t="shared" si="2605"/>
        <v/>
      </c>
    </row>
    <row r="159" spans="1:175" ht="16.5">
      <c r="A159" s="15"/>
      <c r="B159" s="9" t="s">
        <v>595</v>
      </c>
      <c r="C159" s="15" t="s">
        <v>596</v>
      </c>
      <c r="T159" s="16" t="s">
        <v>597</v>
      </c>
      <c r="U159" s="77" t="s">
        <v>598</v>
      </c>
      <c r="CN159" s="36" t="str">
        <f t="shared" si="2458"/>
        <v>InitUnitState('IP04',,,,,,,,,,)</v>
      </c>
      <c r="CO159" s="36" t="str">
        <f t="shared" si="2459"/>
        <v>InitUnitNormal('IP04',,,,,,,,,,)</v>
      </c>
      <c r="CP159" s="36" t="str">
        <f t="shared" si="2460"/>
        <v>InitUnitMagic('IP04',,,,,,,,,,)</v>
      </c>
      <c r="CQ159" s="36" t="str">
        <f t="shared" si="2461"/>
        <v>InitUnitAdd('IP04',,,,,,,,,,)</v>
      </c>
      <c r="CR159" s="36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InitEquipData('IP04',,"",,,,,'','','','','','',"ReplaceableTextures\\CommandButtons\\BTNIP05.blp")</v>
      </c>
      <c r="CU159" s="88" t="str">
        <f t="shared" ref="CU159:CU164" si="2606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19" t="str">
        <f t="shared" ref="CV159:CV164" si="2607">T159</f>
        <v>使用后|Cffffd24d重置|r当前|Cffff0000神兽神通【R】|r|Cfff0f0f0。|r</v>
      </c>
      <c r="CW159" s="33"/>
      <c r="CX159" s="33"/>
      <c r="CY159" s="33"/>
      <c r="CZ159" s="33"/>
      <c r="DA159" s="33"/>
      <c r="DB159" s="66" t="str">
        <f t="shared" ref="DB159:DB160" si="2608">IF(V159="","","|n"&amp;DB$2&amp;"+"&amp;V159&amp;DB$1)</f>
        <v/>
      </c>
      <c r="DC159" s="66" t="str">
        <f t="shared" ref="DC159:DC160" si="2609">IF(W159="","","|n"&amp;DC$2&amp;"+"&amp;W159&amp;DC$1)</f>
        <v/>
      </c>
      <c r="DD159" s="66" t="str">
        <f t="shared" ref="DD159:DD160" si="2610">IF(X159="","","|n"&amp;DD$2&amp;"+"&amp;X159&amp;DD$1)</f>
        <v/>
      </c>
      <c r="DE159" s="66" t="str">
        <f t="shared" ref="DE159:DE160" si="2611">IF(Y159="","","|n"&amp;DE$2&amp;"+"&amp;Y159&amp;DE$1)</f>
        <v/>
      </c>
      <c r="DF159" s="66" t="str">
        <f t="shared" ref="DF159:DF160" si="2612">IF(Z159="","","|n"&amp;DF$2&amp;"+"&amp;Z159&amp;DF$1)</f>
        <v/>
      </c>
      <c r="DG159" s="66" t="str">
        <f t="shared" ref="DG159:DG160" si="2613">IF(AA159="","","|n"&amp;DG$2&amp;"+"&amp;AA159&amp;DG$1)</f>
        <v/>
      </c>
      <c r="DH159" s="66" t="str">
        <f t="shared" ref="DH159:DH160" si="2614">IF(AB159="","","|n"&amp;DH$2&amp;"+"&amp;AB159&amp;DH$1)</f>
        <v/>
      </c>
      <c r="DI159" s="66" t="str">
        <f t="shared" ref="DI159:DI160" si="2615">IF(AC159="","","|n"&amp;DI$2&amp;"+"&amp;AC159&amp;DI$1)</f>
        <v/>
      </c>
      <c r="DJ159" s="66" t="str">
        <f t="shared" ref="DJ159:DJ160" si="2616">IF(AD159="","","|n"&amp;DJ$2&amp;"+"&amp;AD159&amp;DJ$1)</f>
        <v/>
      </c>
      <c r="DK159" s="66" t="str">
        <f t="shared" ref="DK159:DK160" si="2617">IF(AE159="","","|n"&amp;DK$2&amp;"+"&amp;AE159&amp;DK$1)</f>
        <v/>
      </c>
      <c r="DL159" s="66" t="str">
        <f t="shared" ref="DL159:DL160" si="2618">IF(AF159="","","|n"&amp;DL$2&amp;"+"&amp;AF159&amp;DL$1)</f>
        <v/>
      </c>
      <c r="DM159" s="66" t="str">
        <f t="shared" ref="DM159:DM160" si="2619">IF(AG159="","","|n"&amp;DM$2&amp;"+"&amp;AG159&amp;DM$1)</f>
        <v/>
      </c>
      <c r="DN159" s="66" t="str">
        <f t="shared" ref="DN159:DN160" si="2620">IF(AH159="","","|n"&amp;DN$2&amp;"+"&amp;AH159&amp;DN$1)</f>
        <v/>
      </c>
      <c r="DO159" s="66" t="str">
        <f t="shared" ref="DO159:DO160" si="2621">IF(AI159="","","|n"&amp;DO$2&amp;"+"&amp;AI159&amp;DO$1)</f>
        <v/>
      </c>
      <c r="DP159" s="66" t="str">
        <f t="shared" ref="DP159:DP160" si="2622">IF(AJ159="","","|n"&amp;DP$2&amp;"+"&amp;AJ159&amp;DP$1)</f>
        <v/>
      </c>
      <c r="DQ159" s="66" t="str">
        <f t="shared" ref="DQ159:DQ160" si="2623">IF(AK159="","","|n"&amp;DQ$2&amp;"+"&amp;AK159&amp;DQ$1)</f>
        <v/>
      </c>
      <c r="DR159" s="66" t="str">
        <f t="shared" ref="DR159:DR160" si="2624">IF(AL159="","","|n"&amp;DR$2&amp;"+"&amp;AL159&amp;DR$1)</f>
        <v/>
      </c>
      <c r="DS159" s="66" t="str">
        <f t="shared" ref="DS159:DS160" si="2625">IF(AM159="","","|n"&amp;DS$2&amp;"+"&amp;AM159&amp;DS$1)</f>
        <v/>
      </c>
      <c r="DT159" s="66" t="str">
        <f t="shared" ref="DT159:DT160" si="2626">IF(AN159="","","|n"&amp;DT$2&amp;"+"&amp;AN159&amp;DT$1)</f>
        <v/>
      </c>
      <c r="DU159" s="66" t="str">
        <f t="shared" ref="DU159:DU160" si="2627">IF(AO159="","","|n"&amp;DU$2&amp;"+"&amp;AO159&amp;DU$1)</f>
        <v/>
      </c>
      <c r="DV159" s="66" t="str">
        <f t="shared" ref="DV159:DV160" si="2628">IF(AP159="","","|n"&amp;DV$2&amp;"+"&amp;AP159&amp;DV$1)</f>
        <v/>
      </c>
      <c r="DW159" s="66" t="str">
        <f t="shared" ref="DW159:DW160" si="2629">IF(AQ159="","","|n"&amp;DW$2&amp;"+"&amp;AQ159&amp;DW$1)</f>
        <v/>
      </c>
      <c r="DX159" s="66" t="str">
        <f t="shared" ref="DX159:DX160" si="2630">IF(AR159="","","|n"&amp;DX$2&amp;"+"&amp;AR159&amp;DX$1)</f>
        <v/>
      </c>
      <c r="DY159" s="66" t="str">
        <f t="shared" ref="DY159:DY160" si="2631">IF(AS159="","","|n"&amp;DY$2&amp;"+"&amp;AS159&amp;DY$1)</f>
        <v/>
      </c>
      <c r="DZ159" s="66" t="str">
        <f t="shared" ref="DZ159:DZ160" si="2632">IF(AT159="","","|n"&amp;DZ$2&amp;"+"&amp;AT159&amp;DZ$1)</f>
        <v/>
      </c>
      <c r="EA159" s="66" t="str">
        <f t="shared" ref="EA159:EA160" si="2633">IF(AU159="","","|n"&amp;EA$2&amp;"+"&amp;AU159&amp;EA$1)</f>
        <v/>
      </c>
      <c r="EB159" s="66" t="str">
        <f t="shared" ref="EB159:EB160" si="2634">IF(AV159="","","|n"&amp;EB$2&amp;"+"&amp;AV159&amp;EB$1)</f>
        <v/>
      </c>
      <c r="EC159" s="66" t="str">
        <f t="shared" ref="EC159:EC160" si="2635">IF(AW159="","","|n"&amp;EC$2&amp;"+"&amp;AW159&amp;EC$1)</f>
        <v/>
      </c>
      <c r="ED159" s="66" t="str">
        <f t="shared" ref="ED159:ED160" si="2636">IF(AX159="","","|n"&amp;ED$2&amp;"+"&amp;AX159&amp;ED$1)</f>
        <v/>
      </c>
      <c r="EE159" s="66" t="str">
        <f t="shared" ref="EE159:EE160" si="2637">IF(AY159="","","|n"&amp;EE$2&amp;"+"&amp;AY159&amp;EE$1)</f>
        <v/>
      </c>
      <c r="EF159" s="66" t="str">
        <f t="shared" ref="EF159:EF160" si="2638">IF(AZ159="","","|n"&amp;EF$2&amp;"+"&amp;AZ159&amp;EF$1)</f>
        <v/>
      </c>
      <c r="EG159" s="66" t="str">
        <f t="shared" ref="EG159:EG160" si="2639">IF(BA159="","","|n"&amp;EG$2&amp;"+"&amp;BA159&amp;EG$1)</f>
        <v/>
      </c>
      <c r="EH159" s="66" t="str">
        <f t="shared" ref="EH159:EH160" si="2640">IF(BB159="","","|n"&amp;EH$2&amp;"+"&amp;BB159&amp;EH$1)</f>
        <v/>
      </c>
      <c r="EI159" s="66" t="str">
        <f t="shared" ref="EI159:EI160" si="2641">IF(BC159="","","|n"&amp;EI$2&amp;"+"&amp;BC159&amp;EI$1)</f>
        <v/>
      </c>
      <c r="EJ159" s="66" t="str">
        <f t="shared" ref="EJ159:EJ160" si="2642">IF(BD159="","","|n"&amp;EJ$2&amp;"+"&amp;BD159&amp;EJ$1)</f>
        <v/>
      </c>
      <c r="EK159" s="66" t="str">
        <f t="shared" ref="EK159:EK160" si="2643">IF(BE159="","","|n"&amp;EK$2&amp;"+"&amp;BE159&amp;EK$1)</f>
        <v/>
      </c>
      <c r="EL159" s="66" t="str">
        <f t="shared" ref="EL159:EL160" si="2644">IF(BF159="","","|n"&amp;EL$2&amp;"+"&amp;BF159&amp;EL$1)</f>
        <v/>
      </c>
      <c r="EM159" s="66" t="str">
        <f t="shared" ref="EM159:EM160" si="2645">IF(BG159="","","|n"&amp;EM$2&amp;"+"&amp;BG159&amp;EM$1)</f>
        <v/>
      </c>
      <c r="EN159" s="66" t="str">
        <f t="shared" ref="EN159:EN160" si="2646">IF(BH159="","","|n"&amp;EN$2&amp;"+"&amp;BH159&amp;EN$1)</f>
        <v/>
      </c>
      <c r="EO159" s="66" t="str">
        <f t="shared" ref="EO159:EO160" si="2647">IF(BI159="","","|n"&amp;EO$2&amp;"+"&amp;BI159&amp;EO$1)</f>
        <v/>
      </c>
      <c r="EP159" s="66" t="str">
        <f t="shared" ref="EP159:EP160" si="2648">IF(BJ159="","","|n"&amp;EP$2&amp;"+"&amp;BJ159&amp;EP$1)</f>
        <v/>
      </c>
      <c r="EQ159" s="66" t="str">
        <f t="shared" ref="EQ159:EQ160" si="2649">IF(BK159="","","|n"&amp;EQ$2&amp;"+"&amp;BK159&amp;EQ$1)</f>
        <v/>
      </c>
      <c r="ER159" s="66" t="str">
        <f t="shared" ref="ER159:ER160" si="2650">IF(BL159="","","|n"&amp;ER$2&amp;"+"&amp;BL159&amp;ER$1)</f>
        <v/>
      </c>
      <c r="ES159" s="66" t="str">
        <f t="shared" ref="ES159:ES160" si="2651">IF(BM159="","","|n"&amp;ES$2&amp;"+"&amp;BM159&amp;ES$1)</f>
        <v/>
      </c>
      <c r="ET159" s="66" t="str">
        <f t="shared" ref="ET159:ET160" si="2652">IF(BN159="","","|n"&amp;ET$2&amp;"+"&amp;BN159&amp;ET$1)</f>
        <v/>
      </c>
      <c r="EU159" s="66" t="str">
        <f t="shared" ref="EU159:EU160" si="2653">IF(BO159="","","|n"&amp;EU$2&amp;"+"&amp;BO159&amp;EU$1)</f>
        <v/>
      </c>
      <c r="EV159" s="66" t="str">
        <f t="shared" ref="EV159:EV160" si="2654">IF(BP159="","","|n"&amp;EV$2&amp;"+"&amp;BP159&amp;EV$1)</f>
        <v/>
      </c>
      <c r="EW159" s="66" t="str">
        <f t="shared" ref="EW159:EW160" si="2655">IF(BQ159="","","|n"&amp;EW$2&amp;"+"&amp;BQ159&amp;EW$1)</f>
        <v/>
      </c>
      <c r="EX159" s="66" t="str">
        <f t="shared" ref="EX159:EX160" si="2656">IF(BR159="","","|n"&amp;EX$2&amp;"+"&amp;BR159&amp;EX$1)</f>
        <v/>
      </c>
      <c r="EY159" s="66" t="str">
        <f t="shared" ref="EY159:EY160" si="2657">IF(BS159="","","|n"&amp;EY$2&amp;"+"&amp;BS159&amp;EY$1)</f>
        <v/>
      </c>
      <c r="EZ159" s="66" t="str">
        <f t="shared" ref="EZ159:EZ160" si="2658">IF(BT159="","","|n"&amp;EZ$2&amp;"+"&amp;BT159&amp;EZ$1)</f>
        <v/>
      </c>
      <c r="FA159" s="66" t="str">
        <f t="shared" ref="FA159:FA160" si="2659">IF(BU159="","","|n"&amp;FA$2&amp;"+"&amp;BU159&amp;FA$1)</f>
        <v/>
      </c>
      <c r="FB159" s="66" t="str">
        <f t="shared" ref="FB159:FB160" si="2660">IF(BV159="","","|n"&amp;FB$2&amp;"+"&amp;BV159&amp;FB$1)</f>
        <v/>
      </c>
      <c r="FC159" s="66" t="str">
        <f t="shared" ref="FC159:FC160" si="2661">IF(BW159="","","|n"&amp;FC$2&amp;"+"&amp;BW159&amp;FC$1)</f>
        <v/>
      </c>
      <c r="FD159" s="66" t="str">
        <f t="shared" ref="FD159:FD160" si="2662">IF(BX159="","","|n"&amp;FD$2&amp;"+"&amp;BX159&amp;FD$1)</f>
        <v/>
      </c>
      <c r="FE159" s="66" t="str">
        <f t="shared" ref="FE159:FE160" si="2663">IF(BY159="","","|n"&amp;FE$2&amp;"+"&amp;BY159&amp;FE$1)</f>
        <v/>
      </c>
      <c r="FF159" s="66" t="str">
        <f t="shared" ref="FF159:FF160" si="2664">IF(BZ159="","","|n"&amp;FF$2&amp;"+"&amp;BZ159&amp;FF$1)</f>
        <v/>
      </c>
      <c r="FG159" s="66" t="str">
        <f t="shared" ref="FG159:FG160" si="2665">IF(CA159="","","|n"&amp;FG$2&amp;"+"&amp;CA159&amp;FG$1)</f>
        <v/>
      </c>
      <c r="FH159" s="66" t="str">
        <f t="shared" ref="FH159:FH160" si="2666">IF(CB159="","","|n"&amp;FH$2&amp;"+"&amp;CB159&amp;FH$1)</f>
        <v/>
      </c>
      <c r="FI159" s="66" t="str">
        <f t="shared" ref="FI159:FI160" si="2667">IF(CC159="","","|n"&amp;FI$2&amp;"+"&amp;CC159&amp;FI$1)</f>
        <v/>
      </c>
      <c r="FJ159" s="66" t="str">
        <f t="shared" ref="FJ159:FJ160" si="2668">IF(CD159="","","|n"&amp;FJ$2&amp;"+"&amp;CD159&amp;FJ$1)</f>
        <v/>
      </c>
      <c r="FK159" s="66" t="str">
        <f t="shared" ref="FK159:FK160" si="2669">IF(CE159="","","|n"&amp;FK$2&amp;"+"&amp;CE159&amp;FK$1)</f>
        <v/>
      </c>
      <c r="FL159" s="66" t="str">
        <f t="shared" ref="FL159:FL160" si="2670">IF(CF159="","","|n"&amp;FL$2&amp;"+"&amp;CF159&amp;FL$1)</f>
        <v/>
      </c>
      <c r="FM159" s="66" t="str">
        <f t="shared" ref="FM159:FM160" si="2671">IF(CG159="","","|n"&amp;FM$2&amp;"+"&amp;CG159&amp;FM$1)</f>
        <v/>
      </c>
      <c r="FN159" s="66" t="str">
        <f t="shared" ref="FN159:FN160" si="2672">IF(CH159="","","|n"&amp;FN$2&amp;"+"&amp;CH159&amp;FN$1)</f>
        <v/>
      </c>
      <c r="FO159" s="66" t="str">
        <f t="shared" ref="FO159:FO160" si="2673">IF(CI159="","","|n"&amp;FO$2&amp;"+"&amp;CI159&amp;FO$1)</f>
        <v/>
      </c>
      <c r="FP159" s="66" t="str">
        <f t="shared" ref="FP159:FP160" si="2674">IF(CJ159="","","|n"&amp;FP$2&amp;"+"&amp;CJ159&amp;FP$1)</f>
        <v/>
      </c>
      <c r="FQ159" s="66" t="str">
        <f t="shared" ref="FQ159:FQ160" si="2675">IF(CK159="","","|n"&amp;FQ$2&amp;"+"&amp;CK159&amp;FQ$1)</f>
        <v/>
      </c>
      <c r="FR159" s="66" t="str">
        <f t="shared" ref="FR159:FR160" si="2676">IF(CL159="","","|n"&amp;FR$2&amp;"+"&amp;CL159&amp;FR$1)</f>
        <v/>
      </c>
      <c r="FS159" s="66" t="str">
        <f t="shared" ref="FS159:FS160" si="2677">IF(CM159="","","|n"&amp;FS$2&amp;"+"&amp;CM159&amp;FS$1)</f>
        <v/>
      </c>
    </row>
    <row r="160" spans="1:175" ht="16.5">
      <c r="A160" s="15"/>
      <c r="B160" s="9" t="s">
        <v>599</v>
      </c>
      <c r="C160" s="15" t="s">
        <v>600</v>
      </c>
      <c r="T160" s="16" t="s">
        <v>601</v>
      </c>
      <c r="U160" s="77" t="str">
        <f t="shared" ref="U160:U162" si="2678">"ReplaceableTextures\\CommandButtons\\BTN"&amp;B160&amp;".blp"</f>
        <v>ReplaceableTextures\\CommandButtons\\BTNIP05.blp</v>
      </c>
      <c r="CN160" s="36" t="str">
        <f t="shared" si="2458"/>
        <v>InitUnitState('IP05',,,,,,,,,,)</v>
      </c>
      <c r="CO160" s="36" t="str">
        <f t="shared" si="2459"/>
        <v>InitUnitNormal('IP05',,,,,,,,,,)</v>
      </c>
      <c r="CP160" s="36" t="str">
        <f t="shared" si="2460"/>
        <v>InitUnitMagic('IP05',,,,,,,,,,)</v>
      </c>
      <c r="CQ160" s="36" t="str">
        <f t="shared" si="2461"/>
        <v>InitUnitAdd('IP05',,,,,,,,,,)</v>
      </c>
      <c r="CR160" s="36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167&amp;CR$1&amp;")"</f>
        <v>InitEquipData('IP05',,"",,,,,'','','','','','',"ReplaceableTextures\\CommandButtons\\BTNIT03.blp")</v>
      </c>
      <c r="CU160" s="88" t="str">
        <f t="shared" si="2606"/>
        <v>|n</v>
      </c>
      <c r="CV160" s="19" t="str">
        <f t="shared" si="2607"/>
        <v>开启|Cffffd24d结界|r，前往虚空终止|Cffff0000封神圣战|r。</v>
      </c>
      <c r="CW160" s="33"/>
      <c r="CX160" s="33"/>
      <c r="CY160" s="33"/>
      <c r="CZ160" s="33"/>
      <c r="DA160" s="33"/>
      <c r="DB160" s="66" t="str">
        <f t="shared" si="2608"/>
        <v/>
      </c>
      <c r="DC160" s="66" t="str">
        <f t="shared" si="2609"/>
        <v/>
      </c>
      <c r="DD160" s="66" t="str">
        <f t="shared" si="2610"/>
        <v/>
      </c>
      <c r="DE160" s="66" t="str">
        <f t="shared" si="2611"/>
        <v/>
      </c>
      <c r="DF160" s="66" t="str">
        <f t="shared" si="2612"/>
        <v/>
      </c>
      <c r="DG160" s="66" t="str">
        <f t="shared" si="2613"/>
        <v/>
      </c>
      <c r="DH160" s="66" t="str">
        <f t="shared" si="2614"/>
        <v/>
      </c>
      <c r="DI160" s="66" t="str">
        <f t="shared" si="2615"/>
        <v/>
      </c>
      <c r="DJ160" s="66" t="str">
        <f t="shared" si="2616"/>
        <v/>
      </c>
      <c r="DK160" s="66" t="str">
        <f t="shared" si="2617"/>
        <v/>
      </c>
      <c r="DL160" s="66" t="str">
        <f t="shared" si="2618"/>
        <v/>
      </c>
      <c r="DM160" s="66" t="str">
        <f t="shared" si="2619"/>
        <v/>
      </c>
      <c r="DN160" s="66" t="str">
        <f t="shared" si="2620"/>
        <v/>
      </c>
      <c r="DO160" s="66" t="str">
        <f t="shared" si="2621"/>
        <v/>
      </c>
      <c r="DP160" s="66" t="str">
        <f t="shared" si="2622"/>
        <v/>
      </c>
      <c r="DQ160" s="66" t="str">
        <f t="shared" si="2623"/>
        <v/>
      </c>
      <c r="DR160" s="66" t="str">
        <f t="shared" si="2624"/>
        <v/>
      </c>
      <c r="DS160" s="66" t="str">
        <f t="shared" si="2625"/>
        <v/>
      </c>
      <c r="DT160" s="66" t="str">
        <f t="shared" si="2626"/>
        <v/>
      </c>
      <c r="DU160" s="66" t="str">
        <f t="shared" si="2627"/>
        <v/>
      </c>
      <c r="DV160" s="66" t="str">
        <f t="shared" si="2628"/>
        <v/>
      </c>
      <c r="DW160" s="66" t="str">
        <f t="shared" si="2629"/>
        <v/>
      </c>
      <c r="DX160" s="66" t="str">
        <f t="shared" si="2630"/>
        <v/>
      </c>
      <c r="DY160" s="66" t="str">
        <f t="shared" si="2631"/>
        <v/>
      </c>
      <c r="DZ160" s="66" t="str">
        <f t="shared" si="2632"/>
        <v/>
      </c>
      <c r="EA160" s="66" t="str">
        <f t="shared" si="2633"/>
        <v/>
      </c>
      <c r="EB160" s="66" t="str">
        <f t="shared" si="2634"/>
        <v/>
      </c>
      <c r="EC160" s="66" t="str">
        <f t="shared" si="2635"/>
        <v/>
      </c>
      <c r="ED160" s="66" t="str">
        <f t="shared" si="2636"/>
        <v/>
      </c>
      <c r="EE160" s="66" t="str">
        <f t="shared" si="2637"/>
        <v/>
      </c>
      <c r="EF160" s="66" t="str">
        <f t="shared" si="2638"/>
        <v/>
      </c>
      <c r="EG160" s="66" t="str">
        <f t="shared" si="2639"/>
        <v/>
      </c>
      <c r="EH160" s="66" t="str">
        <f t="shared" si="2640"/>
        <v/>
      </c>
      <c r="EI160" s="66" t="str">
        <f t="shared" si="2641"/>
        <v/>
      </c>
      <c r="EJ160" s="66" t="str">
        <f t="shared" si="2642"/>
        <v/>
      </c>
      <c r="EK160" s="66" t="str">
        <f t="shared" si="2643"/>
        <v/>
      </c>
      <c r="EL160" s="66" t="str">
        <f t="shared" si="2644"/>
        <v/>
      </c>
      <c r="EM160" s="66" t="str">
        <f t="shared" si="2645"/>
        <v/>
      </c>
      <c r="EN160" s="66" t="str">
        <f t="shared" si="2646"/>
        <v/>
      </c>
      <c r="EO160" s="66" t="str">
        <f t="shared" si="2647"/>
        <v/>
      </c>
      <c r="EP160" s="66" t="str">
        <f t="shared" si="2648"/>
        <v/>
      </c>
      <c r="EQ160" s="66" t="str">
        <f t="shared" si="2649"/>
        <v/>
      </c>
      <c r="ER160" s="66" t="str">
        <f t="shared" si="2650"/>
        <v/>
      </c>
      <c r="ES160" s="66" t="str">
        <f t="shared" si="2651"/>
        <v/>
      </c>
      <c r="ET160" s="66" t="str">
        <f t="shared" si="2652"/>
        <v/>
      </c>
      <c r="EU160" s="66" t="str">
        <f t="shared" si="2653"/>
        <v/>
      </c>
      <c r="EV160" s="66" t="str">
        <f t="shared" si="2654"/>
        <v/>
      </c>
      <c r="EW160" s="66" t="str">
        <f t="shared" si="2655"/>
        <v/>
      </c>
      <c r="EX160" s="66" t="str">
        <f t="shared" si="2656"/>
        <v/>
      </c>
      <c r="EY160" s="66" t="str">
        <f t="shared" si="2657"/>
        <v/>
      </c>
      <c r="EZ160" s="66" t="str">
        <f t="shared" si="2658"/>
        <v/>
      </c>
      <c r="FA160" s="66" t="str">
        <f t="shared" si="2659"/>
        <v/>
      </c>
      <c r="FB160" s="66" t="str">
        <f t="shared" si="2660"/>
        <v/>
      </c>
      <c r="FC160" s="66" t="str">
        <f t="shared" si="2661"/>
        <v/>
      </c>
      <c r="FD160" s="66" t="str">
        <f t="shared" si="2662"/>
        <v/>
      </c>
      <c r="FE160" s="66" t="str">
        <f t="shared" si="2663"/>
        <v/>
      </c>
      <c r="FF160" s="66" t="str">
        <f t="shared" si="2664"/>
        <v/>
      </c>
      <c r="FG160" s="66" t="str">
        <f t="shared" si="2665"/>
        <v/>
      </c>
      <c r="FH160" s="66" t="str">
        <f t="shared" si="2666"/>
        <v/>
      </c>
      <c r="FI160" s="66" t="str">
        <f t="shared" si="2667"/>
        <v/>
      </c>
      <c r="FJ160" s="66" t="str">
        <f t="shared" si="2668"/>
        <v/>
      </c>
      <c r="FK160" s="66" t="str">
        <f t="shared" si="2669"/>
        <v/>
      </c>
      <c r="FL160" s="66" t="str">
        <f t="shared" si="2670"/>
        <v/>
      </c>
      <c r="FM160" s="66" t="str">
        <f t="shared" si="2671"/>
        <v/>
      </c>
      <c r="FN160" s="66" t="str">
        <f t="shared" si="2672"/>
        <v/>
      </c>
      <c r="FO160" s="66" t="str">
        <f t="shared" si="2673"/>
        <v/>
      </c>
      <c r="FP160" s="66" t="str">
        <f t="shared" si="2674"/>
        <v/>
      </c>
      <c r="FQ160" s="66" t="str">
        <f t="shared" si="2675"/>
        <v/>
      </c>
      <c r="FR160" s="66" t="str">
        <f t="shared" si="2676"/>
        <v/>
      </c>
      <c r="FS160" s="66" t="str">
        <f t="shared" si="2677"/>
        <v/>
      </c>
    </row>
    <row r="161" spans="1:175" s="29" customFormat="1" ht="16.5">
      <c r="A161" s="15"/>
      <c r="B161" s="9" t="s">
        <v>602</v>
      </c>
      <c r="C161" s="25" t="s">
        <v>603</v>
      </c>
      <c r="D161" s="12"/>
      <c r="E161" s="12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92"/>
      <c r="Q161" s="92"/>
      <c r="R161" s="92"/>
      <c r="S161" s="92"/>
      <c r="T161" s="16" t="s">
        <v>604</v>
      </c>
      <c r="U161" s="77" t="s">
        <v>605</v>
      </c>
      <c r="V161" s="102"/>
      <c r="W161" s="103"/>
      <c r="X161" s="103"/>
      <c r="Y161" s="103"/>
      <c r="Z161" s="103"/>
      <c r="AA161" s="103"/>
      <c r="AB161" s="103"/>
      <c r="AC161" s="103"/>
      <c r="AD161" s="103"/>
      <c r="AE161" s="103"/>
      <c r="AF161" s="103"/>
      <c r="AG161" s="103"/>
      <c r="AH161" s="103"/>
      <c r="AI161" s="103"/>
      <c r="AJ161" s="103"/>
      <c r="AK161" s="103"/>
      <c r="AL161" s="103"/>
      <c r="AM161" s="103"/>
      <c r="AN161" s="103"/>
      <c r="AO161" s="103"/>
      <c r="AP161" s="103"/>
      <c r="AQ161" s="103"/>
      <c r="AR161" s="106"/>
      <c r="AS161" s="106"/>
      <c r="AT161" s="103"/>
      <c r="AU161" s="103"/>
      <c r="AV161" s="103"/>
      <c r="AW161" s="103"/>
      <c r="AX161" s="103"/>
      <c r="AY161" s="103"/>
      <c r="AZ161" s="103"/>
      <c r="BA161" s="103"/>
      <c r="BB161" s="103"/>
      <c r="BC161" s="103"/>
      <c r="BD161" s="103"/>
      <c r="BE161" s="103"/>
      <c r="BF161" s="103"/>
      <c r="BG161" s="103"/>
      <c r="BH161" s="103"/>
      <c r="BI161" s="103"/>
      <c r="BJ161" s="103"/>
      <c r="BK161" s="103"/>
      <c r="BL161" s="103"/>
      <c r="BM161" s="103"/>
      <c r="BN161" s="103"/>
      <c r="BO161" s="103"/>
      <c r="BP161" s="103"/>
      <c r="BQ161" s="103"/>
      <c r="BR161" s="103"/>
      <c r="BS161" s="103"/>
      <c r="BT161" s="103"/>
      <c r="BU161" s="103"/>
      <c r="BV161" s="103"/>
      <c r="BW161" s="103"/>
      <c r="BX161" s="103"/>
      <c r="BY161" s="103"/>
      <c r="BZ161" s="103"/>
      <c r="CA161" s="103"/>
      <c r="CB161" s="103"/>
      <c r="CC161" s="103"/>
      <c r="CD161" s="103"/>
      <c r="CE161" s="103"/>
      <c r="CF161" s="103"/>
      <c r="CG161" s="103"/>
      <c r="CH161" s="103"/>
      <c r="CI161" s="103"/>
      <c r="CJ161" s="103"/>
      <c r="CK161" s="103"/>
      <c r="CL161" s="103"/>
      <c r="CM161" s="103"/>
      <c r="CN161" s="107" t="str">
        <f t="shared" si="2458"/>
        <v>InitUnitState('IP06',,,,,,,,,,)</v>
      </c>
      <c r="CO161" s="107" t="str">
        <f t="shared" si="2459"/>
        <v>InitUnitNormal('IP06',,,,,,,,,,)</v>
      </c>
      <c r="CP161" s="107" t="str">
        <f t="shared" si="2460"/>
        <v>InitUnitMagic('IP06',,,,,,,,,,)</v>
      </c>
      <c r="CQ161" s="107" t="str">
        <f t="shared" si="2461"/>
        <v>InitUnitAdd('IP06',,,,,,,,,,)</v>
      </c>
      <c r="CR161" s="107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168&amp;CR$1&amp;")"</f>
        <v>InitEquipData('IP06',,"",,,,,'','','','','','',"ReplaceableTextures\\CommandButtons\\BTNIT04.blp")</v>
      </c>
      <c r="CS161" s="107"/>
      <c r="CT161" s="107"/>
      <c r="CU161" s="88" t="str">
        <f t="shared" si="2606"/>
        <v>|n</v>
      </c>
      <c r="CV161" s="29" t="str">
        <f t="shared" si="2607"/>
        <v>使用后增加|Cffffd24d100点|r境界经验。</v>
      </c>
      <c r="CW161" s="33"/>
      <c r="CX161" s="33"/>
      <c r="CY161" s="33"/>
      <c r="CZ161" s="33"/>
      <c r="DA161" s="33"/>
      <c r="DB161" s="108" t="str">
        <f t="shared" ref="DB161:FM161" si="2679">IF(V161="","","|n"&amp;DB$2&amp;"+"&amp;V161&amp;DB$1)</f>
        <v/>
      </c>
      <c r="DC161" s="108" t="str">
        <f t="shared" si="2679"/>
        <v/>
      </c>
      <c r="DD161" s="108" t="str">
        <f t="shared" si="2679"/>
        <v/>
      </c>
      <c r="DE161" s="108" t="str">
        <f t="shared" si="2679"/>
        <v/>
      </c>
      <c r="DF161" s="108" t="str">
        <f t="shared" si="2679"/>
        <v/>
      </c>
      <c r="DG161" s="108" t="str">
        <f t="shared" si="2679"/>
        <v/>
      </c>
      <c r="DH161" s="108" t="str">
        <f t="shared" si="2679"/>
        <v/>
      </c>
      <c r="DI161" s="108" t="str">
        <f t="shared" si="2679"/>
        <v/>
      </c>
      <c r="DJ161" s="108" t="str">
        <f t="shared" si="2679"/>
        <v/>
      </c>
      <c r="DK161" s="108" t="str">
        <f t="shared" si="2679"/>
        <v/>
      </c>
      <c r="DL161" s="108" t="str">
        <f t="shared" si="2679"/>
        <v/>
      </c>
      <c r="DM161" s="108" t="str">
        <f t="shared" si="2679"/>
        <v/>
      </c>
      <c r="DN161" s="108" t="str">
        <f t="shared" si="2679"/>
        <v/>
      </c>
      <c r="DO161" s="108" t="str">
        <f t="shared" si="2679"/>
        <v/>
      </c>
      <c r="DP161" s="108" t="str">
        <f t="shared" si="2679"/>
        <v/>
      </c>
      <c r="DQ161" s="108" t="str">
        <f t="shared" si="2679"/>
        <v/>
      </c>
      <c r="DR161" s="108" t="str">
        <f t="shared" si="2679"/>
        <v/>
      </c>
      <c r="DS161" s="108" t="str">
        <f t="shared" si="2679"/>
        <v/>
      </c>
      <c r="DT161" s="108" t="str">
        <f t="shared" si="2679"/>
        <v/>
      </c>
      <c r="DU161" s="108" t="str">
        <f t="shared" si="2679"/>
        <v/>
      </c>
      <c r="DV161" s="108" t="str">
        <f t="shared" si="2679"/>
        <v/>
      </c>
      <c r="DW161" s="108" t="str">
        <f t="shared" si="2679"/>
        <v/>
      </c>
      <c r="DX161" s="108" t="str">
        <f t="shared" si="2679"/>
        <v/>
      </c>
      <c r="DY161" s="108" t="str">
        <f t="shared" si="2679"/>
        <v/>
      </c>
      <c r="DZ161" s="108" t="str">
        <f t="shared" si="2679"/>
        <v/>
      </c>
      <c r="EA161" s="108" t="str">
        <f t="shared" si="2679"/>
        <v/>
      </c>
      <c r="EB161" s="108" t="str">
        <f t="shared" si="2679"/>
        <v/>
      </c>
      <c r="EC161" s="108" t="str">
        <f t="shared" si="2679"/>
        <v/>
      </c>
      <c r="ED161" s="108" t="str">
        <f t="shared" si="2679"/>
        <v/>
      </c>
      <c r="EE161" s="108" t="str">
        <f t="shared" si="2679"/>
        <v/>
      </c>
      <c r="EF161" s="108" t="str">
        <f t="shared" si="2679"/>
        <v/>
      </c>
      <c r="EG161" s="108" t="str">
        <f t="shared" si="2679"/>
        <v/>
      </c>
      <c r="EH161" s="108" t="str">
        <f t="shared" si="2679"/>
        <v/>
      </c>
      <c r="EI161" s="108" t="str">
        <f t="shared" si="2679"/>
        <v/>
      </c>
      <c r="EJ161" s="108" t="str">
        <f t="shared" si="2679"/>
        <v/>
      </c>
      <c r="EK161" s="108" t="str">
        <f t="shared" si="2679"/>
        <v/>
      </c>
      <c r="EL161" s="108" t="str">
        <f t="shared" si="2679"/>
        <v/>
      </c>
      <c r="EM161" s="108" t="str">
        <f t="shared" si="2679"/>
        <v/>
      </c>
      <c r="EN161" s="108" t="str">
        <f t="shared" si="2679"/>
        <v/>
      </c>
      <c r="EO161" s="108" t="str">
        <f t="shared" si="2679"/>
        <v/>
      </c>
      <c r="EP161" s="108" t="str">
        <f t="shared" si="2679"/>
        <v/>
      </c>
      <c r="EQ161" s="108" t="str">
        <f t="shared" si="2679"/>
        <v/>
      </c>
      <c r="ER161" s="108" t="str">
        <f t="shared" si="2679"/>
        <v/>
      </c>
      <c r="ES161" s="108" t="str">
        <f t="shared" si="2679"/>
        <v/>
      </c>
      <c r="ET161" s="108" t="str">
        <f t="shared" si="2679"/>
        <v/>
      </c>
      <c r="EU161" s="108" t="str">
        <f t="shared" si="2679"/>
        <v/>
      </c>
      <c r="EV161" s="108" t="str">
        <f t="shared" si="2679"/>
        <v/>
      </c>
      <c r="EW161" s="108" t="str">
        <f t="shared" si="2679"/>
        <v/>
      </c>
      <c r="EX161" s="108" t="str">
        <f t="shared" si="2679"/>
        <v/>
      </c>
      <c r="EY161" s="108" t="str">
        <f t="shared" si="2679"/>
        <v/>
      </c>
      <c r="EZ161" s="108" t="str">
        <f t="shared" si="2679"/>
        <v/>
      </c>
      <c r="FA161" s="108" t="str">
        <f t="shared" si="2679"/>
        <v/>
      </c>
      <c r="FB161" s="108" t="str">
        <f t="shared" si="2679"/>
        <v/>
      </c>
      <c r="FC161" s="108" t="str">
        <f t="shared" si="2679"/>
        <v/>
      </c>
      <c r="FD161" s="108" t="str">
        <f t="shared" si="2679"/>
        <v/>
      </c>
      <c r="FE161" s="108" t="str">
        <f t="shared" si="2679"/>
        <v/>
      </c>
      <c r="FF161" s="108" t="str">
        <f t="shared" si="2679"/>
        <v/>
      </c>
      <c r="FG161" s="108" t="str">
        <f t="shared" si="2679"/>
        <v/>
      </c>
      <c r="FH161" s="108" t="str">
        <f t="shared" si="2679"/>
        <v/>
      </c>
      <c r="FI161" s="108" t="str">
        <f t="shared" si="2679"/>
        <v/>
      </c>
      <c r="FJ161" s="108" t="str">
        <f t="shared" si="2679"/>
        <v/>
      </c>
      <c r="FK161" s="108" t="str">
        <f t="shared" si="2679"/>
        <v/>
      </c>
      <c r="FL161" s="108" t="str">
        <f t="shared" si="2679"/>
        <v/>
      </c>
      <c r="FM161" s="108" t="str">
        <f t="shared" si="2679"/>
        <v/>
      </c>
      <c r="FN161" s="108" t="str">
        <f t="shared" ref="FN161:FS161" si="2680">IF(CH161="","","|n"&amp;FN$2&amp;"+"&amp;CH161&amp;FN$1)</f>
        <v/>
      </c>
      <c r="FO161" s="108" t="str">
        <f t="shared" si="2680"/>
        <v/>
      </c>
      <c r="FP161" s="108" t="str">
        <f t="shared" si="2680"/>
        <v/>
      </c>
      <c r="FQ161" s="108" t="str">
        <f t="shared" si="2680"/>
        <v/>
      </c>
      <c r="FR161" s="108" t="str">
        <f t="shared" si="2680"/>
        <v/>
      </c>
      <c r="FS161" s="108" t="str">
        <f t="shared" si="2680"/>
        <v/>
      </c>
    </row>
    <row r="162" spans="1:175" s="29" customFormat="1" ht="16.5">
      <c r="A162" s="15"/>
      <c r="B162" s="9" t="s">
        <v>606</v>
      </c>
      <c r="C162" s="25" t="s">
        <v>607</v>
      </c>
      <c r="D162" s="12"/>
      <c r="E162" s="12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92"/>
      <c r="Q162" s="92"/>
      <c r="R162" s="92"/>
      <c r="S162" s="92"/>
      <c r="T162" s="16" t="s">
        <v>608</v>
      </c>
      <c r="U162" s="77" t="str">
        <f t="shared" si="2678"/>
        <v>ReplaceableTextures\\CommandButtons\\BTNIP07.blp</v>
      </c>
      <c r="V162" s="102"/>
      <c r="W162" s="103"/>
      <c r="X162" s="103"/>
      <c r="Y162" s="103"/>
      <c r="Z162" s="103"/>
      <c r="AA162" s="103"/>
      <c r="AB162" s="103"/>
      <c r="AC162" s="103"/>
      <c r="AD162" s="103"/>
      <c r="AE162" s="103"/>
      <c r="AF162" s="103"/>
      <c r="AG162" s="103"/>
      <c r="AH162" s="103"/>
      <c r="AI162" s="103"/>
      <c r="AJ162" s="103"/>
      <c r="AK162" s="103"/>
      <c r="AL162" s="103"/>
      <c r="AM162" s="103"/>
      <c r="AN162" s="103"/>
      <c r="AO162" s="103"/>
      <c r="AP162" s="103"/>
      <c r="AQ162" s="103"/>
      <c r="AR162" s="106"/>
      <c r="AS162" s="106"/>
      <c r="AT162" s="103"/>
      <c r="AU162" s="103"/>
      <c r="AV162" s="103"/>
      <c r="AW162" s="103"/>
      <c r="AX162" s="103"/>
      <c r="AY162" s="103"/>
      <c r="AZ162" s="103"/>
      <c r="BA162" s="103"/>
      <c r="BB162" s="103"/>
      <c r="BC162" s="103"/>
      <c r="BD162" s="103"/>
      <c r="BE162" s="103"/>
      <c r="BF162" s="103"/>
      <c r="BG162" s="103"/>
      <c r="BH162" s="103"/>
      <c r="BI162" s="103"/>
      <c r="BJ162" s="103"/>
      <c r="BK162" s="103"/>
      <c r="BL162" s="103"/>
      <c r="BM162" s="103"/>
      <c r="BN162" s="103"/>
      <c r="BO162" s="103"/>
      <c r="BP162" s="103"/>
      <c r="BQ162" s="103"/>
      <c r="BR162" s="103"/>
      <c r="BS162" s="103"/>
      <c r="BT162" s="103"/>
      <c r="BU162" s="103"/>
      <c r="BV162" s="103"/>
      <c r="BW162" s="103"/>
      <c r="BX162" s="103"/>
      <c r="BY162" s="103"/>
      <c r="BZ162" s="103"/>
      <c r="CA162" s="103"/>
      <c r="CB162" s="103"/>
      <c r="CC162" s="103"/>
      <c r="CD162" s="103"/>
      <c r="CE162" s="103"/>
      <c r="CF162" s="103"/>
      <c r="CG162" s="103"/>
      <c r="CH162" s="103"/>
      <c r="CI162" s="103"/>
      <c r="CJ162" s="103"/>
      <c r="CK162" s="103"/>
      <c r="CL162" s="103"/>
      <c r="CM162" s="103"/>
      <c r="CN162" s="107" t="str">
        <f t="shared" si="2458"/>
        <v>InitUnitState('IP07',,,,,,,,,,)</v>
      </c>
      <c r="CO162" s="107" t="str">
        <f t="shared" si="2459"/>
        <v>InitUnitNormal('IP07',,,,,,,,,,)</v>
      </c>
      <c r="CP162" s="107" t="str">
        <f t="shared" si="2460"/>
        <v>InitUnitMagic('IP07',,,,,,,,,,)</v>
      </c>
      <c r="CQ162" s="107" t="str">
        <f t="shared" si="2461"/>
        <v>InitUnitAdd('IP07',,,,,,,,,,)</v>
      </c>
      <c r="CR162" s="107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InitEquipData('IP07',,"",,,,,'','','','','','',"ReplaceableTextures\\CommandButtons\\BTNIT05.blp")</v>
      </c>
      <c r="CS162" s="107"/>
      <c r="CT162" s="107"/>
      <c r="CU162" s="88" t="str">
        <f t="shared" si="2606"/>
        <v>|n</v>
      </c>
      <c r="CV162" s="29" t="str">
        <f t="shared" si="2607"/>
        <v>可抵扣|Cffffd24d1|r次抽奖消耗</v>
      </c>
      <c r="CW162" s="33"/>
      <c r="CX162" s="33"/>
      <c r="CY162" s="33"/>
      <c r="CZ162" s="33"/>
      <c r="DA162" s="33"/>
      <c r="DB162" s="108" t="str">
        <f t="shared" ref="DB162:FM162" si="2681">IF(V162="","","|n"&amp;DB$2&amp;"+"&amp;V162&amp;DB$1)</f>
        <v/>
      </c>
      <c r="DC162" s="108" t="str">
        <f t="shared" si="2681"/>
        <v/>
      </c>
      <c r="DD162" s="108" t="str">
        <f t="shared" si="2681"/>
        <v/>
      </c>
      <c r="DE162" s="108" t="str">
        <f t="shared" si="2681"/>
        <v/>
      </c>
      <c r="DF162" s="108" t="str">
        <f t="shared" si="2681"/>
        <v/>
      </c>
      <c r="DG162" s="108" t="str">
        <f t="shared" si="2681"/>
        <v/>
      </c>
      <c r="DH162" s="108" t="str">
        <f t="shared" si="2681"/>
        <v/>
      </c>
      <c r="DI162" s="108" t="str">
        <f t="shared" si="2681"/>
        <v/>
      </c>
      <c r="DJ162" s="108" t="str">
        <f t="shared" si="2681"/>
        <v/>
      </c>
      <c r="DK162" s="108" t="str">
        <f t="shared" si="2681"/>
        <v/>
      </c>
      <c r="DL162" s="108" t="str">
        <f t="shared" si="2681"/>
        <v/>
      </c>
      <c r="DM162" s="108" t="str">
        <f t="shared" si="2681"/>
        <v/>
      </c>
      <c r="DN162" s="108" t="str">
        <f t="shared" si="2681"/>
        <v/>
      </c>
      <c r="DO162" s="108" t="str">
        <f t="shared" si="2681"/>
        <v/>
      </c>
      <c r="DP162" s="108" t="str">
        <f t="shared" si="2681"/>
        <v/>
      </c>
      <c r="DQ162" s="108" t="str">
        <f t="shared" si="2681"/>
        <v/>
      </c>
      <c r="DR162" s="108" t="str">
        <f t="shared" si="2681"/>
        <v/>
      </c>
      <c r="DS162" s="108" t="str">
        <f t="shared" si="2681"/>
        <v/>
      </c>
      <c r="DT162" s="108" t="str">
        <f t="shared" si="2681"/>
        <v/>
      </c>
      <c r="DU162" s="108" t="str">
        <f t="shared" si="2681"/>
        <v/>
      </c>
      <c r="DV162" s="108" t="str">
        <f t="shared" si="2681"/>
        <v/>
      </c>
      <c r="DW162" s="108" t="str">
        <f t="shared" si="2681"/>
        <v/>
      </c>
      <c r="DX162" s="108" t="str">
        <f t="shared" si="2681"/>
        <v/>
      </c>
      <c r="DY162" s="108" t="str">
        <f t="shared" si="2681"/>
        <v/>
      </c>
      <c r="DZ162" s="108" t="str">
        <f t="shared" si="2681"/>
        <v/>
      </c>
      <c r="EA162" s="108" t="str">
        <f t="shared" si="2681"/>
        <v/>
      </c>
      <c r="EB162" s="108" t="str">
        <f t="shared" si="2681"/>
        <v/>
      </c>
      <c r="EC162" s="108" t="str">
        <f t="shared" si="2681"/>
        <v/>
      </c>
      <c r="ED162" s="108" t="str">
        <f t="shared" si="2681"/>
        <v/>
      </c>
      <c r="EE162" s="108" t="str">
        <f t="shared" si="2681"/>
        <v/>
      </c>
      <c r="EF162" s="108" t="str">
        <f t="shared" si="2681"/>
        <v/>
      </c>
      <c r="EG162" s="108" t="str">
        <f t="shared" si="2681"/>
        <v/>
      </c>
      <c r="EH162" s="108" t="str">
        <f t="shared" si="2681"/>
        <v/>
      </c>
      <c r="EI162" s="108" t="str">
        <f t="shared" si="2681"/>
        <v/>
      </c>
      <c r="EJ162" s="108" t="str">
        <f t="shared" si="2681"/>
        <v/>
      </c>
      <c r="EK162" s="108" t="str">
        <f t="shared" si="2681"/>
        <v/>
      </c>
      <c r="EL162" s="108" t="str">
        <f t="shared" si="2681"/>
        <v/>
      </c>
      <c r="EM162" s="108" t="str">
        <f t="shared" si="2681"/>
        <v/>
      </c>
      <c r="EN162" s="108" t="str">
        <f t="shared" si="2681"/>
        <v/>
      </c>
      <c r="EO162" s="108" t="str">
        <f t="shared" si="2681"/>
        <v/>
      </c>
      <c r="EP162" s="108" t="str">
        <f t="shared" si="2681"/>
        <v/>
      </c>
      <c r="EQ162" s="108" t="str">
        <f t="shared" si="2681"/>
        <v/>
      </c>
      <c r="ER162" s="108" t="str">
        <f t="shared" si="2681"/>
        <v/>
      </c>
      <c r="ES162" s="108" t="str">
        <f t="shared" si="2681"/>
        <v/>
      </c>
      <c r="ET162" s="108" t="str">
        <f t="shared" si="2681"/>
        <v/>
      </c>
      <c r="EU162" s="108" t="str">
        <f t="shared" si="2681"/>
        <v/>
      </c>
      <c r="EV162" s="108" t="str">
        <f t="shared" si="2681"/>
        <v/>
      </c>
      <c r="EW162" s="108" t="str">
        <f t="shared" si="2681"/>
        <v/>
      </c>
      <c r="EX162" s="108" t="str">
        <f t="shared" si="2681"/>
        <v/>
      </c>
      <c r="EY162" s="108" t="str">
        <f t="shared" si="2681"/>
        <v/>
      </c>
      <c r="EZ162" s="108" t="str">
        <f t="shared" si="2681"/>
        <v/>
      </c>
      <c r="FA162" s="108" t="str">
        <f t="shared" si="2681"/>
        <v/>
      </c>
      <c r="FB162" s="108" t="str">
        <f t="shared" si="2681"/>
        <v/>
      </c>
      <c r="FC162" s="108" t="str">
        <f t="shared" si="2681"/>
        <v/>
      </c>
      <c r="FD162" s="108" t="str">
        <f t="shared" si="2681"/>
        <v/>
      </c>
      <c r="FE162" s="108" t="str">
        <f t="shared" si="2681"/>
        <v/>
      </c>
      <c r="FF162" s="108" t="str">
        <f t="shared" si="2681"/>
        <v/>
      </c>
      <c r="FG162" s="108" t="str">
        <f t="shared" si="2681"/>
        <v/>
      </c>
      <c r="FH162" s="108" t="str">
        <f t="shared" si="2681"/>
        <v/>
      </c>
      <c r="FI162" s="108" t="str">
        <f t="shared" si="2681"/>
        <v/>
      </c>
      <c r="FJ162" s="108" t="str">
        <f t="shared" si="2681"/>
        <v/>
      </c>
      <c r="FK162" s="108" t="str">
        <f t="shared" si="2681"/>
        <v/>
      </c>
      <c r="FL162" s="108" t="str">
        <f t="shared" si="2681"/>
        <v/>
      </c>
      <c r="FM162" s="108" t="str">
        <f t="shared" si="2681"/>
        <v/>
      </c>
      <c r="FN162" s="108" t="str">
        <f t="shared" ref="FN162:FS162" si="2682">IF(CH162="","","|n"&amp;FN$2&amp;"+"&amp;CH162&amp;FN$1)</f>
        <v/>
      </c>
      <c r="FO162" s="108" t="str">
        <f t="shared" si="2682"/>
        <v/>
      </c>
      <c r="FP162" s="108" t="str">
        <f t="shared" si="2682"/>
        <v/>
      </c>
      <c r="FQ162" s="108" t="str">
        <f t="shared" si="2682"/>
        <v/>
      </c>
      <c r="FR162" s="108" t="str">
        <f t="shared" si="2682"/>
        <v/>
      </c>
      <c r="FS162" s="108" t="str">
        <f t="shared" si="2682"/>
        <v/>
      </c>
    </row>
    <row r="163" spans="1:175" s="29" customFormat="1" ht="16.5">
      <c r="A163" s="15"/>
      <c r="B163" s="9" t="s">
        <v>609</v>
      </c>
      <c r="C163" s="25" t="s">
        <v>610</v>
      </c>
      <c r="D163" s="12"/>
      <c r="E163" s="12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92"/>
      <c r="Q163" s="92"/>
      <c r="R163" s="92"/>
      <c r="S163" s="92"/>
      <c r="T163" s="16" t="s">
        <v>611</v>
      </c>
      <c r="U163" s="77" t="s">
        <v>612</v>
      </c>
      <c r="V163" s="102"/>
      <c r="W163" s="103"/>
      <c r="X163" s="103"/>
      <c r="Y163" s="103"/>
      <c r="Z163" s="103"/>
      <c r="AA163" s="103"/>
      <c r="AB163" s="103"/>
      <c r="AC163" s="103"/>
      <c r="AD163" s="103"/>
      <c r="AE163" s="103"/>
      <c r="AF163" s="103"/>
      <c r="AG163" s="103"/>
      <c r="AH163" s="103"/>
      <c r="AI163" s="103"/>
      <c r="AJ163" s="103"/>
      <c r="AK163" s="103"/>
      <c r="AL163" s="103"/>
      <c r="AM163" s="103"/>
      <c r="AN163" s="103"/>
      <c r="AO163" s="103"/>
      <c r="AP163" s="103"/>
      <c r="AQ163" s="103"/>
      <c r="AR163" s="106"/>
      <c r="AS163" s="106"/>
      <c r="AT163" s="103"/>
      <c r="AU163" s="103"/>
      <c r="AV163" s="103"/>
      <c r="AW163" s="103"/>
      <c r="AX163" s="103"/>
      <c r="AY163" s="103"/>
      <c r="AZ163" s="103"/>
      <c r="BA163" s="103"/>
      <c r="BB163" s="103"/>
      <c r="BC163" s="103"/>
      <c r="BD163" s="103"/>
      <c r="BE163" s="103"/>
      <c r="BF163" s="103"/>
      <c r="BG163" s="103"/>
      <c r="BH163" s="103"/>
      <c r="BI163" s="103"/>
      <c r="BJ163" s="103"/>
      <c r="BK163" s="103"/>
      <c r="BL163" s="103"/>
      <c r="BM163" s="103"/>
      <c r="BN163" s="103"/>
      <c r="BO163" s="103"/>
      <c r="BP163" s="103"/>
      <c r="BQ163" s="103"/>
      <c r="BR163" s="103"/>
      <c r="BS163" s="103"/>
      <c r="BT163" s="103"/>
      <c r="BU163" s="103"/>
      <c r="BV163" s="103"/>
      <c r="BW163" s="103"/>
      <c r="BX163" s="103"/>
      <c r="BY163" s="103"/>
      <c r="BZ163" s="103"/>
      <c r="CA163" s="103"/>
      <c r="CB163" s="103"/>
      <c r="CC163" s="103"/>
      <c r="CD163" s="103"/>
      <c r="CE163" s="103"/>
      <c r="CF163" s="103"/>
      <c r="CG163" s="103"/>
      <c r="CH163" s="103"/>
      <c r="CI163" s="103"/>
      <c r="CJ163" s="103"/>
      <c r="CK163" s="103"/>
      <c r="CL163" s="103"/>
      <c r="CM163" s="103"/>
      <c r="CN163" s="107" t="str">
        <f t="shared" si="2458"/>
        <v>InitUnitState('IP08',,,,,,,,,,)</v>
      </c>
      <c r="CO163" s="107" t="str">
        <f t="shared" si="2459"/>
        <v>InitUnitNormal('IP08',,,,,,,,,,)</v>
      </c>
      <c r="CP163" s="107" t="str">
        <f t="shared" si="2460"/>
        <v>InitUnitMagic('IP08',,,,,,,,,,)</v>
      </c>
      <c r="CQ163" s="107" t="str">
        <f t="shared" si="2461"/>
        <v>InitUnitAdd('IP08',,,,,,,,,,)</v>
      </c>
      <c r="CR163" s="107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170&amp;CR$1&amp;")"</f>
        <v>InitEquipData('IP08',,"",,,,,'','','','','','',"ReplaceableTextures\\CommandButtons\\BTNIT06.blp")</v>
      </c>
      <c r="CS163" s="107"/>
      <c r="CT163" s="107"/>
      <c r="CU163" s="88" t="str">
        <f t="shared" si="2606"/>
        <v>|n</v>
      </c>
      <c r="CV163" s="29" t="str">
        <f t="shared" si="2607"/>
        <v>使用后增加|Cffffd24d300点|r境界经验。</v>
      </c>
      <c r="CW163" s="33"/>
      <c r="CX163" s="33"/>
      <c r="CY163" s="33"/>
      <c r="CZ163" s="33"/>
      <c r="DA163" s="33"/>
      <c r="DB163" s="108" t="str">
        <f t="shared" ref="DB163:FM163" si="2683">IF(V163="","","|n"&amp;DB$2&amp;"+"&amp;V163&amp;DB$1)</f>
        <v/>
      </c>
      <c r="DC163" s="108" t="str">
        <f t="shared" si="2683"/>
        <v/>
      </c>
      <c r="DD163" s="108" t="str">
        <f t="shared" si="2683"/>
        <v/>
      </c>
      <c r="DE163" s="108" t="str">
        <f t="shared" si="2683"/>
        <v/>
      </c>
      <c r="DF163" s="108" t="str">
        <f t="shared" si="2683"/>
        <v/>
      </c>
      <c r="DG163" s="108" t="str">
        <f t="shared" si="2683"/>
        <v/>
      </c>
      <c r="DH163" s="108" t="str">
        <f t="shared" si="2683"/>
        <v/>
      </c>
      <c r="DI163" s="108" t="str">
        <f t="shared" si="2683"/>
        <v/>
      </c>
      <c r="DJ163" s="108" t="str">
        <f t="shared" si="2683"/>
        <v/>
      </c>
      <c r="DK163" s="108" t="str">
        <f t="shared" si="2683"/>
        <v/>
      </c>
      <c r="DL163" s="108" t="str">
        <f t="shared" si="2683"/>
        <v/>
      </c>
      <c r="DM163" s="108" t="str">
        <f t="shared" si="2683"/>
        <v/>
      </c>
      <c r="DN163" s="108" t="str">
        <f t="shared" si="2683"/>
        <v/>
      </c>
      <c r="DO163" s="108" t="str">
        <f t="shared" si="2683"/>
        <v/>
      </c>
      <c r="DP163" s="108" t="str">
        <f t="shared" si="2683"/>
        <v/>
      </c>
      <c r="DQ163" s="108" t="str">
        <f t="shared" si="2683"/>
        <v/>
      </c>
      <c r="DR163" s="108" t="str">
        <f t="shared" si="2683"/>
        <v/>
      </c>
      <c r="DS163" s="108" t="str">
        <f t="shared" si="2683"/>
        <v/>
      </c>
      <c r="DT163" s="108" t="str">
        <f t="shared" si="2683"/>
        <v/>
      </c>
      <c r="DU163" s="108" t="str">
        <f t="shared" si="2683"/>
        <v/>
      </c>
      <c r="DV163" s="108" t="str">
        <f t="shared" si="2683"/>
        <v/>
      </c>
      <c r="DW163" s="108" t="str">
        <f t="shared" si="2683"/>
        <v/>
      </c>
      <c r="DX163" s="108" t="str">
        <f t="shared" si="2683"/>
        <v/>
      </c>
      <c r="DY163" s="108" t="str">
        <f t="shared" si="2683"/>
        <v/>
      </c>
      <c r="DZ163" s="108" t="str">
        <f t="shared" si="2683"/>
        <v/>
      </c>
      <c r="EA163" s="108" t="str">
        <f t="shared" si="2683"/>
        <v/>
      </c>
      <c r="EB163" s="108" t="str">
        <f t="shared" si="2683"/>
        <v/>
      </c>
      <c r="EC163" s="108" t="str">
        <f t="shared" si="2683"/>
        <v/>
      </c>
      <c r="ED163" s="108" t="str">
        <f t="shared" si="2683"/>
        <v/>
      </c>
      <c r="EE163" s="108" t="str">
        <f t="shared" si="2683"/>
        <v/>
      </c>
      <c r="EF163" s="108" t="str">
        <f t="shared" si="2683"/>
        <v/>
      </c>
      <c r="EG163" s="108" t="str">
        <f t="shared" si="2683"/>
        <v/>
      </c>
      <c r="EH163" s="108" t="str">
        <f t="shared" si="2683"/>
        <v/>
      </c>
      <c r="EI163" s="108" t="str">
        <f t="shared" si="2683"/>
        <v/>
      </c>
      <c r="EJ163" s="108" t="str">
        <f t="shared" si="2683"/>
        <v/>
      </c>
      <c r="EK163" s="108" t="str">
        <f t="shared" si="2683"/>
        <v/>
      </c>
      <c r="EL163" s="108" t="str">
        <f t="shared" si="2683"/>
        <v/>
      </c>
      <c r="EM163" s="108" t="str">
        <f t="shared" si="2683"/>
        <v/>
      </c>
      <c r="EN163" s="108" t="str">
        <f t="shared" si="2683"/>
        <v/>
      </c>
      <c r="EO163" s="108" t="str">
        <f t="shared" si="2683"/>
        <v/>
      </c>
      <c r="EP163" s="108" t="str">
        <f t="shared" si="2683"/>
        <v/>
      </c>
      <c r="EQ163" s="108" t="str">
        <f t="shared" si="2683"/>
        <v/>
      </c>
      <c r="ER163" s="108" t="str">
        <f t="shared" si="2683"/>
        <v/>
      </c>
      <c r="ES163" s="108" t="str">
        <f t="shared" si="2683"/>
        <v/>
      </c>
      <c r="ET163" s="108" t="str">
        <f t="shared" si="2683"/>
        <v/>
      </c>
      <c r="EU163" s="108" t="str">
        <f t="shared" si="2683"/>
        <v/>
      </c>
      <c r="EV163" s="108" t="str">
        <f t="shared" si="2683"/>
        <v/>
      </c>
      <c r="EW163" s="108" t="str">
        <f t="shared" si="2683"/>
        <v/>
      </c>
      <c r="EX163" s="108" t="str">
        <f t="shared" si="2683"/>
        <v/>
      </c>
      <c r="EY163" s="108" t="str">
        <f t="shared" si="2683"/>
        <v/>
      </c>
      <c r="EZ163" s="108" t="str">
        <f t="shared" si="2683"/>
        <v/>
      </c>
      <c r="FA163" s="108" t="str">
        <f t="shared" si="2683"/>
        <v/>
      </c>
      <c r="FB163" s="108" t="str">
        <f t="shared" si="2683"/>
        <v/>
      </c>
      <c r="FC163" s="108" t="str">
        <f t="shared" si="2683"/>
        <v/>
      </c>
      <c r="FD163" s="108" t="str">
        <f t="shared" si="2683"/>
        <v/>
      </c>
      <c r="FE163" s="108" t="str">
        <f t="shared" si="2683"/>
        <v/>
      </c>
      <c r="FF163" s="108" t="str">
        <f t="shared" si="2683"/>
        <v/>
      </c>
      <c r="FG163" s="108" t="str">
        <f t="shared" si="2683"/>
        <v/>
      </c>
      <c r="FH163" s="108" t="str">
        <f t="shared" si="2683"/>
        <v/>
      </c>
      <c r="FI163" s="108" t="str">
        <f t="shared" si="2683"/>
        <v/>
      </c>
      <c r="FJ163" s="108" t="str">
        <f t="shared" si="2683"/>
        <v/>
      </c>
      <c r="FK163" s="108" t="str">
        <f t="shared" si="2683"/>
        <v/>
      </c>
      <c r="FL163" s="108" t="str">
        <f t="shared" si="2683"/>
        <v/>
      </c>
      <c r="FM163" s="108" t="str">
        <f t="shared" si="2683"/>
        <v/>
      </c>
      <c r="FN163" s="108" t="str">
        <f t="shared" ref="FN163:FS163" si="2684">IF(CH163="","","|n"&amp;FN$2&amp;"+"&amp;CH163&amp;FN$1)</f>
        <v/>
      </c>
      <c r="FO163" s="108" t="str">
        <f t="shared" si="2684"/>
        <v/>
      </c>
      <c r="FP163" s="108" t="str">
        <f t="shared" si="2684"/>
        <v/>
      </c>
      <c r="FQ163" s="108" t="str">
        <f t="shared" si="2684"/>
        <v/>
      </c>
      <c r="FR163" s="108" t="str">
        <f t="shared" si="2684"/>
        <v/>
      </c>
      <c r="FS163" s="108" t="str">
        <f t="shared" si="2684"/>
        <v/>
      </c>
    </row>
    <row r="164" spans="1:175" s="29" customFormat="1" ht="16.5">
      <c r="A164" s="15"/>
      <c r="B164" s="9" t="s">
        <v>613</v>
      </c>
      <c r="C164" s="25" t="s">
        <v>614</v>
      </c>
      <c r="D164" s="12"/>
      <c r="E164" s="12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92"/>
      <c r="Q164" s="92"/>
      <c r="R164" s="92"/>
      <c r="S164" s="92"/>
      <c r="T164" s="16" t="s">
        <v>615</v>
      </c>
      <c r="U164" s="77" t="s">
        <v>616</v>
      </c>
      <c r="V164" s="102"/>
      <c r="W164" s="103"/>
      <c r="X164" s="103"/>
      <c r="Y164" s="103"/>
      <c r="Z164" s="103"/>
      <c r="AA164" s="103"/>
      <c r="AB164" s="103"/>
      <c r="AC164" s="103"/>
      <c r="AD164" s="103"/>
      <c r="AE164" s="103"/>
      <c r="AF164" s="103"/>
      <c r="AG164" s="103"/>
      <c r="AH164" s="103"/>
      <c r="AI164" s="103"/>
      <c r="AJ164" s="103"/>
      <c r="AK164" s="103"/>
      <c r="AL164" s="103"/>
      <c r="AM164" s="103"/>
      <c r="AN164" s="103"/>
      <c r="AO164" s="103"/>
      <c r="AP164" s="103"/>
      <c r="AQ164" s="103"/>
      <c r="AR164" s="106"/>
      <c r="AS164" s="106"/>
      <c r="AT164" s="103"/>
      <c r="AU164" s="103"/>
      <c r="AV164" s="103"/>
      <c r="AW164" s="103"/>
      <c r="AX164" s="103"/>
      <c r="AY164" s="103"/>
      <c r="AZ164" s="103"/>
      <c r="BA164" s="103"/>
      <c r="BB164" s="103"/>
      <c r="BC164" s="103"/>
      <c r="BD164" s="103"/>
      <c r="BE164" s="103"/>
      <c r="BF164" s="103"/>
      <c r="BG164" s="103"/>
      <c r="BH164" s="103"/>
      <c r="BI164" s="103"/>
      <c r="BJ164" s="103"/>
      <c r="BK164" s="103"/>
      <c r="BL164" s="103"/>
      <c r="BM164" s="103"/>
      <c r="BN164" s="103"/>
      <c r="BO164" s="103"/>
      <c r="BP164" s="103"/>
      <c r="BQ164" s="103"/>
      <c r="BR164" s="103"/>
      <c r="BS164" s="103"/>
      <c r="BT164" s="103"/>
      <c r="BU164" s="103"/>
      <c r="BV164" s="103"/>
      <c r="BW164" s="103"/>
      <c r="BX164" s="103"/>
      <c r="BY164" s="103"/>
      <c r="BZ164" s="103"/>
      <c r="CA164" s="103"/>
      <c r="CB164" s="103"/>
      <c r="CC164" s="103"/>
      <c r="CD164" s="103"/>
      <c r="CE164" s="103"/>
      <c r="CF164" s="103"/>
      <c r="CG164" s="103"/>
      <c r="CH164" s="103"/>
      <c r="CI164" s="103"/>
      <c r="CJ164" s="103"/>
      <c r="CK164" s="103"/>
      <c r="CL164" s="103"/>
      <c r="CM164" s="103"/>
      <c r="CN164" s="107" t="str">
        <f t="shared" si="2458"/>
        <v>InitUnitState('IP09',,,,,,,,,,)</v>
      </c>
      <c r="CO164" s="107" t="str">
        <f t="shared" si="2459"/>
        <v>InitUnitNormal('IP09',,,,,,,,,,)</v>
      </c>
      <c r="CP164" s="107" t="str">
        <f t="shared" si="2460"/>
        <v>InitUnitMagic('IP09',,,,,,,,,,)</v>
      </c>
      <c r="CQ164" s="107" t="str">
        <f t="shared" si="2461"/>
        <v>InitUnitAdd('IP09',,,,,,,,,,)</v>
      </c>
      <c r="CR164" s="107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171&amp;CR$1&amp;")"</f>
        <v>InitEquipData('IP09',,"",,,,,'','','','','','',"ReplaceableTextures\\CommandButtons\\BTNIT07.blp")</v>
      </c>
      <c r="CS164" s="107"/>
      <c r="CT164" s="107"/>
      <c r="CU164" s="88" t="str">
        <f t="shared" si="2606"/>
        <v>|n</v>
      </c>
      <c r="CV164" s="29" t="str">
        <f t="shared" si="2607"/>
        <v>使用后增加|Cffffd24d500点|r境界经验。</v>
      </c>
      <c r="CW164" s="33"/>
      <c r="CX164" s="33"/>
      <c r="CY164" s="33"/>
      <c r="CZ164" s="33"/>
      <c r="DA164" s="33"/>
      <c r="DB164" s="108" t="str">
        <f t="shared" ref="DB164:FM164" si="2685">IF(V164="","","|n"&amp;DB$2&amp;"+"&amp;V164&amp;DB$1)</f>
        <v/>
      </c>
      <c r="DC164" s="108" t="str">
        <f t="shared" si="2685"/>
        <v/>
      </c>
      <c r="DD164" s="108" t="str">
        <f t="shared" si="2685"/>
        <v/>
      </c>
      <c r="DE164" s="108" t="str">
        <f t="shared" si="2685"/>
        <v/>
      </c>
      <c r="DF164" s="108" t="str">
        <f t="shared" si="2685"/>
        <v/>
      </c>
      <c r="DG164" s="108" t="str">
        <f t="shared" si="2685"/>
        <v/>
      </c>
      <c r="DH164" s="108" t="str">
        <f t="shared" si="2685"/>
        <v/>
      </c>
      <c r="DI164" s="108" t="str">
        <f t="shared" si="2685"/>
        <v/>
      </c>
      <c r="DJ164" s="108" t="str">
        <f t="shared" si="2685"/>
        <v/>
      </c>
      <c r="DK164" s="108" t="str">
        <f t="shared" si="2685"/>
        <v/>
      </c>
      <c r="DL164" s="108" t="str">
        <f t="shared" si="2685"/>
        <v/>
      </c>
      <c r="DM164" s="108" t="str">
        <f t="shared" si="2685"/>
        <v/>
      </c>
      <c r="DN164" s="108" t="str">
        <f t="shared" si="2685"/>
        <v/>
      </c>
      <c r="DO164" s="108" t="str">
        <f t="shared" si="2685"/>
        <v/>
      </c>
      <c r="DP164" s="108" t="str">
        <f t="shared" si="2685"/>
        <v/>
      </c>
      <c r="DQ164" s="108" t="str">
        <f t="shared" si="2685"/>
        <v/>
      </c>
      <c r="DR164" s="108" t="str">
        <f t="shared" si="2685"/>
        <v/>
      </c>
      <c r="DS164" s="108" t="str">
        <f t="shared" si="2685"/>
        <v/>
      </c>
      <c r="DT164" s="108" t="str">
        <f t="shared" si="2685"/>
        <v/>
      </c>
      <c r="DU164" s="108" t="str">
        <f t="shared" si="2685"/>
        <v/>
      </c>
      <c r="DV164" s="108" t="str">
        <f t="shared" si="2685"/>
        <v/>
      </c>
      <c r="DW164" s="108" t="str">
        <f t="shared" si="2685"/>
        <v/>
      </c>
      <c r="DX164" s="108" t="str">
        <f t="shared" si="2685"/>
        <v/>
      </c>
      <c r="DY164" s="108" t="str">
        <f t="shared" si="2685"/>
        <v/>
      </c>
      <c r="DZ164" s="108" t="str">
        <f t="shared" si="2685"/>
        <v/>
      </c>
      <c r="EA164" s="108" t="str">
        <f t="shared" si="2685"/>
        <v/>
      </c>
      <c r="EB164" s="108" t="str">
        <f t="shared" si="2685"/>
        <v/>
      </c>
      <c r="EC164" s="108" t="str">
        <f t="shared" si="2685"/>
        <v/>
      </c>
      <c r="ED164" s="108" t="str">
        <f t="shared" si="2685"/>
        <v/>
      </c>
      <c r="EE164" s="108" t="str">
        <f t="shared" si="2685"/>
        <v/>
      </c>
      <c r="EF164" s="108" t="str">
        <f t="shared" si="2685"/>
        <v/>
      </c>
      <c r="EG164" s="108" t="str">
        <f t="shared" si="2685"/>
        <v/>
      </c>
      <c r="EH164" s="108" t="str">
        <f t="shared" si="2685"/>
        <v/>
      </c>
      <c r="EI164" s="108" t="str">
        <f t="shared" si="2685"/>
        <v/>
      </c>
      <c r="EJ164" s="108" t="str">
        <f t="shared" si="2685"/>
        <v/>
      </c>
      <c r="EK164" s="108" t="str">
        <f t="shared" si="2685"/>
        <v/>
      </c>
      <c r="EL164" s="108" t="str">
        <f t="shared" si="2685"/>
        <v/>
      </c>
      <c r="EM164" s="108" t="str">
        <f t="shared" si="2685"/>
        <v/>
      </c>
      <c r="EN164" s="108" t="str">
        <f t="shared" si="2685"/>
        <v/>
      </c>
      <c r="EO164" s="108" t="str">
        <f t="shared" si="2685"/>
        <v/>
      </c>
      <c r="EP164" s="108" t="str">
        <f t="shared" si="2685"/>
        <v/>
      </c>
      <c r="EQ164" s="108" t="str">
        <f t="shared" si="2685"/>
        <v/>
      </c>
      <c r="ER164" s="108" t="str">
        <f t="shared" si="2685"/>
        <v/>
      </c>
      <c r="ES164" s="108" t="str">
        <f t="shared" si="2685"/>
        <v/>
      </c>
      <c r="ET164" s="108" t="str">
        <f t="shared" si="2685"/>
        <v/>
      </c>
      <c r="EU164" s="108" t="str">
        <f t="shared" si="2685"/>
        <v/>
      </c>
      <c r="EV164" s="108" t="str">
        <f t="shared" si="2685"/>
        <v/>
      </c>
      <c r="EW164" s="108" t="str">
        <f t="shared" si="2685"/>
        <v/>
      </c>
      <c r="EX164" s="108" t="str">
        <f t="shared" si="2685"/>
        <v/>
      </c>
      <c r="EY164" s="108" t="str">
        <f t="shared" si="2685"/>
        <v/>
      </c>
      <c r="EZ164" s="108" t="str">
        <f t="shared" si="2685"/>
        <v/>
      </c>
      <c r="FA164" s="108" t="str">
        <f t="shared" si="2685"/>
        <v/>
      </c>
      <c r="FB164" s="108" t="str">
        <f t="shared" si="2685"/>
        <v/>
      </c>
      <c r="FC164" s="108" t="str">
        <f t="shared" si="2685"/>
        <v/>
      </c>
      <c r="FD164" s="108" t="str">
        <f t="shared" si="2685"/>
        <v/>
      </c>
      <c r="FE164" s="108" t="str">
        <f t="shared" si="2685"/>
        <v/>
      </c>
      <c r="FF164" s="108" t="str">
        <f t="shared" si="2685"/>
        <v/>
      </c>
      <c r="FG164" s="108" t="str">
        <f t="shared" si="2685"/>
        <v/>
      </c>
      <c r="FH164" s="108" t="str">
        <f t="shared" si="2685"/>
        <v/>
      </c>
      <c r="FI164" s="108" t="str">
        <f t="shared" si="2685"/>
        <v/>
      </c>
      <c r="FJ164" s="108" t="str">
        <f t="shared" si="2685"/>
        <v/>
      </c>
      <c r="FK164" s="108" t="str">
        <f t="shared" si="2685"/>
        <v/>
      </c>
      <c r="FL164" s="108" t="str">
        <f t="shared" si="2685"/>
        <v/>
      </c>
      <c r="FM164" s="108" t="str">
        <f t="shared" si="2685"/>
        <v/>
      </c>
      <c r="FN164" s="108" t="str">
        <f t="shared" ref="FN164:FS164" si="2686">IF(CH164="","","|n"&amp;FN$2&amp;"+"&amp;CH164&amp;FN$1)</f>
        <v/>
      </c>
      <c r="FO164" s="108" t="str">
        <f t="shared" si="2686"/>
        <v/>
      </c>
      <c r="FP164" s="108" t="str">
        <f t="shared" si="2686"/>
        <v/>
      </c>
      <c r="FQ164" s="108" t="str">
        <f t="shared" si="2686"/>
        <v/>
      </c>
      <c r="FR164" s="108" t="str">
        <f t="shared" si="2686"/>
        <v/>
      </c>
      <c r="FS164" s="108" t="str">
        <f t="shared" si="2686"/>
        <v/>
      </c>
    </row>
    <row r="165" spans="1:175" ht="71.25">
      <c r="A165" s="15"/>
      <c r="B165" s="9" t="s">
        <v>617</v>
      </c>
      <c r="C165" s="15" t="s">
        <v>618</v>
      </c>
      <c r="R165" s="60">
        <v>-8086</v>
      </c>
      <c r="S165" s="60">
        <v>-3245</v>
      </c>
      <c r="T165" s="105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5" s="77" t="str">
        <f t="shared" ref="U165:U179" si="2687">"ReplaceableTextures\\CommandButtons\\BTN"&amp;B165&amp;".blp"</f>
        <v>ReplaceableTextures\\CommandButtons\\BTNIT01.blp</v>
      </c>
      <c r="CN165" s="36" t="str">
        <f t="shared" ref="CN165:CN178" si="2688">"InitUnitState('"&amp;B165&amp;"',"&amp;V165&amp;","&amp;W165&amp;","&amp;X165&amp;","&amp;Y165&amp;","&amp;Z165&amp;","&amp;AA165&amp;","&amp;AB165&amp;","&amp;AC165&amp;","&amp;AD165&amp;","&amp;AE165&amp;")"</f>
        <v>InitUnitState('IT01',,,,,,,,,,)</v>
      </c>
      <c r="CO165" s="36" t="str">
        <f t="shared" ref="CO165:CO178" si="2689">"InitUnitNormal('"&amp;B165&amp;"',"&amp;AF165&amp;","&amp;AG165&amp;","&amp;AH165&amp;","&amp;AI165&amp;","&amp;AJ165&amp;","&amp;AK165&amp;","&amp;AL165&amp;","&amp;AM165&amp;","&amp;AN165&amp;","&amp;AO165&amp;")"</f>
        <v>InitUnitNormal('IT01',,,,,,,,,,)</v>
      </c>
      <c r="CP165" s="36" t="str">
        <f t="shared" ref="CP165:CP178" si="2690">"InitUnitMagic('"&amp;B165&amp;"',"&amp;AP165&amp;","&amp;AQ165&amp;","&amp;AR165&amp;","&amp;AS165&amp;","&amp;AT165&amp;","&amp;AU165&amp;","&amp;AV165&amp;","&amp;AW165&amp;","&amp;BI165&amp;","&amp;BJ165&amp;")"</f>
        <v>InitUnitMagic('IT01',,,,,,,,,,)</v>
      </c>
      <c r="CQ165" s="36" t="str">
        <f t="shared" ref="CQ165:CQ178" si="2691">"InitUnitAdd('"&amp;B165&amp;"',"&amp;BK165&amp;","&amp;BL165&amp;","&amp;BM165&amp;","&amp;BN165&amp;","&amp;BO165&amp;","&amp;BP165&amp;","&amp;BQ165&amp;","&amp;BR165&amp;","&amp;BS165&amp;","&amp;BT165&amp;")"</f>
        <v>InitUnitAdd('IT01',,,,,,,,,,)</v>
      </c>
      <c r="CR165" s="36" t="str">
        <f t="shared" ref="CR165:CR173" si="2692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InitEquipData('IT01',,"",,,,,'','','','','','',"ReplaceableTextures\\CommandButtons\\BTNIT02.blp")</v>
      </c>
      <c r="CU165" s="88" t="str">
        <f t="shared" ref="CU165" si="269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19" t="str">
        <f t="shared" ref="CV165:CV166" si="2694">T165</f>
        <v>渡过该劫后可结成|CffCCCCCC低级道果|r。|n|n|CffCCCCCC低级道果：|r|n攻击+7500|n生命值+30000|n物理伤害+20%|n法术伤害+20%|n杀敌攻击+8|n杀敌业力+1|n杀敌生命+30|n</v>
      </c>
      <c r="CW165" s="33"/>
      <c r="CX165" s="33"/>
      <c r="CY165" s="33"/>
      <c r="CZ165" s="33"/>
      <c r="DA165" s="33"/>
      <c r="DB165" s="66" t="str">
        <f t="shared" ref="DB165" si="2695">IF(V165="","","|n"&amp;DB$2&amp;"+"&amp;V165&amp;DB$1)</f>
        <v/>
      </c>
      <c r="DC165" s="66" t="str">
        <f t="shared" ref="DC165" si="2696">IF(W165="","","|n"&amp;DC$2&amp;"+"&amp;W165&amp;DC$1)</f>
        <v/>
      </c>
      <c r="DD165" s="66" t="str">
        <f t="shared" ref="DD165" si="2697">IF(X165="","","|n"&amp;DD$2&amp;"+"&amp;X165&amp;DD$1)</f>
        <v/>
      </c>
      <c r="DE165" s="66" t="str">
        <f t="shared" ref="DE165" si="2698">IF(Y165="","","|n"&amp;DE$2&amp;"+"&amp;Y165&amp;DE$1)</f>
        <v/>
      </c>
      <c r="DF165" s="66" t="str">
        <f t="shared" ref="DF165" si="2699">IF(Z165="","","|n"&amp;DF$2&amp;"+"&amp;Z165&amp;DF$1)</f>
        <v/>
      </c>
      <c r="DG165" s="66" t="str">
        <f t="shared" ref="DG165" si="2700">IF(AA165="","","|n"&amp;DG$2&amp;"+"&amp;AA165&amp;DG$1)</f>
        <v/>
      </c>
      <c r="DH165" s="66" t="str">
        <f t="shared" ref="DH165" si="2701">IF(AB165="","","|n"&amp;DH$2&amp;"+"&amp;AB165&amp;DH$1)</f>
        <v/>
      </c>
      <c r="DI165" s="66" t="str">
        <f t="shared" ref="DI165" si="2702">IF(AC165="","","|n"&amp;DI$2&amp;"+"&amp;AC165&amp;DI$1)</f>
        <v/>
      </c>
      <c r="DJ165" s="66" t="str">
        <f t="shared" ref="DJ165" si="2703">IF(AD165="","","|n"&amp;DJ$2&amp;"+"&amp;AD165&amp;DJ$1)</f>
        <v/>
      </c>
      <c r="DK165" s="66" t="str">
        <f t="shared" ref="DK165" si="2704">IF(AE165="","","|n"&amp;DK$2&amp;"+"&amp;AE165&amp;DK$1)</f>
        <v/>
      </c>
      <c r="DL165" s="66" t="str">
        <f t="shared" ref="DL165" si="2705">IF(AF165="","","|n"&amp;DL$2&amp;"+"&amp;AF165&amp;DL$1)</f>
        <v/>
      </c>
      <c r="DM165" s="66" t="str">
        <f t="shared" ref="DM165" si="2706">IF(AG165="","","|n"&amp;DM$2&amp;"+"&amp;AG165&amp;DM$1)</f>
        <v/>
      </c>
      <c r="DN165" s="66" t="str">
        <f t="shared" ref="DN165" si="2707">IF(AH165="","","|n"&amp;DN$2&amp;"+"&amp;AH165&amp;DN$1)</f>
        <v/>
      </c>
      <c r="DO165" s="66" t="str">
        <f t="shared" ref="DO165" si="2708">IF(AI165="","","|n"&amp;DO$2&amp;"+"&amp;AI165&amp;DO$1)</f>
        <v/>
      </c>
      <c r="DP165" s="66" t="str">
        <f t="shared" ref="DP165" si="2709">IF(AJ165="","","|n"&amp;DP$2&amp;"+"&amp;AJ165&amp;DP$1)</f>
        <v/>
      </c>
      <c r="DQ165" s="66" t="str">
        <f t="shared" ref="DQ165" si="2710">IF(AK165="","","|n"&amp;DQ$2&amp;"+"&amp;AK165&amp;DQ$1)</f>
        <v/>
      </c>
      <c r="DR165" s="66" t="str">
        <f t="shared" ref="DR165" si="2711">IF(AL165="","","|n"&amp;DR$2&amp;"+"&amp;AL165&amp;DR$1)</f>
        <v/>
      </c>
      <c r="DS165" s="66" t="str">
        <f t="shared" ref="DS165" si="2712">IF(AM165="","","|n"&amp;DS$2&amp;"+"&amp;AM165&amp;DS$1)</f>
        <v/>
      </c>
      <c r="DT165" s="66" t="str">
        <f t="shared" ref="DT165" si="2713">IF(AN165="","","|n"&amp;DT$2&amp;"+"&amp;AN165&amp;DT$1)</f>
        <v/>
      </c>
      <c r="DU165" s="66" t="str">
        <f t="shared" ref="DU165" si="2714">IF(AO165="","","|n"&amp;DU$2&amp;"+"&amp;AO165&amp;DU$1)</f>
        <v/>
      </c>
      <c r="DV165" s="66" t="str">
        <f t="shared" ref="DV165" si="2715">IF(AP165="","","|n"&amp;DV$2&amp;"+"&amp;AP165&amp;DV$1)</f>
        <v/>
      </c>
      <c r="DW165" s="66" t="str">
        <f t="shared" ref="DW165" si="2716">IF(AQ165="","","|n"&amp;DW$2&amp;"+"&amp;AQ165&amp;DW$1)</f>
        <v/>
      </c>
      <c r="DX165" s="66" t="str">
        <f t="shared" ref="DX165" si="2717">IF(AR165="","","|n"&amp;DX$2&amp;"+"&amp;AR165&amp;DX$1)</f>
        <v/>
      </c>
      <c r="DY165" s="66" t="str">
        <f t="shared" ref="DY165" si="2718">IF(AS165="","","|n"&amp;DY$2&amp;"+"&amp;AS165&amp;DY$1)</f>
        <v/>
      </c>
      <c r="DZ165" s="66" t="str">
        <f t="shared" ref="DZ165" si="2719">IF(AT165="","","|n"&amp;DZ$2&amp;"+"&amp;AT165&amp;DZ$1)</f>
        <v/>
      </c>
      <c r="EA165" s="66" t="str">
        <f t="shared" ref="EA165" si="2720">IF(AU165="","","|n"&amp;EA$2&amp;"+"&amp;AU165&amp;EA$1)</f>
        <v/>
      </c>
      <c r="EB165" s="66" t="str">
        <f t="shared" ref="EB165" si="2721">IF(AV165="","","|n"&amp;EB$2&amp;"+"&amp;AV165&amp;EB$1)</f>
        <v/>
      </c>
      <c r="EC165" s="66" t="str">
        <f t="shared" ref="EC165" si="2722">IF(AW165="","","|n"&amp;EC$2&amp;"+"&amp;AW165&amp;EC$1)</f>
        <v/>
      </c>
      <c r="ED165" s="66" t="str">
        <f t="shared" ref="ED165" si="2723">IF(AX165="","","|n"&amp;ED$2&amp;"+"&amp;AX165&amp;ED$1)</f>
        <v/>
      </c>
      <c r="EE165" s="66" t="str">
        <f t="shared" ref="EE165" si="2724">IF(AY165="","","|n"&amp;EE$2&amp;"+"&amp;AY165&amp;EE$1)</f>
        <v/>
      </c>
      <c r="EF165" s="66" t="str">
        <f t="shared" ref="EF165" si="2725">IF(AZ165="","","|n"&amp;EF$2&amp;"+"&amp;AZ165&amp;EF$1)</f>
        <v/>
      </c>
      <c r="EG165" s="66" t="str">
        <f t="shared" ref="EG165" si="2726">IF(BA165="","","|n"&amp;EG$2&amp;"+"&amp;BA165&amp;EG$1)</f>
        <v/>
      </c>
      <c r="EH165" s="66" t="str">
        <f t="shared" ref="EH165" si="2727">IF(BB165="","","|n"&amp;EH$2&amp;"+"&amp;BB165&amp;EH$1)</f>
        <v/>
      </c>
      <c r="EI165" s="66" t="str">
        <f t="shared" ref="EI165" si="2728">IF(BC165="","","|n"&amp;EI$2&amp;"+"&amp;BC165&amp;EI$1)</f>
        <v/>
      </c>
      <c r="EJ165" s="66" t="str">
        <f t="shared" ref="EJ165" si="2729">IF(BD165="","","|n"&amp;EJ$2&amp;"+"&amp;BD165&amp;EJ$1)</f>
        <v/>
      </c>
      <c r="EK165" s="66" t="str">
        <f t="shared" ref="EK165" si="2730">IF(BE165="","","|n"&amp;EK$2&amp;"+"&amp;BE165&amp;EK$1)</f>
        <v/>
      </c>
      <c r="EL165" s="66" t="str">
        <f t="shared" ref="EL165" si="2731">IF(BF165="","","|n"&amp;EL$2&amp;"+"&amp;BF165&amp;EL$1)</f>
        <v/>
      </c>
      <c r="EM165" s="66" t="str">
        <f t="shared" ref="EM165" si="2732">IF(BG165="","","|n"&amp;EM$2&amp;"+"&amp;BG165&amp;EM$1)</f>
        <v/>
      </c>
      <c r="EN165" s="66" t="str">
        <f t="shared" ref="EN165" si="2733">IF(BH165="","","|n"&amp;EN$2&amp;"+"&amp;BH165&amp;EN$1)</f>
        <v/>
      </c>
      <c r="EO165" s="66" t="str">
        <f t="shared" ref="EO165" si="2734">IF(BI165="","","|n"&amp;EO$2&amp;"+"&amp;BI165&amp;EO$1)</f>
        <v/>
      </c>
      <c r="EP165" s="66" t="str">
        <f t="shared" ref="EP165" si="2735">IF(BJ165="","","|n"&amp;EP$2&amp;"+"&amp;BJ165&amp;EP$1)</f>
        <v/>
      </c>
      <c r="EQ165" s="66" t="str">
        <f t="shared" ref="EQ165" si="2736">IF(BK165="","","|n"&amp;EQ$2&amp;"+"&amp;BK165&amp;EQ$1)</f>
        <v/>
      </c>
      <c r="ER165" s="66" t="str">
        <f t="shared" ref="ER165" si="2737">IF(BL165="","","|n"&amp;ER$2&amp;"+"&amp;BL165&amp;ER$1)</f>
        <v/>
      </c>
      <c r="ES165" s="66" t="str">
        <f t="shared" ref="ES165" si="2738">IF(BM165="","","|n"&amp;ES$2&amp;"+"&amp;BM165&amp;ES$1)</f>
        <v/>
      </c>
      <c r="ET165" s="66" t="str">
        <f t="shared" ref="ET165" si="2739">IF(BN165="","","|n"&amp;ET$2&amp;"+"&amp;BN165&amp;ET$1)</f>
        <v/>
      </c>
      <c r="EU165" s="66" t="str">
        <f t="shared" ref="EU165" si="2740">IF(BO165="","","|n"&amp;EU$2&amp;"+"&amp;BO165&amp;EU$1)</f>
        <v/>
      </c>
      <c r="EV165" s="66" t="str">
        <f t="shared" ref="EV165" si="2741">IF(BP165="","","|n"&amp;EV$2&amp;"+"&amp;BP165&amp;EV$1)</f>
        <v/>
      </c>
      <c r="EW165" s="66" t="str">
        <f t="shared" ref="EW165" si="2742">IF(BQ165="","","|n"&amp;EW$2&amp;"+"&amp;BQ165&amp;EW$1)</f>
        <v/>
      </c>
      <c r="EX165" s="66" t="str">
        <f t="shared" ref="EX165" si="2743">IF(BR165="","","|n"&amp;EX$2&amp;"+"&amp;BR165&amp;EX$1)</f>
        <v/>
      </c>
      <c r="EY165" s="66" t="str">
        <f t="shared" ref="EY165" si="2744">IF(BS165="","","|n"&amp;EY$2&amp;"+"&amp;BS165&amp;EY$1)</f>
        <v/>
      </c>
      <c r="EZ165" s="66" t="str">
        <f t="shared" ref="EZ165" si="2745">IF(BT165="","","|n"&amp;EZ$2&amp;"+"&amp;BT165&amp;EZ$1)</f>
        <v/>
      </c>
      <c r="FA165" s="66" t="str">
        <f t="shared" ref="FA165" si="2746">IF(BU165="","","|n"&amp;FA$2&amp;"+"&amp;BU165&amp;FA$1)</f>
        <v/>
      </c>
      <c r="FB165" s="66" t="str">
        <f t="shared" ref="FB165" si="2747">IF(BV165="","","|n"&amp;FB$2&amp;"+"&amp;BV165&amp;FB$1)</f>
        <v/>
      </c>
      <c r="FC165" s="66" t="str">
        <f t="shared" ref="FC165" si="2748">IF(BW165="","","|n"&amp;FC$2&amp;"+"&amp;BW165&amp;FC$1)</f>
        <v/>
      </c>
      <c r="FD165" s="66" t="str">
        <f t="shared" ref="FD165" si="2749">IF(BX165="","","|n"&amp;FD$2&amp;"+"&amp;BX165&amp;FD$1)</f>
        <v/>
      </c>
      <c r="FE165" s="66" t="str">
        <f t="shared" ref="FE165" si="2750">IF(BY165="","","|n"&amp;FE$2&amp;"+"&amp;BY165&amp;FE$1)</f>
        <v/>
      </c>
      <c r="FF165" s="66" t="str">
        <f t="shared" ref="FF165" si="2751">IF(BZ165="","","|n"&amp;FF$2&amp;"+"&amp;BZ165&amp;FF$1)</f>
        <v/>
      </c>
      <c r="FG165" s="66" t="str">
        <f t="shared" ref="FG165" si="2752">IF(CA165="","","|n"&amp;FG$2&amp;"+"&amp;CA165&amp;FG$1)</f>
        <v/>
      </c>
      <c r="FH165" s="66" t="str">
        <f t="shared" ref="FH165" si="2753">IF(CB165="","","|n"&amp;FH$2&amp;"+"&amp;CB165&amp;FH$1)</f>
        <v/>
      </c>
      <c r="FI165" s="66" t="str">
        <f t="shared" ref="FI165" si="2754">IF(CC165="","","|n"&amp;FI$2&amp;"+"&amp;CC165&amp;FI$1)</f>
        <v/>
      </c>
      <c r="FJ165" s="66" t="str">
        <f t="shared" ref="FJ165" si="2755">IF(CD165="","","|n"&amp;FJ$2&amp;"+"&amp;CD165&amp;FJ$1)</f>
        <v/>
      </c>
      <c r="FK165" s="66" t="str">
        <f t="shared" ref="FK165" si="2756">IF(CE165="","","|n"&amp;FK$2&amp;"+"&amp;CE165&amp;FK$1)</f>
        <v/>
      </c>
      <c r="FL165" s="66" t="str">
        <f t="shared" ref="FL165" si="2757">IF(CF165="","","|n"&amp;FL$2&amp;"+"&amp;CF165&amp;FL$1)</f>
        <v/>
      </c>
      <c r="FM165" s="66" t="str">
        <f t="shared" ref="FM165" si="2758">IF(CG165="","","|n"&amp;FM$2&amp;"+"&amp;CG165&amp;FM$1)</f>
        <v/>
      </c>
      <c r="FN165" s="66" t="str">
        <f t="shared" ref="FN165" si="2759">IF(CH165="","","|n"&amp;FN$2&amp;"+"&amp;CH165&amp;FN$1)</f>
        <v/>
      </c>
      <c r="FO165" s="66" t="str">
        <f t="shared" ref="FO165" si="2760">IF(CI165="","","|n"&amp;FO$2&amp;"+"&amp;CI165&amp;FO$1)</f>
        <v/>
      </c>
      <c r="FP165" s="66" t="str">
        <f t="shared" ref="FP165" si="2761">IF(CJ165="","","|n"&amp;FP$2&amp;"+"&amp;CJ165&amp;FP$1)</f>
        <v/>
      </c>
      <c r="FQ165" s="66" t="str">
        <f t="shared" ref="FQ165" si="2762">IF(CK165="","","|n"&amp;FQ$2&amp;"+"&amp;CK165&amp;FQ$1)</f>
        <v/>
      </c>
      <c r="FR165" s="66" t="str">
        <f t="shared" ref="FR165" si="2763">IF(CL165="","","|n"&amp;FR$2&amp;"+"&amp;CL165&amp;FR$1)</f>
        <v/>
      </c>
      <c r="FS165" s="66" t="str">
        <f t="shared" ref="FS165" si="2764">IF(CM165="","","|n"&amp;FS$2&amp;"+"&amp;CM165&amp;FS$1)</f>
        <v/>
      </c>
    </row>
    <row r="166" spans="1:175" ht="71.25">
      <c r="A166" s="15"/>
      <c r="B166" s="9" t="s">
        <v>619</v>
      </c>
      <c r="C166" s="15" t="s">
        <v>620</v>
      </c>
      <c r="R166" s="60">
        <v>-7991</v>
      </c>
      <c r="S166" s="60">
        <v>-2312</v>
      </c>
      <c r="T166" s="105" t="str">
        <f>"渡过该劫后可结成|CffCCCCCC中级道果|r。|n|n|CffCCCCCC中级道果：|r"&amp;CU79</f>
        <v>渡过该劫后可结成|CffCCCCCC中级道果|r。|n|n|CffCCCCCC中级道果：|r|n攻击+18000|n生命值+72000|n物理伤害+20%|n法术伤害+20%|n杀敌攻击+8|n杀敌业力+1|n杀敌生命+30|n</v>
      </c>
      <c r="U166" s="77" t="str">
        <f t="shared" si="2687"/>
        <v>ReplaceableTextures\\CommandButtons\\BTNIT02.blp</v>
      </c>
      <c r="CN166" s="36" t="str">
        <f t="shared" si="2688"/>
        <v>InitUnitState('IT02',,,,,,,,,,)</v>
      </c>
      <c r="CO166" s="36" t="str">
        <f t="shared" si="2689"/>
        <v>InitUnitNormal('IT02',,,,,,,,,,)</v>
      </c>
      <c r="CP166" s="36" t="str">
        <f t="shared" si="2690"/>
        <v>InitUnitMagic('IT02',,,,,,,,,,)</v>
      </c>
      <c r="CQ166" s="36" t="str">
        <f t="shared" si="2691"/>
        <v>InitUnitAdd('IT02',,,,,,,,,,)</v>
      </c>
      <c r="CR166" s="36" t="str">
        <f t="shared" si="2692"/>
        <v>InitEquipData('IT02',,"",,,,,'','','','','','',"ReplaceableTextures\\CommandButtons\\BTNIT03.blp")</v>
      </c>
      <c r="CU166" s="88" t="str">
        <f t="shared" ref="CU166:CU178" si="276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19" t="str">
        <f t="shared" si="2694"/>
        <v>渡过该劫后可结成|CffCCCCCC中级道果|r。|n|n|CffCCCCCC中级道果：|r|n攻击+18000|n生命值+72000|n物理伤害+20%|n法术伤害+20%|n杀敌攻击+8|n杀敌业力+1|n杀敌生命+30|n</v>
      </c>
      <c r="CW166" s="33"/>
      <c r="CX166" s="33"/>
      <c r="CY166" s="33"/>
      <c r="CZ166" s="33"/>
      <c r="DA166" s="33"/>
      <c r="DB166" s="66" t="str">
        <f t="shared" ref="DB166:DB174" si="2766">IF(V166="","","|n"&amp;DB$2&amp;"+"&amp;V166&amp;DB$1)</f>
        <v/>
      </c>
      <c r="DC166" s="66" t="str">
        <f t="shared" ref="DC166:DC174" si="2767">IF(W166="","","|n"&amp;DC$2&amp;"+"&amp;W166&amp;DC$1)</f>
        <v/>
      </c>
      <c r="DD166" s="66" t="str">
        <f t="shared" ref="DD166:DD174" si="2768">IF(X166="","","|n"&amp;DD$2&amp;"+"&amp;X166&amp;DD$1)</f>
        <v/>
      </c>
      <c r="DE166" s="66" t="str">
        <f t="shared" ref="DE166:DE174" si="2769">IF(Y166="","","|n"&amp;DE$2&amp;"+"&amp;Y166&amp;DE$1)</f>
        <v/>
      </c>
      <c r="DF166" s="66" t="str">
        <f t="shared" ref="DF166:DF174" si="2770">IF(Z166="","","|n"&amp;DF$2&amp;"+"&amp;Z166&amp;DF$1)</f>
        <v/>
      </c>
      <c r="DG166" s="66" t="str">
        <f t="shared" ref="DG166:DG174" si="2771">IF(AA166="","","|n"&amp;DG$2&amp;"+"&amp;AA166&amp;DG$1)</f>
        <v/>
      </c>
      <c r="DH166" s="66" t="str">
        <f t="shared" ref="DH166:DH174" si="2772">IF(AB166="","","|n"&amp;DH$2&amp;"+"&amp;AB166&amp;DH$1)</f>
        <v/>
      </c>
      <c r="DI166" s="66" t="str">
        <f t="shared" ref="DI166:DI174" si="2773">IF(AC166="","","|n"&amp;DI$2&amp;"+"&amp;AC166&amp;DI$1)</f>
        <v/>
      </c>
      <c r="DJ166" s="66" t="str">
        <f t="shared" ref="DJ166:DJ174" si="2774">IF(AD166="","","|n"&amp;DJ$2&amp;"+"&amp;AD166&amp;DJ$1)</f>
        <v/>
      </c>
      <c r="DK166" s="66" t="str">
        <f t="shared" ref="DK166:DK174" si="2775">IF(AE166="","","|n"&amp;DK$2&amp;"+"&amp;AE166&amp;DK$1)</f>
        <v/>
      </c>
      <c r="DL166" s="66" t="str">
        <f t="shared" ref="DL166:DL174" si="2776">IF(AF166="","","|n"&amp;DL$2&amp;"+"&amp;AF166&amp;DL$1)</f>
        <v/>
      </c>
      <c r="DM166" s="66" t="str">
        <f t="shared" ref="DM166:DM174" si="2777">IF(AG166="","","|n"&amp;DM$2&amp;"+"&amp;AG166&amp;DM$1)</f>
        <v/>
      </c>
      <c r="DN166" s="66" t="str">
        <f t="shared" ref="DN166:DN174" si="2778">IF(AH166="","","|n"&amp;DN$2&amp;"+"&amp;AH166&amp;DN$1)</f>
        <v/>
      </c>
      <c r="DO166" s="66" t="str">
        <f t="shared" ref="DO166:DO174" si="2779">IF(AI166="","","|n"&amp;DO$2&amp;"+"&amp;AI166&amp;DO$1)</f>
        <v/>
      </c>
      <c r="DP166" s="66" t="str">
        <f t="shared" ref="DP166:DP174" si="2780">IF(AJ166="","","|n"&amp;DP$2&amp;"+"&amp;AJ166&amp;DP$1)</f>
        <v/>
      </c>
      <c r="DQ166" s="66" t="str">
        <f t="shared" ref="DQ166:DQ174" si="2781">IF(AK166="","","|n"&amp;DQ$2&amp;"+"&amp;AK166&amp;DQ$1)</f>
        <v/>
      </c>
      <c r="DR166" s="66" t="str">
        <f t="shared" ref="DR166:DR174" si="2782">IF(AL166="","","|n"&amp;DR$2&amp;"+"&amp;AL166&amp;DR$1)</f>
        <v/>
      </c>
      <c r="DS166" s="66" t="str">
        <f t="shared" ref="DS166:DS174" si="2783">IF(AM166="","","|n"&amp;DS$2&amp;"+"&amp;AM166&amp;DS$1)</f>
        <v/>
      </c>
      <c r="DT166" s="66" t="str">
        <f t="shared" ref="DT166:DT174" si="2784">IF(AN166="","","|n"&amp;DT$2&amp;"+"&amp;AN166&amp;DT$1)</f>
        <v/>
      </c>
      <c r="DU166" s="66" t="str">
        <f t="shared" ref="DU166:DU174" si="2785">IF(AO166="","","|n"&amp;DU$2&amp;"+"&amp;AO166&amp;DU$1)</f>
        <v/>
      </c>
      <c r="DV166" s="66" t="str">
        <f t="shared" ref="DV166:DV174" si="2786">IF(AP166="","","|n"&amp;DV$2&amp;"+"&amp;AP166&amp;DV$1)</f>
        <v/>
      </c>
      <c r="DW166" s="66" t="str">
        <f t="shared" ref="DW166:DW174" si="2787">IF(AQ166="","","|n"&amp;DW$2&amp;"+"&amp;AQ166&amp;DW$1)</f>
        <v/>
      </c>
      <c r="DX166" s="66" t="str">
        <f t="shared" ref="DX166:DX174" si="2788">IF(AR166="","","|n"&amp;DX$2&amp;"+"&amp;AR166&amp;DX$1)</f>
        <v/>
      </c>
      <c r="DY166" s="66" t="str">
        <f t="shared" ref="DY166:DY174" si="2789">IF(AS166="","","|n"&amp;DY$2&amp;"+"&amp;AS166&amp;DY$1)</f>
        <v/>
      </c>
      <c r="DZ166" s="66" t="str">
        <f t="shared" ref="DZ166:DZ174" si="2790">IF(AT166="","","|n"&amp;DZ$2&amp;"+"&amp;AT166&amp;DZ$1)</f>
        <v/>
      </c>
      <c r="EA166" s="66" t="str">
        <f t="shared" ref="EA166:EA174" si="2791">IF(AU166="","","|n"&amp;EA$2&amp;"+"&amp;AU166&amp;EA$1)</f>
        <v/>
      </c>
      <c r="EB166" s="66" t="str">
        <f t="shared" ref="EB166:EB174" si="2792">IF(AV166="","","|n"&amp;EB$2&amp;"+"&amp;AV166&amp;EB$1)</f>
        <v/>
      </c>
      <c r="EC166" s="66" t="str">
        <f t="shared" ref="EC166:EC174" si="2793">IF(AW166="","","|n"&amp;EC$2&amp;"+"&amp;AW166&amp;EC$1)</f>
        <v/>
      </c>
      <c r="ED166" s="66" t="str">
        <f t="shared" ref="ED166:ED174" si="2794">IF(AX166="","","|n"&amp;ED$2&amp;"+"&amp;AX166&amp;ED$1)</f>
        <v/>
      </c>
      <c r="EE166" s="66" t="str">
        <f t="shared" ref="EE166:EE174" si="2795">IF(AY166="","","|n"&amp;EE$2&amp;"+"&amp;AY166&amp;EE$1)</f>
        <v/>
      </c>
      <c r="EF166" s="66" t="str">
        <f t="shared" ref="EF166:EF174" si="2796">IF(AZ166="","","|n"&amp;EF$2&amp;"+"&amp;AZ166&amp;EF$1)</f>
        <v/>
      </c>
      <c r="EG166" s="66" t="str">
        <f t="shared" ref="EG166:EG174" si="2797">IF(BA166="","","|n"&amp;EG$2&amp;"+"&amp;BA166&amp;EG$1)</f>
        <v/>
      </c>
      <c r="EH166" s="66" t="str">
        <f t="shared" ref="EH166:EH174" si="2798">IF(BB166="","","|n"&amp;EH$2&amp;"+"&amp;BB166&amp;EH$1)</f>
        <v/>
      </c>
      <c r="EI166" s="66" t="str">
        <f t="shared" ref="EI166:EI174" si="2799">IF(BC166="","","|n"&amp;EI$2&amp;"+"&amp;BC166&amp;EI$1)</f>
        <v/>
      </c>
      <c r="EJ166" s="66" t="str">
        <f t="shared" ref="EJ166:EJ174" si="2800">IF(BD166="","","|n"&amp;EJ$2&amp;"+"&amp;BD166&amp;EJ$1)</f>
        <v/>
      </c>
      <c r="EK166" s="66" t="str">
        <f t="shared" ref="EK166:EK174" si="2801">IF(BE166="","","|n"&amp;EK$2&amp;"+"&amp;BE166&amp;EK$1)</f>
        <v/>
      </c>
      <c r="EL166" s="66" t="str">
        <f t="shared" ref="EL166:EL174" si="2802">IF(BF166="","","|n"&amp;EL$2&amp;"+"&amp;BF166&amp;EL$1)</f>
        <v/>
      </c>
      <c r="EM166" s="66" t="str">
        <f t="shared" ref="EM166:EM174" si="2803">IF(BG166="","","|n"&amp;EM$2&amp;"+"&amp;BG166&amp;EM$1)</f>
        <v/>
      </c>
      <c r="EN166" s="66" t="str">
        <f t="shared" ref="EN166:EN174" si="2804">IF(BH166="","","|n"&amp;EN$2&amp;"+"&amp;BH166&amp;EN$1)</f>
        <v/>
      </c>
      <c r="EO166" s="66" t="str">
        <f t="shared" ref="EO166:EO174" si="2805">IF(BI166="","","|n"&amp;EO$2&amp;"+"&amp;BI166&amp;EO$1)</f>
        <v/>
      </c>
      <c r="EP166" s="66" t="str">
        <f t="shared" ref="EP166:EP174" si="2806">IF(BJ166="","","|n"&amp;EP$2&amp;"+"&amp;BJ166&amp;EP$1)</f>
        <v/>
      </c>
      <c r="EQ166" s="66" t="str">
        <f t="shared" ref="EQ166:EQ174" si="2807">IF(BK166="","","|n"&amp;EQ$2&amp;"+"&amp;BK166&amp;EQ$1)</f>
        <v/>
      </c>
      <c r="ER166" s="66" t="str">
        <f t="shared" ref="ER166:ER174" si="2808">IF(BL166="","","|n"&amp;ER$2&amp;"+"&amp;BL166&amp;ER$1)</f>
        <v/>
      </c>
      <c r="ES166" s="66" t="str">
        <f t="shared" ref="ES166:ES174" si="2809">IF(BM166="","","|n"&amp;ES$2&amp;"+"&amp;BM166&amp;ES$1)</f>
        <v/>
      </c>
      <c r="ET166" s="66" t="str">
        <f t="shared" ref="ET166:ET174" si="2810">IF(BN166="","","|n"&amp;ET$2&amp;"+"&amp;BN166&amp;ET$1)</f>
        <v/>
      </c>
      <c r="EU166" s="66" t="str">
        <f t="shared" ref="EU166:EU174" si="2811">IF(BO166="","","|n"&amp;EU$2&amp;"+"&amp;BO166&amp;EU$1)</f>
        <v/>
      </c>
      <c r="EV166" s="66" t="str">
        <f t="shared" ref="EV166:EV174" si="2812">IF(BP166="","","|n"&amp;EV$2&amp;"+"&amp;BP166&amp;EV$1)</f>
        <v/>
      </c>
      <c r="EW166" s="66" t="str">
        <f t="shared" ref="EW166:EW174" si="2813">IF(BQ166="","","|n"&amp;EW$2&amp;"+"&amp;BQ166&amp;EW$1)</f>
        <v/>
      </c>
      <c r="EX166" s="66" t="str">
        <f t="shared" ref="EX166:EX174" si="2814">IF(BR166="","","|n"&amp;EX$2&amp;"+"&amp;BR166&amp;EX$1)</f>
        <v/>
      </c>
      <c r="EY166" s="66" t="str">
        <f t="shared" ref="EY166:EY174" si="2815">IF(BS166="","","|n"&amp;EY$2&amp;"+"&amp;BS166&amp;EY$1)</f>
        <v/>
      </c>
      <c r="EZ166" s="66" t="str">
        <f t="shared" ref="EZ166:EZ174" si="2816">IF(BT166="","","|n"&amp;EZ$2&amp;"+"&amp;BT166&amp;EZ$1)</f>
        <v/>
      </c>
      <c r="FA166" s="66" t="str">
        <f t="shared" ref="FA166:FA174" si="2817">IF(BU166="","","|n"&amp;FA$2&amp;"+"&amp;BU166&amp;FA$1)</f>
        <v/>
      </c>
      <c r="FB166" s="66" t="str">
        <f t="shared" ref="FB166:FB174" si="2818">IF(BV166="","","|n"&amp;FB$2&amp;"+"&amp;BV166&amp;FB$1)</f>
        <v/>
      </c>
      <c r="FC166" s="66" t="str">
        <f t="shared" ref="FC166:FC174" si="2819">IF(BW166="","","|n"&amp;FC$2&amp;"+"&amp;BW166&amp;FC$1)</f>
        <v/>
      </c>
      <c r="FD166" s="66" t="str">
        <f t="shared" ref="FD166:FD174" si="2820">IF(BX166="","","|n"&amp;FD$2&amp;"+"&amp;BX166&amp;FD$1)</f>
        <v/>
      </c>
      <c r="FE166" s="66" t="str">
        <f t="shared" ref="FE166:FE174" si="2821">IF(BY166="","","|n"&amp;FE$2&amp;"+"&amp;BY166&amp;FE$1)</f>
        <v/>
      </c>
      <c r="FF166" s="66" t="str">
        <f t="shared" ref="FF166:FF174" si="2822">IF(BZ166="","","|n"&amp;FF$2&amp;"+"&amp;BZ166&amp;FF$1)</f>
        <v/>
      </c>
      <c r="FG166" s="66" t="str">
        <f t="shared" ref="FG166:FG174" si="2823">IF(CA166="","","|n"&amp;FG$2&amp;"+"&amp;CA166&amp;FG$1)</f>
        <v/>
      </c>
      <c r="FH166" s="66" t="str">
        <f t="shared" ref="FH166:FH174" si="2824">IF(CB166="","","|n"&amp;FH$2&amp;"+"&amp;CB166&amp;FH$1)</f>
        <v/>
      </c>
      <c r="FI166" s="66" t="str">
        <f t="shared" ref="FI166:FI174" si="2825">IF(CC166="","","|n"&amp;FI$2&amp;"+"&amp;CC166&amp;FI$1)</f>
        <v/>
      </c>
      <c r="FJ166" s="66" t="str">
        <f t="shared" ref="FJ166:FJ174" si="2826">IF(CD166="","","|n"&amp;FJ$2&amp;"+"&amp;CD166&amp;FJ$1)</f>
        <v/>
      </c>
      <c r="FK166" s="66" t="str">
        <f t="shared" ref="FK166:FK174" si="2827">IF(CE166="","","|n"&amp;FK$2&amp;"+"&amp;CE166&amp;FK$1)</f>
        <v/>
      </c>
      <c r="FL166" s="66" t="str">
        <f t="shared" ref="FL166:FL174" si="2828">IF(CF166="","","|n"&amp;FL$2&amp;"+"&amp;CF166&amp;FL$1)</f>
        <v/>
      </c>
      <c r="FM166" s="66" t="str">
        <f t="shared" ref="FM166:FM174" si="2829">IF(CG166="","","|n"&amp;FM$2&amp;"+"&amp;CG166&amp;FM$1)</f>
        <v/>
      </c>
      <c r="FN166" s="66" t="str">
        <f t="shared" ref="FN166:FN174" si="2830">IF(CH166="","","|n"&amp;FN$2&amp;"+"&amp;CH166&amp;FN$1)</f>
        <v/>
      </c>
      <c r="FO166" s="66" t="str">
        <f t="shared" ref="FO166:FO174" si="2831">IF(CI166="","","|n"&amp;FO$2&amp;"+"&amp;CI166&amp;FO$1)</f>
        <v/>
      </c>
      <c r="FP166" s="66" t="str">
        <f t="shared" ref="FP166:FP174" si="2832">IF(CJ166="","","|n"&amp;FP$2&amp;"+"&amp;CJ166&amp;FP$1)</f>
        <v/>
      </c>
      <c r="FQ166" s="66" t="str">
        <f t="shared" ref="FQ166:FQ174" si="2833">IF(CK166="","","|n"&amp;FQ$2&amp;"+"&amp;CK166&amp;FQ$1)</f>
        <v/>
      </c>
      <c r="FR166" s="66" t="str">
        <f t="shared" ref="FR166:FR174" si="2834">IF(CL166="","","|n"&amp;FR$2&amp;"+"&amp;CL166&amp;FR$1)</f>
        <v/>
      </c>
      <c r="FS166" s="66" t="str">
        <f t="shared" ref="FS166:FS174" si="2835">IF(CM166="","","|n"&amp;FS$2&amp;"+"&amp;CM166&amp;FS$1)</f>
        <v/>
      </c>
    </row>
    <row r="167" spans="1:175" ht="16.5">
      <c r="A167" s="15"/>
      <c r="B167" s="9" t="s">
        <v>621</v>
      </c>
      <c r="C167" s="15" t="s">
        <v>622</v>
      </c>
      <c r="R167" s="60">
        <v>-8089</v>
      </c>
      <c r="S167" s="60">
        <v>-1230</v>
      </c>
      <c r="T167" s="25" t="str">
        <f>"渡过该劫后可结成|Cff00ff7f高级道果|r。|n|n|Cff00ff7f高级道果：|r"&amp;CU80</f>
        <v>渡过该劫后可结成|Cff00ff7f高级道果|r。|n|n|Cff00ff7f高级道果：|r|n攻击+37500|n生命值+150000|n物理伤害+20%|n法术伤害+20%|n杀敌攻击+8|n杀敌业力+1|n杀敌生命+30|n</v>
      </c>
      <c r="U167" s="77" t="str">
        <f t="shared" si="2687"/>
        <v>ReplaceableTextures\\CommandButtons\\BTNIT03.blp</v>
      </c>
      <c r="CN167" s="36" t="str">
        <f t="shared" si="2688"/>
        <v>InitUnitState('IT03',,,,,,,,,,)</v>
      </c>
      <c r="CO167" s="36" t="str">
        <f t="shared" si="2689"/>
        <v>InitUnitNormal('IT03',,,,,,,,,,)</v>
      </c>
      <c r="CP167" s="36" t="str">
        <f t="shared" si="2690"/>
        <v>InitUnitMagic('IT03',,,,,,,,,,)</v>
      </c>
      <c r="CQ167" s="36" t="str">
        <f t="shared" si="2691"/>
        <v>InitUnitAdd('IT03',,,,,,,,,,)</v>
      </c>
      <c r="CR167" s="36" t="str">
        <f t="shared" si="2692"/>
        <v>InitEquipData('IT03',,"",,,,,'','','','','','',"ReplaceableTextures\\CommandButtons\\BTNIT04.blp")</v>
      </c>
      <c r="CU167" s="88" t="str">
        <f t="shared" si="2765"/>
        <v>|n</v>
      </c>
      <c r="CV167" s="19" t="str">
        <f t="shared" ref="CV167:CV178" si="2836">T167</f>
        <v>渡过该劫后可结成|Cff00ff7f高级道果|r。|n|n|Cff00ff7f高级道果：|r|n攻击+37500|n生命值+150000|n物理伤害+20%|n法术伤害+20%|n杀敌攻击+8|n杀敌业力+1|n杀敌生命+30|n</v>
      </c>
      <c r="CW167" s="33"/>
      <c r="CX167" s="33"/>
      <c r="CY167" s="33"/>
      <c r="CZ167" s="33"/>
      <c r="DA167" s="33"/>
      <c r="DB167" s="66" t="str">
        <f t="shared" si="2766"/>
        <v/>
      </c>
      <c r="DC167" s="66" t="str">
        <f t="shared" si="2767"/>
        <v/>
      </c>
      <c r="DD167" s="66" t="str">
        <f t="shared" si="2768"/>
        <v/>
      </c>
      <c r="DE167" s="66" t="str">
        <f t="shared" si="2769"/>
        <v/>
      </c>
      <c r="DF167" s="66" t="str">
        <f t="shared" si="2770"/>
        <v/>
      </c>
      <c r="DG167" s="66" t="str">
        <f t="shared" si="2771"/>
        <v/>
      </c>
      <c r="DH167" s="66" t="str">
        <f t="shared" si="2772"/>
        <v/>
      </c>
      <c r="DI167" s="66" t="str">
        <f t="shared" si="2773"/>
        <v/>
      </c>
      <c r="DJ167" s="66" t="str">
        <f t="shared" si="2774"/>
        <v/>
      </c>
      <c r="DK167" s="66" t="str">
        <f t="shared" si="2775"/>
        <v/>
      </c>
      <c r="DL167" s="66" t="str">
        <f t="shared" si="2776"/>
        <v/>
      </c>
      <c r="DM167" s="66" t="str">
        <f t="shared" si="2777"/>
        <v/>
      </c>
      <c r="DN167" s="66" t="str">
        <f t="shared" si="2778"/>
        <v/>
      </c>
      <c r="DO167" s="66" t="str">
        <f t="shared" si="2779"/>
        <v/>
      </c>
      <c r="DP167" s="66" t="str">
        <f t="shared" si="2780"/>
        <v/>
      </c>
      <c r="DQ167" s="66" t="str">
        <f t="shared" si="2781"/>
        <v/>
      </c>
      <c r="DR167" s="66" t="str">
        <f t="shared" si="2782"/>
        <v/>
      </c>
      <c r="DS167" s="66" t="str">
        <f t="shared" si="2783"/>
        <v/>
      </c>
      <c r="DT167" s="66" t="str">
        <f t="shared" si="2784"/>
        <v/>
      </c>
      <c r="DU167" s="66" t="str">
        <f t="shared" si="2785"/>
        <v/>
      </c>
      <c r="DV167" s="66" t="str">
        <f t="shared" si="2786"/>
        <v/>
      </c>
      <c r="DW167" s="66" t="str">
        <f t="shared" si="2787"/>
        <v/>
      </c>
      <c r="DX167" s="66" t="str">
        <f t="shared" si="2788"/>
        <v/>
      </c>
      <c r="DY167" s="66" t="str">
        <f t="shared" si="2789"/>
        <v/>
      </c>
      <c r="DZ167" s="66" t="str">
        <f t="shared" si="2790"/>
        <v/>
      </c>
      <c r="EA167" s="66" t="str">
        <f t="shared" si="2791"/>
        <v/>
      </c>
      <c r="EB167" s="66" t="str">
        <f t="shared" si="2792"/>
        <v/>
      </c>
      <c r="EC167" s="66" t="str">
        <f t="shared" si="2793"/>
        <v/>
      </c>
      <c r="ED167" s="66" t="str">
        <f t="shared" si="2794"/>
        <v/>
      </c>
      <c r="EE167" s="66" t="str">
        <f t="shared" si="2795"/>
        <v/>
      </c>
      <c r="EF167" s="66" t="str">
        <f t="shared" si="2796"/>
        <v/>
      </c>
      <c r="EG167" s="66" t="str">
        <f t="shared" si="2797"/>
        <v/>
      </c>
      <c r="EH167" s="66" t="str">
        <f t="shared" si="2798"/>
        <v/>
      </c>
      <c r="EI167" s="66" t="str">
        <f t="shared" si="2799"/>
        <v/>
      </c>
      <c r="EJ167" s="66" t="str">
        <f t="shared" si="2800"/>
        <v/>
      </c>
      <c r="EK167" s="66" t="str">
        <f t="shared" si="2801"/>
        <v/>
      </c>
      <c r="EL167" s="66" t="str">
        <f t="shared" si="2802"/>
        <v/>
      </c>
      <c r="EM167" s="66" t="str">
        <f t="shared" si="2803"/>
        <v/>
      </c>
      <c r="EN167" s="66" t="str">
        <f t="shared" si="2804"/>
        <v/>
      </c>
      <c r="EO167" s="66" t="str">
        <f t="shared" si="2805"/>
        <v/>
      </c>
      <c r="EP167" s="66" t="str">
        <f t="shared" si="2806"/>
        <v/>
      </c>
      <c r="EQ167" s="66" t="str">
        <f t="shared" si="2807"/>
        <v/>
      </c>
      <c r="ER167" s="66" t="str">
        <f t="shared" si="2808"/>
        <v/>
      </c>
      <c r="ES167" s="66" t="str">
        <f t="shared" si="2809"/>
        <v/>
      </c>
      <c r="ET167" s="66" t="str">
        <f t="shared" si="2810"/>
        <v/>
      </c>
      <c r="EU167" s="66" t="str">
        <f t="shared" si="2811"/>
        <v/>
      </c>
      <c r="EV167" s="66" t="str">
        <f t="shared" si="2812"/>
        <v/>
      </c>
      <c r="EW167" s="66" t="str">
        <f t="shared" si="2813"/>
        <v/>
      </c>
      <c r="EX167" s="66" t="str">
        <f t="shared" si="2814"/>
        <v/>
      </c>
      <c r="EY167" s="66" t="str">
        <f t="shared" si="2815"/>
        <v/>
      </c>
      <c r="EZ167" s="66" t="str">
        <f t="shared" si="2816"/>
        <v/>
      </c>
      <c r="FA167" s="66" t="str">
        <f t="shared" si="2817"/>
        <v/>
      </c>
      <c r="FB167" s="66" t="str">
        <f t="shared" si="2818"/>
        <v/>
      </c>
      <c r="FC167" s="66" t="str">
        <f t="shared" si="2819"/>
        <v/>
      </c>
      <c r="FD167" s="66" t="str">
        <f t="shared" si="2820"/>
        <v/>
      </c>
      <c r="FE167" s="66" t="str">
        <f t="shared" si="2821"/>
        <v/>
      </c>
      <c r="FF167" s="66" t="str">
        <f t="shared" si="2822"/>
        <v/>
      </c>
      <c r="FG167" s="66" t="str">
        <f t="shared" si="2823"/>
        <v/>
      </c>
      <c r="FH167" s="66" t="str">
        <f t="shared" si="2824"/>
        <v/>
      </c>
      <c r="FI167" s="66" t="str">
        <f t="shared" si="2825"/>
        <v/>
      </c>
      <c r="FJ167" s="66" t="str">
        <f t="shared" si="2826"/>
        <v/>
      </c>
      <c r="FK167" s="66" t="str">
        <f t="shared" si="2827"/>
        <v/>
      </c>
      <c r="FL167" s="66" t="str">
        <f t="shared" si="2828"/>
        <v/>
      </c>
      <c r="FM167" s="66" t="str">
        <f t="shared" si="2829"/>
        <v/>
      </c>
      <c r="FN167" s="66" t="str">
        <f t="shared" si="2830"/>
        <v/>
      </c>
      <c r="FO167" s="66" t="str">
        <f t="shared" si="2831"/>
        <v/>
      </c>
      <c r="FP167" s="66" t="str">
        <f t="shared" si="2832"/>
        <v/>
      </c>
      <c r="FQ167" s="66" t="str">
        <f t="shared" si="2833"/>
        <v/>
      </c>
      <c r="FR167" s="66" t="str">
        <f t="shared" si="2834"/>
        <v/>
      </c>
      <c r="FS167" s="66" t="str">
        <f t="shared" si="2835"/>
        <v/>
      </c>
    </row>
    <row r="168" spans="1:175" ht="16.5">
      <c r="A168" s="15"/>
      <c r="B168" s="9" t="s">
        <v>623</v>
      </c>
      <c r="C168" s="15" t="s">
        <v>624</v>
      </c>
      <c r="R168" s="60">
        <v>-7794</v>
      </c>
      <c r="S168" s="60">
        <v>195</v>
      </c>
      <c r="T168" s="25" t="str">
        <f>"渡过该劫后可结成|Cff00ff7f黄级道果|r。|n|n|Cff00ff7f黄级道果：|r"&amp;CU81</f>
        <v>渡过该劫后可结成|Cff00ff7f黄级道果|r。|n|n|Cff00ff7f黄级道果：|r|n攻击+60000|n生命值+240000|n物理伤害+25%|n法术伤害+25%|n杀敌攻击+8|n杀敌业力+1|n杀敌生命+30|n</v>
      </c>
      <c r="U168" s="77" t="str">
        <f t="shared" si="2687"/>
        <v>ReplaceableTextures\\CommandButtons\\BTNIT04.blp</v>
      </c>
      <c r="CN168" s="36" t="str">
        <f t="shared" si="2688"/>
        <v>InitUnitState('IT04',,,,,,,,,,)</v>
      </c>
      <c r="CO168" s="36" t="str">
        <f t="shared" si="2689"/>
        <v>InitUnitNormal('IT04',,,,,,,,,,)</v>
      </c>
      <c r="CP168" s="36" t="str">
        <f t="shared" si="2690"/>
        <v>InitUnitMagic('IT04',,,,,,,,,,)</v>
      </c>
      <c r="CQ168" s="36" t="str">
        <f t="shared" si="2691"/>
        <v>InitUnitAdd('IT04',,,,,,,,,,)</v>
      </c>
      <c r="CR168" s="36" t="str">
        <f t="shared" si="2692"/>
        <v>InitEquipData('IT04',,"",,,,,'','','','','','',"ReplaceableTextures\\CommandButtons\\BTNIT05.blp")</v>
      </c>
      <c r="CU168" s="88" t="str">
        <f t="shared" si="2765"/>
        <v>|n</v>
      </c>
      <c r="CV168" s="19" t="str">
        <f t="shared" si="2836"/>
        <v>渡过该劫后可结成|Cff00ff7f黄级道果|r。|n|n|Cff00ff7f黄级道果：|r|n攻击+60000|n生命值+240000|n物理伤害+25%|n法术伤害+25%|n杀敌攻击+8|n杀敌业力+1|n杀敌生命+30|n</v>
      </c>
      <c r="CW168" s="33"/>
      <c r="CX168" s="33"/>
      <c r="CY168" s="33"/>
      <c r="CZ168" s="33"/>
      <c r="DA168" s="33"/>
      <c r="DB168" s="66" t="str">
        <f t="shared" si="2766"/>
        <v/>
      </c>
      <c r="DC168" s="66" t="str">
        <f t="shared" si="2767"/>
        <v/>
      </c>
      <c r="DD168" s="66" t="str">
        <f t="shared" si="2768"/>
        <v/>
      </c>
      <c r="DE168" s="66" t="str">
        <f t="shared" si="2769"/>
        <v/>
      </c>
      <c r="DF168" s="66" t="str">
        <f t="shared" si="2770"/>
        <v/>
      </c>
      <c r="DG168" s="66" t="str">
        <f t="shared" si="2771"/>
        <v/>
      </c>
      <c r="DH168" s="66" t="str">
        <f t="shared" si="2772"/>
        <v/>
      </c>
      <c r="DI168" s="66" t="str">
        <f t="shared" si="2773"/>
        <v/>
      </c>
      <c r="DJ168" s="66" t="str">
        <f t="shared" si="2774"/>
        <v/>
      </c>
      <c r="DK168" s="66" t="str">
        <f t="shared" si="2775"/>
        <v/>
      </c>
      <c r="DL168" s="66" t="str">
        <f t="shared" si="2776"/>
        <v/>
      </c>
      <c r="DM168" s="66" t="str">
        <f t="shared" si="2777"/>
        <v/>
      </c>
      <c r="DN168" s="66" t="str">
        <f t="shared" si="2778"/>
        <v/>
      </c>
      <c r="DO168" s="66" t="str">
        <f t="shared" si="2779"/>
        <v/>
      </c>
      <c r="DP168" s="66" t="str">
        <f t="shared" si="2780"/>
        <v/>
      </c>
      <c r="DQ168" s="66" t="str">
        <f t="shared" si="2781"/>
        <v/>
      </c>
      <c r="DR168" s="66" t="str">
        <f t="shared" si="2782"/>
        <v/>
      </c>
      <c r="DS168" s="66" t="str">
        <f t="shared" si="2783"/>
        <v/>
      </c>
      <c r="DT168" s="66" t="str">
        <f t="shared" si="2784"/>
        <v/>
      </c>
      <c r="DU168" s="66" t="str">
        <f t="shared" si="2785"/>
        <v/>
      </c>
      <c r="DV168" s="66" t="str">
        <f t="shared" si="2786"/>
        <v/>
      </c>
      <c r="DW168" s="66" t="str">
        <f t="shared" si="2787"/>
        <v/>
      </c>
      <c r="DX168" s="66" t="str">
        <f t="shared" si="2788"/>
        <v/>
      </c>
      <c r="DY168" s="66" t="str">
        <f t="shared" si="2789"/>
        <v/>
      </c>
      <c r="DZ168" s="66" t="str">
        <f t="shared" si="2790"/>
        <v/>
      </c>
      <c r="EA168" s="66" t="str">
        <f t="shared" si="2791"/>
        <v/>
      </c>
      <c r="EB168" s="66" t="str">
        <f t="shared" si="2792"/>
        <v/>
      </c>
      <c r="EC168" s="66" t="str">
        <f t="shared" si="2793"/>
        <v/>
      </c>
      <c r="ED168" s="66" t="str">
        <f t="shared" si="2794"/>
        <v/>
      </c>
      <c r="EE168" s="66" t="str">
        <f t="shared" si="2795"/>
        <v/>
      </c>
      <c r="EF168" s="66" t="str">
        <f t="shared" si="2796"/>
        <v/>
      </c>
      <c r="EG168" s="66" t="str">
        <f t="shared" si="2797"/>
        <v/>
      </c>
      <c r="EH168" s="66" t="str">
        <f t="shared" si="2798"/>
        <v/>
      </c>
      <c r="EI168" s="66" t="str">
        <f t="shared" si="2799"/>
        <v/>
      </c>
      <c r="EJ168" s="66" t="str">
        <f t="shared" si="2800"/>
        <v/>
      </c>
      <c r="EK168" s="66" t="str">
        <f t="shared" si="2801"/>
        <v/>
      </c>
      <c r="EL168" s="66" t="str">
        <f t="shared" si="2802"/>
        <v/>
      </c>
      <c r="EM168" s="66" t="str">
        <f t="shared" si="2803"/>
        <v/>
      </c>
      <c r="EN168" s="66" t="str">
        <f t="shared" si="2804"/>
        <v/>
      </c>
      <c r="EO168" s="66" t="str">
        <f t="shared" si="2805"/>
        <v/>
      </c>
      <c r="EP168" s="66" t="str">
        <f t="shared" si="2806"/>
        <v/>
      </c>
      <c r="EQ168" s="66" t="str">
        <f t="shared" si="2807"/>
        <v/>
      </c>
      <c r="ER168" s="66" t="str">
        <f t="shared" si="2808"/>
        <v/>
      </c>
      <c r="ES168" s="66" t="str">
        <f t="shared" si="2809"/>
        <v/>
      </c>
      <c r="ET168" s="66" t="str">
        <f t="shared" si="2810"/>
        <v/>
      </c>
      <c r="EU168" s="66" t="str">
        <f t="shared" si="2811"/>
        <v/>
      </c>
      <c r="EV168" s="66" t="str">
        <f t="shared" si="2812"/>
        <v/>
      </c>
      <c r="EW168" s="66" t="str">
        <f t="shared" si="2813"/>
        <v/>
      </c>
      <c r="EX168" s="66" t="str">
        <f t="shared" si="2814"/>
        <v/>
      </c>
      <c r="EY168" s="66" t="str">
        <f t="shared" si="2815"/>
        <v/>
      </c>
      <c r="EZ168" s="66" t="str">
        <f t="shared" si="2816"/>
        <v/>
      </c>
      <c r="FA168" s="66" t="str">
        <f t="shared" si="2817"/>
        <v/>
      </c>
      <c r="FB168" s="66" t="str">
        <f t="shared" si="2818"/>
        <v/>
      </c>
      <c r="FC168" s="66" t="str">
        <f t="shared" si="2819"/>
        <v/>
      </c>
      <c r="FD168" s="66" t="str">
        <f t="shared" si="2820"/>
        <v/>
      </c>
      <c r="FE168" s="66" t="str">
        <f t="shared" si="2821"/>
        <v/>
      </c>
      <c r="FF168" s="66" t="str">
        <f t="shared" si="2822"/>
        <v/>
      </c>
      <c r="FG168" s="66" t="str">
        <f t="shared" si="2823"/>
        <v/>
      </c>
      <c r="FH168" s="66" t="str">
        <f t="shared" si="2824"/>
        <v/>
      </c>
      <c r="FI168" s="66" t="str">
        <f t="shared" si="2825"/>
        <v/>
      </c>
      <c r="FJ168" s="66" t="str">
        <f t="shared" si="2826"/>
        <v/>
      </c>
      <c r="FK168" s="66" t="str">
        <f t="shared" si="2827"/>
        <v/>
      </c>
      <c r="FL168" s="66" t="str">
        <f t="shared" si="2828"/>
        <v/>
      </c>
      <c r="FM168" s="66" t="str">
        <f t="shared" si="2829"/>
        <v/>
      </c>
      <c r="FN168" s="66" t="str">
        <f t="shared" si="2830"/>
        <v/>
      </c>
      <c r="FO168" s="66" t="str">
        <f t="shared" si="2831"/>
        <v/>
      </c>
      <c r="FP168" s="66" t="str">
        <f t="shared" si="2832"/>
        <v/>
      </c>
      <c r="FQ168" s="66" t="str">
        <f t="shared" si="2833"/>
        <v/>
      </c>
      <c r="FR168" s="66" t="str">
        <f t="shared" si="2834"/>
        <v/>
      </c>
      <c r="FS168" s="66" t="str">
        <f t="shared" si="2835"/>
        <v/>
      </c>
    </row>
    <row r="169" spans="1:175" ht="16.5">
      <c r="A169" s="15"/>
      <c r="B169" s="9" t="s">
        <v>625</v>
      </c>
      <c r="C169" s="15" t="s">
        <v>626</v>
      </c>
      <c r="R169" s="60">
        <v>-8110</v>
      </c>
      <c r="S169" s="60">
        <v>1810</v>
      </c>
      <c r="T169" s="25" t="str">
        <f>"渡过该劫后可结成|Cff00bfff玄级道果|r。|n|n|Cff00bfff玄级道果：|r"&amp;CU82</f>
        <v>渡过该劫后可结成|Cff00bfff玄级道果|r。|n|n|Cff00bfff玄级道果：|r|n攻击+82500|n生命值+330000|n物理伤害+25%|n法术伤害+25%|n杀敌攻击+8|n杀敌业力+1|n杀敌生命+30|n</v>
      </c>
      <c r="U169" s="77" t="str">
        <f t="shared" si="2687"/>
        <v>ReplaceableTextures\\CommandButtons\\BTNIT05.blp</v>
      </c>
      <c r="CN169" s="36" t="str">
        <f t="shared" si="2688"/>
        <v>InitUnitState('IT05',,,,,,,,,,)</v>
      </c>
      <c r="CO169" s="36" t="str">
        <f t="shared" si="2689"/>
        <v>InitUnitNormal('IT05',,,,,,,,,,)</v>
      </c>
      <c r="CP169" s="36" t="str">
        <f t="shared" si="2690"/>
        <v>InitUnitMagic('IT05',,,,,,,,,,)</v>
      </c>
      <c r="CQ169" s="36" t="str">
        <f t="shared" si="2691"/>
        <v>InitUnitAdd('IT05',,,,,,,,,,)</v>
      </c>
      <c r="CR169" s="36" t="str">
        <f t="shared" si="2692"/>
        <v>InitEquipData('IT05',,"",,,,,'','','','','','',"ReplaceableTextures\\CommandButtons\\BTNIT06.blp")</v>
      </c>
      <c r="CU169" s="88" t="str">
        <f t="shared" si="2765"/>
        <v>|n</v>
      </c>
      <c r="CV169" s="19" t="str">
        <f t="shared" si="2836"/>
        <v>渡过该劫后可结成|Cff00bfff玄级道果|r。|n|n|Cff00bfff玄级道果：|r|n攻击+82500|n生命值+330000|n物理伤害+25%|n法术伤害+25%|n杀敌攻击+8|n杀敌业力+1|n杀敌生命+30|n</v>
      </c>
      <c r="CW169" s="33"/>
      <c r="CX169" s="33"/>
      <c r="CY169" s="33"/>
      <c r="CZ169" s="33"/>
      <c r="DA169" s="33"/>
      <c r="DB169" s="66" t="str">
        <f t="shared" si="2766"/>
        <v/>
      </c>
      <c r="DC169" s="66" t="str">
        <f t="shared" si="2767"/>
        <v/>
      </c>
      <c r="DD169" s="66" t="str">
        <f t="shared" si="2768"/>
        <v/>
      </c>
      <c r="DE169" s="66" t="str">
        <f t="shared" si="2769"/>
        <v/>
      </c>
      <c r="DF169" s="66" t="str">
        <f t="shared" si="2770"/>
        <v/>
      </c>
      <c r="DG169" s="66" t="str">
        <f t="shared" si="2771"/>
        <v/>
      </c>
      <c r="DH169" s="66" t="str">
        <f t="shared" si="2772"/>
        <v/>
      </c>
      <c r="DI169" s="66" t="str">
        <f t="shared" si="2773"/>
        <v/>
      </c>
      <c r="DJ169" s="66" t="str">
        <f t="shared" si="2774"/>
        <v/>
      </c>
      <c r="DK169" s="66" t="str">
        <f t="shared" si="2775"/>
        <v/>
      </c>
      <c r="DL169" s="66" t="str">
        <f t="shared" si="2776"/>
        <v/>
      </c>
      <c r="DM169" s="66" t="str">
        <f t="shared" si="2777"/>
        <v/>
      </c>
      <c r="DN169" s="66" t="str">
        <f t="shared" si="2778"/>
        <v/>
      </c>
      <c r="DO169" s="66" t="str">
        <f t="shared" si="2779"/>
        <v/>
      </c>
      <c r="DP169" s="66" t="str">
        <f t="shared" si="2780"/>
        <v/>
      </c>
      <c r="DQ169" s="66" t="str">
        <f t="shared" si="2781"/>
        <v/>
      </c>
      <c r="DR169" s="66" t="str">
        <f t="shared" si="2782"/>
        <v/>
      </c>
      <c r="DS169" s="66" t="str">
        <f t="shared" si="2783"/>
        <v/>
      </c>
      <c r="DT169" s="66" t="str">
        <f t="shared" si="2784"/>
        <v/>
      </c>
      <c r="DU169" s="66" t="str">
        <f t="shared" si="2785"/>
        <v/>
      </c>
      <c r="DV169" s="66" t="str">
        <f t="shared" si="2786"/>
        <v/>
      </c>
      <c r="DW169" s="66" t="str">
        <f t="shared" si="2787"/>
        <v/>
      </c>
      <c r="DX169" s="66" t="str">
        <f t="shared" si="2788"/>
        <v/>
      </c>
      <c r="DY169" s="66" t="str">
        <f t="shared" si="2789"/>
        <v/>
      </c>
      <c r="DZ169" s="66" t="str">
        <f t="shared" si="2790"/>
        <v/>
      </c>
      <c r="EA169" s="66" t="str">
        <f t="shared" si="2791"/>
        <v/>
      </c>
      <c r="EB169" s="66" t="str">
        <f t="shared" si="2792"/>
        <v/>
      </c>
      <c r="EC169" s="66" t="str">
        <f t="shared" si="2793"/>
        <v/>
      </c>
      <c r="ED169" s="66" t="str">
        <f t="shared" si="2794"/>
        <v/>
      </c>
      <c r="EE169" s="66" t="str">
        <f t="shared" si="2795"/>
        <v/>
      </c>
      <c r="EF169" s="66" t="str">
        <f t="shared" si="2796"/>
        <v/>
      </c>
      <c r="EG169" s="66" t="str">
        <f t="shared" si="2797"/>
        <v/>
      </c>
      <c r="EH169" s="66" t="str">
        <f t="shared" si="2798"/>
        <v/>
      </c>
      <c r="EI169" s="66" t="str">
        <f t="shared" si="2799"/>
        <v/>
      </c>
      <c r="EJ169" s="66" t="str">
        <f t="shared" si="2800"/>
        <v/>
      </c>
      <c r="EK169" s="66" t="str">
        <f t="shared" si="2801"/>
        <v/>
      </c>
      <c r="EL169" s="66" t="str">
        <f t="shared" si="2802"/>
        <v/>
      </c>
      <c r="EM169" s="66" t="str">
        <f t="shared" si="2803"/>
        <v/>
      </c>
      <c r="EN169" s="66" t="str">
        <f t="shared" si="2804"/>
        <v/>
      </c>
      <c r="EO169" s="66" t="str">
        <f t="shared" si="2805"/>
        <v/>
      </c>
      <c r="EP169" s="66" t="str">
        <f t="shared" si="2806"/>
        <v/>
      </c>
      <c r="EQ169" s="66" t="str">
        <f t="shared" si="2807"/>
        <v/>
      </c>
      <c r="ER169" s="66" t="str">
        <f t="shared" si="2808"/>
        <v/>
      </c>
      <c r="ES169" s="66" t="str">
        <f t="shared" si="2809"/>
        <v/>
      </c>
      <c r="ET169" s="66" t="str">
        <f t="shared" si="2810"/>
        <v/>
      </c>
      <c r="EU169" s="66" t="str">
        <f t="shared" si="2811"/>
        <v/>
      </c>
      <c r="EV169" s="66" t="str">
        <f t="shared" si="2812"/>
        <v/>
      </c>
      <c r="EW169" s="66" t="str">
        <f t="shared" si="2813"/>
        <v/>
      </c>
      <c r="EX169" s="66" t="str">
        <f t="shared" si="2814"/>
        <v/>
      </c>
      <c r="EY169" s="66" t="str">
        <f t="shared" si="2815"/>
        <v/>
      </c>
      <c r="EZ169" s="66" t="str">
        <f t="shared" si="2816"/>
        <v/>
      </c>
      <c r="FA169" s="66" t="str">
        <f t="shared" si="2817"/>
        <v/>
      </c>
      <c r="FB169" s="66" t="str">
        <f t="shared" si="2818"/>
        <v/>
      </c>
      <c r="FC169" s="66" t="str">
        <f t="shared" si="2819"/>
        <v/>
      </c>
      <c r="FD169" s="66" t="str">
        <f t="shared" si="2820"/>
        <v/>
      </c>
      <c r="FE169" s="66" t="str">
        <f t="shared" si="2821"/>
        <v/>
      </c>
      <c r="FF169" s="66" t="str">
        <f t="shared" si="2822"/>
        <v/>
      </c>
      <c r="FG169" s="66" t="str">
        <f t="shared" si="2823"/>
        <v/>
      </c>
      <c r="FH169" s="66" t="str">
        <f t="shared" si="2824"/>
        <v/>
      </c>
      <c r="FI169" s="66" t="str">
        <f t="shared" si="2825"/>
        <v/>
      </c>
      <c r="FJ169" s="66" t="str">
        <f t="shared" si="2826"/>
        <v/>
      </c>
      <c r="FK169" s="66" t="str">
        <f t="shared" si="2827"/>
        <v/>
      </c>
      <c r="FL169" s="66" t="str">
        <f t="shared" si="2828"/>
        <v/>
      </c>
      <c r="FM169" s="66" t="str">
        <f t="shared" si="2829"/>
        <v/>
      </c>
      <c r="FN169" s="66" t="str">
        <f t="shared" si="2830"/>
        <v/>
      </c>
      <c r="FO169" s="66" t="str">
        <f t="shared" si="2831"/>
        <v/>
      </c>
      <c r="FP169" s="66" t="str">
        <f t="shared" si="2832"/>
        <v/>
      </c>
      <c r="FQ169" s="66" t="str">
        <f t="shared" si="2833"/>
        <v/>
      </c>
      <c r="FR169" s="66" t="str">
        <f t="shared" si="2834"/>
        <v/>
      </c>
      <c r="FS169" s="66" t="str">
        <f t="shared" si="2835"/>
        <v/>
      </c>
    </row>
    <row r="170" spans="1:175" ht="16.5">
      <c r="A170" s="15"/>
      <c r="B170" s="9" t="s">
        <v>627</v>
      </c>
      <c r="C170" s="15" t="s">
        <v>628</v>
      </c>
      <c r="R170" s="60">
        <v>-7896</v>
      </c>
      <c r="S170" s="60">
        <v>3839</v>
      </c>
      <c r="T170" s="25" t="str">
        <f>"渡过该劫后可结成|Cff00bfff地级道果|r。|n|n|Cff00bfff地级道果：|r"&amp;CU83</f>
        <v>渡过该劫后可结成|Cff00bfff地级道果|r。|n|n|Cff00bfff地级道果：|r|n攻击+120000|n生命值+480000|n物理伤害+25%|n法术伤害+25%|n杀敌攻击+8|n杀敌业力+1|n杀敌生命+30|n</v>
      </c>
      <c r="U170" s="77" t="str">
        <f t="shared" si="2687"/>
        <v>ReplaceableTextures\\CommandButtons\\BTNIT06.blp</v>
      </c>
      <c r="CN170" s="36" t="str">
        <f t="shared" si="2688"/>
        <v>InitUnitState('IT06',,,,,,,,,,)</v>
      </c>
      <c r="CO170" s="36" t="str">
        <f t="shared" si="2689"/>
        <v>InitUnitNormal('IT06',,,,,,,,,,)</v>
      </c>
      <c r="CP170" s="36" t="str">
        <f t="shared" si="2690"/>
        <v>InitUnitMagic('IT06',,,,,,,,,,)</v>
      </c>
      <c r="CQ170" s="36" t="str">
        <f t="shared" si="2691"/>
        <v>InitUnitAdd('IT06',,,,,,,,,,)</v>
      </c>
      <c r="CR170" s="36" t="str">
        <f t="shared" si="2692"/>
        <v>InitEquipData('IT06',,"",,,,,'','','','','','',"ReplaceableTextures\\CommandButtons\\BTNIT07.blp")</v>
      </c>
      <c r="CU170" s="88" t="str">
        <f t="shared" si="2765"/>
        <v>|n</v>
      </c>
      <c r="CV170" s="19" t="str">
        <f t="shared" si="2836"/>
        <v>渡过该劫后可结成|Cff00bfff地级道果|r。|n|n|Cff00bfff地级道果：|r|n攻击+120000|n生命值+480000|n物理伤害+25%|n法术伤害+25%|n杀敌攻击+8|n杀敌业力+1|n杀敌生命+30|n</v>
      </c>
      <c r="CW170" s="33"/>
      <c r="CX170" s="33"/>
      <c r="CY170" s="33"/>
      <c r="CZ170" s="33"/>
      <c r="DA170" s="33"/>
      <c r="DB170" s="66" t="str">
        <f t="shared" si="2766"/>
        <v/>
      </c>
      <c r="DC170" s="66" t="str">
        <f t="shared" si="2767"/>
        <v/>
      </c>
      <c r="DD170" s="66" t="str">
        <f t="shared" si="2768"/>
        <v/>
      </c>
      <c r="DE170" s="66" t="str">
        <f t="shared" si="2769"/>
        <v/>
      </c>
      <c r="DF170" s="66" t="str">
        <f t="shared" si="2770"/>
        <v/>
      </c>
      <c r="DG170" s="66" t="str">
        <f t="shared" si="2771"/>
        <v/>
      </c>
      <c r="DH170" s="66" t="str">
        <f t="shared" si="2772"/>
        <v/>
      </c>
      <c r="DI170" s="66" t="str">
        <f t="shared" si="2773"/>
        <v/>
      </c>
      <c r="DJ170" s="66" t="str">
        <f t="shared" si="2774"/>
        <v/>
      </c>
      <c r="DK170" s="66" t="str">
        <f t="shared" si="2775"/>
        <v/>
      </c>
      <c r="DL170" s="66" t="str">
        <f t="shared" si="2776"/>
        <v/>
      </c>
      <c r="DM170" s="66" t="str">
        <f t="shared" si="2777"/>
        <v/>
      </c>
      <c r="DN170" s="66" t="str">
        <f t="shared" si="2778"/>
        <v/>
      </c>
      <c r="DO170" s="66" t="str">
        <f t="shared" si="2779"/>
        <v/>
      </c>
      <c r="DP170" s="66" t="str">
        <f t="shared" si="2780"/>
        <v/>
      </c>
      <c r="DQ170" s="66" t="str">
        <f t="shared" si="2781"/>
        <v/>
      </c>
      <c r="DR170" s="66" t="str">
        <f t="shared" si="2782"/>
        <v/>
      </c>
      <c r="DS170" s="66" t="str">
        <f t="shared" si="2783"/>
        <v/>
      </c>
      <c r="DT170" s="66" t="str">
        <f t="shared" si="2784"/>
        <v/>
      </c>
      <c r="DU170" s="66" t="str">
        <f t="shared" si="2785"/>
        <v/>
      </c>
      <c r="DV170" s="66" t="str">
        <f t="shared" si="2786"/>
        <v/>
      </c>
      <c r="DW170" s="66" t="str">
        <f t="shared" si="2787"/>
        <v/>
      </c>
      <c r="DX170" s="66" t="str">
        <f t="shared" si="2788"/>
        <v/>
      </c>
      <c r="DY170" s="66" t="str">
        <f t="shared" si="2789"/>
        <v/>
      </c>
      <c r="DZ170" s="66" t="str">
        <f t="shared" si="2790"/>
        <v/>
      </c>
      <c r="EA170" s="66" t="str">
        <f t="shared" si="2791"/>
        <v/>
      </c>
      <c r="EB170" s="66" t="str">
        <f t="shared" si="2792"/>
        <v/>
      </c>
      <c r="EC170" s="66" t="str">
        <f t="shared" si="2793"/>
        <v/>
      </c>
      <c r="ED170" s="66" t="str">
        <f t="shared" si="2794"/>
        <v/>
      </c>
      <c r="EE170" s="66" t="str">
        <f t="shared" si="2795"/>
        <v/>
      </c>
      <c r="EF170" s="66" t="str">
        <f t="shared" si="2796"/>
        <v/>
      </c>
      <c r="EG170" s="66" t="str">
        <f t="shared" si="2797"/>
        <v/>
      </c>
      <c r="EH170" s="66" t="str">
        <f t="shared" si="2798"/>
        <v/>
      </c>
      <c r="EI170" s="66" t="str">
        <f t="shared" si="2799"/>
        <v/>
      </c>
      <c r="EJ170" s="66" t="str">
        <f t="shared" si="2800"/>
        <v/>
      </c>
      <c r="EK170" s="66" t="str">
        <f t="shared" si="2801"/>
        <v/>
      </c>
      <c r="EL170" s="66" t="str">
        <f t="shared" si="2802"/>
        <v/>
      </c>
      <c r="EM170" s="66" t="str">
        <f t="shared" si="2803"/>
        <v/>
      </c>
      <c r="EN170" s="66" t="str">
        <f t="shared" si="2804"/>
        <v/>
      </c>
      <c r="EO170" s="66" t="str">
        <f t="shared" si="2805"/>
        <v/>
      </c>
      <c r="EP170" s="66" t="str">
        <f t="shared" si="2806"/>
        <v/>
      </c>
      <c r="EQ170" s="66" t="str">
        <f t="shared" si="2807"/>
        <v/>
      </c>
      <c r="ER170" s="66" t="str">
        <f t="shared" si="2808"/>
        <v/>
      </c>
      <c r="ES170" s="66" t="str">
        <f t="shared" si="2809"/>
        <v/>
      </c>
      <c r="ET170" s="66" t="str">
        <f t="shared" si="2810"/>
        <v/>
      </c>
      <c r="EU170" s="66" t="str">
        <f t="shared" si="2811"/>
        <v/>
      </c>
      <c r="EV170" s="66" t="str">
        <f t="shared" si="2812"/>
        <v/>
      </c>
      <c r="EW170" s="66" t="str">
        <f t="shared" si="2813"/>
        <v/>
      </c>
      <c r="EX170" s="66" t="str">
        <f t="shared" si="2814"/>
        <v/>
      </c>
      <c r="EY170" s="66" t="str">
        <f t="shared" si="2815"/>
        <v/>
      </c>
      <c r="EZ170" s="66" t="str">
        <f t="shared" si="2816"/>
        <v/>
      </c>
      <c r="FA170" s="66" t="str">
        <f t="shared" si="2817"/>
        <v/>
      </c>
      <c r="FB170" s="66" t="str">
        <f t="shared" si="2818"/>
        <v/>
      </c>
      <c r="FC170" s="66" t="str">
        <f t="shared" si="2819"/>
        <v/>
      </c>
      <c r="FD170" s="66" t="str">
        <f t="shared" si="2820"/>
        <v/>
      </c>
      <c r="FE170" s="66" t="str">
        <f t="shared" si="2821"/>
        <v/>
      </c>
      <c r="FF170" s="66" t="str">
        <f t="shared" si="2822"/>
        <v/>
      </c>
      <c r="FG170" s="66" t="str">
        <f t="shared" si="2823"/>
        <v/>
      </c>
      <c r="FH170" s="66" t="str">
        <f t="shared" si="2824"/>
        <v/>
      </c>
      <c r="FI170" s="66" t="str">
        <f t="shared" si="2825"/>
        <v/>
      </c>
      <c r="FJ170" s="66" t="str">
        <f t="shared" si="2826"/>
        <v/>
      </c>
      <c r="FK170" s="66" t="str">
        <f t="shared" si="2827"/>
        <v/>
      </c>
      <c r="FL170" s="66" t="str">
        <f t="shared" si="2828"/>
        <v/>
      </c>
      <c r="FM170" s="66" t="str">
        <f t="shared" si="2829"/>
        <v/>
      </c>
      <c r="FN170" s="66" t="str">
        <f t="shared" si="2830"/>
        <v/>
      </c>
      <c r="FO170" s="66" t="str">
        <f t="shared" si="2831"/>
        <v/>
      </c>
      <c r="FP170" s="66" t="str">
        <f t="shared" si="2832"/>
        <v/>
      </c>
      <c r="FQ170" s="66" t="str">
        <f t="shared" si="2833"/>
        <v/>
      </c>
      <c r="FR170" s="66" t="str">
        <f t="shared" si="2834"/>
        <v/>
      </c>
      <c r="FS170" s="66" t="str">
        <f t="shared" si="2835"/>
        <v/>
      </c>
    </row>
    <row r="171" spans="1:175" ht="16.5">
      <c r="A171" s="15"/>
      <c r="B171" s="9" t="s">
        <v>629</v>
      </c>
      <c r="C171" s="15" t="s">
        <v>630</v>
      </c>
      <c r="R171" s="60">
        <v>-7896</v>
      </c>
      <c r="S171" s="60">
        <v>5906</v>
      </c>
      <c r="T171" s="25" t="str">
        <f>"渡过该劫后可结成|Cffffc926天级道果|r。|n|n|Cffffc926天级道果：|r"&amp;CU84</f>
        <v>渡过该劫后可结成|Cffffc926天级道果|r。|n|n|Cffffc926天级道果：|r|n攻击+180000|n生命值+720000|n物理伤害+30%|n法术伤害+30%|n杀敌攻击+8|n杀敌业力+1|n杀敌生命+30|n</v>
      </c>
      <c r="U171" s="77" t="str">
        <f t="shared" si="2687"/>
        <v>ReplaceableTextures\\CommandButtons\\BTNIT07.blp</v>
      </c>
      <c r="CN171" s="36" t="str">
        <f t="shared" si="2688"/>
        <v>InitUnitState('IT07',,,,,,,,,,)</v>
      </c>
      <c r="CO171" s="36" t="str">
        <f t="shared" si="2689"/>
        <v>InitUnitNormal('IT07',,,,,,,,,,)</v>
      </c>
      <c r="CP171" s="36" t="str">
        <f t="shared" si="2690"/>
        <v>InitUnitMagic('IT07',,,,,,,,,,)</v>
      </c>
      <c r="CQ171" s="36" t="str">
        <f t="shared" si="2691"/>
        <v>InitUnitAdd('IT07',,,,,,,,,,)</v>
      </c>
      <c r="CR171" s="36" t="str">
        <f t="shared" si="2692"/>
        <v>InitEquipData('IT07',,"",,,,,'','','','','','',"ReplaceableTextures\\CommandButtons\\BTNIT08.blp")</v>
      </c>
      <c r="CU171" s="88" t="str">
        <f t="shared" si="2765"/>
        <v>|n</v>
      </c>
      <c r="CV171" s="19" t="str">
        <f t="shared" si="2836"/>
        <v>渡过该劫后可结成|Cffffc926天级道果|r。|n|n|Cffffc926天级道果：|r|n攻击+180000|n生命值+720000|n物理伤害+30%|n法术伤害+30%|n杀敌攻击+8|n杀敌业力+1|n杀敌生命+30|n</v>
      </c>
      <c r="CW171" s="33"/>
      <c r="CX171" s="33"/>
      <c r="CY171" s="33"/>
      <c r="CZ171" s="33"/>
      <c r="DA171" s="33"/>
      <c r="DB171" s="66" t="str">
        <f t="shared" si="2766"/>
        <v/>
      </c>
      <c r="DC171" s="66" t="str">
        <f t="shared" si="2767"/>
        <v/>
      </c>
      <c r="DD171" s="66" t="str">
        <f t="shared" si="2768"/>
        <v/>
      </c>
      <c r="DE171" s="66" t="str">
        <f t="shared" si="2769"/>
        <v/>
      </c>
      <c r="DF171" s="66" t="str">
        <f t="shared" si="2770"/>
        <v/>
      </c>
      <c r="DG171" s="66" t="str">
        <f t="shared" si="2771"/>
        <v/>
      </c>
      <c r="DH171" s="66" t="str">
        <f t="shared" si="2772"/>
        <v/>
      </c>
      <c r="DI171" s="66" t="str">
        <f t="shared" si="2773"/>
        <v/>
      </c>
      <c r="DJ171" s="66" t="str">
        <f t="shared" si="2774"/>
        <v/>
      </c>
      <c r="DK171" s="66" t="str">
        <f t="shared" si="2775"/>
        <v/>
      </c>
      <c r="DL171" s="66" t="str">
        <f t="shared" si="2776"/>
        <v/>
      </c>
      <c r="DM171" s="66" t="str">
        <f t="shared" si="2777"/>
        <v/>
      </c>
      <c r="DN171" s="66" t="str">
        <f t="shared" si="2778"/>
        <v/>
      </c>
      <c r="DO171" s="66" t="str">
        <f t="shared" si="2779"/>
        <v/>
      </c>
      <c r="DP171" s="66" t="str">
        <f t="shared" si="2780"/>
        <v/>
      </c>
      <c r="DQ171" s="66" t="str">
        <f t="shared" si="2781"/>
        <v/>
      </c>
      <c r="DR171" s="66" t="str">
        <f t="shared" si="2782"/>
        <v/>
      </c>
      <c r="DS171" s="66" t="str">
        <f t="shared" si="2783"/>
        <v/>
      </c>
      <c r="DT171" s="66" t="str">
        <f t="shared" si="2784"/>
        <v/>
      </c>
      <c r="DU171" s="66" t="str">
        <f t="shared" si="2785"/>
        <v/>
      </c>
      <c r="DV171" s="66" t="str">
        <f t="shared" si="2786"/>
        <v/>
      </c>
      <c r="DW171" s="66" t="str">
        <f t="shared" si="2787"/>
        <v/>
      </c>
      <c r="DX171" s="66" t="str">
        <f t="shared" si="2788"/>
        <v/>
      </c>
      <c r="DY171" s="66" t="str">
        <f t="shared" si="2789"/>
        <v/>
      </c>
      <c r="DZ171" s="66" t="str">
        <f t="shared" si="2790"/>
        <v/>
      </c>
      <c r="EA171" s="66" t="str">
        <f t="shared" si="2791"/>
        <v/>
      </c>
      <c r="EB171" s="66" t="str">
        <f t="shared" si="2792"/>
        <v/>
      </c>
      <c r="EC171" s="66" t="str">
        <f t="shared" si="2793"/>
        <v/>
      </c>
      <c r="ED171" s="66" t="str">
        <f t="shared" si="2794"/>
        <v/>
      </c>
      <c r="EE171" s="66" t="str">
        <f t="shared" si="2795"/>
        <v/>
      </c>
      <c r="EF171" s="66" t="str">
        <f t="shared" si="2796"/>
        <v/>
      </c>
      <c r="EG171" s="66" t="str">
        <f t="shared" si="2797"/>
        <v/>
      </c>
      <c r="EH171" s="66" t="str">
        <f t="shared" si="2798"/>
        <v/>
      </c>
      <c r="EI171" s="66" t="str">
        <f t="shared" si="2799"/>
        <v/>
      </c>
      <c r="EJ171" s="66" t="str">
        <f t="shared" si="2800"/>
        <v/>
      </c>
      <c r="EK171" s="66" t="str">
        <f t="shared" si="2801"/>
        <v/>
      </c>
      <c r="EL171" s="66" t="str">
        <f t="shared" si="2802"/>
        <v/>
      </c>
      <c r="EM171" s="66" t="str">
        <f t="shared" si="2803"/>
        <v/>
      </c>
      <c r="EN171" s="66" t="str">
        <f t="shared" si="2804"/>
        <v/>
      </c>
      <c r="EO171" s="66" t="str">
        <f t="shared" si="2805"/>
        <v/>
      </c>
      <c r="EP171" s="66" t="str">
        <f t="shared" si="2806"/>
        <v/>
      </c>
      <c r="EQ171" s="66" t="str">
        <f t="shared" si="2807"/>
        <v/>
      </c>
      <c r="ER171" s="66" t="str">
        <f t="shared" si="2808"/>
        <v/>
      </c>
      <c r="ES171" s="66" t="str">
        <f t="shared" si="2809"/>
        <v/>
      </c>
      <c r="ET171" s="66" t="str">
        <f t="shared" si="2810"/>
        <v/>
      </c>
      <c r="EU171" s="66" t="str">
        <f t="shared" si="2811"/>
        <v/>
      </c>
      <c r="EV171" s="66" t="str">
        <f t="shared" si="2812"/>
        <v/>
      </c>
      <c r="EW171" s="66" t="str">
        <f t="shared" si="2813"/>
        <v/>
      </c>
      <c r="EX171" s="66" t="str">
        <f t="shared" si="2814"/>
        <v/>
      </c>
      <c r="EY171" s="66" t="str">
        <f t="shared" si="2815"/>
        <v/>
      </c>
      <c r="EZ171" s="66" t="str">
        <f t="shared" si="2816"/>
        <v/>
      </c>
      <c r="FA171" s="66" t="str">
        <f t="shared" si="2817"/>
        <v/>
      </c>
      <c r="FB171" s="66" t="str">
        <f t="shared" si="2818"/>
        <v/>
      </c>
      <c r="FC171" s="66" t="str">
        <f t="shared" si="2819"/>
        <v/>
      </c>
      <c r="FD171" s="66" t="str">
        <f t="shared" si="2820"/>
        <v/>
      </c>
      <c r="FE171" s="66" t="str">
        <f t="shared" si="2821"/>
        <v/>
      </c>
      <c r="FF171" s="66" t="str">
        <f t="shared" si="2822"/>
        <v/>
      </c>
      <c r="FG171" s="66" t="str">
        <f t="shared" si="2823"/>
        <v/>
      </c>
      <c r="FH171" s="66" t="str">
        <f t="shared" si="2824"/>
        <v/>
      </c>
      <c r="FI171" s="66" t="str">
        <f t="shared" si="2825"/>
        <v/>
      </c>
      <c r="FJ171" s="66" t="str">
        <f t="shared" si="2826"/>
        <v/>
      </c>
      <c r="FK171" s="66" t="str">
        <f t="shared" si="2827"/>
        <v/>
      </c>
      <c r="FL171" s="66" t="str">
        <f t="shared" si="2828"/>
        <v/>
      </c>
      <c r="FM171" s="66" t="str">
        <f t="shared" si="2829"/>
        <v/>
      </c>
      <c r="FN171" s="66" t="str">
        <f t="shared" si="2830"/>
        <v/>
      </c>
      <c r="FO171" s="66" t="str">
        <f t="shared" si="2831"/>
        <v/>
      </c>
      <c r="FP171" s="66" t="str">
        <f t="shared" si="2832"/>
        <v/>
      </c>
      <c r="FQ171" s="66" t="str">
        <f t="shared" si="2833"/>
        <v/>
      </c>
      <c r="FR171" s="66" t="str">
        <f t="shared" si="2834"/>
        <v/>
      </c>
      <c r="FS171" s="66" t="str">
        <f t="shared" si="2835"/>
        <v/>
      </c>
    </row>
    <row r="172" spans="1:175" ht="16.5">
      <c r="A172" s="15" t="s">
        <v>631</v>
      </c>
      <c r="B172" s="9" t="s">
        <v>632</v>
      </c>
      <c r="C172" s="15" t="s">
        <v>633</v>
      </c>
      <c r="R172" s="60">
        <v>-7970</v>
      </c>
      <c r="S172" s="60">
        <v>7965</v>
      </c>
      <c r="T172" s="25" t="str">
        <f>"渡过该劫后可结成|Cffffc926仙品道果|r。|n|n|Cffffc926仙品道果：|r"&amp;CU85</f>
        <v>渡过该劫后可结成|Cffffc926仙品道果|r。|n|n|Cffffc926仙品道果：|r|n攻击+300000|n生命值+1200000|n物理伤害+30%|n法术伤害+30%|n杀敌攻击+8|n杀敌业力+1|n杀敌生命+30|n</v>
      </c>
      <c r="U172" s="77" t="str">
        <f t="shared" si="2687"/>
        <v>ReplaceableTextures\\CommandButtons\\BTNIT08.blp</v>
      </c>
      <c r="CN172" s="36" t="str">
        <f t="shared" si="2688"/>
        <v>InitUnitState('IT08',,,,,,,,,,)</v>
      </c>
      <c r="CO172" s="36" t="str">
        <f t="shared" si="2689"/>
        <v>InitUnitNormal('IT08',,,,,,,,,,)</v>
      </c>
      <c r="CP172" s="36" t="str">
        <f t="shared" si="2690"/>
        <v>InitUnitMagic('IT08',,,,,,,,,,)</v>
      </c>
      <c r="CQ172" s="36" t="str">
        <f t="shared" si="2691"/>
        <v>InitUnitAdd('IT08',,,,,,,,,,)</v>
      </c>
      <c r="CR172" s="36" t="str">
        <f t="shared" si="2692"/>
        <v>InitEquipData('IT08',,".",,,,,'','','','','','',"ReplaceableTextures\\CommandButtons\\BTNIT09.blp")</v>
      </c>
      <c r="CU172" s="88" t="str">
        <f t="shared" si="2765"/>
        <v>|n</v>
      </c>
      <c r="CV172" s="19" t="str">
        <f t="shared" si="2836"/>
        <v>渡过该劫后可结成|Cffffc926仙品道果|r。|n|n|Cffffc926仙品道果：|r|n攻击+300000|n生命值+1200000|n物理伤害+30%|n法术伤害+30%|n杀敌攻击+8|n杀敌业力+1|n杀敌生命+30|n</v>
      </c>
      <c r="CW172" s="33"/>
      <c r="CX172" s="33"/>
      <c r="CY172" s="33"/>
      <c r="CZ172" s="33"/>
      <c r="DA172" s="33"/>
      <c r="DB172" s="66" t="str">
        <f t="shared" si="2766"/>
        <v/>
      </c>
      <c r="DC172" s="66" t="str">
        <f t="shared" si="2767"/>
        <v/>
      </c>
      <c r="DD172" s="66" t="str">
        <f t="shared" si="2768"/>
        <v/>
      </c>
      <c r="DE172" s="66" t="str">
        <f t="shared" si="2769"/>
        <v/>
      </c>
      <c r="DF172" s="66" t="str">
        <f t="shared" si="2770"/>
        <v/>
      </c>
      <c r="DG172" s="66" t="str">
        <f t="shared" si="2771"/>
        <v/>
      </c>
      <c r="DH172" s="66" t="str">
        <f t="shared" si="2772"/>
        <v/>
      </c>
      <c r="DI172" s="66" t="str">
        <f t="shared" si="2773"/>
        <v/>
      </c>
      <c r="DJ172" s="66" t="str">
        <f t="shared" si="2774"/>
        <v/>
      </c>
      <c r="DK172" s="66" t="str">
        <f t="shared" si="2775"/>
        <v/>
      </c>
      <c r="DL172" s="66" t="str">
        <f t="shared" si="2776"/>
        <v/>
      </c>
      <c r="DM172" s="66" t="str">
        <f t="shared" si="2777"/>
        <v/>
      </c>
      <c r="DN172" s="66" t="str">
        <f t="shared" si="2778"/>
        <v/>
      </c>
      <c r="DO172" s="66" t="str">
        <f t="shared" si="2779"/>
        <v/>
      </c>
      <c r="DP172" s="66" t="str">
        <f t="shared" si="2780"/>
        <v/>
      </c>
      <c r="DQ172" s="66" t="str">
        <f t="shared" si="2781"/>
        <v/>
      </c>
      <c r="DR172" s="66" t="str">
        <f t="shared" si="2782"/>
        <v/>
      </c>
      <c r="DS172" s="66" t="str">
        <f t="shared" si="2783"/>
        <v/>
      </c>
      <c r="DT172" s="66" t="str">
        <f t="shared" si="2784"/>
        <v/>
      </c>
      <c r="DU172" s="66" t="str">
        <f t="shared" si="2785"/>
        <v/>
      </c>
      <c r="DV172" s="66" t="str">
        <f t="shared" si="2786"/>
        <v/>
      </c>
      <c r="DW172" s="66" t="str">
        <f t="shared" si="2787"/>
        <v/>
      </c>
      <c r="DX172" s="66" t="str">
        <f t="shared" si="2788"/>
        <v/>
      </c>
      <c r="DY172" s="66" t="str">
        <f t="shared" si="2789"/>
        <v/>
      </c>
      <c r="DZ172" s="66" t="str">
        <f t="shared" si="2790"/>
        <v/>
      </c>
      <c r="EA172" s="66" t="str">
        <f t="shared" si="2791"/>
        <v/>
      </c>
      <c r="EB172" s="66" t="str">
        <f t="shared" si="2792"/>
        <v/>
      </c>
      <c r="EC172" s="66" t="str">
        <f t="shared" si="2793"/>
        <v/>
      </c>
      <c r="ED172" s="66" t="str">
        <f t="shared" si="2794"/>
        <v/>
      </c>
      <c r="EE172" s="66" t="str">
        <f t="shared" si="2795"/>
        <v/>
      </c>
      <c r="EF172" s="66" t="str">
        <f t="shared" si="2796"/>
        <v/>
      </c>
      <c r="EG172" s="66" t="str">
        <f t="shared" si="2797"/>
        <v/>
      </c>
      <c r="EH172" s="66" t="str">
        <f t="shared" si="2798"/>
        <v/>
      </c>
      <c r="EI172" s="66" t="str">
        <f t="shared" si="2799"/>
        <v/>
      </c>
      <c r="EJ172" s="66" t="str">
        <f t="shared" si="2800"/>
        <v/>
      </c>
      <c r="EK172" s="66" t="str">
        <f t="shared" si="2801"/>
        <v/>
      </c>
      <c r="EL172" s="66" t="str">
        <f t="shared" si="2802"/>
        <v/>
      </c>
      <c r="EM172" s="66" t="str">
        <f t="shared" si="2803"/>
        <v/>
      </c>
      <c r="EN172" s="66" t="str">
        <f t="shared" si="2804"/>
        <v/>
      </c>
      <c r="EO172" s="66" t="str">
        <f t="shared" si="2805"/>
        <v/>
      </c>
      <c r="EP172" s="66" t="str">
        <f t="shared" si="2806"/>
        <v/>
      </c>
      <c r="EQ172" s="66" t="str">
        <f t="shared" si="2807"/>
        <v/>
      </c>
      <c r="ER172" s="66" t="str">
        <f t="shared" si="2808"/>
        <v/>
      </c>
      <c r="ES172" s="66" t="str">
        <f t="shared" si="2809"/>
        <v/>
      </c>
      <c r="ET172" s="66" t="str">
        <f t="shared" si="2810"/>
        <v/>
      </c>
      <c r="EU172" s="66" t="str">
        <f t="shared" si="2811"/>
        <v/>
      </c>
      <c r="EV172" s="66" t="str">
        <f t="shared" si="2812"/>
        <v/>
      </c>
      <c r="EW172" s="66" t="str">
        <f t="shared" si="2813"/>
        <v/>
      </c>
      <c r="EX172" s="66" t="str">
        <f t="shared" si="2814"/>
        <v/>
      </c>
      <c r="EY172" s="66" t="str">
        <f t="shared" si="2815"/>
        <v/>
      </c>
      <c r="EZ172" s="66" t="str">
        <f t="shared" si="2816"/>
        <v/>
      </c>
      <c r="FA172" s="66" t="str">
        <f t="shared" si="2817"/>
        <v/>
      </c>
      <c r="FB172" s="66" t="str">
        <f t="shared" si="2818"/>
        <v/>
      </c>
      <c r="FC172" s="66" t="str">
        <f t="shared" si="2819"/>
        <v/>
      </c>
      <c r="FD172" s="66" t="str">
        <f t="shared" si="2820"/>
        <v/>
      </c>
      <c r="FE172" s="66" t="str">
        <f t="shared" si="2821"/>
        <v/>
      </c>
      <c r="FF172" s="66" t="str">
        <f t="shared" si="2822"/>
        <v/>
      </c>
      <c r="FG172" s="66" t="str">
        <f t="shared" si="2823"/>
        <v/>
      </c>
      <c r="FH172" s="66" t="str">
        <f t="shared" si="2824"/>
        <v/>
      </c>
      <c r="FI172" s="66" t="str">
        <f t="shared" si="2825"/>
        <v/>
      </c>
      <c r="FJ172" s="66" t="str">
        <f t="shared" si="2826"/>
        <v/>
      </c>
      <c r="FK172" s="66" t="str">
        <f t="shared" si="2827"/>
        <v/>
      </c>
      <c r="FL172" s="66" t="str">
        <f t="shared" si="2828"/>
        <v/>
      </c>
      <c r="FM172" s="66" t="str">
        <f t="shared" si="2829"/>
        <v/>
      </c>
      <c r="FN172" s="66" t="str">
        <f t="shared" si="2830"/>
        <v/>
      </c>
      <c r="FO172" s="66" t="str">
        <f t="shared" si="2831"/>
        <v/>
      </c>
      <c r="FP172" s="66" t="str">
        <f t="shared" si="2832"/>
        <v/>
      </c>
      <c r="FQ172" s="66" t="str">
        <f t="shared" si="2833"/>
        <v/>
      </c>
      <c r="FR172" s="66" t="str">
        <f t="shared" si="2834"/>
        <v/>
      </c>
      <c r="FS172" s="66" t="str">
        <f t="shared" si="2835"/>
        <v/>
      </c>
    </row>
    <row r="173" spans="1:175" ht="16.5">
      <c r="A173" s="15"/>
      <c r="B173" s="9" t="s">
        <v>634</v>
      </c>
      <c r="C173" s="15" t="s">
        <v>635</v>
      </c>
      <c r="R173" s="60">
        <v>2100</v>
      </c>
      <c r="S173" s="60">
        <v>-5120</v>
      </c>
      <c r="T173" s="25" t="str">
        <f>"渡过该劫后可结成|Cffff0000至圣道果|r。|n|n|Cffff0000至圣道果：|r"&amp;CU86</f>
        <v>渡过该劫后可结成|Cffff0000至圣道果|r。|n|n|Cffff0000至圣道果：|r|n攻击+450000|n生命值+1800000|n物理伤害+30%|n法术伤害+30%|n杀敌攻击+8|n杀敌业力+1|n杀敌生命+30|n</v>
      </c>
      <c r="U173" s="77" t="str">
        <f t="shared" si="2687"/>
        <v>ReplaceableTextures\\CommandButtons\\BTNIT09.blp</v>
      </c>
      <c r="CN173" s="36" t="str">
        <f t="shared" si="2688"/>
        <v>InitUnitState('IT09',,,,,,,,,,)</v>
      </c>
      <c r="CO173" s="36" t="str">
        <f t="shared" si="2689"/>
        <v>InitUnitNormal('IT09',,,,,,,,,,)</v>
      </c>
      <c r="CP173" s="36" t="str">
        <f t="shared" si="2690"/>
        <v>InitUnitMagic('IT09',,,,,,,,,,)</v>
      </c>
      <c r="CQ173" s="36" t="str">
        <f t="shared" si="2691"/>
        <v>InitUnitAdd('IT09',,,,,,,,,,)</v>
      </c>
      <c r="CR173" s="36" t="str">
        <f t="shared" si="2692"/>
        <v>InitEquipData('IT09',,"",,,,,'','','','','','',"ReplaceableTextures\\CommandButtons\\BTNIT10.blp")</v>
      </c>
      <c r="CU173" s="88" t="str">
        <f t="shared" si="2765"/>
        <v>|n</v>
      </c>
      <c r="CV173" s="19" t="str">
        <f t="shared" si="2836"/>
        <v>渡过该劫后可结成|Cffff0000至圣道果|r。|n|n|Cffff0000至圣道果：|r|n攻击+450000|n生命值+1800000|n物理伤害+30%|n法术伤害+30%|n杀敌攻击+8|n杀敌业力+1|n杀敌生命+30|n</v>
      </c>
      <c r="CW173" s="33"/>
      <c r="CX173" s="33"/>
      <c r="CY173" s="33"/>
      <c r="CZ173" s="33"/>
      <c r="DA173" s="33"/>
      <c r="DB173" s="66" t="str">
        <f t="shared" si="2766"/>
        <v/>
      </c>
      <c r="DC173" s="66" t="str">
        <f t="shared" si="2767"/>
        <v/>
      </c>
      <c r="DD173" s="66" t="str">
        <f t="shared" si="2768"/>
        <v/>
      </c>
      <c r="DE173" s="66" t="str">
        <f t="shared" si="2769"/>
        <v/>
      </c>
      <c r="DF173" s="66" t="str">
        <f t="shared" si="2770"/>
        <v/>
      </c>
      <c r="DG173" s="66" t="str">
        <f t="shared" si="2771"/>
        <v/>
      </c>
      <c r="DH173" s="66" t="str">
        <f t="shared" si="2772"/>
        <v/>
      </c>
      <c r="DI173" s="66" t="str">
        <f t="shared" si="2773"/>
        <v/>
      </c>
      <c r="DJ173" s="66" t="str">
        <f t="shared" si="2774"/>
        <v/>
      </c>
      <c r="DK173" s="66" t="str">
        <f t="shared" si="2775"/>
        <v/>
      </c>
      <c r="DL173" s="66" t="str">
        <f t="shared" si="2776"/>
        <v/>
      </c>
      <c r="DM173" s="66" t="str">
        <f t="shared" si="2777"/>
        <v/>
      </c>
      <c r="DN173" s="66" t="str">
        <f t="shared" si="2778"/>
        <v/>
      </c>
      <c r="DO173" s="66" t="str">
        <f t="shared" si="2779"/>
        <v/>
      </c>
      <c r="DP173" s="66" t="str">
        <f t="shared" si="2780"/>
        <v/>
      </c>
      <c r="DQ173" s="66" t="str">
        <f t="shared" si="2781"/>
        <v/>
      </c>
      <c r="DR173" s="66" t="str">
        <f t="shared" si="2782"/>
        <v/>
      </c>
      <c r="DS173" s="66" t="str">
        <f t="shared" si="2783"/>
        <v/>
      </c>
      <c r="DT173" s="66" t="str">
        <f t="shared" si="2784"/>
        <v/>
      </c>
      <c r="DU173" s="66" t="str">
        <f t="shared" si="2785"/>
        <v/>
      </c>
      <c r="DV173" s="66" t="str">
        <f t="shared" si="2786"/>
        <v/>
      </c>
      <c r="DW173" s="66" t="str">
        <f t="shared" si="2787"/>
        <v/>
      </c>
      <c r="DX173" s="66" t="str">
        <f t="shared" si="2788"/>
        <v/>
      </c>
      <c r="DY173" s="66" t="str">
        <f t="shared" si="2789"/>
        <v/>
      </c>
      <c r="DZ173" s="66" t="str">
        <f t="shared" si="2790"/>
        <v/>
      </c>
      <c r="EA173" s="66" t="str">
        <f t="shared" si="2791"/>
        <v/>
      </c>
      <c r="EB173" s="66" t="str">
        <f t="shared" si="2792"/>
        <v/>
      </c>
      <c r="EC173" s="66" t="str">
        <f t="shared" si="2793"/>
        <v/>
      </c>
      <c r="ED173" s="66" t="str">
        <f t="shared" si="2794"/>
        <v/>
      </c>
      <c r="EE173" s="66" t="str">
        <f t="shared" si="2795"/>
        <v/>
      </c>
      <c r="EF173" s="66" t="str">
        <f t="shared" si="2796"/>
        <v/>
      </c>
      <c r="EG173" s="66" t="str">
        <f t="shared" si="2797"/>
        <v/>
      </c>
      <c r="EH173" s="66" t="str">
        <f t="shared" si="2798"/>
        <v/>
      </c>
      <c r="EI173" s="66" t="str">
        <f t="shared" si="2799"/>
        <v/>
      </c>
      <c r="EJ173" s="66" t="str">
        <f t="shared" si="2800"/>
        <v/>
      </c>
      <c r="EK173" s="66" t="str">
        <f t="shared" si="2801"/>
        <v/>
      </c>
      <c r="EL173" s="66" t="str">
        <f t="shared" si="2802"/>
        <v/>
      </c>
      <c r="EM173" s="66" t="str">
        <f t="shared" si="2803"/>
        <v/>
      </c>
      <c r="EN173" s="66" t="str">
        <f t="shared" si="2804"/>
        <v/>
      </c>
      <c r="EO173" s="66" t="str">
        <f t="shared" si="2805"/>
        <v/>
      </c>
      <c r="EP173" s="66" t="str">
        <f t="shared" si="2806"/>
        <v/>
      </c>
      <c r="EQ173" s="66" t="str">
        <f t="shared" si="2807"/>
        <v/>
      </c>
      <c r="ER173" s="66" t="str">
        <f t="shared" si="2808"/>
        <v/>
      </c>
      <c r="ES173" s="66" t="str">
        <f t="shared" si="2809"/>
        <v/>
      </c>
      <c r="ET173" s="66" t="str">
        <f t="shared" si="2810"/>
        <v/>
      </c>
      <c r="EU173" s="66" t="str">
        <f t="shared" si="2811"/>
        <v/>
      </c>
      <c r="EV173" s="66" t="str">
        <f t="shared" si="2812"/>
        <v/>
      </c>
      <c r="EW173" s="66" t="str">
        <f t="shared" si="2813"/>
        <v/>
      </c>
      <c r="EX173" s="66" t="str">
        <f t="shared" si="2814"/>
        <v/>
      </c>
      <c r="EY173" s="66" t="str">
        <f t="shared" si="2815"/>
        <v/>
      </c>
      <c r="EZ173" s="66" t="str">
        <f t="shared" si="2816"/>
        <v/>
      </c>
      <c r="FA173" s="66" t="str">
        <f t="shared" si="2817"/>
        <v/>
      </c>
      <c r="FB173" s="66" t="str">
        <f t="shared" si="2818"/>
        <v/>
      </c>
      <c r="FC173" s="66" t="str">
        <f t="shared" si="2819"/>
        <v/>
      </c>
      <c r="FD173" s="66" t="str">
        <f t="shared" si="2820"/>
        <v/>
      </c>
      <c r="FE173" s="66" t="str">
        <f t="shared" si="2821"/>
        <v/>
      </c>
      <c r="FF173" s="66" t="str">
        <f t="shared" si="2822"/>
        <v/>
      </c>
      <c r="FG173" s="66" t="str">
        <f t="shared" si="2823"/>
        <v/>
      </c>
      <c r="FH173" s="66" t="str">
        <f t="shared" si="2824"/>
        <v/>
      </c>
      <c r="FI173" s="66" t="str">
        <f t="shared" si="2825"/>
        <v/>
      </c>
      <c r="FJ173" s="66" t="str">
        <f t="shared" si="2826"/>
        <v/>
      </c>
      <c r="FK173" s="66" t="str">
        <f t="shared" si="2827"/>
        <v/>
      </c>
      <c r="FL173" s="66" t="str">
        <f t="shared" si="2828"/>
        <v/>
      </c>
      <c r="FM173" s="66" t="str">
        <f t="shared" si="2829"/>
        <v/>
      </c>
      <c r="FN173" s="66" t="str">
        <f t="shared" si="2830"/>
        <v/>
      </c>
      <c r="FO173" s="66" t="str">
        <f t="shared" si="2831"/>
        <v/>
      </c>
      <c r="FP173" s="66" t="str">
        <f t="shared" si="2832"/>
        <v/>
      </c>
      <c r="FQ173" s="66" t="str">
        <f t="shared" si="2833"/>
        <v/>
      </c>
      <c r="FR173" s="66" t="str">
        <f t="shared" si="2834"/>
        <v/>
      </c>
      <c r="FS173" s="66" t="str">
        <f t="shared" si="2835"/>
        <v/>
      </c>
    </row>
    <row r="174" spans="1:175" ht="16.5">
      <c r="A174" s="15"/>
      <c r="B174" s="9" t="s">
        <v>636</v>
      </c>
      <c r="C174" s="15" t="s">
        <v>637</v>
      </c>
      <c r="R174" s="60">
        <v>2268</v>
      </c>
      <c r="S174" s="60">
        <v>-8065</v>
      </c>
      <c r="T174" s="25" t="str">
        <f>"渡过该劫后可结成|Cffff0000混沌道果|r。|n|n|Cffff0000混沌道果：|r"&amp;CU87</f>
        <v>渡过该劫后可结成|Cffff0000混沌道果|r。|n|n|Cffff0000混沌道果：|r|n攻击+750000|n生命值+3000000|n物理伤害+40%|n法术伤害+40%|n杀敌攻击+8|n杀敌业力+1|n杀敌生命+30|n</v>
      </c>
      <c r="U174" s="77" t="str">
        <f t="shared" si="2687"/>
        <v>ReplaceableTextures\\CommandButtons\\BTNIT10.blp</v>
      </c>
      <c r="CN174" s="36" t="str">
        <f t="shared" si="2688"/>
        <v>InitUnitState('IT10',,,,,,,,,,)</v>
      </c>
      <c r="CO174" s="36" t="str">
        <f t="shared" si="2689"/>
        <v>InitUnitNormal('IT10',,,,,,,,,,)</v>
      </c>
      <c r="CP174" s="36" t="str">
        <f t="shared" si="2690"/>
        <v>InitUnitMagic('IT10',,,,,,,,,,)</v>
      </c>
      <c r="CQ174" s="36" t="str">
        <f t="shared" si="2691"/>
        <v>InitUnitAdd('IT10',,,,,,,,,,)</v>
      </c>
      <c r="CR174" s="36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186&amp;CR$1&amp;")"</f>
        <v>InitEquipData('IT10',,"",,,,,'','','','','','',"ReplaceableTextures\\CommandButtons\\BTN002.blp")</v>
      </c>
      <c r="CU174" s="88" t="str">
        <f t="shared" si="2765"/>
        <v>|n</v>
      </c>
      <c r="CV174" s="19" t="str">
        <f t="shared" si="2836"/>
        <v>渡过该劫后可结成|Cffff0000混沌道果|r。|n|n|Cffff0000混沌道果：|r|n攻击+750000|n生命值+3000000|n物理伤害+40%|n法术伤害+40%|n杀敌攻击+8|n杀敌业力+1|n杀敌生命+30|n</v>
      </c>
      <c r="CW174" s="33"/>
      <c r="CX174" s="33"/>
      <c r="CY174" s="33"/>
      <c r="CZ174" s="33"/>
      <c r="DA174" s="33"/>
      <c r="DB174" s="66" t="str">
        <f t="shared" si="2766"/>
        <v/>
      </c>
      <c r="DC174" s="66" t="str">
        <f t="shared" si="2767"/>
        <v/>
      </c>
      <c r="DD174" s="66" t="str">
        <f t="shared" si="2768"/>
        <v/>
      </c>
      <c r="DE174" s="66" t="str">
        <f t="shared" si="2769"/>
        <v/>
      </c>
      <c r="DF174" s="66" t="str">
        <f t="shared" si="2770"/>
        <v/>
      </c>
      <c r="DG174" s="66" t="str">
        <f t="shared" si="2771"/>
        <v/>
      </c>
      <c r="DH174" s="66" t="str">
        <f t="shared" si="2772"/>
        <v/>
      </c>
      <c r="DI174" s="66" t="str">
        <f t="shared" si="2773"/>
        <v/>
      </c>
      <c r="DJ174" s="66" t="str">
        <f t="shared" si="2774"/>
        <v/>
      </c>
      <c r="DK174" s="66" t="str">
        <f t="shared" si="2775"/>
        <v/>
      </c>
      <c r="DL174" s="66" t="str">
        <f t="shared" si="2776"/>
        <v/>
      </c>
      <c r="DM174" s="66" t="str">
        <f t="shared" si="2777"/>
        <v/>
      </c>
      <c r="DN174" s="66" t="str">
        <f t="shared" si="2778"/>
        <v/>
      </c>
      <c r="DO174" s="66" t="str">
        <f t="shared" si="2779"/>
        <v/>
      </c>
      <c r="DP174" s="66" t="str">
        <f t="shared" si="2780"/>
        <v/>
      </c>
      <c r="DQ174" s="66" t="str">
        <f t="shared" si="2781"/>
        <v/>
      </c>
      <c r="DR174" s="66" t="str">
        <f t="shared" si="2782"/>
        <v/>
      </c>
      <c r="DS174" s="66" t="str">
        <f t="shared" si="2783"/>
        <v/>
      </c>
      <c r="DT174" s="66" t="str">
        <f t="shared" si="2784"/>
        <v/>
      </c>
      <c r="DU174" s="66" t="str">
        <f t="shared" si="2785"/>
        <v/>
      </c>
      <c r="DV174" s="66" t="str">
        <f t="shared" si="2786"/>
        <v/>
      </c>
      <c r="DW174" s="66" t="str">
        <f t="shared" si="2787"/>
        <v/>
      </c>
      <c r="DX174" s="66" t="str">
        <f t="shared" si="2788"/>
        <v/>
      </c>
      <c r="DY174" s="66" t="str">
        <f t="shared" si="2789"/>
        <v/>
      </c>
      <c r="DZ174" s="66" t="str">
        <f t="shared" si="2790"/>
        <v/>
      </c>
      <c r="EA174" s="66" t="str">
        <f t="shared" si="2791"/>
        <v/>
      </c>
      <c r="EB174" s="66" t="str">
        <f t="shared" si="2792"/>
        <v/>
      </c>
      <c r="EC174" s="66" t="str">
        <f t="shared" si="2793"/>
        <v/>
      </c>
      <c r="ED174" s="66" t="str">
        <f t="shared" si="2794"/>
        <v/>
      </c>
      <c r="EE174" s="66" t="str">
        <f t="shared" si="2795"/>
        <v/>
      </c>
      <c r="EF174" s="66" t="str">
        <f t="shared" si="2796"/>
        <v/>
      </c>
      <c r="EG174" s="66" t="str">
        <f t="shared" si="2797"/>
        <v/>
      </c>
      <c r="EH174" s="66" t="str">
        <f t="shared" si="2798"/>
        <v/>
      </c>
      <c r="EI174" s="66" t="str">
        <f t="shared" si="2799"/>
        <v/>
      </c>
      <c r="EJ174" s="66" t="str">
        <f t="shared" si="2800"/>
        <v/>
      </c>
      <c r="EK174" s="66" t="str">
        <f t="shared" si="2801"/>
        <v/>
      </c>
      <c r="EL174" s="66" t="str">
        <f t="shared" si="2802"/>
        <v/>
      </c>
      <c r="EM174" s="66" t="str">
        <f t="shared" si="2803"/>
        <v/>
      </c>
      <c r="EN174" s="66" t="str">
        <f t="shared" si="2804"/>
        <v/>
      </c>
      <c r="EO174" s="66" t="str">
        <f t="shared" si="2805"/>
        <v/>
      </c>
      <c r="EP174" s="66" t="str">
        <f t="shared" si="2806"/>
        <v/>
      </c>
      <c r="EQ174" s="66" t="str">
        <f t="shared" si="2807"/>
        <v/>
      </c>
      <c r="ER174" s="66" t="str">
        <f t="shared" si="2808"/>
        <v/>
      </c>
      <c r="ES174" s="66" t="str">
        <f t="shared" si="2809"/>
        <v/>
      </c>
      <c r="ET174" s="66" t="str">
        <f t="shared" si="2810"/>
        <v/>
      </c>
      <c r="EU174" s="66" t="str">
        <f t="shared" si="2811"/>
        <v/>
      </c>
      <c r="EV174" s="66" t="str">
        <f t="shared" si="2812"/>
        <v/>
      </c>
      <c r="EW174" s="66" t="str">
        <f t="shared" si="2813"/>
        <v/>
      </c>
      <c r="EX174" s="66" t="str">
        <f t="shared" si="2814"/>
        <v/>
      </c>
      <c r="EY174" s="66" t="str">
        <f t="shared" si="2815"/>
        <v/>
      </c>
      <c r="EZ174" s="66" t="str">
        <f t="shared" si="2816"/>
        <v/>
      </c>
      <c r="FA174" s="66" t="str">
        <f t="shared" si="2817"/>
        <v/>
      </c>
      <c r="FB174" s="66" t="str">
        <f t="shared" si="2818"/>
        <v/>
      </c>
      <c r="FC174" s="66" t="str">
        <f t="shared" si="2819"/>
        <v/>
      </c>
      <c r="FD174" s="66" t="str">
        <f t="shared" si="2820"/>
        <v/>
      </c>
      <c r="FE174" s="66" t="str">
        <f t="shared" si="2821"/>
        <v/>
      </c>
      <c r="FF174" s="66" t="str">
        <f t="shared" si="2822"/>
        <v/>
      </c>
      <c r="FG174" s="66" t="str">
        <f t="shared" si="2823"/>
        <v/>
      </c>
      <c r="FH174" s="66" t="str">
        <f t="shared" si="2824"/>
        <v/>
      </c>
      <c r="FI174" s="66" t="str">
        <f t="shared" si="2825"/>
        <v/>
      </c>
      <c r="FJ174" s="66" t="str">
        <f t="shared" si="2826"/>
        <v/>
      </c>
      <c r="FK174" s="66" t="str">
        <f t="shared" si="2827"/>
        <v/>
      </c>
      <c r="FL174" s="66" t="str">
        <f t="shared" si="2828"/>
        <v/>
      </c>
      <c r="FM174" s="66" t="str">
        <f t="shared" si="2829"/>
        <v/>
      </c>
      <c r="FN174" s="66" t="str">
        <f t="shared" si="2830"/>
        <v/>
      </c>
      <c r="FO174" s="66" t="str">
        <f t="shared" si="2831"/>
        <v/>
      </c>
      <c r="FP174" s="66" t="str">
        <f t="shared" si="2832"/>
        <v/>
      </c>
      <c r="FQ174" s="66" t="str">
        <f t="shared" si="2833"/>
        <v/>
      </c>
      <c r="FR174" s="66" t="str">
        <f t="shared" si="2834"/>
        <v/>
      </c>
      <c r="FS174" s="66" t="str">
        <f t="shared" si="2835"/>
        <v/>
      </c>
    </row>
    <row r="175" spans="1:175" ht="16.5">
      <c r="A175" s="15" t="s">
        <v>631</v>
      </c>
      <c r="B175" s="9" t="s">
        <v>638</v>
      </c>
      <c r="C175" s="15" t="s">
        <v>639</v>
      </c>
      <c r="T175" s="15" t="s">
        <v>640</v>
      </c>
      <c r="U175" s="77" t="str">
        <f t="shared" si="2687"/>
        <v>ReplaceableTextures\\CommandButtons\\BTNIT11.blp</v>
      </c>
      <c r="CN175" s="36" t="str">
        <f t="shared" si="2688"/>
        <v>InitUnitState('IT11',,,,,,,,,,)</v>
      </c>
      <c r="CO175" s="36" t="str">
        <f t="shared" si="2689"/>
        <v>InitUnitNormal('IT11',,,,,,,,,,)</v>
      </c>
      <c r="CP175" s="36" t="str">
        <f t="shared" si="2690"/>
        <v>InitUnitMagic('IT11',,,,,,,,,,)</v>
      </c>
      <c r="CQ175" s="36" t="str">
        <f t="shared" si="2691"/>
        <v>InitUnitAdd('IT11',,,,,,,,,,)</v>
      </c>
      <c r="CR175" s="36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InitEquipData('IT11',,".",,,,,'','','','','','',"ReplaceableTextures\\CommandButtons\\BTNIT12.blp")</v>
      </c>
      <c r="CU175" s="88" t="str">
        <f t="shared" si="2765"/>
        <v>|n</v>
      </c>
      <c r="CV175" s="19" t="str">
        <f t="shared" si="2836"/>
        <v>境界挑战11</v>
      </c>
      <c r="CW175" s="33"/>
      <c r="CX175" s="33"/>
      <c r="CY175" s="33"/>
      <c r="CZ175" s="33"/>
      <c r="DA175" s="33"/>
      <c r="DB175" s="66" t="str">
        <f t="shared" ref="DB175:DB177" si="2837">IF(V175="","","|n"&amp;DB$2&amp;"+"&amp;V175&amp;DB$1)</f>
        <v/>
      </c>
      <c r="DC175" s="66" t="str">
        <f t="shared" ref="DC175:DC177" si="2838">IF(W175="","","|n"&amp;DC$2&amp;"+"&amp;W175&amp;DC$1)</f>
        <v/>
      </c>
      <c r="DD175" s="66" t="str">
        <f t="shared" ref="DD175:DD177" si="2839">IF(X175="","","|n"&amp;DD$2&amp;"+"&amp;X175&amp;DD$1)</f>
        <v/>
      </c>
      <c r="DE175" s="66" t="str">
        <f t="shared" ref="DE175:DE177" si="2840">IF(Y175="","","|n"&amp;DE$2&amp;"+"&amp;Y175&amp;DE$1)</f>
        <v/>
      </c>
      <c r="DF175" s="66" t="str">
        <f t="shared" ref="DF175:DF177" si="2841">IF(Z175="","","|n"&amp;DF$2&amp;"+"&amp;Z175&amp;DF$1)</f>
        <v/>
      </c>
      <c r="DG175" s="66" t="str">
        <f t="shared" ref="DG175:DG177" si="2842">IF(AA175="","","|n"&amp;DG$2&amp;"+"&amp;AA175&amp;DG$1)</f>
        <v/>
      </c>
      <c r="DH175" s="66" t="str">
        <f t="shared" ref="DH175:DH177" si="2843">IF(AB175="","","|n"&amp;DH$2&amp;"+"&amp;AB175&amp;DH$1)</f>
        <v/>
      </c>
      <c r="DI175" s="66" t="str">
        <f t="shared" ref="DI175:DI177" si="2844">IF(AC175="","","|n"&amp;DI$2&amp;"+"&amp;AC175&amp;DI$1)</f>
        <v/>
      </c>
      <c r="DJ175" s="66" t="str">
        <f t="shared" ref="DJ175:DJ177" si="2845">IF(AD175="","","|n"&amp;DJ$2&amp;"+"&amp;AD175&amp;DJ$1)</f>
        <v/>
      </c>
      <c r="DK175" s="66" t="str">
        <f t="shared" ref="DK175:DK177" si="2846">IF(AE175="","","|n"&amp;DK$2&amp;"+"&amp;AE175&amp;DK$1)</f>
        <v/>
      </c>
      <c r="DL175" s="66" t="str">
        <f t="shared" ref="DL175:DL177" si="2847">IF(AF175="","","|n"&amp;DL$2&amp;"+"&amp;AF175&amp;DL$1)</f>
        <v/>
      </c>
      <c r="DM175" s="66" t="str">
        <f t="shared" ref="DM175:DM177" si="2848">IF(AG175="","","|n"&amp;DM$2&amp;"+"&amp;AG175&amp;DM$1)</f>
        <v/>
      </c>
      <c r="DN175" s="66" t="str">
        <f t="shared" ref="DN175:DN177" si="2849">IF(AH175="","","|n"&amp;DN$2&amp;"+"&amp;AH175&amp;DN$1)</f>
        <v/>
      </c>
      <c r="DO175" s="66" t="str">
        <f t="shared" ref="DO175:DO177" si="2850">IF(AI175="","","|n"&amp;DO$2&amp;"+"&amp;AI175&amp;DO$1)</f>
        <v/>
      </c>
      <c r="DP175" s="66" t="str">
        <f t="shared" ref="DP175:DP177" si="2851">IF(AJ175="","","|n"&amp;DP$2&amp;"+"&amp;AJ175&amp;DP$1)</f>
        <v/>
      </c>
      <c r="DQ175" s="66" t="str">
        <f t="shared" ref="DQ175:DQ177" si="2852">IF(AK175="","","|n"&amp;DQ$2&amp;"+"&amp;AK175&amp;DQ$1)</f>
        <v/>
      </c>
      <c r="DR175" s="66" t="str">
        <f t="shared" ref="DR175:DR177" si="2853">IF(AL175="","","|n"&amp;DR$2&amp;"+"&amp;AL175&amp;DR$1)</f>
        <v/>
      </c>
      <c r="DS175" s="66" t="str">
        <f t="shared" ref="DS175:DS177" si="2854">IF(AM175="","","|n"&amp;DS$2&amp;"+"&amp;AM175&amp;DS$1)</f>
        <v/>
      </c>
      <c r="DT175" s="66" t="str">
        <f t="shared" ref="DT175:DT177" si="2855">IF(AN175="","","|n"&amp;DT$2&amp;"+"&amp;AN175&amp;DT$1)</f>
        <v/>
      </c>
      <c r="DU175" s="66" t="str">
        <f t="shared" ref="DU175:DU177" si="2856">IF(AO175="","","|n"&amp;DU$2&amp;"+"&amp;AO175&amp;DU$1)</f>
        <v/>
      </c>
      <c r="DV175" s="66" t="str">
        <f t="shared" ref="DV175:DV177" si="2857">IF(AP175="","","|n"&amp;DV$2&amp;"+"&amp;AP175&amp;DV$1)</f>
        <v/>
      </c>
      <c r="DW175" s="66" t="str">
        <f t="shared" ref="DW175:DW177" si="2858">IF(AQ175="","","|n"&amp;DW$2&amp;"+"&amp;AQ175&amp;DW$1)</f>
        <v/>
      </c>
      <c r="DX175" s="66" t="str">
        <f t="shared" ref="DX175:DX177" si="2859">IF(AR175="","","|n"&amp;DX$2&amp;"+"&amp;AR175&amp;DX$1)</f>
        <v/>
      </c>
      <c r="DY175" s="66" t="str">
        <f t="shared" ref="DY175:DY177" si="2860">IF(AS175="","","|n"&amp;DY$2&amp;"+"&amp;AS175&amp;DY$1)</f>
        <v/>
      </c>
      <c r="DZ175" s="66" t="str">
        <f t="shared" ref="DZ175:DZ177" si="2861">IF(AT175="","","|n"&amp;DZ$2&amp;"+"&amp;AT175&amp;DZ$1)</f>
        <v/>
      </c>
      <c r="EA175" s="66" t="str">
        <f t="shared" ref="EA175:EA177" si="2862">IF(AU175="","","|n"&amp;EA$2&amp;"+"&amp;AU175&amp;EA$1)</f>
        <v/>
      </c>
      <c r="EB175" s="66" t="str">
        <f t="shared" ref="EB175:EB177" si="2863">IF(AV175="","","|n"&amp;EB$2&amp;"+"&amp;AV175&amp;EB$1)</f>
        <v/>
      </c>
      <c r="EC175" s="66" t="str">
        <f t="shared" ref="EC175:EC177" si="2864">IF(AW175="","","|n"&amp;EC$2&amp;"+"&amp;AW175&amp;EC$1)</f>
        <v/>
      </c>
      <c r="ED175" s="66" t="str">
        <f t="shared" ref="ED175:ED177" si="2865">IF(AX175="","","|n"&amp;ED$2&amp;"+"&amp;AX175&amp;ED$1)</f>
        <v/>
      </c>
      <c r="EE175" s="66" t="str">
        <f t="shared" ref="EE175:EE177" si="2866">IF(AY175="","","|n"&amp;EE$2&amp;"+"&amp;AY175&amp;EE$1)</f>
        <v/>
      </c>
      <c r="EF175" s="66" t="str">
        <f t="shared" ref="EF175:EF177" si="2867">IF(AZ175="","","|n"&amp;EF$2&amp;"+"&amp;AZ175&amp;EF$1)</f>
        <v/>
      </c>
      <c r="EG175" s="66" t="str">
        <f t="shared" ref="EG175:EG177" si="2868">IF(BA175="","","|n"&amp;EG$2&amp;"+"&amp;BA175&amp;EG$1)</f>
        <v/>
      </c>
      <c r="EH175" s="66" t="str">
        <f t="shared" ref="EH175:EH177" si="2869">IF(BB175="","","|n"&amp;EH$2&amp;"+"&amp;BB175&amp;EH$1)</f>
        <v/>
      </c>
      <c r="EI175" s="66" t="str">
        <f t="shared" ref="EI175:EI177" si="2870">IF(BC175="","","|n"&amp;EI$2&amp;"+"&amp;BC175&amp;EI$1)</f>
        <v/>
      </c>
      <c r="EJ175" s="66" t="str">
        <f t="shared" ref="EJ175:EJ177" si="2871">IF(BD175="","","|n"&amp;EJ$2&amp;"+"&amp;BD175&amp;EJ$1)</f>
        <v/>
      </c>
      <c r="EK175" s="66" t="str">
        <f t="shared" ref="EK175:EK177" si="2872">IF(BE175="","","|n"&amp;EK$2&amp;"+"&amp;BE175&amp;EK$1)</f>
        <v/>
      </c>
      <c r="EL175" s="66" t="str">
        <f t="shared" ref="EL175:EL177" si="2873">IF(BF175="","","|n"&amp;EL$2&amp;"+"&amp;BF175&amp;EL$1)</f>
        <v/>
      </c>
      <c r="EM175" s="66" t="str">
        <f t="shared" ref="EM175:EM177" si="2874">IF(BG175="","","|n"&amp;EM$2&amp;"+"&amp;BG175&amp;EM$1)</f>
        <v/>
      </c>
      <c r="EN175" s="66" t="str">
        <f t="shared" ref="EN175:EN177" si="2875">IF(BH175="","","|n"&amp;EN$2&amp;"+"&amp;BH175&amp;EN$1)</f>
        <v/>
      </c>
      <c r="EO175" s="66" t="str">
        <f t="shared" ref="EO175:EO177" si="2876">IF(BI175="","","|n"&amp;EO$2&amp;"+"&amp;BI175&amp;EO$1)</f>
        <v/>
      </c>
      <c r="EP175" s="66" t="str">
        <f t="shared" ref="EP175:EP177" si="2877">IF(BJ175="","","|n"&amp;EP$2&amp;"+"&amp;BJ175&amp;EP$1)</f>
        <v/>
      </c>
      <c r="EQ175" s="66" t="str">
        <f t="shared" ref="EQ175:EQ177" si="2878">IF(BK175="","","|n"&amp;EQ$2&amp;"+"&amp;BK175&amp;EQ$1)</f>
        <v/>
      </c>
      <c r="ER175" s="66" t="str">
        <f t="shared" ref="ER175:ER177" si="2879">IF(BL175="","","|n"&amp;ER$2&amp;"+"&amp;BL175&amp;ER$1)</f>
        <v/>
      </c>
      <c r="ES175" s="66" t="str">
        <f t="shared" ref="ES175:ES177" si="2880">IF(BM175="","","|n"&amp;ES$2&amp;"+"&amp;BM175&amp;ES$1)</f>
        <v/>
      </c>
      <c r="ET175" s="66" t="str">
        <f t="shared" ref="ET175:ET177" si="2881">IF(BN175="","","|n"&amp;ET$2&amp;"+"&amp;BN175&amp;ET$1)</f>
        <v/>
      </c>
      <c r="EU175" s="66" t="str">
        <f t="shared" ref="EU175:EU177" si="2882">IF(BO175="","","|n"&amp;EU$2&amp;"+"&amp;BO175&amp;EU$1)</f>
        <v/>
      </c>
      <c r="EV175" s="66" t="str">
        <f t="shared" ref="EV175:EV177" si="2883">IF(BP175="","","|n"&amp;EV$2&amp;"+"&amp;BP175&amp;EV$1)</f>
        <v/>
      </c>
      <c r="EW175" s="66" t="str">
        <f t="shared" ref="EW175:EW177" si="2884">IF(BQ175="","","|n"&amp;EW$2&amp;"+"&amp;BQ175&amp;EW$1)</f>
        <v/>
      </c>
      <c r="EX175" s="66" t="str">
        <f t="shared" ref="EX175:EX177" si="2885">IF(BR175="","","|n"&amp;EX$2&amp;"+"&amp;BR175&amp;EX$1)</f>
        <v/>
      </c>
      <c r="EY175" s="66" t="str">
        <f t="shared" ref="EY175:EY177" si="2886">IF(BS175="","","|n"&amp;EY$2&amp;"+"&amp;BS175&amp;EY$1)</f>
        <v/>
      </c>
      <c r="EZ175" s="66" t="str">
        <f t="shared" ref="EZ175:EZ177" si="2887">IF(BT175="","","|n"&amp;EZ$2&amp;"+"&amp;BT175&amp;EZ$1)</f>
        <v/>
      </c>
      <c r="FA175" s="66" t="str">
        <f t="shared" ref="FA175:FA177" si="2888">IF(BU175="","","|n"&amp;FA$2&amp;"+"&amp;BU175&amp;FA$1)</f>
        <v/>
      </c>
      <c r="FB175" s="66" t="str">
        <f t="shared" ref="FB175:FB177" si="2889">IF(BV175="","","|n"&amp;FB$2&amp;"+"&amp;BV175&amp;FB$1)</f>
        <v/>
      </c>
      <c r="FC175" s="66" t="str">
        <f t="shared" ref="FC175:FC177" si="2890">IF(BW175="","","|n"&amp;FC$2&amp;"+"&amp;BW175&amp;FC$1)</f>
        <v/>
      </c>
      <c r="FD175" s="66" t="str">
        <f t="shared" ref="FD175:FD177" si="2891">IF(BX175="","","|n"&amp;FD$2&amp;"+"&amp;BX175&amp;FD$1)</f>
        <v/>
      </c>
      <c r="FE175" s="66" t="str">
        <f t="shared" ref="FE175:FE177" si="2892">IF(BY175="","","|n"&amp;FE$2&amp;"+"&amp;BY175&amp;FE$1)</f>
        <v/>
      </c>
      <c r="FF175" s="66" t="str">
        <f t="shared" ref="FF175:FF177" si="2893">IF(BZ175="","","|n"&amp;FF$2&amp;"+"&amp;BZ175&amp;FF$1)</f>
        <v/>
      </c>
      <c r="FG175" s="66" t="str">
        <f t="shared" ref="FG175:FG177" si="2894">IF(CA175="","","|n"&amp;FG$2&amp;"+"&amp;CA175&amp;FG$1)</f>
        <v/>
      </c>
      <c r="FH175" s="66" t="str">
        <f t="shared" ref="FH175:FH177" si="2895">IF(CB175="","","|n"&amp;FH$2&amp;"+"&amp;CB175&amp;FH$1)</f>
        <v/>
      </c>
      <c r="FI175" s="66" t="str">
        <f t="shared" ref="FI175:FI177" si="2896">IF(CC175="","","|n"&amp;FI$2&amp;"+"&amp;CC175&amp;FI$1)</f>
        <v/>
      </c>
      <c r="FJ175" s="66" t="str">
        <f t="shared" ref="FJ175:FJ177" si="2897">IF(CD175="","","|n"&amp;FJ$2&amp;"+"&amp;CD175&amp;FJ$1)</f>
        <v/>
      </c>
      <c r="FK175" s="66" t="str">
        <f t="shared" ref="FK175:FK177" si="2898">IF(CE175="","","|n"&amp;FK$2&amp;"+"&amp;CE175&amp;FK$1)</f>
        <v/>
      </c>
      <c r="FL175" s="66" t="str">
        <f t="shared" ref="FL175:FL177" si="2899">IF(CF175="","","|n"&amp;FL$2&amp;"+"&amp;CF175&amp;FL$1)</f>
        <v/>
      </c>
      <c r="FM175" s="66" t="str">
        <f t="shared" ref="FM175:FM177" si="2900">IF(CG175="","","|n"&amp;FM$2&amp;"+"&amp;CG175&amp;FM$1)</f>
        <v/>
      </c>
      <c r="FN175" s="66" t="str">
        <f t="shared" ref="FN175:FN177" si="2901">IF(CH175="","","|n"&amp;FN$2&amp;"+"&amp;CH175&amp;FN$1)</f>
        <v/>
      </c>
      <c r="FO175" s="66" t="str">
        <f t="shared" ref="FO175:FO177" si="2902">IF(CI175="","","|n"&amp;FO$2&amp;"+"&amp;CI175&amp;FO$1)</f>
        <v/>
      </c>
      <c r="FP175" s="66" t="str">
        <f t="shared" ref="FP175:FP177" si="2903">IF(CJ175="","","|n"&amp;FP$2&amp;"+"&amp;CJ175&amp;FP$1)</f>
        <v/>
      </c>
      <c r="FQ175" s="66" t="str">
        <f t="shared" ref="FQ175:FQ177" si="2904">IF(CK175="","","|n"&amp;FQ$2&amp;"+"&amp;CK175&amp;FQ$1)</f>
        <v/>
      </c>
      <c r="FR175" s="66" t="str">
        <f t="shared" ref="FR175:FR177" si="2905">IF(CL175="","","|n"&amp;FR$2&amp;"+"&amp;CL175&amp;FR$1)</f>
        <v/>
      </c>
      <c r="FS175" s="66" t="str">
        <f t="shared" ref="FS175:FS177" si="2906">IF(CM175="","","|n"&amp;FS$2&amp;"+"&amp;CM175&amp;FS$1)</f>
        <v/>
      </c>
    </row>
    <row r="176" spans="1:175" ht="16.5">
      <c r="A176" s="15"/>
      <c r="B176" s="9" t="s">
        <v>641</v>
      </c>
      <c r="C176" s="15" t="s">
        <v>642</v>
      </c>
      <c r="T176" s="15" t="s">
        <v>643</v>
      </c>
      <c r="U176" s="77" t="str">
        <f t="shared" si="2687"/>
        <v>ReplaceableTextures\\CommandButtons\\BTNIT12.blp</v>
      </c>
      <c r="CN176" s="36" t="str">
        <f t="shared" si="2688"/>
        <v>InitUnitState('IT12',,,,,,,,,,)</v>
      </c>
      <c r="CO176" s="36" t="str">
        <f t="shared" si="2689"/>
        <v>InitUnitNormal('IT12',,,,,,,,,,)</v>
      </c>
      <c r="CP176" s="36" t="str">
        <f t="shared" si="2690"/>
        <v>InitUnitMagic('IT12',,,,,,,,,,)</v>
      </c>
      <c r="CQ176" s="36" t="str">
        <f t="shared" si="2691"/>
        <v>InitUnitAdd('IT12',,,,,,,,,,)</v>
      </c>
      <c r="CR176" s="36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InitEquipData('IT12',,"",,,,,'','','','','','',"ReplaceableTextures\\CommandButtons\\BTNIT13.blp")</v>
      </c>
      <c r="CU176" s="88" t="str">
        <f t="shared" si="2765"/>
        <v>|n</v>
      </c>
      <c r="CV176" s="19" t="str">
        <f t="shared" si="2836"/>
        <v>境界挑战12</v>
      </c>
      <c r="CW176" s="33"/>
      <c r="CX176" s="33"/>
      <c r="CY176" s="33"/>
      <c r="CZ176" s="33"/>
      <c r="DA176" s="33"/>
      <c r="DB176" s="66" t="str">
        <f t="shared" si="2837"/>
        <v/>
      </c>
      <c r="DC176" s="66" t="str">
        <f t="shared" si="2838"/>
        <v/>
      </c>
      <c r="DD176" s="66" t="str">
        <f t="shared" si="2839"/>
        <v/>
      </c>
      <c r="DE176" s="66" t="str">
        <f t="shared" si="2840"/>
        <v/>
      </c>
      <c r="DF176" s="66" t="str">
        <f t="shared" si="2841"/>
        <v/>
      </c>
      <c r="DG176" s="66" t="str">
        <f t="shared" si="2842"/>
        <v/>
      </c>
      <c r="DH176" s="66" t="str">
        <f t="shared" si="2843"/>
        <v/>
      </c>
      <c r="DI176" s="66" t="str">
        <f t="shared" si="2844"/>
        <v/>
      </c>
      <c r="DJ176" s="66" t="str">
        <f t="shared" si="2845"/>
        <v/>
      </c>
      <c r="DK176" s="66" t="str">
        <f t="shared" si="2846"/>
        <v/>
      </c>
      <c r="DL176" s="66" t="str">
        <f t="shared" si="2847"/>
        <v/>
      </c>
      <c r="DM176" s="66" t="str">
        <f t="shared" si="2848"/>
        <v/>
      </c>
      <c r="DN176" s="66" t="str">
        <f t="shared" si="2849"/>
        <v/>
      </c>
      <c r="DO176" s="66" t="str">
        <f t="shared" si="2850"/>
        <v/>
      </c>
      <c r="DP176" s="66" t="str">
        <f t="shared" si="2851"/>
        <v/>
      </c>
      <c r="DQ176" s="66" t="str">
        <f t="shared" si="2852"/>
        <v/>
      </c>
      <c r="DR176" s="66" t="str">
        <f t="shared" si="2853"/>
        <v/>
      </c>
      <c r="DS176" s="66" t="str">
        <f t="shared" si="2854"/>
        <v/>
      </c>
      <c r="DT176" s="66" t="str">
        <f t="shared" si="2855"/>
        <v/>
      </c>
      <c r="DU176" s="66" t="str">
        <f t="shared" si="2856"/>
        <v/>
      </c>
      <c r="DV176" s="66" t="str">
        <f t="shared" si="2857"/>
        <v/>
      </c>
      <c r="DW176" s="66" t="str">
        <f t="shared" si="2858"/>
        <v/>
      </c>
      <c r="DX176" s="66" t="str">
        <f t="shared" si="2859"/>
        <v/>
      </c>
      <c r="DY176" s="66" t="str">
        <f t="shared" si="2860"/>
        <v/>
      </c>
      <c r="DZ176" s="66" t="str">
        <f t="shared" si="2861"/>
        <v/>
      </c>
      <c r="EA176" s="66" t="str">
        <f t="shared" si="2862"/>
        <v/>
      </c>
      <c r="EB176" s="66" t="str">
        <f t="shared" si="2863"/>
        <v/>
      </c>
      <c r="EC176" s="66" t="str">
        <f t="shared" si="2864"/>
        <v/>
      </c>
      <c r="ED176" s="66" t="str">
        <f t="shared" si="2865"/>
        <v/>
      </c>
      <c r="EE176" s="66" t="str">
        <f t="shared" si="2866"/>
        <v/>
      </c>
      <c r="EF176" s="66" t="str">
        <f t="shared" si="2867"/>
        <v/>
      </c>
      <c r="EG176" s="66" t="str">
        <f t="shared" si="2868"/>
        <v/>
      </c>
      <c r="EH176" s="66" t="str">
        <f t="shared" si="2869"/>
        <v/>
      </c>
      <c r="EI176" s="66" t="str">
        <f t="shared" si="2870"/>
        <v/>
      </c>
      <c r="EJ176" s="66" t="str">
        <f t="shared" si="2871"/>
        <v/>
      </c>
      <c r="EK176" s="66" t="str">
        <f t="shared" si="2872"/>
        <v/>
      </c>
      <c r="EL176" s="66" t="str">
        <f t="shared" si="2873"/>
        <v/>
      </c>
      <c r="EM176" s="66" t="str">
        <f t="shared" si="2874"/>
        <v/>
      </c>
      <c r="EN176" s="66" t="str">
        <f t="shared" si="2875"/>
        <v/>
      </c>
      <c r="EO176" s="66" t="str">
        <f t="shared" si="2876"/>
        <v/>
      </c>
      <c r="EP176" s="66" t="str">
        <f t="shared" si="2877"/>
        <v/>
      </c>
      <c r="EQ176" s="66" t="str">
        <f t="shared" si="2878"/>
        <v/>
      </c>
      <c r="ER176" s="66" t="str">
        <f t="shared" si="2879"/>
        <v/>
      </c>
      <c r="ES176" s="66" t="str">
        <f t="shared" si="2880"/>
        <v/>
      </c>
      <c r="ET176" s="66" t="str">
        <f t="shared" si="2881"/>
        <v/>
      </c>
      <c r="EU176" s="66" t="str">
        <f t="shared" si="2882"/>
        <v/>
      </c>
      <c r="EV176" s="66" t="str">
        <f t="shared" si="2883"/>
        <v/>
      </c>
      <c r="EW176" s="66" t="str">
        <f t="shared" si="2884"/>
        <v/>
      </c>
      <c r="EX176" s="66" t="str">
        <f t="shared" si="2885"/>
        <v/>
      </c>
      <c r="EY176" s="66" t="str">
        <f t="shared" si="2886"/>
        <v/>
      </c>
      <c r="EZ176" s="66" t="str">
        <f t="shared" si="2887"/>
        <v/>
      </c>
      <c r="FA176" s="66" t="str">
        <f t="shared" si="2888"/>
        <v/>
      </c>
      <c r="FB176" s="66" t="str">
        <f t="shared" si="2889"/>
        <v/>
      </c>
      <c r="FC176" s="66" t="str">
        <f t="shared" si="2890"/>
        <v/>
      </c>
      <c r="FD176" s="66" t="str">
        <f t="shared" si="2891"/>
        <v/>
      </c>
      <c r="FE176" s="66" t="str">
        <f t="shared" si="2892"/>
        <v/>
      </c>
      <c r="FF176" s="66" t="str">
        <f t="shared" si="2893"/>
        <v/>
      </c>
      <c r="FG176" s="66" t="str">
        <f t="shared" si="2894"/>
        <v/>
      </c>
      <c r="FH176" s="66" t="str">
        <f t="shared" si="2895"/>
        <v/>
      </c>
      <c r="FI176" s="66" t="str">
        <f t="shared" si="2896"/>
        <v/>
      </c>
      <c r="FJ176" s="66" t="str">
        <f t="shared" si="2897"/>
        <v/>
      </c>
      <c r="FK176" s="66" t="str">
        <f t="shared" si="2898"/>
        <v/>
      </c>
      <c r="FL176" s="66" t="str">
        <f t="shared" si="2899"/>
        <v/>
      </c>
      <c r="FM176" s="66" t="str">
        <f t="shared" si="2900"/>
        <v/>
      </c>
      <c r="FN176" s="66" t="str">
        <f t="shared" si="2901"/>
        <v/>
      </c>
      <c r="FO176" s="66" t="str">
        <f t="shared" si="2902"/>
        <v/>
      </c>
      <c r="FP176" s="66" t="str">
        <f t="shared" si="2903"/>
        <v/>
      </c>
      <c r="FQ176" s="66" t="str">
        <f t="shared" si="2904"/>
        <v/>
      </c>
      <c r="FR176" s="66" t="str">
        <f t="shared" si="2905"/>
        <v/>
      </c>
      <c r="FS176" s="66" t="str">
        <f t="shared" si="2906"/>
        <v/>
      </c>
    </row>
    <row r="177" spans="1:175" ht="16.5">
      <c r="A177" s="15"/>
      <c r="B177" s="9" t="s">
        <v>644</v>
      </c>
      <c r="C177" s="15" t="s">
        <v>645</v>
      </c>
      <c r="T177" s="15" t="s">
        <v>646</v>
      </c>
      <c r="U177" s="77" t="str">
        <f t="shared" si="2687"/>
        <v>ReplaceableTextures\\CommandButtons\\BTNIT13.blp</v>
      </c>
      <c r="CN177" s="36" t="str">
        <f t="shared" si="2688"/>
        <v>InitUnitState('IT13',,,,,,,,,,)</v>
      </c>
      <c r="CO177" s="36" t="str">
        <f t="shared" si="2689"/>
        <v>InitUnitNormal('IT13',,,,,,,,,,)</v>
      </c>
      <c r="CP177" s="36" t="str">
        <f t="shared" si="2690"/>
        <v>InitUnitMagic('IT13',,,,,,,,,,)</v>
      </c>
      <c r="CQ177" s="36" t="str">
        <f t="shared" si="2691"/>
        <v>InitUnitAdd('IT13',,,,,,,,,,)</v>
      </c>
      <c r="CR177" s="36" t="e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#REF!&amp;CR$1&amp;")"</f>
        <v>#REF!</v>
      </c>
      <c r="CU177" s="88" t="str">
        <f t="shared" si="2765"/>
        <v>|n</v>
      </c>
      <c r="CV177" s="19" t="str">
        <f t="shared" si="2836"/>
        <v>境界挑战13</v>
      </c>
      <c r="CW177" s="33"/>
      <c r="CX177" s="33"/>
      <c r="CY177" s="33"/>
      <c r="CZ177" s="33"/>
      <c r="DA177" s="33"/>
      <c r="DB177" s="66" t="str">
        <f t="shared" si="2837"/>
        <v/>
      </c>
      <c r="DC177" s="66" t="str">
        <f t="shared" si="2838"/>
        <v/>
      </c>
      <c r="DD177" s="66" t="str">
        <f t="shared" si="2839"/>
        <v/>
      </c>
      <c r="DE177" s="66" t="str">
        <f t="shared" si="2840"/>
        <v/>
      </c>
      <c r="DF177" s="66" t="str">
        <f t="shared" si="2841"/>
        <v/>
      </c>
      <c r="DG177" s="66" t="str">
        <f t="shared" si="2842"/>
        <v/>
      </c>
      <c r="DH177" s="66" t="str">
        <f t="shared" si="2843"/>
        <v/>
      </c>
      <c r="DI177" s="66" t="str">
        <f t="shared" si="2844"/>
        <v/>
      </c>
      <c r="DJ177" s="66" t="str">
        <f t="shared" si="2845"/>
        <v/>
      </c>
      <c r="DK177" s="66" t="str">
        <f t="shared" si="2846"/>
        <v/>
      </c>
      <c r="DL177" s="66" t="str">
        <f t="shared" si="2847"/>
        <v/>
      </c>
      <c r="DM177" s="66" t="str">
        <f t="shared" si="2848"/>
        <v/>
      </c>
      <c r="DN177" s="66" t="str">
        <f t="shared" si="2849"/>
        <v/>
      </c>
      <c r="DO177" s="66" t="str">
        <f t="shared" si="2850"/>
        <v/>
      </c>
      <c r="DP177" s="66" t="str">
        <f t="shared" si="2851"/>
        <v/>
      </c>
      <c r="DQ177" s="66" t="str">
        <f t="shared" si="2852"/>
        <v/>
      </c>
      <c r="DR177" s="66" t="str">
        <f t="shared" si="2853"/>
        <v/>
      </c>
      <c r="DS177" s="66" t="str">
        <f t="shared" si="2854"/>
        <v/>
      </c>
      <c r="DT177" s="66" t="str">
        <f t="shared" si="2855"/>
        <v/>
      </c>
      <c r="DU177" s="66" t="str">
        <f t="shared" si="2856"/>
        <v/>
      </c>
      <c r="DV177" s="66" t="str">
        <f t="shared" si="2857"/>
        <v/>
      </c>
      <c r="DW177" s="66" t="str">
        <f t="shared" si="2858"/>
        <v/>
      </c>
      <c r="DX177" s="66" t="str">
        <f t="shared" si="2859"/>
        <v/>
      </c>
      <c r="DY177" s="66" t="str">
        <f t="shared" si="2860"/>
        <v/>
      </c>
      <c r="DZ177" s="66" t="str">
        <f t="shared" si="2861"/>
        <v/>
      </c>
      <c r="EA177" s="66" t="str">
        <f t="shared" si="2862"/>
        <v/>
      </c>
      <c r="EB177" s="66" t="str">
        <f t="shared" si="2863"/>
        <v/>
      </c>
      <c r="EC177" s="66" t="str">
        <f t="shared" si="2864"/>
        <v/>
      </c>
      <c r="ED177" s="66" t="str">
        <f t="shared" si="2865"/>
        <v/>
      </c>
      <c r="EE177" s="66" t="str">
        <f t="shared" si="2866"/>
        <v/>
      </c>
      <c r="EF177" s="66" t="str">
        <f t="shared" si="2867"/>
        <v/>
      </c>
      <c r="EG177" s="66" t="str">
        <f t="shared" si="2868"/>
        <v/>
      </c>
      <c r="EH177" s="66" t="str">
        <f t="shared" si="2869"/>
        <v/>
      </c>
      <c r="EI177" s="66" t="str">
        <f t="shared" si="2870"/>
        <v/>
      </c>
      <c r="EJ177" s="66" t="str">
        <f t="shared" si="2871"/>
        <v/>
      </c>
      <c r="EK177" s="66" t="str">
        <f t="shared" si="2872"/>
        <v/>
      </c>
      <c r="EL177" s="66" t="str">
        <f t="shared" si="2873"/>
        <v/>
      </c>
      <c r="EM177" s="66" t="str">
        <f t="shared" si="2874"/>
        <v/>
      </c>
      <c r="EN177" s="66" t="str">
        <f t="shared" si="2875"/>
        <v/>
      </c>
      <c r="EO177" s="66" t="str">
        <f t="shared" si="2876"/>
        <v/>
      </c>
      <c r="EP177" s="66" t="str">
        <f t="shared" si="2877"/>
        <v/>
      </c>
      <c r="EQ177" s="66" t="str">
        <f t="shared" si="2878"/>
        <v/>
      </c>
      <c r="ER177" s="66" t="str">
        <f t="shared" si="2879"/>
        <v/>
      </c>
      <c r="ES177" s="66" t="str">
        <f t="shared" si="2880"/>
        <v/>
      </c>
      <c r="ET177" s="66" t="str">
        <f t="shared" si="2881"/>
        <v/>
      </c>
      <c r="EU177" s="66" t="str">
        <f t="shared" si="2882"/>
        <v/>
      </c>
      <c r="EV177" s="66" t="str">
        <f t="shared" si="2883"/>
        <v/>
      </c>
      <c r="EW177" s="66" t="str">
        <f t="shared" si="2884"/>
        <v/>
      </c>
      <c r="EX177" s="66" t="str">
        <f t="shared" si="2885"/>
        <v/>
      </c>
      <c r="EY177" s="66" t="str">
        <f t="shared" si="2886"/>
        <v/>
      </c>
      <c r="EZ177" s="66" t="str">
        <f t="shared" si="2887"/>
        <v/>
      </c>
      <c r="FA177" s="66" t="str">
        <f t="shared" si="2888"/>
        <v/>
      </c>
      <c r="FB177" s="66" t="str">
        <f t="shared" si="2889"/>
        <v/>
      </c>
      <c r="FC177" s="66" t="str">
        <f t="shared" si="2890"/>
        <v/>
      </c>
      <c r="FD177" s="66" t="str">
        <f t="shared" si="2891"/>
        <v/>
      </c>
      <c r="FE177" s="66" t="str">
        <f t="shared" si="2892"/>
        <v/>
      </c>
      <c r="FF177" s="66" t="str">
        <f t="shared" si="2893"/>
        <v/>
      </c>
      <c r="FG177" s="66" t="str">
        <f t="shared" si="2894"/>
        <v/>
      </c>
      <c r="FH177" s="66" t="str">
        <f t="shared" si="2895"/>
        <v/>
      </c>
      <c r="FI177" s="66" t="str">
        <f t="shared" si="2896"/>
        <v/>
      </c>
      <c r="FJ177" s="66" t="str">
        <f t="shared" si="2897"/>
        <v/>
      </c>
      <c r="FK177" s="66" t="str">
        <f t="shared" si="2898"/>
        <v/>
      </c>
      <c r="FL177" s="66" t="str">
        <f t="shared" si="2899"/>
        <v/>
      </c>
      <c r="FM177" s="66" t="str">
        <f t="shared" si="2900"/>
        <v/>
      </c>
      <c r="FN177" s="66" t="str">
        <f t="shared" si="2901"/>
        <v/>
      </c>
      <c r="FO177" s="66" t="str">
        <f t="shared" si="2902"/>
        <v/>
      </c>
      <c r="FP177" s="66" t="str">
        <f t="shared" si="2903"/>
        <v/>
      </c>
      <c r="FQ177" s="66" t="str">
        <f t="shared" si="2904"/>
        <v/>
      </c>
      <c r="FR177" s="66" t="str">
        <f t="shared" si="2905"/>
        <v/>
      </c>
      <c r="FS177" s="66" t="str">
        <f t="shared" si="2906"/>
        <v/>
      </c>
    </row>
    <row r="178" spans="1:175" ht="16.5">
      <c r="A178" s="15"/>
      <c r="B178" s="9" t="s">
        <v>647</v>
      </c>
      <c r="C178" s="15" t="s">
        <v>648</v>
      </c>
      <c r="T178" s="15" t="s">
        <v>648</v>
      </c>
      <c r="U178" s="77" t="str">
        <f t="shared" si="2687"/>
        <v>ReplaceableTextures\\CommandButtons\\BTNIT14.blp</v>
      </c>
      <c r="CN178" s="36" t="str">
        <f t="shared" si="2688"/>
        <v>InitUnitState('IT14',,,,,,,,,,)</v>
      </c>
      <c r="CO178" s="36" t="str">
        <f t="shared" si="2689"/>
        <v>InitUnitNormal('IT14',,,,,,,,,,)</v>
      </c>
      <c r="CP178" s="36" t="str">
        <f t="shared" si="2690"/>
        <v>InitUnitMagic('IT14',,,,,,,,,,)</v>
      </c>
      <c r="CQ178" s="36" t="str">
        <f t="shared" si="2691"/>
        <v>InitUnitAdd('IT14',,,,,,,,,,)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195&amp;CR$1&amp;")"</f>
        <v>InitEquipData('IT14',,"",,,,,'','','','','','',"ReplaceableTextures\\CommandButtons\\BTNIH00.blp")</v>
      </c>
      <c r="CU178" s="88" t="str">
        <f t="shared" si="2765"/>
        <v>|n</v>
      </c>
      <c r="CV178" s="19" t="str">
        <f t="shared" si="2836"/>
        <v>境界挑战14</v>
      </c>
      <c r="CW178" s="33"/>
      <c r="CX178" s="33"/>
      <c r="CY178" s="33"/>
      <c r="CZ178" s="33"/>
      <c r="DA178" s="33"/>
      <c r="DB178" s="66" t="str">
        <f t="shared" ref="DB178:EG179" si="2907">IF(V178="","","|n"&amp;DB$2&amp;"+"&amp;V178&amp;DB$1)</f>
        <v/>
      </c>
      <c r="DC178" s="66" t="str">
        <f t="shared" si="2907"/>
        <v/>
      </c>
      <c r="DD178" s="66" t="str">
        <f t="shared" si="2907"/>
        <v/>
      </c>
      <c r="DE178" s="66" t="str">
        <f t="shared" si="2907"/>
        <v/>
      </c>
      <c r="DF178" s="66" t="str">
        <f t="shared" si="2907"/>
        <v/>
      </c>
      <c r="DG178" s="66" t="str">
        <f t="shared" si="2907"/>
        <v/>
      </c>
      <c r="DH178" s="66" t="str">
        <f t="shared" si="2907"/>
        <v/>
      </c>
      <c r="DI178" s="66" t="str">
        <f t="shared" si="2907"/>
        <v/>
      </c>
      <c r="DJ178" s="66" t="str">
        <f t="shared" si="2907"/>
        <v/>
      </c>
      <c r="DK178" s="66" t="str">
        <f t="shared" si="2907"/>
        <v/>
      </c>
      <c r="DL178" s="66" t="str">
        <f t="shared" si="2907"/>
        <v/>
      </c>
      <c r="DM178" s="66" t="str">
        <f t="shared" si="2907"/>
        <v/>
      </c>
      <c r="DN178" s="66" t="str">
        <f t="shared" si="2907"/>
        <v/>
      </c>
      <c r="DO178" s="66" t="str">
        <f t="shared" si="2907"/>
        <v/>
      </c>
      <c r="DP178" s="66" t="str">
        <f t="shared" si="2907"/>
        <v/>
      </c>
      <c r="DQ178" s="66" t="str">
        <f t="shared" si="2907"/>
        <v/>
      </c>
      <c r="DR178" s="66" t="str">
        <f t="shared" si="2907"/>
        <v/>
      </c>
      <c r="DS178" s="66" t="str">
        <f t="shared" si="2907"/>
        <v/>
      </c>
      <c r="DT178" s="66" t="str">
        <f t="shared" si="2907"/>
        <v/>
      </c>
      <c r="DU178" s="66" t="str">
        <f t="shared" si="2907"/>
        <v/>
      </c>
      <c r="DV178" s="66" t="str">
        <f t="shared" si="2907"/>
        <v/>
      </c>
      <c r="DW178" s="66" t="str">
        <f t="shared" si="2907"/>
        <v/>
      </c>
      <c r="DX178" s="66" t="str">
        <f t="shared" si="2907"/>
        <v/>
      </c>
      <c r="DY178" s="66" t="str">
        <f t="shared" si="2907"/>
        <v/>
      </c>
      <c r="DZ178" s="66" t="str">
        <f t="shared" si="2907"/>
        <v/>
      </c>
      <c r="EA178" s="66" t="str">
        <f t="shared" si="2907"/>
        <v/>
      </c>
      <c r="EB178" s="66" t="str">
        <f t="shared" si="2907"/>
        <v/>
      </c>
      <c r="EC178" s="66" t="str">
        <f t="shared" si="2907"/>
        <v/>
      </c>
      <c r="ED178" s="66" t="str">
        <f t="shared" si="2907"/>
        <v/>
      </c>
      <c r="EE178" s="66" t="str">
        <f t="shared" si="2907"/>
        <v/>
      </c>
      <c r="EF178" s="66" t="str">
        <f t="shared" si="2907"/>
        <v/>
      </c>
      <c r="EG178" s="66" t="str">
        <f t="shared" si="2907"/>
        <v/>
      </c>
      <c r="EH178" s="66" t="str">
        <f t="shared" ref="EH178:FM179" si="2908">IF(BB178="","","|n"&amp;EH$2&amp;"+"&amp;BB178&amp;EH$1)</f>
        <v/>
      </c>
      <c r="EI178" s="66" t="str">
        <f t="shared" si="2908"/>
        <v/>
      </c>
      <c r="EJ178" s="66" t="str">
        <f t="shared" si="2908"/>
        <v/>
      </c>
      <c r="EK178" s="66" t="str">
        <f t="shared" si="2908"/>
        <v/>
      </c>
      <c r="EL178" s="66" t="str">
        <f t="shared" si="2908"/>
        <v/>
      </c>
      <c r="EM178" s="66" t="str">
        <f t="shared" si="2908"/>
        <v/>
      </c>
      <c r="EN178" s="66" t="str">
        <f t="shared" si="2908"/>
        <v/>
      </c>
      <c r="EO178" s="66" t="str">
        <f t="shared" si="2908"/>
        <v/>
      </c>
      <c r="EP178" s="66" t="str">
        <f t="shared" si="2908"/>
        <v/>
      </c>
      <c r="EQ178" s="66" t="str">
        <f t="shared" si="2908"/>
        <v/>
      </c>
      <c r="ER178" s="66" t="str">
        <f t="shared" si="2908"/>
        <v/>
      </c>
      <c r="ES178" s="66" t="str">
        <f t="shared" si="2908"/>
        <v/>
      </c>
      <c r="ET178" s="66" t="str">
        <f t="shared" si="2908"/>
        <v/>
      </c>
      <c r="EU178" s="66" t="str">
        <f t="shared" si="2908"/>
        <v/>
      </c>
      <c r="EV178" s="66" t="str">
        <f t="shared" si="2908"/>
        <v/>
      </c>
      <c r="EW178" s="66" t="str">
        <f t="shared" si="2908"/>
        <v/>
      </c>
      <c r="EX178" s="66" t="str">
        <f t="shared" si="2908"/>
        <v/>
      </c>
      <c r="EY178" s="66" t="str">
        <f t="shared" si="2908"/>
        <v/>
      </c>
      <c r="EZ178" s="66" t="str">
        <f t="shared" si="2908"/>
        <v/>
      </c>
      <c r="FA178" s="66" t="str">
        <f t="shared" si="2908"/>
        <v/>
      </c>
      <c r="FB178" s="66" t="str">
        <f t="shared" si="2908"/>
        <v/>
      </c>
      <c r="FC178" s="66" t="str">
        <f t="shared" si="2908"/>
        <v/>
      </c>
      <c r="FD178" s="66" t="str">
        <f t="shared" si="2908"/>
        <v/>
      </c>
      <c r="FE178" s="66" t="str">
        <f t="shared" si="2908"/>
        <v/>
      </c>
      <c r="FF178" s="66" t="str">
        <f t="shared" si="2908"/>
        <v/>
      </c>
      <c r="FG178" s="66" t="str">
        <f t="shared" si="2908"/>
        <v/>
      </c>
      <c r="FH178" s="66" t="str">
        <f t="shared" si="2908"/>
        <v/>
      </c>
      <c r="FI178" s="66" t="str">
        <f t="shared" si="2908"/>
        <v/>
      </c>
      <c r="FJ178" s="66" t="str">
        <f t="shared" si="2908"/>
        <v/>
      </c>
      <c r="FK178" s="66" t="str">
        <f t="shared" si="2908"/>
        <v/>
      </c>
      <c r="FL178" s="66" t="str">
        <f t="shared" si="2908"/>
        <v/>
      </c>
      <c r="FM178" s="66" t="str">
        <f t="shared" si="2908"/>
        <v/>
      </c>
      <c r="FN178" s="66" t="str">
        <f t="shared" ref="FN178:FS179" si="2909">IF(CH178="","","|n"&amp;FN$2&amp;"+"&amp;CH178&amp;FN$1)</f>
        <v/>
      </c>
      <c r="FO178" s="66" t="str">
        <f t="shared" si="2909"/>
        <v/>
      </c>
      <c r="FP178" s="66" t="str">
        <f t="shared" si="2909"/>
        <v/>
      </c>
      <c r="FQ178" s="66" t="str">
        <f t="shared" si="2909"/>
        <v/>
      </c>
      <c r="FR178" s="66" t="str">
        <f t="shared" si="2909"/>
        <v/>
      </c>
      <c r="FS178" s="66" t="str">
        <f t="shared" si="2909"/>
        <v/>
      </c>
    </row>
    <row r="179" spans="1:175" s="29" customFormat="1" ht="16.5">
      <c r="A179" s="15"/>
      <c r="B179" s="9" t="s">
        <v>649</v>
      </c>
      <c r="C179" s="15" t="s">
        <v>650</v>
      </c>
      <c r="D179" s="12"/>
      <c r="E179" s="12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92"/>
      <c r="Q179" s="92"/>
      <c r="R179" s="92"/>
      <c r="S179" s="92"/>
      <c r="T179" s="15" t="s">
        <v>651</v>
      </c>
      <c r="U179" s="77" t="str">
        <f t="shared" si="2687"/>
        <v>ReplaceableTextures\\CommandButtons\\BTNIZ0A.blp</v>
      </c>
      <c r="V179" s="102"/>
      <c r="W179" s="103"/>
      <c r="X179" s="103"/>
      <c r="Y179" s="103"/>
      <c r="Z179" s="103"/>
      <c r="AA179" s="103"/>
      <c r="AB179" s="103"/>
      <c r="AC179" s="103"/>
      <c r="AD179" s="103"/>
      <c r="AE179" s="103"/>
      <c r="AF179" s="103"/>
      <c r="AG179" s="103"/>
      <c r="AH179" s="103"/>
      <c r="AI179" s="103"/>
      <c r="AJ179" s="103"/>
      <c r="AK179" s="103"/>
      <c r="AL179" s="103"/>
      <c r="AM179" s="103"/>
      <c r="AN179" s="103"/>
      <c r="AO179" s="103"/>
      <c r="AP179" s="103"/>
      <c r="AQ179" s="103"/>
      <c r="AR179" s="65"/>
      <c r="AS179" s="65"/>
      <c r="AT179" s="103"/>
      <c r="AU179" s="103"/>
      <c r="AV179" s="103"/>
      <c r="AW179" s="103"/>
      <c r="AX179" s="103"/>
      <c r="AY179" s="103"/>
      <c r="AZ179" s="103"/>
      <c r="BA179" s="103"/>
      <c r="BB179" s="103"/>
      <c r="BC179" s="103"/>
      <c r="BD179" s="103"/>
      <c r="BE179" s="103"/>
      <c r="BF179" s="103"/>
      <c r="BG179" s="103"/>
      <c r="BH179" s="103"/>
      <c r="BI179" s="103"/>
      <c r="BJ179" s="103"/>
      <c r="BK179" s="103"/>
      <c r="BL179" s="103"/>
      <c r="BM179" s="103"/>
      <c r="BN179" s="103"/>
      <c r="BO179" s="103"/>
      <c r="BP179" s="103"/>
      <c r="BQ179" s="103"/>
      <c r="BR179" s="103"/>
      <c r="BS179" s="103"/>
      <c r="BT179" s="103"/>
      <c r="BU179" s="103"/>
      <c r="BV179" s="103"/>
      <c r="BW179" s="103"/>
      <c r="BX179" s="103"/>
      <c r="BY179" s="103"/>
      <c r="BZ179" s="103"/>
      <c r="CA179" s="103"/>
      <c r="CB179" s="103"/>
      <c r="CC179" s="103"/>
      <c r="CD179" s="103"/>
      <c r="CE179" s="103"/>
      <c r="CF179" s="103"/>
      <c r="CG179" s="103"/>
      <c r="CH179" s="103"/>
      <c r="CI179" s="103"/>
      <c r="CJ179" s="103"/>
      <c r="CK179" s="103"/>
      <c r="CL179" s="103"/>
      <c r="CM179" s="103"/>
      <c r="CN179" s="107" t="str">
        <f t="shared" ref="CN179" si="2910">"InitUnitState('"&amp;B179&amp;"',"&amp;V179&amp;","&amp;W179&amp;","&amp;X179&amp;","&amp;Y179&amp;","&amp;Z179&amp;","&amp;AA179&amp;","&amp;AB179&amp;","&amp;AC179&amp;","&amp;AD179&amp;","&amp;AE179&amp;")"</f>
        <v>InitUnitState('IZ0A',,,,,,,,,,)</v>
      </c>
      <c r="CO179" s="107" t="str">
        <f t="shared" ref="CO179" si="2911">"InitUnitNormal('"&amp;B179&amp;"',"&amp;AF179&amp;","&amp;AG179&amp;","&amp;AH179&amp;","&amp;AI179&amp;","&amp;AJ179&amp;","&amp;AK179&amp;","&amp;AL179&amp;","&amp;AM179&amp;","&amp;AN179&amp;","&amp;AO179&amp;")"</f>
        <v>InitUnitNormal('IZ0A',,,,,,,,,,)</v>
      </c>
      <c r="CP179" s="107" t="str">
        <f t="shared" ref="CP179" si="2912">"InitUnitMagic('"&amp;B179&amp;"',"&amp;AP179&amp;","&amp;AQ179&amp;","&amp;AR179&amp;","&amp;AS179&amp;","&amp;AT179&amp;","&amp;AU179&amp;","&amp;AV179&amp;","&amp;AW179&amp;","&amp;BI179&amp;","&amp;BJ179&amp;")"</f>
        <v>InitUnitMagic('IZ0A',,,,,,,,,,)</v>
      </c>
      <c r="CQ179" s="107" t="str">
        <f t="shared" ref="CQ179" si="2913">"InitUnitAdd('"&amp;B179&amp;"',"&amp;BK179&amp;","&amp;BL179&amp;","&amp;BM179&amp;","&amp;BN179&amp;","&amp;BO179&amp;","&amp;BP179&amp;","&amp;BQ179&amp;","&amp;BR179&amp;","&amp;BS179&amp;","&amp;BT179&amp;")"</f>
        <v>InitUnitAdd('IZ0A',,,,,,,,,,)</v>
      </c>
      <c r="CR179" s="107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184&amp;CR$1&amp;")"</f>
        <v>InitEquipData('IZ0A',,"",,,,,'','','','','','',"ReplaceableTextures\\CommandButtons\\BTNIZ01.blp")</v>
      </c>
      <c r="CS179" s="107"/>
      <c r="CT179" s="107"/>
      <c r="CU179" s="88" t="str">
        <f t="shared" ref="CU179" si="2914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29" t="str">
        <f t="shared" ref="CV179" si="2915">T179</f>
        <v>延缓敌军2分钟进攻时间。|n|n|Cff999999狗策划一直不想做这个功能，你们就省着点用吧~（逃|r</v>
      </c>
      <c r="CW179" s="33"/>
      <c r="CX179" s="33"/>
      <c r="CY179" s="33"/>
      <c r="CZ179" s="33"/>
      <c r="DA179" s="33"/>
      <c r="DB179" s="108" t="str">
        <f t="shared" si="2907"/>
        <v/>
      </c>
      <c r="DC179" s="108" t="str">
        <f t="shared" si="2907"/>
        <v/>
      </c>
      <c r="DD179" s="108" t="str">
        <f t="shared" si="2907"/>
        <v/>
      </c>
      <c r="DE179" s="108" t="str">
        <f t="shared" si="2907"/>
        <v/>
      </c>
      <c r="DF179" s="108" t="str">
        <f t="shared" si="2907"/>
        <v/>
      </c>
      <c r="DG179" s="108" t="str">
        <f t="shared" si="2907"/>
        <v/>
      </c>
      <c r="DH179" s="108" t="str">
        <f t="shared" si="2907"/>
        <v/>
      </c>
      <c r="DI179" s="108" t="str">
        <f t="shared" si="2907"/>
        <v/>
      </c>
      <c r="DJ179" s="108" t="str">
        <f t="shared" si="2907"/>
        <v/>
      </c>
      <c r="DK179" s="108" t="str">
        <f t="shared" si="2907"/>
        <v/>
      </c>
      <c r="DL179" s="108" t="str">
        <f t="shared" si="2907"/>
        <v/>
      </c>
      <c r="DM179" s="108" t="str">
        <f t="shared" si="2907"/>
        <v/>
      </c>
      <c r="DN179" s="108" t="str">
        <f t="shared" si="2907"/>
        <v/>
      </c>
      <c r="DO179" s="108" t="str">
        <f t="shared" si="2907"/>
        <v/>
      </c>
      <c r="DP179" s="108" t="str">
        <f t="shared" si="2907"/>
        <v/>
      </c>
      <c r="DQ179" s="108" t="str">
        <f t="shared" si="2907"/>
        <v/>
      </c>
      <c r="DR179" s="108" t="str">
        <f t="shared" si="2907"/>
        <v/>
      </c>
      <c r="DS179" s="108" t="str">
        <f t="shared" si="2907"/>
        <v/>
      </c>
      <c r="DT179" s="108" t="str">
        <f t="shared" si="2907"/>
        <v/>
      </c>
      <c r="DU179" s="108" t="str">
        <f t="shared" si="2907"/>
        <v/>
      </c>
      <c r="DV179" s="108" t="str">
        <f t="shared" si="2907"/>
        <v/>
      </c>
      <c r="DW179" s="108" t="str">
        <f t="shared" si="2907"/>
        <v/>
      </c>
      <c r="DX179" s="108" t="str">
        <f t="shared" si="2907"/>
        <v/>
      </c>
      <c r="DY179" s="108" t="str">
        <f t="shared" si="2907"/>
        <v/>
      </c>
      <c r="DZ179" s="108" t="str">
        <f t="shared" si="2907"/>
        <v/>
      </c>
      <c r="EA179" s="108" t="str">
        <f t="shared" si="2907"/>
        <v/>
      </c>
      <c r="EB179" s="108" t="str">
        <f t="shared" si="2907"/>
        <v/>
      </c>
      <c r="EC179" s="108" t="str">
        <f t="shared" si="2907"/>
        <v/>
      </c>
      <c r="ED179" s="108" t="str">
        <f t="shared" si="2907"/>
        <v/>
      </c>
      <c r="EE179" s="108" t="str">
        <f t="shared" si="2907"/>
        <v/>
      </c>
      <c r="EF179" s="108" t="str">
        <f t="shared" si="2907"/>
        <v/>
      </c>
      <c r="EG179" s="108" t="str">
        <f t="shared" si="2907"/>
        <v/>
      </c>
      <c r="EH179" s="108" t="str">
        <f t="shared" si="2908"/>
        <v/>
      </c>
      <c r="EI179" s="108" t="str">
        <f t="shared" si="2908"/>
        <v/>
      </c>
      <c r="EJ179" s="108" t="str">
        <f t="shared" si="2908"/>
        <v/>
      </c>
      <c r="EK179" s="108" t="str">
        <f t="shared" si="2908"/>
        <v/>
      </c>
      <c r="EL179" s="108" t="str">
        <f t="shared" si="2908"/>
        <v/>
      </c>
      <c r="EM179" s="108" t="str">
        <f t="shared" si="2908"/>
        <v/>
      </c>
      <c r="EN179" s="108" t="str">
        <f t="shared" si="2908"/>
        <v/>
      </c>
      <c r="EO179" s="108" t="str">
        <f t="shared" si="2908"/>
        <v/>
      </c>
      <c r="EP179" s="108" t="str">
        <f t="shared" si="2908"/>
        <v/>
      </c>
      <c r="EQ179" s="108" t="str">
        <f t="shared" si="2908"/>
        <v/>
      </c>
      <c r="ER179" s="108" t="str">
        <f t="shared" si="2908"/>
        <v/>
      </c>
      <c r="ES179" s="108" t="str">
        <f t="shared" si="2908"/>
        <v/>
      </c>
      <c r="ET179" s="108" t="str">
        <f t="shared" si="2908"/>
        <v/>
      </c>
      <c r="EU179" s="108" t="str">
        <f t="shared" si="2908"/>
        <v/>
      </c>
      <c r="EV179" s="108" t="str">
        <f t="shared" si="2908"/>
        <v/>
      </c>
      <c r="EW179" s="108" t="str">
        <f t="shared" si="2908"/>
        <v/>
      </c>
      <c r="EX179" s="108" t="str">
        <f t="shared" si="2908"/>
        <v/>
      </c>
      <c r="EY179" s="108" t="str">
        <f t="shared" si="2908"/>
        <v/>
      </c>
      <c r="EZ179" s="108" t="str">
        <f t="shared" si="2908"/>
        <v/>
      </c>
      <c r="FA179" s="108" t="str">
        <f t="shared" si="2908"/>
        <v/>
      </c>
      <c r="FB179" s="108" t="str">
        <f t="shared" si="2908"/>
        <v/>
      </c>
      <c r="FC179" s="108" t="str">
        <f t="shared" si="2908"/>
        <v/>
      </c>
      <c r="FD179" s="108" t="str">
        <f t="shared" si="2908"/>
        <v/>
      </c>
      <c r="FE179" s="108" t="str">
        <f t="shared" si="2908"/>
        <v/>
      </c>
      <c r="FF179" s="108" t="str">
        <f t="shared" si="2908"/>
        <v/>
      </c>
      <c r="FG179" s="108" t="str">
        <f t="shared" si="2908"/>
        <v/>
      </c>
      <c r="FH179" s="108" t="str">
        <f t="shared" si="2908"/>
        <v/>
      </c>
      <c r="FI179" s="108" t="str">
        <f t="shared" si="2908"/>
        <v/>
      </c>
      <c r="FJ179" s="108" t="str">
        <f t="shared" si="2908"/>
        <v/>
      </c>
      <c r="FK179" s="108" t="str">
        <f t="shared" si="2908"/>
        <v/>
      </c>
      <c r="FL179" s="108" t="str">
        <f t="shared" si="2908"/>
        <v/>
      </c>
      <c r="FM179" s="108" t="str">
        <f t="shared" si="2908"/>
        <v/>
      </c>
      <c r="FN179" s="108" t="str">
        <f t="shared" si="2909"/>
        <v/>
      </c>
      <c r="FO179" s="108" t="str">
        <f t="shared" si="2909"/>
        <v/>
      </c>
      <c r="FP179" s="108" t="str">
        <f t="shared" si="2909"/>
        <v/>
      </c>
      <c r="FQ179" s="108" t="str">
        <f t="shared" si="2909"/>
        <v/>
      </c>
      <c r="FR179" s="108" t="str">
        <f t="shared" si="2909"/>
        <v/>
      </c>
      <c r="FS179" s="108" t="str">
        <f t="shared" si="2909"/>
        <v/>
      </c>
    </row>
    <row r="180" spans="1:175" s="29" customFormat="1" ht="16.5">
      <c r="A180" s="15"/>
      <c r="B180" s="9" t="s">
        <v>652</v>
      </c>
      <c r="C180" s="15" t="s">
        <v>653</v>
      </c>
      <c r="D180" s="12"/>
      <c r="E180" s="12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92"/>
      <c r="Q180" s="92"/>
      <c r="R180" s="92"/>
      <c r="S180" s="92"/>
      <c r="T180" s="25" t="s">
        <v>654</v>
      </c>
      <c r="U180" s="77" t="str">
        <f t="shared" ref="U180:U184" si="2916">"ReplaceableTextures\\CommandButtons\\BTN"&amp;B180&amp;".blp"</f>
        <v>ReplaceableTextures\\CommandButtons\\BTNIZ0B.blp</v>
      </c>
      <c r="V180" s="102"/>
      <c r="W180" s="103"/>
      <c r="X180" s="103"/>
      <c r="Y180" s="103"/>
      <c r="Z180" s="103"/>
      <c r="AA180" s="103"/>
      <c r="AB180" s="103"/>
      <c r="AC180" s="103"/>
      <c r="AD180" s="103"/>
      <c r="AE180" s="103"/>
      <c r="AF180" s="103"/>
      <c r="AG180" s="103"/>
      <c r="AH180" s="103"/>
      <c r="AI180" s="103"/>
      <c r="AJ180" s="103"/>
      <c r="AK180" s="103"/>
      <c r="AL180" s="103"/>
      <c r="AM180" s="103"/>
      <c r="AN180" s="103"/>
      <c r="AO180" s="103"/>
      <c r="AP180" s="103"/>
      <c r="AQ180" s="103"/>
      <c r="AR180" s="65"/>
      <c r="AS180" s="65"/>
      <c r="AT180" s="103"/>
      <c r="AU180" s="103"/>
      <c r="AV180" s="103"/>
      <c r="AW180" s="103"/>
      <c r="AX180" s="103"/>
      <c r="AY180" s="103"/>
      <c r="AZ180" s="103"/>
      <c r="BA180" s="103"/>
      <c r="BB180" s="103"/>
      <c r="BC180" s="103"/>
      <c r="BD180" s="103"/>
      <c r="BE180" s="103"/>
      <c r="BF180" s="103"/>
      <c r="BG180" s="103"/>
      <c r="BH180" s="103"/>
      <c r="BI180" s="103"/>
      <c r="BJ180" s="103"/>
      <c r="BK180" s="103"/>
      <c r="BL180" s="103"/>
      <c r="BM180" s="103"/>
      <c r="BN180" s="103"/>
      <c r="BO180" s="103"/>
      <c r="BP180" s="103"/>
      <c r="BQ180" s="103"/>
      <c r="BR180" s="103"/>
      <c r="BS180" s="103"/>
      <c r="BT180" s="103"/>
      <c r="BU180" s="103"/>
      <c r="BV180" s="103"/>
      <c r="BW180" s="103"/>
      <c r="BX180" s="103"/>
      <c r="BY180" s="103"/>
      <c r="BZ180" s="103"/>
      <c r="CA180" s="103"/>
      <c r="CB180" s="103"/>
      <c r="CC180" s="103"/>
      <c r="CD180" s="103"/>
      <c r="CE180" s="103"/>
      <c r="CF180" s="103"/>
      <c r="CG180" s="103"/>
      <c r="CH180" s="103"/>
      <c r="CI180" s="103"/>
      <c r="CJ180" s="103"/>
      <c r="CK180" s="103"/>
      <c r="CL180" s="103"/>
      <c r="CM180" s="103"/>
      <c r="CN180" s="107" t="str">
        <f t="shared" ref="CN180:CN198" si="2917">"InitUnitState('"&amp;B180&amp;"',"&amp;V180&amp;","&amp;W180&amp;","&amp;X180&amp;","&amp;Y180&amp;","&amp;Z180&amp;","&amp;AA180&amp;","&amp;AB180&amp;","&amp;AC180&amp;","&amp;AD180&amp;","&amp;AE180&amp;")"</f>
        <v>InitUnitState('IZ0B',,,,,,,,,,)</v>
      </c>
      <c r="CO180" s="107" t="str">
        <f t="shared" ref="CO180:CO198" si="2918">"InitUnitNormal('"&amp;B180&amp;"',"&amp;AF180&amp;","&amp;AG180&amp;","&amp;AH180&amp;","&amp;AI180&amp;","&amp;AJ180&amp;","&amp;AK180&amp;","&amp;AL180&amp;","&amp;AM180&amp;","&amp;AN180&amp;","&amp;AO180&amp;")"</f>
        <v>InitUnitNormal('IZ0B',,,,,,,,,,)</v>
      </c>
      <c r="CP180" s="107" t="str">
        <f t="shared" ref="CP180:CP198" si="2919">"InitUnitMagic('"&amp;B180&amp;"',"&amp;AP180&amp;","&amp;AQ180&amp;","&amp;AR180&amp;","&amp;AS180&amp;","&amp;AT180&amp;","&amp;AU180&amp;","&amp;AV180&amp;","&amp;AW180&amp;","&amp;BI180&amp;","&amp;BJ180&amp;")"</f>
        <v>InitUnitMagic('IZ0B',,,,,,,,,,)</v>
      </c>
      <c r="CQ180" s="107" t="str">
        <f t="shared" ref="CQ180:CQ198" si="2920">"InitUnitAdd('"&amp;B180&amp;"',"&amp;BK180&amp;","&amp;BL180&amp;","&amp;BM180&amp;","&amp;BN180&amp;","&amp;BO180&amp;","&amp;BP180&amp;","&amp;BQ180&amp;","&amp;BR180&amp;","&amp;BS180&amp;","&amp;BT180&amp;")"</f>
        <v>InitUnitAdd('IZ0B',,,,,,,,,,)</v>
      </c>
      <c r="CR180" s="107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185&amp;CR$1&amp;")"</f>
        <v>InitEquipData('IZ0B',,"",,,,,'','','','','','',"ReplaceableTextures\\CommandButtons\\BTN001.blp")</v>
      </c>
      <c r="CS180" s="107"/>
      <c r="CT180" s="107"/>
      <c r="CU180" s="88" t="str">
        <f t="shared" ref="CU180:CU189" si="2921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29" t="str">
        <f t="shared" ref="CV180:CV189" si="2922">T180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0" s="33"/>
      <c r="CX180" s="33"/>
      <c r="CY180" s="33"/>
      <c r="CZ180" s="33"/>
      <c r="DA180" s="33"/>
      <c r="DB180" s="108" t="str">
        <f t="shared" ref="DB180" si="2923">IF(V180="","","|n"&amp;DB$2&amp;"+"&amp;V180&amp;DB$1)</f>
        <v/>
      </c>
      <c r="DC180" s="108" t="str">
        <f t="shared" ref="DC180" si="2924">IF(W180="","","|n"&amp;DC$2&amp;"+"&amp;W180&amp;DC$1)</f>
        <v/>
      </c>
      <c r="DD180" s="108" t="str">
        <f t="shared" ref="DD180" si="2925">IF(X180="","","|n"&amp;DD$2&amp;"+"&amp;X180&amp;DD$1)</f>
        <v/>
      </c>
      <c r="DE180" s="108" t="str">
        <f t="shared" ref="DE180" si="2926">IF(Y180="","","|n"&amp;DE$2&amp;"+"&amp;Y180&amp;DE$1)</f>
        <v/>
      </c>
      <c r="DF180" s="108" t="str">
        <f t="shared" ref="DF180" si="2927">IF(Z180="","","|n"&amp;DF$2&amp;"+"&amp;Z180&amp;DF$1)</f>
        <v/>
      </c>
      <c r="DG180" s="108" t="str">
        <f t="shared" ref="DG180" si="2928">IF(AA180="","","|n"&amp;DG$2&amp;"+"&amp;AA180&amp;DG$1)</f>
        <v/>
      </c>
      <c r="DH180" s="108" t="str">
        <f t="shared" ref="DH180" si="2929">IF(AB180="","","|n"&amp;DH$2&amp;"+"&amp;AB180&amp;DH$1)</f>
        <v/>
      </c>
      <c r="DI180" s="108" t="str">
        <f t="shared" ref="DI180" si="2930">IF(AC180="","","|n"&amp;DI$2&amp;"+"&amp;AC180&amp;DI$1)</f>
        <v/>
      </c>
      <c r="DJ180" s="108" t="str">
        <f t="shared" ref="DJ180" si="2931">IF(AD180="","","|n"&amp;DJ$2&amp;"+"&amp;AD180&amp;DJ$1)</f>
        <v/>
      </c>
      <c r="DK180" s="108" t="str">
        <f t="shared" ref="DK180" si="2932">IF(AE180="","","|n"&amp;DK$2&amp;"+"&amp;AE180&amp;DK$1)</f>
        <v/>
      </c>
      <c r="DL180" s="108" t="str">
        <f t="shared" ref="DL180" si="2933">IF(AF180="","","|n"&amp;DL$2&amp;"+"&amp;AF180&amp;DL$1)</f>
        <v/>
      </c>
      <c r="DM180" s="108" t="str">
        <f t="shared" ref="DM180" si="2934">IF(AG180="","","|n"&amp;DM$2&amp;"+"&amp;AG180&amp;DM$1)</f>
        <v/>
      </c>
      <c r="DN180" s="108" t="str">
        <f t="shared" ref="DN180" si="2935">IF(AH180="","","|n"&amp;DN$2&amp;"+"&amp;AH180&amp;DN$1)</f>
        <v/>
      </c>
      <c r="DO180" s="108" t="str">
        <f t="shared" ref="DO180" si="2936">IF(AI180="","","|n"&amp;DO$2&amp;"+"&amp;AI180&amp;DO$1)</f>
        <v/>
      </c>
      <c r="DP180" s="108" t="str">
        <f t="shared" ref="DP180" si="2937">IF(AJ180="","","|n"&amp;DP$2&amp;"+"&amp;AJ180&amp;DP$1)</f>
        <v/>
      </c>
      <c r="DQ180" s="108" t="str">
        <f t="shared" ref="DQ180" si="2938">IF(AK180="","","|n"&amp;DQ$2&amp;"+"&amp;AK180&amp;DQ$1)</f>
        <v/>
      </c>
      <c r="DR180" s="108" t="str">
        <f t="shared" ref="DR180" si="2939">IF(AL180="","","|n"&amp;DR$2&amp;"+"&amp;AL180&amp;DR$1)</f>
        <v/>
      </c>
      <c r="DS180" s="108" t="str">
        <f t="shared" ref="DS180" si="2940">IF(AM180="","","|n"&amp;DS$2&amp;"+"&amp;AM180&amp;DS$1)</f>
        <v/>
      </c>
      <c r="DT180" s="108" t="str">
        <f t="shared" ref="DT180" si="2941">IF(AN180="","","|n"&amp;DT$2&amp;"+"&amp;AN180&amp;DT$1)</f>
        <v/>
      </c>
      <c r="DU180" s="108" t="str">
        <f t="shared" ref="DU180" si="2942">IF(AO180="","","|n"&amp;DU$2&amp;"+"&amp;AO180&amp;DU$1)</f>
        <v/>
      </c>
      <c r="DV180" s="108" t="str">
        <f t="shared" ref="DV180" si="2943">IF(AP180="","","|n"&amp;DV$2&amp;"+"&amp;AP180&amp;DV$1)</f>
        <v/>
      </c>
      <c r="DW180" s="108" t="str">
        <f t="shared" ref="DW180" si="2944">IF(AQ180="","","|n"&amp;DW$2&amp;"+"&amp;AQ180&amp;DW$1)</f>
        <v/>
      </c>
      <c r="DX180" s="108" t="str">
        <f t="shared" ref="DX180" si="2945">IF(AR180="","","|n"&amp;DX$2&amp;"+"&amp;AR180&amp;DX$1)</f>
        <v/>
      </c>
      <c r="DY180" s="108" t="str">
        <f t="shared" ref="DY180" si="2946">IF(AS180="","","|n"&amp;DY$2&amp;"+"&amp;AS180&amp;DY$1)</f>
        <v/>
      </c>
      <c r="DZ180" s="108" t="str">
        <f t="shared" ref="DZ180" si="2947">IF(AT180="","","|n"&amp;DZ$2&amp;"+"&amp;AT180&amp;DZ$1)</f>
        <v/>
      </c>
      <c r="EA180" s="108" t="str">
        <f t="shared" ref="EA180" si="2948">IF(AU180="","","|n"&amp;EA$2&amp;"+"&amp;AU180&amp;EA$1)</f>
        <v/>
      </c>
      <c r="EB180" s="108" t="str">
        <f t="shared" ref="EB180" si="2949">IF(AV180="","","|n"&amp;EB$2&amp;"+"&amp;AV180&amp;EB$1)</f>
        <v/>
      </c>
      <c r="EC180" s="108" t="str">
        <f t="shared" ref="EC180" si="2950">IF(AW180="","","|n"&amp;EC$2&amp;"+"&amp;AW180&amp;EC$1)</f>
        <v/>
      </c>
      <c r="ED180" s="108" t="str">
        <f t="shared" ref="ED180" si="2951">IF(AX180="","","|n"&amp;ED$2&amp;"+"&amp;AX180&amp;ED$1)</f>
        <v/>
      </c>
      <c r="EE180" s="108" t="str">
        <f t="shared" ref="EE180" si="2952">IF(AY180="","","|n"&amp;EE$2&amp;"+"&amp;AY180&amp;EE$1)</f>
        <v/>
      </c>
      <c r="EF180" s="108" t="str">
        <f t="shared" ref="EF180" si="2953">IF(AZ180="","","|n"&amp;EF$2&amp;"+"&amp;AZ180&amp;EF$1)</f>
        <v/>
      </c>
      <c r="EG180" s="108" t="str">
        <f t="shared" ref="EG180" si="2954">IF(BA180="","","|n"&amp;EG$2&amp;"+"&amp;BA180&amp;EG$1)</f>
        <v/>
      </c>
      <c r="EH180" s="108" t="str">
        <f t="shared" ref="EH180" si="2955">IF(BB180="","","|n"&amp;EH$2&amp;"+"&amp;BB180&amp;EH$1)</f>
        <v/>
      </c>
      <c r="EI180" s="108" t="str">
        <f t="shared" ref="EI180" si="2956">IF(BC180="","","|n"&amp;EI$2&amp;"+"&amp;BC180&amp;EI$1)</f>
        <v/>
      </c>
      <c r="EJ180" s="108" t="str">
        <f t="shared" ref="EJ180" si="2957">IF(BD180="","","|n"&amp;EJ$2&amp;"+"&amp;BD180&amp;EJ$1)</f>
        <v/>
      </c>
      <c r="EK180" s="108" t="str">
        <f t="shared" ref="EK180" si="2958">IF(BE180="","","|n"&amp;EK$2&amp;"+"&amp;BE180&amp;EK$1)</f>
        <v/>
      </c>
      <c r="EL180" s="108" t="str">
        <f t="shared" ref="EL180" si="2959">IF(BF180="","","|n"&amp;EL$2&amp;"+"&amp;BF180&amp;EL$1)</f>
        <v/>
      </c>
      <c r="EM180" s="108" t="str">
        <f t="shared" ref="EM180" si="2960">IF(BG180="","","|n"&amp;EM$2&amp;"+"&amp;BG180&amp;EM$1)</f>
        <v/>
      </c>
      <c r="EN180" s="108" t="str">
        <f t="shared" ref="EN180" si="2961">IF(BH180="","","|n"&amp;EN$2&amp;"+"&amp;BH180&amp;EN$1)</f>
        <v/>
      </c>
      <c r="EO180" s="108" t="str">
        <f t="shared" ref="EO180" si="2962">IF(BI180="","","|n"&amp;EO$2&amp;"+"&amp;BI180&amp;EO$1)</f>
        <v/>
      </c>
      <c r="EP180" s="108" t="str">
        <f t="shared" ref="EP180" si="2963">IF(BJ180="","","|n"&amp;EP$2&amp;"+"&amp;BJ180&amp;EP$1)</f>
        <v/>
      </c>
      <c r="EQ180" s="108" t="str">
        <f t="shared" ref="EQ180" si="2964">IF(BK180="","","|n"&amp;EQ$2&amp;"+"&amp;BK180&amp;EQ$1)</f>
        <v/>
      </c>
      <c r="ER180" s="108" t="str">
        <f t="shared" ref="ER180" si="2965">IF(BL180="","","|n"&amp;ER$2&amp;"+"&amp;BL180&amp;ER$1)</f>
        <v/>
      </c>
      <c r="ES180" s="108" t="str">
        <f t="shared" ref="ES180" si="2966">IF(BM180="","","|n"&amp;ES$2&amp;"+"&amp;BM180&amp;ES$1)</f>
        <v/>
      </c>
      <c r="ET180" s="108" t="str">
        <f t="shared" ref="ET180" si="2967">IF(BN180="","","|n"&amp;ET$2&amp;"+"&amp;BN180&amp;ET$1)</f>
        <v/>
      </c>
      <c r="EU180" s="108" t="str">
        <f t="shared" ref="EU180" si="2968">IF(BO180="","","|n"&amp;EU$2&amp;"+"&amp;BO180&amp;EU$1)</f>
        <v/>
      </c>
      <c r="EV180" s="108" t="str">
        <f t="shared" ref="EV180" si="2969">IF(BP180="","","|n"&amp;EV$2&amp;"+"&amp;BP180&amp;EV$1)</f>
        <v/>
      </c>
      <c r="EW180" s="108" t="str">
        <f t="shared" ref="EW180" si="2970">IF(BQ180="","","|n"&amp;EW$2&amp;"+"&amp;BQ180&amp;EW$1)</f>
        <v/>
      </c>
      <c r="EX180" s="108" t="str">
        <f t="shared" ref="EX180" si="2971">IF(BR180="","","|n"&amp;EX$2&amp;"+"&amp;BR180&amp;EX$1)</f>
        <v/>
      </c>
      <c r="EY180" s="108" t="str">
        <f t="shared" ref="EY180" si="2972">IF(BS180="","","|n"&amp;EY$2&amp;"+"&amp;BS180&amp;EY$1)</f>
        <v/>
      </c>
      <c r="EZ180" s="108" t="str">
        <f t="shared" ref="EZ180" si="2973">IF(BT180="","","|n"&amp;EZ$2&amp;"+"&amp;BT180&amp;EZ$1)</f>
        <v/>
      </c>
      <c r="FA180" s="108" t="str">
        <f t="shared" ref="FA180" si="2974">IF(BU180="","","|n"&amp;FA$2&amp;"+"&amp;BU180&amp;FA$1)</f>
        <v/>
      </c>
      <c r="FB180" s="108" t="str">
        <f t="shared" ref="FB180" si="2975">IF(BV180="","","|n"&amp;FB$2&amp;"+"&amp;BV180&amp;FB$1)</f>
        <v/>
      </c>
      <c r="FC180" s="108" t="str">
        <f t="shared" ref="FC180" si="2976">IF(BW180="","","|n"&amp;FC$2&amp;"+"&amp;BW180&amp;FC$1)</f>
        <v/>
      </c>
      <c r="FD180" s="108" t="str">
        <f t="shared" ref="FD180" si="2977">IF(BX180="","","|n"&amp;FD$2&amp;"+"&amp;BX180&amp;FD$1)</f>
        <v/>
      </c>
      <c r="FE180" s="108" t="str">
        <f t="shared" ref="FE180" si="2978">IF(BY180="","","|n"&amp;FE$2&amp;"+"&amp;BY180&amp;FE$1)</f>
        <v/>
      </c>
      <c r="FF180" s="108" t="str">
        <f t="shared" ref="FF180" si="2979">IF(BZ180="","","|n"&amp;FF$2&amp;"+"&amp;BZ180&amp;FF$1)</f>
        <v/>
      </c>
      <c r="FG180" s="108" t="str">
        <f t="shared" ref="FG180" si="2980">IF(CA180="","","|n"&amp;FG$2&amp;"+"&amp;CA180&amp;FG$1)</f>
        <v/>
      </c>
      <c r="FH180" s="108" t="str">
        <f t="shared" ref="FH180" si="2981">IF(CB180="","","|n"&amp;FH$2&amp;"+"&amp;CB180&amp;FH$1)</f>
        <v/>
      </c>
      <c r="FI180" s="108" t="str">
        <f t="shared" ref="FI180" si="2982">IF(CC180="","","|n"&amp;FI$2&amp;"+"&amp;CC180&amp;FI$1)</f>
        <v/>
      </c>
      <c r="FJ180" s="108" t="str">
        <f t="shared" ref="FJ180" si="2983">IF(CD180="","","|n"&amp;FJ$2&amp;"+"&amp;CD180&amp;FJ$1)</f>
        <v/>
      </c>
      <c r="FK180" s="108" t="str">
        <f t="shared" ref="FK180" si="2984">IF(CE180="","","|n"&amp;FK$2&amp;"+"&amp;CE180&amp;FK$1)</f>
        <v/>
      </c>
      <c r="FL180" s="108" t="str">
        <f t="shared" ref="FL180" si="2985">IF(CF180="","","|n"&amp;FL$2&amp;"+"&amp;CF180&amp;FL$1)</f>
        <v/>
      </c>
      <c r="FM180" s="108" t="str">
        <f t="shared" ref="FM180" si="2986">IF(CG180="","","|n"&amp;FM$2&amp;"+"&amp;CG180&amp;FM$1)</f>
        <v/>
      </c>
      <c r="FN180" s="108" t="str">
        <f t="shared" ref="FN180" si="2987">IF(CH180="","","|n"&amp;FN$2&amp;"+"&amp;CH180&amp;FN$1)</f>
        <v/>
      </c>
      <c r="FO180" s="108" t="str">
        <f t="shared" ref="FO180" si="2988">IF(CI180="","","|n"&amp;FO$2&amp;"+"&amp;CI180&amp;FO$1)</f>
        <v/>
      </c>
      <c r="FP180" s="108" t="str">
        <f t="shared" ref="FP180" si="2989">IF(CJ180="","","|n"&amp;FP$2&amp;"+"&amp;CJ180&amp;FP$1)</f>
        <v/>
      </c>
      <c r="FQ180" s="108" t="str">
        <f t="shared" ref="FQ180" si="2990">IF(CK180="","","|n"&amp;FQ$2&amp;"+"&amp;CK180&amp;FQ$1)</f>
        <v/>
      </c>
      <c r="FR180" s="108" t="str">
        <f t="shared" ref="FR180" si="2991">IF(CL180="","","|n"&amp;FR$2&amp;"+"&amp;CL180&amp;FR$1)</f>
        <v/>
      </c>
      <c r="FS180" s="108" t="str">
        <f t="shared" ref="FS180" si="2992">IF(CM180="","","|n"&amp;FS$2&amp;"+"&amp;CM180&amp;FS$1)</f>
        <v/>
      </c>
    </row>
    <row r="181" spans="1:175" s="29" customFormat="1" ht="16.5">
      <c r="A181" s="15"/>
      <c r="B181" s="9" t="s">
        <v>655</v>
      </c>
      <c r="C181" s="15"/>
      <c r="D181" s="12"/>
      <c r="E181" s="12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92"/>
      <c r="Q181" s="92"/>
      <c r="R181" s="92"/>
      <c r="S181" s="92"/>
      <c r="T181" s="15" t="s">
        <v>651</v>
      </c>
      <c r="U181" s="77" t="str">
        <f t="shared" si="2916"/>
        <v>ReplaceableTextures\\CommandButtons\\BTNIZ0D.blp</v>
      </c>
      <c r="V181" s="102"/>
      <c r="W181" s="103"/>
      <c r="X181" s="103"/>
      <c r="Y181" s="103"/>
      <c r="Z181" s="103"/>
      <c r="AA181" s="103"/>
      <c r="AB181" s="103"/>
      <c r="AC181" s="103"/>
      <c r="AD181" s="103"/>
      <c r="AE181" s="103"/>
      <c r="AF181" s="103"/>
      <c r="AG181" s="103"/>
      <c r="AH181" s="103"/>
      <c r="AI181" s="103"/>
      <c r="AJ181" s="103"/>
      <c r="AK181" s="103"/>
      <c r="AL181" s="103"/>
      <c r="AM181" s="103"/>
      <c r="AN181" s="103"/>
      <c r="AO181" s="103"/>
      <c r="AP181" s="103"/>
      <c r="AQ181" s="103"/>
      <c r="AR181" s="65"/>
      <c r="AS181" s="65"/>
      <c r="AT181" s="103"/>
      <c r="AU181" s="103"/>
      <c r="AV181" s="103"/>
      <c r="AW181" s="103"/>
      <c r="AX181" s="103"/>
      <c r="AY181" s="103"/>
      <c r="AZ181" s="103"/>
      <c r="BA181" s="103"/>
      <c r="BB181" s="103"/>
      <c r="BC181" s="103"/>
      <c r="BD181" s="103"/>
      <c r="BE181" s="103"/>
      <c r="BF181" s="103"/>
      <c r="BG181" s="103"/>
      <c r="BH181" s="103"/>
      <c r="BI181" s="103"/>
      <c r="BJ181" s="103"/>
      <c r="BK181" s="103"/>
      <c r="BL181" s="103"/>
      <c r="BM181" s="103"/>
      <c r="BN181" s="103"/>
      <c r="BO181" s="103"/>
      <c r="BP181" s="103"/>
      <c r="BQ181" s="103"/>
      <c r="BR181" s="103"/>
      <c r="BS181" s="103"/>
      <c r="BT181" s="103"/>
      <c r="BU181" s="103"/>
      <c r="BV181" s="103"/>
      <c r="BW181" s="103"/>
      <c r="BX181" s="103"/>
      <c r="BY181" s="103"/>
      <c r="BZ181" s="103"/>
      <c r="CA181" s="103"/>
      <c r="CB181" s="103"/>
      <c r="CC181" s="103"/>
      <c r="CD181" s="103"/>
      <c r="CE181" s="103"/>
      <c r="CF181" s="103"/>
      <c r="CG181" s="103"/>
      <c r="CH181" s="103"/>
      <c r="CI181" s="103"/>
      <c r="CJ181" s="103"/>
      <c r="CK181" s="103"/>
      <c r="CL181" s="103"/>
      <c r="CM181" s="103"/>
      <c r="CN181" s="107" t="str">
        <f t="shared" si="2917"/>
        <v>InitUnitState('IZ0D',,,,,,,,,,)</v>
      </c>
      <c r="CO181" s="107" t="str">
        <f t="shared" si="2918"/>
        <v>InitUnitNormal('IZ0D',,,,,,,,,,)</v>
      </c>
      <c r="CP181" s="107" t="str">
        <f t="shared" si="2919"/>
        <v>InitUnitMagic('IZ0D',,,,,,,,,,)</v>
      </c>
      <c r="CQ181" s="107" t="str">
        <f t="shared" si="2920"/>
        <v>InitUnitAdd('IZ0D',,,,,,,,,,)</v>
      </c>
      <c r="CR181" s="107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186&amp;CR$1&amp;")"</f>
        <v>InitEquipData('IZ0D',,"",,,,,'','','','','','',"ReplaceableTextures\\CommandButtons\\BTN002.blp")</v>
      </c>
      <c r="CS181" s="107"/>
      <c r="CT181" s="107"/>
      <c r="CU181" s="88" t="str">
        <f t="shared" si="2921"/>
        <v>|n</v>
      </c>
      <c r="CV181" s="29" t="str">
        <f t="shared" si="2922"/>
        <v>延缓敌军2分钟进攻时间。|n|n|Cff999999狗策划一直不想做这个功能，你们就省着点用吧~（逃|r</v>
      </c>
      <c r="CW181" s="33"/>
      <c r="CX181" s="33"/>
      <c r="CY181" s="33"/>
      <c r="CZ181" s="33"/>
      <c r="DA181" s="33"/>
      <c r="DB181" s="108" t="str">
        <f t="shared" ref="DB181:FM181" si="2993">IF(V181="","","|n"&amp;DB$2&amp;"+"&amp;V181&amp;DB$1)</f>
        <v/>
      </c>
      <c r="DC181" s="108" t="str">
        <f t="shared" si="2993"/>
        <v/>
      </c>
      <c r="DD181" s="108" t="str">
        <f t="shared" si="2993"/>
        <v/>
      </c>
      <c r="DE181" s="108" t="str">
        <f t="shared" si="2993"/>
        <v/>
      </c>
      <c r="DF181" s="108" t="str">
        <f t="shared" si="2993"/>
        <v/>
      </c>
      <c r="DG181" s="108" t="str">
        <f t="shared" si="2993"/>
        <v/>
      </c>
      <c r="DH181" s="108" t="str">
        <f t="shared" si="2993"/>
        <v/>
      </c>
      <c r="DI181" s="108" t="str">
        <f t="shared" si="2993"/>
        <v/>
      </c>
      <c r="DJ181" s="108" t="str">
        <f t="shared" si="2993"/>
        <v/>
      </c>
      <c r="DK181" s="108" t="str">
        <f t="shared" si="2993"/>
        <v/>
      </c>
      <c r="DL181" s="108" t="str">
        <f t="shared" si="2993"/>
        <v/>
      </c>
      <c r="DM181" s="108" t="str">
        <f t="shared" si="2993"/>
        <v/>
      </c>
      <c r="DN181" s="108" t="str">
        <f t="shared" si="2993"/>
        <v/>
      </c>
      <c r="DO181" s="108" t="str">
        <f t="shared" si="2993"/>
        <v/>
      </c>
      <c r="DP181" s="108" t="str">
        <f t="shared" si="2993"/>
        <v/>
      </c>
      <c r="DQ181" s="108" t="str">
        <f t="shared" si="2993"/>
        <v/>
      </c>
      <c r="DR181" s="108" t="str">
        <f t="shared" si="2993"/>
        <v/>
      </c>
      <c r="DS181" s="108" t="str">
        <f t="shared" si="2993"/>
        <v/>
      </c>
      <c r="DT181" s="108" t="str">
        <f t="shared" si="2993"/>
        <v/>
      </c>
      <c r="DU181" s="108" t="str">
        <f t="shared" si="2993"/>
        <v/>
      </c>
      <c r="DV181" s="108" t="str">
        <f t="shared" si="2993"/>
        <v/>
      </c>
      <c r="DW181" s="108" t="str">
        <f t="shared" si="2993"/>
        <v/>
      </c>
      <c r="DX181" s="108" t="str">
        <f t="shared" si="2993"/>
        <v/>
      </c>
      <c r="DY181" s="108" t="str">
        <f t="shared" si="2993"/>
        <v/>
      </c>
      <c r="DZ181" s="108" t="str">
        <f t="shared" si="2993"/>
        <v/>
      </c>
      <c r="EA181" s="108" t="str">
        <f t="shared" si="2993"/>
        <v/>
      </c>
      <c r="EB181" s="108" t="str">
        <f t="shared" si="2993"/>
        <v/>
      </c>
      <c r="EC181" s="108" t="str">
        <f t="shared" si="2993"/>
        <v/>
      </c>
      <c r="ED181" s="108" t="str">
        <f t="shared" si="2993"/>
        <v/>
      </c>
      <c r="EE181" s="108" t="str">
        <f t="shared" si="2993"/>
        <v/>
      </c>
      <c r="EF181" s="108" t="str">
        <f t="shared" si="2993"/>
        <v/>
      </c>
      <c r="EG181" s="108" t="str">
        <f t="shared" si="2993"/>
        <v/>
      </c>
      <c r="EH181" s="108" t="str">
        <f t="shared" si="2993"/>
        <v/>
      </c>
      <c r="EI181" s="108" t="str">
        <f t="shared" si="2993"/>
        <v/>
      </c>
      <c r="EJ181" s="108" t="str">
        <f t="shared" si="2993"/>
        <v/>
      </c>
      <c r="EK181" s="108" t="str">
        <f t="shared" si="2993"/>
        <v/>
      </c>
      <c r="EL181" s="108" t="str">
        <f t="shared" si="2993"/>
        <v/>
      </c>
      <c r="EM181" s="108" t="str">
        <f t="shared" si="2993"/>
        <v/>
      </c>
      <c r="EN181" s="108" t="str">
        <f t="shared" si="2993"/>
        <v/>
      </c>
      <c r="EO181" s="108" t="str">
        <f t="shared" si="2993"/>
        <v/>
      </c>
      <c r="EP181" s="108" t="str">
        <f t="shared" si="2993"/>
        <v/>
      </c>
      <c r="EQ181" s="108" t="str">
        <f t="shared" si="2993"/>
        <v/>
      </c>
      <c r="ER181" s="108" t="str">
        <f t="shared" si="2993"/>
        <v/>
      </c>
      <c r="ES181" s="108" t="str">
        <f t="shared" si="2993"/>
        <v/>
      </c>
      <c r="ET181" s="108" t="str">
        <f t="shared" si="2993"/>
        <v/>
      </c>
      <c r="EU181" s="108" t="str">
        <f t="shared" si="2993"/>
        <v/>
      </c>
      <c r="EV181" s="108" t="str">
        <f t="shared" si="2993"/>
        <v/>
      </c>
      <c r="EW181" s="108" t="str">
        <f t="shared" si="2993"/>
        <v/>
      </c>
      <c r="EX181" s="108" t="str">
        <f t="shared" si="2993"/>
        <v/>
      </c>
      <c r="EY181" s="108" t="str">
        <f t="shared" si="2993"/>
        <v/>
      </c>
      <c r="EZ181" s="108" t="str">
        <f t="shared" si="2993"/>
        <v/>
      </c>
      <c r="FA181" s="108" t="str">
        <f t="shared" si="2993"/>
        <v/>
      </c>
      <c r="FB181" s="108" t="str">
        <f t="shared" si="2993"/>
        <v/>
      </c>
      <c r="FC181" s="108" t="str">
        <f t="shared" si="2993"/>
        <v/>
      </c>
      <c r="FD181" s="108" t="str">
        <f t="shared" si="2993"/>
        <v/>
      </c>
      <c r="FE181" s="108" t="str">
        <f t="shared" si="2993"/>
        <v/>
      </c>
      <c r="FF181" s="108" t="str">
        <f t="shared" si="2993"/>
        <v/>
      </c>
      <c r="FG181" s="108" t="str">
        <f t="shared" si="2993"/>
        <v/>
      </c>
      <c r="FH181" s="108" t="str">
        <f t="shared" si="2993"/>
        <v/>
      </c>
      <c r="FI181" s="108" t="str">
        <f t="shared" si="2993"/>
        <v/>
      </c>
      <c r="FJ181" s="108" t="str">
        <f t="shared" si="2993"/>
        <v/>
      </c>
      <c r="FK181" s="108" t="str">
        <f t="shared" si="2993"/>
        <v/>
      </c>
      <c r="FL181" s="108" t="str">
        <f t="shared" si="2993"/>
        <v/>
      </c>
      <c r="FM181" s="108" t="str">
        <f t="shared" si="2993"/>
        <v/>
      </c>
      <c r="FN181" s="108" t="str">
        <f t="shared" ref="FN181:FS181" si="2994">IF(CH181="","","|n"&amp;FN$2&amp;"+"&amp;CH181&amp;FN$1)</f>
        <v/>
      </c>
      <c r="FO181" s="108" t="str">
        <f t="shared" si="2994"/>
        <v/>
      </c>
      <c r="FP181" s="108" t="str">
        <f t="shared" si="2994"/>
        <v/>
      </c>
      <c r="FQ181" s="108" t="str">
        <f t="shared" si="2994"/>
        <v/>
      </c>
      <c r="FR181" s="108" t="str">
        <f t="shared" si="2994"/>
        <v/>
      </c>
      <c r="FS181" s="108" t="str">
        <f t="shared" si="2994"/>
        <v/>
      </c>
    </row>
    <row r="182" spans="1:175" s="29" customFormat="1" ht="16.5">
      <c r="A182" s="15"/>
      <c r="B182" s="9" t="s">
        <v>656</v>
      </c>
      <c r="C182" s="15"/>
      <c r="D182" s="12"/>
      <c r="E182" s="12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92"/>
      <c r="Q182" s="92"/>
      <c r="R182" s="92"/>
      <c r="S182" s="92"/>
      <c r="T182" s="15" t="s">
        <v>651</v>
      </c>
      <c r="U182" s="77" t="str">
        <f t="shared" si="2916"/>
        <v>ReplaceableTextures\\CommandButtons\\BTNIZ0E.blp</v>
      </c>
      <c r="V182" s="102"/>
      <c r="W182" s="103"/>
      <c r="X182" s="103"/>
      <c r="Y182" s="103"/>
      <c r="Z182" s="103"/>
      <c r="AA182" s="103"/>
      <c r="AB182" s="103"/>
      <c r="AC182" s="103"/>
      <c r="AD182" s="103"/>
      <c r="AE182" s="103"/>
      <c r="AF182" s="103"/>
      <c r="AG182" s="103"/>
      <c r="AH182" s="103"/>
      <c r="AI182" s="103"/>
      <c r="AJ182" s="103"/>
      <c r="AK182" s="103"/>
      <c r="AL182" s="103"/>
      <c r="AM182" s="103"/>
      <c r="AN182" s="103"/>
      <c r="AO182" s="103"/>
      <c r="AP182" s="103"/>
      <c r="AQ182" s="103"/>
      <c r="AR182" s="65"/>
      <c r="AS182" s="65"/>
      <c r="AT182" s="103"/>
      <c r="AU182" s="103"/>
      <c r="AV182" s="103"/>
      <c r="AW182" s="103"/>
      <c r="AX182" s="103"/>
      <c r="AY182" s="103"/>
      <c r="AZ182" s="103"/>
      <c r="BA182" s="103"/>
      <c r="BB182" s="103"/>
      <c r="BC182" s="103"/>
      <c r="BD182" s="103"/>
      <c r="BE182" s="103"/>
      <c r="BF182" s="103"/>
      <c r="BG182" s="103"/>
      <c r="BH182" s="103"/>
      <c r="BI182" s="103"/>
      <c r="BJ182" s="103"/>
      <c r="BK182" s="103"/>
      <c r="BL182" s="103"/>
      <c r="BM182" s="103"/>
      <c r="BN182" s="103"/>
      <c r="BO182" s="103"/>
      <c r="BP182" s="103"/>
      <c r="BQ182" s="103"/>
      <c r="BR182" s="103"/>
      <c r="BS182" s="103"/>
      <c r="BT182" s="103"/>
      <c r="BU182" s="103"/>
      <c r="BV182" s="103"/>
      <c r="BW182" s="103"/>
      <c r="BX182" s="103"/>
      <c r="BY182" s="103"/>
      <c r="BZ182" s="103"/>
      <c r="CA182" s="103"/>
      <c r="CB182" s="103"/>
      <c r="CC182" s="103"/>
      <c r="CD182" s="103"/>
      <c r="CE182" s="103"/>
      <c r="CF182" s="103"/>
      <c r="CG182" s="103"/>
      <c r="CH182" s="103"/>
      <c r="CI182" s="103"/>
      <c r="CJ182" s="103"/>
      <c r="CK182" s="103"/>
      <c r="CL182" s="103"/>
      <c r="CM182" s="103"/>
      <c r="CN182" s="107" t="str">
        <f t="shared" si="2917"/>
        <v>InitUnitState('IZ0E',,,,,,,,,,)</v>
      </c>
      <c r="CO182" s="107" t="str">
        <f t="shared" si="2918"/>
        <v>InitUnitNormal('IZ0E',,,,,,,,,,)</v>
      </c>
      <c r="CP182" s="107" t="str">
        <f t="shared" si="2919"/>
        <v>InitUnitMagic('IZ0E',,,,,,,,,,)</v>
      </c>
      <c r="CQ182" s="107" t="str">
        <f t="shared" si="2920"/>
        <v>InitUnitAdd('IZ0E',,,,,,,,,,)</v>
      </c>
      <c r="CR182" s="107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187&amp;CR$1&amp;")"</f>
        <v>InitEquipData('IZ0E',,"",,,,,'','','','','','',"ReplaceableTextures\\CommandButtons\\BTN003.blp")</v>
      </c>
      <c r="CS182" s="107"/>
      <c r="CT182" s="107"/>
      <c r="CU182" s="88" t="str">
        <f t="shared" si="2921"/>
        <v>|n</v>
      </c>
      <c r="CV182" s="29" t="str">
        <f t="shared" si="2922"/>
        <v>延缓敌军2分钟进攻时间。|n|n|Cff999999狗策划一直不想做这个功能，你们就省着点用吧~（逃|r</v>
      </c>
      <c r="CW182" s="33"/>
      <c r="CX182" s="33"/>
      <c r="CY182" s="33"/>
      <c r="CZ182" s="33"/>
      <c r="DA182" s="33"/>
      <c r="DB182" s="108" t="str">
        <f t="shared" ref="DB182:FM182" si="2995">IF(V182="","","|n"&amp;DB$2&amp;"+"&amp;V182&amp;DB$1)</f>
        <v/>
      </c>
      <c r="DC182" s="108" t="str">
        <f t="shared" si="2995"/>
        <v/>
      </c>
      <c r="DD182" s="108" t="str">
        <f t="shared" si="2995"/>
        <v/>
      </c>
      <c r="DE182" s="108" t="str">
        <f t="shared" si="2995"/>
        <v/>
      </c>
      <c r="DF182" s="108" t="str">
        <f t="shared" si="2995"/>
        <v/>
      </c>
      <c r="DG182" s="108" t="str">
        <f t="shared" si="2995"/>
        <v/>
      </c>
      <c r="DH182" s="108" t="str">
        <f t="shared" si="2995"/>
        <v/>
      </c>
      <c r="DI182" s="108" t="str">
        <f t="shared" si="2995"/>
        <v/>
      </c>
      <c r="DJ182" s="108" t="str">
        <f t="shared" si="2995"/>
        <v/>
      </c>
      <c r="DK182" s="108" t="str">
        <f t="shared" si="2995"/>
        <v/>
      </c>
      <c r="DL182" s="108" t="str">
        <f t="shared" si="2995"/>
        <v/>
      </c>
      <c r="DM182" s="108" t="str">
        <f t="shared" si="2995"/>
        <v/>
      </c>
      <c r="DN182" s="108" t="str">
        <f t="shared" si="2995"/>
        <v/>
      </c>
      <c r="DO182" s="108" t="str">
        <f t="shared" si="2995"/>
        <v/>
      </c>
      <c r="DP182" s="108" t="str">
        <f t="shared" si="2995"/>
        <v/>
      </c>
      <c r="DQ182" s="108" t="str">
        <f t="shared" si="2995"/>
        <v/>
      </c>
      <c r="DR182" s="108" t="str">
        <f t="shared" si="2995"/>
        <v/>
      </c>
      <c r="DS182" s="108" t="str">
        <f t="shared" si="2995"/>
        <v/>
      </c>
      <c r="DT182" s="108" t="str">
        <f t="shared" si="2995"/>
        <v/>
      </c>
      <c r="DU182" s="108" t="str">
        <f t="shared" si="2995"/>
        <v/>
      </c>
      <c r="DV182" s="108" t="str">
        <f t="shared" si="2995"/>
        <v/>
      </c>
      <c r="DW182" s="108" t="str">
        <f t="shared" si="2995"/>
        <v/>
      </c>
      <c r="DX182" s="108" t="str">
        <f t="shared" si="2995"/>
        <v/>
      </c>
      <c r="DY182" s="108" t="str">
        <f t="shared" si="2995"/>
        <v/>
      </c>
      <c r="DZ182" s="108" t="str">
        <f t="shared" si="2995"/>
        <v/>
      </c>
      <c r="EA182" s="108" t="str">
        <f t="shared" si="2995"/>
        <v/>
      </c>
      <c r="EB182" s="108" t="str">
        <f t="shared" si="2995"/>
        <v/>
      </c>
      <c r="EC182" s="108" t="str">
        <f t="shared" si="2995"/>
        <v/>
      </c>
      <c r="ED182" s="108" t="str">
        <f t="shared" si="2995"/>
        <v/>
      </c>
      <c r="EE182" s="108" t="str">
        <f t="shared" si="2995"/>
        <v/>
      </c>
      <c r="EF182" s="108" t="str">
        <f t="shared" si="2995"/>
        <v/>
      </c>
      <c r="EG182" s="108" t="str">
        <f t="shared" si="2995"/>
        <v/>
      </c>
      <c r="EH182" s="108" t="str">
        <f t="shared" si="2995"/>
        <v/>
      </c>
      <c r="EI182" s="108" t="str">
        <f t="shared" si="2995"/>
        <v/>
      </c>
      <c r="EJ182" s="108" t="str">
        <f t="shared" si="2995"/>
        <v/>
      </c>
      <c r="EK182" s="108" t="str">
        <f t="shared" si="2995"/>
        <v/>
      </c>
      <c r="EL182" s="108" t="str">
        <f t="shared" si="2995"/>
        <v/>
      </c>
      <c r="EM182" s="108" t="str">
        <f t="shared" si="2995"/>
        <v/>
      </c>
      <c r="EN182" s="108" t="str">
        <f t="shared" si="2995"/>
        <v/>
      </c>
      <c r="EO182" s="108" t="str">
        <f t="shared" si="2995"/>
        <v/>
      </c>
      <c r="EP182" s="108" t="str">
        <f t="shared" si="2995"/>
        <v/>
      </c>
      <c r="EQ182" s="108" t="str">
        <f t="shared" si="2995"/>
        <v/>
      </c>
      <c r="ER182" s="108" t="str">
        <f t="shared" si="2995"/>
        <v/>
      </c>
      <c r="ES182" s="108" t="str">
        <f t="shared" si="2995"/>
        <v/>
      </c>
      <c r="ET182" s="108" t="str">
        <f t="shared" si="2995"/>
        <v/>
      </c>
      <c r="EU182" s="108" t="str">
        <f t="shared" si="2995"/>
        <v/>
      </c>
      <c r="EV182" s="108" t="str">
        <f t="shared" si="2995"/>
        <v/>
      </c>
      <c r="EW182" s="108" t="str">
        <f t="shared" si="2995"/>
        <v/>
      </c>
      <c r="EX182" s="108" t="str">
        <f t="shared" si="2995"/>
        <v/>
      </c>
      <c r="EY182" s="108" t="str">
        <f t="shared" si="2995"/>
        <v/>
      </c>
      <c r="EZ182" s="108" t="str">
        <f t="shared" si="2995"/>
        <v/>
      </c>
      <c r="FA182" s="108" t="str">
        <f t="shared" si="2995"/>
        <v/>
      </c>
      <c r="FB182" s="108" t="str">
        <f t="shared" si="2995"/>
        <v/>
      </c>
      <c r="FC182" s="108" t="str">
        <f t="shared" si="2995"/>
        <v/>
      </c>
      <c r="FD182" s="108" t="str">
        <f t="shared" si="2995"/>
        <v/>
      </c>
      <c r="FE182" s="108" t="str">
        <f t="shared" si="2995"/>
        <v/>
      </c>
      <c r="FF182" s="108" t="str">
        <f t="shared" si="2995"/>
        <v/>
      </c>
      <c r="FG182" s="108" t="str">
        <f t="shared" si="2995"/>
        <v/>
      </c>
      <c r="FH182" s="108" t="str">
        <f t="shared" si="2995"/>
        <v/>
      </c>
      <c r="FI182" s="108" t="str">
        <f t="shared" si="2995"/>
        <v/>
      </c>
      <c r="FJ182" s="108" t="str">
        <f t="shared" si="2995"/>
        <v/>
      </c>
      <c r="FK182" s="108" t="str">
        <f t="shared" si="2995"/>
        <v/>
      </c>
      <c r="FL182" s="108" t="str">
        <f t="shared" si="2995"/>
        <v/>
      </c>
      <c r="FM182" s="108" t="str">
        <f t="shared" si="2995"/>
        <v/>
      </c>
      <c r="FN182" s="108" t="str">
        <f t="shared" ref="FN182:FS182" si="2996">IF(CH182="","","|n"&amp;FN$2&amp;"+"&amp;CH182&amp;FN$1)</f>
        <v/>
      </c>
      <c r="FO182" s="108" t="str">
        <f t="shared" si="2996"/>
        <v/>
      </c>
      <c r="FP182" s="108" t="str">
        <f t="shared" si="2996"/>
        <v/>
      </c>
      <c r="FQ182" s="108" t="str">
        <f t="shared" si="2996"/>
        <v/>
      </c>
      <c r="FR182" s="108" t="str">
        <f t="shared" si="2996"/>
        <v/>
      </c>
      <c r="FS182" s="108" t="str">
        <f t="shared" si="2996"/>
        <v/>
      </c>
    </row>
    <row r="183" spans="1:175" s="29" customFormat="1" ht="16.5">
      <c r="A183" s="15"/>
      <c r="B183" s="9" t="s">
        <v>657</v>
      </c>
      <c r="C183" s="15"/>
      <c r="D183" s="12"/>
      <c r="E183" s="12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92"/>
      <c r="Q183" s="92"/>
      <c r="R183" s="92"/>
      <c r="S183" s="92"/>
      <c r="T183" s="15" t="s">
        <v>651</v>
      </c>
      <c r="U183" s="77" t="str">
        <f t="shared" si="2916"/>
        <v>ReplaceableTextures\\CommandButtons\\BTNIZ0F.blp</v>
      </c>
      <c r="V183" s="102"/>
      <c r="W183" s="103"/>
      <c r="X183" s="103"/>
      <c r="Y183" s="103"/>
      <c r="Z183" s="103"/>
      <c r="AA183" s="103"/>
      <c r="AB183" s="103"/>
      <c r="AC183" s="103"/>
      <c r="AD183" s="103"/>
      <c r="AE183" s="103"/>
      <c r="AF183" s="103"/>
      <c r="AG183" s="103"/>
      <c r="AH183" s="103"/>
      <c r="AI183" s="103"/>
      <c r="AJ183" s="103"/>
      <c r="AK183" s="103"/>
      <c r="AL183" s="103"/>
      <c r="AM183" s="103"/>
      <c r="AN183" s="103"/>
      <c r="AO183" s="103"/>
      <c r="AP183" s="103"/>
      <c r="AQ183" s="103"/>
      <c r="AR183" s="65"/>
      <c r="AS183" s="65"/>
      <c r="AT183" s="103"/>
      <c r="AU183" s="103"/>
      <c r="AV183" s="103"/>
      <c r="AW183" s="103"/>
      <c r="AX183" s="103"/>
      <c r="AY183" s="103"/>
      <c r="AZ183" s="103"/>
      <c r="BA183" s="103"/>
      <c r="BB183" s="103"/>
      <c r="BC183" s="103"/>
      <c r="BD183" s="103"/>
      <c r="BE183" s="103"/>
      <c r="BF183" s="103"/>
      <c r="BG183" s="103"/>
      <c r="BH183" s="103"/>
      <c r="BI183" s="103"/>
      <c r="BJ183" s="103"/>
      <c r="BK183" s="103"/>
      <c r="BL183" s="103"/>
      <c r="BM183" s="103"/>
      <c r="BN183" s="103"/>
      <c r="BO183" s="103"/>
      <c r="BP183" s="103"/>
      <c r="BQ183" s="103"/>
      <c r="BR183" s="103"/>
      <c r="BS183" s="103"/>
      <c r="BT183" s="103"/>
      <c r="BU183" s="103"/>
      <c r="BV183" s="103"/>
      <c r="BW183" s="103"/>
      <c r="BX183" s="103"/>
      <c r="BY183" s="103"/>
      <c r="BZ183" s="103"/>
      <c r="CA183" s="103"/>
      <c r="CB183" s="103"/>
      <c r="CC183" s="103"/>
      <c r="CD183" s="103"/>
      <c r="CE183" s="103"/>
      <c r="CF183" s="103"/>
      <c r="CG183" s="103"/>
      <c r="CH183" s="103"/>
      <c r="CI183" s="103"/>
      <c r="CJ183" s="103"/>
      <c r="CK183" s="103"/>
      <c r="CL183" s="103"/>
      <c r="CM183" s="103"/>
      <c r="CN183" s="107" t="str">
        <f t="shared" si="2917"/>
        <v>InitUnitState('IZ0F',,,,,,,,,,)</v>
      </c>
      <c r="CO183" s="107" t="str">
        <f t="shared" si="2918"/>
        <v>InitUnitNormal('IZ0F',,,,,,,,,,)</v>
      </c>
      <c r="CP183" s="107" t="str">
        <f t="shared" si="2919"/>
        <v>InitUnitMagic('IZ0F',,,,,,,,,,)</v>
      </c>
      <c r="CQ183" s="107" t="str">
        <f t="shared" si="2920"/>
        <v>InitUnitAdd('IZ0F',,,,,,,,,,)</v>
      </c>
      <c r="CR183" s="107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188&amp;CR$1&amp;")"</f>
        <v>InitEquipData('IZ0F',,"",,,,,'','','','','','',"ReplaceableTextures\\CommandButtons\\BTNIN01.blp")</v>
      </c>
      <c r="CS183" s="107"/>
      <c r="CT183" s="107"/>
      <c r="CU183" s="88" t="str">
        <f t="shared" si="2921"/>
        <v>|n</v>
      </c>
      <c r="CV183" s="29" t="str">
        <f t="shared" si="2922"/>
        <v>延缓敌军2分钟进攻时间。|n|n|Cff999999狗策划一直不想做这个功能，你们就省着点用吧~（逃|r</v>
      </c>
      <c r="CW183" s="33"/>
      <c r="CX183" s="33"/>
      <c r="CY183" s="33"/>
      <c r="CZ183" s="33"/>
      <c r="DA183" s="33"/>
      <c r="DB183" s="108" t="str">
        <f t="shared" ref="DB183:FM183" si="2997">IF(V183="","","|n"&amp;DB$2&amp;"+"&amp;V183&amp;DB$1)</f>
        <v/>
      </c>
      <c r="DC183" s="108" t="str">
        <f t="shared" si="2997"/>
        <v/>
      </c>
      <c r="DD183" s="108" t="str">
        <f t="shared" si="2997"/>
        <v/>
      </c>
      <c r="DE183" s="108" t="str">
        <f t="shared" si="2997"/>
        <v/>
      </c>
      <c r="DF183" s="108" t="str">
        <f t="shared" si="2997"/>
        <v/>
      </c>
      <c r="DG183" s="108" t="str">
        <f t="shared" si="2997"/>
        <v/>
      </c>
      <c r="DH183" s="108" t="str">
        <f t="shared" si="2997"/>
        <v/>
      </c>
      <c r="DI183" s="108" t="str">
        <f t="shared" si="2997"/>
        <v/>
      </c>
      <c r="DJ183" s="108" t="str">
        <f t="shared" si="2997"/>
        <v/>
      </c>
      <c r="DK183" s="108" t="str">
        <f t="shared" si="2997"/>
        <v/>
      </c>
      <c r="DL183" s="108" t="str">
        <f t="shared" si="2997"/>
        <v/>
      </c>
      <c r="DM183" s="108" t="str">
        <f t="shared" si="2997"/>
        <v/>
      </c>
      <c r="DN183" s="108" t="str">
        <f t="shared" si="2997"/>
        <v/>
      </c>
      <c r="DO183" s="108" t="str">
        <f t="shared" si="2997"/>
        <v/>
      </c>
      <c r="DP183" s="108" t="str">
        <f t="shared" si="2997"/>
        <v/>
      </c>
      <c r="DQ183" s="108" t="str">
        <f t="shared" si="2997"/>
        <v/>
      </c>
      <c r="DR183" s="108" t="str">
        <f t="shared" si="2997"/>
        <v/>
      </c>
      <c r="DS183" s="108" t="str">
        <f t="shared" si="2997"/>
        <v/>
      </c>
      <c r="DT183" s="108" t="str">
        <f t="shared" si="2997"/>
        <v/>
      </c>
      <c r="DU183" s="108" t="str">
        <f t="shared" si="2997"/>
        <v/>
      </c>
      <c r="DV183" s="108" t="str">
        <f t="shared" si="2997"/>
        <v/>
      </c>
      <c r="DW183" s="108" t="str">
        <f t="shared" si="2997"/>
        <v/>
      </c>
      <c r="DX183" s="108" t="str">
        <f t="shared" si="2997"/>
        <v/>
      </c>
      <c r="DY183" s="108" t="str">
        <f t="shared" si="2997"/>
        <v/>
      </c>
      <c r="DZ183" s="108" t="str">
        <f t="shared" si="2997"/>
        <v/>
      </c>
      <c r="EA183" s="108" t="str">
        <f t="shared" si="2997"/>
        <v/>
      </c>
      <c r="EB183" s="108" t="str">
        <f t="shared" si="2997"/>
        <v/>
      </c>
      <c r="EC183" s="108" t="str">
        <f t="shared" si="2997"/>
        <v/>
      </c>
      <c r="ED183" s="108" t="str">
        <f t="shared" si="2997"/>
        <v/>
      </c>
      <c r="EE183" s="108" t="str">
        <f t="shared" si="2997"/>
        <v/>
      </c>
      <c r="EF183" s="108" t="str">
        <f t="shared" si="2997"/>
        <v/>
      </c>
      <c r="EG183" s="108" t="str">
        <f t="shared" si="2997"/>
        <v/>
      </c>
      <c r="EH183" s="108" t="str">
        <f t="shared" si="2997"/>
        <v/>
      </c>
      <c r="EI183" s="108" t="str">
        <f t="shared" si="2997"/>
        <v/>
      </c>
      <c r="EJ183" s="108" t="str">
        <f t="shared" si="2997"/>
        <v/>
      </c>
      <c r="EK183" s="108" t="str">
        <f t="shared" si="2997"/>
        <v/>
      </c>
      <c r="EL183" s="108" t="str">
        <f t="shared" si="2997"/>
        <v/>
      </c>
      <c r="EM183" s="108" t="str">
        <f t="shared" si="2997"/>
        <v/>
      </c>
      <c r="EN183" s="108" t="str">
        <f t="shared" si="2997"/>
        <v/>
      </c>
      <c r="EO183" s="108" t="str">
        <f t="shared" si="2997"/>
        <v/>
      </c>
      <c r="EP183" s="108" t="str">
        <f t="shared" si="2997"/>
        <v/>
      </c>
      <c r="EQ183" s="108" t="str">
        <f t="shared" si="2997"/>
        <v/>
      </c>
      <c r="ER183" s="108" t="str">
        <f t="shared" si="2997"/>
        <v/>
      </c>
      <c r="ES183" s="108" t="str">
        <f t="shared" si="2997"/>
        <v/>
      </c>
      <c r="ET183" s="108" t="str">
        <f t="shared" si="2997"/>
        <v/>
      </c>
      <c r="EU183" s="108" t="str">
        <f t="shared" si="2997"/>
        <v/>
      </c>
      <c r="EV183" s="108" t="str">
        <f t="shared" si="2997"/>
        <v/>
      </c>
      <c r="EW183" s="108" t="str">
        <f t="shared" si="2997"/>
        <v/>
      </c>
      <c r="EX183" s="108" t="str">
        <f t="shared" si="2997"/>
        <v/>
      </c>
      <c r="EY183" s="108" t="str">
        <f t="shared" si="2997"/>
        <v/>
      </c>
      <c r="EZ183" s="108" t="str">
        <f t="shared" si="2997"/>
        <v/>
      </c>
      <c r="FA183" s="108" t="str">
        <f t="shared" si="2997"/>
        <v/>
      </c>
      <c r="FB183" s="108" t="str">
        <f t="shared" si="2997"/>
        <v/>
      </c>
      <c r="FC183" s="108" t="str">
        <f t="shared" si="2997"/>
        <v/>
      </c>
      <c r="FD183" s="108" t="str">
        <f t="shared" si="2997"/>
        <v/>
      </c>
      <c r="FE183" s="108" t="str">
        <f t="shared" si="2997"/>
        <v/>
      </c>
      <c r="FF183" s="108" t="str">
        <f t="shared" si="2997"/>
        <v/>
      </c>
      <c r="FG183" s="108" t="str">
        <f t="shared" si="2997"/>
        <v/>
      </c>
      <c r="FH183" s="108" t="str">
        <f t="shared" si="2997"/>
        <v/>
      </c>
      <c r="FI183" s="108" t="str">
        <f t="shared" si="2997"/>
        <v/>
      </c>
      <c r="FJ183" s="108" t="str">
        <f t="shared" si="2997"/>
        <v/>
      </c>
      <c r="FK183" s="108" t="str">
        <f t="shared" si="2997"/>
        <v/>
      </c>
      <c r="FL183" s="108" t="str">
        <f t="shared" si="2997"/>
        <v/>
      </c>
      <c r="FM183" s="108" t="str">
        <f t="shared" si="2997"/>
        <v/>
      </c>
      <c r="FN183" s="108" t="str">
        <f t="shared" ref="FN183:FS183" si="2998">IF(CH183="","","|n"&amp;FN$2&amp;"+"&amp;CH183&amp;FN$1)</f>
        <v/>
      </c>
      <c r="FO183" s="108" t="str">
        <f t="shared" si="2998"/>
        <v/>
      </c>
      <c r="FP183" s="108" t="str">
        <f t="shared" si="2998"/>
        <v/>
      </c>
      <c r="FQ183" s="108" t="str">
        <f t="shared" si="2998"/>
        <v/>
      </c>
      <c r="FR183" s="108" t="str">
        <f t="shared" si="2998"/>
        <v/>
      </c>
      <c r="FS183" s="108" t="str">
        <f t="shared" si="2998"/>
        <v/>
      </c>
    </row>
    <row r="184" spans="1:175" s="29" customFormat="1" ht="16.5">
      <c r="A184" s="15"/>
      <c r="B184" s="9" t="s">
        <v>658</v>
      </c>
      <c r="C184" s="15" t="s">
        <v>659</v>
      </c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2"/>
      <c r="Q184" s="92"/>
      <c r="R184" s="92"/>
      <c r="S184" s="92"/>
      <c r="T184" s="15" t="s">
        <v>660</v>
      </c>
      <c r="U184" s="77" t="str">
        <f t="shared" si="2916"/>
        <v>ReplaceableTextures\\CommandButtons\\BTNIZ01.blp</v>
      </c>
      <c r="V184" s="102"/>
      <c r="W184" s="103"/>
      <c r="X184" s="103"/>
      <c r="Y184" s="103"/>
      <c r="Z184" s="103"/>
      <c r="AA184" s="103"/>
      <c r="AB184" s="103"/>
      <c r="AC184" s="103"/>
      <c r="AD184" s="103"/>
      <c r="AE184" s="103"/>
      <c r="AF184" s="103"/>
      <c r="AG184" s="103"/>
      <c r="AH184" s="103"/>
      <c r="AI184" s="103"/>
      <c r="AJ184" s="103"/>
      <c r="AK184" s="103"/>
      <c r="AL184" s="103"/>
      <c r="AM184" s="103"/>
      <c r="AN184" s="103"/>
      <c r="AO184" s="103"/>
      <c r="AP184" s="103"/>
      <c r="AQ184" s="103"/>
      <c r="AR184" s="65"/>
      <c r="AS184" s="65"/>
      <c r="AT184" s="103"/>
      <c r="AU184" s="103"/>
      <c r="AV184" s="103"/>
      <c r="AW184" s="103"/>
      <c r="AX184" s="103"/>
      <c r="AY184" s="103"/>
      <c r="AZ184" s="103"/>
      <c r="BA184" s="103"/>
      <c r="BB184" s="103"/>
      <c r="BC184" s="103"/>
      <c r="BD184" s="103"/>
      <c r="BE184" s="103"/>
      <c r="BF184" s="103"/>
      <c r="BG184" s="103"/>
      <c r="BH184" s="103"/>
      <c r="BI184" s="103"/>
      <c r="BJ184" s="103"/>
      <c r="BK184" s="103"/>
      <c r="BL184" s="103"/>
      <c r="BM184" s="103"/>
      <c r="BN184" s="103"/>
      <c r="BO184" s="103"/>
      <c r="BP184" s="103"/>
      <c r="BQ184" s="103"/>
      <c r="BR184" s="103"/>
      <c r="BS184" s="103"/>
      <c r="BT184" s="103"/>
      <c r="BU184" s="103"/>
      <c r="BV184" s="103"/>
      <c r="BW184" s="103"/>
      <c r="BX184" s="103"/>
      <c r="BY184" s="103"/>
      <c r="BZ184" s="103"/>
      <c r="CA184" s="103"/>
      <c r="CB184" s="103"/>
      <c r="CC184" s="103"/>
      <c r="CD184" s="103"/>
      <c r="CE184" s="103"/>
      <c r="CF184" s="103"/>
      <c r="CG184" s="103"/>
      <c r="CH184" s="103"/>
      <c r="CI184" s="103"/>
      <c r="CJ184" s="103"/>
      <c r="CK184" s="103"/>
      <c r="CL184" s="103"/>
      <c r="CM184" s="103"/>
      <c r="CN184" s="107" t="str">
        <f t="shared" si="2917"/>
        <v>InitUnitState('IZ01',,,,,,,,,,)</v>
      </c>
      <c r="CO184" s="107" t="str">
        <f t="shared" si="2918"/>
        <v>InitUnitNormal('IZ01',,,,,,,,,,)</v>
      </c>
      <c r="CP184" s="107" t="str">
        <f t="shared" si="2919"/>
        <v>InitUnitMagic('IZ01',,,,,,,,,,)</v>
      </c>
      <c r="CQ184" s="107" t="str">
        <f t="shared" si="2920"/>
        <v>InitUnitAdd('IZ01',,,,,,,,,,)</v>
      </c>
      <c r="CR184" s="107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InitEquipData('IZ01',,"",,,,,'','','','','','',"ReplaceableTextures\\CommandButtons\\BTN001.blp")</v>
      </c>
      <c r="CS184" s="107"/>
      <c r="CT184" s="107"/>
      <c r="CU184" s="88" t="str">
        <f t="shared" si="2921"/>
        <v>|n</v>
      </c>
      <c r="CV184" s="29" t="str">
        <f t="shared" si="2922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4" s="33"/>
      <c r="CX184" s="33"/>
      <c r="CY184" s="33"/>
      <c r="CZ184" s="33"/>
      <c r="DA184" s="33"/>
      <c r="DB184" s="108" t="str">
        <f t="shared" ref="DB184:FM184" si="2999">IF(V184="","","|n"&amp;DB$2&amp;"+"&amp;V184&amp;DB$1)</f>
        <v/>
      </c>
      <c r="DC184" s="108" t="str">
        <f t="shared" si="2999"/>
        <v/>
      </c>
      <c r="DD184" s="108" t="str">
        <f t="shared" si="2999"/>
        <v/>
      </c>
      <c r="DE184" s="108" t="str">
        <f t="shared" si="2999"/>
        <v/>
      </c>
      <c r="DF184" s="108" t="str">
        <f t="shared" si="2999"/>
        <v/>
      </c>
      <c r="DG184" s="108" t="str">
        <f t="shared" si="2999"/>
        <v/>
      </c>
      <c r="DH184" s="108" t="str">
        <f t="shared" si="2999"/>
        <v/>
      </c>
      <c r="DI184" s="108" t="str">
        <f t="shared" si="2999"/>
        <v/>
      </c>
      <c r="DJ184" s="108" t="str">
        <f t="shared" si="2999"/>
        <v/>
      </c>
      <c r="DK184" s="108" t="str">
        <f t="shared" si="2999"/>
        <v/>
      </c>
      <c r="DL184" s="108" t="str">
        <f t="shared" si="2999"/>
        <v/>
      </c>
      <c r="DM184" s="108" t="str">
        <f t="shared" si="2999"/>
        <v/>
      </c>
      <c r="DN184" s="108" t="str">
        <f t="shared" si="2999"/>
        <v/>
      </c>
      <c r="DO184" s="108" t="str">
        <f t="shared" si="2999"/>
        <v/>
      </c>
      <c r="DP184" s="108" t="str">
        <f t="shared" si="2999"/>
        <v/>
      </c>
      <c r="DQ184" s="108" t="str">
        <f t="shared" si="2999"/>
        <v/>
      </c>
      <c r="DR184" s="108" t="str">
        <f t="shared" si="2999"/>
        <v/>
      </c>
      <c r="DS184" s="108" t="str">
        <f t="shared" si="2999"/>
        <v/>
      </c>
      <c r="DT184" s="108" t="str">
        <f t="shared" si="2999"/>
        <v/>
      </c>
      <c r="DU184" s="108" t="str">
        <f t="shared" si="2999"/>
        <v/>
      </c>
      <c r="DV184" s="108" t="str">
        <f t="shared" si="2999"/>
        <v/>
      </c>
      <c r="DW184" s="108" t="str">
        <f t="shared" si="2999"/>
        <v/>
      </c>
      <c r="DX184" s="108" t="str">
        <f t="shared" si="2999"/>
        <v/>
      </c>
      <c r="DY184" s="108" t="str">
        <f t="shared" si="2999"/>
        <v/>
      </c>
      <c r="DZ184" s="108" t="str">
        <f t="shared" si="2999"/>
        <v/>
      </c>
      <c r="EA184" s="108" t="str">
        <f t="shared" si="2999"/>
        <v/>
      </c>
      <c r="EB184" s="108" t="str">
        <f t="shared" si="2999"/>
        <v/>
      </c>
      <c r="EC184" s="108" t="str">
        <f t="shared" si="2999"/>
        <v/>
      </c>
      <c r="ED184" s="108" t="str">
        <f t="shared" si="2999"/>
        <v/>
      </c>
      <c r="EE184" s="108" t="str">
        <f t="shared" si="2999"/>
        <v/>
      </c>
      <c r="EF184" s="108" t="str">
        <f t="shared" si="2999"/>
        <v/>
      </c>
      <c r="EG184" s="108" t="str">
        <f t="shared" si="2999"/>
        <v/>
      </c>
      <c r="EH184" s="108" t="str">
        <f t="shared" si="2999"/>
        <v/>
      </c>
      <c r="EI184" s="108" t="str">
        <f t="shared" si="2999"/>
        <v/>
      </c>
      <c r="EJ184" s="108" t="str">
        <f t="shared" si="2999"/>
        <v/>
      </c>
      <c r="EK184" s="108" t="str">
        <f t="shared" si="2999"/>
        <v/>
      </c>
      <c r="EL184" s="108" t="str">
        <f t="shared" si="2999"/>
        <v/>
      </c>
      <c r="EM184" s="108" t="str">
        <f t="shared" si="2999"/>
        <v/>
      </c>
      <c r="EN184" s="108" t="str">
        <f t="shared" si="2999"/>
        <v/>
      </c>
      <c r="EO184" s="108" t="str">
        <f t="shared" si="2999"/>
        <v/>
      </c>
      <c r="EP184" s="108" t="str">
        <f t="shared" si="2999"/>
        <v/>
      </c>
      <c r="EQ184" s="108" t="str">
        <f t="shared" si="2999"/>
        <v/>
      </c>
      <c r="ER184" s="108" t="str">
        <f t="shared" si="2999"/>
        <v/>
      </c>
      <c r="ES184" s="108" t="str">
        <f t="shared" si="2999"/>
        <v/>
      </c>
      <c r="ET184" s="108" t="str">
        <f t="shared" si="2999"/>
        <v/>
      </c>
      <c r="EU184" s="108" t="str">
        <f t="shared" si="2999"/>
        <v/>
      </c>
      <c r="EV184" s="108" t="str">
        <f t="shared" si="2999"/>
        <v/>
      </c>
      <c r="EW184" s="108" t="str">
        <f t="shared" si="2999"/>
        <v/>
      </c>
      <c r="EX184" s="108" t="str">
        <f t="shared" si="2999"/>
        <v/>
      </c>
      <c r="EY184" s="108" t="str">
        <f t="shared" si="2999"/>
        <v/>
      </c>
      <c r="EZ184" s="108" t="str">
        <f t="shared" si="2999"/>
        <v/>
      </c>
      <c r="FA184" s="108" t="str">
        <f t="shared" si="2999"/>
        <v/>
      </c>
      <c r="FB184" s="108" t="str">
        <f t="shared" si="2999"/>
        <v/>
      </c>
      <c r="FC184" s="108" t="str">
        <f t="shared" si="2999"/>
        <v/>
      </c>
      <c r="FD184" s="108" t="str">
        <f t="shared" si="2999"/>
        <v/>
      </c>
      <c r="FE184" s="108" t="str">
        <f t="shared" si="2999"/>
        <v/>
      </c>
      <c r="FF184" s="108" t="str">
        <f t="shared" si="2999"/>
        <v/>
      </c>
      <c r="FG184" s="108" t="str">
        <f t="shared" si="2999"/>
        <v/>
      </c>
      <c r="FH184" s="108" t="str">
        <f t="shared" si="2999"/>
        <v/>
      </c>
      <c r="FI184" s="108" t="str">
        <f t="shared" si="2999"/>
        <v/>
      </c>
      <c r="FJ184" s="108" t="str">
        <f t="shared" si="2999"/>
        <v/>
      </c>
      <c r="FK184" s="108" t="str">
        <f t="shared" si="2999"/>
        <v/>
      </c>
      <c r="FL184" s="108" t="str">
        <f t="shared" si="2999"/>
        <v/>
      </c>
      <c r="FM184" s="108" t="str">
        <f t="shared" si="2999"/>
        <v/>
      </c>
      <c r="FN184" s="108" t="str">
        <f t="shared" ref="FN184:FS184" si="3000">IF(CH184="","","|n"&amp;FN$2&amp;"+"&amp;CH184&amp;FN$1)</f>
        <v/>
      </c>
      <c r="FO184" s="108" t="str">
        <f t="shared" si="3000"/>
        <v/>
      </c>
      <c r="FP184" s="108" t="str">
        <f t="shared" si="3000"/>
        <v/>
      </c>
      <c r="FQ184" s="108" t="str">
        <f t="shared" si="3000"/>
        <v/>
      </c>
      <c r="FR184" s="108" t="str">
        <f t="shared" si="3000"/>
        <v/>
      </c>
      <c r="FS184" s="108" t="str">
        <f t="shared" si="3000"/>
        <v/>
      </c>
    </row>
    <row r="185" spans="1:175" ht="16.5">
      <c r="A185" s="15"/>
      <c r="B185" s="9" t="s">
        <v>661</v>
      </c>
      <c r="C185" s="15" t="s">
        <v>662</v>
      </c>
      <c r="T185" s="153" t="s">
        <v>920</v>
      </c>
      <c r="U185" s="77" t="s">
        <v>447</v>
      </c>
      <c r="CN185" s="36" t="str">
        <f t="shared" si="2917"/>
        <v>InitUnitState('IS01',,,,,,,,,,)</v>
      </c>
      <c r="CO185" s="36" t="str">
        <f t="shared" si="2918"/>
        <v>InitUnitNormal('IS01',,,,,,,,,,)</v>
      </c>
      <c r="CP185" s="36" t="str">
        <f t="shared" si="2919"/>
        <v>InitUnitMagic('IS01',,,,,,,,,,)</v>
      </c>
      <c r="CQ185" s="36" t="str">
        <f t="shared" si="2920"/>
        <v>InitUnitAdd('IS01',,,,,,,,,,)</v>
      </c>
      <c r="CR185" s="36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InitEquipData('IS01',,"",,,,,'','','','','','',"ReplaceableTextures\\CommandButtons\\BTN002.blp")</v>
      </c>
      <c r="CU185" s="88" t="str">
        <f t="shared" si="2921"/>
        <v>|n</v>
      </c>
      <c r="CV185" s="19" t="str">
        <f t="shared" si="2922"/>
        <v>学习或重置当前|cffffd24dQ技能|r。|n|cffffcc00抽取消耗：|r首次免费|n|cffffcc00抽取次数：|r0/10|n|n|cff00ff7f单局最多抽取10次|r</v>
      </c>
      <c r="CW185" s="33"/>
      <c r="CX185" s="33"/>
      <c r="CY185" s="33"/>
      <c r="CZ185" s="33"/>
      <c r="DA185" s="33"/>
      <c r="DB185" s="66" t="str">
        <f t="shared" ref="DB185:DK186" si="3001">IF(V185="","","|n"&amp;DB$2&amp;"+"&amp;V185&amp;DB$1)</f>
        <v/>
      </c>
      <c r="DC185" s="66" t="str">
        <f t="shared" si="3001"/>
        <v/>
      </c>
      <c r="DD185" s="66" t="str">
        <f t="shared" si="3001"/>
        <v/>
      </c>
      <c r="DE185" s="66" t="str">
        <f t="shared" si="3001"/>
        <v/>
      </c>
      <c r="DF185" s="66" t="str">
        <f t="shared" si="3001"/>
        <v/>
      </c>
      <c r="DG185" s="66" t="str">
        <f t="shared" si="3001"/>
        <v/>
      </c>
      <c r="DH185" s="66" t="str">
        <f t="shared" si="3001"/>
        <v/>
      </c>
      <c r="DI185" s="66" t="str">
        <f t="shared" si="3001"/>
        <v/>
      </c>
      <c r="DJ185" s="66" t="str">
        <f t="shared" si="3001"/>
        <v/>
      </c>
      <c r="DK185" s="66" t="str">
        <f t="shared" si="3001"/>
        <v/>
      </c>
      <c r="DL185" s="66" t="str">
        <f t="shared" ref="DL185:DU186" si="3002">IF(AF185="","","|n"&amp;DL$2&amp;"+"&amp;AF185&amp;DL$1)</f>
        <v/>
      </c>
      <c r="DM185" s="66" t="str">
        <f t="shared" si="3002"/>
        <v/>
      </c>
      <c r="DN185" s="66" t="str">
        <f t="shared" si="3002"/>
        <v/>
      </c>
      <c r="DO185" s="66" t="str">
        <f t="shared" si="3002"/>
        <v/>
      </c>
      <c r="DP185" s="66" t="str">
        <f t="shared" si="3002"/>
        <v/>
      </c>
      <c r="DQ185" s="66" t="str">
        <f t="shared" si="3002"/>
        <v/>
      </c>
      <c r="DR185" s="66" t="str">
        <f t="shared" si="3002"/>
        <v/>
      </c>
      <c r="DS185" s="66" t="str">
        <f t="shared" si="3002"/>
        <v/>
      </c>
      <c r="DT185" s="66" t="str">
        <f t="shared" si="3002"/>
        <v/>
      </c>
      <c r="DU185" s="66" t="str">
        <f t="shared" si="3002"/>
        <v/>
      </c>
      <c r="DV185" s="66" t="str">
        <f t="shared" ref="DV185:EE186" si="3003">IF(AP185="","","|n"&amp;DV$2&amp;"+"&amp;AP185&amp;DV$1)</f>
        <v/>
      </c>
      <c r="DW185" s="66" t="str">
        <f t="shared" si="3003"/>
        <v/>
      </c>
      <c r="DX185" s="66" t="str">
        <f t="shared" si="3003"/>
        <v/>
      </c>
      <c r="DY185" s="66" t="str">
        <f t="shared" si="3003"/>
        <v/>
      </c>
      <c r="DZ185" s="66" t="str">
        <f t="shared" si="3003"/>
        <v/>
      </c>
      <c r="EA185" s="66" t="str">
        <f t="shared" si="3003"/>
        <v/>
      </c>
      <c r="EB185" s="66" t="str">
        <f t="shared" si="3003"/>
        <v/>
      </c>
      <c r="EC185" s="66" t="str">
        <f t="shared" si="3003"/>
        <v/>
      </c>
      <c r="ED185" s="66" t="str">
        <f t="shared" si="3003"/>
        <v/>
      </c>
      <c r="EE185" s="66" t="str">
        <f t="shared" si="3003"/>
        <v/>
      </c>
      <c r="EF185" s="66" t="str">
        <f t="shared" ref="EF185:EO186" si="3004">IF(AZ185="","","|n"&amp;EF$2&amp;"+"&amp;AZ185&amp;EF$1)</f>
        <v/>
      </c>
      <c r="EG185" s="66" t="str">
        <f t="shared" si="3004"/>
        <v/>
      </c>
      <c r="EH185" s="66" t="str">
        <f t="shared" si="3004"/>
        <v/>
      </c>
      <c r="EI185" s="66" t="str">
        <f t="shared" si="3004"/>
        <v/>
      </c>
      <c r="EJ185" s="66" t="str">
        <f t="shared" si="3004"/>
        <v/>
      </c>
      <c r="EK185" s="66" t="str">
        <f t="shared" si="3004"/>
        <v/>
      </c>
      <c r="EL185" s="66" t="str">
        <f t="shared" si="3004"/>
        <v/>
      </c>
      <c r="EM185" s="66" t="str">
        <f t="shared" si="3004"/>
        <v/>
      </c>
      <c r="EN185" s="66" t="str">
        <f t="shared" si="3004"/>
        <v/>
      </c>
      <c r="EO185" s="66" t="str">
        <f t="shared" si="3004"/>
        <v/>
      </c>
      <c r="EP185" s="66" t="str">
        <f t="shared" ref="EP185:EY186" si="3005">IF(BJ185="","","|n"&amp;EP$2&amp;"+"&amp;BJ185&amp;EP$1)</f>
        <v/>
      </c>
      <c r="EQ185" s="66" t="str">
        <f t="shared" si="3005"/>
        <v/>
      </c>
      <c r="ER185" s="66" t="str">
        <f t="shared" si="3005"/>
        <v/>
      </c>
      <c r="ES185" s="66" t="str">
        <f t="shared" si="3005"/>
        <v/>
      </c>
      <c r="ET185" s="66" t="str">
        <f t="shared" si="3005"/>
        <v/>
      </c>
      <c r="EU185" s="66" t="str">
        <f t="shared" si="3005"/>
        <v/>
      </c>
      <c r="EV185" s="66" t="str">
        <f t="shared" si="3005"/>
        <v/>
      </c>
      <c r="EW185" s="66" t="str">
        <f t="shared" si="3005"/>
        <v/>
      </c>
      <c r="EX185" s="66" t="str">
        <f t="shared" si="3005"/>
        <v/>
      </c>
      <c r="EY185" s="66" t="str">
        <f t="shared" si="3005"/>
        <v/>
      </c>
      <c r="EZ185" s="66" t="str">
        <f t="shared" ref="EZ185:FI186" si="3006">IF(BT185="","","|n"&amp;EZ$2&amp;"+"&amp;BT185&amp;EZ$1)</f>
        <v/>
      </c>
      <c r="FA185" s="66" t="str">
        <f t="shared" si="3006"/>
        <v/>
      </c>
      <c r="FB185" s="66" t="str">
        <f t="shared" si="3006"/>
        <v/>
      </c>
      <c r="FC185" s="66" t="str">
        <f t="shared" si="3006"/>
        <v/>
      </c>
      <c r="FD185" s="66" t="str">
        <f t="shared" si="3006"/>
        <v/>
      </c>
      <c r="FE185" s="66" t="str">
        <f t="shared" si="3006"/>
        <v/>
      </c>
      <c r="FF185" s="66" t="str">
        <f t="shared" si="3006"/>
        <v/>
      </c>
      <c r="FG185" s="66" t="str">
        <f t="shared" si="3006"/>
        <v/>
      </c>
      <c r="FH185" s="66" t="str">
        <f t="shared" si="3006"/>
        <v/>
      </c>
      <c r="FI185" s="66" t="str">
        <f t="shared" si="3006"/>
        <v/>
      </c>
      <c r="FJ185" s="66" t="str">
        <f t="shared" ref="FJ185:FS186" si="3007">IF(CD185="","","|n"&amp;FJ$2&amp;"+"&amp;CD185&amp;FJ$1)</f>
        <v/>
      </c>
      <c r="FK185" s="66" t="str">
        <f t="shared" si="3007"/>
        <v/>
      </c>
      <c r="FL185" s="66" t="str">
        <f t="shared" si="3007"/>
        <v/>
      </c>
      <c r="FM185" s="66" t="str">
        <f t="shared" si="3007"/>
        <v/>
      </c>
      <c r="FN185" s="66" t="str">
        <f t="shared" si="3007"/>
        <v/>
      </c>
      <c r="FO185" s="66" t="str">
        <f t="shared" si="3007"/>
        <v/>
      </c>
      <c r="FP185" s="66" t="str">
        <f t="shared" si="3007"/>
        <v/>
      </c>
      <c r="FQ185" s="66" t="str">
        <f t="shared" si="3007"/>
        <v/>
      </c>
      <c r="FR185" s="66" t="str">
        <f t="shared" si="3007"/>
        <v/>
      </c>
      <c r="FS185" s="66" t="str">
        <f t="shared" si="3007"/>
        <v/>
      </c>
    </row>
    <row r="186" spans="1:175" ht="16.5">
      <c r="A186" s="15"/>
      <c r="B186" s="9" t="s">
        <v>663</v>
      </c>
      <c r="C186" s="15" t="s">
        <v>664</v>
      </c>
      <c r="T186" s="154" t="s">
        <v>921</v>
      </c>
      <c r="U186" s="77" t="s">
        <v>665</v>
      </c>
      <c r="CN186" s="36" t="str">
        <f t="shared" si="2917"/>
        <v>InitUnitState('IS02',,,,,,,,,,)</v>
      </c>
      <c r="CO186" s="36" t="str">
        <f t="shared" si="2918"/>
        <v>InitUnitNormal('IS02',,,,,,,,,,)</v>
      </c>
      <c r="CP186" s="36" t="str">
        <f t="shared" si="2919"/>
        <v>InitUnitMagic('IS02',,,,,,,,,,)</v>
      </c>
      <c r="CQ186" s="36" t="str">
        <f t="shared" si="2920"/>
        <v>InitUnitAdd('IS02',,,,,,,,,,)</v>
      </c>
      <c r="CR186" s="36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InitEquipData('IS02',,"",,,,,'','','','','','',"ReplaceableTextures\\CommandButtons\\BTN003.blp")</v>
      </c>
      <c r="CU186" s="88" t="str">
        <f t="shared" si="2921"/>
        <v>|n</v>
      </c>
      <c r="CV186" s="19" t="str">
        <f t="shared" si="2922"/>
        <v>学习或重置当前|cffffd24dW技能|r。|n|cffffcc00抽取消耗：|r灵力*1|n|cffffcc00抽取次数：|r0/10|n|n|cff00ff7f单局最多抽取10次|r</v>
      </c>
      <c r="CW186" s="33"/>
      <c r="CX186" s="33"/>
      <c r="CY186" s="33"/>
      <c r="CZ186" s="33"/>
      <c r="DA186" s="33"/>
      <c r="DB186" s="66" t="str">
        <f t="shared" si="3001"/>
        <v/>
      </c>
      <c r="DC186" s="66" t="str">
        <f t="shared" si="3001"/>
        <v/>
      </c>
      <c r="DD186" s="66" t="str">
        <f t="shared" si="3001"/>
        <v/>
      </c>
      <c r="DE186" s="66" t="str">
        <f t="shared" si="3001"/>
        <v/>
      </c>
      <c r="DF186" s="66" t="str">
        <f t="shared" si="3001"/>
        <v/>
      </c>
      <c r="DG186" s="66" t="str">
        <f t="shared" si="3001"/>
        <v/>
      </c>
      <c r="DH186" s="66" t="str">
        <f t="shared" si="3001"/>
        <v/>
      </c>
      <c r="DI186" s="66" t="str">
        <f t="shared" si="3001"/>
        <v/>
      </c>
      <c r="DJ186" s="66" t="str">
        <f t="shared" si="3001"/>
        <v/>
      </c>
      <c r="DK186" s="66" t="str">
        <f t="shared" si="3001"/>
        <v/>
      </c>
      <c r="DL186" s="66" t="str">
        <f t="shared" si="3002"/>
        <v/>
      </c>
      <c r="DM186" s="66" t="str">
        <f t="shared" si="3002"/>
        <v/>
      </c>
      <c r="DN186" s="66" t="str">
        <f t="shared" si="3002"/>
        <v/>
      </c>
      <c r="DO186" s="66" t="str">
        <f t="shared" si="3002"/>
        <v/>
      </c>
      <c r="DP186" s="66" t="str">
        <f t="shared" si="3002"/>
        <v/>
      </c>
      <c r="DQ186" s="66" t="str">
        <f t="shared" si="3002"/>
        <v/>
      </c>
      <c r="DR186" s="66" t="str">
        <f t="shared" si="3002"/>
        <v/>
      </c>
      <c r="DS186" s="66" t="str">
        <f t="shared" si="3002"/>
        <v/>
      </c>
      <c r="DT186" s="66" t="str">
        <f t="shared" si="3002"/>
        <v/>
      </c>
      <c r="DU186" s="66" t="str">
        <f t="shared" si="3002"/>
        <v/>
      </c>
      <c r="DV186" s="66" t="str">
        <f t="shared" si="3003"/>
        <v/>
      </c>
      <c r="DW186" s="66" t="str">
        <f t="shared" si="3003"/>
        <v/>
      </c>
      <c r="DX186" s="66" t="str">
        <f t="shared" si="3003"/>
        <v/>
      </c>
      <c r="DY186" s="66" t="str">
        <f t="shared" si="3003"/>
        <v/>
      </c>
      <c r="DZ186" s="66" t="str">
        <f t="shared" si="3003"/>
        <v/>
      </c>
      <c r="EA186" s="66" t="str">
        <f t="shared" si="3003"/>
        <v/>
      </c>
      <c r="EB186" s="66" t="str">
        <f t="shared" si="3003"/>
        <v/>
      </c>
      <c r="EC186" s="66" t="str">
        <f t="shared" si="3003"/>
        <v/>
      </c>
      <c r="ED186" s="66" t="str">
        <f t="shared" si="3003"/>
        <v/>
      </c>
      <c r="EE186" s="66" t="str">
        <f t="shared" si="3003"/>
        <v/>
      </c>
      <c r="EF186" s="66" t="str">
        <f t="shared" si="3004"/>
        <v/>
      </c>
      <c r="EG186" s="66" t="str">
        <f t="shared" si="3004"/>
        <v/>
      </c>
      <c r="EH186" s="66" t="str">
        <f t="shared" si="3004"/>
        <v/>
      </c>
      <c r="EI186" s="66" t="str">
        <f t="shared" si="3004"/>
        <v/>
      </c>
      <c r="EJ186" s="66" t="str">
        <f t="shared" si="3004"/>
        <v/>
      </c>
      <c r="EK186" s="66" t="str">
        <f t="shared" si="3004"/>
        <v/>
      </c>
      <c r="EL186" s="66" t="str">
        <f t="shared" si="3004"/>
        <v/>
      </c>
      <c r="EM186" s="66" t="str">
        <f t="shared" si="3004"/>
        <v/>
      </c>
      <c r="EN186" s="66" t="str">
        <f t="shared" si="3004"/>
        <v/>
      </c>
      <c r="EO186" s="66" t="str">
        <f t="shared" si="3004"/>
        <v/>
      </c>
      <c r="EP186" s="66" t="str">
        <f t="shared" si="3005"/>
        <v/>
      </c>
      <c r="EQ186" s="66" t="str">
        <f t="shared" si="3005"/>
        <v/>
      </c>
      <c r="ER186" s="66" t="str">
        <f t="shared" si="3005"/>
        <v/>
      </c>
      <c r="ES186" s="66" t="str">
        <f t="shared" si="3005"/>
        <v/>
      </c>
      <c r="ET186" s="66" t="str">
        <f t="shared" si="3005"/>
        <v/>
      </c>
      <c r="EU186" s="66" t="str">
        <f t="shared" si="3005"/>
        <v/>
      </c>
      <c r="EV186" s="66" t="str">
        <f t="shared" si="3005"/>
        <v/>
      </c>
      <c r="EW186" s="66" t="str">
        <f t="shared" si="3005"/>
        <v/>
      </c>
      <c r="EX186" s="66" t="str">
        <f t="shared" si="3005"/>
        <v/>
      </c>
      <c r="EY186" s="66" t="str">
        <f t="shared" si="3005"/>
        <v/>
      </c>
      <c r="EZ186" s="66" t="str">
        <f t="shared" si="3006"/>
        <v/>
      </c>
      <c r="FA186" s="66" t="str">
        <f t="shared" si="3006"/>
        <v/>
      </c>
      <c r="FB186" s="66" t="str">
        <f t="shared" si="3006"/>
        <v/>
      </c>
      <c r="FC186" s="66" t="str">
        <f t="shared" si="3006"/>
        <v/>
      </c>
      <c r="FD186" s="66" t="str">
        <f t="shared" si="3006"/>
        <v/>
      </c>
      <c r="FE186" s="66" t="str">
        <f t="shared" si="3006"/>
        <v/>
      </c>
      <c r="FF186" s="66" t="str">
        <f t="shared" si="3006"/>
        <v/>
      </c>
      <c r="FG186" s="66" t="str">
        <f t="shared" si="3006"/>
        <v/>
      </c>
      <c r="FH186" s="66" t="str">
        <f t="shared" si="3006"/>
        <v/>
      </c>
      <c r="FI186" s="66" t="str">
        <f t="shared" si="3006"/>
        <v/>
      </c>
      <c r="FJ186" s="66" t="str">
        <f t="shared" si="3007"/>
        <v/>
      </c>
      <c r="FK186" s="66" t="str">
        <f t="shared" si="3007"/>
        <v/>
      </c>
      <c r="FL186" s="66" t="str">
        <f t="shared" si="3007"/>
        <v/>
      </c>
      <c r="FM186" s="66" t="str">
        <f t="shared" si="3007"/>
        <v/>
      </c>
      <c r="FN186" s="66" t="str">
        <f t="shared" si="3007"/>
        <v/>
      </c>
      <c r="FO186" s="66" t="str">
        <f t="shared" si="3007"/>
        <v/>
      </c>
      <c r="FP186" s="66" t="str">
        <f t="shared" si="3007"/>
        <v/>
      </c>
      <c r="FQ186" s="66" t="str">
        <f t="shared" si="3007"/>
        <v/>
      </c>
      <c r="FR186" s="66" t="str">
        <f t="shared" si="3007"/>
        <v/>
      </c>
      <c r="FS186" s="66" t="str">
        <f t="shared" si="3007"/>
        <v/>
      </c>
    </row>
    <row r="187" spans="1:175" ht="16.5">
      <c r="A187" s="15"/>
      <c r="B187" s="9" t="s">
        <v>666</v>
      </c>
      <c r="C187" s="15" t="s">
        <v>667</v>
      </c>
      <c r="T187" s="10" t="s">
        <v>668</v>
      </c>
      <c r="U187" s="77" t="s">
        <v>669</v>
      </c>
      <c r="CN187" s="36" t="str">
        <f t="shared" si="2917"/>
        <v>InitUnitState('IS03',,,,,,,,,,)</v>
      </c>
      <c r="CO187" s="36" t="str">
        <f t="shared" si="2918"/>
        <v>InitUnitNormal('IS03',,,,,,,,,,)</v>
      </c>
      <c r="CP187" s="36" t="str">
        <f t="shared" si="2919"/>
        <v>InitUnitMagic('IS03',,,,,,,,,,)</v>
      </c>
      <c r="CQ187" s="36" t="str">
        <f t="shared" si="2920"/>
        <v>InitUnitAdd('IS03',,,,,,,,,,)</v>
      </c>
      <c r="CR187" s="36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88" t="str">
        <f t="shared" si="2921"/>
        <v>|n</v>
      </c>
      <c r="CV187" s="19" t="str">
        <f t="shared" si="2922"/>
        <v>学习或重置当前|cffffd24dE技能|r。|n|cffffcc00抽取消耗：|r15000金币*次数|n|cffffcc00抽取次数：|r0/10|n|n|cff00ff7f单局最多抽取10次|r</v>
      </c>
      <c r="CW187" s="33"/>
      <c r="CX187" s="33"/>
      <c r="CY187" s="33"/>
      <c r="CZ187" s="33"/>
      <c r="DA187" s="33"/>
      <c r="DB187" s="66" t="str">
        <f t="shared" ref="DB187:DK189" si="3008">IF(V187="","","|n"&amp;DB$2&amp;"+"&amp;V187&amp;DB$1)</f>
        <v/>
      </c>
      <c r="DC187" s="66" t="str">
        <f t="shared" si="3008"/>
        <v/>
      </c>
      <c r="DD187" s="66" t="str">
        <f t="shared" si="3008"/>
        <v/>
      </c>
      <c r="DE187" s="66" t="str">
        <f t="shared" si="3008"/>
        <v/>
      </c>
      <c r="DF187" s="66" t="str">
        <f t="shared" si="3008"/>
        <v/>
      </c>
      <c r="DG187" s="66" t="str">
        <f t="shared" si="3008"/>
        <v/>
      </c>
      <c r="DH187" s="66" t="str">
        <f t="shared" si="3008"/>
        <v/>
      </c>
      <c r="DI187" s="66" t="str">
        <f t="shared" si="3008"/>
        <v/>
      </c>
      <c r="DJ187" s="66" t="str">
        <f t="shared" si="3008"/>
        <v/>
      </c>
      <c r="DK187" s="66" t="str">
        <f t="shared" si="3008"/>
        <v/>
      </c>
      <c r="DL187" s="66" t="str">
        <f t="shared" ref="DL187:DU189" si="3009">IF(AF187="","","|n"&amp;DL$2&amp;"+"&amp;AF187&amp;DL$1)</f>
        <v/>
      </c>
      <c r="DM187" s="66" t="str">
        <f t="shared" si="3009"/>
        <v/>
      </c>
      <c r="DN187" s="66" t="str">
        <f t="shared" si="3009"/>
        <v/>
      </c>
      <c r="DO187" s="66" t="str">
        <f t="shared" si="3009"/>
        <v/>
      </c>
      <c r="DP187" s="66" t="str">
        <f t="shared" si="3009"/>
        <v/>
      </c>
      <c r="DQ187" s="66" t="str">
        <f t="shared" si="3009"/>
        <v/>
      </c>
      <c r="DR187" s="66" t="str">
        <f t="shared" si="3009"/>
        <v/>
      </c>
      <c r="DS187" s="66" t="str">
        <f t="shared" si="3009"/>
        <v/>
      </c>
      <c r="DT187" s="66" t="str">
        <f t="shared" si="3009"/>
        <v/>
      </c>
      <c r="DU187" s="66" t="str">
        <f t="shared" si="3009"/>
        <v/>
      </c>
      <c r="DV187" s="66" t="str">
        <f t="shared" ref="DV187:EE189" si="3010">IF(AP187="","","|n"&amp;DV$2&amp;"+"&amp;AP187&amp;DV$1)</f>
        <v/>
      </c>
      <c r="DW187" s="66" t="str">
        <f t="shared" si="3010"/>
        <v/>
      </c>
      <c r="DX187" s="66" t="str">
        <f t="shared" si="3010"/>
        <v/>
      </c>
      <c r="DY187" s="66" t="str">
        <f t="shared" si="3010"/>
        <v/>
      </c>
      <c r="DZ187" s="66" t="str">
        <f t="shared" si="3010"/>
        <v/>
      </c>
      <c r="EA187" s="66" t="str">
        <f t="shared" si="3010"/>
        <v/>
      </c>
      <c r="EB187" s="66" t="str">
        <f t="shared" si="3010"/>
        <v/>
      </c>
      <c r="EC187" s="66" t="str">
        <f t="shared" si="3010"/>
        <v/>
      </c>
      <c r="ED187" s="66" t="str">
        <f t="shared" si="3010"/>
        <v/>
      </c>
      <c r="EE187" s="66" t="str">
        <f t="shared" si="3010"/>
        <v/>
      </c>
      <c r="EF187" s="66" t="str">
        <f t="shared" ref="EF187:EO189" si="3011">IF(AZ187="","","|n"&amp;EF$2&amp;"+"&amp;AZ187&amp;EF$1)</f>
        <v/>
      </c>
      <c r="EG187" s="66" t="str">
        <f t="shared" si="3011"/>
        <v/>
      </c>
      <c r="EH187" s="66" t="str">
        <f t="shared" si="3011"/>
        <v/>
      </c>
      <c r="EI187" s="66" t="str">
        <f t="shared" si="3011"/>
        <v/>
      </c>
      <c r="EJ187" s="66" t="str">
        <f t="shared" si="3011"/>
        <v/>
      </c>
      <c r="EK187" s="66" t="str">
        <f t="shared" si="3011"/>
        <v/>
      </c>
      <c r="EL187" s="66" t="str">
        <f t="shared" si="3011"/>
        <v/>
      </c>
      <c r="EM187" s="66" t="str">
        <f t="shared" si="3011"/>
        <v/>
      </c>
      <c r="EN187" s="66" t="str">
        <f t="shared" si="3011"/>
        <v/>
      </c>
      <c r="EO187" s="66" t="str">
        <f t="shared" si="3011"/>
        <v/>
      </c>
      <c r="EP187" s="66" t="str">
        <f t="shared" ref="EP187:EY189" si="3012">IF(BJ187="","","|n"&amp;EP$2&amp;"+"&amp;BJ187&amp;EP$1)</f>
        <v/>
      </c>
      <c r="EQ187" s="66" t="str">
        <f t="shared" si="3012"/>
        <v/>
      </c>
      <c r="ER187" s="66" t="str">
        <f t="shared" si="3012"/>
        <v/>
      </c>
      <c r="ES187" s="66" t="str">
        <f t="shared" si="3012"/>
        <v/>
      </c>
      <c r="ET187" s="66" t="str">
        <f t="shared" si="3012"/>
        <v/>
      </c>
      <c r="EU187" s="66" t="str">
        <f t="shared" si="3012"/>
        <v/>
      </c>
      <c r="EV187" s="66" t="str">
        <f t="shared" si="3012"/>
        <v/>
      </c>
      <c r="EW187" s="66" t="str">
        <f t="shared" si="3012"/>
        <v/>
      </c>
      <c r="EX187" s="66" t="str">
        <f t="shared" si="3012"/>
        <v/>
      </c>
      <c r="EY187" s="66" t="str">
        <f t="shared" si="3012"/>
        <v/>
      </c>
      <c r="EZ187" s="66" t="str">
        <f t="shared" ref="EZ187:FI189" si="3013">IF(BT187="","","|n"&amp;EZ$2&amp;"+"&amp;BT187&amp;EZ$1)</f>
        <v/>
      </c>
      <c r="FA187" s="66" t="str">
        <f t="shared" si="3013"/>
        <v/>
      </c>
      <c r="FB187" s="66" t="str">
        <f t="shared" si="3013"/>
        <v/>
      </c>
      <c r="FC187" s="66" t="str">
        <f t="shared" si="3013"/>
        <v/>
      </c>
      <c r="FD187" s="66" t="str">
        <f t="shared" si="3013"/>
        <v/>
      </c>
      <c r="FE187" s="66" t="str">
        <f t="shared" si="3013"/>
        <v/>
      </c>
      <c r="FF187" s="66" t="str">
        <f t="shared" si="3013"/>
        <v/>
      </c>
      <c r="FG187" s="66" t="str">
        <f t="shared" si="3013"/>
        <v/>
      </c>
      <c r="FH187" s="66" t="str">
        <f t="shared" si="3013"/>
        <v/>
      </c>
      <c r="FI187" s="66" t="str">
        <f t="shared" si="3013"/>
        <v/>
      </c>
      <c r="FJ187" s="66" t="str">
        <f t="shared" ref="FJ187:FS189" si="3014">IF(CD187="","","|n"&amp;FJ$2&amp;"+"&amp;CD187&amp;FJ$1)</f>
        <v/>
      </c>
      <c r="FK187" s="66" t="str">
        <f t="shared" si="3014"/>
        <v/>
      </c>
      <c r="FL187" s="66" t="str">
        <f t="shared" si="3014"/>
        <v/>
      </c>
      <c r="FM187" s="66" t="str">
        <f t="shared" si="3014"/>
        <v/>
      </c>
      <c r="FN187" s="66" t="str">
        <f t="shared" si="3014"/>
        <v/>
      </c>
      <c r="FO187" s="66" t="str">
        <f t="shared" si="3014"/>
        <v/>
      </c>
      <c r="FP187" s="66" t="str">
        <f t="shared" si="3014"/>
        <v/>
      </c>
      <c r="FQ187" s="66" t="str">
        <f t="shared" si="3014"/>
        <v/>
      </c>
      <c r="FR187" s="66" t="str">
        <f t="shared" si="3014"/>
        <v/>
      </c>
      <c r="FS187" s="66" t="str">
        <f t="shared" si="3014"/>
        <v/>
      </c>
    </row>
    <row r="188" spans="1:175" ht="16.5">
      <c r="A188" s="15"/>
      <c r="B188" s="9" t="s">
        <v>670</v>
      </c>
      <c r="C188" s="15" t="s">
        <v>671</v>
      </c>
      <c r="T188" s="15" t="s">
        <v>672</v>
      </c>
      <c r="U188" s="77" t="s">
        <v>673</v>
      </c>
      <c r="CN188" s="36" t="str">
        <f t="shared" si="2917"/>
        <v>InitUnitState('IS21',,,,,,,,,,)</v>
      </c>
      <c r="CO188" s="36" t="str">
        <f t="shared" si="2918"/>
        <v>InitUnitNormal('IS21',,,,,,,,,,)</v>
      </c>
      <c r="CP188" s="36" t="str">
        <f t="shared" si="2919"/>
        <v>InitUnitMagic('IS21',,,,,,,,,,)</v>
      </c>
      <c r="CQ188" s="36" t="str">
        <f t="shared" si="2920"/>
        <v>InitUnitAdd('IS21',,,,,,,,,,)</v>
      </c>
      <c r="CR188" s="36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InitEquipData('IS21',,"",,,,,'','','','','','',"ReplaceableTextures\\CommandButtons\\BTNIN02.blp")</v>
      </c>
      <c r="CU188" s="88" t="str">
        <f t="shared" si="2921"/>
        <v>|n</v>
      </c>
      <c r="CV188" s="19" t="str">
        <f t="shared" si="2922"/>
        <v>为|Cffffd24dQ技能|r附魔一条|Cffffd24d随机属性|r。</v>
      </c>
      <c r="CW188" s="33"/>
      <c r="CX188" s="33"/>
      <c r="CY188" s="33"/>
      <c r="CZ188" s="33"/>
      <c r="DA188" s="33"/>
      <c r="DB188" s="66" t="str">
        <f t="shared" si="3008"/>
        <v/>
      </c>
      <c r="DC188" s="66" t="str">
        <f t="shared" si="3008"/>
        <v/>
      </c>
      <c r="DD188" s="66" t="str">
        <f t="shared" si="3008"/>
        <v/>
      </c>
      <c r="DE188" s="66" t="str">
        <f t="shared" si="3008"/>
        <v/>
      </c>
      <c r="DF188" s="66" t="str">
        <f t="shared" si="3008"/>
        <v/>
      </c>
      <c r="DG188" s="66" t="str">
        <f t="shared" si="3008"/>
        <v/>
      </c>
      <c r="DH188" s="66" t="str">
        <f t="shared" si="3008"/>
        <v/>
      </c>
      <c r="DI188" s="66" t="str">
        <f t="shared" si="3008"/>
        <v/>
      </c>
      <c r="DJ188" s="66" t="str">
        <f t="shared" si="3008"/>
        <v/>
      </c>
      <c r="DK188" s="66" t="str">
        <f t="shared" si="3008"/>
        <v/>
      </c>
      <c r="DL188" s="66" t="str">
        <f t="shared" si="3009"/>
        <v/>
      </c>
      <c r="DM188" s="66" t="str">
        <f t="shared" si="3009"/>
        <v/>
      </c>
      <c r="DN188" s="66" t="str">
        <f t="shared" si="3009"/>
        <v/>
      </c>
      <c r="DO188" s="66" t="str">
        <f t="shared" si="3009"/>
        <v/>
      </c>
      <c r="DP188" s="66" t="str">
        <f t="shared" si="3009"/>
        <v/>
      </c>
      <c r="DQ188" s="66" t="str">
        <f t="shared" si="3009"/>
        <v/>
      </c>
      <c r="DR188" s="66" t="str">
        <f t="shared" si="3009"/>
        <v/>
      </c>
      <c r="DS188" s="66" t="str">
        <f t="shared" si="3009"/>
        <v/>
      </c>
      <c r="DT188" s="66" t="str">
        <f t="shared" si="3009"/>
        <v/>
      </c>
      <c r="DU188" s="66" t="str">
        <f t="shared" si="3009"/>
        <v/>
      </c>
      <c r="DV188" s="66" t="str">
        <f t="shared" si="3010"/>
        <v/>
      </c>
      <c r="DW188" s="66" t="str">
        <f t="shared" si="3010"/>
        <v/>
      </c>
      <c r="DX188" s="66" t="str">
        <f t="shared" si="3010"/>
        <v/>
      </c>
      <c r="DY188" s="66" t="str">
        <f t="shared" si="3010"/>
        <v/>
      </c>
      <c r="DZ188" s="66" t="str">
        <f t="shared" si="3010"/>
        <v/>
      </c>
      <c r="EA188" s="66" t="str">
        <f t="shared" si="3010"/>
        <v/>
      </c>
      <c r="EB188" s="66" t="str">
        <f t="shared" si="3010"/>
        <v/>
      </c>
      <c r="EC188" s="66" t="str">
        <f t="shared" si="3010"/>
        <v/>
      </c>
      <c r="ED188" s="66" t="str">
        <f t="shared" si="3010"/>
        <v/>
      </c>
      <c r="EE188" s="66" t="str">
        <f t="shared" si="3010"/>
        <v/>
      </c>
      <c r="EF188" s="66" t="str">
        <f t="shared" si="3011"/>
        <v/>
      </c>
      <c r="EG188" s="66" t="str">
        <f t="shared" si="3011"/>
        <v/>
      </c>
      <c r="EH188" s="66" t="str">
        <f t="shared" si="3011"/>
        <v/>
      </c>
      <c r="EI188" s="66" t="str">
        <f t="shared" si="3011"/>
        <v/>
      </c>
      <c r="EJ188" s="66" t="str">
        <f t="shared" si="3011"/>
        <v/>
      </c>
      <c r="EK188" s="66" t="str">
        <f t="shared" si="3011"/>
        <v/>
      </c>
      <c r="EL188" s="66" t="str">
        <f t="shared" si="3011"/>
        <v/>
      </c>
      <c r="EM188" s="66" t="str">
        <f t="shared" si="3011"/>
        <v/>
      </c>
      <c r="EN188" s="66" t="str">
        <f t="shared" si="3011"/>
        <v/>
      </c>
      <c r="EO188" s="66" t="str">
        <f t="shared" si="3011"/>
        <v/>
      </c>
      <c r="EP188" s="66" t="str">
        <f t="shared" si="3012"/>
        <v/>
      </c>
      <c r="EQ188" s="66" t="str">
        <f t="shared" si="3012"/>
        <v/>
      </c>
      <c r="ER188" s="66" t="str">
        <f t="shared" si="3012"/>
        <v/>
      </c>
      <c r="ES188" s="66" t="str">
        <f t="shared" si="3012"/>
        <v/>
      </c>
      <c r="ET188" s="66" t="str">
        <f t="shared" si="3012"/>
        <v/>
      </c>
      <c r="EU188" s="66" t="str">
        <f t="shared" si="3012"/>
        <v/>
      </c>
      <c r="EV188" s="66" t="str">
        <f t="shared" si="3012"/>
        <v/>
      </c>
      <c r="EW188" s="66" t="str">
        <f t="shared" si="3012"/>
        <v/>
      </c>
      <c r="EX188" s="66" t="str">
        <f t="shared" si="3012"/>
        <v/>
      </c>
      <c r="EY188" s="66" t="str">
        <f t="shared" si="3012"/>
        <v/>
      </c>
      <c r="EZ188" s="66" t="str">
        <f t="shared" si="3013"/>
        <v/>
      </c>
      <c r="FA188" s="66" t="str">
        <f t="shared" si="3013"/>
        <v/>
      </c>
      <c r="FB188" s="66" t="str">
        <f t="shared" si="3013"/>
        <v/>
      </c>
      <c r="FC188" s="66" t="str">
        <f t="shared" si="3013"/>
        <v/>
      </c>
      <c r="FD188" s="66" t="str">
        <f t="shared" si="3013"/>
        <v/>
      </c>
      <c r="FE188" s="66" t="str">
        <f t="shared" si="3013"/>
        <v/>
      </c>
      <c r="FF188" s="66" t="str">
        <f t="shared" si="3013"/>
        <v/>
      </c>
      <c r="FG188" s="66" t="str">
        <f t="shared" si="3013"/>
        <v/>
      </c>
      <c r="FH188" s="66" t="str">
        <f t="shared" si="3013"/>
        <v/>
      </c>
      <c r="FI188" s="66" t="str">
        <f t="shared" si="3013"/>
        <v/>
      </c>
      <c r="FJ188" s="66" t="str">
        <f t="shared" si="3014"/>
        <v/>
      </c>
      <c r="FK188" s="66" t="str">
        <f t="shared" si="3014"/>
        <v/>
      </c>
      <c r="FL188" s="66" t="str">
        <f t="shared" si="3014"/>
        <v/>
      </c>
      <c r="FM188" s="66" t="str">
        <f t="shared" si="3014"/>
        <v/>
      </c>
      <c r="FN188" s="66" t="str">
        <f t="shared" si="3014"/>
        <v/>
      </c>
      <c r="FO188" s="66" t="str">
        <f t="shared" si="3014"/>
        <v/>
      </c>
      <c r="FP188" s="66" t="str">
        <f t="shared" si="3014"/>
        <v/>
      </c>
      <c r="FQ188" s="66" t="str">
        <f t="shared" si="3014"/>
        <v/>
      </c>
      <c r="FR188" s="66" t="str">
        <f t="shared" si="3014"/>
        <v/>
      </c>
      <c r="FS188" s="66" t="str">
        <f t="shared" si="3014"/>
        <v/>
      </c>
    </row>
    <row r="189" spans="1:175" ht="16.5">
      <c r="A189" s="15"/>
      <c r="B189" s="9" t="s">
        <v>674</v>
      </c>
      <c r="C189" s="15" t="s">
        <v>675</v>
      </c>
      <c r="T189" s="15" t="s">
        <v>676</v>
      </c>
      <c r="U189" s="77" t="s">
        <v>677</v>
      </c>
      <c r="CN189" s="36" t="str">
        <f t="shared" si="2917"/>
        <v>InitUnitState('IS22',,,,,,,,,,)</v>
      </c>
      <c r="CO189" s="36" t="str">
        <f t="shared" si="2918"/>
        <v>InitUnitNormal('IS22',,,,,,,,,,)</v>
      </c>
      <c r="CP189" s="36" t="str">
        <f t="shared" si="2919"/>
        <v>InitUnitMagic('IS22',,,,,,,,,,)</v>
      </c>
      <c r="CQ189" s="36" t="str">
        <f t="shared" si="2920"/>
        <v>InitUnitAdd('IS22',,,,,,,,,,)</v>
      </c>
      <c r="CR189" s="36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InitEquipData('IS22',,"",,,,,'','','','','','',"ReplaceableTextures\\CommandButtons\\BTNIN03.blp")</v>
      </c>
      <c r="CU189" s="88" t="str">
        <f t="shared" si="2921"/>
        <v>|n</v>
      </c>
      <c r="CV189" s="19" t="str">
        <f t="shared" si="2922"/>
        <v>为|Cffffd24dW技能|r附魔一条|Cffffd24d随机属性|r。</v>
      </c>
      <c r="CW189" s="33"/>
      <c r="CX189" s="33"/>
      <c r="CY189" s="33"/>
      <c r="CZ189" s="33"/>
      <c r="DA189" s="33"/>
      <c r="DB189" s="66" t="str">
        <f t="shared" si="3008"/>
        <v/>
      </c>
      <c r="DC189" s="66" t="str">
        <f t="shared" si="3008"/>
        <v/>
      </c>
      <c r="DD189" s="66" t="str">
        <f t="shared" si="3008"/>
        <v/>
      </c>
      <c r="DE189" s="66" t="str">
        <f t="shared" si="3008"/>
        <v/>
      </c>
      <c r="DF189" s="66" t="str">
        <f t="shared" si="3008"/>
        <v/>
      </c>
      <c r="DG189" s="66" t="str">
        <f t="shared" si="3008"/>
        <v/>
      </c>
      <c r="DH189" s="66" t="str">
        <f t="shared" si="3008"/>
        <v/>
      </c>
      <c r="DI189" s="66" t="str">
        <f t="shared" si="3008"/>
        <v/>
      </c>
      <c r="DJ189" s="66" t="str">
        <f t="shared" si="3008"/>
        <v/>
      </c>
      <c r="DK189" s="66" t="str">
        <f t="shared" si="3008"/>
        <v/>
      </c>
      <c r="DL189" s="66" t="str">
        <f t="shared" si="3009"/>
        <v/>
      </c>
      <c r="DM189" s="66" t="str">
        <f t="shared" si="3009"/>
        <v/>
      </c>
      <c r="DN189" s="66" t="str">
        <f t="shared" si="3009"/>
        <v/>
      </c>
      <c r="DO189" s="66" t="str">
        <f t="shared" si="3009"/>
        <v/>
      </c>
      <c r="DP189" s="66" t="str">
        <f t="shared" si="3009"/>
        <v/>
      </c>
      <c r="DQ189" s="66" t="str">
        <f t="shared" si="3009"/>
        <v/>
      </c>
      <c r="DR189" s="66" t="str">
        <f t="shared" si="3009"/>
        <v/>
      </c>
      <c r="DS189" s="66" t="str">
        <f t="shared" si="3009"/>
        <v/>
      </c>
      <c r="DT189" s="66" t="str">
        <f t="shared" si="3009"/>
        <v/>
      </c>
      <c r="DU189" s="66" t="str">
        <f t="shared" si="3009"/>
        <v/>
      </c>
      <c r="DV189" s="66" t="str">
        <f t="shared" si="3010"/>
        <v/>
      </c>
      <c r="DW189" s="66" t="str">
        <f t="shared" si="3010"/>
        <v/>
      </c>
      <c r="DX189" s="66" t="str">
        <f t="shared" si="3010"/>
        <v/>
      </c>
      <c r="DY189" s="66" t="str">
        <f t="shared" si="3010"/>
        <v/>
      </c>
      <c r="DZ189" s="66" t="str">
        <f t="shared" si="3010"/>
        <v/>
      </c>
      <c r="EA189" s="66" t="str">
        <f t="shared" si="3010"/>
        <v/>
      </c>
      <c r="EB189" s="66" t="str">
        <f t="shared" si="3010"/>
        <v/>
      </c>
      <c r="EC189" s="66" t="str">
        <f t="shared" si="3010"/>
        <v/>
      </c>
      <c r="ED189" s="66" t="str">
        <f t="shared" si="3010"/>
        <v/>
      </c>
      <c r="EE189" s="66" t="str">
        <f t="shared" si="3010"/>
        <v/>
      </c>
      <c r="EF189" s="66" t="str">
        <f t="shared" si="3011"/>
        <v/>
      </c>
      <c r="EG189" s="66" t="str">
        <f t="shared" si="3011"/>
        <v/>
      </c>
      <c r="EH189" s="66" t="str">
        <f t="shared" si="3011"/>
        <v/>
      </c>
      <c r="EI189" s="66" t="str">
        <f t="shared" si="3011"/>
        <v/>
      </c>
      <c r="EJ189" s="66" t="str">
        <f t="shared" si="3011"/>
        <v/>
      </c>
      <c r="EK189" s="66" t="str">
        <f t="shared" si="3011"/>
        <v/>
      </c>
      <c r="EL189" s="66" t="str">
        <f t="shared" si="3011"/>
        <v/>
      </c>
      <c r="EM189" s="66" t="str">
        <f t="shared" si="3011"/>
        <v/>
      </c>
      <c r="EN189" s="66" t="str">
        <f t="shared" si="3011"/>
        <v/>
      </c>
      <c r="EO189" s="66" t="str">
        <f t="shared" si="3011"/>
        <v/>
      </c>
      <c r="EP189" s="66" t="str">
        <f t="shared" si="3012"/>
        <v/>
      </c>
      <c r="EQ189" s="66" t="str">
        <f t="shared" si="3012"/>
        <v/>
      </c>
      <c r="ER189" s="66" t="str">
        <f t="shared" si="3012"/>
        <v/>
      </c>
      <c r="ES189" s="66" t="str">
        <f t="shared" si="3012"/>
        <v/>
      </c>
      <c r="ET189" s="66" t="str">
        <f t="shared" si="3012"/>
        <v/>
      </c>
      <c r="EU189" s="66" t="str">
        <f t="shared" si="3012"/>
        <v/>
      </c>
      <c r="EV189" s="66" t="str">
        <f t="shared" si="3012"/>
        <v/>
      </c>
      <c r="EW189" s="66" t="str">
        <f t="shared" si="3012"/>
        <v/>
      </c>
      <c r="EX189" s="66" t="str">
        <f t="shared" si="3012"/>
        <v/>
      </c>
      <c r="EY189" s="66" t="str">
        <f t="shared" si="3012"/>
        <v/>
      </c>
      <c r="EZ189" s="66" t="str">
        <f t="shared" si="3013"/>
        <v/>
      </c>
      <c r="FA189" s="66" t="str">
        <f t="shared" si="3013"/>
        <v/>
      </c>
      <c r="FB189" s="66" t="str">
        <f t="shared" si="3013"/>
        <v/>
      </c>
      <c r="FC189" s="66" t="str">
        <f t="shared" si="3013"/>
        <v/>
      </c>
      <c r="FD189" s="66" t="str">
        <f t="shared" si="3013"/>
        <v/>
      </c>
      <c r="FE189" s="66" t="str">
        <f t="shared" si="3013"/>
        <v/>
      </c>
      <c r="FF189" s="66" t="str">
        <f t="shared" si="3013"/>
        <v/>
      </c>
      <c r="FG189" s="66" t="str">
        <f t="shared" si="3013"/>
        <v/>
      </c>
      <c r="FH189" s="66" t="str">
        <f t="shared" si="3013"/>
        <v/>
      </c>
      <c r="FI189" s="66" t="str">
        <f t="shared" si="3013"/>
        <v/>
      </c>
      <c r="FJ189" s="66" t="str">
        <f t="shared" si="3014"/>
        <v/>
      </c>
      <c r="FK189" s="66" t="str">
        <f t="shared" si="3014"/>
        <v/>
      </c>
      <c r="FL189" s="66" t="str">
        <f t="shared" si="3014"/>
        <v/>
      </c>
      <c r="FM189" s="66" t="str">
        <f t="shared" si="3014"/>
        <v/>
      </c>
      <c r="FN189" s="66" t="str">
        <f t="shared" si="3014"/>
        <v/>
      </c>
      <c r="FO189" s="66" t="str">
        <f t="shared" si="3014"/>
        <v/>
      </c>
      <c r="FP189" s="66" t="str">
        <f t="shared" si="3014"/>
        <v/>
      </c>
      <c r="FQ189" s="66" t="str">
        <f t="shared" si="3014"/>
        <v/>
      </c>
      <c r="FR189" s="66" t="str">
        <f t="shared" si="3014"/>
        <v/>
      </c>
      <c r="FS189" s="66" t="str">
        <f t="shared" si="3014"/>
        <v/>
      </c>
    </row>
    <row r="190" spans="1:175" ht="16.5">
      <c r="A190" s="15"/>
      <c r="B190" s="9" t="s">
        <v>678</v>
      </c>
      <c r="C190" s="15" t="s">
        <v>679</v>
      </c>
      <c r="T190" s="15" t="s">
        <v>680</v>
      </c>
      <c r="U190" s="77" t="s">
        <v>681</v>
      </c>
      <c r="CN190" s="36" t="str">
        <f t="shared" si="2917"/>
        <v>InitUnitState('IS23',,,,,,,,,,)</v>
      </c>
      <c r="CO190" s="36" t="str">
        <f t="shared" si="2918"/>
        <v>InitUnitNormal('IS23',,,,,,,,,,)</v>
      </c>
      <c r="CP190" s="36" t="str">
        <f t="shared" si="2919"/>
        <v>InitUnitMagic('IS23',,,,,,,,,,)</v>
      </c>
      <c r="CQ190" s="36" t="str">
        <f t="shared" si="2920"/>
        <v>InitUnitAdd('IS23',,,,,,,,,,)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U190" s="88" t="str">
        <f t="shared" ref="CU190:CU193" si="3015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19" t="str">
        <f t="shared" ref="CV190:CV193" si="3016">T190</f>
        <v>为|Cffffd24dE技能|r附魔一条|Cffffd24d随机属性|r。</v>
      </c>
      <c r="CW190" s="33"/>
      <c r="CX190" s="33"/>
      <c r="CY190" s="33"/>
      <c r="CZ190" s="33"/>
      <c r="DA190" s="33"/>
      <c r="DB190" s="66" t="str">
        <f t="shared" ref="DB190" si="3017">IF(V190="","","|n"&amp;DB$2&amp;"+"&amp;V190&amp;DB$1)</f>
        <v/>
      </c>
      <c r="DC190" s="66" t="str">
        <f t="shared" ref="DC190" si="3018">IF(W190="","","|n"&amp;DC$2&amp;"+"&amp;W190&amp;DC$1)</f>
        <v/>
      </c>
      <c r="DD190" s="66" t="str">
        <f t="shared" ref="DD190" si="3019">IF(X190="","","|n"&amp;DD$2&amp;"+"&amp;X190&amp;DD$1)</f>
        <v/>
      </c>
      <c r="DE190" s="66" t="str">
        <f t="shared" ref="DE190" si="3020">IF(Y190="","","|n"&amp;DE$2&amp;"+"&amp;Y190&amp;DE$1)</f>
        <v/>
      </c>
      <c r="DF190" s="66" t="str">
        <f t="shared" ref="DF190" si="3021">IF(Z190="","","|n"&amp;DF$2&amp;"+"&amp;Z190&amp;DF$1)</f>
        <v/>
      </c>
      <c r="DG190" s="66" t="str">
        <f t="shared" ref="DG190" si="3022">IF(AA190="","","|n"&amp;DG$2&amp;"+"&amp;AA190&amp;DG$1)</f>
        <v/>
      </c>
      <c r="DH190" s="66" t="str">
        <f t="shared" ref="DH190" si="3023">IF(AB190="","","|n"&amp;DH$2&amp;"+"&amp;AB190&amp;DH$1)</f>
        <v/>
      </c>
      <c r="DI190" s="66" t="str">
        <f t="shared" ref="DI190" si="3024">IF(AC190="","","|n"&amp;DI$2&amp;"+"&amp;AC190&amp;DI$1)</f>
        <v/>
      </c>
      <c r="DJ190" s="66" t="str">
        <f t="shared" ref="DJ190" si="3025">IF(AD190="","","|n"&amp;DJ$2&amp;"+"&amp;AD190&amp;DJ$1)</f>
        <v/>
      </c>
      <c r="DK190" s="66" t="str">
        <f t="shared" ref="DK190" si="3026">IF(AE190="","","|n"&amp;DK$2&amp;"+"&amp;AE190&amp;DK$1)</f>
        <v/>
      </c>
      <c r="DL190" s="66" t="str">
        <f t="shared" ref="DL190" si="3027">IF(AF190="","","|n"&amp;DL$2&amp;"+"&amp;AF190&amp;DL$1)</f>
        <v/>
      </c>
      <c r="DM190" s="66" t="str">
        <f t="shared" ref="DM190" si="3028">IF(AG190="","","|n"&amp;DM$2&amp;"+"&amp;AG190&amp;DM$1)</f>
        <v/>
      </c>
      <c r="DN190" s="66" t="str">
        <f t="shared" ref="DN190" si="3029">IF(AH190="","","|n"&amp;DN$2&amp;"+"&amp;AH190&amp;DN$1)</f>
        <v/>
      </c>
      <c r="DO190" s="66" t="str">
        <f t="shared" ref="DO190" si="3030">IF(AI190="","","|n"&amp;DO$2&amp;"+"&amp;AI190&amp;DO$1)</f>
        <v/>
      </c>
      <c r="DP190" s="66" t="str">
        <f t="shared" ref="DP190" si="3031">IF(AJ190="","","|n"&amp;DP$2&amp;"+"&amp;AJ190&amp;DP$1)</f>
        <v/>
      </c>
      <c r="DQ190" s="66" t="str">
        <f t="shared" ref="DQ190" si="3032">IF(AK190="","","|n"&amp;DQ$2&amp;"+"&amp;AK190&amp;DQ$1)</f>
        <v/>
      </c>
      <c r="DR190" s="66" t="str">
        <f t="shared" ref="DR190" si="3033">IF(AL190="","","|n"&amp;DR$2&amp;"+"&amp;AL190&amp;DR$1)</f>
        <v/>
      </c>
      <c r="DS190" s="66" t="str">
        <f t="shared" ref="DS190" si="3034">IF(AM190="","","|n"&amp;DS$2&amp;"+"&amp;AM190&amp;DS$1)</f>
        <v/>
      </c>
      <c r="DT190" s="66" t="str">
        <f t="shared" ref="DT190" si="3035">IF(AN190="","","|n"&amp;DT$2&amp;"+"&amp;AN190&amp;DT$1)</f>
        <v/>
      </c>
      <c r="DU190" s="66" t="str">
        <f t="shared" ref="DU190" si="3036">IF(AO190="","","|n"&amp;DU$2&amp;"+"&amp;AO190&amp;DU$1)</f>
        <v/>
      </c>
      <c r="DV190" s="66" t="str">
        <f t="shared" ref="DV190" si="3037">IF(AP190="","","|n"&amp;DV$2&amp;"+"&amp;AP190&amp;DV$1)</f>
        <v/>
      </c>
      <c r="DW190" s="66" t="str">
        <f t="shared" ref="DW190" si="3038">IF(AQ190="","","|n"&amp;DW$2&amp;"+"&amp;AQ190&amp;DW$1)</f>
        <v/>
      </c>
      <c r="DX190" s="66" t="str">
        <f t="shared" ref="DX190" si="3039">IF(AR190="","","|n"&amp;DX$2&amp;"+"&amp;AR190&amp;DX$1)</f>
        <v/>
      </c>
      <c r="DY190" s="66" t="str">
        <f t="shared" ref="DY190" si="3040">IF(AS190="","","|n"&amp;DY$2&amp;"+"&amp;AS190&amp;DY$1)</f>
        <v/>
      </c>
      <c r="DZ190" s="66" t="str">
        <f t="shared" ref="DZ190" si="3041">IF(AT190="","","|n"&amp;DZ$2&amp;"+"&amp;AT190&amp;DZ$1)</f>
        <v/>
      </c>
      <c r="EA190" s="66" t="str">
        <f t="shared" ref="EA190" si="3042">IF(AU190="","","|n"&amp;EA$2&amp;"+"&amp;AU190&amp;EA$1)</f>
        <v/>
      </c>
      <c r="EB190" s="66" t="str">
        <f t="shared" ref="EB190" si="3043">IF(AV190="","","|n"&amp;EB$2&amp;"+"&amp;AV190&amp;EB$1)</f>
        <v/>
      </c>
      <c r="EC190" s="66" t="str">
        <f t="shared" ref="EC190" si="3044">IF(AW190="","","|n"&amp;EC$2&amp;"+"&amp;AW190&amp;EC$1)</f>
        <v/>
      </c>
      <c r="ED190" s="66" t="str">
        <f t="shared" ref="ED190" si="3045">IF(AX190="","","|n"&amp;ED$2&amp;"+"&amp;AX190&amp;ED$1)</f>
        <v/>
      </c>
      <c r="EE190" s="66" t="str">
        <f t="shared" ref="EE190" si="3046">IF(AY190="","","|n"&amp;EE$2&amp;"+"&amp;AY190&amp;EE$1)</f>
        <v/>
      </c>
      <c r="EF190" s="66" t="str">
        <f t="shared" ref="EF190" si="3047">IF(AZ190="","","|n"&amp;EF$2&amp;"+"&amp;AZ190&amp;EF$1)</f>
        <v/>
      </c>
      <c r="EG190" s="66" t="str">
        <f t="shared" ref="EG190" si="3048">IF(BA190="","","|n"&amp;EG$2&amp;"+"&amp;BA190&amp;EG$1)</f>
        <v/>
      </c>
      <c r="EH190" s="66" t="str">
        <f t="shared" ref="EH190" si="3049">IF(BB190="","","|n"&amp;EH$2&amp;"+"&amp;BB190&amp;EH$1)</f>
        <v/>
      </c>
      <c r="EI190" s="66" t="str">
        <f t="shared" ref="EI190" si="3050">IF(BC190="","","|n"&amp;EI$2&amp;"+"&amp;BC190&amp;EI$1)</f>
        <v/>
      </c>
      <c r="EJ190" s="66" t="str">
        <f t="shared" ref="EJ190" si="3051">IF(BD190="","","|n"&amp;EJ$2&amp;"+"&amp;BD190&amp;EJ$1)</f>
        <v/>
      </c>
      <c r="EK190" s="66" t="str">
        <f t="shared" ref="EK190" si="3052">IF(BE190="","","|n"&amp;EK$2&amp;"+"&amp;BE190&amp;EK$1)</f>
        <v/>
      </c>
      <c r="EL190" s="66" t="str">
        <f t="shared" ref="EL190" si="3053">IF(BF190="","","|n"&amp;EL$2&amp;"+"&amp;BF190&amp;EL$1)</f>
        <v/>
      </c>
      <c r="EM190" s="66" t="str">
        <f t="shared" ref="EM190" si="3054">IF(BG190="","","|n"&amp;EM$2&amp;"+"&amp;BG190&amp;EM$1)</f>
        <v/>
      </c>
      <c r="EN190" s="66" t="str">
        <f t="shared" ref="EN190" si="3055">IF(BH190="","","|n"&amp;EN$2&amp;"+"&amp;BH190&amp;EN$1)</f>
        <v/>
      </c>
      <c r="EO190" s="66" t="str">
        <f t="shared" ref="EO190" si="3056">IF(BI190="","","|n"&amp;EO$2&amp;"+"&amp;BI190&amp;EO$1)</f>
        <v/>
      </c>
      <c r="EP190" s="66" t="str">
        <f t="shared" ref="EP190" si="3057">IF(BJ190="","","|n"&amp;EP$2&amp;"+"&amp;BJ190&amp;EP$1)</f>
        <v/>
      </c>
      <c r="EQ190" s="66" t="str">
        <f t="shared" ref="EQ190" si="3058">IF(BK190="","","|n"&amp;EQ$2&amp;"+"&amp;BK190&amp;EQ$1)</f>
        <v/>
      </c>
      <c r="ER190" s="66" t="str">
        <f t="shared" ref="ER190" si="3059">IF(BL190="","","|n"&amp;ER$2&amp;"+"&amp;BL190&amp;ER$1)</f>
        <v/>
      </c>
      <c r="ES190" s="66" t="str">
        <f t="shared" ref="ES190" si="3060">IF(BM190="","","|n"&amp;ES$2&amp;"+"&amp;BM190&amp;ES$1)</f>
        <v/>
      </c>
      <c r="ET190" s="66" t="str">
        <f t="shared" ref="ET190" si="3061">IF(BN190="","","|n"&amp;ET$2&amp;"+"&amp;BN190&amp;ET$1)</f>
        <v/>
      </c>
      <c r="EU190" s="66" t="str">
        <f t="shared" ref="EU190" si="3062">IF(BO190="","","|n"&amp;EU$2&amp;"+"&amp;BO190&amp;EU$1)</f>
        <v/>
      </c>
      <c r="EV190" s="66" t="str">
        <f t="shared" ref="EV190" si="3063">IF(BP190="","","|n"&amp;EV$2&amp;"+"&amp;BP190&amp;EV$1)</f>
        <v/>
      </c>
      <c r="EW190" s="66" t="str">
        <f t="shared" ref="EW190" si="3064">IF(BQ190="","","|n"&amp;EW$2&amp;"+"&amp;BQ190&amp;EW$1)</f>
        <v/>
      </c>
      <c r="EX190" s="66" t="str">
        <f t="shared" ref="EX190" si="3065">IF(BR190="","","|n"&amp;EX$2&amp;"+"&amp;BR190&amp;EX$1)</f>
        <v/>
      </c>
      <c r="EY190" s="66" t="str">
        <f t="shared" ref="EY190" si="3066">IF(BS190="","","|n"&amp;EY$2&amp;"+"&amp;BS190&amp;EY$1)</f>
        <v/>
      </c>
      <c r="EZ190" s="66" t="str">
        <f t="shared" ref="EZ190" si="3067">IF(BT190="","","|n"&amp;EZ$2&amp;"+"&amp;BT190&amp;EZ$1)</f>
        <v/>
      </c>
      <c r="FA190" s="66" t="str">
        <f t="shared" ref="FA190" si="3068">IF(BU190="","","|n"&amp;FA$2&amp;"+"&amp;BU190&amp;FA$1)</f>
        <v/>
      </c>
      <c r="FB190" s="66" t="str">
        <f t="shared" ref="FB190" si="3069">IF(BV190="","","|n"&amp;FB$2&amp;"+"&amp;BV190&amp;FB$1)</f>
        <v/>
      </c>
      <c r="FC190" s="66" t="str">
        <f t="shared" ref="FC190" si="3070">IF(BW190="","","|n"&amp;FC$2&amp;"+"&amp;BW190&amp;FC$1)</f>
        <v/>
      </c>
      <c r="FD190" s="66" t="str">
        <f t="shared" ref="FD190" si="3071">IF(BX190="","","|n"&amp;FD$2&amp;"+"&amp;BX190&amp;FD$1)</f>
        <v/>
      </c>
      <c r="FE190" s="66" t="str">
        <f t="shared" ref="FE190" si="3072">IF(BY190="","","|n"&amp;FE$2&amp;"+"&amp;BY190&amp;FE$1)</f>
        <v/>
      </c>
      <c r="FF190" s="66" t="str">
        <f t="shared" ref="FF190" si="3073">IF(BZ190="","","|n"&amp;FF$2&amp;"+"&amp;BZ190&amp;FF$1)</f>
        <v/>
      </c>
      <c r="FG190" s="66" t="str">
        <f t="shared" ref="FG190" si="3074">IF(CA190="","","|n"&amp;FG$2&amp;"+"&amp;CA190&amp;FG$1)</f>
        <v/>
      </c>
      <c r="FH190" s="66" t="str">
        <f t="shared" ref="FH190" si="3075">IF(CB190="","","|n"&amp;FH$2&amp;"+"&amp;CB190&amp;FH$1)</f>
        <v/>
      </c>
      <c r="FI190" s="66" t="str">
        <f t="shared" ref="FI190" si="3076">IF(CC190="","","|n"&amp;FI$2&amp;"+"&amp;CC190&amp;FI$1)</f>
        <v/>
      </c>
      <c r="FJ190" s="66" t="str">
        <f t="shared" ref="FJ190" si="3077">IF(CD190="","","|n"&amp;FJ$2&amp;"+"&amp;CD190&amp;FJ$1)</f>
        <v/>
      </c>
      <c r="FK190" s="66" t="str">
        <f t="shared" ref="FK190" si="3078">IF(CE190="","","|n"&amp;FK$2&amp;"+"&amp;CE190&amp;FK$1)</f>
        <v/>
      </c>
      <c r="FL190" s="66" t="str">
        <f t="shared" ref="FL190" si="3079">IF(CF190="","","|n"&amp;FL$2&amp;"+"&amp;CF190&amp;FL$1)</f>
        <v/>
      </c>
      <c r="FM190" s="66" t="str">
        <f t="shared" ref="FM190" si="3080">IF(CG190="","","|n"&amp;FM$2&amp;"+"&amp;CG190&amp;FM$1)</f>
        <v/>
      </c>
      <c r="FN190" s="66" t="str">
        <f t="shared" ref="FN190" si="3081">IF(CH190="","","|n"&amp;FN$2&amp;"+"&amp;CH190&amp;FN$1)</f>
        <v/>
      </c>
      <c r="FO190" s="66" t="str">
        <f t="shared" ref="FO190" si="3082">IF(CI190="","","|n"&amp;FO$2&amp;"+"&amp;CI190&amp;FO$1)</f>
        <v/>
      </c>
      <c r="FP190" s="66" t="str">
        <f t="shared" ref="FP190" si="3083">IF(CJ190="","","|n"&amp;FP$2&amp;"+"&amp;CJ190&amp;FP$1)</f>
        <v/>
      </c>
      <c r="FQ190" s="66" t="str">
        <f t="shared" ref="FQ190" si="3084">IF(CK190="","","|n"&amp;FQ$2&amp;"+"&amp;CK190&amp;FQ$1)</f>
        <v/>
      </c>
      <c r="FR190" s="66" t="str">
        <f t="shared" ref="FR190" si="3085">IF(CL190="","","|n"&amp;FR$2&amp;"+"&amp;CL190&amp;FR$1)</f>
        <v/>
      </c>
      <c r="FS190" s="66" t="str">
        <f t="shared" ref="FS190" si="3086">IF(CM190="","","|n"&amp;FS$2&amp;"+"&amp;CM190&amp;FS$1)</f>
        <v/>
      </c>
    </row>
    <row r="191" spans="1:175" s="29" customFormat="1" ht="16.5">
      <c r="A191" s="15"/>
      <c r="B191" s="9" t="s">
        <v>682</v>
      </c>
      <c r="C191" s="25" t="s">
        <v>683</v>
      </c>
      <c r="D191" s="12"/>
      <c r="E191" s="12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92"/>
      <c r="Q191" s="92"/>
      <c r="R191" s="92"/>
      <c r="S191" s="92"/>
      <c r="T191" s="15" t="s">
        <v>672</v>
      </c>
      <c r="U191" s="77" t="s">
        <v>684</v>
      </c>
      <c r="V191" s="102"/>
      <c r="W191" s="103"/>
      <c r="X191" s="103"/>
      <c r="Y191" s="103"/>
      <c r="Z191" s="103"/>
      <c r="AA191" s="103"/>
      <c r="AB191" s="103"/>
      <c r="AC191" s="103"/>
      <c r="AD191" s="103"/>
      <c r="AE191" s="103"/>
      <c r="AF191" s="103"/>
      <c r="AG191" s="103"/>
      <c r="AH191" s="103"/>
      <c r="AI191" s="103"/>
      <c r="AJ191" s="103"/>
      <c r="AK191" s="103"/>
      <c r="AL191" s="103"/>
      <c r="AM191" s="103"/>
      <c r="AN191" s="103"/>
      <c r="AO191" s="103"/>
      <c r="AP191" s="103"/>
      <c r="AQ191" s="103"/>
      <c r="AR191" s="106"/>
      <c r="AS191" s="106"/>
      <c r="AT191" s="103"/>
      <c r="AU191" s="103"/>
      <c r="AV191" s="103"/>
      <c r="AW191" s="103"/>
      <c r="AX191" s="103"/>
      <c r="AY191" s="103"/>
      <c r="AZ191" s="103"/>
      <c r="BA191" s="103"/>
      <c r="BB191" s="103"/>
      <c r="BC191" s="103"/>
      <c r="BD191" s="103"/>
      <c r="BE191" s="103"/>
      <c r="BF191" s="103"/>
      <c r="BG191" s="103"/>
      <c r="BH191" s="103"/>
      <c r="BI191" s="103"/>
      <c r="BJ191" s="103"/>
      <c r="BK191" s="103"/>
      <c r="BL191" s="103"/>
      <c r="BM191" s="103"/>
      <c r="BN191" s="103"/>
      <c r="BO191" s="103"/>
      <c r="BP191" s="103"/>
      <c r="BQ191" s="103"/>
      <c r="BR191" s="103"/>
      <c r="BS191" s="103"/>
      <c r="BT191" s="103"/>
      <c r="BU191" s="103"/>
      <c r="BV191" s="103"/>
      <c r="BW191" s="103"/>
      <c r="BX191" s="103"/>
      <c r="BY191" s="103"/>
      <c r="BZ191" s="103"/>
      <c r="CA191" s="103"/>
      <c r="CB191" s="103"/>
      <c r="CC191" s="103"/>
      <c r="CD191" s="103"/>
      <c r="CE191" s="103"/>
      <c r="CF191" s="103"/>
      <c r="CG191" s="103"/>
      <c r="CH191" s="103"/>
      <c r="CI191" s="103"/>
      <c r="CJ191" s="103"/>
      <c r="CK191" s="103"/>
      <c r="CL191" s="103"/>
      <c r="CM191" s="103"/>
      <c r="CN191" s="107" t="str">
        <f t="shared" si="2917"/>
        <v>InitUnitState('IS24',,,,,,,,,,)</v>
      </c>
      <c r="CO191" s="107" t="str">
        <f t="shared" si="2918"/>
        <v>InitUnitNormal('IS24',,,,,,,,,,)</v>
      </c>
      <c r="CP191" s="107" t="str">
        <f t="shared" si="2919"/>
        <v>InitUnitMagic('IS24',,,,,,,,,,)</v>
      </c>
      <c r="CQ191" s="107" t="str">
        <f t="shared" si="2920"/>
        <v>InitUnitAdd('IS24',,,,,,,,,,)</v>
      </c>
      <c r="CR191" s="107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InitEquipData('IS24',,"",,,,,'','','','','','',"ReplaceableTextures\\CommandButtons\\BTN010.blp")</v>
      </c>
      <c r="CS191" s="107"/>
      <c r="CT191" s="107"/>
      <c r="CU191" s="88" t="str">
        <f t="shared" si="3015"/>
        <v>|n</v>
      </c>
      <c r="CV191" s="29" t="str">
        <f t="shared" si="3016"/>
        <v>为|Cffffd24dQ技能|r附魔一条|Cffffd24d随机属性|r。</v>
      </c>
      <c r="CW191" s="33"/>
      <c r="CX191" s="33"/>
      <c r="CY191" s="33"/>
      <c r="CZ191" s="33"/>
      <c r="DA191" s="33"/>
      <c r="DB191" s="108" t="str">
        <f t="shared" ref="DB191:FM191" si="3087">IF(V191="","","|n"&amp;DB$2&amp;"+"&amp;V191&amp;DB$1)</f>
        <v/>
      </c>
      <c r="DC191" s="108" t="str">
        <f t="shared" si="3087"/>
        <v/>
      </c>
      <c r="DD191" s="108" t="str">
        <f t="shared" si="3087"/>
        <v/>
      </c>
      <c r="DE191" s="108" t="str">
        <f t="shared" si="3087"/>
        <v/>
      </c>
      <c r="DF191" s="108" t="str">
        <f t="shared" si="3087"/>
        <v/>
      </c>
      <c r="DG191" s="108" t="str">
        <f t="shared" si="3087"/>
        <v/>
      </c>
      <c r="DH191" s="108" t="str">
        <f t="shared" si="3087"/>
        <v/>
      </c>
      <c r="DI191" s="108" t="str">
        <f t="shared" si="3087"/>
        <v/>
      </c>
      <c r="DJ191" s="108" t="str">
        <f t="shared" si="3087"/>
        <v/>
      </c>
      <c r="DK191" s="108" t="str">
        <f t="shared" si="3087"/>
        <v/>
      </c>
      <c r="DL191" s="108" t="str">
        <f t="shared" si="3087"/>
        <v/>
      </c>
      <c r="DM191" s="108" t="str">
        <f t="shared" si="3087"/>
        <v/>
      </c>
      <c r="DN191" s="108" t="str">
        <f t="shared" si="3087"/>
        <v/>
      </c>
      <c r="DO191" s="108" t="str">
        <f t="shared" si="3087"/>
        <v/>
      </c>
      <c r="DP191" s="108" t="str">
        <f t="shared" si="3087"/>
        <v/>
      </c>
      <c r="DQ191" s="108" t="str">
        <f t="shared" si="3087"/>
        <v/>
      </c>
      <c r="DR191" s="108" t="str">
        <f t="shared" si="3087"/>
        <v/>
      </c>
      <c r="DS191" s="108" t="str">
        <f t="shared" si="3087"/>
        <v/>
      </c>
      <c r="DT191" s="108" t="str">
        <f t="shared" si="3087"/>
        <v/>
      </c>
      <c r="DU191" s="108" t="str">
        <f t="shared" si="3087"/>
        <v/>
      </c>
      <c r="DV191" s="108" t="str">
        <f t="shared" si="3087"/>
        <v/>
      </c>
      <c r="DW191" s="108" t="str">
        <f t="shared" si="3087"/>
        <v/>
      </c>
      <c r="DX191" s="108" t="str">
        <f t="shared" si="3087"/>
        <v/>
      </c>
      <c r="DY191" s="108" t="str">
        <f t="shared" si="3087"/>
        <v/>
      </c>
      <c r="DZ191" s="108" t="str">
        <f t="shared" si="3087"/>
        <v/>
      </c>
      <c r="EA191" s="108" t="str">
        <f t="shared" si="3087"/>
        <v/>
      </c>
      <c r="EB191" s="108" t="str">
        <f t="shared" si="3087"/>
        <v/>
      </c>
      <c r="EC191" s="108" t="str">
        <f t="shared" si="3087"/>
        <v/>
      </c>
      <c r="ED191" s="108" t="str">
        <f t="shared" si="3087"/>
        <v/>
      </c>
      <c r="EE191" s="108" t="str">
        <f t="shared" si="3087"/>
        <v/>
      </c>
      <c r="EF191" s="108" t="str">
        <f t="shared" si="3087"/>
        <v/>
      </c>
      <c r="EG191" s="108" t="str">
        <f t="shared" si="3087"/>
        <v/>
      </c>
      <c r="EH191" s="108" t="str">
        <f t="shared" si="3087"/>
        <v/>
      </c>
      <c r="EI191" s="108" t="str">
        <f t="shared" si="3087"/>
        <v/>
      </c>
      <c r="EJ191" s="108" t="str">
        <f t="shared" si="3087"/>
        <v/>
      </c>
      <c r="EK191" s="108" t="str">
        <f t="shared" si="3087"/>
        <v/>
      </c>
      <c r="EL191" s="108" t="str">
        <f t="shared" si="3087"/>
        <v/>
      </c>
      <c r="EM191" s="108" t="str">
        <f t="shared" si="3087"/>
        <v/>
      </c>
      <c r="EN191" s="108" t="str">
        <f t="shared" si="3087"/>
        <v/>
      </c>
      <c r="EO191" s="108" t="str">
        <f t="shared" si="3087"/>
        <v/>
      </c>
      <c r="EP191" s="108" t="str">
        <f t="shared" si="3087"/>
        <v/>
      </c>
      <c r="EQ191" s="108" t="str">
        <f t="shared" si="3087"/>
        <v/>
      </c>
      <c r="ER191" s="108" t="str">
        <f t="shared" si="3087"/>
        <v/>
      </c>
      <c r="ES191" s="108" t="str">
        <f t="shared" si="3087"/>
        <v/>
      </c>
      <c r="ET191" s="108" t="str">
        <f t="shared" si="3087"/>
        <v/>
      </c>
      <c r="EU191" s="108" t="str">
        <f t="shared" si="3087"/>
        <v/>
      </c>
      <c r="EV191" s="108" t="str">
        <f t="shared" si="3087"/>
        <v/>
      </c>
      <c r="EW191" s="108" t="str">
        <f t="shared" si="3087"/>
        <v/>
      </c>
      <c r="EX191" s="108" t="str">
        <f t="shared" si="3087"/>
        <v/>
      </c>
      <c r="EY191" s="108" t="str">
        <f t="shared" si="3087"/>
        <v/>
      </c>
      <c r="EZ191" s="108" t="str">
        <f t="shared" si="3087"/>
        <v/>
      </c>
      <c r="FA191" s="108" t="str">
        <f t="shared" si="3087"/>
        <v/>
      </c>
      <c r="FB191" s="108" t="str">
        <f t="shared" si="3087"/>
        <v/>
      </c>
      <c r="FC191" s="108" t="str">
        <f t="shared" si="3087"/>
        <v/>
      </c>
      <c r="FD191" s="108" t="str">
        <f t="shared" si="3087"/>
        <v/>
      </c>
      <c r="FE191" s="108" t="str">
        <f t="shared" si="3087"/>
        <v/>
      </c>
      <c r="FF191" s="108" t="str">
        <f t="shared" si="3087"/>
        <v/>
      </c>
      <c r="FG191" s="108" t="str">
        <f t="shared" si="3087"/>
        <v/>
      </c>
      <c r="FH191" s="108" t="str">
        <f t="shared" si="3087"/>
        <v/>
      </c>
      <c r="FI191" s="108" t="str">
        <f t="shared" si="3087"/>
        <v/>
      </c>
      <c r="FJ191" s="108" t="str">
        <f t="shared" si="3087"/>
        <v/>
      </c>
      <c r="FK191" s="108" t="str">
        <f t="shared" si="3087"/>
        <v/>
      </c>
      <c r="FL191" s="108" t="str">
        <f t="shared" si="3087"/>
        <v/>
      </c>
      <c r="FM191" s="108" t="str">
        <f t="shared" si="3087"/>
        <v/>
      </c>
      <c r="FN191" s="108" t="str">
        <f t="shared" ref="FN191:FS191" si="3088">IF(CH191="","","|n"&amp;FN$2&amp;"+"&amp;CH191&amp;FN$1)</f>
        <v/>
      </c>
      <c r="FO191" s="108" t="str">
        <f t="shared" si="3088"/>
        <v/>
      </c>
      <c r="FP191" s="108" t="str">
        <f t="shared" si="3088"/>
        <v/>
      </c>
      <c r="FQ191" s="108" t="str">
        <f t="shared" si="3088"/>
        <v/>
      </c>
      <c r="FR191" s="108" t="str">
        <f t="shared" si="3088"/>
        <v/>
      </c>
      <c r="FS191" s="108" t="str">
        <f t="shared" si="3088"/>
        <v/>
      </c>
    </row>
    <row r="192" spans="1:175" s="29" customFormat="1" ht="16.5">
      <c r="A192" s="15"/>
      <c r="B192" s="9" t="s">
        <v>685</v>
      </c>
      <c r="C192" s="26" t="s">
        <v>686</v>
      </c>
      <c r="D192" s="12"/>
      <c r="E192" s="12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92"/>
      <c r="Q192" s="92"/>
      <c r="R192" s="92"/>
      <c r="S192" s="92"/>
      <c r="T192" s="15" t="s">
        <v>676</v>
      </c>
      <c r="U192" s="77" t="s">
        <v>687</v>
      </c>
      <c r="V192" s="102"/>
      <c r="W192" s="103"/>
      <c r="X192" s="103"/>
      <c r="Y192" s="103"/>
      <c r="Z192" s="103"/>
      <c r="AA192" s="103"/>
      <c r="AB192" s="103"/>
      <c r="AC192" s="103"/>
      <c r="AD192" s="103"/>
      <c r="AE192" s="103"/>
      <c r="AF192" s="103"/>
      <c r="AG192" s="103"/>
      <c r="AH192" s="103"/>
      <c r="AI192" s="103"/>
      <c r="AJ192" s="103"/>
      <c r="AK192" s="103"/>
      <c r="AL192" s="103"/>
      <c r="AM192" s="103"/>
      <c r="AN192" s="103"/>
      <c r="AO192" s="103"/>
      <c r="AP192" s="103"/>
      <c r="AQ192" s="103"/>
      <c r="AR192" s="106"/>
      <c r="AS192" s="106"/>
      <c r="AT192" s="103"/>
      <c r="AU192" s="103"/>
      <c r="AV192" s="103"/>
      <c r="AW192" s="103"/>
      <c r="AX192" s="103"/>
      <c r="AY192" s="103"/>
      <c r="AZ192" s="103"/>
      <c r="BA192" s="103"/>
      <c r="BB192" s="103"/>
      <c r="BC192" s="103"/>
      <c r="BD192" s="103"/>
      <c r="BE192" s="103"/>
      <c r="BF192" s="103"/>
      <c r="BG192" s="103"/>
      <c r="BH192" s="103"/>
      <c r="BI192" s="103"/>
      <c r="BJ192" s="103"/>
      <c r="BK192" s="103"/>
      <c r="BL192" s="103"/>
      <c r="BM192" s="103"/>
      <c r="BN192" s="103"/>
      <c r="BO192" s="103"/>
      <c r="BP192" s="103"/>
      <c r="BQ192" s="103"/>
      <c r="BR192" s="103"/>
      <c r="BS192" s="103"/>
      <c r="BT192" s="103"/>
      <c r="BU192" s="103"/>
      <c r="BV192" s="103"/>
      <c r="BW192" s="103"/>
      <c r="BX192" s="103"/>
      <c r="BY192" s="103"/>
      <c r="BZ192" s="103"/>
      <c r="CA192" s="103"/>
      <c r="CB192" s="103"/>
      <c r="CC192" s="103"/>
      <c r="CD192" s="103"/>
      <c r="CE192" s="103"/>
      <c r="CF192" s="103"/>
      <c r="CG192" s="103"/>
      <c r="CH192" s="103"/>
      <c r="CI192" s="103"/>
      <c r="CJ192" s="103"/>
      <c r="CK192" s="103"/>
      <c r="CL192" s="103"/>
      <c r="CM192" s="103"/>
      <c r="CN192" s="107" t="str">
        <f t="shared" si="2917"/>
        <v>InitUnitState('IS25',,,,,,,,,,)</v>
      </c>
      <c r="CO192" s="107" t="str">
        <f t="shared" si="2918"/>
        <v>InitUnitNormal('IS25',,,,,,,,,,)</v>
      </c>
      <c r="CP192" s="107" t="str">
        <f t="shared" si="2919"/>
        <v>InitUnitMagic('IS25',,,,,,,,,,)</v>
      </c>
      <c r="CQ192" s="107" t="str">
        <f t="shared" si="2920"/>
        <v>InitUnitAdd('IS25',,,,,,,,,,)</v>
      </c>
      <c r="CR192" s="107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InitEquipData('IS25',,"",,,,,'','','','','','',"ReplaceableTextures\\CommandButtons\\BTN011.blp")</v>
      </c>
      <c r="CS192" s="107"/>
      <c r="CT192" s="107"/>
      <c r="CU192" s="88" t="str">
        <f t="shared" si="3015"/>
        <v>|n</v>
      </c>
      <c r="CV192" s="29" t="str">
        <f t="shared" si="3016"/>
        <v>为|Cffffd24dW技能|r附魔一条|Cffffd24d随机属性|r。</v>
      </c>
      <c r="CW192" s="33"/>
      <c r="CX192" s="33"/>
      <c r="CY192" s="33"/>
      <c r="CZ192" s="33"/>
      <c r="DA192" s="33"/>
      <c r="DB192" s="108" t="str">
        <f t="shared" ref="DB192:FM192" si="3089">IF(V192="","","|n"&amp;DB$2&amp;"+"&amp;V192&amp;DB$1)</f>
        <v/>
      </c>
      <c r="DC192" s="108" t="str">
        <f t="shared" si="3089"/>
        <v/>
      </c>
      <c r="DD192" s="108" t="str">
        <f t="shared" si="3089"/>
        <v/>
      </c>
      <c r="DE192" s="108" t="str">
        <f t="shared" si="3089"/>
        <v/>
      </c>
      <c r="DF192" s="108" t="str">
        <f t="shared" si="3089"/>
        <v/>
      </c>
      <c r="DG192" s="108" t="str">
        <f t="shared" si="3089"/>
        <v/>
      </c>
      <c r="DH192" s="108" t="str">
        <f t="shared" si="3089"/>
        <v/>
      </c>
      <c r="DI192" s="108" t="str">
        <f t="shared" si="3089"/>
        <v/>
      </c>
      <c r="DJ192" s="108" t="str">
        <f t="shared" si="3089"/>
        <v/>
      </c>
      <c r="DK192" s="108" t="str">
        <f t="shared" si="3089"/>
        <v/>
      </c>
      <c r="DL192" s="108" t="str">
        <f t="shared" si="3089"/>
        <v/>
      </c>
      <c r="DM192" s="108" t="str">
        <f t="shared" si="3089"/>
        <v/>
      </c>
      <c r="DN192" s="108" t="str">
        <f t="shared" si="3089"/>
        <v/>
      </c>
      <c r="DO192" s="108" t="str">
        <f t="shared" si="3089"/>
        <v/>
      </c>
      <c r="DP192" s="108" t="str">
        <f t="shared" si="3089"/>
        <v/>
      </c>
      <c r="DQ192" s="108" t="str">
        <f t="shared" si="3089"/>
        <v/>
      </c>
      <c r="DR192" s="108" t="str">
        <f t="shared" si="3089"/>
        <v/>
      </c>
      <c r="DS192" s="108" t="str">
        <f t="shared" si="3089"/>
        <v/>
      </c>
      <c r="DT192" s="108" t="str">
        <f t="shared" si="3089"/>
        <v/>
      </c>
      <c r="DU192" s="108" t="str">
        <f t="shared" si="3089"/>
        <v/>
      </c>
      <c r="DV192" s="108" t="str">
        <f t="shared" si="3089"/>
        <v/>
      </c>
      <c r="DW192" s="108" t="str">
        <f t="shared" si="3089"/>
        <v/>
      </c>
      <c r="DX192" s="108" t="str">
        <f t="shared" si="3089"/>
        <v/>
      </c>
      <c r="DY192" s="108" t="str">
        <f t="shared" si="3089"/>
        <v/>
      </c>
      <c r="DZ192" s="108" t="str">
        <f t="shared" si="3089"/>
        <v/>
      </c>
      <c r="EA192" s="108" t="str">
        <f t="shared" si="3089"/>
        <v/>
      </c>
      <c r="EB192" s="108" t="str">
        <f t="shared" si="3089"/>
        <v/>
      </c>
      <c r="EC192" s="108" t="str">
        <f t="shared" si="3089"/>
        <v/>
      </c>
      <c r="ED192" s="108" t="str">
        <f t="shared" si="3089"/>
        <v/>
      </c>
      <c r="EE192" s="108" t="str">
        <f t="shared" si="3089"/>
        <v/>
      </c>
      <c r="EF192" s="108" t="str">
        <f t="shared" si="3089"/>
        <v/>
      </c>
      <c r="EG192" s="108" t="str">
        <f t="shared" si="3089"/>
        <v/>
      </c>
      <c r="EH192" s="108" t="str">
        <f t="shared" si="3089"/>
        <v/>
      </c>
      <c r="EI192" s="108" t="str">
        <f t="shared" si="3089"/>
        <v/>
      </c>
      <c r="EJ192" s="108" t="str">
        <f t="shared" si="3089"/>
        <v/>
      </c>
      <c r="EK192" s="108" t="str">
        <f t="shared" si="3089"/>
        <v/>
      </c>
      <c r="EL192" s="108" t="str">
        <f t="shared" si="3089"/>
        <v/>
      </c>
      <c r="EM192" s="108" t="str">
        <f t="shared" si="3089"/>
        <v/>
      </c>
      <c r="EN192" s="108" t="str">
        <f t="shared" si="3089"/>
        <v/>
      </c>
      <c r="EO192" s="108" t="str">
        <f t="shared" si="3089"/>
        <v/>
      </c>
      <c r="EP192" s="108" t="str">
        <f t="shared" si="3089"/>
        <v/>
      </c>
      <c r="EQ192" s="108" t="str">
        <f t="shared" si="3089"/>
        <v/>
      </c>
      <c r="ER192" s="108" t="str">
        <f t="shared" si="3089"/>
        <v/>
      </c>
      <c r="ES192" s="108" t="str">
        <f t="shared" si="3089"/>
        <v/>
      </c>
      <c r="ET192" s="108" t="str">
        <f t="shared" si="3089"/>
        <v/>
      </c>
      <c r="EU192" s="108" t="str">
        <f t="shared" si="3089"/>
        <v/>
      </c>
      <c r="EV192" s="108" t="str">
        <f t="shared" si="3089"/>
        <v/>
      </c>
      <c r="EW192" s="108" t="str">
        <f t="shared" si="3089"/>
        <v/>
      </c>
      <c r="EX192" s="108" t="str">
        <f t="shared" si="3089"/>
        <v/>
      </c>
      <c r="EY192" s="108" t="str">
        <f t="shared" si="3089"/>
        <v/>
      </c>
      <c r="EZ192" s="108" t="str">
        <f t="shared" si="3089"/>
        <v/>
      </c>
      <c r="FA192" s="108" t="str">
        <f t="shared" si="3089"/>
        <v/>
      </c>
      <c r="FB192" s="108" t="str">
        <f t="shared" si="3089"/>
        <v/>
      </c>
      <c r="FC192" s="108" t="str">
        <f t="shared" si="3089"/>
        <v/>
      </c>
      <c r="FD192" s="108" t="str">
        <f t="shared" si="3089"/>
        <v/>
      </c>
      <c r="FE192" s="108" t="str">
        <f t="shared" si="3089"/>
        <v/>
      </c>
      <c r="FF192" s="108" t="str">
        <f t="shared" si="3089"/>
        <v/>
      </c>
      <c r="FG192" s="108" t="str">
        <f t="shared" si="3089"/>
        <v/>
      </c>
      <c r="FH192" s="108" t="str">
        <f t="shared" si="3089"/>
        <v/>
      </c>
      <c r="FI192" s="108" t="str">
        <f t="shared" si="3089"/>
        <v/>
      </c>
      <c r="FJ192" s="108" t="str">
        <f t="shared" si="3089"/>
        <v/>
      </c>
      <c r="FK192" s="108" t="str">
        <f t="shared" si="3089"/>
        <v/>
      </c>
      <c r="FL192" s="108" t="str">
        <f t="shared" si="3089"/>
        <v/>
      </c>
      <c r="FM192" s="108" t="str">
        <f t="shared" si="3089"/>
        <v/>
      </c>
      <c r="FN192" s="108" t="str">
        <f t="shared" ref="FN192:FS192" si="3090">IF(CH192="","","|n"&amp;FN$2&amp;"+"&amp;CH192&amp;FN$1)</f>
        <v/>
      </c>
      <c r="FO192" s="108" t="str">
        <f t="shared" si="3090"/>
        <v/>
      </c>
      <c r="FP192" s="108" t="str">
        <f t="shared" si="3090"/>
        <v/>
      </c>
      <c r="FQ192" s="108" t="str">
        <f t="shared" si="3090"/>
        <v/>
      </c>
      <c r="FR192" s="108" t="str">
        <f t="shared" si="3090"/>
        <v/>
      </c>
      <c r="FS192" s="108" t="str">
        <f t="shared" si="3090"/>
        <v/>
      </c>
    </row>
    <row r="193" spans="1:175" s="29" customFormat="1" ht="16.5">
      <c r="A193" s="15"/>
      <c r="B193" s="9" t="s">
        <v>688</v>
      </c>
      <c r="C193" s="26" t="s">
        <v>689</v>
      </c>
      <c r="D193" s="12"/>
      <c r="E193" s="12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92"/>
      <c r="Q193" s="92"/>
      <c r="R193" s="92"/>
      <c r="S193" s="92"/>
      <c r="T193" s="15" t="s">
        <v>680</v>
      </c>
      <c r="U193" s="77" t="s">
        <v>690</v>
      </c>
      <c r="V193" s="102"/>
      <c r="W193" s="103"/>
      <c r="X193" s="103"/>
      <c r="Y193" s="103"/>
      <c r="Z193" s="103"/>
      <c r="AA193" s="103"/>
      <c r="AB193" s="103"/>
      <c r="AC193" s="103"/>
      <c r="AD193" s="103"/>
      <c r="AE193" s="103"/>
      <c r="AF193" s="103"/>
      <c r="AG193" s="103"/>
      <c r="AH193" s="103"/>
      <c r="AI193" s="103"/>
      <c r="AJ193" s="103"/>
      <c r="AK193" s="103"/>
      <c r="AL193" s="103"/>
      <c r="AM193" s="103"/>
      <c r="AN193" s="103"/>
      <c r="AO193" s="103"/>
      <c r="AP193" s="103"/>
      <c r="AQ193" s="103"/>
      <c r="AR193" s="106"/>
      <c r="AS193" s="106"/>
      <c r="AT193" s="103"/>
      <c r="AU193" s="103"/>
      <c r="AV193" s="103"/>
      <c r="AW193" s="103"/>
      <c r="AX193" s="103"/>
      <c r="AY193" s="103"/>
      <c r="AZ193" s="103"/>
      <c r="BA193" s="103"/>
      <c r="BB193" s="103"/>
      <c r="BC193" s="103"/>
      <c r="BD193" s="103"/>
      <c r="BE193" s="103"/>
      <c r="BF193" s="103"/>
      <c r="BG193" s="103"/>
      <c r="BH193" s="103"/>
      <c r="BI193" s="103"/>
      <c r="BJ193" s="103"/>
      <c r="BK193" s="103"/>
      <c r="BL193" s="103"/>
      <c r="BM193" s="103"/>
      <c r="BN193" s="103"/>
      <c r="BO193" s="103"/>
      <c r="BP193" s="103"/>
      <c r="BQ193" s="103"/>
      <c r="BR193" s="103"/>
      <c r="BS193" s="103"/>
      <c r="BT193" s="103"/>
      <c r="BU193" s="103"/>
      <c r="BV193" s="103"/>
      <c r="BW193" s="103"/>
      <c r="BX193" s="103"/>
      <c r="BY193" s="103"/>
      <c r="BZ193" s="103"/>
      <c r="CA193" s="103"/>
      <c r="CB193" s="103"/>
      <c r="CC193" s="103"/>
      <c r="CD193" s="103"/>
      <c r="CE193" s="103"/>
      <c r="CF193" s="103"/>
      <c r="CG193" s="103"/>
      <c r="CH193" s="103"/>
      <c r="CI193" s="103"/>
      <c r="CJ193" s="103"/>
      <c r="CK193" s="103"/>
      <c r="CL193" s="103"/>
      <c r="CM193" s="103"/>
      <c r="CN193" s="107" t="str">
        <f t="shared" si="2917"/>
        <v>InitUnitState('IS26',,,,,,,,,,)</v>
      </c>
      <c r="CO193" s="107" t="str">
        <f t="shared" si="2918"/>
        <v>InitUnitNormal('IS26',,,,,,,,,,)</v>
      </c>
      <c r="CP193" s="107" t="str">
        <f t="shared" si="2919"/>
        <v>InitUnitMagic('IS26',,,,,,,,,,)</v>
      </c>
      <c r="CQ193" s="107" t="str">
        <f t="shared" si="2920"/>
        <v>InitUnitAdd('IS26',,,,,,,,,,)</v>
      </c>
      <c r="CR193" s="107" t="e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#REF!&amp;CR$1&amp;")"</f>
        <v>#REF!</v>
      </c>
      <c r="CS193" s="107"/>
      <c r="CT193" s="107"/>
      <c r="CU193" s="88" t="str">
        <f t="shared" si="3015"/>
        <v>|n</v>
      </c>
      <c r="CV193" s="29" t="str">
        <f t="shared" si="3016"/>
        <v>为|Cffffd24dE技能|r附魔一条|Cffffd24d随机属性|r。</v>
      </c>
      <c r="CW193" s="33"/>
      <c r="CX193" s="33"/>
      <c r="CY193" s="33"/>
      <c r="CZ193" s="33"/>
      <c r="DA193" s="33"/>
      <c r="DB193" s="108" t="str">
        <f t="shared" ref="DB193:FM193" si="3091">IF(V193="","","|n"&amp;DB$2&amp;"+"&amp;V193&amp;DB$1)</f>
        <v/>
      </c>
      <c r="DC193" s="108" t="str">
        <f t="shared" si="3091"/>
        <v/>
      </c>
      <c r="DD193" s="108" t="str">
        <f t="shared" si="3091"/>
        <v/>
      </c>
      <c r="DE193" s="108" t="str">
        <f t="shared" si="3091"/>
        <v/>
      </c>
      <c r="DF193" s="108" t="str">
        <f t="shared" si="3091"/>
        <v/>
      </c>
      <c r="DG193" s="108" t="str">
        <f t="shared" si="3091"/>
        <v/>
      </c>
      <c r="DH193" s="108" t="str">
        <f t="shared" si="3091"/>
        <v/>
      </c>
      <c r="DI193" s="108" t="str">
        <f t="shared" si="3091"/>
        <v/>
      </c>
      <c r="DJ193" s="108" t="str">
        <f t="shared" si="3091"/>
        <v/>
      </c>
      <c r="DK193" s="108" t="str">
        <f t="shared" si="3091"/>
        <v/>
      </c>
      <c r="DL193" s="108" t="str">
        <f t="shared" si="3091"/>
        <v/>
      </c>
      <c r="DM193" s="108" t="str">
        <f t="shared" si="3091"/>
        <v/>
      </c>
      <c r="DN193" s="108" t="str">
        <f t="shared" si="3091"/>
        <v/>
      </c>
      <c r="DO193" s="108" t="str">
        <f t="shared" si="3091"/>
        <v/>
      </c>
      <c r="DP193" s="108" t="str">
        <f t="shared" si="3091"/>
        <v/>
      </c>
      <c r="DQ193" s="108" t="str">
        <f t="shared" si="3091"/>
        <v/>
      </c>
      <c r="DR193" s="108" t="str">
        <f t="shared" si="3091"/>
        <v/>
      </c>
      <c r="DS193" s="108" t="str">
        <f t="shared" si="3091"/>
        <v/>
      </c>
      <c r="DT193" s="108" t="str">
        <f t="shared" si="3091"/>
        <v/>
      </c>
      <c r="DU193" s="108" t="str">
        <f t="shared" si="3091"/>
        <v/>
      </c>
      <c r="DV193" s="108" t="str">
        <f t="shared" si="3091"/>
        <v/>
      </c>
      <c r="DW193" s="108" t="str">
        <f t="shared" si="3091"/>
        <v/>
      </c>
      <c r="DX193" s="108" t="str">
        <f t="shared" si="3091"/>
        <v/>
      </c>
      <c r="DY193" s="108" t="str">
        <f t="shared" si="3091"/>
        <v/>
      </c>
      <c r="DZ193" s="108" t="str">
        <f t="shared" si="3091"/>
        <v/>
      </c>
      <c r="EA193" s="108" t="str">
        <f t="shared" si="3091"/>
        <v/>
      </c>
      <c r="EB193" s="108" t="str">
        <f t="shared" si="3091"/>
        <v/>
      </c>
      <c r="EC193" s="108" t="str">
        <f t="shared" si="3091"/>
        <v/>
      </c>
      <c r="ED193" s="108" t="str">
        <f t="shared" si="3091"/>
        <v/>
      </c>
      <c r="EE193" s="108" t="str">
        <f t="shared" si="3091"/>
        <v/>
      </c>
      <c r="EF193" s="108" t="str">
        <f t="shared" si="3091"/>
        <v/>
      </c>
      <c r="EG193" s="108" t="str">
        <f t="shared" si="3091"/>
        <v/>
      </c>
      <c r="EH193" s="108" t="str">
        <f t="shared" si="3091"/>
        <v/>
      </c>
      <c r="EI193" s="108" t="str">
        <f t="shared" si="3091"/>
        <v/>
      </c>
      <c r="EJ193" s="108" t="str">
        <f t="shared" si="3091"/>
        <v/>
      </c>
      <c r="EK193" s="108" t="str">
        <f t="shared" si="3091"/>
        <v/>
      </c>
      <c r="EL193" s="108" t="str">
        <f t="shared" si="3091"/>
        <v/>
      </c>
      <c r="EM193" s="108" t="str">
        <f t="shared" si="3091"/>
        <v/>
      </c>
      <c r="EN193" s="108" t="str">
        <f t="shared" si="3091"/>
        <v/>
      </c>
      <c r="EO193" s="108" t="str">
        <f t="shared" si="3091"/>
        <v/>
      </c>
      <c r="EP193" s="108" t="str">
        <f t="shared" si="3091"/>
        <v/>
      </c>
      <c r="EQ193" s="108" t="str">
        <f t="shared" si="3091"/>
        <v/>
      </c>
      <c r="ER193" s="108" t="str">
        <f t="shared" si="3091"/>
        <v/>
      </c>
      <c r="ES193" s="108" t="str">
        <f t="shared" si="3091"/>
        <v/>
      </c>
      <c r="ET193" s="108" t="str">
        <f t="shared" si="3091"/>
        <v/>
      </c>
      <c r="EU193" s="108" t="str">
        <f t="shared" si="3091"/>
        <v/>
      </c>
      <c r="EV193" s="108" t="str">
        <f t="shared" si="3091"/>
        <v/>
      </c>
      <c r="EW193" s="108" t="str">
        <f t="shared" si="3091"/>
        <v/>
      </c>
      <c r="EX193" s="108" t="str">
        <f t="shared" si="3091"/>
        <v/>
      </c>
      <c r="EY193" s="108" t="str">
        <f t="shared" si="3091"/>
        <v/>
      </c>
      <c r="EZ193" s="108" t="str">
        <f t="shared" si="3091"/>
        <v/>
      </c>
      <c r="FA193" s="108" t="str">
        <f t="shared" si="3091"/>
        <v/>
      </c>
      <c r="FB193" s="108" t="str">
        <f t="shared" si="3091"/>
        <v/>
      </c>
      <c r="FC193" s="108" t="str">
        <f t="shared" si="3091"/>
        <v/>
      </c>
      <c r="FD193" s="108" t="str">
        <f t="shared" si="3091"/>
        <v/>
      </c>
      <c r="FE193" s="108" t="str">
        <f t="shared" si="3091"/>
        <v/>
      </c>
      <c r="FF193" s="108" t="str">
        <f t="shared" si="3091"/>
        <v/>
      </c>
      <c r="FG193" s="108" t="str">
        <f t="shared" si="3091"/>
        <v/>
      </c>
      <c r="FH193" s="108" t="str">
        <f t="shared" si="3091"/>
        <v/>
      </c>
      <c r="FI193" s="108" t="str">
        <f t="shared" si="3091"/>
        <v/>
      </c>
      <c r="FJ193" s="108" t="str">
        <f t="shared" si="3091"/>
        <v/>
      </c>
      <c r="FK193" s="108" t="str">
        <f t="shared" si="3091"/>
        <v/>
      </c>
      <c r="FL193" s="108" t="str">
        <f t="shared" si="3091"/>
        <v/>
      </c>
      <c r="FM193" s="108" t="str">
        <f t="shared" si="3091"/>
        <v/>
      </c>
      <c r="FN193" s="108" t="str">
        <f t="shared" ref="FN193:FS193" si="3092">IF(CH193="","","|n"&amp;FN$2&amp;"+"&amp;CH193&amp;FN$1)</f>
        <v/>
      </c>
      <c r="FO193" s="108" t="str">
        <f t="shared" si="3092"/>
        <v/>
      </c>
      <c r="FP193" s="108" t="str">
        <f t="shared" si="3092"/>
        <v/>
      </c>
      <c r="FQ193" s="108" t="str">
        <f t="shared" si="3092"/>
        <v/>
      </c>
      <c r="FR193" s="108" t="str">
        <f t="shared" si="3092"/>
        <v/>
      </c>
      <c r="FS193" s="108" t="str">
        <f t="shared" si="3092"/>
        <v/>
      </c>
    </row>
    <row r="194" spans="1:175" ht="16.5">
      <c r="A194" s="15"/>
      <c r="B194" s="9" t="s">
        <v>691</v>
      </c>
      <c r="C194" s="15" t="s">
        <v>692</v>
      </c>
      <c r="T194" s="15" t="str">
        <f t="shared" ref="T194:T196" si="3093">C194</f>
        <v>|CffFF0000占星|r</v>
      </c>
      <c r="U194" s="77" t="str">
        <f t="shared" ref="U194" si="3094">"ReplaceableTextures\\CommandButtons\\BTN"&amp;B194&amp;".blp"</f>
        <v>ReplaceableTextures\\CommandButtons\\BTNIS11.blp</v>
      </c>
      <c r="CN194" s="36" t="str">
        <f t="shared" si="2917"/>
        <v>InitUnitState('IS11',,,,,,,,,,)</v>
      </c>
      <c r="CO194" s="36" t="str">
        <f t="shared" si="2918"/>
        <v>InitUnitNormal('IS11',,,,,,,,,,)</v>
      </c>
      <c r="CP194" s="36" t="str">
        <f t="shared" si="2919"/>
        <v>InitUnitMagic('IS11',,,,,,,,,,)</v>
      </c>
      <c r="CQ194" s="36" t="str">
        <f t="shared" si="2920"/>
        <v>InitUnitAdd('IS11',,,,,,,,,,)</v>
      </c>
      <c r="CR194" s="36" t="e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#REF!&amp;CR$1&amp;")"</f>
        <v>#REF!</v>
      </c>
      <c r="CU194" s="88" t="str">
        <f t="shared" ref="CU194:CU198" si="3095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19" t="str">
        <f t="shared" ref="CV194:CV198" si="3096">T194</f>
        <v>|CffFF0000占星|r</v>
      </c>
      <c r="CW194" s="33"/>
      <c r="CX194" s="33"/>
      <c r="CY194" s="33"/>
      <c r="CZ194" s="33"/>
      <c r="DA194" s="33"/>
      <c r="DB194" s="66" t="str">
        <f t="shared" ref="DB194" si="3097">IF(V194="","","|n"&amp;DB$2&amp;"+"&amp;V194&amp;DB$1)</f>
        <v/>
      </c>
      <c r="DC194" s="66" t="str">
        <f t="shared" ref="DC194" si="3098">IF(W194="","","|n"&amp;DC$2&amp;"+"&amp;W194&amp;DC$1)</f>
        <v/>
      </c>
      <c r="DD194" s="66" t="str">
        <f t="shared" ref="DD194" si="3099">IF(X194="","","|n"&amp;DD$2&amp;"+"&amp;X194&amp;DD$1)</f>
        <v/>
      </c>
      <c r="DE194" s="66" t="str">
        <f t="shared" ref="DE194" si="3100">IF(Y194="","","|n"&amp;DE$2&amp;"+"&amp;Y194&amp;DE$1)</f>
        <v/>
      </c>
      <c r="DF194" s="66" t="str">
        <f t="shared" ref="DF194" si="3101">IF(Z194="","","|n"&amp;DF$2&amp;"+"&amp;Z194&amp;DF$1)</f>
        <v/>
      </c>
      <c r="DG194" s="66" t="str">
        <f t="shared" ref="DG194" si="3102">IF(AA194="","","|n"&amp;DG$2&amp;"+"&amp;AA194&amp;DG$1)</f>
        <v/>
      </c>
      <c r="DH194" s="66" t="str">
        <f t="shared" ref="DH194" si="3103">IF(AB194="","","|n"&amp;DH$2&amp;"+"&amp;AB194&amp;DH$1)</f>
        <v/>
      </c>
      <c r="DI194" s="66" t="str">
        <f t="shared" ref="DI194" si="3104">IF(AC194="","","|n"&amp;DI$2&amp;"+"&amp;AC194&amp;DI$1)</f>
        <v/>
      </c>
      <c r="DJ194" s="66" t="str">
        <f t="shared" ref="DJ194" si="3105">IF(AD194="","","|n"&amp;DJ$2&amp;"+"&amp;AD194&amp;DJ$1)</f>
        <v/>
      </c>
      <c r="DK194" s="66" t="str">
        <f t="shared" ref="DK194" si="3106">IF(AE194="","","|n"&amp;DK$2&amp;"+"&amp;AE194&amp;DK$1)</f>
        <v/>
      </c>
      <c r="DL194" s="66" t="str">
        <f t="shared" ref="DL194" si="3107">IF(AF194="","","|n"&amp;DL$2&amp;"+"&amp;AF194&amp;DL$1)</f>
        <v/>
      </c>
      <c r="DM194" s="66" t="str">
        <f t="shared" ref="DM194" si="3108">IF(AG194="","","|n"&amp;DM$2&amp;"+"&amp;AG194&amp;DM$1)</f>
        <v/>
      </c>
      <c r="DN194" s="66" t="str">
        <f t="shared" ref="DN194" si="3109">IF(AH194="","","|n"&amp;DN$2&amp;"+"&amp;AH194&amp;DN$1)</f>
        <v/>
      </c>
      <c r="DO194" s="66" t="str">
        <f t="shared" ref="DO194" si="3110">IF(AI194="","","|n"&amp;DO$2&amp;"+"&amp;AI194&amp;DO$1)</f>
        <v/>
      </c>
      <c r="DP194" s="66" t="str">
        <f t="shared" ref="DP194" si="3111">IF(AJ194="","","|n"&amp;DP$2&amp;"+"&amp;AJ194&amp;DP$1)</f>
        <v/>
      </c>
      <c r="DQ194" s="66" t="str">
        <f t="shared" ref="DQ194" si="3112">IF(AK194="","","|n"&amp;DQ$2&amp;"+"&amp;AK194&amp;DQ$1)</f>
        <v/>
      </c>
      <c r="DR194" s="66" t="str">
        <f t="shared" ref="DR194" si="3113">IF(AL194="","","|n"&amp;DR$2&amp;"+"&amp;AL194&amp;DR$1)</f>
        <v/>
      </c>
      <c r="DS194" s="66" t="str">
        <f t="shared" ref="DS194" si="3114">IF(AM194="","","|n"&amp;DS$2&amp;"+"&amp;AM194&amp;DS$1)</f>
        <v/>
      </c>
      <c r="DT194" s="66" t="str">
        <f t="shared" ref="DT194" si="3115">IF(AN194="","","|n"&amp;DT$2&amp;"+"&amp;AN194&amp;DT$1)</f>
        <v/>
      </c>
      <c r="DU194" s="66" t="str">
        <f t="shared" ref="DU194" si="3116">IF(AO194="","","|n"&amp;DU$2&amp;"+"&amp;AO194&amp;DU$1)</f>
        <v/>
      </c>
      <c r="DV194" s="66" t="str">
        <f t="shared" ref="DV194" si="3117">IF(AP194="","","|n"&amp;DV$2&amp;"+"&amp;AP194&amp;DV$1)</f>
        <v/>
      </c>
      <c r="DW194" s="66" t="str">
        <f t="shared" ref="DW194" si="3118">IF(AQ194="","","|n"&amp;DW$2&amp;"+"&amp;AQ194&amp;DW$1)</f>
        <v/>
      </c>
      <c r="DX194" s="66" t="str">
        <f t="shared" ref="DX194" si="3119">IF(AR194="","","|n"&amp;DX$2&amp;"+"&amp;AR194&amp;DX$1)</f>
        <v/>
      </c>
      <c r="DY194" s="66" t="str">
        <f t="shared" ref="DY194" si="3120">IF(AS194="","","|n"&amp;DY$2&amp;"+"&amp;AS194&amp;DY$1)</f>
        <v/>
      </c>
      <c r="DZ194" s="66" t="str">
        <f t="shared" ref="DZ194" si="3121">IF(AT194="","","|n"&amp;DZ$2&amp;"+"&amp;AT194&amp;DZ$1)</f>
        <v/>
      </c>
      <c r="EA194" s="66" t="str">
        <f t="shared" ref="EA194" si="3122">IF(AU194="","","|n"&amp;EA$2&amp;"+"&amp;AU194&amp;EA$1)</f>
        <v/>
      </c>
      <c r="EB194" s="66" t="str">
        <f t="shared" ref="EB194" si="3123">IF(AV194="","","|n"&amp;EB$2&amp;"+"&amp;AV194&amp;EB$1)</f>
        <v/>
      </c>
      <c r="EC194" s="66" t="str">
        <f t="shared" ref="EC194" si="3124">IF(AW194="","","|n"&amp;EC$2&amp;"+"&amp;AW194&amp;EC$1)</f>
        <v/>
      </c>
      <c r="ED194" s="66" t="str">
        <f t="shared" ref="ED194" si="3125">IF(AX194="","","|n"&amp;ED$2&amp;"+"&amp;AX194&amp;ED$1)</f>
        <v/>
      </c>
      <c r="EE194" s="66" t="str">
        <f t="shared" ref="EE194" si="3126">IF(AY194="","","|n"&amp;EE$2&amp;"+"&amp;AY194&amp;EE$1)</f>
        <v/>
      </c>
      <c r="EF194" s="66" t="str">
        <f t="shared" ref="EF194" si="3127">IF(AZ194="","","|n"&amp;EF$2&amp;"+"&amp;AZ194&amp;EF$1)</f>
        <v/>
      </c>
      <c r="EG194" s="66" t="str">
        <f t="shared" ref="EG194" si="3128">IF(BA194="","","|n"&amp;EG$2&amp;"+"&amp;BA194&amp;EG$1)</f>
        <v/>
      </c>
      <c r="EH194" s="66" t="str">
        <f t="shared" ref="EH194" si="3129">IF(BB194="","","|n"&amp;EH$2&amp;"+"&amp;BB194&amp;EH$1)</f>
        <v/>
      </c>
      <c r="EI194" s="66" t="str">
        <f t="shared" ref="EI194" si="3130">IF(BC194="","","|n"&amp;EI$2&amp;"+"&amp;BC194&amp;EI$1)</f>
        <v/>
      </c>
      <c r="EJ194" s="66" t="str">
        <f t="shared" ref="EJ194" si="3131">IF(BD194="","","|n"&amp;EJ$2&amp;"+"&amp;BD194&amp;EJ$1)</f>
        <v/>
      </c>
      <c r="EK194" s="66" t="str">
        <f t="shared" ref="EK194" si="3132">IF(BE194="","","|n"&amp;EK$2&amp;"+"&amp;BE194&amp;EK$1)</f>
        <v/>
      </c>
      <c r="EL194" s="66" t="str">
        <f t="shared" ref="EL194" si="3133">IF(BF194="","","|n"&amp;EL$2&amp;"+"&amp;BF194&amp;EL$1)</f>
        <v/>
      </c>
      <c r="EM194" s="66" t="str">
        <f t="shared" ref="EM194" si="3134">IF(BG194="","","|n"&amp;EM$2&amp;"+"&amp;BG194&amp;EM$1)</f>
        <v/>
      </c>
      <c r="EN194" s="66" t="str">
        <f t="shared" ref="EN194" si="3135">IF(BH194="","","|n"&amp;EN$2&amp;"+"&amp;BH194&amp;EN$1)</f>
        <v/>
      </c>
      <c r="EO194" s="66" t="str">
        <f t="shared" ref="EO194" si="3136">IF(BI194="","","|n"&amp;EO$2&amp;"+"&amp;BI194&amp;EO$1)</f>
        <v/>
      </c>
      <c r="EP194" s="66" t="str">
        <f t="shared" ref="EP194" si="3137">IF(BJ194="","","|n"&amp;EP$2&amp;"+"&amp;BJ194&amp;EP$1)</f>
        <v/>
      </c>
      <c r="EQ194" s="66" t="str">
        <f t="shared" ref="EQ194" si="3138">IF(BK194="","","|n"&amp;EQ$2&amp;"+"&amp;BK194&amp;EQ$1)</f>
        <v/>
      </c>
      <c r="ER194" s="66" t="str">
        <f t="shared" ref="ER194" si="3139">IF(BL194="","","|n"&amp;ER$2&amp;"+"&amp;BL194&amp;ER$1)</f>
        <v/>
      </c>
      <c r="ES194" s="66" t="str">
        <f t="shared" ref="ES194" si="3140">IF(BM194="","","|n"&amp;ES$2&amp;"+"&amp;BM194&amp;ES$1)</f>
        <v/>
      </c>
      <c r="ET194" s="66" t="str">
        <f t="shared" ref="ET194" si="3141">IF(BN194="","","|n"&amp;ET$2&amp;"+"&amp;BN194&amp;ET$1)</f>
        <v/>
      </c>
      <c r="EU194" s="66" t="str">
        <f t="shared" ref="EU194" si="3142">IF(BO194="","","|n"&amp;EU$2&amp;"+"&amp;BO194&amp;EU$1)</f>
        <v/>
      </c>
      <c r="EV194" s="66" t="str">
        <f t="shared" ref="EV194" si="3143">IF(BP194="","","|n"&amp;EV$2&amp;"+"&amp;BP194&amp;EV$1)</f>
        <v/>
      </c>
      <c r="EW194" s="66" t="str">
        <f t="shared" ref="EW194" si="3144">IF(BQ194="","","|n"&amp;EW$2&amp;"+"&amp;BQ194&amp;EW$1)</f>
        <v/>
      </c>
      <c r="EX194" s="66" t="str">
        <f t="shared" ref="EX194" si="3145">IF(BR194="","","|n"&amp;EX$2&amp;"+"&amp;BR194&amp;EX$1)</f>
        <v/>
      </c>
      <c r="EY194" s="66" t="str">
        <f t="shared" ref="EY194" si="3146">IF(BS194="","","|n"&amp;EY$2&amp;"+"&amp;BS194&amp;EY$1)</f>
        <v/>
      </c>
      <c r="EZ194" s="66" t="str">
        <f t="shared" ref="EZ194" si="3147">IF(BT194="","","|n"&amp;EZ$2&amp;"+"&amp;BT194&amp;EZ$1)</f>
        <v/>
      </c>
      <c r="FA194" s="66" t="str">
        <f t="shared" ref="FA194" si="3148">IF(BU194="","","|n"&amp;FA$2&amp;"+"&amp;BU194&amp;FA$1)</f>
        <v/>
      </c>
      <c r="FB194" s="66" t="str">
        <f t="shared" ref="FB194" si="3149">IF(BV194="","","|n"&amp;FB$2&amp;"+"&amp;BV194&amp;FB$1)</f>
        <v/>
      </c>
      <c r="FC194" s="66" t="str">
        <f t="shared" ref="FC194" si="3150">IF(BW194="","","|n"&amp;FC$2&amp;"+"&amp;BW194&amp;FC$1)</f>
        <v/>
      </c>
      <c r="FD194" s="66" t="str">
        <f t="shared" ref="FD194" si="3151">IF(BX194="","","|n"&amp;FD$2&amp;"+"&amp;BX194&amp;FD$1)</f>
        <v/>
      </c>
      <c r="FE194" s="66" t="str">
        <f t="shared" ref="FE194" si="3152">IF(BY194="","","|n"&amp;FE$2&amp;"+"&amp;BY194&amp;FE$1)</f>
        <v/>
      </c>
      <c r="FF194" s="66" t="str">
        <f t="shared" ref="FF194" si="3153">IF(BZ194="","","|n"&amp;FF$2&amp;"+"&amp;BZ194&amp;FF$1)</f>
        <v/>
      </c>
      <c r="FG194" s="66" t="str">
        <f t="shared" ref="FG194" si="3154">IF(CA194="","","|n"&amp;FG$2&amp;"+"&amp;CA194&amp;FG$1)</f>
        <v/>
      </c>
      <c r="FH194" s="66" t="str">
        <f t="shared" ref="FH194" si="3155">IF(CB194="","","|n"&amp;FH$2&amp;"+"&amp;CB194&amp;FH$1)</f>
        <v/>
      </c>
      <c r="FI194" s="66" t="str">
        <f t="shared" ref="FI194" si="3156">IF(CC194="","","|n"&amp;FI$2&amp;"+"&amp;CC194&amp;FI$1)</f>
        <v/>
      </c>
      <c r="FJ194" s="66" t="str">
        <f t="shared" ref="FJ194" si="3157">IF(CD194="","","|n"&amp;FJ$2&amp;"+"&amp;CD194&amp;FJ$1)</f>
        <v/>
      </c>
      <c r="FK194" s="66" t="str">
        <f t="shared" ref="FK194" si="3158">IF(CE194="","","|n"&amp;FK$2&amp;"+"&amp;CE194&amp;FK$1)</f>
        <v/>
      </c>
      <c r="FL194" s="66" t="str">
        <f t="shared" ref="FL194" si="3159">IF(CF194="","","|n"&amp;FL$2&amp;"+"&amp;CF194&amp;FL$1)</f>
        <v/>
      </c>
      <c r="FM194" s="66" t="str">
        <f t="shared" ref="FM194" si="3160">IF(CG194="","","|n"&amp;FM$2&amp;"+"&amp;CG194&amp;FM$1)</f>
        <v/>
      </c>
      <c r="FN194" s="66" t="str">
        <f t="shared" ref="FN194" si="3161">IF(CH194="","","|n"&amp;FN$2&amp;"+"&amp;CH194&amp;FN$1)</f>
        <v/>
      </c>
      <c r="FO194" s="66" t="str">
        <f t="shared" ref="FO194" si="3162">IF(CI194="","","|n"&amp;FO$2&amp;"+"&amp;CI194&amp;FO$1)</f>
        <v/>
      </c>
      <c r="FP194" s="66" t="str">
        <f t="shared" ref="FP194" si="3163">IF(CJ194="","","|n"&amp;FP$2&amp;"+"&amp;CJ194&amp;FP$1)</f>
        <v/>
      </c>
      <c r="FQ194" s="66" t="str">
        <f t="shared" ref="FQ194" si="3164">IF(CK194="","","|n"&amp;FQ$2&amp;"+"&amp;CK194&amp;FQ$1)</f>
        <v/>
      </c>
      <c r="FR194" s="66" t="str">
        <f t="shared" ref="FR194" si="3165">IF(CL194="","","|n"&amp;FR$2&amp;"+"&amp;CL194&amp;FR$1)</f>
        <v/>
      </c>
      <c r="FS194" s="66" t="str">
        <f t="shared" ref="FS194" si="3166">IF(CM194="","","|n"&amp;FS$2&amp;"+"&amp;CM194&amp;FS$1)</f>
        <v/>
      </c>
    </row>
    <row r="195" spans="1:175" ht="16.5">
      <c r="A195" s="15"/>
      <c r="B195" s="9" t="s">
        <v>693</v>
      </c>
      <c r="C195" s="15" t="s">
        <v>694</v>
      </c>
      <c r="T195" s="25" t="str">
        <f t="shared" si="3093"/>
        <v>|CffFFD24D兽魂抽奖|r</v>
      </c>
      <c r="U195" s="77" t="s">
        <v>695</v>
      </c>
      <c r="CN195" s="36" t="str">
        <f t="shared" si="2917"/>
        <v>InitUnitState('IS12',,,,,,,,,,)</v>
      </c>
      <c r="CO195" s="36" t="str">
        <f t="shared" si="2918"/>
        <v>InitUnitNormal('IS12',,,,,,,,,,)</v>
      </c>
      <c r="CP195" s="36" t="str">
        <f t="shared" si="2919"/>
        <v>InitUnitMagic('IS12',,,,,,,,,,)</v>
      </c>
      <c r="CQ195" s="36" t="str">
        <f t="shared" si="2920"/>
        <v>InitUnitAdd('IS12',,,,,,,,,,)</v>
      </c>
      <c r="CR195" s="36" t="e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#REF!&amp;CR$1&amp;")"</f>
        <v>#REF!</v>
      </c>
      <c r="CU195" s="88" t="str">
        <f t="shared" si="3095"/>
        <v>|n</v>
      </c>
      <c r="CV195" s="19" t="str">
        <f t="shared" si="3096"/>
        <v>|CffFFD24D兽魂抽奖|r</v>
      </c>
      <c r="CW195" s="33"/>
      <c r="CX195" s="33"/>
      <c r="CY195" s="33"/>
      <c r="CZ195" s="33"/>
      <c r="DA195" s="33"/>
      <c r="DB195" s="66" t="str">
        <f t="shared" ref="DB195:EG195" si="3167">IF(V195="","","|n"&amp;DB$2&amp;"+"&amp;V195&amp;DB$1)</f>
        <v/>
      </c>
      <c r="DC195" s="66" t="str">
        <f t="shared" si="3167"/>
        <v/>
      </c>
      <c r="DD195" s="66" t="str">
        <f t="shared" si="3167"/>
        <v/>
      </c>
      <c r="DE195" s="66" t="str">
        <f t="shared" si="3167"/>
        <v/>
      </c>
      <c r="DF195" s="66" t="str">
        <f t="shared" si="3167"/>
        <v/>
      </c>
      <c r="DG195" s="66" t="str">
        <f t="shared" si="3167"/>
        <v/>
      </c>
      <c r="DH195" s="66" t="str">
        <f t="shared" si="3167"/>
        <v/>
      </c>
      <c r="DI195" s="66" t="str">
        <f t="shared" si="3167"/>
        <v/>
      </c>
      <c r="DJ195" s="66" t="str">
        <f t="shared" si="3167"/>
        <v/>
      </c>
      <c r="DK195" s="66" t="str">
        <f t="shared" si="3167"/>
        <v/>
      </c>
      <c r="DL195" s="66" t="str">
        <f t="shared" si="3167"/>
        <v/>
      </c>
      <c r="DM195" s="66" t="str">
        <f t="shared" si="3167"/>
        <v/>
      </c>
      <c r="DN195" s="66" t="str">
        <f t="shared" si="3167"/>
        <v/>
      </c>
      <c r="DO195" s="66" t="str">
        <f t="shared" si="3167"/>
        <v/>
      </c>
      <c r="DP195" s="66" t="str">
        <f t="shared" si="3167"/>
        <v/>
      </c>
      <c r="DQ195" s="66" t="str">
        <f t="shared" si="3167"/>
        <v/>
      </c>
      <c r="DR195" s="66" t="str">
        <f t="shared" si="3167"/>
        <v/>
      </c>
      <c r="DS195" s="66" t="str">
        <f t="shared" si="3167"/>
        <v/>
      </c>
      <c r="DT195" s="66" t="str">
        <f t="shared" si="3167"/>
        <v/>
      </c>
      <c r="DU195" s="66" t="str">
        <f t="shared" si="3167"/>
        <v/>
      </c>
      <c r="DV195" s="66" t="str">
        <f t="shared" si="3167"/>
        <v/>
      </c>
      <c r="DW195" s="66" t="str">
        <f t="shared" si="3167"/>
        <v/>
      </c>
      <c r="DX195" s="66" t="str">
        <f t="shared" si="3167"/>
        <v/>
      </c>
      <c r="DY195" s="66" t="str">
        <f t="shared" si="3167"/>
        <v/>
      </c>
      <c r="DZ195" s="66" t="str">
        <f t="shared" si="3167"/>
        <v/>
      </c>
      <c r="EA195" s="66" t="str">
        <f t="shared" si="3167"/>
        <v/>
      </c>
      <c r="EB195" s="66" t="str">
        <f t="shared" si="3167"/>
        <v/>
      </c>
      <c r="EC195" s="66" t="str">
        <f t="shared" si="3167"/>
        <v/>
      </c>
      <c r="ED195" s="66" t="str">
        <f t="shared" si="3167"/>
        <v/>
      </c>
      <c r="EE195" s="66" t="str">
        <f t="shared" si="3167"/>
        <v/>
      </c>
      <c r="EF195" s="66" t="str">
        <f t="shared" si="3167"/>
        <v/>
      </c>
      <c r="EG195" s="66" t="str">
        <f t="shared" si="3167"/>
        <v/>
      </c>
      <c r="EH195" s="66" t="str">
        <f t="shared" ref="EH195:FM195" si="3168">IF(BB195="","","|n"&amp;EH$2&amp;"+"&amp;BB195&amp;EH$1)</f>
        <v/>
      </c>
      <c r="EI195" s="66" t="str">
        <f t="shared" si="3168"/>
        <v/>
      </c>
      <c r="EJ195" s="66" t="str">
        <f t="shared" si="3168"/>
        <v/>
      </c>
      <c r="EK195" s="66" t="str">
        <f t="shared" si="3168"/>
        <v/>
      </c>
      <c r="EL195" s="66" t="str">
        <f t="shared" si="3168"/>
        <v/>
      </c>
      <c r="EM195" s="66" t="str">
        <f t="shared" si="3168"/>
        <v/>
      </c>
      <c r="EN195" s="66" t="str">
        <f t="shared" si="3168"/>
        <v/>
      </c>
      <c r="EO195" s="66" t="str">
        <f t="shared" si="3168"/>
        <v/>
      </c>
      <c r="EP195" s="66" t="str">
        <f t="shared" si="3168"/>
        <v/>
      </c>
      <c r="EQ195" s="66" t="str">
        <f t="shared" si="3168"/>
        <v/>
      </c>
      <c r="ER195" s="66" t="str">
        <f t="shared" si="3168"/>
        <v/>
      </c>
      <c r="ES195" s="66" t="str">
        <f t="shared" si="3168"/>
        <v/>
      </c>
      <c r="ET195" s="66" t="str">
        <f t="shared" si="3168"/>
        <v/>
      </c>
      <c r="EU195" s="66" t="str">
        <f t="shared" si="3168"/>
        <v/>
      </c>
      <c r="EV195" s="66" t="str">
        <f t="shared" si="3168"/>
        <v/>
      </c>
      <c r="EW195" s="66" t="str">
        <f t="shared" si="3168"/>
        <v/>
      </c>
      <c r="EX195" s="66" t="str">
        <f t="shared" si="3168"/>
        <v/>
      </c>
      <c r="EY195" s="66" t="str">
        <f t="shared" si="3168"/>
        <v/>
      </c>
      <c r="EZ195" s="66" t="str">
        <f t="shared" si="3168"/>
        <v/>
      </c>
      <c r="FA195" s="66" t="str">
        <f t="shared" si="3168"/>
        <v/>
      </c>
      <c r="FB195" s="66" t="str">
        <f t="shared" si="3168"/>
        <v/>
      </c>
      <c r="FC195" s="66" t="str">
        <f t="shared" si="3168"/>
        <v/>
      </c>
      <c r="FD195" s="66" t="str">
        <f t="shared" si="3168"/>
        <v/>
      </c>
      <c r="FE195" s="66" t="str">
        <f t="shared" si="3168"/>
        <v/>
      </c>
      <c r="FF195" s="66" t="str">
        <f t="shared" si="3168"/>
        <v/>
      </c>
      <c r="FG195" s="66" t="str">
        <f t="shared" si="3168"/>
        <v/>
      </c>
      <c r="FH195" s="66" t="str">
        <f t="shared" si="3168"/>
        <v/>
      </c>
      <c r="FI195" s="66" t="str">
        <f t="shared" si="3168"/>
        <v/>
      </c>
      <c r="FJ195" s="66" t="str">
        <f t="shared" si="3168"/>
        <v/>
      </c>
      <c r="FK195" s="66" t="str">
        <f t="shared" si="3168"/>
        <v/>
      </c>
      <c r="FL195" s="66" t="str">
        <f t="shared" si="3168"/>
        <v/>
      </c>
      <c r="FM195" s="66" t="str">
        <f t="shared" si="3168"/>
        <v/>
      </c>
      <c r="FN195" s="66" t="str">
        <f t="shared" ref="FN195:FS195" si="3169">IF(CH195="","","|n"&amp;FN$2&amp;"+"&amp;CH195&amp;FN$1)</f>
        <v/>
      </c>
      <c r="FO195" s="66" t="str">
        <f t="shared" si="3169"/>
        <v/>
      </c>
      <c r="FP195" s="66" t="str">
        <f t="shared" si="3169"/>
        <v/>
      </c>
      <c r="FQ195" s="66" t="str">
        <f t="shared" si="3169"/>
        <v/>
      </c>
      <c r="FR195" s="66" t="str">
        <f t="shared" si="3169"/>
        <v/>
      </c>
      <c r="FS195" s="66" t="str">
        <f t="shared" si="3169"/>
        <v/>
      </c>
    </row>
    <row r="196" spans="1:175" ht="16.5">
      <c r="A196" s="15"/>
      <c r="B196" s="9" t="s">
        <v>696</v>
      </c>
      <c r="C196" s="15" t="s">
        <v>694</v>
      </c>
      <c r="T196" s="25" t="str">
        <f t="shared" si="3093"/>
        <v>|CffFFD24D兽魂抽奖|r</v>
      </c>
      <c r="U196" s="77" t="s">
        <v>695</v>
      </c>
      <c r="CN196" s="36" t="str">
        <f t="shared" si="2917"/>
        <v>InitUnitState('IZ0C',,,,,,,,,,)</v>
      </c>
      <c r="CO196" s="36" t="str">
        <f t="shared" si="2918"/>
        <v>InitUnitNormal('IZ0C',,,,,,,,,,)</v>
      </c>
      <c r="CP196" s="36" t="str">
        <f t="shared" si="2919"/>
        <v>InitUnitMagic('IZ0C',,,,,,,,,,)</v>
      </c>
      <c r="CQ196" s="36" t="str">
        <f t="shared" si="2920"/>
        <v>InitUnitAdd('IZ0C',,,,,,,,,,)</v>
      </c>
      <c r="CR196" s="36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88" t="str">
        <f t="shared" si="3095"/>
        <v>|n</v>
      </c>
      <c r="CV196" s="19" t="str">
        <f t="shared" si="3096"/>
        <v>|CffFFD24D兽魂抽奖|r</v>
      </c>
      <c r="CW196" s="33"/>
      <c r="CX196" s="33"/>
      <c r="CY196" s="33"/>
      <c r="CZ196" s="33"/>
      <c r="DA196" s="33"/>
      <c r="DB196" s="66" t="str">
        <f t="shared" ref="DB196:FM196" si="3170">IF(V196="","","|n"&amp;DB$2&amp;"+"&amp;V196&amp;DB$1)</f>
        <v/>
      </c>
      <c r="DC196" s="66" t="str">
        <f t="shared" si="3170"/>
        <v/>
      </c>
      <c r="DD196" s="66" t="str">
        <f t="shared" si="3170"/>
        <v/>
      </c>
      <c r="DE196" s="66" t="str">
        <f t="shared" si="3170"/>
        <v/>
      </c>
      <c r="DF196" s="66" t="str">
        <f t="shared" si="3170"/>
        <v/>
      </c>
      <c r="DG196" s="66" t="str">
        <f t="shared" si="3170"/>
        <v/>
      </c>
      <c r="DH196" s="66" t="str">
        <f t="shared" si="3170"/>
        <v/>
      </c>
      <c r="DI196" s="66" t="str">
        <f t="shared" si="3170"/>
        <v/>
      </c>
      <c r="DJ196" s="66" t="str">
        <f t="shared" si="3170"/>
        <v/>
      </c>
      <c r="DK196" s="66" t="str">
        <f t="shared" si="3170"/>
        <v/>
      </c>
      <c r="DL196" s="66" t="str">
        <f t="shared" si="3170"/>
        <v/>
      </c>
      <c r="DM196" s="66" t="str">
        <f t="shared" si="3170"/>
        <v/>
      </c>
      <c r="DN196" s="66" t="str">
        <f t="shared" si="3170"/>
        <v/>
      </c>
      <c r="DO196" s="66" t="str">
        <f t="shared" si="3170"/>
        <v/>
      </c>
      <c r="DP196" s="66" t="str">
        <f t="shared" si="3170"/>
        <v/>
      </c>
      <c r="DQ196" s="66" t="str">
        <f t="shared" si="3170"/>
        <v/>
      </c>
      <c r="DR196" s="66" t="str">
        <f t="shared" si="3170"/>
        <v/>
      </c>
      <c r="DS196" s="66" t="str">
        <f t="shared" si="3170"/>
        <v/>
      </c>
      <c r="DT196" s="66" t="str">
        <f t="shared" si="3170"/>
        <v/>
      </c>
      <c r="DU196" s="66" t="str">
        <f t="shared" si="3170"/>
        <v/>
      </c>
      <c r="DV196" s="66" t="str">
        <f t="shared" si="3170"/>
        <v/>
      </c>
      <c r="DW196" s="66" t="str">
        <f t="shared" si="3170"/>
        <v/>
      </c>
      <c r="DX196" s="66" t="str">
        <f t="shared" si="3170"/>
        <v/>
      </c>
      <c r="DY196" s="66" t="str">
        <f t="shared" si="3170"/>
        <v/>
      </c>
      <c r="DZ196" s="66" t="str">
        <f t="shared" si="3170"/>
        <v/>
      </c>
      <c r="EA196" s="66" t="str">
        <f t="shared" si="3170"/>
        <v/>
      </c>
      <c r="EB196" s="66" t="str">
        <f t="shared" si="3170"/>
        <v/>
      </c>
      <c r="EC196" s="66" t="str">
        <f t="shared" si="3170"/>
        <v/>
      </c>
      <c r="ED196" s="66" t="str">
        <f t="shared" si="3170"/>
        <v/>
      </c>
      <c r="EE196" s="66" t="str">
        <f t="shared" si="3170"/>
        <v/>
      </c>
      <c r="EF196" s="66" t="str">
        <f t="shared" si="3170"/>
        <v/>
      </c>
      <c r="EG196" s="66" t="str">
        <f t="shared" si="3170"/>
        <v/>
      </c>
      <c r="EH196" s="66" t="str">
        <f t="shared" si="3170"/>
        <v/>
      </c>
      <c r="EI196" s="66" t="str">
        <f t="shared" si="3170"/>
        <v/>
      </c>
      <c r="EJ196" s="66" t="str">
        <f t="shared" si="3170"/>
        <v/>
      </c>
      <c r="EK196" s="66" t="str">
        <f t="shared" si="3170"/>
        <v/>
      </c>
      <c r="EL196" s="66" t="str">
        <f t="shared" si="3170"/>
        <v/>
      </c>
      <c r="EM196" s="66" t="str">
        <f t="shared" si="3170"/>
        <v/>
      </c>
      <c r="EN196" s="66" t="str">
        <f t="shared" si="3170"/>
        <v/>
      </c>
      <c r="EO196" s="66" t="str">
        <f t="shared" si="3170"/>
        <v/>
      </c>
      <c r="EP196" s="66" t="str">
        <f t="shared" si="3170"/>
        <v/>
      </c>
      <c r="EQ196" s="66" t="str">
        <f t="shared" si="3170"/>
        <v/>
      </c>
      <c r="ER196" s="66" t="str">
        <f t="shared" si="3170"/>
        <v/>
      </c>
      <c r="ES196" s="66" t="str">
        <f t="shared" si="3170"/>
        <v/>
      </c>
      <c r="ET196" s="66" t="str">
        <f t="shared" si="3170"/>
        <v/>
      </c>
      <c r="EU196" s="66" t="str">
        <f t="shared" si="3170"/>
        <v/>
      </c>
      <c r="EV196" s="66" t="str">
        <f t="shared" si="3170"/>
        <v/>
      </c>
      <c r="EW196" s="66" t="str">
        <f t="shared" si="3170"/>
        <v/>
      </c>
      <c r="EX196" s="66" t="str">
        <f t="shared" si="3170"/>
        <v/>
      </c>
      <c r="EY196" s="66" t="str">
        <f t="shared" si="3170"/>
        <v/>
      </c>
      <c r="EZ196" s="66" t="str">
        <f t="shared" si="3170"/>
        <v/>
      </c>
      <c r="FA196" s="66" t="str">
        <f t="shared" si="3170"/>
        <v/>
      </c>
      <c r="FB196" s="66" t="str">
        <f t="shared" si="3170"/>
        <v/>
      </c>
      <c r="FC196" s="66" t="str">
        <f t="shared" si="3170"/>
        <v/>
      </c>
      <c r="FD196" s="66" t="str">
        <f t="shared" si="3170"/>
        <v/>
      </c>
      <c r="FE196" s="66" t="str">
        <f t="shared" si="3170"/>
        <v/>
      </c>
      <c r="FF196" s="66" t="str">
        <f t="shared" si="3170"/>
        <v/>
      </c>
      <c r="FG196" s="66" t="str">
        <f t="shared" si="3170"/>
        <v/>
      </c>
      <c r="FH196" s="66" t="str">
        <f t="shared" si="3170"/>
        <v/>
      </c>
      <c r="FI196" s="66" t="str">
        <f t="shared" si="3170"/>
        <v/>
      </c>
      <c r="FJ196" s="66" t="str">
        <f t="shared" si="3170"/>
        <v/>
      </c>
      <c r="FK196" s="66" t="str">
        <f t="shared" si="3170"/>
        <v/>
      </c>
      <c r="FL196" s="66" t="str">
        <f t="shared" si="3170"/>
        <v/>
      </c>
      <c r="FM196" s="66" t="str">
        <f t="shared" si="3170"/>
        <v/>
      </c>
      <c r="FN196" s="66" t="str">
        <f t="shared" ref="FN196:FS196" si="3171">IF(CH196="","","|n"&amp;FN$2&amp;"+"&amp;CH196&amp;FN$1)</f>
        <v/>
      </c>
      <c r="FO196" s="66" t="str">
        <f t="shared" si="3171"/>
        <v/>
      </c>
      <c r="FP196" s="66" t="str">
        <f t="shared" si="3171"/>
        <v/>
      </c>
      <c r="FQ196" s="66" t="str">
        <f t="shared" si="3171"/>
        <v/>
      </c>
      <c r="FR196" s="66" t="str">
        <f t="shared" si="3171"/>
        <v/>
      </c>
      <c r="FS196" s="66" t="str">
        <f t="shared" si="3171"/>
        <v/>
      </c>
    </row>
    <row r="197" spans="1:175" ht="16.5">
      <c r="A197" s="15"/>
      <c r="B197" s="9" t="s">
        <v>697</v>
      </c>
      <c r="C197" s="15" t="s">
        <v>698</v>
      </c>
      <c r="T197" s="25" t="s">
        <v>699</v>
      </c>
      <c r="U197" s="77" t="s">
        <v>695</v>
      </c>
      <c r="CN197" s="36" t="str">
        <f t="shared" si="2917"/>
        <v>InitUnitState('IZ10',,,,,,,,,,)</v>
      </c>
      <c r="CO197" s="36" t="str">
        <f t="shared" si="2918"/>
        <v>InitUnitNormal('IZ10',,,,,,,,,,)</v>
      </c>
      <c r="CP197" s="36" t="str">
        <f t="shared" si="2919"/>
        <v>InitUnitMagic('IZ10',,,,,,,,,,)</v>
      </c>
      <c r="CQ197" s="36" t="str">
        <f t="shared" si="2920"/>
        <v>InitUnitAdd('IZ10',,,,,,,,,,)</v>
      </c>
      <c r="CR197" s="36" t="e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#REF!&amp;CR$1&amp;")"</f>
        <v>#REF!</v>
      </c>
      <c r="CU197" s="88" t="str">
        <f t="shared" si="3095"/>
        <v>|n</v>
      </c>
      <c r="CV197" s="19" t="str">
        <f t="shared" si="3096"/>
        <v>|CffF0F0F0有几率获得|r|Cffffd24d好东西|r|Cfff0f0f0，也有可能|r|Cffcccccc打水漂|r|Cfff0f0f0。|n|n|r|Cff00ff7f观今夜星象，抽就完事了...|r</v>
      </c>
      <c r="CW197" s="33"/>
      <c r="CX197" s="33"/>
      <c r="CY197" s="33"/>
      <c r="CZ197" s="33"/>
      <c r="DA197" s="33"/>
      <c r="DB197" s="66" t="str">
        <f t="shared" ref="DB197:FM197" si="3172">IF(V197="","","|n"&amp;DB$2&amp;"+"&amp;V197&amp;DB$1)</f>
        <v/>
      </c>
      <c r="DC197" s="66" t="str">
        <f t="shared" si="3172"/>
        <v/>
      </c>
      <c r="DD197" s="66" t="str">
        <f t="shared" si="3172"/>
        <v/>
      </c>
      <c r="DE197" s="66" t="str">
        <f t="shared" si="3172"/>
        <v/>
      </c>
      <c r="DF197" s="66" t="str">
        <f t="shared" si="3172"/>
        <v/>
      </c>
      <c r="DG197" s="66" t="str">
        <f t="shared" si="3172"/>
        <v/>
      </c>
      <c r="DH197" s="66" t="str">
        <f t="shared" si="3172"/>
        <v/>
      </c>
      <c r="DI197" s="66" t="str">
        <f t="shared" si="3172"/>
        <v/>
      </c>
      <c r="DJ197" s="66" t="str">
        <f t="shared" si="3172"/>
        <v/>
      </c>
      <c r="DK197" s="66" t="str">
        <f t="shared" si="3172"/>
        <v/>
      </c>
      <c r="DL197" s="66" t="str">
        <f t="shared" si="3172"/>
        <v/>
      </c>
      <c r="DM197" s="66" t="str">
        <f t="shared" si="3172"/>
        <v/>
      </c>
      <c r="DN197" s="66" t="str">
        <f t="shared" si="3172"/>
        <v/>
      </c>
      <c r="DO197" s="66" t="str">
        <f t="shared" si="3172"/>
        <v/>
      </c>
      <c r="DP197" s="66" t="str">
        <f t="shared" si="3172"/>
        <v/>
      </c>
      <c r="DQ197" s="66" t="str">
        <f t="shared" si="3172"/>
        <v/>
      </c>
      <c r="DR197" s="66" t="str">
        <f t="shared" si="3172"/>
        <v/>
      </c>
      <c r="DS197" s="66" t="str">
        <f t="shared" si="3172"/>
        <v/>
      </c>
      <c r="DT197" s="66" t="str">
        <f t="shared" si="3172"/>
        <v/>
      </c>
      <c r="DU197" s="66" t="str">
        <f t="shared" si="3172"/>
        <v/>
      </c>
      <c r="DV197" s="66" t="str">
        <f t="shared" si="3172"/>
        <v/>
      </c>
      <c r="DW197" s="66" t="str">
        <f t="shared" si="3172"/>
        <v/>
      </c>
      <c r="DX197" s="66" t="str">
        <f t="shared" si="3172"/>
        <v/>
      </c>
      <c r="DY197" s="66" t="str">
        <f t="shared" si="3172"/>
        <v/>
      </c>
      <c r="DZ197" s="66" t="str">
        <f t="shared" si="3172"/>
        <v/>
      </c>
      <c r="EA197" s="66" t="str">
        <f t="shared" si="3172"/>
        <v/>
      </c>
      <c r="EB197" s="66" t="str">
        <f t="shared" si="3172"/>
        <v/>
      </c>
      <c r="EC197" s="66" t="str">
        <f t="shared" si="3172"/>
        <v/>
      </c>
      <c r="ED197" s="66" t="str">
        <f t="shared" si="3172"/>
        <v/>
      </c>
      <c r="EE197" s="66" t="str">
        <f t="shared" si="3172"/>
        <v/>
      </c>
      <c r="EF197" s="66" t="str">
        <f t="shared" si="3172"/>
        <v/>
      </c>
      <c r="EG197" s="66" t="str">
        <f t="shared" si="3172"/>
        <v/>
      </c>
      <c r="EH197" s="66" t="str">
        <f t="shared" si="3172"/>
        <v/>
      </c>
      <c r="EI197" s="66" t="str">
        <f t="shared" si="3172"/>
        <v/>
      </c>
      <c r="EJ197" s="66" t="str">
        <f t="shared" si="3172"/>
        <v/>
      </c>
      <c r="EK197" s="66" t="str">
        <f t="shared" si="3172"/>
        <v/>
      </c>
      <c r="EL197" s="66" t="str">
        <f t="shared" si="3172"/>
        <v/>
      </c>
      <c r="EM197" s="66" t="str">
        <f t="shared" si="3172"/>
        <v/>
      </c>
      <c r="EN197" s="66" t="str">
        <f t="shared" si="3172"/>
        <v/>
      </c>
      <c r="EO197" s="66" t="str">
        <f t="shared" si="3172"/>
        <v/>
      </c>
      <c r="EP197" s="66" t="str">
        <f t="shared" si="3172"/>
        <v/>
      </c>
      <c r="EQ197" s="66" t="str">
        <f t="shared" si="3172"/>
        <v/>
      </c>
      <c r="ER197" s="66" t="str">
        <f t="shared" si="3172"/>
        <v/>
      </c>
      <c r="ES197" s="66" t="str">
        <f t="shared" si="3172"/>
        <v/>
      </c>
      <c r="ET197" s="66" t="str">
        <f t="shared" si="3172"/>
        <v/>
      </c>
      <c r="EU197" s="66" t="str">
        <f t="shared" si="3172"/>
        <v/>
      </c>
      <c r="EV197" s="66" t="str">
        <f t="shared" si="3172"/>
        <v/>
      </c>
      <c r="EW197" s="66" t="str">
        <f t="shared" si="3172"/>
        <v/>
      </c>
      <c r="EX197" s="66" t="str">
        <f t="shared" si="3172"/>
        <v/>
      </c>
      <c r="EY197" s="66" t="str">
        <f t="shared" si="3172"/>
        <v/>
      </c>
      <c r="EZ197" s="66" t="str">
        <f t="shared" si="3172"/>
        <v/>
      </c>
      <c r="FA197" s="66" t="str">
        <f t="shared" si="3172"/>
        <v/>
      </c>
      <c r="FB197" s="66" t="str">
        <f t="shared" si="3172"/>
        <v/>
      </c>
      <c r="FC197" s="66" t="str">
        <f t="shared" si="3172"/>
        <v/>
      </c>
      <c r="FD197" s="66" t="str">
        <f t="shared" si="3172"/>
        <v/>
      </c>
      <c r="FE197" s="66" t="str">
        <f t="shared" si="3172"/>
        <v/>
      </c>
      <c r="FF197" s="66" t="str">
        <f t="shared" si="3172"/>
        <v/>
      </c>
      <c r="FG197" s="66" t="str">
        <f t="shared" si="3172"/>
        <v/>
      </c>
      <c r="FH197" s="66" t="str">
        <f t="shared" si="3172"/>
        <v/>
      </c>
      <c r="FI197" s="66" t="str">
        <f t="shared" si="3172"/>
        <v/>
      </c>
      <c r="FJ197" s="66" t="str">
        <f t="shared" si="3172"/>
        <v/>
      </c>
      <c r="FK197" s="66" t="str">
        <f t="shared" si="3172"/>
        <v/>
      </c>
      <c r="FL197" s="66" t="str">
        <f t="shared" si="3172"/>
        <v/>
      </c>
      <c r="FM197" s="66" t="str">
        <f t="shared" si="3172"/>
        <v/>
      </c>
      <c r="FN197" s="66" t="str">
        <f t="shared" ref="FN197:FS197" si="3173">IF(CH197="","","|n"&amp;FN$2&amp;"+"&amp;CH197&amp;FN$1)</f>
        <v/>
      </c>
      <c r="FO197" s="66" t="str">
        <f t="shared" si="3173"/>
        <v/>
      </c>
      <c r="FP197" s="66" t="str">
        <f t="shared" si="3173"/>
        <v/>
      </c>
      <c r="FQ197" s="66" t="str">
        <f t="shared" si="3173"/>
        <v/>
      </c>
      <c r="FR197" s="66" t="str">
        <f t="shared" si="3173"/>
        <v/>
      </c>
      <c r="FS197" s="66" t="str">
        <f t="shared" si="3173"/>
        <v/>
      </c>
    </row>
    <row r="198" spans="1:175" ht="16.5">
      <c r="A198" s="15"/>
      <c r="B198" s="9" t="s">
        <v>700</v>
      </c>
      <c r="C198" s="15" t="s">
        <v>701</v>
      </c>
      <c r="T198" s="25" t="s">
        <v>702</v>
      </c>
      <c r="U198" s="77" t="s">
        <v>695</v>
      </c>
      <c r="CN198" s="36" t="str">
        <f t="shared" si="2917"/>
        <v>InitUnitState('IZ11',,,,,,,,,,)</v>
      </c>
      <c r="CO198" s="36" t="str">
        <f t="shared" si="2918"/>
        <v>InitUnitNormal('IZ11',,,,,,,,,,)</v>
      </c>
      <c r="CP198" s="36" t="str">
        <f t="shared" si="2919"/>
        <v>InitUnitMagic('IZ11',,,,,,,,,,)</v>
      </c>
      <c r="CQ198" s="36" t="str">
        <f t="shared" si="2920"/>
        <v>InitUnitAdd('IZ11',,,,,,,,,,)</v>
      </c>
      <c r="CR198" s="36" t="e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#REF!&amp;CR$1&amp;")"</f>
        <v>#REF!</v>
      </c>
      <c r="CU198" s="88" t="str">
        <f t="shared" si="3095"/>
        <v>|n</v>
      </c>
      <c r="CV198" s="19" t="str">
        <f t="shared" si="3096"/>
        <v>|CffF0F0F0有几率获得|r|Cffffd24d很多好东西|r|Cfff0f0f0，也有可能|r|Cffcccccc打很多水漂|r|Cfff0f0f0。|n|n|r|Cff00ff7f观今夜星象，使劲抽就完事了...|r</v>
      </c>
      <c r="CW198" s="33"/>
      <c r="CX198" s="33"/>
      <c r="CY198" s="33"/>
      <c r="CZ198" s="33"/>
      <c r="DA198" s="33"/>
      <c r="DB198" s="66" t="str">
        <f t="shared" ref="DB198:FM198" si="3174">IF(V198="","","|n"&amp;DB$2&amp;"+"&amp;V198&amp;DB$1)</f>
        <v/>
      </c>
      <c r="DC198" s="66" t="str">
        <f t="shared" si="3174"/>
        <v/>
      </c>
      <c r="DD198" s="66" t="str">
        <f t="shared" si="3174"/>
        <v/>
      </c>
      <c r="DE198" s="66" t="str">
        <f t="shared" si="3174"/>
        <v/>
      </c>
      <c r="DF198" s="66" t="str">
        <f t="shared" si="3174"/>
        <v/>
      </c>
      <c r="DG198" s="66" t="str">
        <f t="shared" si="3174"/>
        <v/>
      </c>
      <c r="DH198" s="66" t="str">
        <f t="shared" si="3174"/>
        <v/>
      </c>
      <c r="DI198" s="66" t="str">
        <f t="shared" si="3174"/>
        <v/>
      </c>
      <c r="DJ198" s="66" t="str">
        <f t="shared" si="3174"/>
        <v/>
      </c>
      <c r="DK198" s="66" t="str">
        <f t="shared" si="3174"/>
        <v/>
      </c>
      <c r="DL198" s="66" t="str">
        <f t="shared" si="3174"/>
        <v/>
      </c>
      <c r="DM198" s="66" t="str">
        <f t="shared" si="3174"/>
        <v/>
      </c>
      <c r="DN198" s="66" t="str">
        <f t="shared" si="3174"/>
        <v/>
      </c>
      <c r="DO198" s="66" t="str">
        <f t="shared" si="3174"/>
        <v/>
      </c>
      <c r="DP198" s="66" t="str">
        <f t="shared" si="3174"/>
        <v/>
      </c>
      <c r="DQ198" s="66" t="str">
        <f t="shared" si="3174"/>
        <v/>
      </c>
      <c r="DR198" s="66" t="str">
        <f t="shared" si="3174"/>
        <v/>
      </c>
      <c r="DS198" s="66" t="str">
        <f t="shared" si="3174"/>
        <v/>
      </c>
      <c r="DT198" s="66" t="str">
        <f t="shared" si="3174"/>
        <v/>
      </c>
      <c r="DU198" s="66" t="str">
        <f t="shared" si="3174"/>
        <v/>
      </c>
      <c r="DV198" s="66" t="str">
        <f t="shared" si="3174"/>
        <v/>
      </c>
      <c r="DW198" s="66" t="str">
        <f t="shared" si="3174"/>
        <v/>
      </c>
      <c r="DX198" s="66" t="str">
        <f t="shared" si="3174"/>
        <v/>
      </c>
      <c r="DY198" s="66" t="str">
        <f t="shared" si="3174"/>
        <v/>
      </c>
      <c r="DZ198" s="66" t="str">
        <f t="shared" si="3174"/>
        <v/>
      </c>
      <c r="EA198" s="66" t="str">
        <f t="shared" si="3174"/>
        <v/>
      </c>
      <c r="EB198" s="66" t="str">
        <f t="shared" si="3174"/>
        <v/>
      </c>
      <c r="EC198" s="66" t="str">
        <f t="shared" si="3174"/>
        <v/>
      </c>
      <c r="ED198" s="66" t="str">
        <f t="shared" si="3174"/>
        <v/>
      </c>
      <c r="EE198" s="66" t="str">
        <f t="shared" si="3174"/>
        <v/>
      </c>
      <c r="EF198" s="66" t="str">
        <f t="shared" si="3174"/>
        <v/>
      </c>
      <c r="EG198" s="66" t="str">
        <f t="shared" si="3174"/>
        <v/>
      </c>
      <c r="EH198" s="66" t="str">
        <f t="shared" si="3174"/>
        <v/>
      </c>
      <c r="EI198" s="66" t="str">
        <f t="shared" si="3174"/>
        <v/>
      </c>
      <c r="EJ198" s="66" t="str">
        <f t="shared" si="3174"/>
        <v/>
      </c>
      <c r="EK198" s="66" t="str">
        <f t="shared" si="3174"/>
        <v/>
      </c>
      <c r="EL198" s="66" t="str">
        <f t="shared" si="3174"/>
        <v/>
      </c>
      <c r="EM198" s="66" t="str">
        <f t="shared" si="3174"/>
        <v/>
      </c>
      <c r="EN198" s="66" t="str">
        <f t="shared" si="3174"/>
        <v/>
      </c>
      <c r="EO198" s="66" t="str">
        <f t="shared" si="3174"/>
        <v/>
      </c>
      <c r="EP198" s="66" t="str">
        <f t="shared" si="3174"/>
        <v/>
      </c>
      <c r="EQ198" s="66" t="str">
        <f t="shared" si="3174"/>
        <v/>
      </c>
      <c r="ER198" s="66" t="str">
        <f t="shared" si="3174"/>
        <v/>
      </c>
      <c r="ES198" s="66" t="str">
        <f t="shared" si="3174"/>
        <v/>
      </c>
      <c r="ET198" s="66" t="str">
        <f t="shared" si="3174"/>
        <v/>
      </c>
      <c r="EU198" s="66" t="str">
        <f t="shared" si="3174"/>
        <v/>
      </c>
      <c r="EV198" s="66" t="str">
        <f t="shared" si="3174"/>
        <v/>
      </c>
      <c r="EW198" s="66" t="str">
        <f t="shared" si="3174"/>
        <v/>
      </c>
      <c r="EX198" s="66" t="str">
        <f t="shared" si="3174"/>
        <v/>
      </c>
      <c r="EY198" s="66" t="str">
        <f t="shared" si="3174"/>
        <v/>
      </c>
      <c r="EZ198" s="66" t="str">
        <f t="shared" si="3174"/>
        <v/>
      </c>
      <c r="FA198" s="66" t="str">
        <f t="shared" si="3174"/>
        <v/>
      </c>
      <c r="FB198" s="66" t="str">
        <f t="shared" si="3174"/>
        <v/>
      </c>
      <c r="FC198" s="66" t="str">
        <f t="shared" si="3174"/>
        <v/>
      </c>
      <c r="FD198" s="66" t="str">
        <f t="shared" si="3174"/>
        <v/>
      </c>
      <c r="FE198" s="66" t="str">
        <f t="shared" si="3174"/>
        <v/>
      </c>
      <c r="FF198" s="66" t="str">
        <f t="shared" si="3174"/>
        <v/>
      </c>
      <c r="FG198" s="66" t="str">
        <f t="shared" si="3174"/>
        <v/>
      </c>
      <c r="FH198" s="66" t="str">
        <f t="shared" si="3174"/>
        <v/>
      </c>
      <c r="FI198" s="66" t="str">
        <f t="shared" si="3174"/>
        <v/>
      </c>
      <c r="FJ198" s="66" t="str">
        <f t="shared" si="3174"/>
        <v/>
      </c>
      <c r="FK198" s="66" t="str">
        <f t="shared" si="3174"/>
        <v/>
      </c>
      <c r="FL198" s="66" t="str">
        <f t="shared" si="3174"/>
        <v/>
      </c>
      <c r="FM198" s="66" t="str">
        <f t="shared" si="3174"/>
        <v/>
      </c>
      <c r="FN198" s="66" t="str">
        <f t="shared" ref="FN198:FS198" si="3175">IF(CH198="","","|n"&amp;FN$2&amp;"+"&amp;CH198&amp;FN$1)</f>
        <v/>
      </c>
      <c r="FO198" s="66" t="str">
        <f t="shared" si="3175"/>
        <v/>
      </c>
      <c r="FP198" s="66" t="str">
        <f t="shared" si="3175"/>
        <v/>
      </c>
      <c r="FQ198" s="66" t="str">
        <f t="shared" si="3175"/>
        <v/>
      </c>
      <c r="FR198" s="66" t="str">
        <f t="shared" si="3175"/>
        <v/>
      </c>
      <c r="FS198" s="66" t="str">
        <f t="shared" si="3175"/>
        <v/>
      </c>
    </row>
    <row r="199" spans="1:175" ht="16.5">
      <c r="A199" s="15"/>
      <c r="B199" s="9" t="s">
        <v>703</v>
      </c>
      <c r="C199" s="15" t="s">
        <v>704</v>
      </c>
      <c r="T199" s="9" t="s">
        <v>705</v>
      </c>
      <c r="U199" s="77" t="s">
        <v>285</v>
      </c>
      <c r="CN199" s="36" t="str">
        <f t="shared" ref="CN199" si="3176">"InitUnitState('"&amp;B199&amp;"',"&amp;V199&amp;","&amp;W199&amp;","&amp;X199&amp;","&amp;Y199&amp;","&amp;Z199&amp;","&amp;AA199&amp;","&amp;AB199&amp;","&amp;AC199&amp;","&amp;AD199&amp;","&amp;AE199&amp;")"</f>
        <v>InitUnitState('IS13',,,,,,,,,,)</v>
      </c>
      <c r="CO199" s="36" t="str">
        <f t="shared" ref="CO199" si="3177">"InitUnitNormal('"&amp;B199&amp;"',"&amp;AF199&amp;","&amp;AG199&amp;","&amp;AH199&amp;","&amp;AI199&amp;","&amp;AJ199&amp;","&amp;AK199&amp;","&amp;AL199&amp;","&amp;AM199&amp;","&amp;AN199&amp;","&amp;AO199&amp;")"</f>
        <v>InitUnitNormal('IS13',,,,,,,,,,)</v>
      </c>
      <c r="CP199" s="36" t="str">
        <f t="shared" ref="CP199" si="3178">"InitUnitMagic('"&amp;B199&amp;"',"&amp;AP199&amp;","&amp;AQ199&amp;","&amp;AR199&amp;","&amp;AS199&amp;","&amp;AT199&amp;","&amp;AU199&amp;","&amp;AV199&amp;","&amp;AW199&amp;","&amp;BI199&amp;","&amp;BJ199&amp;")"</f>
        <v>InitUnitMagic('IS13',,,,,,,,,,)</v>
      </c>
      <c r="CQ199" s="36" t="str">
        <f t="shared" ref="CQ199" si="3179">"InitUnitAdd('"&amp;B199&amp;"',"&amp;BK199&amp;","&amp;BL199&amp;","&amp;BM199&amp;","&amp;BN199&amp;","&amp;BO199&amp;","&amp;BP199&amp;","&amp;BQ199&amp;","&amp;BR199&amp;","&amp;BS199&amp;","&amp;BT199&amp;")"</f>
        <v>InitUnitAdd('IS13',,,,,,,,,,)</v>
      </c>
      <c r="CR199" s="36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88" t="str">
        <f t="shared" ref="CU199:CU200" si="3180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19" t="str">
        <f t="shared" ref="CV199:CV200" si="3181">T199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99" s="33"/>
      <c r="CX199" s="33"/>
      <c r="CY199" s="33"/>
      <c r="CZ199" s="33"/>
      <c r="DA199" s="33"/>
      <c r="DB199" s="66" t="str">
        <f t="shared" ref="DB199" si="3182">IF(V199="","","|n"&amp;DB$2&amp;"+"&amp;V199&amp;DB$1)</f>
        <v/>
      </c>
      <c r="DC199" s="66" t="str">
        <f t="shared" ref="DC199" si="3183">IF(W199="","","|n"&amp;DC$2&amp;"+"&amp;W199&amp;DC$1)</f>
        <v/>
      </c>
      <c r="DD199" s="66" t="str">
        <f t="shared" ref="DD199" si="3184">IF(X199="","","|n"&amp;DD$2&amp;"+"&amp;X199&amp;DD$1)</f>
        <v/>
      </c>
      <c r="DE199" s="66" t="str">
        <f t="shared" ref="DE199" si="3185">IF(Y199="","","|n"&amp;DE$2&amp;"+"&amp;Y199&amp;DE$1)</f>
        <v/>
      </c>
      <c r="DF199" s="66" t="str">
        <f t="shared" ref="DF199" si="3186">IF(Z199="","","|n"&amp;DF$2&amp;"+"&amp;Z199&amp;DF$1)</f>
        <v/>
      </c>
      <c r="DG199" s="66" t="str">
        <f t="shared" ref="DG199" si="3187">IF(AA199="","","|n"&amp;DG$2&amp;"+"&amp;AA199&amp;DG$1)</f>
        <v/>
      </c>
      <c r="DH199" s="66" t="str">
        <f t="shared" ref="DH199" si="3188">IF(AB199="","","|n"&amp;DH$2&amp;"+"&amp;AB199&amp;DH$1)</f>
        <v/>
      </c>
      <c r="DI199" s="66" t="str">
        <f t="shared" ref="DI199" si="3189">IF(AC199="","","|n"&amp;DI$2&amp;"+"&amp;AC199&amp;DI$1)</f>
        <v/>
      </c>
      <c r="DJ199" s="66" t="str">
        <f t="shared" ref="DJ199" si="3190">IF(AD199="","","|n"&amp;DJ$2&amp;"+"&amp;AD199&amp;DJ$1)</f>
        <v/>
      </c>
      <c r="DK199" s="66" t="str">
        <f t="shared" ref="DK199" si="3191">IF(AE199="","","|n"&amp;DK$2&amp;"+"&amp;AE199&amp;DK$1)</f>
        <v/>
      </c>
      <c r="DL199" s="66" t="str">
        <f t="shared" ref="DL199" si="3192">IF(AF199="","","|n"&amp;DL$2&amp;"+"&amp;AF199&amp;DL$1)</f>
        <v/>
      </c>
      <c r="DM199" s="66" t="str">
        <f t="shared" ref="DM199" si="3193">IF(AG199="","","|n"&amp;DM$2&amp;"+"&amp;AG199&amp;DM$1)</f>
        <v/>
      </c>
      <c r="DN199" s="66" t="str">
        <f t="shared" ref="DN199" si="3194">IF(AH199="","","|n"&amp;DN$2&amp;"+"&amp;AH199&amp;DN$1)</f>
        <v/>
      </c>
      <c r="DO199" s="66" t="str">
        <f t="shared" ref="DO199" si="3195">IF(AI199="","","|n"&amp;DO$2&amp;"+"&amp;AI199&amp;DO$1)</f>
        <v/>
      </c>
      <c r="DP199" s="66" t="str">
        <f t="shared" ref="DP199" si="3196">IF(AJ199="","","|n"&amp;DP$2&amp;"+"&amp;AJ199&amp;DP$1)</f>
        <v/>
      </c>
      <c r="DQ199" s="66" t="str">
        <f t="shared" ref="DQ199" si="3197">IF(AK199="","","|n"&amp;DQ$2&amp;"+"&amp;AK199&amp;DQ$1)</f>
        <v/>
      </c>
      <c r="DR199" s="66" t="str">
        <f t="shared" ref="DR199" si="3198">IF(AL199="","","|n"&amp;DR$2&amp;"+"&amp;AL199&amp;DR$1)</f>
        <v/>
      </c>
      <c r="DS199" s="66" t="str">
        <f t="shared" ref="DS199" si="3199">IF(AM199="","","|n"&amp;DS$2&amp;"+"&amp;AM199&amp;DS$1)</f>
        <v/>
      </c>
      <c r="DT199" s="66" t="str">
        <f t="shared" ref="DT199" si="3200">IF(AN199="","","|n"&amp;DT$2&amp;"+"&amp;AN199&amp;DT$1)</f>
        <v/>
      </c>
      <c r="DU199" s="66" t="str">
        <f t="shared" ref="DU199" si="3201">IF(AO199="","","|n"&amp;DU$2&amp;"+"&amp;AO199&amp;DU$1)</f>
        <v/>
      </c>
      <c r="DV199" s="66" t="str">
        <f t="shared" ref="DV199" si="3202">IF(AP199="","","|n"&amp;DV$2&amp;"+"&amp;AP199&amp;DV$1)</f>
        <v/>
      </c>
      <c r="DW199" s="66" t="str">
        <f t="shared" ref="DW199" si="3203">IF(AQ199="","","|n"&amp;DW$2&amp;"+"&amp;AQ199&amp;DW$1)</f>
        <v/>
      </c>
      <c r="DX199" s="66" t="str">
        <f t="shared" ref="DX199" si="3204">IF(AR199="","","|n"&amp;DX$2&amp;"+"&amp;AR199&amp;DX$1)</f>
        <v/>
      </c>
      <c r="DY199" s="66" t="str">
        <f t="shared" ref="DY199" si="3205">IF(AS199="","","|n"&amp;DY$2&amp;"+"&amp;AS199&amp;DY$1)</f>
        <v/>
      </c>
      <c r="DZ199" s="66" t="str">
        <f t="shared" ref="DZ199" si="3206">IF(AT199="","","|n"&amp;DZ$2&amp;"+"&amp;AT199&amp;DZ$1)</f>
        <v/>
      </c>
      <c r="EA199" s="66" t="str">
        <f t="shared" ref="EA199" si="3207">IF(AU199="","","|n"&amp;EA$2&amp;"+"&amp;AU199&amp;EA$1)</f>
        <v/>
      </c>
      <c r="EB199" s="66" t="str">
        <f t="shared" ref="EB199" si="3208">IF(AV199="","","|n"&amp;EB$2&amp;"+"&amp;AV199&amp;EB$1)</f>
        <v/>
      </c>
      <c r="EC199" s="66" t="str">
        <f t="shared" ref="EC199" si="3209">IF(AW199="","","|n"&amp;EC$2&amp;"+"&amp;AW199&amp;EC$1)</f>
        <v/>
      </c>
      <c r="ED199" s="66" t="str">
        <f t="shared" ref="ED199" si="3210">IF(AX199="","","|n"&amp;ED$2&amp;"+"&amp;AX199&amp;ED$1)</f>
        <v/>
      </c>
      <c r="EE199" s="66" t="str">
        <f t="shared" ref="EE199" si="3211">IF(AY199="","","|n"&amp;EE$2&amp;"+"&amp;AY199&amp;EE$1)</f>
        <v/>
      </c>
      <c r="EF199" s="66" t="str">
        <f t="shared" ref="EF199" si="3212">IF(AZ199="","","|n"&amp;EF$2&amp;"+"&amp;AZ199&amp;EF$1)</f>
        <v/>
      </c>
      <c r="EG199" s="66" t="str">
        <f t="shared" ref="EG199" si="3213">IF(BA199="","","|n"&amp;EG$2&amp;"+"&amp;BA199&amp;EG$1)</f>
        <v/>
      </c>
      <c r="EH199" s="66" t="str">
        <f t="shared" ref="EH199" si="3214">IF(BB199="","","|n"&amp;EH$2&amp;"+"&amp;BB199&amp;EH$1)</f>
        <v/>
      </c>
      <c r="EI199" s="66" t="str">
        <f t="shared" ref="EI199" si="3215">IF(BC199="","","|n"&amp;EI$2&amp;"+"&amp;BC199&amp;EI$1)</f>
        <v/>
      </c>
      <c r="EJ199" s="66" t="str">
        <f t="shared" ref="EJ199" si="3216">IF(BD199="","","|n"&amp;EJ$2&amp;"+"&amp;BD199&amp;EJ$1)</f>
        <v/>
      </c>
      <c r="EK199" s="66" t="str">
        <f t="shared" ref="EK199" si="3217">IF(BE199="","","|n"&amp;EK$2&amp;"+"&amp;BE199&amp;EK$1)</f>
        <v/>
      </c>
      <c r="EL199" s="66" t="str">
        <f t="shared" ref="EL199" si="3218">IF(BF199="","","|n"&amp;EL$2&amp;"+"&amp;BF199&amp;EL$1)</f>
        <v/>
      </c>
      <c r="EM199" s="66" t="str">
        <f t="shared" ref="EM199" si="3219">IF(BG199="","","|n"&amp;EM$2&amp;"+"&amp;BG199&amp;EM$1)</f>
        <v/>
      </c>
      <c r="EN199" s="66" t="str">
        <f t="shared" ref="EN199" si="3220">IF(BH199="","","|n"&amp;EN$2&amp;"+"&amp;BH199&amp;EN$1)</f>
        <v/>
      </c>
      <c r="EO199" s="66" t="str">
        <f t="shared" ref="EO199" si="3221">IF(BI199="","","|n"&amp;EO$2&amp;"+"&amp;BI199&amp;EO$1)</f>
        <v/>
      </c>
      <c r="EP199" s="66" t="str">
        <f t="shared" ref="EP199" si="3222">IF(BJ199="","","|n"&amp;EP$2&amp;"+"&amp;BJ199&amp;EP$1)</f>
        <v/>
      </c>
      <c r="EQ199" s="66" t="str">
        <f t="shared" ref="EQ199" si="3223">IF(BK199="","","|n"&amp;EQ$2&amp;"+"&amp;BK199&amp;EQ$1)</f>
        <v/>
      </c>
      <c r="ER199" s="66" t="str">
        <f t="shared" ref="ER199" si="3224">IF(BL199="","","|n"&amp;ER$2&amp;"+"&amp;BL199&amp;ER$1)</f>
        <v/>
      </c>
      <c r="ES199" s="66" t="str">
        <f t="shared" ref="ES199" si="3225">IF(BM199="","","|n"&amp;ES$2&amp;"+"&amp;BM199&amp;ES$1)</f>
        <v/>
      </c>
      <c r="ET199" s="66" t="str">
        <f t="shared" ref="ET199" si="3226">IF(BN199="","","|n"&amp;ET$2&amp;"+"&amp;BN199&amp;ET$1)</f>
        <v/>
      </c>
      <c r="EU199" s="66" t="str">
        <f t="shared" ref="EU199" si="3227">IF(BO199="","","|n"&amp;EU$2&amp;"+"&amp;BO199&amp;EU$1)</f>
        <v/>
      </c>
      <c r="EV199" s="66" t="str">
        <f t="shared" ref="EV199" si="3228">IF(BP199="","","|n"&amp;EV$2&amp;"+"&amp;BP199&amp;EV$1)</f>
        <v/>
      </c>
      <c r="EW199" s="66" t="str">
        <f t="shared" ref="EW199" si="3229">IF(BQ199="","","|n"&amp;EW$2&amp;"+"&amp;BQ199&amp;EW$1)</f>
        <v/>
      </c>
      <c r="EX199" s="66" t="str">
        <f t="shared" ref="EX199" si="3230">IF(BR199="","","|n"&amp;EX$2&amp;"+"&amp;BR199&amp;EX$1)</f>
        <v/>
      </c>
      <c r="EY199" s="66" t="str">
        <f t="shared" ref="EY199" si="3231">IF(BS199="","","|n"&amp;EY$2&amp;"+"&amp;BS199&amp;EY$1)</f>
        <v/>
      </c>
      <c r="EZ199" s="66" t="str">
        <f t="shared" ref="EZ199" si="3232">IF(BT199="","","|n"&amp;EZ$2&amp;"+"&amp;BT199&amp;EZ$1)</f>
        <v/>
      </c>
      <c r="FA199" s="66" t="str">
        <f t="shared" ref="FA199" si="3233">IF(BU199="","","|n"&amp;FA$2&amp;"+"&amp;BU199&amp;FA$1)</f>
        <v/>
      </c>
      <c r="FB199" s="66" t="str">
        <f t="shared" ref="FB199" si="3234">IF(BV199="","","|n"&amp;FB$2&amp;"+"&amp;BV199&amp;FB$1)</f>
        <v/>
      </c>
      <c r="FC199" s="66" t="str">
        <f t="shared" ref="FC199" si="3235">IF(BW199="","","|n"&amp;FC$2&amp;"+"&amp;BW199&amp;FC$1)</f>
        <v/>
      </c>
      <c r="FD199" s="66" t="str">
        <f t="shared" ref="FD199" si="3236">IF(BX199="","","|n"&amp;FD$2&amp;"+"&amp;BX199&amp;FD$1)</f>
        <v/>
      </c>
      <c r="FE199" s="66" t="str">
        <f t="shared" ref="FE199" si="3237">IF(BY199="","","|n"&amp;FE$2&amp;"+"&amp;BY199&amp;FE$1)</f>
        <v/>
      </c>
      <c r="FF199" s="66" t="str">
        <f t="shared" ref="FF199" si="3238">IF(BZ199="","","|n"&amp;FF$2&amp;"+"&amp;BZ199&amp;FF$1)</f>
        <v/>
      </c>
      <c r="FG199" s="66" t="str">
        <f t="shared" ref="FG199" si="3239">IF(CA199="","","|n"&amp;FG$2&amp;"+"&amp;CA199&amp;FG$1)</f>
        <v/>
      </c>
      <c r="FH199" s="66" t="str">
        <f t="shared" ref="FH199" si="3240">IF(CB199="","","|n"&amp;FH$2&amp;"+"&amp;CB199&amp;FH$1)</f>
        <v/>
      </c>
      <c r="FI199" s="66" t="str">
        <f t="shared" ref="FI199" si="3241">IF(CC199="","","|n"&amp;FI$2&amp;"+"&amp;CC199&amp;FI$1)</f>
        <v/>
      </c>
      <c r="FJ199" s="66" t="str">
        <f t="shared" ref="FJ199" si="3242">IF(CD199="","","|n"&amp;FJ$2&amp;"+"&amp;CD199&amp;FJ$1)</f>
        <v/>
      </c>
      <c r="FK199" s="66" t="str">
        <f t="shared" ref="FK199" si="3243">IF(CE199="","","|n"&amp;FK$2&amp;"+"&amp;CE199&amp;FK$1)</f>
        <v/>
      </c>
      <c r="FL199" s="66" t="str">
        <f t="shared" ref="FL199" si="3244">IF(CF199="","","|n"&amp;FL$2&amp;"+"&amp;CF199&amp;FL$1)</f>
        <v/>
      </c>
      <c r="FM199" s="66" t="str">
        <f t="shared" ref="FM199" si="3245">IF(CG199="","","|n"&amp;FM$2&amp;"+"&amp;CG199&amp;FM$1)</f>
        <v/>
      </c>
      <c r="FN199" s="66" t="str">
        <f t="shared" ref="FN199" si="3246">IF(CH199="","","|n"&amp;FN$2&amp;"+"&amp;CH199&amp;FN$1)</f>
        <v/>
      </c>
      <c r="FO199" s="66" t="str">
        <f t="shared" ref="FO199" si="3247">IF(CI199="","","|n"&amp;FO$2&amp;"+"&amp;CI199&amp;FO$1)</f>
        <v/>
      </c>
      <c r="FP199" s="66" t="str">
        <f t="shared" ref="FP199" si="3248">IF(CJ199="","","|n"&amp;FP$2&amp;"+"&amp;CJ199&amp;FP$1)</f>
        <v/>
      </c>
      <c r="FQ199" s="66" t="str">
        <f t="shared" ref="FQ199" si="3249">IF(CK199="","","|n"&amp;FQ$2&amp;"+"&amp;CK199&amp;FQ$1)</f>
        <v/>
      </c>
      <c r="FR199" s="66" t="str">
        <f t="shared" ref="FR199" si="3250">IF(CL199="","","|n"&amp;FR$2&amp;"+"&amp;CL199&amp;FR$1)</f>
        <v/>
      </c>
      <c r="FS199" s="66" t="str">
        <f t="shared" ref="FS199" si="3251">IF(CM199="","","|n"&amp;FS$2&amp;"+"&amp;CM199&amp;FS$1)</f>
        <v/>
      </c>
    </row>
    <row r="200" spans="1:175" ht="16.5">
      <c r="A200" s="15"/>
      <c r="B200" s="9" t="s">
        <v>706</v>
      </c>
      <c r="C200" s="15" t="s">
        <v>707</v>
      </c>
      <c r="T200" s="15" t="s">
        <v>708</v>
      </c>
      <c r="U200" s="77" t="s">
        <v>709</v>
      </c>
      <c r="CN200" s="36" t="str">
        <f t="shared" ref="CN200:CN203" si="3252">"InitUnitState('"&amp;B200&amp;"',"&amp;V200&amp;","&amp;W200&amp;","&amp;X200&amp;","&amp;Y200&amp;","&amp;Z200&amp;","&amp;AA200&amp;","&amp;AB200&amp;","&amp;AC200&amp;","&amp;AD200&amp;","&amp;AE200&amp;")"</f>
        <v>InitUnitState('IS14',,,,,,,,,,)</v>
      </c>
      <c r="CO200" s="36" t="str">
        <f t="shared" ref="CO200:CO203" si="3253">"InitUnitNormal('"&amp;B200&amp;"',"&amp;AF200&amp;","&amp;AG200&amp;","&amp;AH200&amp;","&amp;AI200&amp;","&amp;AJ200&amp;","&amp;AK200&amp;","&amp;AL200&amp;","&amp;AM200&amp;","&amp;AN200&amp;","&amp;AO200&amp;")"</f>
        <v>InitUnitNormal('IS14',,,,,,,,,,)</v>
      </c>
      <c r="CP200" s="36" t="str">
        <f t="shared" ref="CP200:CP203" si="3254">"InitUnitMagic('"&amp;B200&amp;"',"&amp;AP200&amp;","&amp;AQ200&amp;","&amp;AR200&amp;","&amp;AS200&amp;","&amp;AT200&amp;","&amp;AU200&amp;","&amp;AV200&amp;","&amp;AW200&amp;","&amp;BI200&amp;","&amp;BJ200&amp;")"</f>
        <v>InitUnitMagic('IS14',,,,,,,,,,)</v>
      </c>
      <c r="CQ200" s="36" t="str">
        <f t="shared" ref="CQ200:CQ203" si="3255">"InitUnitAdd('"&amp;B200&amp;"',"&amp;BK200&amp;","&amp;BL200&amp;","&amp;BM200&amp;","&amp;BN200&amp;","&amp;BO200&amp;","&amp;BP200&amp;","&amp;BQ200&amp;","&amp;BR200&amp;","&amp;BS200&amp;","&amp;BT200&amp;")"</f>
        <v>InitUnitAdd('IS14',,,,,,,,,,)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188&amp;CR$1&amp;")"</f>
        <v>InitEquipData('IS14',,"",,,,,'','','','','','',"ReplaceableTextures\\CommandButtons\\BTNIN01.blp")</v>
      </c>
      <c r="CU200" s="88" t="str">
        <f t="shared" si="3180"/>
        <v>|n</v>
      </c>
      <c r="CV200" s="19" t="str">
        <f t="shared" si="3181"/>
        <v>|cffffcc00升级消耗：|r150+等级*150杀敌数|n|n|cff00ff7f最高升至10级|r</v>
      </c>
      <c r="CW200" s="33"/>
      <c r="CX200" s="33"/>
      <c r="CY200" s="33"/>
      <c r="CZ200" s="33"/>
      <c r="DA200" s="33"/>
      <c r="DB200" s="66" t="str">
        <f t="shared" ref="DB200:EG200" si="3256">IF(V200="","","|n"&amp;DB$2&amp;"+"&amp;V200&amp;DB$1)</f>
        <v/>
      </c>
      <c r="DC200" s="66" t="str">
        <f t="shared" si="3256"/>
        <v/>
      </c>
      <c r="DD200" s="66" t="str">
        <f t="shared" si="3256"/>
        <v/>
      </c>
      <c r="DE200" s="66" t="str">
        <f t="shared" si="3256"/>
        <v/>
      </c>
      <c r="DF200" s="66" t="str">
        <f t="shared" si="3256"/>
        <v/>
      </c>
      <c r="DG200" s="66" t="str">
        <f t="shared" si="3256"/>
        <v/>
      </c>
      <c r="DH200" s="66" t="str">
        <f t="shared" si="3256"/>
        <v/>
      </c>
      <c r="DI200" s="66" t="str">
        <f t="shared" si="3256"/>
        <v/>
      </c>
      <c r="DJ200" s="66" t="str">
        <f t="shared" si="3256"/>
        <v/>
      </c>
      <c r="DK200" s="66" t="str">
        <f t="shared" si="3256"/>
        <v/>
      </c>
      <c r="DL200" s="66" t="str">
        <f t="shared" si="3256"/>
        <v/>
      </c>
      <c r="DM200" s="66" t="str">
        <f t="shared" si="3256"/>
        <v/>
      </c>
      <c r="DN200" s="66" t="str">
        <f t="shared" si="3256"/>
        <v/>
      </c>
      <c r="DO200" s="66" t="str">
        <f t="shared" si="3256"/>
        <v/>
      </c>
      <c r="DP200" s="66" t="str">
        <f t="shared" si="3256"/>
        <v/>
      </c>
      <c r="DQ200" s="66" t="str">
        <f t="shared" si="3256"/>
        <v/>
      </c>
      <c r="DR200" s="66" t="str">
        <f t="shared" si="3256"/>
        <v/>
      </c>
      <c r="DS200" s="66" t="str">
        <f t="shared" si="3256"/>
        <v/>
      </c>
      <c r="DT200" s="66" t="str">
        <f t="shared" si="3256"/>
        <v/>
      </c>
      <c r="DU200" s="66" t="str">
        <f t="shared" si="3256"/>
        <v/>
      </c>
      <c r="DV200" s="66" t="str">
        <f t="shared" si="3256"/>
        <v/>
      </c>
      <c r="DW200" s="66" t="str">
        <f t="shared" si="3256"/>
        <v/>
      </c>
      <c r="DX200" s="66" t="str">
        <f t="shared" si="3256"/>
        <v/>
      </c>
      <c r="DY200" s="66" t="str">
        <f t="shared" si="3256"/>
        <v/>
      </c>
      <c r="DZ200" s="66" t="str">
        <f t="shared" si="3256"/>
        <v/>
      </c>
      <c r="EA200" s="66" t="str">
        <f t="shared" si="3256"/>
        <v/>
      </c>
      <c r="EB200" s="66" t="str">
        <f t="shared" si="3256"/>
        <v/>
      </c>
      <c r="EC200" s="66" t="str">
        <f t="shared" si="3256"/>
        <v/>
      </c>
      <c r="ED200" s="66" t="str">
        <f t="shared" si="3256"/>
        <v/>
      </c>
      <c r="EE200" s="66" t="str">
        <f t="shared" si="3256"/>
        <v/>
      </c>
      <c r="EF200" s="66" t="str">
        <f t="shared" si="3256"/>
        <v/>
      </c>
      <c r="EG200" s="66" t="str">
        <f t="shared" si="3256"/>
        <v/>
      </c>
      <c r="EH200" s="66" t="str">
        <f t="shared" ref="EH200:FM200" si="3257">IF(BB200="","","|n"&amp;EH$2&amp;"+"&amp;BB200&amp;EH$1)</f>
        <v/>
      </c>
      <c r="EI200" s="66" t="str">
        <f t="shared" si="3257"/>
        <v/>
      </c>
      <c r="EJ200" s="66" t="str">
        <f t="shared" si="3257"/>
        <v/>
      </c>
      <c r="EK200" s="66" t="str">
        <f t="shared" si="3257"/>
        <v/>
      </c>
      <c r="EL200" s="66" t="str">
        <f t="shared" si="3257"/>
        <v/>
      </c>
      <c r="EM200" s="66" t="str">
        <f t="shared" si="3257"/>
        <v/>
      </c>
      <c r="EN200" s="66" t="str">
        <f t="shared" si="3257"/>
        <v/>
      </c>
      <c r="EO200" s="66" t="str">
        <f t="shared" si="3257"/>
        <v/>
      </c>
      <c r="EP200" s="66" t="str">
        <f t="shared" si="3257"/>
        <v/>
      </c>
      <c r="EQ200" s="66" t="str">
        <f t="shared" si="3257"/>
        <v/>
      </c>
      <c r="ER200" s="66" t="str">
        <f t="shared" si="3257"/>
        <v/>
      </c>
      <c r="ES200" s="66" t="str">
        <f t="shared" si="3257"/>
        <v/>
      </c>
      <c r="ET200" s="66" t="str">
        <f t="shared" si="3257"/>
        <v/>
      </c>
      <c r="EU200" s="66" t="str">
        <f t="shared" si="3257"/>
        <v/>
      </c>
      <c r="EV200" s="66" t="str">
        <f t="shared" si="3257"/>
        <v/>
      </c>
      <c r="EW200" s="66" t="str">
        <f t="shared" si="3257"/>
        <v/>
      </c>
      <c r="EX200" s="66" t="str">
        <f t="shared" si="3257"/>
        <v/>
      </c>
      <c r="EY200" s="66" t="str">
        <f t="shared" si="3257"/>
        <v/>
      </c>
      <c r="EZ200" s="66" t="str">
        <f t="shared" si="3257"/>
        <v/>
      </c>
      <c r="FA200" s="66" t="str">
        <f t="shared" si="3257"/>
        <v/>
      </c>
      <c r="FB200" s="66" t="str">
        <f t="shared" si="3257"/>
        <v/>
      </c>
      <c r="FC200" s="66" t="str">
        <f t="shared" si="3257"/>
        <v/>
      </c>
      <c r="FD200" s="66" t="str">
        <f t="shared" si="3257"/>
        <v/>
      </c>
      <c r="FE200" s="66" t="str">
        <f t="shared" si="3257"/>
        <v/>
      </c>
      <c r="FF200" s="66" t="str">
        <f t="shared" si="3257"/>
        <v/>
      </c>
      <c r="FG200" s="66" t="str">
        <f t="shared" si="3257"/>
        <v/>
      </c>
      <c r="FH200" s="66" t="str">
        <f t="shared" si="3257"/>
        <v/>
      </c>
      <c r="FI200" s="66" t="str">
        <f t="shared" si="3257"/>
        <v/>
      </c>
      <c r="FJ200" s="66" t="str">
        <f t="shared" si="3257"/>
        <v/>
      </c>
      <c r="FK200" s="66" t="str">
        <f t="shared" si="3257"/>
        <v/>
      </c>
      <c r="FL200" s="66" t="str">
        <f t="shared" si="3257"/>
        <v/>
      </c>
      <c r="FM200" s="66" t="str">
        <f t="shared" si="3257"/>
        <v/>
      </c>
      <c r="FN200" s="66" t="str">
        <f t="shared" ref="FN200:FS200" si="3258">IF(CH200="","","|n"&amp;FN$2&amp;"+"&amp;CH200&amp;FN$1)</f>
        <v/>
      </c>
      <c r="FO200" s="66" t="str">
        <f t="shared" si="3258"/>
        <v/>
      </c>
      <c r="FP200" s="66" t="str">
        <f t="shared" si="3258"/>
        <v/>
      </c>
      <c r="FQ200" s="66" t="str">
        <f t="shared" si="3258"/>
        <v/>
      </c>
      <c r="FR200" s="66" t="str">
        <f t="shared" si="3258"/>
        <v/>
      </c>
      <c r="FS200" s="66" t="str">
        <f t="shared" si="3258"/>
        <v/>
      </c>
    </row>
    <row r="201" spans="1:175">
      <c r="A201" s="15"/>
      <c r="B201" s="27" t="s">
        <v>710</v>
      </c>
      <c r="C201" s="28" t="s">
        <v>711</v>
      </c>
      <c r="T201" s="29" t="s">
        <v>712</v>
      </c>
      <c r="U201" s="77" t="str">
        <f t="shared" ref="U201:U209" si="3259">"ReplaceableTextures\\CommandButtons\\BTN"&amp;B201&amp;".blp"</f>
        <v>ReplaceableTextures\\CommandButtons\\BTNIB01.blp</v>
      </c>
      <c r="CN201" s="36" t="str">
        <f t="shared" si="3252"/>
        <v>InitUnitState('IB01',,,,,,,,,,)</v>
      </c>
      <c r="CO201" s="36" t="str">
        <f t="shared" si="3253"/>
        <v>InitUnitNormal('IB01',,,,,,,,,,)</v>
      </c>
      <c r="CP201" s="36" t="str">
        <f t="shared" si="3254"/>
        <v>InitUnitMagic('IB01',,,,,,,,,,)</v>
      </c>
      <c r="CQ201" s="36" t="str">
        <f t="shared" si="3255"/>
        <v>InitUnitAdd('IB01',,,,,,,,,,)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InitEquipData('IB01',,"",,,,,'','','','','','',"ReplaceableTextures\\CommandButtons\\BTNIB02.blp")</v>
      </c>
      <c r="CU201" s="88" t="str">
        <f t="shared" ref="CU201:CU209" si="3260">CONCATENATE(DB201,DC201,DD201,DE201,DF201,DG201,DH201,DI201,DJ201,DK201,DL201,DM201,DN201,DO201,DP201,DQ201,DR201,DS201,DT201,DU201,DV201,DW201,DX201,DY201,DZ201,EA201,EB201,EC201,ED201,EE201,EF201,EG201,EH201,EI201,EJ201,EK201,EL201,EM201,EN201,EO201,EP201&amp;"|n")</f>
        <v>|n</v>
      </c>
      <c r="CV201" s="19" t="str">
        <f t="shared" ref="CV201:CV209" si="3261">T201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1" s="33"/>
      <c r="CX201" s="33"/>
      <c r="CY201" s="33"/>
      <c r="CZ201" s="33"/>
      <c r="DA201" s="33"/>
      <c r="DB201" s="66" t="str">
        <f t="shared" ref="DB201:DB208" si="3262">IF(V201="","","|n"&amp;DB$2&amp;"+"&amp;V201&amp;DB$1)</f>
        <v/>
      </c>
      <c r="DC201" s="66" t="str">
        <f t="shared" ref="DC201:DC208" si="3263">IF(W201="","","|n"&amp;DC$2&amp;"+"&amp;W201&amp;DC$1)</f>
        <v/>
      </c>
      <c r="DD201" s="66" t="str">
        <f t="shared" ref="DD201:DD208" si="3264">IF(X201="","","|n"&amp;DD$2&amp;"+"&amp;X201&amp;DD$1)</f>
        <v/>
      </c>
      <c r="DE201" s="66" t="str">
        <f t="shared" ref="DE201:DE208" si="3265">IF(Y201="","","|n"&amp;DE$2&amp;"+"&amp;Y201&amp;DE$1)</f>
        <v/>
      </c>
      <c r="DF201" s="66" t="str">
        <f t="shared" ref="DF201:DF208" si="3266">IF(Z201="","","|n"&amp;DF$2&amp;"+"&amp;Z201&amp;DF$1)</f>
        <v/>
      </c>
      <c r="DG201" s="66" t="str">
        <f t="shared" ref="DG201:DG208" si="3267">IF(AA201="","","|n"&amp;DG$2&amp;"+"&amp;AA201&amp;DG$1)</f>
        <v/>
      </c>
      <c r="DH201" s="66" t="str">
        <f t="shared" ref="DH201:DH208" si="3268">IF(AB201="","","|n"&amp;DH$2&amp;"+"&amp;AB201&amp;DH$1)</f>
        <v/>
      </c>
      <c r="DI201" s="66" t="str">
        <f t="shared" ref="DI201:DI208" si="3269">IF(AC201="","","|n"&amp;DI$2&amp;"+"&amp;AC201&amp;DI$1)</f>
        <v/>
      </c>
      <c r="DJ201" s="66" t="str">
        <f t="shared" ref="DJ201:DJ208" si="3270">IF(AD201="","","|n"&amp;DJ$2&amp;"+"&amp;AD201&amp;DJ$1)</f>
        <v/>
      </c>
      <c r="DK201" s="66" t="str">
        <f t="shared" ref="DK201:DK208" si="3271">IF(AE201="","","|n"&amp;DK$2&amp;"+"&amp;AE201&amp;DK$1)</f>
        <v/>
      </c>
      <c r="DL201" s="66" t="str">
        <f t="shared" ref="DL201:DL208" si="3272">IF(AF201="","","|n"&amp;DL$2&amp;"+"&amp;AF201&amp;DL$1)</f>
        <v/>
      </c>
      <c r="DM201" s="66" t="str">
        <f t="shared" ref="DM201:DM208" si="3273">IF(AG201="","","|n"&amp;DM$2&amp;"+"&amp;AG201&amp;DM$1)</f>
        <v/>
      </c>
      <c r="DN201" s="66" t="str">
        <f t="shared" ref="DN201:DN208" si="3274">IF(AH201="","","|n"&amp;DN$2&amp;"+"&amp;AH201&amp;DN$1)</f>
        <v/>
      </c>
      <c r="DO201" s="66" t="str">
        <f t="shared" ref="DO201:DO208" si="3275">IF(AI201="","","|n"&amp;DO$2&amp;"+"&amp;AI201&amp;DO$1)</f>
        <v/>
      </c>
      <c r="DP201" s="66" t="str">
        <f t="shared" ref="DP201:DP208" si="3276">IF(AJ201="","","|n"&amp;DP$2&amp;"+"&amp;AJ201&amp;DP$1)</f>
        <v/>
      </c>
      <c r="DQ201" s="66" t="str">
        <f t="shared" ref="DQ201:DQ208" si="3277">IF(AK201="","","|n"&amp;DQ$2&amp;"+"&amp;AK201&amp;DQ$1)</f>
        <v/>
      </c>
      <c r="DR201" s="66" t="str">
        <f t="shared" ref="DR201:DR208" si="3278">IF(AL201="","","|n"&amp;DR$2&amp;"+"&amp;AL201&amp;DR$1)</f>
        <v/>
      </c>
      <c r="DS201" s="66" t="str">
        <f t="shared" ref="DS201:DS208" si="3279">IF(AM201="","","|n"&amp;DS$2&amp;"+"&amp;AM201&amp;DS$1)</f>
        <v/>
      </c>
      <c r="DT201" s="66" t="str">
        <f t="shared" ref="DT201:DT208" si="3280">IF(AN201="","","|n"&amp;DT$2&amp;"+"&amp;AN201&amp;DT$1)</f>
        <v/>
      </c>
      <c r="DU201" s="66" t="str">
        <f t="shared" ref="DU201:DU208" si="3281">IF(AO201="","","|n"&amp;DU$2&amp;"+"&amp;AO201&amp;DU$1)</f>
        <v/>
      </c>
      <c r="DV201" s="66" t="str">
        <f t="shared" ref="DV201:DV208" si="3282">IF(AP201="","","|n"&amp;DV$2&amp;"+"&amp;AP201&amp;DV$1)</f>
        <v/>
      </c>
      <c r="DW201" s="66" t="str">
        <f t="shared" ref="DW201:DW208" si="3283">IF(AQ201="","","|n"&amp;DW$2&amp;"+"&amp;AQ201&amp;DW$1)</f>
        <v/>
      </c>
      <c r="DX201" s="66" t="str">
        <f t="shared" ref="DX201:DX208" si="3284">IF(AR201="","","|n"&amp;DX$2&amp;"+"&amp;AR201&amp;DX$1)</f>
        <v/>
      </c>
      <c r="DY201" s="66" t="str">
        <f t="shared" ref="DY201:DY208" si="3285">IF(AS201="","","|n"&amp;DY$2&amp;"+"&amp;AS201&amp;DY$1)</f>
        <v/>
      </c>
      <c r="DZ201" s="66" t="str">
        <f t="shared" ref="DZ201:DZ208" si="3286">IF(AT201="","","|n"&amp;DZ$2&amp;"+"&amp;AT201&amp;DZ$1)</f>
        <v/>
      </c>
      <c r="EA201" s="66" t="str">
        <f t="shared" ref="EA201:EA208" si="3287">IF(AU201="","","|n"&amp;EA$2&amp;"+"&amp;AU201&amp;EA$1)</f>
        <v/>
      </c>
      <c r="EB201" s="66" t="str">
        <f t="shared" ref="EB201:EB208" si="3288">IF(AV201="","","|n"&amp;EB$2&amp;"+"&amp;AV201&amp;EB$1)</f>
        <v/>
      </c>
      <c r="EC201" s="66" t="str">
        <f t="shared" ref="EC201:EC208" si="3289">IF(AW201="","","|n"&amp;EC$2&amp;"+"&amp;AW201&amp;EC$1)</f>
        <v/>
      </c>
      <c r="ED201" s="66" t="str">
        <f t="shared" ref="ED201:ED208" si="3290">IF(AX201="","","|n"&amp;ED$2&amp;"+"&amp;AX201&amp;ED$1)</f>
        <v/>
      </c>
      <c r="EE201" s="66" t="str">
        <f t="shared" ref="EE201:EE208" si="3291">IF(AY201="","","|n"&amp;EE$2&amp;"+"&amp;AY201&amp;EE$1)</f>
        <v/>
      </c>
      <c r="EF201" s="66" t="str">
        <f t="shared" ref="EF201:EF208" si="3292">IF(AZ201="","","|n"&amp;EF$2&amp;"+"&amp;AZ201&amp;EF$1)</f>
        <v/>
      </c>
      <c r="EG201" s="66" t="str">
        <f t="shared" ref="EG201:EG208" si="3293">IF(BA201="","","|n"&amp;EG$2&amp;"+"&amp;BA201&amp;EG$1)</f>
        <v/>
      </c>
      <c r="EH201" s="66" t="str">
        <f t="shared" ref="EH201:EH208" si="3294">IF(BB201="","","|n"&amp;EH$2&amp;"+"&amp;BB201&amp;EH$1)</f>
        <v/>
      </c>
      <c r="EI201" s="66" t="str">
        <f t="shared" ref="EI201:EI208" si="3295">IF(BC201="","","|n"&amp;EI$2&amp;"+"&amp;BC201&amp;EI$1)</f>
        <v/>
      </c>
      <c r="EJ201" s="66" t="str">
        <f t="shared" ref="EJ201:EJ208" si="3296">IF(BD201="","","|n"&amp;EJ$2&amp;"+"&amp;BD201&amp;EJ$1)</f>
        <v/>
      </c>
      <c r="EK201" s="66" t="str">
        <f t="shared" ref="EK201:EK208" si="3297">IF(BE201="","","|n"&amp;EK$2&amp;"+"&amp;BE201&amp;EK$1)</f>
        <v/>
      </c>
      <c r="EL201" s="66" t="str">
        <f t="shared" ref="EL201:EL208" si="3298">IF(BF201="","","|n"&amp;EL$2&amp;"+"&amp;BF201&amp;EL$1)</f>
        <v/>
      </c>
      <c r="EM201" s="66" t="str">
        <f t="shared" ref="EM201:EM208" si="3299">IF(BG201="","","|n"&amp;EM$2&amp;"+"&amp;BG201&amp;EM$1)</f>
        <v/>
      </c>
      <c r="EN201" s="66" t="str">
        <f t="shared" ref="EN201:EN208" si="3300">IF(BH201="","","|n"&amp;EN$2&amp;"+"&amp;BH201&amp;EN$1)</f>
        <v/>
      </c>
      <c r="EO201" s="66" t="str">
        <f t="shared" ref="EO201:EO208" si="3301">IF(BI201="","","|n"&amp;EO$2&amp;"+"&amp;BI201&amp;EO$1)</f>
        <v/>
      </c>
      <c r="EP201" s="66" t="str">
        <f t="shared" ref="EP201:EP208" si="3302">IF(BJ201="","","|n"&amp;EP$2&amp;"+"&amp;BJ201&amp;EP$1)</f>
        <v/>
      </c>
      <c r="EQ201" s="66" t="str">
        <f t="shared" ref="EQ201:EQ208" si="3303">IF(BK201="","","|n"&amp;EQ$2&amp;"+"&amp;BK201&amp;EQ$1)</f>
        <v/>
      </c>
      <c r="ER201" s="66" t="str">
        <f t="shared" ref="ER201:ER208" si="3304">IF(BL201="","","|n"&amp;ER$2&amp;"+"&amp;BL201&amp;ER$1)</f>
        <v/>
      </c>
      <c r="ES201" s="66" t="str">
        <f t="shared" ref="ES201:ES208" si="3305">IF(BM201="","","|n"&amp;ES$2&amp;"+"&amp;BM201&amp;ES$1)</f>
        <v/>
      </c>
      <c r="ET201" s="66" t="str">
        <f t="shared" ref="ET201:ET208" si="3306">IF(BN201="","","|n"&amp;ET$2&amp;"+"&amp;BN201&amp;ET$1)</f>
        <v/>
      </c>
      <c r="EU201" s="66" t="str">
        <f t="shared" ref="EU201:EU208" si="3307">IF(BO201="","","|n"&amp;EU$2&amp;"+"&amp;BO201&amp;EU$1)</f>
        <v/>
      </c>
      <c r="EV201" s="66" t="str">
        <f t="shared" ref="EV201:EV208" si="3308">IF(BP201="","","|n"&amp;EV$2&amp;"+"&amp;BP201&amp;EV$1)</f>
        <v/>
      </c>
      <c r="EW201" s="66" t="str">
        <f t="shared" ref="EW201:EW208" si="3309">IF(BQ201="","","|n"&amp;EW$2&amp;"+"&amp;BQ201&amp;EW$1)</f>
        <v/>
      </c>
      <c r="EX201" s="66" t="str">
        <f t="shared" ref="EX201:EX208" si="3310">IF(BR201="","","|n"&amp;EX$2&amp;"+"&amp;BR201&amp;EX$1)</f>
        <v/>
      </c>
      <c r="EY201" s="66" t="str">
        <f t="shared" ref="EY201:EY208" si="3311">IF(BS201="","","|n"&amp;EY$2&amp;"+"&amp;BS201&amp;EY$1)</f>
        <v/>
      </c>
      <c r="EZ201" s="66" t="str">
        <f t="shared" ref="EZ201:EZ208" si="3312">IF(BT201="","","|n"&amp;EZ$2&amp;"+"&amp;BT201&amp;EZ$1)</f>
        <v/>
      </c>
      <c r="FA201" s="66" t="str">
        <f t="shared" ref="FA201:FA208" si="3313">IF(BU201="","","|n"&amp;FA$2&amp;"+"&amp;BU201&amp;FA$1)</f>
        <v/>
      </c>
      <c r="FB201" s="66" t="str">
        <f t="shared" ref="FB201:FB208" si="3314">IF(BV201="","","|n"&amp;FB$2&amp;"+"&amp;BV201&amp;FB$1)</f>
        <v/>
      </c>
      <c r="FC201" s="66" t="str">
        <f t="shared" ref="FC201:FC208" si="3315">IF(BW201="","","|n"&amp;FC$2&amp;"+"&amp;BW201&amp;FC$1)</f>
        <v/>
      </c>
      <c r="FD201" s="66" t="str">
        <f t="shared" ref="FD201:FD208" si="3316">IF(BX201="","","|n"&amp;FD$2&amp;"+"&amp;BX201&amp;FD$1)</f>
        <v/>
      </c>
      <c r="FE201" s="66" t="str">
        <f t="shared" ref="FE201:FE208" si="3317">IF(BY201="","","|n"&amp;FE$2&amp;"+"&amp;BY201&amp;FE$1)</f>
        <v/>
      </c>
      <c r="FF201" s="66" t="str">
        <f t="shared" ref="FF201:FF208" si="3318">IF(BZ201="","","|n"&amp;FF$2&amp;"+"&amp;BZ201&amp;FF$1)</f>
        <v/>
      </c>
      <c r="FG201" s="66" t="str">
        <f t="shared" ref="FG201:FG208" si="3319">IF(CA201="","","|n"&amp;FG$2&amp;"+"&amp;CA201&amp;FG$1)</f>
        <v/>
      </c>
      <c r="FH201" s="66" t="str">
        <f t="shared" ref="FH201:FH208" si="3320">IF(CB201="","","|n"&amp;FH$2&amp;"+"&amp;CB201&amp;FH$1)</f>
        <v/>
      </c>
      <c r="FI201" s="66" t="str">
        <f t="shared" ref="FI201:FI208" si="3321">IF(CC201="","","|n"&amp;FI$2&amp;"+"&amp;CC201&amp;FI$1)</f>
        <v/>
      </c>
      <c r="FJ201" s="66" t="str">
        <f t="shared" ref="FJ201:FJ208" si="3322">IF(CD201="","","|n"&amp;FJ$2&amp;"+"&amp;CD201&amp;FJ$1)</f>
        <v/>
      </c>
      <c r="FK201" s="66" t="str">
        <f t="shared" ref="FK201:FK208" si="3323">IF(CE201="","","|n"&amp;FK$2&amp;"+"&amp;CE201&amp;FK$1)</f>
        <v/>
      </c>
      <c r="FL201" s="66" t="str">
        <f t="shared" ref="FL201:FL208" si="3324">IF(CF201="","","|n"&amp;FL$2&amp;"+"&amp;CF201&amp;FL$1)</f>
        <v/>
      </c>
      <c r="FM201" s="66" t="str">
        <f t="shared" ref="FM201:FM208" si="3325">IF(CG201="","","|n"&amp;FM$2&amp;"+"&amp;CG201&amp;FM$1)</f>
        <v/>
      </c>
      <c r="FN201" s="66" t="str">
        <f t="shared" ref="FN201:FN208" si="3326">IF(CH201="","","|n"&amp;FN$2&amp;"+"&amp;CH201&amp;FN$1)</f>
        <v/>
      </c>
      <c r="FO201" s="66" t="str">
        <f t="shared" ref="FO201:FO208" si="3327">IF(CI201="","","|n"&amp;FO$2&amp;"+"&amp;CI201&amp;FO$1)</f>
        <v/>
      </c>
      <c r="FP201" s="66" t="str">
        <f t="shared" ref="FP201:FP208" si="3328">IF(CJ201="","","|n"&amp;FP$2&amp;"+"&amp;CJ201&amp;FP$1)</f>
        <v/>
      </c>
      <c r="FQ201" s="66" t="str">
        <f t="shared" ref="FQ201:FQ208" si="3329">IF(CK201="","","|n"&amp;FQ$2&amp;"+"&amp;CK201&amp;FQ$1)</f>
        <v/>
      </c>
      <c r="FR201" s="66" t="str">
        <f t="shared" ref="FR201:FR208" si="3330">IF(CL201="","","|n"&amp;FR$2&amp;"+"&amp;CL201&amp;FR$1)</f>
        <v/>
      </c>
      <c r="FS201" s="66" t="str">
        <f t="shared" ref="FS201:FS208" si="3331">IF(CM201="","","|n"&amp;FS$2&amp;"+"&amp;CM201&amp;FS$1)</f>
        <v/>
      </c>
    </row>
    <row r="202" spans="1:175">
      <c r="A202" s="15"/>
      <c r="B202" s="27" t="s">
        <v>713</v>
      </c>
      <c r="C202" s="28" t="s">
        <v>714</v>
      </c>
      <c r="T202" s="29" t="s">
        <v>715</v>
      </c>
      <c r="U202" s="77" t="str">
        <f t="shared" si="3259"/>
        <v>ReplaceableTextures\\CommandButtons\\BTNIB02.blp</v>
      </c>
      <c r="CN202" s="36" t="str">
        <f t="shared" si="3252"/>
        <v>InitUnitState('IB02',,,,,,,,,,)</v>
      </c>
      <c r="CO202" s="36" t="str">
        <f t="shared" si="3253"/>
        <v>InitUnitNormal('IB02',,,,,,,,,,)</v>
      </c>
      <c r="CP202" s="36" t="str">
        <f t="shared" si="3254"/>
        <v>InitUnitMagic('IB02',,,,,,,,,,)</v>
      </c>
      <c r="CQ202" s="36" t="str">
        <f t="shared" si="3255"/>
        <v>InitUnitAdd('IB02',,,,,,,,,,)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InitEquipData('IB02',,"",,,,,'','','','','','',"ReplaceableTextures\\CommandButtons\\BTNIB03.blp")</v>
      </c>
      <c r="CU202" s="88" t="str">
        <f t="shared" si="3260"/>
        <v>|n</v>
      </c>
      <c r="CV202" s="19" t="str">
        <f t="shared" si="3261"/>
        <v>加入《|cff00ffcc全民封神|r》官方QQ群，即可获得入群礼包码！|n|n输入礼包码即可获得：|n|cff00ff7f招魂幡Lv2|r</v>
      </c>
      <c r="CW202" s="33"/>
      <c r="CX202" s="33"/>
      <c r="CY202" s="33"/>
      <c r="CZ202" s="33"/>
      <c r="DA202" s="33"/>
      <c r="DB202" s="66" t="str">
        <f t="shared" si="3262"/>
        <v/>
      </c>
      <c r="DC202" s="66" t="str">
        <f t="shared" si="3263"/>
        <v/>
      </c>
      <c r="DD202" s="66" t="str">
        <f t="shared" si="3264"/>
        <v/>
      </c>
      <c r="DE202" s="66" t="str">
        <f t="shared" si="3265"/>
        <v/>
      </c>
      <c r="DF202" s="66" t="str">
        <f t="shared" si="3266"/>
        <v/>
      </c>
      <c r="DG202" s="66" t="str">
        <f t="shared" si="3267"/>
        <v/>
      </c>
      <c r="DH202" s="66" t="str">
        <f t="shared" si="3268"/>
        <v/>
      </c>
      <c r="DI202" s="66" t="str">
        <f t="shared" si="3269"/>
        <v/>
      </c>
      <c r="DJ202" s="66" t="str">
        <f t="shared" si="3270"/>
        <v/>
      </c>
      <c r="DK202" s="66" t="str">
        <f t="shared" si="3271"/>
        <v/>
      </c>
      <c r="DL202" s="66" t="str">
        <f t="shared" si="3272"/>
        <v/>
      </c>
      <c r="DM202" s="66" t="str">
        <f t="shared" si="3273"/>
        <v/>
      </c>
      <c r="DN202" s="66" t="str">
        <f t="shared" si="3274"/>
        <v/>
      </c>
      <c r="DO202" s="66" t="str">
        <f t="shared" si="3275"/>
        <v/>
      </c>
      <c r="DP202" s="66" t="str">
        <f t="shared" si="3276"/>
        <v/>
      </c>
      <c r="DQ202" s="66" t="str">
        <f t="shared" si="3277"/>
        <v/>
      </c>
      <c r="DR202" s="66" t="str">
        <f t="shared" si="3278"/>
        <v/>
      </c>
      <c r="DS202" s="66" t="str">
        <f t="shared" si="3279"/>
        <v/>
      </c>
      <c r="DT202" s="66" t="str">
        <f t="shared" si="3280"/>
        <v/>
      </c>
      <c r="DU202" s="66" t="str">
        <f t="shared" si="3281"/>
        <v/>
      </c>
      <c r="DV202" s="66" t="str">
        <f t="shared" si="3282"/>
        <v/>
      </c>
      <c r="DW202" s="66" t="str">
        <f t="shared" si="3283"/>
        <v/>
      </c>
      <c r="DX202" s="66" t="str">
        <f t="shared" si="3284"/>
        <v/>
      </c>
      <c r="DY202" s="66" t="str">
        <f t="shared" si="3285"/>
        <v/>
      </c>
      <c r="DZ202" s="66" t="str">
        <f t="shared" si="3286"/>
        <v/>
      </c>
      <c r="EA202" s="66" t="str">
        <f t="shared" si="3287"/>
        <v/>
      </c>
      <c r="EB202" s="66" t="str">
        <f t="shared" si="3288"/>
        <v/>
      </c>
      <c r="EC202" s="66" t="str">
        <f t="shared" si="3289"/>
        <v/>
      </c>
      <c r="ED202" s="66" t="str">
        <f t="shared" si="3290"/>
        <v/>
      </c>
      <c r="EE202" s="66" t="str">
        <f t="shared" si="3291"/>
        <v/>
      </c>
      <c r="EF202" s="66" t="str">
        <f t="shared" si="3292"/>
        <v/>
      </c>
      <c r="EG202" s="66" t="str">
        <f t="shared" si="3293"/>
        <v/>
      </c>
      <c r="EH202" s="66" t="str">
        <f t="shared" si="3294"/>
        <v/>
      </c>
      <c r="EI202" s="66" t="str">
        <f t="shared" si="3295"/>
        <v/>
      </c>
      <c r="EJ202" s="66" t="str">
        <f t="shared" si="3296"/>
        <v/>
      </c>
      <c r="EK202" s="66" t="str">
        <f t="shared" si="3297"/>
        <v/>
      </c>
      <c r="EL202" s="66" t="str">
        <f t="shared" si="3298"/>
        <v/>
      </c>
      <c r="EM202" s="66" t="str">
        <f t="shared" si="3299"/>
        <v/>
      </c>
      <c r="EN202" s="66" t="str">
        <f t="shared" si="3300"/>
        <v/>
      </c>
      <c r="EO202" s="66" t="str">
        <f t="shared" si="3301"/>
        <v/>
      </c>
      <c r="EP202" s="66" t="str">
        <f t="shared" si="3302"/>
        <v/>
      </c>
      <c r="EQ202" s="66" t="str">
        <f t="shared" si="3303"/>
        <v/>
      </c>
      <c r="ER202" s="66" t="str">
        <f t="shared" si="3304"/>
        <v/>
      </c>
      <c r="ES202" s="66" t="str">
        <f t="shared" si="3305"/>
        <v/>
      </c>
      <c r="ET202" s="66" t="str">
        <f t="shared" si="3306"/>
        <v/>
      </c>
      <c r="EU202" s="66" t="str">
        <f t="shared" si="3307"/>
        <v/>
      </c>
      <c r="EV202" s="66" t="str">
        <f t="shared" si="3308"/>
        <v/>
      </c>
      <c r="EW202" s="66" t="str">
        <f t="shared" si="3309"/>
        <v/>
      </c>
      <c r="EX202" s="66" t="str">
        <f t="shared" si="3310"/>
        <v/>
      </c>
      <c r="EY202" s="66" t="str">
        <f t="shared" si="3311"/>
        <v/>
      </c>
      <c r="EZ202" s="66" t="str">
        <f t="shared" si="3312"/>
        <v/>
      </c>
      <c r="FA202" s="66" t="str">
        <f t="shared" si="3313"/>
        <v/>
      </c>
      <c r="FB202" s="66" t="str">
        <f t="shared" si="3314"/>
        <v/>
      </c>
      <c r="FC202" s="66" t="str">
        <f t="shared" si="3315"/>
        <v/>
      </c>
      <c r="FD202" s="66" t="str">
        <f t="shared" si="3316"/>
        <v/>
      </c>
      <c r="FE202" s="66" t="str">
        <f t="shared" si="3317"/>
        <v/>
      </c>
      <c r="FF202" s="66" t="str">
        <f t="shared" si="3318"/>
        <v/>
      </c>
      <c r="FG202" s="66" t="str">
        <f t="shared" si="3319"/>
        <v/>
      </c>
      <c r="FH202" s="66" t="str">
        <f t="shared" si="3320"/>
        <v/>
      </c>
      <c r="FI202" s="66" t="str">
        <f t="shared" si="3321"/>
        <v/>
      </c>
      <c r="FJ202" s="66" t="str">
        <f t="shared" si="3322"/>
        <v/>
      </c>
      <c r="FK202" s="66" t="str">
        <f t="shared" si="3323"/>
        <v/>
      </c>
      <c r="FL202" s="66" t="str">
        <f t="shared" si="3324"/>
        <v/>
      </c>
      <c r="FM202" s="66" t="str">
        <f t="shared" si="3325"/>
        <v/>
      </c>
      <c r="FN202" s="66" t="str">
        <f t="shared" si="3326"/>
        <v/>
      </c>
      <c r="FO202" s="66" t="str">
        <f t="shared" si="3327"/>
        <v/>
      </c>
      <c r="FP202" s="66" t="str">
        <f t="shared" si="3328"/>
        <v/>
      </c>
      <c r="FQ202" s="66" t="str">
        <f t="shared" si="3329"/>
        <v/>
      </c>
      <c r="FR202" s="66" t="str">
        <f t="shared" si="3330"/>
        <v/>
      </c>
      <c r="FS202" s="66" t="str">
        <f t="shared" si="3331"/>
        <v/>
      </c>
    </row>
    <row r="203" spans="1:175">
      <c r="A203" s="15"/>
      <c r="B203" s="27" t="s">
        <v>716</v>
      </c>
      <c r="C203" s="28" t="s">
        <v>717</v>
      </c>
      <c r="T203" s="29" t="s">
        <v>718</v>
      </c>
      <c r="U203" s="77" t="str">
        <f t="shared" si="3259"/>
        <v>ReplaceableTextures\\CommandButtons\\BTNIB03.blp</v>
      </c>
      <c r="CN203" s="36" t="str">
        <f t="shared" si="3252"/>
        <v>InitUnitState('IB03',,,,,,,,,,)</v>
      </c>
      <c r="CO203" s="36" t="str">
        <f t="shared" si="3253"/>
        <v>InitUnitNormal('IB03',,,,,,,,,,)</v>
      </c>
      <c r="CP203" s="36" t="str">
        <f t="shared" si="3254"/>
        <v>InitUnitMagic('IB03',,,,,,,,,,)</v>
      </c>
      <c r="CQ203" s="36" t="str">
        <f t="shared" si="3255"/>
        <v>InitUnitAdd('IB03',,,,,,,,,,)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InitEquipData('IB03',,"",,,,,'','','','','','',"ReplaceableTextures\\CommandButtons\\BTNIB04.blp")</v>
      </c>
      <c r="CU203" s="88" t="str">
        <f t="shared" si="3260"/>
        <v>|n</v>
      </c>
      <c r="CV203" s="19" t="str">
        <f t="shared" si="3261"/>
        <v>|cff99ccff给与地图有效评论建议|r即可领取：|n|cffffff00杀敌生命+5+3*通行证等级|n杀敌业力+1|n|n|r|cff808080地图等级达到3级可领取|r</v>
      </c>
      <c r="CW203" s="33"/>
      <c r="CX203" s="33"/>
      <c r="CY203" s="33"/>
      <c r="CZ203" s="33"/>
      <c r="DA203" s="33"/>
      <c r="DB203" s="66" t="str">
        <f t="shared" si="3262"/>
        <v/>
      </c>
      <c r="DC203" s="66" t="str">
        <f t="shared" si="3263"/>
        <v/>
      </c>
      <c r="DD203" s="66" t="str">
        <f t="shared" si="3264"/>
        <v/>
      </c>
      <c r="DE203" s="66" t="str">
        <f t="shared" si="3265"/>
        <v/>
      </c>
      <c r="DF203" s="66" t="str">
        <f t="shared" si="3266"/>
        <v/>
      </c>
      <c r="DG203" s="66" t="str">
        <f t="shared" si="3267"/>
        <v/>
      </c>
      <c r="DH203" s="66" t="str">
        <f t="shared" si="3268"/>
        <v/>
      </c>
      <c r="DI203" s="66" t="str">
        <f t="shared" si="3269"/>
        <v/>
      </c>
      <c r="DJ203" s="66" t="str">
        <f t="shared" si="3270"/>
        <v/>
      </c>
      <c r="DK203" s="66" t="str">
        <f t="shared" si="3271"/>
        <v/>
      </c>
      <c r="DL203" s="66" t="str">
        <f t="shared" si="3272"/>
        <v/>
      </c>
      <c r="DM203" s="66" t="str">
        <f t="shared" si="3273"/>
        <v/>
      </c>
      <c r="DN203" s="66" t="str">
        <f t="shared" si="3274"/>
        <v/>
      </c>
      <c r="DO203" s="66" t="str">
        <f t="shared" si="3275"/>
        <v/>
      </c>
      <c r="DP203" s="66" t="str">
        <f t="shared" si="3276"/>
        <v/>
      </c>
      <c r="DQ203" s="66" t="str">
        <f t="shared" si="3277"/>
        <v/>
      </c>
      <c r="DR203" s="66" t="str">
        <f t="shared" si="3278"/>
        <v/>
      </c>
      <c r="DS203" s="66" t="str">
        <f t="shared" si="3279"/>
        <v/>
      </c>
      <c r="DT203" s="66" t="str">
        <f t="shared" si="3280"/>
        <v/>
      </c>
      <c r="DU203" s="66" t="str">
        <f t="shared" si="3281"/>
        <v/>
      </c>
      <c r="DV203" s="66" t="str">
        <f t="shared" si="3282"/>
        <v/>
      </c>
      <c r="DW203" s="66" t="str">
        <f t="shared" si="3283"/>
        <v/>
      </c>
      <c r="DX203" s="66" t="str">
        <f t="shared" si="3284"/>
        <v/>
      </c>
      <c r="DY203" s="66" t="str">
        <f t="shared" si="3285"/>
        <v/>
      </c>
      <c r="DZ203" s="66" t="str">
        <f t="shared" si="3286"/>
        <v/>
      </c>
      <c r="EA203" s="66" t="str">
        <f t="shared" si="3287"/>
        <v/>
      </c>
      <c r="EB203" s="66" t="str">
        <f t="shared" si="3288"/>
        <v/>
      </c>
      <c r="EC203" s="66" t="str">
        <f t="shared" si="3289"/>
        <v/>
      </c>
      <c r="ED203" s="66" t="str">
        <f t="shared" si="3290"/>
        <v/>
      </c>
      <c r="EE203" s="66" t="str">
        <f t="shared" si="3291"/>
        <v/>
      </c>
      <c r="EF203" s="66" t="str">
        <f t="shared" si="3292"/>
        <v/>
      </c>
      <c r="EG203" s="66" t="str">
        <f t="shared" si="3293"/>
        <v/>
      </c>
      <c r="EH203" s="66" t="str">
        <f t="shared" si="3294"/>
        <v/>
      </c>
      <c r="EI203" s="66" t="str">
        <f t="shared" si="3295"/>
        <v/>
      </c>
      <c r="EJ203" s="66" t="str">
        <f t="shared" si="3296"/>
        <v/>
      </c>
      <c r="EK203" s="66" t="str">
        <f t="shared" si="3297"/>
        <v/>
      </c>
      <c r="EL203" s="66" t="str">
        <f t="shared" si="3298"/>
        <v/>
      </c>
      <c r="EM203" s="66" t="str">
        <f t="shared" si="3299"/>
        <v/>
      </c>
      <c r="EN203" s="66" t="str">
        <f t="shared" si="3300"/>
        <v/>
      </c>
      <c r="EO203" s="66" t="str">
        <f t="shared" si="3301"/>
        <v/>
      </c>
      <c r="EP203" s="66" t="str">
        <f t="shared" si="3302"/>
        <v/>
      </c>
      <c r="EQ203" s="66" t="str">
        <f t="shared" si="3303"/>
        <v/>
      </c>
      <c r="ER203" s="66" t="str">
        <f t="shared" si="3304"/>
        <v/>
      </c>
      <c r="ES203" s="66" t="str">
        <f t="shared" si="3305"/>
        <v/>
      </c>
      <c r="ET203" s="66" t="str">
        <f t="shared" si="3306"/>
        <v/>
      </c>
      <c r="EU203" s="66" t="str">
        <f t="shared" si="3307"/>
        <v/>
      </c>
      <c r="EV203" s="66" t="str">
        <f t="shared" si="3308"/>
        <v/>
      </c>
      <c r="EW203" s="66" t="str">
        <f t="shared" si="3309"/>
        <v/>
      </c>
      <c r="EX203" s="66" t="str">
        <f t="shared" si="3310"/>
        <v/>
      </c>
      <c r="EY203" s="66" t="str">
        <f t="shared" si="3311"/>
        <v/>
      </c>
      <c r="EZ203" s="66" t="str">
        <f t="shared" si="3312"/>
        <v/>
      </c>
      <c r="FA203" s="66" t="str">
        <f t="shared" si="3313"/>
        <v/>
      </c>
      <c r="FB203" s="66" t="str">
        <f t="shared" si="3314"/>
        <v/>
      </c>
      <c r="FC203" s="66" t="str">
        <f t="shared" si="3315"/>
        <v/>
      </c>
      <c r="FD203" s="66" t="str">
        <f t="shared" si="3316"/>
        <v/>
      </c>
      <c r="FE203" s="66" t="str">
        <f t="shared" si="3317"/>
        <v/>
      </c>
      <c r="FF203" s="66" t="str">
        <f t="shared" si="3318"/>
        <v/>
      </c>
      <c r="FG203" s="66" t="str">
        <f t="shared" si="3319"/>
        <v/>
      </c>
      <c r="FH203" s="66" t="str">
        <f t="shared" si="3320"/>
        <v/>
      </c>
      <c r="FI203" s="66" t="str">
        <f t="shared" si="3321"/>
        <v/>
      </c>
      <c r="FJ203" s="66" t="str">
        <f t="shared" si="3322"/>
        <v/>
      </c>
      <c r="FK203" s="66" t="str">
        <f t="shared" si="3323"/>
        <v/>
      </c>
      <c r="FL203" s="66" t="str">
        <f t="shared" si="3324"/>
        <v/>
      </c>
      <c r="FM203" s="66" t="str">
        <f t="shared" si="3325"/>
        <v/>
      </c>
      <c r="FN203" s="66" t="str">
        <f t="shared" si="3326"/>
        <v/>
      </c>
      <c r="FO203" s="66" t="str">
        <f t="shared" si="3327"/>
        <v/>
      </c>
      <c r="FP203" s="66" t="str">
        <f t="shared" si="3328"/>
        <v/>
      </c>
      <c r="FQ203" s="66" t="str">
        <f t="shared" si="3329"/>
        <v/>
      </c>
      <c r="FR203" s="66" t="str">
        <f t="shared" si="3330"/>
        <v/>
      </c>
      <c r="FS203" s="66" t="str">
        <f t="shared" si="3331"/>
        <v/>
      </c>
    </row>
    <row r="204" spans="1:175">
      <c r="A204" s="15"/>
      <c r="B204" s="27" t="s">
        <v>719</v>
      </c>
      <c r="C204" s="28" t="s">
        <v>720</v>
      </c>
      <c r="T204" s="29" t="s">
        <v>721</v>
      </c>
      <c r="U204" s="77" t="str">
        <f t="shared" si="3259"/>
        <v>ReplaceableTextures\\CommandButtons\\BTNIB04.blp</v>
      </c>
      <c r="CN204" s="36" t="str">
        <f t="shared" ref="CN204:CN210" si="3332">"InitUnitState('"&amp;B204&amp;"',"&amp;V204&amp;","&amp;W204&amp;","&amp;X204&amp;","&amp;Y204&amp;","&amp;Z204&amp;","&amp;AA204&amp;","&amp;AB204&amp;","&amp;AC204&amp;","&amp;AD204&amp;","&amp;AE204&amp;")"</f>
        <v>InitUnitState('IB04',,,,,,,,,,)</v>
      </c>
      <c r="CO204" s="36" t="str">
        <f t="shared" ref="CO204:CO210" si="3333">"InitUnitNormal('"&amp;B204&amp;"',"&amp;AF204&amp;","&amp;AG204&amp;","&amp;AH204&amp;","&amp;AI204&amp;","&amp;AJ204&amp;","&amp;AK204&amp;","&amp;AL204&amp;","&amp;AM204&amp;","&amp;AN204&amp;","&amp;AO204&amp;")"</f>
        <v>InitUnitNormal('IB04',,,,,,,,,,)</v>
      </c>
      <c r="CP204" s="36" t="str">
        <f t="shared" ref="CP204:CP210" si="3334">"InitUnitMagic('"&amp;B204&amp;"',"&amp;AP204&amp;","&amp;AQ204&amp;","&amp;AR204&amp;","&amp;AS204&amp;","&amp;AT204&amp;","&amp;AU204&amp;","&amp;AV204&amp;","&amp;AW204&amp;","&amp;BI204&amp;","&amp;BJ204&amp;")"</f>
        <v>InitUnitMagic('IB04',,,,,,,,,,)</v>
      </c>
      <c r="CQ204" s="36" t="str">
        <f t="shared" ref="CQ204:CQ210" si="3335">"InitUnitAdd('"&amp;B204&amp;"',"&amp;BK204&amp;","&amp;BL204&amp;","&amp;BM204&amp;","&amp;BN204&amp;","&amp;BO204&amp;","&amp;BP204&amp;","&amp;BQ204&amp;","&amp;BR204&amp;","&amp;BS204&amp;","&amp;BT204&amp;")"</f>
        <v>InitUnitAdd('IB04',,,,,,,,,,)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InitEquipData('IB04',,"",,,,,'','','','','','',"ReplaceableTextures\\CommandButtons\\BTNIB05.blp")</v>
      </c>
      <c r="CU204" s="88" t="str">
        <f t="shared" si="3260"/>
        <v>|n</v>
      </c>
      <c r="CV204" s="19" t="str">
        <f t="shared" si="3261"/>
        <v>|cff99ccff房间大厅界面点击右上角《|r|cffcc99ff收藏|r|cff99ccff》后可领取该礼包。|n|n|r属性：|n|cffffcc33物理伤害+5%|n法术伤害+5%|r</v>
      </c>
      <c r="CW204" s="33"/>
      <c r="CX204" s="33"/>
      <c r="CY204" s="33"/>
      <c r="CZ204" s="33"/>
      <c r="DA204" s="33"/>
      <c r="DB204" s="66" t="str">
        <f t="shared" si="3262"/>
        <v/>
      </c>
      <c r="DC204" s="66" t="str">
        <f t="shared" si="3263"/>
        <v/>
      </c>
      <c r="DD204" s="66" t="str">
        <f t="shared" si="3264"/>
        <v/>
      </c>
      <c r="DE204" s="66" t="str">
        <f t="shared" si="3265"/>
        <v/>
      </c>
      <c r="DF204" s="66" t="str">
        <f t="shared" si="3266"/>
        <v/>
      </c>
      <c r="DG204" s="66" t="str">
        <f t="shared" si="3267"/>
        <v/>
      </c>
      <c r="DH204" s="66" t="str">
        <f t="shared" si="3268"/>
        <v/>
      </c>
      <c r="DI204" s="66" t="str">
        <f t="shared" si="3269"/>
        <v/>
      </c>
      <c r="DJ204" s="66" t="str">
        <f t="shared" si="3270"/>
        <v/>
      </c>
      <c r="DK204" s="66" t="str">
        <f t="shared" si="3271"/>
        <v/>
      </c>
      <c r="DL204" s="66" t="str">
        <f t="shared" si="3272"/>
        <v/>
      </c>
      <c r="DM204" s="66" t="str">
        <f t="shared" si="3273"/>
        <v/>
      </c>
      <c r="DN204" s="66" t="str">
        <f t="shared" si="3274"/>
        <v/>
      </c>
      <c r="DO204" s="66" t="str">
        <f t="shared" si="3275"/>
        <v/>
      </c>
      <c r="DP204" s="66" t="str">
        <f t="shared" si="3276"/>
        <v/>
      </c>
      <c r="DQ204" s="66" t="str">
        <f t="shared" si="3277"/>
        <v/>
      </c>
      <c r="DR204" s="66" t="str">
        <f t="shared" si="3278"/>
        <v/>
      </c>
      <c r="DS204" s="66" t="str">
        <f t="shared" si="3279"/>
        <v/>
      </c>
      <c r="DT204" s="66" t="str">
        <f t="shared" si="3280"/>
        <v/>
      </c>
      <c r="DU204" s="66" t="str">
        <f t="shared" si="3281"/>
        <v/>
      </c>
      <c r="DV204" s="66" t="str">
        <f t="shared" si="3282"/>
        <v/>
      </c>
      <c r="DW204" s="66" t="str">
        <f t="shared" si="3283"/>
        <v/>
      </c>
      <c r="DX204" s="66" t="str">
        <f t="shared" si="3284"/>
        <v/>
      </c>
      <c r="DY204" s="66" t="str">
        <f t="shared" si="3285"/>
        <v/>
      </c>
      <c r="DZ204" s="66" t="str">
        <f t="shared" si="3286"/>
        <v/>
      </c>
      <c r="EA204" s="66" t="str">
        <f t="shared" si="3287"/>
        <v/>
      </c>
      <c r="EB204" s="66" t="str">
        <f t="shared" si="3288"/>
        <v/>
      </c>
      <c r="EC204" s="66" t="str">
        <f t="shared" si="3289"/>
        <v/>
      </c>
      <c r="ED204" s="66" t="str">
        <f t="shared" si="3290"/>
        <v/>
      </c>
      <c r="EE204" s="66" t="str">
        <f t="shared" si="3291"/>
        <v/>
      </c>
      <c r="EF204" s="66" t="str">
        <f t="shared" si="3292"/>
        <v/>
      </c>
      <c r="EG204" s="66" t="str">
        <f t="shared" si="3293"/>
        <v/>
      </c>
      <c r="EH204" s="66" t="str">
        <f t="shared" si="3294"/>
        <v/>
      </c>
      <c r="EI204" s="66" t="str">
        <f t="shared" si="3295"/>
        <v/>
      </c>
      <c r="EJ204" s="66" t="str">
        <f t="shared" si="3296"/>
        <v/>
      </c>
      <c r="EK204" s="66" t="str">
        <f t="shared" si="3297"/>
        <v/>
      </c>
      <c r="EL204" s="66" t="str">
        <f t="shared" si="3298"/>
        <v/>
      </c>
      <c r="EM204" s="66" t="str">
        <f t="shared" si="3299"/>
        <v/>
      </c>
      <c r="EN204" s="66" t="str">
        <f t="shared" si="3300"/>
        <v/>
      </c>
      <c r="EO204" s="66" t="str">
        <f t="shared" si="3301"/>
        <v/>
      </c>
      <c r="EP204" s="66" t="str">
        <f t="shared" si="3302"/>
        <v/>
      </c>
      <c r="EQ204" s="66" t="str">
        <f t="shared" si="3303"/>
        <v/>
      </c>
      <c r="ER204" s="66" t="str">
        <f t="shared" si="3304"/>
        <v/>
      </c>
      <c r="ES204" s="66" t="str">
        <f t="shared" si="3305"/>
        <v/>
      </c>
      <c r="ET204" s="66" t="str">
        <f t="shared" si="3306"/>
        <v/>
      </c>
      <c r="EU204" s="66" t="str">
        <f t="shared" si="3307"/>
        <v/>
      </c>
      <c r="EV204" s="66" t="str">
        <f t="shared" si="3308"/>
        <v/>
      </c>
      <c r="EW204" s="66" t="str">
        <f t="shared" si="3309"/>
        <v/>
      </c>
      <c r="EX204" s="66" t="str">
        <f t="shared" si="3310"/>
        <v/>
      </c>
      <c r="EY204" s="66" t="str">
        <f t="shared" si="3311"/>
        <v/>
      </c>
      <c r="EZ204" s="66" t="str">
        <f t="shared" si="3312"/>
        <v/>
      </c>
      <c r="FA204" s="66" t="str">
        <f t="shared" si="3313"/>
        <v/>
      </c>
      <c r="FB204" s="66" t="str">
        <f t="shared" si="3314"/>
        <v/>
      </c>
      <c r="FC204" s="66" t="str">
        <f t="shared" si="3315"/>
        <v/>
      </c>
      <c r="FD204" s="66" t="str">
        <f t="shared" si="3316"/>
        <v/>
      </c>
      <c r="FE204" s="66" t="str">
        <f t="shared" si="3317"/>
        <v/>
      </c>
      <c r="FF204" s="66" t="str">
        <f t="shared" si="3318"/>
        <v/>
      </c>
      <c r="FG204" s="66" t="str">
        <f t="shared" si="3319"/>
        <v/>
      </c>
      <c r="FH204" s="66" t="str">
        <f t="shared" si="3320"/>
        <v/>
      </c>
      <c r="FI204" s="66" t="str">
        <f t="shared" si="3321"/>
        <v/>
      </c>
      <c r="FJ204" s="66" t="str">
        <f t="shared" si="3322"/>
        <v/>
      </c>
      <c r="FK204" s="66" t="str">
        <f t="shared" si="3323"/>
        <v/>
      </c>
      <c r="FL204" s="66" t="str">
        <f t="shared" si="3324"/>
        <v/>
      </c>
      <c r="FM204" s="66" t="str">
        <f t="shared" si="3325"/>
        <v/>
      </c>
      <c r="FN204" s="66" t="str">
        <f t="shared" si="3326"/>
        <v/>
      </c>
      <c r="FO204" s="66" t="str">
        <f t="shared" si="3327"/>
        <v/>
      </c>
      <c r="FP204" s="66" t="str">
        <f t="shared" si="3328"/>
        <v/>
      </c>
      <c r="FQ204" s="66" t="str">
        <f t="shared" si="3329"/>
        <v/>
      </c>
      <c r="FR204" s="66" t="str">
        <f t="shared" si="3330"/>
        <v/>
      </c>
      <c r="FS204" s="66" t="str">
        <f t="shared" si="3331"/>
        <v/>
      </c>
    </row>
    <row r="205" spans="1:175">
      <c r="A205" s="15"/>
      <c r="B205" s="27" t="s">
        <v>722</v>
      </c>
      <c r="C205" s="28" t="s">
        <v>723</v>
      </c>
      <c r="T205" s="29" t="s">
        <v>724</v>
      </c>
      <c r="U205" s="77" t="str">
        <f t="shared" si="3259"/>
        <v>ReplaceableTextures\\CommandButtons\\BTNIB05.blp</v>
      </c>
      <c r="CN205" s="36" t="str">
        <f t="shared" si="3332"/>
        <v>InitUnitState('IB05',,,,,,,,,,)</v>
      </c>
      <c r="CO205" s="36" t="str">
        <f t="shared" si="3333"/>
        <v>InitUnitNormal('IB05',,,,,,,,,,)</v>
      </c>
      <c r="CP205" s="36" t="str">
        <f t="shared" si="3334"/>
        <v>InitUnitMagic('IB05',,,,,,,,,,)</v>
      </c>
      <c r="CQ205" s="36" t="str">
        <f t="shared" si="3335"/>
        <v>InitUnitAdd('IB05',,,,,,,,,,)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228&amp;CR$1&amp;")"</f>
        <v>InitEquipData('IB05',,"",,,,,'','','','','','',"")</v>
      </c>
      <c r="CU205" s="88" t="str">
        <f t="shared" si="3260"/>
        <v>|n</v>
      </c>
      <c r="CV205" s="19" t="str">
        <f t="shared" si="3261"/>
        <v>|cff33ff00购买魔兽重制版可领取该礼包！|n|n|r属性：|n|cffffcc33金币+1000|n每秒攻击+2|n每秒业力+1|r</v>
      </c>
      <c r="CW205" s="33"/>
      <c r="CX205" s="33"/>
      <c r="CY205" s="33"/>
      <c r="CZ205" s="33"/>
      <c r="DA205" s="33"/>
      <c r="DB205" s="66" t="str">
        <f t="shared" si="3262"/>
        <v/>
      </c>
      <c r="DC205" s="66" t="str">
        <f t="shared" si="3263"/>
        <v/>
      </c>
      <c r="DD205" s="66" t="str">
        <f t="shared" si="3264"/>
        <v/>
      </c>
      <c r="DE205" s="66" t="str">
        <f t="shared" si="3265"/>
        <v/>
      </c>
      <c r="DF205" s="66" t="str">
        <f t="shared" si="3266"/>
        <v/>
      </c>
      <c r="DG205" s="66" t="str">
        <f t="shared" si="3267"/>
        <v/>
      </c>
      <c r="DH205" s="66" t="str">
        <f t="shared" si="3268"/>
        <v/>
      </c>
      <c r="DI205" s="66" t="str">
        <f t="shared" si="3269"/>
        <v/>
      </c>
      <c r="DJ205" s="66" t="str">
        <f t="shared" si="3270"/>
        <v/>
      </c>
      <c r="DK205" s="66" t="str">
        <f t="shared" si="3271"/>
        <v/>
      </c>
      <c r="DL205" s="66" t="str">
        <f t="shared" si="3272"/>
        <v/>
      </c>
      <c r="DM205" s="66" t="str">
        <f t="shared" si="3273"/>
        <v/>
      </c>
      <c r="DN205" s="66" t="str">
        <f t="shared" si="3274"/>
        <v/>
      </c>
      <c r="DO205" s="66" t="str">
        <f t="shared" si="3275"/>
        <v/>
      </c>
      <c r="DP205" s="66" t="str">
        <f t="shared" si="3276"/>
        <v/>
      </c>
      <c r="DQ205" s="66" t="str">
        <f t="shared" si="3277"/>
        <v/>
      </c>
      <c r="DR205" s="66" t="str">
        <f t="shared" si="3278"/>
        <v/>
      </c>
      <c r="DS205" s="66" t="str">
        <f t="shared" si="3279"/>
        <v/>
      </c>
      <c r="DT205" s="66" t="str">
        <f t="shared" si="3280"/>
        <v/>
      </c>
      <c r="DU205" s="66" t="str">
        <f t="shared" si="3281"/>
        <v/>
      </c>
      <c r="DV205" s="66" t="str">
        <f t="shared" si="3282"/>
        <v/>
      </c>
      <c r="DW205" s="66" t="str">
        <f t="shared" si="3283"/>
        <v/>
      </c>
      <c r="DX205" s="66" t="str">
        <f t="shared" si="3284"/>
        <v/>
      </c>
      <c r="DY205" s="66" t="str">
        <f t="shared" si="3285"/>
        <v/>
      </c>
      <c r="DZ205" s="66" t="str">
        <f t="shared" si="3286"/>
        <v/>
      </c>
      <c r="EA205" s="66" t="str">
        <f t="shared" si="3287"/>
        <v/>
      </c>
      <c r="EB205" s="66" t="str">
        <f t="shared" si="3288"/>
        <v/>
      </c>
      <c r="EC205" s="66" t="str">
        <f t="shared" si="3289"/>
        <v/>
      </c>
      <c r="ED205" s="66" t="str">
        <f t="shared" si="3290"/>
        <v/>
      </c>
      <c r="EE205" s="66" t="str">
        <f t="shared" si="3291"/>
        <v/>
      </c>
      <c r="EF205" s="66" t="str">
        <f t="shared" si="3292"/>
        <v/>
      </c>
      <c r="EG205" s="66" t="str">
        <f t="shared" si="3293"/>
        <v/>
      </c>
      <c r="EH205" s="66" t="str">
        <f t="shared" si="3294"/>
        <v/>
      </c>
      <c r="EI205" s="66" t="str">
        <f t="shared" si="3295"/>
        <v/>
      </c>
      <c r="EJ205" s="66" t="str">
        <f t="shared" si="3296"/>
        <v/>
      </c>
      <c r="EK205" s="66" t="str">
        <f t="shared" si="3297"/>
        <v/>
      </c>
      <c r="EL205" s="66" t="str">
        <f t="shared" si="3298"/>
        <v/>
      </c>
      <c r="EM205" s="66" t="str">
        <f t="shared" si="3299"/>
        <v/>
      </c>
      <c r="EN205" s="66" t="str">
        <f t="shared" si="3300"/>
        <v/>
      </c>
      <c r="EO205" s="66" t="str">
        <f t="shared" si="3301"/>
        <v/>
      </c>
      <c r="EP205" s="66" t="str">
        <f t="shared" si="3302"/>
        <v/>
      </c>
      <c r="EQ205" s="66" t="str">
        <f t="shared" si="3303"/>
        <v/>
      </c>
      <c r="ER205" s="66" t="str">
        <f t="shared" si="3304"/>
        <v/>
      </c>
      <c r="ES205" s="66" t="str">
        <f t="shared" si="3305"/>
        <v/>
      </c>
      <c r="ET205" s="66" t="str">
        <f t="shared" si="3306"/>
        <v/>
      </c>
      <c r="EU205" s="66" t="str">
        <f t="shared" si="3307"/>
        <v/>
      </c>
      <c r="EV205" s="66" t="str">
        <f t="shared" si="3308"/>
        <v/>
      </c>
      <c r="EW205" s="66" t="str">
        <f t="shared" si="3309"/>
        <v/>
      </c>
      <c r="EX205" s="66" t="str">
        <f t="shared" si="3310"/>
        <v/>
      </c>
      <c r="EY205" s="66" t="str">
        <f t="shared" si="3311"/>
        <v/>
      </c>
      <c r="EZ205" s="66" t="str">
        <f t="shared" si="3312"/>
        <v/>
      </c>
      <c r="FA205" s="66" t="str">
        <f t="shared" si="3313"/>
        <v/>
      </c>
      <c r="FB205" s="66" t="str">
        <f t="shared" si="3314"/>
        <v/>
      </c>
      <c r="FC205" s="66" t="str">
        <f t="shared" si="3315"/>
        <v/>
      </c>
      <c r="FD205" s="66" t="str">
        <f t="shared" si="3316"/>
        <v/>
      </c>
      <c r="FE205" s="66" t="str">
        <f t="shared" si="3317"/>
        <v/>
      </c>
      <c r="FF205" s="66" t="str">
        <f t="shared" si="3318"/>
        <v/>
      </c>
      <c r="FG205" s="66" t="str">
        <f t="shared" si="3319"/>
        <v/>
      </c>
      <c r="FH205" s="66" t="str">
        <f t="shared" si="3320"/>
        <v/>
      </c>
      <c r="FI205" s="66" t="str">
        <f t="shared" si="3321"/>
        <v/>
      </c>
      <c r="FJ205" s="66" t="str">
        <f t="shared" si="3322"/>
        <v/>
      </c>
      <c r="FK205" s="66" t="str">
        <f t="shared" si="3323"/>
        <v/>
      </c>
      <c r="FL205" s="66" t="str">
        <f t="shared" si="3324"/>
        <v/>
      </c>
      <c r="FM205" s="66" t="str">
        <f t="shared" si="3325"/>
        <v/>
      </c>
      <c r="FN205" s="66" t="str">
        <f t="shared" si="3326"/>
        <v/>
      </c>
      <c r="FO205" s="66" t="str">
        <f t="shared" si="3327"/>
        <v/>
      </c>
      <c r="FP205" s="66" t="str">
        <f t="shared" si="3328"/>
        <v/>
      </c>
      <c r="FQ205" s="66" t="str">
        <f t="shared" si="3329"/>
        <v/>
      </c>
      <c r="FR205" s="66" t="str">
        <f t="shared" si="3330"/>
        <v/>
      </c>
      <c r="FS205" s="66" t="str">
        <f t="shared" si="3331"/>
        <v/>
      </c>
    </row>
    <row r="206" spans="1:175">
      <c r="A206" s="15"/>
      <c r="B206" s="27" t="s">
        <v>725</v>
      </c>
      <c r="C206" s="28" t="s">
        <v>726</v>
      </c>
      <c r="T206" s="29" t="s">
        <v>727</v>
      </c>
      <c r="U206" s="77" t="str">
        <f t="shared" si="3259"/>
        <v>ReplaceableTextures\\CommandButtons\\BTNIB06.blp</v>
      </c>
      <c r="CN206" s="36" t="str">
        <f t="shared" si="3332"/>
        <v>InitUnitState('IB06',,,,,,,,,,)</v>
      </c>
      <c r="CO206" s="36" t="str">
        <f t="shared" si="3333"/>
        <v>InitUnitNormal('IB06',,,,,,,,,,)</v>
      </c>
      <c r="CP206" s="36" t="str">
        <f t="shared" si="3334"/>
        <v>InitUnitMagic('IB06',,,,,,,,,,)</v>
      </c>
      <c r="CQ206" s="36" t="str">
        <f t="shared" si="3335"/>
        <v>InitUnitAdd('IB06',,,,,,,,,,)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InitEquipData('IB06',,"",,,,,'','','','','','',"ReplaceableTextures\\CommandButtons\\BTNIB07.blp")</v>
      </c>
      <c r="CU206" s="88" t="str">
        <f t="shared" si="3260"/>
        <v>|n</v>
      </c>
      <c r="CV206" s="19" t="str">
        <f t="shared" si="3261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6" s="33"/>
      <c r="CX206" s="33"/>
      <c r="CY206" s="33"/>
      <c r="CZ206" s="33"/>
      <c r="DA206" s="33"/>
      <c r="DB206" s="66" t="str">
        <f t="shared" si="3262"/>
        <v/>
      </c>
      <c r="DC206" s="66" t="str">
        <f t="shared" si="3263"/>
        <v/>
      </c>
      <c r="DD206" s="66" t="str">
        <f t="shared" si="3264"/>
        <v/>
      </c>
      <c r="DE206" s="66" t="str">
        <f t="shared" si="3265"/>
        <v/>
      </c>
      <c r="DF206" s="66" t="str">
        <f t="shared" si="3266"/>
        <v/>
      </c>
      <c r="DG206" s="66" t="str">
        <f t="shared" si="3267"/>
        <v/>
      </c>
      <c r="DH206" s="66" t="str">
        <f t="shared" si="3268"/>
        <v/>
      </c>
      <c r="DI206" s="66" t="str">
        <f t="shared" si="3269"/>
        <v/>
      </c>
      <c r="DJ206" s="66" t="str">
        <f t="shared" si="3270"/>
        <v/>
      </c>
      <c r="DK206" s="66" t="str">
        <f t="shared" si="3271"/>
        <v/>
      </c>
      <c r="DL206" s="66" t="str">
        <f t="shared" si="3272"/>
        <v/>
      </c>
      <c r="DM206" s="66" t="str">
        <f t="shared" si="3273"/>
        <v/>
      </c>
      <c r="DN206" s="66" t="str">
        <f t="shared" si="3274"/>
        <v/>
      </c>
      <c r="DO206" s="66" t="str">
        <f t="shared" si="3275"/>
        <v/>
      </c>
      <c r="DP206" s="66" t="str">
        <f t="shared" si="3276"/>
        <v/>
      </c>
      <c r="DQ206" s="66" t="str">
        <f t="shared" si="3277"/>
        <v/>
      </c>
      <c r="DR206" s="66" t="str">
        <f t="shared" si="3278"/>
        <v/>
      </c>
      <c r="DS206" s="66" t="str">
        <f t="shared" si="3279"/>
        <v/>
      </c>
      <c r="DT206" s="66" t="str">
        <f t="shared" si="3280"/>
        <v/>
      </c>
      <c r="DU206" s="66" t="str">
        <f t="shared" si="3281"/>
        <v/>
      </c>
      <c r="DV206" s="66" t="str">
        <f t="shared" si="3282"/>
        <v/>
      </c>
      <c r="DW206" s="66" t="str">
        <f t="shared" si="3283"/>
        <v/>
      </c>
      <c r="DX206" s="66" t="str">
        <f t="shared" si="3284"/>
        <v/>
      </c>
      <c r="DY206" s="66" t="str">
        <f t="shared" si="3285"/>
        <v/>
      </c>
      <c r="DZ206" s="66" t="str">
        <f t="shared" si="3286"/>
        <v/>
      </c>
      <c r="EA206" s="66" t="str">
        <f t="shared" si="3287"/>
        <v/>
      </c>
      <c r="EB206" s="66" t="str">
        <f t="shared" si="3288"/>
        <v/>
      </c>
      <c r="EC206" s="66" t="str">
        <f t="shared" si="3289"/>
        <v/>
      </c>
      <c r="ED206" s="66" t="str">
        <f t="shared" si="3290"/>
        <v/>
      </c>
      <c r="EE206" s="66" t="str">
        <f t="shared" si="3291"/>
        <v/>
      </c>
      <c r="EF206" s="66" t="str">
        <f t="shared" si="3292"/>
        <v/>
      </c>
      <c r="EG206" s="66" t="str">
        <f t="shared" si="3293"/>
        <v/>
      </c>
      <c r="EH206" s="66" t="str">
        <f t="shared" si="3294"/>
        <v/>
      </c>
      <c r="EI206" s="66" t="str">
        <f t="shared" si="3295"/>
        <v/>
      </c>
      <c r="EJ206" s="66" t="str">
        <f t="shared" si="3296"/>
        <v/>
      </c>
      <c r="EK206" s="66" t="str">
        <f t="shared" si="3297"/>
        <v/>
      </c>
      <c r="EL206" s="66" t="str">
        <f t="shared" si="3298"/>
        <v/>
      </c>
      <c r="EM206" s="66" t="str">
        <f t="shared" si="3299"/>
        <v/>
      </c>
      <c r="EN206" s="66" t="str">
        <f t="shared" si="3300"/>
        <v/>
      </c>
      <c r="EO206" s="66" t="str">
        <f t="shared" si="3301"/>
        <v/>
      </c>
      <c r="EP206" s="66" t="str">
        <f t="shared" si="3302"/>
        <v/>
      </c>
      <c r="EQ206" s="66" t="str">
        <f t="shared" si="3303"/>
        <v/>
      </c>
      <c r="ER206" s="66" t="str">
        <f t="shared" si="3304"/>
        <v/>
      </c>
      <c r="ES206" s="66" t="str">
        <f t="shared" si="3305"/>
        <v/>
      </c>
      <c r="ET206" s="66" t="str">
        <f t="shared" si="3306"/>
        <v/>
      </c>
      <c r="EU206" s="66" t="str">
        <f t="shared" si="3307"/>
        <v/>
      </c>
      <c r="EV206" s="66" t="str">
        <f t="shared" si="3308"/>
        <v/>
      </c>
      <c r="EW206" s="66" t="str">
        <f t="shared" si="3309"/>
        <v/>
      </c>
      <c r="EX206" s="66" t="str">
        <f t="shared" si="3310"/>
        <v/>
      </c>
      <c r="EY206" s="66" t="str">
        <f t="shared" si="3311"/>
        <v/>
      </c>
      <c r="EZ206" s="66" t="str">
        <f t="shared" si="3312"/>
        <v/>
      </c>
      <c r="FA206" s="66" t="str">
        <f t="shared" si="3313"/>
        <v/>
      </c>
      <c r="FB206" s="66" t="str">
        <f t="shared" si="3314"/>
        <v/>
      </c>
      <c r="FC206" s="66" t="str">
        <f t="shared" si="3315"/>
        <v/>
      </c>
      <c r="FD206" s="66" t="str">
        <f t="shared" si="3316"/>
        <v/>
      </c>
      <c r="FE206" s="66" t="str">
        <f t="shared" si="3317"/>
        <v/>
      </c>
      <c r="FF206" s="66" t="str">
        <f t="shared" si="3318"/>
        <v/>
      </c>
      <c r="FG206" s="66" t="str">
        <f t="shared" si="3319"/>
        <v/>
      </c>
      <c r="FH206" s="66" t="str">
        <f t="shared" si="3320"/>
        <v/>
      </c>
      <c r="FI206" s="66" t="str">
        <f t="shared" si="3321"/>
        <v/>
      </c>
      <c r="FJ206" s="66" t="str">
        <f t="shared" si="3322"/>
        <v/>
      </c>
      <c r="FK206" s="66" t="str">
        <f t="shared" si="3323"/>
        <v/>
      </c>
      <c r="FL206" s="66" t="str">
        <f t="shared" si="3324"/>
        <v/>
      </c>
      <c r="FM206" s="66" t="str">
        <f t="shared" si="3325"/>
        <v/>
      </c>
      <c r="FN206" s="66" t="str">
        <f t="shared" si="3326"/>
        <v/>
      </c>
      <c r="FO206" s="66" t="str">
        <f t="shared" si="3327"/>
        <v/>
      </c>
      <c r="FP206" s="66" t="str">
        <f t="shared" si="3328"/>
        <v/>
      </c>
      <c r="FQ206" s="66" t="str">
        <f t="shared" si="3329"/>
        <v/>
      </c>
      <c r="FR206" s="66" t="str">
        <f t="shared" si="3330"/>
        <v/>
      </c>
      <c r="FS206" s="66" t="str">
        <f t="shared" si="3331"/>
        <v/>
      </c>
    </row>
    <row r="207" spans="1:175">
      <c r="A207" s="15"/>
      <c r="B207" s="27" t="s">
        <v>728</v>
      </c>
      <c r="C207" s="28" t="s">
        <v>729</v>
      </c>
      <c r="T207" s="29" t="s">
        <v>730</v>
      </c>
      <c r="U207" s="77" t="str">
        <f t="shared" si="3259"/>
        <v>ReplaceableTextures\\CommandButtons\\BTNIB07.blp</v>
      </c>
      <c r="CN207" s="36" t="str">
        <f t="shared" si="3332"/>
        <v>InitUnitState('IB07',,,,,,,,,,)</v>
      </c>
      <c r="CO207" s="36" t="str">
        <f t="shared" si="3333"/>
        <v>InitUnitNormal('IB07',,,,,,,,,,)</v>
      </c>
      <c r="CP207" s="36" t="str">
        <f t="shared" si="3334"/>
        <v>InitUnitMagic('IB07',,,,,,,,,,)</v>
      </c>
      <c r="CQ207" s="36" t="str">
        <f t="shared" si="3335"/>
        <v>InitUnitAdd('IB07',,,,,,,,,,)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InitEquipData('IB07',,"",,,,,'','','','','','',"ReplaceableTextures\\CommandButtons\\BTNIB08.blp")</v>
      </c>
      <c r="CU207" s="88" t="str">
        <f t="shared" si="3260"/>
        <v>|n</v>
      </c>
      <c r="CV207" s="19" t="str">
        <f t="shared" si="326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7" s="33"/>
      <c r="CX207" s="33"/>
      <c r="CY207" s="33"/>
      <c r="CZ207" s="33"/>
      <c r="DA207" s="33"/>
      <c r="DB207" s="66" t="str">
        <f t="shared" si="3262"/>
        <v/>
      </c>
      <c r="DC207" s="66" t="str">
        <f t="shared" si="3263"/>
        <v/>
      </c>
      <c r="DD207" s="66" t="str">
        <f t="shared" si="3264"/>
        <v/>
      </c>
      <c r="DE207" s="66" t="str">
        <f t="shared" si="3265"/>
        <v/>
      </c>
      <c r="DF207" s="66" t="str">
        <f t="shared" si="3266"/>
        <v/>
      </c>
      <c r="DG207" s="66" t="str">
        <f t="shared" si="3267"/>
        <v/>
      </c>
      <c r="DH207" s="66" t="str">
        <f t="shared" si="3268"/>
        <v/>
      </c>
      <c r="DI207" s="66" t="str">
        <f t="shared" si="3269"/>
        <v/>
      </c>
      <c r="DJ207" s="66" t="str">
        <f t="shared" si="3270"/>
        <v/>
      </c>
      <c r="DK207" s="66" t="str">
        <f t="shared" si="3271"/>
        <v/>
      </c>
      <c r="DL207" s="66" t="str">
        <f t="shared" si="3272"/>
        <v/>
      </c>
      <c r="DM207" s="66" t="str">
        <f t="shared" si="3273"/>
        <v/>
      </c>
      <c r="DN207" s="66" t="str">
        <f t="shared" si="3274"/>
        <v/>
      </c>
      <c r="DO207" s="66" t="str">
        <f t="shared" si="3275"/>
        <v/>
      </c>
      <c r="DP207" s="66" t="str">
        <f t="shared" si="3276"/>
        <v/>
      </c>
      <c r="DQ207" s="66" t="str">
        <f t="shared" si="3277"/>
        <v/>
      </c>
      <c r="DR207" s="66" t="str">
        <f t="shared" si="3278"/>
        <v/>
      </c>
      <c r="DS207" s="66" t="str">
        <f t="shared" si="3279"/>
        <v/>
      </c>
      <c r="DT207" s="66" t="str">
        <f t="shared" si="3280"/>
        <v/>
      </c>
      <c r="DU207" s="66" t="str">
        <f t="shared" si="3281"/>
        <v/>
      </c>
      <c r="DV207" s="66" t="str">
        <f t="shared" si="3282"/>
        <v/>
      </c>
      <c r="DW207" s="66" t="str">
        <f t="shared" si="3283"/>
        <v/>
      </c>
      <c r="DX207" s="66" t="str">
        <f t="shared" si="3284"/>
        <v/>
      </c>
      <c r="DY207" s="66" t="str">
        <f t="shared" si="3285"/>
        <v/>
      </c>
      <c r="DZ207" s="66" t="str">
        <f t="shared" si="3286"/>
        <v/>
      </c>
      <c r="EA207" s="66" t="str">
        <f t="shared" si="3287"/>
        <v/>
      </c>
      <c r="EB207" s="66" t="str">
        <f t="shared" si="3288"/>
        <v/>
      </c>
      <c r="EC207" s="66" t="str">
        <f t="shared" si="3289"/>
        <v/>
      </c>
      <c r="ED207" s="66" t="str">
        <f t="shared" si="3290"/>
        <v/>
      </c>
      <c r="EE207" s="66" t="str">
        <f t="shared" si="3291"/>
        <v/>
      </c>
      <c r="EF207" s="66" t="str">
        <f t="shared" si="3292"/>
        <v/>
      </c>
      <c r="EG207" s="66" t="str">
        <f t="shared" si="3293"/>
        <v/>
      </c>
      <c r="EH207" s="66" t="str">
        <f t="shared" si="3294"/>
        <v/>
      </c>
      <c r="EI207" s="66" t="str">
        <f t="shared" si="3295"/>
        <v/>
      </c>
      <c r="EJ207" s="66" t="str">
        <f t="shared" si="3296"/>
        <v/>
      </c>
      <c r="EK207" s="66" t="str">
        <f t="shared" si="3297"/>
        <v/>
      </c>
      <c r="EL207" s="66" t="str">
        <f t="shared" si="3298"/>
        <v/>
      </c>
      <c r="EM207" s="66" t="str">
        <f t="shared" si="3299"/>
        <v/>
      </c>
      <c r="EN207" s="66" t="str">
        <f t="shared" si="3300"/>
        <v/>
      </c>
      <c r="EO207" s="66" t="str">
        <f t="shared" si="3301"/>
        <v/>
      </c>
      <c r="EP207" s="66" t="str">
        <f t="shared" si="3302"/>
        <v/>
      </c>
      <c r="EQ207" s="66" t="str">
        <f t="shared" si="3303"/>
        <v/>
      </c>
      <c r="ER207" s="66" t="str">
        <f t="shared" si="3304"/>
        <v/>
      </c>
      <c r="ES207" s="66" t="str">
        <f t="shared" si="3305"/>
        <v/>
      </c>
      <c r="ET207" s="66" t="str">
        <f t="shared" si="3306"/>
        <v/>
      </c>
      <c r="EU207" s="66" t="str">
        <f t="shared" si="3307"/>
        <v/>
      </c>
      <c r="EV207" s="66" t="str">
        <f t="shared" si="3308"/>
        <v/>
      </c>
      <c r="EW207" s="66" t="str">
        <f t="shared" si="3309"/>
        <v/>
      </c>
      <c r="EX207" s="66" t="str">
        <f t="shared" si="3310"/>
        <v/>
      </c>
      <c r="EY207" s="66" t="str">
        <f t="shared" si="3311"/>
        <v/>
      </c>
      <c r="EZ207" s="66" t="str">
        <f t="shared" si="3312"/>
        <v/>
      </c>
      <c r="FA207" s="66" t="str">
        <f t="shared" si="3313"/>
        <v/>
      </c>
      <c r="FB207" s="66" t="str">
        <f t="shared" si="3314"/>
        <v/>
      </c>
      <c r="FC207" s="66" t="str">
        <f t="shared" si="3315"/>
        <v/>
      </c>
      <c r="FD207" s="66" t="str">
        <f t="shared" si="3316"/>
        <v/>
      </c>
      <c r="FE207" s="66" t="str">
        <f t="shared" si="3317"/>
        <v/>
      </c>
      <c r="FF207" s="66" t="str">
        <f t="shared" si="3318"/>
        <v/>
      </c>
      <c r="FG207" s="66" t="str">
        <f t="shared" si="3319"/>
        <v/>
      </c>
      <c r="FH207" s="66" t="str">
        <f t="shared" si="3320"/>
        <v/>
      </c>
      <c r="FI207" s="66" t="str">
        <f t="shared" si="3321"/>
        <v/>
      </c>
      <c r="FJ207" s="66" t="str">
        <f t="shared" si="3322"/>
        <v/>
      </c>
      <c r="FK207" s="66" t="str">
        <f t="shared" si="3323"/>
        <v/>
      </c>
      <c r="FL207" s="66" t="str">
        <f t="shared" si="3324"/>
        <v/>
      </c>
      <c r="FM207" s="66" t="str">
        <f t="shared" si="3325"/>
        <v/>
      </c>
      <c r="FN207" s="66" t="str">
        <f t="shared" si="3326"/>
        <v/>
      </c>
      <c r="FO207" s="66" t="str">
        <f t="shared" si="3327"/>
        <v/>
      </c>
      <c r="FP207" s="66" t="str">
        <f t="shared" si="3328"/>
        <v/>
      </c>
      <c r="FQ207" s="66" t="str">
        <f t="shared" si="3329"/>
        <v/>
      </c>
      <c r="FR207" s="66" t="str">
        <f t="shared" si="3330"/>
        <v/>
      </c>
      <c r="FS207" s="66" t="str">
        <f t="shared" si="3331"/>
        <v/>
      </c>
    </row>
    <row r="208" spans="1:175">
      <c r="A208" s="15"/>
      <c r="B208" s="27" t="s">
        <v>731</v>
      </c>
      <c r="C208" s="28" t="s">
        <v>732</v>
      </c>
      <c r="T208" s="29" t="s">
        <v>733</v>
      </c>
      <c r="U208" s="77" t="str">
        <f t="shared" si="3259"/>
        <v>ReplaceableTextures\\CommandButtons\\BTNIB08.blp</v>
      </c>
      <c r="CN208" s="36" t="str">
        <f t="shared" si="3332"/>
        <v>InitUnitState('IB08',,,,,,,,,,)</v>
      </c>
      <c r="CO208" s="36" t="str">
        <f t="shared" si="3333"/>
        <v>InitUnitNormal('IB08',,,,,,,,,,)</v>
      </c>
      <c r="CP208" s="36" t="str">
        <f t="shared" si="3334"/>
        <v>InitUnitMagic('IB08',,,,,,,,,,)</v>
      </c>
      <c r="CQ208" s="36" t="str">
        <f t="shared" si="3335"/>
        <v>InitUnitAdd('IB08',,,,,,,,,,)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231&amp;CR$1&amp;")"</f>
        <v>InitEquipData('IB08',,"",,,,,'','','','','','',"")</v>
      </c>
      <c r="CU208" s="88" t="str">
        <f t="shared" si="3260"/>
        <v>|n</v>
      </c>
      <c r="CV208" s="19" t="str">
        <f t="shared" si="326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8" s="33"/>
      <c r="CX208" s="33"/>
      <c r="CY208" s="33"/>
      <c r="CZ208" s="33"/>
      <c r="DA208" s="33"/>
      <c r="DB208" s="66" t="str">
        <f t="shared" si="3262"/>
        <v/>
      </c>
      <c r="DC208" s="66" t="str">
        <f t="shared" si="3263"/>
        <v/>
      </c>
      <c r="DD208" s="66" t="str">
        <f t="shared" si="3264"/>
        <v/>
      </c>
      <c r="DE208" s="66" t="str">
        <f t="shared" si="3265"/>
        <v/>
      </c>
      <c r="DF208" s="66" t="str">
        <f t="shared" si="3266"/>
        <v/>
      </c>
      <c r="DG208" s="66" t="str">
        <f t="shared" si="3267"/>
        <v/>
      </c>
      <c r="DH208" s="66" t="str">
        <f t="shared" si="3268"/>
        <v/>
      </c>
      <c r="DI208" s="66" t="str">
        <f t="shared" si="3269"/>
        <v/>
      </c>
      <c r="DJ208" s="66" t="str">
        <f t="shared" si="3270"/>
        <v/>
      </c>
      <c r="DK208" s="66" t="str">
        <f t="shared" si="3271"/>
        <v/>
      </c>
      <c r="DL208" s="66" t="str">
        <f t="shared" si="3272"/>
        <v/>
      </c>
      <c r="DM208" s="66" t="str">
        <f t="shared" si="3273"/>
        <v/>
      </c>
      <c r="DN208" s="66" t="str">
        <f t="shared" si="3274"/>
        <v/>
      </c>
      <c r="DO208" s="66" t="str">
        <f t="shared" si="3275"/>
        <v/>
      </c>
      <c r="DP208" s="66" t="str">
        <f t="shared" si="3276"/>
        <v/>
      </c>
      <c r="DQ208" s="66" t="str">
        <f t="shared" si="3277"/>
        <v/>
      </c>
      <c r="DR208" s="66" t="str">
        <f t="shared" si="3278"/>
        <v/>
      </c>
      <c r="DS208" s="66" t="str">
        <f t="shared" si="3279"/>
        <v/>
      </c>
      <c r="DT208" s="66" t="str">
        <f t="shared" si="3280"/>
        <v/>
      </c>
      <c r="DU208" s="66" t="str">
        <f t="shared" si="3281"/>
        <v/>
      </c>
      <c r="DV208" s="66" t="str">
        <f t="shared" si="3282"/>
        <v/>
      </c>
      <c r="DW208" s="66" t="str">
        <f t="shared" si="3283"/>
        <v/>
      </c>
      <c r="DX208" s="66" t="str">
        <f t="shared" si="3284"/>
        <v/>
      </c>
      <c r="DY208" s="66" t="str">
        <f t="shared" si="3285"/>
        <v/>
      </c>
      <c r="DZ208" s="66" t="str">
        <f t="shared" si="3286"/>
        <v/>
      </c>
      <c r="EA208" s="66" t="str">
        <f t="shared" si="3287"/>
        <v/>
      </c>
      <c r="EB208" s="66" t="str">
        <f t="shared" si="3288"/>
        <v/>
      </c>
      <c r="EC208" s="66" t="str">
        <f t="shared" si="3289"/>
        <v/>
      </c>
      <c r="ED208" s="66" t="str">
        <f t="shared" si="3290"/>
        <v/>
      </c>
      <c r="EE208" s="66" t="str">
        <f t="shared" si="3291"/>
        <v/>
      </c>
      <c r="EF208" s="66" t="str">
        <f t="shared" si="3292"/>
        <v/>
      </c>
      <c r="EG208" s="66" t="str">
        <f t="shared" si="3293"/>
        <v/>
      </c>
      <c r="EH208" s="66" t="str">
        <f t="shared" si="3294"/>
        <v/>
      </c>
      <c r="EI208" s="66" t="str">
        <f t="shared" si="3295"/>
        <v/>
      </c>
      <c r="EJ208" s="66" t="str">
        <f t="shared" si="3296"/>
        <v/>
      </c>
      <c r="EK208" s="66" t="str">
        <f t="shared" si="3297"/>
        <v/>
      </c>
      <c r="EL208" s="66" t="str">
        <f t="shared" si="3298"/>
        <v/>
      </c>
      <c r="EM208" s="66" t="str">
        <f t="shared" si="3299"/>
        <v/>
      </c>
      <c r="EN208" s="66" t="str">
        <f t="shared" si="3300"/>
        <v/>
      </c>
      <c r="EO208" s="66" t="str">
        <f t="shared" si="3301"/>
        <v/>
      </c>
      <c r="EP208" s="66" t="str">
        <f t="shared" si="3302"/>
        <v/>
      </c>
      <c r="EQ208" s="66" t="str">
        <f t="shared" si="3303"/>
        <v/>
      </c>
      <c r="ER208" s="66" t="str">
        <f t="shared" si="3304"/>
        <v/>
      </c>
      <c r="ES208" s="66" t="str">
        <f t="shared" si="3305"/>
        <v/>
      </c>
      <c r="ET208" s="66" t="str">
        <f t="shared" si="3306"/>
        <v/>
      </c>
      <c r="EU208" s="66" t="str">
        <f t="shared" si="3307"/>
        <v/>
      </c>
      <c r="EV208" s="66" t="str">
        <f t="shared" si="3308"/>
        <v/>
      </c>
      <c r="EW208" s="66" t="str">
        <f t="shared" si="3309"/>
        <v/>
      </c>
      <c r="EX208" s="66" t="str">
        <f t="shared" si="3310"/>
        <v/>
      </c>
      <c r="EY208" s="66" t="str">
        <f t="shared" si="3311"/>
        <v/>
      </c>
      <c r="EZ208" s="66" t="str">
        <f t="shared" si="3312"/>
        <v/>
      </c>
      <c r="FA208" s="66" t="str">
        <f t="shared" si="3313"/>
        <v/>
      </c>
      <c r="FB208" s="66" t="str">
        <f t="shared" si="3314"/>
        <v/>
      </c>
      <c r="FC208" s="66" t="str">
        <f t="shared" si="3315"/>
        <v/>
      </c>
      <c r="FD208" s="66" t="str">
        <f t="shared" si="3316"/>
        <v/>
      </c>
      <c r="FE208" s="66" t="str">
        <f t="shared" si="3317"/>
        <v/>
      </c>
      <c r="FF208" s="66" t="str">
        <f t="shared" si="3318"/>
        <v/>
      </c>
      <c r="FG208" s="66" t="str">
        <f t="shared" si="3319"/>
        <v/>
      </c>
      <c r="FH208" s="66" t="str">
        <f t="shared" si="3320"/>
        <v/>
      </c>
      <c r="FI208" s="66" t="str">
        <f t="shared" si="3321"/>
        <v/>
      </c>
      <c r="FJ208" s="66" t="str">
        <f t="shared" si="3322"/>
        <v/>
      </c>
      <c r="FK208" s="66" t="str">
        <f t="shared" si="3323"/>
        <v/>
      </c>
      <c r="FL208" s="66" t="str">
        <f t="shared" si="3324"/>
        <v/>
      </c>
      <c r="FM208" s="66" t="str">
        <f t="shared" si="3325"/>
        <v/>
      </c>
      <c r="FN208" s="66" t="str">
        <f t="shared" si="3326"/>
        <v/>
      </c>
      <c r="FO208" s="66" t="str">
        <f t="shared" si="3327"/>
        <v/>
      </c>
      <c r="FP208" s="66" t="str">
        <f t="shared" si="3328"/>
        <v/>
      </c>
      <c r="FQ208" s="66" t="str">
        <f t="shared" si="3329"/>
        <v/>
      </c>
      <c r="FR208" s="66" t="str">
        <f t="shared" si="3330"/>
        <v/>
      </c>
      <c r="FS208" s="66" t="str">
        <f t="shared" si="3331"/>
        <v/>
      </c>
    </row>
    <row r="209" spans="1:175">
      <c r="A209" s="15"/>
      <c r="B209" s="27" t="s">
        <v>734</v>
      </c>
      <c r="C209" s="28" t="s">
        <v>735</v>
      </c>
      <c r="T209" s="28"/>
      <c r="U209" s="77" t="str">
        <f t="shared" si="3259"/>
        <v>ReplaceableTextures\\CommandButtons\\BTNIB09.blp</v>
      </c>
      <c r="CN209" s="36" t="str">
        <f t="shared" si="3332"/>
        <v>InitUnitState('IB09',,,,,,,,,,)</v>
      </c>
      <c r="CO209" s="36" t="str">
        <f t="shared" si="3333"/>
        <v>InitUnitNormal('IB09',,,,,,,,,,)</v>
      </c>
      <c r="CP209" s="36" t="str">
        <f t="shared" si="3334"/>
        <v>InitUnitMagic('IB09',,,,,,,,,,)</v>
      </c>
      <c r="CQ209" s="36" t="str">
        <f t="shared" si="3335"/>
        <v>InitUnitAdd('IB09',,,,,,,,,,)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232&amp;CR$1&amp;")"</f>
        <v>InitEquipData('IB09',,"",,,,,'','','','','','',"")</v>
      </c>
      <c r="CU209" s="88" t="str">
        <f t="shared" si="3260"/>
        <v>|n</v>
      </c>
      <c r="CV209" s="19">
        <f t="shared" si="3261"/>
        <v>0</v>
      </c>
      <c r="CW209" s="33"/>
      <c r="CX209" s="33"/>
      <c r="CY209" s="33"/>
      <c r="CZ209" s="33"/>
      <c r="DA209" s="33"/>
      <c r="DB209" s="66" t="str">
        <f t="shared" ref="DB209:FM209" si="3336">IF(V209="","","|n"&amp;DB$2&amp;"+"&amp;V209&amp;DB$1)</f>
        <v/>
      </c>
      <c r="DC209" s="66" t="str">
        <f t="shared" si="3336"/>
        <v/>
      </c>
      <c r="DD209" s="66" t="str">
        <f t="shared" si="3336"/>
        <v/>
      </c>
      <c r="DE209" s="66" t="str">
        <f t="shared" si="3336"/>
        <v/>
      </c>
      <c r="DF209" s="66" t="str">
        <f t="shared" si="3336"/>
        <v/>
      </c>
      <c r="DG209" s="66" t="str">
        <f t="shared" si="3336"/>
        <v/>
      </c>
      <c r="DH209" s="66" t="str">
        <f t="shared" si="3336"/>
        <v/>
      </c>
      <c r="DI209" s="66" t="str">
        <f t="shared" si="3336"/>
        <v/>
      </c>
      <c r="DJ209" s="66" t="str">
        <f t="shared" si="3336"/>
        <v/>
      </c>
      <c r="DK209" s="66" t="str">
        <f t="shared" si="3336"/>
        <v/>
      </c>
      <c r="DL209" s="66" t="str">
        <f t="shared" si="3336"/>
        <v/>
      </c>
      <c r="DM209" s="66" t="str">
        <f t="shared" si="3336"/>
        <v/>
      </c>
      <c r="DN209" s="66" t="str">
        <f t="shared" si="3336"/>
        <v/>
      </c>
      <c r="DO209" s="66" t="str">
        <f t="shared" si="3336"/>
        <v/>
      </c>
      <c r="DP209" s="66" t="str">
        <f t="shared" si="3336"/>
        <v/>
      </c>
      <c r="DQ209" s="66" t="str">
        <f t="shared" si="3336"/>
        <v/>
      </c>
      <c r="DR209" s="66" t="str">
        <f t="shared" si="3336"/>
        <v/>
      </c>
      <c r="DS209" s="66" t="str">
        <f t="shared" si="3336"/>
        <v/>
      </c>
      <c r="DT209" s="66" t="str">
        <f t="shared" si="3336"/>
        <v/>
      </c>
      <c r="DU209" s="66" t="str">
        <f t="shared" si="3336"/>
        <v/>
      </c>
      <c r="DV209" s="66" t="str">
        <f t="shared" si="3336"/>
        <v/>
      </c>
      <c r="DW209" s="66" t="str">
        <f t="shared" si="3336"/>
        <v/>
      </c>
      <c r="DX209" s="66" t="str">
        <f t="shared" si="3336"/>
        <v/>
      </c>
      <c r="DY209" s="66" t="str">
        <f t="shared" si="3336"/>
        <v/>
      </c>
      <c r="DZ209" s="66" t="str">
        <f t="shared" si="3336"/>
        <v/>
      </c>
      <c r="EA209" s="66" t="str">
        <f t="shared" si="3336"/>
        <v/>
      </c>
      <c r="EB209" s="66" t="str">
        <f t="shared" si="3336"/>
        <v/>
      </c>
      <c r="EC209" s="66" t="str">
        <f t="shared" si="3336"/>
        <v/>
      </c>
      <c r="ED209" s="66" t="str">
        <f t="shared" si="3336"/>
        <v/>
      </c>
      <c r="EE209" s="66" t="str">
        <f t="shared" si="3336"/>
        <v/>
      </c>
      <c r="EF209" s="66" t="str">
        <f t="shared" si="3336"/>
        <v/>
      </c>
      <c r="EG209" s="66" t="str">
        <f t="shared" si="3336"/>
        <v/>
      </c>
      <c r="EH209" s="66" t="str">
        <f t="shared" si="3336"/>
        <v/>
      </c>
      <c r="EI209" s="66" t="str">
        <f t="shared" si="3336"/>
        <v/>
      </c>
      <c r="EJ209" s="66" t="str">
        <f t="shared" si="3336"/>
        <v/>
      </c>
      <c r="EK209" s="66" t="str">
        <f t="shared" si="3336"/>
        <v/>
      </c>
      <c r="EL209" s="66" t="str">
        <f t="shared" si="3336"/>
        <v/>
      </c>
      <c r="EM209" s="66" t="str">
        <f t="shared" si="3336"/>
        <v/>
      </c>
      <c r="EN209" s="66" t="str">
        <f t="shared" si="3336"/>
        <v/>
      </c>
      <c r="EO209" s="66" t="str">
        <f t="shared" si="3336"/>
        <v/>
      </c>
      <c r="EP209" s="66" t="str">
        <f t="shared" si="3336"/>
        <v/>
      </c>
      <c r="EQ209" s="66" t="str">
        <f t="shared" si="3336"/>
        <v/>
      </c>
      <c r="ER209" s="66" t="str">
        <f t="shared" si="3336"/>
        <v/>
      </c>
      <c r="ES209" s="66" t="str">
        <f t="shared" si="3336"/>
        <v/>
      </c>
      <c r="ET209" s="66" t="str">
        <f t="shared" si="3336"/>
        <v/>
      </c>
      <c r="EU209" s="66" t="str">
        <f t="shared" si="3336"/>
        <v/>
      </c>
      <c r="EV209" s="66" t="str">
        <f t="shared" si="3336"/>
        <v/>
      </c>
      <c r="EW209" s="66" t="str">
        <f t="shared" si="3336"/>
        <v/>
      </c>
      <c r="EX209" s="66" t="str">
        <f t="shared" si="3336"/>
        <v/>
      </c>
      <c r="EY209" s="66" t="str">
        <f t="shared" si="3336"/>
        <v/>
      </c>
      <c r="EZ209" s="66" t="str">
        <f t="shared" si="3336"/>
        <v/>
      </c>
      <c r="FA209" s="66" t="str">
        <f t="shared" si="3336"/>
        <v/>
      </c>
      <c r="FB209" s="66" t="str">
        <f t="shared" si="3336"/>
        <v/>
      </c>
      <c r="FC209" s="66" t="str">
        <f t="shared" si="3336"/>
        <v/>
      </c>
      <c r="FD209" s="66" t="str">
        <f t="shared" si="3336"/>
        <v/>
      </c>
      <c r="FE209" s="66" t="str">
        <f t="shared" si="3336"/>
        <v/>
      </c>
      <c r="FF209" s="66" t="str">
        <f t="shared" si="3336"/>
        <v/>
      </c>
      <c r="FG209" s="66" t="str">
        <f t="shared" si="3336"/>
        <v/>
      </c>
      <c r="FH209" s="66" t="str">
        <f t="shared" si="3336"/>
        <v/>
      </c>
      <c r="FI209" s="66" t="str">
        <f t="shared" si="3336"/>
        <v/>
      </c>
      <c r="FJ209" s="66" t="str">
        <f t="shared" si="3336"/>
        <v/>
      </c>
      <c r="FK209" s="66" t="str">
        <f t="shared" si="3336"/>
        <v/>
      </c>
      <c r="FL209" s="66" t="str">
        <f t="shared" si="3336"/>
        <v/>
      </c>
      <c r="FM209" s="66" t="str">
        <f t="shared" si="3336"/>
        <v/>
      </c>
      <c r="FN209" s="66" t="str">
        <f t="shared" ref="FN209:FS209" si="3337">IF(CH209="","","|n"&amp;FN$2&amp;"+"&amp;CH209&amp;FN$1)</f>
        <v/>
      </c>
      <c r="FO209" s="66" t="str">
        <f t="shared" si="3337"/>
        <v/>
      </c>
      <c r="FP209" s="66" t="str">
        <f t="shared" si="3337"/>
        <v/>
      </c>
      <c r="FQ209" s="66" t="str">
        <f t="shared" si="3337"/>
        <v/>
      </c>
      <c r="FR209" s="66" t="str">
        <f t="shared" si="3337"/>
        <v/>
      </c>
      <c r="FS209" s="66" t="str">
        <f t="shared" si="3337"/>
        <v/>
      </c>
    </row>
    <row r="210" spans="1:175">
      <c r="A210" s="15"/>
      <c r="B210" s="27" t="s">
        <v>736</v>
      </c>
      <c r="C210" s="28" t="str">
        <f>"已领取"&amp;C201</f>
        <v>已领取公众号礼包</v>
      </c>
      <c r="T210" s="28" t="s">
        <v>737</v>
      </c>
      <c r="U210" s="10" t="s">
        <v>738</v>
      </c>
      <c r="CN210" s="36" t="str">
        <f t="shared" si="3332"/>
        <v>InitUnitState('IB51',,,,,,,,,,)</v>
      </c>
      <c r="CO210" s="36" t="str">
        <f t="shared" si="3333"/>
        <v>InitUnitNormal('IB51',,,,,,,,,,)</v>
      </c>
      <c r="CP210" s="36" t="str">
        <f t="shared" si="3334"/>
        <v>InitUnitMagic('IB51',,,,,,,,,,)</v>
      </c>
      <c r="CQ210" s="36" t="str">
        <f t="shared" si="3335"/>
        <v>InitUnitAdd('IB51',,,,,,,,,,)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InitEquipData('IB51',,"",,,,,'','','','','','',"ReplaceableTextures\\commandButtons\\BTNLBUI01.blp")</v>
      </c>
      <c r="CU210" s="88" t="str">
        <f t="shared" ref="CU210:CU218" si="3338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V210" s="19" t="str">
        <f t="shared" ref="CV210:CV222" si="3339">T210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0" s="33"/>
      <c r="CX210" s="33"/>
      <c r="CY210" s="33"/>
      <c r="CZ210" s="33"/>
      <c r="DA210" s="33"/>
      <c r="DB210" s="66" t="str">
        <f t="shared" ref="DB210:DB216" si="3340">IF(V210="","","|n"&amp;DB$2&amp;"+"&amp;V210&amp;DB$1)</f>
        <v/>
      </c>
      <c r="DC210" s="66" t="str">
        <f t="shared" ref="DC210:DC216" si="3341">IF(W210="","","|n"&amp;DC$2&amp;"+"&amp;W210&amp;DC$1)</f>
        <v/>
      </c>
      <c r="DD210" s="66" t="str">
        <f t="shared" ref="DD210:DD216" si="3342">IF(X210="","","|n"&amp;DD$2&amp;"+"&amp;X210&amp;DD$1)</f>
        <v/>
      </c>
      <c r="DE210" s="66" t="str">
        <f t="shared" ref="DE210:DE216" si="3343">IF(Y210="","","|n"&amp;DE$2&amp;"+"&amp;Y210&amp;DE$1)</f>
        <v/>
      </c>
      <c r="DF210" s="66" t="str">
        <f t="shared" ref="DF210:DF216" si="3344">IF(Z210="","","|n"&amp;DF$2&amp;"+"&amp;Z210&amp;DF$1)</f>
        <v/>
      </c>
      <c r="DG210" s="66" t="str">
        <f t="shared" ref="DG210:DG216" si="3345">IF(AA210="","","|n"&amp;DG$2&amp;"+"&amp;AA210&amp;DG$1)</f>
        <v/>
      </c>
      <c r="DH210" s="66" t="str">
        <f t="shared" ref="DH210:DH216" si="3346">IF(AB210="","","|n"&amp;DH$2&amp;"+"&amp;AB210&amp;DH$1)</f>
        <v/>
      </c>
      <c r="DI210" s="66" t="str">
        <f t="shared" ref="DI210:DI216" si="3347">IF(AC210="","","|n"&amp;DI$2&amp;"+"&amp;AC210&amp;DI$1)</f>
        <v/>
      </c>
      <c r="DJ210" s="66" t="str">
        <f t="shared" ref="DJ210:DJ216" si="3348">IF(AD210="","","|n"&amp;DJ$2&amp;"+"&amp;AD210&amp;DJ$1)</f>
        <v/>
      </c>
      <c r="DK210" s="66" t="str">
        <f t="shared" ref="DK210:DK216" si="3349">IF(AE210="","","|n"&amp;DK$2&amp;"+"&amp;AE210&amp;DK$1)</f>
        <v/>
      </c>
      <c r="DL210" s="66" t="str">
        <f t="shared" ref="DL210:DL216" si="3350">IF(AF210="","","|n"&amp;DL$2&amp;"+"&amp;AF210&amp;DL$1)</f>
        <v/>
      </c>
      <c r="DM210" s="66" t="str">
        <f t="shared" ref="DM210:DM216" si="3351">IF(AG210="","","|n"&amp;DM$2&amp;"+"&amp;AG210&amp;DM$1)</f>
        <v/>
      </c>
      <c r="DN210" s="66" t="str">
        <f t="shared" ref="DN210:DN216" si="3352">IF(AH210="","","|n"&amp;DN$2&amp;"+"&amp;AH210&amp;DN$1)</f>
        <v/>
      </c>
      <c r="DO210" s="66" t="str">
        <f t="shared" ref="DO210:DO216" si="3353">IF(AI210="","","|n"&amp;DO$2&amp;"+"&amp;AI210&amp;DO$1)</f>
        <v/>
      </c>
      <c r="DP210" s="66" t="str">
        <f t="shared" ref="DP210:DP216" si="3354">IF(AJ210="","","|n"&amp;DP$2&amp;"+"&amp;AJ210&amp;DP$1)</f>
        <v/>
      </c>
      <c r="DQ210" s="66" t="str">
        <f t="shared" ref="DQ210:DQ216" si="3355">IF(AK210="","","|n"&amp;DQ$2&amp;"+"&amp;AK210&amp;DQ$1)</f>
        <v/>
      </c>
      <c r="DR210" s="66" t="str">
        <f t="shared" ref="DR210:DR216" si="3356">IF(AL210="","","|n"&amp;DR$2&amp;"+"&amp;AL210&amp;DR$1)</f>
        <v/>
      </c>
      <c r="DS210" s="66" t="str">
        <f t="shared" ref="DS210:DS216" si="3357">IF(AM210="","","|n"&amp;DS$2&amp;"+"&amp;AM210&amp;DS$1)</f>
        <v/>
      </c>
      <c r="DT210" s="66" t="str">
        <f t="shared" ref="DT210:DT216" si="3358">IF(AN210="","","|n"&amp;DT$2&amp;"+"&amp;AN210&amp;DT$1)</f>
        <v/>
      </c>
      <c r="DU210" s="66" t="str">
        <f t="shared" ref="DU210:DU216" si="3359">IF(AO210="","","|n"&amp;DU$2&amp;"+"&amp;AO210&amp;DU$1)</f>
        <v/>
      </c>
      <c r="DV210" s="66" t="str">
        <f t="shared" ref="DV210:DV216" si="3360">IF(AP210="","","|n"&amp;DV$2&amp;"+"&amp;AP210&amp;DV$1)</f>
        <v/>
      </c>
      <c r="DW210" s="66" t="str">
        <f t="shared" ref="DW210:DW216" si="3361">IF(AQ210="","","|n"&amp;DW$2&amp;"+"&amp;AQ210&amp;DW$1)</f>
        <v/>
      </c>
      <c r="DX210" s="66" t="str">
        <f t="shared" ref="DX210:DX216" si="3362">IF(AR210="","","|n"&amp;DX$2&amp;"+"&amp;AR210&amp;DX$1)</f>
        <v/>
      </c>
      <c r="DY210" s="66" t="str">
        <f t="shared" ref="DY210:DY216" si="3363">IF(AS210="","","|n"&amp;DY$2&amp;"+"&amp;AS210&amp;DY$1)</f>
        <v/>
      </c>
      <c r="DZ210" s="66" t="str">
        <f t="shared" ref="DZ210:DZ216" si="3364">IF(AT210="","","|n"&amp;DZ$2&amp;"+"&amp;AT210&amp;DZ$1)</f>
        <v/>
      </c>
      <c r="EA210" s="66" t="str">
        <f t="shared" ref="EA210:EA216" si="3365">IF(AU210="","","|n"&amp;EA$2&amp;"+"&amp;AU210&amp;EA$1)</f>
        <v/>
      </c>
      <c r="EB210" s="66" t="str">
        <f t="shared" ref="EB210:EB216" si="3366">IF(AV210="","","|n"&amp;EB$2&amp;"+"&amp;AV210&amp;EB$1)</f>
        <v/>
      </c>
      <c r="EC210" s="66" t="str">
        <f t="shared" ref="EC210:EC216" si="3367">IF(AW210="","","|n"&amp;EC$2&amp;"+"&amp;AW210&amp;EC$1)</f>
        <v/>
      </c>
      <c r="ED210" s="66" t="str">
        <f t="shared" ref="ED210:ED216" si="3368">IF(AX210="","","|n"&amp;ED$2&amp;"+"&amp;AX210&amp;ED$1)</f>
        <v/>
      </c>
      <c r="EE210" s="66" t="str">
        <f t="shared" ref="EE210:EE216" si="3369">IF(AY210="","","|n"&amp;EE$2&amp;"+"&amp;AY210&amp;EE$1)</f>
        <v/>
      </c>
      <c r="EF210" s="66" t="str">
        <f t="shared" ref="EF210:EF216" si="3370">IF(AZ210="","","|n"&amp;EF$2&amp;"+"&amp;AZ210&amp;EF$1)</f>
        <v/>
      </c>
      <c r="EG210" s="66" t="str">
        <f t="shared" ref="EG210:EG216" si="3371">IF(BA210="","","|n"&amp;EG$2&amp;"+"&amp;BA210&amp;EG$1)</f>
        <v/>
      </c>
      <c r="EH210" s="66" t="str">
        <f t="shared" ref="EH210:EH216" si="3372">IF(BB210="","","|n"&amp;EH$2&amp;"+"&amp;BB210&amp;EH$1)</f>
        <v/>
      </c>
      <c r="EI210" s="66" t="str">
        <f t="shared" ref="EI210:EI216" si="3373">IF(BC210="","","|n"&amp;EI$2&amp;"+"&amp;BC210&amp;EI$1)</f>
        <v/>
      </c>
      <c r="EJ210" s="66" t="str">
        <f t="shared" ref="EJ210:EJ216" si="3374">IF(BD210="","","|n"&amp;EJ$2&amp;"+"&amp;BD210&amp;EJ$1)</f>
        <v/>
      </c>
      <c r="EK210" s="66" t="str">
        <f t="shared" ref="EK210:EK216" si="3375">IF(BE210="","","|n"&amp;EK$2&amp;"+"&amp;BE210&amp;EK$1)</f>
        <v/>
      </c>
      <c r="EL210" s="66" t="str">
        <f t="shared" ref="EL210:EL216" si="3376">IF(BF210="","","|n"&amp;EL$2&amp;"+"&amp;BF210&amp;EL$1)</f>
        <v/>
      </c>
      <c r="EM210" s="66" t="str">
        <f t="shared" ref="EM210:EM216" si="3377">IF(BG210="","","|n"&amp;EM$2&amp;"+"&amp;BG210&amp;EM$1)</f>
        <v/>
      </c>
      <c r="EN210" s="66" t="str">
        <f t="shared" ref="EN210:EN216" si="3378">IF(BH210="","","|n"&amp;EN$2&amp;"+"&amp;BH210&amp;EN$1)</f>
        <v/>
      </c>
      <c r="EO210" s="66" t="str">
        <f t="shared" ref="EO210:EO216" si="3379">IF(BI210="","","|n"&amp;EO$2&amp;"+"&amp;BI210&amp;EO$1)</f>
        <v/>
      </c>
      <c r="EP210" s="66" t="str">
        <f t="shared" ref="EP210:EP216" si="3380">IF(BJ210="","","|n"&amp;EP$2&amp;"+"&amp;BJ210&amp;EP$1)</f>
        <v/>
      </c>
      <c r="EQ210" s="66" t="str">
        <f t="shared" ref="EQ210:EQ216" si="3381">IF(BK210="","","|n"&amp;EQ$2&amp;"+"&amp;BK210&amp;EQ$1)</f>
        <v/>
      </c>
      <c r="ER210" s="66" t="str">
        <f t="shared" ref="ER210:ER216" si="3382">IF(BL210="","","|n"&amp;ER$2&amp;"+"&amp;BL210&amp;ER$1)</f>
        <v/>
      </c>
      <c r="ES210" s="66" t="str">
        <f t="shared" ref="ES210:ES216" si="3383">IF(BM210="","","|n"&amp;ES$2&amp;"+"&amp;BM210&amp;ES$1)</f>
        <v/>
      </c>
      <c r="ET210" s="66" t="str">
        <f t="shared" ref="ET210:ET216" si="3384">IF(BN210="","","|n"&amp;ET$2&amp;"+"&amp;BN210&amp;ET$1)</f>
        <v/>
      </c>
      <c r="EU210" s="66" t="str">
        <f t="shared" ref="EU210:EU216" si="3385">IF(BO210="","","|n"&amp;EU$2&amp;"+"&amp;BO210&amp;EU$1)</f>
        <v/>
      </c>
      <c r="EV210" s="66" t="str">
        <f t="shared" ref="EV210:EV216" si="3386">IF(BP210="","","|n"&amp;EV$2&amp;"+"&amp;BP210&amp;EV$1)</f>
        <v/>
      </c>
      <c r="EW210" s="66" t="str">
        <f t="shared" ref="EW210:EW216" si="3387">IF(BQ210="","","|n"&amp;EW$2&amp;"+"&amp;BQ210&amp;EW$1)</f>
        <v/>
      </c>
      <c r="EX210" s="66" t="str">
        <f t="shared" ref="EX210:EX216" si="3388">IF(BR210="","","|n"&amp;EX$2&amp;"+"&amp;BR210&amp;EX$1)</f>
        <v/>
      </c>
      <c r="EY210" s="66" t="str">
        <f t="shared" ref="EY210:EY216" si="3389">IF(BS210="","","|n"&amp;EY$2&amp;"+"&amp;BS210&amp;EY$1)</f>
        <v/>
      </c>
      <c r="EZ210" s="66" t="str">
        <f t="shared" ref="EZ210:EZ216" si="3390">IF(BT210="","","|n"&amp;EZ$2&amp;"+"&amp;BT210&amp;EZ$1)</f>
        <v/>
      </c>
      <c r="FA210" s="66" t="str">
        <f t="shared" ref="FA210:FA216" si="3391">IF(BU210="","","|n"&amp;FA$2&amp;"+"&amp;BU210&amp;FA$1)</f>
        <v/>
      </c>
      <c r="FB210" s="66" t="str">
        <f t="shared" ref="FB210:FB216" si="3392">IF(BV210="","","|n"&amp;FB$2&amp;"+"&amp;BV210&amp;FB$1)</f>
        <v/>
      </c>
      <c r="FC210" s="66" t="str">
        <f t="shared" ref="FC210:FC216" si="3393">IF(BW210="","","|n"&amp;FC$2&amp;"+"&amp;BW210&amp;FC$1)</f>
        <v/>
      </c>
      <c r="FD210" s="66" t="str">
        <f t="shared" ref="FD210:FD216" si="3394">IF(BX210="","","|n"&amp;FD$2&amp;"+"&amp;BX210&amp;FD$1)</f>
        <v/>
      </c>
      <c r="FE210" s="66" t="str">
        <f t="shared" ref="FE210:FE216" si="3395">IF(BY210="","","|n"&amp;FE$2&amp;"+"&amp;BY210&amp;FE$1)</f>
        <v/>
      </c>
      <c r="FF210" s="66" t="str">
        <f t="shared" ref="FF210:FF216" si="3396">IF(BZ210="","","|n"&amp;FF$2&amp;"+"&amp;BZ210&amp;FF$1)</f>
        <v/>
      </c>
      <c r="FG210" s="66" t="str">
        <f t="shared" ref="FG210:FG216" si="3397">IF(CA210="","","|n"&amp;FG$2&amp;"+"&amp;CA210&amp;FG$1)</f>
        <v/>
      </c>
      <c r="FH210" s="66" t="str">
        <f t="shared" ref="FH210:FH216" si="3398">IF(CB210="","","|n"&amp;FH$2&amp;"+"&amp;CB210&amp;FH$1)</f>
        <v/>
      </c>
      <c r="FI210" s="66" t="str">
        <f t="shared" ref="FI210:FI216" si="3399">IF(CC210="","","|n"&amp;FI$2&amp;"+"&amp;CC210&amp;FI$1)</f>
        <v/>
      </c>
      <c r="FJ210" s="66" t="str">
        <f t="shared" ref="FJ210:FJ216" si="3400">IF(CD210="","","|n"&amp;FJ$2&amp;"+"&amp;CD210&amp;FJ$1)</f>
        <v/>
      </c>
      <c r="FK210" s="66" t="str">
        <f t="shared" ref="FK210:FK216" si="3401">IF(CE210="","","|n"&amp;FK$2&amp;"+"&amp;CE210&amp;FK$1)</f>
        <v/>
      </c>
      <c r="FL210" s="66" t="str">
        <f t="shared" ref="FL210:FL216" si="3402">IF(CF210="","","|n"&amp;FL$2&amp;"+"&amp;CF210&amp;FL$1)</f>
        <v/>
      </c>
      <c r="FM210" s="66" t="str">
        <f t="shared" ref="FM210:FM216" si="3403">IF(CG210="","","|n"&amp;FM$2&amp;"+"&amp;CG210&amp;FM$1)</f>
        <v/>
      </c>
      <c r="FN210" s="66" t="str">
        <f t="shared" ref="FN210:FN216" si="3404">IF(CH210="","","|n"&amp;FN$2&amp;"+"&amp;CH210&amp;FN$1)</f>
        <v/>
      </c>
      <c r="FO210" s="66" t="str">
        <f t="shared" ref="FO210:FO216" si="3405">IF(CI210="","","|n"&amp;FO$2&amp;"+"&amp;CI210&amp;FO$1)</f>
        <v/>
      </c>
      <c r="FP210" s="66" t="str">
        <f t="shared" ref="FP210:FP216" si="3406">IF(CJ210="","","|n"&amp;FP$2&amp;"+"&amp;CJ210&amp;FP$1)</f>
        <v/>
      </c>
      <c r="FQ210" s="66" t="str">
        <f t="shared" ref="FQ210:FQ216" si="3407">IF(CK210="","","|n"&amp;FQ$2&amp;"+"&amp;CK210&amp;FQ$1)</f>
        <v/>
      </c>
      <c r="FR210" s="66" t="str">
        <f t="shared" ref="FR210:FR216" si="3408">IF(CL210="","","|n"&amp;FR$2&amp;"+"&amp;CL210&amp;FR$1)</f>
        <v/>
      </c>
      <c r="FS210" s="66" t="str">
        <f t="shared" ref="FS210:FS216" si="3409">IF(CM210="","","|n"&amp;FS$2&amp;"+"&amp;CM210&amp;FS$1)</f>
        <v/>
      </c>
    </row>
    <row r="211" spans="1:175">
      <c r="A211" s="15"/>
      <c r="B211" s="27" t="s">
        <v>739</v>
      </c>
      <c r="C211" s="28" t="str">
        <f t="shared" ref="C211:C218" si="3410">"已领取"&amp;C202</f>
        <v>已领取入群礼包</v>
      </c>
      <c r="T211" s="28" t="s">
        <v>740</v>
      </c>
      <c r="U211" s="10" t="s">
        <v>738</v>
      </c>
      <c r="CN211" s="36" t="str">
        <f t="shared" ref="CN211:CN218" si="3411">"InitUnitState('"&amp;B211&amp;"',"&amp;V211&amp;","&amp;W211&amp;","&amp;X211&amp;","&amp;Y211&amp;","&amp;Z211&amp;","&amp;AA211&amp;","&amp;AB211&amp;","&amp;AC211&amp;","&amp;AD211&amp;","&amp;AE211&amp;")"</f>
        <v>InitUnitState('IB52',,,,,,,,,,)</v>
      </c>
      <c r="CO211" s="36" t="str">
        <f t="shared" ref="CO211:CO218" si="3412">"InitUnitNormal('"&amp;B211&amp;"',"&amp;AF211&amp;","&amp;AG211&amp;","&amp;AH211&amp;","&amp;AI211&amp;","&amp;AJ211&amp;","&amp;AK211&amp;","&amp;AL211&amp;","&amp;AM211&amp;","&amp;AN211&amp;","&amp;AO211&amp;")"</f>
        <v>InitUnitNormal('IB52',,,,,,,,,,)</v>
      </c>
      <c r="CP211" s="36" t="str">
        <f t="shared" ref="CP211:CP218" si="3413">"InitUnitMagic('"&amp;B211&amp;"',"&amp;AP211&amp;","&amp;AQ211&amp;","&amp;AR211&amp;","&amp;AS211&amp;","&amp;AT211&amp;","&amp;AU211&amp;","&amp;AV211&amp;","&amp;AW211&amp;","&amp;BI211&amp;","&amp;BJ211&amp;")"</f>
        <v>InitUnitMagic('IB52',,,,,,,,,,)</v>
      </c>
      <c r="CQ211" s="36" t="str">
        <f t="shared" ref="CQ211:CQ218" si="3414">"InitUnitAdd('"&amp;B211&amp;"',"&amp;BK211&amp;","&amp;BL211&amp;","&amp;BM211&amp;","&amp;BN211&amp;","&amp;BO211&amp;","&amp;BP211&amp;","&amp;BQ211&amp;","&amp;BR211&amp;","&amp;BS211&amp;","&amp;BT211&amp;")"</f>
        <v>InitUnitAdd('IB52',,,,,,,,,,)</v>
      </c>
      <c r="CR211" s="36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InitEquipData('IB52',,"",,,,,'','','','','','',"ReplaceableTextures\\commandButtons\\BTNLBUI01.blp")</v>
      </c>
      <c r="CU211" s="88" t="str">
        <f t="shared" si="3338"/>
        <v>|n</v>
      </c>
      <c r="CV211" s="19" t="str">
        <f t="shared" si="3339"/>
        <v>加入《|cff00ffcc全民封神|r》官方QQ群，即可获得入群礼包码！|n|n输入礼包码即可获得：|n|cff00ff7f招魂幡Lv2|r</v>
      </c>
      <c r="CW211" s="33"/>
      <c r="CX211" s="33"/>
      <c r="CY211" s="33"/>
      <c r="CZ211" s="33"/>
      <c r="DA211" s="33"/>
      <c r="DB211" s="66" t="str">
        <f t="shared" si="3340"/>
        <v/>
      </c>
      <c r="DC211" s="66" t="str">
        <f t="shared" si="3341"/>
        <v/>
      </c>
      <c r="DD211" s="66" t="str">
        <f t="shared" si="3342"/>
        <v/>
      </c>
      <c r="DE211" s="66" t="str">
        <f t="shared" si="3343"/>
        <v/>
      </c>
      <c r="DF211" s="66" t="str">
        <f t="shared" si="3344"/>
        <v/>
      </c>
      <c r="DG211" s="66" t="str">
        <f t="shared" si="3345"/>
        <v/>
      </c>
      <c r="DH211" s="66" t="str">
        <f t="shared" si="3346"/>
        <v/>
      </c>
      <c r="DI211" s="66" t="str">
        <f t="shared" si="3347"/>
        <v/>
      </c>
      <c r="DJ211" s="66" t="str">
        <f t="shared" si="3348"/>
        <v/>
      </c>
      <c r="DK211" s="66" t="str">
        <f t="shared" si="3349"/>
        <v/>
      </c>
      <c r="DL211" s="66" t="str">
        <f t="shared" si="3350"/>
        <v/>
      </c>
      <c r="DM211" s="66" t="str">
        <f t="shared" si="3351"/>
        <v/>
      </c>
      <c r="DN211" s="66" t="str">
        <f t="shared" si="3352"/>
        <v/>
      </c>
      <c r="DO211" s="66" t="str">
        <f t="shared" si="3353"/>
        <v/>
      </c>
      <c r="DP211" s="66" t="str">
        <f t="shared" si="3354"/>
        <v/>
      </c>
      <c r="DQ211" s="66" t="str">
        <f t="shared" si="3355"/>
        <v/>
      </c>
      <c r="DR211" s="66" t="str">
        <f t="shared" si="3356"/>
        <v/>
      </c>
      <c r="DS211" s="66" t="str">
        <f t="shared" si="3357"/>
        <v/>
      </c>
      <c r="DT211" s="66" t="str">
        <f t="shared" si="3358"/>
        <v/>
      </c>
      <c r="DU211" s="66" t="str">
        <f t="shared" si="3359"/>
        <v/>
      </c>
      <c r="DV211" s="66" t="str">
        <f t="shared" si="3360"/>
        <v/>
      </c>
      <c r="DW211" s="66" t="str">
        <f t="shared" si="3361"/>
        <v/>
      </c>
      <c r="DX211" s="66" t="str">
        <f t="shared" si="3362"/>
        <v/>
      </c>
      <c r="DY211" s="66" t="str">
        <f t="shared" si="3363"/>
        <v/>
      </c>
      <c r="DZ211" s="66" t="str">
        <f t="shared" si="3364"/>
        <v/>
      </c>
      <c r="EA211" s="66" t="str">
        <f t="shared" si="3365"/>
        <v/>
      </c>
      <c r="EB211" s="66" t="str">
        <f t="shared" si="3366"/>
        <v/>
      </c>
      <c r="EC211" s="66" t="str">
        <f t="shared" si="3367"/>
        <v/>
      </c>
      <c r="ED211" s="66" t="str">
        <f t="shared" si="3368"/>
        <v/>
      </c>
      <c r="EE211" s="66" t="str">
        <f t="shared" si="3369"/>
        <v/>
      </c>
      <c r="EF211" s="66" t="str">
        <f t="shared" si="3370"/>
        <v/>
      </c>
      <c r="EG211" s="66" t="str">
        <f t="shared" si="3371"/>
        <v/>
      </c>
      <c r="EH211" s="66" t="str">
        <f t="shared" si="3372"/>
        <v/>
      </c>
      <c r="EI211" s="66" t="str">
        <f t="shared" si="3373"/>
        <v/>
      </c>
      <c r="EJ211" s="66" t="str">
        <f t="shared" si="3374"/>
        <v/>
      </c>
      <c r="EK211" s="66" t="str">
        <f t="shared" si="3375"/>
        <v/>
      </c>
      <c r="EL211" s="66" t="str">
        <f t="shared" si="3376"/>
        <v/>
      </c>
      <c r="EM211" s="66" t="str">
        <f t="shared" si="3377"/>
        <v/>
      </c>
      <c r="EN211" s="66" t="str">
        <f t="shared" si="3378"/>
        <v/>
      </c>
      <c r="EO211" s="66" t="str">
        <f t="shared" si="3379"/>
        <v/>
      </c>
      <c r="EP211" s="66" t="str">
        <f t="shared" si="3380"/>
        <v/>
      </c>
      <c r="EQ211" s="66" t="str">
        <f t="shared" si="3381"/>
        <v/>
      </c>
      <c r="ER211" s="66" t="str">
        <f t="shared" si="3382"/>
        <v/>
      </c>
      <c r="ES211" s="66" t="str">
        <f t="shared" si="3383"/>
        <v/>
      </c>
      <c r="ET211" s="66" t="str">
        <f t="shared" si="3384"/>
        <v/>
      </c>
      <c r="EU211" s="66" t="str">
        <f t="shared" si="3385"/>
        <v/>
      </c>
      <c r="EV211" s="66" t="str">
        <f t="shared" si="3386"/>
        <v/>
      </c>
      <c r="EW211" s="66" t="str">
        <f t="shared" si="3387"/>
        <v/>
      </c>
      <c r="EX211" s="66" t="str">
        <f t="shared" si="3388"/>
        <v/>
      </c>
      <c r="EY211" s="66" t="str">
        <f t="shared" si="3389"/>
        <v/>
      </c>
      <c r="EZ211" s="66" t="str">
        <f t="shared" si="3390"/>
        <v/>
      </c>
      <c r="FA211" s="66" t="str">
        <f t="shared" si="3391"/>
        <v/>
      </c>
      <c r="FB211" s="66" t="str">
        <f t="shared" si="3392"/>
        <v/>
      </c>
      <c r="FC211" s="66" t="str">
        <f t="shared" si="3393"/>
        <v/>
      </c>
      <c r="FD211" s="66" t="str">
        <f t="shared" si="3394"/>
        <v/>
      </c>
      <c r="FE211" s="66" t="str">
        <f t="shared" si="3395"/>
        <v/>
      </c>
      <c r="FF211" s="66" t="str">
        <f t="shared" si="3396"/>
        <v/>
      </c>
      <c r="FG211" s="66" t="str">
        <f t="shared" si="3397"/>
        <v/>
      </c>
      <c r="FH211" s="66" t="str">
        <f t="shared" si="3398"/>
        <v/>
      </c>
      <c r="FI211" s="66" t="str">
        <f t="shared" si="3399"/>
        <v/>
      </c>
      <c r="FJ211" s="66" t="str">
        <f t="shared" si="3400"/>
        <v/>
      </c>
      <c r="FK211" s="66" t="str">
        <f t="shared" si="3401"/>
        <v/>
      </c>
      <c r="FL211" s="66" t="str">
        <f t="shared" si="3402"/>
        <v/>
      </c>
      <c r="FM211" s="66" t="str">
        <f t="shared" si="3403"/>
        <v/>
      </c>
      <c r="FN211" s="66" t="str">
        <f t="shared" si="3404"/>
        <v/>
      </c>
      <c r="FO211" s="66" t="str">
        <f t="shared" si="3405"/>
        <v/>
      </c>
      <c r="FP211" s="66" t="str">
        <f t="shared" si="3406"/>
        <v/>
      </c>
      <c r="FQ211" s="66" t="str">
        <f t="shared" si="3407"/>
        <v/>
      </c>
      <c r="FR211" s="66" t="str">
        <f t="shared" si="3408"/>
        <v/>
      </c>
      <c r="FS211" s="66" t="str">
        <f t="shared" si="3409"/>
        <v/>
      </c>
    </row>
    <row r="212" spans="1:175">
      <c r="A212" s="15"/>
      <c r="B212" s="27" t="s">
        <v>741</v>
      </c>
      <c r="C212" s="28" t="str">
        <f t="shared" si="3410"/>
        <v>已领取拜年礼包</v>
      </c>
      <c r="T212" s="28" t="s">
        <v>742</v>
      </c>
      <c r="U212" s="10" t="s">
        <v>738</v>
      </c>
      <c r="CN212" s="36" t="str">
        <f t="shared" si="3411"/>
        <v>InitUnitState('IB53',,,,,,,,,,)</v>
      </c>
      <c r="CO212" s="36" t="str">
        <f t="shared" si="3412"/>
        <v>InitUnitNormal('IB53',,,,,,,,,,)</v>
      </c>
      <c r="CP212" s="36" t="str">
        <f t="shared" si="3413"/>
        <v>InitUnitMagic('IB53',,,,,,,,,,)</v>
      </c>
      <c r="CQ212" s="36" t="str">
        <f t="shared" si="3414"/>
        <v>InitUnitAdd('IB53',,,,,,,,,,)</v>
      </c>
      <c r="CR212" s="36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InitEquipData('IB53',,"",,,,,'','','','','','',"ReplaceableTextures\\commandButtons\\BTNLBUI01.blp")</v>
      </c>
      <c r="CU212" s="88" t="str">
        <f t="shared" si="3338"/>
        <v>|n</v>
      </c>
      <c r="CV212" s="19" t="str">
        <f t="shared" si="3339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12" s="33"/>
      <c r="CX212" s="33"/>
      <c r="CY212" s="33"/>
      <c r="CZ212" s="33"/>
      <c r="DA212" s="33"/>
      <c r="DB212" s="66" t="str">
        <f t="shared" si="3340"/>
        <v/>
      </c>
      <c r="DC212" s="66" t="str">
        <f t="shared" si="3341"/>
        <v/>
      </c>
      <c r="DD212" s="66" t="str">
        <f t="shared" si="3342"/>
        <v/>
      </c>
      <c r="DE212" s="66" t="str">
        <f t="shared" si="3343"/>
        <v/>
      </c>
      <c r="DF212" s="66" t="str">
        <f t="shared" si="3344"/>
        <v/>
      </c>
      <c r="DG212" s="66" t="str">
        <f t="shared" si="3345"/>
        <v/>
      </c>
      <c r="DH212" s="66" t="str">
        <f t="shared" si="3346"/>
        <v/>
      </c>
      <c r="DI212" s="66" t="str">
        <f t="shared" si="3347"/>
        <v/>
      </c>
      <c r="DJ212" s="66" t="str">
        <f t="shared" si="3348"/>
        <v/>
      </c>
      <c r="DK212" s="66" t="str">
        <f t="shared" si="3349"/>
        <v/>
      </c>
      <c r="DL212" s="66" t="str">
        <f t="shared" si="3350"/>
        <v/>
      </c>
      <c r="DM212" s="66" t="str">
        <f t="shared" si="3351"/>
        <v/>
      </c>
      <c r="DN212" s="66" t="str">
        <f t="shared" si="3352"/>
        <v/>
      </c>
      <c r="DO212" s="66" t="str">
        <f t="shared" si="3353"/>
        <v/>
      </c>
      <c r="DP212" s="66" t="str">
        <f t="shared" si="3354"/>
        <v/>
      </c>
      <c r="DQ212" s="66" t="str">
        <f t="shared" si="3355"/>
        <v/>
      </c>
      <c r="DR212" s="66" t="str">
        <f t="shared" si="3356"/>
        <v/>
      </c>
      <c r="DS212" s="66" t="str">
        <f t="shared" si="3357"/>
        <v/>
      </c>
      <c r="DT212" s="66" t="str">
        <f t="shared" si="3358"/>
        <v/>
      </c>
      <c r="DU212" s="66" t="str">
        <f t="shared" si="3359"/>
        <v/>
      </c>
      <c r="DV212" s="66" t="str">
        <f t="shared" si="3360"/>
        <v/>
      </c>
      <c r="DW212" s="66" t="str">
        <f t="shared" si="3361"/>
        <v/>
      </c>
      <c r="DX212" s="66" t="str">
        <f t="shared" si="3362"/>
        <v/>
      </c>
      <c r="DY212" s="66" t="str">
        <f t="shared" si="3363"/>
        <v/>
      </c>
      <c r="DZ212" s="66" t="str">
        <f t="shared" si="3364"/>
        <v/>
      </c>
      <c r="EA212" s="66" t="str">
        <f t="shared" si="3365"/>
        <v/>
      </c>
      <c r="EB212" s="66" t="str">
        <f t="shared" si="3366"/>
        <v/>
      </c>
      <c r="EC212" s="66" t="str">
        <f t="shared" si="3367"/>
        <v/>
      </c>
      <c r="ED212" s="66" t="str">
        <f t="shared" si="3368"/>
        <v/>
      </c>
      <c r="EE212" s="66" t="str">
        <f t="shared" si="3369"/>
        <v/>
      </c>
      <c r="EF212" s="66" t="str">
        <f t="shared" si="3370"/>
        <v/>
      </c>
      <c r="EG212" s="66" t="str">
        <f t="shared" si="3371"/>
        <v/>
      </c>
      <c r="EH212" s="66" t="str">
        <f t="shared" si="3372"/>
        <v/>
      </c>
      <c r="EI212" s="66" t="str">
        <f t="shared" si="3373"/>
        <v/>
      </c>
      <c r="EJ212" s="66" t="str">
        <f t="shared" si="3374"/>
        <v/>
      </c>
      <c r="EK212" s="66" t="str">
        <f t="shared" si="3375"/>
        <v/>
      </c>
      <c r="EL212" s="66" t="str">
        <f t="shared" si="3376"/>
        <v/>
      </c>
      <c r="EM212" s="66" t="str">
        <f t="shared" si="3377"/>
        <v/>
      </c>
      <c r="EN212" s="66" t="str">
        <f t="shared" si="3378"/>
        <v/>
      </c>
      <c r="EO212" s="66" t="str">
        <f t="shared" si="3379"/>
        <v/>
      </c>
      <c r="EP212" s="66" t="str">
        <f t="shared" si="3380"/>
        <v/>
      </c>
      <c r="EQ212" s="66" t="str">
        <f t="shared" si="3381"/>
        <v/>
      </c>
      <c r="ER212" s="66" t="str">
        <f t="shared" si="3382"/>
        <v/>
      </c>
      <c r="ES212" s="66" t="str">
        <f t="shared" si="3383"/>
        <v/>
      </c>
      <c r="ET212" s="66" t="str">
        <f t="shared" si="3384"/>
        <v/>
      </c>
      <c r="EU212" s="66" t="str">
        <f t="shared" si="3385"/>
        <v/>
      </c>
      <c r="EV212" s="66" t="str">
        <f t="shared" si="3386"/>
        <v/>
      </c>
      <c r="EW212" s="66" t="str">
        <f t="shared" si="3387"/>
        <v/>
      </c>
      <c r="EX212" s="66" t="str">
        <f t="shared" si="3388"/>
        <v/>
      </c>
      <c r="EY212" s="66" t="str">
        <f t="shared" si="3389"/>
        <v/>
      </c>
      <c r="EZ212" s="66" t="str">
        <f t="shared" si="3390"/>
        <v/>
      </c>
      <c r="FA212" s="66" t="str">
        <f t="shared" si="3391"/>
        <v/>
      </c>
      <c r="FB212" s="66" t="str">
        <f t="shared" si="3392"/>
        <v/>
      </c>
      <c r="FC212" s="66" t="str">
        <f t="shared" si="3393"/>
        <v/>
      </c>
      <c r="FD212" s="66" t="str">
        <f t="shared" si="3394"/>
        <v/>
      </c>
      <c r="FE212" s="66" t="str">
        <f t="shared" si="3395"/>
        <v/>
      </c>
      <c r="FF212" s="66" t="str">
        <f t="shared" si="3396"/>
        <v/>
      </c>
      <c r="FG212" s="66" t="str">
        <f t="shared" si="3397"/>
        <v/>
      </c>
      <c r="FH212" s="66" t="str">
        <f t="shared" si="3398"/>
        <v/>
      </c>
      <c r="FI212" s="66" t="str">
        <f t="shared" si="3399"/>
        <v/>
      </c>
      <c r="FJ212" s="66" t="str">
        <f t="shared" si="3400"/>
        <v/>
      </c>
      <c r="FK212" s="66" t="str">
        <f t="shared" si="3401"/>
        <v/>
      </c>
      <c r="FL212" s="66" t="str">
        <f t="shared" si="3402"/>
        <v/>
      </c>
      <c r="FM212" s="66" t="str">
        <f t="shared" si="3403"/>
        <v/>
      </c>
      <c r="FN212" s="66" t="str">
        <f t="shared" si="3404"/>
        <v/>
      </c>
      <c r="FO212" s="66" t="str">
        <f t="shared" si="3405"/>
        <v/>
      </c>
      <c r="FP212" s="66" t="str">
        <f t="shared" si="3406"/>
        <v/>
      </c>
      <c r="FQ212" s="66" t="str">
        <f t="shared" si="3407"/>
        <v/>
      </c>
      <c r="FR212" s="66" t="str">
        <f t="shared" si="3408"/>
        <v/>
      </c>
      <c r="FS212" s="66" t="str">
        <f t="shared" si="3409"/>
        <v/>
      </c>
    </row>
    <row r="213" spans="1:175">
      <c r="A213" s="15"/>
      <c r="B213" s="27" t="s">
        <v>743</v>
      </c>
      <c r="C213" s="28" t="str">
        <f t="shared" si="3410"/>
        <v>已领取收藏礼包</v>
      </c>
      <c r="T213" s="28" t="s">
        <v>744</v>
      </c>
      <c r="U213" s="10" t="s">
        <v>738</v>
      </c>
      <c r="CN213" s="36" t="str">
        <f t="shared" si="3411"/>
        <v>InitUnitState('IB54',,,,,,,,,,)</v>
      </c>
      <c r="CO213" s="36" t="str">
        <f t="shared" si="3412"/>
        <v>InitUnitNormal('IB54',,,,,,,,,,)</v>
      </c>
      <c r="CP213" s="36" t="str">
        <f t="shared" si="3413"/>
        <v>InitUnitMagic('IB54',,,,,,,,,,)</v>
      </c>
      <c r="CQ213" s="36" t="str">
        <f t="shared" si="3414"/>
        <v>InitUnitAdd('IB54',,,,,,,,,,)</v>
      </c>
      <c r="CR213" s="36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InitEquipData('IB54',,"",,,,,'','','','','','',"ReplaceableTextures\\commandButtons\\BTNLBUI01.blp")</v>
      </c>
      <c r="CU213" s="88" t="str">
        <f t="shared" si="3338"/>
        <v>|n</v>
      </c>
      <c r="CV213" s="19" t="str">
        <f t="shared" si="3339"/>
        <v>|cff99ccff房间大厅界面点击右上角《|r|cffcc99ff收藏|r|cff99ccff》后可领取该礼包。|n|n|r属性：|n|cffffcc33物理伤害+5%|n法术伤害+5%|r</v>
      </c>
      <c r="CW213" s="33"/>
      <c r="CX213" s="33"/>
      <c r="CY213" s="33"/>
      <c r="CZ213" s="33"/>
      <c r="DA213" s="33"/>
      <c r="DB213" s="66" t="str">
        <f t="shared" si="3340"/>
        <v/>
      </c>
      <c r="DC213" s="66" t="str">
        <f t="shared" si="3341"/>
        <v/>
      </c>
      <c r="DD213" s="66" t="str">
        <f t="shared" si="3342"/>
        <v/>
      </c>
      <c r="DE213" s="66" t="str">
        <f t="shared" si="3343"/>
        <v/>
      </c>
      <c r="DF213" s="66" t="str">
        <f t="shared" si="3344"/>
        <v/>
      </c>
      <c r="DG213" s="66" t="str">
        <f t="shared" si="3345"/>
        <v/>
      </c>
      <c r="DH213" s="66" t="str">
        <f t="shared" si="3346"/>
        <v/>
      </c>
      <c r="DI213" s="66" t="str">
        <f t="shared" si="3347"/>
        <v/>
      </c>
      <c r="DJ213" s="66" t="str">
        <f t="shared" si="3348"/>
        <v/>
      </c>
      <c r="DK213" s="66" t="str">
        <f t="shared" si="3349"/>
        <v/>
      </c>
      <c r="DL213" s="66" t="str">
        <f t="shared" si="3350"/>
        <v/>
      </c>
      <c r="DM213" s="66" t="str">
        <f t="shared" si="3351"/>
        <v/>
      </c>
      <c r="DN213" s="66" t="str">
        <f t="shared" si="3352"/>
        <v/>
      </c>
      <c r="DO213" s="66" t="str">
        <f t="shared" si="3353"/>
        <v/>
      </c>
      <c r="DP213" s="66" t="str">
        <f t="shared" si="3354"/>
        <v/>
      </c>
      <c r="DQ213" s="66" t="str">
        <f t="shared" si="3355"/>
        <v/>
      </c>
      <c r="DR213" s="66" t="str">
        <f t="shared" si="3356"/>
        <v/>
      </c>
      <c r="DS213" s="66" t="str">
        <f t="shared" si="3357"/>
        <v/>
      </c>
      <c r="DT213" s="66" t="str">
        <f t="shared" si="3358"/>
        <v/>
      </c>
      <c r="DU213" s="66" t="str">
        <f t="shared" si="3359"/>
        <v/>
      </c>
      <c r="DV213" s="66" t="str">
        <f t="shared" si="3360"/>
        <v/>
      </c>
      <c r="DW213" s="66" t="str">
        <f t="shared" si="3361"/>
        <v/>
      </c>
      <c r="DX213" s="66" t="str">
        <f t="shared" si="3362"/>
        <v/>
      </c>
      <c r="DY213" s="66" t="str">
        <f t="shared" si="3363"/>
        <v/>
      </c>
      <c r="DZ213" s="66" t="str">
        <f t="shared" si="3364"/>
        <v/>
      </c>
      <c r="EA213" s="66" t="str">
        <f t="shared" si="3365"/>
        <v/>
      </c>
      <c r="EB213" s="66" t="str">
        <f t="shared" si="3366"/>
        <v/>
      </c>
      <c r="EC213" s="66" t="str">
        <f t="shared" si="3367"/>
        <v/>
      </c>
      <c r="ED213" s="66" t="str">
        <f t="shared" si="3368"/>
        <v/>
      </c>
      <c r="EE213" s="66" t="str">
        <f t="shared" si="3369"/>
        <v/>
      </c>
      <c r="EF213" s="66" t="str">
        <f t="shared" si="3370"/>
        <v/>
      </c>
      <c r="EG213" s="66" t="str">
        <f t="shared" si="3371"/>
        <v/>
      </c>
      <c r="EH213" s="66" t="str">
        <f t="shared" si="3372"/>
        <v/>
      </c>
      <c r="EI213" s="66" t="str">
        <f t="shared" si="3373"/>
        <v/>
      </c>
      <c r="EJ213" s="66" t="str">
        <f t="shared" si="3374"/>
        <v/>
      </c>
      <c r="EK213" s="66" t="str">
        <f t="shared" si="3375"/>
        <v/>
      </c>
      <c r="EL213" s="66" t="str">
        <f t="shared" si="3376"/>
        <v/>
      </c>
      <c r="EM213" s="66" t="str">
        <f t="shared" si="3377"/>
        <v/>
      </c>
      <c r="EN213" s="66" t="str">
        <f t="shared" si="3378"/>
        <v/>
      </c>
      <c r="EO213" s="66" t="str">
        <f t="shared" si="3379"/>
        <v/>
      </c>
      <c r="EP213" s="66" t="str">
        <f t="shared" si="3380"/>
        <v/>
      </c>
      <c r="EQ213" s="66" t="str">
        <f t="shared" si="3381"/>
        <v/>
      </c>
      <c r="ER213" s="66" t="str">
        <f t="shared" si="3382"/>
        <v/>
      </c>
      <c r="ES213" s="66" t="str">
        <f t="shared" si="3383"/>
        <v/>
      </c>
      <c r="ET213" s="66" t="str">
        <f t="shared" si="3384"/>
        <v/>
      </c>
      <c r="EU213" s="66" t="str">
        <f t="shared" si="3385"/>
        <v/>
      </c>
      <c r="EV213" s="66" t="str">
        <f t="shared" si="3386"/>
        <v/>
      </c>
      <c r="EW213" s="66" t="str">
        <f t="shared" si="3387"/>
        <v/>
      </c>
      <c r="EX213" s="66" t="str">
        <f t="shared" si="3388"/>
        <v/>
      </c>
      <c r="EY213" s="66" t="str">
        <f t="shared" si="3389"/>
        <v/>
      </c>
      <c r="EZ213" s="66" t="str">
        <f t="shared" si="3390"/>
        <v/>
      </c>
      <c r="FA213" s="66" t="str">
        <f t="shared" si="3391"/>
        <v/>
      </c>
      <c r="FB213" s="66" t="str">
        <f t="shared" si="3392"/>
        <v/>
      </c>
      <c r="FC213" s="66" t="str">
        <f t="shared" si="3393"/>
        <v/>
      </c>
      <c r="FD213" s="66" t="str">
        <f t="shared" si="3394"/>
        <v/>
      </c>
      <c r="FE213" s="66" t="str">
        <f t="shared" si="3395"/>
        <v/>
      </c>
      <c r="FF213" s="66" t="str">
        <f t="shared" si="3396"/>
        <v/>
      </c>
      <c r="FG213" s="66" t="str">
        <f t="shared" si="3397"/>
        <v/>
      </c>
      <c r="FH213" s="66" t="str">
        <f t="shared" si="3398"/>
        <v/>
      </c>
      <c r="FI213" s="66" t="str">
        <f t="shared" si="3399"/>
        <v/>
      </c>
      <c r="FJ213" s="66" t="str">
        <f t="shared" si="3400"/>
        <v/>
      </c>
      <c r="FK213" s="66" t="str">
        <f t="shared" si="3401"/>
        <v/>
      </c>
      <c r="FL213" s="66" t="str">
        <f t="shared" si="3402"/>
        <v/>
      </c>
      <c r="FM213" s="66" t="str">
        <f t="shared" si="3403"/>
        <v/>
      </c>
      <c r="FN213" s="66" t="str">
        <f t="shared" si="3404"/>
        <v/>
      </c>
      <c r="FO213" s="66" t="str">
        <f t="shared" si="3405"/>
        <v/>
      </c>
      <c r="FP213" s="66" t="str">
        <f t="shared" si="3406"/>
        <v/>
      </c>
      <c r="FQ213" s="66" t="str">
        <f t="shared" si="3407"/>
        <v/>
      </c>
      <c r="FR213" s="66" t="str">
        <f t="shared" si="3408"/>
        <v/>
      </c>
      <c r="FS213" s="66" t="str">
        <f t="shared" si="3409"/>
        <v/>
      </c>
    </row>
    <row r="214" spans="1:175">
      <c r="A214" s="15"/>
      <c r="B214" s="27" t="s">
        <v>745</v>
      </c>
      <c r="C214" s="28" t="str">
        <f t="shared" si="3410"/>
        <v>已领取重置版礼包</v>
      </c>
      <c r="T214" s="28" t="s">
        <v>746</v>
      </c>
      <c r="U214" s="10" t="s">
        <v>738</v>
      </c>
      <c r="CN214" s="36" t="str">
        <f t="shared" si="3411"/>
        <v>InitUnitState('IB55',,,,,,,,,,)</v>
      </c>
      <c r="CO214" s="36" t="str">
        <f t="shared" si="3412"/>
        <v>InitUnitNormal('IB55',,,,,,,,,,)</v>
      </c>
      <c r="CP214" s="36" t="str">
        <f t="shared" si="3413"/>
        <v>InitUnitMagic('IB55',,,,,,,,,,)</v>
      </c>
      <c r="CQ214" s="36" t="str">
        <f t="shared" si="3414"/>
        <v>InitUnitAdd('IB55',,,,,,,,,,)</v>
      </c>
      <c r="CR214" s="36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236&amp;CR$1&amp;")"</f>
        <v>InitEquipData('IB55',,"",,,,,'','','','','','',"")</v>
      </c>
      <c r="CU214" s="88" t="str">
        <f t="shared" si="3338"/>
        <v>|n</v>
      </c>
      <c r="CV214" s="19" t="str">
        <f t="shared" si="3339"/>
        <v>|cff33ff00购买魔兽重制版可领取该礼包！|n|n|r属性：|n|cffffcc33金币+1000|n每秒攻击+2|n每秒业力+1|r</v>
      </c>
      <c r="CW214" s="33"/>
      <c r="CX214" s="33"/>
      <c r="CY214" s="33"/>
      <c r="CZ214" s="33"/>
      <c r="DA214" s="33"/>
      <c r="DB214" s="66" t="str">
        <f t="shared" si="3340"/>
        <v/>
      </c>
      <c r="DC214" s="66" t="str">
        <f t="shared" si="3341"/>
        <v/>
      </c>
      <c r="DD214" s="66" t="str">
        <f t="shared" si="3342"/>
        <v/>
      </c>
      <c r="DE214" s="66" t="str">
        <f t="shared" si="3343"/>
        <v/>
      </c>
      <c r="DF214" s="66" t="str">
        <f t="shared" si="3344"/>
        <v/>
      </c>
      <c r="DG214" s="66" t="str">
        <f t="shared" si="3345"/>
        <v/>
      </c>
      <c r="DH214" s="66" t="str">
        <f t="shared" si="3346"/>
        <v/>
      </c>
      <c r="DI214" s="66" t="str">
        <f t="shared" si="3347"/>
        <v/>
      </c>
      <c r="DJ214" s="66" t="str">
        <f t="shared" si="3348"/>
        <v/>
      </c>
      <c r="DK214" s="66" t="str">
        <f t="shared" si="3349"/>
        <v/>
      </c>
      <c r="DL214" s="66" t="str">
        <f t="shared" si="3350"/>
        <v/>
      </c>
      <c r="DM214" s="66" t="str">
        <f t="shared" si="3351"/>
        <v/>
      </c>
      <c r="DN214" s="66" t="str">
        <f t="shared" si="3352"/>
        <v/>
      </c>
      <c r="DO214" s="66" t="str">
        <f t="shared" si="3353"/>
        <v/>
      </c>
      <c r="DP214" s="66" t="str">
        <f t="shared" si="3354"/>
        <v/>
      </c>
      <c r="DQ214" s="66" t="str">
        <f t="shared" si="3355"/>
        <v/>
      </c>
      <c r="DR214" s="66" t="str">
        <f t="shared" si="3356"/>
        <v/>
      </c>
      <c r="DS214" s="66" t="str">
        <f t="shared" si="3357"/>
        <v/>
      </c>
      <c r="DT214" s="66" t="str">
        <f t="shared" si="3358"/>
        <v/>
      </c>
      <c r="DU214" s="66" t="str">
        <f t="shared" si="3359"/>
        <v/>
      </c>
      <c r="DV214" s="66" t="str">
        <f t="shared" si="3360"/>
        <v/>
      </c>
      <c r="DW214" s="66" t="str">
        <f t="shared" si="3361"/>
        <v/>
      </c>
      <c r="DX214" s="66" t="str">
        <f t="shared" si="3362"/>
        <v/>
      </c>
      <c r="DY214" s="66" t="str">
        <f t="shared" si="3363"/>
        <v/>
      </c>
      <c r="DZ214" s="66" t="str">
        <f t="shared" si="3364"/>
        <v/>
      </c>
      <c r="EA214" s="66" t="str">
        <f t="shared" si="3365"/>
        <v/>
      </c>
      <c r="EB214" s="66" t="str">
        <f t="shared" si="3366"/>
        <v/>
      </c>
      <c r="EC214" s="66" t="str">
        <f t="shared" si="3367"/>
        <v/>
      </c>
      <c r="ED214" s="66" t="str">
        <f t="shared" si="3368"/>
        <v/>
      </c>
      <c r="EE214" s="66" t="str">
        <f t="shared" si="3369"/>
        <v/>
      </c>
      <c r="EF214" s="66" t="str">
        <f t="shared" si="3370"/>
        <v/>
      </c>
      <c r="EG214" s="66" t="str">
        <f t="shared" si="3371"/>
        <v/>
      </c>
      <c r="EH214" s="66" t="str">
        <f t="shared" si="3372"/>
        <v/>
      </c>
      <c r="EI214" s="66" t="str">
        <f t="shared" si="3373"/>
        <v/>
      </c>
      <c r="EJ214" s="66" t="str">
        <f t="shared" si="3374"/>
        <v/>
      </c>
      <c r="EK214" s="66" t="str">
        <f t="shared" si="3375"/>
        <v/>
      </c>
      <c r="EL214" s="66" t="str">
        <f t="shared" si="3376"/>
        <v/>
      </c>
      <c r="EM214" s="66" t="str">
        <f t="shared" si="3377"/>
        <v/>
      </c>
      <c r="EN214" s="66" t="str">
        <f t="shared" si="3378"/>
        <v/>
      </c>
      <c r="EO214" s="66" t="str">
        <f t="shared" si="3379"/>
        <v/>
      </c>
      <c r="EP214" s="66" t="str">
        <f t="shared" si="3380"/>
        <v/>
      </c>
      <c r="EQ214" s="66" t="str">
        <f t="shared" si="3381"/>
        <v/>
      </c>
      <c r="ER214" s="66" t="str">
        <f t="shared" si="3382"/>
        <v/>
      </c>
      <c r="ES214" s="66" t="str">
        <f t="shared" si="3383"/>
        <v/>
      </c>
      <c r="ET214" s="66" t="str">
        <f t="shared" si="3384"/>
        <v/>
      </c>
      <c r="EU214" s="66" t="str">
        <f t="shared" si="3385"/>
        <v/>
      </c>
      <c r="EV214" s="66" t="str">
        <f t="shared" si="3386"/>
        <v/>
      </c>
      <c r="EW214" s="66" t="str">
        <f t="shared" si="3387"/>
        <v/>
      </c>
      <c r="EX214" s="66" t="str">
        <f t="shared" si="3388"/>
        <v/>
      </c>
      <c r="EY214" s="66" t="str">
        <f t="shared" si="3389"/>
        <v/>
      </c>
      <c r="EZ214" s="66" t="str">
        <f t="shared" si="3390"/>
        <v/>
      </c>
      <c r="FA214" s="66" t="str">
        <f t="shared" si="3391"/>
        <v/>
      </c>
      <c r="FB214" s="66" t="str">
        <f t="shared" si="3392"/>
        <v/>
      </c>
      <c r="FC214" s="66" t="str">
        <f t="shared" si="3393"/>
        <v/>
      </c>
      <c r="FD214" s="66" t="str">
        <f t="shared" si="3394"/>
        <v/>
      </c>
      <c r="FE214" s="66" t="str">
        <f t="shared" si="3395"/>
        <v/>
      </c>
      <c r="FF214" s="66" t="str">
        <f t="shared" si="3396"/>
        <v/>
      </c>
      <c r="FG214" s="66" t="str">
        <f t="shared" si="3397"/>
        <v/>
      </c>
      <c r="FH214" s="66" t="str">
        <f t="shared" si="3398"/>
        <v/>
      </c>
      <c r="FI214" s="66" t="str">
        <f t="shared" si="3399"/>
        <v/>
      </c>
      <c r="FJ214" s="66" t="str">
        <f t="shared" si="3400"/>
        <v/>
      </c>
      <c r="FK214" s="66" t="str">
        <f t="shared" si="3401"/>
        <v/>
      </c>
      <c r="FL214" s="66" t="str">
        <f t="shared" si="3402"/>
        <v/>
      </c>
      <c r="FM214" s="66" t="str">
        <f t="shared" si="3403"/>
        <v/>
      </c>
      <c r="FN214" s="66" t="str">
        <f t="shared" si="3404"/>
        <v/>
      </c>
      <c r="FO214" s="66" t="str">
        <f t="shared" si="3405"/>
        <v/>
      </c>
      <c r="FP214" s="66" t="str">
        <f t="shared" si="3406"/>
        <v/>
      </c>
      <c r="FQ214" s="66" t="str">
        <f t="shared" si="3407"/>
        <v/>
      </c>
      <c r="FR214" s="66" t="str">
        <f t="shared" si="3408"/>
        <v/>
      </c>
      <c r="FS214" s="66" t="str">
        <f t="shared" si="3409"/>
        <v/>
      </c>
    </row>
    <row r="215" spans="1:175">
      <c r="A215" s="15"/>
      <c r="B215" s="27" t="s">
        <v>747</v>
      </c>
      <c r="C215" s="28" t="str">
        <f t="shared" si="3410"/>
        <v>已领取公会福利</v>
      </c>
      <c r="T215" s="28" t="s">
        <v>727</v>
      </c>
      <c r="U215" s="10" t="s">
        <v>738</v>
      </c>
      <c r="CN215" s="36" t="str">
        <f t="shared" si="3411"/>
        <v>InitUnitState('IB56',,,,,,,,,,)</v>
      </c>
      <c r="CO215" s="36" t="str">
        <f t="shared" si="3412"/>
        <v>InitUnitNormal('IB56',,,,,,,,,,)</v>
      </c>
      <c r="CP215" s="36" t="str">
        <f t="shared" si="3413"/>
        <v>InitUnitMagic('IB56',,,,,,,,,,)</v>
      </c>
      <c r="CQ215" s="36" t="str">
        <f t="shared" si="3414"/>
        <v>InitUnitAdd('IB56',,,,,,,,,,)</v>
      </c>
      <c r="CR215" s="36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InitEquipData('IB56',,"",,,,,'','','','','','',"ReplaceableTextures\\commandButtons\\BTNLBUI01.blp")</v>
      </c>
      <c r="CU215" s="88" t="str">
        <f t="shared" si="3338"/>
        <v>|n</v>
      </c>
      <c r="CV215" s="19" t="str">
        <f t="shared" si="333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5" s="33"/>
      <c r="CX215" s="33"/>
      <c r="CY215" s="33"/>
      <c r="CZ215" s="33"/>
      <c r="DA215" s="33"/>
      <c r="DB215" s="66" t="str">
        <f t="shared" si="3340"/>
        <v/>
      </c>
      <c r="DC215" s="66" t="str">
        <f t="shared" si="3341"/>
        <v/>
      </c>
      <c r="DD215" s="66" t="str">
        <f t="shared" si="3342"/>
        <v/>
      </c>
      <c r="DE215" s="66" t="str">
        <f t="shared" si="3343"/>
        <v/>
      </c>
      <c r="DF215" s="66" t="str">
        <f t="shared" si="3344"/>
        <v/>
      </c>
      <c r="DG215" s="66" t="str">
        <f t="shared" si="3345"/>
        <v/>
      </c>
      <c r="DH215" s="66" t="str">
        <f t="shared" si="3346"/>
        <v/>
      </c>
      <c r="DI215" s="66" t="str">
        <f t="shared" si="3347"/>
        <v/>
      </c>
      <c r="DJ215" s="66" t="str">
        <f t="shared" si="3348"/>
        <v/>
      </c>
      <c r="DK215" s="66" t="str">
        <f t="shared" si="3349"/>
        <v/>
      </c>
      <c r="DL215" s="66" t="str">
        <f t="shared" si="3350"/>
        <v/>
      </c>
      <c r="DM215" s="66" t="str">
        <f t="shared" si="3351"/>
        <v/>
      </c>
      <c r="DN215" s="66" t="str">
        <f t="shared" si="3352"/>
        <v/>
      </c>
      <c r="DO215" s="66" t="str">
        <f t="shared" si="3353"/>
        <v/>
      </c>
      <c r="DP215" s="66" t="str">
        <f t="shared" si="3354"/>
        <v/>
      </c>
      <c r="DQ215" s="66" t="str">
        <f t="shared" si="3355"/>
        <v/>
      </c>
      <c r="DR215" s="66" t="str">
        <f t="shared" si="3356"/>
        <v/>
      </c>
      <c r="DS215" s="66" t="str">
        <f t="shared" si="3357"/>
        <v/>
      </c>
      <c r="DT215" s="66" t="str">
        <f t="shared" si="3358"/>
        <v/>
      </c>
      <c r="DU215" s="66" t="str">
        <f t="shared" si="3359"/>
        <v/>
      </c>
      <c r="DV215" s="66" t="str">
        <f t="shared" si="3360"/>
        <v/>
      </c>
      <c r="DW215" s="66" t="str">
        <f t="shared" si="3361"/>
        <v/>
      </c>
      <c r="DX215" s="66" t="str">
        <f t="shared" si="3362"/>
        <v/>
      </c>
      <c r="DY215" s="66" t="str">
        <f t="shared" si="3363"/>
        <v/>
      </c>
      <c r="DZ215" s="66" t="str">
        <f t="shared" si="3364"/>
        <v/>
      </c>
      <c r="EA215" s="66" t="str">
        <f t="shared" si="3365"/>
        <v/>
      </c>
      <c r="EB215" s="66" t="str">
        <f t="shared" si="3366"/>
        <v/>
      </c>
      <c r="EC215" s="66" t="str">
        <f t="shared" si="3367"/>
        <v/>
      </c>
      <c r="ED215" s="66" t="str">
        <f t="shared" si="3368"/>
        <v/>
      </c>
      <c r="EE215" s="66" t="str">
        <f t="shared" si="3369"/>
        <v/>
      </c>
      <c r="EF215" s="66" t="str">
        <f t="shared" si="3370"/>
        <v/>
      </c>
      <c r="EG215" s="66" t="str">
        <f t="shared" si="3371"/>
        <v/>
      </c>
      <c r="EH215" s="66" t="str">
        <f t="shared" si="3372"/>
        <v/>
      </c>
      <c r="EI215" s="66" t="str">
        <f t="shared" si="3373"/>
        <v/>
      </c>
      <c r="EJ215" s="66" t="str">
        <f t="shared" si="3374"/>
        <v/>
      </c>
      <c r="EK215" s="66" t="str">
        <f t="shared" si="3375"/>
        <v/>
      </c>
      <c r="EL215" s="66" t="str">
        <f t="shared" si="3376"/>
        <v/>
      </c>
      <c r="EM215" s="66" t="str">
        <f t="shared" si="3377"/>
        <v/>
      </c>
      <c r="EN215" s="66" t="str">
        <f t="shared" si="3378"/>
        <v/>
      </c>
      <c r="EO215" s="66" t="str">
        <f t="shared" si="3379"/>
        <v/>
      </c>
      <c r="EP215" s="66" t="str">
        <f t="shared" si="3380"/>
        <v/>
      </c>
      <c r="EQ215" s="66" t="str">
        <f t="shared" si="3381"/>
        <v/>
      </c>
      <c r="ER215" s="66" t="str">
        <f t="shared" si="3382"/>
        <v/>
      </c>
      <c r="ES215" s="66" t="str">
        <f t="shared" si="3383"/>
        <v/>
      </c>
      <c r="ET215" s="66" t="str">
        <f t="shared" si="3384"/>
        <v/>
      </c>
      <c r="EU215" s="66" t="str">
        <f t="shared" si="3385"/>
        <v/>
      </c>
      <c r="EV215" s="66" t="str">
        <f t="shared" si="3386"/>
        <v/>
      </c>
      <c r="EW215" s="66" t="str">
        <f t="shared" si="3387"/>
        <v/>
      </c>
      <c r="EX215" s="66" t="str">
        <f t="shared" si="3388"/>
        <v/>
      </c>
      <c r="EY215" s="66" t="str">
        <f t="shared" si="3389"/>
        <v/>
      </c>
      <c r="EZ215" s="66" t="str">
        <f t="shared" si="3390"/>
        <v/>
      </c>
      <c r="FA215" s="66" t="str">
        <f t="shared" si="3391"/>
        <v/>
      </c>
      <c r="FB215" s="66" t="str">
        <f t="shared" si="3392"/>
        <v/>
      </c>
      <c r="FC215" s="66" t="str">
        <f t="shared" si="3393"/>
        <v/>
      </c>
      <c r="FD215" s="66" t="str">
        <f t="shared" si="3394"/>
        <v/>
      </c>
      <c r="FE215" s="66" t="str">
        <f t="shared" si="3395"/>
        <v/>
      </c>
      <c r="FF215" s="66" t="str">
        <f t="shared" si="3396"/>
        <v/>
      </c>
      <c r="FG215" s="66" t="str">
        <f t="shared" si="3397"/>
        <v/>
      </c>
      <c r="FH215" s="66" t="str">
        <f t="shared" si="3398"/>
        <v/>
      </c>
      <c r="FI215" s="66" t="str">
        <f t="shared" si="3399"/>
        <v/>
      </c>
      <c r="FJ215" s="66" t="str">
        <f t="shared" si="3400"/>
        <v/>
      </c>
      <c r="FK215" s="66" t="str">
        <f t="shared" si="3401"/>
        <v/>
      </c>
      <c r="FL215" s="66" t="str">
        <f t="shared" si="3402"/>
        <v/>
      </c>
      <c r="FM215" s="66" t="str">
        <f t="shared" si="3403"/>
        <v/>
      </c>
      <c r="FN215" s="66" t="str">
        <f t="shared" si="3404"/>
        <v/>
      </c>
      <c r="FO215" s="66" t="str">
        <f t="shared" si="3405"/>
        <v/>
      </c>
      <c r="FP215" s="66" t="str">
        <f t="shared" si="3406"/>
        <v/>
      </c>
      <c r="FQ215" s="66" t="str">
        <f t="shared" si="3407"/>
        <v/>
      </c>
      <c r="FR215" s="66" t="str">
        <f t="shared" si="3408"/>
        <v/>
      </c>
      <c r="FS215" s="66" t="str">
        <f t="shared" si="3409"/>
        <v/>
      </c>
    </row>
    <row r="216" spans="1:175">
      <c r="A216" s="15"/>
      <c r="B216" s="27" t="s">
        <v>748</v>
      </c>
      <c r="C216" s="28" t="str">
        <f t="shared" si="3410"/>
        <v>已领取星耀礼包</v>
      </c>
      <c r="T216" s="28" t="s">
        <v>749</v>
      </c>
      <c r="U216" s="10" t="s">
        <v>738</v>
      </c>
      <c r="CN216" s="36" t="str">
        <f t="shared" si="3411"/>
        <v>InitUnitState('IB57',,,,,,,,,,)</v>
      </c>
      <c r="CO216" s="36" t="str">
        <f t="shared" si="3412"/>
        <v>InitUnitNormal('IB57',,,,,,,,,,)</v>
      </c>
      <c r="CP216" s="36" t="str">
        <f t="shared" si="3413"/>
        <v>InitUnitMagic('IB57',,,,,,,,,,)</v>
      </c>
      <c r="CQ216" s="36" t="str">
        <f t="shared" si="3414"/>
        <v>InitUnitAdd('IB57',,,,,,,,,,)</v>
      </c>
      <c r="CR216" s="36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218&amp;CR$1&amp;")"</f>
        <v>InitEquipData('IB57',,"",,,,,'','','','','','',"ReplaceableTextures\\commandButtons\\BTNLBUI01.blp")</v>
      </c>
      <c r="CU216" s="88" t="str">
        <f t="shared" si="3338"/>
        <v>|n</v>
      </c>
      <c r="CV216" s="19" t="str">
        <f t="shared" si="333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6" s="33"/>
      <c r="CX216" s="33"/>
      <c r="CY216" s="33"/>
      <c r="CZ216" s="33"/>
      <c r="DA216" s="33"/>
      <c r="DB216" s="66" t="str">
        <f t="shared" si="3340"/>
        <v/>
      </c>
      <c r="DC216" s="66" t="str">
        <f t="shared" si="3341"/>
        <v/>
      </c>
      <c r="DD216" s="66" t="str">
        <f t="shared" si="3342"/>
        <v/>
      </c>
      <c r="DE216" s="66" t="str">
        <f t="shared" si="3343"/>
        <v/>
      </c>
      <c r="DF216" s="66" t="str">
        <f t="shared" si="3344"/>
        <v/>
      </c>
      <c r="DG216" s="66" t="str">
        <f t="shared" si="3345"/>
        <v/>
      </c>
      <c r="DH216" s="66" t="str">
        <f t="shared" si="3346"/>
        <v/>
      </c>
      <c r="DI216" s="66" t="str">
        <f t="shared" si="3347"/>
        <v/>
      </c>
      <c r="DJ216" s="66" t="str">
        <f t="shared" si="3348"/>
        <v/>
      </c>
      <c r="DK216" s="66" t="str">
        <f t="shared" si="3349"/>
        <v/>
      </c>
      <c r="DL216" s="66" t="str">
        <f t="shared" si="3350"/>
        <v/>
      </c>
      <c r="DM216" s="66" t="str">
        <f t="shared" si="3351"/>
        <v/>
      </c>
      <c r="DN216" s="66" t="str">
        <f t="shared" si="3352"/>
        <v/>
      </c>
      <c r="DO216" s="66" t="str">
        <f t="shared" si="3353"/>
        <v/>
      </c>
      <c r="DP216" s="66" t="str">
        <f t="shared" si="3354"/>
        <v/>
      </c>
      <c r="DQ216" s="66" t="str">
        <f t="shared" si="3355"/>
        <v/>
      </c>
      <c r="DR216" s="66" t="str">
        <f t="shared" si="3356"/>
        <v/>
      </c>
      <c r="DS216" s="66" t="str">
        <f t="shared" si="3357"/>
        <v/>
      </c>
      <c r="DT216" s="66" t="str">
        <f t="shared" si="3358"/>
        <v/>
      </c>
      <c r="DU216" s="66" t="str">
        <f t="shared" si="3359"/>
        <v/>
      </c>
      <c r="DV216" s="66" t="str">
        <f t="shared" si="3360"/>
        <v/>
      </c>
      <c r="DW216" s="66" t="str">
        <f t="shared" si="3361"/>
        <v/>
      </c>
      <c r="DX216" s="66" t="str">
        <f t="shared" si="3362"/>
        <v/>
      </c>
      <c r="DY216" s="66" t="str">
        <f t="shared" si="3363"/>
        <v/>
      </c>
      <c r="DZ216" s="66" t="str">
        <f t="shared" si="3364"/>
        <v/>
      </c>
      <c r="EA216" s="66" t="str">
        <f t="shared" si="3365"/>
        <v/>
      </c>
      <c r="EB216" s="66" t="str">
        <f t="shared" si="3366"/>
        <v/>
      </c>
      <c r="EC216" s="66" t="str">
        <f t="shared" si="3367"/>
        <v/>
      </c>
      <c r="ED216" s="66" t="str">
        <f t="shared" si="3368"/>
        <v/>
      </c>
      <c r="EE216" s="66" t="str">
        <f t="shared" si="3369"/>
        <v/>
      </c>
      <c r="EF216" s="66" t="str">
        <f t="shared" si="3370"/>
        <v/>
      </c>
      <c r="EG216" s="66" t="str">
        <f t="shared" si="3371"/>
        <v/>
      </c>
      <c r="EH216" s="66" t="str">
        <f t="shared" si="3372"/>
        <v/>
      </c>
      <c r="EI216" s="66" t="str">
        <f t="shared" si="3373"/>
        <v/>
      </c>
      <c r="EJ216" s="66" t="str">
        <f t="shared" si="3374"/>
        <v/>
      </c>
      <c r="EK216" s="66" t="str">
        <f t="shared" si="3375"/>
        <v/>
      </c>
      <c r="EL216" s="66" t="str">
        <f t="shared" si="3376"/>
        <v/>
      </c>
      <c r="EM216" s="66" t="str">
        <f t="shared" si="3377"/>
        <v/>
      </c>
      <c r="EN216" s="66" t="str">
        <f t="shared" si="3378"/>
        <v/>
      </c>
      <c r="EO216" s="66" t="str">
        <f t="shared" si="3379"/>
        <v/>
      </c>
      <c r="EP216" s="66" t="str">
        <f t="shared" si="3380"/>
        <v/>
      </c>
      <c r="EQ216" s="66" t="str">
        <f t="shared" si="3381"/>
        <v/>
      </c>
      <c r="ER216" s="66" t="str">
        <f t="shared" si="3382"/>
        <v/>
      </c>
      <c r="ES216" s="66" t="str">
        <f t="shared" si="3383"/>
        <v/>
      </c>
      <c r="ET216" s="66" t="str">
        <f t="shared" si="3384"/>
        <v/>
      </c>
      <c r="EU216" s="66" t="str">
        <f t="shared" si="3385"/>
        <v/>
      </c>
      <c r="EV216" s="66" t="str">
        <f t="shared" si="3386"/>
        <v/>
      </c>
      <c r="EW216" s="66" t="str">
        <f t="shared" si="3387"/>
        <v/>
      </c>
      <c r="EX216" s="66" t="str">
        <f t="shared" si="3388"/>
        <v/>
      </c>
      <c r="EY216" s="66" t="str">
        <f t="shared" si="3389"/>
        <v/>
      </c>
      <c r="EZ216" s="66" t="str">
        <f t="shared" si="3390"/>
        <v/>
      </c>
      <c r="FA216" s="66" t="str">
        <f t="shared" si="3391"/>
        <v/>
      </c>
      <c r="FB216" s="66" t="str">
        <f t="shared" si="3392"/>
        <v/>
      </c>
      <c r="FC216" s="66" t="str">
        <f t="shared" si="3393"/>
        <v/>
      </c>
      <c r="FD216" s="66" t="str">
        <f t="shared" si="3394"/>
        <v/>
      </c>
      <c r="FE216" s="66" t="str">
        <f t="shared" si="3395"/>
        <v/>
      </c>
      <c r="FF216" s="66" t="str">
        <f t="shared" si="3396"/>
        <v/>
      </c>
      <c r="FG216" s="66" t="str">
        <f t="shared" si="3397"/>
        <v/>
      </c>
      <c r="FH216" s="66" t="str">
        <f t="shared" si="3398"/>
        <v/>
      </c>
      <c r="FI216" s="66" t="str">
        <f t="shared" si="3399"/>
        <v/>
      </c>
      <c r="FJ216" s="66" t="str">
        <f t="shared" si="3400"/>
        <v/>
      </c>
      <c r="FK216" s="66" t="str">
        <f t="shared" si="3401"/>
        <v/>
      </c>
      <c r="FL216" s="66" t="str">
        <f t="shared" si="3402"/>
        <v/>
      </c>
      <c r="FM216" s="66" t="str">
        <f t="shared" si="3403"/>
        <v/>
      </c>
      <c r="FN216" s="66" t="str">
        <f t="shared" si="3404"/>
        <v/>
      </c>
      <c r="FO216" s="66" t="str">
        <f t="shared" si="3405"/>
        <v/>
      </c>
      <c r="FP216" s="66" t="str">
        <f t="shared" si="3406"/>
        <v/>
      </c>
      <c r="FQ216" s="66" t="str">
        <f t="shared" si="3407"/>
        <v/>
      </c>
      <c r="FR216" s="66" t="str">
        <f t="shared" si="3408"/>
        <v/>
      </c>
      <c r="FS216" s="66" t="str">
        <f t="shared" si="3409"/>
        <v/>
      </c>
    </row>
    <row r="217" spans="1:175">
      <c r="A217" s="15"/>
      <c r="B217" s="27" t="s">
        <v>750</v>
      </c>
      <c r="C217" s="28" t="str">
        <f t="shared" si="3410"/>
        <v>已领取魔芝RPG礼包</v>
      </c>
      <c r="T217" s="28" t="s">
        <v>751</v>
      </c>
      <c r="U217" s="10" t="s">
        <v>738</v>
      </c>
      <c r="CN217" s="36" t="str">
        <f t="shared" si="3411"/>
        <v>InitUnitState('IB58',,,,,,,,,,)</v>
      </c>
      <c r="CO217" s="36" t="str">
        <f t="shared" si="3412"/>
        <v>InitUnitNormal('IB58',,,,,,,,,,)</v>
      </c>
      <c r="CP217" s="36" t="str">
        <f t="shared" si="3413"/>
        <v>InitUnitMagic('IB58',,,,,,,,,,)</v>
      </c>
      <c r="CQ217" s="36" t="str">
        <f t="shared" si="3414"/>
        <v>InitUnitAdd('IB58',,,,,,,,,,)</v>
      </c>
      <c r="CR217" s="36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238&amp;CR$1&amp;")"</f>
        <v>InitEquipData('IB58',,"",,,,,'','','','','','',"")</v>
      </c>
      <c r="CU217" s="88" t="str">
        <f t="shared" si="3338"/>
        <v>|n</v>
      </c>
      <c r="CV217" s="19" t="str">
        <f t="shared" si="333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7" s="33"/>
      <c r="CX217" s="33"/>
      <c r="CY217" s="33"/>
      <c r="CZ217" s="33"/>
      <c r="DA217" s="33"/>
      <c r="DB217" s="66" t="str">
        <f t="shared" ref="DB217:FM217" si="3415">IF(V217="","","|n"&amp;DB$2&amp;"+"&amp;V217&amp;DB$1)</f>
        <v/>
      </c>
      <c r="DC217" s="66" t="str">
        <f t="shared" si="3415"/>
        <v/>
      </c>
      <c r="DD217" s="66" t="str">
        <f t="shared" si="3415"/>
        <v/>
      </c>
      <c r="DE217" s="66" t="str">
        <f t="shared" si="3415"/>
        <v/>
      </c>
      <c r="DF217" s="66" t="str">
        <f t="shared" si="3415"/>
        <v/>
      </c>
      <c r="DG217" s="66" t="str">
        <f t="shared" si="3415"/>
        <v/>
      </c>
      <c r="DH217" s="66" t="str">
        <f t="shared" si="3415"/>
        <v/>
      </c>
      <c r="DI217" s="66" t="str">
        <f t="shared" si="3415"/>
        <v/>
      </c>
      <c r="DJ217" s="66" t="str">
        <f t="shared" si="3415"/>
        <v/>
      </c>
      <c r="DK217" s="66" t="str">
        <f t="shared" si="3415"/>
        <v/>
      </c>
      <c r="DL217" s="66" t="str">
        <f t="shared" si="3415"/>
        <v/>
      </c>
      <c r="DM217" s="66" t="str">
        <f t="shared" si="3415"/>
        <v/>
      </c>
      <c r="DN217" s="66" t="str">
        <f t="shared" si="3415"/>
        <v/>
      </c>
      <c r="DO217" s="66" t="str">
        <f t="shared" si="3415"/>
        <v/>
      </c>
      <c r="DP217" s="66" t="str">
        <f t="shared" si="3415"/>
        <v/>
      </c>
      <c r="DQ217" s="66" t="str">
        <f t="shared" si="3415"/>
        <v/>
      </c>
      <c r="DR217" s="66" t="str">
        <f t="shared" si="3415"/>
        <v/>
      </c>
      <c r="DS217" s="66" t="str">
        <f t="shared" si="3415"/>
        <v/>
      </c>
      <c r="DT217" s="66" t="str">
        <f t="shared" si="3415"/>
        <v/>
      </c>
      <c r="DU217" s="66" t="str">
        <f t="shared" si="3415"/>
        <v/>
      </c>
      <c r="DV217" s="66" t="str">
        <f t="shared" si="3415"/>
        <v/>
      </c>
      <c r="DW217" s="66" t="str">
        <f t="shared" si="3415"/>
        <v/>
      </c>
      <c r="DX217" s="66" t="str">
        <f t="shared" si="3415"/>
        <v/>
      </c>
      <c r="DY217" s="66" t="str">
        <f t="shared" si="3415"/>
        <v/>
      </c>
      <c r="DZ217" s="66" t="str">
        <f t="shared" si="3415"/>
        <v/>
      </c>
      <c r="EA217" s="66" t="str">
        <f t="shared" si="3415"/>
        <v/>
      </c>
      <c r="EB217" s="66" t="str">
        <f t="shared" si="3415"/>
        <v/>
      </c>
      <c r="EC217" s="66" t="str">
        <f t="shared" si="3415"/>
        <v/>
      </c>
      <c r="ED217" s="66" t="str">
        <f t="shared" si="3415"/>
        <v/>
      </c>
      <c r="EE217" s="66" t="str">
        <f t="shared" si="3415"/>
        <v/>
      </c>
      <c r="EF217" s="66" t="str">
        <f t="shared" si="3415"/>
        <v/>
      </c>
      <c r="EG217" s="66" t="str">
        <f t="shared" si="3415"/>
        <v/>
      </c>
      <c r="EH217" s="66" t="str">
        <f t="shared" si="3415"/>
        <v/>
      </c>
      <c r="EI217" s="66" t="str">
        <f t="shared" si="3415"/>
        <v/>
      </c>
      <c r="EJ217" s="66" t="str">
        <f t="shared" si="3415"/>
        <v/>
      </c>
      <c r="EK217" s="66" t="str">
        <f t="shared" si="3415"/>
        <v/>
      </c>
      <c r="EL217" s="66" t="str">
        <f t="shared" si="3415"/>
        <v/>
      </c>
      <c r="EM217" s="66" t="str">
        <f t="shared" si="3415"/>
        <v/>
      </c>
      <c r="EN217" s="66" t="str">
        <f t="shared" si="3415"/>
        <v/>
      </c>
      <c r="EO217" s="66" t="str">
        <f t="shared" si="3415"/>
        <v/>
      </c>
      <c r="EP217" s="66" t="str">
        <f t="shared" si="3415"/>
        <v/>
      </c>
      <c r="EQ217" s="66" t="str">
        <f t="shared" si="3415"/>
        <v/>
      </c>
      <c r="ER217" s="66" t="str">
        <f t="shared" si="3415"/>
        <v/>
      </c>
      <c r="ES217" s="66" t="str">
        <f t="shared" si="3415"/>
        <v/>
      </c>
      <c r="ET217" s="66" t="str">
        <f t="shared" si="3415"/>
        <v/>
      </c>
      <c r="EU217" s="66" t="str">
        <f t="shared" si="3415"/>
        <v/>
      </c>
      <c r="EV217" s="66" t="str">
        <f t="shared" si="3415"/>
        <v/>
      </c>
      <c r="EW217" s="66" t="str">
        <f t="shared" si="3415"/>
        <v/>
      </c>
      <c r="EX217" s="66" t="str">
        <f t="shared" si="3415"/>
        <v/>
      </c>
      <c r="EY217" s="66" t="str">
        <f t="shared" si="3415"/>
        <v/>
      </c>
      <c r="EZ217" s="66" t="str">
        <f t="shared" si="3415"/>
        <v/>
      </c>
      <c r="FA217" s="66" t="str">
        <f t="shared" si="3415"/>
        <v/>
      </c>
      <c r="FB217" s="66" t="str">
        <f t="shared" si="3415"/>
        <v/>
      </c>
      <c r="FC217" s="66" t="str">
        <f t="shared" si="3415"/>
        <v/>
      </c>
      <c r="FD217" s="66" t="str">
        <f t="shared" si="3415"/>
        <v/>
      </c>
      <c r="FE217" s="66" t="str">
        <f t="shared" si="3415"/>
        <v/>
      </c>
      <c r="FF217" s="66" t="str">
        <f t="shared" si="3415"/>
        <v/>
      </c>
      <c r="FG217" s="66" t="str">
        <f t="shared" si="3415"/>
        <v/>
      </c>
      <c r="FH217" s="66" t="str">
        <f t="shared" si="3415"/>
        <v/>
      </c>
      <c r="FI217" s="66" t="str">
        <f t="shared" si="3415"/>
        <v/>
      </c>
      <c r="FJ217" s="66" t="str">
        <f t="shared" si="3415"/>
        <v/>
      </c>
      <c r="FK217" s="66" t="str">
        <f t="shared" si="3415"/>
        <v/>
      </c>
      <c r="FL217" s="66" t="str">
        <f t="shared" si="3415"/>
        <v/>
      </c>
      <c r="FM217" s="66" t="str">
        <f t="shared" si="3415"/>
        <v/>
      </c>
      <c r="FN217" s="66" t="str">
        <f t="shared" ref="FN217:FS217" si="3416">IF(CH217="","","|n"&amp;FN$2&amp;"+"&amp;CH217&amp;FN$1)</f>
        <v/>
      </c>
      <c r="FO217" s="66" t="str">
        <f t="shared" si="3416"/>
        <v/>
      </c>
      <c r="FP217" s="66" t="str">
        <f t="shared" si="3416"/>
        <v/>
      </c>
      <c r="FQ217" s="66" t="str">
        <f t="shared" si="3416"/>
        <v/>
      </c>
      <c r="FR217" s="66" t="str">
        <f t="shared" si="3416"/>
        <v/>
      </c>
      <c r="FS217" s="66" t="str">
        <f t="shared" si="3416"/>
        <v/>
      </c>
    </row>
    <row r="218" spans="1:175">
      <c r="A218" s="15"/>
      <c r="B218" s="27" t="s">
        <v>752</v>
      </c>
      <c r="C218" s="28" t="str">
        <f t="shared" si="3410"/>
        <v>已领取老铁礼包</v>
      </c>
      <c r="T218" s="28" t="s">
        <v>753</v>
      </c>
      <c r="U218" s="10" t="s">
        <v>738</v>
      </c>
      <c r="CN218" s="36" t="str">
        <f t="shared" si="3411"/>
        <v>InitUnitState('IB59',,,,,,,,,,)</v>
      </c>
      <c r="CO218" s="36" t="str">
        <f t="shared" si="3412"/>
        <v>InitUnitNormal('IB59',,,,,,,,,,)</v>
      </c>
      <c r="CP218" s="36" t="str">
        <f t="shared" si="3413"/>
        <v>InitUnitMagic('IB59',,,,,,,,,,)</v>
      </c>
      <c r="CQ218" s="36" t="str">
        <f t="shared" si="3414"/>
        <v>InitUnitAdd('IB59',,,,,,,,,,)</v>
      </c>
      <c r="CR218" s="36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239&amp;CR$1&amp;")"</f>
        <v>InitEquipData('IB59',,"",,,,,'','','','','','',"")</v>
      </c>
      <c r="CU218" s="88" t="str">
        <f t="shared" si="3338"/>
        <v>|n</v>
      </c>
      <c r="CV218" s="19" t="str">
        <f t="shared" si="3339"/>
        <v>已领取老铁礼包</v>
      </c>
      <c r="CW218" s="33"/>
      <c r="CX218" s="33"/>
      <c r="CY218" s="33"/>
      <c r="CZ218" s="33"/>
      <c r="DA218" s="33"/>
      <c r="DB218" s="66" t="str">
        <f t="shared" ref="DB218:FM221" si="3417">IF(V218="","","|n"&amp;DB$2&amp;"+"&amp;V218&amp;DB$1)</f>
        <v/>
      </c>
      <c r="DC218" s="66" t="str">
        <f t="shared" si="3417"/>
        <v/>
      </c>
      <c r="DD218" s="66" t="str">
        <f t="shared" si="3417"/>
        <v/>
      </c>
      <c r="DE218" s="66" t="str">
        <f t="shared" si="3417"/>
        <v/>
      </c>
      <c r="DF218" s="66" t="str">
        <f t="shared" si="3417"/>
        <v/>
      </c>
      <c r="DG218" s="66" t="str">
        <f t="shared" si="3417"/>
        <v/>
      </c>
      <c r="DH218" s="66" t="str">
        <f t="shared" si="3417"/>
        <v/>
      </c>
      <c r="DI218" s="66" t="str">
        <f t="shared" si="3417"/>
        <v/>
      </c>
      <c r="DJ218" s="66" t="str">
        <f t="shared" si="3417"/>
        <v/>
      </c>
      <c r="DK218" s="66" t="str">
        <f t="shared" si="3417"/>
        <v/>
      </c>
      <c r="DL218" s="66" t="str">
        <f t="shared" si="3417"/>
        <v/>
      </c>
      <c r="DM218" s="66" t="str">
        <f t="shared" si="3417"/>
        <v/>
      </c>
      <c r="DN218" s="66" t="str">
        <f t="shared" si="3417"/>
        <v/>
      </c>
      <c r="DO218" s="66" t="str">
        <f t="shared" si="3417"/>
        <v/>
      </c>
      <c r="DP218" s="66" t="str">
        <f t="shared" si="3417"/>
        <v/>
      </c>
      <c r="DQ218" s="66" t="str">
        <f t="shared" si="3417"/>
        <v/>
      </c>
      <c r="DR218" s="66" t="str">
        <f t="shared" si="3417"/>
        <v/>
      </c>
      <c r="DS218" s="66" t="str">
        <f t="shared" si="3417"/>
        <v/>
      </c>
      <c r="DT218" s="66" t="str">
        <f t="shared" si="3417"/>
        <v/>
      </c>
      <c r="DU218" s="66" t="str">
        <f t="shared" si="3417"/>
        <v/>
      </c>
      <c r="DV218" s="66" t="str">
        <f t="shared" si="3417"/>
        <v/>
      </c>
      <c r="DW218" s="66" t="str">
        <f t="shared" si="3417"/>
        <v/>
      </c>
      <c r="DX218" s="66" t="str">
        <f t="shared" si="3417"/>
        <v/>
      </c>
      <c r="DY218" s="66" t="str">
        <f t="shared" si="3417"/>
        <v/>
      </c>
      <c r="DZ218" s="66" t="str">
        <f t="shared" si="3417"/>
        <v/>
      </c>
      <c r="EA218" s="66" t="str">
        <f t="shared" si="3417"/>
        <v/>
      </c>
      <c r="EB218" s="66" t="str">
        <f t="shared" si="3417"/>
        <v/>
      </c>
      <c r="EC218" s="66" t="str">
        <f t="shared" si="3417"/>
        <v/>
      </c>
      <c r="ED218" s="66" t="str">
        <f t="shared" si="3417"/>
        <v/>
      </c>
      <c r="EE218" s="66" t="str">
        <f t="shared" si="3417"/>
        <v/>
      </c>
      <c r="EF218" s="66" t="str">
        <f t="shared" si="3417"/>
        <v/>
      </c>
      <c r="EG218" s="66" t="str">
        <f t="shared" si="3417"/>
        <v/>
      </c>
      <c r="EH218" s="66" t="str">
        <f t="shared" si="3417"/>
        <v/>
      </c>
      <c r="EI218" s="66" t="str">
        <f t="shared" si="3417"/>
        <v/>
      </c>
      <c r="EJ218" s="66" t="str">
        <f t="shared" si="3417"/>
        <v/>
      </c>
      <c r="EK218" s="66" t="str">
        <f t="shared" si="3417"/>
        <v/>
      </c>
      <c r="EL218" s="66" t="str">
        <f t="shared" si="3417"/>
        <v/>
      </c>
      <c r="EM218" s="66" t="str">
        <f t="shared" si="3417"/>
        <v/>
      </c>
      <c r="EN218" s="66" t="str">
        <f t="shared" si="3417"/>
        <v/>
      </c>
      <c r="EO218" s="66" t="str">
        <f t="shared" si="3417"/>
        <v/>
      </c>
      <c r="EP218" s="66" t="str">
        <f t="shared" si="3417"/>
        <v/>
      </c>
      <c r="EQ218" s="66" t="str">
        <f t="shared" si="3417"/>
        <v/>
      </c>
      <c r="ER218" s="66" t="str">
        <f t="shared" si="3417"/>
        <v/>
      </c>
      <c r="ES218" s="66" t="str">
        <f t="shared" si="3417"/>
        <v/>
      </c>
      <c r="ET218" s="66" t="str">
        <f t="shared" si="3417"/>
        <v/>
      </c>
      <c r="EU218" s="66" t="str">
        <f t="shared" si="3417"/>
        <v/>
      </c>
      <c r="EV218" s="66" t="str">
        <f t="shared" si="3417"/>
        <v/>
      </c>
      <c r="EW218" s="66" t="str">
        <f t="shared" si="3417"/>
        <v/>
      </c>
      <c r="EX218" s="66" t="str">
        <f t="shared" si="3417"/>
        <v/>
      </c>
      <c r="EY218" s="66" t="str">
        <f t="shared" si="3417"/>
        <v/>
      </c>
      <c r="EZ218" s="66" t="str">
        <f t="shared" si="3417"/>
        <v/>
      </c>
      <c r="FA218" s="66" t="str">
        <f t="shared" si="3417"/>
        <v/>
      </c>
      <c r="FB218" s="66" t="str">
        <f t="shared" si="3417"/>
        <v/>
      </c>
      <c r="FC218" s="66" t="str">
        <f t="shared" si="3417"/>
        <v/>
      </c>
      <c r="FD218" s="66" t="str">
        <f t="shared" si="3417"/>
        <v/>
      </c>
      <c r="FE218" s="66" t="str">
        <f t="shared" si="3417"/>
        <v/>
      </c>
      <c r="FF218" s="66" t="str">
        <f t="shared" si="3417"/>
        <v/>
      </c>
      <c r="FG218" s="66" t="str">
        <f t="shared" si="3417"/>
        <v/>
      </c>
      <c r="FH218" s="66" t="str">
        <f t="shared" si="3417"/>
        <v/>
      </c>
      <c r="FI218" s="66" t="str">
        <f t="shared" si="3417"/>
        <v/>
      </c>
      <c r="FJ218" s="66" t="str">
        <f t="shared" si="3417"/>
        <v/>
      </c>
      <c r="FK218" s="66" t="str">
        <f t="shared" si="3417"/>
        <v/>
      </c>
      <c r="FL218" s="66" t="str">
        <f t="shared" si="3417"/>
        <v/>
      </c>
      <c r="FM218" s="66" t="str">
        <f t="shared" si="3417"/>
        <v/>
      </c>
      <c r="FN218" s="66" t="str">
        <f t="shared" ref="FN218:FS221" si="3418">IF(CH218="","","|n"&amp;FN$2&amp;"+"&amp;CH218&amp;FN$1)</f>
        <v/>
      </c>
      <c r="FO218" s="66" t="str">
        <f t="shared" si="3418"/>
        <v/>
      </c>
      <c r="FP218" s="66" t="str">
        <f t="shared" si="3418"/>
        <v/>
      </c>
      <c r="FQ218" s="66" t="str">
        <f t="shared" si="3418"/>
        <v/>
      </c>
      <c r="FR218" s="66" t="str">
        <f t="shared" si="3418"/>
        <v/>
      </c>
      <c r="FS218" s="66" t="str">
        <f t="shared" si="3418"/>
        <v/>
      </c>
    </row>
    <row r="219" spans="1:175" ht="16.5">
      <c r="A219" s="2"/>
      <c r="B219" s="109" t="s">
        <v>754</v>
      </c>
      <c r="C219" s="109" t="s">
        <v>755</v>
      </c>
      <c r="E219" s="91"/>
      <c r="F219" s="43"/>
      <c r="G219" s="39"/>
      <c r="H219" s="39"/>
      <c r="I219" s="39"/>
      <c r="J219" s="39"/>
      <c r="K219" s="39"/>
      <c r="L219" s="39"/>
      <c r="M219" s="39"/>
      <c r="N219" s="39"/>
      <c r="O219" s="39"/>
      <c r="P219" s="92"/>
      <c r="Q219" s="92"/>
      <c r="R219" s="92"/>
      <c r="S219" s="95"/>
      <c r="T219" s="29" t="s">
        <v>756</v>
      </c>
      <c r="U219" s="77" t="str">
        <f>"ReplaceableTextures\\CommandButtons\\BTNR"&amp;RIGHT(B219,3)&amp;".blp"</f>
        <v>ReplaceableTextures\\CommandButtons\\BTNRY1C.blp</v>
      </c>
      <c r="V219" s="10"/>
      <c r="Z219" s="10"/>
      <c r="AG219" s="98"/>
      <c r="AL219" s="98"/>
      <c r="BC219" s="99"/>
      <c r="BD219" s="99"/>
      <c r="CU219" s="88" t="str">
        <f t="shared" ref="CU219:CU221" si="3419">CONCATENATE(DB219,DC219,DD219,DE219,DF219,DG219,DH219,DI219,DJ219,DK219,DL219,DM219,DN219,DO219,DP219,DQ219,DR219,DS219,DT219,DU219,DV219,DW219,DX219,DY219,DZ219,EA219,EB219,EC219,ED219,EE219,EF219,EG219,EH219,EI219,EJ219,EK219,EL219,EM219,EN219,EO219,EP219,EQ219,ER219,ES219,ET219,EU219,EV219,EW219,EX219,EY219,EZ219,FA219,FB219,FC219,FD219,FE219,FF219,FG219,FH219,FI219,FJ219,FK219,FL219,FM219,FN219,FO219,FP219,FQ219,FR219,FS219&amp;"|n")</f>
        <v>|n</v>
      </c>
      <c r="CV219" s="19" t="str">
        <f t="shared" si="3339"/>
        <v>代码生成</v>
      </c>
      <c r="CW219" s="33"/>
      <c r="CX219" s="33"/>
      <c r="CY219" s="33"/>
      <c r="CZ219" s="33"/>
      <c r="DA219" s="33"/>
      <c r="DB219" s="66" t="str">
        <f t="shared" si="3417"/>
        <v/>
      </c>
      <c r="DC219" s="66" t="str">
        <f t="shared" si="3417"/>
        <v/>
      </c>
      <c r="DD219" s="66" t="str">
        <f t="shared" si="3417"/>
        <v/>
      </c>
      <c r="DE219" s="66" t="str">
        <f t="shared" si="3417"/>
        <v/>
      </c>
      <c r="DF219" s="66" t="str">
        <f t="shared" si="3417"/>
        <v/>
      </c>
      <c r="DG219" s="66" t="str">
        <f t="shared" si="3417"/>
        <v/>
      </c>
      <c r="DH219" s="66" t="str">
        <f t="shared" si="3417"/>
        <v/>
      </c>
      <c r="DI219" s="66" t="str">
        <f t="shared" si="3417"/>
        <v/>
      </c>
      <c r="DJ219" s="66" t="str">
        <f t="shared" si="3417"/>
        <v/>
      </c>
      <c r="DK219" s="66" t="str">
        <f t="shared" si="3417"/>
        <v/>
      </c>
      <c r="DL219" s="66" t="str">
        <f t="shared" si="3417"/>
        <v/>
      </c>
      <c r="DM219" s="66" t="str">
        <f t="shared" si="3417"/>
        <v/>
      </c>
      <c r="DN219" s="66" t="str">
        <f t="shared" si="3417"/>
        <v/>
      </c>
      <c r="DO219" s="66" t="str">
        <f t="shared" si="3417"/>
        <v/>
      </c>
      <c r="DP219" s="66" t="str">
        <f t="shared" si="3417"/>
        <v/>
      </c>
      <c r="DQ219" s="66" t="str">
        <f t="shared" si="3417"/>
        <v/>
      </c>
      <c r="DR219" s="66" t="str">
        <f t="shared" si="3417"/>
        <v/>
      </c>
      <c r="DS219" s="66" t="str">
        <f t="shared" si="3417"/>
        <v/>
      </c>
      <c r="DT219" s="66" t="str">
        <f t="shared" si="3417"/>
        <v/>
      </c>
      <c r="DU219" s="66" t="str">
        <f t="shared" si="3417"/>
        <v/>
      </c>
      <c r="DV219" s="66" t="str">
        <f t="shared" si="3417"/>
        <v/>
      </c>
      <c r="DW219" s="66" t="str">
        <f t="shared" si="3417"/>
        <v/>
      </c>
      <c r="DX219" s="66" t="str">
        <f t="shared" si="3417"/>
        <v/>
      </c>
      <c r="DY219" s="66" t="str">
        <f t="shared" si="3417"/>
        <v/>
      </c>
      <c r="DZ219" s="66" t="str">
        <f t="shared" si="3417"/>
        <v/>
      </c>
      <c r="EA219" s="66" t="str">
        <f t="shared" si="3417"/>
        <v/>
      </c>
      <c r="EB219" s="66" t="str">
        <f t="shared" si="3417"/>
        <v/>
      </c>
      <c r="EC219" s="66" t="str">
        <f t="shared" si="3417"/>
        <v/>
      </c>
      <c r="ED219" s="66" t="str">
        <f t="shared" si="3417"/>
        <v/>
      </c>
      <c r="EE219" s="66" t="str">
        <f t="shared" si="3417"/>
        <v/>
      </c>
      <c r="EF219" s="66" t="str">
        <f t="shared" si="3417"/>
        <v/>
      </c>
      <c r="EG219" s="66" t="str">
        <f t="shared" si="3417"/>
        <v/>
      </c>
      <c r="EH219" s="66" t="str">
        <f t="shared" si="3417"/>
        <v/>
      </c>
      <c r="EI219" s="66" t="str">
        <f t="shared" si="3417"/>
        <v/>
      </c>
      <c r="EJ219" s="66" t="str">
        <f t="shared" si="3417"/>
        <v/>
      </c>
      <c r="EK219" s="66" t="str">
        <f t="shared" si="3417"/>
        <v/>
      </c>
      <c r="EL219" s="66" t="str">
        <f t="shared" si="3417"/>
        <v/>
      </c>
      <c r="EM219" s="66" t="str">
        <f t="shared" si="3417"/>
        <v/>
      </c>
      <c r="EN219" s="66" t="str">
        <f t="shared" si="3417"/>
        <v/>
      </c>
      <c r="EO219" s="66" t="str">
        <f t="shared" si="3417"/>
        <v/>
      </c>
      <c r="EP219" s="66" t="str">
        <f t="shared" si="3417"/>
        <v/>
      </c>
      <c r="EQ219" s="66" t="str">
        <f t="shared" si="3417"/>
        <v/>
      </c>
      <c r="ER219" s="66" t="str">
        <f t="shared" si="3417"/>
        <v/>
      </c>
      <c r="ES219" s="66" t="str">
        <f t="shared" si="3417"/>
        <v/>
      </c>
      <c r="ET219" s="66" t="str">
        <f t="shared" si="3417"/>
        <v/>
      </c>
      <c r="EU219" s="66" t="str">
        <f t="shared" si="3417"/>
        <v/>
      </c>
      <c r="EV219" s="66" t="str">
        <f t="shared" si="3417"/>
        <v/>
      </c>
      <c r="EW219" s="66" t="str">
        <f t="shared" si="3417"/>
        <v/>
      </c>
      <c r="EX219" s="66" t="str">
        <f t="shared" si="3417"/>
        <v/>
      </c>
      <c r="EY219" s="66" t="str">
        <f t="shared" si="3417"/>
        <v/>
      </c>
      <c r="EZ219" s="66" t="str">
        <f t="shared" si="3417"/>
        <v/>
      </c>
      <c r="FA219" s="66" t="str">
        <f t="shared" si="3417"/>
        <v/>
      </c>
      <c r="FB219" s="66" t="str">
        <f t="shared" si="3417"/>
        <v/>
      </c>
      <c r="FC219" s="66" t="str">
        <f t="shared" si="3417"/>
        <v/>
      </c>
      <c r="FD219" s="66" t="str">
        <f t="shared" si="3417"/>
        <v/>
      </c>
      <c r="FE219" s="66" t="str">
        <f t="shared" si="3417"/>
        <v/>
      </c>
      <c r="FF219" s="66" t="str">
        <f t="shared" si="3417"/>
        <v/>
      </c>
      <c r="FG219" s="66" t="str">
        <f t="shared" si="3417"/>
        <v/>
      </c>
      <c r="FH219" s="66" t="str">
        <f t="shared" si="3417"/>
        <v/>
      </c>
      <c r="FI219" s="66" t="str">
        <f t="shared" si="3417"/>
        <v/>
      </c>
      <c r="FJ219" s="66" t="str">
        <f t="shared" si="3417"/>
        <v/>
      </c>
      <c r="FK219" s="66" t="str">
        <f t="shared" si="3417"/>
        <v/>
      </c>
      <c r="FL219" s="66" t="str">
        <f t="shared" si="3417"/>
        <v/>
      </c>
      <c r="FM219" s="66" t="str">
        <f t="shared" si="3417"/>
        <v/>
      </c>
      <c r="FN219" s="66" t="str">
        <f t="shared" si="3418"/>
        <v/>
      </c>
      <c r="FO219" s="66" t="str">
        <f t="shared" si="3418"/>
        <v/>
      </c>
      <c r="FP219" s="66" t="str">
        <f t="shared" si="3418"/>
        <v/>
      </c>
      <c r="FQ219" s="66" t="str">
        <f t="shared" si="3418"/>
        <v/>
      </c>
      <c r="FR219" s="66" t="str">
        <f t="shared" si="3418"/>
        <v/>
      </c>
      <c r="FS219" s="66" t="str">
        <f t="shared" si="3418"/>
        <v/>
      </c>
    </row>
    <row r="220" spans="1:175" ht="17.25">
      <c r="A220" s="2"/>
      <c r="B220" s="110" t="s">
        <v>757</v>
      </c>
      <c r="C220" s="111" t="s">
        <v>758</v>
      </c>
      <c r="E220" s="91"/>
      <c r="F220" s="43"/>
      <c r="G220" s="39"/>
      <c r="H220" s="39"/>
      <c r="I220" s="39"/>
      <c r="J220" s="39"/>
      <c r="K220" s="39"/>
      <c r="L220" s="39"/>
      <c r="M220" s="39"/>
      <c r="N220" s="39"/>
      <c r="O220" s="39"/>
      <c r="P220" s="92"/>
      <c r="Q220" s="92"/>
      <c r="R220" s="92"/>
      <c r="S220" s="95"/>
      <c r="T220" s="29" t="s">
        <v>756</v>
      </c>
      <c r="U220" s="77" t="str">
        <f>"ReplaceableTextures\\CommandButtons\\BTNR"&amp;RIGHT(B220,3)&amp;".blp"</f>
        <v>ReplaceableTextures\\CommandButtons\\BTNRY2C.blp</v>
      </c>
      <c r="V220" s="10"/>
      <c r="Z220" s="10"/>
      <c r="AG220" s="98"/>
      <c r="AL220" s="98"/>
      <c r="BC220" s="99"/>
      <c r="BD220" s="99"/>
      <c r="CU220" s="88" t="str">
        <f t="shared" ref="CU220" si="3420">CONCATENATE(DB220,DC220,DD220,DE220,DF220,DG220,DH220,DI220,DJ220,DK220,DL220,DM220,DN220,DO220,DP220,DQ220,DR220,DS220,DT220,DU220,DV220,DW220,DX220,DY220,DZ220,EA220,EB220,EC220,ED220,EE220,EF220,EG220,EH220,EI220,EJ220,EK220,EL220,EM220,EN220,EO220,EP220,EQ220,ER220,ES220,ET220,EU220,EV220,EW220,EX220,EY220,EZ220,FA220,FB220,FC220,FD220,FE220,FF220,FG220,FH220,FI220,FJ220,FK220,FL220,FM220,FN220,FO220,FP220,FQ220,FR220,FS220&amp;"|n")</f>
        <v>|n</v>
      </c>
      <c r="CV220" s="19" t="str">
        <f t="shared" si="3339"/>
        <v>代码生成</v>
      </c>
      <c r="CW220" s="33"/>
      <c r="CX220" s="33"/>
      <c r="CY220" s="33"/>
      <c r="CZ220" s="33"/>
      <c r="DA220" s="33"/>
      <c r="DB220" s="66" t="str">
        <f t="shared" ref="DB220" si="3421">IF(V220="","","|n"&amp;DB$2&amp;"+"&amp;V220&amp;DB$1)</f>
        <v/>
      </c>
      <c r="DC220" s="66" t="str">
        <f t="shared" ref="DC220" si="3422">IF(W220="","","|n"&amp;DC$2&amp;"+"&amp;W220&amp;DC$1)</f>
        <v/>
      </c>
      <c r="DD220" s="66" t="str">
        <f t="shared" ref="DD220" si="3423">IF(X220="","","|n"&amp;DD$2&amp;"+"&amp;X220&amp;DD$1)</f>
        <v/>
      </c>
      <c r="DE220" s="66" t="str">
        <f t="shared" ref="DE220" si="3424">IF(Y220="","","|n"&amp;DE$2&amp;"+"&amp;Y220&amp;DE$1)</f>
        <v/>
      </c>
      <c r="DF220" s="66" t="str">
        <f t="shared" ref="DF220" si="3425">IF(Z220="","","|n"&amp;DF$2&amp;"+"&amp;Z220&amp;DF$1)</f>
        <v/>
      </c>
      <c r="DG220" s="66" t="str">
        <f t="shared" ref="DG220" si="3426">IF(AA220="","","|n"&amp;DG$2&amp;"+"&amp;AA220&amp;DG$1)</f>
        <v/>
      </c>
      <c r="DH220" s="66" t="str">
        <f t="shared" ref="DH220" si="3427">IF(AB220="","","|n"&amp;DH$2&amp;"+"&amp;AB220&amp;DH$1)</f>
        <v/>
      </c>
      <c r="DI220" s="66" t="str">
        <f t="shared" ref="DI220" si="3428">IF(AC220="","","|n"&amp;DI$2&amp;"+"&amp;AC220&amp;DI$1)</f>
        <v/>
      </c>
      <c r="DJ220" s="66" t="str">
        <f t="shared" ref="DJ220" si="3429">IF(AD220="","","|n"&amp;DJ$2&amp;"+"&amp;AD220&amp;DJ$1)</f>
        <v/>
      </c>
      <c r="DK220" s="66" t="str">
        <f t="shared" ref="DK220" si="3430">IF(AE220="","","|n"&amp;DK$2&amp;"+"&amp;AE220&amp;DK$1)</f>
        <v/>
      </c>
      <c r="DL220" s="66" t="str">
        <f t="shared" ref="DL220" si="3431">IF(AF220="","","|n"&amp;DL$2&amp;"+"&amp;AF220&amp;DL$1)</f>
        <v/>
      </c>
      <c r="DM220" s="66" t="str">
        <f t="shared" ref="DM220" si="3432">IF(AG220="","","|n"&amp;DM$2&amp;"+"&amp;AG220&amp;DM$1)</f>
        <v/>
      </c>
      <c r="DN220" s="66" t="str">
        <f t="shared" ref="DN220" si="3433">IF(AH220="","","|n"&amp;DN$2&amp;"+"&amp;AH220&amp;DN$1)</f>
        <v/>
      </c>
      <c r="DO220" s="66" t="str">
        <f t="shared" ref="DO220" si="3434">IF(AI220="","","|n"&amp;DO$2&amp;"+"&amp;AI220&amp;DO$1)</f>
        <v/>
      </c>
      <c r="DP220" s="66" t="str">
        <f t="shared" ref="DP220" si="3435">IF(AJ220="","","|n"&amp;DP$2&amp;"+"&amp;AJ220&amp;DP$1)</f>
        <v/>
      </c>
      <c r="DQ220" s="66" t="str">
        <f t="shared" ref="DQ220" si="3436">IF(AK220="","","|n"&amp;DQ$2&amp;"+"&amp;AK220&amp;DQ$1)</f>
        <v/>
      </c>
      <c r="DR220" s="66" t="str">
        <f t="shared" ref="DR220" si="3437">IF(AL220="","","|n"&amp;DR$2&amp;"+"&amp;AL220&amp;DR$1)</f>
        <v/>
      </c>
      <c r="DS220" s="66" t="str">
        <f t="shared" ref="DS220" si="3438">IF(AM220="","","|n"&amp;DS$2&amp;"+"&amp;AM220&amp;DS$1)</f>
        <v/>
      </c>
      <c r="DT220" s="66" t="str">
        <f t="shared" ref="DT220" si="3439">IF(AN220="","","|n"&amp;DT$2&amp;"+"&amp;AN220&amp;DT$1)</f>
        <v/>
      </c>
      <c r="DU220" s="66" t="str">
        <f t="shared" ref="DU220" si="3440">IF(AO220="","","|n"&amp;DU$2&amp;"+"&amp;AO220&amp;DU$1)</f>
        <v/>
      </c>
      <c r="DV220" s="66" t="str">
        <f t="shared" ref="DV220" si="3441">IF(AP220="","","|n"&amp;DV$2&amp;"+"&amp;AP220&amp;DV$1)</f>
        <v/>
      </c>
      <c r="DW220" s="66" t="str">
        <f t="shared" ref="DW220" si="3442">IF(AQ220="","","|n"&amp;DW$2&amp;"+"&amp;AQ220&amp;DW$1)</f>
        <v/>
      </c>
      <c r="DX220" s="66" t="str">
        <f t="shared" ref="DX220" si="3443">IF(AR220="","","|n"&amp;DX$2&amp;"+"&amp;AR220&amp;DX$1)</f>
        <v/>
      </c>
      <c r="DY220" s="66" t="str">
        <f t="shared" ref="DY220" si="3444">IF(AS220="","","|n"&amp;DY$2&amp;"+"&amp;AS220&amp;DY$1)</f>
        <v/>
      </c>
      <c r="DZ220" s="66" t="str">
        <f t="shared" ref="DZ220" si="3445">IF(AT220="","","|n"&amp;DZ$2&amp;"+"&amp;AT220&amp;DZ$1)</f>
        <v/>
      </c>
      <c r="EA220" s="66" t="str">
        <f t="shared" ref="EA220" si="3446">IF(AU220="","","|n"&amp;EA$2&amp;"+"&amp;AU220&amp;EA$1)</f>
        <v/>
      </c>
      <c r="EB220" s="66" t="str">
        <f t="shared" ref="EB220" si="3447">IF(AV220="","","|n"&amp;EB$2&amp;"+"&amp;AV220&amp;EB$1)</f>
        <v/>
      </c>
      <c r="EC220" s="66" t="str">
        <f t="shared" ref="EC220" si="3448">IF(AW220="","","|n"&amp;EC$2&amp;"+"&amp;AW220&amp;EC$1)</f>
        <v/>
      </c>
      <c r="ED220" s="66" t="str">
        <f t="shared" ref="ED220" si="3449">IF(AX220="","","|n"&amp;ED$2&amp;"+"&amp;AX220&amp;ED$1)</f>
        <v/>
      </c>
      <c r="EE220" s="66" t="str">
        <f t="shared" ref="EE220" si="3450">IF(AY220="","","|n"&amp;EE$2&amp;"+"&amp;AY220&amp;EE$1)</f>
        <v/>
      </c>
      <c r="EF220" s="66" t="str">
        <f t="shared" ref="EF220" si="3451">IF(AZ220="","","|n"&amp;EF$2&amp;"+"&amp;AZ220&amp;EF$1)</f>
        <v/>
      </c>
      <c r="EG220" s="66" t="str">
        <f t="shared" ref="EG220" si="3452">IF(BA220="","","|n"&amp;EG$2&amp;"+"&amp;BA220&amp;EG$1)</f>
        <v/>
      </c>
      <c r="EH220" s="66" t="str">
        <f t="shared" ref="EH220" si="3453">IF(BB220="","","|n"&amp;EH$2&amp;"+"&amp;BB220&amp;EH$1)</f>
        <v/>
      </c>
      <c r="EI220" s="66" t="str">
        <f t="shared" ref="EI220" si="3454">IF(BC220="","","|n"&amp;EI$2&amp;"+"&amp;BC220&amp;EI$1)</f>
        <v/>
      </c>
      <c r="EJ220" s="66" t="str">
        <f t="shared" ref="EJ220" si="3455">IF(BD220="","","|n"&amp;EJ$2&amp;"+"&amp;BD220&amp;EJ$1)</f>
        <v/>
      </c>
      <c r="EK220" s="66" t="str">
        <f t="shared" ref="EK220" si="3456">IF(BE220="","","|n"&amp;EK$2&amp;"+"&amp;BE220&amp;EK$1)</f>
        <v/>
      </c>
      <c r="EL220" s="66" t="str">
        <f t="shared" ref="EL220" si="3457">IF(BF220="","","|n"&amp;EL$2&amp;"+"&amp;BF220&amp;EL$1)</f>
        <v/>
      </c>
      <c r="EM220" s="66" t="str">
        <f t="shared" ref="EM220" si="3458">IF(BG220="","","|n"&amp;EM$2&amp;"+"&amp;BG220&amp;EM$1)</f>
        <v/>
      </c>
      <c r="EN220" s="66" t="str">
        <f t="shared" ref="EN220" si="3459">IF(BH220="","","|n"&amp;EN$2&amp;"+"&amp;BH220&amp;EN$1)</f>
        <v/>
      </c>
      <c r="EO220" s="66" t="str">
        <f t="shared" ref="EO220" si="3460">IF(BI220="","","|n"&amp;EO$2&amp;"+"&amp;BI220&amp;EO$1)</f>
        <v/>
      </c>
      <c r="EP220" s="66" t="str">
        <f t="shared" ref="EP220" si="3461">IF(BJ220="","","|n"&amp;EP$2&amp;"+"&amp;BJ220&amp;EP$1)</f>
        <v/>
      </c>
      <c r="EQ220" s="66" t="str">
        <f t="shared" ref="EQ220" si="3462">IF(BK220="","","|n"&amp;EQ$2&amp;"+"&amp;BK220&amp;EQ$1)</f>
        <v/>
      </c>
      <c r="ER220" s="66" t="str">
        <f t="shared" ref="ER220" si="3463">IF(BL220="","","|n"&amp;ER$2&amp;"+"&amp;BL220&amp;ER$1)</f>
        <v/>
      </c>
      <c r="ES220" s="66" t="str">
        <f t="shared" ref="ES220" si="3464">IF(BM220="","","|n"&amp;ES$2&amp;"+"&amp;BM220&amp;ES$1)</f>
        <v/>
      </c>
      <c r="ET220" s="66" t="str">
        <f t="shared" ref="ET220" si="3465">IF(BN220="","","|n"&amp;ET$2&amp;"+"&amp;BN220&amp;ET$1)</f>
        <v/>
      </c>
      <c r="EU220" s="66" t="str">
        <f t="shared" ref="EU220" si="3466">IF(BO220="","","|n"&amp;EU$2&amp;"+"&amp;BO220&amp;EU$1)</f>
        <v/>
      </c>
      <c r="EV220" s="66" t="str">
        <f t="shared" ref="EV220" si="3467">IF(BP220="","","|n"&amp;EV$2&amp;"+"&amp;BP220&amp;EV$1)</f>
        <v/>
      </c>
      <c r="EW220" s="66" t="str">
        <f t="shared" ref="EW220" si="3468">IF(BQ220="","","|n"&amp;EW$2&amp;"+"&amp;BQ220&amp;EW$1)</f>
        <v/>
      </c>
      <c r="EX220" s="66" t="str">
        <f t="shared" ref="EX220" si="3469">IF(BR220="","","|n"&amp;EX$2&amp;"+"&amp;BR220&amp;EX$1)</f>
        <v/>
      </c>
      <c r="EY220" s="66" t="str">
        <f t="shared" ref="EY220" si="3470">IF(BS220="","","|n"&amp;EY$2&amp;"+"&amp;BS220&amp;EY$1)</f>
        <v/>
      </c>
      <c r="EZ220" s="66" t="str">
        <f t="shared" ref="EZ220" si="3471">IF(BT220="","","|n"&amp;EZ$2&amp;"+"&amp;BT220&amp;EZ$1)</f>
        <v/>
      </c>
      <c r="FA220" s="66" t="str">
        <f t="shared" ref="FA220" si="3472">IF(BU220="","","|n"&amp;FA$2&amp;"+"&amp;BU220&amp;FA$1)</f>
        <v/>
      </c>
      <c r="FB220" s="66" t="str">
        <f t="shared" ref="FB220" si="3473">IF(BV220="","","|n"&amp;FB$2&amp;"+"&amp;BV220&amp;FB$1)</f>
        <v/>
      </c>
      <c r="FC220" s="66" t="str">
        <f t="shared" ref="FC220" si="3474">IF(BW220="","","|n"&amp;FC$2&amp;"+"&amp;BW220&amp;FC$1)</f>
        <v/>
      </c>
      <c r="FD220" s="66" t="str">
        <f t="shared" ref="FD220" si="3475">IF(BX220="","","|n"&amp;FD$2&amp;"+"&amp;BX220&amp;FD$1)</f>
        <v/>
      </c>
      <c r="FE220" s="66" t="str">
        <f t="shared" ref="FE220" si="3476">IF(BY220="","","|n"&amp;FE$2&amp;"+"&amp;BY220&amp;FE$1)</f>
        <v/>
      </c>
      <c r="FF220" s="66" t="str">
        <f t="shared" ref="FF220" si="3477">IF(BZ220="","","|n"&amp;FF$2&amp;"+"&amp;BZ220&amp;FF$1)</f>
        <v/>
      </c>
      <c r="FG220" s="66" t="str">
        <f t="shared" ref="FG220" si="3478">IF(CA220="","","|n"&amp;FG$2&amp;"+"&amp;CA220&amp;FG$1)</f>
        <v/>
      </c>
      <c r="FH220" s="66" t="str">
        <f t="shared" ref="FH220" si="3479">IF(CB220="","","|n"&amp;FH$2&amp;"+"&amp;CB220&amp;FH$1)</f>
        <v/>
      </c>
      <c r="FI220" s="66" t="str">
        <f t="shared" ref="FI220" si="3480">IF(CC220="","","|n"&amp;FI$2&amp;"+"&amp;CC220&amp;FI$1)</f>
        <v/>
      </c>
      <c r="FJ220" s="66" t="str">
        <f t="shared" ref="FJ220" si="3481">IF(CD220="","","|n"&amp;FJ$2&amp;"+"&amp;CD220&amp;FJ$1)</f>
        <v/>
      </c>
      <c r="FK220" s="66" t="str">
        <f t="shared" ref="FK220" si="3482">IF(CE220="","","|n"&amp;FK$2&amp;"+"&amp;CE220&amp;FK$1)</f>
        <v/>
      </c>
      <c r="FL220" s="66" t="str">
        <f t="shared" ref="FL220" si="3483">IF(CF220="","","|n"&amp;FL$2&amp;"+"&amp;CF220&amp;FL$1)</f>
        <v/>
      </c>
      <c r="FM220" s="66" t="str">
        <f t="shared" ref="FM220" si="3484">IF(CG220="","","|n"&amp;FM$2&amp;"+"&amp;CG220&amp;FM$1)</f>
        <v/>
      </c>
      <c r="FN220" s="66" t="str">
        <f t="shared" ref="FN220" si="3485">IF(CH220="","","|n"&amp;FN$2&amp;"+"&amp;CH220&amp;FN$1)</f>
        <v/>
      </c>
      <c r="FO220" s="66" t="str">
        <f t="shared" ref="FO220" si="3486">IF(CI220="","","|n"&amp;FO$2&amp;"+"&amp;CI220&amp;FO$1)</f>
        <v/>
      </c>
      <c r="FP220" s="66" t="str">
        <f t="shared" ref="FP220" si="3487">IF(CJ220="","","|n"&amp;FP$2&amp;"+"&amp;CJ220&amp;FP$1)</f>
        <v/>
      </c>
      <c r="FQ220" s="66" t="str">
        <f t="shared" ref="FQ220" si="3488">IF(CK220="","","|n"&amp;FQ$2&amp;"+"&amp;CK220&amp;FQ$1)</f>
        <v/>
      </c>
      <c r="FR220" s="66" t="str">
        <f t="shared" ref="FR220" si="3489">IF(CL220="","","|n"&amp;FR$2&amp;"+"&amp;CL220&amp;FR$1)</f>
        <v/>
      </c>
      <c r="FS220" s="66" t="str">
        <f t="shared" ref="FS220" si="3490">IF(CM220="","","|n"&amp;FS$2&amp;"+"&amp;CM220&amp;FS$1)</f>
        <v/>
      </c>
    </row>
    <row r="221" spans="1:175" ht="16.5">
      <c r="A221" s="2"/>
      <c r="B221" s="110" t="s">
        <v>759</v>
      </c>
      <c r="C221" s="110" t="s">
        <v>760</v>
      </c>
      <c r="E221" s="91"/>
      <c r="F221" s="43"/>
      <c r="G221" s="39"/>
      <c r="H221" s="39"/>
      <c r="I221" s="39"/>
      <c r="J221" s="39"/>
      <c r="K221" s="39"/>
      <c r="L221" s="39"/>
      <c r="M221" s="39"/>
      <c r="N221" s="39"/>
      <c r="O221" s="39"/>
      <c r="P221" s="92"/>
      <c r="Q221" s="92"/>
      <c r="R221" s="92"/>
      <c r="S221" s="95"/>
      <c r="T221" s="29" t="s">
        <v>756</v>
      </c>
      <c r="U221" s="77" t="str">
        <f>"ReplaceableTextures\\CommandButtons\\BTNR"&amp;RIGHT(B221,3)&amp;".blp"</f>
        <v>ReplaceableTextures\\CommandButtons\\BTNRY3C.blp</v>
      </c>
      <c r="V221" s="10"/>
      <c r="Z221" s="10"/>
      <c r="AG221" s="98"/>
      <c r="AL221" s="98"/>
      <c r="BC221" s="99"/>
      <c r="BD221" s="99"/>
      <c r="CU221" s="88" t="str">
        <f t="shared" si="3419"/>
        <v>|n</v>
      </c>
      <c r="CV221" s="19" t="str">
        <f t="shared" si="3339"/>
        <v>代码生成</v>
      </c>
      <c r="CW221" s="33"/>
      <c r="CX221" s="33"/>
      <c r="CY221" s="33"/>
      <c r="CZ221" s="33"/>
      <c r="DA221" s="33"/>
      <c r="DB221" s="66" t="str">
        <f t="shared" si="3417"/>
        <v/>
      </c>
      <c r="DC221" s="66" t="str">
        <f t="shared" si="3417"/>
        <v/>
      </c>
      <c r="DD221" s="66" t="str">
        <f t="shared" si="3417"/>
        <v/>
      </c>
      <c r="DE221" s="66" t="str">
        <f t="shared" si="3417"/>
        <v/>
      </c>
      <c r="DF221" s="66" t="str">
        <f t="shared" si="3417"/>
        <v/>
      </c>
      <c r="DG221" s="66" t="str">
        <f t="shared" si="3417"/>
        <v/>
      </c>
      <c r="DH221" s="66" t="str">
        <f t="shared" si="3417"/>
        <v/>
      </c>
      <c r="DI221" s="66" t="str">
        <f t="shared" si="3417"/>
        <v/>
      </c>
      <c r="DJ221" s="66" t="str">
        <f t="shared" si="3417"/>
        <v/>
      </c>
      <c r="DK221" s="66" t="str">
        <f t="shared" si="3417"/>
        <v/>
      </c>
      <c r="DL221" s="66" t="str">
        <f t="shared" si="3417"/>
        <v/>
      </c>
      <c r="DM221" s="66" t="str">
        <f t="shared" si="3417"/>
        <v/>
      </c>
      <c r="DN221" s="66" t="str">
        <f t="shared" si="3417"/>
        <v/>
      </c>
      <c r="DO221" s="66" t="str">
        <f t="shared" si="3417"/>
        <v/>
      </c>
      <c r="DP221" s="66" t="str">
        <f t="shared" si="3417"/>
        <v/>
      </c>
      <c r="DQ221" s="66" t="str">
        <f t="shared" si="3417"/>
        <v/>
      </c>
      <c r="DR221" s="66" t="str">
        <f t="shared" si="3417"/>
        <v/>
      </c>
      <c r="DS221" s="66" t="str">
        <f t="shared" si="3417"/>
        <v/>
      </c>
      <c r="DT221" s="66" t="str">
        <f t="shared" si="3417"/>
        <v/>
      </c>
      <c r="DU221" s="66" t="str">
        <f t="shared" si="3417"/>
        <v/>
      </c>
      <c r="DV221" s="66" t="str">
        <f t="shared" si="3417"/>
        <v/>
      </c>
      <c r="DW221" s="66" t="str">
        <f t="shared" si="3417"/>
        <v/>
      </c>
      <c r="DX221" s="66" t="str">
        <f t="shared" si="3417"/>
        <v/>
      </c>
      <c r="DY221" s="66" t="str">
        <f t="shared" si="3417"/>
        <v/>
      </c>
      <c r="DZ221" s="66" t="str">
        <f t="shared" si="3417"/>
        <v/>
      </c>
      <c r="EA221" s="66" t="str">
        <f t="shared" si="3417"/>
        <v/>
      </c>
      <c r="EB221" s="66" t="str">
        <f t="shared" si="3417"/>
        <v/>
      </c>
      <c r="EC221" s="66" t="str">
        <f t="shared" si="3417"/>
        <v/>
      </c>
      <c r="ED221" s="66" t="str">
        <f t="shared" si="3417"/>
        <v/>
      </c>
      <c r="EE221" s="66" t="str">
        <f t="shared" si="3417"/>
        <v/>
      </c>
      <c r="EF221" s="66" t="str">
        <f t="shared" si="3417"/>
        <v/>
      </c>
      <c r="EG221" s="66" t="str">
        <f t="shared" si="3417"/>
        <v/>
      </c>
      <c r="EH221" s="66" t="str">
        <f t="shared" si="3417"/>
        <v/>
      </c>
      <c r="EI221" s="66" t="str">
        <f t="shared" si="3417"/>
        <v/>
      </c>
      <c r="EJ221" s="66" t="str">
        <f t="shared" si="3417"/>
        <v/>
      </c>
      <c r="EK221" s="66" t="str">
        <f t="shared" si="3417"/>
        <v/>
      </c>
      <c r="EL221" s="66" t="str">
        <f t="shared" si="3417"/>
        <v/>
      </c>
      <c r="EM221" s="66" t="str">
        <f t="shared" si="3417"/>
        <v/>
      </c>
      <c r="EN221" s="66" t="str">
        <f t="shared" si="3417"/>
        <v/>
      </c>
      <c r="EO221" s="66" t="str">
        <f t="shared" si="3417"/>
        <v/>
      </c>
      <c r="EP221" s="66" t="str">
        <f t="shared" si="3417"/>
        <v/>
      </c>
      <c r="EQ221" s="66" t="str">
        <f t="shared" si="3417"/>
        <v/>
      </c>
      <c r="ER221" s="66" t="str">
        <f t="shared" si="3417"/>
        <v/>
      </c>
      <c r="ES221" s="66" t="str">
        <f t="shared" si="3417"/>
        <v/>
      </c>
      <c r="ET221" s="66" t="str">
        <f t="shared" si="3417"/>
        <v/>
      </c>
      <c r="EU221" s="66" t="str">
        <f t="shared" si="3417"/>
        <v/>
      </c>
      <c r="EV221" s="66" t="str">
        <f t="shared" si="3417"/>
        <v/>
      </c>
      <c r="EW221" s="66" t="str">
        <f t="shared" si="3417"/>
        <v/>
      </c>
      <c r="EX221" s="66" t="str">
        <f t="shared" si="3417"/>
        <v/>
      </c>
      <c r="EY221" s="66" t="str">
        <f t="shared" si="3417"/>
        <v/>
      </c>
      <c r="EZ221" s="66" t="str">
        <f t="shared" si="3417"/>
        <v/>
      </c>
      <c r="FA221" s="66" t="str">
        <f t="shared" si="3417"/>
        <v/>
      </c>
      <c r="FB221" s="66" t="str">
        <f t="shared" si="3417"/>
        <v/>
      </c>
      <c r="FC221" s="66" t="str">
        <f t="shared" si="3417"/>
        <v/>
      </c>
      <c r="FD221" s="66" t="str">
        <f t="shared" si="3417"/>
        <v/>
      </c>
      <c r="FE221" s="66" t="str">
        <f t="shared" si="3417"/>
        <v/>
      </c>
      <c r="FF221" s="66" t="str">
        <f t="shared" si="3417"/>
        <v/>
      </c>
      <c r="FG221" s="66" t="str">
        <f t="shared" si="3417"/>
        <v/>
      </c>
      <c r="FH221" s="66" t="str">
        <f t="shared" si="3417"/>
        <v/>
      </c>
      <c r="FI221" s="66" t="str">
        <f t="shared" si="3417"/>
        <v/>
      </c>
      <c r="FJ221" s="66" t="str">
        <f t="shared" si="3417"/>
        <v/>
      </c>
      <c r="FK221" s="66" t="str">
        <f t="shared" si="3417"/>
        <v/>
      </c>
      <c r="FL221" s="66" t="str">
        <f t="shared" si="3417"/>
        <v/>
      </c>
      <c r="FM221" s="66" t="str">
        <f t="shared" si="3417"/>
        <v/>
      </c>
      <c r="FN221" s="66" t="str">
        <f t="shared" si="3418"/>
        <v/>
      </c>
      <c r="FO221" s="66" t="str">
        <f t="shared" si="3418"/>
        <v/>
      </c>
      <c r="FP221" s="66" t="str">
        <f t="shared" si="3418"/>
        <v/>
      </c>
      <c r="FQ221" s="66" t="str">
        <f t="shared" si="3418"/>
        <v/>
      </c>
      <c r="FR221" s="66" t="str">
        <f t="shared" si="3418"/>
        <v/>
      </c>
      <c r="FS221" s="66" t="str">
        <f t="shared" si="3418"/>
        <v/>
      </c>
    </row>
    <row r="222" spans="1:175" ht="16.5">
      <c r="A222" s="2"/>
      <c r="B222" s="110" t="s">
        <v>761</v>
      </c>
      <c r="C222" s="110" t="s">
        <v>762</v>
      </c>
      <c r="E222" s="91"/>
      <c r="F222" s="43"/>
      <c r="G222" s="39"/>
      <c r="H222" s="39"/>
      <c r="I222" s="39"/>
      <c r="J222" s="39"/>
      <c r="K222" s="39"/>
      <c r="L222" s="39"/>
      <c r="M222" s="39"/>
      <c r="N222" s="39"/>
      <c r="O222" s="39"/>
      <c r="P222" s="92"/>
      <c r="Q222" s="92"/>
      <c r="R222" s="92"/>
      <c r="S222" s="95"/>
      <c r="T222" s="29" t="s">
        <v>756</v>
      </c>
      <c r="U222" s="77" t="str">
        <f>"ReplaceableTextures\\CommandButtons\\BTNR"&amp;RIGHT(B222,3)&amp;".blp"</f>
        <v>ReplaceableTextures\\CommandButtons\\BTNRY4C.blp</v>
      </c>
      <c r="V222" s="10"/>
      <c r="Z222" s="10"/>
      <c r="AG222" s="98"/>
      <c r="AL222" s="98"/>
      <c r="BC222" s="99"/>
      <c r="BD222" s="99"/>
      <c r="CU222" s="88" t="str">
        <f t="shared" ref="CU222" si="3491">CONCATENATE(DB222,DC222,DD222,DE222,DF222,DG222,DH222,DI222,DJ222,DK222,DL222,DM222,DN222,DO222,DP222,DQ222,DR222,DS222,DT222,DU222,DV222,DW222,DX222,DY222,DZ222,EA222,EB222,EC222,ED222,EE222,EF222,EG222,EH222,EI222,EJ222,EK222,EL222,EM222,EN222,EO222,EP222,EQ222,ER222,ES222,ET222,EU222,EV222,EW222,EX222,EY222,EZ222,FA222,FB222,FC222,FD222,FE222,FF222,FG222,FH222,FI222,FJ222,FK222,FL222,FM222,FN222,FO222,FP222,FQ222,FR222,FS222&amp;"|n")</f>
        <v>|n</v>
      </c>
      <c r="CV222" s="19" t="str">
        <f t="shared" si="3339"/>
        <v>代码生成</v>
      </c>
      <c r="CW222" s="33"/>
      <c r="CX222" s="33"/>
      <c r="CY222" s="33"/>
      <c r="CZ222" s="33"/>
      <c r="DA222" s="33"/>
      <c r="DB222" s="66" t="str">
        <f t="shared" ref="DB222" si="3492">IF(V222="","","|n"&amp;DB$2&amp;"+"&amp;V222&amp;DB$1)</f>
        <v/>
      </c>
      <c r="DC222" s="66" t="str">
        <f t="shared" ref="DC222" si="3493">IF(W222="","","|n"&amp;DC$2&amp;"+"&amp;W222&amp;DC$1)</f>
        <v/>
      </c>
      <c r="DD222" s="66" t="str">
        <f t="shared" ref="DD222" si="3494">IF(X222="","","|n"&amp;DD$2&amp;"+"&amp;X222&amp;DD$1)</f>
        <v/>
      </c>
      <c r="DE222" s="66" t="str">
        <f t="shared" ref="DE222" si="3495">IF(Y222="","","|n"&amp;DE$2&amp;"+"&amp;Y222&amp;DE$1)</f>
        <v/>
      </c>
      <c r="DF222" s="66" t="str">
        <f t="shared" ref="DF222" si="3496">IF(Z222="","","|n"&amp;DF$2&amp;"+"&amp;Z222&amp;DF$1)</f>
        <v/>
      </c>
      <c r="DG222" s="66" t="str">
        <f t="shared" ref="DG222" si="3497">IF(AA222="","","|n"&amp;DG$2&amp;"+"&amp;AA222&amp;DG$1)</f>
        <v/>
      </c>
      <c r="DH222" s="66" t="str">
        <f t="shared" ref="DH222" si="3498">IF(AB222="","","|n"&amp;DH$2&amp;"+"&amp;AB222&amp;DH$1)</f>
        <v/>
      </c>
      <c r="DI222" s="66" t="str">
        <f t="shared" ref="DI222" si="3499">IF(AC222="","","|n"&amp;DI$2&amp;"+"&amp;AC222&amp;DI$1)</f>
        <v/>
      </c>
      <c r="DJ222" s="66" t="str">
        <f t="shared" ref="DJ222" si="3500">IF(AD222="","","|n"&amp;DJ$2&amp;"+"&amp;AD222&amp;DJ$1)</f>
        <v/>
      </c>
      <c r="DK222" s="66" t="str">
        <f t="shared" ref="DK222" si="3501">IF(AE222="","","|n"&amp;DK$2&amp;"+"&amp;AE222&amp;DK$1)</f>
        <v/>
      </c>
      <c r="DL222" s="66" t="str">
        <f t="shared" ref="DL222" si="3502">IF(AF222="","","|n"&amp;DL$2&amp;"+"&amp;AF222&amp;DL$1)</f>
        <v/>
      </c>
      <c r="DM222" s="66" t="str">
        <f t="shared" ref="DM222" si="3503">IF(AG222="","","|n"&amp;DM$2&amp;"+"&amp;AG222&amp;DM$1)</f>
        <v/>
      </c>
      <c r="DN222" s="66" t="str">
        <f t="shared" ref="DN222" si="3504">IF(AH222="","","|n"&amp;DN$2&amp;"+"&amp;AH222&amp;DN$1)</f>
        <v/>
      </c>
      <c r="DO222" s="66" t="str">
        <f t="shared" ref="DO222" si="3505">IF(AI222="","","|n"&amp;DO$2&amp;"+"&amp;AI222&amp;DO$1)</f>
        <v/>
      </c>
      <c r="DP222" s="66" t="str">
        <f t="shared" ref="DP222" si="3506">IF(AJ222="","","|n"&amp;DP$2&amp;"+"&amp;AJ222&amp;DP$1)</f>
        <v/>
      </c>
      <c r="DQ222" s="66" t="str">
        <f t="shared" ref="DQ222" si="3507">IF(AK222="","","|n"&amp;DQ$2&amp;"+"&amp;AK222&amp;DQ$1)</f>
        <v/>
      </c>
      <c r="DR222" s="66" t="str">
        <f t="shared" ref="DR222" si="3508">IF(AL222="","","|n"&amp;DR$2&amp;"+"&amp;AL222&amp;DR$1)</f>
        <v/>
      </c>
      <c r="DS222" s="66" t="str">
        <f t="shared" ref="DS222" si="3509">IF(AM222="","","|n"&amp;DS$2&amp;"+"&amp;AM222&amp;DS$1)</f>
        <v/>
      </c>
      <c r="DT222" s="66" t="str">
        <f t="shared" ref="DT222" si="3510">IF(AN222="","","|n"&amp;DT$2&amp;"+"&amp;AN222&amp;DT$1)</f>
        <v/>
      </c>
      <c r="DU222" s="66" t="str">
        <f t="shared" ref="DU222" si="3511">IF(AO222="","","|n"&amp;DU$2&amp;"+"&amp;AO222&amp;DU$1)</f>
        <v/>
      </c>
      <c r="DV222" s="66" t="str">
        <f t="shared" ref="DV222" si="3512">IF(AP222="","","|n"&amp;DV$2&amp;"+"&amp;AP222&amp;DV$1)</f>
        <v/>
      </c>
      <c r="DW222" s="66" t="str">
        <f t="shared" ref="DW222" si="3513">IF(AQ222="","","|n"&amp;DW$2&amp;"+"&amp;AQ222&amp;DW$1)</f>
        <v/>
      </c>
      <c r="DX222" s="66" t="str">
        <f t="shared" ref="DX222" si="3514">IF(AR222="","","|n"&amp;DX$2&amp;"+"&amp;AR222&amp;DX$1)</f>
        <v/>
      </c>
      <c r="DY222" s="66" t="str">
        <f t="shared" ref="DY222" si="3515">IF(AS222="","","|n"&amp;DY$2&amp;"+"&amp;AS222&amp;DY$1)</f>
        <v/>
      </c>
      <c r="DZ222" s="66" t="str">
        <f t="shared" ref="DZ222" si="3516">IF(AT222="","","|n"&amp;DZ$2&amp;"+"&amp;AT222&amp;DZ$1)</f>
        <v/>
      </c>
      <c r="EA222" s="66" t="str">
        <f t="shared" ref="EA222" si="3517">IF(AU222="","","|n"&amp;EA$2&amp;"+"&amp;AU222&amp;EA$1)</f>
        <v/>
      </c>
      <c r="EB222" s="66" t="str">
        <f t="shared" ref="EB222" si="3518">IF(AV222="","","|n"&amp;EB$2&amp;"+"&amp;AV222&amp;EB$1)</f>
        <v/>
      </c>
      <c r="EC222" s="66" t="str">
        <f t="shared" ref="EC222" si="3519">IF(AW222="","","|n"&amp;EC$2&amp;"+"&amp;AW222&amp;EC$1)</f>
        <v/>
      </c>
      <c r="ED222" s="66" t="str">
        <f t="shared" ref="ED222" si="3520">IF(AX222="","","|n"&amp;ED$2&amp;"+"&amp;AX222&amp;ED$1)</f>
        <v/>
      </c>
      <c r="EE222" s="66" t="str">
        <f t="shared" ref="EE222" si="3521">IF(AY222="","","|n"&amp;EE$2&amp;"+"&amp;AY222&amp;EE$1)</f>
        <v/>
      </c>
      <c r="EF222" s="66" t="str">
        <f t="shared" ref="EF222" si="3522">IF(AZ222="","","|n"&amp;EF$2&amp;"+"&amp;AZ222&amp;EF$1)</f>
        <v/>
      </c>
      <c r="EG222" s="66" t="str">
        <f t="shared" ref="EG222" si="3523">IF(BA222="","","|n"&amp;EG$2&amp;"+"&amp;BA222&amp;EG$1)</f>
        <v/>
      </c>
      <c r="EH222" s="66" t="str">
        <f t="shared" ref="EH222" si="3524">IF(BB222="","","|n"&amp;EH$2&amp;"+"&amp;BB222&amp;EH$1)</f>
        <v/>
      </c>
      <c r="EI222" s="66" t="str">
        <f t="shared" ref="EI222" si="3525">IF(BC222="","","|n"&amp;EI$2&amp;"+"&amp;BC222&amp;EI$1)</f>
        <v/>
      </c>
      <c r="EJ222" s="66" t="str">
        <f t="shared" ref="EJ222" si="3526">IF(BD222="","","|n"&amp;EJ$2&amp;"+"&amp;BD222&amp;EJ$1)</f>
        <v/>
      </c>
      <c r="EK222" s="66" t="str">
        <f t="shared" ref="EK222" si="3527">IF(BE222="","","|n"&amp;EK$2&amp;"+"&amp;BE222&amp;EK$1)</f>
        <v/>
      </c>
      <c r="EL222" s="66" t="str">
        <f t="shared" ref="EL222" si="3528">IF(BF222="","","|n"&amp;EL$2&amp;"+"&amp;BF222&amp;EL$1)</f>
        <v/>
      </c>
      <c r="EM222" s="66" t="str">
        <f t="shared" ref="EM222" si="3529">IF(BG222="","","|n"&amp;EM$2&amp;"+"&amp;BG222&amp;EM$1)</f>
        <v/>
      </c>
      <c r="EN222" s="66" t="str">
        <f t="shared" ref="EN222" si="3530">IF(BH222="","","|n"&amp;EN$2&amp;"+"&amp;BH222&amp;EN$1)</f>
        <v/>
      </c>
      <c r="EO222" s="66" t="str">
        <f t="shared" ref="EO222" si="3531">IF(BI222="","","|n"&amp;EO$2&amp;"+"&amp;BI222&amp;EO$1)</f>
        <v/>
      </c>
      <c r="EP222" s="66" t="str">
        <f t="shared" ref="EP222" si="3532">IF(BJ222="","","|n"&amp;EP$2&amp;"+"&amp;BJ222&amp;EP$1)</f>
        <v/>
      </c>
      <c r="EQ222" s="66" t="str">
        <f t="shared" ref="EQ222" si="3533">IF(BK222="","","|n"&amp;EQ$2&amp;"+"&amp;BK222&amp;EQ$1)</f>
        <v/>
      </c>
      <c r="ER222" s="66" t="str">
        <f t="shared" ref="ER222" si="3534">IF(BL222="","","|n"&amp;ER$2&amp;"+"&amp;BL222&amp;ER$1)</f>
        <v/>
      </c>
      <c r="ES222" s="66" t="str">
        <f t="shared" ref="ES222" si="3535">IF(BM222="","","|n"&amp;ES$2&amp;"+"&amp;BM222&amp;ES$1)</f>
        <v/>
      </c>
      <c r="ET222" s="66" t="str">
        <f t="shared" ref="ET222" si="3536">IF(BN222="","","|n"&amp;ET$2&amp;"+"&amp;BN222&amp;ET$1)</f>
        <v/>
      </c>
      <c r="EU222" s="66" t="str">
        <f t="shared" ref="EU222" si="3537">IF(BO222="","","|n"&amp;EU$2&amp;"+"&amp;BO222&amp;EU$1)</f>
        <v/>
      </c>
      <c r="EV222" s="66" t="str">
        <f t="shared" ref="EV222" si="3538">IF(BP222="","","|n"&amp;EV$2&amp;"+"&amp;BP222&amp;EV$1)</f>
        <v/>
      </c>
      <c r="EW222" s="66" t="str">
        <f t="shared" ref="EW222" si="3539">IF(BQ222="","","|n"&amp;EW$2&amp;"+"&amp;BQ222&amp;EW$1)</f>
        <v/>
      </c>
      <c r="EX222" s="66" t="str">
        <f t="shared" ref="EX222" si="3540">IF(BR222="","","|n"&amp;EX$2&amp;"+"&amp;BR222&amp;EX$1)</f>
        <v/>
      </c>
      <c r="EY222" s="66" t="str">
        <f t="shared" ref="EY222" si="3541">IF(BS222="","","|n"&amp;EY$2&amp;"+"&amp;BS222&amp;EY$1)</f>
        <v/>
      </c>
      <c r="EZ222" s="66" t="str">
        <f t="shared" ref="EZ222" si="3542">IF(BT222="","","|n"&amp;EZ$2&amp;"+"&amp;BT222&amp;EZ$1)</f>
        <v/>
      </c>
      <c r="FA222" s="66" t="str">
        <f t="shared" ref="FA222" si="3543">IF(BU222="","","|n"&amp;FA$2&amp;"+"&amp;BU222&amp;FA$1)</f>
        <v/>
      </c>
      <c r="FB222" s="66" t="str">
        <f t="shared" ref="FB222" si="3544">IF(BV222="","","|n"&amp;FB$2&amp;"+"&amp;BV222&amp;FB$1)</f>
        <v/>
      </c>
      <c r="FC222" s="66" t="str">
        <f t="shared" ref="FC222" si="3545">IF(BW222="","","|n"&amp;FC$2&amp;"+"&amp;BW222&amp;FC$1)</f>
        <v/>
      </c>
      <c r="FD222" s="66" t="str">
        <f t="shared" ref="FD222" si="3546">IF(BX222="","","|n"&amp;FD$2&amp;"+"&amp;BX222&amp;FD$1)</f>
        <v/>
      </c>
      <c r="FE222" s="66" t="str">
        <f t="shared" ref="FE222" si="3547">IF(BY222="","","|n"&amp;FE$2&amp;"+"&amp;BY222&amp;FE$1)</f>
        <v/>
      </c>
      <c r="FF222" s="66" t="str">
        <f t="shared" ref="FF222" si="3548">IF(BZ222="","","|n"&amp;FF$2&amp;"+"&amp;BZ222&amp;FF$1)</f>
        <v/>
      </c>
      <c r="FG222" s="66" t="str">
        <f t="shared" ref="FG222" si="3549">IF(CA222="","","|n"&amp;FG$2&amp;"+"&amp;CA222&amp;FG$1)</f>
        <v/>
      </c>
      <c r="FH222" s="66" t="str">
        <f t="shared" ref="FH222" si="3550">IF(CB222="","","|n"&amp;FH$2&amp;"+"&amp;CB222&amp;FH$1)</f>
        <v/>
      </c>
      <c r="FI222" s="66" t="str">
        <f t="shared" ref="FI222" si="3551">IF(CC222="","","|n"&amp;FI$2&amp;"+"&amp;CC222&amp;FI$1)</f>
        <v/>
      </c>
      <c r="FJ222" s="66" t="str">
        <f t="shared" ref="FJ222" si="3552">IF(CD222="","","|n"&amp;FJ$2&amp;"+"&amp;CD222&amp;FJ$1)</f>
        <v/>
      </c>
      <c r="FK222" s="66" t="str">
        <f t="shared" ref="FK222" si="3553">IF(CE222="","","|n"&amp;FK$2&amp;"+"&amp;CE222&amp;FK$1)</f>
        <v/>
      </c>
      <c r="FL222" s="66" t="str">
        <f t="shared" ref="FL222" si="3554">IF(CF222="","","|n"&amp;FL$2&amp;"+"&amp;CF222&amp;FL$1)</f>
        <v/>
      </c>
      <c r="FM222" s="66" t="str">
        <f t="shared" ref="FM222" si="3555">IF(CG222="","","|n"&amp;FM$2&amp;"+"&amp;CG222&amp;FM$1)</f>
        <v/>
      </c>
      <c r="FN222" s="66" t="str">
        <f t="shared" ref="FN222" si="3556">IF(CH222="","","|n"&amp;FN$2&amp;"+"&amp;CH222&amp;FN$1)</f>
        <v/>
      </c>
      <c r="FO222" s="66" t="str">
        <f t="shared" ref="FO222" si="3557">IF(CI222="","","|n"&amp;FO$2&amp;"+"&amp;CI222&amp;FO$1)</f>
        <v/>
      </c>
      <c r="FP222" s="66" t="str">
        <f t="shared" ref="FP222" si="3558">IF(CJ222="","","|n"&amp;FP$2&amp;"+"&amp;CJ222&amp;FP$1)</f>
        <v/>
      </c>
      <c r="FQ222" s="66" t="str">
        <f t="shared" ref="FQ222" si="3559">IF(CK222="","","|n"&amp;FQ$2&amp;"+"&amp;CK222&amp;FQ$1)</f>
        <v/>
      </c>
      <c r="FR222" s="66" t="str">
        <f t="shared" ref="FR222" si="3560">IF(CL222="","","|n"&amp;FR$2&amp;"+"&amp;CL222&amp;FR$1)</f>
        <v/>
      </c>
      <c r="FS222" s="66" t="str">
        <f t="shared" ref="FS222" si="3561">IF(CM222="","","|n"&amp;FS$2&amp;"+"&amp;CM222&amp;FS$1)</f>
        <v/>
      </c>
    </row>
    <row r="223" spans="1:175" ht="16.5">
      <c r="A223" s="112"/>
      <c r="B223" s="27" t="s">
        <v>763</v>
      </c>
      <c r="C223" s="29" t="s">
        <v>764</v>
      </c>
      <c r="T223" s="117"/>
      <c r="U223" s="77"/>
      <c r="CN223" s="36" t="str">
        <f t="shared" ref="CN223:CN249" si="3562">"InitUnitState('"&amp;B223&amp;"',"&amp;V223&amp;","&amp;W223&amp;","&amp;X223&amp;","&amp;Y223&amp;","&amp;Z223&amp;","&amp;AA223&amp;","&amp;AB223&amp;","&amp;AC223&amp;","&amp;AD223&amp;","&amp;AE223&amp;")"</f>
        <v>InitUnitState('IF01',,,,,,,,,,)</v>
      </c>
      <c r="CO223" s="36" t="str">
        <f t="shared" ref="CO223:CO249" si="3563">"InitUnitNormal('"&amp;B223&amp;"',"&amp;AF223&amp;","&amp;AG223&amp;","&amp;AH223&amp;","&amp;AI223&amp;","&amp;AJ223&amp;","&amp;AK223&amp;","&amp;AL223&amp;","&amp;AM223&amp;","&amp;AN223&amp;","&amp;AO223&amp;")"</f>
        <v>InitUnitNormal('IF01',,,,,,,,,,)</v>
      </c>
      <c r="CP223" s="36" t="str">
        <f t="shared" ref="CP223:CP249" si="3564">"InitUnitMagic('"&amp;B223&amp;"',"&amp;AP223&amp;","&amp;AQ223&amp;","&amp;AR223&amp;","&amp;AS223&amp;","&amp;AT223&amp;","&amp;AU223&amp;","&amp;AV223&amp;","&amp;AW223&amp;","&amp;BI223&amp;","&amp;BJ223&amp;")"</f>
        <v>InitUnitMagic('IF01',,,,,,,,,,)</v>
      </c>
      <c r="CQ223" s="36" t="str">
        <f t="shared" ref="CQ223:CQ249" si="3565">"InitUnitAdd('"&amp;B223&amp;"',"&amp;BK223&amp;","&amp;BL223&amp;","&amp;BM223&amp;","&amp;BN223&amp;","&amp;BO223&amp;","&amp;BP223&amp;","&amp;BQ223&amp;","&amp;BR223&amp;","&amp;BS223&amp;","&amp;BT223&amp;")"</f>
        <v>InitUnitAdd('IF01',,,,,,,,,,)</v>
      </c>
      <c r="CR223" s="36" t="str">
        <f t="shared" ref="CR223:CR265" si="356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InitEquipData('IF01',,"",,,,,'','','','','','',"")</v>
      </c>
      <c r="CU223" s="88" t="str">
        <f t="shared" ref="CU223:CU245" si="356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W223" s="33"/>
      <c r="CX223" s="33"/>
      <c r="CY223" s="33"/>
      <c r="CZ223" s="33"/>
      <c r="DA223" s="33"/>
      <c r="DB223" s="66" t="str">
        <f t="shared" ref="DB223:DB245" si="3568">IF(V223="","","|n"&amp;DB$2&amp;"+"&amp;V223&amp;DB$1)</f>
        <v/>
      </c>
      <c r="DC223" s="66" t="str">
        <f t="shared" ref="DC223:DC245" si="3569">IF(W223="","","|n"&amp;DC$2&amp;"+"&amp;W223&amp;DC$1)</f>
        <v/>
      </c>
      <c r="DD223" s="66" t="str">
        <f t="shared" ref="DD223:DD245" si="3570">IF(X223="","","|n"&amp;DD$2&amp;"+"&amp;X223&amp;DD$1)</f>
        <v/>
      </c>
      <c r="DE223" s="66" t="str">
        <f t="shared" ref="DE223:DE245" si="3571">IF(Y223="","","|n"&amp;DE$2&amp;"+"&amp;Y223&amp;DE$1)</f>
        <v/>
      </c>
      <c r="DF223" s="66" t="str">
        <f t="shared" ref="DF223:DF245" si="3572">IF(Z223="","","|n"&amp;DF$2&amp;"+"&amp;Z223&amp;DF$1)</f>
        <v/>
      </c>
      <c r="DG223" s="66" t="str">
        <f t="shared" ref="DG223:DG245" si="3573">IF(AA223="","","|n"&amp;DG$2&amp;"+"&amp;AA223&amp;DG$1)</f>
        <v/>
      </c>
      <c r="DH223" s="66" t="str">
        <f t="shared" ref="DH223:DH245" si="3574">IF(AB223="","","|n"&amp;DH$2&amp;"+"&amp;AB223&amp;DH$1)</f>
        <v/>
      </c>
      <c r="DI223" s="66" t="str">
        <f t="shared" ref="DI223:DI245" si="3575">IF(AC223="","","|n"&amp;DI$2&amp;"+"&amp;AC223&amp;DI$1)</f>
        <v/>
      </c>
      <c r="DJ223" s="66" t="str">
        <f t="shared" ref="DJ223:DJ245" si="3576">IF(AD223="","","|n"&amp;DJ$2&amp;"+"&amp;AD223&amp;DJ$1)</f>
        <v/>
      </c>
      <c r="DK223" s="66" t="str">
        <f t="shared" ref="DK223:DK245" si="3577">IF(AE223="","","|n"&amp;DK$2&amp;"+"&amp;AE223&amp;DK$1)</f>
        <v/>
      </c>
      <c r="DL223" s="66" t="str">
        <f t="shared" ref="DL223:DL245" si="3578">IF(AF223="","","|n"&amp;DL$2&amp;"+"&amp;AF223&amp;DL$1)</f>
        <v/>
      </c>
      <c r="DM223" s="66" t="str">
        <f t="shared" ref="DM223:DM245" si="3579">IF(AG223="","","|n"&amp;DM$2&amp;"+"&amp;AG223&amp;DM$1)</f>
        <v/>
      </c>
      <c r="DN223" s="66" t="str">
        <f t="shared" ref="DN223:DN245" si="3580">IF(AH223="","","|n"&amp;DN$2&amp;"+"&amp;AH223&amp;DN$1)</f>
        <v/>
      </c>
      <c r="DO223" s="66" t="str">
        <f t="shared" ref="DO223:DO245" si="3581">IF(AI223="","","|n"&amp;DO$2&amp;"+"&amp;AI223&amp;DO$1)</f>
        <v/>
      </c>
      <c r="DP223" s="66" t="str">
        <f t="shared" ref="DP223:DP245" si="3582">IF(AJ223="","","|n"&amp;DP$2&amp;"+"&amp;AJ223&amp;DP$1)</f>
        <v/>
      </c>
      <c r="DQ223" s="66" t="str">
        <f t="shared" ref="DQ223:DQ245" si="3583">IF(AK223="","","|n"&amp;DQ$2&amp;"+"&amp;AK223&amp;DQ$1)</f>
        <v/>
      </c>
      <c r="DR223" s="66" t="str">
        <f t="shared" ref="DR223:DR245" si="3584">IF(AL223="","","|n"&amp;DR$2&amp;"+"&amp;AL223&amp;DR$1)</f>
        <v/>
      </c>
      <c r="DS223" s="66" t="str">
        <f t="shared" ref="DS223:DS245" si="3585">IF(AM223="","","|n"&amp;DS$2&amp;"+"&amp;AM223&amp;DS$1)</f>
        <v/>
      </c>
      <c r="DT223" s="66" t="str">
        <f t="shared" ref="DT223:DT245" si="3586">IF(AN223="","","|n"&amp;DT$2&amp;"+"&amp;AN223&amp;DT$1)</f>
        <v/>
      </c>
      <c r="DU223" s="66" t="str">
        <f t="shared" ref="DU223:DU245" si="3587">IF(AO223="","","|n"&amp;DU$2&amp;"+"&amp;AO223&amp;DU$1)</f>
        <v/>
      </c>
      <c r="DV223" s="66" t="str">
        <f t="shared" ref="DV223:DV245" si="3588">IF(AP223="","","|n"&amp;DV$2&amp;"+"&amp;AP223&amp;DV$1)</f>
        <v/>
      </c>
      <c r="DW223" s="66" t="str">
        <f t="shared" ref="DW223:DW245" si="3589">IF(AQ223="","","|n"&amp;DW$2&amp;"+"&amp;AQ223&amp;DW$1)</f>
        <v/>
      </c>
      <c r="DX223" s="66" t="str">
        <f t="shared" ref="DX223:DX245" si="3590">IF(AR223="","","|n"&amp;DX$2&amp;"+"&amp;AR223&amp;DX$1)</f>
        <v/>
      </c>
      <c r="DY223" s="66" t="str">
        <f t="shared" ref="DY223:DY245" si="3591">IF(AS223="","","|n"&amp;DY$2&amp;"+"&amp;AS223&amp;DY$1)</f>
        <v/>
      </c>
      <c r="DZ223" s="66" t="str">
        <f t="shared" ref="DZ223:DZ245" si="3592">IF(AT223="","","|n"&amp;DZ$2&amp;"+"&amp;AT223&amp;DZ$1)</f>
        <v/>
      </c>
      <c r="EA223" s="66" t="str">
        <f t="shared" ref="EA223:EA245" si="3593">IF(AU223="","","|n"&amp;EA$2&amp;"+"&amp;AU223&amp;EA$1)</f>
        <v/>
      </c>
      <c r="EB223" s="66" t="str">
        <f t="shared" ref="EB223:EB245" si="3594">IF(AV223="","","|n"&amp;EB$2&amp;"+"&amp;AV223&amp;EB$1)</f>
        <v/>
      </c>
      <c r="EC223" s="66" t="str">
        <f t="shared" ref="EC223:EC245" si="3595">IF(AW223="","","|n"&amp;EC$2&amp;"+"&amp;AW223&amp;EC$1)</f>
        <v/>
      </c>
      <c r="ED223" s="66" t="str">
        <f t="shared" ref="ED223:ED245" si="3596">IF(AX223="","","|n"&amp;ED$2&amp;"+"&amp;AX223&amp;ED$1)</f>
        <v/>
      </c>
      <c r="EE223" s="66" t="str">
        <f t="shared" ref="EE223:EE245" si="3597">IF(AY223="","","|n"&amp;EE$2&amp;"+"&amp;AY223&amp;EE$1)</f>
        <v/>
      </c>
      <c r="EF223" s="66" t="str">
        <f t="shared" ref="EF223:EF245" si="3598">IF(AZ223="","","|n"&amp;EF$2&amp;"+"&amp;AZ223&amp;EF$1)</f>
        <v/>
      </c>
      <c r="EG223" s="66" t="str">
        <f t="shared" ref="EG223:EG245" si="3599">IF(BA223="","","|n"&amp;EG$2&amp;"+"&amp;BA223&amp;EG$1)</f>
        <v/>
      </c>
      <c r="EH223" s="66" t="str">
        <f t="shared" ref="EH223:EH245" si="3600">IF(BB223="","","|n"&amp;EH$2&amp;"+"&amp;BB223&amp;EH$1)</f>
        <v/>
      </c>
      <c r="EI223" s="66" t="str">
        <f t="shared" ref="EI223:EI245" si="3601">IF(BC223="","","|n"&amp;EI$2&amp;"+"&amp;BC223&amp;EI$1)</f>
        <v/>
      </c>
      <c r="EJ223" s="66" t="str">
        <f t="shared" ref="EJ223:EJ245" si="3602">IF(BD223="","","|n"&amp;EJ$2&amp;"+"&amp;BD223&amp;EJ$1)</f>
        <v/>
      </c>
      <c r="EK223" s="66" t="str">
        <f t="shared" ref="EK223:EK245" si="3603">IF(BE223="","","|n"&amp;EK$2&amp;"+"&amp;BE223&amp;EK$1)</f>
        <v/>
      </c>
      <c r="EL223" s="66" t="str">
        <f t="shared" ref="EL223:EL245" si="3604">IF(BF223="","","|n"&amp;EL$2&amp;"+"&amp;BF223&amp;EL$1)</f>
        <v/>
      </c>
      <c r="EM223" s="66" t="str">
        <f t="shared" ref="EM223:EM245" si="3605">IF(BG223="","","|n"&amp;EM$2&amp;"+"&amp;BG223&amp;EM$1)</f>
        <v/>
      </c>
      <c r="EN223" s="66" t="str">
        <f t="shared" ref="EN223:EN245" si="3606">IF(BH223="","","|n"&amp;EN$2&amp;"+"&amp;BH223&amp;EN$1)</f>
        <v/>
      </c>
      <c r="EO223" s="66" t="str">
        <f t="shared" ref="EO223:EO245" si="3607">IF(BI223="","","|n"&amp;EO$2&amp;"+"&amp;BI223&amp;EO$1)</f>
        <v/>
      </c>
      <c r="EP223" s="66" t="str">
        <f t="shared" ref="EP223:EP245" si="3608">IF(BJ223="","","|n"&amp;EP$2&amp;"+"&amp;BJ223&amp;EP$1)</f>
        <v/>
      </c>
      <c r="EQ223" s="66" t="str">
        <f t="shared" ref="EQ223:EQ245" si="3609">IF(BK223="","","|n"&amp;EQ$2&amp;"+"&amp;BK223&amp;EQ$1)</f>
        <v/>
      </c>
      <c r="ER223" s="66" t="str">
        <f t="shared" ref="ER223:ER245" si="3610">IF(BL223="","","|n"&amp;ER$2&amp;"+"&amp;BL223&amp;ER$1)</f>
        <v/>
      </c>
      <c r="ES223" s="66" t="str">
        <f t="shared" ref="ES223:ES245" si="3611">IF(BM223="","","|n"&amp;ES$2&amp;"+"&amp;BM223&amp;ES$1)</f>
        <v/>
      </c>
      <c r="ET223" s="66" t="str">
        <f t="shared" ref="ET223:ET245" si="3612">IF(BN223="","","|n"&amp;ET$2&amp;"+"&amp;BN223&amp;ET$1)</f>
        <v/>
      </c>
      <c r="EU223" s="66" t="str">
        <f t="shared" ref="EU223:EU245" si="3613">IF(BO223="","","|n"&amp;EU$2&amp;"+"&amp;BO223&amp;EU$1)</f>
        <v/>
      </c>
      <c r="EV223" s="66" t="str">
        <f t="shared" ref="EV223:EV245" si="3614">IF(BP223="","","|n"&amp;EV$2&amp;"+"&amp;BP223&amp;EV$1)</f>
        <v/>
      </c>
      <c r="EW223" s="66" t="str">
        <f t="shared" ref="EW223:EW245" si="3615">IF(BQ223="","","|n"&amp;EW$2&amp;"+"&amp;BQ223&amp;EW$1)</f>
        <v/>
      </c>
      <c r="EX223" s="66" t="str">
        <f t="shared" ref="EX223:EX245" si="3616">IF(BR223="","","|n"&amp;EX$2&amp;"+"&amp;BR223&amp;EX$1)</f>
        <v/>
      </c>
      <c r="EY223" s="66" t="str">
        <f t="shared" ref="EY223:EY245" si="3617">IF(BS223="","","|n"&amp;EY$2&amp;"+"&amp;BS223&amp;EY$1)</f>
        <v/>
      </c>
      <c r="EZ223" s="66" t="str">
        <f t="shared" ref="EZ223:EZ245" si="3618">IF(BT223="","","|n"&amp;EZ$2&amp;"+"&amp;BT223&amp;EZ$1)</f>
        <v/>
      </c>
      <c r="FA223" s="66" t="str">
        <f t="shared" ref="FA223:FA245" si="3619">IF(BU223="","","|n"&amp;FA$2&amp;"+"&amp;BU223&amp;FA$1)</f>
        <v/>
      </c>
      <c r="FB223" s="66" t="str">
        <f t="shared" ref="FB223:FB245" si="3620">IF(BV223="","","|n"&amp;FB$2&amp;"+"&amp;BV223&amp;FB$1)</f>
        <v/>
      </c>
      <c r="FC223" s="66" t="str">
        <f t="shared" ref="FC223:FC245" si="3621">IF(BW223="","","|n"&amp;FC$2&amp;"+"&amp;BW223&amp;FC$1)</f>
        <v/>
      </c>
      <c r="FD223" s="66" t="str">
        <f t="shared" ref="FD223:FD245" si="3622">IF(BX223="","","|n"&amp;FD$2&amp;"+"&amp;BX223&amp;FD$1)</f>
        <v/>
      </c>
      <c r="FE223" s="66" t="str">
        <f t="shared" ref="FE223:FE245" si="3623">IF(BY223="","","|n"&amp;FE$2&amp;"+"&amp;BY223&amp;FE$1)</f>
        <v/>
      </c>
      <c r="FF223" s="66" t="str">
        <f t="shared" ref="FF223:FF245" si="3624">IF(BZ223="","","|n"&amp;FF$2&amp;"+"&amp;BZ223&amp;FF$1)</f>
        <v/>
      </c>
      <c r="FG223" s="66" t="str">
        <f t="shared" ref="FG223:FG245" si="3625">IF(CA223="","","|n"&amp;FG$2&amp;"+"&amp;CA223&amp;FG$1)</f>
        <v/>
      </c>
      <c r="FH223" s="66" t="str">
        <f t="shared" ref="FH223:FH245" si="3626">IF(CB223="","","|n"&amp;FH$2&amp;"+"&amp;CB223&amp;FH$1)</f>
        <v/>
      </c>
      <c r="FI223" s="66" t="str">
        <f t="shared" ref="FI223:FI245" si="3627">IF(CC223="","","|n"&amp;FI$2&amp;"+"&amp;CC223&amp;FI$1)</f>
        <v/>
      </c>
      <c r="FJ223" s="66" t="str">
        <f t="shared" ref="FJ223:FJ245" si="3628">IF(CD223="","","|n"&amp;FJ$2&amp;"+"&amp;CD223&amp;FJ$1)</f>
        <v/>
      </c>
      <c r="FK223" s="66" t="str">
        <f t="shared" ref="FK223:FK245" si="3629">IF(CE223="","","|n"&amp;FK$2&amp;"+"&amp;CE223&amp;FK$1)</f>
        <v/>
      </c>
      <c r="FL223" s="66" t="str">
        <f t="shared" ref="FL223:FL245" si="3630">IF(CF223="","","|n"&amp;FL$2&amp;"+"&amp;CF223&amp;FL$1)</f>
        <v/>
      </c>
      <c r="FM223" s="66" t="str">
        <f t="shared" ref="FM223:FM245" si="3631">IF(CG223="","","|n"&amp;FM$2&amp;"+"&amp;CG223&amp;FM$1)</f>
        <v/>
      </c>
      <c r="FN223" s="66" t="str">
        <f t="shared" ref="FN223:FN245" si="3632">IF(CH223="","","|n"&amp;FN$2&amp;"+"&amp;CH223&amp;FN$1)</f>
        <v/>
      </c>
      <c r="FO223" s="66" t="str">
        <f t="shared" ref="FO223:FO245" si="3633">IF(CI223="","","|n"&amp;FO$2&amp;"+"&amp;CI223&amp;FO$1)</f>
        <v/>
      </c>
      <c r="FP223" s="66" t="str">
        <f t="shared" ref="FP223:FP245" si="3634">IF(CJ223="","","|n"&amp;FP$2&amp;"+"&amp;CJ223&amp;FP$1)</f>
        <v/>
      </c>
      <c r="FQ223" s="66" t="str">
        <f t="shared" ref="FQ223:FQ245" si="3635">IF(CK223="","","|n"&amp;FQ$2&amp;"+"&amp;CK223&amp;FQ$1)</f>
        <v/>
      </c>
      <c r="FR223" s="66" t="str">
        <f t="shared" ref="FR223:FR245" si="3636">IF(CL223="","","|n"&amp;FR$2&amp;"+"&amp;CL223&amp;FR$1)</f>
        <v/>
      </c>
      <c r="FS223" s="66" t="str">
        <f t="shared" ref="FS223:FS245" si="3637">IF(CM223="","","|n"&amp;FS$2&amp;"+"&amp;CM223&amp;FS$1)</f>
        <v/>
      </c>
    </row>
    <row r="224" spans="1:175" ht="16.5">
      <c r="A224" s="112"/>
      <c r="B224" s="27" t="s">
        <v>765</v>
      </c>
      <c r="C224" s="29" t="s">
        <v>764</v>
      </c>
      <c r="T224" s="117"/>
      <c r="U224" s="77"/>
      <c r="CN224" s="36" t="str">
        <f t="shared" si="3562"/>
        <v>InitUnitState('IF02',,,,,,,,,,)</v>
      </c>
      <c r="CO224" s="36" t="str">
        <f t="shared" si="3563"/>
        <v>InitUnitNormal('IF02',,,,,,,,,,)</v>
      </c>
      <c r="CP224" s="36" t="str">
        <f t="shared" si="3564"/>
        <v>InitUnitMagic('IF02',,,,,,,,,,)</v>
      </c>
      <c r="CQ224" s="36" t="str">
        <f t="shared" si="3565"/>
        <v>InitUnitAdd('IF02',,,,,,,,,,)</v>
      </c>
      <c r="CR224" s="36" t="str">
        <f t="shared" si="3566"/>
        <v>InitEquipData('IF02',,"",,,,,'','','','','','',"")</v>
      </c>
      <c r="CU224" s="88" t="str">
        <f t="shared" si="3567"/>
        <v>|n</v>
      </c>
      <c r="CW224" s="33"/>
      <c r="CX224" s="33"/>
      <c r="CY224" s="33"/>
      <c r="CZ224" s="33"/>
      <c r="DA224" s="33"/>
      <c r="DB224" s="66" t="str">
        <f t="shared" si="3568"/>
        <v/>
      </c>
      <c r="DC224" s="66" t="str">
        <f t="shared" si="3569"/>
        <v/>
      </c>
      <c r="DD224" s="66" t="str">
        <f t="shared" si="3570"/>
        <v/>
      </c>
      <c r="DE224" s="66" t="str">
        <f t="shared" si="3571"/>
        <v/>
      </c>
      <c r="DF224" s="66" t="str">
        <f t="shared" si="3572"/>
        <v/>
      </c>
      <c r="DG224" s="66" t="str">
        <f t="shared" si="3573"/>
        <v/>
      </c>
      <c r="DH224" s="66" t="str">
        <f t="shared" si="3574"/>
        <v/>
      </c>
      <c r="DI224" s="66" t="str">
        <f t="shared" si="3575"/>
        <v/>
      </c>
      <c r="DJ224" s="66" t="str">
        <f t="shared" si="3576"/>
        <v/>
      </c>
      <c r="DK224" s="66" t="str">
        <f t="shared" si="3577"/>
        <v/>
      </c>
      <c r="DL224" s="66" t="str">
        <f t="shared" si="3578"/>
        <v/>
      </c>
      <c r="DM224" s="66" t="str">
        <f t="shared" si="3579"/>
        <v/>
      </c>
      <c r="DN224" s="66" t="str">
        <f t="shared" si="3580"/>
        <v/>
      </c>
      <c r="DO224" s="66" t="str">
        <f t="shared" si="3581"/>
        <v/>
      </c>
      <c r="DP224" s="66" t="str">
        <f t="shared" si="3582"/>
        <v/>
      </c>
      <c r="DQ224" s="66" t="str">
        <f t="shared" si="3583"/>
        <v/>
      </c>
      <c r="DR224" s="66" t="str">
        <f t="shared" si="3584"/>
        <v/>
      </c>
      <c r="DS224" s="66" t="str">
        <f t="shared" si="3585"/>
        <v/>
      </c>
      <c r="DT224" s="66" t="str">
        <f t="shared" si="3586"/>
        <v/>
      </c>
      <c r="DU224" s="66" t="str">
        <f t="shared" si="3587"/>
        <v/>
      </c>
      <c r="DV224" s="66" t="str">
        <f t="shared" si="3588"/>
        <v/>
      </c>
      <c r="DW224" s="66" t="str">
        <f t="shared" si="3589"/>
        <v/>
      </c>
      <c r="DX224" s="66" t="str">
        <f t="shared" si="3590"/>
        <v/>
      </c>
      <c r="DY224" s="66" t="str">
        <f t="shared" si="3591"/>
        <v/>
      </c>
      <c r="DZ224" s="66" t="str">
        <f t="shared" si="3592"/>
        <v/>
      </c>
      <c r="EA224" s="66" t="str">
        <f t="shared" si="3593"/>
        <v/>
      </c>
      <c r="EB224" s="66" t="str">
        <f t="shared" si="3594"/>
        <v/>
      </c>
      <c r="EC224" s="66" t="str">
        <f t="shared" si="3595"/>
        <v/>
      </c>
      <c r="ED224" s="66" t="str">
        <f t="shared" si="3596"/>
        <v/>
      </c>
      <c r="EE224" s="66" t="str">
        <f t="shared" si="3597"/>
        <v/>
      </c>
      <c r="EF224" s="66" t="str">
        <f t="shared" si="3598"/>
        <v/>
      </c>
      <c r="EG224" s="66" t="str">
        <f t="shared" si="3599"/>
        <v/>
      </c>
      <c r="EH224" s="66" t="str">
        <f t="shared" si="3600"/>
        <v/>
      </c>
      <c r="EI224" s="66" t="str">
        <f t="shared" si="3601"/>
        <v/>
      </c>
      <c r="EJ224" s="66" t="str">
        <f t="shared" si="3602"/>
        <v/>
      </c>
      <c r="EK224" s="66" t="str">
        <f t="shared" si="3603"/>
        <v/>
      </c>
      <c r="EL224" s="66" t="str">
        <f t="shared" si="3604"/>
        <v/>
      </c>
      <c r="EM224" s="66" t="str">
        <f t="shared" si="3605"/>
        <v/>
      </c>
      <c r="EN224" s="66" t="str">
        <f t="shared" si="3606"/>
        <v/>
      </c>
      <c r="EO224" s="66" t="str">
        <f t="shared" si="3607"/>
        <v/>
      </c>
      <c r="EP224" s="66" t="str">
        <f t="shared" si="3608"/>
        <v/>
      </c>
      <c r="EQ224" s="66" t="str">
        <f t="shared" si="3609"/>
        <v/>
      </c>
      <c r="ER224" s="66" t="str">
        <f t="shared" si="3610"/>
        <v/>
      </c>
      <c r="ES224" s="66" t="str">
        <f t="shared" si="3611"/>
        <v/>
      </c>
      <c r="ET224" s="66" t="str">
        <f t="shared" si="3612"/>
        <v/>
      </c>
      <c r="EU224" s="66" t="str">
        <f t="shared" si="3613"/>
        <v/>
      </c>
      <c r="EV224" s="66" t="str">
        <f t="shared" si="3614"/>
        <v/>
      </c>
      <c r="EW224" s="66" t="str">
        <f t="shared" si="3615"/>
        <v/>
      </c>
      <c r="EX224" s="66" t="str">
        <f t="shared" si="3616"/>
        <v/>
      </c>
      <c r="EY224" s="66" t="str">
        <f t="shared" si="3617"/>
        <v/>
      </c>
      <c r="EZ224" s="66" t="str">
        <f t="shared" si="3618"/>
        <v/>
      </c>
      <c r="FA224" s="66" t="str">
        <f t="shared" si="3619"/>
        <v/>
      </c>
      <c r="FB224" s="66" t="str">
        <f t="shared" si="3620"/>
        <v/>
      </c>
      <c r="FC224" s="66" t="str">
        <f t="shared" si="3621"/>
        <v/>
      </c>
      <c r="FD224" s="66" t="str">
        <f t="shared" si="3622"/>
        <v/>
      </c>
      <c r="FE224" s="66" t="str">
        <f t="shared" si="3623"/>
        <v/>
      </c>
      <c r="FF224" s="66" t="str">
        <f t="shared" si="3624"/>
        <v/>
      </c>
      <c r="FG224" s="66" t="str">
        <f t="shared" si="3625"/>
        <v/>
      </c>
      <c r="FH224" s="66" t="str">
        <f t="shared" si="3626"/>
        <v/>
      </c>
      <c r="FI224" s="66" t="str">
        <f t="shared" si="3627"/>
        <v/>
      </c>
      <c r="FJ224" s="66" t="str">
        <f t="shared" si="3628"/>
        <v/>
      </c>
      <c r="FK224" s="66" t="str">
        <f t="shared" si="3629"/>
        <v/>
      </c>
      <c r="FL224" s="66" t="str">
        <f t="shared" si="3630"/>
        <v/>
      </c>
      <c r="FM224" s="66" t="str">
        <f t="shared" si="3631"/>
        <v/>
      </c>
      <c r="FN224" s="66" t="str">
        <f t="shared" si="3632"/>
        <v/>
      </c>
      <c r="FO224" s="66" t="str">
        <f t="shared" si="3633"/>
        <v/>
      </c>
      <c r="FP224" s="66" t="str">
        <f t="shared" si="3634"/>
        <v/>
      </c>
      <c r="FQ224" s="66" t="str">
        <f t="shared" si="3635"/>
        <v/>
      </c>
      <c r="FR224" s="66" t="str">
        <f t="shared" si="3636"/>
        <v/>
      </c>
      <c r="FS224" s="66" t="str">
        <f t="shared" si="3637"/>
        <v/>
      </c>
    </row>
    <row r="225" spans="1:175" ht="16.5">
      <c r="A225" s="113"/>
      <c r="B225" s="27" t="s">
        <v>766</v>
      </c>
      <c r="C225" s="29" t="s">
        <v>764</v>
      </c>
      <c r="T225" s="118"/>
      <c r="U225" s="77"/>
      <c r="CN225" s="36" t="str">
        <f t="shared" si="3562"/>
        <v>InitUnitState('IF03',,,,,,,,,,)</v>
      </c>
      <c r="CO225" s="36" t="str">
        <f t="shared" si="3563"/>
        <v>InitUnitNormal('IF03',,,,,,,,,,)</v>
      </c>
      <c r="CP225" s="36" t="str">
        <f t="shared" si="3564"/>
        <v>InitUnitMagic('IF03',,,,,,,,,,)</v>
      </c>
      <c r="CQ225" s="36" t="str">
        <f t="shared" si="3565"/>
        <v>InitUnitAdd('IF03',,,,,,,,,,)</v>
      </c>
      <c r="CR225" s="36" t="str">
        <f t="shared" si="3566"/>
        <v>InitEquipData('IF03',,"",,,,,'','','','','','',"")</v>
      </c>
      <c r="CU225" s="88" t="str">
        <f t="shared" si="3567"/>
        <v>|n</v>
      </c>
      <c r="CW225" s="33"/>
      <c r="CX225" s="33"/>
      <c r="CY225" s="33"/>
      <c r="CZ225" s="33"/>
      <c r="DA225" s="33"/>
      <c r="DB225" s="66" t="str">
        <f t="shared" si="3568"/>
        <v/>
      </c>
      <c r="DC225" s="66" t="str">
        <f t="shared" si="3569"/>
        <v/>
      </c>
      <c r="DD225" s="66" t="str">
        <f t="shared" si="3570"/>
        <v/>
      </c>
      <c r="DE225" s="66" t="str">
        <f t="shared" si="3571"/>
        <v/>
      </c>
      <c r="DF225" s="66" t="str">
        <f t="shared" si="3572"/>
        <v/>
      </c>
      <c r="DG225" s="66" t="str">
        <f t="shared" si="3573"/>
        <v/>
      </c>
      <c r="DH225" s="66" t="str">
        <f t="shared" si="3574"/>
        <v/>
      </c>
      <c r="DI225" s="66" t="str">
        <f t="shared" si="3575"/>
        <v/>
      </c>
      <c r="DJ225" s="66" t="str">
        <f t="shared" si="3576"/>
        <v/>
      </c>
      <c r="DK225" s="66" t="str">
        <f t="shared" si="3577"/>
        <v/>
      </c>
      <c r="DL225" s="66" t="str">
        <f t="shared" si="3578"/>
        <v/>
      </c>
      <c r="DM225" s="66" t="str">
        <f t="shared" si="3579"/>
        <v/>
      </c>
      <c r="DN225" s="66" t="str">
        <f t="shared" si="3580"/>
        <v/>
      </c>
      <c r="DO225" s="66" t="str">
        <f t="shared" si="3581"/>
        <v/>
      </c>
      <c r="DP225" s="66" t="str">
        <f t="shared" si="3582"/>
        <v/>
      </c>
      <c r="DQ225" s="66" t="str">
        <f t="shared" si="3583"/>
        <v/>
      </c>
      <c r="DR225" s="66" t="str">
        <f t="shared" si="3584"/>
        <v/>
      </c>
      <c r="DS225" s="66" t="str">
        <f t="shared" si="3585"/>
        <v/>
      </c>
      <c r="DT225" s="66" t="str">
        <f t="shared" si="3586"/>
        <v/>
      </c>
      <c r="DU225" s="66" t="str">
        <f t="shared" si="3587"/>
        <v/>
      </c>
      <c r="DV225" s="66" t="str">
        <f t="shared" si="3588"/>
        <v/>
      </c>
      <c r="DW225" s="66" t="str">
        <f t="shared" si="3589"/>
        <v/>
      </c>
      <c r="DX225" s="66" t="str">
        <f t="shared" si="3590"/>
        <v/>
      </c>
      <c r="DY225" s="66" t="str">
        <f t="shared" si="3591"/>
        <v/>
      </c>
      <c r="DZ225" s="66" t="str">
        <f t="shared" si="3592"/>
        <v/>
      </c>
      <c r="EA225" s="66" t="str">
        <f t="shared" si="3593"/>
        <v/>
      </c>
      <c r="EB225" s="66" t="str">
        <f t="shared" si="3594"/>
        <v/>
      </c>
      <c r="EC225" s="66" t="str">
        <f t="shared" si="3595"/>
        <v/>
      </c>
      <c r="ED225" s="66" t="str">
        <f t="shared" si="3596"/>
        <v/>
      </c>
      <c r="EE225" s="66" t="str">
        <f t="shared" si="3597"/>
        <v/>
      </c>
      <c r="EF225" s="66" t="str">
        <f t="shared" si="3598"/>
        <v/>
      </c>
      <c r="EG225" s="66" t="str">
        <f t="shared" si="3599"/>
        <v/>
      </c>
      <c r="EH225" s="66" t="str">
        <f t="shared" si="3600"/>
        <v/>
      </c>
      <c r="EI225" s="66" t="str">
        <f t="shared" si="3601"/>
        <v/>
      </c>
      <c r="EJ225" s="66" t="str">
        <f t="shared" si="3602"/>
        <v/>
      </c>
      <c r="EK225" s="66" t="str">
        <f t="shared" si="3603"/>
        <v/>
      </c>
      <c r="EL225" s="66" t="str">
        <f t="shared" si="3604"/>
        <v/>
      </c>
      <c r="EM225" s="66" t="str">
        <f t="shared" si="3605"/>
        <v/>
      </c>
      <c r="EN225" s="66" t="str">
        <f t="shared" si="3606"/>
        <v/>
      </c>
      <c r="EO225" s="66" t="str">
        <f t="shared" si="3607"/>
        <v/>
      </c>
      <c r="EP225" s="66" t="str">
        <f t="shared" si="3608"/>
        <v/>
      </c>
      <c r="EQ225" s="66" t="str">
        <f t="shared" si="3609"/>
        <v/>
      </c>
      <c r="ER225" s="66" t="str">
        <f t="shared" si="3610"/>
        <v/>
      </c>
      <c r="ES225" s="66" t="str">
        <f t="shared" si="3611"/>
        <v/>
      </c>
      <c r="ET225" s="66" t="str">
        <f t="shared" si="3612"/>
        <v/>
      </c>
      <c r="EU225" s="66" t="str">
        <f t="shared" si="3613"/>
        <v/>
      </c>
      <c r="EV225" s="66" t="str">
        <f t="shared" si="3614"/>
        <v/>
      </c>
      <c r="EW225" s="66" t="str">
        <f t="shared" si="3615"/>
        <v/>
      </c>
      <c r="EX225" s="66" t="str">
        <f t="shared" si="3616"/>
        <v/>
      </c>
      <c r="EY225" s="66" t="str">
        <f t="shared" si="3617"/>
        <v/>
      </c>
      <c r="EZ225" s="66" t="str">
        <f t="shared" si="3618"/>
        <v/>
      </c>
      <c r="FA225" s="66" t="str">
        <f t="shared" si="3619"/>
        <v/>
      </c>
      <c r="FB225" s="66" t="str">
        <f t="shared" si="3620"/>
        <v/>
      </c>
      <c r="FC225" s="66" t="str">
        <f t="shared" si="3621"/>
        <v/>
      </c>
      <c r="FD225" s="66" t="str">
        <f t="shared" si="3622"/>
        <v/>
      </c>
      <c r="FE225" s="66" t="str">
        <f t="shared" si="3623"/>
        <v/>
      </c>
      <c r="FF225" s="66" t="str">
        <f t="shared" si="3624"/>
        <v/>
      </c>
      <c r="FG225" s="66" t="str">
        <f t="shared" si="3625"/>
        <v/>
      </c>
      <c r="FH225" s="66" t="str">
        <f t="shared" si="3626"/>
        <v/>
      </c>
      <c r="FI225" s="66" t="str">
        <f t="shared" si="3627"/>
        <v/>
      </c>
      <c r="FJ225" s="66" t="str">
        <f t="shared" si="3628"/>
        <v/>
      </c>
      <c r="FK225" s="66" t="str">
        <f t="shared" si="3629"/>
        <v/>
      </c>
      <c r="FL225" s="66" t="str">
        <f t="shared" si="3630"/>
        <v/>
      </c>
      <c r="FM225" s="66" t="str">
        <f t="shared" si="3631"/>
        <v/>
      </c>
      <c r="FN225" s="66" t="str">
        <f t="shared" si="3632"/>
        <v/>
      </c>
      <c r="FO225" s="66" t="str">
        <f t="shared" si="3633"/>
        <v/>
      </c>
      <c r="FP225" s="66" t="str">
        <f t="shared" si="3634"/>
        <v/>
      </c>
      <c r="FQ225" s="66" t="str">
        <f t="shared" si="3635"/>
        <v/>
      </c>
      <c r="FR225" s="66" t="str">
        <f t="shared" si="3636"/>
        <v/>
      </c>
      <c r="FS225" s="66" t="str">
        <f t="shared" si="3637"/>
        <v/>
      </c>
    </row>
    <row r="226" spans="1:175" ht="16.5">
      <c r="A226" s="113"/>
      <c r="B226" s="27" t="s">
        <v>767</v>
      </c>
      <c r="C226" s="29" t="s">
        <v>764</v>
      </c>
      <c r="T226" s="118"/>
      <c r="U226" s="77"/>
      <c r="CN226" s="36" t="str">
        <f t="shared" si="3562"/>
        <v>InitUnitState('IF04',,,,,,,,,,)</v>
      </c>
      <c r="CO226" s="36" t="str">
        <f t="shared" si="3563"/>
        <v>InitUnitNormal('IF04',,,,,,,,,,)</v>
      </c>
      <c r="CP226" s="36" t="str">
        <f t="shared" si="3564"/>
        <v>InitUnitMagic('IF04',,,,,,,,,,)</v>
      </c>
      <c r="CQ226" s="36" t="str">
        <f t="shared" si="3565"/>
        <v>InitUnitAdd('IF04',,,,,,,,,,)</v>
      </c>
      <c r="CR226" s="36" t="str">
        <f t="shared" si="3566"/>
        <v>InitEquipData('IF04',,"",,,,,'','','','','','',"")</v>
      </c>
      <c r="CU226" s="88" t="str">
        <f t="shared" si="3567"/>
        <v>|n</v>
      </c>
      <c r="CW226" s="33"/>
      <c r="CX226" s="33"/>
      <c r="CY226" s="33"/>
      <c r="CZ226" s="33"/>
      <c r="DA226" s="33"/>
      <c r="DB226" s="66" t="str">
        <f t="shared" si="3568"/>
        <v/>
      </c>
      <c r="DC226" s="66" t="str">
        <f t="shared" si="3569"/>
        <v/>
      </c>
      <c r="DD226" s="66" t="str">
        <f t="shared" si="3570"/>
        <v/>
      </c>
      <c r="DE226" s="66" t="str">
        <f t="shared" si="3571"/>
        <v/>
      </c>
      <c r="DF226" s="66" t="str">
        <f t="shared" si="3572"/>
        <v/>
      </c>
      <c r="DG226" s="66" t="str">
        <f t="shared" si="3573"/>
        <v/>
      </c>
      <c r="DH226" s="66" t="str">
        <f t="shared" si="3574"/>
        <v/>
      </c>
      <c r="DI226" s="66" t="str">
        <f t="shared" si="3575"/>
        <v/>
      </c>
      <c r="DJ226" s="66" t="str">
        <f t="shared" si="3576"/>
        <v/>
      </c>
      <c r="DK226" s="66" t="str">
        <f t="shared" si="3577"/>
        <v/>
      </c>
      <c r="DL226" s="66" t="str">
        <f t="shared" si="3578"/>
        <v/>
      </c>
      <c r="DM226" s="66" t="str">
        <f t="shared" si="3579"/>
        <v/>
      </c>
      <c r="DN226" s="66" t="str">
        <f t="shared" si="3580"/>
        <v/>
      </c>
      <c r="DO226" s="66" t="str">
        <f t="shared" si="3581"/>
        <v/>
      </c>
      <c r="DP226" s="66" t="str">
        <f t="shared" si="3582"/>
        <v/>
      </c>
      <c r="DQ226" s="66" t="str">
        <f t="shared" si="3583"/>
        <v/>
      </c>
      <c r="DR226" s="66" t="str">
        <f t="shared" si="3584"/>
        <v/>
      </c>
      <c r="DS226" s="66" t="str">
        <f t="shared" si="3585"/>
        <v/>
      </c>
      <c r="DT226" s="66" t="str">
        <f t="shared" si="3586"/>
        <v/>
      </c>
      <c r="DU226" s="66" t="str">
        <f t="shared" si="3587"/>
        <v/>
      </c>
      <c r="DV226" s="66" t="str">
        <f t="shared" si="3588"/>
        <v/>
      </c>
      <c r="DW226" s="66" t="str">
        <f t="shared" si="3589"/>
        <v/>
      </c>
      <c r="DX226" s="66" t="str">
        <f t="shared" si="3590"/>
        <v/>
      </c>
      <c r="DY226" s="66" t="str">
        <f t="shared" si="3591"/>
        <v/>
      </c>
      <c r="DZ226" s="66" t="str">
        <f t="shared" si="3592"/>
        <v/>
      </c>
      <c r="EA226" s="66" t="str">
        <f t="shared" si="3593"/>
        <v/>
      </c>
      <c r="EB226" s="66" t="str">
        <f t="shared" si="3594"/>
        <v/>
      </c>
      <c r="EC226" s="66" t="str">
        <f t="shared" si="3595"/>
        <v/>
      </c>
      <c r="ED226" s="66" t="str">
        <f t="shared" si="3596"/>
        <v/>
      </c>
      <c r="EE226" s="66" t="str">
        <f t="shared" si="3597"/>
        <v/>
      </c>
      <c r="EF226" s="66" t="str">
        <f t="shared" si="3598"/>
        <v/>
      </c>
      <c r="EG226" s="66" t="str">
        <f t="shared" si="3599"/>
        <v/>
      </c>
      <c r="EH226" s="66" t="str">
        <f t="shared" si="3600"/>
        <v/>
      </c>
      <c r="EI226" s="66" t="str">
        <f t="shared" si="3601"/>
        <v/>
      </c>
      <c r="EJ226" s="66" t="str">
        <f t="shared" si="3602"/>
        <v/>
      </c>
      <c r="EK226" s="66" t="str">
        <f t="shared" si="3603"/>
        <v/>
      </c>
      <c r="EL226" s="66" t="str">
        <f t="shared" si="3604"/>
        <v/>
      </c>
      <c r="EM226" s="66" t="str">
        <f t="shared" si="3605"/>
        <v/>
      </c>
      <c r="EN226" s="66" t="str">
        <f t="shared" si="3606"/>
        <v/>
      </c>
      <c r="EO226" s="66" t="str">
        <f t="shared" si="3607"/>
        <v/>
      </c>
      <c r="EP226" s="66" t="str">
        <f t="shared" si="3608"/>
        <v/>
      </c>
      <c r="EQ226" s="66" t="str">
        <f t="shared" si="3609"/>
        <v/>
      </c>
      <c r="ER226" s="66" t="str">
        <f t="shared" si="3610"/>
        <v/>
      </c>
      <c r="ES226" s="66" t="str">
        <f t="shared" si="3611"/>
        <v/>
      </c>
      <c r="ET226" s="66" t="str">
        <f t="shared" si="3612"/>
        <v/>
      </c>
      <c r="EU226" s="66" t="str">
        <f t="shared" si="3613"/>
        <v/>
      </c>
      <c r="EV226" s="66" t="str">
        <f t="shared" si="3614"/>
        <v/>
      </c>
      <c r="EW226" s="66" t="str">
        <f t="shared" si="3615"/>
        <v/>
      </c>
      <c r="EX226" s="66" t="str">
        <f t="shared" si="3616"/>
        <v/>
      </c>
      <c r="EY226" s="66" t="str">
        <f t="shared" si="3617"/>
        <v/>
      </c>
      <c r="EZ226" s="66" t="str">
        <f t="shared" si="3618"/>
        <v/>
      </c>
      <c r="FA226" s="66" t="str">
        <f t="shared" si="3619"/>
        <v/>
      </c>
      <c r="FB226" s="66" t="str">
        <f t="shared" si="3620"/>
        <v/>
      </c>
      <c r="FC226" s="66" t="str">
        <f t="shared" si="3621"/>
        <v/>
      </c>
      <c r="FD226" s="66" t="str">
        <f t="shared" si="3622"/>
        <v/>
      </c>
      <c r="FE226" s="66" t="str">
        <f t="shared" si="3623"/>
        <v/>
      </c>
      <c r="FF226" s="66" t="str">
        <f t="shared" si="3624"/>
        <v/>
      </c>
      <c r="FG226" s="66" t="str">
        <f t="shared" si="3625"/>
        <v/>
      </c>
      <c r="FH226" s="66" t="str">
        <f t="shared" si="3626"/>
        <v/>
      </c>
      <c r="FI226" s="66" t="str">
        <f t="shared" si="3627"/>
        <v/>
      </c>
      <c r="FJ226" s="66" t="str">
        <f t="shared" si="3628"/>
        <v/>
      </c>
      <c r="FK226" s="66" t="str">
        <f t="shared" si="3629"/>
        <v/>
      </c>
      <c r="FL226" s="66" t="str">
        <f t="shared" si="3630"/>
        <v/>
      </c>
      <c r="FM226" s="66" t="str">
        <f t="shared" si="3631"/>
        <v/>
      </c>
      <c r="FN226" s="66" t="str">
        <f t="shared" si="3632"/>
        <v/>
      </c>
      <c r="FO226" s="66" t="str">
        <f t="shared" si="3633"/>
        <v/>
      </c>
      <c r="FP226" s="66" t="str">
        <f t="shared" si="3634"/>
        <v/>
      </c>
      <c r="FQ226" s="66" t="str">
        <f t="shared" si="3635"/>
        <v/>
      </c>
      <c r="FR226" s="66" t="str">
        <f t="shared" si="3636"/>
        <v/>
      </c>
      <c r="FS226" s="66" t="str">
        <f t="shared" si="3637"/>
        <v/>
      </c>
    </row>
    <row r="227" spans="1:175" ht="16.5">
      <c r="A227" s="113"/>
      <c r="B227" s="27" t="s">
        <v>768</v>
      </c>
      <c r="C227" s="29" t="s">
        <v>764</v>
      </c>
      <c r="T227" s="118"/>
      <c r="U227" s="77"/>
      <c r="CN227" s="36" t="str">
        <f t="shared" si="3562"/>
        <v>InitUnitState('IF05',,,,,,,,,,)</v>
      </c>
      <c r="CO227" s="36" t="str">
        <f t="shared" si="3563"/>
        <v>InitUnitNormal('IF05',,,,,,,,,,)</v>
      </c>
      <c r="CP227" s="36" t="str">
        <f t="shared" si="3564"/>
        <v>InitUnitMagic('IF05',,,,,,,,,,)</v>
      </c>
      <c r="CQ227" s="36" t="str">
        <f t="shared" si="3565"/>
        <v>InitUnitAdd('IF05',,,,,,,,,,)</v>
      </c>
      <c r="CR227" s="36" t="str">
        <f t="shared" si="3566"/>
        <v>InitEquipData('IF05',,"",,,,,'','','','','','',"")</v>
      </c>
      <c r="CU227" s="88" t="str">
        <f t="shared" si="3567"/>
        <v>|n</v>
      </c>
      <c r="CW227" s="33"/>
      <c r="CX227" s="33"/>
      <c r="CY227" s="33"/>
      <c r="CZ227" s="33"/>
      <c r="DA227" s="33"/>
      <c r="DB227" s="66" t="str">
        <f t="shared" si="3568"/>
        <v/>
      </c>
      <c r="DC227" s="66" t="str">
        <f t="shared" si="3569"/>
        <v/>
      </c>
      <c r="DD227" s="66" t="str">
        <f t="shared" si="3570"/>
        <v/>
      </c>
      <c r="DE227" s="66" t="str">
        <f t="shared" si="3571"/>
        <v/>
      </c>
      <c r="DF227" s="66" t="str">
        <f t="shared" si="3572"/>
        <v/>
      </c>
      <c r="DG227" s="66" t="str">
        <f t="shared" si="3573"/>
        <v/>
      </c>
      <c r="DH227" s="66" t="str">
        <f t="shared" si="3574"/>
        <v/>
      </c>
      <c r="DI227" s="66" t="str">
        <f t="shared" si="3575"/>
        <v/>
      </c>
      <c r="DJ227" s="66" t="str">
        <f t="shared" si="3576"/>
        <v/>
      </c>
      <c r="DK227" s="66" t="str">
        <f t="shared" si="3577"/>
        <v/>
      </c>
      <c r="DL227" s="66" t="str">
        <f t="shared" si="3578"/>
        <v/>
      </c>
      <c r="DM227" s="66" t="str">
        <f t="shared" si="3579"/>
        <v/>
      </c>
      <c r="DN227" s="66" t="str">
        <f t="shared" si="3580"/>
        <v/>
      </c>
      <c r="DO227" s="66" t="str">
        <f t="shared" si="3581"/>
        <v/>
      </c>
      <c r="DP227" s="66" t="str">
        <f t="shared" si="3582"/>
        <v/>
      </c>
      <c r="DQ227" s="66" t="str">
        <f t="shared" si="3583"/>
        <v/>
      </c>
      <c r="DR227" s="66" t="str">
        <f t="shared" si="3584"/>
        <v/>
      </c>
      <c r="DS227" s="66" t="str">
        <f t="shared" si="3585"/>
        <v/>
      </c>
      <c r="DT227" s="66" t="str">
        <f t="shared" si="3586"/>
        <v/>
      </c>
      <c r="DU227" s="66" t="str">
        <f t="shared" si="3587"/>
        <v/>
      </c>
      <c r="DV227" s="66" t="str">
        <f t="shared" si="3588"/>
        <v/>
      </c>
      <c r="DW227" s="66" t="str">
        <f t="shared" si="3589"/>
        <v/>
      </c>
      <c r="DX227" s="66" t="str">
        <f t="shared" si="3590"/>
        <v/>
      </c>
      <c r="DY227" s="66" t="str">
        <f t="shared" si="3591"/>
        <v/>
      </c>
      <c r="DZ227" s="66" t="str">
        <f t="shared" si="3592"/>
        <v/>
      </c>
      <c r="EA227" s="66" t="str">
        <f t="shared" si="3593"/>
        <v/>
      </c>
      <c r="EB227" s="66" t="str">
        <f t="shared" si="3594"/>
        <v/>
      </c>
      <c r="EC227" s="66" t="str">
        <f t="shared" si="3595"/>
        <v/>
      </c>
      <c r="ED227" s="66" t="str">
        <f t="shared" si="3596"/>
        <v/>
      </c>
      <c r="EE227" s="66" t="str">
        <f t="shared" si="3597"/>
        <v/>
      </c>
      <c r="EF227" s="66" t="str">
        <f t="shared" si="3598"/>
        <v/>
      </c>
      <c r="EG227" s="66" t="str">
        <f t="shared" si="3599"/>
        <v/>
      </c>
      <c r="EH227" s="66" t="str">
        <f t="shared" si="3600"/>
        <v/>
      </c>
      <c r="EI227" s="66" t="str">
        <f t="shared" si="3601"/>
        <v/>
      </c>
      <c r="EJ227" s="66" t="str">
        <f t="shared" si="3602"/>
        <v/>
      </c>
      <c r="EK227" s="66" t="str">
        <f t="shared" si="3603"/>
        <v/>
      </c>
      <c r="EL227" s="66" t="str">
        <f t="shared" si="3604"/>
        <v/>
      </c>
      <c r="EM227" s="66" t="str">
        <f t="shared" si="3605"/>
        <v/>
      </c>
      <c r="EN227" s="66" t="str">
        <f t="shared" si="3606"/>
        <v/>
      </c>
      <c r="EO227" s="66" t="str">
        <f t="shared" si="3607"/>
        <v/>
      </c>
      <c r="EP227" s="66" t="str">
        <f t="shared" si="3608"/>
        <v/>
      </c>
      <c r="EQ227" s="66" t="str">
        <f t="shared" si="3609"/>
        <v/>
      </c>
      <c r="ER227" s="66" t="str">
        <f t="shared" si="3610"/>
        <v/>
      </c>
      <c r="ES227" s="66" t="str">
        <f t="shared" si="3611"/>
        <v/>
      </c>
      <c r="ET227" s="66" t="str">
        <f t="shared" si="3612"/>
        <v/>
      </c>
      <c r="EU227" s="66" t="str">
        <f t="shared" si="3613"/>
        <v/>
      </c>
      <c r="EV227" s="66" t="str">
        <f t="shared" si="3614"/>
        <v/>
      </c>
      <c r="EW227" s="66" t="str">
        <f t="shared" si="3615"/>
        <v/>
      </c>
      <c r="EX227" s="66" t="str">
        <f t="shared" si="3616"/>
        <v/>
      </c>
      <c r="EY227" s="66" t="str">
        <f t="shared" si="3617"/>
        <v/>
      </c>
      <c r="EZ227" s="66" t="str">
        <f t="shared" si="3618"/>
        <v/>
      </c>
      <c r="FA227" s="66" t="str">
        <f t="shared" si="3619"/>
        <v/>
      </c>
      <c r="FB227" s="66" t="str">
        <f t="shared" si="3620"/>
        <v/>
      </c>
      <c r="FC227" s="66" t="str">
        <f t="shared" si="3621"/>
        <v/>
      </c>
      <c r="FD227" s="66" t="str">
        <f t="shared" si="3622"/>
        <v/>
      </c>
      <c r="FE227" s="66" t="str">
        <f t="shared" si="3623"/>
        <v/>
      </c>
      <c r="FF227" s="66" t="str">
        <f t="shared" si="3624"/>
        <v/>
      </c>
      <c r="FG227" s="66" t="str">
        <f t="shared" si="3625"/>
        <v/>
      </c>
      <c r="FH227" s="66" t="str">
        <f t="shared" si="3626"/>
        <v/>
      </c>
      <c r="FI227" s="66" t="str">
        <f t="shared" si="3627"/>
        <v/>
      </c>
      <c r="FJ227" s="66" t="str">
        <f t="shared" si="3628"/>
        <v/>
      </c>
      <c r="FK227" s="66" t="str">
        <f t="shared" si="3629"/>
        <v/>
      </c>
      <c r="FL227" s="66" t="str">
        <f t="shared" si="3630"/>
        <v/>
      </c>
      <c r="FM227" s="66" t="str">
        <f t="shared" si="3631"/>
        <v/>
      </c>
      <c r="FN227" s="66" t="str">
        <f t="shared" si="3632"/>
        <v/>
      </c>
      <c r="FO227" s="66" t="str">
        <f t="shared" si="3633"/>
        <v/>
      </c>
      <c r="FP227" s="66" t="str">
        <f t="shared" si="3634"/>
        <v/>
      </c>
      <c r="FQ227" s="66" t="str">
        <f t="shared" si="3635"/>
        <v/>
      </c>
      <c r="FR227" s="66" t="str">
        <f t="shared" si="3636"/>
        <v/>
      </c>
      <c r="FS227" s="66" t="str">
        <f t="shared" si="3637"/>
        <v/>
      </c>
    </row>
    <row r="228" spans="1:175" ht="16.5">
      <c r="A228" s="113"/>
      <c r="B228" s="27" t="s">
        <v>769</v>
      </c>
      <c r="C228" s="29" t="s">
        <v>764</v>
      </c>
      <c r="T228" s="118"/>
      <c r="U228" s="77"/>
      <c r="CN228" s="36" t="str">
        <f t="shared" si="3562"/>
        <v>InitUnitState('IF06',,,,,,,,,,)</v>
      </c>
      <c r="CO228" s="36" t="str">
        <f t="shared" si="3563"/>
        <v>InitUnitNormal('IF06',,,,,,,,,,)</v>
      </c>
      <c r="CP228" s="36" t="str">
        <f t="shared" si="3564"/>
        <v>InitUnitMagic('IF06',,,,,,,,,,)</v>
      </c>
      <c r="CQ228" s="36" t="str">
        <f t="shared" si="3565"/>
        <v>InitUnitAdd('IF06',,,,,,,,,,)</v>
      </c>
      <c r="CR228" s="36" t="str">
        <f t="shared" si="3566"/>
        <v>InitEquipData('IF06',,"",,,,,'','','','','','',"")</v>
      </c>
      <c r="CU228" s="88" t="str">
        <f t="shared" si="3567"/>
        <v>|n</v>
      </c>
      <c r="CW228" s="33"/>
      <c r="CX228" s="33"/>
      <c r="CY228" s="33"/>
      <c r="CZ228" s="33"/>
      <c r="DA228" s="33"/>
      <c r="DB228" s="66" t="str">
        <f t="shared" si="3568"/>
        <v/>
      </c>
      <c r="DC228" s="66" t="str">
        <f t="shared" si="3569"/>
        <v/>
      </c>
      <c r="DD228" s="66" t="str">
        <f t="shared" si="3570"/>
        <v/>
      </c>
      <c r="DE228" s="66" t="str">
        <f t="shared" si="3571"/>
        <v/>
      </c>
      <c r="DF228" s="66" t="str">
        <f t="shared" si="3572"/>
        <v/>
      </c>
      <c r="DG228" s="66" t="str">
        <f t="shared" si="3573"/>
        <v/>
      </c>
      <c r="DH228" s="66" t="str">
        <f t="shared" si="3574"/>
        <v/>
      </c>
      <c r="DI228" s="66" t="str">
        <f t="shared" si="3575"/>
        <v/>
      </c>
      <c r="DJ228" s="66" t="str">
        <f t="shared" si="3576"/>
        <v/>
      </c>
      <c r="DK228" s="66" t="str">
        <f t="shared" si="3577"/>
        <v/>
      </c>
      <c r="DL228" s="66" t="str">
        <f t="shared" si="3578"/>
        <v/>
      </c>
      <c r="DM228" s="66" t="str">
        <f t="shared" si="3579"/>
        <v/>
      </c>
      <c r="DN228" s="66" t="str">
        <f t="shared" si="3580"/>
        <v/>
      </c>
      <c r="DO228" s="66" t="str">
        <f t="shared" si="3581"/>
        <v/>
      </c>
      <c r="DP228" s="66" t="str">
        <f t="shared" si="3582"/>
        <v/>
      </c>
      <c r="DQ228" s="66" t="str">
        <f t="shared" si="3583"/>
        <v/>
      </c>
      <c r="DR228" s="66" t="str">
        <f t="shared" si="3584"/>
        <v/>
      </c>
      <c r="DS228" s="66" t="str">
        <f t="shared" si="3585"/>
        <v/>
      </c>
      <c r="DT228" s="66" t="str">
        <f t="shared" si="3586"/>
        <v/>
      </c>
      <c r="DU228" s="66" t="str">
        <f t="shared" si="3587"/>
        <v/>
      </c>
      <c r="DV228" s="66" t="str">
        <f t="shared" si="3588"/>
        <v/>
      </c>
      <c r="DW228" s="66" t="str">
        <f t="shared" si="3589"/>
        <v/>
      </c>
      <c r="DX228" s="66" t="str">
        <f t="shared" si="3590"/>
        <v/>
      </c>
      <c r="DY228" s="66" t="str">
        <f t="shared" si="3591"/>
        <v/>
      </c>
      <c r="DZ228" s="66" t="str">
        <f t="shared" si="3592"/>
        <v/>
      </c>
      <c r="EA228" s="66" t="str">
        <f t="shared" si="3593"/>
        <v/>
      </c>
      <c r="EB228" s="66" t="str">
        <f t="shared" si="3594"/>
        <v/>
      </c>
      <c r="EC228" s="66" t="str">
        <f t="shared" si="3595"/>
        <v/>
      </c>
      <c r="ED228" s="66" t="str">
        <f t="shared" si="3596"/>
        <v/>
      </c>
      <c r="EE228" s="66" t="str">
        <f t="shared" si="3597"/>
        <v/>
      </c>
      <c r="EF228" s="66" t="str">
        <f t="shared" si="3598"/>
        <v/>
      </c>
      <c r="EG228" s="66" t="str">
        <f t="shared" si="3599"/>
        <v/>
      </c>
      <c r="EH228" s="66" t="str">
        <f t="shared" si="3600"/>
        <v/>
      </c>
      <c r="EI228" s="66" t="str">
        <f t="shared" si="3601"/>
        <v/>
      </c>
      <c r="EJ228" s="66" t="str">
        <f t="shared" si="3602"/>
        <v/>
      </c>
      <c r="EK228" s="66" t="str">
        <f t="shared" si="3603"/>
        <v/>
      </c>
      <c r="EL228" s="66" t="str">
        <f t="shared" si="3604"/>
        <v/>
      </c>
      <c r="EM228" s="66" t="str">
        <f t="shared" si="3605"/>
        <v/>
      </c>
      <c r="EN228" s="66" t="str">
        <f t="shared" si="3606"/>
        <v/>
      </c>
      <c r="EO228" s="66" t="str">
        <f t="shared" si="3607"/>
        <v/>
      </c>
      <c r="EP228" s="66" t="str">
        <f t="shared" si="3608"/>
        <v/>
      </c>
      <c r="EQ228" s="66" t="str">
        <f t="shared" si="3609"/>
        <v/>
      </c>
      <c r="ER228" s="66" t="str">
        <f t="shared" si="3610"/>
        <v/>
      </c>
      <c r="ES228" s="66" t="str">
        <f t="shared" si="3611"/>
        <v/>
      </c>
      <c r="ET228" s="66" t="str">
        <f t="shared" si="3612"/>
        <v/>
      </c>
      <c r="EU228" s="66" t="str">
        <f t="shared" si="3613"/>
        <v/>
      </c>
      <c r="EV228" s="66" t="str">
        <f t="shared" si="3614"/>
        <v/>
      </c>
      <c r="EW228" s="66" t="str">
        <f t="shared" si="3615"/>
        <v/>
      </c>
      <c r="EX228" s="66" t="str">
        <f t="shared" si="3616"/>
        <v/>
      </c>
      <c r="EY228" s="66" t="str">
        <f t="shared" si="3617"/>
        <v/>
      </c>
      <c r="EZ228" s="66" t="str">
        <f t="shared" si="3618"/>
        <v/>
      </c>
      <c r="FA228" s="66" t="str">
        <f t="shared" si="3619"/>
        <v/>
      </c>
      <c r="FB228" s="66" t="str">
        <f t="shared" si="3620"/>
        <v/>
      </c>
      <c r="FC228" s="66" t="str">
        <f t="shared" si="3621"/>
        <v/>
      </c>
      <c r="FD228" s="66" t="str">
        <f t="shared" si="3622"/>
        <v/>
      </c>
      <c r="FE228" s="66" t="str">
        <f t="shared" si="3623"/>
        <v/>
      </c>
      <c r="FF228" s="66" t="str">
        <f t="shared" si="3624"/>
        <v/>
      </c>
      <c r="FG228" s="66" t="str">
        <f t="shared" si="3625"/>
        <v/>
      </c>
      <c r="FH228" s="66" t="str">
        <f t="shared" si="3626"/>
        <v/>
      </c>
      <c r="FI228" s="66" t="str">
        <f t="shared" si="3627"/>
        <v/>
      </c>
      <c r="FJ228" s="66" t="str">
        <f t="shared" si="3628"/>
        <v/>
      </c>
      <c r="FK228" s="66" t="str">
        <f t="shared" si="3629"/>
        <v/>
      </c>
      <c r="FL228" s="66" t="str">
        <f t="shared" si="3630"/>
        <v/>
      </c>
      <c r="FM228" s="66" t="str">
        <f t="shared" si="3631"/>
        <v/>
      </c>
      <c r="FN228" s="66" t="str">
        <f t="shared" si="3632"/>
        <v/>
      </c>
      <c r="FO228" s="66" t="str">
        <f t="shared" si="3633"/>
        <v/>
      </c>
      <c r="FP228" s="66" t="str">
        <f t="shared" si="3634"/>
        <v/>
      </c>
      <c r="FQ228" s="66" t="str">
        <f t="shared" si="3635"/>
        <v/>
      </c>
      <c r="FR228" s="66" t="str">
        <f t="shared" si="3636"/>
        <v/>
      </c>
      <c r="FS228" s="66" t="str">
        <f t="shared" si="3637"/>
        <v/>
      </c>
    </row>
    <row r="229" spans="1:175" ht="16.5">
      <c r="A229" s="113"/>
      <c r="B229" s="27" t="s">
        <v>770</v>
      </c>
      <c r="C229" s="29" t="s">
        <v>764</v>
      </c>
      <c r="T229" s="118"/>
      <c r="U229" s="77"/>
      <c r="CN229" s="36" t="str">
        <f t="shared" si="3562"/>
        <v>InitUnitState('IF07',,,,,,,,,,)</v>
      </c>
      <c r="CO229" s="36" t="str">
        <f t="shared" si="3563"/>
        <v>InitUnitNormal('IF07',,,,,,,,,,)</v>
      </c>
      <c r="CP229" s="36" t="str">
        <f t="shared" si="3564"/>
        <v>InitUnitMagic('IF07',,,,,,,,,,)</v>
      </c>
      <c r="CQ229" s="36" t="str">
        <f t="shared" si="3565"/>
        <v>InitUnitAdd('IF07',,,,,,,,,,)</v>
      </c>
      <c r="CR229" s="36" t="str">
        <f t="shared" si="3566"/>
        <v>InitEquipData('IF07',,"",,,,,'','','','','','',"")</v>
      </c>
      <c r="CU229" s="88" t="str">
        <f t="shared" si="3567"/>
        <v>|n</v>
      </c>
      <c r="CW229" s="33"/>
      <c r="CX229" s="33"/>
      <c r="CY229" s="33"/>
      <c r="CZ229" s="33"/>
      <c r="DA229" s="33"/>
      <c r="DB229" s="66" t="str">
        <f t="shared" si="3568"/>
        <v/>
      </c>
      <c r="DC229" s="66" t="str">
        <f t="shared" si="3569"/>
        <v/>
      </c>
      <c r="DD229" s="66" t="str">
        <f t="shared" si="3570"/>
        <v/>
      </c>
      <c r="DE229" s="66" t="str">
        <f t="shared" si="3571"/>
        <v/>
      </c>
      <c r="DF229" s="66" t="str">
        <f t="shared" si="3572"/>
        <v/>
      </c>
      <c r="DG229" s="66" t="str">
        <f t="shared" si="3573"/>
        <v/>
      </c>
      <c r="DH229" s="66" t="str">
        <f t="shared" si="3574"/>
        <v/>
      </c>
      <c r="DI229" s="66" t="str">
        <f t="shared" si="3575"/>
        <v/>
      </c>
      <c r="DJ229" s="66" t="str">
        <f t="shared" si="3576"/>
        <v/>
      </c>
      <c r="DK229" s="66" t="str">
        <f t="shared" si="3577"/>
        <v/>
      </c>
      <c r="DL229" s="66" t="str">
        <f t="shared" si="3578"/>
        <v/>
      </c>
      <c r="DM229" s="66" t="str">
        <f t="shared" si="3579"/>
        <v/>
      </c>
      <c r="DN229" s="66" t="str">
        <f t="shared" si="3580"/>
        <v/>
      </c>
      <c r="DO229" s="66" t="str">
        <f t="shared" si="3581"/>
        <v/>
      </c>
      <c r="DP229" s="66" t="str">
        <f t="shared" si="3582"/>
        <v/>
      </c>
      <c r="DQ229" s="66" t="str">
        <f t="shared" si="3583"/>
        <v/>
      </c>
      <c r="DR229" s="66" t="str">
        <f t="shared" si="3584"/>
        <v/>
      </c>
      <c r="DS229" s="66" t="str">
        <f t="shared" si="3585"/>
        <v/>
      </c>
      <c r="DT229" s="66" t="str">
        <f t="shared" si="3586"/>
        <v/>
      </c>
      <c r="DU229" s="66" t="str">
        <f t="shared" si="3587"/>
        <v/>
      </c>
      <c r="DV229" s="66" t="str">
        <f t="shared" si="3588"/>
        <v/>
      </c>
      <c r="DW229" s="66" t="str">
        <f t="shared" si="3589"/>
        <v/>
      </c>
      <c r="DX229" s="66" t="str">
        <f t="shared" si="3590"/>
        <v/>
      </c>
      <c r="DY229" s="66" t="str">
        <f t="shared" si="3591"/>
        <v/>
      </c>
      <c r="DZ229" s="66" t="str">
        <f t="shared" si="3592"/>
        <v/>
      </c>
      <c r="EA229" s="66" t="str">
        <f t="shared" si="3593"/>
        <v/>
      </c>
      <c r="EB229" s="66" t="str">
        <f t="shared" si="3594"/>
        <v/>
      </c>
      <c r="EC229" s="66" t="str">
        <f t="shared" si="3595"/>
        <v/>
      </c>
      <c r="ED229" s="66" t="str">
        <f t="shared" si="3596"/>
        <v/>
      </c>
      <c r="EE229" s="66" t="str">
        <f t="shared" si="3597"/>
        <v/>
      </c>
      <c r="EF229" s="66" t="str">
        <f t="shared" si="3598"/>
        <v/>
      </c>
      <c r="EG229" s="66" t="str">
        <f t="shared" si="3599"/>
        <v/>
      </c>
      <c r="EH229" s="66" t="str">
        <f t="shared" si="3600"/>
        <v/>
      </c>
      <c r="EI229" s="66" t="str">
        <f t="shared" si="3601"/>
        <v/>
      </c>
      <c r="EJ229" s="66" t="str">
        <f t="shared" si="3602"/>
        <v/>
      </c>
      <c r="EK229" s="66" t="str">
        <f t="shared" si="3603"/>
        <v/>
      </c>
      <c r="EL229" s="66" t="str">
        <f t="shared" si="3604"/>
        <v/>
      </c>
      <c r="EM229" s="66" t="str">
        <f t="shared" si="3605"/>
        <v/>
      </c>
      <c r="EN229" s="66" t="str">
        <f t="shared" si="3606"/>
        <v/>
      </c>
      <c r="EO229" s="66" t="str">
        <f t="shared" si="3607"/>
        <v/>
      </c>
      <c r="EP229" s="66" t="str">
        <f t="shared" si="3608"/>
        <v/>
      </c>
      <c r="EQ229" s="66" t="str">
        <f t="shared" si="3609"/>
        <v/>
      </c>
      <c r="ER229" s="66" t="str">
        <f t="shared" si="3610"/>
        <v/>
      </c>
      <c r="ES229" s="66" t="str">
        <f t="shared" si="3611"/>
        <v/>
      </c>
      <c r="ET229" s="66" t="str">
        <f t="shared" si="3612"/>
        <v/>
      </c>
      <c r="EU229" s="66" t="str">
        <f t="shared" si="3613"/>
        <v/>
      </c>
      <c r="EV229" s="66" t="str">
        <f t="shared" si="3614"/>
        <v/>
      </c>
      <c r="EW229" s="66" t="str">
        <f t="shared" si="3615"/>
        <v/>
      </c>
      <c r="EX229" s="66" t="str">
        <f t="shared" si="3616"/>
        <v/>
      </c>
      <c r="EY229" s="66" t="str">
        <f t="shared" si="3617"/>
        <v/>
      </c>
      <c r="EZ229" s="66" t="str">
        <f t="shared" si="3618"/>
        <v/>
      </c>
      <c r="FA229" s="66" t="str">
        <f t="shared" si="3619"/>
        <v/>
      </c>
      <c r="FB229" s="66" t="str">
        <f t="shared" si="3620"/>
        <v/>
      </c>
      <c r="FC229" s="66" t="str">
        <f t="shared" si="3621"/>
        <v/>
      </c>
      <c r="FD229" s="66" t="str">
        <f t="shared" si="3622"/>
        <v/>
      </c>
      <c r="FE229" s="66" t="str">
        <f t="shared" si="3623"/>
        <v/>
      </c>
      <c r="FF229" s="66" t="str">
        <f t="shared" si="3624"/>
        <v/>
      </c>
      <c r="FG229" s="66" t="str">
        <f t="shared" si="3625"/>
        <v/>
      </c>
      <c r="FH229" s="66" t="str">
        <f t="shared" si="3626"/>
        <v/>
      </c>
      <c r="FI229" s="66" t="str">
        <f t="shared" si="3627"/>
        <v/>
      </c>
      <c r="FJ229" s="66" t="str">
        <f t="shared" si="3628"/>
        <v/>
      </c>
      <c r="FK229" s="66" t="str">
        <f t="shared" si="3629"/>
        <v/>
      </c>
      <c r="FL229" s="66" t="str">
        <f t="shared" si="3630"/>
        <v/>
      </c>
      <c r="FM229" s="66" t="str">
        <f t="shared" si="3631"/>
        <v/>
      </c>
      <c r="FN229" s="66" t="str">
        <f t="shared" si="3632"/>
        <v/>
      </c>
      <c r="FO229" s="66" t="str">
        <f t="shared" si="3633"/>
        <v/>
      </c>
      <c r="FP229" s="66" t="str">
        <f t="shared" si="3634"/>
        <v/>
      </c>
      <c r="FQ229" s="66" t="str">
        <f t="shared" si="3635"/>
        <v/>
      </c>
      <c r="FR229" s="66" t="str">
        <f t="shared" si="3636"/>
        <v/>
      </c>
      <c r="FS229" s="66" t="str">
        <f t="shared" si="3637"/>
        <v/>
      </c>
    </row>
    <row r="230" spans="1:175" ht="16.5">
      <c r="A230" s="113"/>
      <c r="B230" s="27" t="s">
        <v>771</v>
      </c>
      <c r="C230" s="29" t="s">
        <v>764</v>
      </c>
      <c r="T230" s="118"/>
      <c r="U230" s="77"/>
      <c r="CN230" s="36" t="str">
        <f t="shared" si="3562"/>
        <v>InitUnitState('IF08',,,,,,,,,,)</v>
      </c>
      <c r="CO230" s="36" t="str">
        <f t="shared" si="3563"/>
        <v>InitUnitNormal('IF08',,,,,,,,,,)</v>
      </c>
      <c r="CP230" s="36" t="str">
        <f t="shared" si="3564"/>
        <v>InitUnitMagic('IF08',,,,,,,,,,)</v>
      </c>
      <c r="CQ230" s="36" t="str">
        <f t="shared" si="3565"/>
        <v>InitUnitAdd('IF08',,,,,,,,,,)</v>
      </c>
      <c r="CR230" s="36" t="str">
        <f t="shared" si="3566"/>
        <v>InitEquipData('IF08',,"",,,,,'','','','','','',"")</v>
      </c>
      <c r="CU230" s="88" t="str">
        <f t="shared" si="3567"/>
        <v>|n</v>
      </c>
      <c r="CW230" s="33"/>
      <c r="CX230" s="33"/>
      <c r="CY230" s="33"/>
      <c r="CZ230" s="33"/>
      <c r="DA230" s="33"/>
      <c r="DB230" s="66" t="str">
        <f t="shared" si="3568"/>
        <v/>
      </c>
      <c r="DC230" s="66" t="str">
        <f t="shared" si="3569"/>
        <v/>
      </c>
      <c r="DD230" s="66" t="str">
        <f t="shared" si="3570"/>
        <v/>
      </c>
      <c r="DE230" s="66" t="str">
        <f t="shared" si="3571"/>
        <v/>
      </c>
      <c r="DF230" s="66" t="str">
        <f t="shared" si="3572"/>
        <v/>
      </c>
      <c r="DG230" s="66" t="str">
        <f t="shared" si="3573"/>
        <v/>
      </c>
      <c r="DH230" s="66" t="str">
        <f t="shared" si="3574"/>
        <v/>
      </c>
      <c r="DI230" s="66" t="str">
        <f t="shared" si="3575"/>
        <v/>
      </c>
      <c r="DJ230" s="66" t="str">
        <f t="shared" si="3576"/>
        <v/>
      </c>
      <c r="DK230" s="66" t="str">
        <f t="shared" si="3577"/>
        <v/>
      </c>
      <c r="DL230" s="66" t="str">
        <f t="shared" si="3578"/>
        <v/>
      </c>
      <c r="DM230" s="66" t="str">
        <f t="shared" si="3579"/>
        <v/>
      </c>
      <c r="DN230" s="66" t="str">
        <f t="shared" si="3580"/>
        <v/>
      </c>
      <c r="DO230" s="66" t="str">
        <f t="shared" si="3581"/>
        <v/>
      </c>
      <c r="DP230" s="66" t="str">
        <f t="shared" si="3582"/>
        <v/>
      </c>
      <c r="DQ230" s="66" t="str">
        <f t="shared" si="3583"/>
        <v/>
      </c>
      <c r="DR230" s="66" t="str">
        <f t="shared" si="3584"/>
        <v/>
      </c>
      <c r="DS230" s="66" t="str">
        <f t="shared" si="3585"/>
        <v/>
      </c>
      <c r="DT230" s="66" t="str">
        <f t="shared" si="3586"/>
        <v/>
      </c>
      <c r="DU230" s="66" t="str">
        <f t="shared" si="3587"/>
        <v/>
      </c>
      <c r="DV230" s="66" t="str">
        <f t="shared" si="3588"/>
        <v/>
      </c>
      <c r="DW230" s="66" t="str">
        <f t="shared" si="3589"/>
        <v/>
      </c>
      <c r="DX230" s="66" t="str">
        <f t="shared" si="3590"/>
        <v/>
      </c>
      <c r="DY230" s="66" t="str">
        <f t="shared" si="3591"/>
        <v/>
      </c>
      <c r="DZ230" s="66" t="str">
        <f t="shared" si="3592"/>
        <v/>
      </c>
      <c r="EA230" s="66" t="str">
        <f t="shared" si="3593"/>
        <v/>
      </c>
      <c r="EB230" s="66" t="str">
        <f t="shared" si="3594"/>
        <v/>
      </c>
      <c r="EC230" s="66" t="str">
        <f t="shared" si="3595"/>
        <v/>
      </c>
      <c r="ED230" s="66" t="str">
        <f t="shared" si="3596"/>
        <v/>
      </c>
      <c r="EE230" s="66" t="str">
        <f t="shared" si="3597"/>
        <v/>
      </c>
      <c r="EF230" s="66" t="str">
        <f t="shared" si="3598"/>
        <v/>
      </c>
      <c r="EG230" s="66" t="str">
        <f t="shared" si="3599"/>
        <v/>
      </c>
      <c r="EH230" s="66" t="str">
        <f t="shared" si="3600"/>
        <v/>
      </c>
      <c r="EI230" s="66" t="str">
        <f t="shared" si="3601"/>
        <v/>
      </c>
      <c r="EJ230" s="66" t="str">
        <f t="shared" si="3602"/>
        <v/>
      </c>
      <c r="EK230" s="66" t="str">
        <f t="shared" si="3603"/>
        <v/>
      </c>
      <c r="EL230" s="66" t="str">
        <f t="shared" si="3604"/>
        <v/>
      </c>
      <c r="EM230" s="66" t="str">
        <f t="shared" si="3605"/>
        <v/>
      </c>
      <c r="EN230" s="66" t="str">
        <f t="shared" si="3606"/>
        <v/>
      </c>
      <c r="EO230" s="66" t="str">
        <f t="shared" si="3607"/>
        <v/>
      </c>
      <c r="EP230" s="66" t="str">
        <f t="shared" si="3608"/>
        <v/>
      </c>
      <c r="EQ230" s="66" t="str">
        <f t="shared" si="3609"/>
        <v/>
      </c>
      <c r="ER230" s="66" t="str">
        <f t="shared" si="3610"/>
        <v/>
      </c>
      <c r="ES230" s="66" t="str">
        <f t="shared" si="3611"/>
        <v/>
      </c>
      <c r="ET230" s="66" t="str">
        <f t="shared" si="3612"/>
        <v/>
      </c>
      <c r="EU230" s="66" t="str">
        <f t="shared" si="3613"/>
        <v/>
      </c>
      <c r="EV230" s="66" t="str">
        <f t="shared" si="3614"/>
        <v/>
      </c>
      <c r="EW230" s="66" t="str">
        <f t="shared" si="3615"/>
        <v/>
      </c>
      <c r="EX230" s="66" t="str">
        <f t="shared" si="3616"/>
        <v/>
      </c>
      <c r="EY230" s="66" t="str">
        <f t="shared" si="3617"/>
        <v/>
      </c>
      <c r="EZ230" s="66" t="str">
        <f t="shared" si="3618"/>
        <v/>
      </c>
      <c r="FA230" s="66" t="str">
        <f t="shared" si="3619"/>
        <v/>
      </c>
      <c r="FB230" s="66" t="str">
        <f t="shared" si="3620"/>
        <v/>
      </c>
      <c r="FC230" s="66" t="str">
        <f t="shared" si="3621"/>
        <v/>
      </c>
      <c r="FD230" s="66" t="str">
        <f t="shared" si="3622"/>
        <v/>
      </c>
      <c r="FE230" s="66" t="str">
        <f t="shared" si="3623"/>
        <v/>
      </c>
      <c r="FF230" s="66" t="str">
        <f t="shared" si="3624"/>
        <v/>
      </c>
      <c r="FG230" s="66" t="str">
        <f t="shared" si="3625"/>
        <v/>
      </c>
      <c r="FH230" s="66" t="str">
        <f t="shared" si="3626"/>
        <v/>
      </c>
      <c r="FI230" s="66" t="str">
        <f t="shared" si="3627"/>
        <v/>
      </c>
      <c r="FJ230" s="66" t="str">
        <f t="shared" si="3628"/>
        <v/>
      </c>
      <c r="FK230" s="66" t="str">
        <f t="shared" si="3629"/>
        <v/>
      </c>
      <c r="FL230" s="66" t="str">
        <f t="shared" si="3630"/>
        <v/>
      </c>
      <c r="FM230" s="66" t="str">
        <f t="shared" si="3631"/>
        <v/>
      </c>
      <c r="FN230" s="66" t="str">
        <f t="shared" si="3632"/>
        <v/>
      </c>
      <c r="FO230" s="66" t="str">
        <f t="shared" si="3633"/>
        <v/>
      </c>
      <c r="FP230" s="66" t="str">
        <f t="shared" si="3634"/>
        <v/>
      </c>
      <c r="FQ230" s="66" t="str">
        <f t="shared" si="3635"/>
        <v/>
      </c>
      <c r="FR230" s="66" t="str">
        <f t="shared" si="3636"/>
        <v/>
      </c>
      <c r="FS230" s="66" t="str">
        <f t="shared" si="3637"/>
        <v/>
      </c>
    </row>
    <row r="231" spans="1:175" ht="16.5">
      <c r="A231" s="113"/>
      <c r="B231" s="27" t="s">
        <v>772</v>
      </c>
      <c r="C231" s="29" t="s">
        <v>764</v>
      </c>
      <c r="T231" s="118"/>
      <c r="U231" s="77"/>
      <c r="CN231" s="36" t="str">
        <f t="shared" si="3562"/>
        <v>InitUnitState('IF09',,,,,,,,,,)</v>
      </c>
      <c r="CO231" s="36" t="str">
        <f t="shared" si="3563"/>
        <v>InitUnitNormal('IF09',,,,,,,,,,)</v>
      </c>
      <c r="CP231" s="36" t="str">
        <f t="shared" si="3564"/>
        <v>InitUnitMagic('IF09',,,,,,,,,,)</v>
      </c>
      <c r="CQ231" s="36" t="str">
        <f t="shared" si="3565"/>
        <v>InitUnitAdd('IF09',,,,,,,,,,)</v>
      </c>
      <c r="CR231" s="36" t="str">
        <f t="shared" si="3566"/>
        <v>InitEquipData('IF09',,"",,,,,'','','','','','',"")</v>
      </c>
      <c r="CU231" s="88" t="str">
        <f t="shared" si="3567"/>
        <v>|n</v>
      </c>
      <c r="CW231" s="33"/>
      <c r="CX231" s="33"/>
      <c r="CY231" s="33"/>
      <c r="CZ231" s="33"/>
      <c r="DA231" s="33"/>
      <c r="DB231" s="66" t="str">
        <f t="shared" si="3568"/>
        <v/>
      </c>
      <c r="DC231" s="66" t="str">
        <f t="shared" si="3569"/>
        <v/>
      </c>
      <c r="DD231" s="66" t="str">
        <f t="shared" si="3570"/>
        <v/>
      </c>
      <c r="DE231" s="66" t="str">
        <f t="shared" si="3571"/>
        <v/>
      </c>
      <c r="DF231" s="66" t="str">
        <f t="shared" si="3572"/>
        <v/>
      </c>
      <c r="DG231" s="66" t="str">
        <f t="shared" si="3573"/>
        <v/>
      </c>
      <c r="DH231" s="66" t="str">
        <f t="shared" si="3574"/>
        <v/>
      </c>
      <c r="DI231" s="66" t="str">
        <f t="shared" si="3575"/>
        <v/>
      </c>
      <c r="DJ231" s="66" t="str">
        <f t="shared" si="3576"/>
        <v/>
      </c>
      <c r="DK231" s="66" t="str">
        <f t="shared" si="3577"/>
        <v/>
      </c>
      <c r="DL231" s="66" t="str">
        <f t="shared" si="3578"/>
        <v/>
      </c>
      <c r="DM231" s="66" t="str">
        <f t="shared" si="3579"/>
        <v/>
      </c>
      <c r="DN231" s="66" t="str">
        <f t="shared" si="3580"/>
        <v/>
      </c>
      <c r="DO231" s="66" t="str">
        <f t="shared" si="3581"/>
        <v/>
      </c>
      <c r="DP231" s="66" t="str">
        <f t="shared" si="3582"/>
        <v/>
      </c>
      <c r="DQ231" s="66" t="str">
        <f t="shared" si="3583"/>
        <v/>
      </c>
      <c r="DR231" s="66" t="str">
        <f t="shared" si="3584"/>
        <v/>
      </c>
      <c r="DS231" s="66" t="str">
        <f t="shared" si="3585"/>
        <v/>
      </c>
      <c r="DT231" s="66" t="str">
        <f t="shared" si="3586"/>
        <v/>
      </c>
      <c r="DU231" s="66" t="str">
        <f t="shared" si="3587"/>
        <v/>
      </c>
      <c r="DV231" s="66" t="str">
        <f t="shared" si="3588"/>
        <v/>
      </c>
      <c r="DW231" s="66" t="str">
        <f t="shared" si="3589"/>
        <v/>
      </c>
      <c r="DX231" s="66" t="str">
        <f t="shared" si="3590"/>
        <v/>
      </c>
      <c r="DY231" s="66" t="str">
        <f t="shared" si="3591"/>
        <v/>
      </c>
      <c r="DZ231" s="66" t="str">
        <f t="shared" si="3592"/>
        <v/>
      </c>
      <c r="EA231" s="66" t="str">
        <f t="shared" si="3593"/>
        <v/>
      </c>
      <c r="EB231" s="66" t="str">
        <f t="shared" si="3594"/>
        <v/>
      </c>
      <c r="EC231" s="66" t="str">
        <f t="shared" si="3595"/>
        <v/>
      </c>
      <c r="ED231" s="66" t="str">
        <f t="shared" si="3596"/>
        <v/>
      </c>
      <c r="EE231" s="66" t="str">
        <f t="shared" si="3597"/>
        <v/>
      </c>
      <c r="EF231" s="66" t="str">
        <f t="shared" si="3598"/>
        <v/>
      </c>
      <c r="EG231" s="66" t="str">
        <f t="shared" si="3599"/>
        <v/>
      </c>
      <c r="EH231" s="66" t="str">
        <f t="shared" si="3600"/>
        <v/>
      </c>
      <c r="EI231" s="66" t="str">
        <f t="shared" si="3601"/>
        <v/>
      </c>
      <c r="EJ231" s="66" t="str">
        <f t="shared" si="3602"/>
        <v/>
      </c>
      <c r="EK231" s="66" t="str">
        <f t="shared" si="3603"/>
        <v/>
      </c>
      <c r="EL231" s="66" t="str">
        <f t="shared" si="3604"/>
        <v/>
      </c>
      <c r="EM231" s="66" t="str">
        <f t="shared" si="3605"/>
        <v/>
      </c>
      <c r="EN231" s="66" t="str">
        <f t="shared" si="3606"/>
        <v/>
      </c>
      <c r="EO231" s="66" t="str">
        <f t="shared" si="3607"/>
        <v/>
      </c>
      <c r="EP231" s="66" t="str">
        <f t="shared" si="3608"/>
        <v/>
      </c>
      <c r="EQ231" s="66" t="str">
        <f t="shared" si="3609"/>
        <v/>
      </c>
      <c r="ER231" s="66" t="str">
        <f t="shared" si="3610"/>
        <v/>
      </c>
      <c r="ES231" s="66" t="str">
        <f t="shared" si="3611"/>
        <v/>
      </c>
      <c r="ET231" s="66" t="str">
        <f t="shared" si="3612"/>
        <v/>
      </c>
      <c r="EU231" s="66" t="str">
        <f t="shared" si="3613"/>
        <v/>
      </c>
      <c r="EV231" s="66" t="str">
        <f t="shared" si="3614"/>
        <v/>
      </c>
      <c r="EW231" s="66" t="str">
        <f t="shared" si="3615"/>
        <v/>
      </c>
      <c r="EX231" s="66" t="str">
        <f t="shared" si="3616"/>
        <v/>
      </c>
      <c r="EY231" s="66" t="str">
        <f t="shared" si="3617"/>
        <v/>
      </c>
      <c r="EZ231" s="66" t="str">
        <f t="shared" si="3618"/>
        <v/>
      </c>
      <c r="FA231" s="66" t="str">
        <f t="shared" si="3619"/>
        <v/>
      </c>
      <c r="FB231" s="66" t="str">
        <f t="shared" si="3620"/>
        <v/>
      </c>
      <c r="FC231" s="66" t="str">
        <f t="shared" si="3621"/>
        <v/>
      </c>
      <c r="FD231" s="66" t="str">
        <f t="shared" si="3622"/>
        <v/>
      </c>
      <c r="FE231" s="66" t="str">
        <f t="shared" si="3623"/>
        <v/>
      </c>
      <c r="FF231" s="66" t="str">
        <f t="shared" si="3624"/>
        <v/>
      </c>
      <c r="FG231" s="66" t="str">
        <f t="shared" si="3625"/>
        <v/>
      </c>
      <c r="FH231" s="66" t="str">
        <f t="shared" si="3626"/>
        <v/>
      </c>
      <c r="FI231" s="66" t="str">
        <f t="shared" si="3627"/>
        <v/>
      </c>
      <c r="FJ231" s="66" t="str">
        <f t="shared" si="3628"/>
        <v/>
      </c>
      <c r="FK231" s="66" t="str">
        <f t="shared" si="3629"/>
        <v/>
      </c>
      <c r="FL231" s="66" t="str">
        <f t="shared" si="3630"/>
        <v/>
      </c>
      <c r="FM231" s="66" t="str">
        <f t="shared" si="3631"/>
        <v/>
      </c>
      <c r="FN231" s="66" t="str">
        <f t="shared" si="3632"/>
        <v/>
      </c>
      <c r="FO231" s="66" t="str">
        <f t="shared" si="3633"/>
        <v/>
      </c>
      <c r="FP231" s="66" t="str">
        <f t="shared" si="3634"/>
        <v/>
      </c>
      <c r="FQ231" s="66" t="str">
        <f t="shared" si="3635"/>
        <v/>
      </c>
      <c r="FR231" s="66" t="str">
        <f t="shared" si="3636"/>
        <v/>
      </c>
      <c r="FS231" s="66" t="str">
        <f t="shared" si="3637"/>
        <v/>
      </c>
    </row>
    <row r="232" spans="1:175" ht="16.5">
      <c r="A232" s="113"/>
      <c r="B232" s="27" t="s">
        <v>773</v>
      </c>
      <c r="C232" s="29" t="s">
        <v>764</v>
      </c>
      <c r="T232" s="118"/>
      <c r="U232" s="77"/>
      <c r="CN232" s="36" t="str">
        <f t="shared" si="3562"/>
        <v>InitUnitState('IF10',,,,,,,,,,)</v>
      </c>
      <c r="CO232" s="36" t="str">
        <f t="shared" si="3563"/>
        <v>InitUnitNormal('IF10',,,,,,,,,,)</v>
      </c>
      <c r="CP232" s="36" t="str">
        <f t="shared" si="3564"/>
        <v>InitUnitMagic('IF10',,,,,,,,,,)</v>
      </c>
      <c r="CQ232" s="36" t="str">
        <f t="shared" si="3565"/>
        <v>InitUnitAdd('IF10',,,,,,,,,,)</v>
      </c>
      <c r="CR232" s="36" t="str">
        <f t="shared" si="3566"/>
        <v>InitEquipData('IF10',,"",,,,,'','','','','','',"")</v>
      </c>
      <c r="CU232" s="88" t="str">
        <f t="shared" si="3567"/>
        <v>|n</v>
      </c>
      <c r="CW232" s="33"/>
      <c r="CX232" s="33"/>
      <c r="CY232" s="33"/>
      <c r="CZ232" s="33"/>
      <c r="DA232" s="33"/>
      <c r="DB232" s="66" t="str">
        <f t="shared" si="3568"/>
        <v/>
      </c>
      <c r="DC232" s="66" t="str">
        <f t="shared" si="3569"/>
        <v/>
      </c>
      <c r="DD232" s="66" t="str">
        <f t="shared" si="3570"/>
        <v/>
      </c>
      <c r="DE232" s="66" t="str">
        <f t="shared" si="3571"/>
        <v/>
      </c>
      <c r="DF232" s="66" t="str">
        <f t="shared" si="3572"/>
        <v/>
      </c>
      <c r="DG232" s="66" t="str">
        <f t="shared" si="3573"/>
        <v/>
      </c>
      <c r="DH232" s="66" t="str">
        <f t="shared" si="3574"/>
        <v/>
      </c>
      <c r="DI232" s="66" t="str">
        <f t="shared" si="3575"/>
        <v/>
      </c>
      <c r="DJ232" s="66" t="str">
        <f t="shared" si="3576"/>
        <v/>
      </c>
      <c r="DK232" s="66" t="str">
        <f t="shared" si="3577"/>
        <v/>
      </c>
      <c r="DL232" s="66" t="str">
        <f t="shared" si="3578"/>
        <v/>
      </c>
      <c r="DM232" s="66" t="str">
        <f t="shared" si="3579"/>
        <v/>
      </c>
      <c r="DN232" s="66" t="str">
        <f t="shared" si="3580"/>
        <v/>
      </c>
      <c r="DO232" s="66" t="str">
        <f t="shared" si="3581"/>
        <v/>
      </c>
      <c r="DP232" s="66" t="str">
        <f t="shared" si="3582"/>
        <v/>
      </c>
      <c r="DQ232" s="66" t="str">
        <f t="shared" si="3583"/>
        <v/>
      </c>
      <c r="DR232" s="66" t="str">
        <f t="shared" si="3584"/>
        <v/>
      </c>
      <c r="DS232" s="66" t="str">
        <f t="shared" si="3585"/>
        <v/>
      </c>
      <c r="DT232" s="66" t="str">
        <f t="shared" si="3586"/>
        <v/>
      </c>
      <c r="DU232" s="66" t="str">
        <f t="shared" si="3587"/>
        <v/>
      </c>
      <c r="DV232" s="66" t="str">
        <f t="shared" si="3588"/>
        <v/>
      </c>
      <c r="DW232" s="66" t="str">
        <f t="shared" si="3589"/>
        <v/>
      </c>
      <c r="DX232" s="66" t="str">
        <f t="shared" si="3590"/>
        <v/>
      </c>
      <c r="DY232" s="66" t="str">
        <f t="shared" si="3591"/>
        <v/>
      </c>
      <c r="DZ232" s="66" t="str">
        <f t="shared" si="3592"/>
        <v/>
      </c>
      <c r="EA232" s="66" t="str">
        <f t="shared" si="3593"/>
        <v/>
      </c>
      <c r="EB232" s="66" t="str">
        <f t="shared" si="3594"/>
        <v/>
      </c>
      <c r="EC232" s="66" t="str">
        <f t="shared" si="3595"/>
        <v/>
      </c>
      <c r="ED232" s="66" t="str">
        <f t="shared" si="3596"/>
        <v/>
      </c>
      <c r="EE232" s="66" t="str">
        <f t="shared" si="3597"/>
        <v/>
      </c>
      <c r="EF232" s="66" t="str">
        <f t="shared" si="3598"/>
        <v/>
      </c>
      <c r="EG232" s="66" t="str">
        <f t="shared" si="3599"/>
        <v/>
      </c>
      <c r="EH232" s="66" t="str">
        <f t="shared" si="3600"/>
        <v/>
      </c>
      <c r="EI232" s="66" t="str">
        <f t="shared" si="3601"/>
        <v/>
      </c>
      <c r="EJ232" s="66" t="str">
        <f t="shared" si="3602"/>
        <v/>
      </c>
      <c r="EK232" s="66" t="str">
        <f t="shared" si="3603"/>
        <v/>
      </c>
      <c r="EL232" s="66" t="str">
        <f t="shared" si="3604"/>
        <v/>
      </c>
      <c r="EM232" s="66" t="str">
        <f t="shared" si="3605"/>
        <v/>
      </c>
      <c r="EN232" s="66" t="str">
        <f t="shared" si="3606"/>
        <v/>
      </c>
      <c r="EO232" s="66" t="str">
        <f t="shared" si="3607"/>
        <v/>
      </c>
      <c r="EP232" s="66" t="str">
        <f t="shared" si="3608"/>
        <v/>
      </c>
      <c r="EQ232" s="66" t="str">
        <f t="shared" si="3609"/>
        <v/>
      </c>
      <c r="ER232" s="66" t="str">
        <f t="shared" si="3610"/>
        <v/>
      </c>
      <c r="ES232" s="66" t="str">
        <f t="shared" si="3611"/>
        <v/>
      </c>
      <c r="ET232" s="66" t="str">
        <f t="shared" si="3612"/>
        <v/>
      </c>
      <c r="EU232" s="66" t="str">
        <f t="shared" si="3613"/>
        <v/>
      </c>
      <c r="EV232" s="66" t="str">
        <f t="shared" si="3614"/>
        <v/>
      </c>
      <c r="EW232" s="66" t="str">
        <f t="shared" si="3615"/>
        <v/>
      </c>
      <c r="EX232" s="66" t="str">
        <f t="shared" si="3616"/>
        <v/>
      </c>
      <c r="EY232" s="66" t="str">
        <f t="shared" si="3617"/>
        <v/>
      </c>
      <c r="EZ232" s="66" t="str">
        <f t="shared" si="3618"/>
        <v/>
      </c>
      <c r="FA232" s="66" t="str">
        <f t="shared" si="3619"/>
        <v/>
      </c>
      <c r="FB232" s="66" t="str">
        <f t="shared" si="3620"/>
        <v/>
      </c>
      <c r="FC232" s="66" t="str">
        <f t="shared" si="3621"/>
        <v/>
      </c>
      <c r="FD232" s="66" t="str">
        <f t="shared" si="3622"/>
        <v/>
      </c>
      <c r="FE232" s="66" t="str">
        <f t="shared" si="3623"/>
        <v/>
      </c>
      <c r="FF232" s="66" t="str">
        <f t="shared" si="3624"/>
        <v/>
      </c>
      <c r="FG232" s="66" t="str">
        <f t="shared" si="3625"/>
        <v/>
      </c>
      <c r="FH232" s="66" t="str">
        <f t="shared" si="3626"/>
        <v/>
      </c>
      <c r="FI232" s="66" t="str">
        <f t="shared" si="3627"/>
        <v/>
      </c>
      <c r="FJ232" s="66" t="str">
        <f t="shared" si="3628"/>
        <v/>
      </c>
      <c r="FK232" s="66" t="str">
        <f t="shared" si="3629"/>
        <v/>
      </c>
      <c r="FL232" s="66" t="str">
        <f t="shared" si="3630"/>
        <v/>
      </c>
      <c r="FM232" s="66" t="str">
        <f t="shared" si="3631"/>
        <v/>
      </c>
      <c r="FN232" s="66" t="str">
        <f t="shared" si="3632"/>
        <v/>
      </c>
      <c r="FO232" s="66" t="str">
        <f t="shared" si="3633"/>
        <v/>
      </c>
      <c r="FP232" s="66" t="str">
        <f t="shared" si="3634"/>
        <v/>
      </c>
      <c r="FQ232" s="66" t="str">
        <f t="shared" si="3635"/>
        <v/>
      </c>
      <c r="FR232" s="66" t="str">
        <f t="shared" si="3636"/>
        <v/>
      </c>
      <c r="FS232" s="66" t="str">
        <f t="shared" si="3637"/>
        <v/>
      </c>
    </row>
    <row r="233" spans="1:175" ht="16.5">
      <c r="A233" s="113"/>
      <c r="B233" s="27" t="s">
        <v>774</v>
      </c>
      <c r="C233" s="29" t="s">
        <v>764</v>
      </c>
      <c r="T233" s="118"/>
      <c r="U233" s="77"/>
      <c r="CN233" s="36" t="str">
        <f t="shared" si="3562"/>
        <v>InitUnitState('IF11',,,,,,,,,,)</v>
      </c>
      <c r="CO233" s="36" t="str">
        <f t="shared" si="3563"/>
        <v>InitUnitNormal('IF11',,,,,,,,,,)</v>
      </c>
      <c r="CP233" s="36" t="str">
        <f t="shared" si="3564"/>
        <v>InitUnitMagic('IF11',,,,,,,,,,)</v>
      </c>
      <c r="CQ233" s="36" t="str">
        <f t="shared" si="3565"/>
        <v>InitUnitAdd('IF11',,,,,,,,,,)</v>
      </c>
      <c r="CR233" s="36" t="str">
        <f t="shared" si="3566"/>
        <v>InitEquipData('IF11',,"",,,,,'','','','','','',"")</v>
      </c>
      <c r="CU233" s="88" t="str">
        <f t="shared" si="3567"/>
        <v>|n</v>
      </c>
      <c r="CW233" s="33"/>
      <c r="CX233" s="33"/>
      <c r="CY233" s="33"/>
      <c r="CZ233" s="33"/>
      <c r="DA233" s="33"/>
      <c r="DB233" s="66" t="str">
        <f t="shared" si="3568"/>
        <v/>
      </c>
      <c r="DC233" s="66" t="str">
        <f t="shared" si="3569"/>
        <v/>
      </c>
      <c r="DD233" s="66" t="str">
        <f t="shared" si="3570"/>
        <v/>
      </c>
      <c r="DE233" s="66" t="str">
        <f t="shared" si="3571"/>
        <v/>
      </c>
      <c r="DF233" s="66" t="str">
        <f t="shared" si="3572"/>
        <v/>
      </c>
      <c r="DG233" s="66" t="str">
        <f t="shared" si="3573"/>
        <v/>
      </c>
      <c r="DH233" s="66" t="str">
        <f t="shared" si="3574"/>
        <v/>
      </c>
      <c r="DI233" s="66" t="str">
        <f t="shared" si="3575"/>
        <v/>
      </c>
      <c r="DJ233" s="66" t="str">
        <f t="shared" si="3576"/>
        <v/>
      </c>
      <c r="DK233" s="66" t="str">
        <f t="shared" si="3577"/>
        <v/>
      </c>
      <c r="DL233" s="66" t="str">
        <f t="shared" si="3578"/>
        <v/>
      </c>
      <c r="DM233" s="66" t="str">
        <f t="shared" si="3579"/>
        <v/>
      </c>
      <c r="DN233" s="66" t="str">
        <f t="shared" si="3580"/>
        <v/>
      </c>
      <c r="DO233" s="66" t="str">
        <f t="shared" si="3581"/>
        <v/>
      </c>
      <c r="DP233" s="66" t="str">
        <f t="shared" si="3582"/>
        <v/>
      </c>
      <c r="DQ233" s="66" t="str">
        <f t="shared" si="3583"/>
        <v/>
      </c>
      <c r="DR233" s="66" t="str">
        <f t="shared" si="3584"/>
        <v/>
      </c>
      <c r="DS233" s="66" t="str">
        <f t="shared" si="3585"/>
        <v/>
      </c>
      <c r="DT233" s="66" t="str">
        <f t="shared" si="3586"/>
        <v/>
      </c>
      <c r="DU233" s="66" t="str">
        <f t="shared" si="3587"/>
        <v/>
      </c>
      <c r="DV233" s="66" t="str">
        <f t="shared" si="3588"/>
        <v/>
      </c>
      <c r="DW233" s="66" t="str">
        <f t="shared" si="3589"/>
        <v/>
      </c>
      <c r="DX233" s="66" t="str">
        <f t="shared" si="3590"/>
        <v/>
      </c>
      <c r="DY233" s="66" t="str">
        <f t="shared" si="3591"/>
        <v/>
      </c>
      <c r="DZ233" s="66" t="str">
        <f t="shared" si="3592"/>
        <v/>
      </c>
      <c r="EA233" s="66" t="str">
        <f t="shared" si="3593"/>
        <v/>
      </c>
      <c r="EB233" s="66" t="str">
        <f t="shared" si="3594"/>
        <v/>
      </c>
      <c r="EC233" s="66" t="str">
        <f t="shared" si="3595"/>
        <v/>
      </c>
      <c r="ED233" s="66" t="str">
        <f t="shared" si="3596"/>
        <v/>
      </c>
      <c r="EE233" s="66" t="str">
        <f t="shared" si="3597"/>
        <v/>
      </c>
      <c r="EF233" s="66" t="str">
        <f t="shared" si="3598"/>
        <v/>
      </c>
      <c r="EG233" s="66" t="str">
        <f t="shared" si="3599"/>
        <v/>
      </c>
      <c r="EH233" s="66" t="str">
        <f t="shared" si="3600"/>
        <v/>
      </c>
      <c r="EI233" s="66" t="str">
        <f t="shared" si="3601"/>
        <v/>
      </c>
      <c r="EJ233" s="66" t="str">
        <f t="shared" si="3602"/>
        <v/>
      </c>
      <c r="EK233" s="66" t="str">
        <f t="shared" si="3603"/>
        <v/>
      </c>
      <c r="EL233" s="66" t="str">
        <f t="shared" si="3604"/>
        <v/>
      </c>
      <c r="EM233" s="66" t="str">
        <f t="shared" si="3605"/>
        <v/>
      </c>
      <c r="EN233" s="66" t="str">
        <f t="shared" si="3606"/>
        <v/>
      </c>
      <c r="EO233" s="66" t="str">
        <f t="shared" si="3607"/>
        <v/>
      </c>
      <c r="EP233" s="66" t="str">
        <f t="shared" si="3608"/>
        <v/>
      </c>
      <c r="EQ233" s="66" t="str">
        <f t="shared" si="3609"/>
        <v/>
      </c>
      <c r="ER233" s="66" t="str">
        <f t="shared" si="3610"/>
        <v/>
      </c>
      <c r="ES233" s="66" t="str">
        <f t="shared" si="3611"/>
        <v/>
      </c>
      <c r="ET233" s="66" t="str">
        <f t="shared" si="3612"/>
        <v/>
      </c>
      <c r="EU233" s="66" t="str">
        <f t="shared" si="3613"/>
        <v/>
      </c>
      <c r="EV233" s="66" t="str">
        <f t="shared" si="3614"/>
        <v/>
      </c>
      <c r="EW233" s="66" t="str">
        <f t="shared" si="3615"/>
        <v/>
      </c>
      <c r="EX233" s="66" t="str">
        <f t="shared" si="3616"/>
        <v/>
      </c>
      <c r="EY233" s="66" t="str">
        <f t="shared" si="3617"/>
        <v/>
      </c>
      <c r="EZ233" s="66" t="str">
        <f t="shared" si="3618"/>
        <v/>
      </c>
      <c r="FA233" s="66" t="str">
        <f t="shared" si="3619"/>
        <v/>
      </c>
      <c r="FB233" s="66" t="str">
        <f t="shared" si="3620"/>
        <v/>
      </c>
      <c r="FC233" s="66" t="str">
        <f t="shared" si="3621"/>
        <v/>
      </c>
      <c r="FD233" s="66" t="str">
        <f t="shared" si="3622"/>
        <v/>
      </c>
      <c r="FE233" s="66" t="str">
        <f t="shared" si="3623"/>
        <v/>
      </c>
      <c r="FF233" s="66" t="str">
        <f t="shared" si="3624"/>
        <v/>
      </c>
      <c r="FG233" s="66" t="str">
        <f t="shared" si="3625"/>
        <v/>
      </c>
      <c r="FH233" s="66" t="str">
        <f t="shared" si="3626"/>
        <v/>
      </c>
      <c r="FI233" s="66" t="str">
        <f t="shared" si="3627"/>
        <v/>
      </c>
      <c r="FJ233" s="66" t="str">
        <f t="shared" si="3628"/>
        <v/>
      </c>
      <c r="FK233" s="66" t="str">
        <f t="shared" si="3629"/>
        <v/>
      </c>
      <c r="FL233" s="66" t="str">
        <f t="shared" si="3630"/>
        <v/>
      </c>
      <c r="FM233" s="66" t="str">
        <f t="shared" si="3631"/>
        <v/>
      </c>
      <c r="FN233" s="66" t="str">
        <f t="shared" si="3632"/>
        <v/>
      </c>
      <c r="FO233" s="66" t="str">
        <f t="shared" si="3633"/>
        <v/>
      </c>
      <c r="FP233" s="66" t="str">
        <f t="shared" si="3634"/>
        <v/>
      </c>
      <c r="FQ233" s="66" t="str">
        <f t="shared" si="3635"/>
        <v/>
      </c>
      <c r="FR233" s="66" t="str">
        <f t="shared" si="3636"/>
        <v/>
      </c>
      <c r="FS233" s="66" t="str">
        <f t="shared" si="3637"/>
        <v/>
      </c>
    </row>
    <row r="234" spans="1:175" ht="16.5">
      <c r="A234" s="112"/>
      <c r="B234" s="27" t="s">
        <v>775</v>
      </c>
      <c r="C234" s="29" t="s">
        <v>764</v>
      </c>
      <c r="T234" s="119"/>
      <c r="U234" s="77"/>
      <c r="CN234" s="36" t="str">
        <f t="shared" si="3562"/>
        <v>InitUnitState('IF12',,,,,,,,,,)</v>
      </c>
      <c r="CO234" s="36" t="str">
        <f t="shared" si="3563"/>
        <v>InitUnitNormal('IF12',,,,,,,,,,)</v>
      </c>
      <c r="CP234" s="36" t="str">
        <f t="shared" si="3564"/>
        <v>InitUnitMagic('IF12',,,,,,,,,,)</v>
      </c>
      <c r="CQ234" s="36" t="str">
        <f t="shared" si="3565"/>
        <v>InitUnitAdd('IF12',,,,,,,,,,)</v>
      </c>
      <c r="CR234" s="36" t="str">
        <f t="shared" si="3566"/>
        <v>InitEquipData('IF12',,"",,,,,'','','','','','',"")</v>
      </c>
      <c r="CU234" s="88" t="str">
        <f t="shared" si="3567"/>
        <v>|n</v>
      </c>
      <c r="CW234" s="33"/>
      <c r="CX234" s="33"/>
      <c r="CY234" s="33"/>
      <c r="CZ234" s="33"/>
      <c r="DA234" s="33"/>
      <c r="DB234" s="66" t="str">
        <f t="shared" si="3568"/>
        <v/>
      </c>
      <c r="DC234" s="66" t="str">
        <f t="shared" si="3569"/>
        <v/>
      </c>
      <c r="DD234" s="66" t="str">
        <f t="shared" si="3570"/>
        <v/>
      </c>
      <c r="DE234" s="66" t="str">
        <f t="shared" si="3571"/>
        <v/>
      </c>
      <c r="DF234" s="66" t="str">
        <f t="shared" si="3572"/>
        <v/>
      </c>
      <c r="DG234" s="66" t="str">
        <f t="shared" si="3573"/>
        <v/>
      </c>
      <c r="DH234" s="66" t="str">
        <f t="shared" si="3574"/>
        <v/>
      </c>
      <c r="DI234" s="66" t="str">
        <f t="shared" si="3575"/>
        <v/>
      </c>
      <c r="DJ234" s="66" t="str">
        <f t="shared" si="3576"/>
        <v/>
      </c>
      <c r="DK234" s="66" t="str">
        <f t="shared" si="3577"/>
        <v/>
      </c>
      <c r="DL234" s="66" t="str">
        <f t="shared" si="3578"/>
        <v/>
      </c>
      <c r="DM234" s="66" t="str">
        <f t="shared" si="3579"/>
        <v/>
      </c>
      <c r="DN234" s="66" t="str">
        <f t="shared" si="3580"/>
        <v/>
      </c>
      <c r="DO234" s="66" t="str">
        <f t="shared" si="3581"/>
        <v/>
      </c>
      <c r="DP234" s="66" t="str">
        <f t="shared" si="3582"/>
        <v/>
      </c>
      <c r="DQ234" s="66" t="str">
        <f t="shared" si="3583"/>
        <v/>
      </c>
      <c r="DR234" s="66" t="str">
        <f t="shared" si="3584"/>
        <v/>
      </c>
      <c r="DS234" s="66" t="str">
        <f t="shared" si="3585"/>
        <v/>
      </c>
      <c r="DT234" s="66" t="str">
        <f t="shared" si="3586"/>
        <v/>
      </c>
      <c r="DU234" s="66" t="str">
        <f t="shared" si="3587"/>
        <v/>
      </c>
      <c r="DV234" s="66" t="str">
        <f t="shared" si="3588"/>
        <v/>
      </c>
      <c r="DW234" s="66" t="str">
        <f t="shared" si="3589"/>
        <v/>
      </c>
      <c r="DX234" s="66" t="str">
        <f t="shared" si="3590"/>
        <v/>
      </c>
      <c r="DY234" s="66" t="str">
        <f t="shared" si="3591"/>
        <v/>
      </c>
      <c r="DZ234" s="66" t="str">
        <f t="shared" si="3592"/>
        <v/>
      </c>
      <c r="EA234" s="66" t="str">
        <f t="shared" si="3593"/>
        <v/>
      </c>
      <c r="EB234" s="66" t="str">
        <f t="shared" si="3594"/>
        <v/>
      </c>
      <c r="EC234" s="66" t="str">
        <f t="shared" si="3595"/>
        <v/>
      </c>
      <c r="ED234" s="66" t="str">
        <f t="shared" si="3596"/>
        <v/>
      </c>
      <c r="EE234" s="66" t="str">
        <f t="shared" si="3597"/>
        <v/>
      </c>
      <c r="EF234" s="66" t="str">
        <f t="shared" si="3598"/>
        <v/>
      </c>
      <c r="EG234" s="66" t="str">
        <f t="shared" si="3599"/>
        <v/>
      </c>
      <c r="EH234" s="66" t="str">
        <f t="shared" si="3600"/>
        <v/>
      </c>
      <c r="EI234" s="66" t="str">
        <f t="shared" si="3601"/>
        <v/>
      </c>
      <c r="EJ234" s="66" t="str">
        <f t="shared" si="3602"/>
        <v/>
      </c>
      <c r="EK234" s="66" t="str">
        <f t="shared" si="3603"/>
        <v/>
      </c>
      <c r="EL234" s="66" t="str">
        <f t="shared" si="3604"/>
        <v/>
      </c>
      <c r="EM234" s="66" t="str">
        <f t="shared" si="3605"/>
        <v/>
      </c>
      <c r="EN234" s="66" t="str">
        <f t="shared" si="3606"/>
        <v/>
      </c>
      <c r="EO234" s="66" t="str">
        <f t="shared" si="3607"/>
        <v/>
      </c>
      <c r="EP234" s="66" t="str">
        <f t="shared" si="3608"/>
        <v/>
      </c>
      <c r="EQ234" s="66" t="str">
        <f t="shared" si="3609"/>
        <v/>
      </c>
      <c r="ER234" s="66" t="str">
        <f t="shared" si="3610"/>
        <v/>
      </c>
      <c r="ES234" s="66" t="str">
        <f t="shared" si="3611"/>
        <v/>
      </c>
      <c r="ET234" s="66" t="str">
        <f t="shared" si="3612"/>
        <v/>
      </c>
      <c r="EU234" s="66" t="str">
        <f t="shared" si="3613"/>
        <v/>
      </c>
      <c r="EV234" s="66" t="str">
        <f t="shared" si="3614"/>
        <v/>
      </c>
      <c r="EW234" s="66" t="str">
        <f t="shared" si="3615"/>
        <v/>
      </c>
      <c r="EX234" s="66" t="str">
        <f t="shared" si="3616"/>
        <v/>
      </c>
      <c r="EY234" s="66" t="str">
        <f t="shared" si="3617"/>
        <v/>
      </c>
      <c r="EZ234" s="66" t="str">
        <f t="shared" si="3618"/>
        <v/>
      </c>
      <c r="FA234" s="66" t="str">
        <f t="shared" si="3619"/>
        <v/>
      </c>
      <c r="FB234" s="66" t="str">
        <f t="shared" si="3620"/>
        <v/>
      </c>
      <c r="FC234" s="66" t="str">
        <f t="shared" si="3621"/>
        <v/>
      </c>
      <c r="FD234" s="66" t="str">
        <f t="shared" si="3622"/>
        <v/>
      </c>
      <c r="FE234" s="66" t="str">
        <f t="shared" si="3623"/>
        <v/>
      </c>
      <c r="FF234" s="66" t="str">
        <f t="shared" si="3624"/>
        <v/>
      </c>
      <c r="FG234" s="66" t="str">
        <f t="shared" si="3625"/>
        <v/>
      </c>
      <c r="FH234" s="66" t="str">
        <f t="shared" si="3626"/>
        <v/>
      </c>
      <c r="FI234" s="66" t="str">
        <f t="shared" si="3627"/>
        <v/>
      </c>
      <c r="FJ234" s="66" t="str">
        <f t="shared" si="3628"/>
        <v/>
      </c>
      <c r="FK234" s="66" t="str">
        <f t="shared" si="3629"/>
        <v/>
      </c>
      <c r="FL234" s="66" t="str">
        <f t="shared" si="3630"/>
        <v/>
      </c>
      <c r="FM234" s="66" t="str">
        <f t="shared" si="3631"/>
        <v/>
      </c>
      <c r="FN234" s="66" t="str">
        <f t="shared" si="3632"/>
        <v/>
      </c>
      <c r="FO234" s="66" t="str">
        <f t="shared" si="3633"/>
        <v/>
      </c>
      <c r="FP234" s="66" t="str">
        <f t="shared" si="3634"/>
        <v/>
      </c>
      <c r="FQ234" s="66" t="str">
        <f t="shared" si="3635"/>
        <v/>
      </c>
      <c r="FR234" s="66" t="str">
        <f t="shared" si="3636"/>
        <v/>
      </c>
      <c r="FS234" s="66" t="str">
        <f t="shared" si="3637"/>
        <v/>
      </c>
    </row>
    <row r="235" spans="1:175" ht="16.5">
      <c r="A235" s="112"/>
      <c r="B235" s="27" t="s">
        <v>776</v>
      </c>
      <c r="C235" s="29" t="s">
        <v>764</v>
      </c>
      <c r="T235" s="119"/>
      <c r="U235" s="77"/>
      <c r="CN235" s="36" t="str">
        <f t="shared" si="3562"/>
        <v>InitUnitState('IF13',,,,,,,,,,)</v>
      </c>
      <c r="CO235" s="36" t="str">
        <f t="shared" si="3563"/>
        <v>InitUnitNormal('IF13',,,,,,,,,,)</v>
      </c>
      <c r="CP235" s="36" t="str">
        <f t="shared" si="3564"/>
        <v>InitUnitMagic('IF13',,,,,,,,,,)</v>
      </c>
      <c r="CQ235" s="36" t="str">
        <f t="shared" si="3565"/>
        <v>InitUnitAdd('IF13',,,,,,,,,,)</v>
      </c>
      <c r="CR235" s="36" t="str">
        <f t="shared" si="3566"/>
        <v>InitEquipData('IF13',,"",,,,,'','','','','','',"")</v>
      </c>
      <c r="CU235" s="88" t="str">
        <f t="shared" si="3567"/>
        <v>|n</v>
      </c>
      <c r="CW235" s="33"/>
      <c r="CX235" s="33"/>
      <c r="CY235" s="33"/>
      <c r="CZ235" s="33"/>
      <c r="DA235" s="33"/>
      <c r="DB235" s="66" t="str">
        <f t="shared" si="3568"/>
        <v/>
      </c>
      <c r="DC235" s="66" t="str">
        <f t="shared" si="3569"/>
        <v/>
      </c>
      <c r="DD235" s="66" t="str">
        <f t="shared" si="3570"/>
        <v/>
      </c>
      <c r="DE235" s="66" t="str">
        <f t="shared" si="3571"/>
        <v/>
      </c>
      <c r="DF235" s="66" t="str">
        <f t="shared" si="3572"/>
        <v/>
      </c>
      <c r="DG235" s="66" t="str">
        <f t="shared" si="3573"/>
        <v/>
      </c>
      <c r="DH235" s="66" t="str">
        <f t="shared" si="3574"/>
        <v/>
      </c>
      <c r="DI235" s="66" t="str">
        <f t="shared" si="3575"/>
        <v/>
      </c>
      <c r="DJ235" s="66" t="str">
        <f t="shared" si="3576"/>
        <v/>
      </c>
      <c r="DK235" s="66" t="str">
        <f t="shared" si="3577"/>
        <v/>
      </c>
      <c r="DL235" s="66" t="str">
        <f t="shared" si="3578"/>
        <v/>
      </c>
      <c r="DM235" s="66" t="str">
        <f t="shared" si="3579"/>
        <v/>
      </c>
      <c r="DN235" s="66" t="str">
        <f t="shared" si="3580"/>
        <v/>
      </c>
      <c r="DO235" s="66" t="str">
        <f t="shared" si="3581"/>
        <v/>
      </c>
      <c r="DP235" s="66" t="str">
        <f t="shared" si="3582"/>
        <v/>
      </c>
      <c r="DQ235" s="66" t="str">
        <f t="shared" si="3583"/>
        <v/>
      </c>
      <c r="DR235" s="66" t="str">
        <f t="shared" si="3584"/>
        <v/>
      </c>
      <c r="DS235" s="66" t="str">
        <f t="shared" si="3585"/>
        <v/>
      </c>
      <c r="DT235" s="66" t="str">
        <f t="shared" si="3586"/>
        <v/>
      </c>
      <c r="DU235" s="66" t="str">
        <f t="shared" si="3587"/>
        <v/>
      </c>
      <c r="DV235" s="66" t="str">
        <f t="shared" si="3588"/>
        <v/>
      </c>
      <c r="DW235" s="66" t="str">
        <f t="shared" si="3589"/>
        <v/>
      </c>
      <c r="DX235" s="66" t="str">
        <f t="shared" si="3590"/>
        <v/>
      </c>
      <c r="DY235" s="66" t="str">
        <f t="shared" si="3591"/>
        <v/>
      </c>
      <c r="DZ235" s="66" t="str">
        <f t="shared" si="3592"/>
        <v/>
      </c>
      <c r="EA235" s="66" t="str">
        <f t="shared" si="3593"/>
        <v/>
      </c>
      <c r="EB235" s="66" t="str">
        <f t="shared" si="3594"/>
        <v/>
      </c>
      <c r="EC235" s="66" t="str">
        <f t="shared" si="3595"/>
        <v/>
      </c>
      <c r="ED235" s="66" t="str">
        <f t="shared" si="3596"/>
        <v/>
      </c>
      <c r="EE235" s="66" t="str">
        <f t="shared" si="3597"/>
        <v/>
      </c>
      <c r="EF235" s="66" t="str">
        <f t="shared" si="3598"/>
        <v/>
      </c>
      <c r="EG235" s="66" t="str">
        <f t="shared" si="3599"/>
        <v/>
      </c>
      <c r="EH235" s="66" t="str">
        <f t="shared" si="3600"/>
        <v/>
      </c>
      <c r="EI235" s="66" t="str">
        <f t="shared" si="3601"/>
        <v/>
      </c>
      <c r="EJ235" s="66" t="str">
        <f t="shared" si="3602"/>
        <v/>
      </c>
      <c r="EK235" s="66" t="str">
        <f t="shared" si="3603"/>
        <v/>
      </c>
      <c r="EL235" s="66" t="str">
        <f t="shared" si="3604"/>
        <v/>
      </c>
      <c r="EM235" s="66" t="str">
        <f t="shared" si="3605"/>
        <v/>
      </c>
      <c r="EN235" s="66" t="str">
        <f t="shared" si="3606"/>
        <v/>
      </c>
      <c r="EO235" s="66" t="str">
        <f t="shared" si="3607"/>
        <v/>
      </c>
      <c r="EP235" s="66" t="str">
        <f t="shared" si="3608"/>
        <v/>
      </c>
      <c r="EQ235" s="66" t="str">
        <f t="shared" si="3609"/>
        <v/>
      </c>
      <c r="ER235" s="66" t="str">
        <f t="shared" si="3610"/>
        <v/>
      </c>
      <c r="ES235" s="66" t="str">
        <f t="shared" si="3611"/>
        <v/>
      </c>
      <c r="ET235" s="66" t="str">
        <f t="shared" si="3612"/>
        <v/>
      </c>
      <c r="EU235" s="66" t="str">
        <f t="shared" si="3613"/>
        <v/>
      </c>
      <c r="EV235" s="66" t="str">
        <f t="shared" si="3614"/>
        <v/>
      </c>
      <c r="EW235" s="66" t="str">
        <f t="shared" si="3615"/>
        <v/>
      </c>
      <c r="EX235" s="66" t="str">
        <f t="shared" si="3616"/>
        <v/>
      </c>
      <c r="EY235" s="66" t="str">
        <f t="shared" si="3617"/>
        <v/>
      </c>
      <c r="EZ235" s="66" t="str">
        <f t="shared" si="3618"/>
        <v/>
      </c>
      <c r="FA235" s="66" t="str">
        <f t="shared" si="3619"/>
        <v/>
      </c>
      <c r="FB235" s="66" t="str">
        <f t="shared" si="3620"/>
        <v/>
      </c>
      <c r="FC235" s="66" t="str">
        <f t="shared" si="3621"/>
        <v/>
      </c>
      <c r="FD235" s="66" t="str">
        <f t="shared" si="3622"/>
        <v/>
      </c>
      <c r="FE235" s="66" t="str">
        <f t="shared" si="3623"/>
        <v/>
      </c>
      <c r="FF235" s="66" t="str">
        <f t="shared" si="3624"/>
        <v/>
      </c>
      <c r="FG235" s="66" t="str">
        <f t="shared" si="3625"/>
        <v/>
      </c>
      <c r="FH235" s="66" t="str">
        <f t="shared" si="3626"/>
        <v/>
      </c>
      <c r="FI235" s="66" t="str">
        <f t="shared" si="3627"/>
        <v/>
      </c>
      <c r="FJ235" s="66" t="str">
        <f t="shared" si="3628"/>
        <v/>
      </c>
      <c r="FK235" s="66" t="str">
        <f t="shared" si="3629"/>
        <v/>
      </c>
      <c r="FL235" s="66" t="str">
        <f t="shared" si="3630"/>
        <v/>
      </c>
      <c r="FM235" s="66" t="str">
        <f t="shared" si="3631"/>
        <v/>
      </c>
      <c r="FN235" s="66" t="str">
        <f t="shared" si="3632"/>
        <v/>
      </c>
      <c r="FO235" s="66" t="str">
        <f t="shared" si="3633"/>
        <v/>
      </c>
      <c r="FP235" s="66" t="str">
        <f t="shared" si="3634"/>
        <v/>
      </c>
      <c r="FQ235" s="66" t="str">
        <f t="shared" si="3635"/>
        <v/>
      </c>
      <c r="FR235" s="66" t="str">
        <f t="shared" si="3636"/>
        <v/>
      </c>
      <c r="FS235" s="66" t="str">
        <f t="shared" si="3637"/>
        <v/>
      </c>
    </row>
    <row r="236" spans="1:175" ht="16.5">
      <c r="A236" s="112"/>
      <c r="B236" s="27" t="s">
        <v>777</v>
      </c>
      <c r="C236" s="29" t="s">
        <v>764</v>
      </c>
      <c r="T236" s="119"/>
      <c r="U236" s="77"/>
      <c r="CN236" s="36" t="str">
        <f t="shared" si="3562"/>
        <v>InitUnitState('IF14',,,,,,,,,,)</v>
      </c>
      <c r="CO236" s="36" t="str">
        <f t="shared" si="3563"/>
        <v>InitUnitNormal('IF14',,,,,,,,,,)</v>
      </c>
      <c r="CP236" s="36" t="str">
        <f t="shared" si="3564"/>
        <v>InitUnitMagic('IF14',,,,,,,,,,)</v>
      </c>
      <c r="CQ236" s="36" t="str">
        <f t="shared" si="3565"/>
        <v>InitUnitAdd('IF14',,,,,,,,,,)</v>
      </c>
      <c r="CR236" s="36" t="str">
        <f t="shared" si="3566"/>
        <v>InitEquipData('IF14',,"",,,,,'','','','','','',"")</v>
      </c>
      <c r="CU236" s="88" t="str">
        <f t="shared" si="3567"/>
        <v>|n</v>
      </c>
      <c r="CW236" s="33"/>
      <c r="CX236" s="33"/>
      <c r="CY236" s="33"/>
      <c r="CZ236" s="33"/>
      <c r="DA236" s="33"/>
      <c r="DB236" s="66" t="str">
        <f t="shared" si="3568"/>
        <v/>
      </c>
      <c r="DC236" s="66" t="str">
        <f t="shared" si="3569"/>
        <v/>
      </c>
      <c r="DD236" s="66" t="str">
        <f t="shared" si="3570"/>
        <v/>
      </c>
      <c r="DE236" s="66" t="str">
        <f t="shared" si="3571"/>
        <v/>
      </c>
      <c r="DF236" s="66" t="str">
        <f t="shared" si="3572"/>
        <v/>
      </c>
      <c r="DG236" s="66" t="str">
        <f t="shared" si="3573"/>
        <v/>
      </c>
      <c r="DH236" s="66" t="str">
        <f t="shared" si="3574"/>
        <v/>
      </c>
      <c r="DI236" s="66" t="str">
        <f t="shared" si="3575"/>
        <v/>
      </c>
      <c r="DJ236" s="66" t="str">
        <f t="shared" si="3576"/>
        <v/>
      </c>
      <c r="DK236" s="66" t="str">
        <f t="shared" si="3577"/>
        <v/>
      </c>
      <c r="DL236" s="66" t="str">
        <f t="shared" si="3578"/>
        <v/>
      </c>
      <c r="DM236" s="66" t="str">
        <f t="shared" si="3579"/>
        <v/>
      </c>
      <c r="DN236" s="66" t="str">
        <f t="shared" si="3580"/>
        <v/>
      </c>
      <c r="DO236" s="66" t="str">
        <f t="shared" si="3581"/>
        <v/>
      </c>
      <c r="DP236" s="66" t="str">
        <f t="shared" si="3582"/>
        <v/>
      </c>
      <c r="DQ236" s="66" t="str">
        <f t="shared" si="3583"/>
        <v/>
      </c>
      <c r="DR236" s="66" t="str">
        <f t="shared" si="3584"/>
        <v/>
      </c>
      <c r="DS236" s="66" t="str">
        <f t="shared" si="3585"/>
        <v/>
      </c>
      <c r="DT236" s="66" t="str">
        <f t="shared" si="3586"/>
        <v/>
      </c>
      <c r="DU236" s="66" t="str">
        <f t="shared" si="3587"/>
        <v/>
      </c>
      <c r="DV236" s="66" t="str">
        <f t="shared" si="3588"/>
        <v/>
      </c>
      <c r="DW236" s="66" t="str">
        <f t="shared" si="3589"/>
        <v/>
      </c>
      <c r="DX236" s="66" t="str">
        <f t="shared" si="3590"/>
        <v/>
      </c>
      <c r="DY236" s="66" t="str">
        <f t="shared" si="3591"/>
        <v/>
      </c>
      <c r="DZ236" s="66" t="str">
        <f t="shared" si="3592"/>
        <v/>
      </c>
      <c r="EA236" s="66" t="str">
        <f t="shared" si="3593"/>
        <v/>
      </c>
      <c r="EB236" s="66" t="str">
        <f t="shared" si="3594"/>
        <v/>
      </c>
      <c r="EC236" s="66" t="str">
        <f t="shared" si="3595"/>
        <v/>
      </c>
      <c r="ED236" s="66" t="str">
        <f t="shared" si="3596"/>
        <v/>
      </c>
      <c r="EE236" s="66" t="str">
        <f t="shared" si="3597"/>
        <v/>
      </c>
      <c r="EF236" s="66" t="str">
        <f t="shared" si="3598"/>
        <v/>
      </c>
      <c r="EG236" s="66" t="str">
        <f t="shared" si="3599"/>
        <v/>
      </c>
      <c r="EH236" s="66" t="str">
        <f t="shared" si="3600"/>
        <v/>
      </c>
      <c r="EI236" s="66" t="str">
        <f t="shared" si="3601"/>
        <v/>
      </c>
      <c r="EJ236" s="66" t="str">
        <f t="shared" si="3602"/>
        <v/>
      </c>
      <c r="EK236" s="66" t="str">
        <f t="shared" si="3603"/>
        <v/>
      </c>
      <c r="EL236" s="66" t="str">
        <f t="shared" si="3604"/>
        <v/>
      </c>
      <c r="EM236" s="66" t="str">
        <f t="shared" si="3605"/>
        <v/>
      </c>
      <c r="EN236" s="66" t="str">
        <f t="shared" si="3606"/>
        <v/>
      </c>
      <c r="EO236" s="66" t="str">
        <f t="shared" si="3607"/>
        <v/>
      </c>
      <c r="EP236" s="66" t="str">
        <f t="shared" si="3608"/>
        <v/>
      </c>
      <c r="EQ236" s="66" t="str">
        <f t="shared" si="3609"/>
        <v/>
      </c>
      <c r="ER236" s="66" t="str">
        <f t="shared" si="3610"/>
        <v/>
      </c>
      <c r="ES236" s="66" t="str">
        <f t="shared" si="3611"/>
        <v/>
      </c>
      <c r="ET236" s="66" t="str">
        <f t="shared" si="3612"/>
        <v/>
      </c>
      <c r="EU236" s="66" t="str">
        <f t="shared" si="3613"/>
        <v/>
      </c>
      <c r="EV236" s="66" t="str">
        <f t="shared" si="3614"/>
        <v/>
      </c>
      <c r="EW236" s="66" t="str">
        <f t="shared" si="3615"/>
        <v/>
      </c>
      <c r="EX236" s="66" t="str">
        <f t="shared" si="3616"/>
        <v/>
      </c>
      <c r="EY236" s="66" t="str">
        <f t="shared" si="3617"/>
        <v/>
      </c>
      <c r="EZ236" s="66" t="str">
        <f t="shared" si="3618"/>
        <v/>
      </c>
      <c r="FA236" s="66" t="str">
        <f t="shared" si="3619"/>
        <v/>
      </c>
      <c r="FB236" s="66" t="str">
        <f t="shared" si="3620"/>
        <v/>
      </c>
      <c r="FC236" s="66" t="str">
        <f t="shared" si="3621"/>
        <v/>
      </c>
      <c r="FD236" s="66" t="str">
        <f t="shared" si="3622"/>
        <v/>
      </c>
      <c r="FE236" s="66" t="str">
        <f t="shared" si="3623"/>
        <v/>
      </c>
      <c r="FF236" s="66" t="str">
        <f t="shared" si="3624"/>
        <v/>
      </c>
      <c r="FG236" s="66" t="str">
        <f t="shared" si="3625"/>
        <v/>
      </c>
      <c r="FH236" s="66" t="str">
        <f t="shared" si="3626"/>
        <v/>
      </c>
      <c r="FI236" s="66" t="str">
        <f t="shared" si="3627"/>
        <v/>
      </c>
      <c r="FJ236" s="66" t="str">
        <f t="shared" si="3628"/>
        <v/>
      </c>
      <c r="FK236" s="66" t="str">
        <f t="shared" si="3629"/>
        <v/>
      </c>
      <c r="FL236" s="66" t="str">
        <f t="shared" si="3630"/>
        <v/>
      </c>
      <c r="FM236" s="66" t="str">
        <f t="shared" si="3631"/>
        <v/>
      </c>
      <c r="FN236" s="66" t="str">
        <f t="shared" si="3632"/>
        <v/>
      </c>
      <c r="FO236" s="66" t="str">
        <f t="shared" si="3633"/>
        <v/>
      </c>
      <c r="FP236" s="66" t="str">
        <f t="shared" si="3634"/>
        <v/>
      </c>
      <c r="FQ236" s="66" t="str">
        <f t="shared" si="3635"/>
        <v/>
      </c>
      <c r="FR236" s="66" t="str">
        <f t="shared" si="3636"/>
        <v/>
      </c>
      <c r="FS236" s="66" t="str">
        <f t="shared" si="3637"/>
        <v/>
      </c>
    </row>
    <row r="237" spans="1:175" ht="16.5">
      <c r="A237" s="112"/>
      <c r="B237" s="27" t="s">
        <v>778</v>
      </c>
      <c r="C237" s="29" t="s">
        <v>764</v>
      </c>
      <c r="T237" s="119"/>
      <c r="U237" s="77"/>
      <c r="CN237" s="36" t="str">
        <f t="shared" si="3562"/>
        <v>InitUnitState('IF15',,,,,,,,,,)</v>
      </c>
      <c r="CO237" s="36" t="str">
        <f t="shared" si="3563"/>
        <v>InitUnitNormal('IF15',,,,,,,,,,)</v>
      </c>
      <c r="CP237" s="36" t="str">
        <f t="shared" si="3564"/>
        <v>InitUnitMagic('IF15',,,,,,,,,,)</v>
      </c>
      <c r="CQ237" s="36" t="str">
        <f t="shared" si="3565"/>
        <v>InitUnitAdd('IF15',,,,,,,,,,)</v>
      </c>
      <c r="CR237" s="36" t="str">
        <f t="shared" si="3566"/>
        <v>InitEquipData('IF15',,"",,,,,'','','','','','',"")</v>
      </c>
      <c r="CU237" s="88" t="str">
        <f t="shared" si="3567"/>
        <v>|n</v>
      </c>
      <c r="CW237" s="33"/>
      <c r="CX237" s="33"/>
      <c r="CY237" s="33"/>
      <c r="CZ237" s="33"/>
      <c r="DA237" s="33"/>
      <c r="DB237" s="66" t="str">
        <f t="shared" si="3568"/>
        <v/>
      </c>
      <c r="DC237" s="66" t="str">
        <f t="shared" si="3569"/>
        <v/>
      </c>
      <c r="DD237" s="66" t="str">
        <f t="shared" si="3570"/>
        <v/>
      </c>
      <c r="DE237" s="66" t="str">
        <f t="shared" si="3571"/>
        <v/>
      </c>
      <c r="DF237" s="66" t="str">
        <f t="shared" si="3572"/>
        <v/>
      </c>
      <c r="DG237" s="66" t="str">
        <f t="shared" si="3573"/>
        <v/>
      </c>
      <c r="DH237" s="66" t="str">
        <f t="shared" si="3574"/>
        <v/>
      </c>
      <c r="DI237" s="66" t="str">
        <f t="shared" si="3575"/>
        <v/>
      </c>
      <c r="DJ237" s="66" t="str">
        <f t="shared" si="3576"/>
        <v/>
      </c>
      <c r="DK237" s="66" t="str">
        <f t="shared" si="3577"/>
        <v/>
      </c>
      <c r="DL237" s="66" t="str">
        <f t="shared" si="3578"/>
        <v/>
      </c>
      <c r="DM237" s="66" t="str">
        <f t="shared" si="3579"/>
        <v/>
      </c>
      <c r="DN237" s="66" t="str">
        <f t="shared" si="3580"/>
        <v/>
      </c>
      <c r="DO237" s="66" t="str">
        <f t="shared" si="3581"/>
        <v/>
      </c>
      <c r="DP237" s="66" t="str">
        <f t="shared" si="3582"/>
        <v/>
      </c>
      <c r="DQ237" s="66" t="str">
        <f t="shared" si="3583"/>
        <v/>
      </c>
      <c r="DR237" s="66" t="str">
        <f t="shared" si="3584"/>
        <v/>
      </c>
      <c r="DS237" s="66" t="str">
        <f t="shared" si="3585"/>
        <v/>
      </c>
      <c r="DT237" s="66" t="str">
        <f t="shared" si="3586"/>
        <v/>
      </c>
      <c r="DU237" s="66" t="str">
        <f t="shared" si="3587"/>
        <v/>
      </c>
      <c r="DV237" s="66" t="str">
        <f t="shared" si="3588"/>
        <v/>
      </c>
      <c r="DW237" s="66" t="str">
        <f t="shared" si="3589"/>
        <v/>
      </c>
      <c r="DX237" s="66" t="str">
        <f t="shared" si="3590"/>
        <v/>
      </c>
      <c r="DY237" s="66" t="str">
        <f t="shared" si="3591"/>
        <v/>
      </c>
      <c r="DZ237" s="66" t="str">
        <f t="shared" si="3592"/>
        <v/>
      </c>
      <c r="EA237" s="66" t="str">
        <f t="shared" si="3593"/>
        <v/>
      </c>
      <c r="EB237" s="66" t="str">
        <f t="shared" si="3594"/>
        <v/>
      </c>
      <c r="EC237" s="66" t="str">
        <f t="shared" si="3595"/>
        <v/>
      </c>
      <c r="ED237" s="66" t="str">
        <f t="shared" si="3596"/>
        <v/>
      </c>
      <c r="EE237" s="66" t="str">
        <f t="shared" si="3597"/>
        <v/>
      </c>
      <c r="EF237" s="66" t="str">
        <f t="shared" si="3598"/>
        <v/>
      </c>
      <c r="EG237" s="66" t="str">
        <f t="shared" si="3599"/>
        <v/>
      </c>
      <c r="EH237" s="66" t="str">
        <f t="shared" si="3600"/>
        <v/>
      </c>
      <c r="EI237" s="66" t="str">
        <f t="shared" si="3601"/>
        <v/>
      </c>
      <c r="EJ237" s="66" t="str">
        <f t="shared" si="3602"/>
        <v/>
      </c>
      <c r="EK237" s="66" t="str">
        <f t="shared" si="3603"/>
        <v/>
      </c>
      <c r="EL237" s="66" t="str">
        <f t="shared" si="3604"/>
        <v/>
      </c>
      <c r="EM237" s="66" t="str">
        <f t="shared" si="3605"/>
        <v/>
      </c>
      <c r="EN237" s="66" t="str">
        <f t="shared" si="3606"/>
        <v/>
      </c>
      <c r="EO237" s="66" t="str">
        <f t="shared" si="3607"/>
        <v/>
      </c>
      <c r="EP237" s="66" t="str">
        <f t="shared" si="3608"/>
        <v/>
      </c>
      <c r="EQ237" s="66" t="str">
        <f t="shared" si="3609"/>
        <v/>
      </c>
      <c r="ER237" s="66" t="str">
        <f t="shared" si="3610"/>
        <v/>
      </c>
      <c r="ES237" s="66" t="str">
        <f t="shared" si="3611"/>
        <v/>
      </c>
      <c r="ET237" s="66" t="str">
        <f t="shared" si="3612"/>
        <v/>
      </c>
      <c r="EU237" s="66" t="str">
        <f t="shared" si="3613"/>
        <v/>
      </c>
      <c r="EV237" s="66" t="str">
        <f t="shared" si="3614"/>
        <v/>
      </c>
      <c r="EW237" s="66" t="str">
        <f t="shared" si="3615"/>
        <v/>
      </c>
      <c r="EX237" s="66" t="str">
        <f t="shared" si="3616"/>
        <v/>
      </c>
      <c r="EY237" s="66" t="str">
        <f t="shared" si="3617"/>
        <v/>
      </c>
      <c r="EZ237" s="66" t="str">
        <f t="shared" si="3618"/>
        <v/>
      </c>
      <c r="FA237" s="66" t="str">
        <f t="shared" si="3619"/>
        <v/>
      </c>
      <c r="FB237" s="66" t="str">
        <f t="shared" si="3620"/>
        <v/>
      </c>
      <c r="FC237" s="66" t="str">
        <f t="shared" si="3621"/>
        <v/>
      </c>
      <c r="FD237" s="66" t="str">
        <f t="shared" si="3622"/>
        <v/>
      </c>
      <c r="FE237" s="66" t="str">
        <f t="shared" si="3623"/>
        <v/>
      </c>
      <c r="FF237" s="66" t="str">
        <f t="shared" si="3624"/>
        <v/>
      </c>
      <c r="FG237" s="66" t="str">
        <f t="shared" si="3625"/>
        <v/>
      </c>
      <c r="FH237" s="66" t="str">
        <f t="shared" si="3626"/>
        <v/>
      </c>
      <c r="FI237" s="66" t="str">
        <f t="shared" si="3627"/>
        <v/>
      </c>
      <c r="FJ237" s="66" t="str">
        <f t="shared" si="3628"/>
        <v/>
      </c>
      <c r="FK237" s="66" t="str">
        <f t="shared" si="3629"/>
        <v/>
      </c>
      <c r="FL237" s="66" t="str">
        <f t="shared" si="3630"/>
        <v/>
      </c>
      <c r="FM237" s="66" t="str">
        <f t="shared" si="3631"/>
        <v/>
      </c>
      <c r="FN237" s="66" t="str">
        <f t="shared" si="3632"/>
        <v/>
      </c>
      <c r="FO237" s="66" t="str">
        <f t="shared" si="3633"/>
        <v/>
      </c>
      <c r="FP237" s="66" t="str">
        <f t="shared" si="3634"/>
        <v/>
      </c>
      <c r="FQ237" s="66" t="str">
        <f t="shared" si="3635"/>
        <v/>
      </c>
      <c r="FR237" s="66" t="str">
        <f t="shared" si="3636"/>
        <v/>
      </c>
      <c r="FS237" s="66" t="str">
        <f t="shared" si="3637"/>
        <v/>
      </c>
    </row>
    <row r="238" spans="1:175" ht="16.5">
      <c r="A238" s="112"/>
      <c r="B238" s="27" t="s">
        <v>779</v>
      </c>
      <c r="C238" s="29" t="s">
        <v>764</v>
      </c>
      <c r="T238" s="119"/>
      <c r="U238" s="77"/>
      <c r="CN238" s="36" t="str">
        <f t="shared" si="3562"/>
        <v>InitUnitState('IF16',,,,,,,,,,)</v>
      </c>
      <c r="CO238" s="36" t="str">
        <f t="shared" si="3563"/>
        <v>InitUnitNormal('IF16',,,,,,,,,,)</v>
      </c>
      <c r="CP238" s="36" t="str">
        <f t="shared" si="3564"/>
        <v>InitUnitMagic('IF16',,,,,,,,,,)</v>
      </c>
      <c r="CQ238" s="36" t="str">
        <f t="shared" si="3565"/>
        <v>InitUnitAdd('IF16',,,,,,,,,,)</v>
      </c>
      <c r="CR238" s="36" t="str">
        <f t="shared" si="3566"/>
        <v>InitEquipData('IF16',,"",,,,,'','','','','','',"")</v>
      </c>
      <c r="CU238" s="88" t="str">
        <f t="shared" si="3567"/>
        <v>|n</v>
      </c>
      <c r="CW238" s="33"/>
      <c r="CX238" s="33"/>
      <c r="CY238" s="33"/>
      <c r="CZ238" s="33"/>
      <c r="DA238" s="33"/>
      <c r="DB238" s="66" t="str">
        <f t="shared" si="3568"/>
        <v/>
      </c>
      <c r="DC238" s="66" t="str">
        <f t="shared" si="3569"/>
        <v/>
      </c>
      <c r="DD238" s="66" t="str">
        <f t="shared" si="3570"/>
        <v/>
      </c>
      <c r="DE238" s="66" t="str">
        <f t="shared" si="3571"/>
        <v/>
      </c>
      <c r="DF238" s="66" t="str">
        <f t="shared" si="3572"/>
        <v/>
      </c>
      <c r="DG238" s="66" t="str">
        <f t="shared" si="3573"/>
        <v/>
      </c>
      <c r="DH238" s="66" t="str">
        <f t="shared" si="3574"/>
        <v/>
      </c>
      <c r="DI238" s="66" t="str">
        <f t="shared" si="3575"/>
        <v/>
      </c>
      <c r="DJ238" s="66" t="str">
        <f t="shared" si="3576"/>
        <v/>
      </c>
      <c r="DK238" s="66" t="str">
        <f t="shared" si="3577"/>
        <v/>
      </c>
      <c r="DL238" s="66" t="str">
        <f t="shared" si="3578"/>
        <v/>
      </c>
      <c r="DM238" s="66" t="str">
        <f t="shared" si="3579"/>
        <v/>
      </c>
      <c r="DN238" s="66" t="str">
        <f t="shared" si="3580"/>
        <v/>
      </c>
      <c r="DO238" s="66" t="str">
        <f t="shared" si="3581"/>
        <v/>
      </c>
      <c r="DP238" s="66" t="str">
        <f t="shared" si="3582"/>
        <v/>
      </c>
      <c r="DQ238" s="66" t="str">
        <f t="shared" si="3583"/>
        <v/>
      </c>
      <c r="DR238" s="66" t="str">
        <f t="shared" si="3584"/>
        <v/>
      </c>
      <c r="DS238" s="66" t="str">
        <f t="shared" si="3585"/>
        <v/>
      </c>
      <c r="DT238" s="66" t="str">
        <f t="shared" si="3586"/>
        <v/>
      </c>
      <c r="DU238" s="66" t="str">
        <f t="shared" si="3587"/>
        <v/>
      </c>
      <c r="DV238" s="66" t="str">
        <f t="shared" si="3588"/>
        <v/>
      </c>
      <c r="DW238" s="66" t="str">
        <f t="shared" si="3589"/>
        <v/>
      </c>
      <c r="DX238" s="66" t="str">
        <f t="shared" si="3590"/>
        <v/>
      </c>
      <c r="DY238" s="66" t="str">
        <f t="shared" si="3591"/>
        <v/>
      </c>
      <c r="DZ238" s="66" t="str">
        <f t="shared" si="3592"/>
        <v/>
      </c>
      <c r="EA238" s="66" t="str">
        <f t="shared" si="3593"/>
        <v/>
      </c>
      <c r="EB238" s="66" t="str">
        <f t="shared" si="3594"/>
        <v/>
      </c>
      <c r="EC238" s="66" t="str">
        <f t="shared" si="3595"/>
        <v/>
      </c>
      <c r="ED238" s="66" t="str">
        <f t="shared" si="3596"/>
        <v/>
      </c>
      <c r="EE238" s="66" t="str">
        <f t="shared" si="3597"/>
        <v/>
      </c>
      <c r="EF238" s="66" t="str">
        <f t="shared" si="3598"/>
        <v/>
      </c>
      <c r="EG238" s="66" t="str">
        <f t="shared" si="3599"/>
        <v/>
      </c>
      <c r="EH238" s="66" t="str">
        <f t="shared" si="3600"/>
        <v/>
      </c>
      <c r="EI238" s="66" t="str">
        <f t="shared" si="3601"/>
        <v/>
      </c>
      <c r="EJ238" s="66" t="str">
        <f t="shared" si="3602"/>
        <v/>
      </c>
      <c r="EK238" s="66" t="str">
        <f t="shared" si="3603"/>
        <v/>
      </c>
      <c r="EL238" s="66" t="str">
        <f t="shared" si="3604"/>
        <v/>
      </c>
      <c r="EM238" s="66" t="str">
        <f t="shared" si="3605"/>
        <v/>
      </c>
      <c r="EN238" s="66" t="str">
        <f t="shared" si="3606"/>
        <v/>
      </c>
      <c r="EO238" s="66" t="str">
        <f t="shared" si="3607"/>
        <v/>
      </c>
      <c r="EP238" s="66" t="str">
        <f t="shared" si="3608"/>
        <v/>
      </c>
      <c r="EQ238" s="66" t="str">
        <f t="shared" si="3609"/>
        <v/>
      </c>
      <c r="ER238" s="66" t="str">
        <f t="shared" si="3610"/>
        <v/>
      </c>
      <c r="ES238" s="66" t="str">
        <f t="shared" si="3611"/>
        <v/>
      </c>
      <c r="ET238" s="66" t="str">
        <f t="shared" si="3612"/>
        <v/>
      </c>
      <c r="EU238" s="66" t="str">
        <f t="shared" si="3613"/>
        <v/>
      </c>
      <c r="EV238" s="66" t="str">
        <f t="shared" si="3614"/>
        <v/>
      </c>
      <c r="EW238" s="66" t="str">
        <f t="shared" si="3615"/>
        <v/>
      </c>
      <c r="EX238" s="66" t="str">
        <f t="shared" si="3616"/>
        <v/>
      </c>
      <c r="EY238" s="66" t="str">
        <f t="shared" si="3617"/>
        <v/>
      </c>
      <c r="EZ238" s="66" t="str">
        <f t="shared" si="3618"/>
        <v/>
      </c>
      <c r="FA238" s="66" t="str">
        <f t="shared" si="3619"/>
        <v/>
      </c>
      <c r="FB238" s="66" t="str">
        <f t="shared" si="3620"/>
        <v/>
      </c>
      <c r="FC238" s="66" t="str">
        <f t="shared" si="3621"/>
        <v/>
      </c>
      <c r="FD238" s="66" t="str">
        <f t="shared" si="3622"/>
        <v/>
      </c>
      <c r="FE238" s="66" t="str">
        <f t="shared" si="3623"/>
        <v/>
      </c>
      <c r="FF238" s="66" t="str">
        <f t="shared" si="3624"/>
        <v/>
      </c>
      <c r="FG238" s="66" t="str">
        <f t="shared" si="3625"/>
        <v/>
      </c>
      <c r="FH238" s="66" t="str">
        <f t="shared" si="3626"/>
        <v/>
      </c>
      <c r="FI238" s="66" t="str">
        <f t="shared" si="3627"/>
        <v/>
      </c>
      <c r="FJ238" s="66" t="str">
        <f t="shared" si="3628"/>
        <v/>
      </c>
      <c r="FK238" s="66" t="str">
        <f t="shared" si="3629"/>
        <v/>
      </c>
      <c r="FL238" s="66" t="str">
        <f t="shared" si="3630"/>
        <v/>
      </c>
      <c r="FM238" s="66" t="str">
        <f t="shared" si="3631"/>
        <v/>
      </c>
      <c r="FN238" s="66" t="str">
        <f t="shared" si="3632"/>
        <v/>
      </c>
      <c r="FO238" s="66" t="str">
        <f t="shared" si="3633"/>
        <v/>
      </c>
      <c r="FP238" s="66" t="str">
        <f t="shared" si="3634"/>
        <v/>
      </c>
      <c r="FQ238" s="66" t="str">
        <f t="shared" si="3635"/>
        <v/>
      </c>
      <c r="FR238" s="66" t="str">
        <f t="shared" si="3636"/>
        <v/>
      </c>
      <c r="FS238" s="66" t="str">
        <f t="shared" si="3637"/>
        <v/>
      </c>
    </row>
    <row r="239" spans="1:175" ht="16.5">
      <c r="A239" s="112"/>
      <c r="B239" s="27" t="s">
        <v>780</v>
      </c>
      <c r="C239" s="29" t="s">
        <v>764</v>
      </c>
      <c r="T239" s="119"/>
      <c r="U239" s="77"/>
      <c r="CN239" s="36" t="str">
        <f t="shared" si="3562"/>
        <v>InitUnitState('IF17',,,,,,,,,,)</v>
      </c>
      <c r="CO239" s="36" t="str">
        <f t="shared" si="3563"/>
        <v>InitUnitNormal('IF17',,,,,,,,,,)</v>
      </c>
      <c r="CP239" s="36" t="str">
        <f t="shared" si="3564"/>
        <v>InitUnitMagic('IF17',,,,,,,,,,)</v>
      </c>
      <c r="CQ239" s="36" t="str">
        <f t="shared" si="3565"/>
        <v>InitUnitAdd('IF17',,,,,,,,,,)</v>
      </c>
      <c r="CR239" s="36" t="str">
        <f t="shared" si="3566"/>
        <v>InitEquipData('IF17',,"",,,,,'','','','','','',"")</v>
      </c>
      <c r="CU239" s="88" t="str">
        <f t="shared" si="3567"/>
        <v>|n</v>
      </c>
      <c r="CW239" s="33"/>
      <c r="CX239" s="33"/>
      <c r="CY239" s="33"/>
      <c r="CZ239" s="33"/>
      <c r="DA239" s="33"/>
      <c r="DB239" s="66" t="str">
        <f t="shared" si="3568"/>
        <v/>
      </c>
      <c r="DC239" s="66" t="str">
        <f t="shared" si="3569"/>
        <v/>
      </c>
      <c r="DD239" s="66" t="str">
        <f t="shared" si="3570"/>
        <v/>
      </c>
      <c r="DE239" s="66" t="str">
        <f t="shared" si="3571"/>
        <v/>
      </c>
      <c r="DF239" s="66" t="str">
        <f t="shared" si="3572"/>
        <v/>
      </c>
      <c r="DG239" s="66" t="str">
        <f t="shared" si="3573"/>
        <v/>
      </c>
      <c r="DH239" s="66" t="str">
        <f t="shared" si="3574"/>
        <v/>
      </c>
      <c r="DI239" s="66" t="str">
        <f t="shared" si="3575"/>
        <v/>
      </c>
      <c r="DJ239" s="66" t="str">
        <f t="shared" si="3576"/>
        <v/>
      </c>
      <c r="DK239" s="66" t="str">
        <f t="shared" si="3577"/>
        <v/>
      </c>
      <c r="DL239" s="66" t="str">
        <f t="shared" si="3578"/>
        <v/>
      </c>
      <c r="DM239" s="66" t="str">
        <f t="shared" si="3579"/>
        <v/>
      </c>
      <c r="DN239" s="66" t="str">
        <f t="shared" si="3580"/>
        <v/>
      </c>
      <c r="DO239" s="66" t="str">
        <f t="shared" si="3581"/>
        <v/>
      </c>
      <c r="DP239" s="66" t="str">
        <f t="shared" si="3582"/>
        <v/>
      </c>
      <c r="DQ239" s="66" t="str">
        <f t="shared" si="3583"/>
        <v/>
      </c>
      <c r="DR239" s="66" t="str">
        <f t="shared" si="3584"/>
        <v/>
      </c>
      <c r="DS239" s="66" t="str">
        <f t="shared" si="3585"/>
        <v/>
      </c>
      <c r="DT239" s="66" t="str">
        <f t="shared" si="3586"/>
        <v/>
      </c>
      <c r="DU239" s="66" t="str">
        <f t="shared" si="3587"/>
        <v/>
      </c>
      <c r="DV239" s="66" t="str">
        <f t="shared" si="3588"/>
        <v/>
      </c>
      <c r="DW239" s="66" t="str">
        <f t="shared" si="3589"/>
        <v/>
      </c>
      <c r="DX239" s="66" t="str">
        <f t="shared" si="3590"/>
        <v/>
      </c>
      <c r="DY239" s="66" t="str">
        <f t="shared" si="3591"/>
        <v/>
      </c>
      <c r="DZ239" s="66" t="str">
        <f t="shared" si="3592"/>
        <v/>
      </c>
      <c r="EA239" s="66" t="str">
        <f t="shared" si="3593"/>
        <v/>
      </c>
      <c r="EB239" s="66" t="str">
        <f t="shared" si="3594"/>
        <v/>
      </c>
      <c r="EC239" s="66" t="str">
        <f t="shared" si="3595"/>
        <v/>
      </c>
      <c r="ED239" s="66" t="str">
        <f t="shared" si="3596"/>
        <v/>
      </c>
      <c r="EE239" s="66" t="str">
        <f t="shared" si="3597"/>
        <v/>
      </c>
      <c r="EF239" s="66" t="str">
        <f t="shared" si="3598"/>
        <v/>
      </c>
      <c r="EG239" s="66" t="str">
        <f t="shared" si="3599"/>
        <v/>
      </c>
      <c r="EH239" s="66" t="str">
        <f t="shared" si="3600"/>
        <v/>
      </c>
      <c r="EI239" s="66" t="str">
        <f t="shared" si="3601"/>
        <v/>
      </c>
      <c r="EJ239" s="66" t="str">
        <f t="shared" si="3602"/>
        <v/>
      </c>
      <c r="EK239" s="66" t="str">
        <f t="shared" si="3603"/>
        <v/>
      </c>
      <c r="EL239" s="66" t="str">
        <f t="shared" si="3604"/>
        <v/>
      </c>
      <c r="EM239" s="66" t="str">
        <f t="shared" si="3605"/>
        <v/>
      </c>
      <c r="EN239" s="66" t="str">
        <f t="shared" si="3606"/>
        <v/>
      </c>
      <c r="EO239" s="66" t="str">
        <f t="shared" si="3607"/>
        <v/>
      </c>
      <c r="EP239" s="66" t="str">
        <f t="shared" si="3608"/>
        <v/>
      </c>
      <c r="EQ239" s="66" t="str">
        <f t="shared" si="3609"/>
        <v/>
      </c>
      <c r="ER239" s="66" t="str">
        <f t="shared" si="3610"/>
        <v/>
      </c>
      <c r="ES239" s="66" t="str">
        <f t="shared" si="3611"/>
        <v/>
      </c>
      <c r="ET239" s="66" t="str">
        <f t="shared" si="3612"/>
        <v/>
      </c>
      <c r="EU239" s="66" t="str">
        <f t="shared" si="3613"/>
        <v/>
      </c>
      <c r="EV239" s="66" t="str">
        <f t="shared" si="3614"/>
        <v/>
      </c>
      <c r="EW239" s="66" t="str">
        <f t="shared" si="3615"/>
        <v/>
      </c>
      <c r="EX239" s="66" t="str">
        <f t="shared" si="3616"/>
        <v/>
      </c>
      <c r="EY239" s="66" t="str">
        <f t="shared" si="3617"/>
        <v/>
      </c>
      <c r="EZ239" s="66" t="str">
        <f t="shared" si="3618"/>
        <v/>
      </c>
      <c r="FA239" s="66" t="str">
        <f t="shared" si="3619"/>
        <v/>
      </c>
      <c r="FB239" s="66" t="str">
        <f t="shared" si="3620"/>
        <v/>
      </c>
      <c r="FC239" s="66" t="str">
        <f t="shared" si="3621"/>
        <v/>
      </c>
      <c r="FD239" s="66" t="str">
        <f t="shared" si="3622"/>
        <v/>
      </c>
      <c r="FE239" s="66" t="str">
        <f t="shared" si="3623"/>
        <v/>
      </c>
      <c r="FF239" s="66" t="str">
        <f t="shared" si="3624"/>
        <v/>
      </c>
      <c r="FG239" s="66" t="str">
        <f t="shared" si="3625"/>
        <v/>
      </c>
      <c r="FH239" s="66" t="str">
        <f t="shared" si="3626"/>
        <v/>
      </c>
      <c r="FI239" s="66" t="str">
        <f t="shared" si="3627"/>
        <v/>
      </c>
      <c r="FJ239" s="66" t="str">
        <f t="shared" si="3628"/>
        <v/>
      </c>
      <c r="FK239" s="66" t="str">
        <f t="shared" si="3629"/>
        <v/>
      </c>
      <c r="FL239" s="66" t="str">
        <f t="shared" si="3630"/>
        <v/>
      </c>
      <c r="FM239" s="66" t="str">
        <f t="shared" si="3631"/>
        <v/>
      </c>
      <c r="FN239" s="66" t="str">
        <f t="shared" si="3632"/>
        <v/>
      </c>
      <c r="FO239" s="66" t="str">
        <f t="shared" si="3633"/>
        <v/>
      </c>
      <c r="FP239" s="66" t="str">
        <f t="shared" si="3634"/>
        <v/>
      </c>
      <c r="FQ239" s="66" t="str">
        <f t="shared" si="3635"/>
        <v/>
      </c>
      <c r="FR239" s="66" t="str">
        <f t="shared" si="3636"/>
        <v/>
      </c>
      <c r="FS239" s="66" t="str">
        <f t="shared" si="3637"/>
        <v/>
      </c>
    </row>
    <row r="240" spans="1:175" ht="16.5">
      <c r="A240" s="112"/>
      <c r="B240" s="27" t="s">
        <v>781</v>
      </c>
      <c r="C240" s="29" t="s">
        <v>764</v>
      </c>
      <c r="T240" s="120"/>
      <c r="U240" s="77"/>
      <c r="CN240" s="36" t="str">
        <f t="shared" si="3562"/>
        <v>InitUnitState('IF18',,,,,,,,,,)</v>
      </c>
      <c r="CO240" s="36" t="str">
        <f t="shared" si="3563"/>
        <v>InitUnitNormal('IF18',,,,,,,,,,)</v>
      </c>
      <c r="CP240" s="36" t="str">
        <f t="shared" si="3564"/>
        <v>InitUnitMagic('IF18',,,,,,,,,,)</v>
      </c>
      <c r="CQ240" s="36" t="str">
        <f t="shared" si="3565"/>
        <v>InitUnitAdd('IF18',,,,,,,,,,)</v>
      </c>
      <c r="CR240" s="36" t="str">
        <f t="shared" si="3566"/>
        <v>InitEquipData('IF18',,"",,,,,'','','','','','',"")</v>
      </c>
      <c r="CU240" s="88" t="str">
        <f t="shared" si="3567"/>
        <v>|n</v>
      </c>
      <c r="CW240" s="33"/>
      <c r="CX240" s="33"/>
      <c r="CY240" s="33"/>
      <c r="CZ240" s="33"/>
      <c r="DA240" s="33"/>
      <c r="DB240" s="66" t="str">
        <f t="shared" si="3568"/>
        <v/>
      </c>
      <c r="DC240" s="66" t="str">
        <f t="shared" si="3569"/>
        <v/>
      </c>
      <c r="DD240" s="66" t="str">
        <f t="shared" si="3570"/>
        <v/>
      </c>
      <c r="DE240" s="66" t="str">
        <f t="shared" si="3571"/>
        <v/>
      </c>
      <c r="DF240" s="66" t="str">
        <f t="shared" si="3572"/>
        <v/>
      </c>
      <c r="DG240" s="66" t="str">
        <f t="shared" si="3573"/>
        <v/>
      </c>
      <c r="DH240" s="66" t="str">
        <f t="shared" si="3574"/>
        <v/>
      </c>
      <c r="DI240" s="66" t="str">
        <f t="shared" si="3575"/>
        <v/>
      </c>
      <c r="DJ240" s="66" t="str">
        <f t="shared" si="3576"/>
        <v/>
      </c>
      <c r="DK240" s="66" t="str">
        <f t="shared" si="3577"/>
        <v/>
      </c>
      <c r="DL240" s="66" t="str">
        <f t="shared" si="3578"/>
        <v/>
      </c>
      <c r="DM240" s="66" t="str">
        <f t="shared" si="3579"/>
        <v/>
      </c>
      <c r="DN240" s="66" t="str">
        <f t="shared" si="3580"/>
        <v/>
      </c>
      <c r="DO240" s="66" t="str">
        <f t="shared" si="3581"/>
        <v/>
      </c>
      <c r="DP240" s="66" t="str">
        <f t="shared" si="3582"/>
        <v/>
      </c>
      <c r="DQ240" s="66" t="str">
        <f t="shared" si="3583"/>
        <v/>
      </c>
      <c r="DR240" s="66" t="str">
        <f t="shared" si="3584"/>
        <v/>
      </c>
      <c r="DS240" s="66" t="str">
        <f t="shared" si="3585"/>
        <v/>
      </c>
      <c r="DT240" s="66" t="str">
        <f t="shared" si="3586"/>
        <v/>
      </c>
      <c r="DU240" s="66" t="str">
        <f t="shared" si="3587"/>
        <v/>
      </c>
      <c r="DV240" s="66" t="str">
        <f t="shared" si="3588"/>
        <v/>
      </c>
      <c r="DW240" s="66" t="str">
        <f t="shared" si="3589"/>
        <v/>
      </c>
      <c r="DX240" s="66" t="str">
        <f t="shared" si="3590"/>
        <v/>
      </c>
      <c r="DY240" s="66" t="str">
        <f t="shared" si="3591"/>
        <v/>
      </c>
      <c r="DZ240" s="66" t="str">
        <f t="shared" si="3592"/>
        <v/>
      </c>
      <c r="EA240" s="66" t="str">
        <f t="shared" si="3593"/>
        <v/>
      </c>
      <c r="EB240" s="66" t="str">
        <f t="shared" si="3594"/>
        <v/>
      </c>
      <c r="EC240" s="66" t="str">
        <f t="shared" si="3595"/>
        <v/>
      </c>
      <c r="ED240" s="66" t="str">
        <f t="shared" si="3596"/>
        <v/>
      </c>
      <c r="EE240" s="66" t="str">
        <f t="shared" si="3597"/>
        <v/>
      </c>
      <c r="EF240" s="66" t="str">
        <f t="shared" si="3598"/>
        <v/>
      </c>
      <c r="EG240" s="66" t="str">
        <f t="shared" si="3599"/>
        <v/>
      </c>
      <c r="EH240" s="66" t="str">
        <f t="shared" si="3600"/>
        <v/>
      </c>
      <c r="EI240" s="66" t="str">
        <f t="shared" si="3601"/>
        <v/>
      </c>
      <c r="EJ240" s="66" t="str">
        <f t="shared" si="3602"/>
        <v/>
      </c>
      <c r="EK240" s="66" t="str">
        <f t="shared" si="3603"/>
        <v/>
      </c>
      <c r="EL240" s="66" t="str">
        <f t="shared" si="3604"/>
        <v/>
      </c>
      <c r="EM240" s="66" t="str">
        <f t="shared" si="3605"/>
        <v/>
      </c>
      <c r="EN240" s="66" t="str">
        <f t="shared" si="3606"/>
        <v/>
      </c>
      <c r="EO240" s="66" t="str">
        <f t="shared" si="3607"/>
        <v/>
      </c>
      <c r="EP240" s="66" t="str">
        <f t="shared" si="3608"/>
        <v/>
      </c>
      <c r="EQ240" s="66" t="str">
        <f t="shared" si="3609"/>
        <v/>
      </c>
      <c r="ER240" s="66" t="str">
        <f t="shared" si="3610"/>
        <v/>
      </c>
      <c r="ES240" s="66" t="str">
        <f t="shared" si="3611"/>
        <v/>
      </c>
      <c r="ET240" s="66" t="str">
        <f t="shared" si="3612"/>
        <v/>
      </c>
      <c r="EU240" s="66" t="str">
        <f t="shared" si="3613"/>
        <v/>
      </c>
      <c r="EV240" s="66" t="str">
        <f t="shared" si="3614"/>
        <v/>
      </c>
      <c r="EW240" s="66" t="str">
        <f t="shared" si="3615"/>
        <v/>
      </c>
      <c r="EX240" s="66" t="str">
        <f t="shared" si="3616"/>
        <v/>
      </c>
      <c r="EY240" s="66" t="str">
        <f t="shared" si="3617"/>
        <v/>
      </c>
      <c r="EZ240" s="66" t="str">
        <f t="shared" si="3618"/>
        <v/>
      </c>
      <c r="FA240" s="66" t="str">
        <f t="shared" si="3619"/>
        <v/>
      </c>
      <c r="FB240" s="66" t="str">
        <f t="shared" si="3620"/>
        <v/>
      </c>
      <c r="FC240" s="66" t="str">
        <f t="shared" si="3621"/>
        <v/>
      </c>
      <c r="FD240" s="66" t="str">
        <f t="shared" si="3622"/>
        <v/>
      </c>
      <c r="FE240" s="66" t="str">
        <f t="shared" si="3623"/>
        <v/>
      </c>
      <c r="FF240" s="66" t="str">
        <f t="shared" si="3624"/>
        <v/>
      </c>
      <c r="FG240" s="66" t="str">
        <f t="shared" si="3625"/>
        <v/>
      </c>
      <c r="FH240" s="66" t="str">
        <f t="shared" si="3626"/>
        <v/>
      </c>
      <c r="FI240" s="66" t="str">
        <f t="shared" si="3627"/>
        <v/>
      </c>
      <c r="FJ240" s="66" t="str">
        <f t="shared" si="3628"/>
        <v/>
      </c>
      <c r="FK240" s="66" t="str">
        <f t="shared" si="3629"/>
        <v/>
      </c>
      <c r="FL240" s="66" t="str">
        <f t="shared" si="3630"/>
        <v/>
      </c>
      <c r="FM240" s="66" t="str">
        <f t="shared" si="3631"/>
        <v/>
      </c>
      <c r="FN240" s="66" t="str">
        <f t="shared" si="3632"/>
        <v/>
      </c>
      <c r="FO240" s="66" t="str">
        <f t="shared" si="3633"/>
        <v/>
      </c>
      <c r="FP240" s="66" t="str">
        <f t="shared" si="3634"/>
        <v/>
      </c>
      <c r="FQ240" s="66" t="str">
        <f t="shared" si="3635"/>
        <v/>
      </c>
      <c r="FR240" s="66" t="str">
        <f t="shared" si="3636"/>
        <v/>
      </c>
      <c r="FS240" s="66" t="str">
        <f t="shared" si="3637"/>
        <v/>
      </c>
    </row>
    <row r="241" spans="1:175" ht="16.5">
      <c r="A241" s="112"/>
      <c r="B241" s="27" t="s">
        <v>782</v>
      </c>
      <c r="C241" s="29" t="s">
        <v>764</v>
      </c>
      <c r="T241" s="120"/>
      <c r="U241" s="77"/>
      <c r="CN241" s="36" t="str">
        <f t="shared" si="3562"/>
        <v>InitUnitState('IF19',,,,,,,,,,)</v>
      </c>
      <c r="CO241" s="36" t="str">
        <f t="shared" si="3563"/>
        <v>InitUnitNormal('IF19',,,,,,,,,,)</v>
      </c>
      <c r="CP241" s="36" t="str">
        <f t="shared" si="3564"/>
        <v>InitUnitMagic('IF19',,,,,,,,,,)</v>
      </c>
      <c r="CQ241" s="36" t="str">
        <f t="shared" si="3565"/>
        <v>InitUnitAdd('IF19',,,,,,,,,,)</v>
      </c>
      <c r="CR241" s="36" t="str">
        <f t="shared" si="3566"/>
        <v>InitEquipData('IF19',,"",,,,,'','','','','','',"")</v>
      </c>
      <c r="CU241" s="88" t="str">
        <f t="shared" si="3567"/>
        <v>|n</v>
      </c>
      <c r="CW241" s="33"/>
      <c r="CX241" s="33"/>
      <c r="CY241" s="33"/>
      <c r="CZ241" s="33"/>
      <c r="DA241" s="33"/>
      <c r="DB241" s="66" t="str">
        <f t="shared" si="3568"/>
        <v/>
      </c>
      <c r="DC241" s="66" t="str">
        <f t="shared" si="3569"/>
        <v/>
      </c>
      <c r="DD241" s="66" t="str">
        <f t="shared" si="3570"/>
        <v/>
      </c>
      <c r="DE241" s="66" t="str">
        <f t="shared" si="3571"/>
        <v/>
      </c>
      <c r="DF241" s="66" t="str">
        <f t="shared" si="3572"/>
        <v/>
      </c>
      <c r="DG241" s="66" t="str">
        <f t="shared" si="3573"/>
        <v/>
      </c>
      <c r="DH241" s="66" t="str">
        <f t="shared" si="3574"/>
        <v/>
      </c>
      <c r="DI241" s="66" t="str">
        <f t="shared" si="3575"/>
        <v/>
      </c>
      <c r="DJ241" s="66" t="str">
        <f t="shared" si="3576"/>
        <v/>
      </c>
      <c r="DK241" s="66" t="str">
        <f t="shared" si="3577"/>
        <v/>
      </c>
      <c r="DL241" s="66" t="str">
        <f t="shared" si="3578"/>
        <v/>
      </c>
      <c r="DM241" s="66" t="str">
        <f t="shared" si="3579"/>
        <v/>
      </c>
      <c r="DN241" s="66" t="str">
        <f t="shared" si="3580"/>
        <v/>
      </c>
      <c r="DO241" s="66" t="str">
        <f t="shared" si="3581"/>
        <v/>
      </c>
      <c r="DP241" s="66" t="str">
        <f t="shared" si="3582"/>
        <v/>
      </c>
      <c r="DQ241" s="66" t="str">
        <f t="shared" si="3583"/>
        <v/>
      </c>
      <c r="DR241" s="66" t="str">
        <f t="shared" si="3584"/>
        <v/>
      </c>
      <c r="DS241" s="66" t="str">
        <f t="shared" si="3585"/>
        <v/>
      </c>
      <c r="DT241" s="66" t="str">
        <f t="shared" si="3586"/>
        <v/>
      </c>
      <c r="DU241" s="66" t="str">
        <f t="shared" si="3587"/>
        <v/>
      </c>
      <c r="DV241" s="66" t="str">
        <f t="shared" si="3588"/>
        <v/>
      </c>
      <c r="DW241" s="66" t="str">
        <f t="shared" si="3589"/>
        <v/>
      </c>
      <c r="DX241" s="66" t="str">
        <f t="shared" si="3590"/>
        <v/>
      </c>
      <c r="DY241" s="66" t="str">
        <f t="shared" si="3591"/>
        <v/>
      </c>
      <c r="DZ241" s="66" t="str">
        <f t="shared" si="3592"/>
        <v/>
      </c>
      <c r="EA241" s="66" t="str">
        <f t="shared" si="3593"/>
        <v/>
      </c>
      <c r="EB241" s="66" t="str">
        <f t="shared" si="3594"/>
        <v/>
      </c>
      <c r="EC241" s="66" t="str">
        <f t="shared" si="3595"/>
        <v/>
      </c>
      <c r="ED241" s="66" t="str">
        <f t="shared" si="3596"/>
        <v/>
      </c>
      <c r="EE241" s="66" t="str">
        <f t="shared" si="3597"/>
        <v/>
      </c>
      <c r="EF241" s="66" t="str">
        <f t="shared" si="3598"/>
        <v/>
      </c>
      <c r="EG241" s="66" t="str">
        <f t="shared" si="3599"/>
        <v/>
      </c>
      <c r="EH241" s="66" t="str">
        <f t="shared" si="3600"/>
        <v/>
      </c>
      <c r="EI241" s="66" t="str">
        <f t="shared" si="3601"/>
        <v/>
      </c>
      <c r="EJ241" s="66" t="str">
        <f t="shared" si="3602"/>
        <v/>
      </c>
      <c r="EK241" s="66" t="str">
        <f t="shared" si="3603"/>
        <v/>
      </c>
      <c r="EL241" s="66" t="str">
        <f t="shared" si="3604"/>
        <v/>
      </c>
      <c r="EM241" s="66" t="str">
        <f t="shared" si="3605"/>
        <v/>
      </c>
      <c r="EN241" s="66" t="str">
        <f t="shared" si="3606"/>
        <v/>
      </c>
      <c r="EO241" s="66" t="str">
        <f t="shared" si="3607"/>
        <v/>
      </c>
      <c r="EP241" s="66" t="str">
        <f t="shared" si="3608"/>
        <v/>
      </c>
      <c r="EQ241" s="66" t="str">
        <f t="shared" si="3609"/>
        <v/>
      </c>
      <c r="ER241" s="66" t="str">
        <f t="shared" si="3610"/>
        <v/>
      </c>
      <c r="ES241" s="66" t="str">
        <f t="shared" si="3611"/>
        <v/>
      </c>
      <c r="ET241" s="66" t="str">
        <f t="shared" si="3612"/>
        <v/>
      </c>
      <c r="EU241" s="66" t="str">
        <f t="shared" si="3613"/>
        <v/>
      </c>
      <c r="EV241" s="66" t="str">
        <f t="shared" si="3614"/>
        <v/>
      </c>
      <c r="EW241" s="66" t="str">
        <f t="shared" si="3615"/>
        <v/>
      </c>
      <c r="EX241" s="66" t="str">
        <f t="shared" si="3616"/>
        <v/>
      </c>
      <c r="EY241" s="66" t="str">
        <f t="shared" si="3617"/>
        <v/>
      </c>
      <c r="EZ241" s="66" t="str">
        <f t="shared" si="3618"/>
        <v/>
      </c>
      <c r="FA241" s="66" t="str">
        <f t="shared" si="3619"/>
        <v/>
      </c>
      <c r="FB241" s="66" t="str">
        <f t="shared" si="3620"/>
        <v/>
      </c>
      <c r="FC241" s="66" t="str">
        <f t="shared" si="3621"/>
        <v/>
      </c>
      <c r="FD241" s="66" t="str">
        <f t="shared" si="3622"/>
        <v/>
      </c>
      <c r="FE241" s="66" t="str">
        <f t="shared" si="3623"/>
        <v/>
      </c>
      <c r="FF241" s="66" t="str">
        <f t="shared" si="3624"/>
        <v/>
      </c>
      <c r="FG241" s="66" t="str">
        <f t="shared" si="3625"/>
        <v/>
      </c>
      <c r="FH241" s="66" t="str">
        <f t="shared" si="3626"/>
        <v/>
      </c>
      <c r="FI241" s="66" t="str">
        <f t="shared" si="3627"/>
        <v/>
      </c>
      <c r="FJ241" s="66" t="str">
        <f t="shared" si="3628"/>
        <v/>
      </c>
      <c r="FK241" s="66" t="str">
        <f t="shared" si="3629"/>
        <v/>
      </c>
      <c r="FL241" s="66" t="str">
        <f t="shared" si="3630"/>
        <v/>
      </c>
      <c r="FM241" s="66" t="str">
        <f t="shared" si="3631"/>
        <v/>
      </c>
      <c r="FN241" s="66" t="str">
        <f t="shared" si="3632"/>
        <v/>
      </c>
      <c r="FO241" s="66" t="str">
        <f t="shared" si="3633"/>
        <v/>
      </c>
      <c r="FP241" s="66" t="str">
        <f t="shared" si="3634"/>
        <v/>
      </c>
      <c r="FQ241" s="66" t="str">
        <f t="shared" si="3635"/>
        <v/>
      </c>
      <c r="FR241" s="66" t="str">
        <f t="shared" si="3636"/>
        <v/>
      </c>
      <c r="FS241" s="66" t="str">
        <f t="shared" si="3637"/>
        <v/>
      </c>
    </row>
    <row r="242" spans="1:175" ht="16.5">
      <c r="A242" s="112"/>
      <c r="B242" s="27" t="s">
        <v>783</v>
      </c>
      <c r="C242" s="29" t="s">
        <v>764</v>
      </c>
      <c r="T242" s="120"/>
      <c r="U242" s="77"/>
      <c r="CN242" s="36" t="str">
        <f t="shared" si="3562"/>
        <v>InitUnitState('IF20',,,,,,,,,,)</v>
      </c>
      <c r="CO242" s="36" t="str">
        <f t="shared" si="3563"/>
        <v>InitUnitNormal('IF20',,,,,,,,,,)</v>
      </c>
      <c r="CP242" s="36" t="str">
        <f t="shared" si="3564"/>
        <v>InitUnitMagic('IF20',,,,,,,,,,)</v>
      </c>
      <c r="CQ242" s="36" t="str">
        <f t="shared" si="3565"/>
        <v>InitUnitAdd('IF20',,,,,,,,,,)</v>
      </c>
      <c r="CR242" s="36" t="str">
        <f t="shared" si="3566"/>
        <v>InitEquipData('IF20',,"",,,,,'','','','','','',"")</v>
      </c>
      <c r="CU242" s="88" t="str">
        <f t="shared" si="3567"/>
        <v>|n</v>
      </c>
      <c r="CW242" s="33"/>
      <c r="CX242" s="33"/>
      <c r="CY242" s="33"/>
      <c r="CZ242" s="33"/>
      <c r="DA242" s="33"/>
      <c r="DB242" s="66" t="str">
        <f t="shared" si="3568"/>
        <v/>
      </c>
      <c r="DC242" s="66" t="str">
        <f t="shared" si="3569"/>
        <v/>
      </c>
      <c r="DD242" s="66" t="str">
        <f t="shared" si="3570"/>
        <v/>
      </c>
      <c r="DE242" s="66" t="str">
        <f t="shared" si="3571"/>
        <v/>
      </c>
      <c r="DF242" s="66" t="str">
        <f t="shared" si="3572"/>
        <v/>
      </c>
      <c r="DG242" s="66" t="str">
        <f t="shared" si="3573"/>
        <v/>
      </c>
      <c r="DH242" s="66" t="str">
        <f t="shared" si="3574"/>
        <v/>
      </c>
      <c r="DI242" s="66" t="str">
        <f t="shared" si="3575"/>
        <v/>
      </c>
      <c r="DJ242" s="66" t="str">
        <f t="shared" si="3576"/>
        <v/>
      </c>
      <c r="DK242" s="66" t="str">
        <f t="shared" si="3577"/>
        <v/>
      </c>
      <c r="DL242" s="66" t="str">
        <f t="shared" si="3578"/>
        <v/>
      </c>
      <c r="DM242" s="66" t="str">
        <f t="shared" si="3579"/>
        <v/>
      </c>
      <c r="DN242" s="66" t="str">
        <f t="shared" si="3580"/>
        <v/>
      </c>
      <c r="DO242" s="66" t="str">
        <f t="shared" si="3581"/>
        <v/>
      </c>
      <c r="DP242" s="66" t="str">
        <f t="shared" si="3582"/>
        <v/>
      </c>
      <c r="DQ242" s="66" t="str">
        <f t="shared" si="3583"/>
        <v/>
      </c>
      <c r="DR242" s="66" t="str">
        <f t="shared" si="3584"/>
        <v/>
      </c>
      <c r="DS242" s="66" t="str">
        <f t="shared" si="3585"/>
        <v/>
      </c>
      <c r="DT242" s="66" t="str">
        <f t="shared" si="3586"/>
        <v/>
      </c>
      <c r="DU242" s="66" t="str">
        <f t="shared" si="3587"/>
        <v/>
      </c>
      <c r="DV242" s="66" t="str">
        <f t="shared" si="3588"/>
        <v/>
      </c>
      <c r="DW242" s="66" t="str">
        <f t="shared" si="3589"/>
        <v/>
      </c>
      <c r="DX242" s="66" t="str">
        <f t="shared" si="3590"/>
        <v/>
      </c>
      <c r="DY242" s="66" t="str">
        <f t="shared" si="3591"/>
        <v/>
      </c>
      <c r="DZ242" s="66" t="str">
        <f t="shared" si="3592"/>
        <v/>
      </c>
      <c r="EA242" s="66" t="str">
        <f t="shared" si="3593"/>
        <v/>
      </c>
      <c r="EB242" s="66" t="str">
        <f t="shared" si="3594"/>
        <v/>
      </c>
      <c r="EC242" s="66" t="str">
        <f t="shared" si="3595"/>
        <v/>
      </c>
      <c r="ED242" s="66" t="str">
        <f t="shared" si="3596"/>
        <v/>
      </c>
      <c r="EE242" s="66" t="str">
        <f t="shared" si="3597"/>
        <v/>
      </c>
      <c r="EF242" s="66" t="str">
        <f t="shared" si="3598"/>
        <v/>
      </c>
      <c r="EG242" s="66" t="str">
        <f t="shared" si="3599"/>
        <v/>
      </c>
      <c r="EH242" s="66" t="str">
        <f t="shared" si="3600"/>
        <v/>
      </c>
      <c r="EI242" s="66" t="str">
        <f t="shared" si="3601"/>
        <v/>
      </c>
      <c r="EJ242" s="66" t="str">
        <f t="shared" si="3602"/>
        <v/>
      </c>
      <c r="EK242" s="66" t="str">
        <f t="shared" si="3603"/>
        <v/>
      </c>
      <c r="EL242" s="66" t="str">
        <f t="shared" si="3604"/>
        <v/>
      </c>
      <c r="EM242" s="66" t="str">
        <f t="shared" si="3605"/>
        <v/>
      </c>
      <c r="EN242" s="66" t="str">
        <f t="shared" si="3606"/>
        <v/>
      </c>
      <c r="EO242" s="66" t="str">
        <f t="shared" si="3607"/>
        <v/>
      </c>
      <c r="EP242" s="66" t="str">
        <f t="shared" si="3608"/>
        <v/>
      </c>
      <c r="EQ242" s="66" t="str">
        <f t="shared" si="3609"/>
        <v/>
      </c>
      <c r="ER242" s="66" t="str">
        <f t="shared" si="3610"/>
        <v/>
      </c>
      <c r="ES242" s="66" t="str">
        <f t="shared" si="3611"/>
        <v/>
      </c>
      <c r="ET242" s="66" t="str">
        <f t="shared" si="3612"/>
        <v/>
      </c>
      <c r="EU242" s="66" t="str">
        <f t="shared" si="3613"/>
        <v/>
      </c>
      <c r="EV242" s="66" t="str">
        <f t="shared" si="3614"/>
        <v/>
      </c>
      <c r="EW242" s="66" t="str">
        <f t="shared" si="3615"/>
        <v/>
      </c>
      <c r="EX242" s="66" t="str">
        <f t="shared" si="3616"/>
        <v/>
      </c>
      <c r="EY242" s="66" t="str">
        <f t="shared" si="3617"/>
        <v/>
      </c>
      <c r="EZ242" s="66" t="str">
        <f t="shared" si="3618"/>
        <v/>
      </c>
      <c r="FA242" s="66" t="str">
        <f t="shared" si="3619"/>
        <v/>
      </c>
      <c r="FB242" s="66" t="str">
        <f t="shared" si="3620"/>
        <v/>
      </c>
      <c r="FC242" s="66" t="str">
        <f t="shared" si="3621"/>
        <v/>
      </c>
      <c r="FD242" s="66" t="str">
        <f t="shared" si="3622"/>
        <v/>
      </c>
      <c r="FE242" s="66" t="str">
        <f t="shared" si="3623"/>
        <v/>
      </c>
      <c r="FF242" s="66" t="str">
        <f t="shared" si="3624"/>
        <v/>
      </c>
      <c r="FG242" s="66" t="str">
        <f t="shared" si="3625"/>
        <v/>
      </c>
      <c r="FH242" s="66" t="str">
        <f t="shared" si="3626"/>
        <v/>
      </c>
      <c r="FI242" s="66" t="str">
        <f t="shared" si="3627"/>
        <v/>
      </c>
      <c r="FJ242" s="66" t="str">
        <f t="shared" si="3628"/>
        <v/>
      </c>
      <c r="FK242" s="66" t="str">
        <f t="shared" si="3629"/>
        <v/>
      </c>
      <c r="FL242" s="66" t="str">
        <f t="shared" si="3630"/>
        <v/>
      </c>
      <c r="FM242" s="66" t="str">
        <f t="shared" si="3631"/>
        <v/>
      </c>
      <c r="FN242" s="66" t="str">
        <f t="shared" si="3632"/>
        <v/>
      </c>
      <c r="FO242" s="66" t="str">
        <f t="shared" si="3633"/>
        <v/>
      </c>
      <c r="FP242" s="66" t="str">
        <f t="shared" si="3634"/>
        <v/>
      </c>
      <c r="FQ242" s="66" t="str">
        <f t="shared" si="3635"/>
        <v/>
      </c>
      <c r="FR242" s="66" t="str">
        <f t="shared" si="3636"/>
        <v/>
      </c>
      <c r="FS242" s="66" t="str">
        <f t="shared" si="3637"/>
        <v/>
      </c>
    </row>
    <row r="243" spans="1:175">
      <c r="A243" s="27"/>
      <c r="B243" s="27" t="s">
        <v>784</v>
      </c>
      <c r="C243" s="29" t="s">
        <v>764</v>
      </c>
      <c r="T243" s="121"/>
      <c r="U243" s="77"/>
      <c r="CN243" s="36" t="str">
        <f t="shared" si="3562"/>
        <v>InitUnitState('IF21',,,,,,,,,,)</v>
      </c>
      <c r="CO243" s="36" t="str">
        <f t="shared" si="3563"/>
        <v>InitUnitNormal('IF21',,,,,,,,,,)</v>
      </c>
      <c r="CP243" s="36" t="str">
        <f t="shared" si="3564"/>
        <v>InitUnitMagic('IF21',,,,,,,,,,)</v>
      </c>
      <c r="CQ243" s="36" t="str">
        <f t="shared" si="3565"/>
        <v>InitUnitAdd('IF21',,,,,,,,,,)</v>
      </c>
      <c r="CR243" s="36" t="str">
        <f t="shared" si="3566"/>
        <v>InitEquipData('IF21',,"",,,,,'','','','','','',"")</v>
      </c>
      <c r="CU243" s="88" t="str">
        <f t="shared" si="3567"/>
        <v>|n</v>
      </c>
      <c r="CW243" s="33"/>
      <c r="CX243" s="33"/>
      <c r="CY243" s="33"/>
      <c r="CZ243" s="33"/>
      <c r="DA243" s="33"/>
      <c r="DB243" s="66" t="str">
        <f t="shared" si="3568"/>
        <v/>
      </c>
      <c r="DC243" s="66" t="str">
        <f t="shared" si="3569"/>
        <v/>
      </c>
      <c r="DD243" s="66" t="str">
        <f t="shared" si="3570"/>
        <v/>
      </c>
      <c r="DE243" s="66" t="str">
        <f t="shared" si="3571"/>
        <v/>
      </c>
      <c r="DF243" s="66" t="str">
        <f t="shared" si="3572"/>
        <v/>
      </c>
      <c r="DG243" s="66" t="str">
        <f t="shared" si="3573"/>
        <v/>
      </c>
      <c r="DH243" s="66" t="str">
        <f t="shared" si="3574"/>
        <v/>
      </c>
      <c r="DI243" s="66" t="str">
        <f t="shared" si="3575"/>
        <v/>
      </c>
      <c r="DJ243" s="66" t="str">
        <f t="shared" si="3576"/>
        <v/>
      </c>
      <c r="DK243" s="66" t="str">
        <f t="shared" si="3577"/>
        <v/>
      </c>
      <c r="DL243" s="66" t="str">
        <f t="shared" si="3578"/>
        <v/>
      </c>
      <c r="DM243" s="66" t="str">
        <f t="shared" si="3579"/>
        <v/>
      </c>
      <c r="DN243" s="66" t="str">
        <f t="shared" si="3580"/>
        <v/>
      </c>
      <c r="DO243" s="66" t="str">
        <f t="shared" si="3581"/>
        <v/>
      </c>
      <c r="DP243" s="66" t="str">
        <f t="shared" si="3582"/>
        <v/>
      </c>
      <c r="DQ243" s="66" t="str">
        <f t="shared" si="3583"/>
        <v/>
      </c>
      <c r="DR243" s="66" t="str">
        <f t="shared" si="3584"/>
        <v/>
      </c>
      <c r="DS243" s="66" t="str">
        <f t="shared" si="3585"/>
        <v/>
      </c>
      <c r="DT243" s="66" t="str">
        <f t="shared" si="3586"/>
        <v/>
      </c>
      <c r="DU243" s="66" t="str">
        <f t="shared" si="3587"/>
        <v/>
      </c>
      <c r="DV243" s="66" t="str">
        <f t="shared" si="3588"/>
        <v/>
      </c>
      <c r="DW243" s="66" t="str">
        <f t="shared" si="3589"/>
        <v/>
      </c>
      <c r="DX243" s="66" t="str">
        <f t="shared" si="3590"/>
        <v/>
      </c>
      <c r="DY243" s="66" t="str">
        <f t="shared" si="3591"/>
        <v/>
      </c>
      <c r="DZ243" s="66" t="str">
        <f t="shared" si="3592"/>
        <v/>
      </c>
      <c r="EA243" s="66" t="str">
        <f t="shared" si="3593"/>
        <v/>
      </c>
      <c r="EB243" s="66" t="str">
        <f t="shared" si="3594"/>
        <v/>
      </c>
      <c r="EC243" s="66" t="str">
        <f t="shared" si="3595"/>
        <v/>
      </c>
      <c r="ED243" s="66" t="str">
        <f t="shared" si="3596"/>
        <v/>
      </c>
      <c r="EE243" s="66" t="str">
        <f t="shared" si="3597"/>
        <v/>
      </c>
      <c r="EF243" s="66" t="str">
        <f t="shared" si="3598"/>
        <v/>
      </c>
      <c r="EG243" s="66" t="str">
        <f t="shared" si="3599"/>
        <v/>
      </c>
      <c r="EH243" s="66" t="str">
        <f t="shared" si="3600"/>
        <v/>
      </c>
      <c r="EI243" s="66" t="str">
        <f t="shared" si="3601"/>
        <v/>
      </c>
      <c r="EJ243" s="66" t="str">
        <f t="shared" si="3602"/>
        <v/>
      </c>
      <c r="EK243" s="66" t="str">
        <f t="shared" si="3603"/>
        <v/>
      </c>
      <c r="EL243" s="66" t="str">
        <f t="shared" si="3604"/>
        <v/>
      </c>
      <c r="EM243" s="66" t="str">
        <f t="shared" si="3605"/>
        <v/>
      </c>
      <c r="EN243" s="66" t="str">
        <f t="shared" si="3606"/>
        <v/>
      </c>
      <c r="EO243" s="66" t="str">
        <f t="shared" si="3607"/>
        <v/>
      </c>
      <c r="EP243" s="66" t="str">
        <f t="shared" si="3608"/>
        <v/>
      </c>
      <c r="EQ243" s="66" t="str">
        <f t="shared" si="3609"/>
        <v/>
      </c>
      <c r="ER243" s="66" t="str">
        <f t="shared" si="3610"/>
        <v/>
      </c>
      <c r="ES243" s="66" t="str">
        <f t="shared" si="3611"/>
        <v/>
      </c>
      <c r="ET243" s="66" t="str">
        <f t="shared" si="3612"/>
        <v/>
      </c>
      <c r="EU243" s="66" t="str">
        <f t="shared" si="3613"/>
        <v/>
      </c>
      <c r="EV243" s="66" t="str">
        <f t="shared" si="3614"/>
        <v/>
      </c>
      <c r="EW243" s="66" t="str">
        <f t="shared" si="3615"/>
        <v/>
      </c>
      <c r="EX243" s="66" t="str">
        <f t="shared" si="3616"/>
        <v/>
      </c>
      <c r="EY243" s="66" t="str">
        <f t="shared" si="3617"/>
        <v/>
      </c>
      <c r="EZ243" s="66" t="str">
        <f t="shared" si="3618"/>
        <v/>
      </c>
      <c r="FA243" s="66" t="str">
        <f t="shared" si="3619"/>
        <v/>
      </c>
      <c r="FB243" s="66" t="str">
        <f t="shared" si="3620"/>
        <v/>
      </c>
      <c r="FC243" s="66" t="str">
        <f t="shared" si="3621"/>
        <v/>
      </c>
      <c r="FD243" s="66" t="str">
        <f t="shared" si="3622"/>
        <v/>
      </c>
      <c r="FE243" s="66" t="str">
        <f t="shared" si="3623"/>
        <v/>
      </c>
      <c r="FF243" s="66" t="str">
        <f t="shared" si="3624"/>
        <v/>
      </c>
      <c r="FG243" s="66" t="str">
        <f t="shared" si="3625"/>
        <v/>
      </c>
      <c r="FH243" s="66" t="str">
        <f t="shared" si="3626"/>
        <v/>
      </c>
      <c r="FI243" s="66" t="str">
        <f t="shared" si="3627"/>
        <v/>
      </c>
      <c r="FJ243" s="66" t="str">
        <f t="shared" si="3628"/>
        <v/>
      </c>
      <c r="FK243" s="66" t="str">
        <f t="shared" si="3629"/>
        <v/>
      </c>
      <c r="FL243" s="66" t="str">
        <f t="shared" si="3630"/>
        <v/>
      </c>
      <c r="FM243" s="66" t="str">
        <f t="shared" si="3631"/>
        <v/>
      </c>
      <c r="FN243" s="66" t="str">
        <f t="shared" si="3632"/>
        <v/>
      </c>
      <c r="FO243" s="66" t="str">
        <f t="shared" si="3633"/>
        <v/>
      </c>
      <c r="FP243" s="66" t="str">
        <f t="shared" si="3634"/>
        <v/>
      </c>
      <c r="FQ243" s="66" t="str">
        <f t="shared" si="3635"/>
        <v/>
      </c>
      <c r="FR243" s="66" t="str">
        <f t="shared" si="3636"/>
        <v/>
      </c>
      <c r="FS243" s="66" t="str">
        <f t="shared" si="3637"/>
        <v/>
      </c>
    </row>
    <row r="244" spans="1:175">
      <c r="A244" s="27"/>
      <c r="B244" s="27" t="s">
        <v>785</v>
      </c>
      <c r="C244" s="29" t="s">
        <v>764</v>
      </c>
      <c r="T244" s="121"/>
      <c r="U244" s="77"/>
      <c r="CN244" s="36" t="str">
        <f t="shared" si="3562"/>
        <v>InitUnitState('IF22',,,,,,,,,,)</v>
      </c>
      <c r="CO244" s="36" t="str">
        <f t="shared" si="3563"/>
        <v>InitUnitNormal('IF22',,,,,,,,,,)</v>
      </c>
      <c r="CP244" s="36" t="str">
        <f t="shared" si="3564"/>
        <v>InitUnitMagic('IF22',,,,,,,,,,)</v>
      </c>
      <c r="CQ244" s="36" t="str">
        <f t="shared" si="3565"/>
        <v>InitUnitAdd('IF22',,,,,,,,,,)</v>
      </c>
      <c r="CR244" s="36" t="str">
        <f t="shared" si="3566"/>
        <v>InitEquipData('IF22',,"",,,,,'','','','','','',"")</v>
      </c>
      <c r="CU244" s="88" t="str">
        <f t="shared" si="3567"/>
        <v>|n</v>
      </c>
      <c r="CW244" s="33"/>
      <c r="CX244" s="33"/>
      <c r="CY244" s="33"/>
      <c r="CZ244" s="33"/>
      <c r="DA244" s="33"/>
      <c r="DB244" s="66" t="str">
        <f t="shared" si="3568"/>
        <v/>
      </c>
      <c r="DC244" s="66" t="str">
        <f t="shared" si="3569"/>
        <v/>
      </c>
      <c r="DD244" s="66" t="str">
        <f t="shared" si="3570"/>
        <v/>
      </c>
      <c r="DE244" s="66" t="str">
        <f t="shared" si="3571"/>
        <v/>
      </c>
      <c r="DF244" s="66" t="str">
        <f t="shared" si="3572"/>
        <v/>
      </c>
      <c r="DG244" s="66" t="str">
        <f t="shared" si="3573"/>
        <v/>
      </c>
      <c r="DH244" s="66" t="str">
        <f t="shared" si="3574"/>
        <v/>
      </c>
      <c r="DI244" s="66" t="str">
        <f t="shared" si="3575"/>
        <v/>
      </c>
      <c r="DJ244" s="66" t="str">
        <f t="shared" si="3576"/>
        <v/>
      </c>
      <c r="DK244" s="66" t="str">
        <f t="shared" si="3577"/>
        <v/>
      </c>
      <c r="DL244" s="66" t="str">
        <f t="shared" si="3578"/>
        <v/>
      </c>
      <c r="DM244" s="66" t="str">
        <f t="shared" si="3579"/>
        <v/>
      </c>
      <c r="DN244" s="66" t="str">
        <f t="shared" si="3580"/>
        <v/>
      </c>
      <c r="DO244" s="66" t="str">
        <f t="shared" si="3581"/>
        <v/>
      </c>
      <c r="DP244" s="66" t="str">
        <f t="shared" si="3582"/>
        <v/>
      </c>
      <c r="DQ244" s="66" t="str">
        <f t="shared" si="3583"/>
        <v/>
      </c>
      <c r="DR244" s="66" t="str">
        <f t="shared" si="3584"/>
        <v/>
      </c>
      <c r="DS244" s="66" t="str">
        <f t="shared" si="3585"/>
        <v/>
      </c>
      <c r="DT244" s="66" t="str">
        <f t="shared" si="3586"/>
        <v/>
      </c>
      <c r="DU244" s="66" t="str">
        <f t="shared" si="3587"/>
        <v/>
      </c>
      <c r="DV244" s="66" t="str">
        <f t="shared" si="3588"/>
        <v/>
      </c>
      <c r="DW244" s="66" t="str">
        <f t="shared" si="3589"/>
        <v/>
      </c>
      <c r="DX244" s="66" t="str">
        <f t="shared" si="3590"/>
        <v/>
      </c>
      <c r="DY244" s="66" t="str">
        <f t="shared" si="3591"/>
        <v/>
      </c>
      <c r="DZ244" s="66" t="str">
        <f t="shared" si="3592"/>
        <v/>
      </c>
      <c r="EA244" s="66" t="str">
        <f t="shared" si="3593"/>
        <v/>
      </c>
      <c r="EB244" s="66" t="str">
        <f t="shared" si="3594"/>
        <v/>
      </c>
      <c r="EC244" s="66" t="str">
        <f t="shared" si="3595"/>
        <v/>
      </c>
      <c r="ED244" s="66" t="str">
        <f t="shared" si="3596"/>
        <v/>
      </c>
      <c r="EE244" s="66" t="str">
        <f t="shared" si="3597"/>
        <v/>
      </c>
      <c r="EF244" s="66" t="str">
        <f t="shared" si="3598"/>
        <v/>
      </c>
      <c r="EG244" s="66" t="str">
        <f t="shared" si="3599"/>
        <v/>
      </c>
      <c r="EH244" s="66" t="str">
        <f t="shared" si="3600"/>
        <v/>
      </c>
      <c r="EI244" s="66" t="str">
        <f t="shared" si="3601"/>
        <v/>
      </c>
      <c r="EJ244" s="66" t="str">
        <f t="shared" si="3602"/>
        <v/>
      </c>
      <c r="EK244" s="66" t="str">
        <f t="shared" si="3603"/>
        <v/>
      </c>
      <c r="EL244" s="66" t="str">
        <f t="shared" si="3604"/>
        <v/>
      </c>
      <c r="EM244" s="66" t="str">
        <f t="shared" si="3605"/>
        <v/>
      </c>
      <c r="EN244" s="66" t="str">
        <f t="shared" si="3606"/>
        <v/>
      </c>
      <c r="EO244" s="66" t="str">
        <f t="shared" si="3607"/>
        <v/>
      </c>
      <c r="EP244" s="66" t="str">
        <f t="shared" si="3608"/>
        <v/>
      </c>
      <c r="EQ244" s="66" t="str">
        <f t="shared" si="3609"/>
        <v/>
      </c>
      <c r="ER244" s="66" t="str">
        <f t="shared" si="3610"/>
        <v/>
      </c>
      <c r="ES244" s="66" t="str">
        <f t="shared" si="3611"/>
        <v/>
      </c>
      <c r="ET244" s="66" t="str">
        <f t="shared" si="3612"/>
        <v/>
      </c>
      <c r="EU244" s="66" t="str">
        <f t="shared" si="3613"/>
        <v/>
      </c>
      <c r="EV244" s="66" t="str">
        <f t="shared" si="3614"/>
        <v/>
      </c>
      <c r="EW244" s="66" t="str">
        <f t="shared" si="3615"/>
        <v/>
      </c>
      <c r="EX244" s="66" t="str">
        <f t="shared" si="3616"/>
        <v/>
      </c>
      <c r="EY244" s="66" t="str">
        <f t="shared" si="3617"/>
        <v/>
      </c>
      <c r="EZ244" s="66" t="str">
        <f t="shared" si="3618"/>
        <v/>
      </c>
      <c r="FA244" s="66" t="str">
        <f t="shared" si="3619"/>
        <v/>
      </c>
      <c r="FB244" s="66" t="str">
        <f t="shared" si="3620"/>
        <v/>
      </c>
      <c r="FC244" s="66" t="str">
        <f t="shared" si="3621"/>
        <v/>
      </c>
      <c r="FD244" s="66" t="str">
        <f t="shared" si="3622"/>
        <v/>
      </c>
      <c r="FE244" s="66" t="str">
        <f t="shared" si="3623"/>
        <v/>
      </c>
      <c r="FF244" s="66" t="str">
        <f t="shared" si="3624"/>
        <v/>
      </c>
      <c r="FG244" s="66" t="str">
        <f t="shared" si="3625"/>
        <v/>
      </c>
      <c r="FH244" s="66" t="str">
        <f t="shared" si="3626"/>
        <v/>
      </c>
      <c r="FI244" s="66" t="str">
        <f t="shared" si="3627"/>
        <v/>
      </c>
      <c r="FJ244" s="66" t="str">
        <f t="shared" si="3628"/>
        <v/>
      </c>
      <c r="FK244" s="66" t="str">
        <f t="shared" si="3629"/>
        <v/>
      </c>
      <c r="FL244" s="66" t="str">
        <f t="shared" si="3630"/>
        <v/>
      </c>
      <c r="FM244" s="66" t="str">
        <f t="shared" si="3631"/>
        <v/>
      </c>
      <c r="FN244" s="66" t="str">
        <f t="shared" si="3632"/>
        <v/>
      </c>
      <c r="FO244" s="66" t="str">
        <f t="shared" si="3633"/>
        <v/>
      </c>
      <c r="FP244" s="66" t="str">
        <f t="shared" si="3634"/>
        <v/>
      </c>
      <c r="FQ244" s="66" t="str">
        <f t="shared" si="3635"/>
        <v/>
      </c>
      <c r="FR244" s="66" t="str">
        <f t="shared" si="3636"/>
        <v/>
      </c>
      <c r="FS244" s="66" t="str">
        <f t="shared" si="3637"/>
        <v/>
      </c>
    </row>
    <row r="245" spans="1:175">
      <c r="A245" s="27"/>
      <c r="B245" s="27" t="s">
        <v>786</v>
      </c>
      <c r="C245" s="29" t="s">
        <v>764</v>
      </c>
      <c r="T245" s="121"/>
      <c r="U245" s="77"/>
      <c r="CN245" s="36" t="str">
        <f t="shared" si="3562"/>
        <v>InitUnitState('IF23',,,,,,,,,,)</v>
      </c>
      <c r="CO245" s="36" t="str">
        <f t="shared" si="3563"/>
        <v>InitUnitNormal('IF23',,,,,,,,,,)</v>
      </c>
      <c r="CP245" s="36" t="str">
        <f t="shared" si="3564"/>
        <v>InitUnitMagic('IF23',,,,,,,,,,)</v>
      </c>
      <c r="CQ245" s="36" t="str">
        <f t="shared" si="3565"/>
        <v>InitUnitAdd('IF23',,,,,,,,,,)</v>
      </c>
      <c r="CR245" s="36" t="str">
        <f t="shared" si="3566"/>
        <v>InitEquipData('IF23',,"",,,,,'','','','','','',"")</v>
      </c>
      <c r="CU245" s="88" t="str">
        <f t="shared" si="3567"/>
        <v>|n</v>
      </c>
      <c r="CW245" s="33"/>
      <c r="CX245" s="33"/>
      <c r="CY245" s="33"/>
      <c r="CZ245" s="33"/>
      <c r="DA245" s="33"/>
      <c r="DB245" s="66" t="str">
        <f t="shared" si="3568"/>
        <v/>
      </c>
      <c r="DC245" s="66" t="str">
        <f t="shared" si="3569"/>
        <v/>
      </c>
      <c r="DD245" s="66" t="str">
        <f t="shared" si="3570"/>
        <v/>
      </c>
      <c r="DE245" s="66" t="str">
        <f t="shared" si="3571"/>
        <v/>
      </c>
      <c r="DF245" s="66" t="str">
        <f t="shared" si="3572"/>
        <v/>
      </c>
      <c r="DG245" s="66" t="str">
        <f t="shared" si="3573"/>
        <v/>
      </c>
      <c r="DH245" s="66" t="str">
        <f t="shared" si="3574"/>
        <v/>
      </c>
      <c r="DI245" s="66" t="str">
        <f t="shared" si="3575"/>
        <v/>
      </c>
      <c r="DJ245" s="66" t="str">
        <f t="shared" si="3576"/>
        <v/>
      </c>
      <c r="DK245" s="66" t="str">
        <f t="shared" si="3577"/>
        <v/>
      </c>
      <c r="DL245" s="66" t="str">
        <f t="shared" si="3578"/>
        <v/>
      </c>
      <c r="DM245" s="66" t="str">
        <f t="shared" si="3579"/>
        <v/>
      </c>
      <c r="DN245" s="66" t="str">
        <f t="shared" si="3580"/>
        <v/>
      </c>
      <c r="DO245" s="66" t="str">
        <f t="shared" si="3581"/>
        <v/>
      </c>
      <c r="DP245" s="66" t="str">
        <f t="shared" si="3582"/>
        <v/>
      </c>
      <c r="DQ245" s="66" t="str">
        <f t="shared" si="3583"/>
        <v/>
      </c>
      <c r="DR245" s="66" t="str">
        <f t="shared" si="3584"/>
        <v/>
      </c>
      <c r="DS245" s="66" t="str">
        <f t="shared" si="3585"/>
        <v/>
      </c>
      <c r="DT245" s="66" t="str">
        <f t="shared" si="3586"/>
        <v/>
      </c>
      <c r="DU245" s="66" t="str">
        <f t="shared" si="3587"/>
        <v/>
      </c>
      <c r="DV245" s="66" t="str">
        <f t="shared" si="3588"/>
        <v/>
      </c>
      <c r="DW245" s="66" t="str">
        <f t="shared" si="3589"/>
        <v/>
      </c>
      <c r="DX245" s="66" t="str">
        <f t="shared" si="3590"/>
        <v/>
      </c>
      <c r="DY245" s="66" t="str">
        <f t="shared" si="3591"/>
        <v/>
      </c>
      <c r="DZ245" s="66" t="str">
        <f t="shared" si="3592"/>
        <v/>
      </c>
      <c r="EA245" s="66" t="str">
        <f t="shared" si="3593"/>
        <v/>
      </c>
      <c r="EB245" s="66" t="str">
        <f t="shared" si="3594"/>
        <v/>
      </c>
      <c r="EC245" s="66" t="str">
        <f t="shared" si="3595"/>
        <v/>
      </c>
      <c r="ED245" s="66" t="str">
        <f t="shared" si="3596"/>
        <v/>
      </c>
      <c r="EE245" s="66" t="str">
        <f t="shared" si="3597"/>
        <v/>
      </c>
      <c r="EF245" s="66" t="str">
        <f t="shared" si="3598"/>
        <v/>
      </c>
      <c r="EG245" s="66" t="str">
        <f t="shared" si="3599"/>
        <v/>
      </c>
      <c r="EH245" s="66" t="str">
        <f t="shared" si="3600"/>
        <v/>
      </c>
      <c r="EI245" s="66" t="str">
        <f t="shared" si="3601"/>
        <v/>
      </c>
      <c r="EJ245" s="66" t="str">
        <f t="shared" si="3602"/>
        <v/>
      </c>
      <c r="EK245" s="66" t="str">
        <f t="shared" si="3603"/>
        <v/>
      </c>
      <c r="EL245" s="66" t="str">
        <f t="shared" si="3604"/>
        <v/>
      </c>
      <c r="EM245" s="66" t="str">
        <f t="shared" si="3605"/>
        <v/>
      </c>
      <c r="EN245" s="66" t="str">
        <f t="shared" si="3606"/>
        <v/>
      </c>
      <c r="EO245" s="66" t="str">
        <f t="shared" si="3607"/>
        <v/>
      </c>
      <c r="EP245" s="66" t="str">
        <f t="shared" si="3608"/>
        <v/>
      </c>
      <c r="EQ245" s="66" t="str">
        <f t="shared" si="3609"/>
        <v/>
      </c>
      <c r="ER245" s="66" t="str">
        <f t="shared" si="3610"/>
        <v/>
      </c>
      <c r="ES245" s="66" t="str">
        <f t="shared" si="3611"/>
        <v/>
      </c>
      <c r="ET245" s="66" t="str">
        <f t="shared" si="3612"/>
        <v/>
      </c>
      <c r="EU245" s="66" t="str">
        <f t="shared" si="3613"/>
        <v/>
      </c>
      <c r="EV245" s="66" t="str">
        <f t="shared" si="3614"/>
        <v/>
      </c>
      <c r="EW245" s="66" t="str">
        <f t="shared" si="3615"/>
        <v/>
      </c>
      <c r="EX245" s="66" t="str">
        <f t="shared" si="3616"/>
        <v/>
      </c>
      <c r="EY245" s="66" t="str">
        <f t="shared" si="3617"/>
        <v/>
      </c>
      <c r="EZ245" s="66" t="str">
        <f t="shared" si="3618"/>
        <v/>
      </c>
      <c r="FA245" s="66" t="str">
        <f t="shared" si="3619"/>
        <v/>
      </c>
      <c r="FB245" s="66" t="str">
        <f t="shared" si="3620"/>
        <v/>
      </c>
      <c r="FC245" s="66" t="str">
        <f t="shared" si="3621"/>
        <v/>
      </c>
      <c r="FD245" s="66" t="str">
        <f t="shared" si="3622"/>
        <v/>
      </c>
      <c r="FE245" s="66" t="str">
        <f t="shared" si="3623"/>
        <v/>
      </c>
      <c r="FF245" s="66" t="str">
        <f t="shared" si="3624"/>
        <v/>
      </c>
      <c r="FG245" s="66" t="str">
        <f t="shared" si="3625"/>
        <v/>
      </c>
      <c r="FH245" s="66" t="str">
        <f t="shared" si="3626"/>
        <v/>
      </c>
      <c r="FI245" s="66" t="str">
        <f t="shared" si="3627"/>
        <v/>
      </c>
      <c r="FJ245" s="66" t="str">
        <f t="shared" si="3628"/>
        <v/>
      </c>
      <c r="FK245" s="66" t="str">
        <f t="shared" si="3629"/>
        <v/>
      </c>
      <c r="FL245" s="66" t="str">
        <f t="shared" si="3630"/>
        <v/>
      </c>
      <c r="FM245" s="66" t="str">
        <f t="shared" si="3631"/>
        <v/>
      </c>
      <c r="FN245" s="66" t="str">
        <f t="shared" si="3632"/>
        <v/>
      </c>
      <c r="FO245" s="66" t="str">
        <f t="shared" si="3633"/>
        <v/>
      </c>
      <c r="FP245" s="66" t="str">
        <f t="shared" si="3634"/>
        <v/>
      </c>
      <c r="FQ245" s="66" t="str">
        <f t="shared" si="3635"/>
        <v/>
      </c>
      <c r="FR245" s="66" t="str">
        <f t="shared" si="3636"/>
        <v/>
      </c>
      <c r="FS245" s="66" t="str">
        <f t="shared" si="3637"/>
        <v/>
      </c>
    </row>
    <row r="246" spans="1:175">
      <c r="A246" s="27"/>
      <c r="B246" s="27" t="s">
        <v>787</v>
      </c>
      <c r="C246" s="29" t="s">
        <v>764</v>
      </c>
      <c r="T246" s="121"/>
      <c r="U246" s="77"/>
      <c r="CN246" s="36" t="str">
        <f t="shared" si="3562"/>
        <v>InitUnitState('IF24',,,,,,,,,,)</v>
      </c>
      <c r="CO246" s="36" t="str">
        <f t="shared" si="3563"/>
        <v>InitUnitNormal('IF24',,,,,,,,,,)</v>
      </c>
      <c r="CP246" s="36" t="str">
        <f t="shared" si="3564"/>
        <v>InitUnitMagic('IF24',,,,,,,,,,)</v>
      </c>
      <c r="CQ246" s="36" t="str">
        <f t="shared" si="3565"/>
        <v>InitUnitAdd('IF24',,,,,,,,,,)</v>
      </c>
      <c r="CR246" s="36" t="str">
        <f t="shared" si="3566"/>
        <v>InitEquipData('IF24',,"",,,,,'','','','','','',"")</v>
      </c>
      <c r="CU246" s="88" t="str">
        <f t="shared" ref="CU246:CU293" si="3638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W246" s="33"/>
      <c r="CX246" s="33"/>
      <c r="CY246" s="33"/>
      <c r="CZ246" s="33"/>
      <c r="DA246" s="33"/>
      <c r="DB246" s="66" t="str">
        <f t="shared" ref="DB246:DB293" si="3639">IF(V246="","","|n"&amp;DB$2&amp;"+"&amp;V246&amp;DB$1)</f>
        <v/>
      </c>
      <c r="DC246" s="66" t="str">
        <f t="shared" ref="DC246:DC293" si="3640">IF(W246="","","|n"&amp;DC$2&amp;"+"&amp;W246&amp;DC$1)</f>
        <v/>
      </c>
      <c r="DD246" s="66" t="str">
        <f t="shared" ref="DD246:DD293" si="3641">IF(X246="","","|n"&amp;DD$2&amp;"+"&amp;X246&amp;DD$1)</f>
        <v/>
      </c>
      <c r="DE246" s="66" t="str">
        <f t="shared" ref="DE246:DE293" si="3642">IF(Y246="","","|n"&amp;DE$2&amp;"+"&amp;Y246&amp;DE$1)</f>
        <v/>
      </c>
      <c r="DF246" s="66" t="str">
        <f t="shared" ref="DF246:DF293" si="3643">IF(Z246="","","|n"&amp;DF$2&amp;"+"&amp;Z246&amp;DF$1)</f>
        <v/>
      </c>
      <c r="DG246" s="66" t="str">
        <f t="shared" ref="DG246:DG293" si="3644">IF(AA246="","","|n"&amp;DG$2&amp;"+"&amp;AA246&amp;DG$1)</f>
        <v/>
      </c>
      <c r="DH246" s="66" t="str">
        <f t="shared" ref="DH246:DH293" si="3645">IF(AB246="","","|n"&amp;DH$2&amp;"+"&amp;AB246&amp;DH$1)</f>
        <v/>
      </c>
      <c r="DI246" s="66" t="str">
        <f t="shared" ref="DI246:DI293" si="3646">IF(AC246="","","|n"&amp;DI$2&amp;"+"&amp;AC246&amp;DI$1)</f>
        <v/>
      </c>
      <c r="DJ246" s="66" t="str">
        <f t="shared" ref="DJ246:DJ293" si="3647">IF(AD246="","","|n"&amp;DJ$2&amp;"+"&amp;AD246&amp;DJ$1)</f>
        <v/>
      </c>
      <c r="DK246" s="66" t="str">
        <f t="shared" ref="DK246:DK293" si="3648">IF(AE246="","","|n"&amp;DK$2&amp;"+"&amp;AE246&amp;DK$1)</f>
        <v/>
      </c>
      <c r="DL246" s="66" t="str">
        <f t="shared" ref="DL246:DL293" si="3649">IF(AF246="","","|n"&amp;DL$2&amp;"+"&amp;AF246&amp;DL$1)</f>
        <v/>
      </c>
      <c r="DM246" s="66" t="str">
        <f t="shared" ref="DM246:DM293" si="3650">IF(AG246="","","|n"&amp;DM$2&amp;"+"&amp;AG246&amp;DM$1)</f>
        <v/>
      </c>
      <c r="DN246" s="66" t="str">
        <f t="shared" ref="DN246:DN293" si="3651">IF(AH246="","","|n"&amp;DN$2&amp;"+"&amp;AH246&amp;DN$1)</f>
        <v/>
      </c>
      <c r="DO246" s="66" t="str">
        <f t="shared" ref="DO246:DO293" si="3652">IF(AI246="","","|n"&amp;DO$2&amp;"+"&amp;AI246&amp;DO$1)</f>
        <v/>
      </c>
      <c r="DP246" s="66" t="str">
        <f t="shared" ref="DP246:DP293" si="3653">IF(AJ246="","","|n"&amp;DP$2&amp;"+"&amp;AJ246&amp;DP$1)</f>
        <v/>
      </c>
      <c r="DQ246" s="66" t="str">
        <f t="shared" ref="DQ246:DQ293" si="3654">IF(AK246="","","|n"&amp;DQ$2&amp;"+"&amp;AK246&amp;DQ$1)</f>
        <v/>
      </c>
      <c r="DR246" s="66" t="str">
        <f t="shared" ref="DR246:DR293" si="3655">IF(AL246="","","|n"&amp;DR$2&amp;"+"&amp;AL246&amp;DR$1)</f>
        <v/>
      </c>
      <c r="DS246" s="66" t="str">
        <f t="shared" ref="DS246:DS293" si="3656">IF(AM246="","","|n"&amp;DS$2&amp;"+"&amp;AM246&amp;DS$1)</f>
        <v/>
      </c>
      <c r="DT246" s="66" t="str">
        <f t="shared" ref="DT246:DT293" si="3657">IF(AN246="","","|n"&amp;DT$2&amp;"+"&amp;AN246&amp;DT$1)</f>
        <v/>
      </c>
      <c r="DU246" s="66" t="str">
        <f t="shared" ref="DU246:DU293" si="3658">IF(AO246="","","|n"&amp;DU$2&amp;"+"&amp;AO246&amp;DU$1)</f>
        <v/>
      </c>
      <c r="DV246" s="66" t="str">
        <f t="shared" ref="DV246:DV293" si="3659">IF(AP246="","","|n"&amp;DV$2&amp;"+"&amp;AP246&amp;DV$1)</f>
        <v/>
      </c>
      <c r="DW246" s="66" t="str">
        <f t="shared" ref="DW246:DW293" si="3660">IF(AQ246="","","|n"&amp;DW$2&amp;"+"&amp;AQ246&amp;DW$1)</f>
        <v/>
      </c>
      <c r="DX246" s="66" t="str">
        <f t="shared" ref="DX246:DX293" si="3661">IF(AR246="","","|n"&amp;DX$2&amp;"+"&amp;AR246&amp;DX$1)</f>
        <v/>
      </c>
      <c r="DY246" s="66" t="str">
        <f t="shared" ref="DY246:DY293" si="3662">IF(AS246="","","|n"&amp;DY$2&amp;"+"&amp;AS246&amp;DY$1)</f>
        <v/>
      </c>
      <c r="DZ246" s="66" t="str">
        <f t="shared" ref="DZ246:DZ293" si="3663">IF(AT246="","","|n"&amp;DZ$2&amp;"+"&amp;AT246&amp;DZ$1)</f>
        <v/>
      </c>
      <c r="EA246" s="66" t="str">
        <f t="shared" ref="EA246:EA293" si="3664">IF(AU246="","","|n"&amp;EA$2&amp;"+"&amp;AU246&amp;EA$1)</f>
        <v/>
      </c>
      <c r="EB246" s="66" t="str">
        <f t="shared" ref="EB246:EB293" si="3665">IF(AV246="","","|n"&amp;EB$2&amp;"+"&amp;AV246&amp;EB$1)</f>
        <v/>
      </c>
      <c r="EC246" s="66" t="str">
        <f t="shared" ref="EC246:EC293" si="3666">IF(AW246="","","|n"&amp;EC$2&amp;"+"&amp;AW246&amp;EC$1)</f>
        <v/>
      </c>
      <c r="ED246" s="66" t="str">
        <f t="shared" ref="ED246:ED293" si="3667">IF(AX246="","","|n"&amp;ED$2&amp;"+"&amp;AX246&amp;ED$1)</f>
        <v/>
      </c>
      <c r="EE246" s="66" t="str">
        <f t="shared" ref="EE246:EE293" si="3668">IF(AY246="","","|n"&amp;EE$2&amp;"+"&amp;AY246&amp;EE$1)</f>
        <v/>
      </c>
      <c r="EF246" s="66" t="str">
        <f t="shared" ref="EF246:EF293" si="3669">IF(AZ246="","","|n"&amp;EF$2&amp;"+"&amp;AZ246&amp;EF$1)</f>
        <v/>
      </c>
      <c r="EG246" s="66" t="str">
        <f t="shared" ref="EG246:EG293" si="3670">IF(BA246="","","|n"&amp;EG$2&amp;"+"&amp;BA246&amp;EG$1)</f>
        <v/>
      </c>
      <c r="EH246" s="66" t="str">
        <f t="shared" ref="EH246:EH293" si="3671">IF(BB246="","","|n"&amp;EH$2&amp;"+"&amp;BB246&amp;EH$1)</f>
        <v/>
      </c>
      <c r="EI246" s="66" t="str">
        <f t="shared" ref="EI246:EI293" si="3672">IF(BC246="","","|n"&amp;EI$2&amp;"+"&amp;BC246&amp;EI$1)</f>
        <v/>
      </c>
      <c r="EJ246" s="66" t="str">
        <f t="shared" ref="EJ246:EJ293" si="3673">IF(BD246="","","|n"&amp;EJ$2&amp;"+"&amp;BD246&amp;EJ$1)</f>
        <v/>
      </c>
      <c r="EK246" s="66" t="str">
        <f t="shared" ref="EK246:EK293" si="3674">IF(BE246="","","|n"&amp;EK$2&amp;"+"&amp;BE246&amp;EK$1)</f>
        <v/>
      </c>
      <c r="EL246" s="66" t="str">
        <f t="shared" ref="EL246:EL293" si="3675">IF(BF246="","","|n"&amp;EL$2&amp;"+"&amp;BF246&amp;EL$1)</f>
        <v/>
      </c>
      <c r="EM246" s="66" t="str">
        <f t="shared" ref="EM246:EM293" si="3676">IF(BG246="","","|n"&amp;EM$2&amp;"+"&amp;BG246&amp;EM$1)</f>
        <v/>
      </c>
      <c r="EN246" s="66" t="str">
        <f t="shared" ref="EN246:EN293" si="3677">IF(BH246="","","|n"&amp;EN$2&amp;"+"&amp;BH246&amp;EN$1)</f>
        <v/>
      </c>
      <c r="EO246" s="66" t="str">
        <f t="shared" ref="EO246:EO293" si="3678">IF(BI246="","","|n"&amp;EO$2&amp;"+"&amp;BI246&amp;EO$1)</f>
        <v/>
      </c>
      <c r="EP246" s="66" t="str">
        <f t="shared" ref="EP246:EP293" si="3679">IF(BJ246="","","|n"&amp;EP$2&amp;"+"&amp;BJ246&amp;EP$1)</f>
        <v/>
      </c>
      <c r="EQ246" s="66" t="str">
        <f t="shared" ref="EQ246:EQ293" si="3680">IF(BK246="","","|n"&amp;EQ$2&amp;"+"&amp;BK246&amp;EQ$1)</f>
        <v/>
      </c>
      <c r="ER246" s="66" t="str">
        <f t="shared" ref="ER246:ER293" si="3681">IF(BL246="","","|n"&amp;ER$2&amp;"+"&amp;BL246&amp;ER$1)</f>
        <v/>
      </c>
      <c r="ES246" s="66" t="str">
        <f t="shared" ref="ES246:ES293" si="3682">IF(BM246="","","|n"&amp;ES$2&amp;"+"&amp;BM246&amp;ES$1)</f>
        <v/>
      </c>
      <c r="ET246" s="66" t="str">
        <f t="shared" ref="ET246:ET293" si="3683">IF(BN246="","","|n"&amp;ET$2&amp;"+"&amp;BN246&amp;ET$1)</f>
        <v/>
      </c>
      <c r="EU246" s="66" t="str">
        <f t="shared" ref="EU246:EU293" si="3684">IF(BO246="","","|n"&amp;EU$2&amp;"+"&amp;BO246&amp;EU$1)</f>
        <v/>
      </c>
      <c r="EV246" s="66" t="str">
        <f t="shared" ref="EV246:EV293" si="3685">IF(BP246="","","|n"&amp;EV$2&amp;"+"&amp;BP246&amp;EV$1)</f>
        <v/>
      </c>
      <c r="EW246" s="66" t="str">
        <f t="shared" ref="EW246:EW293" si="3686">IF(BQ246="","","|n"&amp;EW$2&amp;"+"&amp;BQ246&amp;EW$1)</f>
        <v/>
      </c>
      <c r="EX246" s="66" t="str">
        <f t="shared" ref="EX246:EX293" si="3687">IF(BR246="","","|n"&amp;EX$2&amp;"+"&amp;BR246&amp;EX$1)</f>
        <v/>
      </c>
      <c r="EY246" s="66" t="str">
        <f t="shared" ref="EY246:EY293" si="3688">IF(BS246="","","|n"&amp;EY$2&amp;"+"&amp;BS246&amp;EY$1)</f>
        <v/>
      </c>
      <c r="EZ246" s="66" t="str">
        <f t="shared" ref="EZ246:EZ293" si="3689">IF(BT246="","","|n"&amp;EZ$2&amp;"+"&amp;BT246&amp;EZ$1)</f>
        <v/>
      </c>
      <c r="FA246" s="66" t="str">
        <f t="shared" ref="FA246:FA293" si="3690">IF(BU246="","","|n"&amp;FA$2&amp;"+"&amp;BU246&amp;FA$1)</f>
        <v/>
      </c>
      <c r="FB246" s="66" t="str">
        <f t="shared" ref="FB246:FB293" si="3691">IF(BV246="","","|n"&amp;FB$2&amp;"+"&amp;BV246&amp;FB$1)</f>
        <v/>
      </c>
      <c r="FC246" s="66" t="str">
        <f t="shared" ref="FC246:FC293" si="3692">IF(BW246="","","|n"&amp;FC$2&amp;"+"&amp;BW246&amp;FC$1)</f>
        <v/>
      </c>
      <c r="FD246" s="66" t="str">
        <f t="shared" ref="FD246:FD293" si="3693">IF(BX246="","","|n"&amp;FD$2&amp;"+"&amp;BX246&amp;FD$1)</f>
        <v/>
      </c>
      <c r="FE246" s="66" t="str">
        <f t="shared" ref="FE246:FE293" si="3694">IF(BY246="","","|n"&amp;FE$2&amp;"+"&amp;BY246&amp;FE$1)</f>
        <v/>
      </c>
      <c r="FF246" s="66" t="str">
        <f t="shared" ref="FF246:FF293" si="3695">IF(BZ246="","","|n"&amp;FF$2&amp;"+"&amp;BZ246&amp;FF$1)</f>
        <v/>
      </c>
      <c r="FG246" s="66" t="str">
        <f t="shared" ref="FG246:FG293" si="3696">IF(CA246="","","|n"&amp;FG$2&amp;"+"&amp;CA246&amp;FG$1)</f>
        <v/>
      </c>
      <c r="FH246" s="66" t="str">
        <f t="shared" ref="FH246:FH293" si="3697">IF(CB246="","","|n"&amp;FH$2&amp;"+"&amp;CB246&amp;FH$1)</f>
        <v/>
      </c>
      <c r="FI246" s="66" t="str">
        <f t="shared" ref="FI246:FI293" si="3698">IF(CC246="","","|n"&amp;FI$2&amp;"+"&amp;CC246&amp;FI$1)</f>
        <v/>
      </c>
      <c r="FJ246" s="66" t="str">
        <f t="shared" ref="FJ246:FJ293" si="3699">IF(CD246="","","|n"&amp;FJ$2&amp;"+"&amp;CD246&amp;FJ$1)</f>
        <v/>
      </c>
      <c r="FK246" s="66" t="str">
        <f t="shared" ref="FK246:FK293" si="3700">IF(CE246="","","|n"&amp;FK$2&amp;"+"&amp;CE246&amp;FK$1)</f>
        <v/>
      </c>
      <c r="FL246" s="66" t="str">
        <f t="shared" ref="FL246:FL293" si="3701">IF(CF246="","","|n"&amp;FL$2&amp;"+"&amp;CF246&amp;FL$1)</f>
        <v/>
      </c>
      <c r="FM246" s="66" t="str">
        <f t="shared" ref="FM246:FM293" si="3702">IF(CG246="","","|n"&amp;FM$2&amp;"+"&amp;CG246&amp;FM$1)</f>
        <v/>
      </c>
      <c r="FN246" s="66" t="str">
        <f t="shared" ref="FN246:FN293" si="3703">IF(CH246="","","|n"&amp;FN$2&amp;"+"&amp;CH246&amp;FN$1)</f>
        <v/>
      </c>
      <c r="FO246" s="66" t="str">
        <f t="shared" ref="FO246:FO293" si="3704">IF(CI246="","","|n"&amp;FO$2&amp;"+"&amp;CI246&amp;FO$1)</f>
        <v/>
      </c>
      <c r="FP246" s="66" t="str">
        <f t="shared" ref="FP246:FP293" si="3705">IF(CJ246="","","|n"&amp;FP$2&amp;"+"&amp;CJ246&amp;FP$1)</f>
        <v/>
      </c>
      <c r="FQ246" s="66" t="str">
        <f t="shared" ref="FQ246:FQ293" si="3706">IF(CK246="","","|n"&amp;FQ$2&amp;"+"&amp;CK246&amp;FQ$1)</f>
        <v/>
      </c>
      <c r="FR246" s="66" t="str">
        <f t="shared" ref="FR246:FR293" si="3707">IF(CL246="","","|n"&amp;FR$2&amp;"+"&amp;CL246&amp;FR$1)</f>
        <v/>
      </c>
      <c r="FS246" s="66" t="str">
        <f t="shared" ref="FS246:FS293" si="3708">IF(CM246="","","|n"&amp;FS$2&amp;"+"&amp;CM246&amp;FS$1)</f>
        <v/>
      </c>
    </row>
    <row r="247" spans="1:175">
      <c r="A247" s="27"/>
      <c r="B247" s="27" t="s">
        <v>788</v>
      </c>
      <c r="C247" s="29" t="s">
        <v>764</v>
      </c>
      <c r="T247" s="121"/>
      <c r="U247" s="77"/>
      <c r="CN247" s="36" t="str">
        <f t="shared" si="3562"/>
        <v>InitUnitState('IF25',,,,,,,,,,)</v>
      </c>
      <c r="CO247" s="36" t="str">
        <f t="shared" si="3563"/>
        <v>InitUnitNormal('IF25',,,,,,,,,,)</v>
      </c>
      <c r="CP247" s="36" t="str">
        <f t="shared" si="3564"/>
        <v>InitUnitMagic('IF25',,,,,,,,,,)</v>
      </c>
      <c r="CQ247" s="36" t="str">
        <f t="shared" si="3565"/>
        <v>InitUnitAdd('IF25',,,,,,,,,,)</v>
      </c>
      <c r="CR247" s="36" t="str">
        <f t="shared" si="3566"/>
        <v>InitEquipData('IF25',,"",,,,,'','','','','','',"")</v>
      </c>
      <c r="CU247" s="88" t="str">
        <f t="shared" si="3638"/>
        <v>|n</v>
      </c>
      <c r="CW247" s="33"/>
      <c r="CX247" s="33"/>
      <c r="CY247" s="33"/>
      <c r="CZ247" s="33"/>
      <c r="DA247" s="33"/>
      <c r="DB247" s="66" t="str">
        <f t="shared" si="3639"/>
        <v/>
      </c>
      <c r="DC247" s="66" t="str">
        <f t="shared" si="3640"/>
        <v/>
      </c>
      <c r="DD247" s="66" t="str">
        <f t="shared" si="3641"/>
        <v/>
      </c>
      <c r="DE247" s="66" t="str">
        <f t="shared" si="3642"/>
        <v/>
      </c>
      <c r="DF247" s="66" t="str">
        <f t="shared" si="3643"/>
        <v/>
      </c>
      <c r="DG247" s="66" t="str">
        <f t="shared" si="3644"/>
        <v/>
      </c>
      <c r="DH247" s="66" t="str">
        <f t="shared" si="3645"/>
        <v/>
      </c>
      <c r="DI247" s="66" t="str">
        <f t="shared" si="3646"/>
        <v/>
      </c>
      <c r="DJ247" s="66" t="str">
        <f t="shared" si="3647"/>
        <v/>
      </c>
      <c r="DK247" s="66" t="str">
        <f t="shared" si="3648"/>
        <v/>
      </c>
      <c r="DL247" s="66" t="str">
        <f t="shared" si="3649"/>
        <v/>
      </c>
      <c r="DM247" s="66" t="str">
        <f t="shared" si="3650"/>
        <v/>
      </c>
      <c r="DN247" s="66" t="str">
        <f t="shared" si="3651"/>
        <v/>
      </c>
      <c r="DO247" s="66" t="str">
        <f t="shared" si="3652"/>
        <v/>
      </c>
      <c r="DP247" s="66" t="str">
        <f t="shared" si="3653"/>
        <v/>
      </c>
      <c r="DQ247" s="66" t="str">
        <f t="shared" si="3654"/>
        <v/>
      </c>
      <c r="DR247" s="66" t="str">
        <f t="shared" si="3655"/>
        <v/>
      </c>
      <c r="DS247" s="66" t="str">
        <f t="shared" si="3656"/>
        <v/>
      </c>
      <c r="DT247" s="66" t="str">
        <f t="shared" si="3657"/>
        <v/>
      </c>
      <c r="DU247" s="66" t="str">
        <f t="shared" si="3658"/>
        <v/>
      </c>
      <c r="DV247" s="66" t="str">
        <f t="shared" si="3659"/>
        <v/>
      </c>
      <c r="DW247" s="66" t="str">
        <f t="shared" si="3660"/>
        <v/>
      </c>
      <c r="DX247" s="66" t="str">
        <f t="shared" si="3661"/>
        <v/>
      </c>
      <c r="DY247" s="66" t="str">
        <f t="shared" si="3662"/>
        <v/>
      </c>
      <c r="DZ247" s="66" t="str">
        <f t="shared" si="3663"/>
        <v/>
      </c>
      <c r="EA247" s="66" t="str">
        <f t="shared" si="3664"/>
        <v/>
      </c>
      <c r="EB247" s="66" t="str">
        <f t="shared" si="3665"/>
        <v/>
      </c>
      <c r="EC247" s="66" t="str">
        <f t="shared" si="3666"/>
        <v/>
      </c>
      <c r="ED247" s="66" t="str">
        <f t="shared" si="3667"/>
        <v/>
      </c>
      <c r="EE247" s="66" t="str">
        <f t="shared" si="3668"/>
        <v/>
      </c>
      <c r="EF247" s="66" t="str">
        <f t="shared" si="3669"/>
        <v/>
      </c>
      <c r="EG247" s="66" t="str">
        <f t="shared" si="3670"/>
        <v/>
      </c>
      <c r="EH247" s="66" t="str">
        <f t="shared" si="3671"/>
        <v/>
      </c>
      <c r="EI247" s="66" t="str">
        <f t="shared" si="3672"/>
        <v/>
      </c>
      <c r="EJ247" s="66" t="str">
        <f t="shared" si="3673"/>
        <v/>
      </c>
      <c r="EK247" s="66" t="str">
        <f t="shared" si="3674"/>
        <v/>
      </c>
      <c r="EL247" s="66" t="str">
        <f t="shared" si="3675"/>
        <v/>
      </c>
      <c r="EM247" s="66" t="str">
        <f t="shared" si="3676"/>
        <v/>
      </c>
      <c r="EN247" s="66" t="str">
        <f t="shared" si="3677"/>
        <v/>
      </c>
      <c r="EO247" s="66" t="str">
        <f t="shared" si="3678"/>
        <v/>
      </c>
      <c r="EP247" s="66" t="str">
        <f t="shared" si="3679"/>
        <v/>
      </c>
      <c r="EQ247" s="66" t="str">
        <f t="shared" si="3680"/>
        <v/>
      </c>
      <c r="ER247" s="66" t="str">
        <f t="shared" si="3681"/>
        <v/>
      </c>
      <c r="ES247" s="66" t="str">
        <f t="shared" si="3682"/>
        <v/>
      </c>
      <c r="ET247" s="66" t="str">
        <f t="shared" si="3683"/>
        <v/>
      </c>
      <c r="EU247" s="66" t="str">
        <f t="shared" si="3684"/>
        <v/>
      </c>
      <c r="EV247" s="66" t="str">
        <f t="shared" si="3685"/>
        <v/>
      </c>
      <c r="EW247" s="66" t="str">
        <f t="shared" si="3686"/>
        <v/>
      </c>
      <c r="EX247" s="66" t="str">
        <f t="shared" si="3687"/>
        <v/>
      </c>
      <c r="EY247" s="66" t="str">
        <f t="shared" si="3688"/>
        <v/>
      </c>
      <c r="EZ247" s="66" t="str">
        <f t="shared" si="3689"/>
        <v/>
      </c>
      <c r="FA247" s="66" t="str">
        <f t="shared" si="3690"/>
        <v/>
      </c>
      <c r="FB247" s="66" t="str">
        <f t="shared" si="3691"/>
        <v/>
      </c>
      <c r="FC247" s="66" t="str">
        <f t="shared" si="3692"/>
        <v/>
      </c>
      <c r="FD247" s="66" t="str">
        <f t="shared" si="3693"/>
        <v/>
      </c>
      <c r="FE247" s="66" t="str">
        <f t="shared" si="3694"/>
        <v/>
      </c>
      <c r="FF247" s="66" t="str">
        <f t="shared" si="3695"/>
        <v/>
      </c>
      <c r="FG247" s="66" t="str">
        <f t="shared" si="3696"/>
        <v/>
      </c>
      <c r="FH247" s="66" t="str">
        <f t="shared" si="3697"/>
        <v/>
      </c>
      <c r="FI247" s="66" t="str">
        <f t="shared" si="3698"/>
        <v/>
      </c>
      <c r="FJ247" s="66" t="str">
        <f t="shared" si="3699"/>
        <v/>
      </c>
      <c r="FK247" s="66" t="str">
        <f t="shared" si="3700"/>
        <v/>
      </c>
      <c r="FL247" s="66" t="str">
        <f t="shared" si="3701"/>
        <v/>
      </c>
      <c r="FM247" s="66" t="str">
        <f t="shared" si="3702"/>
        <v/>
      </c>
      <c r="FN247" s="66" t="str">
        <f t="shared" si="3703"/>
        <v/>
      </c>
      <c r="FO247" s="66" t="str">
        <f t="shared" si="3704"/>
        <v/>
      </c>
      <c r="FP247" s="66" t="str">
        <f t="shared" si="3705"/>
        <v/>
      </c>
      <c r="FQ247" s="66" t="str">
        <f t="shared" si="3706"/>
        <v/>
      </c>
      <c r="FR247" s="66" t="str">
        <f t="shared" si="3707"/>
        <v/>
      </c>
      <c r="FS247" s="66" t="str">
        <f t="shared" si="3708"/>
        <v/>
      </c>
    </row>
    <row r="248" spans="1:175">
      <c r="A248" s="27"/>
      <c r="B248" s="27" t="s">
        <v>789</v>
      </c>
      <c r="C248" s="29" t="s">
        <v>764</v>
      </c>
      <c r="T248" s="121"/>
      <c r="U248" s="77"/>
      <c r="CN248" s="36" t="str">
        <f t="shared" si="3562"/>
        <v>InitUnitState('IF26',,,,,,,,,,)</v>
      </c>
      <c r="CO248" s="36" t="str">
        <f t="shared" si="3563"/>
        <v>InitUnitNormal('IF26',,,,,,,,,,)</v>
      </c>
      <c r="CP248" s="36" t="str">
        <f t="shared" si="3564"/>
        <v>InitUnitMagic('IF26',,,,,,,,,,)</v>
      </c>
      <c r="CQ248" s="36" t="str">
        <f t="shared" si="3565"/>
        <v>InitUnitAdd('IF26',,,,,,,,,,)</v>
      </c>
      <c r="CR248" s="36" t="str">
        <f t="shared" si="3566"/>
        <v>InitEquipData('IF26',,"",,,,,'','','','','','',"")</v>
      </c>
      <c r="CU248" s="88" t="str">
        <f t="shared" si="3638"/>
        <v>|n</v>
      </c>
      <c r="CW248" s="33"/>
      <c r="CX248" s="33"/>
      <c r="CY248" s="33"/>
      <c r="CZ248" s="33"/>
      <c r="DA248" s="33"/>
      <c r="DB248" s="66" t="str">
        <f t="shared" si="3639"/>
        <v/>
      </c>
      <c r="DC248" s="66" t="str">
        <f t="shared" si="3640"/>
        <v/>
      </c>
      <c r="DD248" s="66" t="str">
        <f t="shared" si="3641"/>
        <v/>
      </c>
      <c r="DE248" s="66" t="str">
        <f t="shared" si="3642"/>
        <v/>
      </c>
      <c r="DF248" s="66" t="str">
        <f t="shared" si="3643"/>
        <v/>
      </c>
      <c r="DG248" s="66" t="str">
        <f t="shared" si="3644"/>
        <v/>
      </c>
      <c r="DH248" s="66" t="str">
        <f t="shared" si="3645"/>
        <v/>
      </c>
      <c r="DI248" s="66" t="str">
        <f t="shared" si="3646"/>
        <v/>
      </c>
      <c r="DJ248" s="66" t="str">
        <f t="shared" si="3647"/>
        <v/>
      </c>
      <c r="DK248" s="66" t="str">
        <f t="shared" si="3648"/>
        <v/>
      </c>
      <c r="DL248" s="66" t="str">
        <f t="shared" si="3649"/>
        <v/>
      </c>
      <c r="DM248" s="66" t="str">
        <f t="shared" si="3650"/>
        <v/>
      </c>
      <c r="DN248" s="66" t="str">
        <f t="shared" si="3651"/>
        <v/>
      </c>
      <c r="DO248" s="66" t="str">
        <f t="shared" si="3652"/>
        <v/>
      </c>
      <c r="DP248" s="66" t="str">
        <f t="shared" si="3653"/>
        <v/>
      </c>
      <c r="DQ248" s="66" t="str">
        <f t="shared" si="3654"/>
        <v/>
      </c>
      <c r="DR248" s="66" t="str">
        <f t="shared" si="3655"/>
        <v/>
      </c>
      <c r="DS248" s="66" t="str">
        <f t="shared" si="3656"/>
        <v/>
      </c>
      <c r="DT248" s="66" t="str">
        <f t="shared" si="3657"/>
        <v/>
      </c>
      <c r="DU248" s="66" t="str">
        <f t="shared" si="3658"/>
        <v/>
      </c>
      <c r="DV248" s="66" t="str">
        <f t="shared" si="3659"/>
        <v/>
      </c>
      <c r="DW248" s="66" t="str">
        <f t="shared" si="3660"/>
        <v/>
      </c>
      <c r="DX248" s="66" t="str">
        <f t="shared" si="3661"/>
        <v/>
      </c>
      <c r="DY248" s="66" t="str">
        <f t="shared" si="3662"/>
        <v/>
      </c>
      <c r="DZ248" s="66" t="str">
        <f t="shared" si="3663"/>
        <v/>
      </c>
      <c r="EA248" s="66" t="str">
        <f t="shared" si="3664"/>
        <v/>
      </c>
      <c r="EB248" s="66" t="str">
        <f t="shared" si="3665"/>
        <v/>
      </c>
      <c r="EC248" s="66" t="str">
        <f t="shared" si="3666"/>
        <v/>
      </c>
      <c r="ED248" s="66" t="str">
        <f t="shared" si="3667"/>
        <v/>
      </c>
      <c r="EE248" s="66" t="str">
        <f t="shared" si="3668"/>
        <v/>
      </c>
      <c r="EF248" s="66" t="str">
        <f t="shared" si="3669"/>
        <v/>
      </c>
      <c r="EG248" s="66" t="str">
        <f t="shared" si="3670"/>
        <v/>
      </c>
      <c r="EH248" s="66" t="str">
        <f t="shared" si="3671"/>
        <v/>
      </c>
      <c r="EI248" s="66" t="str">
        <f t="shared" si="3672"/>
        <v/>
      </c>
      <c r="EJ248" s="66" t="str">
        <f t="shared" si="3673"/>
        <v/>
      </c>
      <c r="EK248" s="66" t="str">
        <f t="shared" si="3674"/>
        <v/>
      </c>
      <c r="EL248" s="66" t="str">
        <f t="shared" si="3675"/>
        <v/>
      </c>
      <c r="EM248" s="66" t="str">
        <f t="shared" si="3676"/>
        <v/>
      </c>
      <c r="EN248" s="66" t="str">
        <f t="shared" si="3677"/>
        <v/>
      </c>
      <c r="EO248" s="66" t="str">
        <f t="shared" si="3678"/>
        <v/>
      </c>
      <c r="EP248" s="66" t="str">
        <f t="shared" si="3679"/>
        <v/>
      </c>
      <c r="EQ248" s="66" t="str">
        <f t="shared" si="3680"/>
        <v/>
      </c>
      <c r="ER248" s="66" t="str">
        <f t="shared" si="3681"/>
        <v/>
      </c>
      <c r="ES248" s="66" t="str">
        <f t="shared" si="3682"/>
        <v/>
      </c>
      <c r="ET248" s="66" t="str">
        <f t="shared" si="3683"/>
        <v/>
      </c>
      <c r="EU248" s="66" t="str">
        <f t="shared" si="3684"/>
        <v/>
      </c>
      <c r="EV248" s="66" t="str">
        <f t="shared" si="3685"/>
        <v/>
      </c>
      <c r="EW248" s="66" t="str">
        <f t="shared" si="3686"/>
        <v/>
      </c>
      <c r="EX248" s="66" t="str">
        <f t="shared" si="3687"/>
        <v/>
      </c>
      <c r="EY248" s="66" t="str">
        <f t="shared" si="3688"/>
        <v/>
      </c>
      <c r="EZ248" s="66" t="str">
        <f t="shared" si="3689"/>
        <v/>
      </c>
      <c r="FA248" s="66" t="str">
        <f t="shared" si="3690"/>
        <v/>
      </c>
      <c r="FB248" s="66" t="str">
        <f t="shared" si="3691"/>
        <v/>
      </c>
      <c r="FC248" s="66" t="str">
        <f t="shared" si="3692"/>
        <v/>
      </c>
      <c r="FD248" s="66" t="str">
        <f t="shared" si="3693"/>
        <v/>
      </c>
      <c r="FE248" s="66" t="str">
        <f t="shared" si="3694"/>
        <v/>
      </c>
      <c r="FF248" s="66" t="str">
        <f t="shared" si="3695"/>
        <v/>
      </c>
      <c r="FG248" s="66" t="str">
        <f t="shared" si="3696"/>
        <v/>
      </c>
      <c r="FH248" s="66" t="str">
        <f t="shared" si="3697"/>
        <v/>
      </c>
      <c r="FI248" s="66" t="str">
        <f t="shared" si="3698"/>
        <v/>
      </c>
      <c r="FJ248" s="66" t="str">
        <f t="shared" si="3699"/>
        <v/>
      </c>
      <c r="FK248" s="66" t="str">
        <f t="shared" si="3700"/>
        <v/>
      </c>
      <c r="FL248" s="66" t="str">
        <f t="shared" si="3701"/>
        <v/>
      </c>
      <c r="FM248" s="66" t="str">
        <f t="shared" si="3702"/>
        <v/>
      </c>
      <c r="FN248" s="66" t="str">
        <f t="shared" si="3703"/>
        <v/>
      </c>
      <c r="FO248" s="66" t="str">
        <f t="shared" si="3704"/>
        <v/>
      </c>
      <c r="FP248" s="66" t="str">
        <f t="shared" si="3705"/>
        <v/>
      </c>
      <c r="FQ248" s="66" t="str">
        <f t="shared" si="3706"/>
        <v/>
      </c>
      <c r="FR248" s="66" t="str">
        <f t="shared" si="3707"/>
        <v/>
      </c>
      <c r="FS248" s="66" t="str">
        <f t="shared" si="3708"/>
        <v/>
      </c>
    </row>
    <row r="249" spans="1:175">
      <c r="A249" s="27"/>
      <c r="B249" s="27" t="s">
        <v>790</v>
      </c>
      <c r="C249" s="29" t="s">
        <v>764</v>
      </c>
      <c r="T249" s="121"/>
      <c r="U249" s="77"/>
      <c r="CN249" s="36" t="str">
        <f t="shared" si="3562"/>
        <v>InitUnitState('IF27',,,,,,,,,,)</v>
      </c>
      <c r="CO249" s="36" t="str">
        <f t="shared" si="3563"/>
        <v>InitUnitNormal('IF27',,,,,,,,,,)</v>
      </c>
      <c r="CP249" s="36" t="str">
        <f t="shared" si="3564"/>
        <v>InitUnitMagic('IF27',,,,,,,,,,)</v>
      </c>
      <c r="CQ249" s="36" t="str">
        <f t="shared" si="3565"/>
        <v>InitUnitAdd('IF27',,,,,,,,,,)</v>
      </c>
      <c r="CR249" s="36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256&amp;CR$1&amp;")"</f>
        <v>InitEquipData('IF27',,"",,,,,'','','','','','',"")</v>
      </c>
      <c r="CU249" s="88" t="str">
        <f t="shared" si="3638"/>
        <v>|n</v>
      </c>
      <c r="CW249" s="33"/>
      <c r="CX249" s="33"/>
      <c r="CY249" s="33"/>
      <c r="CZ249" s="33"/>
      <c r="DA249" s="33"/>
      <c r="DB249" s="66" t="str">
        <f t="shared" si="3639"/>
        <v/>
      </c>
      <c r="DC249" s="66" t="str">
        <f t="shared" si="3640"/>
        <v/>
      </c>
      <c r="DD249" s="66" t="str">
        <f t="shared" si="3641"/>
        <v/>
      </c>
      <c r="DE249" s="66" t="str">
        <f t="shared" si="3642"/>
        <v/>
      </c>
      <c r="DF249" s="66" t="str">
        <f t="shared" si="3643"/>
        <v/>
      </c>
      <c r="DG249" s="66" t="str">
        <f t="shared" si="3644"/>
        <v/>
      </c>
      <c r="DH249" s="66" t="str">
        <f t="shared" si="3645"/>
        <v/>
      </c>
      <c r="DI249" s="66" t="str">
        <f t="shared" si="3646"/>
        <v/>
      </c>
      <c r="DJ249" s="66" t="str">
        <f t="shared" si="3647"/>
        <v/>
      </c>
      <c r="DK249" s="66" t="str">
        <f t="shared" si="3648"/>
        <v/>
      </c>
      <c r="DL249" s="66" t="str">
        <f t="shared" si="3649"/>
        <v/>
      </c>
      <c r="DM249" s="66" t="str">
        <f t="shared" si="3650"/>
        <v/>
      </c>
      <c r="DN249" s="66" t="str">
        <f t="shared" si="3651"/>
        <v/>
      </c>
      <c r="DO249" s="66" t="str">
        <f t="shared" si="3652"/>
        <v/>
      </c>
      <c r="DP249" s="66" t="str">
        <f t="shared" si="3653"/>
        <v/>
      </c>
      <c r="DQ249" s="66" t="str">
        <f t="shared" si="3654"/>
        <v/>
      </c>
      <c r="DR249" s="66" t="str">
        <f t="shared" si="3655"/>
        <v/>
      </c>
      <c r="DS249" s="66" t="str">
        <f t="shared" si="3656"/>
        <v/>
      </c>
      <c r="DT249" s="66" t="str">
        <f t="shared" si="3657"/>
        <v/>
      </c>
      <c r="DU249" s="66" t="str">
        <f t="shared" si="3658"/>
        <v/>
      </c>
      <c r="DV249" s="66" t="str">
        <f t="shared" si="3659"/>
        <v/>
      </c>
      <c r="DW249" s="66" t="str">
        <f t="shared" si="3660"/>
        <v/>
      </c>
      <c r="DX249" s="66" t="str">
        <f t="shared" si="3661"/>
        <v/>
      </c>
      <c r="DY249" s="66" t="str">
        <f t="shared" si="3662"/>
        <v/>
      </c>
      <c r="DZ249" s="66" t="str">
        <f t="shared" si="3663"/>
        <v/>
      </c>
      <c r="EA249" s="66" t="str">
        <f t="shared" si="3664"/>
        <v/>
      </c>
      <c r="EB249" s="66" t="str">
        <f t="shared" si="3665"/>
        <v/>
      </c>
      <c r="EC249" s="66" t="str">
        <f t="shared" si="3666"/>
        <v/>
      </c>
      <c r="ED249" s="66" t="str">
        <f t="shared" si="3667"/>
        <v/>
      </c>
      <c r="EE249" s="66" t="str">
        <f t="shared" si="3668"/>
        <v/>
      </c>
      <c r="EF249" s="66" t="str">
        <f t="shared" si="3669"/>
        <v/>
      </c>
      <c r="EG249" s="66" t="str">
        <f t="shared" si="3670"/>
        <v/>
      </c>
      <c r="EH249" s="66" t="str">
        <f t="shared" si="3671"/>
        <v/>
      </c>
      <c r="EI249" s="66" t="str">
        <f t="shared" si="3672"/>
        <v/>
      </c>
      <c r="EJ249" s="66" t="str">
        <f t="shared" si="3673"/>
        <v/>
      </c>
      <c r="EK249" s="66" t="str">
        <f t="shared" si="3674"/>
        <v/>
      </c>
      <c r="EL249" s="66" t="str">
        <f t="shared" si="3675"/>
        <v/>
      </c>
      <c r="EM249" s="66" t="str">
        <f t="shared" si="3676"/>
        <v/>
      </c>
      <c r="EN249" s="66" t="str">
        <f t="shared" si="3677"/>
        <v/>
      </c>
      <c r="EO249" s="66" t="str">
        <f t="shared" si="3678"/>
        <v/>
      </c>
      <c r="EP249" s="66" t="str">
        <f t="shared" si="3679"/>
        <v/>
      </c>
      <c r="EQ249" s="66" t="str">
        <f t="shared" si="3680"/>
        <v/>
      </c>
      <c r="ER249" s="66" t="str">
        <f t="shared" si="3681"/>
        <v/>
      </c>
      <c r="ES249" s="66" t="str">
        <f t="shared" si="3682"/>
        <v/>
      </c>
      <c r="ET249" s="66" t="str">
        <f t="shared" si="3683"/>
        <v/>
      </c>
      <c r="EU249" s="66" t="str">
        <f t="shared" si="3684"/>
        <v/>
      </c>
      <c r="EV249" s="66" t="str">
        <f t="shared" si="3685"/>
        <v/>
      </c>
      <c r="EW249" s="66" t="str">
        <f t="shared" si="3686"/>
        <v/>
      </c>
      <c r="EX249" s="66" t="str">
        <f t="shared" si="3687"/>
        <v/>
      </c>
      <c r="EY249" s="66" t="str">
        <f t="shared" si="3688"/>
        <v/>
      </c>
      <c r="EZ249" s="66" t="str">
        <f t="shared" si="3689"/>
        <v/>
      </c>
      <c r="FA249" s="66" t="str">
        <f t="shared" si="3690"/>
        <v/>
      </c>
      <c r="FB249" s="66" t="str">
        <f t="shared" si="3691"/>
        <v/>
      </c>
      <c r="FC249" s="66" t="str">
        <f t="shared" si="3692"/>
        <v/>
      </c>
      <c r="FD249" s="66" t="str">
        <f t="shared" si="3693"/>
        <v/>
      </c>
      <c r="FE249" s="66" t="str">
        <f t="shared" si="3694"/>
        <v/>
      </c>
      <c r="FF249" s="66" t="str">
        <f t="shared" si="3695"/>
        <v/>
      </c>
      <c r="FG249" s="66" t="str">
        <f t="shared" si="3696"/>
        <v/>
      </c>
      <c r="FH249" s="66" t="str">
        <f t="shared" si="3697"/>
        <v/>
      </c>
      <c r="FI249" s="66" t="str">
        <f t="shared" si="3698"/>
        <v/>
      </c>
      <c r="FJ249" s="66" t="str">
        <f t="shared" si="3699"/>
        <v/>
      </c>
      <c r="FK249" s="66" t="str">
        <f t="shared" si="3700"/>
        <v/>
      </c>
      <c r="FL249" s="66" t="str">
        <f t="shared" si="3701"/>
        <v/>
      </c>
      <c r="FM249" s="66" t="str">
        <f t="shared" si="3702"/>
        <v/>
      </c>
      <c r="FN249" s="66" t="str">
        <f t="shared" si="3703"/>
        <v/>
      </c>
      <c r="FO249" s="66" t="str">
        <f t="shared" si="3704"/>
        <v/>
      </c>
      <c r="FP249" s="66" t="str">
        <f t="shared" si="3705"/>
        <v/>
      </c>
      <c r="FQ249" s="66" t="str">
        <f t="shared" si="3706"/>
        <v/>
      </c>
      <c r="FR249" s="66" t="str">
        <f t="shared" si="3707"/>
        <v/>
      </c>
      <c r="FS249" s="66" t="str">
        <f t="shared" si="3708"/>
        <v/>
      </c>
    </row>
    <row r="250" spans="1:175">
      <c r="A250" s="27"/>
      <c r="B250" s="27" t="s">
        <v>791</v>
      </c>
      <c r="C250" s="29" t="s">
        <v>764</v>
      </c>
      <c r="T250" s="121"/>
      <c r="U250" s="77"/>
      <c r="CN250" s="36" t="str">
        <f t="shared" ref="CN250:CN255" si="3709">"InitUnitState('"&amp;B250&amp;"',"&amp;V250&amp;","&amp;W250&amp;","&amp;X250&amp;","&amp;Y250&amp;","&amp;Z250&amp;","&amp;AA250&amp;","&amp;AB250&amp;","&amp;AC250&amp;","&amp;AD250&amp;","&amp;AE250&amp;")"</f>
        <v>InitUnitState('IF28',,,,,,,,,,)</v>
      </c>
      <c r="CO250" s="36" t="str">
        <f t="shared" ref="CO250:CO255" si="3710">"InitUnitNormal('"&amp;B250&amp;"',"&amp;AF250&amp;","&amp;AG250&amp;","&amp;AH250&amp;","&amp;AI250&amp;","&amp;AJ250&amp;","&amp;AK250&amp;","&amp;AL250&amp;","&amp;AM250&amp;","&amp;AN250&amp;","&amp;AO250&amp;")"</f>
        <v>InitUnitNormal('IF28',,,,,,,,,,)</v>
      </c>
      <c r="CP250" s="36" t="str">
        <f t="shared" ref="CP250:CP255" si="3711">"InitUnitMagic('"&amp;B250&amp;"',"&amp;AP250&amp;","&amp;AQ250&amp;","&amp;AR250&amp;","&amp;AS250&amp;","&amp;AT250&amp;","&amp;AU250&amp;","&amp;AV250&amp;","&amp;AW250&amp;","&amp;BI250&amp;","&amp;BJ250&amp;")"</f>
        <v>InitUnitMagic('IF28',,,,,,,,,,)</v>
      </c>
      <c r="CQ250" s="36" t="str">
        <f t="shared" ref="CQ250:CQ255" si="3712">"InitUnitAdd('"&amp;B250&amp;"',"&amp;BK250&amp;","&amp;BL250&amp;","&amp;BM250&amp;","&amp;BN250&amp;","&amp;BO250&amp;","&amp;BP250&amp;","&amp;BQ250&amp;","&amp;BR250&amp;","&amp;BS250&amp;","&amp;BT250&amp;")"</f>
        <v>InitUnitAdd('IF28',,,,,,,,,,)</v>
      </c>
      <c r="CR250" s="36" t="str">
        <f t="shared" ref="CR250:CR252" si="3713"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InitEquipData('IF28',,"",,,,,'','','','','','',"")</v>
      </c>
      <c r="CU250" s="88" t="str">
        <f t="shared" ref="CU250:CU255" si="3714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W250" s="33"/>
      <c r="CX250" s="33"/>
      <c r="CY250" s="33"/>
      <c r="CZ250" s="33"/>
      <c r="DA250" s="33"/>
      <c r="DB250" s="66" t="str">
        <f t="shared" ref="DB250:DB255" si="3715">IF(V250="","","|n"&amp;DB$2&amp;"+"&amp;V250&amp;DB$1)</f>
        <v/>
      </c>
      <c r="DC250" s="66" t="str">
        <f t="shared" ref="DC250:DC255" si="3716">IF(W250="","","|n"&amp;DC$2&amp;"+"&amp;W250&amp;DC$1)</f>
        <v/>
      </c>
      <c r="DD250" s="66" t="str">
        <f t="shared" ref="DD250:DD255" si="3717">IF(X250="","","|n"&amp;DD$2&amp;"+"&amp;X250&amp;DD$1)</f>
        <v/>
      </c>
      <c r="DE250" s="66" t="str">
        <f t="shared" ref="DE250:DE255" si="3718">IF(Y250="","","|n"&amp;DE$2&amp;"+"&amp;Y250&amp;DE$1)</f>
        <v/>
      </c>
      <c r="DF250" s="66" t="str">
        <f t="shared" ref="DF250:DF255" si="3719">IF(Z250="","","|n"&amp;DF$2&amp;"+"&amp;Z250&amp;DF$1)</f>
        <v/>
      </c>
      <c r="DG250" s="66" t="str">
        <f t="shared" ref="DG250:DG255" si="3720">IF(AA250="","","|n"&amp;DG$2&amp;"+"&amp;AA250&amp;DG$1)</f>
        <v/>
      </c>
      <c r="DH250" s="66" t="str">
        <f t="shared" ref="DH250:DH255" si="3721">IF(AB250="","","|n"&amp;DH$2&amp;"+"&amp;AB250&amp;DH$1)</f>
        <v/>
      </c>
      <c r="DI250" s="66" t="str">
        <f t="shared" ref="DI250:DI255" si="3722">IF(AC250="","","|n"&amp;DI$2&amp;"+"&amp;AC250&amp;DI$1)</f>
        <v/>
      </c>
      <c r="DJ250" s="66" t="str">
        <f t="shared" ref="DJ250:DJ255" si="3723">IF(AD250="","","|n"&amp;DJ$2&amp;"+"&amp;AD250&amp;DJ$1)</f>
        <v/>
      </c>
      <c r="DK250" s="66" t="str">
        <f t="shared" ref="DK250:DK255" si="3724">IF(AE250="","","|n"&amp;DK$2&amp;"+"&amp;AE250&amp;DK$1)</f>
        <v/>
      </c>
      <c r="DL250" s="66" t="str">
        <f t="shared" ref="DL250:DL255" si="3725">IF(AF250="","","|n"&amp;DL$2&amp;"+"&amp;AF250&amp;DL$1)</f>
        <v/>
      </c>
      <c r="DM250" s="66" t="str">
        <f t="shared" ref="DM250:DM255" si="3726">IF(AG250="","","|n"&amp;DM$2&amp;"+"&amp;AG250&amp;DM$1)</f>
        <v/>
      </c>
      <c r="DN250" s="66" t="str">
        <f t="shared" ref="DN250:DN255" si="3727">IF(AH250="","","|n"&amp;DN$2&amp;"+"&amp;AH250&amp;DN$1)</f>
        <v/>
      </c>
      <c r="DO250" s="66" t="str">
        <f t="shared" ref="DO250:DO255" si="3728">IF(AI250="","","|n"&amp;DO$2&amp;"+"&amp;AI250&amp;DO$1)</f>
        <v/>
      </c>
      <c r="DP250" s="66" t="str">
        <f t="shared" ref="DP250:DP255" si="3729">IF(AJ250="","","|n"&amp;DP$2&amp;"+"&amp;AJ250&amp;DP$1)</f>
        <v/>
      </c>
      <c r="DQ250" s="66" t="str">
        <f t="shared" ref="DQ250:DQ255" si="3730">IF(AK250="","","|n"&amp;DQ$2&amp;"+"&amp;AK250&amp;DQ$1)</f>
        <v/>
      </c>
      <c r="DR250" s="66" t="str">
        <f t="shared" ref="DR250:DR255" si="3731">IF(AL250="","","|n"&amp;DR$2&amp;"+"&amp;AL250&amp;DR$1)</f>
        <v/>
      </c>
      <c r="DS250" s="66" t="str">
        <f t="shared" ref="DS250:DS255" si="3732">IF(AM250="","","|n"&amp;DS$2&amp;"+"&amp;AM250&amp;DS$1)</f>
        <v/>
      </c>
      <c r="DT250" s="66" t="str">
        <f t="shared" ref="DT250:DT255" si="3733">IF(AN250="","","|n"&amp;DT$2&amp;"+"&amp;AN250&amp;DT$1)</f>
        <v/>
      </c>
      <c r="DU250" s="66" t="str">
        <f t="shared" ref="DU250:DU255" si="3734">IF(AO250="","","|n"&amp;DU$2&amp;"+"&amp;AO250&amp;DU$1)</f>
        <v/>
      </c>
      <c r="DV250" s="66" t="str">
        <f t="shared" ref="DV250:DV255" si="3735">IF(AP250="","","|n"&amp;DV$2&amp;"+"&amp;AP250&amp;DV$1)</f>
        <v/>
      </c>
      <c r="DW250" s="66" t="str">
        <f t="shared" ref="DW250:DW255" si="3736">IF(AQ250="","","|n"&amp;DW$2&amp;"+"&amp;AQ250&amp;DW$1)</f>
        <v/>
      </c>
      <c r="DX250" s="66" t="str">
        <f t="shared" ref="DX250:DX255" si="3737">IF(AR250="","","|n"&amp;DX$2&amp;"+"&amp;AR250&amp;DX$1)</f>
        <v/>
      </c>
      <c r="DY250" s="66" t="str">
        <f t="shared" ref="DY250:DY255" si="3738">IF(AS250="","","|n"&amp;DY$2&amp;"+"&amp;AS250&amp;DY$1)</f>
        <v/>
      </c>
      <c r="DZ250" s="66" t="str">
        <f t="shared" ref="DZ250:DZ255" si="3739">IF(AT250="","","|n"&amp;DZ$2&amp;"+"&amp;AT250&amp;DZ$1)</f>
        <v/>
      </c>
      <c r="EA250" s="66" t="str">
        <f t="shared" ref="EA250:EA255" si="3740">IF(AU250="","","|n"&amp;EA$2&amp;"+"&amp;AU250&amp;EA$1)</f>
        <v/>
      </c>
      <c r="EB250" s="66" t="str">
        <f t="shared" ref="EB250:EB255" si="3741">IF(AV250="","","|n"&amp;EB$2&amp;"+"&amp;AV250&amp;EB$1)</f>
        <v/>
      </c>
      <c r="EC250" s="66" t="str">
        <f t="shared" ref="EC250:EC255" si="3742">IF(AW250="","","|n"&amp;EC$2&amp;"+"&amp;AW250&amp;EC$1)</f>
        <v/>
      </c>
      <c r="ED250" s="66" t="str">
        <f t="shared" ref="ED250:ED255" si="3743">IF(AX250="","","|n"&amp;ED$2&amp;"+"&amp;AX250&amp;ED$1)</f>
        <v/>
      </c>
      <c r="EE250" s="66" t="str">
        <f t="shared" ref="EE250:EE255" si="3744">IF(AY250="","","|n"&amp;EE$2&amp;"+"&amp;AY250&amp;EE$1)</f>
        <v/>
      </c>
      <c r="EF250" s="66" t="str">
        <f t="shared" ref="EF250:EF255" si="3745">IF(AZ250="","","|n"&amp;EF$2&amp;"+"&amp;AZ250&amp;EF$1)</f>
        <v/>
      </c>
      <c r="EG250" s="66" t="str">
        <f t="shared" ref="EG250:EG255" si="3746">IF(BA250="","","|n"&amp;EG$2&amp;"+"&amp;BA250&amp;EG$1)</f>
        <v/>
      </c>
      <c r="EH250" s="66" t="str">
        <f t="shared" ref="EH250:EH255" si="3747">IF(BB250="","","|n"&amp;EH$2&amp;"+"&amp;BB250&amp;EH$1)</f>
        <v/>
      </c>
      <c r="EI250" s="66" t="str">
        <f t="shared" ref="EI250:EI255" si="3748">IF(BC250="","","|n"&amp;EI$2&amp;"+"&amp;BC250&amp;EI$1)</f>
        <v/>
      </c>
      <c r="EJ250" s="66" t="str">
        <f t="shared" ref="EJ250:EJ255" si="3749">IF(BD250="","","|n"&amp;EJ$2&amp;"+"&amp;BD250&amp;EJ$1)</f>
        <v/>
      </c>
      <c r="EK250" s="66" t="str">
        <f t="shared" ref="EK250:EK255" si="3750">IF(BE250="","","|n"&amp;EK$2&amp;"+"&amp;BE250&amp;EK$1)</f>
        <v/>
      </c>
      <c r="EL250" s="66" t="str">
        <f t="shared" ref="EL250:EL255" si="3751">IF(BF250="","","|n"&amp;EL$2&amp;"+"&amp;BF250&amp;EL$1)</f>
        <v/>
      </c>
      <c r="EM250" s="66" t="str">
        <f t="shared" ref="EM250:EM255" si="3752">IF(BG250="","","|n"&amp;EM$2&amp;"+"&amp;BG250&amp;EM$1)</f>
        <v/>
      </c>
      <c r="EN250" s="66" t="str">
        <f t="shared" ref="EN250:EN255" si="3753">IF(BH250="","","|n"&amp;EN$2&amp;"+"&amp;BH250&amp;EN$1)</f>
        <v/>
      </c>
      <c r="EO250" s="66" t="str">
        <f t="shared" ref="EO250:EO255" si="3754">IF(BI250="","","|n"&amp;EO$2&amp;"+"&amp;BI250&amp;EO$1)</f>
        <v/>
      </c>
      <c r="EP250" s="66" t="str">
        <f t="shared" ref="EP250:EP255" si="3755">IF(BJ250="","","|n"&amp;EP$2&amp;"+"&amp;BJ250&amp;EP$1)</f>
        <v/>
      </c>
      <c r="EQ250" s="66" t="str">
        <f t="shared" ref="EQ250:EQ255" si="3756">IF(BK250="","","|n"&amp;EQ$2&amp;"+"&amp;BK250&amp;EQ$1)</f>
        <v/>
      </c>
      <c r="ER250" s="66" t="str">
        <f t="shared" ref="ER250:ER255" si="3757">IF(BL250="","","|n"&amp;ER$2&amp;"+"&amp;BL250&amp;ER$1)</f>
        <v/>
      </c>
      <c r="ES250" s="66" t="str">
        <f t="shared" ref="ES250:ES255" si="3758">IF(BM250="","","|n"&amp;ES$2&amp;"+"&amp;BM250&amp;ES$1)</f>
        <v/>
      </c>
      <c r="ET250" s="66" t="str">
        <f t="shared" ref="ET250:ET255" si="3759">IF(BN250="","","|n"&amp;ET$2&amp;"+"&amp;BN250&amp;ET$1)</f>
        <v/>
      </c>
      <c r="EU250" s="66" t="str">
        <f t="shared" ref="EU250:EU255" si="3760">IF(BO250="","","|n"&amp;EU$2&amp;"+"&amp;BO250&amp;EU$1)</f>
        <v/>
      </c>
      <c r="EV250" s="66" t="str">
        <f t="shared" ref="EV250:EV255" si="3761">IF(BP250="","","|n"&amp;EV$2&amp;"+"&amp;BP250&amp;EV$1)</f>
        <v/>
      </c>
      <c r="EW250" s="66" t="str">
        <f t="shared" ref="EW250:EW255" si="3762">IF(BQ250="","","|n"&amp;EW$2&amp;"+"&amp;BQ250&amp;EW$1)</f>
        <v/>
      </c>
      <c r="EX250" s="66" t="str">
        <f t="shared" ref="EX250:EX255" si="3763">IF(BR250="","","|n"&amp;EX$2&amp;"+"&amp;BR250&amp;EX$1)</f>
        <v/>
      </c>
      <c r="EY250" s="66" t="str">
        <f t="shared" ref="EY250:EY255" si="3764">IF(BS250="","","|n"&amp;EY$2&amp;"+"&amp;BS250&amp;EY$1)</f>
        <v/>
      </c>
      <c r="EZ250" s="66" t="str">
        <f t="shared" ref="EZ250:EZ255" si="3765">IF(BT250="","","|n"&amp;EZ$2&amp;"+"&amp;BT250&amp;EZ$1)</f>
        <v/>
      </c>
      <c r="FA250" s="66" t="str">
        <f t="shared" ref="FA250:FA255" si="3766">IF(BU250="","","|n"&amp;FA$2&amp;"+"&amp;BU250&amp;FA$1)</f>
        <v/>
      </c>
      <c r="FB250" s="66" t="str">
        <f t="shared" ref="FB250:FB255" si="3767">IF(BV250="","","|n"&amp;FB$2&amp;"+"&amp;BV250&amp;FB$1)</f>
        <v/>
      </c>
      <c r="FC250" s="66" t="str">
        <f t="shared" ref="FC250:FC255" si="3768">IF(BW250="","","|n"&amp;FC$2&amp;"+"&amp;BW250&amp;FC$1)</f>
        <v/>
      </c>
      <c r="FD250" s="66" t="str">
        <f t="shared" ref="FD250:FD255" si="3769">IF(BX250="","","|n"&amp;FD$2&amp;"+"&amp;BX250&amp;FD$1)</f>
        <v/>
      </c>
      <c r="FE250" s="66" t="str">
        <f t="shared" ref="FE250:FE255" si="3770">IF(BY250="","","|n"&amp;FE$2&amp;"+"&amp;BY250&amp;FE$1)</f>
        <v/>
      </c>
      <c r="FF250" s="66" t="str">
        <f t="shared" ref="FF250:FF255" si="3771">IF(BZ250="","","|n"&amp;FF$2&amp;"+"&amp;BZ250&amp;FF$1)</f>
        <v/>
      </c>
      <c r="FG250" s="66" t="str">
        <f t="shared" ref="FG250:FG255" si="3772">IF(CA250="","","|n"&amp;FG$2&amp;"+"&amp;CA250&amp;FG$1)</f>
        <v/>
      </c>
      <c r="FH250" s="66" t="str">
        <f t="shared" ref="FH250:FH255" si="3773">IF(CB250="","","|n"&amp;FH$2&amp;"+"&amp;CB250&amp;FH$1)</f>
        <v/>
      </c>
      <c r="FI250" s="66" t="str">
        <f t="shared" ref="FI250:FI255" si="3774">IF(CC250="","","|n"&amp;FI$2&amp;"+"&amp;CC250&amp;FI$1)</f>
        <v/>
      </c>
      <c r="FJ250" s="66" t="str">
        <f t="shared" ref="FJ250:FJ255" si="3775">IF(CD250="","","|n"&amp;FJ$2&amp;"+"&amp;CD250&amp;FJ$1)</f>
        <v/>
      </c>
      <c r="FK250" s="66" t="str">
        <f t="shared" ref="FK250:FK255" si="3776">IF(CE250="","","|n"&amp;FK$2&amp;"+"&amp;CE250&amp;FK$1)</f>
        <v/>
      </c>
      <c r="FL250" s="66" t="str">
        <f t="shared" ref="FL250:FL255" si="3777">IF(CF250="","","|n"&amp;FL$2&amp;"+"&amp;CF250&amp;FL$1)</f>
        <v/>
      </c>
      <c r="FM250" s="66" t="str">
        <f t="shared" ref="FM250:FM255" si="3778">IF(CG250="","","|n"&amp;FM$2&amp;"+"&amp;CG250&amp;FM$1)</f>
        <v/>
      </c>
      <c r="FN250" s="66" t="str">
        <f t="shared" ref="FN250:FN255" si="3779">IF(CH250="","","|n"&amp;FN$2&amp;"+"&amp;CH250&amp;FN$1)</f>
        <v/>
      </c>
      <c r="FO250" s="66" t="str">
        <f t="shared" ref="FO250:FO255" si="3780">IF(CI250="","","|n"&amp;FO$2&amp;"+"&amp;CI250&amp;FO$1)</f>
        <v/>
      </c>
      <c r="FP250" s="66" t="str">
        <f t="shared" ref="FP250:FP255" si="3781">IF(CJ250="","","|n"&amp;FP$2&amp;"+"&amp;CJ250&amp;FP$1)</f>
        <v/>
      </c>
      <c r="FQ250" s="66" t="str">
        <f t="shared" ref="FQ250:FQ255" si="3782">IF(CK250="","","|n"&amp;FQ$2&amp;"+"&amp;CK250&amp;FQ$1)</f>
        <v/>
      </c>
      <c r="FR250" s="66" t="str">
        <f t="shared" ref="FR250:FR255" si="3783">IF(CL250="","","|n"&amp;FR$2&amp;"+"&amp;CL250&amp;FR$1)</f>
        <v/>
      </c>
      <c r="FS250" s="66" t="str">
        <f t="shared" ref="FS250:FS255" si="3784">IF(CM250="","","|n"&amp;FS$2&amp;"+"&amp;CM250&amp;FS$1)</f>
        <v/>
      </c>
    </row>
    <row r="251" spans="1:175">
      <c r="A251" s="27"/>
      <c r="B251" s="27" t="s">
        <v>792</v>
      </c>
      <c r="C251" s="29" t="s">
        <v>764</v>
      </c>
      <c r="T251" s="121"/>
      <c r="U251" s="77"/>
      <c r="CN251" s="36" t="str">
        <f t="shared" si="3709"/>
        <v>InitUnitState('IF29',,,,,,,,,,)</v>
      </c>
      <c r="CO251" s="36" t="str">
        <f t="shared" si="3710"/>
        <v>InitUnitNormal('IF29',,,,,,,,,,)</v>
      </c>
      <c r="CP251" s="36" t="str">
        <f t="shared" si="3711"/>
        <v>InitUnitMagic('IF29',,,,,,,,,,)</v>
      </c>
      <c r="CQ251" s="36" t="str">
        <f t="shared" si="3712"/>
        <v>InitUnitAdd('IF29',,,,,,,,,,)</v>
      </c>
      <c r="CR251" s="36" t="str">
        <f t="shared" si="3713"/>
        <v>InitEquipData('IF29',,"",,,,,'','','','','','',"")</v>
      </c>
      <c r="CU251" s="88" t="str">
        <f t="shared" si="3714"/>
        <v>|n</v>
      </c>
      <c r="CW251" s="33"/>
      <c r="CX251" s="33"/>
      <c r="CY251" s="33"/>
      <c r="CZ251" s="33"/>
      <c r="DA251" s="33"/>
      <c r="DB251" s="66" t="str">
        <f t="shared" si="3715"/>
        <v/>
      </c>
      <c r="DC251" s="66" t="str">
        <f t="shared" si="3716"/>
        <v/>
      </c>
      <c r="DD251" s="66" t="str">
        <f t="shared" si="3717"/>
        <v/>
      </c>
      <c r="DE251" s="66" t="str">
        <f t="shared" si="3718"/>
        <v/>
      </c>
      <c r="DF251" s="66" t="str">
        <f t="shared" si="3719"/>
        <v/>
      </c>
      <c r="DG251" s="66" t="str">
        <f t="shared" si="3720"/>
        <v/>
      </c>
      <c r="DH251" s="66" t="str">
        <f t="shared" si="3721"/>
        <v/>
      </c>
      <c r="DI251" s="66" t="str">
        <f t="shared" si="3722"/>
        <v/>
      </c>
      <c r="DJ251" s="66" t="str">
        <f t="shared" si="3723"/>
        <v/>
      </c>
      <c r="DK251" s="66" t="str">
        <f t="shared" si="3724"/>
        <v/>
      </c>
      <c r="DL251" s="66" t="str">
        <f t="shared" si="3725"/>
        <v/>
      </c>
      <c r="DM251" s="66" t="str">
        <f t="shared" si="3726"/>
        <v/>
      </c>
      <c r="DN251" s="66" t="str">
        <f t="shared" si="3727"/>
        <v/>
      </c>
      <c r="DO251" s="66" t="str">
        <f t="shared" si="3728"/>
        <v/>
      </c>
      <c r="DP251" s="66" t="str">
        <f t="shared" si="3729"/>
        <v/>
      </c>
      <c r="DQ251" s="66" t="str">
        <f t="shared" si="3730"/>
        <v/>
      </c>
      <c r="DR251" s="66" t="str">
        <f t="shared" si="3731"/>
        <v/>
      </c>
      <c r="DS251" s="66" t="str">
        <f t="shared" si="3732"/>
        <v/>
      </c>
      <c r="DT251" s="66" t="str">
        <f t="shared" si="3733"/>
        <v/>
      </c>
      <c r="DU251" s="66" t="str">
        <f t="shared" si="3734"/>
        <v/>
      </c>
      <c r="DV251" s="66" t="str">
        <f t="shared" si="3735"/>
        <v/>
      </c>
      <c r="DW251" s="66" t="str">
        <f t="shared" si="3736"/>
        <v/>
      </c>
      <c r="DX251" s="66" t="str">
        <f t="shared" si="3737"/>
        <v/>
      </c>
      <c r="DY251" s="66" t="str">
        <f t="shared" si="3738"/>
        <v/>
      </c>
      <c r="DZ251" s="66" t="str">
        <f t="shared" si="3739"/>
        <v/>
      </c>
      <c r="EA251" s="66" t="str">
        <f t="shared" si="3740"/>
        <v/>
      </c>
      <c r="EB251" s="66" t="str">
        <f t="shared" si="3741"/>
        <v/>
      </c>
      <c r="EC251" s="66" t="str">
        <f t="shared" si="3742"/>
        <v/>
      </c>
      <c r="ED251" s="66" t="str">
        <f t="shared" si="3743"/>
        <v/>
      </c>
      <c r="EE251" s="66" t="str">
        <f t="shared" si="3744"/>
        <v/>
      </c>
      <c r="EF251" s="66" t="str">
        <f t="shared" si="3745"/>
        <v/>
      </c>
      <c r="EG251" s="66" t="str">
        <f t="shared" si="3746"/>
        <v/>
      </c>
      <c r="EH251" s="66" t="str">
        <f t="shared" si="3747"/>
        <v/>
      </c>
      <c r="EI251" s="66" t="str">
        <f t="shared" si="3748"/>
        <v/>
      </c>
      <c r="EJ251" s="66" t="str">
        <f t="shared" si="3749"/>
        <v/>
      </c>
      <c r="EK251" s="66" t="str">
        <f t="shared" si="3750"/>
        <v/>
      </c>
      <c r="EL251" s="66" t="str">
        <f t="shared" si="3751"/>
        <v/>
      </c>
      <c r="EM251" s="66" t="str">
        <f t="shared" si="3752"/>
        <v/>
      </c>
      <c r="EN251" s="66" t="str">
        <f t="shared" si="3753"/>
        <v/>
      </c>
      <c r="EO251" s="66" t="str">
        <f t="shared" si="3754"/>
        <v/>
      </c>
      <c r="EP251" s="66" t="str">
        <f t="shared" si="3755"/>
        <v/>
      </c>
      <c r="EQ251" s="66" t="str">
        <f t="shared" si="3756"/>
        <v/>
      </c>
      <c r="ER251" s="66" t="str">
        <f t="shared" si="3757"/>
        <v/>
      </c>
      <c r="ES251" s="66" t="str">
        <f t="shared" si="3758"/>
        <v/>
      </c>
      <c r="ET251" s="66" t="str">
        <f t="shared" si="3759"/>
        <v/>
      </c>
      <c r="EU251" s="66" t="str">
        <f t="shared" si="3760"/>
        <v/>
      </c>
      <c r="EV251" s="66" t="str">
        <f t="shared" si="3761"/>
        <v/>
      </c>
      <c r="EW251" s="66" t="str">
        <f t="shared" si="3762"/>
        <v/>
      </c>
      <c r="EX251" s="66" t="str">
        <f t="shared" si="3763"/>
        <v/>
      </c>
      <c r="EY251" s="66" t="str">
        <f t="shared" si="3764"/>
        <v/>
      </c>
      <c r="EZ251" s="66" t="str">
        <f t="shared" si="3765"/>
        <v/>
      </c>
      <c r="FA251" s="66" t="str">
        <f t="shared" si="3766"/>
        <v/>
      </c>
      <c r="FB251" s="66" t="str">
        <f t="shared" si="3767"/>
        <v/>
      </c>
      <c r="FC251" s="66" t="str">
        <f t="shared" si="3768"/>
        <v/>
      </c>
      <c r="FD251" s="66" t="str">
        <f t="shared" si="3769"/>
        <v/>
      </c>
      <c r="FE251" s="66" t="str">
        <f t="shared" si="3770"/>
        <v/>
      </c>
      <c r="FF251" s="66" t="str">
        <f t="shared" si="3771"/>
        <v/>
      </c>
      <c r="FG251" s="66" t="str">
        <f t="shared" si="3772"/>
        <v/>
      </c>
      <c r="FH251" s="66" t="str">
        <f t="shared" si="3773"/>
        <v/>
      </c>
      <c r="FI251" s="66" t="str">
        <f t="shared" si="3774"/>
        <v/>
      </c>
      <c r="FJ251" s="66" t="str">
        <f t="shared" si="3775"/>
        <v/>
      </c>
      <c r="FK251" s="66" t="str">
        <f t="shared" si="3776"/>
        <v/>
      </c>
      <c r="FL251" s="66" t="str">
        <f t="shared" si="3777"/>
        <v/>
      </c>
      <c r="FM251" s="66" t="str">
        <f t="shared" si="3778"/>
        <v/>
      </c>
      <c r="FN251" s="66" t="str">
        <f t="shared" si="3779"/>
        <v/>
      </c>
      <c r="FO251" s="66" t="str">
        <f t="shared" si="3780"/>
        <v/>
      </c>
      <c r="FP251" s="66" t="str">
        <f t="shared" si="3781"/>
        <v/>
      </c>
      <c r="FQ251" s="66" t="str">
        <f t="shared" si="3782"/>
        <v/>
      </c>
      <c r="FR251" s="66" t="str">
        <f t="shared" si="3783"/>
        <v/>
      </c>
      <c r="FS251" s="66" t="str">
        <f t="shared" si="3784"/>
        <v/>
      </c>
    </row>
    <row r="252" spans="1:175">
      <c r="A252" s="27"/>
      <c r="B252" s="27" t="s">
        <v>793</v>
      </c>
      <c r="C252" s="29" t="s">
        <v>764</v>
      </c>
      <c r="T252" s="121"/>
      <c r="U252" s="77"/>
      <c r="CN252" s="36" t="str">
        <f t="shared" si="3709"/>
        <v>InitUnitState('IF30',,,,,,,,,,)</v>
      </c>
      <c r="CO252" s="36" t="str">
        <f t="shared" si="3710"/>
        <v>InitUnitNormal('IF30',,,,,,,,,,)</v>
      </c>
      <c r="CP252" s="36" t="str">
        <f t="shared" si="3711"/>
        <v>InitUnitMagic('IF30',,,,,,,,,,)</v>
      </c>
      <c r="CQ252" s="36" t="str">
        <f t="shared" si="3712"/>
        <v>InitUnitAdd('IF30',,,,,,,,,,)</v>
      </c>
      <c r="CR252" s="36" t="str">
        <f t="shared" si="3713"/>
        <v>InitEquipData('IF30',,"",,,,,'','','','','','',"")</v>
      </c>
      <c r="CU252" s="88" t="str">
        <f t="shared" si="3714"/>
        <v>|n</v>
      </c>
      <c r="CW252" s="33"/>
      <c r="CX252" s="33"/>
      <c r="CY252" s="33"/>
      <c r="CZ252" s="33"/>
      <c r="DA252" s="33"/>
      <c r="DB252" s="66" t="str">
        <f t="shared" si="3715"/>
        <v/>
      </c>
      <c r="DC252" s="66" t="str">
        <f t="shared" si="3716"/>
        <v/>
      </c>
      <c r="DD252" s="66" t="str">
        <f t="shared" si="3717"/>
        <v/>
      </c>
      <c r="DE252" s="66" t="str">
        <f t="shared" si="3718"/>
        <v/>
      </c>
      <c r="DF252" s="66" t="str">
        <f t="shared" si="3719"/>
        <v/>
      </c>
      <c r="DG252" s="66" t="str">
        <f t="shared" si="3720"/>
        <v/>
      </c>
      <c r="DH252" s="66" t="str">
        <f t="shared" si="3721"/>
        <v/>
      </c>
      <c r="DI252" s="66" t="str">
        <f t="shared" si="3722"/>
        <v/>
      </c>
      <c r="DJ252" s="66" t="str">
        <f t="shared" si="3723"/>
        <v/>
      </c>
      <c r="DK252" s="66" t="str">
        <f t="shared" si="3724"/>
        <v/>
      </c>
      <c r="DL252" s="66" t="str">
        <f t="shared" si="3725"/>
        <v/>
      </c>
      <c r="DM252" s="66" t="str">
        <f t="shared" si="3726"/>
        <v/>
      </c>
      <c r="DN252" s="66" t="str">
        <f t="shared" si="3727"/>
        <v/>
      </c>
      <c r="DO252" s="66" t="str">
        <f t="shared" si="3728"/>
        <v/>
      </c>
      <c r="DP252" s="66" t="str">
        <f t="shared" si="3729"/>
        <v/>
      </c>
      <c r="DQ252" s="66" t="str">
        <f t="shared" si="3730"/>
        <v/>
      </c>
      <c r="DR252" s="66" t="str">
        <f t="shared" si="3731"/>
        <v/>
      </c>
      <c r="DS252" s="66" t="str">
        <f t="shared" si="3732"/>
        <v/>
      </c>
      <c r="DT252" s="66" t="str">
        <f t="shared" si="3733"/>
        <v/>
      </c>
      <c r="DU252" s="66" t="str">
        <f t="shared" si="3734"/>
        <v/>
      </c>
      <c r="DV252" s="66" t="str">
        <f t="shared" si="3735"/>
        <v/>
      </c>
      <c r="DW252" s="66" t="str">
        <f t="shared" si="3736"/>
        <v/>
      </c>
      <c r="DX252" s="66" t="str">
        <f t="shared" si="3737"/>
        <v/>
      </c>
      <c r="DY252" s="66" t="str">
        <f t="shared" si="3738"/>
        <v/>
      </c>
      <c r="DZ252" s="66" t="str">
        <f t="shared" si="3739"/>
        <v/>
      </c>
      <c r="EA252" s="66" t="str">
        <f t="shared" si="3740"/>
        <v/>
      </c>
      <c r="EB252" s="66" t="str">
        <f t="shared" si="3741"/>
        <v/>
      </c>
      <c r="EC252" s="66" t="str">
        <f t="shared" si="3742"/>
        <v/>
      </c>
      <c r="ED252" s="66" t="str">
        <f t="shared" si="3743"/>
        <v/>
      </c>
      <c r="EE252" s="66" t="str">
        <f t="shared" si="3744"/>
        <v/>
      </c>
      <c r="EF252" s="66" t="str">
        <f t="shared" si="3745"/>
        <v/>
      </c>
      <c r="EG252" s="66" t="str">
        <f t="shared" si="3746"/>
        <v/>
      </c>
      <c r="EH252" s="66" t="str">
        <f t="shared" si="3747"/>
        <v/>
      </c>
      <c r="EI252" s="66" t="str">
        <f t="shared" si="3748"/>
        <v/>
      </c>
      <c r="EJ252" s="66" t="str">
        <f t="shared" si="3749"/>
        <v/>
      </c>
      <c r="EK252" s="66" t="str">
        <f t="shared" si="3750"/>
        <v/>
      </c>
      <c r="EL252" s="66" t="str">
        <f t="shared" si="3751"/>
        <v/>
      </c>
      <c r="EM252" s="66" t="str">
        <f t="shared" si="3752"/>
        <v/>
      </c>
      <c r="EN252" s="66" t="str">
        <f t="shared" si="3753"/>
        <v/>
      </c>
      <c r="EO252" s="66" t="str">
        <f t="shared" si="3754"/>
        <v/>
      </c>
      <c r="EP252" s="66" t="str">
        <f t="shared" si="3755"/>
        <v/>
      </c>
      <c r="EQ252" s="66" t="str">
        <f t="shared" si="3756"/>
        <v/>
      </c>
      <c r="ER252" s="66" t="str">
        <f t="shared" si="3757"/>
        <v/>
      </c>
      <c r="ES252" s="66" t="str">
        <f t="shared" si="3758"/>
        <v/>
      </c>
      <c r="ET252" s="66" t="str">
        <f t="shared" si="3759"/>
        <v/>
      </c>
      <c r="EU252" s="66" t="str">
        <f t="shared" si="3760"/>
        <v/>
      </c>
      <c r="EV252" s="66" t="str">
        <f t="shared" si="3761"/>
        <v/>
      </c>
      <c r="EW252" s="66" t="str">
        <f t="shared" si="3762"/>
        <v/>
      </c>
      <c r="EX252" s="66" t="str">
        <f t="shared" si="3763"/>
        <v/>
      </c>
      <c r="EY252" s="66" t="str">
        <f t="shared" si="3764"/>
        <v/>
      </c>
      <c r="EZ252" s="66" t="str">
        <f t="shared" si="3765"/>
        <v/>
      </c>
      <c r="FA252" s="66" t="str">
        <f t="shared" si="3766"/>
        <v/>
      </c>
      <c r="FB252" s="66" t="str">
        <f t="shared" si="3767"/>
        <v/>
      </c>
      <c r="FC252" s="66" t="str">
        <f t="shared" si="3768"/>
        <v/>
      </c>
      <c r="FD252" s="66" t="str">
        <f t="shared" si="3769"/>
        <v/>
      </c>
      <c r="FE252" s="66" t="str">
        <f t="shared" si="3770"/>
        <v/>
      </c>
      <c r="FF252" s="66" t="str">
        <f t="shared" si="3771"/>
        <v/>
      </c>
      <c r="FG252" s="66" t="str">
        <f t="shared" si="3772"/>
        <v/>
      </c>
      <c r="FH252" s="66" t="str">
        <f t="shared" si="3773"/>
        <v/>
      </c>
      <c r="FI252" s="66" t="str">
        <f t="shared" si="3774"/>
        <v/>
      </c>
      <c r="FJ252" s="66" t="str">
        <f t="shared" si="3775"/>
        <v/>
      </c>
      <c r="FK252" s="66" t="str">
        <f t="shared" si="3776"/>
        <v/>
      </c>
      <c r="FL252" s="66" t="str">
        <f t="shared" si="3777"/>
        <v/>
      </c>
      <c r="FM252" s="66" t="str">
        <f t="shared" si="3778"/>
        <v/>
      </c>
      <c r="FN252" s="66" t="str">
        <f t="shared" si="3779"/>
        <v/>
      </c>
      <c r="FO252" s="66" t="str">
        <f t="shared" si="3780"/>
        <v/>
      </c>
      <c r="FP252" s="66" t="str">
        <f t="shared" si="3781"/>
        <v/>
      </c>
      <c r="FQ252" s="66" t="str">
        <f t="shared" si="3782"/>
        <v/>
      </c>
      <c r="FR252" s="66" t="str">
        <f t="shared" si="3783"/>
        <v/>
      </c>
      <c r="FS252" s="66" t="str">
        <f t="shared" si="3784"/>
        <v/>
      </c>
    </row>
    <row r="253" spans="1:175">
      <c r="A253" s="27"/>
      <c r="B253" s="27" t="s">
        <v>794</v>
      </c>
      <c r="C253" s="29" t="s">
        <v>764</v>
      </c>
      <c r="T253" s="121"/>
      <c r="U253" s="77"/>
      <c r="CN253" s="36" t="str">
        <f t="shared" si="3709"/>
        <v>InitUnitState('IF31',,,,,,,,,,)</v>
      </c>
      <c r="CO253" s="36" t="str">
        <f t="shared" si="3710"/>
        <v>InitUnitNormal('IF31',,,,,,,,,,)</v>
      </c>
      <c r="CP253" s="36" t="str">
        <f t="shared" si="3711"/>
        <v>InitUnitMagic('IF31',,,,,,,,,,)</v>
      </c>
      <c r="CQ253" s="36" t="str">
        <f t="shared" si="3712"/>
        <v>InitUnitAdd('IF31',,,,,,,,,,)</v>
      </c>
      <c r="CR253" s="36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260&amp;CR$1&amp;")"</f>
        <v>InitEquipData('IF31',,"",,,,,'','','','','','',"")</v>
      </c>
      <c r="CU253" s="88" t="str">
        <f t="shared" si="3714"/>
        <v>|n</v>
      </c>
      <c r="CW253" s="33"/>
      <c r="CX253" s="33"/>
      <c r="CY253" s="33"/>
      <c r="CZ253" s="33"/>
      <c r="DA253" s="33"/>
      <c r="DB253" s="66" t="str">
        <f t="shared" si="3715"/>
        <v/>
      </c>
      <c r="DC253" s="66" t="str">
        <f t="shared" si="3716"/>
        <v/>
      </c>
      <c r="DD253" s="66" t="str">
        <f t="shared" si="3717"/>
        <v/>
      </c>
      <c r="DE253" s="66" t="str">
        <f t="shared" si="3718"/>
        <v/>
      </c>
      <c r="DF253" s="66" t="str">
        <f t="shared" si="3719"/>
        <v/>
      </c>
      <c r="DG253" s="66" t="str">
        <f t="shared" si="3720"/>
        <v/>
      </c>
      <c r="DH253" s="66" t="str">
        <f t="shared" si="3721"/>
        <v/>
      </c>
      <c r="DI253" s="66" t="str">
        <f t="shared" si="3722"/>
        <v/>
      </c>
      <c r="DJ253" s="66" t="str">
        <f t="shared" si="3723"/>
        <v/>
      </c>
      <c r="DK253" s="66" t="str">
        <f t="shared" si="3724"/>
        <v/>
      </c>
      <c r="DL253" s="66" t="str">
        <f t="shared" si="3725"/>
        <v/>
      </c>
      <c r="DM253" s="66" t="str">
        <f t="shared" si="3726"/>
        <v/>
      </c>
      <c r="DN253" s="66" t="str">
        <f t="shared" si="3727"/>
        <v/>
      </c>
      <c r="DO253" s="66" t="str">
        <f t="shared" si="3728"/>
        <v/>
      </c>
      <c r="DP253" s="66" t="str">
        <f t="shared" si="3729"/>
        <v/>
      </c>
      <c r="DQ253" s="66" t="str">
        <f t="shared" si="3730"/>
        <v/>
      </c>
      <c r="DR253" s="66" t="str">
        <f t="shared" si="3731"/>
        <v/>
      </c>
      <c r="DS253" s="66" t="str">
        <f t="shared" si="3732"/>
        <v/>
      </c>
      <c r="DT253" s="66" t="str">
        <f t="shared" si="3733"/>
        <v/>
      </c>
      <c r="DU253" s="66" t="str">
        <f t="shared" si="3734"/>
        <v/>
      </c>
      <c r="DV253" s="66" t="str">
        <f t="shared" si="3735"/>
        <v/>
      </c>
      <c r="DW253" s="66" t="str">
        <f t="shared" si="3736"/>
        <v/>
      </c>
      <c r="DX253" s="66" t="str">
        <f t="shared" si="3737"/>
        <v/>
      </c>
      <c r="DY253" s="66" t="str">
        <f t="shared" si="3738"/>
        <v/>
      </c>
      <c r="DZ253" s="66" t="str">
        <f t="shared" si="3739"/>
        <v/>
      </c>
      <c r="EA253" s="66" t="str">
        <f t="shared" si="3740"/>
        <v/>
      </c>
      <c r="EB253" s="66" t="str">
        <f t="shared" si="3741"/>
        <v/>
      </c>
      <c r="EC253" s="66" t="str">
        <f t="shared" si="3742"/>
        <v/>
      </c>
      <c r="ED253" s="66" t="str">
        <f t="shared" si="3743"/>
        <v/>
      </c>
      <c r="EE253" s="66" t="str">
        <f t="shared" si="3744"/>
        <v/>
      </c>
      <c r="EF253" s="66" t="str">
        <f t="shared" si="3745"/>
        <v/>
      </c>
      <c r="EG253" s="66" t="str">
        <f t="shared" si="3746"/>
        <v/>
      </c>
      <c r="EH253" s="66" t="str">
        <f t="shared" si="3747"/>
        <v/>
      </c>
      <c r="EI253" s="66" t="str">
        <f t="shared" si="3748"/>
        <v/>
      </c>
      <c r="EJ253" s="66" t="str">
        <f t="shared" si="3749"/>
        <v/>
      </c>
      <c r="EK253" s="66" t="str">
        <f t="shared" si="3750"/>
        <v/>
      </c>
      <c r="EL253" s="66" t="str">
        <f t="shared" si="3751"/>
        <v/>
      </c>
      <c r="EM253" s="66" t="str">
        <f t="shared" si="3752"/>
        <v/>
      </c>
      <c r="EN253" s="66" t="str">
        <f t="shared" si="3753"/>
        <v/>
      </c>
      <c r="EO253" s="66" t="str">
        <f t="shared" si="3754"/>
        <v/>
      </c>
      <c r="EP253" s="66" t="str">
        <f t="shared" si="3755"/>
        <v/>
      </c>
      <c r="EQ253" s="66" t="str">
        <f t="shared" si="3756"/>
        <v/>
      </c>
      <c r="ER253" s="66" t="str">
        <f t="shared" si="3757"/>
        <v/>
      </c>
      <c r="ES253" s="66" t="str">
        <f t="shared" si="3758"/>
        <v/>
      </c>
      <c r="ET253" s="66" t="str">
        <f t="shared" si="3759"/>
        <v/>
      </c>
      <c r="EU253" s="66" t="str">
        <f t="shared" si="3760"/>
        <v/>
      </c>
      <c r="EV253" s="66" t="str">
        <f t="shared" si="3761"/>
        <v/>
      </c>
      <c r="EW253" s="66" t="str">
        <f t="shared" si="3762"/>
        <v/>
      </c>
      <c r="EX253" s="66" t="str">
        <f t="shared" si="3763"/>
        <v/>
      </c>
      <c r="EY253" s="66" t="str">
        <f t="shared" si="3764"/>
        <v/>
      </c>
      <c r="EZ253" s="66" t="str">
        <f t="shared" si="3765"/>
        <v/>
      </c>
      <c r="FA253" s="66" t="str">
        <f t="shared" si="3766"/>
        <v/>
      </c>
      <c r="FB253" s="66" t="str">
        <f t="shared" si="3767"/>
        <v/>
      </c>
      <c r="FC253" s="66" t="str">
        <f t="shared" si="3768"/>
        <v/>
      </c>
      <c r="FD253" s="66" t="str">
        <f t="shared" si="3769"/>
        <v/>
      </c>
      <c r="FE253" s="66" t="str">
        <f t="shared" si="3770"/>
        <v/>
      </c>
      <c r="FF253" s="66" t="str">
        <f t="shared" si="3771"/>
        <v/>
      </c>
      <c r="FG253" s="66" t="str">
        <f t="shared" si="3772"/>
        <v/>
      </c>
      <c r="FH253" s="66" t="str">
        <f t="shared" si="3773"/>
        <v/>
      </c>
      <c r="FI253" s="66" t="str">
        <f t="shared" si="3774"/>
        <v/>
      </c>
      <c r="FJ253" s="66" t="str">
        <f t="shared" si="3775"/>
        <v/>
      </c>
      <c r="FK253" s="66" t="str">
        <f t="shared" si="3776"/>
        <v/>
      </c>
      <c r="FL253" s="66" t="str">
        <f t="shared" si="3777"/>
        <v/>
      </c>
      <c r="FM253" s="66" t="str">
        <f t="shared" si="3778"/>
        <v/>
      </c>
      <c r="FN253" s="66" t="str">
        <f t="shared" si="3779"/>
        <v/>
      </c>
      <c r="FO253" s="66" t="str">
        <f t="shared" si="3780"/>
        <v/>
      </c>
      <c r="FP253" s="66" t="str">
        <f t="shared" si="3781"/>
        <v/>
      </c>
      <c r="FQ253" s="66" t="str">
        <f t="shared" si="3782"/>
        <v/>
      </c>
      <c r="FR253" s="66" t="str">
        <f t="shared" si="3783"/>
        <v/>
      </c>
      <c r="FS253" s="66" t="str">
        <f t="shared" si="3784"/>
        <v/>
      </c>
    </row>
    <row r="254" spans="1:175">
      <c r="A254" s="27"/>
      <c r="B254" s="27" t="s">
        <v>795</v>
      </c>
      <c r="C254" s="29" t="s">
        <v>764</v>
      </c>
      <c r="T254" s="121"/>
      <c r="U254" s="77"/>
      <c r="CN254" s="36" t="str">
        <f t="shared" ref="CN254" si="3785">"InitUnitState('"&amp;B254&amp;"',"&amp;V254&amp;","&amp;W254&amp;","&amp;X254&amp;","&amp;Y254&amp;","&amp;Z254&amp;","&amp;AA254&amp;","&amp;AB254&amp;","&amp;AC254&amp;","&amp;AD254&amp;","&amp;AE254&amp;")"</f>
        <v>InitUnitState('IF32',,,,,,,,,,)</v>
      </c>
      <c r="CO254" s="36" t="str">
        <f t="shared" ref="CO254" si="3786">"InitUnitNormal('"&amp;B254&amp;"',"&amp;AF254&amp;","&amp;AG254&amp;","&amp;AH254&amp;","&amp;AI254&amp;","&amp;AJ254&amp;","&amp;AK254&amp;","&amp;AL254&amp;","&amp;AM254&amp;","&amp;AN254&amp;","&amp;AO254&amp;")"</f>
        <v>InitUnitNormal('IF32',,,,,,,,,,)</v>
      </c>
      <c r="CP254" s="36" t="str">
        <f t="shared" ref="CP254" si="3787">"InitUnitMagic('"&amp;B254&amp;"',"&amp;AP254&amp;","&amp;AQ254&amp;","&amp;AR254&amp;","&amp;AS254&amp;","&amp;AT254&amp;","&amp;AU254&amp;","&amp;AV254&amp;","&amp;AW254&amp;","&amp;BI254&amp;","&amp;BJ254&amp;")"</f>
        <v>InitUnitMagic('IF32',,,,,,,,,,)</v>
      </c>
      <c r="CQ254" s="36" t="str">
        <f t="shared" ref="CQ254" si="3788">"InitUnitAdd('"&amp;B254&amp;"',"&amp;BK254&amp;","&amp;BL254&amp;","&amp;BM254&amp;","&amp;BN254&amp;","&amp;BO254&amp;","&amp;BP254&amp;","&amp;BQ254&amp;","&amp;BR254&amp;","&amp;BS254&amp;","&amp;BT254&amp;")"</f>
        <v>InitUnitAdd('IF32',,,,,,,,,,)</v>
      </c>
      <c r="CR254" s="36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261&amp;CR$1&amp;")"</f>
        <v>InitEquipData('IF32',,"",,,,,'','','','','','',"")</v>
      </c>
      <c r="CU254" s="88" t="str">
        <f t="shared" ref="CU254" si="3789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33"/>
      <c r="CX254" s="33"/>
      <c r="CY254" s="33"/>
      <c r="CZ254" s="33"/>
      <c r="DA254" s="33"/>
      <c r="DB254" s="66" t="str">
        <f t="shared" ref="DB254" si="3790">IF(V254="","","|n"&amp;DB$2&amp;"+"&amp;V254&amp;DB$1)</f>
        <v/>
      </c>
      <c r="DC254" s="66" t="str">
        <f t="shared" ref="DC254" si="3791">IF(W254="","","|n"&amp;DC$2&amp;"+"&amp;W254&amp;DC$1)</f>
        <v/>
      </c>
      <c r="DD254" s="66" t="str">
        <f t="shared" ref="DD254" si="3792">IF(X254="","","|n"&amp;DD$2&amp;"+"&amp;X254&amp;DD$1)</f>
        <v/>
      </c>
      <c r="DE254" s="66" t="str">
        <f t="shared" ref="DE254" si="3793">IF(Y254="","","|n"&amp;DE$2&amp;"+"&amp;Y254&amp;DE$1)</f>
        <v/>
      </c>
      <c r="DF254" s="66" t="str">
        <f t="shared" ref="DF254" si="3794">IF(Z254="","","|n"&amp;DF$2&amp;"+"&amp;Z254&amp;DF$1)</f>
        <v/>
      </c>
      <c r="DG254" s="66" t="str">
        <f t="shared" ref="DG254" si="3795">IF(AA254="","","|n"&amp;DG$2&amp;"+"&amp;AA254&amp;DG$1)</f>
        <v/>
      </c>
      <c r="DH254" s="66" t="str">
        <f t="shared" ref="DH254" si="3796">IF(AB254="","","|n"&amp;DH$2&amp;"+"&amp;AB254&amp;DH$1)</f>
        <v/>
      </c>
      <c r="DI254" s="66" t="str">
        <f t="shared" ref="DI254" si="3797">IF(AC254="","","|n"&amp;DI$2&amp;"+"&amp;AC254&amp;DI$1)</f>
        <v/>
      </c>
      <c r="DJ254" s="66" t="str">
        <f t="shared" ref="DJ254" si="3798">IF(AD254="","","|n"&amp;DJ$2&amp;"+"&amp;AD254&amp;DJ$1)</f>
        <v/>
      </c>
      <c r="DK254" s="66" t="str">
        <f t="shared" ref="DK254" si="3799">IF(AE254="","","|n"&amp;DK$2&amp;"+"&amp;AE254&amp;DK$1)</f>
        <v/>
      </c>
      <c r="DL254" s="66" t="str">
        <f t="shared" ref="DL254" si="3800">IF(AF254="","","|n"&amp;DL$2&amp;"+"&amp;AF254&amp;DL$1)</f>
        <v/>
      </c>
      <c r="DM254" s="66" t="str">
        <f t="shared" ref="DM254" si="3801">IF(AG254="","","|n"&amp;DM$2&amp;"+"&amp;AG254&amp;DM$1)</f>
        <v/>
      </c>
      <c r="DN254" s="66" t="str">
        <f t="shared" ref="DN254" si="3802">IF(AH254="","","|n"&amp;DN$2&amp;"+"&amp;AH254&amp;DN$1)</f>
        <v/>
      </c>
      <c r="DO254" s="66" t="str">
        <f t="shared" ref="DO254" si="3803">IF(AI254="","","|n"&amp;DO$2&amp;"+"&amp;AI254&amp;DO$1)</f>
        <v/>
      </c>
      <c r="DP254" s="66" t="str">
        <f t="shared" ref="DP254" si="3804">IF(AJ254="","","|n"&amp;DP$2&amp;"+"&amp;AJ254&amp;DP$1)</f>
        <v/>
      </c>
      <c r="DQ254" s="66" t="str">
        <f t="shared" ref="DQ254" si="3805">IF(AK254="","","|n"&amp;DQ$2&amp;"+"&amp;AK254&amp;DQ$1)</f>
        <v/>
      </c>
      <c r="DR254" s="66" t="str">
        <f t="shared" ref="DR254" si="3806">IF(AL254="","","|n"&amp;DR$2&amp;"+"&amp;AL254&amp;DR$1)</f>
        <v/>
      </c>
      <c r="DS254" s="66" t="str">
        <f t="shared" ref="DS254" si="3807">IF(AM254="","","|n"&amp;DS$2&amp;"+"&amp;AM254&amp;DS$1)</f>
        <v/>
      </c>
      <c r="DT254" s="66" t="str">
        <f t="shared" ref="DT254" si="3808">IF(AN254="","","|n"&amp;DT$2&amp;"+"&amp;AN254&amp;DT$1)</f>
        <v/>
      </c>
      <c r="DU254" s="66" t="str">
        <f t="shared" ref="DU254" si="3809">IF(AO254="","","|n"&amp;DU$2&amp;"+"&amp;AO254&amp;DU$1)</f>
        <v/>
      </c>
      <c r="DV254" s="66" t="str">
        <f t="shared" ref="DV254" si="3810">IF(AP254="","","|n"&amp;DV$2&amp;"+"&amp;AP254&amp;DV$1)</f>
        <v/>
      </c>
      <c r="DW254" s="66" t="str">
        <f t="shared" ref="DW254" si="3811">IF(AQ254="","","|n"&amp;DW$2&amp;"+"&amp;AQ254&amp;DW$1)</f>
        <v/>
      </c>
      <c r="DX254" s="66" t="str">
        <f t="shared" ref="DX254" si="3812">IF(AR254="","","|n"&amp;DX$2&amp;"+"&amp;AR254&amp;DX$1)</f>
        <v/>
      </c>
      <c r="DY254" s="66" t="str">
        <f t="shared" ref="DY254" si="3813">IF(AS254="","","|n"&amp;DY$2&amp;"+"&amp;AS254&amp;DY$1)</f>
        <v/>
      </c>
      <c r="DZ254" s="66" t="str">
        <f t="shared" ref="DZ254" si="3814">IF(AT254="","","|n"&amp;DZ$2&amp;"+"&amp;AT254&amp;DZ$1)</f>
        <v/>
      </c>
      <c r="EA254" s="66" t="str">
        <f t="shared" ref="EA254" si="3815">IF(AU254="","","|n"&amp;EA$2&amp;"+"&amp;AU254&amp;EA$1)</f>
        <v/>
      </c>
      <c r="EB254" s="66" t="str">
        <f t="shared" ref="EB254" si="3816">IF(AV254="","","|n"&amp;EB$2&amp;"+"&amp;AV254&amp;EB$1)</f>
        <v/>
      </c>
      <c r="EC254" s="66" t="str">
        <f t="shared" ref="EC254" si="3817">IF(AW254="","","|n"&amp;EC$2&amp;"+"&amp;AW254&amp;EC$1)</f>
        <v/>
      </c>
      <c r="ED254" s="66" t="str">
        <f t="shared" ref="ED254" si="3818">IF(AX254="","","|n"&amp;ED$2&amp;"+"&amp;AX254&amp;ED$1)</f>
        <v/>
      </c>
      <c r="EE254" s="66" t="str">
        <f t="shared" ref="EE254" si="3819">IF(AY254="","","|n"&amp;EE$2&amp;"+"&amp;AY254&amp;EE$1)</f>
        <v/>
      </c>
      <c r="EF254" s="66" t="str">
        <f t="shared" ref="EF254" si="3820">IF(AZ254="","","|n"&amp;EF$2&amp;"+"&amp;AZ254&amp;EF$1)</f>
        <v/>
      </c>
      <c r="EG254" s="66" t="str">
        <f t="shared" ref="EG254" si="3821">IF(BA254="","","|n"&amp;EG$2&amp;"+"&amp;BA254&amp;EG$1)</f>
        <v/>
      </c>
      <c r="EH254" s="66" t="str">
        <f t="shared" ref="EH254" si="3822">IF(BB254="","","|n"&amp;EH$2&amp;"+"&amp;BB254&amp;EH$1)</f>
        <v/>
      </c>
      <c r="EI254" s="66" t="str">
        <f t="shared" ref="EI254" si="3823">IF(BC254="","","|n"&amp;EI$2&amp;"+"&amp;BC254&amp;EI$1)</f>
        <v/>
      </c>
      <c r="EJ254" s="66" t="str">
        <f t="shared" ref="EJ254" si="3824">IF(BD254="","","|n"&amp;EJ$2&amp;"+"&amp;BD254&amp;EJ$1)</f>
        <v/>
      </c>
      <c r="EK254" s="66" t="str">
        <f t="shared" ref="EK254" si="3825">IF(BE254="","","|n"&amp;EK$2&amp;"+"&amp;BE254&amp;EK$1)</f>
        <v/>
      </c>
      <c r="EL254" s="66" t="str">
        <f t="shared" ref="EL254" si="3826">IF(BF254="","","|n"&amp;EL$2&amp;"+"&amp;BF254&amp;EL$1)</f>
        <v/>
      </c>
      <c r="EM254" s="66" t="str">
        <f t="shared" ref="EM254" si="3827">IF(BG254="","","|n"&amp;EM$2&amp;"+"&amp;BG254&amp;EM$1)</f>
        <v/>
      </c>
      <c r="EN254" s="66" t="str">
        <f t="shared" ref="EN254" si="3828">IF(BH254="","","|n"&amp;EN$2&amp;"+"&amp;BH254&amp;EN$1)</f>
        <v/>
      </c>
      <c r="EO254" s="66" t="str">
        <f t="shared" ref="EO254" si="3829">IF(BI254="","","|n"&amp;EO$2&amp;"+"&amp;BI254&amp;EO$1)</f>
        <v/>
      </c>
      <c r="EP254" s="66" t="str">
        <f t="shared" ref="EP254" si="3830">IF(BJ254="","","|n"&amp;EP$2&amp;"+"&amp;BJ254&amp;EP$1)</f>
        <v/>
      </c>
      <c r="EQ254" s="66" t="str">
        <f t="shared" ref="EQ254" si="3831">IF(BK254="","","|n"&amp;EQ$2&amp;"+"&amp;BK254&amp;EQ$1)</f>
        <v/>
      </c>
      <c r="ER254" s="66" t="str">
        <f t="shared" ref="ER254" si="3832">IF(BL254="","","|n"&amp;ER$2&amp;"+"&amp;BL254&amp;ER$1)</f>
        <v/>
      </c>
      <c r="ES254" s="66" t="str">
        <f t="shared" ref="ES254" si="3833">IF(BM254="","","|n"&amp;ES$2&amp;"+"&amp;BM254&amp;ES$1)</f>
        <v/>
      </c>
      <c r="ET254" s="66" t="str">
        <f t="shared" ref="ET254" si="3834">IF(BN254="","","|n"&amp;ET$2&amp;"+"&amp;BN254&amp;ET$1)</f>
        <v/>
      </c>
      <c r="EU254" s="66" t="str">
        <f t="shared" ref="EU254" si="3835">IF(BO254="","","|n"&amp;EU$2&amp;"+"&amp;BO254&amp;EU$1)</f>
        <v/>
      </c>
      <c r="EV254" s="66" t="str">
        <f t="shared" ref="EV254" si="3836">IF(BP254="","","|n"&amp;EV$2&amp;"+"&amp;BP254&amp;EV$1)</f>
        <v/>
      </c>
      <c r="EW254" s="66" t="str">
        <f t="shared" ref="EW254" si="3837">IF(BQ254="","","|n"&amp;EW$2&amp;"+"&amp;BQ254&amp;EW$1)</f>
        <v/>
      </c>
      <c r="EX254" s="66" t="str">
        <f t="shared" ref="EX254" si="3838">IF(BR254="","","|n"&amp;EX$2&amp;"+"&amp;BR254&amp;EX$1)</f>
        <v/>
      </c>
      <c r="EY254" s="66" t="str">
        <f t="shared" ref="EY254" si="3839">IF(BS254="","","|n"&amp;EY$2&amp;"+"&amp;BS254&amp;EY$1)</f>
        <v/>
      </c>
      <c r="EZ254" s="66" t="str">
        <f t="shared" ref="EZ254" si="3840">IF(BT254="","","|n"&amp;EZ$2&amp;"+"&amp;BT254&amp;EZ$1)</f>
        <v/>
      </c>
      <c r="FA254" s="66" t="str">
        <f t="shared" ref="FA254" si="3841">IF(BU254="","","|n"&amp;FA$2&amp;"+"&amp;BU254&amp;FA$1)</f>
        <v/>
      </c>
      <c r="FB254" s="66" t="str">
        <f t="shared" ref="FB254" si="3842">IF(BV254="","","|n"&amp;FB$2&amp;"+"&amp;BV254&amp;FB$1)</f>
        <v/>
      </c>
      <c r="FC254" s="66" t="str">
        <f t="shared" ref="FC254" si="3843">IF(BW254="","","|n"&amp;FC$2&amp;"+"&amp;BW254&amp;FC$1)</f>
        <v/>
      </c>
      <c r="FD254" s="66" t="str">
        <f t="shared" ref="FD254" si="3844">IF(BX254="","","|n"&amp;FD$2&amp;"+"&amp;BX254&amp;FD$1)</f>
        <v/>
      </c>
      <c r="FE254" s="66" t="str">
        <f t="shared" ref="FE254" si="3845">IF(BY254="","","|n"&amp;FE$2&amp;"+"&amp;BY254&amp;FE$1)</f>
        <v/>
      </c>
      <c r="FF254" s="66" t="str">
        <f t="shared" ref="FF254" si="3846">IF(BZ254="","","|n"&amp;FF$2&amp;"+"&amp;BZ254&amp;FF$1)</f>
        <v/>
      </c>
      <c r="FG254" s="66" t="str">
        <f t="shared" ref="FG254" si="3847">IF(CA254="","","|n"&amp;FG$2&amp;"+"&amp;CA254&amp;FG$1)</f>
        <v/>
      </c>
      <c r="FH254" s="66" t="str">
        <f t="shared" ref="FH254" si="3848">IF(CB254="","","|n"&amp;FH$2&amp;"+"&amp;CB254&amp;FH$1)</f>
        <v/>
      </c>
      <c r="FI254" s="66" t="str">
        <f t="shared" ref="FI254" si="3849">IF(CC254="","","|n"&amp;FI$2&amp;"+"&amp;CC254&amp;FI$1)</f>
        <v/>
      </c>
      <c r="FJ254" s="66" t="str">
        <f t="shared" ref="FJ254" si="3850">IF(CD254="","","|n"&amp;FJ$2&amp;"+"&amp;CD254&amp;FJ$1)</f>
        <v/>
      </c>
      <c r="FK254" s="66" t="str">
        <f t="shared" ref="FK254" si="3851">IF(CE254="","","|n"&amp;FK$2&amp;"+"&amp;CE254&amp;FK$1)</f>
        <v/>
      </c>
      <c r="FL254" s="66" t="str">
        <f t="shared" ref="FL254" si="3852">IF(CF254="","","|n"&amp;FL$2&amp;"+"&amp;CF254&amp;FL$1)</f>
        <v/>
      </c>
      <c r="FM254" s="66" t="str">
        <f t="shared" ref="FM254" si="3853">IF(CG254="","","|n"&amp;FM$2&amp;"+"&amp;CG254&amp;FM$1)</f>
        <v/>
      </c>
      <c r="FN254" s="66" t="str">
        <f t="shared" ref="FN254" si="3854">IF(CH254="","","|n"&amp;FN$2&amp;"+"&amp;CH254&amp;FN$1)</f>
        <v/>
      </c>
      <c r="FO254" s="66" t="str">
        <f t="shared" ref="FO254" si="3855">IF(CI254="","","|n"&amp;FO$2&amp;"+"&amp;CI254&amp;FO$1)</f>
        <v/>
      </c>
      <c r="FP254" s="66" t="str">
        <f t="shared" ref="FP254" si="3856">IF(CJ254="","","|n"&amp;FP$2&amp;"+"&amp;CJ254&amp;FP$1)</f>
        <v/>
      </c>
      <c r="FQ254" s="66" t="str">
        <f t="shared" ref="FQ254" si="3857">IF(CK254="","","|n"&amp;FQ$2&amp;"+"&amp;CK254&amp;FQ$1)</f>
        <v/>
      </c>
      <c r="FR254" s="66" t="str">
        <f t="shared" ref="FR254" si="3858">IF(CL254="","","|n"&amp;FR$2&amp;"+"&amp;CL254&amp;FR$1)</f>
        <v/>
      </c>
      <c r="FS254" s="66" t="str">
        <f t="shared" ref="FS254" si="3859">IF(CM254="","","|n"&amp;FS$2&amp;"+"&amp;CM254&amp;FS$1)</f>
        <v/>
      </c>
    </row>
    <row r="255" spans="1:175" ht="16.5">
      <c r="A255" s="112"/>
      <c r="B255" s="9" t="s">
        <v>796</v>
      </c>
      <c r="C255" s="9" t="s">
        <v>797</v>
      </c>
      <c r="T255" s="117"/>
      <c r="U255" s="77"/>
      <c r="CN255" s="36" t="str">
        <f t="shared" si="3709"/>
        <v>InitUnitState('IC00',,,,,,,,,,)</v>
      </c>
      <c r="CO255" s="36" t="str">
        <f t="shared" si="3710"/>
        <v>InitUnitNormal('IC00',,,,,,,,,,)</v>
      </c>
      <c r="CP255" s="36" t="str">
        <f t="shared" si="3711"/>
        <v>InitUnitMagic('IC00',,,,,,,,,,)</v>
      </c>
      <c r="CQ255" s="36" t="str">
        <f t="shared" si="3712"/>
        <v>InitUnitAdd('IC00',,,,,,,,,,)</v>
      </c>
      <c r="CR255" s="36" t="str">
        <f t="shared" ref="CR255" si="3860"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InitEquipData('IC00',,"",,,,,'','','','','','',"")</v>
      </c>
      <c r="CU255" s="88" t="str">
        <f t="shared" si="3714"/>
        <v>|n</v>
      </c>
      <c r="CW255" s="33"/>
      <c r="CX255" s="33"/>
      <c r="CY255" s="33"/>
      <c r="CZ255" s="33"/>
      <c r="DA255" s="33"/>
      <c r="DB255" s="66" t="str">
        <f t="shared" si="3715"/>
        <v/>
      </c>
      <c r="DC255" s="66" t="str">
        <f t="shared" si="3716"/>
        <v/>
      </c>
      <c r="DD255" s="66" t="str">
        <f t="shared" si="3717"/>
        <v/>
      </c>
      <c r="DE255" s="66" t="str">
        <f t="shared" si="3718"/>
        <v/>
      </c>
      <c r="DF255" s="66" t="str">
        <f t="shared" si="3719"/>
        <v/>
      </c>
      <c r="DG255" s="66" t="str">
        <f t="shared" si="3720"/>
        <v/>
      </c>
      <c r="DH255" s="66" t="str">
        <f t="shared" si="3721"/>
        <v/>
      </c>
      <c r="DI255" s="66" t="str">
        <f t="shared" si="3722"/>
        <v/>
      </c>
      <c r="DJ255" s="66" t="str">
        <f t="shared" si="3723"/>
        <v/>
      </c>
      <c r="DK255" s="66" t="str">
        <f t="shared" si="3724"/>
        <v/>
      </c>
      <c r="DL255" s="66" t="str">
        <f t="shared" si="3725"/>
        <v/>
      </c>
      <c r="DM255" s="66" t="str">
        <f t="shared" si="3726"/>
        <v/>
      </c>
      <c r="DN255" s="66" t="str">
        <f t="shared" si="3727"/>
        <v/>
      </c>
      <c r="DO255" s="66" t="str">
        <f t="shared" si="3728"/>
        <v/>
      </c>
      <c r="DP255" s="66" t="str">
        <f t="shared" si="3729"/>
        <v/>
      </c>
      <c r="DQ255" s="66" t="str">
        <f t="shared" si="3730"/>
        <v/>
      </c>
      <c r="DR255" s="66" t="str">
        <f t="shared" si="3731"/>
        <v/>
      </c>
      <c r="DS255" s="66" t="str">
        <f t="shared" si="3732"/>
        <v/>
      </c>
      <c r="DT255" s="66" t="str">
        <f t="shared" si="3733"/>
        <v/>
      </c>
      <c r="DU255" s="66" t="str">
        <f t="shared" si="3734"/>
        <v/>
      </c>
      <c r="DV255" s="66" t="str">
        <f t="shared" si="3735"/>
        <v/>
      </c>
      <c r="DW255" s="66" t="str">
        <f t="shared" si="3736"/>
        <v/>
      </c>
      <c r="DX255" s="66" t="str">
        <f t="shared" si="3737"/>
        <v/>
      </c>
      <c r="DY255" s="66" t="str">
        <f t="shared" si="3738"/>
        <v/>
      </c>
      <c r="DZ255" s="66" t="str">
        <f t="shared" si="3739"/>
        <v/>
      </c>
      <c r="EA255" s="66" t="str">
        <f t="shared" si="3740"/>
        <v/>
      </c>
      <c r="EB255" s="66" t="str">
        <f t="shared" si="3741"/>
        <v/>
      </c>
      <c r="EC255" s="66" t="str">
        <f t="shared" si="3742"/>
        <v/>
      </c>
      <c r="ED255" s="66" t="str">
        <f t="shared" si="3743"/>
        <v/>
      </c>
      <c r="EE255" s="66" t="str">
        <f t="shared" si="3744"/>
        <v/>
      </c>
      <c r="EF255" s="66" t="str">
        <f t="shared" si="3745"/>
        <v/>
      </c>
      <c r="EG255" s="66" t="str">
        <f t="shared" si="3746"/>
        <v/>
      </c>
      <c r="EH255" s="66" t="str">
        <f t="shared" si="3747"/>
        <v/>
      </c>
      <c r="EI255" s="66" t="str">
        <f t="shared" si="3748"/>
        <v/>
      </c>
      <c r="EJ255" s="66" t="str">
        <f t="shared" si="3749"/>
        <v/>
      </c>
      <c r="EK255" s="66" t="str">
        <f t="shared" si="3750"/>
        <v/>
      </c>
      <c r="EL255" s="66" t="str">
        <f t="shared" si="3751"/>
        <v/>
      </c>
      <c r="EM255" s="66" t="str">
        <f t="shared" si="3752"/>
        <v/>
      </c>
      <c r="EN255" s="66" t="str">
        <f t="shared" si="3753"/>
        <v/>
      </c>
      <c r="EO255" s="66" t="str">
        <f t="shared" si="3754"/>
        <v/>
      </c>
      <c r="EP255" s="66" t="str">
        <f t="shared" si="3755"/>
        <v/>
      </c>
      <c r="EQ255" s="66" t="str">
        <f t="shared" si="3756"/>
        <v/>
      </c>
      <c r="ER255" s="66" t="str">
        <f t="shared" si="3757"/>
        <v/>
      </c>
      <c r="ES255" s="66" t="str">
        <f t="shared" si="3758"/>
        <v/>
      </c>
      <c r="ET255" s="66" t="str">
        <f t="shared" si="3759"/>
        <v/>
      </c>
      <c r="EU255" s="66" t="str">
        <f t="shared" si="3760"/>
        <v/>
      </c>
      <c r="EV255" s="66" t="str">
        <f t="shared" si="3761"/>
        <v/>
      </c>
      <c r="EW255" s="66" t="str">
        <f t="shared" si="3762"/>
        <v/>
      </c>
      <c r="EX255" s="66" t="str">
        <f t="shared" si="3763"/>
        <v/>
      </c>
      <c r="EY255" s="66" t="str">
        <f t="shared" si="3764"/>
        <v/>
      </c>
      <c r="EZ255" s="66" t="str">
        <f t="shared" si="3765"/>
        <v/>
      </c>
      <c r="FA255" s="66" t="str">
        <f t="shared" si="3766"/>
        <v/>
      </c>
      <c r="FB255" s="66" t="str">
        <f t="shared" si="3767"/>
        <v/>
      </c>
      <c r="FC255" s="66" t="str">
        <f t="shared" si="3768"/>
        <v/>
      </c>
      <c r="FD255" s="66" t="str">
        <f t="shared" si="3769"/>
        <v/>
      </c>
      <c r="FE255" s="66" t="str">
        <f t="shared" si="3770"/>
        <v/>
      </c>
      <c r="FF255" s="66" t="str">
        <f t="shared" si="3771"/>
        <v/>
      </c>
      <c r="FG255" s="66" t="str">
        <f t="shared" si="3772"/>
        <v/>
      </c>
      <c r="FH255" s="66" t="str">
        <f t="shared" si="3773"/>
        <v/>
      </c>
      <c r="FI255" s="66" t="str">
        <f t="shared" si="3774"/>
        <v/>
      </c>
      <c r="FJ255" s="66" t="str">
        <f t="shared" si="3775"/>
        <v/>
      </c>
      <c r="FK255" s="66" t="str">
        <f t="shared" si="3776"/>
        <v/>
      </c>
      <c r="FL255" s="66" t="str">
        <f t="shared" si="3777"/>
        <v/>
      </c>
      <c r="FM255" s="66" t="str">
        <f t="shared" si="3778"/>
        <v/>
      </c>
      <c r="FN255" s="66" t="str">
        <f t="shared" si="3779"/>
        <v/>
      </c>
      <c r="FO255" s="66" t="str">
        <f t="shared" si="3780"/>
        <v/>
      </c>
      <c r="FP255" s="66" t="str">
        <f t="shared" si="3781"/>
        <v/>
      </c>
      <c r="FQ255" s="66" t="str">
        <f t="shared" si="3782"/>
        <v/>
      </c>
      <c r="FR255" s="66" t="str">
        <f t="shared" si="3783"/>
        <v/>
      </c>
      <c r="FS255" s="66" t="str">
        <f t="shared" si="3784"/>
        <v/>
      </c>
    </row>
    <row r="256" spans="1:175" ht="16.5">
      <c r="A256" s="112"/>
      <c r="B256" s="9" t="s">
        <v>798</v>
      </c>
      <c r="C256" s="9" t="s">
        <v>799</v>
      </c>
      <c r="T256" s="117"/>
      <c r="U256" s="77"/>
      <c r="CN256" s="36" t="str">
        <f t="shared" ref="CN256" si="3861">"InitUnitState('"&amp;B256&amp;"',"&amp;V256&amp;","&amp;W256&amp;","&amp;X256&amp;","&amp;Y256&amp;","&amp;Z256&amp;","&amp;AA256&amp;","&amp;AB256&amp;","&amp;AC256&amp;","&amp;AD256&amp;","&amp;AE256&amp;")"</f>
        <v>InitUnitState('IC01',,,,,,,,,,)</v>
      </c>
      <c r="CO256" s="36" t="str">
        <f t="shared" ref="CO256" si="3862">"InitUnitNormal('"&amp;B256&amp;"',"&amp;AF256&amp;","&amp;AG256&amp;","&amp;AH256&amp;","&amp;AI256&amp;","&amp;AJ256&amp;","&amp;AK256&amp;","&amp;AL256&amp;","&amp;AM256&amp;","&amp;AN256&amp;","&amp;AO256&amp;")"</f>
        <v>InitUnitNormal('IC01',,,,,,,,,,)</v>
      </c>
      <c r="CP256" s="36" t="str">
        <f t="shared" ref="CP256" si="3863">"InitUnitMagic('"&amp;B256&amp;"',"&amp;AP256&amp;","&amp;AQ256&amp;","&amp;AR256&amp;","&amp;AS256&amp;","&amp;AT256&amp;","&amp;AU256&amp;","&amp;AV256&amp;","&amp;AW256&amp;","&amp;BI256&amp;","&amp;BJ256&amp;")"</f>
        <v>InitUnitMagic('IC01',,,,,,,,,,)</v>
      </c>
      <c r="CQ256" s="36" t="str">
        <f t="shared" ref="CQ256" si="3864">"InitUnitAdd('"&amp;B256&amp;"',"&amp;BK256&amp;","&amp;BL256&amp;","&amp;BM256&amp;","&amp;BN256&amp;","&amp;BO256&amp;","&amp;BP256&amp;","&amp;BQ256&amp;","&amp;BR256&amp;","&amp;BS256&amp;","&amp;BT256&amp;")"</f>
        <v>InitUnitAdd('IC01',,,,,,,,,,)</v>
      </c>
      <c r="CR256" s="36" t="str">
        <f t="shared" ref="CR256" si="3865"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InitEquipData('IC01',,"",,,,,'','','','','','',"")</v>
      </c>
      <c r="CU256" s="88" t="str">
        <f t="shared" si="3638"/>
        <v>|n</v>
      </c>
      <c r="CW256" s="33"/>
      <c r="CX256" s="33"/>
      <c r="CY256" s="33"/>
      <c r="CZ256" s="33"/>
      <c r="DA256" s="33"/>
      <c r="DB256" s="66" t="str">
        <f t="shared" si="3639"/>
        <v/>
      </c>
      <c r="DC256" s="66" t="str">
        <f t="shared" si="3640"/>
        <v/>
      </c>
      <c r="DD256" s="66" t="str">
        <f t="shared" si="3641"/>
        <v/>
      </c>
      <c r="DE256" s="66" t="str">
        <f t="shared" si="3642"/>
        <v/>
      </c>
      <c r="DF256" s="66" t="str">
        <f t="shared" si="3643"/>
        <v/>
      </c>
      <c r="DG256" s="66" t="str">
        <f t="shared" si="3644"/>
        <v/>
      </c>
      <c r="DH256" s="66" t="str">
        <f t="shared" si="3645"/>
        <v/>
      </c>
      <c r="DI256" s="66" t="str">
        <f t="shared" si="3646"/>
        <v/>
      </c>
      <c r="DJ256" s="66" t="str">
        <f t="shared" si="3647"/>
        <v/>
      </c>
      <c r="DK256" s="66" t="str">
        <f t="shared" si="3648"/>
        <v/>
      </c>
      <c r="DL256" s="66" t="str">
        <f t="shared" si="3649"/>
        <v/>
      </c>
      <c r="DM256" s="66" t="str">
        <f t="shared" si="3650"/>
        <v/>
      </c>
      <c r="DN256" s="66" t="str">
        <f t="shared" si="3651"/>
        <v/>
      </c>
      <c r="DO256" s="66" t="str">
        <f t="shared" si="3652"/>
        <v/>
      </c>
      <c r="DP256" s="66" t="str">
        <f t="shared" si="3653"/>
        <v/>
      </c>
      <c r="DQ256" s="66" t="str">
        <f t="shared" si="3654"/>
        <v/>
      </c>
      <c r="DR256" s="66" t="str">
        <f t="shared" si="3655"/>
        <v/>
      </c>
      <c r="DS256" s="66" t="str">
        <f t="shared" si="3656"/>
        <v/>
      </c>
      <c r="DT256" s="66" t="str">
        <f t="shared" si="3657"/>
        <v/>
      </c>
      <c r="DU256" s="66" t="str">
        <f t="shared" si="3658"/>
        <v/>
      </c>
      <c r="DV256" s="66" t="str">
        <f t="shared" si="3659"/>
        <v/>
      </c>
      <c r="DW256" s="66" t="str">
        <f t="shared" si="3660"/>
        <v/>
      </c>
      <c r="DX256" s="66" t="str">
        <f t="shared" si="3661"/>
        <v/>
      </c>
      <c r="DY256" s="66" t="str">
        <f t="shared" si="3662"/>
        <v/>
      </c>
      <c r="DZ256" s="66" t="str">
        <f t="shared" si="3663"/>
        <v/>
      </c>
      <c r="EA256" s="66" t="str">
        <f t="shared" si="3664"/>
        <v/>
      </c>
      <c r="EB256" s="66" t="str">
        <f t="shared" si="3665"/>
        <v/>
      </c>
      <c r="EC256" s="66" t="str">
        <f t="shared" si="3666"/>
        <v/>
      </c>
      <c r="ED256" s="66" t="str">
        <f t="shared" si="3667"/>
        <v/>
      </c>
      <c r="EE256" s="66" t="str">
        <f t="shared" si="3668"/>
        <v/>
      </c>
      <c r="EF256" s="66" t="str">
        <f t="shared" si="3669"/>
        <v/>
      </c>
      <c r="EG256" s="66" t="str">
        <f t="shared" si="3670"/>
        <v/>
      </c>
      <c r="EH256" s="66" t="str">
        <f t="shared" si="3671"/>
        <v/>
      </c>
      <c r="EI256" s="66" t="str">
        <f t="shared" si="3672"/>
        <v/>
      </c>
      <c r="EJ256" s="66" t="str">
        <f t="shared" si="3673"/>
        <v/>
      </c>
      <c r="EK256" s="66" t="str">
        <f t="shared" si="3674"/>
        <v/>
      </c>
      <c r="EL256" s="66" t="str">
        <f t="shared" si="3675"/>
        <v/>
      </c>
      <c r="EM256" s="66" t="str">
        <f t="shared" si="3676"/>
        <v/>
      </c>
      <c r="EN256" s="66" t="str">
        <f t="shared" si="3677"/>
        <v/>
      </c>
      <c r="EO256" s="66" t="str">
        <f t="shared" si="3678"/>
        <v/>
      </c>
      <c r="EP256" s="66" t="str">
        <f t="shared" si="3679"/>
        <v/>
      </c>
      <c r="EQ256" s="66" t="str">
        <f t="shared" si="3680"/>
        <v/>
      </c>
      <c r="ER256" s="66" t="str">
        <f t="shared" si="3681"/>
        <v/>
      </c>
      <c r="ES256" s="66" t="str">
        <f t="shared" si="3682"/>
        <v/>
      </c>
      <c r="ET256" s="66" t="str">
        <f t="shared" si="3683"/>
        <v/>
      </c>
      <c r="EU256" s="66" t="str">
        <f t="shared" si="3684"/>
        <v/>
      </c>
      <c r="EV256" s="66" t="str">
        <f t="shared" si="3685"/>
        <v/>
      </c>
      <c r="EW256" s="66" t="str">
        <f t="shared" si="3686"/>
        <v/>
      </c>
      <c r="EX256" s="66" t="str">
        <f t="shared" si="3687"/>
        <v/>
      </c>
      <c r="EY256" s="66" t="str">
        <f t="shared" si="3688"/>
        <v/>
      </c>
      <c r="EZ256" s="66" t="str">
        <f t="shared" si="3689"/>
        <v/>
      </c>
      <c r="FA256" s="66" t="str">
        <f t="shared" si="3690"/>
        <v/>
      </c>
      <c r="FB256" s="66" t="str">
        <f t="shared" si="3691"/>
        <v/>
      </c>
      <c r="FC256" s="66" t="str">
        <f t="shared" si="3692"/>
        <v/>
      </c>
      <c r="FD256" s="66" t="str">
        <f t="shared" si="3693"/>
        <v/>
      </c>
      <c r="FE256" s="66" t="str">
        <f t="shared" si="3694"/>
        <v/>
      </c>
      <c r="FF256" s="66" t="str">
        <f t="shared" si="3695"/>
        <v/>
      </c>
      <c r="FG256" s="66" t="str">
        <f t="shared" si="3696"/>
        <v/>
      </c>
      <c r="FH256" s="66" t="str">
        <f t="shared" si="3697"/>
        <v/>
      </c>
      <c r="FI256" s="66" t="str">
        <f t="shared" si="3698"/>
        <v/>
      </c>
      <c r="FJ256" s="66" t="str">
        <f t="shared" si="3699"/>
        <v/>
      </c>
      <c r="FK256" s="66" t="str">
        <f t="shared" si="3700"/>
        <v/>
      </c>
      <c r="FL256" s="66" t="str">
        <f t="shared" si="3701"/>
        <v/>
      </c>
      <c r="FM256" s="66" t="str">
        <f t="shared" si="3702"/>
        <v/>
      </c>
      <c r="FN256" s="66" t="str">
        <f t="shared" si="3703"/>
        <v/>
      </c>
      <c r="FO256" s="66" t="str">
        <f t="shared" si="3704"/>
        <v/>
      </c>
      <c r="FP256" s="66" t="str">
        <f t="shared" si="3705"/>
        <v/>
      </c>
      <c r="FQ256" s="66" t="str">
        <f t="shared" si="3706"/>
        <v/>
      </c>
      <c r="FR256" s="66" t="str">
        <f t="shared" si="3707"/>
        <v/>
      </c>
      <c r="FS256" s="66" t="str">
        <f t="shared" si="3708"/>
        <v/>
      </c>
    </row>
    <row r="257" spans="1:175" ht="16.5">
      <c r="A257" s="27"/>
      <c r="B257" s="9" t="s">
        <v>800</v>
      </c>
      <c r="C257" s="9" t="s">
        <v>114</v>
      </c>
      <c r="T257" s="121"/>
      <c r="U257" s="77"/>
      <c r="CN257" s="36" t="str">
        <f t="shared" ref="CN257:CN265" si="3866">"InitUnitState('"&amp;B257&amp;"',"&amp;V257&amp;","&amp;W257&amp;","&amp;X257&amp;","&amp;Y257&amp;","&amp;Z257&amp;","&amp;AA257&amp;","&amp;AB257&amp;","&amp;AC257&amp;","&amp;AD257&amp;","&amp;AE257&amp;")"</f>
        <v>InitUnitState('IC02',,,,,,,,,,)</v>
      </c>
      <c r="CO257" s="36" t="str">
        <f t="shared" ref="CO257:CO265" si="3867">"InitUnitNormal('"&amp;B257&amp;"',"&amp;AF257&amp;","&amp;AG257&amp;","&amp;AH257&amp;","&amp;AI257&amp;","&amp;AJ257&amp;","&amp;AK257&amp;","&amp;AL257&amp;","&amp;AM257&amp;","&amp;AN257&amp;","&amp;AO257&amp;")"</f>
        <v>InitUnitNormal('IC02',,,,,,,,,,)</v>
      </c>
      <c r="CP257" s="36" t="str">
        <f t="shared" ref="CP257:CP265" si="3868">"InitUnitMagic('"&amp;B257&amp;"',"&amp;AP257&amp;","&amp;AQ257&amp;","&amp;AR257&amp;","&amp;AS257&amp;","&amp;AT257&amp;","&amp;AU257&amp;","&amp;AV257&amp;","&amp;AW257&amp;","&amp;BI257&amp;","&amp;BJ257&amp;")"</f>
        <v>InitUnitMagic('IC02',,,,,,,,,,)</v>
      </c>
      <c r="CQ257" s="36" t="str">
        <f t="shared" ref="CQ257:CQ265" si="3869">"InitUnitAdd('"&amp;B257&amp;"',"&amp;BK257&amp;","&amp;BL257&amp;","&amp;BM257&amp;","&amp;BN257&amp;","&amp;BO257&amp;","&amp;BP257&amp;","&amp;BQ257&amp;","&amp;BR257&amp;","&amp;BS257&amp;","&amp;BT257&amp;")"</f>
        <v>InitUnitAdd('IC02',,,,,,,,,,)</v>
      </c>
      <c r="CR257" s="36" t="str">
        <f t="shared" si="3566"/>
        <v>InitEquipData('IC02',,"",,,,,'','','','','','',"")</v>
      </c>
      <c r="CU257" s="88" t="str">
        <f t="shared" si="3638"/>
        <v>|n</v>
      </c>
      <c r="CW257" s="33"/>
      <c r="CX257" s="33"/>
      <c r="CY257" s="33"/>
      <c r="CZ257" s="33"/>
      <c r="DA257" s="33"/>
      <c r="DB257" s="66" t="str">
        <f t="shared" si="3639"/>
        <v/>
      </c>
      <c r="DC257" s="66" t="str">
        <f t="shared" si="3640"/>
        <v/>
      </c>
      <c r="DD257" s="66" t="str">
        <f t="shared" si="3641"/>
        <v/>
      </c>
      <c r="DE257" s="66" t="str">
        <f t="shared" si="3642"/>
        <v/>
      </c>
      <c r="DF257" s="66" t="str">
        <f t="shared" si="3643"/>
        <v/>
      </c>
      <c r="DG257" s="66" t="str">
        <f t="shared" si="3644"/>
        <v/>
      </c>
      <c r="DH257" s="66" t="str">
        <f t="shared" si="3645"/>
        <v/>
      </c>
      <c r="DI257" s="66" t="str">
        <f t="shared" si="3646"/>
        <v/>
      </c>
      <c r="DJ257" s="66" t="str">
        <f t="shared" si="3647"/>
        <v/>
      </c>
      <c r="DK257" s="66" t="str">
        <f t="shared" si="3648"/>
        <v/>
      </c>
      <c r="DL257" s="66" t="str">
        <f t="shared" si="3649"/>
        <v/>
      </c>
      <c r="DM257" s="66" t="str">
        <f t="shared" si="3650"/>
        <v/>
      </c>
      <c r="DN257" s="66" t="str">
        <f t="shared" si="3651"/>
        <v/>
      </c>
      <c r="DO257" s="66" t="str">
        <f t="shared" si="3652"/>
        <v/>
      </c>
      <c r="DP257" s="66" t="str">
        <f t="shared" si="3653"/>
        <v/>
      </c>
      <c r="DQ257" s="66" t="str">
        <f t="shared" si="3654"/>
        <v/>
      </c>
      <c r="DR257" s="66" t="str">
        <f t="shared" si="3655"/>
        <v/>
      </c>
      <c r="DS257" s="66" t="str">
        <f t="shared" si="3656"/>
        <v/>
      </c>
      <c r="DT257" s="66" t="str">
        <f t="shared" si="3657"/>
        <v/>
      </c>
      <c r="DU257" s="66" t="str">
        <f t="shared" si="3658"/>
        <v/>
      </c>
      <c r="DV257" s="66" t="str">
        <f t="shared" si="3659"/>
        <v/>
      </c>
      <c r="DW257" s="66" t="str">
        <f t="shared" si="3660"/>
        <v/>
      </c>
      <c r="DX257" s="66" t="str">
        <f t="shared" si="3661"/>
        <v/>
      </c>
      <c r="DY257" s="66" t="str">
        <f t="shared" si="3662"/>
        <v/>
      </c>
      <c r="DZ257" s="66" t="str">
        <f t="shared" si="3663"/>
        <v/>
      </c>
      <c r="EA257" s="66" t="str">
        <f t="shared" si="3664"/>
        <v/>
      </c>
      <c r="EB257" s="66" t="str">
        <f t="shared" si="3665"/>
        <v/>
      </c>
      <c r="EC257" s="66" t="str">
        <f t="shared" si="3666"/>
        <v/>
      </c>
      <c r="ED257" s="66" t="str">
        <f t="shared" si="3667"/>
        <v/>
      </c>
      <c r="EE257" s="66" t="str">
        <f t="shared" si="3668"/>
        <v/>
      </c>
      <c r="EF257" s="66" t="str">
        <f t="shared" si="3669"/>
        <v/>
      </c>
      <c r="EG257" s="66" t="str">
        <f t="shared" si="3670"/>
        <v/>
      </c>
      <c r="EH257" s="66" t="str">
        <f t="shared" si="3671"/>
        <v/>
      </c>
      <c r="EI257" s="66" t="str">
        <f t="shared" si="3672"/>
        <v/>
      </c>
      <c r="EJ257" s="66" t="str">
        <f t="shared" si="3673"/>
        <v/>
      </c>
      <c r="EK257" s="66" t="str">
        <f t="shared" si="3674"/>
        <v/>
      </c>
      <c r="EL257" s="66" t="str">
        <f t="shared" si="3675"/>
        <v/>
      </c>
      <c r="EM257" s="66" t="str">
        <f t="shared" si="3676"/>
        <v/>
      </c>
      <c r="EN257" s="66" t="str">
        <f t="shared" si="3677"/>
        <v/>
      </c>
      <c r="EO257" s="66" t="str">
        <f t="shared" si="3678"/>
        <v/>
      </c>
      <c r="EP257" s="66" t="str">
        <f t="shared" si="3679"/>
        <v/>
      </c>
      <c r="EQ257" s="66" t="str">
        <f t="shared" si="3680"/>
        <v/>
      </c>
      <c r="ER257" s="66" t="str">
        <f t="shared" si="3681"/>
        <v/>
      </c>
      <c r="ES257" s="66" t="str">
        <f t="shared" si="3682"/>
        <v/>
      </c>
      <c r="ET257" s="66" t="str">
        <f t="shared" si="3683"/>
        <v/>
      </c>
      <c r="EU257" s="66" t="str">
        <f t="shared" si="3684"/>
        <v/>
      </c>
      <c r="EV257" s="66" t="str">
        <f t="shared" si="3685"/>
        <v/>
      </c>
      <c r="EW257" s="66" t="str">
        <f t="shared" si="3686"/>
        <v/>
      </c>
      <c r="EX257" s="66" t="str">
        <f t="shared" si="3687"/>
        <v/>
      </c>
      <c r="EY257" s="66" t="str">
        <f t="shared" si="3688"/>
        <v/>
      </c>
      <c r="EZ257" s="66" t="str">
        <f t="shared" si="3689"/>
        <v/>
      </c>
      <c r="FA257" s="66" t="str">
        <f t="shared" si="3690"/>
        <v/>
      </c>
      <c r="FB257" s="66" t="str">
        <f t="shared" si="3691"/>
        <v/>
      </c>
      <c r="FC257" s="66" t="str">
        <f t="shared" si="3692"/>
        <v/>
      </c>
      <c r="FD257" s="66" t="str">
        <f t="shared" si="3693"/>
        <v/>
      </c>
      <c r="FE257" s="66" t="str">
        <f t="shared" si="3694"/>
        <v/>
      </c>
      <c r="FF257" s="66" t="str">
        <f t="shared" si="3695"/>
        <v/>
      </c>
      <c r="FG257" s="66" t="str">
        <f t="shared" si="3696"/>
        <v/>
      </c>
      <c r="FH257" s="66" t="str">
        <f t="shared" si="3697"/>
        <v/>
      </c>
      <c r="FI257" s="66" t="str">
        <f t="shared" si="3698"/>
        <v/>
      </c>
      <c r="FJ257" s="66" t="str">
        <f t="shared" si="3699"/>
        <v/>
      </c>
      <c r="FK257" s="66" t="str">
        <f t="shared" si="3700"/>
        <v/>
      </c>
      <c r="FL257" s="66" t="str">
        <f t="shared" si="3701"/>
        <v/>
      </c>
      <c r="FM257" s="66" t="str">
        <f t="shared" si="3702"/>
        <v/>
      </c>
      <c r="FN257" s="66" t="str">
        <f t="shared" si="3703"/>
        <v/>
      </c>
      <c r="FO257" s="66" t="str">
        <f t="shared" si="3704"/>
        <v/>
      </c>
      <c r="FP257" s="66" t="str">
        <f t="shared" si="3705"/>
        <v/>
      </c>
      <c r="FQ257" s="66" t="str">
        <f t="shared" si="3706"/>
        <v/>
      </c>
      <c r="FR257" s="66" t="str">
        <f t="shared" si="3707"/>
        <v/>
      </c>
      <c r="FS257" s="66" t="str">
        <f t="shared" si="3708"/>
        <v/>
      </c>
    </row>
    <row r="258" spans="1:175" s="33" customFormat="1" ht="16.5">
      <c r="A258" s="114"/>
      <c r="B258" s="9" t="s">
        <v>801</v>
      </c>
      <c r="C258" s="9" t="s">
        <v>802</v>
      </c>
      <c r="D258" s="67"/>
      <c r="E258" s="68"/>
      <c r="F258" s="115"/>
      <c r="G258" s="116"/>
      <c r="H258" s="116"/>
      <c r="I258" s="116"/>
      <c r="J258" s="116"/>
      <c r="K258" s="116"/>
      <c r="L258" s="116"/>
      <c r="M258" s="116"/>
      <c r="N258" s="116"/>
      <c r="O258" s="116"/>
      <c r="P258" s="73"/>
      <c r="Q258" s="73"/>
      <c r="R258" s="73"/>
      <c r="S258" s="73"/>
      <c r="T258" s="80"/>
      <c r="U258" s="77"/>
      <c r="V258" s="78"/>
      <c r="W258" s="78"/>
      <c r="X258" s="78"/>
      <c r="Y258" s="78"/>
      <c r="Z258" s="78"/>
      <c r="AA258" s="78"/>
      <c r="AB258" s="78"/>
      <c r="AC258" s="78"/>
      <c r="AD258" s="78"/>
      <c r="AE258" s="78"/>
      <c r="AF258" s="78"/>
      <c r="AG258" s="78"/>
      <c r="AH258" s="78"/>
      <c r="AI258" s="78"/>
      <c r="AJ258" s="78"/>
      <c r="AK258" s="78"/>
      <c r="AL258" s="78"/>
      <c r="AM258" s="78"/>
      <c r="AN258" s="78"/>
      <c r="AO258" s="78"/>
      <c r="AP258" s="78"/>
      <c r="AQ258" s="78"/>
      <c r="AR258" s="84"/>
      <c r="AS258" s="84"/>
      <c r="AT258" s="78"/>
      <c r="AU258" s="78"/>
      <c r="AV258" s="78"/>
      <c r="AW258" s="78"/>
      <c r="AX258" s="78"/>
      <c r="AY258" s="78"/>
      <c r="AZ258" s="78"/>
      <c r="BA258" s="78"/>
      <c r="BB258" s="78"/>
      <c r="BC258" s="78"/>
      <c r="BD258" s="78"/>
      <c r="BE258" s="78"/>
      <c r="BF258" s="78"/>
      <c r="BG258" s="78"/>
      <c r="BH258" s="78"/>
      <c r="BI258" s="78"/>
      <c r="BJ258" s="78"/>
      <c r="BK258" s="78"/>
      <c r="BL258" s="78"/>
      <c r="BM258" s="78"/>
      <c r="BN258" s="78"/>
      <c r="BO258" s="78"/>
      <c r="BP258" s="78"/>
      <c r="BQ258" s="78"/>
      <c r="BR258" s="78"/>
      <c r="BS258" s="78"/>
      <c r="BT258" s="78"/>
      <c r="BU258" s="78"/>
      <c r="BV258" s="78"/>
      <c r="BW258" s="78"/>
      <c r="BX258" s="78"/>
      <c r="BY258" s="78"/>
      <c r="BZ258" s="78"/>
      <c r="CA258" s="78"/>
      <c r="CB258" s="78"/>
      <c r="CC258" s="78"/>
      <c r="CD258" s="78"/>
      <c r="CE258" s="78"/>
      <c r="CF258" s="78"/>
      <c r="CG258" s="78"/>
      <c r="CH258" s="78"/>
      <c r="CI258" s="78"/>
      <c r="CJ258" s="78"/>
      <c r="CK258" s="78"/>
      <c r="CL258" s="78"/>
      <c r="CM258" s="78"/>
      <c r="CN258" s="86" t="str">
        <f t="shared" si="3866"/>
        <v>InitUnitState('IC03',,,,,,,,,,)</v>
      </c>
      <c r="CO258" s="86" t="str">
        <f t="shared" si="3867"/>
        <v>InitUnitNormal('IC03',,,,,,,,,,)</v>
      </c>
      <c r="CP258" s="86" t="str">
        <f t="shared" si="3868"/>
        <v>InitUnitMagic('IC03',,,,,,,,,,)</v>
      </c>
      <c r="CQ258" s="86" t="str">
        <f t="shared" si="3869"/>
        <v>InitUnitAdd('IC03',,,,,,,,,,)</v>
      </c>
      <c r="CR258" s="86" t="str">
        <f t="shared" si="3566"/>
        <v>InitEquipData('IC03',,"",,,,,'','','','','','',"")</v>
      </c>
      <c r="CS258" s="86"/>
      <c r="CT258" s="86"/>
      <c r="CU258" s="88" t="str">
        <f t="shared" si="3638"/>
        <v>|n</v>
      </c>
      <c r="CV258" s="19"/>
      <c r="DB258" s="66" t="str">
        <f t="shared" si="3639"/>
        <v/>
      </c>
      <c r="DC258" s="66" t="str">
        <f t="shared" si="3640"/>
        <v/>
      </c>
      <c r="DD258" s="66" t="str">
        <f t="shared" si="3641"/>
        <v/>
      </c>
      <c r="DE258" s="66" t="str">
        <f t="shared" si="3642"/>
        <v/>
      </c>
      <c r="DF258" s="66" t="str">
        <f t="shared" si="3643"/>
        <v/>
      </c>
      <c r="DG258" s="66" t="str">
        <f t="shared" si="3644"/>
        <v/>
      </c>
      <c r="DH258" s="66" t="str">
        <f t="shared" si="3645"/>
        <v/>
      </c>
      <c r="DI258" s="66" t="str">
        <f t="shared" si="3646"/>
        <v/>
      </c>
      <c r="DJ258" s="66" t="str">
        <f t="shared" si="3647"/>
        <v/>
      </c>
      <c r="DK258" s="66" t="str">
        <f t="shared" si="3648"/>
        <v/>
      </c>
      <c r="DL258" s="66" t="str">
        <f t="shared" si="3649"/>
        <v/>
      </c>
      <c r="DM258" s="66" t="str">
        <f t="shared" si="3650"/>
        <v/>
      </c>
      <c r="DN258" s="66" t="str">
        <f t="shared" si="3651"/>
        <v/>
      </c>
      <c r="DO258" s="66" t="str">
        <f t="shared" si="3652"/>
        <v/>
      </c>
      <c r="DP258" s="66" t="str">
        <f t="shared" si="3653"/>
        <v/>
      </c>
      <c r="DQ258" s="66" t="str">
        <f t="shared" si="3654"/>
        <v/>
      </c>
      <c r="DR258" s="66" t="str">
        <f t="shared" si="3655"/>
        <v/>
      </c>
      <c r="DS258" s="66" t="str">
        <f t="shared" si="3656"/>
        <v/>
      </c>
      <c r="DT258" s="66" t="str">
        <f t="shared" si="3657"/>
        <v/>
      </c>
      <c r="DU258" s="66" t="str">
        <f t="shared" si="3658"/>
        <v/>
      </c>
      <c r="DV258" s="66" t="str">
        <f t="shared" si="3659"/>
        <v/>
      </c>
      <c r="DW258" s="66" t="str">
        <f t="shared" si="3660"/>
        <v/>
      </c>
      <c r="DX258" s="66" t="str">
        <f t="shared" si="3661"/>
        <v/>
      </c>
      <c r="DY258" s="66" t="str">
        <f t="shared" si="3662"/>
        <v/>
      </c>
      <c r="DZ258" s="66" t="str">
        <f t="shared" si="3663"/>
        <v/>
      </c>
      <c r="EA258" s="66" t="str">
        <f t="shared" si="3664"/>
        <v/>
      </c>
      <c r="EB258" s="66" t="str">
        <f t="shared" si="3665"/>
        <v/>
      </c>
      <c r="EC258" s="66" t="str">
        <f t="shared" si="3666"/>
        <v/>
      </c>
      <c r="ED258" s="66" t="str">
        <f t="shared" si="3667"/>
        <v/>
      </c>
      <c r="EE258" s="66" t="str">
        <f t="shared" si="3668"/>
        <v/>
      </c>
      <c r="EF258" s="66" t="str">
        <f t="shared" si="3669"/>
        <v/>
      </c>
      <c r="EG258" s="66" t="str">
        <f t="shared" si="3670"/>
        <v/>
      </c>
      <c r="EH258" s="66" t="str">
        <f t="shared" si="3671"/>
        <v/>
      </c>
      <c r="EI258" s="66" t="str">
        <f t="shared" si="3672"/>
        <v/>
      </c>
      <c r="EJ258" s="66" t="str">
        <f t="shared" si="3673"/>
        <v/>
      </c>
      <c r="EK258" s="66" t="str">
        <f t="shared" si="3674"/>
        <v/>
      </c>
      <c r="EL258" s="66" t="str">
        <f t="shared" si="3675"/>
        <v/>
      </c>
      <c r="EM258" s="66" t="str">
        <f t="shared" si="3676"/>
        <v/>
      </c>
      <c r="EN258" s="66" t="str">
        <f t="shared" si="3677"/>
        <v/>
      </c>
      <c r="EO258" s="66" t="str">
        <f t="shared" si="3678"/>
        <v/>
      </c>
      <c r="EP258" s="66" t="str">
        <f t="shared" si="3679"/>
        <v/>
      </c>
      <c r="EQ258" s="66" t="str">
        <f t="shared" si="3680"/>
        <v/>
      </c>
      <c r="ER258" s="66" t="str">
        <f t="shared" si="3681"/>
        <v/>
      </c>
      <c r="ES258" s="66" t="str">
        <f t="shared" si="3682"/>
        <v/>
      </c>
      <c r="ET258" s="66" t="str">
        <f t="shared" si="3683"/>
        <v/>
      </c>
      <c r="EU258" s="66" t="str">
        <f t="shared" si="3684"/>
        <v/>
      </c>
      <c r="EV258" s="66" t="str">
        <f t="shared" si="3685"/>
        <v/>
      </c>
      <c r="EW258" s="66" t="str">
        <f t="shared" si="3686"/>
        <v/>
      </c>
      <c r="EX258" s="66" t="str">
        <f t="shared" si="3687"/>
        <v/>
      </c>
      <c r="EY258" s="66" t="str">
        <f t="shared" si="3688"/>
        <v/>
      </c>
      <c r="EZ258" s="66" t="str">
        <f t="shared" si="3689"/>
        <v/>
      </c>
      <c r="FA258" s="66" t="str">
        <f t="shared" si="3690"/>
        <v/>
      </c>
      <c r="FB258" s="66" t="str">
        <f t="shared" si="3691"/>
        <v/>
      </c>
      <c r="FC258" s="66" t="str">
        <f t="shared" si="3692"/>
        <v/>
      </c>
      <c r="FD258" s="66" t="str">
        <f t="shared" si="3693"/>
        <v/>
      </c>
      <c r="FE258" s="66" t="str">
        <f t="shared" si="3694"/>
        <v/>
      </c>
      <c r="FF258" s="66" t="str">
        <f t="shared" si="3695"/>
        <v/>
      </c>
      <c r="FG258" s="66" t="str">
        <f t="shared" si="3696"/>
        <v/>
      </c>
      <c r="FH258" s="66" t="str">
        <f t="shared" si="3697"/>
        <v/>
      </c>
      <c r="FI258" s="66" t="str">
        <f t="shared" si="3698"/>
        <v/>
      </c>
      <c r="FJ258" s="66" t="str">
        <f t="shared" si="3699"/>
        <v/>
      </c>
      <c r="FK258" s="66" t="str">
        <f t="shared" si="3700"/>
        <v/>
      </c>
      <c r="FL258" s="66" t="str">
        <f t="shared" si="3701"/>
        <v/>
      </c>
      <c r="FM258" s="66" t="str">
        <f t="shared" si="3702"/>
        <v/>
      </c>
      <c r="FN258" s="66" t="str">
        <f t="shared" si="3703"/>
        <v/>
      </c>
      <c r="FO258" s="66" t="str">
        <f t="shared" si="3704"/>
        <v/>
      </c>
      <c r="FP258" s="66" t="str">
        <f t="shared" si="3705"/>
        <v/>
      </c>
      <c r="FQ258" s="66" t="str">
        <f t="shared" si="3706"/>
        <v/>
      </c>
      <c r="FR258" s="66" t="str">
        <f t="shared" si="3707"/>
        <v/>
      </c>
      <c r="FS258" s="66" t="str">
        <f t="shared" si="3708"/>
        <v/>
      </c>
    </row>
    <row r="259" spans="1:175" s="33" customFormat="1" ht="16.5">
      <c r="A259" s="114"/>
      <c r="B259" s="9" t="s">
        <v>803</v>
      </c>
      <c r="C259" s="9" t="s">
        <v>804</v>
      </c>
      <c r="D259" s="67"/>
      <c r="E259" s="68"/>
      <c r="F259" s="115"/>
      <c r="G259" s="116"/>
      <c r="H259" s="116"/>
      <c r="I259" s="116"/>
      <c r="J259" s="116"/>
      <c r="K259" s="116"/>
      <c r="L259" s="116"/>
      <c r="M259" s="116"/>
      <c r="N259" s="116"/>
      <c r="O259" s="116"/>
      <c r="P259" s="73"/>
      <c r="Q259" s="73"/>
      <c r="R259" s="73"/>
      <c r="S259" s="73"/>
      <c r="T259" s="80"/>
      <c r="U259" s="77"/>
      <c r="V259" s="78"/>
      <c r="W259" s="78"/>
      <c r="X259" s="78"/>
      <c r="Y259" s="78"/>
      <c r="Z259" s="78"/>
      <c r="AA259" s="78"/>
      <c r="AB259" s="78"/>
      <c r="AC259" s="78"/>
      <c r="AD259" s="78"/>
      <c r="AE259" s="78"/>
      <c r="AF259" s="78"/>
      <c r="AG259" s="78"/>
      <c r="AH259" s="78"/>
      <c r="AI259" s="78"/>
      <c r="AJ259" s="78"/>
      <c r="AK259" s="78"/>
      <c r="AL259" s="78"/>
      <c r="AM259" s="78"/>
      <c r="AN259" s="78"/>
      <c r="AO259" s="78"/>
      <c r="AP259" s="78"/>
      <c r="AQ259" s="78"/>
      <c r="AR259" s="84"/>
      <c r="AS259" s="84"/>
      <c r="AT259" s="78"/>
      <c r="AU259" s="78"/>
      <c r="AV259" s="78"/>
      <c r="AW259" s="78"/>
      <c r="AX259" s="78"/>
      <c r="AY259" s="78"/>
      <c r="AZ259" s="78"/>
      <c r="BA259" s="78"/>
      <c r="BB259" s="78"/>
      <c r="BC259" s="78"/>
      <c r="BD259" s="78"/>
      <c r="BE259" s="78"/>
      <c r="BF259" s="78"/>
      <c r="BG259" s="78"/>
      <c r="BH259" s="78"/>
      <c r="BI259" s="78"/>
      <c r="BJ259" s="78"/>
      <c r="BK259" s="78"/>
      <c r="BL259" s="78"/>
      <c r="BM259" s="78"/>
      <c r="BN259" s="78"/>
      <c r="BO259" s="78"/>
      <c r="BP259" s="78"/>
      <c r="BQ259" s="78"/>
      <c r="BR259" s="78"/>
      <c r="BS259" s="78"/>
      <c r="BT259" s="78"/>
      <c r="BU259" s="78"/>
      <c r="BV259" s="78"/>
      <c r="BW259" s="78"/>
      <c r="BX259" s="78"/>
      <c r="BY259" s="78"/>
      <c r="BZ259" s="78"/>
      <c r="CA259" s="78"/>
      <c r="CB259" s="78"/>
      <c r="CC259" s="78"/>
      <c r="CD259" s="78"/>
      <c r="CE259" s="78"/>
      <c r="CF259" s="78"/>
      <c r="CG259" s="78"/>
      <c r="CH259" s="78"/>
      <c r="CI259" s="78"/>
      <c r="CJ259" s="78"/>
      <c r="CK259" s="78"/>
      <c r="CL259" s="78"/>
      <c r="CM259" s="78"/>
      <c r="CN259" s="86" t="str">
        <f t="shared" si="3866"/>
        <v>InitUnitState('IC04',,,,,,,,,,)</v>
      </c>
      <c r="CO259" s="86" t="str">
        <f t="shared" si="3867"/>
        <v>InitUnitNormal('IC04',,,,,,,,,,)</v>
      </c>
      <c r="CP259" s="86" t="str">
        <f t="shared" si="3868"/>
        <v>InitUnitMagic('IC04',,,,,,,,,,)</v>
      </c>
      <c r="CQ259" s="86" t="str">
        <f t="shared" si="3869"/>
        <v>InitUnitAdd('IC04',,,,,,,,,,)</v>
      </c>
      <c r="CR259" s="86" t="str">
        <f t="shared" si="3566"/>
        <v>InitEquipData('IC04',,"",,,,,'','','','','','',"")</v>
      </c>
      <c r="CS259" s="86"/>
      <c r="CT259" s="86"/>
      <c r="CU259" s="88" t="str">
        <f t="shared" si="3638"/>
        <v>|n</v>
      </c>
      <c r="CV259" s="19"/>
      <c r="DB259" s="66" t="str">
        <f t="shared" si="3639"/>
        <v/>
      </c>
      <c r="DC259" s="66" t="str">
        <f t="shared" si="3640"/>
        <v/>
      </c>
      <c r="DD259" s="66" t="str">
        <f t="shared" si="3641"/>
        <v/>
      </c>
      <c r="DE259" s="66" t="str">
        <f t="shared" si="3642"/>
        <v/>
      </c>
      <c r="DF259" s="66" t="str">
        <f t="shared" si="3643"/>
        <v/>
      </c>
      <c r="DG259" s="66" t="str">
        <f t="shared" si="3644"/>
        <v/>
      </c>
      <c r="DH259" s="66" t="str">
        <f t="shared" si="3645"/>
        <v/>
      </c>
      <c r="DI259" s="66" t="str">
        <f t="shared" si="3646"/>
        <v/>
      </c>
      <c r="DJ259" s="66" t="str">
        <f t="shared" si="3647"/>
        <v/>
      </c>
      <c r="DK259" s="66" t="str">
        <f t="shared" si="3648"/>
        <v/>
      </c>
      <c r="DL259" s="66" t="str">
        <f t="shared" si="3649"/>
        <v/>
      </c>
      <c r="DM259" s="66" t="str">
        <f t="shared" si="3650"/>
        <v/>
      </c>
      <c r="DN259" s="66" t="str">
        <f t="shared" si="3651"/>
        <v/>
      </c>
      <c r="DO259" s="66" t="str">
        <f t="shared" si="3652"/>
        <v/>
      </c>
      <c r="DP259" s="66" t="str">
        <f t="shared" si="3653"/>
        <v/>
      </c>
      <c r="DQ259" s="66" t="str">
        <f t="shared" si="3654"/>
        <v/>
      </c>
      <c r="DR259" s="66" t="str">
        <f t="shared" si="3655"/>
        <v/>
      </c>
      <c r="DS259" s="66" t="str">
        <f t="shared" si="3656"/>
        <v/>
      </c>
      <c r="DT259" s="66" t="str">
        <f t="shared" si="3657"/>
        <v/>
      </c>
      <c r="DU259" s="66" t="str">
        <f t="shared" si="3658"/>
        <v/>
      </c>
      <c r="DV259" s="66" t="str">
        <f t="shared" si="3659"/>
        <v/>
      </c>
      <c r="DW259" s="66" t="str">
        <f t="shared" si="3660"/>
        <v/>
      </c>
      <c r="DX259" s="66" t="str">
        <f t="shared" si="3661"/>
        <v/>
      </c>
      <c r="DY259" s="66" t="str">
        <f t="shared" si="3662"/>
        <v/>
      </c>
      <c r="DZ259" s="66" t="str">
        <f t="shared" si="3663"/>
        <v/>
      </c>
      <c r="EA259" s="66" t="str">
        <f t="shared" si="3664"/>
        <v/>
      </c>
      <c r="EB259" s="66" t="str">
        <f t="shared" si="3665"/>
        <v/>
      </c>
      <c r="EC259" s="66" t="str">
        <f t="shared" si="3666"/>
        <v/>
      </c>
      <c r="ED259" s="66" t="str">
        <f t="shared" si="3667"/>
        <v/>
      </c>
      <c r="EE259" s="66" t="str">
        <f t="shared" si="3668"/>
        <v/>
      </c>
      <c r="EF259" s="66" t="str">
        <f t="shared" si="3669"/>
        <v/>
      </c>
      <c r="EG259" s="66" t="str">
        <f t="shared" si="3670"/>
        <v/>
      </c>
      <c r="EH259" s="66" t="str">
        <f t="shared" si="3671"/>
        <v/>
      </c>
      <c r="EI259" s="66" t="str">
        <f t="shared" si="3672"/>
        <v/>
      </c>
      <c r="EJ259" s="66" t="str">
        <f t="shared" si="3673"/>
        <v/>
      </c>
      <c r="EK259" s="66" t="str">
        <f t="shared" si="3674"/>
        <v/>
      </c>
      <c r="EL259" s="66" t="str">
        <f t="shared" si="3675"/>
        <v/>
      </c>
      <c r="EM259" s="66" t="str">
        <f t="shared" si="3676"/>
        <v/>
      </c>
      <c r="EN259" s="66" t="str">
        <f t="shared" si="3677"/>
        <v/>
      </c>
      <c r="EO259" s="66" t="str">
        <f t="shared" si="3678"/>
        <v/>
      </c>
      <c r="EP259" s="66" t="str">
        <f t="shared" si="3679"/>
        <v/>
      </c>
      <c r="EQ259" s="66" t="str">
        <f t="shared" si="3680"/>
        <v/>
      </c>
      <c r="ER259" s="66" t="str">
        <f t="shared" si="3681"/>
        <v/>
      </c>
      <c r="ES259" s="66" t="str">
        <f t="shared" si="3682"/>
        <v/>
      </c>
      <c r="ET259" s="66" t="str">
        <f t="shared" si="3683"/>
        <v/>
      </c>
      <c r="EU259" s="66" t="str">
        <f t="shared" si="3684"/>
        <v/>
      </c>
      <c r="EV259" s="66" t="str">
        <f t="shared" si="3685"/>
        <v/>
      </c>
      <c r="EW259" s="66" t="str">
        <f t="shared" si="3686"/>
        <v/>
      </c>
      <c r="EX259" s="66" t="str">
        <f t="shared" si="3687"/>
        <v/>
      </c>
      <c r="EY259" s="66" t="str">
        <f t="shared" si="3688"/>
        <v/>
      </c>
      <c r="EZ259" s="66" t="str">
        <f t="shared" si="3689"/>
        <v/>
      </c>
      <c r="FA259" s="66" t="str">
        <f t="shared" si="3690"/>
        <v/>
      </c>
      <c r="FB259" s="66" t="str">
        <f t="shared" si="3691"/>
        <v/>
      </c>
      <c r="FC259" s="66" t="str">
        <f t="shared" si="3692"/>
        <v/>
      </c>
      <c r="FD259" s="66" t="str">
        <f t="shared" si="3693"/>
        <v/>
      </c>
      <c r="FE259" s="66" t="str">
        <f t="shared" si="3694"/>
        <v/>
      </c>
      <c r="FF259" s="66" t="str">
        <f t="shared" si="3695"/>
        <v/>
      </c>
      <c r="FG259" s="66" t="str">
        <f t="shared" si="3696"/>
        <v/>
      </c>
      <c r="FH259" s="66" t="str">
        <f t="shared" si="3697"/>
        <v/>
      </c>
      <c r="FI259" s="66" t="str">
        <f t="shared" si="3698"/>
        <v/>
      </c>
      <c r="FJ259" s="66" t="str">
        <f t="shared" si="3699"/>
        <v/>
      </c>
      <c r="FK259" s="66" t="str">
        <f t="shared" si="3700"/>
        <v/>
      </c>
      <c r="FL259" s="66" t="str">
        <f t="shared" si="3701"/>
        <v/>
      </c>
      <c r="FM259" s="66" t="str">
        <f t="shared" si="3702"/>
        <v/>
      </c>
      <c r="FN259" s="66" t="str">
        <f t="shared" si="3703"/>
        <v/>
      </c>
      <c r="FO259" s="66" t="str">
        <f t="shared" si="3704"/>
        <v/>
      </c>
      <c r="FP259" s="66" t="str">
        <f t="shared" si="3705"/>
        <v/>
      </c>
      <c r="FQ259" s="66" t="str">
        <f t="shared" si="3706"/>
        <v/>
      </c>
      <c r="FR259" s="66" t="str">
        <f t="shared" si="3707"/>
        <v/>
      </c>
      <c r="FS259" s="66" t="str">
        <f t="shared" si="3708"/>
        <v/>
      </c>
    </row>
    <row r="260" spans="1:175" s="33" customFormat="1" ht="16.5">
      <c r="A260" s="114"/>
      <c r="B260" s="9" t="s">
        <v>805</v>
      </c>
      <c r="C260" s="9" t="s">
        <v>806</v>
      </c>
      <c r="D260" s="67"/>
      <c r="E260" s="68"/>
      <c r="F260" s="115"/>
      <c r="G260" s="116"/>
      <c r="H260" s="116"/>
      <c r="I260" s="116"/>
      <c r="J260" s="116"/>
      <c r="K260" s="116"/>
      <c r="L260" s="116"/>
      <c r="M260" s="116"/>
      <c r="N260" s="116"/>
      <c r="O260" s="116"/>
      <c r="P260" s="73"/>
      <c r="Q260" s="73"/>
      <c r="R260" s="73"/>
      <c r="S260" s="73"/>
      <c r="T260" s="80"/>
      <c r="U260" s="77"/>
      <c r="V260" s="78"/>
      <c r="W260" s="78"/>
      <c r="X260" s="78"/>
      <c r="Y260" s="78"/>
      <c r="Z260" s="78"/>
      <c r="AA260" s="78"/>
      <c r="AB260" s="78"/>
      <c r="AC260" s="78"/>
      <c r="AD260" s="78"/>
      <c r="AE260" s="78"/>
      <c r="AF260" s="78"/>
      <c r="AG260" s="78"/>
      <c r="AH260" s="78"/>
      <c r="AI260" s="78"/>
      <c r="AJ260" s="78"/>
      <c r="AK260" s="78"/>
      <c r="AL260" s="78"/>
      <c r="AM260" s="78"/>
      <c r="AN260" s="78"/>
      <c r="AO260" s="78"/>
      <c r="AP260" s="78"/>
      <c r="AQ260" s="78"/>
      <c r="AR260" s="84"/>
      <c r="AS260" s="84"/>
      <c r="AT260" s="78"/>
      <c r="AU260" s="78"/>
      <c r="AV260" s="78"/>
      <c r="AW260" s="78"/>
      <c r="AX260" s="78"/>
      <c r="AY260" s="78"/>
      <c r="AZ260" s="78"/>
      <c r="BA260" s="78"/>
      <c r="BB260" s="78"/>
      <c r="BC260" s="78"/>
      <c r="BD260" s="78"/>
      <c r="BE260" s="78"/>
      <c r="BF260" s="78"/>
      <c r="BG260" s="78"/>
      <c r="BH260" s="78"/>
      <c r="BI260" s="78"/>
      <c r="BJ260" s="78"/>
      <c r="BK260" s="78"/>
      <c r="BL260" s="78"/>
      <c r="BM260" s="78"/>
      <c r="BN260" s="78"/>
      <c r="BO260" s="78"/>
      <c r="BP260" s="78"/>
      <c r="BQ260" s="78"/>
      <c r="BR260" s="78"/>
      <c r="BS260" s="78"/>
      <c r="BT260" s="78"/>
      <c r="BU260" s="78"/>
      <c r="BV260" s="78"/>
      <c r="BW260" s="78"/>
      <c r="BX260" s="78"/>
      <c r="BY260" s="78"/>
      <c r="BZ260" s="78"/>
      <c r="CA260" s="78"/>
      <c r="CB260" s="78"/>
      <c r="CC260" s="78"/>
      <c r="CD260" s="78"/>
      <c r="CE260" s="78"/>
      <c r="CF260" s="78"/>
      <c r="CG260" s="78"/>
      <c r="CH260" s="78"/>
      <c r="CI260" s="78"/>
      <c r="CJ260" s="78"/>
      <c r="CK260" s="78"/>
      <c r="CL260" s="78"/>
      <c r="CM260" s="78"/>
      <c r="CN260" s="86" t="str">
        <f t="shared" si="3866"/>
        <v>InitUnitState('IC05',,,,,,,,,,)</v>
      </c>
      <c r="CO260" s="86" t="str">
        <f t="shared" si="3867"/>
        <v>InitUnitNormal('IC05',,,,,,,,,,)</v>
      </c>
      <c r="CP260" s="86" t="str">
        <f t="shared" si="3868"/>
        <v>InitUnitMagic('IC05',,,,,,,,,,)</v>
      </c>
      <c r="CQ260" s="86" t="str">
        <f t="shared" si="3869"/>
        <v>InitUnitAdd('IC05',,,,,,,,,,)</v>
      </c>
      <c r="CR260" s="86" t="str">
        <f t="shared" si="3566"/>
        <v>InitEquipData('IC05',,"",,,,,'','','','','','',"")</v>
      </c>
      <c r="CS260" s="86"/>
      <c r="CT260" s="86"/>
      <c r="CU260" s="88" t="str">
        <f t="shared" si="3638"/>
        <v>|n</v>
      </c>
      <c r="CV260" s="19"/>
      <c r="DB260" s="66" t="str">
        <f t="shared" si="3639"/>
        <v/>
      </c>
      <c r="DC260" s="66" t="str">
        <f t="shared" si="3640"/>
        <v/>
      </c>
      <c r="DD260" s="66" t="str">
        <f t="shared" si="3641"/>
        <v/>
      </c>
      <c r="DE260" s="66" t="str">
        <f t="shared" si="3642"/>
        <v/>
      </c>
      <c r="DF260" s="66" t="str">
        <f t="shared" si="3643"/>
        <v/>
      </c>
      <c r="DG260" s="66" t="str">
        <f t="shared" si="3644"/>
        <v/>
      </c>
      <c r="DH260" s="66" t="str">
        <f t="shared" si="3645"/>
        <v/>
      </c>
      <c r="DI260" s="66" t="str">
        <f t="shared" si="3646"/>
        <v/>
      </c>
      <c r="DJ260" s="66" t="str">
        <f t="shared" si="3647"/>
        <v/>
      </c>
      <c r="DK260" s="66" t="str">
        <f t="shared" si="3648"/>
        <v/>
      </c>
      <c r="DL260" s="66" t="str">
        <f t="shared" si="3649"/>
        <v/>
      </c>
      <c r="DM260" s="66" t="str">
        <f t="shared" si="3650"/>
        <v/>
      </c>
      <c r="DN260" s="66" t="str">
        <f t="shared" si="3651"/>
        <v/>
      </c>
      <c r="DO260" s="66" t="str">
        <f t="shared" si="3652"/>
        <v/>
      </c>
      <c r="DP260" s="66" t="str">
        <f t="shared" si="3653"/>
        <v/>
      </c>
      <c r="DQ260" s="66" t="str">
        <f t="shared" si="3654"/>
        <v/>
      </c>
      <c r="DR260" s="66" t="str">
        <f t="shared" si="3655"/>
        <v/>
      </c>
      <c r="DS260" s="66" t="str">
        <f t="shared" si="3656"/>
        <v/>
      </c>
      <c r="DT260" s="66" t="str">
        <f t="shared" si="3657"/>
        <v/>
      </c>
      <c r="DU260" s="66" t="str">
        <f t="shared" si="3658"/>
        <v/>
      </c>
      <c r="DV260" s="66" t="str">
        <f t="shared" si="3659"/>
        <v/>
      </c>
      <c r="DW260" s="66" t="str">
        <f t="shared" si="3660"/>
        <v/>
      </c>
      <c r="DX260" s="66" t="str">
        <f t="shared" si="3661"/>
        <v/>
      </c>
      <c r="DY260" s="66" t="str">
        <f t="shared" si="3662"/>
        <v/>
      </c>
      <c r="DZ260" s="66" t="str">
        <f t="shared" si="3663"/>
        <v/>
      </c>
      <c r="EA260" s="66" t="str">
        <f t="shared" si="3664"/>
        <v/>
      </c>
      <c r="EB260" s="66" t="str">
        <f t="shared" si="3665"/>
        <v/>
      </c>
      <c r="EC260" s="66" t="str">
        <f t="shared" si="3666"/>
        <v/>
      </c>
      <c r="ED260" s="66" t="str">
        <f t="shared" si="3667"/>
        <v/>
      </c>
      <c r="EE260" s="66" t="str">
        <f t="shared" si="3668"/>
        <v/>
      </c>
      <c r="EF260" s="66" t="str">
        <f t="shared" si="3669"/>
        <v/>
      </c>
      <c r="EG260" s="66" t="str">
        <f t="shared" si="3670"/>
        <v/>
      </c>
      <c r="EH260" s="66" t="str">
        <f t="shared" si="3671"/>
        <v/>
      </c>
      <c r="EI260" s="66" t="str">
        <f t="shared" si="3672"/>
        <v/>
      </c>
      <c r="EJ260" s="66" t="str">
        <f t="shared" si="3673"/>
        <v/>
      </c>
      <c r="EK260" s="66" t="str">
        <f t="shared" si="3674"/>
        <v/>
      </c>
      <c r="EL260" s="66" t="str">
        <f t="shared" si="3675"/>
        <v/>
      </c>
      <c r="EM260" s="66" t="str">
        <f t="shared" si="3676"/>
        <v/>
      </c>
      <c r="EN260" s="66" t="str">
        <f t="shared" si="3677"/>
        <v/>
      </c>
      <c r="EO260" s="66" t="str">
        <f t="shared" si="3678"/>
        <v/>
      </c>
      <c r="EP260" s="66" t="str">
        <f t="shared" si="3679"/>
        <v/>
      </c>
      <c r="EQ260" s="66" t="str">
        <f t="shared" si="3680"/>
        <v/>
      </c>
      <c r="ER260" s="66" t="str">
        <f t="shared" si="3681"/>
        <v/>
      </c>
      <c r="ES260" s="66" t="str">
        <f t="shared" si="3682"/>
        <v/>
      </c>
      <c r="ET260" s="66" t="str">
        <f t="shared" si="3683"/>
        <v/>
      </c>
      <c r="EU260" s="66" t="str">
        <f t="shared" si="3684"/>
        <v/>
      </c>
      <c r="EV260" s="66" t="str">
        <f t="shared" si="3685"/>
        <v/>
      </c>
      <c r="EW260" s="66" t="str">
        <f t="shared" si="3686"/>
        <v/>
      </c>
      <c r="EX260" s="66" t="str">
        <f t="shared" si="3687"/>
        <v/>
      </c>
      <c r="EY260" s="66" t="str">
        <f t="shared" si="3688"/>
        <v/>
      </c>
      <c r="EZ260" s="66" t="str">
        <f t="shared" si="3689"/>
        <v/>
      </c>
      <c r="FA260" s="66" t="str">
        <f t="shared" si="3690"/>
        <v/>
      </c>
      <c r="FB260" s="66" t="str">
        <f t="shared" si="3691"/>
        <v/>
      </c>
      <c r="FC260" s="66" t="str">
        <f t="shared" si="3692"/>
        <v/>
      </c>
      <c r="FD260" s="66" t="str">
        <f t="shared" si="3693"/>
        <v/>
      </c>
      <c r="FE260" s="66" t="str">
        <f t="shared" si="3694"/>
        <v/>
      </c>
      <c r="FF260" s="66" t="str">
        <f t="shared" si="3695"/>
        <v/>
      </c>
      <c r="FG260" s="66" t="str">
        <f t="shared" si="3696"/>
        <v/>
      </c>
      <c r="FH260" s="66" t="str">
        <f t="shared" si="3697"/>
        <v/>
      </c>
      <c r="FI260" s="66" t="str">
        <f t="shared" si="3698"/>
        <v/>
      </c>
      <c r="FJ260" s="66" t="str">
        <f t="shared" si="3699"/>
        <v/>
      </c>
      <c r="FK260" s="66" t="str">
        <f t="shared" si="3700"/>
        <v/>
      </c>
      <c r="FL260" s="66" t="str">
        <f t="shared" si="3701"/>
        <v/>
      </c>
      <c r="FM260" s="66" t="str">
        <f t="shared" si="3702"/>
        <v/>
      </c>
      <c r="FN260" s="66" t="str">
        <f t="shared" si="3703"/>
        <v/>
      </c>
      <c r="FO260" s="66" t="str">
        <f t="shared" si="3704"/>
        <v/>
      </c>
      <c r="FP260" s="66" t="str">
        <f t="shared" si="3705"/>
        <v/>
      </c>
      <c r="FQ260" s="66" t="str">
        <f t="shared" si="3706"/>
        <v/>
      </c>
      <c r="FR260" s="66" t="str">
        <f t="shared" si="3707"/>
        <v/>
      </c>
      <c r="FS260" s="66" t="str">
        <f t="shared" si="3708"/>
        <v/>
      </c>
    </row>
    <row r="261" spans="1:175" s="33" customFormat="1" ht="16.5">
      <c r="A261" s="114"/>
      <c r="B261" s="9" t="s">
        <v>807</v>
      </c>
      <c r="C261" s="9" t="s">
        <v>808</v>
      </c>
      <c r="D261" s="67"/>
      <c r="E261" s="68"/>
      <c r="F261" s="115"/>
      <c r="G261" s="116"/>
      <c r="H261" s="116"/>
      <c r="I261" s="116"/>
      <c r="J261" s="116"/>
      <c r="K261" s="116"/>
      <c r="L261" s="116"/>
      <c r="M261" s="116"/>
      <c r="N261" s="116"/>
      <c r="O261" s="116"/>
      <c r="P261" s="73"/>
      <c r="Q261" s="73"/>
      <c r="R261" s="73"/>
      <c r="S261" s="73"/>
      <c r="T261" s="80"/>
      <c r="U261" s="77"/>
      <c r="V261" s="78"/>
      <c r="W261" s="78"/>
      <c r="X261" s="78"/>
      <c r="Y261" s="78"/>
      <c r="Z261" s="78"/>
      <c r="AA261" s="78"/>
      <c r="AB261" s="78"/>
      <c r="AC261" s="78"/>
      <c r="AD261" s="78"/>
      <c r="AE261" s="78"/>
      <c r="AF261" s="78"/>
      <c r="AG261" s="78"/>
      <c r="AH261" s="78"/>
      <c r="AI261" s="78"/>
      <c r="AJ261" s="78"/>
      <c r="AK261" s="78"/>
      <c r="AL261" s="78"/>
      <c r="AM261" s="78"/>
      <c r="AN261" s="78"/>
      <c r="AO261" s="78"/>
      <c r="AP261" s="78"/>
      <c r="AQ261" s="78"/>
      <c r="AR261" s="84"/>
      <c r="AS261" s="84"/>
      <c r="AT261" s="78"/>
      <c r="AU261" s="78"/>
      <c r="AV261" s="78"/>
      <c r="AW261" s="78"/>
      <c r="AX261" s="78"/>
      <c r="AY261" s="78"/>
      <c r="AZ261" s="78"/>
      <c r="BA261" s="78"/>
      <c r="BB261" s="78"/>
      <c r="BC261" s="78"/>
      <c r="BD261" s="78"/>
      <c r="BE261" s="78"/>
      <c r="BF261" s="78"/>
      <c r="BG261" s="78"/>
      <c r="BH261" s="78"/>
      <c r="BI261" s="78"/>
      <c r="BJ261" s="78"/>
      <c r="BK261" s="78"/>
      <c r="BL261" s="78"/>
      <c r="BM261" s="78"/>
      <c r="BN261" s="78"/>
      <c r="BO261" s="78"/>
      <c r="BP261" s="78"/>
      <c r="BQ261" s="78"/>
      <c r="BR261" s="78"/>
      <c r="BS261" s="78"/>
      <c r="BT261" s="78"/>
      <c r="BU261" s="78"/>
      <c r="BV261" s="78"/>
      <c r="BW261" s="78"/>
      <c r="BX261" s="78"/>
      <c r="BY261" s="78"/>
      <c r="BZ261" s="78"/>
      <c r="CA261" s="78"/>
      <c r="CB261" s="78"/>
      <c r="CC261" s="78"/>
      <c r="CD261" s="78"/>
      <c r="CE261" s="78"/>
      <c r="CF261" s="78"/>
      <c r="CG261" s="78"/>
      <c r="CH261" s="78"/>
      <c r="CI261" s="78"/>
      <c r="CJ261" s="78"/>
      <c r="CK261" s="78"/>
      <c r="CL261" s="78"/>
      <c r="CM261" s="78"/>
      <c r="CN261" s="86" t="str">
        <f t="shared" si="3866"/>
        <v>InitUnitState('IC06',,,,,,,,,,)</v>
      </c>
      <c r="CO261" s="86" t="str">
        <f t="shared" si="3867"/>
        <v>InitUnitNormal('IC06',,,,,,,,,,)</v>
      </c>
      <c r="CP261" s="86" t="str">
        <f t="shared" si="3868"/>
        <v>InitUnitMagic('IC06',,,,,,,,,,)</v>
      </c>
      <c r="CQ261" s="86" t="str">
        <f t="shared" si="3869"/>
        <v>InitUnitAdd('IC06',,,,,,,,,,)</v>
      </c>
      <c r="CR261" s="86" t="str">
        <f t="shared" si="3566"/>
        <v>InitEquipData('IC06',,"",,,,,'','','','','','',"")</v>
      </c>
      <c r="CS261" s="86"/>
      <c r="CT261" s="86"/>
      <c r="CU261" s="88" t="str">
        <f t="shared" si="3638"/>
        <v>|n</v>
      </c>
      <c r="CV261" s="19"/>
      <c r="DB261" s="66" t="str">
        <f t="shared" si="3639"/>
        <v/>
      </c>
      <c r="DC261" s="66" t="str">
        <f t="shared" si="3640"/>
        <v/>
      </c>
      <c r="DD261" s="66" t="str">
        <f t="shared" si="3641"/>
        <v/>
      </c>
      <c r="DE261" s="66" t="str">
        <f t="shared" si="3642"/>
        <v/>
      </c>
      <c r="DF261" s="66" t="str">
        <f t="shared" si="3643"/>
        <v/>
      </c>
      <c r="DG261" s="66" t="str">
        <f t="shared" si="3644"/>
        <v/>
      </c>
      <c r="DH261" s="66" t="str">
        <f t="shared" si="3645"/>
        <v/>
      </c>
      <c r="DI261" s="66" t="str">
        <f t="shared" si="3646"/>
        <v/>
      </c>
      <c r="DJ261" s="66" t="str">
        <f t="shared" si="3647"/>
        <v/>
      </c>
      <c r="DK261" s="66" t="str">
        <f t="shared" si="3648"/>
        <v/>
      </c>
      <c r="DL261" s="66" t="str">
        <f t="shared" si="3649"/>
        <v/>
      </c>
      <c r="DM261" s="66" t="str">
        <f t="shared" si="3650"/>
        <v/>
      </c>
      <c r="DN261" s="66" t="str">
        <f t="shared" si="3651"/>
        <v/>
      </c>
      <c r="DO261" s="66" t="str">
        <f t="shared" si="3652"/>
        <v/>
      </c>
      <c r="DP261" s="66" t="str">
        <f t="shared" si="3653"/>
        <v/>
      </c>
      <c r="DQ261" s="66" t="str">
        <f t="shared" si="3654"/>
        <v/>
      </c>
      <c r="DR261" s="66" t="str">
        <f t="shared" si="3655"/>
        <v/>
      </c>
      <c r="DS261" s="66" t="str">
        <f t="shared" si="3656"/>
        <v/>
      </c>
      <c r="DT261" s="66" t="str">
        <f t="shared" si="3657"/>
        <v/>
      </c>
      <c r="DU261" s="66" t="str">
        <f t="shared" si="3658"/>
        <v/>
      </c>
      <c r="DV261" s="66" t="str">
        <f t="shared" si="3659"/>
        <v/>
      </c>
      <c r="DW261" s="66" t="str">
        <f t="shared" si="3660"/>
        <v/>
      </c>
      <c r="DX261" s="66" t="str">
        <f t="shared" si="3661"/>
        <v/>
      </c>
      <c r="DY261" s="66" t="str">
        <f t="shared" si="3662"/>
        <v/>
      </c>
      <c r="DZ261" s="66" t="str">
        <f t="shared" si="3663"/>
        <v/>
      </c>
      <c r="EA261" s="66" t="str">
        <f t="shared" si="3664"/>
        <v/>
      </c>
      <c r="EB261" s="66" t="str">
        <f t="shared" si="3665"/>
        <v/>
      </c>
      <c r="EC261" s="66" t="str">
        <f t="shared" si="3666"/>
        <v/>
      </c>
      <c r="ED261" s="66" t="str">
        <f t="shared" si="3667"/>
        <v/>
      </c>
      <c r="EE261" s="66" t="str">
        <f t="shared" si="3668"/>
        <v/>
      </c>
      <c r="EF261" s="66" t="str">
        <f t="shared" si="3669"/>
        <v/>
      </c>
      <c r="EG261" s="66" t="str">
        <f t="shared" si="3670"/>
        <v/>
      </c>
      <c r="EH261" s="66" t="str">
        <f t="shared" si="3671"/>
        <v/>
      </c>
      <c r="EI261" s="66" t="str">
        <f t="shared" si="3672"/>
        <v/>
      </c>
      <c r="EJ261" s="66" t="str">
        <f t="shared" si="3673"/>
        <v/>
      </c>
      <c r="EK261" s="66" t="str">
        <f t="shared" si="3674"/>
        <v/>
      </c>
      <c r="EL261" s="66" t="str">
        <f t="shared" si="3675"/>
        <v/>
      </c>
      <c r="EM261" s="66" t="str">
        <f t="shared" si="3676"/>
        <v/>
      </c>
      <c r="EN261" s="66" t="str">
        <f t="shared" si="3677"/>
        <v/>
      </c>
      <c r="EO261" s="66" t="str">
        <f t="shared" si="3678"/>
        <v/>
      </c>
      <c r="EP261" s="66" t="str">
        <f t="shared" si="3679"/>
        <v/>
      </c>
      <c r="EQ261" s="66" t="str">
        <f t="shared" si="3680"/>
        <v/>
      </c>
      <c r="ER261" s="66" t="str">
        <f t="shared" si="3681"/>
        <v/>
      </c>
      <c r="ES261" s="66" t="str">
        <f t="shared" si="3682"/>
        <v/>
      </c>
      <c r="ET261" s="66" t="str">
        <f t="shared" si="3683"/>
        <v/>
      </c>
      <c r="EU261" s="66" t="str">
        <f t="shared" si="3684"/>
        <v/>
      </c>
      <c r="EV261" s="66" t="str">
        <f t="shared" si="3685"/>
        <v/>
      </c>
      <c r="EW261" s="66" t="str">
        <f t="shared" si="3686"/>
        <v/>
      </c>
      <c r="EX261" s="66" t="str">
        <f t="shared" si="3687"/>
        <v/>
      </c>
      <c r="EY261" s="66" t="str">
        <f t="shared" si="3688"/>
        <v/>
      </c>
      <c r="EZ261" s="66" t="str">
        <f t="shared" si="3689"/>
        <v/>
      </c>
      <c r="FA261" s="66" t="str">
        <f t="shared" si="3690"/>
        <v/>
      </c>
      <c r="FB261" s="66" t="str">
        <f t="shared" si="3691"/>
        <v/>
      </c>
      <c r="FC261" s="66" t="str">
        <f t="shared" si="3692"/>
        <v/>
      </c>
      <c r="FD261" s="66" t="str">
        <f t="shared" si="3693"/>
        <v/>
      </c>
      <c r="FE261" s="66" t="str">
        <f t="shared" si="3694"/>
        <v/>
      </c>
      <c r="FF261" s="66" t="str">
        <f t="shared" si="3695"/>
        <v/>
      </c>
      <c r="FG261" s="66" t="str">
        <f t="shared" si="3696"/>
        <v/>
      </c>
      <c r="FH261" s="66" t="str">
        <f t="shared" si="3697"/>
        <v/>
      </c>
      <c r="FI261" s="66" t="str">
        <f t="shared" si="3698"/>
        <v/>
      </c>
      <c r="FJ261" s="66" t="str">
        <f t="shared" si="3699"/>
        <v/>
      </c>
      <c r="FK261" s="66" t="str">
        <f t="shared" si="3700"/>
        <v/>
      </c>
      <c r="FL261" s="66" t="str">
        <f t="shared" si="3701"/>
        <v/>
      </c>
      <c r="FM261" s="66" t="str">
        <f t="shared" si="3702"/>
        <v/>
      </c>
      <c r="FN261" s="66" t="str">
        <f t="shared" si="3703"/>
        <v/>
      </c>
      <c r="FO261" s="66" t="str">
        <f t="shared" si="3704"/>
        <v/>
      </c>
      <c r="FP261" s="66" t="str">
        <f t="shared" si="3705"/>
        <v/>
      </c>
      <c r="FQ261" s="66" t="str">
        <f t="shared" si="3706"/>
        <v/>
      </c>
      <c r="FR261" s="66" t="str">
        <f t="shared" si="3707"/>
        <v/>
      </c>
      <c r="FS261" s="66" t="str">
        <f t="shared" si="3708"/>
        <v/>
      </c>
    </row>
    <row r="262" spans="1:175" s="33" customFormat="1" ht="16.5">
      <c r="A262" s="114"/>
      <c r="B262" s="9" t="s">
        <v>809</v>
      </c>
      <c r="C262" s="9" t="s">
        <v>810</v>
      </c>
      <c r="D262" s="67"/>
      <c r="E262" s="68"/>
      <c r="F262" s="115"/>
      <c r="G262" s="116"/>
      <c r="H262" s="116"/>
      <c r="I262" s="116"/>
      <c r="J262" s="116"/>
      <c r="K262" s="116"/>
      <c r="L262" s="116"/>
      <c r="M262" s="116"/>
      <c r="N262" s="116"/>
      <c r="O262" s="116"/>
      <c r="P262" s="73"/>
      <c r="Q262" s="73"/>
      <c r="R262" s="73"/>
      <c r="S262" s="73"/>
      <c r="T262" s="80"/>
      <c r="U262" s="77"/>
      <c r="V262" s="78"/>
      <c r="W262" s="78"/>
      <c r="X262" s="78"/>
      <c r="Y262" s="78"/>
      <c r="Z262" s="78"/>
      <c r="AA262" s="78"/>
      <c r="AB262" s="78"/>
      <c r="AC262" s="78"/>
      <c r="AD262" s="78"/>
      <c r="AE262" s="78"/>
      <c r="AF262" s="78"/>
      <c r="AG262" s="78"/>
      <c r="AH262" s="78"/>
      <c r="AI262" s="78"/>
      <c r="AJ262" s="78"/>
      <c r="AK262" s="78"/>
      <c r="AL262" s="78"/>
      <c r="AM262" s="78"/>
      <c r="AN262" s="78"/>
      <c r="AO262" s="78"/>
      <c r="AP262" s="78"/>
      <c r="AQ262" s="78"/>
      <c r="AR262" s="84"/>
      <c r="AS262" s="84"/>
      <c r="AT262" s="78"/>
      <c r="AU262" s="78"/>
      <c r="AV262" s="78"/>
      <c r="AW262" s="78"/>
      <c r="AX262" s="78"/>
      <c r="AY262" s="78"/>
      <c r="AZ262" s="78"/>
      <c r="BA262" s="78"/>
      <c r="BB262" s="78"/>
      <c r="BC262" s="78"/>
      <c r="BD262" s="78"/>
      <c r="BE262" s="78"/>
      <c r="BF262" s="78"/>
      <c r="BG262" s="78"/>
      <c r="BH262" s="78"/>
      <c r="BI262" s="78"/>
      <c r="BJ262" s="78"/>
      <c r="BK262" s="78"/>
      <c r="BL262" s="78"/>
      <c r="BM262" s="78"/>
      <c r="BN262" s="78"/>
      <c r="BO262" s="78"/>
      <c r="BP262" s="78"/>
      <c r="BQ262" s="78"/>
      <c r="BR262" s="78"/>
      <c r="BS262" s="78"/>
      <c r="BT262" s="78"/>
      <c r="BU262" s="78"/>
      <c r="BV262" s="78"/>
      <c r="BW262" s="78"/>
      <c r="BX262" s="78"/>
      <c r="BY262" s="78"/>
      <c r="BZ262" s="78"/>
      <c r="CA262" s="78"/>
      <c r="CB262" s="78"/>
      <c r="CC262" s="78"/>
      <c r="CD262" s="78"/>
      <c r="CE262" s="78"/>
      <c r="CF262" s="78"/>
      <c r="CG262" s="78"/>
      <c r="CH262" s="78"/>
      <c r="CI262" s="78"/>
      <c r="CJ262" s="78"/>
      <c r="CK262" s="78"/>
      <c r="CL262" s="78"/>
      <c r="CM262" s="78"/>
      <c r="CN262" s="86" t="str">
        <f t="shared" si="3866"/>
        <v>InitUnitState('IC07',,,,,,,,,,)</v>
      </c>
      <c r="CO262" s="86" t="str">
        <f t="shared" si="3867"/>
        <v>InitUnitNormal('IC07',,,,,,,,,,)</v>
      </c>
      <c r="CP262" s="86" t="str">
        <f t="shared" si="3868"/>
        <v>InitUnitMagic('IC07',,,,,,,,,,)</v>
      </c>
      <c r="CQ262" s="86" t="str">
        <f t="shared" si="3869"/>
        <v>InitUnitAdd('IC07',,,,,,,,,,)</v>
      </c>
      <c r="CR262" s="86" t="str">
        <f t="shared" si="3566"/>
        <v>InitEquipData('IC07',,"",,,,,'','','','','','',"")</v>
      </c>
      <c r="CS262" s="86"/>
      <c r="CT262" s="86"/>
      <c r="CU262" s="88" t="str">
        <f t="shared" si="3638"/>
        <v>|n</v>
      </c>
      <c r="CV262" s="19"/>
      <c r="DB262" s="66" t="str">
        <f t="shared" si="3639"/>
        <v/>
      </c>
      <c r="DC262" s="66" t="str">
        <f t="shared" si="3640"/>
        <v/>
      </c>
      <c r="DD262" s="66" t="str">
        <f t="shared" si="3641"/>
        <v/>
      </c>
      <c r="DE262" s="66" t="str">
        <f t="shared" si="3642"/>
        <v/>
      </c>
      <c r="DF262" s="66" t="str">
        <f t="shared" si="3643"/>
        <v/>
      </c>
      <c r="DG262" s="66" t="str">
        <f t="shared" si="3644"/>
        <v/>
      </c>
      <c r="DH262" s="66" t="str">
        <f t="shared" si="3645"/>
        <v/>
      </c>
      <c r="DI262" s="66" t="str">
        <f t="shared" si="3646"/>
        <v/>
      </c>
      <c r="DJ262" s="66" t="str">
        <f t="shared" si="3647"/>
        <v/>
      </c>
      <c r="DK262" s="66" t="str">
        <f t="shared" si="3648"/>
        <v/>
      </c>
      <c r="DL262" s="66" t="str">
        <f t="shared" si="3649"/>
        <v/>
      </c>
      <c r="DM262" s="66" t="str">
        <f t="shared" si="3650"/>
        <v/>
      </c>
      <c r="DN262" s="66" t="str">
        <f t="shared" si="3651"/>
        <v/>
      </c>
      <c r="DO262" s="66" t="str">
        <f t="shared" si="3652"/>
        <v/>
      </c>
      <c r="DP262" s="66" t="str">
        <f t="shared" si="3653"/>
        <v/>
      </c>
      <c r="DQ262" s="66" t="str">
        <f t="shared" si="3654"/>
        <v/>
      </c>
      <c r="DR262" s="66" t="str">
        <f t="shared" si="3655"/>
        <v/>
      </c>
      <c r="DS262" s="66" t="str">
        <f t="shared" si="3656"/>
        <v/>
      </c>
      <c r="DT262" s="66" t="str">
        <f t="shared" si="3657"/>
        <v/>
      </c>
      <c r="DU262" s="66" t="str">
        <f t="shared" si="3658"/>
        <v/>
      </c>
      <c r="DV262" s="66" t="str">
        <f t="shared" si="3659"/>
        <v/>
      </c>
      <c r="DW262" s="66" t="str">
        <f t="shared" si="3660"/>
        <v/>
      </c>
      <c r="DX262" s="66" t="str">
        <f t="shared" si="3661"/>
        <v/>
      </c>
      <c r="DY262" s="66" t="str">
        <f t="shared" si="3662"/>
        <v/>
      </c>
      <c r="DZ262" s="66" t="str">
        <f t="shared" si="3663"/>
        <v/>
      </c>
      <c r="EA262" s="66" t="str">
        <f t="shared" si="3664"/>
        <v/>
      </c>
      <c r="EB262" s="66" t="str">
        <f t="shared" si="3665"/>
        <v/>
      </c>
      <c r="EC262" s="66" t="str">
        <f t="shared" si="3666"/>
        <v/>
      </c>
      <c r="ED262" s="66" t="str">
        <f t="shared" si="3667"/>
        <v/>
      </c>
      <c r="EE262" s="66" t="str">
        <f t="shared" si="3668"/>
        <v/>
      </c>
      <c r="EF262" s="66" t="str">
        <f t="shared" si="3669"/>
        <v/>
      </c>
      <c r="EG262" s="66" t="str">
        <f t="shared" si="3670"/>
        <v/>
      </c>
      <c r="EH262" s="66" t="str">
        <f t="shared" si="3671"/>
        <v/>
      </c>
      <c r="EI262" s="66" t="str">
        <f t="shared" si="3672"/>
        <v/>
      </c>
      <c r="EJ262" s="66" t="str">
        <f t="shared" si="3673"/>
        <v/>
      </c>
      <c r="EK262" s="66" t="str">
        <f t="shared" si="3674"/>
        <v/>
      </c>
      <c r="EL262" s="66" t="str">
        <f t="shared" si="3675"/>
        <v/>
      </c>
      <c r="EM262" s="66" t="str">
        <f t="shared" si="3676"/>
        <v/>
      </c>
      <c r="EN262" s="66" t="str">
        <f t="shared" si="3677"/>
        <v/>
      </c>
      <c r="EO262" s="66" t="str">
        <f t="shared" si="3678"/>
        <v/>
      </c>
      <c r="EP262" s="66" t="str">
        <f t="shared" si="3679"/>
        <v/>
      </c>
      <c r="EQ262" s="66" t="str">
        <f t="shared" si="3680"/>
        <v/>
      </c>
      <c r="ER262" s="66" t="str">
        <f t="shared" si="3681"/>
        <v/>
      </c>
      <c r="ES262" s="66" t="str">
        <f t="shared" si="3682"/>
        <v/>
      </c>
      <c r="ET262" s="66" t="str">
        <f t="shared" si="3683"/>
        <v/>
      </c>
      <c r="EU262" s="66" t="str">
        <f t="shared" si="3684"/>
        <v/>
      </c>
      <c r="EV262" s="66" t="str">
        <f t="shared" si="3685"/>
        <v/>
      </c>
      <c r="EW262" s="66" t="str">
        <f t="shared" si="3686"/>
        <v/>
      </c>
      <c r="EX262" s="66" t="str">
        <f t="shared" si="3687"/>
        <v/>
      </c>
      <c r="EY262" s="66" t="str">
        <f t="shared" si="3688"/>
        <v/>
      </c>
      <c r="EZ262" s="66" t="str">
        <f t="shared" si="3689"/>
        <v/>
      </c>
      <c r="FA262" s="66" t="str">
        <f t="shared" si="3690"/>
        <v/>
      </c>
      <c r="FB262" s="66" t="str">
        <f t="shared" si="3691"/>
        <v/>
      </c>
      <c r="FC262" s="66" t="str">
        <f t="shared" si="3692"/>
        <v/>
      </c>
      <c r="FD262" s="66" t="str">
        <f t="shared" si="3693"/>
        <v/>
      </c>
      <c r="FE262" s="66" t="str">
        <f t="shared" si="3694"/>
        <v/>
      </c>
      <c r="FF262" s="66" t="str">
        <f t="shared" si="3695"/>
        <v/>
      </c>
      <c r="FG262" s="66" t="str">
        <f t="shared" si="3696"/>
        <v/>
      </c>
      <c r="FH262" s="66" t="str">
        <f t="shared" si="3697"/>
        <v/>
      </c>
      <c r="FI262" s="66" t="str">
        <f t="shared" si="3698"/>
        <v/>
      </c>
      <c r="FJ262" s="66" t="str">
        <f t="shared" si="3699"/>
        <v/>
      </c>
      <c r="FK262" s="66" t="str">
        <f t="shared" si="3700"/>
        <v/>
      </c>
      <c r="FL262" s="66" t="str">
        <f t="shared" si="3701"/>
        <v/>
      </c>
      <c r="FM262" s="66" t="str">
        <f t="shared" si="3702"/>
        <v/>
      </c>
      <c r="FN262" s="66" t="str">
        <f t="shared" si="3703"/>
        <v/>
      </c>
      <c r="FO262" s="66" t="str">
        <f t="shared" si="3704"/>
        <v/>
      </c>
      <c r="FP262" s="66" t="str">
        <f t="shared" si="3705"/>
        <v/>
      </c>
      <c r="FQ262" s="66" t="str">
        <f t="shared" si="3706"/>
        <v/>
      </c>
      <c r="FR262" s="66" t="str">
        <f t="shared" si="3707"/>
        <v/>
      </c>
      <c r="FS262" s="66" t="str">
        <f t="shared" si="3708"/>
        <v/>
      </c>
    </row>
    <row r="263" spans="1:175" s="33" customFormat="1" ht="16.5">
      <c r="A263" s="114"/>
      <c r="B263" s="9" t="s">
        <v>811</v>
      </c>
      <c r="C263" s="9" t="s">
        <v>812</v>
      </c>
      <c r="D263" s="67"/>
      <c r="E263" s="68"/>
      <c r="F263" s="115"/>
      <c r="G263" s="116"/>
      <c r="H263" s="116"/>
      <c r="I263" s="116"/>
      <c r="J263" s="116"/>
      <c r="K263" s="116"/>
      <c r="L263" s="116"/>
      <c r="M263" s="116"/>
      <c r="N263" s="116"/>
      <c r="O263" s="116"/>
      <c r="P263" s="73"/>
      <c r="Q263" s="73"/>
      <c r="R263" s="73"/>
      <c r="S263" s="73"/>
      <c r="T263" s="80"/>
      <c r="U263" s="77"/>
      <c r="V263" s="78"/>
      <c r="W263" s="78"/>
      <c r="X263" s="78"/>
      <c r="Y263" s="78"/>
      <c r="Z263" s="78"/>
      <c r="AA263" s="78"/>
      <c r="AB263" s="78"/>
      <c r="AC263" s="78"/>
      <c r="AD263" s="78"/>
      <c r="AE263" s="78"/>
      <c r="AF263" s="78"/>
      <c r="AG263" s="78"/>
      <c r="AH263" s="78"/>
      <c r="AI263" s="78"/>
      <c r="AJ263" s="78"/>
      <c r="AK263" s="78"/>
      <c r="AL263" s="78"/>
      <c r="AM263" s="78"/>
      <c r="AN263" s="78"/>
      <c r="AO263" s="78"/>
      <c r="AP263" s="78"/>
      <c r="AQ263" s="78"/>
      <c r="AR263" s="84"/>
      <c r="AS263" s="84"/>
      <c r="AT263" s="78"/>
      <c r="AU263" s="78"/>
      <c r="AV263" s="78"/>
      <c r="AW263" s="78"/>
      <c r="AX263" s="78"/>
      <c r="AY263" s="78"/>
      <c r="AZ263" s="78"/>
      <c r="BA263" s="78"/>
      <c r="BB263" s="78"/>
      <c r="BC263" s="78"/>
      <c r="BD263" s="78"/>
      <c r="BE263" s="78"/>
      <c r="BF263" s="78"/>
      <c r="BG263" s="78"/>
      <c r="BH263" s="78"/>
      <c r="BI263" s="78"/>
      <c r="BJ263" s="78"/>
      <c r="BK263" s="78"/>
      <c r="BL263" s="78"/>
      <c r="BM263" s="78"/>
      <c r="BN263" s="78"/>
      <c r="BO263" s="78"/>
      <c r="BP263" s="78"/>
      <c r="BQ263" s="78"/>
      <c r="BR263" s="78"/>
      <c r="BS263" s="78"/>
      <c r="BT263" s="78"/>
      <c r="BU263" s="78"/>
      <c r="BV263" s="78"/>
      <c r="BW263" s="78"/>
      <c r="BX263" s="78"/>
      <c r="BY263" s="78"/>
      <c r="BZ263" s="78"/>
      <c r="CA263" s="78"/>
      <c r="CB263" s="78"/>
      <c r="CC263" s="78"/>
      <c r="CD263" s="78"/>
      <c r="CE263" s="78"/>
      <c r="CF263" s="78"/>
      <c r="CG263" s="78"/>
      <c r="CH263" s="78"/>
      <c r="CI263" s="78"/>
      <c r="CJ263" s="78"/>
      <c r="CK263" s="78"/>
      <c r="CL263" s="78"/>
      <c r="CM263" s="78"/>
      <c r="CN263" s="86" t="str">
        <f t="shared" si="3866"/>
        <v>InitUnitState('IC08',,,,,,,,,,)</v>
      </c>
      <c r="CO263" s="86" t="str">
        <f t="shared" si="3867"/>
        <v>InitUnitNormal('IC08',,,,,,,,,,)</v>
      </c>
      <c r="CP263" s="86" t="str">
        <f t="shared" si="3868"/>
        <v>InitUnitMagic('IC08',,,,,,,,,,)</v>
      </c>
      <c r="CQ263" s="86" t="str">
        <f t="shared" si="3869"/>
        <v>InitUnitAdd('IC08',,,,,,,,,,)</v>
      </c>
      <c r="CR263" s="86" t="str">
        <f t="shared" si="3566"/>
        <v>InitEquipData('IC08',,"",,,,,'','','','','','',"")</v>
      </c>
      <c r="CS263" s="86"/>
      <c r="CT263" s="86"/>
      <c r="CU263" s="88" t="str">
        <f t="shared" si="3638"/>
        <v>|n</v>
      </c>
      <c r="CV263" s="19"/>
      <c r="DB263" s="66" t="str">
        <f t="shared" si="3639"/>
        <v/>
      </c>
      <c r="DC263" s="66" t="str">
        <f t="shared" si="3640"/>
        <v/>
      </c>
      <c r="DD263" s="66" t="str">
        <f t="shared" si="3641"/>
        <v/>
      </c>
      <c r="DE263" s="66" t="str">
        <f t="shared" si="3642"/>
        <v/>
      </c>
      <c r="DF263" s="66" t="str">
        <f t="shared" si="3643"/>
        <v/>
      </c>
      <c r="DG263" s="66" t="str">
        <f t="shared" si="3644"/>
        <v/>
      </c>
      <c r="DH263" s="66" t="str">
        <f t="shared" si="3645"/>
        <v/>
      </c>
      <c r="DI263" s="66" t="str">
        <f t="shared" si="3646"/>
        <v/>
      </c>
      <c r="DJ263" s="66" t="str">
        <f t="shared" si="3647"/>
        <v/>
      </c>
      <c r="DK263" s="66" t="str">
        <f t="shared" si="3648"/>
        <v/>
      </c>
      <c r="DL263" s="66" t="str">
        <f t="shared" si="3649"/>
        <v/>
      </c>
      <c r="DM263" s="66" t="str">
        <f t="shared" si="3650"/>
        <v/>
      </c>
      <c r="DN263" s="66" t="str">
        <f t="shared" si="3651"/>
        <v/>
      </c>
      <c r="DO263" s="66" t="str">
        <f t="shared" si="3652"/>
        <v/>
      </c>
      <c r="DP263" s="66" t="str">
        <f t="shared" si="3653"/>
        <v/>
      </c>
      <c r="DQ263" s="66" t="str">
        <f t="shared" si="3654"/>
        <v/>
      </c>
      <c r="DR263" s="66" t="str">
        <f t="shared" si="3655"/>
        <v/>
      </c>
      <c r="DS263" s="66" t="str">
        <f t="shared" si="3656"/>
        <v/>
      </c>
      <c r="DT263" s="66" t="str">
        <f t="shared" si="3657"/>
        <v/>
      </c>
      <c r="DU263" s="66" t="str">
        <f t="shared" si="3658"/>
        <v/>
      </c>
      <c r="DV263" s="66" t="str">
        <f t="shared" si="3659"/>
        <v/>
      </c>
      <c r="DW263" s="66" t="str">
        <f t="shared" si="3660"/>
        <v/>
      </c>
      <c r="DX263" s="66" t="str">
        <f t="shared" si="3661"/>
        <v/>
      </c>
      <c r="DY263" s="66" t="str">
        <f t="shared" si="3662"/>
        <v/>
      </c>
      <c r="DZ263" s="66" t="str">
        <f t="shared" si="3663"/>
        <v/>
      </c>
      <c r="EA263" s="66" t="str">
        <f t="shared" si="3664"/>
        <v/>
      </c>
      <c r="EB263" s="66" t="str">
        <f t="shared" si="3665"/>
        <v/>
      </c>
      <c r="EC263" s="66" t="str">
        <f t="shared" si="3666"/>
        <v/>
      </c>
      <c r="ED263" s="66" t="str">
        <f t="shared" si="3667"/>
        <v/>
      </c>
      <c r="EE263" s="66" t="str">
        <f t="shared" si="3668"/>
        <v/>
      </c>
      <c r="EF263" s="66" t="str">
        <f t="shared" si="3669"/>
        <v/>
      </c>
      <c r="EG263" s="66" t="str">
        <f t="shared" si="3670"/>
        <v/>
      </c>
      <c r="EH263" s="66" t="str">
        <f t="shared" si="3671"/>
        <v/>
      </c>
      <c r="EI263" s="66" t="str">
        <f t="shared" si="3672"/>
        <v/>
      </c>
      <c r="EJ263" s="66" t="str">
        <f t="shared" si="3673"/>
        <v/>
      </c>
      <c r="EK263" s="66" t="str">
        <f t="shared" si="3674"/>
        <v/>
      </c>
      <c r="EL263" s="66" t="str">
        <f t="shared" si="3675"/>
        <v/>
      </c>
      <c r="EM263" s="66" t="str">
        <f t="shared" si="3676"/>
        <v/>
      </c>
      <c r="EN263" s="66" t="str">
        <f t="shared" si="3677"/>
        <v/>
      </c>
      <c r="EO263" s="66" t="str">
        <f t="shared" si="3678"/>
        <v/>
      </c>
      <c r="EP263" s="66" t="str">
        <f t="shared" si="3679"/>
        <v/>
      </c>
      <c r="EQ263" s="66" t="str">
        <f t="shared" si="3680"/>
        <v/>
      </c>
      <c r="ER263" s="66" t="str">
        <f t="shared" si="3681"/>
        <v/>
      </c>
      <c r="ES263" s="66" t="str">
        <f t="shared" si="3682"/>
        <v/>
      </c>
      <c r="ET263" s="66" t="str">
        <f t="shared" si="3683"/>
        <v/>
      </c>
      <c r="EU263" s="66" t="str">
        <f t="shared" si="3684"/>
        <v/>
      </c>
      <c r="EV263" s="66" t="str">
        <f t="shared" si="3685"/>
        <v/>
      </c>
      <c r="EW263" s="66" t="str">
        <f t="shared" si="3686"/>
        <v/>
      </c>
      <c r="EX263" s="66" t="str">
        <f t="shared" si="3687"/>
        <v/>
      </c>
      <c r="EY263" s="66" t="str">
        <f t="shared" si="3688"/>
        <v/>
      </c>
      <c r="EZ263" s="66" t="str">
        <f t="shared" si="3689"/>
        <v/>
      </c>
      <c r="FA263" s="66" t="str">
        <f t="shared" si="3690"/>
        <v/>
      </c>
      <c r="FB263" s="66" t="str">
        <f t="shared" si="3691"/>
        <v/>
      </c>
      <c r="FC263" s="66" t="str">
        <f t="shared" si="3692"/>
        <v/>
      </c>
      <c r="FD263" s="66" t="str">
        <f t="shared" si="3693"/>
        <v/>
      </c>
      <c r="FE263" s="66" t="str">
        <f t="shared" si="3694"/>
        <v/>
      </c>
      <c r="FF263" s="66" t="str">
        <f t="shared" si="3695"/>
        <v/>
      </c>
      <c r="FG263" s="66" t="str">
        <f t="shared" si="3696"/>
        <v/>
      </c>
      <c r="FH263" s="66" t="str">
        <f t="shared" si="3697"/>
        <v/>
      </c>
      <c r="FI263" s="66" t="str">
        <f t="shared" si="3698"/>
        <v/>
      </c>
      <c r="FJ263" s="66" t="str">
        <f t="shared" si="3699"/>
        <v/>
      </c>
      <c r="FK263" s="66" t="str">
        <f t="shared" si="3700"/>
        <v/>
      </c>
      <c r="FL263" s="66" t="str">
        <f t="shared" si="3701"/>
        <v/>
      </c>
      <c r="FM263" s="66" t="str">
        <f t="shared" si="3702"/>
        <v/>
      </c>
      <c r="FN263" s="66" t="str">
        <f t="shared" si="3703"/>
        <v/>
      </c>
      <c r="FO263" s="66" t="str">
        <f t="shared" si="3704"/>
        <v/>
      </c>
      <c r="FP263" s="66" t="str">
        <f t="shared" si="3705"/>
        <v/>
      </c>
      <c r="FQ263" s="66" t="str">
        <f t="shared" si="3706"/>
        <v/>
      </c>
      <c r="FR263" s="66" t="str">
        <f t="shared" si="3707"/>
        <v/>
      </c>
      <c r="FS263" s="66" t="str">
        <f t="shared" si="3708"/>
        <v/>
      </c>
    </row>
    <row r="264" spans="1:175" s="33" customFormat="1" ht="16.5">
      <c r="A264" s="114"/>
      <c r="B264" s="9" t="s">
        <v>813</v>
      </c>
      <c r="C264" s="9" t="s">
        <v>814</v>
      </c>
      <c r="D264" s="67"/>
      <c r="E264" s="68"/>
      <c r="F264" s="115"/>
      <c r="G264" s="116"/>
      <c r="H264" s="116"/>
      <c r="I264" s="116"/>
      <c r="J264" s="116"/>
      <c r="K264" s="116"/>
      <c r="L264" s="116"/>
      <c r="M264" s="116"/>
      <c r="N264" s="116"/>
      <c r="O264" s="116"/>
      <c r="P264" s="73"/>
      <c r="Q264" s="73"/>
      <c r="R264" s="73"/>
      <c r="S264" s="73"/>
      <c r="T264" s="80"/>
      <c r="U264" s="77"/>
      <c r="V264" s="78"/>
      <c r="W264" s="78"/>
      <c r="X264" s="78"/>
      <c r="Y264" s="78"/>
      <c r="Z264" s="78"/>
      <c r="AA264" s="78"/>
      <c r="AB264" s="78"/>
      <c r="AC264" s="78"/>
      <c r="AD264" s="78"/>
      <c r="AE264" s="78"/>
      <c r="AF264" s="78"/>
      <c r="AG264" s="78"/>
      <c r="AH264" s="78"/>
      <c r="AI264" s="78"/>
      <c r="AJ264" s="78"/>
      <c r="AK264" s="78"/>
      <c r="AL264" s="78"/>
      <c r="AM264" s="78"/>
      <c r="AN264" s="78"/>
      <c r="AO264" s="78"/>
      <c r="AP264" s="78"/>
      <c r="AQ264" s="78"/>
      <c r="AR264" s="84"/>
      <c r="AS264" s="84"/>
      <c r="AT264" s="78"/>
      <c r="AU264" s="78"/>
      <c r="AV264" s="78"/>
      <c r="AW264" s="78"/>
      <c r="AX264" s="78"/>
      <c r="AY264" s="78"/>
      <c r="AZ264" s="78"/>
      <c r="BA264" s="78"/>
      <c r="BB264" s="78"/>
      <c r="BC264" s="78"/>
      <c r="BD264" s="78"/>
      <c r="BE264" s="78"/>
      <c r="BF264" s="78"/>
      <c r="BG264" s="78"/>
      <c r="BH264" s="78"/>
      <c r="BI264" s="78"/>
      <c r="BJ264" s="78"/>
      <c r="BK264" s="78"/>
      <c r="BL264" s="78"/>
      <c r="BM264" s="78"/>
      <c r="BN264" s="78"/>
      <c r="BO264" s="78"/>
      <c r="BP264" s="78"/>
      <c r="BQ264" s="78"/>
      <c r="BR264" s="78"/>
      <c r="BS264" s="78"/>
      <c r="BT264" s="78"/>
      <c r="BU264" s="78"/>
      <c r="BV264" s="78"/>
      <c r="BW264" s="78"/>
      <c r="BX264" s="78"/>
      <c r="BY264" s="78"/>
      <c r="BZ264" s="78"/>
      <c r="CA264" s="78"/>
      <c r="CB264" s="78"/>
      <c r="CC264" s="78"/>
      <c r="CD264" s="78"/>
      <c r="CE264" s="78"/>
      <c r="CF264" s="78"/>
      <c r="CG264" s="78"/>
      <c r="CH264" s="78"/>
      <c r="CI264" s="78"/>
      <c r="CJ264" s="78"/>
      <c r="CK264" s="78"/>
      <c r="CL264" s="78"/>
      <c r="CM264" s="78"/>
      <c r="CN264" s="86" t="str">
        <f t="shared" si="3866"/>
        <v>InitUnitState('IC09',,,,,,,,,,)</v>
      </c>
      <c r="CO264" s="86" t="str">
        <f t="shared" si="3867"/>
        <v>InitUnitNormal('IC09',,,,,,,,,,)</v>
      </c>
      <c r="CP264" s="86" t="str">
        <f t="shared" si="3868"/>
        <v>InitUnitMagic('IC09',,,,,,,,,,)</v>
      </c>
      <c r="CQ264" s="86" t="str">
        <f t="shared" si="3869"/>
        <v>InitUnitAdd('IC09',,,,,,,,,,)</v>
      </c>
      <c r="CR264" s="86" t="str">
        <f t="shared" si="3566"/>
        <v>InitEquipData('IC09',,"",,,,,'','','','','','',"")</v>
      </c>
      <c r="CS264" s="86"/>
      <c r="CT264" s="86"/>
      <c r="CU264" s="88" t="str">
        <f t="shared" si="3638"/>
        <v>|n</v>
      </c>
      <c r="CV264" s="19"/>
      <c r="DB264" s="66" t="str">
        <f t="shared" si="3639"/>
        <v/>
      </c>
      <c r="DC264" s="66" t="str">
        <f t="shared" si="3640"/>
        <v/>
      </c>
      <c r="DD264" s="66" t="str">
        <f t="shared" si="3641"/>
        <v/>
      </c>
      <c r="DE264" s="66" t="str">
        <f t="shared" si="3642"/>
        <v/>
      </c>
      <c r="DF264" s="66" t="str">
        <f t="shared" si="3643"/>
        <v/>
      </c>
      <c r="DG264" s="66" t="str">
        <f t="shared" si="3644"/>
        <v/>
      </c>
      <c r="DH264" s="66" t="str">
        <f t="shared" si="3645"/>
        <v/>
      </c>
      <c r="DI264" s="66" t="str">
        <f t="shared" si="3646"/>
        <v/>
      </c>
      <c r="DJ264" s="66" t="str">
        <f t="shared" si="3647"/>
        <v/>
      </c>
      <c r="DK264" s="66" t="str">
        <f t="shared" si="3648"/>
        <v/>
      </c>
      <c r="DL264" s="66" t="str">
        <f t="shared" si="3649"/>
        <v/>
      </c>
      <c r="DM264" s="66" t="str">
        <f t="shared" si="3650"/>
        <v/>
      </c>
      <c r="DN264" s="66" t="str">
        <f t="shared" si="3651"/>
        <v/>
      </c>
      <c r="DO264" s="66" t="str">
        <f t="shared" si="3652"/>
        <v/>
      </c>
      <c r="DP264" s="66" t="str">
        <f t="shared" si="3653"/>
        <v/>
      </c>
      <c r="DQ264" s="66" t="str">
        <f t="shared" si="3654"/>
        <v/>
      </c>
      <c r="DR264" s="66" t="str">
        <f t="shared" si="3655"/>
        <v/>
      </c>
      <c r="DS264" s="66" t="str">
        <f t="shared" si="3656"/>
        <v/>
      </c>
      <c r="DT264" s="66" t="str">
        <f t="shared" si="3657"/>
        <v/>
      </c>
      <c r="DU264" s="66" t="str">
        <f t="shared" si="3658"/>
        <v/>
      </c>
      <c r="DV264" s="66" t="str">
        <f t="shared" si="3659"/>
        <v/>
      </c>
      <c r="DW264" s="66" t="str">
        <f t="shared" si="3660"/>
        <v/>
      </c>
      <c r="DX264" s="66" t="str">
        <f t="shared" si="3661"/>
        <v/>
      </c>
      <c r="DY264" s="66" t="str">
        <f t="shared" si="3662"/>
        <v/>
      </c>
      <c r="DZ264" s="66" t="str">
        <f t="shared" si="3663"/>
        <v/>
      </c>
      <c r="EA264" s="66" t="str">
        <f t="shared" si="3664"/>
        <v/>
      </c>
      <c r="EB264" s="66" t="str">
        <f t="shared" si="3665"/>
        <v/>
      </c>
      <c r="EC264" s="66" t="str">
        <f t="shared" si="3666"/>
        <v/>
      </c>
      <c r="ED264" s="66" t="str">
        <f t="shared" si="3667"/>
        <v/>
      </c>
      <c r="EE264" s="66" t="str">
        <f t="shared" si="3668"/>
        <v/>
      </c>
      <c r="EF264" s="66" t="str">
        <f t="shared" si="3669"/>
        <v/>
      </c>
      <c r="EG264" s="66" t="str">
        <f t="shared" si="3670"/>
        <v/>
      </c>
      <c r="EH264" s="66" t="str">
        <f t="shared" si="3671"/>
        <v/>
      </c>
      <c r="EI264" s="66" t="str">
        <f t="shared" si="3672"/>
        <v/>
      </c>
      <c r="EJ264" s="66" t="str">
        <f t="shared" si="3673"/>
        <v/>
      </c>
      <c r="EK264" s="66" t="str">
        <f t="shared" si="3674"/>
        <v/>
      </c>
      <c r="EL264" s="66" t="str">
        <f t="shared" si="3675"/>
        <v/>
      </c>
      <c r="EM264" s="66" t="str">
        <f t="shared" si="3676"/>
        <v/>
      </c>
      <c r="EN264" s="66" t="str">
        <f t="shared" si="3677"/>
        <v/>
      </c>
      <c r="EO264" s="66" t="str">
        <f t="shared" si="3678"/>
        <v/>
      </c>
      <c r="EP264" s="66" t="str">
        <f t="shared" si="3679"/>
        <v/>
      </c>
      <c r="EQ264" s="66" t="str">
        <f t="shared" si="3680"/>
        <v/>
      </c>
      <c r="ER264" s="66" t="str">
        <f t="shared" si="3681"/>
        <v/>
      </c>
      <c r="ES264" s="66" t="str">
        <f t="shared" si="3682"/>
        <v/>
      </c>
      <c r="ET264" s="66" t="str">
        <f t="shared" si="3683"/>
        <v/>
      </c>
      <c r="EU264" s="66" t="str">
        <f t="shared" si="3684"/>
        <v/>
      </c>
      <c r="EV264" s="66" t="str">
        <f t="shared" si="3685"/>
        <v/>
      </c>
      <c r="EW264" s="66" t="str">
        <f t="shared" si="3686"/>
        <v/>
      </c>
      <c r="EX264" s="66" t="str">
        <f t="shared" si="3687"/>
        <v/>
      </c>
      <c r="EY264" s="66" t="str">
        <f t="shared" si="3688"/>
        <v/>
      </c>
      <c r="EZ264" s="66" t="str">
        <f t="shared" si="3689"/>
        <v/>
      </c>
      <c r="FA264" s="66" t="str">
        <f t="shared" si="3690"/>
        <v/>
      </c>
      <c r="FB264" s="66" t="str">
        <f t="shared" si="3691"/>
        <v/>
      </c>
      <c r="FC264" s="66" t="str">
        <f t="shared" si="3692"/>
        <v/>
      </c>
      <c r="FD264" s="66" t="str">
        <f t="shared" si="3693"/>
        <v/>
      </c>
      <c r="FE264" s="66" t="str">
        <f t="shared" si="3694"/>
        <v/>
      </c>
      <c r="FF264" s="66" t="str">
        <f t="shared" si="3695"/>
        <v/>
      </c>
      <c r="FG264" s="66" t="str">
        <f t="shared" si="3696"/>
        <v/>
      </c>
      <c r="FH264" s="66" t="str">
        <f t="shared" si="3697"/>
        <v/>
      </c>
      <c r="FI264" s="66" t="str">
        <f t="shared" si="3698"/>
        <v/>
      </c>
      <c r="FJ264" s="66" t="str">
        <f t="shared" si="3699"/>
        <v/>
      </c>
      <c r="FK264" s="66" t="str">
        <f t="shared" si="3700"/>
        <v/>
      </c>
      <c r="FL264" s="66" t="str">
        <f t="shared" si="3701"/>
        <v/>
      </c>
      <c r="FM264" s="66" t="str">
        <f t="shared" si="3702"/>
        <v/>
      </c>
      <c r="FN264" s="66" t="str">
        <f t="shared" si="3703"/>
        <v/>
      </c>
      <c r="FO264" s="66" t="str">
        <f t="shared" si="3704"/>
        <v/>
      </c>
      <c r="FP264" s="66" t="str">
        <f t="shared" si="3705"/>
        <v/>
      </c>
      <c r="FQ264" s="66" t="str">
        <f t="shared" si="3706"/>
        <v/>
      </c>
      <c r="FR264" s="66" t="str">
        <f t="shared" si="3707"/>
        <v/>
      </c>
      <c r="FS264" s="66" t="str">
        <f t="shared" si="3708"/>
        <v/>
      </c>
    </row>
    <row r="265" spans="1:175" s="33" customFormat="1" ht="16.5">
      <c r="A265" s="114"/>
      <c r="B265" s="9" t="s">
        <v>815</v>
      </c>
      <c r="C265" s="9" t="s">
        <v>816</v>
      </c>
      <c r="D265" s="67"/>
      <c r="E265" s="68"/>
      <c r="F265" s="115"/>
      <c r="G265" s="116"/>
      <c r="H265" s="116"/>
      <c r="I265" s="116"/>
      <c r="J265" s="116"/>
      <c r="K265" s="116"/>
      <c r="L265" s="116"/>
      <c r="M265" s="116"/>
      <c r="N265" s="116"/>
      <c r="O265" s="116"/>
      <c r="P265" s="73"/>
      <c r="Q265" s="73"/>
      <c r="R265" s="73"/>
      <c r="S265" s="73"/>
      <c r="T265" s="80"/>
      <c r="U265" s="77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78"/>
      <c r="AG265" s="78"/>
      <c r="AH265" s="78"/>
      <c r="AI265" s="78"/>
      <c r="AJ265" s="78"/>
      <c r="AK265" s="78"/>
      <c r="AL265" s="78"/>
      <c r="AM265" s="78"/>
      <c r="AN265" s="78"/>
      <c r="AO265" s="78"/>
      <c r="AP265" s="78"/>
      <c r="AQ265" s="78"/>
      <c r="AR265" s="84"/>
      <c r="AS265" s="84"/>
      <c r="AT265" s="78"/>
      <c r="AU265" s="78"/>
      <c r="AV265" s="78"/>
      <c r="AW265" s="78"/>
      <c r="AX265" s="78"/>
      <c r="AY265" s="78"/>
      <c r="AZ265" s="78"/>
      <c r="BA265" s="78"/>
      <c r="BB265" s="78"/>
      <c r="BC265" s="78"/>
      <c r="BD265" s="78"/>
      <c r="BE265" s="78"/>
      <c r="BF265" s="78"/>
      <c r="BG265" s="78"/>
      <c r="BH265" s="78"/>
      <c r="BI265" s="78"/>
      <c r="BJ265" s="78"/>
      <c r="BK265" s="78"/>
      <c r="BL265" s="78"/>
      <c r="BM265" s="78"/>
      <c r="BN265" s="78"/>
      <c r="BO265" s="78"/>
      <c r="BP265" s="78"/>
      <c r="BQ265" s="78"/>
      <c r="BR265" s="78"/>
      <c r="BS265" s="78"/>
      <c r="BT265" s="78"/>
      <c r="BU265" s="78"/>
      <c r="BV265" s="78"/>
      <c r="BW265" s="78"/>
      <c r="BX265" s="78"/>
      <c r="BY265" s="78"/>
      <c r="BZ265" s="78"/>
      <c r="CA265" s="78"/>
      <c r="CB265" s="78"/>
      <c r="CC265" s="78"/>
      <c r="CD265" s="78"/>
      <c r="CE265" s="78"/>
      <c r="CF265" s="78"/>
      <c r="CG265" s="78"/>
      <c r="CH265" s="78"/>
      <c r="CI265" s="78"/>
      <c r="CJ265" s="78"/>
      <c r="CK265" s="78"/>
      <c r="CL265" s="78"/>
      <c r="CM265" s="78"/>
      <c r="CN265" s="86" t="str">
        <f t="shared" si="3866"/>
        <v>InitUnitState('IC10',,,,,,,,,,)</v>
      </c>
      <c r="CO265" s="86" t="str">
        <f t="shared" si="3867"/>
        <v>InitUnitNormal('IC10',,,,,,,,,,)</v>
      </c>
      <c r="CP265" s="86" t="str">
        <f t="shared" si="3868"/>
        <v>InitUnitMagic('IC10',,,,,,,,,,)</v>
      </c>
      <c r="CQ265" s="86" t="str">
        <f t="shared" si="3869"/>
        <v>InitUnitAdd('IC10',,,,,,,,,,)</v>
      </c>
      <c r="CR265" s="86" t="str">
        <f t="shared" si="3566"/>
        <v>InitEquipData('IC10',,"",,,,,'','','','','','',"")</v>
      </c>
      <c r="CS265" s="86"/>
      <c r="CT265" s="86"/>
      <c r="CU265" s="88" t="str">
        <f t="shared" si="3638"/>
        <v>|n</v>
      </c>
      <c r="CV265" s="19"/>
      <c r="DB265" s="66" t="str">
        <f t="shared" si="3639"/>
        <v/>
      </c>
      <c r="DC265" s="66" t="str">
        <f t="shared" si="3640"/>
        <v/>
      </c>
      <c r="DD265" s="66" t="str">
        <f t="shared" si="3641"/>
        <v/>
      </c>
      <c r="DE265" s="66" t="str">
        <f t="shared" si="3642"/>
        <v/>
      </c>
      <c r="DF265" s="66" t="str">
        <f t="shared" si="3643"/>
        <v/>
      </c>
      <c r="DG265" s="66" t="str">
        <f t="shared" si="3644"/>
        <v/>
      </c>
      <c r="DH265" s="66" t="str">
        <f t="shared" si="3645"/>
        <v/>
      </c>
      <c r="DI265" s="66" t="str">
        <f t="shared" si="3646"/>
        <v/>
      </c>
      <c r="DJ265" s="66" t="str">
        <f t="shared" si="3647"/>
        <v/>
      </c>
      <c r="DK265" s="66" t="str">
        <f t="shared" si="3648"/>
        <v/>
      </c>
      <c r="DL265" s="66" t="str">
        <f t="shared" si="3649"/>
        <v/>
      </c>
      <c r="DM265" s="66" t="str">
        <f t="shared" si="3650"/>
        <v/>
      </c>
      <c r="DN265" s="66" t="str">
        <f t="shared" si="3651"/>
        <v/>
      </c>
      <c r="DO265" s="66" t="str">
        <f t="shared" si="3652"/>
        <v/>
      </c>
      <c r="DP265" s="66" t="str">
        <f t="shared" si="3653"/>
        <v/>
      </c>
      <c r="DQ265" s="66" t="str">
        <f t="shared" si="3654"/>
        <v/>
      </c>
      <c r="DR265" s="66" t="str">
        <f t="shared" si="3655"/>
        <v/>
      </c>
      <c r="DS265" s="66" t="str">
        <f t="shared" si="3656"/>
        <v/>
      </c>
      <c r="DT265" s="66" t="str">
        <f t="shared" si="3657"/>
        <v/>
      </c>
      <c r="DU265" s="66" t="str">
        <f t="shared" si="3658"/>
        <v/>
      </c>
      <c r="DV265" s="66" t="str">
        <f t="shared" si="3659"/>
        <v/>
      </c>
      <c r="DW265" s="66" t="str">
        <f t="shared" si="3660"/>
        <v/>
      </c>
      <c r="DX265" s="66" t="str">
        <f t="shared" si="3661"/>
        <v/>
      </c>
      <c r="DY265" s="66" t="str">
        <f t="shared" si="3662"/>
        <v/>
      </c>
      <c r="DZ265" s="66" t="str">
        <f t="shared" si="3663"/>
        <v/>
      </c>
      <c r="EA265" s="66" t="str">
        <f t="shared" si="3664"/>
        <v/>
      </c>
      <c r="EB265" s="66" t="str">
        <f t="shared" si="3665"/>
        <v/>
      </c>
      <c r="EC265" s="66" t="str">
        <f t="shared" si="3666"/>
        <v/>
      </c>
      <c r="ED265" s="66" t="str">
        <f t="shared" si="3667"/>
        <v/>
      </c>
      <c r="EE265" s="66" t="str">
        <f t="shared" si="3668"/>
        <v/>
      </c>
      <c r="EF265" s="66" t="str">
        <f t="shared" si="3669"/>
        <v/>
      </c>
      <c r="EG265" s="66" t="str">
        <f t="shared" si="3670"/>
        <v/>
      </c>
      <c r="EH265" s="66" t="str">
        <f t="shared" si="3671"/>
        <v/>
      </c>
      <c r="EI265" s="66" t="str">
        <f t="shared" si="3672"/>
        <v/>
      </c>
      <c r="EJ265" s="66" t="str">
        <f t="shared" si="3673"/>
        <v/>
      </c>
      <c r="EK265" s="66" t="str">
        <f t="shared" si="3674"/>
        <v/>
      </c>
      <c r="EL265" s="66" t="str">
        <f t="shared" si="3675"/>
        <v/>
      </c>
      <c r="EM265" s="66" t="str">
        <f t="shared" si="3676"/>
        <v/>
      </c>
      <c r="EN265" s="66" t="str">
        <f t="shared" si="3677"/>
        <v/>
      </c>
      <c r="EO265" s="66" t="str">
        <f t="shared" si="3678"/>
        <v/>
      </c>
      <c r="EP265" s="66" t="str">
        <f t="shared" si="3679"/>
        <v/>
      </c>
      <c r="EQ265" s="66" t="str">
        <f t="shared" si="3680"/>
        <v/>
      </c>
      <c r="ER265" s="66" t="str">
        <f t="shared" si="3681"/>
        <v/>
      </c>
      <c r="ES265" s="66" t="str">
        <f t="shared" si="3682"/>
        <v/>
      </c>
      <c r="ET265" s="66" t="str">
        <f t="shared" si="3683"/>
        <v/>
      </c>
      <c r="EU265" s="66" t="str">
        <f t="shared" si="3684"/>
        <v/>
      </c>
      <c r="EV265" s="66" t="str">
        <f t="shared" si="3685"/>
        <v/>
      </c>
      <c r="EW265" s="66" t="str">
        <f t="shared" si="3686"/>
        <v/>
      </c>
      <c r="EX265" s="66" t="str">
        <f t="shared" si="3687"/>
        <v/>
      </c>
      <c r="EY265" s="66" t="str">
        <f t="shared" si="3688"/>
        <v/>
      </c>
      <c r="EZ265" s="66" t="str">
        <f t="shared" si="3689"/>
        <v/>
      </c>
      <c r="FA265" s="66" t="str">
        <f t="shared" si="3690"/>
        <v/>
      </c>
      <c r="FB265" s="66" t="str">
        <f t="shared" si="3691"/>
        <v/>
      </c>
      <c r="FC265" s="66" t="str">
        <f t="shared" si="3692"/>
        <v/>
      </c>
      <c r="FD265" s="66" t="str">
        <f t="shared" si="3693"/>
        <v/>
      </c>
      <c r="FE265" s="66" t="str">
        <f t="shared" si="3694"/>
        <v/>
      </c>
      <c r="FF265" s="66" t="str">
        <f t="shared" si="3695"/>
        <v/>
      </c>
      <c r="FG265" s="66" t="str">
        <f t="shared" si="3696"/>
        <v/>
      </c>
      <c r="FH265" s="66" t="str">
        <f t="shared" si="3697"/>
        <v/>
      </c>
      <c r="FI265" s="66" t="str">
        <f t="shared" si="3698"/>
        <v/>
      </c>
      <c r="FJ265" s="66" t="str">
        <f t="shared" si="3699"/>
        <v/>
      </c>
      <c r="FK265" s="66" t="str">
        <f t="shared" si="3700"/>
        <v/>
      </c>
      <c r="FL265" s="66" t="str">
        <f t="shared" si="3701"/>
        <v/>
      </c>
      <c r="FM265" s="66" t="str">
        <f t="shared" si="3702"/>
        <v/>
      </c>
      <c r="FN265" s="66" t="str">
        <f t="shared" si="3703"/>
        <v/>
      </c>
      <c r="FO265" s="66" t="str">
        <f t="shared" si="3704"/>
        <v/>
      </c>
      <c r="FP265" s="66" t="str">
        <f t="shared" si="3705"/>
        <v/>
      </c>
      <c r="FQ265" s="66" t="str">
        <f t="shared" si="3706"/>
        <v/>
      </c>
      <c r="FR265" s="66" t="str">
        <f t="shared" si="3707"/>
        <v/>
      </c>
      <c r="FS265" s="66" t="str">
        <f t="shared" si="3708"/>
        <v/>
      </c>
    </row>
    <row r="266" spans="1:175" ht="16.5">
      <c r="A266" s="2"/>
      <c r="B266" s="9" t="s">
        <v>817</v>
      </c>
      <c r="C266" s="9" t="s">
        <v>818</v>
      </c>
      <c r="E266" s="122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92"/>
      <c r="Q266" s="92"/>
      <c r="R266" s="92"/>
      <c r="S266" s="92"/>
      <c r="T266" s="124"/>
      <c r="U266" s="77"/>
      <c r="CU266" s="88" t="str">
        <f t="shared" si="3638"/>
        <v>|n</v>
      </c>
      <c r="CW266" s="33"/>
      <c r="CX266" s="33"/>
      <c r="CY266" s="33"/>
      <c r="CZ266" s="33"/>
      <c r="DA266" s="33"/>
      <c r="DB266" s="66" t="str">
        <f t="shared" si="3639"/>
        <v/>
      </c>
      <c r="DC266" s="66" t="str">
        <f t="shared" si="3640"/>
        <v/>
      </c>
      <c r="DD266" s="66" t="str">
        <f t="shared" si="3641"/>
        <v/>
      </c>
      <c r="DE266" s="66" t="str">
        <f t="shared" si="3642"/>
        <v/>
      </c>
      <c r="DF266" s="66" t="str">
        <f t="shared" si="3643"/>
        <v/>
      </c>
      <c r="DG266" s="66" t="str">
        <f t="shared" si="3644"/>
        <v/>
      </c>
      <c r="DH266" s="66" t="str">
        <f t="shared" si="3645"/>
        <v/>
      </c>
      <c r="DI266" s="66" t="str">
        <f t="shared" si="3646"/>
        <v/>
      </c>
      <c r="DJ266" s="66" t="str">
        <f t="shared" si="3647"/>
        <v/>
      </c>
      <c r="DK266" s="66" t="str">
        <f t="shared" si="3648"/>
        <v/>
      </c>
      <c r="DL266" s="66" t="str">
        <f t="shared" si="3649"/>
        <v/>
      </c>
      <c r="DM266" s="66" t="str">
        <f t="shared" si="3650"/>
        <v/>
      </c>
      <c r="DN266" s="66" t="str">
        <f t="shared" si="3651"/>
        <v/>
      </c>
      <c r="DO266" s="66" t="str">
        <f t="shared" si="3652"/>
        <v/>
      </c>
      <c r="DP266" s="66" t="str">
        <f t="shared" si="3653"/>
        <v/>
      </c>
      <c r="DQ266" s="66" t="str">
        <f t="shared" si="3654"/>
        <v/>
      </c>
      <c r="DR266" s="66" t="str">
        <f t="shared" si="3655"/>
        <v/>
      </c>
      <c r="DS266" s="66" t="str">
        <f t="shared" si="3656"/>
        <v/>
      </c>
      <c r="DT266" s="66" t="str">
        <f t="shared" si="3657"/>
        <v/>
      </c>
      <c r="DU266" s="66" t="str">
        <f t="shared" si="3658"/>
        <v/>
      </c>
      <c r="DV266" s="66" t="str">
        <f t="shared" si="3659"/>
        <v/>
      </c>
      <c r="DW266" s="66" t="str">
        <f t="shared" si="3660"/>
        <v/>
      </c>
      <c r="DX266" s="66" t="str">
        <f t="shared" si="3661"/>
        <v/>
      </c>
      <c r="DY266" s="66" t="str">
        <f t="shared" si="3662"/>
        <v/>
      </c>
      <c r="DZ266" s="66" t="str">
        <f t="shared" si="3663"/>
        <v/>
      </c>
      <c r="EA266" s="66" t="str">
        <f t="shared" si="3664"/>
        <v/>
      </c>
      <c r="EB266" s="66" t="str">
        <f t="shared" si="3665"/>
        <v/>
      </c>
      <c r="EC266" s="66" t="str">
        <f t="shared" si="3666"/>
        <v/>
      </c>
      <c r="ED266" s="66" t="str">
        <f t="shared" si="3667"/>
        <v/>
      </c>
      <c r="EE266" s="66" t="str">
        <f t="shared" si="3668"/>
        <v/>
      </c>
      <c r="EF266" s="66" t="str">
        <f t="shared" si="3669"/>
        <v/>
      </c>
      <c r="EG266" s="66" t="str">
        <f t="shared" si="3670"/>
        <v/>
      </c>
      <c r="EH266" s="66" t="str">
        <f t="shared" si="3671"/>
        <v/>
      </c>
      <c r="EI266" s="66" t="str">
        <f t="shared" si="3672"/>
        <v/>
      </c>
      <c r="EJ266" s="66" t="str">
        <f t="shared" si="3673"/>
        <v/>
      </c>
      <c r="EK266" s="66" t="str">
        <f t="shared" si="3674"/>
        <v/>
      </c>
      <c r="EL266" s="66" t="str">
        <f t="shared" si="3675"/>
        <v/>
      </c>
      <c r="EM266" s="66" t="str">
        <f t="shared" si="3676"/>
        <v/>
      </c>
      <c r="EN266" s="66" t="str">
        <f t="shared" si="3677"/>
        <v/>
      </c>
      <c r="EO266" s="66" t="str">
        <f t="shared" si="3678"/>
        <v/>
      </c>
      <c r="EP266" s="66" t="str">
        <f t="shared" si="3679"/>
        <v/>
      </c>
      <c r="EQ266" s="66" t="str">
        <f t="shared" si="3680"/>
        <v/>
      </c>
      <c r="ER266" s="66" t="str">
        <f t="shared" si="3681"/>
        <v/>
      </c>
      <c r="ES266" s="66" t="str">
        <f t="shared" si="3682"/>
        <v/>
      </c>
      <c r="ET266" s="66" t="str">
        <f t="shared" si="3683"/>
        <v/>
      </c>
      <c r="EU266" s="66" t="str">
        <f t="shared" si="3684"/>
        <v/>
      </c>
      <c r="EV266" s="66" t="str">
        <f t="shared" si="3685"/>
        <v/>
      </c>
      <c r="EW266" s="66" t="str">
        <f t="shared" si="3686"/>
        <v/>
      </c>
      <c r="EX266" s="66" t="str">
        <f t="shared" si="3687"/>
        <v/>
      </c>
      <c r="EY266" s="66" t="str">
        <f t="shared" si="3688"/>
        <v/>
      </c>
      <c r="EZ266" s="66" t="str">
        <f t="shared" si="3689"/>
        <v/>
      </c>
      <c r="FA266" s="66" t="str">
        <f t="shared" si="3690"/>
        <v/>
      </c>
      <c r="FB266" s="66" t="str">
        <f t="shared" si="3691"/>
        <v/>
      </c>
      <c r="FC266" s="66" t="str">
        <f t="shared" si="3692"/>
        <v/>
      </c>
      <c r="FD266" s="66" t="str">
        <f t="shared" si="3693"/>
        <v/>
      </c>
      <c r="FE266" s="66" t="str">
        <f t="shared" si="3694"/>
        <v/>
      </c>
      <c r="FF266" s="66" t="str">
        <f t="shared" si="3695"/>
        <v/>
      </c>
      <c r="FG266" s="66" t="str">
        <f t="shared" si="3696"/>
        <v/>
      </c>
      <c r="FH266" s="66" t="str">
        <f t="shared" si="3697"/>
        <v/>
      </c>
      <c r="FI266" s="66" t="str">
        <f t="shared" si="3698"/>
        <v/>
      </c>
      <c r="FJ266" s="66" t="str">
        <f t="shared" si="3699"/>
        <v/>
      </c>
      <c r="FK266" s="66" t="str">
        <f t="shared" si="3700"/>
        <v/>
      </c>
      <c r="FL266" s="66" t="str">
        <f t="shared" si="3701"/>
        <v/>
      </c>
      <c r="FM266" s="66" t="str">
        <f t="shared" si="3702"/>
        <v/>
      </c>
      <c r="FN266" s="66" t="str">
        <f t="shared" si="3703"/>
        <v/>
      </c>
      <c r="FO266" s="66" t="str">
        <f t="shared" si="3704"/>
        <v/>
      </c>
      <c r="FP266" s="66" t="str">
        <f t="shared" si="3705"/>
        <v/>
      </c>
      <c r="FQ266" s="66" t="str">
        <f t="shared" si="3706"/>
        <v/>
      </c>
      <c r="FR266" s="66" t="str">
        <f t="shared" si="3707"/>
        <v/>
      </c>
      <c r="FS266" s="66" t="str">
        <f t="shared" si="3708"/>
        <v/>
      </c>
    </row>
    <row r="267" spans="1:175" ht="16.5">
      <c r="A267" s="2"/>
      <c r="B267" s="1"/>
      <c r="C267" s="2"/>
      <c r="E267" s="122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92"/>
      <c r="Q267" s="92"/>
      <c r="R267" s="92"/>
      <c r="S267" s="92"/>
      <c r="T267" s="124"/>
      <c r="U267" s="77"/>
      <c r="CU267" s="88" t="str">
        <f t="shared" si="3638"/>
        <v>|n</v>
      </c>
      <c r="CW267" s="33"/>
      <c r="CX267" s="33"/>
      <c r="CY267" s="33"/>
      <c r="CZ267" s="33"/>
      <c r="DA267" s="33"/>
      <c r="DB267" s="66" t="str">
        <f t="shared" si="3639"/>
        <v/>
      </c>
      <c r="DC267" s="66" t="str">
        <f t="shared" si="3640"/>
        <v/>
      </c>
      <c r="DD267" s="66" t="str">
        <f t="shared" si="3641"/>
        <v/>
      </c>
      <c r="DE267" s="66" t="str">
        <f t="shared" si="3642"/>
        <v/>
      </c>
      <c r="DF267" s="66" t="str">
        <f t="shared" si="3643"/>
        <v/>
      </c>
      <c r="DG267" s="66" t="str">
        <f t="shared" si="3644"/>
        <v/>
      </c>
      <c r="DH267" s="66" t="str">
        <f t="shared" si="3645"/>
        <v/>
      </c>
      <c r="DI267" s="66" t="str">
        <f t="shared" si="3646"/>
        <v/>
      </c>
      <c r="DJ267" s="66" t="str">
        <f t="shared" si="3647"/>
        <v/>
      </c>
      <c r="DK267" s="66" t="str">
        <f t="shared" si="3648"/>
        <v/>
      </c>
      <c r="DL267" s="66" t="str">
        <f t="shared" si="3649"/>
        <v/>
      </c>
      <c r="DM267" s="66" t="str">
        <f t="shared" si="3650"/>
        <v/>
      </c>
      <c r="DN267" s="66" t="str">
        <f t="shared" si="3651"/>
        <v/>
      </c>
      <c r="DO267" s="66" t="str">
        <f t="shared" si="3652"/>
        <v/>
      </c>
      <c r="DP267" s="66" t="str">
        <f t="shared" si="3653"/>
        <v/>
      </c>
      <c r="DQ267" s="66" t="str">
        <f t="shared" si="3654"/>
        <v/>
      </c>
      <c r="DR267" s="66" t="str">
        <f t="shared" si="3655"/>
        <v/>
      </c>
      <c r="DS267" s="66" t="str">
        <f t="shared" si="3656"/>
        <v/>
      </c>
      <c r="DT267" s="66" t="str">
        <f t="shared" si="3657"/>
        <v/>
      </c>
      <c r="DU267" s="66" t="str">
        <f t="shared" si="3658"/>
        <v/>
      </c>
      <c r="DV267" s="66" t="str">
        <f t="shared" si="3659"/>
        <v/>
      </c>
      <c r="DW267" s="66" t="str">
        <f t="shared" si="3660"/>
        <v/>
      </c>
      <c r="DX267" s="66" t="str">
        <f t="shared" si="3661"/>
        <v/>
      </c>
      <c r="DY267" s="66" t="str">
        <f t="shared" si="3662"/>
        <v/>
      </c>
      <c r="DZ267" s="66" t="str">
        <f t="shared" si="3663"/>
        <v/>
      </c>
      <c r="EA267" s="66" t="str">
        <f t="shared" si="3664"/>
        <v/>
      </c>
      <c r="EB267" s="66" t="str">
        <f t="shared" si="3665"/>
        <v/>
      </c>
      <c r="EC267" s="66" t="str">
        <f t="shared" si="3666"/>
        <v/>
      </c>
      <c r="ED267" s="66" t="str">
        <f t="shared" si="3667"/>
        <v/>
      </c>
      <c r="EE267" s="66" t="str">
        <f t="shared" si="3668"/>
        <v/>
      </c>
      <c r="EF267" s="66" t="str">
        <f t="shared" si="3669"/>
        <v/>
      </c>
      <c r="EG267" s="66" t="str">
        <f t="shared" si="3670"/>
        <v/>
      </c>
      <c r="EH267" s="66" t="str">
        <f t="shared" si="3671"/>
        <v/>
      </c>
      <c r="EI267" s="66" t="str">
        <f t="shared" si="3672"/>
        <v/>
      </c>
      <c r="EJ267" s="66" t="str">
        <f t="shared" si="3673"/>
        <v/>
      </c>
      <c r="EK267" s="66" t="str">
        <f t="shared" si="3674"/>
        <v/>
      </c>
      <c r="EL267" s="66" t="str">
        <f t="shared" si="3675"/>
        <v/>
      </c>
      <c r="EM267" s="66" t="str">
        <f t="shared" si="3676"/>
        <v/>
      </c>
      <c r="EN267" s="66" t="str">
        <f t="shared" si="3677"/>
        <v/>
      </c>
      <c r="EO267" s="66" t="str">
        <f t="shared" si="3678"/>
        <v/>
      </c>
      <c r="EP267" s="66" t="str">
        <f t="shared" si="3679"/>
        <v/>
      </c>
      <c r="EQ267" s="66" t="str">
        <f t="shared" si="3680"/>
        <v/>
      </c>
      <c r="ER267" s="66" t="str">
        <f t="shared" si="3681"/>
        <v/>
      </c>
      <c r="ES267" s="66" t="str">
        <f t="shared" si="3682"/>
        <v/>
      </c>
      <c r="ET267" s="66" t="str">
        <f t="shared" si="3683"/>
        <v/>
      </c>
      <c r="EU267" s="66" t="str">
        <f t="shared" si="3684"/>
        <v/>
      </c>
      <c r="EV267" s="66" t="str">
        <f t="shared" si="3685"/>
        <v/>
      </c>
      <c r="EW267" s="66" t="str">
        <f t="shared" si="3686"/>
        <v/>
      </c>
      <c r="EX267" s="66" t="str">
        <f t="shared" si="3687"/>
        <v/>
      </c>
      <c r="EY267" s="66" t="str">
        <f t="shared" si="3688"/>
        <v/>
      </c>
      <c r="EZ267" s="66" t="str">
        <f t="shared" si="3689"/>
        <v/>
      </c>
      <c r="FA267" s="66" t="str">
        <f t="shared" si="3690"/>
        <v/>
      </c>
      <c r="FB267" s="66" t="str">
        <f t="shared" si="3691"/>
        <v/>
      </c>
      <c r="FC267" s="66" t="str">
        <f t="shared" si="3692"/>
        <v/>
      </c>
      <c r="FD267" s="66" t="str">
        <f t="shared" si="3693"/>
        <v/>
      </c>
      <c r="FE267" s="66" t="str">
        <f t="shared" si="3694"/>
        <v/>
      </c>
      <c r="FF267" s="66" t="str">
        <f t="shared" si="3695"/>
        <v/>
      </c>
      <c r="FG267" s="66" t="str">
        <f t="shared" si="3696"/>
        <v/>
      </c>
      <c r="FH267" s="66" t="str">
        <f t="shared" si="3697"/>
        <v/>
      </c>
      <c r="FI267" s="66" t="str">
        <f t="shared" si="3698"/>
        <v/>
      </c>
      <c r="FJ267" s="66" t="str">
        <f t="shared" si="3699"/>
        <v/>
      </c>
      <c r="FK267" s="66" t="str">
        <f t="shared" si="3700"/>
        <v/>
      </c>
      <c r="FL267" s="66" t="str">
        <f t="shared" si="3701"/>
        <v/>
      </c>
      <c r="FM267" s="66" t="str">
        <f t="shared" si="3702"/>
        <v/>
      </c>
      <c r="FN267" s="66" t="str">
        <f t="shared" si="3703"/>
        <v/>
      </c>
      <c r="FO267" s="66" t="str">
        <f t="shared" si="3704"/>
        <v/>
      </c>
      <c r="FP267" s="66" t="str">
        <f t="shared" si="3705"/>
        <v/>
      </c>
      <c r="FQ267" s="66" t="str">
        <f t="shared" si="3706"/>
        <v/>
      </c>
      <c r="FR267" s="66" t="str">
        <f t="shared" si="3707"/>
        <v/>
      </c>
      <c r="FS267" s="66" t="str">
        <f t="shared" si="3708"/>
        <v/>
      </c>
    </row>
    <row r="268" spans="1:175" ht="16.5">
      <c r="A268" s="2"/>
      <c r="B268" s="1"/>
      <c r="C268" s="2"/>
      <c r="E268" s="122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92"/>
      <c r="Q268" s="92"/>
      <c r="R268" s="92"/>
      <c r="S268" s="92"/>
      <c r="T268" s="124"/>
      <c r="U268" s="77"/>
      <c r="CU268" s="88" t="str">
        <f t="shared" si="3638"/>
        <v>|n</v>
      </c>
      <c r="CW268" s="33"/>
      <c r="CX268" s="33"/>
      <c r="CY268" s="33"/>
      <c r="CZ268" s="33"/>
      <c r="DA268" s="33"/>
      <c r="DB268" s="66" t="str">
        <f t="shared" si="3639"/>
        <v/>
      </c>
      <c r="DC268" s="66" t="str">
        <f t="shared" si="3640"/>
        <v/>
      </c>
      <c r="DD268" s="66" t="str">
        <f t="shared" si="3641"/>
        <v/>
      </c>
      <c r="DE268" s="66" t="str">
        <f t="shared" si="3642"/>
        <v/>
      </c>
      <c r="DF268" s="66" t="str">
        <f t="shared" si="3643"/>
        <v/>
      </c>
      <c r="DG268" s="66" t="str">
        <f t="shared" si="3644"/>
        <v/>
      </c>
      <c r="DH268" s="66" t="str">
        <f t="shared" si="3645"/>
        <v/>
      </c>
      <c r="DI268" s="66" t="str">
        <f t="shared" si="3646"/>
        <v/>
      </c>
      <c r="DJ268" s="66" t="str">
        <f t="shared" si="3647"/>
        <v/>
      </c>
      <c r="DK268" s="66" t="str">
        <f t="shared" si="3648"/>
        <v/>
      </c>
      <c r="DL268" s="66" t="str">
        <f t="shared" si="3649"/>
        <v/>
      </c>
      <c r="DM268" s="66" t="str">
        <f t="shared" si="3650"/>
        <v/>
      </c>
      <c r="DN268" s="66" t="str">
        <f t="shared" si="3651"/>
        <v/>
      </c>
      <c r="DO268" s="66" t="str">
        <f t="shared" si="3652"/>
        <v/>
      </c>
      <c r="DP268" s="66" t="str">
        <f t="shared" si="3653"/>
        <v/>
      </c>
      <c r="DQ268" s="66" t="str">
        <f t="shared" si="3654"/>
        <v/>
      </c>
      <c r="DR268" s="66" t="str">
        <f t="shared" si="3655"/>
        <v/>
      </c>
      <c r="DS268" s="66" t="str">
        <f t="shared" si="3656"/>
        <v/>
      </c>
      <c r="DT268" s="66" t="str">
        <f t="shared" si="3657"/>
        <v/>
      </c>
      <c r="DU268" s="66" t="str">
        <f t="shared" si="3658"/>
        <v/>
      </c>
      <c r="DV268" s="66" t="str">
        <f t="shared" si="3659"/>
        <v/>
      </c>
      <c r="DW268" s="66" t="str">
        <f t="shared" si="3660"/>
        <v/>
      </c>
      <c r="DX268" s="66" t="str">
        <f t="shared" si="3661"/>
        <v/>
      </c>
      <c r="DY268" s="66" t="str">
        <f t="shared" si="3662"/>
        <v/>
      </c>
      <c r="DZ268" s="66" t="str">
        <f t="shared" si="3663"/>
        <v/>
      </c>
      <c r="EA268" s="66" t="str">
        <f t="shared" si="3664"/>
        <v/>
      </c>
      <c r="EB268" s="66" t="str">
        <f t="shared" si="3665"/>
        <v/>
      </c>
      <c r="EC268" s="66" t="str">
        <f t="shared" si="3666"/>
        <v/>
      </c>
      <c r="ED268" s="66" t="str">
        <f t="shared" si="3667"/>
        <v/>
      </c>
      <c r="EE268" s="66" t="str">
        <f t="shared" si="3668"/>
        <v/>
      </c>
      <c r="EF268" s="66" t="str">
        <f t="shared" si="3669"/>
        <v/>
      </c>
      <c r="EG268" s="66" t="str">
        <f t="shared" si="3670"/>
        <v/>
      </c>
      <c r="EH268" s="66" t="str">
        <f t="shared" si="3671"/>
        <v/>
      </c>
      <c r="EI268" s="66" t="str">
        <f t="shared" si="3672"/>
        <v/>
      </c>
      <c r="EJ268" s="66" t="str">
        <f t="shared" si="3673"/>
        <v/>
      </c>
      <c r="EK268" s="66" t="str">
        <f t="shared" si="3674"/>
        <v/>
      </c>
      <c r="EL268" s="66" t="str">
        <f t="shared" si="3675"/>
        <v/>
      </c>
      <c r="EM268" s="66" t="str">
        <f t="shared" si="3676"/>
        <v/>
      </c>
      <c r="EN268" s="66" t="str">
        <f t="shared" si="3677"/>
        <v/>
      </c>
      <c r="EO268" s="66" t="str">
        <f t="shared" si="3678"/>
        <v/>
      </c>
      <c r="EP268" s="66" t="str">
        <f t="shared" si="3679"/>
        <v/>
      </c>
      <c r="EQ268" s="66" t="str">
        <f t="shared" si="3680"/>
        <v/>
      </c>
      <c r="ER268" s="66" t="str">
        <f t="shared" si="3681"/>
        <v/>
      </c>
      <c r="ES268" s="66" t="str">
        <f t="shared" si="3682"/>
        <v/>
      </c>
      <c r="ET268" s="66" t="str">
        <f t="shared" si="3683"/>
        <v/>
      </c>
      <c r="EU268" s="66" t="str">
        <f t="shared" si="3684"/>
        <v/>
      </c>
      <c r="EV268" s="66" t="str">
        <f t="shared" si="3685"/>
        <v/>
      </c>
      <c r="EW268" s="66" t="str">
        <f t="shared" si="3686"/>
        <v/>
      </c>
      <c r="EX268" s="66" t="str">
        <f t="shared" si="3687"/>
        <v/>
      </c>
      <c r="EY268" s="66" t="str">
        <f t="shared" si="3688"/>
        <v/>
      </c>
      <c r="EZ268" s="66" t="str">
        <f t="shared" si="3689"/>
        <v/>
      </c>
      <c r="FA268" s="66" t="str">
        <f t="shared" si="3690"/>
        <v/>
      </c>
      <c r="FB268" s="66" t="str">
        <f t="shared" si="3691"/>
        <v/>
      </c>
      <c r="FC268" s="66" t="str">
        <f t="shared" si="3692"/>
        <v/>
      </c>
      <c r="FD268" s="66" t="str">
        <f t="shared" si="3693"/>
        <v/>
      </c>
      <c r="FE268" s="66" t="str">
        <f t="shared" si="3694"/>
        <v/>
      </c>
      <c r="FF268" s="66" t="str">
        <f t="shared" si="3695"/>
        <v/>
      </c>
      <c r="FG268" s="66" t="str">
        <f t="shared" si="3696"/>
        <v/>
      </c>
      <c r="FH268" s="66" t="str">
        <f t="shared" si="3697"/>
        <v/>
      </c>
      <c r="FI268" s="66" t="str">
        <f t="shared" si="3698"/>
        <v/>
      </c>
      <c r="FJ268" s="66" t="str">
        <f t="shared" si="3699"/>
        <v/>
      </c>
      <c r="FK268" s="66" t="str">
        <f t="shared" si="3700"/>
        <v/>
      </c>
      <c r="FL268" s="66" t="str">
        <f t="shared" si="3701"/>
        <v/>
      </c>
      <c r="FM268" s="66" t="str">
        <f t="shared" si="3702"/>
        <v/>
      </c>
      <c r="FN268" s="66" t="str">
        <f t="shared" si="3703"/>
        <v/>
      </c>
      <c r="FO268" s="66" t="str">
        <f t="shared" si="3704"/>
        <v/>
      </c>
      <c r="FP268" s="66" t="str">
        <f t="shared" si="3705"/>
        <v/>
      </c>
      <c r="FQ268" s="66" t="str">
        <f t="shared" si="3706"/>
        <v/>
      </c>
      <c r="FR268" s="66" t="str">
        <f t="shared" si="3707"/>
        <v/>
      </c>
      <c r="FS268" s="66" t="str">
        <f t="shared" si="3708"/>
        <v/>
      </c>
    </row>
    <row r="269" spans="1:175" ht="16.5">
      <c r="A269" s="2"/>
      <c r="B269" s="1"/>
      <c r="C269" s="2"/>
      <c r="E269" s="122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92"/>
      <c r="Q269" s="92"/>
      <c r="R269" s="92"/>
      <c r="S269" s="92"/>
      <c r="T269" s="124"/>
      <c r="U269" s="77"/>
      <c r="CU269" s="88" t="str">
        <f t="shared" si="3638"/>
        <v>|n</v>
      </c>
      <c r="CW269" s="33"/>
      <c r="CX269" s="33"/>
      <c r="CY269" s="33"/>
      <c r="CZ269" s="33"/>
      <c r="DA269" s="33"/>
      <c r="DB269" s="66" t="str">
        <f t="shared" si="3639"/>
        <v/>
      </c>
      <c r="DC269" s="66" t="str">
        <f t="shared" si="3640"/>
        <v/>
      </c>
      <c r="DD269" s="66" t="str">
        <f t="shared" si="3641"/>
        <v/>
      </c>
      <c r="DE269" s="66" t="str">
        <f t="shared" si="3642"/>
        <v/>
      </c>
      <c r="DF269" s="66" t="str">
        <f t="shared" si="3643"/>
        <v/>
      </c>
      <c r="DG269" s="66" t="str">
        <f t="shared" si="3644"/>
        <v/>
      </c>
      <c r="DH269" s="66" t="str">
        <f t="shared" si="3645"/>
        <v/>
      </c>
      <c r="DI269" s="66" t="str">
        <f t="shared" si="3646"/>
        <v/>
      </c>
      <c r="DJ269" s="66" t="str">
        <f t="shared" si="3647"/>
        <v/>
      </c>
      <c r="DK269" s="66" t="str">
        <f t="shared" si="3648"/>
        <v/>
      </c>
      <c r="DL269" s="66" t="str">
        <f t="shared" si="3649"/>
        <v/>
      </c>
      <c r="DM269" s="66" t="str">
        <f t="shared" si="3650"/>
        <v/>
      </c>
      <c r="DN269" s="66" t="str">
        <f t="shared" si="3651"/>
        <v/>
      </c>
      <c r="DO269" s="66" t="str">
        <f t="shared" si="3652"/>
        <v/>
      </c>
      <c r="DP269" s="66" t="str">
        <f t="shared" si="3653"/>
        <v/>
      </c>
      <c r="DQ269" s="66" t="str">
        <f t="shared" si="3654"/>
        <v/>
      </c>
      <c r="DR269" s="66" t="str">
        <f t="shared" si="3655"/>
        <v/>
      </c>
      <c r="DS269" s="66" t="str">
        <f t="shared" si="3656"/>
        <v/>
      </c>
      <c r="DT269" s="66" t="str">
        <f t="shared" si="3657"/>
        <v/>
      </c>
      <c r="DU269" s="66" t="str">
        <f t="shared" si="3658"/>
        <v/>
      </c>
      <c r="DV269" s="66" t="str">
        <f t="shared" si="3659"/>
        <v/>
      </c>
      <c r="DW269" s="66" t="str">
        <f t="shared" si="3660"/>
        <v/>
      </c>
      <c r="DX269" s="66" t="str">
        <f t="shared" si="3661"/>
        <v/>
      </c>
      <c r="DY269" s="66" t="str">
        <f t="shared" si="3662"/>
        <v/>
      </c>
      <c r="DZ269" s="66" t="str">
        <f t="shared" si="3663"/>
        <v/>
      </c>
      <c r="EA269" s="66" t="str">
        <f t="shared" si="3664"/>
        <v/>
      </c>
      <c r="EB269" s="66" t="str">
        <f t="shared" si="3665"/>
        <v/>
      </c>
      <c r="EC269" s="66" t="str">
        <f t="shared" si="3666"/>
        <v/>
      </c>
      <c r="ED269" s="66" t="str">
        <f t="shared" si="3667"/>
        <v/>
      </c>
      <c r="EE269" s="66" t="str">
        <f t="shared" si="3668"/>
        <v/>
      </c>
      <c r="EF269" s="66" t="str">
        <f t="shared" si="3669"/>
        <v/>
      </c>
      <c r="EG269" s="66" t="str">
        <f t="shared" si="3670"/>
        <v/>
      </c>
      <c r="EH269" s="66" t="str">
        <f t="shared" si="3671"/>
        <v/>
      </c>
      <c r="EI269" s="66" t="str">
        <f t="shared" si="3672"/>
        <v/>
      </c>
      <c r="EJ269" s="66" t="str">
        <f t="shared" si="3673"/>
        <v/>
      </c>
      <c r="EK269" s="66" t="str">
        <f t="shared" si="3674"/>
        <v/>
      </c>
      <c r="EL269" s="66" t="str">
        <f t="shared" si="3675"/>
        <v/>
      </c>
      <c r="EM269" s="66" t="str">
        <f t="shared" si="3676"/>
        <v/>
      </c>
      <c r="EN269" s="66" t="str">
        <f t="shared" si="3677"/>
        <v/>
      </c>
      <c r="EO269" s="66" t="str">
        <f t="shared" si="3678"/>
        <v/>
      </c>
      <c r="EP269" s="66" t="str">
        <f t="shared" si="3679"/>
        <v/>
      </c>
      <c r="EQ269" s="66" t="str">
        <f t="shared" si="3680"/>
        <v/>
      </c>
      <c r="ER269" s="66" t="str">
        <f t="shared" si="3681"/>
        <v/>
      </c>
      <c r="ES269" s="66" t="str">
        <f t="shared" si="3682"/>
        <v/>
      </c>
      <c r="ET269" s="66" t="str">
        <f t="shared" si="3683"/>
        <v/>
      </c>
      <c r="EU269" s="66" t="str">
        <f t="shared" si="3684"/>
        <v/>
      </c>
      <c r="EV269" s="66" t="str">
        <f t="shared" si="3685"/>
        <v/>
      </c>
      <c r="EW269" s="66" t="str">
        <f t="shared" si="3686"/>
        <v/>
      </c>
      <c r="EX269" s="66" t="str">
        <f t="shared" si="3687"/>
        <v/>
      </c>
      <c r="EY269" s="66" t="str">
        <f t="shared" si="3688"/>
        <v/>
      </c>
      <c r="EZ269" s="66" t="str">
        <f t="shared" si="3689"/>
        <v/>
      </c>
      <c r="FA269" s="66" t="str">
        <f t="shared" si="3690"/>
        <v/>
      </c>
      <c r="FB269" s="66" t="str">
        <f t="shared" si="3691"/>
        <v/>
      </c>
      <c r="FC269" s="66" t="str">
        <f t="shared" si="3692"/>
        <v/>
      </c>
      <c r="FD269" s="66" t="str">
        <f t="shared" si="3693"/>
        <v/>
      </c>
      <c r="FE269" s="66" t="str">
        <f t="shared" si="3694"/>
        <v/>
      </c>
      <c r="FF269" s="66" t="str">
        <f t="shared" si="3695"/>
        <v/>
      </c>
      <c r="FG269" s="66" t="str">
        <f t="shared" si="3696"/>
        <v/>
      </c>
      <c r="FH269" s="66" t="str">
        <f t="shared" si="3697"/>
        <v/>
      </c>
      <c r="FI269" s="66" t="str">
        <f t="shared" si="3698"/>
        <v/>
      </c>
      <c r="FJ269" s="66" t="str">
        <f t="shared" si="3699"/>
        <v/>
      </c>
      <c r="FK269" s="66" t="str">
        <f t="shared" si="3700"/>
        <v/>
      </c>
      <c r="FL269" s="66" t="str">
        <f t="shared" si="3701"/>
        <v/>
      </c>
      <c r="FM269" s="66" t="str">
        <f t="shared" si="3702"/>
        <v/>
      </c>
      <c r="FN269" s="66" t="str">
        <f t="shared" si="3703"/>
        <v/>
      </c>
      <c r="FO269" s="66" t="str">
        <f t="shared" si="3704"/>
        <v/>
      </c>
      <c r="FP269" s="66" t="str">
        <f t="shared" si="3705"/>
        <v/>
      </c>
      <c r="FQ269" s="66" t="str">
        <f t="shared" si="3706"/>
        <v/>
      </c>
      <c r="FR269" s="66" t="str">
        <f t="shared" si="3707"/>
        <v/>
      </c>
      <c r="FS269" s="66" t="str">
        <f t="shared" si="3708"/>
        <v/>
      </c>
    </row>
    <row r="270" spans="1:175" ht="16.5">
      <c r="A270" s="2"/>
      <c r="B270" s="1"/>
      <c r="C270" s="2"/>
      <c r="E270" s="122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92"/>
      <c r="Q270" s="92"/>
      <c r="R270" s="92"/>
      <c r="S270" s="92"/>
      <c r="T270" s="124"/>
      <c r="U270" s="77"/>
      <c r="CU270" s="88" t="str">
        <f t="shared" si="3638"/>
        <v>|n</v>
      </c>
      <c r="CW270" s="33"/>
      <c r="CX270" s="33"/>
      <c r="CY270" s="33"/>
      <c r="CZ270" s="33"/>
      <c r="DA270" s="33"/>
      <c r="DB270" s="66" t="str">
        <f t="shared" si="3639"/>
        <v/>
      </c>
      <c r="DC270" s="66" t="str">
        <f t="shared" si="3640"/>
        <v/>
      </c>
      <c r="DD270" s="66" t="str">
        <f t="shared" si="3641"/>
        <v/>
      </c>
      <c r="DE270" s="66" t="str">
        <f t="shared" si="3642"/>
        <v/>
      </c>
      <c r="DF270" s="66" t="str">
        <f t="shared" si="3643"/>
        <v/>
      </c>
      <c r="DG270" s="66" t="str">
        <f t="shared" si="3644"/>
        <v/>
      </c>
      <c r="DH270" s="66" t="str">
        <f t="shared" si="3645"/>
        <v/>
      </c>
      <c r="DI270" s="66" t="str">
        <f t="shared" si="3646"/>
        <v/>
      </c>
      <c r="DJ270" s="66" t="str">
        <f t="shared" si="3647"/>
        <v/>
      </c>
      <c r="DK270" s="66" t="str">
        <f t="shared" si="3648"/>
        <v/>
      </c>
      <c r="DL270" s="66" t="str">
        <f t="shared" si="3649"/>
        <v/>
      </c>
      <c r="DM270" s="66" t="str">
        <f t="shared" si="3650"/>
        <v/>
      </c>
      <c r="DN270" s="66" t="str">
        <f t="shared" si="3651"/>
        <v/>
      </c>
      <c r="DO270" s="66" t="str">
        <f t="shared" si="3652"/>
        <v/>
      </c>
      <c r="DP270" s="66" t="str">
        <f t="shared" si="3653"/>
        <v/>
      </c>
      <c r="DQ270" s="66" t="str">
        <f t="shared" si="3654"/>
        <v/>
      </c>
      <c r="DR270" s="66" t="str">
        <f t="shared" si="3655"/>
        <v/>
      </c>
      <c r="DS270" s="66" t="str">
        <f t="shared" si="3656"/>
        <v/>
      </c>
      <c r="DT270" s="66" t="str">
        <f t="shared" si="3657"/>
        <v/>
      </c>
      <c r="DU270" s="66" t="str">
        <f t="shared" si="3658"/>
        <v/>
      </c>
      <c r="DV270" s="66" t="str">
        <f t="shared" si="3659"/>
        <v/>
      </c>
      <c r="DW270" s="66" t="str">
        <f t="shared" si="3660"/>
        <v/>
      </c>
      <c r="DX270" s="66" t="str">
        <f t="shared" si="3661"/>
        <v/>
      </c>
      <c r="DY270" s="66" t="str">
        <f t="shared" si="3662"/>
        <v/>
      </c>
      <c r="DZ270" s="66" t="str">
        <f t="shared" si="3663"/>
        <v/>
      </c>
      <c r="EA270" s="66" t="str">
        <f t="shared" si="3664"/>
        <v/>
      </c>
      <c r="EB270" s="66" t="str">
        <f t="shared" si="3665"/>
        <v/>
      </c>
      <c r="EC270" s="66" t="str">
        <f t="shared" si="3666"/>
        <v/>
      </c>
      <c r="ED270" s="66" t="str">
        <f t="shared" si="3667"/>
        <v/>
      </c>
      <c r="EE270" s="66" t="str">
        <f t="shared" si="3668"/>
        <v/>
      </c>
      <c r="EF270" s="66" t="str">
        <f t="shared" si="3669"/>
        <v/>
      </c>
      <c r="EG270" s="66" t="str">
        <f t="shared" si="3670"/>
        <v/>
      </c>
      <c r="EH270" s="66" t="str">
        <f t="shared" si="3671"/>
        <v/>
      </c>
      <c r="EI270" s="66" t="str">
        <f t="shared" si="3672"/>
        <v/>
      </c>
      <c r="EJ270" s="66" t="str">
        <f t="shared" si="3673"/>
        <v/>
      </c>
      <c r="EK270" s="66" t="str">
        <f t="shared" si="3674"/>
        <v/>
      </c>
      <c r="EL270" s="66" t="str">
        <f t="shared" si="3675"/>
        <v/>
      </c>
      <c r="EM270" s="66" t="str">
        <f t="shared" si="3676"/>
        <v/>
      </c>
      <c r="EN270" s="66" t="str">
        <f t="shared" si="3677"/>
        <v/>
      </c>
      <c r="EO270" s="66" t="str">
        <f t="shared" si="3678"/>
        <v/>
      </c>
      <c r="EP270" s="66" t="str">
        <f t="shared" si="3679"/>
        <v/>
      </c>
      <c r="EQ270" s="66" t="str">
        <f t="shared" si="3680"/>
        <v/>
      </c>
      <c r="ER270" s="66" t="str">
        <f t="shared" si="3681"/>
        <v/>
      </c>
      <c r="ES270" s="66" t="str">
        <f t="shared" si="3682"/>
        <v/>
      </c>
      <c r="ET270" s="66" t="str">
        <f t="shared" si="3683"/>
        <v/>
      </c>
      <c r="EU270" s="66" t="str">
        <f t="shared" si="3684"/>
        <v/>
      </c>
      <c r="EV270" s="66" t="str">
        <f t="shared" si="3685"/>
        <v/>
      </c>
      <c r="EW270" s="66" t="str">
        <f t="shared" si="3686"/>
        <v/>
      </c>
      <c r="EX270" s="66" t="str">
        <f t="shared" si="3687"/>
        <v/>
      </c>
      <c r="EY270" s="66" t="str">
        <f t="shared" si="3688"/>
        <v/>
      </c>
      <c r="EZ270" s="66" t="str">
        <f t="shared" si="3689"/>
        <v/>
      </c>
      <c r="FA270" s="66" t="str">
        <f t="shared" si="3690"/>
        <v/>
      </c>
      <c r="FB270" s="66" t="str">
        <f t="shared" si="3691"/>
        <v/>
      </c>
      <c r="FC270" s="66" t="str">
        <f t="shared" si="3692"/>
        <v/>
      </c>
      <c r="FD270" s="66" t="str">
        <f t="shared" si="3693"/>
        <v/>
      </c>
      <c r="FE270" s="66" t="str">
        <f t="shared" si="3694"/>
        <v/>
      </c>
      <c r="FF270" s="66" t="str">
        <f t="shared" si="3695"/>
        <v/>
      </c>
      <c r="FG270" s="66" t="str">
        <f t="shared" si="3696"/>
        <v/>
      </c>
      <c r="FH270" s="66" t="str">
        <f t="shared" si="3697"/>
        <v/>
      </c>
      <c r="FI270" s="66" t="str">
        <f t="shared" si="3698"/>
        <v/>
      </c>
      <c r="FJ270" s="66" t="str">
        <f t="shared" si="3699"/>
        <v/>
      </c>
      <c r="FK270" s="66" t="str">
        <f t="shared" si="3700"/>
        <v/>
      </c>
      <c r="FL270" s="66" t="str">
        <f t="shared" si="3701"/>
        <v/>
      </c>
      <c r="FM270" s="66" t="str">
        <f t="shared" si="3702"/>
        <v/>
      </c>
      <c r="FN270" s="66" t="str">
        <f t="shared" si="3703"/>
        <v/>
      </c>
      <c r="FO270" s="66" t="str">
        <f t="shared" si="3704"/>
        <v/>
      </c>
      <c r="FP270" s="66" t="str">
        <f t="shared" si="3705"/>
        <v/>
      </c>
      <c r="FQ270" s="66" t="str">
        <f t="shared" si="3706"/>
        <v/>
      </c>
      <c r="FR270" s="66" t="str">
        <f t="shared" si="3707"/>
        <v/>
      </c>
      <c r="FS270" s="66" t="str">
        <f t="shared" si="3708"/>
        <v/>
      </c>
    </row>
    <row r="271" spans="1:175" ht="16.5">
      <c r="A271" s="2"/>
      <c r="B271" s="1"/>
      <c r="C271" s="2"/>
      <c r="E271" s="122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92"/>
      <c r="Q271" s="92"/>
      <c r="R271" s="92"/>
      <c r="S271" s="92"/>
      <c r="T271" s="124"/>
      <c r="U271" s="77"/>
      <c r="CU271" s="88" t="str">
        <f t="shared" si="3638"/>
        <v>|n</v>
      </c>
      <c r="CW271" s="33"/>
      <c r="CX271" s="33"/>
      <c r="CY271" s="33"/>
      <c r="CZ271" s="33"/>
      <c r="DA271" s="33"/>
      <c r="DB271" s="66" t="str">
        <f t="shared" si="3639"/>
        <v/>
      </c>
      <c r="DC271" s="66" t="str">
        <f t="shared" si="3640"/>
        <v/>
      </c>
      <c r="DD271" s="66" t="str">
        <f t="shared" si="3641"/>
        <v/>
      </c>
      <c r="DE271" s="66" t="str">
        <f t="shared" si="3642"/>
        <v/>
      </c>
      <c r="DF271" s="66" t="str">
        <f t="shared" si="3643"/>
        <v/>
      </c>
      <c r="DG271" s="66" t="str">
        <f t="shared" si="3644"/>
        <v/>
      </c>
      <c r="DH271" s="66" t="str">
        <f t="shared" si="3645"/>
        <v/>
      </c>
      <c r="DI271" s="66" t="str">
        <f t="shared" si="3646"/>
        <v/>
      </c>
      <c r="DJ271" s="66" t="str">
        <f t="shared" si="3647"/>
        <v/>
      </c>
      <c r="DK271" s="66" t="str">
        <f t="shared" si="3648"/>
        <v/>
      </c>
      <c r="DL271" s="66" t="str">
        <f t="shared" si="3649"/>
        <v/>
      </c>
      <c r="DM271" s="66" t="str">
        <f t="shared" si="3650"/>
        <v/>
      </c>
      <c r="DN271" s="66" t="str">
        <f t="shared" si="3651"/>
        <v/>
      </c>
      <c r="DO271" s="66" t="str">
        <f t="shared" si="3652"/>
        <v/>
      </c>
      <c r="DP271" s="66" t="str">
        <f t="shared" si="3653"/>
        <v/>
      </c>
      <c r="DQ271" s="66" t="str">
        <f t="shared" si="3654"/>
        <v/>
      </c>
      <c r="DR271" s="66" t="str">
        <f t="shared" si="3655"/>
        <v/>
      </c>
      <c r="DS271" s="66" t="str">
        <f t="shared" si="3656"/>
        <v/>
      </c>
      <c r="DT271" s="66" t="str">
        <f t="shared" si="3657"/>
        <v/>
      </c>
      <c r="DU271" s="66" t="str">
        <f t="shared" si="3658"/>
        <v/>
      </c>
      <c r="DV271" s="66" t="str">
        <f t="shared" si="3659"/>
        <v/>
      </c>
      <c r="DW271" s="66" t="str">
        <f t="shared" si="3660"/>
        <v/>
      </c>
      <c r="DX271" s="66" t="str">
        <f t="shared" si="3661"/>
        <v/>
      </c>
      <c r="DY271" s="66" t="str">
        <f t="shared" si="3662"/>
        <v/>
      </c>
      <c r="DZ271" s="66" t="str">
        <f t="shared" si="3663"/>
        <v/>
      </c>
      <c r="EA271" s="66" t="str">
        <f t="shared" si="3664"/>
        <v/>
      </c>
      <c r="EB271" s="66" t="str">
        <f t="shared" si="3665"/>
        <v/>
      </c>
      <c r="EC271" s="66" t="str">
        <f t="shared" si="3666"/>
        <v/>
      </c>
      <c r="ED271" s="66" t="str">
        <f t="shared" si="3667"/>
        <v/>
      </c>
      <c r="EE271" s="66" t="str">
        <f t="shared" si="3668"/>
        <v/>
      </c>
      <c r="EF271" s="66" t="str">
        <f t="shared" si="3669"/>
        <v/>
      </c>
      <c r="EG271" s="66" t="str">
        <f t="shared" si="3670"/>
        <v/>
      </c>
      <c r="EH271" s="66" t="str">
        <f t="shared" si="3671"/>
        <v/>
      </c>
      <c r="EI271" s="66" t="str">
        <f t="shared" si="3672"/>
        <v/>
      </c>
      <c r="EJ271" s="66" t="str">
        <f t="shared" si="3673"/>
        <v/>
      </c>
      <c r="EK271" s="66" t="str">
        <f t="shared" si="3674"/>
        <v/>
      </c>
      <c r="EL271" s="66" t="str">
        <f t="shared" si="3675"/>
        <v/>
      </c>
      <c r="EM271" s="66" t="str">
        <f t="shared" si="3676"/>
        <v/>
      </c>
      <c r="EN271" s="66" t="str">
        <f t="shared" si="3677"/>
        <v/>
      </c>
      <c r="EO271" s="66" t="str">
        <f t="shared" si="3678"/>
        <v/>
      </c>
      <c r="EP271" s="66" t="str">
        <f t="shared" si="3679"/>
        <v/>
      </c>
      <c r="EQ271" s="66" t="str">
        <f t="shared" si="3680"/>
        <v/>
      </c>
      <c r="ER271" s="66" t="str">
        <f t="shared" si="3681"/>
        <v/>
      </c>
      <c r="ES271" s="66" t="str">
        <f t="shared" si="3682"/>
        <v/>
      </c>
      <c r="ET271" s="66" t="str">
        <f t="shared" si="3683"/>
        <v/>
      </c>
      <c r="EU271" s="66" t="str">
        <f t="shared" si="3684"/>
        <v/>
      </c>
      <c r="EV271" s="66" t="str">
        <f t="shared" si="3685"/>
        <v/>
      </c>
      <c r="EW271" s="66" t="str">
        <f t="shared" si="3686"/>
        <v/>
      </c>
      <c r="EX271" s="66" t="str">
        <f t="shared" si="3687"/>
        <v/>
      </c>
      <c r="EY271" s="66" t="str">
        <f t="shared" si="3688"/>
        <v/>
      </c>
      <c r="EZ271" s="66" t="str">
        <f t="shared" si="3689"/>
        <v/>
      </c>
      <c r="FA271" s="66" t="str">
        <f t="shared" si="3690"/>
        <v/>
      </c>
      <c r="FB271" s="66" t="str">
        <f t="shared" si="3691"/>
        <v/>
      </c>
      <c r="FC271" s="66" t="str">
        <f t="shared" si="3692"/>
        <v/>
      </c>
      <c r="FD271" s="66" t="str">
        <f t="shared" si="3693"/>
        <v/>
      </c>
      <c r="FE271" s="66" t="str">
        <f t="shared" si="3694"/>
        <v/>
      </c>
      <c r="FF271" s="66" t="str">
        <f t="shared" si="3695"/>
        <v/>
      </c>
      <c r="FG271" s="66" t="str">
        <f t="shared" si="3696"/>
        <v/>
      </c>
      <c r="FH271" s="66" t="str">
        <f t="shared" si="3697"/>
        <v/>
      </c>
      <c r="FI271" s="66" t="str">
        <f t="shared" si="3698"/>
        <v/>
      </c>
      <c r="FJ271" s="66" t="str">
        <f t="shared" si="3699"/>
        <v/>
      </c>
      <c r="FK271" s="66" t="str">
        <f t="shared" si="3700"/>
        <v/>
      </c>
      <c r="FL271" s="66" t="str">
        <f t="shared" si="3701"/>
        <v/>
      </c>
      <c r="FM271" s="66" t="str">
        <f t="shared" si="3702"/>
        <v/>
      </c>
      <c r="FN271" s="66" t="str">
        <f t="shared" si="3703"/>
        <v/>
      </c>
      <c r="FO271" s="66" t="str">
        <f t="shared" si="3704"/>
        <v/>
      </c>
      <c r="FP271" s="66" t="str">
        <f t="shared" si="3705"/>
        <v/>
      </c>
      <c r="FQ271" s="66" t="str">
        <f t="shared" si="3706"/>
        <v/>
      </c>
      <c r="FR271" s="66" t="str">
        <f t="shared" si="3707"/>
        <v/>
      </c>
      <c r="FS271" s="66" t="str">
        <f t="shared" si="3708"/>
        <v/>
      </c>
    </row>
    <row r="272" spans="1:175" ht="16.5">
      <c r="A272" s="2"/>
      <c r="B272" s="1"/>
      <c r="C272" s="2"/>
      <c r="E272" s="122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92"/>
      <c r="Q272" s="92"/>
      <c r="R272" s="92"/>
      <c r="S272" s="92"/>
      <c r="T272" s="124"/>
      <c r="U272" s="77"/>
      <c r="CU272" s="88" t="str">
        <f t="shared" si="3638"/>
        <v>|n</v>
      </c>
      <c r="CW272" s="33"/>
      <c r="CX272" s="33"/>
      <c r="CY272" s="33"/>
      <c r="CZ272" s="33"/>
      <c r="DA272" s="33"/>
      <c r="DB272" s="66" t="str">
        <f t="shared" si="3639"/>
        <v/>
      </c>
      <c r="DC272" s="66" t="str">
        <f t="shared" si="3640"/>
        <v/>
      </c>
      <c r="DD272" s="66" t="str">
        <f t="shared" si="3641"/>
        <v/>
      </c>
      <c r="DE272" s="66" t="str">
        <f t="shared" si="3642"/>
        <v/>
      </c>
      <c r="DF272" s="66" t="str">
        <f t="shared" si="3643"/>
        <v/>
      </c>
      <c r="DG272" s="66" t="str">
        <f t="shared" si="3644"/>
        <v/>
      </c>
      <c r="DH272" s="66" t="str">
        <f t="shared" si="3645"/>
        <v/>
      </c>
      <c r="DI272" s="66" t="str">
        <f t="shared" si="3646"/>
        <v/>
      </c>
      <c r="DJ272" s="66" t="str">
        <f t="shared" si="3647"/>
        <v/>
      </c>
      <c r="DK272" s="66" t="str">
        <f t="shared" si="3648"/>
        <v/>
      </c>
      <c r="DL272" s="66" t="str">
        <f t="shared" si="3649"/>
        <v/>
      </c>
      <c r="DM272" s="66" t="str">
        <f t="shared" si="3650"/>
        <v/>
      </c>
      <c r="DN272" s="66" t="str">
        <f t="shared" si="3651"/>
        <v/>
      </c>
      <c r="DO272" s="66" t="str">
        <f t="shared" si="3652"/>
        <v/>
      </c>
      <c r="DP272" s="66" t="str">
        <f t="shared" si="3653"/>
        <v/>
      </c>
      <c r="DQ272" s="66" t="str">
        <f t="shared" si="3654"/>
        <v/>
      </c>
      <c r="DR272" s="66" t="str">
        <f t="shared" si="3655"/>
        <v/>
      </c>
      <c r="DS272" s="66" t="str">
        <f t="shared" si="3656"/>
        <v/>
      </c>
      <c r="DT272" s="66" t="str">
        <f t="shared" si="3657"/>
        <v/>
      </c>
      <c r="DU272" s="66" t="str">
        <f t="shared" si="3658"/>
        <v/>
      </c>
      <c r="DV272" s="66" t="str">
        <f t="shared" si="3659"/>
        <v/>
      </c>
      <c r="DW272" s="66" t="str">
        <f t="shared" si="3660"/>
        <v/>
      </c>
      <c r="DX272" s="66" t="str">
        <f t="shared" si="3661"/>
        <v/>
      </c>
      <c r="DY272" s="66" t="str">
        <f t="shared" si="3662"/>
        <v/>
      </c>
      <c r="DZ272" s="66" t="str">
        <f t="shared" si="3663"/>
        <v/>
      </c>
      <c r="EA272" s="66" t="str">
        <f t="shared" si="3664"/>
        <v/>
      </c>
      <c r="EB272" s="66" t="str">
        <f t="shared" si="3665"/>
        <v/>
      </c>
      <c r="EC272" s="66" t="str">
        <f t="shared" si="3666"/>
        <v/>
      </c>
      <c r="ED272" s="66" t="str">
        <f t="shared" si="3667"/>
        <v/>
      </c>
      <c r="EE272" s="66" t="str">
        <f t="shared" si="3668"/>
        <v/>
      </c>
      <c r="EF272" s="66" t="str">
        <f t="shared" si="3669"/>
        <v/>
      </c>
      <c r="EG272" s="66" t="str">
        <f t="shared" si="3670"/>
        <v/>
      </c>
      <c r="EH272" s="66" t="str">
        <f t="shared" si="3671"/>
        <v/>
      </c>
      <c r="EI272" s="66" t="str">
        <f t="shared" si="3672"/>
        <v/>
      </c>
      <c r="EJ272" s="66" t="str">
        <f t="shared" si="3673"/>
        <v/>
      </c>
      <c r="EK272" s="66" t="str">
        <f t="shared" si="3674"/>
        <v/>
      </c>
      <c r="EL272" s="66" t="str">
        <f t="shared" si="3675"/>
        <v/>
      </c>
      <c r="EM272" s="66" t="str">
        <f t="shared" si="3676"/>
        <v/>
      </c>
      <c r="EN272" s="66" t="str">
        <f t="shared" si="3677"/>
        <v/>
      </c>
      <c r="EO272" s="66" t="str">
        <f t="shared" si="3678"/>
        <v/>
      </c>
      <c r="EP272" s="66" t="str">
        <f t="shared" si="3679"/>
        <v/>
      </c>
      <c r="EQ272" s="66" t="str">
        <f t="shared" si="3680"/>
        <v/>
      </c>
      <c r="ER272" s="66" t="str">
        <f t="shared" si="3681"/>
        <v/>
      </c>
      <c r="ES272" s="66" t="str">
        <f t="shared" si="3682"/>
        <v/>
      </c>
      <c r="ET272" s="66" t="str">
        <f t="shared" si="3683"/>
        <v/>
      </c>
      <c r="EU272" s="66" t="str">
        <f t="shared" si="3684"/>
        <v/>
      </c>
      <c r="EV272" s="66" t="str">
        <f t="shared" si="3685"/>
        <v/>
      </c>
      <c r="EW272" s="66" t="str">
        <f t="shared" si="3686"/>
        <v/>
      </c>
      <c r="EX272" s="66" t="str">
        <f t="shared" si="3687"/>
        <v/>
      </c>
      <c r="EY272" s="66" t="str">
        <f t="shared" si="3688"/>
        <v/>
      </c>
      <c r="EZ272" s="66" t="str">
        <f t="shared" si="3689"/>
        <v/>
      </c>
      <c r="FA272" s="66" t="str">
        <f t="shared" si="3690"/>
        <v/>
      </c>
      <c r="FB272" s="66" t="str">
        <f t="shared" si="3691"/>
        <v/>
      </c>
      <c r="FC272" s="66" t="str">
        <f t="shared" si="3692"/>
        <v/>
      </c>
      <c r="FD272" s="66" t="str">
        <f t="shared" si="3693"/>
        <v/>
      </c>
      <c r="FE272" s="66" t="str">
        <f t="shared" si="3694"/>
        <v/>
      </c>
      <c r="FF272" s="66" t="str">
        <f t="shared" si="3695"/>
        <v/>
      </c>
      <c r="FG272" s="66" t="str">
        <f t="shared" si="3696"/>
        <v/>
      </c>
      <c r="FH272" s="66" t="str">
        <f t="shared" si="3697"/>
        <v/>
      </c>
      <c r="FI272" s="66" t="str">
        <f t="shared" si="3698"/>
        <v/>
      </c>
      <c r="FJ272" s="66" t="str">
        <f t="shared" si="3699"/>
        <v/>
      </c>
      <c r="FK272" s="66" t="str">
        <f t="shared" si="3700"/>
        <v/>
      </c>
      <c r="FL272" s="66" t="str">
        <f t="shared" si="3701"/>
        <v/>
      </c>
      <c r="FM272" s="66" t="str">
        <f t="shared" si="3702"/>
        <v/>
      </c>
      <c r="FN272" s="66" t="str">
        <f t="shared" si="3703"/>
        <v/>
      </c>
      <c r="FO272" s="66" t="str">
        <f t="shared" si="3704"/>
        <v/>
      </c>
      <c r="FP272" s="66" t="str">
        <f t="shared" si="3705"/>
        <v/>
      </c>
      <c r="FQ272" s="66" t="str">
        <f t="shared" si="3706"/>
        <v/>
      </c>
      <c r="FR272" s="66" t="str">
        <f t="shared" si="3707"/>
        <v/>
      </c>
      <c r="FS272" s="66" t="str">
        <f t="shared" si="3708"/>
        <v/>
      </c>
    </row>
    <row r="273" spans="1:175" ht="16.5">
      <c r="A273" s="2"/>
      <c r="B273" s="1"/>
      <c r="C273" s="2"/>
      <c r="E273" s="122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92"/>
      <c r="Q273" s="92"/>
      <c r="R273" s="92"/>
      <c r="S273" s="92"/>
      <c r="T273" s="124"/>
      <c r="U273" s="77"/>
      <c r="CU273" s="88" t="str">
        <f t="shared" si="3638"/>
        <v>|n</v>
      </c>
      <c r="CW273" s="33"/>
      <c r="CX273" s="33"/>
      <c r="CY273" s="33"/>
      <c r="CZ273" s="33"/>
      <c r="DA273" s="33"/>
      <c r="DB273" s="66" t="str">
        <f t="shared" si="3639"/>
        <v/>
      </c>
      <c r="DC273" s="66" t="str">
        <f t="shared" si="3640"/>
        <v/>
      </c>
      <c r="DD273" s="66" t="str">
        <f t="shared" si="3641"/>
        <v/>
      </c>
      <c r="DE273" s="66" t="str">
        <f t="shared" si="3642"/>
        <v/>
      </c>
      <c r="DF273" s="66" t="str">
        <f t="shared" si="3643"/>
        <v/>
      </c>
      <c r="DG273" s="66" t="str">
        <f t="shared" si="3644"/>
        <v/>
      </c>
      <c r="DH273" s="66" t="str">
        <f t="shared" si="3645"/>
        <v/>
      </c>
      <c r="DI273" s="66" t="str">
        <f t="shared" si="3646"/>
        <v/>
      </c>
      <c r="DJ273" s="66" t="str">
        <f t="shared" si="3647"/>
        <v/>
      </c>
      <c r="DK273" s="66" t="str">
        <f t="shared" si="3648"/>
        <v/>
      </c>
      <c r="DL273" s="66" t="str">
        <f t="shared" si="3649"/>
        <v/>
      </c>
      <c r="DM273" s="66" t="str">
        <f t="shared" si="3650"/>
        <v/>
      </c>
      <c r="DN273" s="66" t="str">
        <f t="shared" si="3651"/>
        <v/>
      </c>
      <c r="DO273" s="66" t="str">
        <f t="shared" si="3652"/>
        <v/>
      </c>
      <c r="DP273" s="66" t="str">
        <f t="shared" si="3653"/>
        <v/>
      </c>
      <c r="DQ273" s="66" t="str">
        <f t="shared" si="3654"/>
        <v/>
      </c>
      <c r="DR273" s="66" t="str">
        <f t="shared" si="3655"/>
        <v/>
      </c>
      <c r="DS273" s="66" t="str">
        <f t="shared" si="3656"/>
        <v/>
      </c>
      <c r="DT273" s="66" t="str">
        <f t="shared" si="3657"/>
        <v/>
      </c>
      <c r="DU273" s="66" t="str">
        <f t="shared" si="3658"/>
        <v/>
      </c>
      <c r="DV273" s="66" t="str">
        <f t="shared" si="3659"/>
        <v/>
      </c>
      <c r="DW273" s="66" t="str">
        <f t="shared" si="3660"/>
        <v/>
      </c>
      <c r="DX273" s="66" t="str">
        <f t="shared" si="3661"/>
        <v/>
      </c>
      <c r="DY273" s="66" t="str">
        <f t="shared" si="3662"/>
        <v/>
      </c>
      <c r="DZ273" s="66" t="str">
        <f t="shared" si="3663"/>
        <v/>
      </c>
      <c r="EA273" s="66" t="str">
        <f t="shared" si="3664"/>
        <v/>
      </c>
      <c r="EB273" s="66" t="str">
        <f t="shared" si="3665"/>
        <v/>
      </c>
      <c r="EC273" s="66" t="str">
        <f t="shared" si="3666"/>
        <v/>
      </c>
      <c r="ED273" s="66" t="str">
        <f t="shared" si="3667"/>
        <v/>
      </c>
      <c r="EE273" s="66" t="str">
        <f t="shared" si="3668"/>
        <v/>
      </c>
      <c r="EF273" s="66" t="str">
        <f t="shared" si="3669"/>
        <v/>
      </c>
      <c r="EG273" s="66" t="str">
        <f t="shared" si="3670"/>
        <v/>
      </c>
      <c r="EH273" s="66" t="str">
        <f t="shared" si="3671"/>
        <v/>
      </c>
      <c r="EI273" s="66" t="str">
        <f t="shared" si="3672"/>
        <v/>
      </c>
      <c r="EJ273" s="66" t="str">
        <f t="shared" si="3673"/>
        <v/>
      </c>
      <c r="EK273" s="66" t="str">
        <f t="shared" si="3674"/>
        <v/>
      </c>
      <c r="EL273" s="66" t="str">
        <f t="shared" si="3675"/>
        <v/>
      </c>
      <c r="EM273" s="66" t="str">
        <f t="shared" si="3676"/>
        <v/>
      </c>
      <c r="EN273" s="66" t="str">
        <f t="shared" si="3677"/>
        <v/>
      </c>
      <c r="EO273" s="66" t="str">
        <f t="shared" si="3678"/>
        <v/>
      </c>
      <c r="EP273" s="66" t="str">
        <f t="shared" si="3679"/>
        <v/>
      </c>
      <c r="EQ273" s="66" t="str">
        <f t="shared" si="3680"/>
        <v/>
      </c>
      <c r="ER273" s="66" t="str">
        <f t="shared" si="3681"/>
        <v/>
      </c>
      <c r="ES273" s="66" t="str">
        <f t="shared" si="3682"/>
        <v/>
      </c>
      <c r="ET273" s="66" t="str">
        <f t="shared" si="3683"/>
        <v/>
      </c>
      <c r="EU273" s="66" t="str">
        <f t="shared" si="3684"/>
        <v/>
      </c>
      <c r="EV273" s="66" t="str">
        <f t="shared" si="3685"/>
        <v/>
      </c>
      <c r="EW273" s="66" t="str">
        <f t="shared" si="3686"/>
        <v/>
      </c>
      <c r="EX273" s="66" t="str">
        <f t="shared" si="3687"/>
        <v/>
      </c>
      <c r="EY273" s="66" t="str">
        <f t="shared" si="3688"/>
        <v/>
      </c>
      <c r="EZ273" s="66" t="str">
        <f t="shared" si="3689"/>
        <v/>
      </c>
      <c r="FA273" s="66" t="str">
        <f t="shared" si="3690"/>
        <v/>
      </c>
      <c r="FB273" s="66" t="str">
        <f t="shared" si="3691"/>
        <v/>
      </c>
      <c r="FC273" s="66" t="str">
        <f t="shared" si="3692"/>
        <v/>
      </c>
      <c r="FD273" s="66" t="str">
        <f t="shared" si="3693"/>
        <v/>
      </c>
      <c r="FE273" s="66" t="str">
        <f t="shared" si="3694"/>
        <v/>
      </c>
      <c r="FF273" s="66" t="str">
        <f t="shared" si="3695"/>
        <v/>
      </c>
      <c r="FG273" s="66" t="str">
        <f t="shared" si="3696"/>
        <v/>
      </c>
      <c r="FH273" s="66" t="str">
        <f t="shared" si="3697"/>
        <v/>
      </c>
      <c r="FI273" s="66" t="str">
        <f t="shared" si="3698"/>
        <v/>
      </c>
      <c r="FJ273" s="66" t="str">
        <f t="shared" si="3699"/>
        <v/>
      </c>
      <c r="FK273" s="66" t="str">
        <f t="shared" si="3700"/>
        <v/>
      </c>
      <c r="FL273" s="66" t="str">
        <f t="shared" si="3701"/>
        <v/>
      </c>
      <c r="FM273" s="66" t="str">
        <f t="shared" si="3702"/>
        <v/>
      </c>
      <c r="FN273" s="66" t="str">
        <f t="shared" si="3703"/>
        <v/>
      </c>
      <c r="FO273" s="66" t="str">
        <f t="shared" si="3704"/>
        <v/>
      </c>
      <c r="FP273" s="66" t="str">
        <f t="shared" si="3705"/>
        <v/>
      </c>
      <c r="FQ273" s="66" t="str">
        <f t="shared" si="3706"/>
        <v/>
      </c>
      <c r="FR273" s="66" t="str">
        <f t="shared" si="3707"/>
        <v/>
      </c>
      <c r="FS273" s="66" t="str">
        <f t="shared" si="3708"/>
        <v/>
      </c>
    </row>
    <row r="274" spans="1:175">
      <c r="A274" s="27"/>
      <c r="B274" s="27"/>
      <c r="C274" s="27"/>
      <c r="E274" s="123"/>
      <c r="T274" s="121"/>
      <c r="U274" s="77"/>
      <c r="CU274" s="88" t="str">
        <f t="shared" si="3638"/>
        <v>|n</v>
      </c>
      <c r="CW274" s="33"/>
      <c r="CX274" s="33"/>
      <c r="CY274" s="33"/>
      <c r="CZ274" s="33"/>
      <c r="DA274" s="33"/>
      <c r="DB274" s="66" t="str">
        <f t="shared" si="3639"/>
        <v/>
      </c>
      <c r="DC274" s="66" t="str">
        <f t="shared" si="3640"/>
        <v/>
      </c>
      <c r="DD274" s="66" t="str">
        <f t="shared" si="3641"/>
        <v/>
      </c>
      <c r="DE274" s="66" t="str">
        <f t="shared" si="3642"/>
        <v/>
      </c>
      <c r="DF274" s="66" t="str">
        <f t="shared" si="3643"/>
        <v/>
      </c>
      <c r="DG274" s="66" t="str">
        <f t="shared" si="3644"/>
        <v/>
      </c>
      <c r="DH274" s="66" t="str">
        <f t="shared" si="3645"/>
        <v/>
      </c>
      <c r="DI274" s="66" t="str">
        <f t="shared" si="3646"/>
        <v/>
      </c>
      <c r="DJ274" s="66" t="str">
        <f t="shared" si="3647"/>
        <v/>
      </c>
      <c r="DK274" s="66" t="str">
        <f t="shared" si="3648"/>
        <v/>
      </c>
      <c r="DL274" s="66" t="str">
        <f t="shared" si="3649"/>
        <v/>
      </c>
      <c r="DM274" s="66" t="str">
        <f t="shared" si="3650"/>
        <v/>
      </c>
      <c r="DN274" s="66" t="str">
        <f t="shared" si="3651"/>
        <v/>
      </c>
      <c r="DO274" s="66" t="str">
        <f t="shared" si="3652"/>
        <v/>
      </c>
      <c r="DP274" s="66" t="str">
        <f t="shared" si="3653"/>
        <v/>
      </c>
      <c r="DQ274" s="66" t="str">
        <f t="shared" si="3654"/>
        <v/>
      </c>
      <c r="DR274" s="66" t="str">
        <f t="shared" si="3655"/>
        <v/>
      </c>
      <c r="DS274" s="66" t="str">
        <f t="shared" si="3656"/>
        <v/>
      </c>
      <c r="DT274" s="66" t="str">
        <f t="shared" si="3657"/>
        <v/>
      </c>
      <c r="DU274" s="66" t="str">
        <f t="shared" si="3658"/>
        <v/>
      </c>
      <c r="DV274" s="66" t="str">
        <f t="shared" si="3659"/>
        <v/>
      </c>
      <c r="DW274" s="66" t="str">
        <f t="shared" si="3660"/>
        <v/>
      </c>
      <c r="DX274" s="66" t="str">
        <f t="shared" si="3661"/>
        <v/>
      </c>
      <c r="DY274" s="66" t="str">
        <f t="shared" si="3662"/>
        <v/>
      </c>
      <c r="DZ274" s="66" t="str">
        <f t="shared" si="3663"/>
        <v/>
      </c>
      <c r="EA274" s="66" t="str">
        <f t="shared" si="3664"/>
        <v/>
      </c>
      <c r="EB274" s="66" t="str">
        <f t="shared" si="3665"/>
        <v/>
      </c>
      <c r="EC274" s="66" t="str">
        <f t="shared" si="3666"/>
        <v/>
      </c>
      <c r="ED274" s="66" t="str">
        <f t="shared" si="3667"/>
        <v/>
      </c>
      <c r="EE274" s="66" t="str">
        <f t="shared" si="3668"/>
        <v/>
      </c>
      <c r="EF274" s="66" t="str">
        <f t="shared" si="3669"/>
        <v/>
      </c>
      <c r="EG274" s="66" t="str">
        <f t="shared" si="3670"/>
        <v/>
      </c>
      <c r="EH274" s="66" t="str">
        <f t="shared" si="3671"/>
        <v/>
      </c>
      <c r="EI274" s="66" t="str">
        <f t="shared" si="3672"/>
        <v/>
      </c>
      <c r="EJ274" s="66" t="str">
        <f t="shared" si="3673"/>
        <v/>
      </c>
      <c r="EK274" s="66" t="str">
        <f t="shared" si="3674"/>
        <v/>
      </c>
      <c r="EL274" s="66" t="str">
        <f t="shared" si="3675"/>
        <v/>
      </c>
      <c r="EM274" s="66" t="str">
        <f t="shared" si="3676"/>
        <v/>
      </c>
      <c r="EN274" s="66" t="str">
        <f t="shared" si="3677"/>
        <v/>
      </c>
      <c r="EO274" s="66" t="str">
        <f t="shared" si="3678"/>
        <v/>
      </c>
      <c r="EP274" s="66" t="str">
        <f t="shared" si="3679"/>
        <v/>
      </c>
      <c r="EQ274" s="66" t="str">
        <f t="shared" si="3680"/>
        <v/>
      </c>
      <c r="ER274" s="66" t="str">
        <f t="shared" si="3681"/>
        <v/>
      </c>
      <c r="ES274" s="66" t="str">
        <f t="shared" si="3682"/>
        <v/>
      </c>
      <c r="ET274" s="66" t="str">
        <f t="shared" si="3683"/>
        <v/>
      </c>
      <c r="EU274" s="66" t="str">
        <f t="shared" si="3684"/>
        <v/>
      </c>
      <c r="EV274" s="66" t="str">
        <f t="shared" si="3685"/>
        <v/>
      </c>
      <c r="EW274" s="66" t="str">
        <f t="shared" si="3686"/>
        <v/>
      </c>
      <c r="EX274" s="66" t="str">
        <f t="shared" si="3687"/>
        <v/>
      </c>
      <c r="EY274" s="66" t="str">
        <f t="shared" si="3688"/>
        <v/>
      </c>
      <c r="EZ274" s="66" t="str">
        <f t="shared" si="3689"/>
        <v/>
      </c>
      <c r="FA274" s="66" t="str">
        <f t="shared" si="3690"/>
        <v/>
      </c>
      <c r="FB274" s="66" t="str">
        <f t="shared" si="3691"/>
        <v/>
      </c>
      <c r="FC274" s="66" t="str">
        <f t="shared" si="3692"/>
        <v/>
      </c>
      <c r="FD274" s="66" t="str">
        <f t="shared" si="3693"/>
        <v/>
      </c>
      <c r="FE274" s="66" t="str">
        <f t="shared" si="3694"/>
        <v/>
      </c>
      <c r="FF274" s="66" t="str">
        <f t="shared" si="3695"/>
        <v/>
      </c>
      <c r="FG274" s="66" t="str">
        <f t="shared" si="3696"/>
        <v/>
      </c>
      <c r="FH274" s="66" t="str">
        <f t="shared" si="3697"/>
        <v/>
      </c>
      <c r="FI274" s="66" t="str">
        <f t="shared" si="3698"/>
        <v/>
      </c>
      <c r="FJ274" s="66" t="str">
        <f t="shared" si="3699"/>
        <v/>
      </c>
      <c r="FK274" s="66" t="str">
        <f t="shared" si="3700"/>
        <v/>
      </c>
      <c r="FL274" s="66" t="str">
        <f t="shared" si="3701"/>
        <v/>
      </c>
      <c r="FM274" s="66" t="str">
        <f t="shared" si="3702"/>
        <v/>
      </c>
      <c r="FN274" s="66" t="str">
        <f t="shared" si="3703"/>
        <v/>
      </c>
      <c r="FO274" s="66" t="str">
        <f t="shared" si="3704"/>
        <v/>
      </c>
      <c r="FP274" s="66" t="str">
        <f t="shared" si="3705"/>
        <v/>
      </c>
      <c r="FQ274" s="66" t="str">
        <f t="shared" si="3706"/>
        <v/>
      </c>
      <c r="FR274" s="66" t="str">
        <f t="shared" si="3707"/>
        <v/>
      </c>
      <c r="FS274" s="66" t="str">
        <f t="shared" si="3708"/>
        <v/>
      </c>
    </row>
    <row r="275" spans="1:175">
      <c r="A275" s="27"/>
      <c r="B275" s="27"/>
      <c r="C275" s="27"/>
      <c r="E275" s="123"/>
      <c r="T275" s="121"/>
      <c r="U275" s="77"/>
      <c r="CU275" s="88" t="str">
        <f t="shared" si="3638"/>
        <v>|n</v>
      </c>
      <c r="CW275" s="33"/>
      <c r="CX275" s="33"/>
      <c r="CY275" s="33"/>
      <c r="CZ275" s="33"/>
      <c r="DA275" s="33"/>
      <c r="DB275" s="66" t="str">
        <f t="shared" si="3639"/>
        <v/>
      </c>
      <c r="DC275" s="66" t="str">
        <f t="shared" si="3640"/>
        <v/>
      </c>
      <c r="DD275" s="66" t="str">
        <f t="shared" si="3641"/>
        <v/>
      </c>
      <c r="DE275" s="66" t="str">
        <f t="shared" si="3642"/>
        <v/>
      </c>
      <c r="DF275" s="66" t="str">
        <f t="shared" si="3643"/>
        <v/>
      </c>
      <c r="DG275" s="66" t="str">
        <f t="shared" si="3644"/>
        <v/>
      </c>
      <c r="DH275" s="66" t="str">
        <f t="shared" si="3645"/>
        <v/>
      </c>
      <c r="DI275" s="66" t="str">
        <f t="shared" si="3646"/>
        <v/>
      </c>
      <c r="DJ275" s="66" t="str">
        <f t="shared" si="3647"/>
        <v/>
      </c>
      <c r="DK275" s="66" t="str">
        <f t="shared" si="3648"/>
        <v/>
      </c>
      <c r="DL275" s="66" t="str">
        <f t="shared" si="3649"/>
        <v/>
      </c>
      <c r="DM275" s="66" t="str">
        <f t="shared" si="3650"/>
        <v/>
      </c>
      <c r="DN275" s="66" t="str">
        <f t="shared" si="3651"/>
        <v/>
      </c>
      <c r="DO275" s="66" t="str">
        <f t="shared" si="3652"/>
        <v/>
      </c>
      <c r="DP275" s="66" t="str">
        <f t="shared" si="3653"/>
        <v/>
      </c>
      <c r="DQ275" s="66" t="str">
        <f t="shared" si="3654"/>
        <v/>
      </c>
      <c r="DR275" s="66" t="str">
        <f t="shared" si="3655"/>
        <v/>
      </c>
      <c r="DS275" s="66" t="str">
        <f t="shared" si="3656"/>
        <v/>
      </c>
      <c r="DT275" s="66" t="str">
        <f t="shared" si="3657"/>
        <v/>
      </c>
      <c r="DU275" s="66" t="str">
        <f t="shared" si="3658"/>
        <v/>
      </c>
      <c r="DV275" s="66" t="str">
        <f t="shared" si="3659"/>
        <v/>
      </c>
      <c r="DW275" s="66" t="str">
        <f t="shared" si="3660"/>
        <v/>
      </c>
      <c r="DX275" s="66" t="str">
        <f t="shared" si="3661"/>
        <v/>
      </c>
      <c r="DY275" s="66" t="str">
        <f t="shared" si="3662"/>
        <v/>
      </c>
      <c r="DZ275" s="66" t="str">
        <f t="shared" si="3663"/>
        <v/>
      </c>
      <c r="EA275" s="66" t="str">
        <f t="shared" si="3664"/>
        <v/>
      </c>
      <c r="EB275" s="66" t="str">
        <f t="shared" si="3665"/>
        <v/>
      </c>
      <c r="EC275" s="66" t="str">
        <f t="shared" si="3666"/>
        <v/>
      </c>
      <c r="ED275" s="66" t="str">
        <f t="shared" si="3667"/>
        <v/>
      </c>
      <c r="EE275" s="66" t="str">
        <f t="shared" si="3668"/>
        <v/>
      </c>
      <c r="EF275" s="66" t="str">
        <f t="shared" si="3669"/>
        <v/>
      </c>
      <c r="EG275" s="66" t="str">
        <f t="shared" si="3670"/>
        <v/>
      </c>
      <c r="EH275" s="66" t="str">
        <f t="shared" si="3671"/>
        <v/>
      </c>
      <c r="EI275" s="66" t="str">
        <f t="shared" si="3672"/>
        <v/>
      </c>
      <c r="EJ275" s="66" t="str">
        <f t="shared" si="3673"/>
        <v/>
      </c>
      <c r="EK275" s="66" t="str">
        <f t="shared" si="3674"/>
        <v/>
      </c>
      <c r="EL275" s="66" t="str">
        <f t="shared" si="3675"/>
        <v/>
      </c>
      <c r="EM275" s="66" t="str">
        <f t="shared" si="3676"/>
        <v/>
      </c>
      <c r="EN275" s="66" t="str">
        <f t="shared" si="3677"/>
        <v/>
      </c>
      <c r="EO275" s="66" t="str">
        <f t="shared" si="3678"/>
        <v/>
      </c>
      <c r="EP275" s="66" t="str">
        <f t="shared" si="3679"/>
        <v/>
      </c>
      <c r="EQ275" s="66" t="str">
        <f t="shared" si="3680"/>
        <v/>
      </c>
      <c r="ER275" s="66" t="str">
        <f t="shared" si="3681"/>
        <v/>
      </c>
      <c r="ES275" s="66" t="str">
        <f t="shared" si="3682"/>
        <v/>
      </c>
      <c r="ET275" s="66" t="str">
        <f t="shared" si="3683"/>
        <v/>
      </c>
      <c r="EU275" s="66" t="str">
        <f t="shared" si="3684"/>
        <v/>
      </c>
      <c r="EV275" s="66" t="str">
        <f t="shared" si="3685"/>
        <v/>
      </c>
      <c r="EW275" s="66" t="str">
        <f t="shared" si="3686"/>
        <v/>
      </c>
      <c r="EX275" s="66" t="str">
        <f t="shared" si="3687"/>
        <v/>
      </c>
      <c r="EY275" s="66" t="str">
        <f t="shared" si="3688"/>
        <v/>
      </c>
      <c r="EZ275" s="66" t="str">
        <f t="shared" si="3689"/>
        <v/>
      </c>
      <c r="FA275" s="66" t="str">
        <f t="shared" si="3690"/>
        <v/>
      </c>
      <c r="FB275" s="66" t="str">
        <f t="shared" si="3691"/>
        <v/>
      </c>
      <c r="FC275" s="66" t="str">
        <f t="shared" si="3692"/>
        <v/>
      </c>
      <c r="FD275" s="66" t="str">
        <f t="shared" si="3693"/>
        <v/>
      </c>
      <c r="FE275" s="66" t="str">
        <f t="shared" si="3694"/>
        <v/>
      </c>
      <c r="FF275" s="66" t="str">
        <f t="shared" si="3695"/>
        <v/>
      </c>
      <c r="FG275" s="66" t="str">
        <f t="shared" si="3696"/>
        <v/>
      </c>
      <c r="FH275" s="66" t="str">
        <f t="shared" si="3697"/>
        <v/>
      </c>
      <c r="FI275" s="66" t="str">
        <f t="shared" si="3698"/>
        <v/>
      </c>
      <c r="FJ275" s="66" t="str">
        <f t="shared" si="3699"/>
        <v/>
      </c>
      <c r="FK275" s="66" t="str">
        <f t="shared" si="3700"/>
        <v/>
      </c>
      <c r="FL275" s="66" t="str">
        <f t="shared" si="3701"/>
        <v/>
      </c>
      <c r="FM275" s="66" t="str">
        <f t="shared" si="3702"/>
        <v/>
      </c>
      <c r="FN275" s="66" t="str">
        <f t="shared" si="3703"/>
        <v/>
      </c>
      <c r="FO275" s="66" t="str">
        <f t="shared" si="3704"/>
        <v/>
      </c>
      <c r="FP275" s="66" t="str">
        <f t="shared" si="3705"/>
        <v/>
      </c>
      <c r="FQ275" s="66" t="str">
        <f t="shared" si="3706"/>
        <v/>
      </c>
      <c r="FR275" s="66" t="str">
        <f t="shared" si="3707"/>
        <v/>
      </c>
      <c r="FS275" s="66" t="str">
        <f t="shared" si="3708"/>
        <v/>
      </c>
    </row>
    <row r="276" spans="1:175" s="33" customFormat="1" ht="16.5">
      <c r="A276" s="114"/>
      <c r="B276" s="1"/>
      <c r="C276" s="114"/>
      <c r="D276" s="67"/>
      <c r="E276" s="68"/>
      <c r="F276" s="115"/>
      <c r="G276" s="116"/>
      <c r="H276" s="116"/>
      <c r="I276" s="116"/>
      <c r="J276" s="116"/>
      <c r="K276" s="116"/>
      <c r="L276" s="116"/>
      <c r="M276" s="116"/>
      <c r="N276" s="116"/>
      <c r="O276" s="116"/>
      <c r="P276" s="73"/>
      <c r="Q276" s="73"/>
      <c r="R276" s="73"/>
      <c r="S276" s="73"/>
      <c r="T276" s="80"/>
      <c r="U276" s="77"/>
      <c r="V276" s="78"/>
      <c r="W276" s="78"/>
      <c r="X276" s="78"/>
      <c r="Y276" s="78"/>
      <c r="Z276" s="78"/>
      <c r="AA276" s="78"/>
      <c r="AB276" s="78"/>
      <c r="AC276" s="78"/>
      <c r="AD276" s="78"/>
      <c r="AE276" s="78"/>
      <c r="AF276" s="78"/>
      <c r="AG276" s="78"/>
      <c r="AH276" s="78"/>
      <c r="AI276" s="78"/>
      <c r="AJ276" s="78"/>
      <c r="AK276" s="78"/>
      <c r="AL276" s="78"/>
      <c r="AM276" s="78"/>
      <c r="AN276" s="78"/>
      <c r="AO276" s="78"/>
      <c r="AP276" s="78"/>
      <c r="AQ276" s="78"/>
      <c r="AR276" s="84"/>
      <c r="AS276" s="84"/>
      <c r="AT276" s="78"/>
      <c r="AU276" s="78"/>
      <c r="AV276" s="78"/>
      <c r="AW276" s="78"/>
      <c r="AX276" s="78"/>
      <c r="AY276" s="78"/>
      <c r="AZ276" s="78"/>
      <c r="BA276" s="78"/>
      <c r="BB276" s="78"/>
      <c r="BC276" s="78"/>
      <c r="BD276" s="78"/>
      <c r="BE276" s="78"/>
      <c r="BF276" s="78"/>
      <c r="BG276" s="78"/>
      <c r="BH276" s="78"/>
      <c r="BI276" s="78"/>
      <c r="BJ276" s="78"/>
      <c r="BK276" s="78"/>
      <c r="BL276" s="78"/>
      <c r="BM276" s="78"/>
      <c r="BN276" s="78"/>
      <c r="BO276" s="78"/>
      <c r="BP276" s="78"/>
      <c r="BQ276" s="78"/>
      <c r="BR276" s="78"/>
      <c r="BS276" s="78"/>
      <c r="BT276" s="78"/>
      <c r="BU276" s="78"/>
      <c r="BV276" s="78"/>
      <c r="BW276" s="78"/>
      <c r="BX276" s="78"/>
      <c r="BY276" s="78"/>
      <c r="BZ276" s="78"/>
      <c r="CA276" s="78"/>
      <c r="CB276" s="78"/>
      <c r="CC276" s="78"/>
      <c r="CD276" s="78"/>
      <c r="CE276" s="78"/>
      <c r="CF276" s="78"/>
      <c r="CG276" s="78"/>
      <c r="CH276" s="78"/>
      <c r="CI276" s="78"/>
      <c r="CJ276" s="78"/>
      <c r="CK276" s="78"/>
      <c r="CL276" s="78"/>
      <c r="CM276" s="78"/>
      <c r="CN276" s="86" t="str">
        <f t="shared" ref="CN276:CN279" si="3870">"InitUnitState('"&amp;B276&amp;"',"&amp;V276&amp;","&amp;W276&amp;","&amp;X276&amp;","&amp;Y276&amp;","&amp;Z276&amp;","&amp;AA276&amp;","&amp;AB276&amp;","&amp;AC276&amp;","&amp;AD276&amp;","&amp;AE276&amp;")"</f>
        <v>InitUnitState('',,,,,,,,,,)</v>
      </c>
      <c r="CO276" s="86" t="str">
        <f t="shared" ref="CO276:CO279" si="3871">"InitUnitNormal('"&amp;B276&amp;"',"&amp;AF276&amp;","&amp;AG276&amp;","&amp;AH276&amp;","&amp;AI276&amp;","&amp;AJ276&amp;","&amp;AK276&amp;","&amp;AL276&amp;","&amp;AM276&amp;","&amp;AN276&amp;","&amp;AO276&amp;")"</f>
        <v>InitUnitNormal('',,,,,,,,,,)</v>
      </c>
      <c r="CP276" s="86" t="str">
        <f t="shared" ref="CP276:CP279" si="3872">"InitUnitMagic('"&amp;B276&amp;"',"&amp;AP276&amp;","&amp;AQ276&amp;","&amp;AR276&amp;","&amp;AS276&amp;","&amp;AT276&amp;","&amp;AU276&amp;","&amp;AV276&amp;","&amp;AW276&amp;","&amp;BI276&amp;","&amp;BJ276&amp;")"</f>
        <v>InitUnitMagic('',,,,,,,,,,)</v>
      </c>
      <c r="CQ276" s="86" t="str">
        <f t="shared" ref="CQ276:CQ279" si="3873">"InitUnitAdd('"&amp;B276&amp;"',"&amp;BK276&amp;","&amp;BL276&amp;","&amp;BM276&amp;","&amp;BN276&amp;","&amp;BO276&amp;","&amp;BP276&amp;","&amp;BQ276&amp;","&amp;BR276&amp;","&amp;BS276&amp;","&amp;BT276&amp;")"</f>
        <v>InitUnitAdd('',,,,,,,,,,)</v>
      </c>
      <c r="CR276" s="86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InitEquipData('',,"",,,,,'','','','','','',"")</v>
      </c>
      <c r="CS276" s="86"/>
      <c r="CT276" s="86"/>
      <c r="CU276" s="88" t="str">
        <f t="shared" si="3638"/>
        <v>|n</v>
      </c>
      <c r="CV276" s="19"/>
      <c r="DB276" s="66" t="str">
        <f t="shared" si="3639"/>
        <v/>
      </c>
      <c r="DC276" s="66" t="str">
        <f t="shared" si="3640"/>
        <v/>
      </c>
      <c r="DD276" s="66" t="str">
        <f t="shared" si="3641"/>
        <v/>
      </c>
      <c r="DE276" s="66" t="str">
        <f t="shared" si="3642"/>
        <v/>
      </c>
      <c r="DF276" s="66" t="str">
        <f t="shared" si="3643"/>
        <v/>
      </c>
      <c r="DG276" s="66" t="str">
        <f t="shared" si="3644"/>
        <v/>
      </c>
      <c r="DH276" s="66" t="str">
        <f t="shared" si="3645"/>
        <v/>
      </c>
      <c r="DI276" s="66" t="str">
        <f t="shared" si="3646"/>
        <v/>
      </c>
      <c r="DJ276" s="66" t="str">
        <f t="shared" si="3647"/>
        <v/>
      </c>
      <c r="DK276" s="66" t="str">
        <f t="shared" si="3648"/>
        <v/>
      </c>
      <c r="DL276" s="66" t="str">
        <f t="shared" si="3649"/>
        <v/>
      </c>
      <c r="DM276" s="66" t="str">
        <f t="shared" si="3650"/>
        <v/>
      </c>
      <c r="DN276" s="66" t="str">
        <f t="shared" si="3651"/>
        <v/>
      </c>
      <c r="DO276" s="66" t="str">
        <f t="shared" si="3652"/>
        <v/>
      </c>
      <c r="DP276" s="66" t="str">
        <f t="shared" si="3653"/>
        <v/>
      </c>
      <c r="DQ276" s="66" t="str">
        <f t="shared" si="3654"/>
        <v/>
      </c>
      <c r="DR276" s="66" t="str">
        <f t="shared" si="3655"/>
        <v/>
      </c>
      <c r="DS276" s="66" t="str">
        <f t="shared" si="3656"/>
        <v/>
      </c>
      <c r="DT276" s="66" t="str">
        <f t="shared" si="3657"/>
        <v/>
      </c>
      <c r="DU276" s="66" t="str">
        <f t="shared" si="3658"/>
        <v/>
      </c>
      <c r="DV276" s="66" t="str">
        <f t="shared" si="3659"/>
        <v/>
      </c>
      <c r="DW276" s="66" t="str">
        <f t="shared" si="3660"/>
        <v/>
      </c>
      <c r="DX276" s="66" t="str">
        <f t="shared" si="3661"/>
        <v/>
      </c>
      <c r="DY276" s="66" t="str">
        <f t="shared" si="3662"/>
        <v/>
      </c>
      <c r="DZ276" s="66" t="str">
        <f t="shared" si="3663"/>
        <v/>
      </c>
      <c r="EA276" s="66" t="str">
        <f t="shared" si="3664"/>
        <v/>
      </c>
      <c r="EB276" s="66" t="str">
        <f t="shared" si="3665"/>
        <v/>
      </c>
      <c r="EC276" s="66" t="str">
        <f t="shared" si="3666"/>
        <v/>
      </c>
      <c r="ED276" s="66" t="str">
        <f t="shared" si="3667"/>
        <v/>
      </c>
      <c r="EE276" s="66" t="str">
        <f t="shared" si="3668"/>
        <v/>
      </c>
      <c r="EF276" s="66" t="str">
        <f t="shared" si="3669"/>
        <v/>
      </c>
      <c r="EG276" s="66" t="str">
        <f t="shared" si="3670"/>
        <v/>
      </c>
      <c r="EH276" s="66" t="str">
        <f t="shared" si="3671"/>
        <v/>
      </c>
      <c r="EI276" s="66" t="str">
        <f t="shared" si="3672"/>
        <v/>
      </c>
      <c r="EJ276" s="66" t="str">
        <f t="shared" si="3673"/>
        <v/>
      </c>
      <c r="EK276" s="66" t="str">
        <f t="shared" si="3674"/>
        <v/>
      </c>
      <c r="EL276" s="66" t="str">
        <f t="shared" si="3675"/>
        <v/>
      </c>
      <c r="EM276" s="66" t="str">
        <f t="shared" si="3676"/>
        <v/>
      </c>
      <c r="EN276" s="66" t="str">
        <f t="shared" si="3677"/>
        <v/>
      </c>
      <c r="EO276" s="66" t="str">
        <f t="shared" si="3678"/>
        <v/>
      </c>
      <c r="EP276" s="66" t="str">
        <f t="shared" si="3679"/>
        <v/>
      </c>
      <c r="EQ276" s="66" t="str">
        <f t="shared" si="3680"/>
        <v/>
      </c>
      <c r="ER276" s="66" t="str">
        <f t="shared" si="3681"/>
        <v/>
      </c>
      <c r="ES276" s="66" t="str">
        <f t="shared" si="3682"/>
        <v/>
      </c>
      <c r="ET276" s="66" t="str">
        <f t="shared" si="3683"/>
        <v/>
      </c>
      <c r="EU276" s="66" t="str">
        <f t="shared" si="3684"/>
        <v/>
      </c>
      <c r="EV276" s="66" t="str">
        <f t="shared" si="3685"/>
        <v/>
      </c>
      <c r="EW276" s="66" t="str">
        <f t="shared" si="3686"/>
        <v/>
      </c>
      <c r="EX276" s="66" t="str">
        <f t="shared" si="3687"/>
        <v/>
      </c>
      <c r="EY276" s="66" t="str">
        <f t="shared" si="3688"/>
        <v/>
      </c>
      <c r="EZ276" s="66" t="str">
        <f t="shared" si="3689"/>
        <v/>
      </c>
      <c r="FA276" s="66" t="str">
        <f t="shared" si="3690"/>
        <v/>
      </c>
      <c r="FB276" s="66" t="str">
        <f t="shared" si="3691"/>
        <v/>
      </c>
      <c r="FC276" s="66" t="str">
        <f t="shared" si="3692"/>
        <v/>
      </c>
      <c r="FD276" s="66" t="str">
        <f t="shared" si="3693"/>
        <v/>
      </c>
      <c r="FE276" s="66" t="str">
        <f t="shared" si="3694"/>
        <v/>
      </c>
      <c r="FF276" s="66" t="str">
        <f t="shared" si="3695"/>
        <v/>
      </c>
      <c r="FG276" s="66" t="str">
        <f t="shared" si="3696"/>
        <v/>
      </c>
      <c r="FH276" s="66" t="str">
        <f t="shared" si="3697"/>
        <v/>
      </c>
      <c r="FI276" s="66" t="str">
        <f t="shared" si="3698"/>
        <v/>
      </c>
      <c r="FJ276" s="66" t="str">
        <f t="shared" si="3699"/>
        <v/>
      </c>
      <c r="FK276" s="66" t="str">
        <f t="shared" si="3700"/>
        <v/>
      </c>
      <c r="FL276" s="66" t="str">
        <f t="shared" si="3701"/>
        <v/>
      </c>
      <c r="FM276" s="66" t="str">
        <f t="shared" si="3702"/>
        <v/>
      </c>
      <c r="FN276" s="66" t="str">
        <f t="shared" si="3703"/>
        <v/>
      </c>
      <c r="FO276" s="66" t="str">
        <f t="shared" si="3704"/>
        <v/>
      </c>
      <c r="FP276" s="66" t="str">
        <f t="shared" si="3705"/>
        <v/>
      </c>
      <c r="FQ276" s="66" t="str">
        <f t="shared" si="3706"/>
        <v/>
      </c>
      <c r="FR276" s="66" t="str">
        <f t="shared" si="3707"/>
        <v/>
      </c>
      <c r="FS276" s="66" t="str">
        <f t="shared" si="3708"/>
        <v/>
      </c>
    </row>
    <row r="277" spans="1:175" s="33" customFormat="1" ht="16.5">
      <c r="A277" s="114"/>
      <c r="B277" s="1"/>
      <c r="C277" s="114"/>
      <c r="D277" s="67"/>
      <c r="E277" s="68"/>
      <c r="F277" s="115"/>
      <c r="G277" s="116"/>
      <c r="H277" s="116"/>
      <c r="I277" s="116"/>
      <c r="J277" s="116"/>
      <c r="K277" s="116"/>
      <c r="L277" s="116"/>
      <c r="M277" s="116"/>
      <c r="N277" s="116"/>
      <c r="O277" s="116"/>
      <c r="P277" s="73"/>
      <c r="Q277" s="73"/>
      <c r="R277" s="73"/>
      <c r="S277" s="73"/>
      <c r="T277" s="80"/>
      <c r="U277" s="77"/>
      <c r="V277" s="78"/>
      <c r="W277" s="78"/>
      <c r="X277" s="78"/>
      <c r="Y277" s="78"/>
      <c r="Z277" s="78"/>
      <c r="AA277" s="78"/>
      <c r="AB277" s="78"/>
      <c r="AC277" s="78"/>
      <c r="AD277" s="78"/>
      <c r="AE277" s="78"/>
      <c r="AF277" s="78"/>
      <c r="AG277" s="78"/>
      <c r="AH277" s="78"/>
      <c r="AI277" s="78"/>
      <c r="AJ277" s="78"/>
      <c r="AK277" s="78"/>
      <c r="AL277" s="78"/>
      <c r="AM277" s="78"/>
      <c r="AN277" s="78"/>
      <c r="AO277" s="78"/>
      <c r="AP277" s="78"/>
      <c r="AQ277" s="78"/>
      <c r="AR277" s="84"/>
      <c r="AS277" s="84"/>
      <c r="AT277" s="78"/>
      <c r="AU277" s="78"/>
      <c r="AV277" s="78"/>
      <c r="AW277" s="78"/>
      <c r="AX277" s="78"/>
      <c r="AY277" s="78"/>
      <c r="AZ277" s="78"/>
      <c r="BA277" s="78"/>
      <c r="BB277" s="78"/>
      <c r="BC277" s="78"/>
      <c r="BD277" s="78"/>
      <c r="BE277" s="78"/>
      <c r="BF277" s="78"/>
      <c r="BG277" s="78"/>
      <c r="BH277" s="78"/>
      <c r="BI277" s="78"/>
      <c r="BJ277" s="78"/>
      <c r="BK277" s="78"/>
      <c r="BL277" s="78"/>
      <c r="BM277" s="78"/>
      <c r="BN277" s="78"/>
      <c r="BO277" s="78"/>
      <c r="BP277" s="78"/>
      <c r="BQ277" s="78"/>
      <c r="BR277" s="78"/>
      <c r="BS277" s="78"/>
      <c r="BT277" s="78"/>
      <c r="BU277" s="78"/>
      <c r="BV277" s="78"/>
      <c r="BW277" s="78"/>
      <c r="BX277" s="78"/>
      <c r="BY277" s="78"/>
      <c r="BZ277" s="78"/>
      <c r="CA277" s="78"/>
      <c r="CB277" s="78"/>
      <c r="CC277" s="78"/>
      <c r="CD277" s="78"/>
      <c r="CE277" s="78"/>
      <c r="CF277" s="78"/>
      <c r="CG277" s="78"/>
      <c r="CH277" s="78"/>
      <c r="CI277" s="78"/>
      <c r="CJ277" s="78"/>
      <c r="CK277" s="78"/>
      <c r="CL277" s="78"/>
      <c r="CM277" s="78"/>
      <c r="CN277" s="86" t="str">
        <f t="shared" si="3870"/>
        <v>InitUnitState('',,,,,,,,,,)</v>
      </c>
      <c r="CO277" s="86" t="str">
        <f t="shared" si="3871"/>
        <v>InitUnitNormal('',,,,,,,,,,)</v>
      </c>
      <c r="CP277" s="86" t="str">
        <f t="shared" si="3872"/>
        <v>InitUnitMagic('',,,,,,,,,,)</v>
      </c>
      <c r="CQ277" s="86" t="str">
        <f t="shared" si="3873"/>
        <v>InitUnitAdd('',,,,,,,,,,)</v>
      </c>
      <c r="CR277" s="86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InitEquipData('',,"",,,,,'','','','','','',"")</v>
      </c>
      <c r="CS277" s="86"/>
      <c r="CT277" s="86"/>
      <c r="CU277" s="88" t="str">
        <f t="shared" si="3638"/>
        <v>|n</v>
      </c>
      <c r="CV277" s="19"/>
      <c r="DB277" s="66" t="str">
        <f t="shared" si="3639"/>
        <v/>
      </c>
      <c r="DC277" s="66" t="str">
        <f t="shared" si="3640"/>
        <v/>
      </c>
      <c r="DD277" s="66" t="str">
        <f t="shared" si="3641"/>
        <v/>
      </c>
      <c r="DE277" s="66" t="str">
        <f t="shared" si="3642"/>
        <v/>
      </c>
      <c r="DF277" s="66" t="str">
        <f t="shared" si="3643"/>
        <v/>
      </c>
      <c r="DG277" s="66" t="str">
        <f t="shared" si="3644"/>
        <v/>
      </c>
      <c r="DH277" s="66" t="str">
        <f t="shared" si="3645"/>
        <v/>
      </c>
      <c r="DI277" s="66" t="str">
        <f t="shared" si="3646"/>
        <v/>
      </c>
      <c r="DJ277" s="66" t="str">
        <f t="shared" si="3647"/>
        <v/>
      </c>
      <c r="DK277" s="66" t="str">
        <f t="shared" si="3648"/>
        <v/>
      </c>
      <c r="DL277" s="66" t="str">
        <f t="shared" si="3649"/>
        <v/>
      </c>
      <c r="DM277" s="66" t="str">
        <f t="shared" si="3650"/>
        <v/>
      </c>
      <c r="DN277" s="66" t="str">
        <f t="shared" si="3651"/>
        <v/>
      </c>
      <c r="DO277" s="66" t="str">
        <f t="shared" si="3652"/>
        <v/>
      </c>
      <c r="DP277" s="66" t="str">
        <f t="shared" si="3653"/>
        <v/>
      </c>
      <c r="DQ277" s="66" t="str">
        <f t="shared" si="3654"/>
        <v/>
      </c>
      <c r="DR277" s="66" t="str">
        <f t="shared" si="3655"/>
        <v/>
      </c>
      <c r="DS277" s="66" t="str">
        <f t="shared" si="3656"/>
        <v/>
      </c>
      <c r="DT277" s="66" t="str">
        <f t="shared" si="3657"/>
        <v/>
      </c>
      <c r="DU277" s="66" t="str">
        <f t="shared" si="3658"/>
        <v/>
      </c>
      <c r="DV277" s="66" t="str">
        <f t="shared" si="3659"/>
        <v/>
      </c>
      <c r="DW277" s="66" t="str">
        <f t="shared" si="3660"/>
        <v/>
      </c>
      <c r="DX277" s="66" t="str">
        <f t="shared" si="3661"/>
        <v/>
      </c>
      <c r="DY277" s="66" t="str">
        <f t="shared" si="3662"/>
        <v/>
      </c>
      <c r="DZ277" s="66" t="str">
        <f t="shared" si="3663"/>
        <v/>
      </c>
      <c r="EA277" s="66" t="str">
        <f t="shared" si="3664"/>
        <v/>
      </c>
      <c r="EB277" s="66" t="str">
        <f t="shared" si="3665"/>
        <v/>
      </c>
      <c r="EC277" s="66" t="str">
        <f t="shared" si="3666"/>
        <v/>
      </c>
      <c r="ED277" s="66" t="str">
        <f t="shared" si="3667"/>
        <v/>
      </c>
      <c r="EE277" s="66" t="str">
        <f t="shared" si="3668"/>
        <v/>
      </c>
      <c r="EF277" s="66" t="str">
        <f t="shared" si="3669"/>
        <v/>
      </c>
      <c r="EG277" s="66" t="str">
        <f t="shared" si="3670"/>
        <v/>
      </c>
      <c r="EH277" s="66" t="str">
        <f t="shared" si="3671"/>
        <v/>
      </c>
      <c r="EI277" s="66" t="str">
        <f t="shared" si="3672"/>
        <v/>
      </c>
      <c r="EJ277" s="66" t="str">
        <f t="shared" si="3673"/>
        <v/>
      </c>
      <c r="EK277" s="66" t="str">
        <f t="shared" si="3674"/>
        <v/>
      </c>
      <c r="EL277" s="66" t="str">
        <f t="shared" si="3675"/>
        <v/>
      </c>
      <c r="EM277" s="66" t="str">
        <f t="shared" si="3676"/>
        <v/>
      </c>
      <c r="EN277" s="66" t="str">
        <f t="shared" si="3677"/>
        <v/>
      </c>
      <c r="EO277" s="66" t="str">
        <f t="shared" si="3678"/>
        <v/>
      </c>
      <c r="EP277" s="66" t="str">
        <f t="shared" si="3679"/>
        <v/>
      </c>
      <c r="EQ277" s="66" t="str">
        <f t="shared" si="3680"/>
        <v/>
      </c>
      <c r="ER277" s="66" t="str">
        <f t="shared" si="3681"/>
        <v/>
      </c>
      <c r="ES277" s="66" t="str">
        <f t="shared" si="3682"/>
        <v/>
      </c>
      <c r="ET277" s="66" t="str">
        <f t="shared" si="3683"/>
        <v/>
      </c>
      <c r="EU277" s="66" t="str">
        <f t="shared" si="3684"/>
        <v/>
      </c>
      <c r="EV277" s="66" t="str">
        <f t="shared" si="3685"/>
        <v/>
      </c>
      <c r="EW277" s="66" t="str">
        <f t="shared" si="3686"/>
        <v/>
      </c>
      <c r="EX277" s="66" t="str">
        <f t="shared" si="3687"/>
        <v/>
      </c>
      <c r="EY277" s="66" t="str">
        <f t="shared" si="3688"/>
        <v/>
      </c>
      <c r="EZ277" s="66" t="str">
        <f t="shared" si="3689"/>
        <v/>
      </c>
      <c r="FA277" s="66" t="str">
        <f t="shared" si="3690"/>
        <v/>
      </c>
      <c r="FB277" s="66" t="str">
        <f t="shared" si="3691"/>
        <v/>
      </c>
      <c r="FC277" s="66" t="str">
        <f t="shared" si="3692"/>
        <v/>
      </c>
      <c r="FD277" s="66" t="str">
        <f t="shared" si="3693"/>
        <v/>
      </c>
      <c r="FE277" s="66" t="str">
        <f t="shared" si="3694"/>
        <v/>
      </c>
      <c r="FF277" s="66" t="str">
        <f t="shared" si="3695"/>
        <v/>
      </c>
      <c r="FG277" s="66" t="str">
        <f t="shared" si="3696"/>
        <v/>
      </c>
      <c r="FH277" s="66" t="str">
        <f t="shared" si="3697"/>
        <v/>
      </c>
      <c r="FI277" s="66" t="str">
        <f t="shared" si="3698"/>
        <v/>
      </c>
      <c r="FJ277" s="66" t="str">
        <f t="shared" si="3699"/>
        <v/>
      </c>
      <c r="FK277" s="66" t="str">
        <f t="shared" si="3700"/>
        <v/>
      </c>
      <c r="FL277" s="66" t="str">
        <f t="shared" si="3701"/>
        <v/>
      </c>
      <c r="FM277" s="66" t="str">
        <f t="shared" si="3702"/>
        <v/>
      </c>
      <c r="FN277" s="66" t="str">
        <f t="shared" si="3703"/>
        <v/>
      </c>
      <c r="FO277" s="66" t="str">
        <f t="shared" si="3704"/>
        <v/>
      </c>
      <c r="FP277" s="66" t="str">
        <f t="shared" si="3705"/>
        <v/>
      </c>
      <c r="FQ277" s="66" t="str">
        <f t="shared" si="3706"/>
        <v/>
      </c>
      <c r="FR277" s="66" t="str">
        <f t="shared" si="3707"/>
        <v/>
      </c>
      <c r="FS277" s="66" t="str">
        <f t="shared" si="3708"/>
        <v/>
      </c>
    </row>
    <row r="278" spans="1:175" s="33" customFormat="1" ht="16.5">
      <c r="A278" s="114"/>
      <c r="B278" s="1"/>
      <c r="C278" s="114"/>
      <c r="D278" s="67"/>
      <c r="E278" s="68"/>
      <c r="F278" s="115"/>
      <c r="G278" s="116"/>
      <c r="H278" s="116"/>
      <c r="I278" s="116"/>
      <c r="J278" s="116"/>
      <c r="K278" s="116"/>
      <c r="L278" s="116"/>
      <c r="M278" s="116"/>
      <c r="N278" s="116"/>
      <c r="O278" s="116"/>
      <c r="P278" s="73"/>
      <c r="Q278" s="73"/>
      <c r="R278" s="73"/>
      <c r="S278" s="73"/>
      <c r="T278" s="80"/>
      <c r="U278" s="77"/>
      <c r="V278" s="78"/>
      <c r="W278" s="78"/>
      <c r="X278" s="78"/>
      <c r="Y278" s="78"/>
      <c r="Z278" s="78"/>
      <c r="AA278" s="78"/>
      <c r="AB278" s="78"/>
      <c r="AC278" s="78"/>
      <c r="AD278" s="78"/>
      <c r="AE278" s="78"/>
      <c r="AF278" s="78"/>
      <c r="AG278" s="78"/>
      <c r="AH278" s="78"/>
      <c r="AI278" s="78"/>
      <c r="AJ278" s="78"/>
      <c r="AK278" s="78"/>
      <c r="AL278" s="78"/>
      <c r="AM278" s="78"/>
      <c r="AN278" s="78"/>
      <c r="AO278" s="78"/>
      <c r="AP278" s="78"/>
      <c r="AQ278" s="78"/>
      <c r="AR278" s="84"/>
      <c r="AS278" s="84"/>
      <c r="AT278" s="78"/>
      <c r="AU278" s="78"/>
      <c r="AV278" s="78"/>
      <c r="AW278" s="78"/>
      <c r="AX278" s="78"/>
      <c r="AY278" s="78"/>
      <c r="AZ278" s="78"/>
      <c r="BA278" s="78"/>
      <c r="BB278" s="78"/>
      <c r="BC278" s="78"/>
      <c r="BD278" s="78"/>
      <c r="BE278" s="78"/>
      <c r="BF278" s="78"/>
      <c r="BG278" s="78"/>
      <c r="BH278" s="78"/>
      <c r="BI278" s="78"/>
      <c r="BJ278" s="78"/>
      <c r="BK278" s="78"/>
      <c r="BL278" s="78"/>
      <c r="BM278" s="78"/>
      <c r="BN278" s="78"/>
      <c r="BO278" s="78"/>
      <c r="BP278" s="78"/>
      <c r="BQ278" s="78"/>
      <c r="BR278" s="78"/>
      <c r="BS278" s="78"/>
      <c r="BT278" s="78"/>
      <c r="BU278" s="78"/>
      <c r="BV278" s="78"/>
      <c r="BW278" s="78"/>
      <c r="BX278" s="78"/>
      <c r="BY278" s="78"/>
      <c r="BZ278" s="78"/>
      <c r="CA278" s="78"/>
      <c r="CB278" s="78"/>
      <c r="CC278" s="78"/>
      <c r="CD278" s="78"/>
      <c r="CE278" s="78"/>
      <c r="CF278" s="78"/>
      <c r="CG278" s="78"/>
      <c r="CH278" s="78"/>
      <c r="CI278" s="78"/>
      <c r="CJ278" s="78"/>
      <c r="CK278" s="78"/>
      <c r="CL278" s="78"/>
      <c r="CM278" s="78"/>
      <c r="CN278" s="86" t="str">
        <f t="shared" si="3870"/>
        <v>InitUnitState('',,,,,,,,,,)</v>
      </c>
      <c r="CO278" s="86" t="str">
        <f t="shared" si="3871"/>
        <v>InitUnitNormal('',,,,,,,,,,)</v>
      </c>
      <c r="CP278" s="86" t="str">
        <f t="shared" si="3872"/>
        <v>InitUnitMagic('',,,,,,,,,,)</v>
      </c>
      <c r="CQ278" s="86" t="str">
        <f t="shared" si="3873"/>
        <v>InitUnitAdd('',,,,,,,,,,)</v>
      </c>
      <c r="CR278" s="86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280&amp;CR$1&amp;")"</f>
        <v>InitEquipData('',,"",,,,,'','','','','','',"")</v>
      </c>
      <c r="CS278" s="86"/>
      <c r="CT278" s="86"/>
      <c r="CU278" s="88" t="str">
        <f t="shared" si="3638"/>
        <v>|n</v>
      </c>
      <c r="CV278" s="19"/>
      <c r="DB278" s="66" t="str">
        <f t="shared" si="3639"/>
        <v/>
      </c>
      <c r="DC278" s="66" t="str">
        <f t="shared" si="3640"/>
        <v/>
      </c>
      <c r="DD278" s="66" t="str">
        <f t="shared" si="3641"/>
        <v/>
      </c>
      <c r="DE278" s="66" t="str">
        <f t="shared" si="3642"/>
        <v/>
      </c>
      <c r="DF278" s="66" t="str">
        <f t="shared" si="3643"/>
        <v/>
      </c>
      <c r="DG278" s="66" t="str">
        <f t="shared" si="3644"/>
        <v/>
      </c>
      <c r="DH278" s="66" t="str">
        <f t="shared" si="3645"/>
        <v/>
      </c>
      <c r="DI278" s="66" t="str">
        <f t="shared" si="3646"/>
        <v/>
      </c>
      <c r="DJ278" s="66" t="str">
        <f t="shared" si="3647"/>
        <v/>
      </c>
      <c r="DK278" s="66" t="str">
        <f t="shared" si="3648"/>
        <v/>
      </c>
      <c r="DL278" s="66" t="str">
        <f t="shared" si="3649"/>
        <v/>
      </c>
      <c r="DM278" s="66" t="str">
        <f t="shared" si="3650"/>
        <v/>
      </c>
      <c r="DN278" s="66" t="str">
        <f t="shared" si="3651"/>
        <v/>
      </c>
      <c r="DO278" s="66" t="str">
        <f t="shared" si="3652"/>
        <v/>
      </c>
      <c r="DP278" s="66" t="str">
        <f t="shared" si="3653"/>
        <v/>
      </c>
      <c r="DQ278" s="66" t="str">
        <f t="shared" si="3654"/>
        <v/>
      </c>
      <c r="DR278" s="66" t="str">
        <f t="shared" si="3655"/>
        <v/>
      </c>
      <c r="DS278" s="66" t="str">
        <f t="shared" si="3656"/>
        <v/>
      </c>
      <c r="DT278" s="66" t="str">
        <f t="shared" si="3657"/>
        <v/>
      </c>
      <c r="DU278" s="66" t="str">
        <f t="shared" si="3658"/>
        <v/>
      </c>
      <c r="DV278" s="66" t="str">
        <f t="shared" si="3659"/>
        <v/>
      </c>
      <c r="DW278" s="66" t="str">
        <f t="shared" si="3660"/>
        <v/>
      </c>
      <c r="DX278" s="66" t="str">
        <f t="shared" si="3661"/>
        <v/>
      </c>
      <c r="DY278" s="66" t="str">
        <f t="shared" si="3662"/>
        <v/>
      </c>
      <c r="DZ278" s="66" t="str">
        <f t="shared" si="3663"/>
        <v/>
      </c>
      <c r="EA278" s="66" t="str">
        <f t="shared" si="3664"/>
        <v/>
      </c>
      <c r="EB278" s="66" t="str">
        <f t="shared" si="3665"/>
        <v/>
      </c>
      <c r="EC278" s="66" t="str">
        <f t="shared" si="3666"/>
        <v/>
      </c>
      <c r="ED278" s="66" t="str">
        <f t="shared" si="3667"/>
        <v/>
      </c>
      <c r="EE278" s="66" t="str">
        <f t="shared" si="3668"/>
        <v/>
      </c>
      <c r="EF278" s="66" t="str">
        <f t="shared" si="3669"/>
        <v/>
      </c>
      <c r="EG278" s="66" t="str">
        <f t="shared" si="3670"/>
        <v/>
      </c>
      <c r="EH278" s="66" t="str">
        <f t="shared" si="3671"/>
        <v/>
      </c>
      <c r="EI278" s="66" t="str">
        <f t="shared" si="3672"/>
        <v/>
      </c>
      <c r="EJ278" s="66" t="str">
        <f t="shared" si="3673"/>
        <v/>
      </c>
      <c r="EK278" s="66" t="str">
        <f t="shared" si="3674"/>
        <v/>
      </c>
      <c r="EL278" s="66" t="str">
        <f t="shared" si="3675"/>
        <v/>
      </c>
      <c r="EM278" s="66" t="str">
        <f t="shared" si="3676"/>
        <v/>
      </c>
      <c r="EN278" s="66" t="str">
        <f t="shared" si="3677"/>
        <v/>
      </c>
      <c r="EO278" s="66" t="str">
        <f t="shared" si="3678"/>
        <v/>
      </c>
      <c r="EP278" s="66" t="str">
        <f t="shared" si="3679"/>
        <v/>
      </c>
      <c r="EQ278" s="66" t="str">
        <f t="shared" si="3680"/>
        <v/>
      </c>
      <c r="ER278" s="66" t="str">
        <f t="shared" si="3681"/>
        <v/>
      </c>
      <c r="ES278" s="66" t="str">
        <f t="shared" si="3682"/>
        <v/>
      </c>
      <c r="ET278" s="66" t="str">
        <f t="shared" si="3683"/>
        <v/>
      </c>
      <c r="EU278" s="66" t="str">
        <f t="shared" si="3684"/>
        <v/>
      </c>
      <c r="EV278" s="66" t="str">
        <f t="shared" si="3685"/>
        <v/>
      </c>
      <c r="EW278" s="66" t="str">
        <f t="shared" si="3686"/>
        <v/>
      </c>
      <c r="EX278" s="66" t="str">
        <f t="shared" si="3687"/>
        <v/>
      </c>
      <c r="EY278" s="66" t="str">
        <f t="shared" si="3688"/>
        <v/>
      </c>
      <c r="EZ278" s="66" t="str">
        <f t="shared" si="3689"/>
        <v/>
      </c>
      <c r="FA278" s="66" t="str">
        <f t="shared" si="3690"/>
        <v/>
      </c>
      <c r="FB278" s="66" t="str">
        <f t="shared" si="3691"/>
        <v/>
      </c>
      <c r="FC278" s="66" t="str">
        <f t="shared" si="3692"/>
        <v/>
      </c>
      <c r="FD278" s="66" t="str">
        <f t="shared" si="3693"/>
        <v/>
      </c>
      <c r="FE278" s="66" t="str">
        <f t="shared" si="3694"/>
        <v/>
      </c>
      <c r="FF278" s="66" t="str">
        <f t="shared" si="3695"/>
        <v/>
      </c>
      <c r="FG278" s="66" t="str">
        <f t="shared" si="3696"/>
        <v/>
      </c>
      <c r="FH278" s="66" t="str">
        <f t="shared" si="3697"/>
        <v/>
      </c>
      <c r="FI278" s="66" t="str">
        <f t="shared" si="3698"/>
        <v/>
      </c>
      <c r="FJ278" s="66" t="str">
        <f t="shared" si="3699"/>
        <v/>
      </c>
      <c r="FK278" s="66" t="str">
        <f t="shared" si="3700"/>
        <v/>
      </c>
      <c r="FL278" s="66" t="str">
        <f t="shared" si="3701"/>
        <v/>
      </c>
      <c r="FM278" s="66" t="str">
        <f t="shared" si="3702"/>
        <v/>
      </c>
      <c r="FN278" s="66" t="str">
        <f t="shared" si="3703"/>
        <v/>
      </c>
      <c r="FO278" s="66" t="str">
        <f t="shared" si="3704"/>
        <v/>
      </c>
      <c r="FP278" s="66" t="str">
        <f t="shared" si="3705"/>
        <v/>
      </c>
      <c r="FQ278" s="66" t="str">
        <f t="shared" si="3706"/>
        <v/>
      </c>
      <c r="FR278" s="66" t="str">
        <f t="shared" si="3707"/>
        <v/>
      </c>
      <c r="FS278" s="66" t="str">
        <f t="shared" si="3708"/>
        <v/>
      </c>
    </row>
    <row r="279" spans="1:175" s="33" customFormat="1" ht="16.5">
      <c r="A279" s="114"/>
      <c r="B279" s="1"/>
      <c r="C279" s="114"/>
      <c r="D279" s="67"/>
      <c r="E279" s="68"/>
      <c r="F279" s="115"/>
      <c r="G279" s="116"/>
      <c r="H279" s="116"/>
      <c r="I279" s="116"/>
      <c r="J279" s="116"/>
      <c r="K279" s="116"/>
      <c r="L279" s="116"/>
      <c r="M279" s="116"/>
      <c r="N279" s="116"/>
      <c r="O279" s="116"/>
      <c r="P279" s="73"/>
      <c r="Q279" s="73"/>
      <c r="R279" s="73"/>
      <c r="S279" s="73"/>
      <c r="T279" s="80"/>
      <c r="U279" s="77"/>
      <c r="V279" s="78"/>
      <c r="W279" s="78"/>
      <c r="X279" s="78"/>
      <c r="Y279" s="78"/>
      <c r="Z279" s="78"/>
      <c r="AA279" s="78"/>
      <c r="AB279" s="78"/>
      <c r="AC279" s="78"/>
      <c r="AD279" s="78"/>
      <c r="AE279" s="78"/>
      <c r="AF279" s="78"/>
      <c r="AG279" s="78"/>
      <c r="AH279" s="78"/>
      <c r="AI279" s="78"/>
      <c r="AJ279" s="78"/>
      <c r="AK279" s="78"/>
      <c r="AL279" s="78"/>
      <c r="AM279" s="78"/>
      <c r="AN279" s="78"/>
      <c r="AO279" s="78"/>
      <c r="AP279" s="78"/>
      <c r="AQ279" s="78"/>
      <c r="AR279" s="84"/>
      <c r="AS279" s="84"/>
      <c r="AT279" s="78"/>
      <c r="AU279" s="78"/>
      <c r="AV279" s="78"/>
      <c r="AW279" s="78"/>
      <c r="AX279" s="78"/>
      <c r="AY279" s="78"/>
      <c r="AZ279" s="78"/>
      <c r="BA279" s="78"/>
      <c r="BB279" s="78"/>
      <c r="BC279" s="78"/>
      <c r="BD279" s="78"/>
      <c r="BE279" s="78"/>
      <c r="BF279" s="78"/>
      <c r="BG279" s="78"/>
      <c r="BH279" s="78"/>
      <c r="BI279" s="78"/>
      <c r="BJ279" s="78"/>
      <c r="BK279" s="78"/>
      <c r="BL279" s="78"/>
      <c r="BM279" s="78"/>
      <c r="BN279" s="78"/>
      <c r="BO279" s="78"/>
      <c r="BP279" s="78"/>
      <c r="BQ279" s="78"/>
      <c r="BR279" s="78"/>
      <c r="BS279" s="78"/>
      <c r="BT279" s="78"/>
      <c r="BU279" s="78"/>
      <c r="BV279" s="78"/>
      <c r="BW279" s="78"/>
      <c r="BX279" s="78"/>
      <c r="BY279" s="78"/>
      <c r="BZ279" s="78"/>
      <c r="CA279" s="78"/>
      <c r="CB279" s="78"/>
      <c r="CC279" s="78"/>
      <c r="CD279" s="78"/>
      <c r="CE279" s="78"/>
      <c r="CF279" s="78"/>
      <c r="CG279" s="78"/>
      <c r="CH279" s="78"/>
      <c r="CI279" s="78"/>
      <c r="CJ279" s="78"/>
      <c r="CK279" s="78"/>
      <c r="CL279" s="78"/>
      <c r="CM279" s="78"/>
      <c r="CN279" s="86" t="str">
        <f t="shared" si="3870"/>
        <v>InitUnitState('',,,,,,,,,,)</v>
      </c>
      <c r="CO279" s="86" t="str">
        <f t="shared" si="3871"/>
        <v>InitUnitNormal('',,,,,,,,,,)</v>
      </c>
      <c r="CP279" s="86" t="str">
        <f t="shared" si="3872"/>
        <v>InitUnitMagic('',,,,,,,,,,)</v>
      </c>
      <c r="CQ279" s="86" t="str">
        <f t="shared" si="3873"/>
        <v>InitUnitAdd('',,,,,,,,,,)</v>
      </c>
      <c r="CR279" s="86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281&amp;CR$1&amp;")"</f>
        <v>InitEquipData('',,"",,,,,'','','','','','',"")</v>
      </c>
      <c r="CS279" s="86"/>
      <c r="CT279" s="86"/>
      <c r="CU279" s="88" t="str">
        <f t="shared" si="3638"/>
        <v>|n</v>
      </c>
      <c r="CV279" s="19"/>
      <c r="DB279" s="66" t="str">
        <f t="shared" si="3639"/>
        <v/>
      </c>
      <c r="DC279" s="66" t="str">
        <f t="shared" si="3640"/>
        <v/>
      </c>
      <c r="DD279" s="66" t="str">
        <f t="shared" si="3641"/>
        <v/>
      </c>
      <c r="DE279" s="66" t="str">
        <f t="shared" si="3642"/>
        <v/>
      </c>
      <c r="DF279" s="66" t="str">
        <f t="shared" si="3643"/>
        <v/>
      </c>
      <c r="DG279" s="66" t="str">
        <f t="shared" si="3644"/>
        <v/>
      </c>
      <c r="DH279" s="66" t="str">
        <f t="shared" si="3645"/>
        <v/>
      </c>
      <c r="DI279" s="66" t="str">
        <f t="shared" si="3646"/>
        <v/>
      </c>
      <c r="DJ279" s="66" t="str">
        <f t="shared" si="3647"/>
        <v/>
      </c>
      <c r="DK279" s="66" t="str">
        <f t="shared" si="3648"/>
        <v/>
      </c>
      <c r="DL279" s="66" t="str">
        <f t="shared" si="3649"/>
        <v/>
      </c>
      <c r="DM279" s="66" t="str">
        <f t="shared" si="3650"/>
        <v/>
      </c>
      <c r="DN279" s="66" t="str">
        <f t="shared" si="3651"/>
        <v/>
      </c>
      <c r="DO279" s="66" t="str">
        <f t="shared" si="3652"/>
        <v/>
      </c>
      <c r="DP279" s="66" t="str">
        <f t="shared" si="3653"/>
        <v/>
      </c>
      <c r="DQ279" s="66" t="str">
        <f t="shared" si="3654"/>
        <v/>
      </c>
      <c r="DR279" s="66" t="str">
        <f t="shared" si="3655"/>
        <v/>
      </c>
      <c r="DS279" s="66" t="str">
        <f t="shared" si="3656"/>
        <v/>
      </c>
      <c r="DT279" s="66" t="str">
        <f t="shared" si="3657"/>
        <v/>
      </c>
      <c r="DU279" s="66" t="str">
        <f t="shared" si="3658"/>
        <v/>
      </c>
      <c r="DV279" s="66" t="str">
        <f t="shared" si="3659"/>
        <v/>
      </c>
      <c r="DW279" s="66" t="str">
        <f t="shared" si="3660"/>
        <v/>
      </c>
      <c r="DX279" s="66" t="str">
        <f t="shared" si="3661"/>
        <v/>
      </c>
      <c r="DY279" s="66" t="str">
        <f t="shared" si="3662"/>
        <v/>
      </c>
      <c r="DZ279" s="66" t="str">
        <f t="shared" si="3663"/>
        <v/>
      </c>
      <c r="EA279" s="66" t="str">
        <f t="shared" si="3664"/>
        <v/>
      </c>
      <c r="EB279" s="66" t="str">
        <f t="shared" si="3665"/>
        <v/>
      </c>
      <c r="EC279" s="66" t="str">
        <f t="shared" si="3666"/>
        <v/>
      </c>
      <c r="ED279" s="66" t="str">
        <f t="shared" si="3667"/>
        <v/>
      </c>
      <c r="EE279" s="66" t="str">
        <f t="shared" si="3668"/>
        <v/>
      </c>
      <c r="EF279" s="66" t="str">
        <f t="shared" si="3669"/>
        <v/>
      </c>
      <c r="EG279" s="66" t="str">
        <f t="shared" si="3670"/>
        <v/>
      </c>
      <c r="EH279" s="66" t="str">
        <f t="shared" si="3671"/>
        <v/>
      </c>
      <c r="EI279" s="66" t="str">
        <f t="shared" si="3672"/>
        <v/>
      </c>
      <c r="EJ279" s="66" t="str">
        <f t="shared" si="3673"/>
        <v/>
      </c>
      <c r="EK279" s="66" t="str">
        <f t="shared" si="3674"/>
        <v/>
      </c>
      <c r="EL279" s="66" t="str">
        <f t="shared" si="3675"/>
        <v/>
      </c>
      <c r="EM279" s="66" t="str">
        <f t="shared" si="3676"/>
        <v/>
      </c>
      <c r="EN279" s="66" t="str">
        <f t="shared" si="3677"/>
        <v/>
      </c>
      <c r="EO279" s="66" t="str">
        <f t="shared" si="3678"/>
        <v/>
      </c>
      <c r="EP279" s="66" t="str">
        <f t="shared" si="3679"/>
        <v/>
      </c>
      <c r="EQ279" s="66" t="str">
        <f t="shared" si="3680"/>
        <v/>
      </c>
      <c r="ER279" s="66" t="str">
        <f t="shared" si="3681"/>
        <v/>
      </c>
      <c r="ES279" s="66" t="str">
        <f t="shared" si="3682"/>
        <v/>
      </c>
      <c r="ET279" s="66" t="str">
        <f t="shared" si="3683"/>
        <v/>
      </c>
      <c r="EU279" s="66" t="str">
        <f t="shared" si="3684"/>
        <v/>
      </c>
      <c r="EV279" s="66" t="str">
        <f t="shared" si="3685"/>
        <v/>
      </c>
      <c r="EW279" s="66" t="str">
        <f t="shared" si="3686"/>
        <v/>
      </c>
      <c r="EX279" s="66" t="str">
        <f t="shared" si="3687"/>
        <v/>
      </c>
      <c r="EY279" s="66" t="str">
        <f t="shared" si="3688"/>
        <v/>
      </c>
      <c r="EZ279" s="66" t="str">
        <f t="shared" si="3689"/>
        <v/>
      </c>
      <c r="FA279" s="66" t="str">
        <f t="shared" si="3690"/>
        <v/>
      </c>
      <c r="FB279" s="66" t="str">
        <f t="shared" si="3691"/>
        <v/>
      </c>
      <c r="FC279" s="66" t="str">
        <f t="shared" si="3692"/>
        <v/>
      </c>
      <c r="FD279" s="66" t="str">
        <f t="shared" si="3693"/>
        <v/>
      </c>
      <c r="FE279" s="66" t="str">
        <f t="shared" si="3694"/>
        <v/>
      </c>
      <c r="FF279" s="66" t="str">
        <f t="shared" si="3695"/>
        <v/>
      </c>
      <c r="FG279" s="66" t="str">
        <f t="shared" si="3696"/>
        <v/>
      </c>
      <c r="FH279" s="66" t="str">
        <f t="shared" si="3697"/>
        <v/>
      </c>
      <c r="FI279" s="66" t="str">
        <f t="shared" si="3698"/>
        <v/>
      </c>
      <c r="FJ279" s="66" t="str">
        <f t="shared" si="3699"/>
        <v/>
      </c>
      <c r="FK279" s="66" t="str">
        <f t="shared" si="3700"/>
        <v/>
      </c>
      <c r="FL279" s="66" t="str">
        <f t="shared" si="3701"/>
        <v/>
      </c>
      <c r="FM279" s="66" t="str">
        <f t="shared" si="3702"/>
        <v/>
      </c>
      <c r="FN279" s="66" t="str">
        <f t="shared" si="3703"/>
        <v/>
      </c>
      <c r="FO279" s="66" t="str">
        <f t="shared" si="3704"/>
        <v/>
      </c>
      <c r="FP279" s="66" t="str">
        <f t="shared" si="3705"/>
        <v/>
      </c>
      <c r="FQ279" s="66" t="str">
        <f t="shared" si="3706"/>
        <v/>
      </c>
      <c r="FR279" s="66" t="str">
        <f t="shared" si="3707"/>
        <v/>
      </c>
      <c r="FS279" s="66" t="str">
        <f t="shared" si="3708"/>
        <v/>
      </c>
    </row>
    <row r="280" spans="1:175" ht="16.5">
      <c r="A280" s="2"/>
      <c r="B280" s="35"/>
      <c r="C280" s="2"/>
      <c r="E280" s="123"/>
      <c r="T280" s="125"/>
      <c r="U280" s="77"/>
      <c r="CU280" s="88" t="str">
        <f t="shared" si="3638"/>
        <v>|n</v>
      </c>
      <c r="CW280" s="33"/>
      <c r="CX280" s="33"/>
      <c r="CY280" s="33"/>
      <c r="CZ280" s="33"/>
      <c r="DA280" s="33"/>
      <c r="DB280" s="66" t="str">
        <f t="shared" si="3639"/>
        <v/>
      </c>
      <c r="DC280" s="66" t="str">
        <f t="shared" si="3640"/>
        <v/>
      </c>
      <c r="DD280" s="66" t="str">
        <f t="shared" si="3641"/>
        <v/>
      </c>
      <c r="DE280" s="66" t="str">
        <f t="shared" si="3642"/>
        <v/>
      </c>
      <c r="DF280" s="66" t="str">
        <f t="shared" si="3643"/>
        <v/>
      </c>
      <c r="DG280" s="66" t="str">
        <f t="shared" si="3644"/>
        <v/>
      </c>
      <c r="DH280" s="66" t="str">
        <f t="shared" si="3645"/>
        <v/>
      </c>
      <c r="DI280" s="66" t="str">
        <f t="shared" si="3646"/>
        <v/>
      </c>
      <c r="DJ280" s="66" t="str">
        <f t="shared" si="3647"/>
        <v/>
      </c>
      <c r="DK280" s="66" t="str">
        <f t="shared" si="3648"/>
        <v/>
      </c>
      <c r="DL280" s="66" t="str">
        <f t="shared" si="3649"/>
        <v/>
      </c>
      <c r="DM280" s="66" t="str">
        <f t="shared" si="3650"/>
        <v/>
      </c>
      <c r="DN280" s="66" t="str">
        <f t="shared" si="3651"/>
        <v/>
      </c>
      <c r="DO280" s="66" t="str">
        <f t="shared" si="3652"/>
        <v/>
      </c>
      <c r="DP280" s="66" t="str">
        <f t="shared" si="3653"/>
        <v/>
      </c>
      <c r="DQ280" s="66" t="str">
        <f t="shared" si="3654"/>
        <v/>
      </c>
      <c r="DR280" s="66" t="str">
        <f t="shared" si="3655"/>
        <v/>
      </c>
      <c r="DS280" s="66" t="str">
        <f t="shared" si="3656"/>
        <v/>
      </c>
      <c r="DT280" s="66" t="str">
        <f t="shared" si="3657"/>
        <v/>
      </c>
      <c r="DU280" s="66" t="str">
        <f t="shared" si="3658"/>
        <v/>
      </c>
      <c r="DV280" s="66" t="str">
        <f t="shared" si="3659"/>
        <v/>
      </c>
      <c r="DW280" s="66" t="str">
        <f t="shared" si="3660"/>
        <v/>
      </c>
      <c r="DX280" s="66" t="str">
        <f t="shared" si="3661"/>
        <v/>
      </c>
      <c r="DY280" s="66" t="str">
        <f t="shared" si="3662"/>
        <v/>
      </c>
      <c r="DZ280" s="66" t="str">
        <f t="shared" si="3663"/>
        <v/>
      </c>
      <c r="EA280" s="66" t="str">
        <f t="shared" si="3664"/>
        <v/>
      </c>
      <c r="EB280" s="66" t="str">
        <f t="shared" si="3665"/>
        <v/>
      </c>
      <c r="EC280" s="66" t="str">
        <f t="shared" si="3666"/>
        <v/>
      </c>
      <c r="ED280" s="66" t="str">
        <f t="shared" si="3667"/>
        <v/>
      </c>
      <c r="EE280" s="66" t="str">
        <f t="shared" si="3668"/>
        <v/>
      </c>
      <c r="EF280" s="66" t="str">
        <f t="shared" si="3669"/>
        <v/>
      </c>
      <c r="EG280" s="66" t="str">
        <f t="shared" si="3670"/>
        <v/>
      </c>
      <c r="EH280" s="66" t="str">
        <f t="shared" si="3671"/>
        <v/>
      </c>
      <c r="EI280" s="66" t="str">
        <f t="shared" si="3672"/>
        <v/>
      </c>
      <c r="EJ280" s="66" t="str">
        <f t="shared" si="3673"/>
        <v/>
      </c>
      <c r="EK280" s="66" t="str">
        <f t="shared" si="3674"/>
        <v/>
      </c>
      <c r="EL280" s="66" t="str">
        <f t="shared" si="3675"/>
        <v/>
      </c>
      <c r="EM280" s="66" t="str">
        <f t="shared" si="3676"/>
        <v/>
      </c>
      <c r="EN280" s="66" t="str">
        <f t="shared" si="3677"/>
        <v/>
      </c>
      <c r="EO280" s="66" t="str">
        <f t="shared" si="3678"/>
        <v/>
      </c>
      <c r="EP280" s="66" t="str">
        <f t="shared" si="3679"/>
        <v/>
      </c>
      <c r="EQ280" s="66" t="str">
        <f t="shared" si="3680"/>
        <v/>
      </c>
      <c r="ER280" s="66" t="str">
        <f t="shared" si="3681"/>
        <v/>
      </c>
      <c r="ES280" s="66" t="str">
        <f t="shared" si="3682"/>
        <v/>
      </c>
      <c r="ET280" s="66" t="str">
        <f t="shared" si="3683"/>
        <v/>
      </c>
      <c r="EU280" s="66" t="str">
        <f t="shared" si="3684"/>
        <v/>
      </c>
      <c r="EV280" s="66" t="str">
        <f t="shared" si="3685"/>
        <v/>
      </c>
      <c r="EW280" s="66" t="str">
        <f t="shared" si="3686"/>
        <v/>
      </c>
      <c r="EX280" s="66" t="str">
        <f t="shared" si="3687"/>
        <v/>
      </c>
      <c r="EY280" s="66" t="str">
        <f t="shared" si="3688"/>
        <v/>
      </c>
      <c r="EZ280" s="66" t="str">
        <f t="shared" si="3689"/>
        <v/>
      </c>
      <c r="FA280" s="66" t="str">
        <f t="shared" si="3690"/>
        <v/>
      </c>
      <c r="FB280" s="66" t="str">
        <f t="shared" si="3691"/>
        <v/>
      </c>
      <c r="FC280" s="66" t="str">
        <f t="shared" si="3692"/>
        <v/>
      </c>
      <c r="FD280" s="66" t="str">
        <f t="shared" si="3693"/>
        <v/>
      </c>
      <c r="FE280" s="66" t="str">
        <f t="shared" si="3694"/>
        <v/>
      </c>
      <c r="FF280" s="66" t="str">
        <f t="shared" si="3695"/>
        <v/>
      </c>
      <c r="FG280" s="66" t="str">
        <f t="shared" si="3696"/>
        <v/>
      </c>
      <c r="FH280" s="66" t="str">
        <f t="shared" si="3697"/>
        <v/>
      </c>
      <c r="FI280" s="66" t="str">
        <f t="shared" si="3698"/>
        <v/>
      </c>
      <c r="FJ280" s="66" t="str">
        <f t="shared" si="3699"/>
        <v/>
      </c>
      <c r="FK280" s="66" t="str">
        <f t="shared" si="3700"/>
        <v/>
      </c>
      <c r="FL280" s="66" t="str">
        <f t="shared" si="3701"/>
        <v/>
      </c>
      <c r="FM280" s="66" t="str">
        <f t="shared" si="3702"/>
        <v/>
      </c>
      <c r="FN280" s="66" t="str">
        <f t="shared" si="3703"/>
        <v/>
      </c>
      <c r="FO280" s="66" t="str">
        <f t="shared" si="3704"/>
        <v/>
      </c>
      <c r="FP280" s="66" t="str">
        <f t="shared" si="3705"/>
        <v/>
      </c>
      <c r="FQ280" s="66" t="str">
        <f t="shared" si="3706"/>
        <v/>
      </c>
      <c r="FR280" s="66" t="str">
        <f t="shared" si="3707"/>
        <v/>
      </c>
      <c r="FS280" s="66" t="str">
        <f t="shared" si="3708"/>
        <v/>
      </c>
    </row>
    <row r="281" spans="1:175" ht="16.5">
      <c r="A281" s="2"/>
      <c r="B281" s="35"/>
      <c r="C281" s="2"/>
      <c r="E281" s="123"/>
      <c r="T281" s="125"/>
      <c r="U281" s="77"/>
      <c r="CU281" s="88" t="str">
        <f t="shared" si="3638"/>
        <v>|n</v>
      </c>
      <c r="CW281" s="33"/>
      <c r="CX281" s="33"/>
      <c r="CY281" s="33"/>
      <c r="CZ281" s="33"/>
      <c r="DA281" s="33"/>
      <c r="DB281" s="66" t="str">
        <f t="shared" si="3639"/>
        <v/>
      </c>
      <c r="DC281" s="66" t="str">
        <f t="shared" si="3640"/>
        <v/>
      </c>
      <c r="DD281" s="66" t="str">
        <f t="shared" si="3641"/>
        <v/>
      </c>
      <c r="DE281" s="66" t="str">
        <f t="shared" si="3642"/>
        <v/>
      </c>
      <c r="DF281" s="66" t="str">
        <f t="shared" si="3643"/>
        <v/>
      </c>
      <c r="DG281" s="66" t="str">
        <f t="shared" si="3644"/>
        <v/>
      </c>
      <c r="DH281" s="66" t="str">
        <f t="shared" si="3645"/>
        <v/>
      </c>
      <c r="DI281" s="66" t="str">
        <f t="shared" si="3646"/>
        <v/>
      </c>
      <c r="DJ281" s="66" t="str">
        <f t="shared" si="3647"/>
        <v/>
      </c>
      <c r="DK281" s="66" t="str">
        <f t="shared" si="3648"/>
        <v/>
      </c>
      <c r="DL281" s="66" t="str">
        <f t="shared" si="3649"/>
        <v/>
      </c>
      <c r="DM281" s="66" t="str">
        <f t="shared" si="3650"/>
        <v/>
      </c>
      <c r="DN281" s="66" t="str">
        <f t="shared" si="3651"/>
        <v/>
      </c>
      <c r="DO281" s="66" t="str">
        <f t="shared" si="3652"/>
        <v/>
      </c>
      <c r="DP281" s="66" t="str">
        <f t="shared" si="3653"/>
        <v/>
      </c>
      <c r="DQ281" s="66" t="str">
        <f t="shared" si="3654"/>
        <v/>
      </c>
      <c r="DR281" s="66" t="str">
        <f t="shared" si="3655"/>
        <v/>
      </c>
      <c r="DS281" s="66" t="str">
        <f t="shared" si="3656"/>
        <v/>
      </c>
      <c r="DT281" s="66" t="str">
        <f t="shared" si="3657"/>
        <v/>
      </c>
      <c r="DU281" s="66" t="str">
        <f t="shared" si="3658"/>
        <v/>
      </c>
      <c r="DV281" s="66" t="str">
        <f t="shared" si="3659"/>
        <v/>
      </c>
      <c r="DW281" s="66" t="str">
        <f t="shared" si="3660"/>
        <v/>
      </c>
      <c r="DX281" s="66" t="str">
        <f t="shared" si="3661"/>
        <v/>
      </c>
      <c r="DY281" s="66" t="str">
        <f t="shared" si="3662"/>
        <v/>
      </c>
      <c r="DZ281" s="66" t="str">
        <f t="shared" si="3663"/>
        <v/>
      </c>
      <c r="EA281" s="66" t="str">
        <f t="shared" si="3664"/>
        <v/>
      </c>
      <c r="EB281" s="66" t="str">
        <f t="shared" si="3665"/>
        <v/>
      </c>
      <c r="EC281" s="66" t="str">
        <f t="shared" si="3666"/>
        <v/>
      </c>
      <c r="ED281" s="66" t="str">
        <f t="shared" si="3667"/>
        <v/>
      </c>
      <c r="EE281" s="66" t="str">
        <f t="shared" si="3668"/>
        <v/>
      </c>
      <c r="EF281" s="66" t="str">
        <f t="shared" si="3669"/>
        <v/>
      </c>
      <c r="EG281" s="66" t="str">
        <f t="shared" si="3670"/>
        <v/>
      </c>
      <c r="EH281" s="66" t="str">
        <f t="shared" si="3671"/>
        <v/>
      </c>
      <c r="EI281" s="66" t="str">
        <f t="shared" si="3672"/>
        <v/>
      </c>
      <c r="EJ281" s="66" t="str">
        <f t="shared" si="3673"/>
        <v/>
      </c>
      <c r="EK281" s="66" t="str">
        <f t="shared" si="3674"/>
        <v/>
      </c>
      <c r="EL281" s="66" t="str">
        <f t="shared" si="3675"/>
        <v/>
      </c>
      <c r="EM281" s="66" t="str">
        <f t="shared" si="3676"/>
        <v/>
      </c>
      <c r="EN281" s="66" t="str">
        <f t="shared" si="3677"/>
        <v/>
      </c>
      <c r="EO281" s="66" t="str">
        <f t="shared" si="3678"/>
        <v/>
      </c>
      <c r="EP281" s="66" t="str">
        <f t="shared" si="3679"/>
        <v/>
      </c>
      <c r="EQ281" s="66" t="str">
        <f t="shared" si="3680"/>
        <v/>
      </c>
      <c r="ER281" s="66" t="str">
        <f t="shared" si="3681"/>
        <v/>
      </c>
      <c r="ES281" s="66" t="str">
        <f t="shared" si="3682"/>
        <v/>
      </c>
      <c r="ET281" s="66" t="str">
        <f t="shared" si="3683"/>
        <v/>
      </c>
      <c r="EU281" s="66" t="str">
        <f t="shared" si="3684"/>
        <v/>
      </c>
      <c r="EV281" s="66" t="str">
        <f t="shared" si="3685"/>
        <v/>
      </c>
      <c r="EW281" s="66" t="str">
        <f t="shared" si="3686"/>
        <v/>
      </c>
      <c r="EX281" s="66" t="str">
        <f t="shared" si="3687"/>
        <v/>
      </c>
      <c r="EY281" s="66" t="str">
        <f t="shared" si="3688"/>
        <v/>
      </c>
      <c r="EZ281" s="66" t="str">
        <f t="shared" si="3689"/>
        <v/>
      </c>
      <c r="FA281" s="66" t="str">
        <f t="shared" si="3690"/>
        <v/>
      </c>
      <c r="FB281" s="66" t="str">
        <f t="shared" si="3691"/>
        <v/>
      </c>
      <c r="FC281" s="66" t="str">
        <f t="shared" si="3692"/>
        <v/>
      </c>
      <c r="FD281" s="66" t="str">
        <f t="shared" si="3693"/>
        <v/>
      </c>
      <c r="FE281" s="66" t="str">
        <f t="shared" si="3694"/>
        <v/>
      </c>
      <c r="FF281" s="66" t="str">
        <f t="shared" si="3695"/>
        <v/>
      </c>
      <c r="FG281" s="66" t="str">
        <f t="shared" si="3696"/>
        <v/>
      </c>
      <c r="FH281" s="66" t="str">
        <f t="shared" si="3697"/>
        <v/>
      </c>
      <c r="FI281" s="66" t="str">
        <f t="shared" si="3698"/>
        <v/>
      </c>
      <c r="FJ281" s="66" t="str">
        <f t="shared" si="3699"/>
        <v/>
      </c>
      <c r="FK281" s="66" t="str">
        <f t="shared" si="3700"/>
        <v/>
      </c>
      <c r="FL281" s="66" t="str">
        <f t="shared" si="3701"/>
        <v/>
      </c>
      <c r="FM281" s="66" t="str">
        <f t="shared" si="3702"/>
        <v/>
      </c>
      <c r="FN281" s="66" t="str">
        <f t="shared" si="3703"/>
        <v/>
      </c>
      <c r="FO281" s="66" t="str">
        <f t="shared" si="3704"/>
        <v/>
      </c>
      <c r="FP281" s="66" t="str">
        <f t="shared" si="3705"/>
        <v/>
      </c>
      <c r="FQ281" s="66" t="str">
        <f t="shared" si="3706"/>
        <v/>
      </c>
      <c r="FR281" s="66" t="str">
        <f t="shared" si="3707"/>
        <v/>
      </c>
      <c r="FS281" s="66" t="str">
        <f t="shared" si="3708"/>
        <v/>
      </c>
    </row>
    <row r="282" spans="1:175" ht="16.5">
      <c r="A282" s="2"/>
      <c r="B282" s="35"/>
      <c r="C282" s="2"/>
      <c r="E282" s="123"/>
      <c r="T282" s="125"/>
      <c r="U282" s="77"/>
      <c r="CU282" s="88" t="str">
        <f t="shared" si="3638"/>
        <v>|n</v>
      </c>
      <c r="CW282" s="33"/>
      <c r="CX282" s="33"/>
      <c r="CY282" s="33"/>
      <c r="CZ282" s="33"/>
      <c r="DA282" s="33"/>
      <c r="DB282" s="66" t="str">
        <f t="shared" si="3639"/>
        <v/>
      </c>
      <c r="DC282" s="66" t="str">
        <f t="shared" si="3640"/>
        <v/>
      </c>
      <c r="DD282" s="66" t="str">
        <f t="shared" si="3641"/>
        <v/>
      </c>
      <c r="DE282" s="66" t="str">
        <f t="shared" si="3642"/>
        <v/>
      </c>
      <c r="DF282" s="66" t="str">
        <f t="shared" si="3643"/>
        <v/>
      </c>
      <c r="DG282" s="66" t="str">
        <f t="shared" si="3644"/>
        <v/>
      </c>
      <c r="DH282" s="66" t="str">
        <f t="shared" si="3645"/>
        <v/>
      </c>
      <c r="DI282" s="66" t="str">
        <f t="shared" si="3646"/>
        <v/>
      </c>
      <c r="DJ282" s="66" t="str">
        <f t="shared" si="3647"/>
        <v/>
      </c>
      <c r="DK282" s="66" t="str">
        <f t="shared" si="3648"/>
        <v/>
      </c>
      <c r="DL282" s="66" t="str">
        <f t="shared" si="3649"/>
        <v/>
      </c>
      <c r="DM282" s="66" t="str">
        <f t="shared" si="3650"/>
        <v/>
      </c>
      <c r="DN282" s="66" t="str">
        <f t="shared" si="3651"/>
        <v/>
      </c>
      <c r="DO282" s="66" t="str">
        <f t="shared" si="3652"/>
        <v/>
      </c>
      <c r="DP282" s="66" t="str">
        <f t="shared" si="3653"/>
        <v/>
      </c>
      <c r="DQ282" s="66" t="str">
        <f t="shared" si="3654"/>
        <v/>
      </c>
      <c r="DR282" s="66" t="str">
        <f t="shared" si="3655"/>
        <v/>
      </c>
      <c r="DS282" s="66" t="str">
        <f t="shared" si="3656"/>
        <v/>
      </c>
      <c r="DT282" s="66" t="str">
        <f t="shared" si="3657"/>
        <v/>
      </c>
      <c r="DU282" s="66" t="str">
        <f t="shared" si="3658"/>
        <v/>
      </c>
      <c r="DV282" s="66" t="str">
        <f t="shared" si="3659"/>
        <v/>
      </c>
      <c r="DW282" s="66" t="str">
        <f t="shared" si="3660"/>
        <v/>
      </c>
      <c r="DX282" s="66" t="str">
        <f t="shared" si="3661"/>
        <v/>
      </c>
      <c r="DY282" s="66" t="str">
        <f t="shared" si="3662"/>
        <v/>
      </c>
      <c r="DZ282" s="66" t="str">
        <f t="shared" si="3663"/>
        <v/>
      </c>
      <c r="EA282" s="66" t="str">
        <f t="shared" si="3664"/>
        <v/>
      </c>
      <c r="EB282" s="66" t="str">
        <f t="shared" si="3665"/>
        <v/>
      </c>
      <c r="EC282" s="66" t="str">
        <f t="shared" si="3666"/>
        <v/>
      </c>
      <c r="ED282" s="66" t="str">
        <f t="shared" si="3667"/>
        <v/>
      </c>
      <c r="EE282" s="66" t="str">
        <f t="shared" si="3668"/>
        <v/>
      </c>
      <c r="EF282" s="66" t="str">
        <f t="shared" si="3669"/>
        <v/>
      </c>
      <c r="EG282" s="66" t="str">
        <f t="shared" si="3670"/>
        <v/>
      </c>
      <c r="EH282" s="66" t="str">
        <f t="shared" si="3671"/>
        <v/>
      </c>
      <c r="EI282" s="66" t="str">
        <f t="shared" si="3672"/>
        <v/>
      </c>
      <c r="EJ282" s="66" t="str">
        <f t="shared" si="3673"/>
        <v/>
      </c>
      <c r="EK282" s="66" t="str">
        <f t="shared" si="3674"/>
        <v/>
      </c>
      <c r="EL282" s="66" t="str">
        <f t="shared" si="3675"/>
        <v/>
      </c>
      <c r="EM282" s="66" t="str">
        <f t="shared" si="3676"/>
        <v/>
      </c>
      <c r="EN282" s="66" t="str">
        <f t="shared" si="3677"/>
        <v/>
      </c>
      <c r="EO282" s="66" t="str">
        <f t="shared" si="3678"/>
        <v/>
      </c>
      <c r="EP282" s="66" t="str">
        <f t="shared" si="3679"/>
        <v/>
      </c>
      <c r="EQ282" s="66" t="str">
        <f t="shared" si="3680"/>
        <v/>
      </c>
      <c r="ER282" s="66" t="str">
        <f t="shared" si="3681"/>
        <v/>
      </c>
      <c r="ES282" s="66" t="str">
        <f t="shared" si="3682"/>
        <v/>
      </c>
      <c r="ET282" s="66" t="str">
        <f t="shared" si="3683"/>
        <v/>
      </c>
      <c r="EU282" s="66" t="str">
        <f t="shared" si="3684"/>
        <v/>
      </c>
      <c r="EV282" s="66" t="str">
        <f t="shared" si="3685"/>
        <v/>
      </c>
      <c r="EW282" s="66" t="str">
        <f t="shared" si="3686"/>
        <v/>
      </c>
      <c r="EX282" s="66" t="str">
        <f t="shared" si="3687"/>
        <v/>
      </c>
      <c r="EY282" s="66" t="str">
        <f t="shared" si="3688"/>
        <v/>
      </c>
      <c r="EZ282" s="66" t="str">
        <f t="shared" si="3689"/>
        <v/>
      </c>
      <c r="FA282" s="66" t="str">
        <f t="shared" si="3690"/>
        <v/>
      </c>
      <c r="FB282" s="66" t="str">
        <f t="shared" si="3691"/>
        <v/>
      </c>
      <c r="FC282" s="66" t="str">
        <f t="shared" si="3692"/>
        <v/>
      </c>
      <c r="FD282" s="66" t="str">
        <f t="shared" si="3693"/>
        <v/>
      </c>
      <c r="FE282" s="66" t="str">
        <f t="shared" si="3694"/>
        <v/>
      </c>
      <c r="FF282" s="66" t="str">
        <f t="shared" si="3695"/>
        <v/>
      </c>
      <c r="FG282" s="66" t="str">
        <f t="shared" si="3696"/>
        <v/>
      </c>
      <c r="FH282" s="66" t="str">
        <f t="shared" si="3697"/>
        <v/>
      </c>
      <c r="FI282" s="66" t="str">
        <f t="shared" si="3698"/>
        <v/>
      </c>
      <c r="FJ282" s="66" t="str">
        <f t="shared" si="3699"/>
        <v/>
      </c>
      <c r="FK282" s="66" t="str">
        <f t="shared" si="3700"/>
        <v/>
      </c>
      <c r="FL282" s="66" t="str">
        <f t="shared" si="3701"/>
        <v/>
      </c>
      <c r="FM282" s="66" t="str">
        <f t="shared" si="3702"/>
        <v/>
      </c>
      <c r="FN282" s="66" t="str">
        <f t="shared" si="3703"/>
        <v/>
      </c>
      <c r="FO282" s="66" t="str">
        <f t="shared" si="3704"/>
        <v/>
      </c>
      <c r="FP282" s="66" t="str">
        <f t="shared" si="3705"/>
        <v/>
      </c>
      <c r="FQ282" s="66" t="str">
        <f t="shared" si="3706"/>
        <v/>
      </c>
      <c r="FR282" s="66" t="str">
        <f t="shared" si="3707"/>
        <v/>
      </c>
      <c r="FS282" s="66" t="str">
        <f t="shared" si="3708"/>
        <v/>
      </c>
    </row>
    <row r="283" spans="1:175" ht="16.5">
      <c r="A283" s="2"/>
      <c r="B283" s="35"/>
      <c r="C283" s="2"/>
      <c r="E283" s="123"/>
      <c r="T283" s="125"/>
      <c r="U283" s="77"/>
      <c r="CU283" s="88" t="str">
        <f t="shared" si="3638"/>
        <v>|n</v>
      </c>
      <c r="CW283" s="33"/>
      <c r="CX283" s="33"/>
      <c r="CY283" s="33"/>
      <c r="CZ283" s="33"/>
      <c r="DA283" s="33"/>
      <c r="DB283" s="66" t="str">
        <f t="shared" si="3639"/>
        <v/>
      </c>
      <c r="DC283" s="66" t="str">
        <f t="shared" si="3640"/>
        <v/>
      </c>
      <c r="DD283" s="66" t="str">
        <f t="shared" si="3641"/>
        <v/>
      </c>
      <c r="DE283" s="66" t="str">
        <f t="shared" si="3642"/>
        <v/>
      </c>
      <c r="DF283" s="66" t="str">
        <f t="shared" si="3643"/>
        <v/>
      </c>
      <c r="DG283" s="66" t="str">
        <f t="shared" si="3644"/>
        <v/>
      </c>
      <c r="DH283" s="66" t="str">
        <f t="shared" si="3645"/>
        <v/>
      </c>
      <c r="DI283" s="66" t="str">
        <f t="shared" si="3646"/>
        <v/>
      </c>
      <c r="DJ283" s="66" t="str">
        <f t="shared" si="3647"/>
        <v/>
      </c>
      <c r="DK283" s="66" t="str">
        <f t="shared" si="3648"/>
        <v/>
      </c>
      <c r="DL283" s="66" t="str">
        <f t="shared" si="3649"/>
        <v/>
      </c>
      <c r="DM283" s="66" t="str">
        <f t="shared" si="3650"/>
        <v/>
      </c>
      <c r="DN283" s="66" t="str">
        <f t="shared" si="3651"/>
        <v/>
      </c>
      <c r="DO283" s="66" t="str">
        <f t="shared" si="3652"/>
        <v/>
      </c>
      <c r="DP283" s="66" t="str">
        <f t="shared" si="3653"/>
        <v/>
      </c>
      <c r="DQ283" s="66" t="str">
        <f t="shared" si="3654"/>
        <v/>
      </c>
      <c r="DR283" s="66" t="str">
        <f t="shared" si="3655"/>
        <v/>
      </c>
      <c r="DS283" s="66" t="str">
        <f t="shared" si="3656"/>
        <v/>
      </c>
      <c r="DT283" s="66" t="str">
        <f t="shared" si="3657"/>
        <v/>
      </c>
      <c r="DU283" s="66" t="str">
        <f t="shared" si="3658"/>
        <v/>
      </c>
      <c r="DV283" s="66" t="str">
        <f t="shared" si="3659"/>
        <v/>
      </c>
      <c r="DW283" s="66" t="str">
        <f t="shared" si="3660"/>
        <v/>
      </c>
      <c r="DX283" s="66" t="str">
        <f t="shared" si="3661"/>
        <v/>
      </c>
      <c r="DY283" s="66" t="str">
        <f t="shared" si="3662"/>
        <v/>
      </c>
      <c r="DZ283" s="66" t="str">
        <f t="shared" si="3663"/>
        <v/>
      </c>
      <c r="EA283" s="66" t="str">
        <f t="shared" si="3664"/>
        <v/>
      </c>
      <c r="EB283" s="66" t="str">
        <f t="shared" si="3665"/>
        <v/>
      </c>
      <c r="EC283" s="66" t="str">
        <f t="shared" si="3666"/>
        <v/>
      </c>
      <c r="ED283" s="66" t="str">
        <f t="shared" si="3667"/>
        <v/>
      </c>
      <c r="EE283" s="66" t="str">
        <f t="shared" si="3668"/>
        <v/>
      </c>
      <c r="EF283" s="66" t="str">
        <f t="shared" si="3669"/>
        <v/>
      </c>
      <c r="EG283" s="66" t="str">
        <f t="shared" si="3670"/>
        <v/>
      </c>
      <c r="EH283" s="66" t="str">
        <f t="shared" si="3671"/>
        <v/>
      </c>
      <c r="EI283" s="66" t="str">
        <f t="shared" si="3672"/>
        <v/>
      </c>
      <c r="EJ283" s="66" t="str">
        <f t="shared" si="3673"/>
        <v/>
      </c>
      <c r="EK283" s="66" t="str">
        <f t="shared" si="3674"/>
        <v/>
      </c>
      <c r="EL283" s="66" t="str">
        <f t="shared" si="3675"/>
        <v/>
      </c>
      <c r="EM283" s="66" t="str">
        <f t="shared" si="3676"/>
        <v/>
      </c>
      <c r="EN283" s="66" t="str">
        <f t="shared" si="3677"/>
        <v/>
      </c>
      <c r="EO283" s="66" t="str">
        <f t="shared" si="3678"/>
        <v/>
      </c>
      <c r="EP283" s="66" t="str">
        <f t="shared" si="3679"/>
        <v/>
      </c>
      <c r="EQ283" s="66" t="str">
        <f t="shared" si="3680"/>
        <v/>
      </c>
      <c r="ER283" s="66" t="str">
        <f t="shared" si="3681"/>
        <v/>
      </c>
      <c r="ES283" s="66" t="str">
        <f t="shared" si="3682"/>
        <v/>
      </c>
      <c r="ET283" s="66" t="str">
        <f t="shared" si="3683"/>
        <v/>
      </c>
      <c r="EU283" s="66" t="str">
        <f t="shared" si="3684"/>
        <v/>
      </c>
      <c r="EV283" s="66" t="str">
        <f t="shared" si="3685"/>
        <v/>
      </c>
      <c r="EW283" s="66" t="str">
        <f t="shared" si="3686"/>
        <v/>
      </c>
      <c r="EX283" s="66" t="str">
        <f t="shared" si="3687"/>
        <v/>
      </c>
      <c r="EY283" s="66" t="str">
        <f t="shared" si="3688"/>
        <v/>
      </c>
      <c r="EZ283" s="66" t="str">
        <f t="shared" si="3689"/>
        <v/>
      </c>
      <c r="FA283" s="66" t="str">
        <f t="shared" si="3690"/>
        <v/>
      </c>
      <c r="FB283" s="66" t="str">
        <f t="shared" si="3691"/>
        <v/>
      </c>
      <c r="FC283" s="66" t="str">
        <f t="shared" si="3692"/>
        <v/>
      </c>
      <c r="FD283" s="66" t="str">
        <f t="shared" si="3693"/>
        <v/>
      </c>
      <c r="FE283" s="66" t="str">
        <f t="shared" si="3694"/>
        <v/>
      </c>
      <c r="FF283" s="66" t="str">
        <f t="shared" si="3695"/>
        <v/>
      </c>
      <c r="FG283" s="66" t="str">
        <f t="shared" si="3696"/>
        <v/>
      </c>
      <c r="FH283" s="66" t="str">
        <f t="shared" si="3697"/>
        <v/>
      </c>
      <c r="FI283" s="66" t="str">
        <f t="shared" si="3698"/>
        <v/>
      </c>
      <c r="FJ283" s="66" t="str">
        <f t="shared" si="3699"/>
        <v/>
      </c>
      <c r="FK283" s="66" t="str">
        <f t="shared" si="3700"/>
        <v/>
      </c>
      <c r="FL283" s="66" t="str">
        <f t="shared" si="3701"/>
        <v/>
      </c>
      <c r="FM283" s="66" t="str">
        <f t="shared" si="3702"/>
        <v/>
      </c>
      <c r="FN283" s="66" t="str">
        <f t="shared" si="3703"/>
        <v/>
      </c>
      <c r="FO283" s="66" t="str">
        <f t="shared" si="3704"/>
        <v/>
      </c>
      <c r="FP283" s="66" t="str">
        <f t="shared" si="3705"/>
        <v/>
      </c>
      <c r="FQ283" s="66" t="str">
        <f t="shared" si="3706"/>
        <v/>
      </c>
      <c r="FR283" s="66" t="str">
        <f t="shared" si="3707"/>
        <v/>
      </c>
      <c r="FS283" s="66" t="str">
        <f t="shared" si="3708"/>
        <v/>
      </c>
    </row>
    <row r="284" spans="1:175" ht="16.5">
      <c r="A284" s="2"/>
      <c r="B284" s="35"/>
      <c r="C284" s="2"/>
      <c r="E284" s="123"/>
      <c r="T284" s="125"/>
      <c r="U284" s="77"/>
      <c r="CU284" s="88" t="str">
        <f t="shared" si="3638"/>
        <v>|n</v>
      </c>
      <c r="CW284" s="33"/>
      <c r="CX284" s="33"/>
      <c r="CY284" s="33"/>
      <c r="CZ284" s="33"/>
      <c r="DA284" s="33"/>
      <c r="DB284" s="66" t="str">
        <f t="shared" si="3639"/>
        <v/>
      </c>
      <c r="DC284" s="66" t="str">
        <f t="shared" si="3640"/>
        <v/>
      </c>
      <c r="DD284" s="66" t="str">
        <f t="shared" si="3641"/>
        <v/>
      </c>
      <c r="DE284" s="66" t="str">
        <f t="shared" si="3642"/>
        <v/>
      </c>
      <c r="DF284" s="66" t="str">
        <f t="shared" si="3643"/>
        <v/>
      </c>
      <c r="DG284" s="66" t="str">
        <f t="shared" si="3644"/>
        <v/>
      </c>
      <c r="DH284" s="66" t="str">
        <f t="shared" si="3645"/>
        <v/>
      </c>
      <c r="DI284" s="66" t="str">
        <f t="shared" si="3646"/>
        <v/>
      </c>
      <c r="DJ284" s="66" t="str">
        <f t="shared" si="3647"/>
        <v/>
      </c>
      <c r="DK284" s="66" t="str">
        <f t="shared" si="3648"/>
        <v/>
      </c>
      <c r="DL284" s="66" t="str">
        <f t="shared" si="3649"/>
        <v/>
      </c>
      <c r="DM284" s="66" t="str">
        <f t="shared" si="3650"/>
        <v/>
      </c>
      <c r="DN284" s="66" t="str">
        <f t="shared" si="3651"/>
        <v/>
      </c>
      <c r="DO284" s="66" t="str">
        <f t="shared" si="3652"/>
        <v/>
      </c>
      <c r="DP284" s="66" t="str">
        <f t="shared" si="3653"/>
        <v/>
      </c>
      <c r="DQ284" s="66" t="str">
        <f t="shared" si="3654"/>
        <v/>
      </c>
      <c r="DR284" s="66" t="str">
        <f t="shared" si="3655"/>
        <v/>
      </c>
      <c r="DS284" s="66" t="str">
        <f t="shared" si="3656"/>
        <v/>
      </c>
      <c r="DT284" s="66" t="str">
        <f t="shared" si="3657"/>
        <v/>
      </c>
      <c r="DU284" s="66" t="str">
        <f t="shared" si="3658"/>
        <v/>
      </c>
      <c r="DV284" s="66" t="str">
        <f t="shared" si="3659"/>
        <v/>
      </c>
      <c r="DW284" s="66" t="str">
        <f t="shared" si="3660"/>
        <v/>
      </c>
      <c r="DX284" s="66" t="str">
        <f t="shared" si="3661"/>
        <v/>
      </c>
      <c r="DY284" s="66" t="str">
        <f t="shared" si="3662"/>
        <v/>
      </c>
      <c r="DZ284" s="66" t="str">
        <f t="shared" si="3663"/>
        <v/>
      </c>
      <c r="EA284" s="66" t="str">
        <f t="shared" si="3664"/>
        <v/>
      </c>
      <c r="EB284" s="66" t="str">
        <f t="shared" si="3665"/>
        <v/>
      </c>
      <c r="EC284" s="66" t="str">
        <f t="shared" si="3666"/>
        <v/>
      </c>
      <c r="ED284" s="66" t="str">
        <f t="shared" si="3667"/>
        <v/>
      </c>
      <c r="EE284" s="66" t="str">
        <f t="shared" si="3668"/>
        <v/>
      </c>
      <c r="EF284" s="66" t="str">
        <f t="shared" si="3669"/>
        <v/>
      </c>
      <c r="EG284" s="66" t="str">
        <f t="shared" si="3670"/>
        <v/>
      </c>
      <c r="EH284" s="66" t="str">
        <f t="shared" si="3671"/>
        <v/>
      </c>
      <c r="EI284" s="66" t="str">
        <f t="shared" si="3672"/>
        <v/>
      </c>
      <c r="EJ284" s="66" t="str">
        <f t="shared" si="3673"/>
        <v/>
      </c>
      <c r="EK284" s="66" t="str">
        <f t="shared" si="3674"/>
        <v/>
      </c>
      <c r="EL284" s="66" t="str">
        <f t="shared" si="3675"/>
        <v/>
      </c>
      <c r="EM284" s="66" t="str">
        <f t="shared" si="3676"/>
        <v/>
      </c>
      <c r="EN284" s="66" t="str">
        <f t="shared" si="3677"/>
        <v/>
      </c>
      <c r="EO284" s="66" t="str">
        <f t="shared" si="3678"/>
        <v/>
      </c>
      <c r="EP284" s="66" t="str">
        <f t="shared" si="3679"/>
        <v/>
      </c>
      <c r="EQ284" s="66" t="str">
        <f t="shared" si="3680"/>
        <v/>
      </c>
      <c r="ER284" s="66" t="str">
        <f t="shared" si="3681"/>
        <v/>
      </c>
      <c r="ES284" s="66" t="str">
        <f t="shared" si="3682"/>
        <v/>
      </c>
      <c r="ET284" s="66" t="str">
        <f t="shared" si="3683"/>
        <v/>
      </c>
      <c r="EU284" s="66" t="str">
        <f t="shared" si="3684"/>
        <v/>
      </c>
      <c r="EV284" s="66" t="str">
        <f t="shared" si="3685"/>
        <v/>
      </c>
      <c r="EW284" s="66" t="str">
        <f t="shared" si="3686"/>
        <v/>
      </c>
      <c r="EX284" s="66" t="str">
        <f t="shared" si="3687"/>
        <v/>
      </c>
      <c r="EY284" s="66" t="str">
        <f t="shared" si="3688"/>
        <v/>
      </c>
      <c r="EZ284" s="66" t="str">
        <f t="shared" si="3689"/>
        <v/>
      </c>
      <c r="FA284" s="66" t="str">
        <f t="shared" si="3690"/>
        <v/>
      </c>
      <c r="FB284" s="66" t="str">
        <f t="shared" si="3691"/>
        <v/>
      </c>
      <c r="FC284" s="66" t="str">
        <f t="shared" si="3692"/>
        <v/>
      </c>
      <c r="FD284" s="66" t="str">
        <f t="shared" si="3693"/>
        <v/>
      </c>
      <c r="FE284" s="66" t="str">
        <f t="shared" si="3694"/>
        <v/>
      </c>
      <c r="FF284" s="66" t="str">
        <f t="shared" si="3695"/>
        <v/>
      </c>
      <c r="FG284" s="66" t="str">
        <f t="shared" si="3696"/>
        <v/>
      </c>
      <c r="FH284" s="66" t="str">
        <f t="shared" si="3697"/>
        <v/>
      </c>
      <c r="FI284" s="66" t="str">
        <f t="shared" si="3698"/>
        <v/>
      </c>
      <c r="FJ284" s="66" t="str">
        <f t="shared" si="3699"/>
        <v/>
      </c>
      <c r="FK284" s="66" t="str">
        <f t="shared" si="3700"/>
        <v/>
      </c>
      <c r="FL284" s="66" t="str">
        <f t="shared" si="3701"/>
        <v/>
      </c>
      <c r="FM284" s="66" t="str">
        <f t="shared" si="3702"/>
        <v/>
      </c>
      <c r="FN284" s="66" t="str">
        <f t="shared" si="3703"/>
        <v/>
      </c>
      <c r="FO284" s="66" t="str">
        <f t="shared" si="3704"/>
        <v/>
      </c>
      <c r="FP284" s="66" t="str">
        <f t="shared" si="3705"/>
        <v/>
      </c>
      <c r="FQ284" s="66" t="str">
        <f t="shared" si="3706"/>
        <v/>
      </c>
      <c r="FR284" s="66" t="str">
        <f t="shared" si="3707"/>
        <v/>
      </c>
      <c r="FS284" s="66" t="str">
        <f t="shared" si="3708"/>
        <v/>
      </c>
    </row>
    <row r="285" spans="1:175" ht="16.5">
      <c r="A285" s="2"/>
      <c r="B285" s="35"/>
      <c r="C285" s="2"/>
      <c r="E285" s="123"/>
      <c r="T285" s="125"/>
      <c r="U285" s="77"/>
      <c r="CU285" s="88" t="str">
        <f t="shared" si="3638"/>
        <v>|n</v>
      </c>
      <c r="CW285" s="33"/>
      <c r="CX285" s="33"/>
      <c r="CY285" s="33"/>
      <c r="CZ285" s="33"/>
      <c r="DA285" s="33"/>
      <c r="DB285" s="66" t="str">
        <f t="shared" si="3639"/>
        <v/>
      </c>
      <c r="DC285" s="66" t="str">
        <f t="shared" si="3640"/>
        <v/>
      </c>
      <c r="DD285" s="66" t="str">
        <f t="shared" si="3641"/>
        <v/>
      </c>
      <c r="DE285" s="66" t="str">
        <f t="shared" si="3642"/>
        <v/>
      </c>
      <c r="DF285" s="66" t="str">
        <f t="shared" si="3643"/>
        <v/>
      </c>
      <c r="DG285" s="66" t="str">
        <f t="shared" si="3644"/>
        <v/>
      </c>
      <c r="DH285" s="66" t="str">
        <f t="shared" si="3645"/>
        <v/>
      </c>
      <c r="DI285" s="66" t="str">
        <f t="shared" si="3646"/>
        <v/>
      </c>
      <c r="DJ285" s="66" t="str">
        <f t="shared" si="3647"/>
        <v/>
      </c>
      <c r="DK285" s="66" t="str">
        <f t="shared" si="3648"/>
        <v/>
      </c>
      <c r="DL285" s="66" t="str">
        <f t="shared" si="3649"/>
        <v/>
      </c>
      <c r="DM285" s="66" t="str">
        <f t="shared" si="3650"/>
        <v/>
      </c>
      <c r="DN285" s="66" t="str">
        <f t="shared" si="3651"/>
        <v/>
      </c>
      <c r="DO285" s="66" t="str">
        <f t="shared" si="3652"/>
        <v/>
      </c>
      <c r="DP285" s="66" t="str">
        <f t="shared" si="3653"/>
        <v/>
      </c>
      <c r="DQ285" s="66" t="str">
        <f t="shared" si="3654"/>
        <v/>
      </c>
      <c r="DR285" s="66" t="str">
        <f t="shared" si="3655"/>
        <v/>
      </c>
      <c r="DS285" s="66" t="str">
        <f t="shared" si="3656"/>
        <v/>
      </c>
      <c r="DT285" s="66" t="str">
        <f t="shared" si="3657"/>
        <v/>
      </c>
      <c r="DU285" s="66" t="str">
        <f t="shared" si="3658"/>
        <v/>
      </c>
      <c r="DV285" s="66" t="str">
        <f t="shared" si="3659"/>
        <v/>
      </c>
      <c r="DW285" s="66" t="str">
        <f t="shared" si="3660"/>
        <v/>
      </c>
      <c r="DX285" s="66" t="str">
        <f t="shared" si="3661"/>
        <v/>
      </c>
      <c r="DY285" s="66" t="str">
        <f t="shared" si="3662"/>
        <v/>
      </c>
      <c r="DZ285" s="66" t="str">
        <f t="shared" si="3663"/>
        <v/>
      </c>
      <c r="EA285" s="66" t="str">
        <f t="shared" si="3664"/>
        <v/>
      </c>
      <c r="EB285" s="66" t="str">
        <f t="shared" si="3665"/>
        <v/>
      </c>
      <c r="EC285" s="66" t="str">
        <f t="shared" si="3666"/>
        <v/>
      </c>
      <c r="ED285" s="66" t="str">
        <f t="shared" si="3667"/>
        <v/>
      </c>
      <c r="EE285" s="66" t="str">
        <f t="shared" si="3668"/>
        <v/>
      </c>
      <c r="EF285" s="66" t="str">
        <f t="shared" si="3669"/>
        <v/>
      </c>
      <c r="EG285" s="66" t="str">
        <f t="shared" si="3670"/>
        <v/>
      </c>
      <c r="EH285" s="66" t="str">
        <f t="shared" si="3671"/>
        <v/>
      </c>
      <c r="EI285" s="66" t="str">
        <f t="shared" si="3672"/>
        <v/>
      </c>
      <c r="EJ285" s="66" t="str">
        <f t="shared" si="3673"/>
        <v/>
      </c>
      <c r="EK285" s="66" t="str">
        <f t="shared" si="3674"/>
        <v/>
      </c>
      <c r="EL285" s="66" t="str">
        <f t="shared" si="3675"/>
        <v/>
      </c>
      <c r="EM285" s="66" t="str">
        <f t="shared" si="3676"/>
        <v/>
      </c>
      <c r="EN285" s="66" t="str">
        <f t="shared" si="3677"/>
        <v/>
      </c>
      <c r="EO285" s="66" t="str">
        <f t="shared" si="3678"/>
        <v/>
      </c>
      <c r="EP285" s="66" t="str">
        <f t="shared" si="3679"/>
        <v/>
      </c>
      <c r="EQ285" s="66" t="str">
        <f t="shared" si="3680"/>
        <v/>
      </c>
      <c r="ER285" s="66" t="str">
        <f t="shared" si="3681"/>
        <v/>
      </c>
      <c r="ES285" s="66" t="str">
        <f t="shared" si="3682"/>
        <v/>
      </c>
      <c r="ET285" s="66" t="str">
        <f t="shared" si="3683"/>
        <v/>
      </c>
      <c r="EU285" s="66" t="str">
        <f t="shared" si="3684"/>
        <v/>
      </c>
      <c r="EV285" s="66" t="str">
        <f t="shared" si="3685"/>
        <v/>
      </c>
      <c r="EW285" s="66" t="str">
        <f t="shared" si="3686"/>
        <v/>
      </c>
      <c r="EX285" s="66" t="str">
        <f t="shared" si="3687"/>
        <v/>
      </c>
      <c r="EY285" s="66" t="str">
        <f t="shared" si="3688"/>
        <v/>
      </c>
      <c r="EZ285" s="66" t="str">
        <f t="shared" si="3689"/>
        <v/>
      </c>
      <c r="FA285" s="66" t="str">
        <f t="shared" si="3690"/>
        <v/>
      </c>
      <c r="FB285" s="66" t="str">
        <f t="shared" si="3691"/>
        <v/>
      </c>
      <c r="FC285" s="66" t="str">
        <f t="shared" si="3692"/>
        <v/>
      </c>
      <c r="FD285" s="66" t="str">
        <f t="shared" si="3693"/>
        <v/>
      </c>
      <c r="FE285" s="66" t="str">
        <f t="shared" si="3694"/>
        <v/>
      </c>
      <c r="FF285" s="66" t="str">
        <f t="shared" si="3695"/>
        <v/>
      </c>
      <c r="FG285" s="66" t="str">
        <f t="shared" si="3696"/>
        <v/>
      </c>
      <c r="FH285" s="66" t="str">
        <f t="shared" si="3697"/>
        <v/>
      </c>
      <c r="FI285" s="66" t="str">
        <f t="shared" si="3698"/>
        <v/>
      </c>
      <c r="FJ285" s="66" t="str">
        <f t="shared" si="3699"/>
        <v/>
      </c>
      <c r="FK285" s="66" t="str">
        <f t="shared" si="3700"/>
        <v/>
      </c>
      <c r="FL285" s="66" t="str">
        <f t="shared" si="3701"/>
        <v/>
      </c>
      <c r="FM285" s="66" t="str">
        <f t="shared" si="3702"/>
        <v/>
      </c>
      <c r="FN285" s="66" t="str">
        <f t="shared" si="3703"/>
        <v/>
      </c>
      <c r="FO285" s="66" t="str">
        <f t="shared" si="3704"/>
        <v/>
      </c>
      <c r="FP285" s="66" t="str">
        <f t="shared" si="3705"/>
        <v/>
      </c>
      <c r="FQ285" s="66" t="str">
        <f t="shared" si="3706"/>
        <v/>
      </c>
      <c r="FR285" s="66" t="str">
        <f t="shared" si="3707"/>
        <v/>
      </c>
      <c r="FS285" s="66" t="str">
        <f t="shared" si="3708"/>
        <v/>
      </c>
    </row>
    <row r="286" spans="1:175" ht="16.5">
      <c r="A286" s="2"/>
      <c r="B286" s="35"/>
      <c r="C286" s="2"/>
      <c r="E286" s="123"/>
      <c r="T286" s="125"/>
      <c r="U286" s="77"/>
      <c r="CU286" s="88" t="str">
        <f t="shared" si="3638"/>
        <v>|n</v>
      </c>
      <c r="CW286" s="33"/>
      <c r="CX286" s="33"/>
      <c r="CY286" s="33"/>
      <c r="CZ286" s="33"/>
      <c r="DA286" s="33"/>
      <c r="DB286" s="66" t="str">
        <f t="shared" si="3639"/>
        <v/>
      </c>
      <c r="DC286" s="66" t="str">
        <f t="shared" si="3640"/>
        <v/>
      </c>
      <c r="DD286" s="66" t="str">
        <f t="shared" si="3641"/>
        <v/>
      </c>
      <c r="DE286" s="66" t="str">
        <f t="shared" si="3642"/>
        <v/>
      </c>
      <c r="DF286" s="66" t="str">
        <f t="shared" si="3643"/>
        <v/>
      </c>
      <c r="DG286" s="66" t="str">
        <f t="shared" si="3644"/>
        <v/>
      </c>
      <c r="DH286" s="66" t="str">
        <f t="shared" si="3645"/>
        <v/>
      </c>
      <c r="DI286" s="66" t="str">
        <f t="shared" si="3646"/>
        <v/>
      </c>
      <c r="DJ286" s="66" t="str">
        <f t="shared" si="3647"/>
        <v/>
      </c>
      <c r="DK286" s="66" t="str">
        <f t="shared" si="3648"/>
        <v/>
      </c>
      <c r="DL286" s="66" t="str">
        <f t="shared" si="3649"/>
        <v/>
      </c>
      <c r="DM286" s="66" t="str">
        <f t="shared" si="3650"/>
        <v/>
      </c>
      <c r="DN286" s="66" t="str">
        <f t="shared" si="3651"/>
        <v/>
      </c>
      <c r="DO286" s="66" t="str">
        <f t="shared" si="3652"/>
        <v/>
      </c>
      <c r="DP286" s="66" t="str">
        <f t="shared" si="3653"/>
        <v/>
      </c>
      <c r="DQ286" s="66" t="str">
        <f t="shared" si="3654"/>
        <v/>
      </c>
      <c r="DR286" s="66" t="str">
        <f t="shared" si="3655"/>
        <v/>
      </c>
      <c r="DS286" s="66" t="str">
        <f t="shared" si="3656"/>
        <v/>
      </c>
      <c r="DT286" s="66" t="str">
        <f t="shared" si="3657"/>
        <v/>
      </c>
      <c r="DU286" s="66" t="str">
        <f t="shared" si="3658"/>
        <v/>
      </c>
      <c r="DV286" s="66" t="str">
        <f t="shared" si="3659"/>
        <v/>
      </c>
      <c r="DW286" s="66" t="str">
        <f t="shared" si="3660"/>
        <v/>
      </c>
      <c r="DX286" s="66" t="str">
        <f t="shared" si="3661"/>
        <v/>
      </c>
      <c r="DY286" s="66" t="str">
        <f t="shared" si="3662"/>
        <v/>
      </c>
      <c r="DZ286" s="66" t="str">
        <f t="shared" si="3663"/>
        <v/>
      </c>
      <c r="EA286" s="66" t="str">
        <f t="shared" si="3664"/>
        <v/>
      </c>
      <c r="EB286" s="66" t="str">
        <f t="shared" si="3665"/>
        <v/>
      </c>
      <c r="EC286" s="66" t="str">
        <f t="shared" si="3666"/>
        <v/>
      </c>
      <c r="ED286" s="66" t="str">
        <f t="shared" si="3667"/>
        <v/>
      </c>
      <c r="EE286" s="66" t="str">
        <f t="shared" si="3668"/>
        <v/>
      </c>
      <c r="EF286" s="66" t="str">
        <f t="shared" si="3669"/>
        <v/>
      </c>
      <c r="EG286" s="66" t="str">
        <f t="shared" si="3670"/>
        <v/>
      </c>
      <c r="EH286" s="66" t="str">
        <f t="shared" si="3671"/>
        <v/>
      </c>
      <c r="EI286" s="66" t="str">
        <f t="shared" si="3672"/>
        <v/>
      </c>
      <c r="EJ286" s="66" t="str">
        <f t="shared" si="3673"/>
        <v/>
      </c>
      <c r="EK286" s="66" t="str">
        <f t="shared" si="3674"/>
        <v/>
      </c>
      <c r="EL286" s="66" t="str">
        <f t="shared" si="3675"/>
        <v/>
      </c>
      <c r="EM286" s="66" t="str">
        <f t="shared" si="3676"/>
        <v/>
      </c>
      <c r="EN286" s="66" t="str">
        <f t="shared" si="3677"/>
        <v/>
      </c>
      <c r="EO286" s="66" t="str">
        <f t="shared" si="3678"/>
        <v/>
      </c>
      <c r="EP286" s="66" t="str">
        <f t="shared" si="3679"/>
        <v/>
      </c>
      <c r="EQ286" s="66" t="str">
        <f t="shared" si="3680"/>
        <v/>
      </c>
      <c r="ER286" s="66" t="str">
        <f t="shared" si="3681"/>
        <v/>
      </c>
      <c r="ES286" s="66" t="str">
        <f t="shared" si="3682"/>
        <v/>
      </c>
      <c r="ET286" s="66" t="str">
        <f t="shared" si="3683"/>
        <v/>
      </c>
      <c r="EU286" s="66" t="str">
        <f t="shared" si="3684"/>
        <v/>
      </c>
      <c r="EV286" s="66" t="str">
        <f t="shared" si="3685"/>
        <v/>
      </c>
      <c r="EW286" s="66" t="str">
        <f t="shared" si="3686"/>
        <v/>
      </c>
      <c r="EX286" s="66" t="str">
        <f t="shared" si="3687"/>
        <v/>
      </c>
      <c r="EY286" s="66" t="str">
        <f t="shared" si="3688"/>
        <v/>
      </c>
      <c r="EZ286" s="66" t="str">
        <f t="shared" si="3689"/>
        <v/>
      </c>
      <c r="FA286" s="66" t="str">
        <f t="shared" si="3690"/>
        <v/>
      </c>
      <c r="FB286" s="66" t="str">
        <f t="shared" si="3691"/>
        <v/>
      </c>
      <c r="FC286" s="66" t="str">
        <f t="shared" si="3692"/>
        <v/>
      </c>
      <c r="FD286" s="66" t="str">
        <f t="shared" si="3693"/>
        <v/>
      </c>
      <c r="FE286" s="66" t="str">
        <f t="shared" si="3694"/>
        <v/>
      </c>
      <c r="FF286" s="66" t="str">
        <f t="shared" si="3695"/>
        <v/>
      </c>
      <c r="FG286" s="66" t="str">
        <f t="shared" si="3696"/>
        <v/>
      </c>
      <c r="FH286" s="66" t="str">
        <f t="shared" si="3697"/>
        <v/>
      </c>
      <c r="FI286" s="66" t="str">
        <f t="shared" si="3698"/>
        <v/>
      </c>
      <c r="FJ286" s="66" t="str">
        <f t="shared" si="3699"/>
        <v/>
      </c>
      <c r="FK286" s="66" t="str">
        <f t="shared" si="3700"/>
        <v/>
      </c>
      <c r="FL286" s="66" t="str">
        <f t="shared" si="3701"/>
        <v/>
      </c>
      <c r="FM286" s="66" t="str">
        <f t="shared" si="3702"/>
        <v/>
      </c>
      <c r="FN286" s="66" t="str">
        <f t="shared" si="3703"/>
        <v/>
      </c>
      <c r="FO286" s="66" t="str">
        <f t="shared" si="3704"/>
        <v/>
      </c>
      <c r="FP286" s="66" t="str">
        <f t="shared" si="3705"/>
        <v/>
      </c>
      <c r="FQ286" s="66" t="str">
        <f t="shared" si="3706"/>
        <v/>
      </c>
      <c r="FR286" s="66" t="str">
        <f t="shared" si="3707"/>
        <v/>
      </c>
      <c r="FS286" s="66" t="str">
        <f t="shared" si="3708"/>
        <v/>
      </c>
    </row>
    <row r="287" spans="1:175" ht="16.5">
      <c r="A287" s="2"/>
      <c r="B287" s="35"/>
      <c r="C287" s="2"/>
      <c r="E287" s="123"/>
      <c r="T287" s="125"/>
      <c r="U287" s="77"/>
      <c r="CU287" s="88" t="str">
        <f t="shared" si="3638"/>
        <v>|n</v>
      </c>
      <c r="CW287" s="33"/>
      <c r="CX287" s="33"/>
      <c r="CY287" s="33"/>
      <c r="CZ287" s="33"/>
      <c r="DA287" s="33"/>
      <c r="DB287" s="66" t="str">
        <f t="shared" si="3639"/>
        <v/>
      </c>
      <c r="DC287" s="66" t="str">
        <f t="shared" si="3640"/>
        <v/>
      </c>
      <c r="DD287" s="66" t="str">
        <f t="shared" si="3641"/>
        <v/>
      </c>
      <c r="DE287" s="66" t="str">
        <f t="shared" si="3642"/>
        <v/>
      </c>
      <c r="DF287" s="66" t="str">
        <f t="shared" si="3643"/>
        <v/>
      </c>
      <c r="DG287" s="66" t="str">
        <f t="shared" si="3644"/>
        <v/>
      </c>
      <c r="DH287" s="66" t="str">
        <f t="shared" si="3645"/>
        <v/>
      </c>
      <c r="DI287" s="66" t="str">
        <f t="shared" si="3646"/>
        <v/>
      </c>
      <c r="DJ287" s="66" t="str">
        <f t="shared" si="3647"/>
        <v/>
      </c>
      <c r="DK287" s="66" t="str">
        <f t="shared" si="3648"/>
        <v/>
      </c>
      <c r="DL287" s="66" t="str">
        <f t="shared" si="3649"/>
        <v/>
      </c>
      <c r="DM287" s="66" t="str">
        <f t="shared" si="3650"/>
        <v/>
      </c>
      <c r="DN287" s="66" t="str">
        <f t="shared" si="3651"/>
        <v/>
      </c>
      <c r="DO287" s="66" t="str">
        <f t="shared" si="3652"/>
        <v/>
      </c>
      <c r="DP287" s="66" t="str">
        <f t="shared" si="3653"/>
        <v/>
      </c>
      <c r="DQ287" s="66" t="str">
        <f t="shared" si="3654"/>
        <v/>
      </c>
      <c r="DR287" s="66" t="str">
        <f t="shared" si="3655"/>
        <v/>
      </c>
      <c r="DS287" s="66" t="str">
        <f t="shared" si="3656"/>
        <v/>
      </c>
      <c r="DT287" s="66" t="str">
        <f t="shared" si="3657"/>
        <v/>
      </c>
      <c r="DU287" s="66" t="str">
        <f t="shared" si="3658"/>
        <v/>
      </c>
      <c r="DV287" s="66" t="str">
        <f t="shared" si="3659"/>
        <v/>
      </c>
      <c r="DW287" s="66" t="str">
        <f t="shared" si="3660"/>
        <v/>
      </c>
      <c r="DX287" s="66" t="str">
        <f t="shared" si="3661"/>
        <v/>
      </c>
      <c r="DY287" s="66" t="str">
        <f t="shared" si="3662"/>
        <v/>
      </c>
      <c r="DZ287" s="66" t="str">
        <f t="shared" si="3663"/>
        <v/>
      </c>
      <c r="EA287" s="66" t="str">
        <f t="shared" si="3664"/>
        <v/>
      </c>
      <c r="EB287" s="66" t="str">
        <f t="shared" si="3665"/>
        <v/>
      </c>
      <c r="EC287" s="66" t="str">
        <f t="shared" si="3666"/>
        <v/>
      </c>
      <c r="ED287" s="66" t="str">
        <f t="shared" si="3667"/>
        <v/>
      </c>
      <c r="EE287" s="66" t="str">
        <f t="shared" si="3668"/>
        <v/>
      </c>
      <c r="EF287" s="66" t="str">
        <f t="shared" si="3669"/>
        <v/>
      </c>
      <c r="EG287" s="66" t="str">
        <f t="shared" si="3670"/>
        <v/>
      </c>
      <c r="EH287" s="66" t="str">
        <f t="shared" si="3671"/>
        <v/>
      </c>
      <c r="EI287" s="66" t="str">
        <f t="shared" si="3672"/>
        <v/>
      </c>
      <c r="EJ287" s="66" t="str">
        <f t="shared" si="3673"/>
        <v/>
      </c>
      <c r="EK287" s="66" t="str">
        <f t="shared" si="3674"/>
        <v/>
      </c>
      <c r="EL287" s="66" t="str">
        <f t="shared" si="3675"/>
        <v/>
      </c>
      <c r="EM287" s="66" t="str">
        <f t="shared" si="3676"/>
        <v/>
      </c>
      <c r="EN287" s="66" t="str">
        <f t="shared" si="3677"/>
        <v/>
      </c>
      <c r="EO287" s="66" t="str">
        <f t="shared" si="3678"/>
        <v/>
      </c>
      <c r="EP287" s="66" t="str">
        <f t="shared" si="3679"/>
        <v/>
      </c>
      <c r="EQ287" s="66" t="str">
        <f t="shared" si="3680"/>
        <v/>
      </c>
      <c r="ER287" s="66" t="str">
        <f t="shared" si="3681"/>
        <v/>
      </c>
      <c r="ES287" s="66" t="str">
        <f t="shared" si="3682"/>
        <v/>
      </c>
      <c r="ET287" s="66" t="str">
        <f t="shared" si="3683"/>
        <v/>
      </c>
      <c r="EU287" s="66" t="str">
        <f t="shared" si="3684"/>
        <v/>
      </c>
      <c r="EV287" s="66" t="str">
        <f t="shared" si="3685"/>
        <v/>
      </c>
      <c r="EW287" s="66" t="str">
        <f t="shared" si="3686"/>
        <v/>
      </c>
      <c r="EX287" s="66" t="str">
        <f t="shared" si="3687"/>
        <v/>
      </c>
      <c r="EY287" s="66" t="str">
        <f t="shared" si="3688"/>
        <v/>
      </c>
      <c r="EZ287" s="66" t="str">
        <f t="shared" si="3689"/>
        <v/>
      </c>
      <c r="FA287" s="66" t="str">
        <f t="shared" si="3690"/>
        <v/>
      </c>
      <c r="FB287" s="66" t="str">
        <f t="shared" si="3691"/>
        <v/>
      </c>
      <c r="FC287" s="66" t="str">
        <f t="shared" si="3692"/>
        <v/>
      </c>
      <c r="FD287" s="66" t="str">
        <f t="shared" si="3693"/>
        <v/>
      </c>
      <c r="FE287" s="66" t="str">
        <f t="shared" si="3694"/>
        <v/>
      </c>
      <c r="FF287" s="66" t="str">
        <f t="shared" si="3695"/>
        <v/>
      </c>
      <c r="FG287" s="66" t="str">
        <f t="shared" si="3696"/>
        <v/>
      </c>
      <c r="FH287" s="66" t="str">
        <f t="shared" si="3697"/>
        <v/>
      </c>
      <c r="FI287" s="66" t="str">
        <f t="shared" si="3698"/>
        <v/>
      </c>
      <c r="FJ287" s="66" t="str">
        <f t="shared" si="3699"/>
        <v/>
      </c>
      <c r="FK287" s="66" t="str">
        <f t="shared" si="3700"/>
        <v/>
      </c>
      <c r="FL287" s="66" t="str">
        <f t="shared" si="3701"/>
        <v/>
      </c>
      <c r="FM287" s="66" t="str">
        <f t="shared" si="3702"/>
        <v/>
      </c>
      <c r="FN287" s="66" t="str">
        <f t="shared" si="3703"/>
        <v/>
      </c>
      <c r="FO287" s="66" t="str">
        <f t="shared" si="3704"/>
        <v/>
      </c>
      <c r="FP287" s="66" t="str">
        <f t="shared" si="3705"/>
        <v/>
      </c>
      <c r="FQ287" s="66" t="str">
        <f t="shared" si="3706"/>
        <v/>
      </c>
      <c r="FR287" s="66" t="str">
        <f t="shared" si="3707"/>
        <v/>
      </c>
      <c r="FS287" s="66" t="str">
        <f t="shared" si="3708"/>
        <v/>
      </c>
    </row>
    <row r="288" spans="1:175" ht="16.5">
      <c r="A288" s="2"/>
      <c r="B288" s="35"/>
      <c r="C288" s="2"/>
      <c r="E288" s="123"/>
      <c r="T288" s="125"/>
      <c r="U288" s="77"/>
      <c r="CU288" s="88" t="str">
        <f t="shared" si="3638"/>
        <v>|n</v>
      </c>
      <c r="CW288" s="33"/>
      <c r="CX288" s="33"/>
      <c r="CY288" s="33"/>
      <c r="CZ288" s="33"/>
      <c r="DA288" s="33"/>
      <c r="DB288" s="66" t="str">
        <f t="shared" si="3639"/>
        <v/>
      </c>
      <c r="DC288" s="66" t="str">
        <f t="shared" si="3640"/>
        <v/>
      </c>
      <c r="DD288" s="66" t="str">
        <f t="shared" si="3641"/>
        <v/>
      </c>
      <c r="DE288" s="66" t="str">
        <f t="shared" si="3642"/>
        <v/>
      </c>
      <c r="DF288" s="66" t="str">
        <f t="shared" si="3643"/>
        <v/>
      </c>
      <c r="DG288" s="66" t="str">
        <f t="shared" si="3644"/>
        <v/>
      </c>
      <c r="DH288" s="66" t="str">
        <f t="shared" si="3645"/>
        <v/>
      </c>
      <c r="DI288" s="66" t="str">
        <f t="shared" si="3646"/>
        <v/>
      </c>
      <c r="DJ288" s="66" t="str">
        <f t="shared" si="3647"/>
        <v/>
      </c>
      <c r="DK288" s="66" t="str">
        <f t="shared" si="3648"/>
        <v/>
      </c>
      <c r="DL288" s="66" t="str">
        <f t="shared" si="3649"/>
        <v/>
      </c>
      <c r="DM288" s="66" t="str">
        <f t="shared" si="3650"/>
        <v/>
      </c>
      <c r="DN288" s="66" t="str">
        <f t="shared" si="3651"/>
        <v/>
      </c>
      <c r="DO288" s="66" t="str">
        <f t="shared" si="3652"/>
        <v/>
      </c>
      <c r="DP288" s="66" t="str">
        <f t="shared" si="3653"/>
        <v/>
      </c>
      <c r="DQ288" s="66" t="str">
        <f t="shared" si="3654"/>
        <v/>
      </c>
      <c r="DR288" s="66" t="str">
        <f t="shared" si="3655"/>
        <v/>
      </c>
      <c r="DS288" s="66" t="str">
        <f t="shared" si="3656"/>
        <v/>
      </c>
      <c r="DT288" s="66" t="str">
        <f t="shared" si="3657"/>
        <v/>
      </c>
      <c r="DU288" s="66" t="str">
        <f t="shared" si="3658"/>
        <v/>
      </c>
      <c r="DV288" s="66" t="str">
        <f t="shared" si="3659"/>
        <v/>
      </c>
      <c r="DW288" s="66" t="str">
        <f t="shared" si="3660"/>
        <v/>
      </c>
      <c r="DX288" s="66" t="str">
        <f t="shared" si="3661"/>
        <v/>
      </c>
      <c r="DY288" s="66" t="str">
        <f t="shared" si="3662"/>
        <v/>
      </c>
      <c r="DZ288" s="66" t="str">
        <f t="shared" si="3663"/>
        <v/>
      </c>
      <c r="EA288" s="66" t="str">
        <f t="shared" si="3664"/>
        <v/>
      </c>
      <c r="EB288" s="66" t="str">
        <f t="shared" si="3665"/>
        <v/>
      </c>
      <c r="EC288" s="66" t="str">
        <f t="shared" si="3666"/>
        <v/>
      </c>
      <c r="ED288" s="66" t="str">
        <f t="shared" si="3667"/>
        <v/>
      </c>
      <c r="EE288" s="66" t="str">
        <f t="shared" si="3668"/>
        <v/>
      </c>
      <c r="EF288" s="66" t="str">
        <f t="shared" si="3669"/>
        <v/>
      </c>
      <c r="EG288" s="66" t="str">
        <f t="shared" si="3670"/>
        <v/>
      </c>
      <c r="EH288" s="66" t="str">
        <f t="shared" si="3671"/>
        <v/>
      </c>
      <c r="EI288" s="66" t="str">
        <f t="shared" si="3672"/>
        <v/>
      </c>
      <c r="EJ288" s="66" t="str">
        <f t="shared" si="3673"/>
        <v/>
      </c>
      <c r="EK288" s="66" t="str">
        <f t="shared" si="3674"/>
        <v/>
      </c>
      <c r="EL288" s="66" t="str">
        <f t="shared" si="3675"/>
        <v/>
      </c>
      <c r="EM288" s="66" t="str">
        <f t="shared" si="3676"/>
        <v/>
      </c>
      <c r="EN288" s="66" t="str">
        <f t="shared" si="3677"/>
        <v/>
      </c>
      <c r="EO288" s="66" t="str">
        <f t="shared" si="3678"/>
        <v/>
      </c>
      <c r="EP288" s="66" t="str">
        <f t="shared" si="3679"/>
        <v/>
      </c>
      <c r="EQ288" s="66" t="str">
        <f t="shared" si="3680"/>
        <v/>
      </c>
      <c r="ER288" s="66" t="str">
        <f t="shared" si="3681"/>
        <v/>
      </c>
      <c r="ES288" s="66" t="str">
        <f t="shared" si="3682"/>
        <v/>
      </c>
      <c r="ET288" s="66" t="str">
        <f t="shared" si="3683"/>
        <v/>
      </c>
      <c r="EU288" s="66" t="str">
        <f t="shared" si="3684"/>
        <v/>
      </c>
      <c r="EV288" s="66" t="str">
        <f t="shared" si="3685"/>
        <v/>
      </c>
      <c r="EW288" s="66" t="str">
        <f t="shared" si="3686"/>
        <v/>
      </c>
      <c r="EX288" s="66" t="str">
        <f t="shared" si="3687"/>
        <v/>
      </c>
      <c r="EY288" s="66" t="str">
        <f t="shared" si="3688"/>
        <v/>
      </c>
      <c r="EZ288" s="66" t="str">
        <f t="shared" si="3689"/>
        <v/>
      </c>
      <c r="FA288" s="66" t="str">
        <f t="shared" si="3690"/>
        <v/>
      </c>
      <c r="FB288" s="66" t="str">
        <f t="shared" si="3691"/>
        <v/>
      </c>
      <c r="FC288" s="66" t="str">
        <f t="shared" si="3692"/>
        <v/>
      </c>
      <c r="FD288" s="66" t="str">
        <f t="shared" si="3693"/>
        <v/>
      </c>
      <c r="FE288" s="66" t="str">
        <f t="shared" si="3694"/>
        <v/>
      </c>
      <c r="FF288" s="66" t="str">
        <f t="shared" si="3695"/>
        <v/>
      </c>
      <c r="FG288" s="66" t="str">
        <f t="shared" si="3696"/>
        <v/>
      </c>
      <c r="FH288" s="66" t="str">
        <f t="shared" si="3697"/>
        <v/>
      </c>
      <c r="FI288" s="66" t="str">
        <f t="shared" si="3698"/>
        <v/>
      </c>
      <c r="FJ288" s="66" t="str">
        <f t="shared" si="3699"/>
        <v/>
      </c>
      <c r="FK288" s="66" t="str">
        <f t="shared" si="3700"/>
        <v/>
      </c>
      <c r="FL288" s="66" t="str">
        <f t="shared" si="3701"/>
        <v/>
      </c>
      <c r="FM288" s="66" t="str">
        <f t="shared" si="3702"/>
        <v/>
      </c>
      <c r="FN288" s="66" t="str">
        <f t="shared" si="3703"/>
        <v/>
      </c>
      <c r="FO288" s="66" t="str">
        <f t="shared" si="3704"/>
        <v/>
      </c>
      <c r="FP288" s="66" t="str">
        <f t="shared" si="3705"/>
        <v/>
      </c>
      <c r="FQ288" s="66" t="str">
        <f t="shared" si="3706"/>
        <v/>
      </c>
      <c r="FR288" s="66" t="str">
        <f t="shared" si="3707"/>
        <v/>
      </c>
      <c r="FS288" s="66" t="str">
        <f t="shared" si="3708"/>
        <v/>
      </c>
    </row>
    <row r="289" spans="1:175" ht="16.5">
      <c r="A289" s="2"/>
      <c r="B289" s="35"/>
      <c r="C289" s="2"/>
      <c r="E289" s="123"/>
      <c r="T289" s="125"/>
      <c r="U289" s="77"/>
      <c r="CU289" s="88" t="str">
        <f t="shared" si="3638"/>
        <v>|n</v>
      </c>
      <c r="CW289" s="33"/>
      <c r="CX289" s="33"/>
      <c r="CY289" s="33"/>
      <c r="CZ289" s="33"/>
      <c r="DA289" s="33"/>
      <c r="DB289" s="66" t="str">
        <f t="shared" si="3639"/>
        <v/>
      </c>
      <c r="DC289" s="66" t="str">
        <f t="shared" si="3640"/>
        <v/>
      </c>
      <c r="DD289" s="66" t="str">
        <f t="shared" si="3641"/>
        <v/>
      </c>
      <c r="DE289" s="66" t="str">
        <f t="shared" si="3642"/>
        <v/>
      </c>
      <c r="DF289" s="66" t="str">
        <f t="shared" si="3643"/>
        <v/>
      </c>
      <c r="DG289" s="66" t="str">
        <f t="shared" si="3644"/>
        <v/>
      </c>
      <c r="DH289" s="66" t="str">
        <f t="shared" si="3645"/>
        <v/>
      </c>
      <c r="DI289" s="66" t="str">
        <f t="shared" si="3646"/>
        <v/>
      </c>
      <c r="DJ289" s="66" t="str">
        <f t="shared" si="3647"/>
        <v/>
      </c>
      <c r="DK289" s="66" t="str">
        <f t="shared" si="3648"/>
        <v/>
      </c>
      <c r="DL289" s="66" t="str">
        <f t="shared" si="3649"/>
        <v/>
      </c>
      <c r="DM289" s="66" t="str">
        <f t="shared" si="3650"/>
        <v/>
      </c>
      <c r="DN289" s="66" t="str">
        <f t="shared" si="3651"/>
        <v/>
      </c>
      <c r="DO289" s="66" t="str">
        <f t="shared" si="3652"/>
        <v/>
      </c>
      <c r="DP289" s="66" t="str">
        <f t="shared" si="3653"/>
        <v/>
      </c>
      <c r="DQ289" s="66" t="str">
        <f t="shared" si="3654"/>
        <v/>
      </c>
      <c r="DR289" s="66" t="str">
        <f t="shared" si="3655"/>
        <v/>
      </c>
      <c r="DS289" s="66" t="str">
        <f t="shared" si="3656"/>
        <v/>
      </c>
      <c r="DT289" s="66" t="str">
        <f t="shared" si="3657"/>
        <v/>
      </c>
      <c r="DU289" s="66" t="str">
        <f t="shared" si="3658"/>
        <v/>
      </c>
      <c r="DV289" s="66" t="str">
        <f t="shared" si="3659"/>
        <v/>
      </c>
      <c r="DW289" s="66" t="str">
        <f t="shared" si="3660"/>
        <v/>
      </c>
      <c r="DX289" s="66" t="str">
        <f t="shared" si="3661"/>
        <v/>
      </c>
      <c r="DY289" s="66" t="str">
        <f t="shared" si="3662"/>
        <v/>
      </c>
      <c r="DZ289" s="66" t="str">
        <f t="shared" si="3663"/>
        <v/>
      </c>
      <c r="EA289" s="66" t="str">
        <f t="shared" si="3664"/>
        <v/>
      </c>
      <c r="EB289" s="66" t="str">
        <f t="shared" si="3665"/>
        <v/>
      </c>
      <c r="EC289" s="66" t="str">
        <f t="shared" si="3666"/>
        <v/>
      </c>
      <c r="ED289" s="66" t="str">
        <f t="shared" si="3667"/>
        <v/>
      </c>
      <c r="EE289" s="66" t="str">
        <f t="shared" si="3668"/>
        <v/>
      </c>
      <c r="EF289" s="66" t="str">
        <f t="shared" si="3669"/>
        <v/>
      </c>
      <c r="EG289" s="66" t="str">
        <f t="shared" si="3670"/>
        <v/>
      </c>
      <c r="EH289" s="66" t="str">
        <f t="shared" si="3671"/>
        <v/>
      </c>
      <c r="EI289" s="66" t="str">
        <f t="shared" si="3672"/>
        <v/>
      </c>
      <c r="EJ289" s="66" t="str">
        <f t="shared" si="3673"/>
        <v/>
      </c>
      <c r="EK289" s="66" t="str">
        <f t="shared" si="3674"/>
        <v/>
      </c>
      <c r="EL289" s="66" t="str">
        <f t="shared" si="3675"/>
        <v/>
      </c>
      <c r="EM289" s="66" t="str">
        <f t="shared" si="3676"/>
        <v/>
      </c>
      <c r="EN289" s="66" t="str">
        <f t="shared" si="3677"/>
        <v/>
      </c>
      <c r="EO289" s="66" t="str">
        <f t="shared" si="3678"/>
        <v/>
      </c>
      <c r="EP289" s="66" t="str">
        <f t="shared" si="3679"/>
        <v/>
      </c>
      <c r="EQ289" s="66" t="str">
        <f t="shared" si="3680"/>
        <v/>
      </c>
      <c r="ER289" s="66" t="str">
        <f t="shared" si="3681"/>
        <v/>
      </c>
      <c r="ES289" s="66" t="str">
        <f t="shared" si="3682"/>
        <v/>
      </c>
      <c r="ET289" s="66" t="str">
        <f t="shared" si="3683"/>
        <v/>
      </c>
      <c r="EU289" s="66" t="str">
        <f t="shared" si="3684"/>
        <v/>
      </c>
      <c r="EV289" s="66" t="str">
        <f t="shared" si="3685"/>
        <v/>
      </c>
      <c r="EW289" s="66" t="str">
        <f t="shared" si="3686"/>
        <v/>
      </c>
      <c r="EX289" s="66" t="str">
        <f t="shared" si="3687"/>
        <v/>
      </c>
      <c r="EY289" s="66" t="str">
        <f t="shared" si="3688"/>
        <v/>
      </c>
      <c r="EZ289" s="66" t="str">
        <f t="shared" si="3689"/>
        <v/>
      </c>
      <c r="FA289" s="66" t="str">
        <f t="shared" si="3690"/>
        <v/>
      </c>
      <c r="FB289" s="66" t="str">
        <f t="shared" si="3691"/>
        <v/>
      </c>
      <c r="FC289" s="66" t="str">
        <f t="shared" si="3692"/>
        <v/>
      </c>
      <c r="FD289" s="66" t="str">
        <f t="shared" si="3693"/>
        <v/>
      </c>
      <c r="FE289" s="66" t="str">
        <f t="shared" si="3694"/>
        <v/>
      </c>
      <c r="FF289" s="66" t="str">
        <f t="shared" si="3695"/>
        <v/>
      </c>
      <c r="FG289" s="66" t="str">
        <f t="shared" si="3696"/>
        <v/>
      </c>
      <c r="FH289" s="66" t="str">
        <f t="shared" si="3697"/>
        <v/>
      </c>
      <c r="FI289" s="66" t="str">
        <f t="shared" si="3698"/>
        <v/>
      </c>
      <c r="FJ289" s="66" t="str">
        <f t="shared" si="3699"/>
        <v/>
      </c>
      <c r="FK289" s="66" t="str">
        <f t="shared" si="3700"/>
        <v/>
      </c>
      <c r="FL289" s="66" t="str">
        <f t="shared" si="3701"/>
        <v/>
      </c>
      <c r="FM289" s="66" t="str">
        <f t="shared" si="3702"/>
        <v/>
      </c>
      <c r="FN289" s="66" t="str">
        <f t="shared" si="3703"/>
        <v/>
      </c>
      <c r="FO289" s="66" t="str">
        <f t="shared" si="3704"/>
        <v/>
      </c>
      <c r="FP289" s="66" t="str">
        <f t="shared" si="3705"/>
        <v/>
      </c>
      <c r="FQ289" s="66" t="str">
        <f t="shared" si="3706"/>
        <v/>
      </c>
      <c r="FR289" s="66" t="str">
        <f t="shared" si="3707"/>
        <v/>
      </c>
      <c r="FS289" s="66" t="str">
        <f t="shared" si="3708"/>
        <v/>
      </c>
    </row>
    <row r="290" spans="1:175" ht="16.5">
      <c r="A290" s="2"/>
      <c r="B290" s="35"/>
      <c r="C290" s="2"/>
      <c r="E290" s="123"/>
      <c r="T290" s="125"/>
      <c r="U290" s="77"/>
      <c r="CU290" s="88" t="str">
        <f t="shared" si="3638"/>
        <v>|n</v>
      </c>
      <c r="CW290" s="33"/>
      <c r="CX290" s="33"/>
      <c r="CY290" s="33"/>
      <c r="CZ290" s="33"/>
      <c r="DA290" s="33"/>
      <c r="DB290" s="66" t="str">
        <f t="shared" si="3639"/>
        <v/>
      </c>
      <c r="DC290" s="66" t="str">
        <f t="shared" si="3640"/>
        <v/>
      </c>
      <c r="DD290" s="66" t="str">
        <f t="shared" si="3641"/>
        <v/>
      </c>
      <c r="DE290" s="66" t="str">
        <f t="shared" si="3642"/>
        <v/>
      </c>
      <c r="DF290" s="66" t="str">
        <f t="shared" si="3643"/>
        <v/>
      </c>
      <c r="DG290" s="66" t="str">
        <f t="shared" si="3644"/>
        <v/>
      </c>
      <c r="DH290" s="66" t="str">
        <f t="shared" si="3645"/>
        <v/>
      </c>
      <c r="DI290" s="66" t="str">
        <f t="shared" si="3646"/>
        <v/>
      </c>
      <c r="DJ290" s="66" t="str">
        <f t="shared" si="3647"/>
        <v/>
      </c>
      <c r="DK290" s="66" t="str">
        <f t="shared" si="3648"/>
        <v/>
      </c>
      <c r="DL290" s="66" t="str">
        <f t="shared" si="3649"/>
        <v/>
      </c>
      <c r="DM290" s="66" t="str">
        <f t="shared" si="3650"/>
        <v/>
      </c>
      <c r="DN290" s="66" t="str">
        <f t="shared" si="3651"/>
        <v/>
      </c>
      <c r="DO290" s="66" t="str">
        <f t="shared" si="3652"/>
        <v/>
      </c>
      <c r="DP290" s="66" t="str">
        <f t="shared" si="3653"/>
        <v/>
      </c>
      <c r="DQ290" s="66" t="str">
        <f t="shared" si="3654"/>
        <v/>
      </c>
      <c r="DR290" s="66" t="str">
        <f t="shared" si="3655"/>
        <v/>
      </c>
      <c r="DS290" s="66" t="str">
        <f t="shared" si="3656"/>
        <v/>
      </c>
      <c r="DT290" s="66" t="str">
        <f t="shared" si="3657"/>
        <v/>
      </c>
      <c r="DU290" s="66" t="str">
        <f t="shared" si="3658"/>
        <v/>
      </c>
      <c r="DV290" s="66" t="str">
        <f t="shared" si="3659"/>
        <v/>
      </c>
      <c r="DW290" s="66" t="str">
        <f t="shared" si="3660"/>
        <v/>
      </c>
      <c r="DX290" s="66" t="str">
        <f t="shared" si="3661"/>
        <v/>
      </c>
      <c r="DY290" s="66" t="str">
        <f t="shared" si="3662"/>
        <v/>
      </c>
      <c r="DZ290" s="66" t="str">
        <f t="shared" si="3663"/>
        <v/>
      </c>
      <c r="EA290" s="66" t="str">
        <f t="shared" si="3664"/>
        <v/>
      </c>
      <c r="EB290" s="66" t="str">
        <f t="shared" si="3665"/>
        <v/>
      </c>
      <c r="EC290" s="66" t="str">
        <f t="shared" si="3666"/>
        <v/>
      </c>
      <c r="ED290" s="66" t="str">
        <f t="shared" si="3667"/>
        <v/>
      </c>
      <c r="EE290" s="66" t="str">
        <f t="shared" si="3668"/>
        <v/>
      </c>
      <c r="EF290" s="66" t="str">
        <f t="shared" si="3669"/>
        <v/>
      </c>
      <c r="EG290" s="66" t="str">
        <f t="shared" si="3670"/>
        <v/>
      </c>
      <c r="EH290" s="66" t="str">
        <f t="shared" si="3671"/>
        <v/>
      </c>
      <c r="EI290" s="66" t="str">
        <f t="shared" si="3672"/>
        <v/>
      </c>
      <c r="EJ290" s="66" t="str">
        <f t="shared" si="3673"/>
        <v/>
      </c>
      <c r="EK290" s="66" t="str">
        <f t="shared" si="3674"/>
        <v/>
      </c>
      <c r="EL290" s="66" t="str">
        <f t="shared" si="3675"/>
        <v/>
      </c>
      <c r="EM290" s="66" t="str">
        <f t="shared" si="3676"/>
        <v/>
      </c>
      <c r="EN290" s="66" t="str">
        <f t="shared" si="3677"/>
        <v/>
      </c>
      <c r="EO290" s="66" t="str">
        <f t="shared" si="3678"/>
        <v/>
      </c>
      <c r="EP290" s="66" t="str">
        <f t="shared" si="3679"/>
        <v/>
      </c>
      <c r="EQ290" s="66" t="str">
        <f t="shared" si="3680"/>
        <v/>
      </c>
      <c r="ER290" s="66" t="str">
        <f t="shared" si="3681"/>
        <v/>
      </c>
      <c r="ES290" s="66" t="str">
        <f t="shared" si="3682"/>
        <v/>
      </c>
      <c r="ET290" s="66" t="str">
        <f t="shared" si="3683"/>
        <v/>
      </c>
      <c r="EU290" s="66" t="str">
        <f t="shared" si="3684"/>
        <v/>
      </c>
      <c r="EV290" s="66" t="str">
        <f t="shared" si="3685"/>
        <v/>
      </c>
      <c r="EW290" s="66" t="str">
        <f t="shared" si="3686"/>
        <v/>
      </c>
      <c r="EX290" s="66" t="str">
        <f t="shared" si="3687"/>
        <v/>
      </c>
      <c r="EY290" s="66" t="str">
        <f t="shared" si="3688"/>
        <v/>
      </c>
      <c r="EZ290" s="66" t="str">
        <f t="shared" si="3689"/>
        <v/>
      </c>
      <c r="FA290" s="66" t="str">
        <f t="shared" si="3690"/>
        <v/>
      </c>
      <c r="FB290" s="66" t="str">
        <f t="shared" si="3691"/>
        <v/>
      </c>
      <c r="FC290" s="66" t="str">
        <f t="shared" si="3692"/>
        <v/>
      </c>
      <c r="FD290" s="66" t="str">
        <f t="shared" si="3693"/>
        <v/>
      </c>
      <c r="FE290" s="66" t="str">
        <f t="shared" si="3694"/>
        <v/>
      </c>
      <c r="FF290" s="66" t="str">
        <f t="shared" si="3695"/>
        <v/>
      </c>
      <c r="FG290" s="66" t="str">
        <f t="shared" si="3696"/>
        <v/>
      </c>
      <c r="FH290" s="66" t="str">
        <f t="shared" si="3697"/>
        <v/>
      </c>
      <c r="FI290" s="66" t="str">
        <f t="shared" si="3698"/>
        <v/>
      </c>
      <c r="FJ290" s="66" t="str">
        <f t="shared" si="3699"/>
        <v/>
      </c>
      <c r="FK290" s="66" t="str">
        <f t="shared" si="3700"/>
        <v/>
      </c>
      <c r="FL290" s="66" t="str">
        <f t="shared" si="3701"/>
        <v/>
      </c>
      <c r="FM290" s="66" t="str">
        <f t="shared" si="3702"/>
        <v/>
      </c>
      <c r="FN290" s="66" t="str">
        <f t="shared" si="3703"/>
        <v/>
      </c>
      <c r="FO290" s="66" t="str">
        <f t="shared" si="3704"/>
        <v/>
      </c>
      <c r="FP290" s="66" t="str">
        <f t="shared" si="3705"/>
        <v/>
      </c>
      <c r="FQ290" s="66" t="str">
        <f t="shared" si="3706"/>
        <v/>
      </c>
      <c r="FR290" s="66" t="str">
        <f t="shared" si="3707"/>
        <v/>
      </c>
      <c r="FS290" s="66" t="str">
        <f t="shared" si="3708"/>
        <v/>
      </c>
    </row>
    <row r="291" spans="1:175" ht="16.5">
      <c r="A291" s="2"/>
      <c r="B291" s="35"/>
      <c r="C291" s="2"/>
      <c r="E291" s="123"/>
      <c r="T291" s="125"/>
      <c r="U291" s="77"/>
      <c r="CU291" s="88" t="str">
        <f t="shared" si="3638"/>
        <v>|n</v>
      </c>
      <c r="CW291" s="33"/>
      <c r="CX291" s="33"/>
      <c r="CY291" s="33"/>
      <c r="CZ291" s="33"/>
      <c r="DA291" s="33"/>
      <c r="DB291" s="66" t="str">
        <f t="shared" si="3639"/>
        <v/>
      </c>
      <c r="DC291" s="66" t="str">
        <f t="shared" si="3640"/>
        <v/>
      </c>
      <c r="DD291" s="66" t="str">
        <f t="shared" si="3641"/>
        <v/>
      </c>
      <c r="DE291" s="66" t="str">
        <f t="shared" si="3642"/>
        <v/>
      </c>
      <c r="DF291" s="66" t="str">
        <f t="shared" si="3643"/>
        <v/>
      </c>
      <c r="DG291" s="66" t="str">
        <f t="shared" si="3644"/>
        <v/>
      </c>
      <c r="DH291" s="66" t="str">
        <f t="shared" si="3645"/>
        <v/>
      </c>
      <c r="DI291" s="66" t="str">
        <f t="shared" si="3646"/>
        <v/>
      </c>
      <c r="DJ291" s="66" t="str">
        <f t="shared" si="3647"/>
        <v/>
      </c>
      <c r="DK291" s="66" t="str">
        <f t="shared" si="3648"/>
        <v/>
      </c>
      <c r="DL291" s="66" t="str">
        <f t="shared" si="3649"/>
        <v/>
      </c>
      <c r="DM291" s="66" t="str">
        <f t="shared" si="3650"/>
        <v/>
      </c>
      <c r="DN291" s="66" t="str">
        <f t="shared" si="3651"/>
        <v/>
      </c>
      <c r="DO291" s="66" t="str">
        <f t="shared" si="3652"/>
        <v/>
      </c>
      <c r="DP291" s="66" t="str">
        <f t="shared" si="3653"/>
        <v/>
      </c>
      <c r="DQ291" s="66" t="str">
        <f t="shared" si="3654"/>
        <v/>
      </c>
      <c r="DR291" s="66" t="str">
        <f t="shared" si="3655"/>
        <v/>
      </c>
      <c r="DS291" s="66" t="str">
        <f t="shared" si="3656"/>
        <v/>
      </c>
      <c r="DT291" s="66" t="str">
        <f t="shared" si="3657"/>
        <v/>
      </c>
      <c r="DU291" s="66" t="str">
        <f t="shared" si="3658"/>
        <v/>
      </c>
      <c r="DV291" s="66" t="str">
        <f t="shared" si="3659"/>
        <v/>
      </c>
      <c r="DW291" s="66" t="str">
        <f t="shared" si="3660"/>
        <v/>
      </c>
      <c r="DX291" s="66" t="str">
        <f t="shared" si="3661"/>
        <v/>
      </c>
      <c r="DY291" s="66" t="str">
        <f t="shared" si="3662"/>
        <v/>
      </c>
      <c r="DZ291" s="66" t="str">
        <f t="shared" si="3663"/>
        <v/>
      </c>
      <c r="EA291" s="66" t="str">
        <f t="shared" si="3664"/>
        <v/>
      </c>
      <c r="EB291" s="66" t="str">
        <f t="shared" si="3665"/>
        <v/>
      </c>
      <c r="EC291" s="66" t="str">
        <f t="shared" si="3666"/>
        <v/>
      </c>
      <c r="ED291" s="66" t="str">
        <f t="shared" si="3667"/>
        <v/>
      </c>
      <c r="EE291" s="66" t="str">
        <f t="shared" si="3668"/>
        <v/>
      </c>
      <c r="EF291" s="66" t="str">
        <f t="shared" si="3669"/>
        <v/>
      </c>
      <c r="EG291" s="66" t="str">
        <f t="shared" si="3670"/>
        <v/>
      </c>
      <c r="EH291" s="66" t="str">
        <f t="shared" si="3671"/>
        <v/>
      </c>
      <c r="EI291" s="66" t="str">
        <f t="shared" si="3672"/>
        <v/>
      </c>
      <c r="EJ291" s="66" t="str">
        <f t="shared" si="3673"/>
        <v/>
      </c>
      <c r="EK291" s="66" t="str">
        <f t="shared" si="3674"/>
        <v/>
      </c>
      <c r="EL291" s="66" t="str">
        <f t="shared" si="3675"/>
        <v/>
      </c>
      <c r="EM291" s="66" t="str">
        <f t="shared" si="3676"/>
        <v/>
      </c>
      <c r="EN291" s="66" t="str">
        <f t="shared" si="3677"/>
        <v/>
      </c>
      <c r="EO291" s="66" t="str">
        <f t="shared" si="3678"/>
        <v/>
      </c>
      <c r="EP291" s="66" t="str">
        <f t="shared" si="3679"/>
        <v/>
      </c>
      <c r="EQ291" s="66" t="str">
        <f t="shared" si="3680"/>
        <v/>
      </c>
      <c r="ER291" s="66" t="str">
        <f t="shared" si="3681"/>
        <v/>
      </c>
      <c r="ES291" s="66" t="str">
        <f t="shared" si="3682"/>
        <v/>
      </c>
      <c r="ET291" s="66" t="str">
        <f t="shared" si="3683"/>
        <v/>
      </c>
      <c r="EU291" s="66" t="str">
        <f t="shared" si="3684"/>
        <v/>
      </c>
      <c r="EV291" s="66" t="str">
        <f t="shared" si="3685"/>
        <v/>
      </c>
      <c r="EW291" s="66" t="str">
        <f t="shared" si="3686"/>
        <v/>
      </c>
      <c r="EX291" s="66" t="str">
        <f t="shared" si="3687"/>
        <v/>
      </c>
      <c r="EY291" s="66" t="str">
        <f t="shared" si="3688"/>
        <v/>
      </c>
      <c r="EZ291" s="66" t="str">
        <f t="shared" si="3689"/>
        <v/>
      </c>
      <c r="FA291" s="66" t="str">
        <f t="shared" si="3690"/>
        <v/>
      </c>
      <c r="FB291" s="66" t="str">
        <f t="shared" si="3691"/>
        <v/>
      </c>
      <c r="FC291" s="66" t="str">
        <f t="shared" si="3692"/>
        <v/>
      </c>
      <c r="FD291" s="66" t="str">
        <f t="shared" si="3693"/>
        <v/>
      </c>
      <c r="FE291" s="66" t="str">
        <f t="shared" si="3694"/>
        <v/>
      </c>
      <c r="FF291" s="66" t="str">
        <f t="shared" si="3695"/>
        <v/>
      </c>
      <c r="FG291" s="66" t="str">
        <f t="shared" si="3696"/>
        <v/>
      </c>
      <c r="FH291" s="66" t="str">
        <f t="shared" si="3697"/>
        <v/>
      </c>
      <c r="FI291" s="66" t="str">
        <f t="shared" si="3698"/>
        <v/>
      </c>
      <c r="FJ291" s="66" t="str">
        <f t="shared" si="3699"/>
        <v/>
      </c>
      <c r="FK291" s="66" t="str">
        <f t="shared" si="3700"/>
        <v/>
      </c>
      <c r="FL291" s="66" t="str">
        <f t="shared" si="3701"/>
        <v/>
      </c>
      <c r="FM291" s="66" t="str">
        <f t="shared" si="3702"/>
        <v/>
      </c>
      <c r="FN291" s="66" t="str">
        <f t="shared" si="3703"/>
        <v/>
      </c>
      <c r="FO291" s="66" t="str">
        <f t="shared" si="3704"/>
        <v/>
      </c>
      <c r="FP291" s="66" t="str">
        <f t="shared" si="3705"/>
        <v/>
      </c>
      <c r="FQ291" s="66" t="str">
        <f t="shared" si="3706"/>
        <v/>
      </c>
      <c r="FR291" s="66" t="str">
        <f t="shared" si="3707"/>
        <v/>
      </c>
      <c r="FS291" s="66" t="str">
        <f t="shared" si="3708"/>
        <v/>
      </c>
    </row>
    <row r="292" spans="1:175" ht="16.5">
      <c r="A292" s="2"/>
      <c r="B292" s="35"/>
      <c r="C292" s="2"/>
      <c r="E292" s="123"/>
      <c r="T292" s="125"/>
      <c r="U292" s="77"/>
      <c r="CU292" s="88" t="str">
        <f t="shared" si="3638"/>
        <v>|n</v>
      </c>
      <c r="CW292" s="33"/>
      <c r="CX292" s="33"/>
      <c r="CY292" s="33"/>
      <c r="CZ292" s="33"/>
      <c r="DA292" s="33"/>
      <c r="DB292" s="66" t="str">
        <f t="shared" si="3639"/>
        <v/>
      </c>
      <c r="DC292" s="66" t="str">
        <f t="shared" si="3640"/>
        <v/>
      </c>
      <c r="DD292" s="66" t="str">
        <f t="shared" si="3641"/>
        <v/>
      </c>
      <c r="DE292" s="66" t="str">
        <f t="shared" si="3642"/>
        <v/>
      </c>
      <c r="DF292" s="66" t="str">
        <f t="shared" si="3643"/>
        <v/>
      </c>
      <c r="DG292" s="66" t="str">
        <f t="shared" si="3644"/>
        <v/>
      </c>
      <c r="DH292" s="66" t="str">
        <f t="shared" si="3645"/>
        <v/>
      </c>
      <c r="DI292" s="66" t="str">
        <f t="shared" si="3646"/>
        <v/>
      </c>
      <c r="DJ292" s="66" t="str">
        <f t="shared" si="3647"/>
        <v/>
      </c>
      <c r="DK292" s="66" t="str">
        <f t="shared" si="3648"/>
        <v/>
      </c>
      <c r="DL292" s="66" t="str">
        <f t="shared" si="3649"/>
        <v/>
      </c>
      <c r="DM292" s="66" t="str">
        <f t="shared" si="3650"/>
        <v/>
      </c>
      <c r="DN292" s="66" t="str">
        <f t="shared" si="3651"/>
        <v/>
      </c>
      <c r="DO292" s="66" t="str">
        <f t="shared" si="3652"/>
        <v/>
      </c>
      <c r="DP292" s="66" t="str">
        <f t="shared" si="3653"/>
        <v/>
      </c>
      <c r="DQ292" s="66" t="str">
        <f t="shared" si="3654"/>
        <v/>
      </c>
      <c r="DR292" s="66" t="str">
        <f t="shared" si="3655"/>
        <v/>
      </c>
      <c r="DS292" s="66" t="str">
        <f t="shared" si="3656"/>
        <v/>
      </c>
      <c r="DT292" s="66" t="str">
        <f t="shared" si="3657"/>
        <v/>
      </c>
      <c r="DU292" s="66" t="str">
        <f t="shared" si="3658"/>
        <v/>
      </c>
      <c r="DV292" s="66" t="str">
        <f t="shared" si="3659"/>
        <v/>
      </c>
      <c r="DW292" s="66" t="str">
        <f t="shared" si="3660"/>
        <v/>
      </c>
      <c r="DX292" s="66" t="str">
        <f t="shared" si="3661"/>
        <v/>
      </c>
      <c r="DY292" s="66" t="str">
        <f t="shared" si="3662"/>
        <v/>
      </c>
      <c r="DZ292" s="66" t="str">
        <f t="shared" si="3663"/>
        <v/>
      </c>
      <c r="EA292" s="66" t="str">
        <f t="shared" si="3664"/>
        <v/>
      </c>
      <c r="EB292" s="66" t="str">
        <f t="shared" si="3665"/>
        <v/>
      </c>
      <c r="EC292" s="66" t="str">
        <f t="shared" si="3666"/>
        <v/>
      </c>
      <c r="ED292" s="66" t="str">
        <f t="shared" si="3667"/>
        <v/>
      </c>
      <c r="EE292" s="66" t="str">
        <f t="shared" si="3668"/>
        <v/>
      </c>
      <c r="EF292" s="66" t="str">
        <f t="shared" si="3669"/>
        <v/>
      </c>
      <c r="EG292" s="66" t="str">
        <f t="shared" si="3670"/>
        <v/>
      </c>
      <c r="EH292" s="66" t="str">
        <f t="shared" si="3671"/>
        <v/>
      </c>
      <c r="EI292" s="66" t="str">
        <f t="shared" si="3672"/>
        <v/>
      </c>
      <c r="EJ292" s="66" t="str">
        <f t="shared" si="3673"/>
        <v/>
      </c>
      <c r="EK292" s="66" t="str">
        <f t="shared" si="3674"/>
        <v/>
      </c>
      <c r="EL292" s="66" t="str">
        <f t="shared" si="3675"/>
        <v/>
      </c>
      <c r="EM292" s="66" t="str">
        <f t="shared" si="3676"/>
        <v/>
      </c>
      <c r="EN292" s="66" t="str">
        <f t="shared" si="3677"/>
        <v/>
      </c>
      <c r="EO292" s="66" t="str">
        <f t="shared" si="3678"/>
        <v/>
      </c>
      <c r="EP292" s="66" t="str">
        <f t="shared" si="3679"/>
        <v/>
      </c>
      <c r="EQ292" s="66" t="str">
        <f t="shared" si="3680"/>
        <v/>
      </c>
      <c r="ER292" s="66" t="str">
        <f t="shared" si="3681"/>
        <v/>
      </c>
      <c r="ES292" s="66" t="str">
        <f t="shared" si="3682"/>
        <v/>
      </c>
      <c r="ET292" s="66" t="str">
        <f t="shared" si="3683"/>
        <v/>
      </c>
      <c r="EU292" s="66" t="str">
        <f t="shared" si="3684"/>
        <v/>
      </c>
      <c r="EV292" s="66" t="str">
        <f t="shared" si="3685"/>
        <v/>
      </c>
      <c r="EW292" s="66" t="str">
        <f t="shared" si="3686"/>
        <v/>
      </c>
      <c r="EX292" s="66" t="str">
        <f t="shared" si="3687"/>
        <v/>
      </c>
      <c r="EY292" s="66" t="str">
        <f t="shared" si="3688"/>
        <v/>
      </c>
      <c r="EZ292" s="66" t="str">
        <f t="shared" si="3689"/>
        <v/>
      </c>
      <c r="FA292" s="66" t="str">
        <f t="shared" si="3690"/>
        <v/>
      </c>
      <c r="FB292" s="66" t="str">
        <f t="shared" si="3691"/>
        <v/>
      </c>
      <c r="FC292" s="66" t="str">
        <f t="shared" si="3692"/>
        <v/>
      </c>
      <c r="FD292" s="66" t="str">
        <f t="shared" si="3693"/>
        <v/>
      </c>
      <c r="FE292" s="66" t="str">
        <f t="shared" si="3694"/>
        <v/>
      </c>
      <c r="FF292" s="66" t="str">
        <f t="shared" si="3695"/>
        <v/>
      </c>
      <c r="FG292" s="66" t="str">
        <f t="shared" si="3696"/>
        <v/>
      </c>
      <c r="FH292" s="66" t="str">
        <f t="shared" si="3697"/>
        <v/>
      </c>
      <c r="FI292" s="66" t="str">
        <f t="shared" si="3698"/>
        <v/>
      </c>
      <c r="FJ292" s="66" t="str">
        <f t="shared" si="3699"/>
        <v/>
      </c>
      <c r="FK292" s="66" t="str">
        <f t="shared" si="3700"/>
        <v/>
      </c>
      <c r="FL292" s="66" t="str">
        <f t="shared" si="3701"/>
        <v/>
      </c>
      <c r="FM292" s="66" t="str">
        <f t="shared" si="3702"/>
        <v/>
      </c>
      <c r="FN292" s="66" t="str">
        <f t="shared" si="3703"/>
        <v/>
      </c>
      <c r="FO292" s="66" t="str">
        <f t="shared" si="3704"/>
        <v/>
      </c>
      <c r="FP292" s="66" t="str">
        <f t="shared" si="3705"/>
        <v/>
      </c>
      <c r="FQ292" s="66" t="str">
        <f t="shared" si="3706"/>
        <v/>
      </c>
      <c r="FR292" s="66" t="str">
        <f t="shared" si="3707"/>
        <v/>
      </c>
      <c r="FS292" s="66" t="str">
        <f t="shared" si="3708"/>
        <v/>
      </c>
    </row>
    <row r="293" spans="1:175" ht="16.5">
      <c r="A293" s="2"/>
      <c r="B293" s="35"/>
      <c r="C293" s="2"/>
      <c r="E293" s="123"/>
      <c r="T293" s="125"/>
      <c r="U293" s="77"/>
      <c r="CU293" s="88" t="str">
        <f t="shared" si="3638"/>
        <v>|n</v>
      </c>
      <c r="CW293" s="33"/>
      <c r="CX293" s="33"/>
      <c r="CY293" s="33"/>
      <c r="CZ293" s="33"/>
      <c r="DA293" s="33"/>
      <c r="DB293" s="66" t="str">
        <f t="shared" si="3639"/>
        <v/>
      </c>
      <c r="DC293" s="66" t="str">
        <f t="shared" si="3640"/>
        <v/>
      </c>
      <c r="DD293" s="66" t="str">
        <f t="shared" si="3641"/>
        <v/>
      </c>
      <c r="DE293" s="66" t="str">
        <f t="shared" si="3642"/>
        <v/>
      </c>
      <c r="DF293" s="66" t="str">
        <f t="shared" si="3643"/>
        <v/>
      </c>
      <c r="DG293" s="66" t="str">
        <f t="shared" si="3644"/>
        <v/>
      </c>
      <c r="DH293" s="66" t="str">
        <f t="shared" si="3645"/>
        <v/>
      </c>
      <c r="DI293" s="66" t="str">
        <f t="shared" si="3646"/>
        <v/>
      </c>
      <c r="DJ293" s="66" t="str">
        <f t="shared" si="3647"/>
        <v/>
      </c>
      <c r="DK293" s="66" t="str">
        <f t="shared" si="3648"/>
        <v/>
      </c>
      <c r="DL293" s="66" t="str">
        <f t="shared" si="3649"/>
        <v/>
      </c>
      <c r="DM293" s="66" t="str">
        <f t="shared" si="3650"/>
        <v/>
      </c>
      <c r="DN293" s="66" t="str">
        <f t="shared" si="3651"/>
        <v/>
      </c>
      <c r="DO293" s="66" t="str">
        <f t="shared" si="3652"/>
        <v/>
      </c>
      <c r="DP293" s="66" t="str">
        <f t="shared" si="3653"/>
        <v/>
      </c>
      <c r="DQ293" s="66" t="str">
        <f t="shared" si="3654"/>
        <v/>
      </c>
      <c r="DR293" s="66" t="str">
        <f t="shared" si="3655"/>
        <v/>
      </c>
      <c r="DS293" s="66" t="str">
        <f t="shared" si="3656"/>
        <v/>
      </c>
      <c r="DT293" s="66" t="str">
        <f t="shared" si="3657"/>
        <v/>
      </c>
      <c r="DU293" s="66" t="str">
        <f t="shared" si="3658"/>
        <v/>
      </c>
      <c r="DV293" s="66" t="str">
        <f t="shared" si="3659"/>
        <v/>
      </c>
      <c r="DW293" s="66" t="str">
        <f t="shared" si="3660"/>
        <v/>
      </c>
      <c r="DX293" s="66" t="str">
        <f t="shared" si="3661"/>
        <v/>
      </c>
      <c r="DY293" s="66" t="str">
        <f t="shared" si="3662"/>
        <v/>
      </c>
      <c r="DZ293" s="66" t="str">
        <f t="shared" si="3663"/>
        <v/>
      </c>
      <c r="EA293" s="66" t="str">
        <f t="shared" si="3664"/>
        <v/>
      </c>
      <c r="EB293" s="66" t="str">
        <f t="shared" si="3665"/>
        <v/>
      </c>
      <c r="EC293" s="66" t="str">
        <f t="shared" si="3666"/>
        <v/>
      </c>
      <c r="ED293" s="66" t="str">
        <f t="shared" si="3667"/>
        <v/>
      </c>
      <c r="EE293" s="66" t="str">
        <f t="shared" si="3668"/>
        <v/>
      </c>
      <c r="EF293" s="66" t="str">
        <f t="shared" si="3669"/>
        <v/>
      </c>
      <c r="EG293" s="66" t="str">
        <f t="shared" si="3670"/>
        <v/>
      </c>
      <c r="EH293" s="66" t="str">
        <f t="shared" si="3671"/>
        <v/>
      </c>
      <c r="EI293" s="66" t="str">
        <f t="shared" si="3672"/>
        <v/>
      </c>
      <c r="EJ293" s="66" t="str">
        <f t="shared" si="3673"/>
        <v/>
      </c>
      <c r="EK293" s="66" t="str">
        <f t="shared" si="3674"/>
        <v/>
      </c>
      <c r="EL293" s="66" t="str">
        <f t="shared" si="3675"/>
        <v/>
      </c>
      <c r="EM293" s="66" t="str">
        <f t="shared" si="3676"/>
        <v/>
      </c>
      <c r="EN293" s="66" t="str">
        <f t="shared" si="3677"/>
        <v/>
      </c>
      <c r="EO293" s="66" t="str">
        <f t="shared" si="3678"/>
        <v/>
      </c>
      <c r="EP293" s="66" t="str">
        <f t="shared" si="3679"/>
        <v/>
      </c>
      <c r="EQ293" s="66" t="str">
        <f t="shared" si="3680"/>
        <v/>
      </c>
      <c r="ER293" s="66" t="str">
        <f t="shared" si="3681"/>
        <v/>
      </c>
      <c r="ES293" s="66" t="str">
        <f t="shared" si="3682"/>
        <v/>
      </c>
      <c r="ET293" s="66" t="str">
        <f t="shared" si="3683"/>
        <v/>
      </c>
      <c r="EU293" s="66" t="str">
        <f t="shared" si="3684"/>
        <v/>
      </c>
      <c r="EV293" s="66" t="str">
        <f t="shared" si="3685"/>
        <v/>
      </c>
      <c r="EW293" s="66" t="str">
        <f t="shared" si="3686"/>
        <v/>
      </c>
      <c r="EX293" s="66" t="str">
        <f t="shared" si="3687"/>
        <v/>
      </c>
      <c r="EY293" s="66" t="str">
        <f t="shared" si="3688"/>
        <v/>
      </c>
      <c r="EZ293" s="66" t="str">
        <f t="shared" si="3689"/>
        <v/>
      </c>
      <c r="FA293" s="66" t="str">
        <f t="shared" si="3690"/>
        <v/>
      </c>
      <c r="FB293" s="66" t="str">
        <f t="shared" si="3691"/>
        <v/>
      </c>
      <c r="FC293" s="66" t="str">
        <f t="shared" si="3692"/>
        <v/>
      </c>
      <c r="FD293" s="66" t="str">
        <f t="shared" si="3693"/>
        <v/>
      </c>
      <c r="FE293" s="66" t="str">
        <f t="shared" si="3694"/>
        <v/>
      </c>
      <c r="FF293" s="66" t="str">
        <f t="shared" si="3695"/>
        <v/>
      </c>
      <c r="FG293" s="66" t="str">
        <f t="shared" si="3696"/>
        <v/>
      </c>
      <c r="FH293" s="66" t="str">
        <f t="shared" si="3697"/>
        <v/>
      </c>
      <c r="FI293" s="66" t="str">
        <f t="shared" si="3698"/>
        <v/>
      </c>
      <c r="FJ293" s="66" t="str">
        <f t="shared" si="3699"/>
        <v/>
      </c>
      <c r="FK293" s="66" t="str">
        <f t="shared" si="3700"/>
        <v/>
      </c>
      <c r="FL293" s="66" t="str">
        <f t="shared" si="3701"/>
        <v/>
      </c>
      <c r="FM293" s="66" t="str">
        <f t="shared" si="3702"/>
        <v/>
      </c>
      <c r="FN293" s="66" t="str">
        <f t="shared" si="3703"/>
        <v/>
      </c>
      <c r="FO293" s="66" t="str">
        <f t="shared" si="3704"/>
        <v/>
      </c>
      <c r="FP293" s="66" t="str">
        <f t="shared" si="3705"/>
        <v/>
      </c>
      <c r="FQ293" s="66" t="str">
        <f t="shared" si="3706"/>
        <v/>
      </c>
      <c r="FR293" s="66" t="str">
        <f t="shared" si="3707"/>
        <v/>
      </c>
      <c r="FS293" s="66" t="str">
        <f t="shared" si="3708"/>
        <v/>
      </c>
    </row>
    <row r="294" spans="1:175">
      <c r="CN294" s="36" t="str">
        <f t="shared" ref="CN294:CN325" si="3874">"InitUnitState('"&amp;B294&amp;"',"&amp;V294&amp;","&amp;W294&amp;","&amp;X294&amp;","&amp;Y294&amp;","&amp;Z294&amp;","&amp;AA294&amp;","&amp;AB294&amp;","&amp;AC294&amp;","&amp;AD294&amp;","&amp;AE294&amp;")"</f>
        <v>InitUnitState('',,,,,,,,,,)</v>
      </c>
      <c r="CO294" s="36" t="str">
        <f t="shared" ref="CO294:CO325" si="3875">"InitUnitNormal('"&amp;B294&amp;"',"&amp;AF294&amp;","&amp;AG294&amp;","&amp;AH294&amp;","&amp;AI294&amp;","&amp;AJ294&amp;","&amp;AK294&amp;","&amp;AL294&amp;","&amp;AM294&amp;","&amp;AN294&amp;","&amp;AO294&amp;")"</f>
        <v>InitUnitNormal('',,,,,,,,,,)</v>
      </c>
      <c r="CP294" s="36" t="str">
        <f t="shared" ref="CP294:CP325" si="3876">"InitUnitMagic('"&amp;B294&amp;"',"&amp;AP294&amp;","&amp;AQ294&amp;","&amp;AR294&amp;","&amp;AS294&amp;","&amp;AT294&amp;","&amp;AU294&amp;","&amp;AV294&amp;","&amp;AW294&amp;","&amp;BI294&amp;","&amp;BJ294&amp;")"</f>
        <v>InitUnitMagic('',,,,,,,,,,)</v>
      </c>
      <c r="CQ294" s="36" t="str">
        <f t="shared" ref="CQ294:CQ325" si="3877">"InitUnitAdd('"&amp;B294&amp;"',"&amp;BK294&amp;","&amp;BL294&amp;","&amp;BM294&amp;","&amp;BN294&amp;","&amp;BO294&amp;","&amp;BP294&amp;","&amp;BQ294&amp;","&amp;BR294&amp;","&amp;BS294&amp;","&amp;BT294&amp;")"</f>
        <v>InitUnitAdd('',,,,,,,,,,)</v>
      </c>
      <c r="CR294" s="36" t="str">
        <f t="shared" ref="CR294:CR325" si="3878"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295&amp;CR$1&amp;")"</f>
        <v>InitEquipData('',,"",,,,,'','','','','','',"")</v>
      </c>
      <c r="CU294" s="19" t="str">
        <f t="shared" ref="CU294:CU306" si="3879">CONCATENATE(DB294,DC294,DD294,DE294,DF294,DG294,DH294,DI294,DJ294,DK294,DL294,DM294,DN294,DO294,DP294,DQ294,DR294,DS294,DT294,DU294,DV294,DW294,DX294,DY294,DZ294,EA294,EB294,EC294,ED294,EE294,EF294,EG294,EH294,EI294,EJ294,EK294,EL294,EM294,EN294,EO294,EP294&amp;"|n")</f>
        <v>|n</v>
      </c>
      <c r="CW294" s="33"/>
      <c r="CX294" s="33"/>
      <c r="CY294" s="33"/>
      <c r="CZ294" s="33"/>
      <c r="DA294" s="33"/>
      <c r="DB294" s="66" t="str">
        <f t="shared" ref="DB294:DB314" si="3880">IF(V294="","","|n"&amp;DB$2&amp;"+"&amp;V294&amp;DB$1)</f>
        <v/>
      </c>
      <c r="DC294" s="66" t="str">
        <f t="shared" ref="DC294:DC314" si="3881">IF(W294="","","|n"&amp;DC$2&amp;"+"&amp;W294&amp;DC$1)</f>
        <v/>
      </c>
      <c r="DD294" s="66" t="str">
        <f t="shared" ref="DD294:DD314" si="3882">IF(X294="","","|n"&amp;DD$2&amp;"+"&amp;X294&amp;DD$1)</f>
        <v/>
      </c>
      <c r="DE294" s="66" t="str">
        <f t="shared" ref="DE294:DE314" si="3883">IF(Y294="","","|n"&amp;DE$2&amp;"+"&amp;Y294&amp;DE$1)</f>
        <v/>
      </c>
      <c r="DF294" s="66" t="str">
        <f t="shared" ref="DF294:DF314" si="3884">IF(Z294="","","|n"&amp;DF$2&amp;"+"&amp;Z294&amp;DF$1)</f>
        <v/>
      </c>
      <c r="DG294" s="66" t="str">
        <f t="shared" ref="DG294:DG314" si="3885">IF(AA294="","","|n"&amp;DG$2&amp;"+"&amp;AA294&amp;DG$1)</f>
        <v/>
      </c>
      <c r="DH294" s="66" t="str">
        <f t="shared" ref="DH294:DH314" si="3886">IF(AB294="","","|n"&amp;DH$2&amp;"+"&amp;AB294&amp;DH$1)</f>
        <v/>
      </c>
      <c r="DI294" s="66" t="str">
        <f t="shared" ref="DI294:DI314" si="3887">IF(AC294="","","|n"&amp;DI$2&amp;"+"&amp;AC294&amp;DI$1)</f>
        <v/>
      </c>
      <c r="DJ294" s="66" t="str">
        <f t="shared" ref="DJ294:DJ314" si="3888">IF(AD294="","","|n"&amp;DJ$2&amp;"+"&amp;AD294&amp;DJ$1)</f>
        <v/>
      </c>
      <c r="DK294" s="66" t="str">
        <f t="shared" ref="DK294:DK314" si="3889">IF(AE294="","","|n"&amp;DK$2&amp;"+"&amp;AE294&amp;DK$1)</f>
        <v/>
      </c>
      <c r="DL294" s="66" t="str">
        <f t="shared" ref="DL294:DL314" si="3890">IF(AF294="","","|n"&amp;DL$2&amp;"+"&amp;AF294&amp;DL$1)</f>
        <v/>
      </c>
      <c r="DM294" s="66" t="str">
        <f t="shared" ref="DM294:DM314" si="3891">IF(AG294="","","|n"&amp;DM$2&amp;"+"&amp;AG294&amp;DM$1)</f>
        <v/>
      </c>
      <c r="DN294" s="66" t="str">
        <f t="shared" ref="DN294:DN314" si="3892">IF(AH294="","","|n"&amp;DN$2&amp;"+"&amp;AH294&amp;DN$1)</f>
        <v/>
      </c>
      <c r="DO294" s="66" t="str">
        <f t="shared" ref="DO294:DO314" si="3893">IF(AI294="","","|n"&amp;DO$2&amp;"+"&amp;AI294&amp;DO$1)</f>
        <v/>
      </c>
      <c r="DP294" s="66" t="str">
        <f t="shared" ref="DP294:DP314" si="3894">IF(AJ294="","","|n"&amp;DP$2&amp;"+"&amp;AJ294&amp;DP$1)</f>
        <v/>
      </c>
      <c r="DQ294" s="66" t="str">
        <f t="shared" ref="DQ294:DQ314" si="3895">IF(AK294="","","|n"&amp;DQ$2&amp;"+"&amp;AK294&amp;DQ$1)</f>
        <v/>
      </c>
      <c r="DR294" s="66" t="str">
        <f t="shared" ref="DR294:DR314" si="3896">IF(AL294="","","|n"&amp;DR$2&amp;"+"&amp;AL294&amp;DR$1)</f>
        <v/>
      </c>
      <c r="DS294" s="66" t="str">
        <f t="shared" ref="DS294:DS314" si="3897">IF(AM294="","","|n"&amp;DS$2&amp;"+"&amp;AM294&amp;DS$1)</f>
        <v/>
      </c>
      <c r="DT294" s="66" t="str">
        <f t="shared" ref="DT294:DT314" si="3898">IF(AN294="","","|n"&amp;DT$2&amp;"+"&amp;AN294&amp;DT$1)</f>
        <v/>
      </c>
      <c r="DU294" s="66" t="str">
        <f t="shared" ref="DU294:DU314" si="3899">IF(AO294="","","|n"&amp;DU$2&amp;"+"&amp;AO294&amp;DU$1)</f>
        <v/>
      </c>
      <c r="DV294" s="66" t="str">
        <f t="shared" ref="DV294:DV314" si="3900">IF(AP294="","","|n"&amp;DV$2&amp;"+"&amp;AP294&amp;DV$1)</f>
        <v/>
      </c>
      <c r="DW294" s="66" t="str">
        <f t="shared" ref="DW294:DW314" si="3901">IF(AQ294="","","|n"&amp;DW$2&amp;"+"&amp;AQ294&amp;DW$1)</f>
        <v/>
      </c>
      <c r="DX294" s="66" t="str">
        <f t="shared" ref="DX294:DX314" si="3902">IF(AR294="","","|n"&amp;DX$2&amp;"+"&amp;AR294&amp;DX$1)</f>
        <v/>
      </c>
      <c r="DY294" s="66" t="str">
        <f t="shared" ref="DY294:DY314" si="3903">IF(AS294="","","|n"&amp;DY$2&amp;"+"&amp;AS294&amp;DY$1)</f>
        <v/>
      </c>
      <c r="DZ294" s="66" t="str">
        <f t="shared" ref="DZ294:DZ314" si="3904">IF(AT294="","","|n"&amp;DZ$2&amp;"+"&amp;AT294&amp;DZ$1)</f>
        <v/>
      </c>
      <c r="EA294" s="66" t="str">
        <f t="shared" ref="EA294:EA314" si="3905">IF(AU294="","","|n"&amp;EA$2&amp;"+"&amp;AU294&amp;EA$1)</f>
        <v/>
      </c>
      <c r="EB294" s="66" t="str">
        <f t="shared" ref="EB294:EB314" si="3906">IF(AV294="","","|n"&amp;EB$2&amp;"+"&amp;AV294&amp;EB$1)</f>
        <v/>
      </c>
      <c r="EC294" s="66" t="str">
        <f t="shared" ref="EC294:EC314" si="3907">IF(AW294="","","|n"&amp;EC$2&amp;"+"&amp;AW294&amp;EC$1)</f>
        <v/>
      </c>
      <c r="ED294" s="66" t="str">
        <f t="shared" ref="ED294:ED314" si="3908">IF(AX294="","","|n"&amp;ED$2&amp;"+"&amp;AX294&amp;ED$1)</f>
        <v/>
      </c>
      <c r="EE294" s="66" t="str">
        <f t="shared" ref="EE294:EE314" si="3909">IF(AY294="","","|n"&amp;EE$2&amp;"+"&amp;AY294&amp;EE$1)</f>
        <v/>
      </c>
      <c r="EF294" s="66" t="str">
        <f t="shared" ref="EF294:EF314" si="3910">IF(AZ294="","","|n"&amp;EF$2&amp;"+"&amp;AZ294&amp;EF$1)</f>
        <v/>
      </c>
      <c r="EG294" s="66" t="str">
        <f t="shared" ref="EG294:EG314" si="3911">IF(BA294="","","|n"&amp;EG$2&amp;"+"&amp;BA294&amp;EG$1)</f>
        <v/>
      </c>
      <c r="EH294" s="66" t="str">
        <f t="shared" ref="EH294:EH314" si="3912">IF(BB294="","","|n"&amp;EH$2&amp;"+"&amp;BB294&amp;EH$1)</f>
        <v/>
      </c>
      <c r="EI294" s="66" t="str">
        <f t="shared" ref="EI294:EI314" si="3913">IF(BC294="","","|n"&amp;EI$2&amp;"+"&amp;BC294&amp;EI$1)</f>
        <v/>
      </c>
      <c r="EJ294" s="66" t="str">
        <f t="shared" ref="EJ294:EJ314" si="3914">IF(BD294="","","|n"&amp;EJ$2&amp;"+"&amp;BD294&amp;EJ$1)</f>
        <v/>
      </c>
      <c r="EK294" s="66" t="str">
        <f t="shared" ref="EK294:EK314" si="3915">IF(BE294="","","|n"&amp;EK$2&amp;"+"&amp;BE294&amp;EK$1)</f>
        <v/>
      </c>
      <c r="EL294" s="66" t="str">
        <f t="shared" ref="EL294:EL314" si="3916">IF(BF294="","","|n"&amp;EL$2&amp;"+"&amp;BF294&amp;EL$1)</f>
        <v/>
      </c>
      <c r="EM294" s="66" t="str">
        <f t="shared" ref="EM294:EM314" si="3917">IF(BG294="","","|n"&amp;EM$2&amp;"+"&amp;BG294&amp;EM$1)</f>
        <v/>
      </c>
      <c r="EN294" s="66" t="str">
        <f t="shared" ref="EN294:EN314" si="3918">IF(BH294="","","|n"&amp;EN$2&amp;"+"&amp;BH294&amp;EN$1)</f>
        <v/>
      </c>
      <c r="EO294" s="66" t="str">
        <f t="shared" ref="EO294:EO314" si="3919">IF(BI294="","","|n"&amp;EO$2&amp;"+"&amp;BI294&amp;EO$1)</f>
        <v/>
      </c>
      <c r="EP294" s="66" t="str">
        <f t="shared" ref="EP294:EP314" si="3920">IF(BJ294="","","|n"&amp;EP$2&amp;"+"&amp;BJ294&amp;EP$1)</f>
        <v/>
      </c>
      <c r="EQ294" s="66" t="str">
        <f t="shared" ref="EQ294:EQ314" si="3921">IF(BK294="","","|n"&amp;EQ$2&amp;"+"&amp;BK294&amp;EQ$1)</f>
        <v/>
      </c>
      <c r="ER294" s="66" t="str">
        <f t="shared" ref="ER294:ER314" si="3922">IF(BL294="","","|n"&amp;ER$2&amp;"+"&amp;BL294&amp;ER$1)</f>
        <v/>
      </c>
      <c r="ES294" s="66" t="str">
        <f t="shared" ref="ES294:ES314" si="3923">IF(BM294="","","|n"&amp;ES$2&amp;"+"&amp;BM294&amp;ES$1)</f>
        <v/>
      </c>
      <c r="ET294" s="66" t="str">
        <f t="shared" ref="ET294:ET314" si="3924">IF(BN294="","","|n"&amp;ET$2&amp;"+"&amp;BN294&amp;ET$1)</f>
        <v/>
      </c>
      <c r="EU294" s="66" t="str">
        <f t="shared" ref="EU294:EU314" si="3925">IF(BO294="","","|n"&amp;EU$2&amp;"+"&amp;BO294&amp;EU$1)</f>
        <v/>
      </c>
      <c r="EV294" s="66" t="str">
        <f t="shared" ref="EV294:EV314" si="3926">IF(BP294="","","|n"&amp;EV$2&amp;"+"&amp;BP294&amp;EV$1)</f>
        <v/>
      </c>
      <c r="EW294" s="66" t="str">
        <f t="shared" ref="EW294:EW314" si="3927">IF(BQ294="","","|n"&amp;EW$2&amp;"+"&amp;BQ294&amp;EW$1)</f>
        <v/>
      </c>
      <c r="EX294" s="66" t="str">
        <f t="shared" ref="EX294:EX314" si="3928">IF(BR294="","","|n"&amp;EX$2&amp;"+"&amp;BR294&amp;EX$1)</f>
        <v/>
      </c>
      <c r="EY294" s="66" t="str">
        <f t="shared" ref="EY294:EY314" si="3929">IF(BS294="","","|n"&amp;EY$2&amp;"+"&amp;BS294&amp;EY$1)</f>
        <v/>
      </c>
      <c r="EZ294" s="66" t="str">
        <f t="shared" ref="EZ294:EZ314" si="3930">IF(BT294="","","|n"&amp;EZ$2&amp;"+"&amp;BT294&amp;EZ$1)</f>
        <v/>
      </c>
      <c r="FA294" s="66" t="str">
        <f t="shared" ref="FA294:FA314" si="3931">IF(BU294="","","|n"&amp;FA$2&amp;"+"&amp;BU294&amp;FA$1)</f>
        <v/>
      </c>
      <c r="FB294" s="66" t="str">
        <f t="shared" ref="FB294:FB314" si="3932">IF(BV294="","","|n"&amp;FB$2&amp;"+"&amp;BV294&amp;FB$1)</f>
        <v/>
      </c>
      <c r="FC294" s="66" t="str">
        <f t="shared" ref="FC294:FC314" si="3933">IF(BW294="","","|n"&amp;FC$2&amp;"+"&amp;BW294&amp;FC$1)</f>
        <v/>
      </c>
      <c r="FD294" s="66" t="str">
        <f t="shared" ref="FD294:FD314" si="3934">IF(BX294="","","|n"&amp;FD$2&amp;"+"&amp;BX294&amp;FD$1)</f>
        <v/>
      </c>
      <c r="FE294" s="66" t="str">
        <f t="shared" ref="FE294:FE314" si="3935">IF(BY294="","","|n"&amp;FE$2&amp;"+"&amp;BY294&amp;FE$1)</f>
        <v/>
      </c>
      <c r="FF294" s="66" t="str">
        <f t="shared" ref="FF294:FF314" si="3936">IF(BZ294="","","|n"&amp;FF$2&amp;"+"&amp;BZ294&amp;FF$1)</f>
        <v/>
      </c>
      <c r="FG294" s="66" t="str">
        <f t="shared" ref="FG294:FG314" si="3937">IF(CA294="","","|n"&amp;FG$2&amp;"+"&amp;CA294&amp;FG$1)</f>
        <v/>
      </c>
      <c r="FH294" s="66" t="str">
        <f t="shared" ref="FH294:FH314" si="3938">IF(CB294="","","|n"&amp;FH$2&amp;"+"&amp;CB294&amp;FH$1)</f>
        <v/>
      </c>
      <c r="FI294" s="66" t="str">
        <f t="shared" ref="FI294:FI314" si="3939">IF(CC294="","","|n"&amp;FI$2&amp;"+"&amp;CC294&amp;FI$1)</f>
        <v/>
      </c>
      <c r="FJ294" s="66" t="str">
        <f t="shared" ref="FJ294:FJ314" si="3940">IF(CD294="","","|n"&amp;FJ$2&amp;"+"&amp;CD294&amp;FJ$1)</f>
        <v/>
      </c>
      <c r="FK294" s="66" t="str">
        <f t="shared" ref="FK294:FK314" si="3941">IF(CE294="","","|n"&amp;FK$2&amp;"+"&amp;CE294&amp;FK$1)</f>
        <v/>
      </c>
      <c r="FL294" s="66" t="str">
        <f t="shared" ref="FL294:FL314" si="3942">IF(CF294="","","|n"&amp;FL$2&amp;"+"&amp;CF294&amp;FL$1)</f>
        <v/>
      </c>
      <c r="FM294" s="66" t="str">
        <f t="shared" ref="FM294:FM314" si="3943">IF(CG294="","","|n"&amp;FM$2&amp;"+"&amp;CG294&amp;FM$1)</f>
        <v/>
      </c>
      <c r="FN294" s="66" t="str">
        <f t="shared" ref="FN294:FN314" si="3944">IF(CH294="","","|n"&amp;FN$2&amp;"+"&amp;CH294&amp;FN$1)</f>
        <v/>
      </c>
      <c r="FO294" s="66" t="str">
        <f t="shared" ref="FO294:FO314" si="3945">IF(CI294="","","|n"&amp;FO$2&amp;"+"&amp;CI294&amp;FO$1)</f>
        <v/>
      </c>
      <c r="FP294" s="66" t="str">
        <f t="shared" ref="FP294:FP314" si="3946">IF(CJ294="","","|n"&amp;FP$2&amp;"+"&amp;CJ294&amp;FP$1)</f>
        <v/>
      </c>
      <c r="FQ294" s="66" t="str">
        <f t="shared" ref="FQ294:FQ314" si="3947">IF(CK294="","","|n"&amp;FQ$2&amp;"+"&amp;CK294&amp;FQ$1)</f>
        <v/>
      </c>
      <c r="FR294" s="66" t="str">
        <f t="shared" ref="FR294:FR314" si="3948">IF(CL294="","","|n"&amp;FR$2&amp;"+"&amp;CL294&amp;FR$1)</f>
        <v/>
      </c>
      <c r="FS294" s="66" t="str">
        <f t="shared" ref="FS294:FS314" si="3949">IF(CM294="","","|n"&amp;FS$2&amp;"+"&amp;CM294&amp;FS$1)</f>
        <v/>
      </c>
    </row>
    <row r="295" spans="1:175">
      <c r="CN295" s="36" t="str">
        <f t="shared" si="3874"/>
        <v>InitUnitState('',,,,,,,,,,)</v>
      </c>
      <c r="CO295" s="36" t="str">
        <f t="shared" si="3875"/>
        <v>InitUnitNormal('',,,,,,,,,,)</v>
      </c>
      <c r="CP295" s="36" t="str">
        <f t="shared" si="3876"/>
        <v>InitUnitMagic('',,,,,,,,,,)</v>
      </c>
      <c r="CQ295" s="36" t="str">
        <f t="shared" si="3877"/>
        <v>InitUnitAdd('',,,,,,,,,,)</v>
      </c>
      <c r="CR295" s="36" t="str">
        <f t="shared" si="3878"/>
        <v>InitEquipData('',,"",,,,,'','','','','','',"")</v>
      </c>
      <c r="CU295" s="19" t="str">
        <f t="shared" si="3879"/>
        <v>|n</v>
      </c>
      <c r="CW295" s="33"/>
      <c r="CX295" s="33"/>
      <c r="CY295" s="33"/>
      <c r="CZ295" s="33"/>
      <c r="DA295" s="33"/>
      <c r="DB295" s="66" t="str">
        <f t="shared" si="3880"/>
        <v/>
      </c>
      <c r="DC295" s="66" t="str">
        <f t="shared" si="3881"/>
        <v/>
      </c>
      <c r="DD295" s="66" t="str">
        <f t="shared" si="3882"/>
        <v/>
      </c>
      <c r="DE295" s="66" t="str">
        <f t="shared" si="3883"/>
        <v/>
      </c>
      <c r="DF295" s="66" t="str">
        <f t="shared" si="3884"/>
        <v/>
      </c>
      <c r="DG295" s="66" t="str">
        <f t="shared" si="3885"/>
        <v/>
      </c>
      <c r="DH295" s="66" t="str">
        <f t="shared" si="3886"/>
        <v/>
      </c>
      <c r="DI295" s="66" t="str">
        <f t="shared" si="3887"/>
        <v/>
      </c>
      <c r="DJ295" s="66" t="str">
        <f t="shared" si="3888"/>
        <v/>
      </c>
      <c r="DK295" s="66" t="str">
        <f t="shared" si="3889"/>
        <v/>
      </c>
      <c r="DL295" s="66" t="str">
        <f t="shared" si="3890"/>
        <v/>
      </c>
      <c r="DM295" s="66" t="str">
        <f t="shared" si="3891"/>
        <v/>
      </c>
      <c r="DN295" s="66" t="str">
        <f t="shared" si="3892"/>
        <v/>
      </c>
      <c r="DO295" s="66" t="str">
        <f t="shared" si="3893"/>
        <v/>
      </c>
      <c r="DP295" s="66" t="str">
        <f t="shared" si="3894"/>
        <v/>
      </c>
      <c r="DQ295" s="66" t="str">
        <f t="shared" si="3895"/>
        <v/>
      </c>
      <c r="DR295" s="66" t="str">
        <f t="shared" si="3896"/>
        <v/>
      </c>
      <c r="DS295" s="66" t="str">
        <f t="shared" si="3897"/>
        <v/>
      </c>
      <c r="DT295" s="66" t="str">
        <f t="shared" si="3898"/>
        <v/>
      </c>
      <c r="DU295" s="66" t="str">
        <f t="shared" si="3899"/>
        <v/>
      </c>
      <c r="DV295" s="66" t="str">
        <f t="shared" si="3900"/>
        <v/>
      </c>
      <c r="DW295" s="66" t="str">
        <f t="shared" si="3901"/>
        <v/>
      </c>
      <c r="DX295" s="66" t="str">
        <f t="shared" si="3902"/>
        <v/>
      </c>
      <c r="DY295" s="66" t="str">
        <f t="shared" si="3903"/>
        <v/>
      </c>
      <c r="DZ295" s="66" t="str">
        <f t="shared" si="3904"/>
        <v/>
      </c>
      <c r="EA295" s="66" t="str">
        <f t="shared" si="3905"/>
        <v/>
      </c>
      <c r="EB295" s="66" t="str">
        <f t="shared" si="3906"/>
        <v/>
      </c>
      <c r="EC295" s="66" t="str">
        <f t="shared" si="3907"/>
        <v/>
      </c>
      <c r="ED295" s="66" t="str">
        <f t="shared" si="3908"/>
        <v/>
      </c>
      <c r="EE295" s="66" t="str">
        <f t="shared" si="3909"/>
        <v/>
      </c>
      <c r="EF295" s="66" t="str">
        <f t="shared" si="3910"/>
        <v/>
      </c>
      <c r="EG295" s="66" t="str">
        <f t="shared" si="3911"/>
        <v/>
      </c>
      <c r="EH295" s="66" t="str">
        <f t="shared" si="3912"/>
        <v/>
      </c>
      <c r="EI295" s="66" t="str">
        <f t="shared" si="3913"/>
        <v/>
      </c>
      <c r="EJ295" s="66" t="str">
        <f t="shared" si="3914"/>
        <v/>
      </c>
      <c r="EK295" s="66" t="str">
        <f t="shared" si="3915"/>
        <v/>
      </c>
      <c r="EL295" s="66" t="str">
        <f t="shared" si="3916"/>
        <v/>
      </c>
      <c r="EM295" s="66" t="str">
        <f t="shared" si="3917"/>
        <v/>
      </c>
      <c r="EN295" s="66" t="str">
        <f t="shared" si="3918"/>
        <v/>
      </c>
      <c r="EO295" s="66" t="str">
        <f t="shared" si="3919"/>
        <v/>
      </c>
      <c r="EP295" s="66" t="str">
        <f t="shared" si="3920"/>
        <v/>
      </c>
      <c r="EQ295" s="66" t="str">
        <f t="shared" si="3921"/>
        <v/>
      </c>
      <c r="ER295" s="66" t="str">
        <f t="shared" si="3922"/>
        <v/>
      </c>
      <c r="ES295" s="66" t="str">
        <f t="shared" si="3923"/>
        <v/>
      </c>
      <c r="ET295" s="66" t="str">
        <f t="shared" si="3924"/>
        <v/>
      </c>
      <c r="EU295" s="66" t="str">
        <f t="shared" si="3925"/>
        <v/>
      </c>
      <c r="EV295" s="66" t="str">
        <f t="shared" si="3926"/>
        <v/>
      </c>
      <c r="EW295" s="66" t="str">
        <f t="shared" si="3927"/>
        <v/>
      </c>
      <c r="EX295" s="66" t="str">
        <f t="shared" si="3928"/>
        <v/>
      </c>
      <c r="EY295" s="66" t="str">
        <f t="shared" si="3929"/>
        <v/>
      </c>
      <c r="EZ295" s="66" t="str">
        <f t="shared" si="3930"/>
        <v/>
      </c>
      <c r="FA295" s="66" t="str">
        <f t="shared" si="3931"/>
        <v/>
      </c>
      <c r="FB295" s="66" t="str">
        <f t="shared" si="3932"/>
        <v/>
      </c>
      <c r="FC295" s="66" t="str">
        <f t="shared" si="3933"/>
        <v/>
      </c>
      <c r="FD295" s="66" t="str">
        <f t="shared" si="3934"/>
        <v/>
      </c>
      <c r="FE295" s="66" t="str">
        <f t="shared" si="3935"/>
        <v/>
      </c>
      <c r="FF295" s="66" t="str">
        <f t="shared" si="3936"/>
        <v/>
      </c>
      <c r="FG295" s="66" t="str">
        <f t="shared" si="3937"/>
        <v/>
      </c>
      <c r="FH295" s="66" t="str">
        <f t="shared" si="3938"/>
        <v/>
      </c>
      <c r="FI295" s="66" t="str">
        <f t="shared" si="3939"/>
        <v/>
      </c>
      <c r="FJ295" s="66" t="str">
        <f t="shared" si="3940"/>
        <v/>
      </c>
      <c r="FK295" s="66" t="str">
        <f t="shared" si="3941"/>
        <v/>
      </c>
      <c r="FL295" s="66" t="str">
        <f t="shared" si="3942"/>
        <v/>
      </c>
      <c r="FM295" s="66" t="str">
        <f t="shared" si="3943"/>
        <v/>
      </c>
      <c r="FN295" s="66" t="str">
        <f t="shared" si="3944"/>
        <v/>
      </c>
      <c r="FO295" s="66" t="str">
        <f t="shared" si="3945"/>
        <v/>
      </c>
      <c r="FP295" s="66" t="str">
        <f t="shared" si="3946"/>
        <v/>
      </c>
      <c r="FQ295" s="66" t="str">
        <f t="shared" si="3947"/>
        <v/>
      </c>
      <c r="FR295" s="66" t="str">
        <f t="shared" si="3948"/>
        <v/>
      </c>
      <c r="FS295" s="66" t="str">
        <f t="shared" si="3949"/>
        <v/>
      </c>
    </row>
    <row r="296" spans="1:175">
      <c r="CN296" s="36" t="str">
        <f t="shared" si="3874"/>
        <v>InitUnitState('',,,,,,,,,,)</v>
      </c>
      <c r="CO296" s="36" t="str">
        <f t="shared" si="3875"/>
        <v>InitUnitNormal('',,,,,,,,,,)</v>
      </c>
      <c r="CP296" s="36" t="str">
        <f t="shared" si="3876"/>
        <v>InitUnitMagic('',,,,,,,,,,)</v>
      </c>
      <c r="CQ296" s="36" t="str">
        <f t="shared" si="3877"/>
        <v>InitUnitAdd('',,,,,,,,,,)</v>
      </c>
      <c r="CR296" s="36" t="str">
        <f t="shared" si="3878"/>
        <v>InitEquipData('',,"",,,,,'','','','','','',"")</v>
      </c>
      <c r="CU296" s="19" t="str">
        <f t="shared" si="3879"/>
        <v>|n</v>
      </c>
      <c r="CW296" s="33"/>
      <c r="CX296" s="33"/>
      <c r="CY296" s="33"/>
      <c r="CZ296" s="33"/>
      <c r="DA296" s="33"/>
      <c r="DB296" s="66" t="str">
        <f t="shared" si="3880"/>
        <v/>
      </c>
      <c r="DC296" s="66" t="str">
        <f t="shared" si="3881"/>
        <v/>
      </c>
      <c r="DD296" s="66" t="str">
        <f t="shared" si="3882"/>
        <v/>
      </c>
      <c r="DE296" s="66" t="str">
        <f t="shared" si="3883"/>
        <v/>
      </c>
      <c r="DF296" s="66" t="str">
        <f t="shared" si="3884"/>
        <v/>
      </c>
      <c r="DG296" s="66" t="str">
        <f t="shared" si="3885"/>
        <v/>
      </c>
      <c r="DH296" s="66" t="str">
        <f t="shared" si="3886"/>
        <v/>
      </c>
      <c r="DI296" s="66" t="str">
        <f t="shared" si="3887"/>
        <v/>
      </c>
      <c r="DJ296" s="66" t="str">
        <f t="shared" si="3888"/>
        <v/>
      </c>
      <c r="DK296" s="66" t="str">
        <f t="shared" si="3889"/>
        <v/>
      </c>
      <c r="DL296" s="66" t="str">
        <f t="shared" si="3890"/>
        <v/>
      </c>
      <c r="DM296" s="66" t="str">
        <f t="shared" si="3891"/>
        <v/>
      </c>
      <c r="DN296" s="66" t="str">
        <f t="shared" si="3892"/>
        <v/>
      </c>
      <c r="DO296" s="66" t="str">
        <f t="shared" si="3893"/>
        <v/>
      </c>
      <c r="DP296" s="66" t="str">
        <f t="shared" si="3894"/>
        <v/>
      </c>
      <c r="DQ296" s="66" t="str">
        <f t="shared" si="3895"/>
        <v/>
      </c>
      <c r="DR296" s="66" t="str">
        <f t="shared" si="3896"/>
        <v/>
      </c>
      <c r="DS296" s="66" t="str">
        <f t="shared" si="3897"/>
        <v/>
      </c>
      <c r="DT296" s="66" t="str">
        <f t="shared" si="3898"/>
        <v/>
      </c>
      <c r="DU296" s="66" t="str">
        <f t="shared" si="3899"/>
        <v/>
      </c>
      <c r="DV296" s="66" t="str">
        <f t="shared" si="3900"/>
        <v/>
      </c>
      <c r="DW296" s="66" t="str">
        <f t="shared" si="3901"/>
        <v/>
      </c>
      <c r="DX296" s="66" t="str">
        <f t="shared" si="3902"/>
        <v/>
      </c>
      <c r="DY296" s="66" t="str">
        <f t="shared" si="3903"/>
        <v/>
      </c>
      <c r="DZ296" s="66" t="str">
        <f t="shared" si="3904"/>
        <v/>
      </c>
      <c r="EA296" s="66" t="str">
        <f t="shared" si="3905"/>
        <v/>
      </c>
      <c r="EB296" s="66" t="str">
        <f t="shared" si="3906"/>
        <v/>
      </c>
      <c r="EC296" s="66" t="str">
        <f t="shared" si="3907"/>
        <v/>
      </c>
      <c r="ED296" s="66" t="str">
        <f t="shared" si="3908"/>
        <v/>
      </c>
      <c r="EE296" s="66" t="str">
        <f t="shared" si="3909"/>
        <v/>
      </c>
      <c r="EF296" s="66" t="str">
        <f t="shared" si="3910"/>
        <v/>
      </c>
      <c r="EG296" s="66" t="str">
        <f t="shared" si="3911"/>
        <v/>
      </c>
      <c r="EH296" s="66" t="str">
        <f t="shared" si="3912"/>
        <v/>
      </c>
      <c r="EI296" s="66" t="str">
        <f t="shared" si="3913"/>
        <v/>
      </c>
      <c r="EJ296" s="66" t="str">
        <f t="shared" si="3914"/>
        <v/>
      </c>
      <c r="EK296" s="66" t="str">
        <f t="shared" si="3915"/>
        <v/>
      </c>
      <c r="EL296" s="66" t="str">
        <f t="shared" si="3916"/>
        <v/>
      </c>
      <c r="EM296" s="66" t="str">
        <f t="shared" si="3917"/>
        <v/>
      </c>
      <c r="EN296" s="66" t="str">
        <f t="shared" si="3918"/>
        <v/>
      </c>
      <c r="EO296" s="66" t="str">
        <f t="shared" si="3919"/>
        <v/>
      </c>
      <c r="EP296" s="66" t="str">
        <f t="shared" si="3920"/>
        <v/>
      </c>
      <c r="EQ296" s="66" t="str">
        <f t="shared" si="3921"/>
        <v/>
      </c>
      <c r="ER296" s="66" t="str">
        <f t="shared" si="3922"/>
        <v/>
      </c>
      <c r="ES296" s="66" t="str">
        <f t="shared" si="3923"/>
        <v/>
      </c>
      <c r="ET296" s="66" t="str">
        <f t="shared" si="3924"/>
        <v/>
      </c>
      <c r="EU296" s="66" t="str">
        <f t="shared" si="3925"/>
        <v/>
      </c>
      <c r="EV296" s="66" t="str">
        <f t="shared" si="3926"/>
        <v/>
      </c>
      <c r="EW296" s="66" t="str">
        <f t="shared" si="3927"/>
        <v/>
      </c>
      <c r="EX296" s="66" t="str">
        <f t="shared" si="3928"/>
        <v/>
      </c>
      <c r="EY296" s="66" t="str">
        <f t="shared" si="3929"/>
        <v/>
      </c>
      <c r="EZ296" s="66" t="str">
        <f t="shared" si="3930"/>
        <v/>
      </c>
      <c r="FA296" s="66" t="str">
        <f t="shared" si="3931"/>
        <v/>
      </c>
      <c r="FB296" s="66" t="str">
        <f t="shared" si="3932"/>
        <v/>
      </c>
      <c r="FC296" s="66" t="str">
        <f t="shared" si="3933"/>
        <v/>
      </c>
      <c r="FD296" s="66" t="str">
        <f t="shared" si="3934"/>
        <v/>
      </c>
      <c r="FE296" s="66" t="str">
        <f t="shared" si="3935"/>
        <v/>
      </c>
      <c r="FF296" s="66" t="str">
        <f t="shared" si="3936"/>
        <v/>
      </c>
      <c r="FG296" s="66" t="str">
        <f t="shared" si="3937"/>
        <v/>
      </c>
      <c r="FH296" s="66" t="str">
        <f t="shared" si="3938"/>
        <v/>
      </c>
      <c r="FI296" s="66" t="str">
        <f t="shared" si="3939"/>
        <v/>
      </c>
      <c r="FJ296" s="66" t="str">
        <f t="shared" si="3940"/>
        <v/>
      </c>
      <c r="FK296" s="66" t="str">
        <f t="shared" si="3941"/>
        <v/>
      </c>
      <c r="FL296" s="66" t="str">
        <f t="shared" si="3942"/>
        <v/>
      </c>
      <c r="FM296" s="66" t="str">
        <f t="shared" si="3943"/>
        <v/>
      </c>
      <c r="FN296" s="66" t="str">
        <f t="shared" si="3944"/>
        <v/>
      </c>
      <c r="FO296" s="66" t="str">
        <f t="shared" si="3945"/>
        <v/>
      </c>
      <c r="FP296" s="66" t="str">
        <f t="shared" si="3946"/>
        <v/>
      </c>
      <c r="FQ296" s="66" t="str">
        <f t="shared" si="3947"/>
        <v/>
      </c>
      <c r="FR296" s="66" t="str">
        <f t="shared" si="3948"/>
        <v/>
      </c>
      <c r="FS296" s="66" t="str">
        <f t="shared" si="3949"/>
        <v/>
      </c>
    </row>
    <row r="297" spans="1:175">
      <c r="CN297" s="36" t="str">
        <f t="shared" si="3874"/>
        <v>InitUnitState('',,,,,,,,,,)</v>
      </c>
      <c r="CO297" s="36" t="str">
        <f t="shared" si="3875"/>
        <v>InitUnitNormal('',,,,,,,,,,)</v>
      </c>
      <c r="CP297" s="36" t="str">
        <f t="shared" si="3876"/>
        <v>InitUnitMagic('',,,,,,,,,,)</v>
      </c>
      <c r="CQ297" s="36" t="str">
        <f t="shared" si="3877"/>
        <v>InitUnitAdd('',,,,,,,,,,)</v>
      </c>
      <c r="CR297" s="36" t="str">
        <f t="shared" si="3878"/>
        <v>InitEquipData('',,"",,,,,'','','','','','',"")</v>
      </c>
      <c r="CU297" s="19" t="str">
        <f t="shared" si="3879"/>
        <v>|n</v>
      </c>
      <c r="CW297" s="33"/>
      <c r="CX297" s="33"/>
      <c r="CY297" s="33"/>
      <c r="CZ297" s="33"/>
      <c r="DA297" s="33"/>
      <c r="DB297" s="66" t="str">
        <f t="shared" si="3880"/>
        <v/>
      </c>
      <c r="DC297" s="66" t="str">
        <f t="shared" si="3881"/>
        <v/>
      </c>
      <c r="DD297" s="66" t="str">
        <f t="shared" si="3882"/>
        <v/>
      </c>
      <c r="DE297" s="66" t="str">
        <f t="shared" si="3883"/>
        <v/>
      </c>
      <c r="DF297" s="66" t="str">
        <f t="shared" si="3884"/>
        <v/>
      </c>
      <c r="DG297" s="66" t="str">
        <f t="shared" si="3885"/>
        <v/>
      </c>
      <c r="DH297" s="66" t="str">
        <f t="shared" si="3886"/>
        <v/>
      </c>
      <c r="DI297" s="66" t="str">
        <f t="shared" si="3887"/>
        <v/>
      </c>
      <c r="DJ297" s="66" t="str">
        <f t="shared" si="3888"/>
        <v/>
      </c>
      <c r="DK297" s="66" t="str">
        <f t="shared" si="3889"/>
        <v/>
      </c>
      <c r="DL297" s="66" t="str">
        <f t="shared" si="3890"/>
        <v/>
      </c>
      <c r="DM297" s="66" t="str">
        <f t="shared" si="3891"/>
        <v/>
      </c>
      <c r="DN297" s="66" t="str">
        <f t="shared" si="3892"/>
        <v/>
      </c>
      <c r="DO297" s="66" t="str">
        <f t="shared" si="3893"/>
        <v/>
      </c>
      <c r="DP297" s="66" t="str">
        <f t="shared" si="3894"/>
        <v/>
      </c>
      <c r="DQ297" s="66" t="str">
        <f t="shared" si="3895"/>
        <v/>
      </c>
      <c r="DR297" s="66" t="str">
        <f t="shared" si="3896"/>
        <v/>
      </c>
      <c r="DS297" s="66" t="str">
        <f t="shared" si="3897"/>
        <v/>
      </c>
      <c r="DT297" s="66" t="str">
        <f t="shared" si="3898"/>
        <v/>
      </c>
      <c r="DU297" s="66" t="str">
        <f t="shared" si="3899"/>
        <v/>
      </c>
      <c r="DV297" s="66" t="str">
        <f t="shared" si="3900"/>
        <v/>
      </c>
      <c r="DW297" s="66" t="str">
        <f t="shared" si="3901"/>
        <v/>
      </c>
      <c r="DX297" s="66" t="str">
        <f t="shared" si="3902"/>
        <v/>
      </c>
      <c r="DY297" s="66" t="str">
        <f t="shared" si="3903"/>
        <v/>
      </c>
      <c r="DZ297" s="66" t="str">
        <f t="shared" si="3904"/>
        <v/>
      </c>
      <c r="EA297" s="66" t="str">
        <f t="shared" si="3905"/>
        <v/>
      </c>
      <c r="EB297" s="66" t="str">
        <f t="shared" si="3906"/>
        <v/>
      </c>
      <c r="EC297" s="66" t="str">
        <f t="shared" si="3907"/>
        <v/>
      </c>
      <c r="ED297" s="66" t="str">
        <f t="shared" si="3908"/>
        <v/>
      </c>
      <c r="EE297" s="66" t="str">
        <f t="shared" si="3909"/>
        <v/>
      </c>
      <c r="EF297" s="66" t="str">
        <f t="shared" si="3910"/>
        <v/>
      </c>
      <c r="EG297" s="66" t="str">
        <f t="shared" si="3911"/>
        <v/>
      </c>
      <c r="EH297" s="66" t="str">
        <f t="shared" si="3912"/>
        <v/>
      </c>
      <c r="EI297" s="66" t="str">
        <f t="shared" si="3913"/>
        <v/>
      </c>
      <c r="EJ297" s="66" t="str">
        <f t="shared" si="3914"/>
        <v/>
      </c>
      <c r="EK297" s="66" t="str">
        <f t="shared" si="3915"/>
        <v/>
      </c>
      <c r="EL297" s="66" t="str">
        <f t="shared" si="3916"/>
        <v/>
      </c>
      <c r="EM297" s="66" t="str">
        <f t="shared" si="3917"/>
        <v/>
      </c>
      <c r="EN297" s="66" t="str">
        <f t="shared" si="3918"/>
        <v/>
      </c>
      <c r="EO297" s="66" t="str">
        <f t="shared" si="3919"/>
        <v/>
      </c>
      <c r="EP297" s="66" t="str">
        <f t="shared" si="3920"/>
        <v/>
      </c>
      <c r="EQ297" s="66" t="str">
        <f t="shared" si="3921"/>
        <v/>
      </c>
      <c r="ER297" s="66" t="str">
        <f t="shared" si="3922"/>
        <v/>
      </c>
      <c r="ES297" s="66" t="str">
        <f t="shared" si="3923"/>
        <v/>
      </c>
      <c r="ET297" s="66" t="str">
        <f t="shared" si="3924"/>
        <v/>
      </c>
      <c r="EU297" s="66" t="str">
        <f t="shared" si="3925"/>
        <v/>
      </c>
      <c r="EV297" s="66" t="str">
        <f t="shared" si="3926"/>
        <v/>
      </c>
      <c r="EW297" s="66" t="str">
        <f t="shared" si="3927"/>
        <v/>
      </c>
      <c r="EX297" s="66" t="str">
        <f t="shared" si="3928"/>
        <v/>
      </c>
      <c r="EY297" s="66" t="str">
        <f t="shared" si="3929"/>
        <v/>
      </c>
      <c r="EZ297" s="66" t="str">
        <f t="shared" si="3930"/>
        <v/>
      </c>
      <c r="FA297" s="66" t="str">
        <f t="shared" si="3931"/>
        <v/>
      </c>
      <c r="FB297" s="66" t="str">
        <f t="shared" si="3932"/>
        <v/>
      </c>
      <c r="FC297" s="66" t="str">
        <f t="shared" si="3933"/>
        <v/>
      </c>
      <c r="FD297" s="66" t="str">
        <f t="shared" si="3934"/>
        <v/>
      </c>
      <c r="FE297" s="66" t="str">
        <f t="shared" si="3935"/>
        <v/>
      </c>
      <c r="FF297" s="66" t="str">
        <f t="shared" si="3936"/>
        <v/>
      </c>
      <c r="FG297" s="66" t="str">
        <f t="shared" si="3937"/>
        <v/>
      </c>
      <c r="FH297" s="66" t="str">
        <f t="shared" si="3938"/>
        <v/>
      </c>
      <c r="FI297" s="66" t="str">
        <f t="shared" si="3939"/>
        <v/>
      </c>
      <c r="FJ297" s="66" t="str">
        <f t="shared" si="3940"/>
        <v/>
      </c>
      <c r="FK297" s="66" t="str">
        <f t="shared" si="3941"/>
        <v/>
      </c>
      <c r="FL297" s="66" t="str">
        <f t="shared" si="3942"/>
        <v/>
      </c>
      <c r="FM297" s="66" t="str">
        <f t="shared" si="3943"/>
        <v/>
      </c>
      <c r="FN297" s="66" t="str">
        <f t="shared" si="3944"/>
        <v/>
      </c>
      <c r="FO297" s="66" t="str">
        <f t="shared" si="3945"/>
        <v/>
      </c>
      <c r="FP297" s="66" t="str">
        <f t="shared" si="3946"/>
        <v/>
      </c>
      <c r="FQ297" s="66" t="str">
        <f t="shared" si="3947"/>
        <v/>
      </c>
      <c r="FR297" s="66" t="str">
        <f t="shared" si="3948"/>
        <v/>
      </c>
      <c r="FS297" s="66" t="str">
        <f t="shared" si="3949"/>
        <v/>
      </c>
    </row>
    <row r="298" spans="1:175">
      <c r="CN298" s="36" t="str">
        <f t="shared" si="3874"/>
        <v>InitUnitState('',,,,,,,,,,)</v>
      </c>
      <c r="CO298" s="36" t="str">
        <f t="shared" si="3875"/>
        <v>InitUnitNormal('',,,,,,,,,,)</v>
      </c>
      <c r="CP298" s="36" t="str">
        <f t="shared" si="3876"/>
        <v>InitUnitMagic('',,,,,,,,,,)</v>
      </c>
      <c r="CQ298" s="36" t="str">
        <f t="shared" si="3877"/>
        <v>InitUnitAdd('',,,,,,,,,,)</v>
      </c>
      <c r="CR298" s="36" t="str">
        <f t="shared" si="3878"/>
        <v>InitEquipData('',,"",,,,,'','','','','','',"")</v>
      </c>
      <c r="CU298" s="19" t="str">
        <f t="shared" si="3879"/>
        <v>|n</v>
      </c>
      <c r="CW298" s="33"/>
      <c r="CX298" s="33"/>
      <c r="CY298" s="33"/>
      <c r="CZ298" s="33"/>
      <c r="DA298" s="33"/>
      <c r="DB298" s="66" t="str">
        <f t="shared" si="3880"/>
        <v/>
      </c>
      <c r="DC298" s="66" t="str">
        <f t="shared" si="3881"/>
        <v/>
      </c>
      <c r="DD298" s="66" t="str">
        <f t="shared" si="3882"/>
        <v/>
      </c>
      <c r="DE298" s="66" t="str">
        <f t="shared" si="3883"/>
        <v/>
      </c>
      <c r="DF298" s="66" t="str">
        <f t="shared" si="3884"/>
        <v/>
      </c>
      <c r="DG298" s="66" t="str">
        <f t="shared" si="3885"/>
        <v/>
      </c>
      <c r="DH298" s="66" t="str">
        <f t="shared" si="3886"/>
        <v/>
      </c>
      <c r="DI298" s="66" t="str">
        <f t="shared" si="3887"/>
        <v/>
      </c>
      <c r="DJ298" s="66" t="str">
        <f t="shared" si="3888"/>
        <v/>
      </c>
      <c r="DK298" s="66" t="str">
        <f t="shared" si="3889"/>
        <v/>
      </c>
      <c r="DL298" s="66" t="str">
        <f t="shared" si="3890"/>
        <v/>
      </c>
      <c r="DM298" s="66" t="str">
        <f t="shared" si="3891"/>
        <v/>
      </c>
      <c r="DN298" s="66" t="str">
        <f t="shared" si="3892"/>
        <v/>
      </c>
      <c r="DO298" s="66" t="str">
        <f t="shared" si="3893"/>
        <v/>
      </c>
      <c r="DP298" s="66" t="str">
        <f t="shared" si="3894"/>
        <v/>
      </c>
      <c r="DQ298" s="66" t="str">
        <f t="shared" si="3895"/>
        <v/>
      </c>
      <c r="DR298" s="66" t="str">
        <f t="shared" si="3896"/>
        <v/>
      </c>
      <c r="DS298" s="66" t="str">
        <f t="shared" si="3897"/>
        <v/>
      </c>
      <c r="DT298" s="66" t="str">
        <f t="shared" si="3898"/>
        <v/>
      </c>
      <c r="DU298" s="66" t="str">
        <f t="shared" si="3899"/>
        <v/>
      </c>
      <c r="DV298" s="66" t="str">
        <f t="shared" si="3900"/>
        <v/>
      </c>
      <c r="DW298" s="66" t="str">
        <f t="shared" si="3901"/>
        <v/>
      </c>
      <c r="DX298" s="66" t="str">
        <f t="shared" si="3902"/>
        <v/>
      </c>
      <c r="DY298" s="66" t="str">
        <f t="shared" si="3903"/>
        <v/>
      </c>
      <c r="DZ298" s="66" t="str">
        <f t="shared" si="3904"/>
        <v/>
      </c>
      <c r="EA298" s="66" t="str">
        <f t="shared" si="3905"/>
        <v/>
      </c>
      <c r="EB298" s="66" t="str">
        <f t="shared" si="3906"/>
        <v/>
      </c>
      <c r="EC298" s="66" t="str">
        <f t="shared" si="3907"/>
        <v/>
      </c>
      <c r="ED298" s="66" t="str">
        <f t="shared" si="3908"/>
        <v/>
      </c>
      <c r="EE298" s="66" t="str">
        <f t="shared" si="3909"/>
        <v/>
      </c>
      <c r="EF298" s="66" t="str">
        <f t="shared" si="3910"/>
        <v/>
      </c>
      <c r="EG298" s="66" t="str">
        <f t="shared" si="3911"/>
        <v/>
      </c>
      <c r="EH298" s="66" t="str">
        <f t="shared" si="3912"/>
        <v/>
      </c>
      <c r="EI298" s="66" t="str">
        <f t="shared" si="3913"/>
        <v/>
      </c>
      <c r="EJ298" s="66" t="str">
        <f t="shared" si="3914"/>
        <v/>
      </c>
      <c r="EK298" s="66" t="str">
        <f t="shared" si="3915"/>
        <v/>
      </c>
      <c r="EL298" s="66" t="str">
        <f t="shared" si="3916"/>
        <v/>
      </c>
      <c r="EM298" s="66" t="str">
        <f t="shared" si="3917"/>
        <v/>
      </c>
      <c r="EN298" s="66" t="str">
        <f t="shared" si="3918"/>
        <v/>
      </c>
      <c r="EO298" s="66" t="str">
        <f t="shared" si="3919"/>
        <v/>
      </c>
      <c r="EP298" s="66" t="str">
        <f t="shared" si="3920"/>
        <v/>
      </c>
      <c r="EQ298" s="66" t="str">
        <f t="shared" si="3921"/>
        <v/>
      </c>
      <c r="ER298" s="66" t="str">
        <f t="shared" si="3922"/>
        <v/>
      </c>
      <c r="ES298" s="66" t="str">
        <f t="shared" si="3923"/>
        <v/>
      </c>
      <c r="ET298" s="66" t="str">
        <f t="shared" si="3924"/>
        <v/>
      </c>
      <c r="EU298" s="66" t="str">
        <f t="shared" si="3925"/>
        <v/>
      </c>
      <c r="EV298" s="66" t="str">
        <f t="shared" si="3926"/>
        <v/>
      </c>
      <c r="EW298" s="66" t="str">
        <f t="shared" si="3927"/>
        <v/>
      </c>
      <c r="EX298" s="66" t="str">
        <f t="shared" si="3928"/>
        <v/>
      </c>
      <c r="EY298" s="66" t="str">
        <f t="shared" si="3929"/>
        <v/>
      </c>
      <c r="EZ298" s="66" t="str">
        <f t="shared" si="3930"/>
        <v/>
      </c>
      <c r="FA298" s="66" t="str">
        <f t="shared" si="3931"/>
        <v/>
      </c>
      <c r="FB298" s="66" t="str">
        <f t="shared" si="3932"/>
        <v/>
      </c>
      <c r="FC298" s="66" t="str">
        <f t="shared" si="3933"/>
        <v/>
      </c>
      <c r="FD298" s="66" t="str">
        <f t="shared" si="3934"/>
        <v/>
      </c>
      <c r="FE298" s="66" t="str">
        <f t="shared" si="3935"/>
        <v/>
      </c>
      <c r="FF298" s="66" t="str">
        <f t="shared" si="3936"/>
        <v/>
      </c>
      <c r="FG298" s="66" t="str">
        <f t="shared" si="3937"/>
        <v/>
      </c>
      <c r="FH298" s="66" t="str">
        <f t="shared" si="3938"/>
        <v/>
      </c>
      <c r="FI298" s="66" t="str">
        <f t="shared" si="3939"/>
        <v/>
      </c>
      <c r="FJ298" s="66" t="str">
        <f t="shared" si="3940"/>
        <v/>
      </c>
      <c r="FK298" s="66" t="str">
        <f t="shared" si="3941"/>
        <v/>
      </c>
      <c r="FL298" s="66" t="str">
        <f t="shared" si="3942"/>
        <v/>
      </c>
      <c r="FM298" s="66" t="str">
        <f t="shared" si="3943"/>
        <v/>
      </c>
      <c r="FN298" s="66" t="str">
        <f t="shared" si="3944"/>
        <v/>
      </c>
      <c r="FO298" s="66" t="str">
        <f t="shared" si="3945"/>
        <v/>
      </c>
      <c r="FP298" s="66" t="str">
        <f t="shared" si="3946"/>
        <v/>
      </c>
      <c r="FQ298" s="66" t="str">
        <f t="shared" si="3947"/>
        <v/>
      </c>
      <c r="FR298" s="66" t="str">
        <f t="shared" si="3948"/>
        <v/>
      </c>
      <c r="FS298" s="66" t="str">
        <f t="shared" si="3949"/>
        <v/>
      </c>
    </row>
    <row r="299" spans="1:175">
      <c r="CN299" s="36" t="str">
        <f t="shared" si="3874"/>
        <v>InitUnitState('',,,,,,,,,,)</v>
      </c>
      <c r="CO299" s="36" t="str">
        <f t="shared" si="3875"/>
        <v>InitUnitNormal('',,,,,,,,,,)</v>
      </c>
      <c r="CP299" s="36" t="str">
        <f t="shared" si="3876"/>
        <v>InitUnitMagic('',,,,,,,,,,)</v>
      </c>
      <c r="CQ299" s="36" t="str">
        <f t="shared" si="3877"/>
        <v>InitUnitAdd('',,,,,,,,,,)</v>
      </c>
      <c r="CR299" s="36" t="str">
        <f t="shared" si="3878"/>
        <v>InitEquipData('',,"",,,,,'','','','','','',"")</v>
      </c>
      <c r="CU299" s="19" t="str">
        <f t="shared" si="3879"/>
        <v>|n</v>
      </c>
      <c r="CW299" s="33"/>
      <c r="CX299" s="33"/>
      <c r="CY299" s="33"/>
      <c r="CZ299" s="33"/>
      <c r="DA299" s="33"/>
      <c r="DB299" s="66" t="str">
        <f t="shared" si="3880"/>
        <v/>
      </c>
      <c r="DC299" s="66" t="str">
        <f t="shared" si="3881"/>
        <v/>
      </c>
      <c r="DD299" s="66" t="str">
        <f t="shared" si="3882"/>
        <v/>
      </c>
      <c r="DE299" s="66" t="str">
        <f t="shared" si="3883"/>
        <v/>
      </c>
      <c r="DF299" s="66" t="str">
        <f t="shared" si="3884"/>
        <v/>
      </c>
      <c r="DG299" s="66" t="str">
        <f t="shared" si="3885"/>
        <v/>
      </c>
      <c r="DH299" s="66" t="str">
        <f t="shared" si="3886"/>
        <v/>
      </c>
      <c r="DI299" s="66" t="str">
        <f t="shared" si="3887"/>
        <v/>
      </c>
      <c r="DJ299" s="66" t="str">
        <f t="shared" si="3888"/>
        <v/>
      </c>
      <c r="DK299" s="66" t="str">
        <f t="shared" si="3889"/>
        <v/>
      </c>
      <c r="DL299" s="66" t="str">
        <f t="shared" si="3890"/>
        <v/>
      </c>
      <c r="DM299" s="66" t="str">
        <f t="shared" si="3891"/>
        <v/>
      </c>
      <c r="DN299" s="66" t="str">
        <f t="shared" si="3892"/>
        <v/>
      </c>
      <c r="DO299" s="66" t="str">
        <f t="shared" si="3893"/>
        <v/>
      </c>
      <c r="DP299" s="66" t="str">
        <f t="shared" si="3894"/>
        <v/>
      </c>
      <c r="DQ299" s="66" t="str">
        <f t="shared" si="3895"/>
        <v/>
      </c>
      <c r="DR299" s="66" t="str">
        <f t="shared" si="3896"/>
        <v/>
      </c>
      <c r="DS299" s="66" t="str">
        <f t="shared" si="3897"/>
        <v/>
      </c>
      <c r="DT299" s="66" t="str">
        <f t="shared" si="3898"/>
        <v/>
      </c>
      <c r="DU299" s="66" t="str">
        <f t="shared" si="3899"/>
        <v/>
      </c>
      <c r="DV299" s="66" t="str">
        <f t="shared" si="3900"/>
        <v/>
      </c>
      <c r="DW299" s="66" t="str">
        <f t="shared" si="3901"/>
        <v/>
      </c>
      <c r="DX299" s="66" t="str">
        <f t="shared" si="3902"/>
        <v/>
      </c>
      <c r="DY299" s="66" t="str">
        <f t="shared" si="3903"/>
        <v/>
      </c>
      <c r="DZ299" s="66" t="str">
        <f t="shared" si="3904"/>
        <v/>
      </c>
      <c r="EA299" s="66" t="str">
        <f t="shared" si="3905"/>
        <v/>
      </c>
      <c r="EB299" s="66" t="str">
        <f t="shared" si="3906"/>
        <v/>
      </c>
      <c r="EC299" s="66" t="str">
        <f t="shared" si="3907"/>
        <v/>
      </c>
      <c r="ED299" s="66" t="str">
        <f t="shared" si="3908"/>
        <v/>
      </c>
      <c r="EE299" s="66" t="str">
        <f t="shared" si="3909"/>
        <v/>
      </c>
      <c r="EF299" s="66" t="str">
        <f t="shared" si="3910"/>
        <v/>
      </c>
      <c r="EG299" s="66" t="str">
        <f t="shared" si="3911"/>
        <v/>
      </c>
      <c r="EH299" s="66" t="str">
        <f t="shared" si="3912"/>
        <v/>
      </c>
      <c r="EI299" s="66" t="str">
        <f t="shared" si="3913"/>
        <v/>
      </c>
      <c r="EJ299" s="66" t="str">
        <f t="shared" si="3914"/>
        <v/>
      </c>
      <c r="EK299" s="66" t="str">
        <f t="shared" si="3915"/>
        <v/>
      </c>
      <c r="EL299" s="66" t="str">
        <f t="shared" si="3916"/>
        <v/>
      </c>
      <c r="EM299" s="66" t="str">
        <f t="shared" si="3917"/>
        <v/>
      </c>
      <c r="EN299" s="66" t="str">
        <f t="shared" si="3918"/>
        <v/>
      </c>
      <c r="EO299" s="66" t="str">
        <f t="shared" si="3919"/>
        <v/>
      </c>
      <c r="EP299" s="66" t="str">
        <f t="shared" si="3920"/>
        <v/>
      </c>
      <c r="EQ299" s="66" t="str">
        <f t="shared" si="3921"/>
        <v/>
      </c>
      <c r="ER299" s="66" t="str">
        <f t="shared" si="3922"/>
        <v/>
      </c>
      <c r="ES299" s="66" t="str">
        <f t="shared" si="3923"/>
        <v/>
      </c>
      <c r="ET299" s="66" t="str">
        <f t="shared" si="3924"/>
        <v/>
      </c>
      <c r="EU299" s="66" t="str">
        <f t="shared" si="3925"/>
        <v/>
      </c>
      <c r="EV299" s="66" t="str">
        <f t="shared" si="3926"/>
        <v/>
      </c>
      <c r="EW299" s="66" t="str">
        <f t="shared" si="3927"/>
        <v/>
      </c>
      <c r="EX299" s="66" t="str">
        <f t="shared" si="3928"/>
        <v/>
      </c>
      <c r="EY299" s="66" t="str">
        <f t="shared" si="3929"/>
        <v/>
      </c>
      <c r="EZ299" s="66" t="str">
        <f t="shared" si="3930"/>
        <v/>
      </c>
      <c r="FA299" s="66" t="str">
        <f t="shared" si="3931"/>
        <v/>
      </c>
      <c r="FB299" s="66" t="str">
        <f t="shared" si="3932"/>
        <v/>
      </c>
      <c r="FC299" s="66" t="str">
        <f t="shared" si="3933"/>
        <v/>
      </c>
      <c r="FD299" s="66" t="str">
        <f t="shared" si="3934"/>
        <v/>
      </c>
      <c r="FE299" s="66" t="str">
        <f t="shared" si="3935"/>
        <v/>
      </c>
      <c r="FF299" s="66" t="str">
        <f t="shared" si="3936"/>
        <v/>
      </c>
      <c r="FG299" s="66" t="str">
        <f t="shared" si="3937"/>
        <v/>
      </c>
      <c r="FH299" s="66" t="str">
        <f t="shared" si="3938"/>
        <v/>
      </c>
      <c r="FI299" s="66" t="str">
        <f t="shared" si="3939"/>
        <v/>
      </c>
      <c r="FJ299" s="66" t="str">
        <f t="shared" si="3940"/>
        <v/>
      </c>
      <c r="FK299" s="66" t="str">
        <f t="shared" si="3941"/>
        <v/>
      </c>
      <c r="FL299" s="66" t="str">
        <f t="shared" si="3942"/>
        <v/>
      </c>
      <c r="FM299" s="66" t="str">
        <f t="shared" si="3943"/>
        <v/>
      </c>
      <c r="FN299" s="66" t="str">
        <f t="shared" si="3944"/>
        <v/>
      </c>
      <c r="FO299" s="66" t="str">
        <f t="shared" si="3945"/>
        <v/>
      </c>
      <c r="FP299" s="66" t="str">
        <f t="shared" si="3946"/>
        <v/>
      </c>
      <c r="FQ299" s="66" t="str">
        <f t="shared" si="3947"/>
        <v/>
      </c>
      <c r="FR299" s="66" t="str">
        <f t="shared" si="3948"/>
        <v/>
      </c>
      <c r="FS299" s="66" t="str">
        <f t="shared" si="3949"/>
        <v/>
      </c>
    </row>
    <row r="300" spans="1:175">
      <c r="CN300" s="36" t="str">
        <f t="shared" si="3874"/>
        <v>InitUnitState('',,,,,,,,,,)</v>
      </c>
      <c r="CO300" s="36" t="str">
        <f t="shared" si="3875"/>
        <v>InitUnitNormal('',,,,,,,,,,)</v>
      </c>
      <c r="CP300" s="36" t="str">
        <f t="shared" si="3876"/>
        <v>InitUnitMagic('',,,,,,,,,,)</v>
      </c>
      <c r="CQ300" s="36" t="str">
        <f t="shared" si="3877"/>
        <v>InitUnitAdd('',,,,,,,,,,)</v>
      </c>
      <c r="CR300" s="36" t="str">
        <f t="shared" si="3878"/>
        <v>InitEquipData('',,"",,,,,'','','','','','',"")</v>
      </c>
      <c r="CU300" s="19" t="str">
        <f t="shared" si="3879"/>
        <v>|n</v>
      </c>
      <c r="CW300" s="33"/>
      <c r="CX300" s="33"/>
      <c r="CY300" s="33"/>
      <c r="CZ300" s="33"/>
      <c r="DA300" s="33"/>
      <c r="DB300" s="66" t="str">
        <f t="shared" si="3880"/>
        <v/>
      </c>
      <c r="DC300" s="66" t="str">
        <f t="shared" si="3881"/>
        <v/>
      </c>
      <c r="DD300" s="66" t="str">
        <f t="shared" si="3882"/>
        <v/>
      </c>
      <c r="DE300" s="66" t="str">
        <f t="shared" si="3883"/>
        <v/>
      </c>
      <c r="DF300" s="66" t="str">
        <f t="shared" si="3884"/>
        <v/>
      </c>
      <c r="DG300" s="66" t="str">
        <f t="shared" si="3885"/>
        <v/>
      </c>
      <c r="DH300" s="66" t="str">
        <f t="shared" si="3886"/>
        <v/>
      </c>
      <c r="DI300" s="66" t="str">
        <f t="shared" si="3887"/>
        <v/>
      </c>
      <c r="DJ300" s="66" t="str">
        <f t="shared" si="3888"/>
        <v/>
      </c>
      <c r="DK300" s="66" t="str">
        <f t="shared" si="3889"/>
        <v/>
      </c>
      <c r="DL300" s="66" t="str">
        <f t="shared" si="3890"/>
        <v/>
      </c>
      <c r="DM300" s="66" t="str">
        <f t="shared" si="3891"/>
        <v/>
      </c>
      <c r="DN300" s="66" t="str">
        <f t="shared" si="3892"/>
        <v/>
      </c>
      <c r="DO300" s="66" t="str">
        <f t="shared" si="3893"/>
        <v/>
      </c>
      <c r="DP300" s="66" t="str">
        <f t="shared" si="3894"/>
        <v/>
      </c>
      <c r="DQ300" s="66" t="str">
        <f t="shared" si="3895"/>
        <v/>
      </c>
      <c r="DR300" s="66" t="str">
        <f t="shared" si="3896"/>
        <v/>
      </c>
      <c r="DS300" s="66" t="str">
        <f t="shared" si="3897"/>
        <v/>
      </c>
      <c r="DT300" s="66" t="str">
        <f t="shared" si="3898"/>
        <v/>
      </c>
      <c r="DU300" s="66" t="str">
        <f t="shared" si="3899"/>
        <v/>
      </c>
      <c r="DV300" s="66" t="str">
        <f t="shared" si="3900"/>
        <v/>
      </c>
      <c r="DW300" s="66" t="str">
        <f t="shared" si="3901"/>
        <v/>
      </c>
      <c r="DX300" s="66" t="str">
        <f t="shared" si="3902"/>
        <v/>
      </c>
      <c r="DY300" s="66" t="str">
        <f t="shared" si="3903"/>
        <v/>
      </c>
      <c r="DZ300" s="66" t="str">
        <f t="shared" si="3904"/>
        <v/>
      </c>
      <c r="EA300" s="66" t="str">
        <f t="shared" si="3905"/>
        <v/>
      </c>
      <c r="EB300" s="66" t="str">
        <f t="shared" si="3906"/>
        <v/>
      </c>
      <c r="EC300" s="66" t="str">
        <f t="shared" si="3907"/>
        <v/>
      </c>
      <c r="ED300" s="66" t="str">
        <f t="shared" si="3908"/>
        <v/>
      </c>
      <c r="EE300" s="66" t="str">
        <f t="shared" si="3909"/>
        <v/>
      </c>
      <c r="EF300" s="66" t="str">
        <f t="shared" si="3910"/>
        <v/>
      </c>
      <c r="EG300" s="66" t="str">
        <f t="shared" si="3911"/>
        <v/>
      </c>
      <c r="EH300" s="66" t="str">
        <f t="shared" si="3912"/>
        <v/>
      </c>
      <c r="EI300" s="66" t="str">
        <f t="shared" si="3913"/>
        <v/>
      </c>
      <c r="EJ300" s="66" t="str">
        <f t="shared" si="3914"/>
        <v/>
      </c>
      <c r="EK300" s="66" t="str">
        <f t="shared" si="3915"/>
        <v/>
      </c>
      <c r="EL300" s="66" t="str">
        <f t="shared" si="3916"/>
        <v/>
      </c>
      <c r="EM300" s="66" t="str">
        <f t="shared" si="3917"/>
        <v/>
      </c>
      <c r="EN300" s="66" t="str">
        <f t="shared" si="3918"/>
        <v/>
      </c>
      <c r="EO300" s="66" t="str">
        <f t="shared" si="3919"/>
        <v/>
      </c>
      <c r="EP300" s="66" t="str">
        <f t="shared" si="3920"/>
        <v/>
      </c>
      <c r="EQ300" s="66" t="str">
        <f t="shared" si="3921"/>
        <v/>
      </c>
      <c r="ER300" s="66" t="str">
        <f t="shared" si="3922"/>
        <v/>
      </c>
      <c r="ES300" s="66" t="str">
        <f t="shared" si="3923"/>
        <v/>
      </c>
      <c r="ET300" s="66" t="str">
        <f t="shared" si="3924"/>
        <v/>
      </c>
      <c r="EU300" s="66" t="str">
        <f t="shared" si="3925"/>
        <v/>
      </c>
      <c r="EV300" s="66" t="str">
        <f t="shared" si="3926"/>
        <v/>
      </c>
      <c r="EW300" s="66" t="str">
        <f t="shared" si="3927"/>
        <v/>
      </c>
      <c r="EX300" s="66" t="str">
        <f t="shared" si="3928"/>
        <v/>
      </c>
      <c r="EY300" s="66" t="str">
        <f t="shared" si="3929"/>
        <v/>
      </c>
      <c r="EZ300" s="66" t="str">
        <f t="shared" si="3930"/>
        <v/>
      </c>
      <c r="FA300" s="66" t="str">
        <f t="shared" si="3931"/>
        <v/>
      </c>
      <c r="FB300" s="66" t="str">
        <f t="shared" si="3932"/>
        <v/>
      </c>
      <c r="FC300" s="66" t="str">
        <f t="shared" si="3933"/>
        <v/>
      </c>
      <c r="FD300" s="66" t="str">
        <f t="shared" si="3934"/>
        <v/>
      </c>
      <c r="FE300" s="66" t="str">
        <f t="shared" si="3935"/>
        <v/>
      </c>
      <c r="FF300" s="66" t="str">
        <f t="shared" si="3936"/>
        <v/>
      </c>
      <c r="FG300" s="66" t="str">
        <f t="shared" si="3937"/>
        <v/>
      </c>
      <c r="FH300" s="66" t="str">
        <f t="shared" si="3938"/>
        <v/>
      </c>
      <c r="FI300" s="66" t="str">
        <f t="shared" si="3939"/>
        <v/>
      </c>
      <c r="FJ300" s="66" t="str">
        <f t="shared" si="3940"/>
        <v/>
      </c>
      <c r="FK300" s="66" t="str">
        <f t="shared" si="3941"/>
        <v/>
      </c>
      <c r="FL300" s="66" t="str">
        <f t="shared" si="3942"/>
        <v/>
      </c>
      <c r="FM300" s="66" t="str">
        <f t="shared" si="3943"/>
        <v/>
      </c>
      <c r="FN300" s="66" t="str">
        <f t="shared" si="3944"/>
        <v/>
      </c>
      <c r="FO300" s="66" t="str">
        <f t="shared" si="3945"/>
        <v/>
      </c>
      <c r="FP300" s="66" t="str">
        <f t="shared" si="3946"/>
        <v/>
      </c>
      <c r="FQ300" s="66" t="str">
        <f t="shared" si="3947"/>
        <v/>
      </c>
      <c r="FR300" s="66" t="str">
        <f t="shared" si="3948"/>
        <v/>
      </c>
      <c r="FS300" s="66" t="str">
        <f t="shared" si="3949"/>
        <v/>
      </c>
    </row>
    <row r="301" spans="1:175">
      <c r="CN301" s="36" t="str">
        <f t="shared" si="3874"/>
        <v>InitUnitState('',,,,,,,,,,)</v>
      </c>
      <c r="CO301" s="36" t="str">
        <f t="shared" si="3875"/>
        <v>InitUnitNormal('',,,,,,,,,,)</v>
      </c>
      <c r="CP301" s="36" t="str">
        <f t="shared" si="3876"/>
        <v>InitUnitMagic('',,,,,,,,,,)</v>
      </c>
      <c r="CQ301" s="36" t="str">
        <f t="shared" si="3877"/>
        <v>InitUnitAdd('',,,,,,,,,,)</v>
      </c>
      <c r="CR301" s="36" t="str">
        <f t="shared" si="3878"/>
        <v>InitEquipData('',,"",,,,,'','','','','','',"")</v>
      </c>
      <c r="CU301" s="19" t="str">
        <f t="shared" si="3879"/>
        <v>|n</v>
      </c>
      <c r="CW301" s="33"/>
      <c r="CX301" s="33"/>
      <c r="CY301" s="33"/>
      <c r="CZ301" s="33"/>
      <c r="DA301" s="33"/>
      <c r="DB301" s="66" t="str">
        <f t="shared" si="3880"/>
        <v/>
      </c>
      <c r="DC301" s="66" t="str">
        <f t="shared" si="3881"/>
        <v/>
      </c>
      <c r="DD301" s="66" t="str">
        <f t="shared" si="3882"/>
        <v/>
      </c>
      <c r="DE301" s="66" t="str">
        <f t="shared" si="3883"/>
        <v/>
      </c>
      <c r="DF301" s="66" t="str">
        <f t="shared" si="3884"/>
        <v/>
      </c>
      <c r="DG301" s="66" t="str">
        <f t="shared" si="3885"/>
        <v/>
      </c>
      <c r="DH301" s="66" t="str">
        <f t="shared" si="3886"/>
        <v/>
      </c>
      <c r="DI301" s="66" t="str">
        <f t="shared" si="3887"/>
        <v/>
      </c>
      <c r="DJ301" s="66" t="str">
        <f t="shared" si="3888"/>
        <v/>
      </c>
      <c r="DK301" s="66" t="str">
        <f t="shared" si="3889"/>
        <v/>
      </c>
      <c r="DL301" s="66" t="str">
        <f t="shared" si="3890"/>
        <v/>
      </c>
      <c r="DM301" s="66" t="str">
        <f t="shared" si="3891"/>
        <v/>
      </c>
      <c r="DN301" s="66" t="str">
        <f t="shared" si="3892"/>
        <v/>
      </c>
      <c r="DO301" s="66" t="str">
        <f t="shared" si="3893"/>
        <v/>
      </c>
      <c r="DP301" s="66" t="str">
        <f t="shared" si="3894"/>
        <v/>
      </c>
      <c r="DQ301" s="66" t="str">
        <f t="shared" si="3895"/>
        <v/>
      </c>
      <c r="DR301" s="66" t="str">
        <f t="shared" si="3896"/>
        <v/>
      </c>
      <c r="DS301" s="66" t="str">
        <f t="shared" si="3897"/>
        <v/>
      </c>
      <c r="DT301" s="66" t="str">
        <f t="shared" si="3898"/>
        <v/>
      </c>
      <c r="DU301" s="66" t="str">
        <f t="shared" si="3899"/>
        <v/>
      </c>
      <c r="DV301" s="66" t="str">
        <f t="shared" si="3900"/>
        <v/>
      </c>
      <c r="DW301" s="66" t="str">
        <f t="shared" si="3901"/>
        <v/>
      </c>
      <c r="DX301" s="66" t="str">
        <f t="shared" si="3902"/>
        <v/>
      </c>
      <c r="DY301" s="66" t="str">
        <f t="shared" si="3903"/>
        <v/>
      </c>
      <c r="DZ301" s="66" t="str">
        <f t="shared" si="3904"/>
        <v/>
      </c>
      <c r="EA301" s="66" t="str">
        <f t="shared" si="3905"/>
        <v/>
      </c>
      <c r="EB301" s="66" t="str">
        <f t="shared" si="3906"/>
        <v/>
      </c>
      <c r="EC301" s="66" t="str">
        <f t="shared" si="3907"/>
        <v/>
      </c>
      <c r="ED301" s="66" t="str">
        <f t="shared" si="3908"/>
        <v/>
      </c>
      <c r="EE301" s="66" t="str">
        <f t="shared" si="3909"/>
        <v/>
      </c>
      <c r="EF301" s="66" t="str">
        <f t="shared" si="3910"/>
        <v/>
      </c>
      <c r="EG301" s="66" t="str">
        <f t="shared" si="3911"/>
        <v/>
      </c>
      <c r="EH301" s="66" t="str">
        <f t="shared" si="3912"/>
        <v/>
      </c>
      <c r="EI301" s="66" t="str">
        <f t="shared" si="3913"/>
        <v/>
      </c>
      <c r="EJ301" s="66" t="str">
        <f t="shared" si="3914"/>
        <v/>
      </c>
      <c r="EK301" s="66" t="str">
        <f t="shared" si="3915"/>
        <v/>
      </c>
      <c r="EL301" s="66" t="str">
        <f t="shared" si="3916"/>
        <v/>
      </c>
      <c r="EM301" s="66" t="str">
        <f t="shared" si="3917"/>
        <v/>
      </c>
      <c r="EN301" s="66" t="str">
        <f t="shared" si="3918"/>
        <v/>
      </c>
      <c r="EO301" s="66" t="str">
        <f t="shared" si="3919"/>
        <v/>
      </c>
      <c r="EP301" s="66" t="str">
        <f t="shared" si="3920"/>
        <v/>
      </c>
      <c r="EQ301" s="66" t="str">
        <f t="shared" si="3921"/>
        <v/>
      </c>
      <c r="ER301" s="66" t="str">
        <f t="shared" si="3922"/>
        <v/>
      </c>
      <c r="ES301" s="66" t="str">
        <f t="shared" si="3923"/>
        <v/>
      </c>
      <c r="ET301" s="66" t="str">
        <f t="shared" si="3924"/>
        <v/>
      </c>
      <c r="EU301" s="66" t="str">
        <f t="shared" si="3925"/>
        <v/>
      </c>
      <c r="EV301" s="66" t="str">
        <f t="shared" si="3926"/>
        <v/>
      </c>
      <c r="EW301" s="66" t="str">
        <f t="shared" si="3927"/>
        <v/>
      </c>
      <c r="EX301" s="66" t="str">
        <f t="shared" si="3928"/>
        <v/>
      </c>
      <c r="EY301" s="66" t="str">
        <f t="shared" si="3929"/>
        <v/>
      </c>
      <c r="EZ301" s="66" t="str">
        <f t="shared" si="3930"/>
        <v/>
      </c>
      <c r="FA301" s="66" t="str">
        <f t="shared" si="3931"/>
        <v/>
      </c>
      <c r="FB301" s="66" t="str">
        <f t="shared" si="3932"/>
        <v/>
      </c>
      <c r="FC301" s="66" t="str">
        <f t="shared" si="3933"/>
        <v/>
      </c>
      <c r="FD301" s="66" t="str">
        <f t="shared" si="3934"/>
        <v/>
      </c>
      <c r="FE301" s="66" t="str">
        <f t="shared" si="3935"/>
        <v/>
      </c>
      <c r="FF301" s="66" t="str">
        <f t="shared" si="3936"/>
        <v/>
      </c>
      <c r="FG301" s="66" t="str">
        <f t="shared" si="3937"/>
        <v/>
      </c>
      <c r="FH301" s="66" t="str">
        <f t="shared" si="3938"/>
        <v/>
      </c>
      <c r="FI301" s="66" t="str">
        <f t="shared" si="3939"/>
        <v/>
      </c>
      <c r="FJ301" s="66" t="str">
        <f t="shared" si="3940"/>
        <v/>
      </c>
      <c r="FK301" s="66" t="str">
        <f t="shared" si="3941"/>
        <v/>
      </c>
      <c r="FL301" s="66" t="str">
        <f t="shared" si="3942"/>
        <v/>
      </c>
      <c r="FM301" s="66" t="str">
        <f t="shared" si="3943"/>
        <v/>
      </c>
      <c r="FN301" s="66" t="str">
        <f t="shared" si="3944"/>
        <v/>
      </c>
      <c r="FO301" s="66" t="str">
        <f t="shared" si="3945"/>
        <v/>
      </c>
      <c r="FP301" s="66" t="str">
        <f t="shared" si="3946"/>
        <v/>
      </c>
      <c r="FQ301" s="66" t="str">
        <f t="shared" si="3947"/>
        <v/>
      </c>
      <c r="FR301" s="66" t="str">
        <f t="shared" si="3948"/>
        <v/>
      </c>
      <c r="FS301" s="66" t="str">
        <f t="shared" si="3949"/>
        <v/>
      </c>
    </row>
    <row r="302" spans="1:175">
      <c r="CN302" s="36" t="str">
        <f t="shared" si="3874"/>
        <v>InitUnitState('',,,,,,,,,,)</v>
      </c>
      <c r="CO302" s="36" t="str">
        <f t="shared" si="3875"/>
        <v>InitUnitNormal('',,,,,,,,,,)</v>
      </c>
      <c r="CP302" s="36" t="str">
        <f t="shared" si="3876"/>
        <v>InitUnitMagic('',,,,,,,,,,)</v>
      </c>
      <c r="CQ302" s="36" t="str">
        <f t="shared" si="3877"/>
        <v>InitUnitAdd('',,,,,,,,,,)</v>
      </c>
      <c r="CR302" s="36" t="str">
        <f t="shared" si="3878"/>
        <v>InitEquipData('',,"",,,,,'','','','','','',"")</v>
      </c>
      <c r="CU302" s="19" t="str">
        <f t="shared" si="3879"/>
        <v>|n</v>
      </c>
      <c r="CW302" s="33"/>
      <c r="CX302" s="33"/>
      <c r="CY302" s="33"/>
      <c r="CZ302" s="33"/>
      <c r="DA302" s="33"/>
      <c r="DB302" s="66" t="str">
        <f t="shared" si="3880"/>
        <v/>
      </c>
      <c r="DC302" s="66" t="str">
        <f t="shared" si="3881"/>
        <v/>
      </c>
      <c r="DD302" s="66" t="str">
        <f t="shared" si="3882"/>
        <v/>
      </c>
      <c r="DE302" s="66" t="str">
        <f t="shared" si="3883"/>
        <v/>
      </c>
      <c r="DF302" s="66" t="str">
        <f t="shared" si="3884"/>
        <v/>
      </c>
      <c r="DG302" s="66" t="str">
        <f t="shared" si="3885"/>
        <v/>
      </c>
      <c r="DH302" s="66" t="str">
        <f t="shared" si="3886"/>
        <v/>
      </c>
      <c r="DI302" s="66" t="str">
        <f t="shared" si="3887"/>
        <v/>
      </c>
      <c r="DJ302" s="66" t="str">
        <f t="shared" si="3888"/>
        <v/>
      </c>
      <c r="DK302" s="66" t="str">
        <f t="shared" si="3889"/>
        <v/>
      </c>
      <c r="DL302" s="66" t="str">
        <f t="shared" si="3890"/>
        <v/>
      </c>
      <c r="DM302" s="66" t="str">
        <f t="shared" si="3891"/>
        <v/>
      </c>
      <c r="DN302" s="66" t="str">
        <f t="shared" si="3892"/>
        <v/>
      </c>
      <c r="DO302" s="66" t="str">
        <f t="shared" si="3893"/>
        <v/>
      </c>
      <c r="DP302" s="66" t="str">
        <f t="shared" si="3894"/>
        <v/>
      </c>
      <c r="DQ302" s="66" t="str">
        <f t="shared" si="3895"/>
        <v/>
      </c>
      <c r="DR302" s="66" t="str">
        <f t="shared" si="3896"/>
        <v/>
      </c>
      <c r="DS302" s="66" t="str">
        <f t="shared" si="3897"/>
        <v/>
      </c>
      <c r="DT302" s="66" t="str">
        <f t="shared" si="3898"/>
        <v/>
      </c>
      <c r="DU302" s="66" t="str">
        <f t="shared" si="3899"/>
        <v/>
      </c>
      <c r="DV302" s="66" t="str">
        <f t="shared" si="3900"/>
        <v/>
      </c>
      <c r="DW302" s="66" t="str">
        <f t="shared" si="3901"/>
        <v/>
      </c>
      <c r="DX302" s="66" t="str">
        <f t="shared" si="3902"/>
        <v/>
      </c>
      <c r="DY302" s="66" t="str">
        <f t="shared" si="3903"/>
        <v/>
      </c>
      <c r="DZ302" s="66" t="str">
        <f t="shared" si="3904"/>
        <v/>
      </c>
      <c r="EA302" s="66" t="str">
        <f t="shared" si="3905"/>
        <v/>
      </c>
      <c r="EB302" s="66" t="str">
        <f t="shared" si="3906"/>
        <v/>
      </c>
      <c r="EC302" s="66" t="str">
        <f t="shared" si="3907"/>
        <v/>
      </c>
      <c r="ED302" s="66" t="str">
        <f t="shared" si="3908"/>
        <v/>
      </c>
      <c r="EE302" s="66" t="str">
        <f t="shared" si="3909"/>
        <v/>
      </c>
      <c r="EF302" s="66" t="str">
        <f t="shared" si="3910"/>
        <v/>
      </c>
      <c r="EG302" s="66" t="str">
        <f t="shared" si="3911"/>
        <v/>
      </c>
      <c r="EH302" s="66" t="str">
        <f t="shared" si="3912"/>
        <v/>
      </c>
      <c r="EI302" s="66" t="str">
        <f t="shared" si="3913"/>
        <v/>
      </c>
      <c r="EJ302" s="66" t="str">
        <f t="shared" si="3914"/>
        <v/>
      </c>
      <c r="EK302" s="66" t="str">
        <f t="shared" si="3915"/>
        <v/>
      </c>
      <c r="EL302" s="66" t="str">
        <f t="shared" si="3916"/>
        <v/>
      </c>
      <c r="EM302" s="66" t="str">
        <f t="shared" si="3917"/>
        <v/>
      </c>
      <c r="EN302" s="66" t="str">
        <f t="shared" si="3918"/>
        <v/>
      </c>
      <c r="EO302" s="66" t="str">
        <f t="shared" si="3919"/>
        <v/>
      </c>
      <c r="EP302" s="66" t="str">
        <f t="shared" si="3920"/>
        <v/>
      </c>
      <c r="EQ302" s="66" t="str">
        <f t="shared" si="3921"/>
        <v/>
      </c>
      <c r="ER302" s="66" t="str">
        <f t="shared" si="3922"/>
        <v/>
      </c>
      <c r="ES302" s="66" t="str">
        <f t="shared" si="3923"/>
        <v/>
      </c>
      <c r="ET302" s="66" t="str">
        <f t="shared" si="3924"/>
        <v/>
      </c>
      <c r="EU302" s="66" t="str">
        <f t="shared" si="3925"/>
        <v/>
      </c>
      <c r="EV302" s="66" t="str">
        <f t="shared" si="3926"/>
        <v/>
      </c>
      <c r="EW302" s="66" t="str">
        <f t="shared" si="3927"/>
        <v/>
      </c>
      <c r="EX302" s="66" t="str">
        <f t="shared" si="3928"/>
        <v/>
      </c>
      <c r="EY302" s="66" t="str">
        <f t="shared" si="3929"/>
        <v/>
      </c>
      <c r="EZ302" s="66" t="str">
        <f t="shared" si="3930"/>
        <v/>
      </c>
      <c r="FA302" s="66" t="str">
        <f t="shared" si="3931"/>
        <v/>
      </c>
      <c r="FB302" s="66" t="str">
        <f t="shared" si="3932"/>
        <v/>
      </c>
      <c r="FC302" s="66" t="str">
        <f t="shared" si="3933"/>
        <v/>
      </c>
      <c r="FD302" s="66" t="str">
        <f t="shared" si="3934"/>
        <v/>
      </c>
      <c r="FE302" s="66" t="str">
        <f t="shared" si="3935"/>
        <v/>
      </c>
      <c r="FF302" s="66" t="str">
        <f t="shared" si="3936"/>
        <v/>
      </c>
      <c r="FG302" s="66" t="str">
        <f t="shared" si="3937"/>
        <v/>
      </c>
      <c r="FH302" s="66" t="str">
        <f t="shared" si="3938"/>
        <v/>
      </c>
      <c r="FI302" s="66" t="str">
        <f t="shared" si="3939"/>
        <v/>
      </c>
      <c r="FJ302" s="66" t="str">
        <f t="shared" si="3940"/>
        <v/>
      </c>
      <c r="FK302" s="66" t="str">
        <f t="shared" si="3941"/>
        <v/>
      </c>
      <c r="FL302" s="66" t="str">
        <f t="shared" si="3942"/>
        <v/>
      </c>
      <c r="FM302" s="66" t="str">
        <f t="shared" si="3943"/>
        <v/>
      </c>
      <c r="FN302" s="66" t="str">
        <f t="shared" si="3944"/>
        <v/>
      </c>
      <c r="FO302" s="66" t="str">
        <f t="shared" si="3945"/>
        <v/>
      </c>
      <c r="FP302" s="66" t="str">
        <f t="shared" si="3946"/>
        <v/>
      </c>
      <c r="FQ302" s="66" t="str">
        <f t="shared" si="3947"/>
        <v/>
      </c>
      <c r="FR302" s="66" t="str">
        <f t="shared" si="3948"/>
        <v/>
      </c>
      <c r="FS302" s="66" t="str">
        <f t="shared" si="3949"/>
        <v/>
      </c>
    </row>
    <row r="303" spans="1:175">
      <c r="CN303" s="36" t="str">
        <f t="shared" si="3874"/>
        <v>InitUnitState('',,,,,,,,,,)</v>
      </c>
      <c r="CO303" s="36" t="str">
        <f t="shared" si="3875"/>
        <v>InitUnitNormal('',,,,,,,,,,)</v>
      </c>
      <c r="CP303" s="36" t="str">
        <f t="shared" si="3876"/>
        <v>InitUnitMagic('',,,,,,,,,,)</v>
      </c>
      <c r="CQ303" s="36" t="str">
        <f t="shared" si="3877"/>
        <v>InitUnitAdd('',,,,,,,,,,)</v>
      </c>
      <c r="CR303" s="36" t="str">
        <f t="shared" si="3878"/>
        <v>InitEquipData('',,"",,,,,'','','','','','',"")</v>
      </c>
      <c r="CU303" s="19" t="str">
        <f t="shared" si="3879"/>
        <v>|n</v>
      </c>
      <c r="CW303" s="33"/>
      <c r="CX303" s="33"/>
      <c r="CY303" s="33"/>
      <c r="CZ303" s="33"/>
      <c r="DA303" s="33"/>
      <c r="DB303" s="66" t="str">
        <f t="shared" si="3880"/>
        <v/>
      </c>
      <c r="DC303" s="66" t="str">
        <f t="shared" si="3881"/>
        <v/>
      </c>
      <c r="DD303" s="66" t="str">
        <f t="shared" si="3882"/>
        <v/>
      </c>
      <c r="DE303" s="66" t="str">
        <f t="shared" si="3883"/>
        <v/>
      </c>
      <c r="DF303" s="66" t="str">
        <f t="shared" si="3884"/>
        <v/>
      </c>
      <c r="DG303" s="66" t="str">
        <f t="shared" si="3885"/>
        <v/>
      </c>
      <c r="DH303" s="66" t="str">
        <f t="shared" si="3886"/>
        <v/>
      </c>
      <c r="DI303" s="66" t="str">
        <f t="shared" si="3887"/>
        <v/>
      </c>
      <c r="DJ303" s="66" t="str">
        <f t="shared" si="3888"/>
        <v/>
      </c>
      <c r="DK303" s="66" t="str">
        <f t="shared" si="3889"/>
        <v/>
      </c>
      <c r="DL303" s="66" t="str">
        <f t="shared" si="3890"/>
        <v/>
      </c>
      <c r="DM303" s="66" t="str">
        <f t="shared" si="3891"/>
        <v/>
      </c>
      <c r="DN303" s="66" t="str">
        <f t="shared" si="3892"/>
        <v/>
      </c>
      <c r="DO303" s="66" t="str">
        <f t="shared" si="3893"/>
        <v/>
      </c>
      <c r="DP303" s="66" t="str">
        <f t="shared" si="3894"/>
        <v/>
      </c>
      <c r="DQ303" s="66" t="str">
        <f t="shared" si="3895"/>
        <v/>
      </c>
      <c r="DR303" s="66" t="str">
        <f t="shared" si="3896"/>
        <v/>
      </c>
      <c r="DS303" s="66" t="str">
        <f t="shared" si="3897"/>
        <v/>
      </c>
      <c r="DT303" s="66" t="str">
        <f t="shared" si="3898"/>
        <v/>
      </c>
      <c r="DU303" s="66" t="str">
        <f t="shared" si="3899"/>
        <v/>
      </c>
      <c r="DV303" s="66" t="str">
        <f t="shared" si="3900"/>
        <v/>
      </c>
      <c r="DW303" s="66" t="str">
        <f t="shared" si="3901"/>
        <v/>
      </c>
      <c r="DX303" s="66" t="str">
        <f t="shared" si="3902"/>
        <v/>
      </c>
      <c r="DY303" s="66" t="str">
        <f t="shared" si="3903"/>
        <v/>
      </c>
      <c r="DZ303" s="66" t="str">
        <f t="shared" si="3904"/>
        <v/>
      </c>
      <c r="EA303" s="66" t="str">
        <f t="shared" si="3905"/>
        <v/>
      </c>
      <c r="EB303" s="66" t="str">
        <f t="shared" si="3906"/>
        <v/>
      </c>
      <c r="EC303" s="66" t="str">
        <f t="shared" si="3907"/>
        <v/>
      </c>
      <c r="ED303" s="66" t="str">
        <f t="shared" si="3908"/>
        <v/>
      </c>
      <c r="EE303" s="66" t="str">
        <f t="shared" si="3909"/>
        <v/>
      </c>
      <c r="EF303" s="66" t="str">
        <f t="shared" si="3910"/>
        <v/>
      </c>
      <c r="EG303" s="66" t="str">
        <f t="shared" si="3911"/>
        <v/>
      </c>
      <c r="EH303" s="66" t="str">
        <f t="shared" si="3912"/>
        <v/>
      </c>
      <c r="EI303" s="66" t="str">
        <f t="shared" si="3913"/>
        <v/>
      </c>
      <c r="EJ303" s="66" t="str">
        <f t="shared" si="3914"/>
        <v/>
      </c>
      <c r="EK303" s="66" t="str">
        <f t="shared" si="3915"/>
        <v/>
      </c>
      <c r="EL303" s="66" t="str">
        <f t="shared" si="3916"/>
        <v/>
      </c>
      <c r="EM303" s="66" t="str">
        <f t="shared" si="3917"/>
        <v/>
      </c>
      <c r="EN303" s="66" t="str">
        <f t="shared" si="3918"/>
        <v/>
      </c>
      <c r="EO303" s="66" t="str">
        <f t="shared" si="3919"/>
        <v/>
      </c>
      <c r="EP303" s="66" t="str">
        <f t="shared" si="3920"/>
        <v/>
      </c>
      <c r="EQ303" s="66" t="str">
        <f t="shared" si="3921"/>
        <v/>
      </c>
      <c r="ER303" s="66" t="str">
        <f t="shared" si="3922"/>
        <v/>
      </c>
      <c r="ES303" s="66" t="str">
        <f t="shared" si="3923"/>
        <v/>
      </c>
      <c r="ET303" s="66" t="str">
        <f t="shared" si="3924"/>
        <v/>
      </c>
      <c r="EU303" s="66" t="str">
        <f t="shared" si="3925"/>
        <v/>
      </c>
      <c r="EV303" s="66" t="str">
        <f t="shared" si="3926"/>
        <v/>
      </c>
      <c r="EW303" s="66" t="str">
        <f t="shared" si="3927"/>
        <v/>
      </c>
      <c r="EX303" s="66" t="str">
        <f t="shared" si="3928"/>
        <v/>
      </c>
      <c r="EY303" s="66" t="str">
        <f t="shared" si="3929"/>
        <v/>
      </c>
      <c r="EZ303" s="66" t="str">
        <f t="shared" si="3930"/>
        <v/>
      </c>
      <c r="FA303" s="66" t="str">
        <f t="shared" si="3931"/>
        <v/>
      </c>
      <c r="FB303" s="66" t="str">
        <f t="shared" si="3932"/>
        <v/>
      </c>
      <c r="FC303" s="66" t="str">
        <f t="shared" si="3933"/>
        <v/>
      </c>
      <c r="FD303" s="66" t="str">
        <f t="shared" si="3934"/>
        <v/>
      </c>
      <c r="FE303" s="66" t="str">
        <f t="shared" si="3935"/>
        <v/>
      </c>
      <c r="FF303" s="66" t="str">
        <f t="shared" si="3936"/>
        <v/>
      </c>
      <c r="FG303" s="66" t="str">
        <f t="shared" si="3937"/>
        <v/>
      </c>
      <c r="FH303" s="66" t="str">
        <f t="shared" si="3938"/>
        <v/>
      </c>
      <c r="FI303" s="66" t="str">
        <f t="shared" si="3939"/>
        <v/>
      </c>
      <c r="FJ303" s="66" t="str">
        <f t="shared" si="3940"/>
        <v/>
      </c>
      <c r="FK303" s="66" t="str">
        <f t="shared" si="3941"/>
        <v/>
      </c>
      <c r="FL303" s="66" t="str">
        <f t="shared" si="3942"/>
        <v/>
      </c>
      <c r="FM303" s="66" t="str">
        <f t="shared" si="3943"/>
        <v/>
      </c>
      <c r="FN303" s="66" t="str">
        <f t="shared" si="3944"/>
        <v/>
      </c>
      <c r="FO303" s="66" t="str">
        <f t="shared" si="3945"/>
        <v/>
      </c>
      <c r="FP303" s="66" t="str">
        <f t="shared" si="3946"/>
        <v/>
      </c>
      <c r="FQ303" s="66" t="str">
        <f t="shared" si="3947"/>
        <v/>
      </c>
      <c r="FR303" s="66" t="str">
        <f t="shared" si="3948"/>
        <v/>
      </c>
      <c r="FS303" s="66" t="str">
        <f t="shared" si="3949"/>
        <v/>
      </c>
    </row>
    <row r="304" spans="1:175">
      <c r="CN304" s="36" t="str">
        <f t="shared" si="3874"/>
        <v>InitUnitState('',,,,,,,,,,)</v>
      </c>
      <c r="CO304" s="36" t="str">
        <f t="shared" si="3875"/>
        <v>InitUnitNormal('',,,,,,,,,,)</v>
      </c>
      <c r="CP304" s="36" t="str">
        <f t="shared" si="3876"/>
        <v>InitUnitMagic('',,,,,,,,,,)</v>
      </c>
      <c r="CQ304" s="36" t="str">
        <f t="shared" si="3877"/>
        <v>InitUnitAdd('',,,,,,,,,,)</v>
      </c>
      <c r="CR304" s="36" t="str">
        <f t="shared" si="3878"/>
        <v>InitEquipData('',,"",,,,,'','','','','','',"")</v>
      </c>
      <c r="CU304" s="19" t="str">
        <f t="shared" si="3879"/>
        <v>|n</v>
      </c>
      <c r="CW304" s="33"/>
      <c r="CX304" s="33"/>
      <c r="CY304" s="33"/>
      <c r="CZ304" s="33"/>
      <c r="DA304" s="33"/>
      <c r="DB304" s="66" t="str">
        <f t="shared" si="3880"/>
        <v/>
      </c>
      <c r="DC304" s="66" t="str">
        <f t="shared" si="3881"/>
        <v/>
      </c>
      <c r="DD304" s="66" t="str">
        <f t="shared" si="3882"/>
        <v/>
      </c>
      <c r="DE304" s="66" t="str">
        <f t="shared" si="3883"/>
        <v/>
      </c>
      <c r="DF304" s="66" t="str">
        <f t="shared" si="3884"/>
        <v/>
      </c>
      <c r="DG304" s="66" t="str">
        <f t="shared" si="3885"/>
        <v/>
      </c>
      <c r="DH304" s="66" t="str">
        <f t="shared" si="3886"/>
        <v/>
      </c>
      <c r="DI304" s="66" t="str">
        <f t="shared" si="3887"/>
        <v/>
      </c>
      <c r="DJ304" s="66" t="str">
        <f t="shared" si="3888"/>
        <v/>
      </c>
      <c r="DK304" s="66" t="str">
        <f t="shared" si="3889"/>
        <v/>
      </c>
      <c r="DL304" s="66" t="str">
        <f t="shared" si="3890"/>
        <v/>
      </c>
      <c r="DM304" s="66" t="str">
        <f t="shared" si="3891"/>
        <v/>
      </c>
      <c r="DN304" s="66" t="str">
        <f t="shared" si="3892"/>
        <v/>
      </c>
      <c r="DO304" s="66" t="str">
        <f t="shared" si="3893"/>
        <v/>
      </c>
      <c r="DP304" s="66" t="str">
        <f t="shared" si="3894"/>
        <v/>
      </c>
      <c r="DQ304" s="66" t="str">
        <f t="shared" si="3895"/>
        <v/>
      </c>
      <c r="DR304" s="66" t="str">
        <f t="shared" si="3896"/>
        <v/>
      </c>
      <c r="DS304" s="66" t="str">
        <f t="shared" si="3897"/>
        <v/>
      </c>
      <c r="DT304" s="66" t="str">
        <f t="shared" si="3898"/>
        <v/>
      </c>
      <c r="DU304" s="66" t="str">
        <f t="shared" si="3899"/>
        <v/>
      </c>
      <c r="DV304" s="66" t="str">
        <f t="shared" si="3900"/>
        <v/>
      </c>
      <c r="DW304" s="66" t="str">
        <f t="shared" si="3901"/>
        <v/>
      </c>
      <c r="DX304" s="66" t="str">
        <f t="shared" si="3902"/>
        <v/>
      </c>
      <c r="DY304" s="66" t="str">
        <f t="shared" si="3903"/>
        <v/>
      </c>
      <c r="DZ304" s="66" t="str">
        <f t="shared" si="3904"/>
        <v/>
      </c>
      <c r="EA304" s="66" t="str">
        <f t="shared" si="3905"/>
        <v/>
      </c>
      <c r="EB304" s="66" t="str">
        <f t="shared" si="3906"/>
        <v/>
      </c>
      <c r="EC304" s="66" t="str">
        <f t="shared" si="3907"/>
        <v/>
      </c>
      <c r="ED304" s="66" t="str">
        <f t="shared" si="3908"/>
        <v/>
      </c>
      <c r="EE304" s="66" t="str">
        <f t="shared" si="3909"/>
        <v/>
      </c>
      <c r="EF304" s="66" t="str">
        <f t="shared" si="3910"/>
        <v/>
      </c>
      <c r="EG304" s="66" t="str">
        <f t="shared" si="3911"/>
        <v/>
      </c>
      <c r="EH304" s="66" t="str">
        <f t="shared" si="3912"/>
        <v/>
      </c>
      <c r="EI304" s="66" t="str">
        <f t="shared" si="3913"/>
        <v/>
      </c>
      <c r="EJ304" s="66" t="str">
        <f t="shared" si="3914"/>
        <v/>
      </c>
      <c r="EK304" s="66" t="str">
        <f t="shared" si="3915"/>
        <v/>
      </c>
      <c r="EL304" s="66" t="str">
        <f t="shared" si="3916"/>
        <v/>
      </c>
      <c r="EM304" s="66" t="str">
        <f t="shared" si="3917"/>
        <v/>
      </c>
      <c r="EN304" s="66" t="str">
        <f t="shared" si="3918"/>
        <v/>
      </c>
      <c r="EO304" s="66" t="str">
        <f t="shared" si="3919"/>
        <v/>
      </c>
      <c r="EP304" s="66" t="str">
        <f t="shared" si="3920"/>
        <v/>
      </c>
      <c r="EQ304" s="66" t="str">
        <f t="shared" si="3921"/>
        <v/>
      </c>
      <c r="ER304" s="66" t="str">
        <f t="shared" si="3922"/>
        <v/>
      </c>
      <c r="ES304" s="66" t="str">
        <f t="shared" si="3923"/>
        <v/>
      </c>
      <c r="ET304" s="66" t="str">
        <f t="shared" si="3924"/>
        <v/>
      </c>
      <c r="EU304" s="66" t="str">
        <f t="shared" si="3925"/>
        <v/>
      </c>
      <c r="EV304" s="66" t="str">
        <f t="shared" si="3926"/>
        <v/>
      </c>
      <c r="EW304" s="66" t="str">
        <f t="shared" si="3927"/>
        <v/>
      </c>
      <c r="EX304" s="66" t="str">
        <f t="shared" si="3928"/>
        <v/>
      </c>
      <c r="EY304" s="66" t="str">
        <f t="shared" si="3929"/>
        <v/>
      </c>
      <c r="EZ304" s="66" t="str">
        <f t="shared" si="3930"/>
        <v/>
      </c>
      <c r="FA304" s="66" t="str">
        <f t="shared" si="3931"/>
        <v/>
      </c>
      <c r="FB304" s="66" t="str">
        <f t="shared" si="3932"/>
        <v/>
      </c>
      <c r="FC304" s="66" t="str">
        <f t="shared" si="3933"/>
        <v/>
      </c>
      <c r="FD304" s="66" t="str">
        <f t="shared" si="3934"/>
        <v/>
      </c>
      <c r="FE304" s="66" t="str">
        <f t="shared" si="3935"/>
        <v/>
      </c>
      <c r="FF304" s="66" t="str">
        <f t="shared" si="3936"/>
        <v/>
      </c>
      <c r="FG304" s="66" t="str">
        <f t="shared" si="3937"/>
        <v/>
      </c>
      <c r="FH304" s="66" t="str">
        <f t="shared" si="3938"/>
        <v/>
      </c>
      <c r="FI304" s="66" t="str">
        <f t="shared" si="3939"/>
        <v/>
      </c>
      <c r="FJ304" s="66" t="str">
        <f t="shared" si="3940"/>
        <v/>
      </c>
      <c r="FK304" s="66" t="str">
        <f t="shared" si="3941"/>
        <v/>
      </c>
      <c r="FL304" s="66" t="str">
        <f t="shared" si="3942"/>
        <v/>
      </c>
      <c r="FM304" s="66" t="str">
        <f t="shared" si="3943"/>
        <v/>
      </c>
      <c r="FN304" s="66" t="str">
        <f t="shared" si="3944"/>
        <v/>
      </c>
      <c r="FO304" s="66" t="str">
        <f t="shared" si="3945"/>
        <v/>
      </c>
      <c r="FP304" s="66" t="str">
        <f t="shared" si="3946"/>
        <v/>
      </c>
      <c r="FQ304" s="66" t="str">
        <f t="shared" si="3947"/>
        <v/>
      </c>
      <c r="FR304" s="66" t="str">
        <f t="shared" si="3948"/>
        <v/>
      </c>
      <c r="FS304" s="66" t="str">
        <f t="shared" si="3949"/>
        <v/>
      </c>
    </row>
    <row r="305" spans="92:175">
      <c r="CN305" s="36" t="str">
        <f t="shared" si="3874"/>
        <v>InitUnitState('',,,,,,,,,,)</v>
      </c>
      <c r="CO305" s="36" t="str">
        <f t="shared" si="3875"/>
        <v>InitUnitNormal('',,,,,,,,,,)</v>
      </c>
      <c r="CP305" s="36" t="str">
        <f t="shared" si="3876"/>
        <v>InitUnitMagic('',,,,,,,,,,)</v>
      </c>
      <c r="CQ305" s="36" t="str">
        <f t="shared" si="3877"/>
        <v>InitUnitAdd('',,,,,,,,,,)</v>
      </c>
      <c r="CR305" s="36" t="str">
        <f t="shared" si="3878"/>
        <v>InitEquipData('',,"",,,,,'','','','','','',"")</v>
      </c>
      <c r="CU305" s="19" t="str">
        <f t="shared" si="3879"/>
        <v>|n</v>
      </c>
      <c r="CW305" s="33"/>
      <c r="CX305" s="33"/>
      <c r="CY305" s="33"/>
      <c r="CZ305" s="33"/>
      <c r="DA305" s="33"/>
      <c r="DB305" s="66" t="str">
        <f t="shared" si="3880"/>
        <v/>
      </c>
      <c r="DC305" s="66" t="str">
        <f t="shared" si="3881"/>
        <v/>
      </c>
      <c r="DD305" s="66" t="str">
        <f t="shared" si="3882"/>
        <v/>
      </c>
      <c r="DE305" s="66" t="str">
        <f t="shared" si="3883"/>
        <v/>
      </c>
      <c r="DF305" s="66" t="str">
        <f t="shared" si="3884"/>
        <v/>
      </c>
      <c r="DG305" s="66" t="str">
        <f t="shared" si="3885"/>
        <v/>
      </c>
      <c r="DH305" s="66" t="str">
        <f t="shared" si="3886"/>
        <v/>
      </c>
      <c r="DI305" s="66" t="str">
        <f t="shared" si="3887"/>
        <v/>
      </c>
      <c r="DJ305" s="66" t="str">
        <f t="shared" si="3888"/>
        <v/>
      </c>
      <c r="DK305" s="66" t="str">
        <f t="shared" si="3889"/>
        <v/>
      </c>
      <c r="DL305" s="66" t="str">
        <f t="shared" si="3890"/>
        <v/>
      </c>
      <c r="DM305" s="66" t="str">
        <f t="shared" si="3891"/>
        <v/>
      </c>
      <c r="DN305" s="66" t="str">
        <f t="shared" si="3892"/>
        <v/>
      </c>
      <c r="DO305" s="66" t="str">
        <f t="shared" si="3893"/>
        <v/>
      </c>
      <c r="DP305" s="66" t="str">
        <f t="shared" si="3894"/>
        <v/>
      </c>
      <c r="DQ305" s="66" t="str">
        <f t="shared" si="3895"/>
        <v/>
      </c>
      <c r="DR305" s="66" t="str">
        <f t="shared" si="3896"/>
        <v/>
      </c>
      <c r="DS305" s="66" t="str">
        <f t="shared" si="3897"/>
        <v/>
      </c>
      <c r="DT305" s="66" t="str">
        <f t="shared" si="3898"/>
        <v/>
      </c>
      <c r="DU305" s="66" t="str">
        <f t="shared" si="3899"/>
        <v/>
      </c>
      <c r="DV305" s="66" t="str">
        <f t="shared" si="3900"/>
        <v/>
      </c>
      <c r="DW305" s="66" t="str">
        <f t="shared" si="3901"/>
        <v/>
      </c>
      <c r="DX305" s="66" t="str">
        <f t="shared" si="3902"/>
        <v/>
      </c>
      <c r="DY305" s="66" t="str">
        <f t="shared" si="3903"/>
        <v/>
      </c>
      <c r="DZ305" s="66" t="str">
        <f t="shared" si="3904"/>
        <v/>
      </c>
      <c r="EA305" s="66" t="str">
        <f t="shared" si="3905"/>
        <v/>
      </c>
      <c r="EB305" s="66" t="str">
        <f t="shared" si="3906"/>
        <v/>
      </c>
      <c r="EC305" s="66" t="str">
        <f t="shared" si="3907"/>
        <v/>
      </c>
      <c r="ED305" s="66" t="str">
        <f t="shared" si="3908"/>
        <v/>
      </c>
      <c r="EE305" s="66" t="str">
        <f t="shared" si="3909"/>
        <v/>
      </c>
      <c r="EF305" s="66" t="str">
        <f t="shared" si="3910"/>
        <v/>
      </c>
      <c r="EG305" s="66" t="str">
        <f t="shared" si="3911"/>
        <v/>
      </c>
      <c r="EH305" s="66" t="str">
        <f t="shared" si="3912"/>
        <v/>
      </c>
      <c r="EI305" s="66" t="str">
        <f t="shared" si="3913"/>
        <v/>
      </c>
      <c r="EJ305" s="66" t="str">
        <f t="shared" si="3914"/>
        <v/>
      </c>
      <c r="EK305" s="66" t="str">
        <f t="shared" si="3915"/>
        <v/>
      </c>
      <c r="EL305" s="66" t="str">
        <f t="shared" si="3916"/>
        <v/>
      </c>
      <c r="EM305" s="66" t="str">
        <f t="shared" si="3917"/>
        <v/>
      </c>
      <c r="EN305" s="66" t="str">
        <f t="shared" si="3918"/>
        <v/>
      </c>
      <c r="EO305" s="66" t="str">
        <f t="shared" si="3919"/>
        <v/>
      </c>
      <c r="EP305" s="66" t="str">
        <f t="shared" si="3920"/>
        <v/>
      </c>
      <c r="EQ305" s="66" t="str">
        <f t="shared" si="3921"/>
        <v/>
      </c>
      <c r="ER305" s="66" t="str">
        <f t="shared" si="3922"/>
        <v/>
      </c>
      <c r="ES305" s="66" t="str">
        <f t="shared" si="3923"/>
        <v/>
      </c>
      <c r="ET305" s="66" t="str">
        <f t="shared" si="3924"/>
        <v/>
      </c>
      <c r="EU305" s="66" t="str">
        <f t="shared" si="3925"/>
        <v/>
      </c>
      <c r="EV305" s="66" t="str">
        <f t="shared" si="3926"/>
        <v/>
      </c>
      <c r="EW305" s="66" t="str">
        <f t="shared" si="3927"/>
        <v/>
      </c>
      <c r="EX305" s="66" t="str">
        <f t="shared" si="3928"/>
        <v/>
      </c>
      <c r="EY305" s="66" t="str">
        <f t="shared" si="3929"/>
        <v/>
      </c>
      <c r="EZ305" s="66" t="str">
        <f t="shared" si="3930"/>
        <v/>
      </c>
      <c r="FA305" s="66" t="str">
        <f t="shared" si="3931"/>
        <v/>
      </c>
      <c r="FB305" s="66" t="str">
        <f t="shared" si="3932"/>
        <v/>
      </c>
      <c r="FC305" s="66" t="str">
        <f t="shared" si="3933"/>
        <v/>
      </c>
      <c r="FD305" s="66" t="str">
        <f t="shared" si="3934"/>
        <v/>
      </c>
      <c r="FE305" s="66" t="str">
        <f t="shared" si="3935"/>
        <v/>
      </c>
      <c r="FF305" s="66" t="str">
        <f t="shared" si="3936"/>
        <v/>
      </c>
      <c r="FG305" s="66" t="str">
        <f t="shared" si="3937"/>
        <v/>
      </c>
      <c r="FH305" s="66" t="str">
        <f t="shared" si="3938"/>
        <v/>
      </c>
      <c r="FI305" s="66" t="str">
        <f t="shared" si="3939"/>
        <v/>
      </c>
      <c r="FJ305" s="66" t="str">
        <f t="shared" si="3940"/>
        <v/>
      </c>
      <c r="FK305" s="66" t="str">
        <f t="shared" si="3941"/>
        <v/>
      </c>
      <c r="FL305" s="66" t="str">
        <f t="shared" si="3942"/>
        <v/>
      </c>
      <c r="FM305" s="66" t="str">
        <f t="shared" si="3943"/>
        <v/>
      </c>
      <c r="FN305" s="66" t="str">
        <f t="shared" si="3944"/>
        <v/>
      </c>
      <c r="FO305" s="66" t="str">
        <f t="shared" si="3945"/>
        <v/>
      </c>
      <c r="FP305" s="66" t="str">
        <f t="shared" si="3946"/>
        <v/>
      </c>
      <c r="FQ305" s="66" t="str">
        <f t="shared" si="3947"/>
        <v/>
      </c>
      <c r="FR305" s="66" t="str">
        <f t="shared" si="3948"/>
        <v/>
      </c>
      <c r="FS305" s="66" t="str">
        <f t="shared" si="3949"/>
        <v/>
      </c>
    </row>
    <row r="306" spans="92:175">
      <c r="CN306" s="36" t="str">
        <f t="shared" si="3874"/>
        <v>InitUnitState('',,,,,,,,,,)</v>
      </c>
      <c r="CO306" s="36" t="str">
        <f t="shared" si="3875"/>
        <v>InitUnitNormal('',,,,,,,,,,)</v>
      </c>
      <c r="CP306" s="36" t="str">
        <f t="shared" si="3876"/>
        <v>InitUnitMagic('',,,,,,,,,,)</v>
      </c>
      <c r="CQ306" s="36" t="str">
        <f t="shared" si="3877"/>
        <v>InitUnitAdd('',,,,,,,,,,)</v>
      </c>
      <c r="CR306" s="36" t="str">
        <f t="shared" si="3878"/>
        <v>InitEquipData('',,"",,,,,'','','','','','',"")</v>
      </c>
      <c r="CU306" s="19" t="str">
        <f t="shared" si="3879"/>
        <v>|n</v>
      </c>
      <c r="CW306" s="33"/>
      <c r="CX306" s="33"/>
      <c r="CY306" s="33"/>
      <c r="CZ306" s="33"/>
      <c r="DA306" s="33"/>
      <c r="DB306" s="66" t="str">
        <f t="shared" si="3880"/>
        <v/>
      </c>
      <c r="DC306" s="66" t="str">
        <f t="shared" si="3881"/>
        <v/>
      </c>
      <c r="DD306" s="66" t="str">
        <f t="shared" si="3882"/>
        <v/>
      </c>
      <c r="DE306" s="66" t="str">
        <f t="shared" si="3883"/>
        <v/>
      </c>
      <c r="DF306" s="66" t="str">
        <f t="shared" si="3884"/>
        <v/>
      </c>
      <c r="DG306" s="66" t="str">
        <f t="shared" si="3885"/>
        <v/>
      </c>
      <c r="DH306" s="66" t="str">
        <f t="shared" si="3886"/>
        <v/>
      </c>
      <c r="DI306" s="66" t="str">
        <f t="shared" si="3887"/>
        <v/>
      </c>
      <c r="DJ306" s="66" t="str">
        <f t="shared" si="3888"/>
        <v/>
      </c>
      <c r="DK306" s="66" t="str">
        <f t="shared" si="3889"/>
        <v/>
      </c>
      <c r="DL306" s="66" t="str">
        <f t="shared" si="3890"/>
        <v/>
      </c>
      <c r="DM306" s="66" t="str">
        <f t="shared" si="3891"/>
        <v/>
      </c>
      <c r="DN306" s="66" t="str">
        <f t="shared" si="3892"/>
        <v/>
      </c>
      <c r="DO306" s="66" t="str">
        <f t="shared" si="3893"/>
        <v/>
      </c>
      <c r="DP306" s="66" t="str">
        <f t="shared" si="3894"/>
        <v/>
      </c>
      <c r="DQ306" s="66" t="str">
        <f t="shared" si="3895"/>
        <v/>
      </c>
      <c r="DR306" s="66" t="str">
        <f t="shared" si="3896"/>
        <v/>
      </c>
      <c r="DS306" s="66" t="str">
        <f t="shared" si="3897"/>
        <v/>
      </c>
      <c r="DT306" s="66" t="str">
        <f t="shared" si="3898"/>
        <v/>
      </c>
      <c r="DU306" s="66" t="str">
        <f t="shared" si="3899"/>
        <v/>
      </c>
      <c r="DV306" s="66" t="str">
        <f t="shared" si="3900"/>
        <v/>
      </c>
      <c r="DW306" s="66" t="str">
        <f t="shared" si="3901"/>
        <v/>
      </c>
      <c r="DX306" s="66" t="str">
        <f t="shared" si="3902"/>
        <v/>
      </c>
      <c r="DY306" s="66" t="str">
        <f t="shared" si="3903"/>
        <v/>
      </c>
      <c r="DZ306" s="66" t="str">
        <f t="shared" si="3904"/>
        <v/>
      </c>
      <c r="EA306" s="66" t="str">
        <f t="shared" si="3905"/>
        <v/>
      </c>
      <c r="EB306" s="66" t="str">
        <f t="shared" si="3906"/>
        <v/>
      </c>
      <c r="EC306" s="66" t="str">
        <f t="shared" si="3907"/>
        <v/>
      </c>
      <c r="ED306" s="66" t="str">
        <f t="shared" si="3908"/>
        <v/>
      </c>
      <c r="EE306" s="66" t="str">
        <f t="shared" si="3909"/>
        <v/>
      </c>
      <c r="EF306" s="66" t="str">
        <f t="shared" si="3910"/>
        <v/>
      </c>
      <c r="EG306" s="66" t="str">
        <f t="shared" si="3911"/>
        <v/>
      </c>
      <c r="EH306" s="66" t="str">
        <f t="shared" si="3912"/>
        <v/>
      </c>
      <c r="EI306" s="66" t="str">
        <f t="shared" si="3913"/>
        <v/>
      </c>
      <c r="EJ306" s="66" t="str">
        <f t="shared" si="3914"/>
        <v/>
      </c>
      <c r="EK306" s="66" t="str">
        <f t="shared" si="3915"/>
        <v/>
      </c>
      <c r="EL306" s="66" t="str">
        <f t="shared" si="3916"/>
        <v/>
      </c>
      <c r="EM306" s="66" t="str">
        <f t="shared" si="3917"/>
        <v/>
      </c>
      <c r="EN306" s="66" t="str">
        <f t="shared" si="3918"/>
        <v/>
      </c>
      <c r="EO306" s="66" t="str">
        <f t="shared" si="3919"/>
        <v/>
      </c>
      <c r="EP306" s="66" t="str">
        <f t="shared" si="3920"/>
        <v/>
      </c>
      <c r="EQ306" s="66" t="str">
        <f t="shared" si="3921"/>
        <v/>
      </c>
      <c r="ER306" s="66" t="str">
        <f t="shared" si="3922"/>
        <v/>
      </c>
      <c r="ES306" s="66" t="str">
        <f t="shared" si="3923"/>
        <v/>
      </c>
      <c r="ET306" s="66" t="str">
        <f t="shared" si="3924"/>
        <v/>
      </c>
      <c r="EU306" s="66" t="str">
        <f t="shared" si="3925"/>
        <v/>
      </c>
      <c r="EV306" s="66" t="str">
        <f t="shared" si="3926"/>
        <v/>
      </c>
      <c r="EW306" s="66" t="str">
        <f t="shared" si="3927"/>
        <v/>
      </c>
      <c r="EX306" s="66" t="str">
        <f t="shared" si="3928"/>
        <v/>
      </c>
      <c r="EY306" s="66" t="str">
        <f t="shared" si="3929"/>
        <v/>
      </c>
      <c r="EZ306" s="66" t="str">
        <f t="shared" si="3930"/>
        <v/>
      </c>
      <c r="FA306" s="66" t="str">
        <f t="shared" si="3931"/>
        <v/>
      </c>
      <c r="FB306" s="66" t="str">
        <f t="shared" si="3932"/>
        <v/>
      </c>
      <c r="FC306" s="66" t="str">
        <f t="shared" si="3933"/>
        <v/>
      </c>
      <c r="FD306" s="66" t="str">
        <f t="shared" si="3934"/>
        <v/>
      </c>
      <c r="FE306" s="66" t="str">
        <f t="shared" si="3935"/>
        <v/>
      </c>
      <c r="FF306" s="66" t="str">
        <f t="shared" si="3936"/>
        <v/>
      </c>
      <c r="FG306" s="66" t="str">
        <f t="shared" si="3937"/>
        <v/>
      </c>
      <c r="FH306" s="66" t="str">
        <f t="shared" si="3938"/>
        <v/>
      </c>
      <c r="FI306" s="66" t="str">
        <f t="shared" si="3939"/>
        <v/>
      </c>
      <c r="FJ306" s="66" t="str">
        <f t="shared" si="3940"/>
        <v/>
      </c>
      <c r="FK306" s="66" t="str">
        <f t="shared" si="3941"/>
        <v/>
      </c>
      <c r="FL306" s="66" t="str">
        <f t="shared" si="3942"/>
        <v/>
      </c>
      <c r="FM306" s="66" t="str">
        <f t="shared" si="3943"/>
        <v/>
      </c>
      <c r="FN306" s="66" t="str">
        <f t="shared" si="3944"/>
        <v/>
      </c>
      <c r="FO306" s="66" t="str">
        <f t="shared" si="3945"/>
        <v/>
      </c>
      <c r="FP306" s="66" t="str">
        <f t="shared" si="3946"/>
        <v/>
      </c>
      <c r="FQ306" s="66" t="str">
        <f t="shared" si="3947"/>
        <v/>
      </c>
      <c r="FR306" s="66" t="str">
        <f t="shared" si="3948"/>
        <v/>
      </c>
      <c r="FS306" s="66" t="str">
        <f t="shared" si="3949"/>
        <v/>
      </c>
    </row>
    <row r="307" spans="92:175">
      <c r="CN307" s="36" t="str">
        <f t="shared" si="3874"/>
        <v>InitUnitState('',,,,,,,,,,)</v>
      </c>
      <c r="CO307" s="36" t="str">
        <f t="shared" si="3875"/>
        <v>InitUnitNormal('',,,,,,,,,,)</v>
      </c>
      <c r="CP307" s="36" t="str">
        <f t="shared" si="3876"/>
        <v>InitUnitMagic('',,,,,,,,,,)</v>
      </c>
      <c r="CQ307" s="36" t="str">
        <f t="shared" si="3877"/>
        <v>InitUnitAdd('',,,,,,,,,,)</v>
      </c>
      <c r="CR307" s="36" t="str">
        <f t="shared" si="3878"/>
        <v>InitEquipData('',,"",,,,,'','','','','','',"")</v>
      </c>
      <c r="CU307" s="19" t="str">
        <f t="shared" ref="CU307:CU345" si="3950">CONCATENATE(DB307,DC307,DD307,DE307,DF307,DG307,DH307,DI307,DJ307,DK307,DL307,DM307,DN307,DO307,DP307,DQ307,DR307,DS307,DT307,DU307,DV307,DW307,DX307,DY307,DZ307,EA307,EB307,EC307,ED307,EE307,EF307,EG307,EH307,EI307,EJ307,EK307,EL307,EM307,EN307,EO307,EP307&amp;"|n")</f>
        <v>|n</v>
      </c>
      <c r="CW307" s="33"/>
      <c r="CX307" s="33"/>
      <c r="CY307" s="33"/>
      <c r="CZ307" s="33"/>
      <c r="DA307" s="33"/>
      <c r="DB307" s="66" t="str">
        <f t="shared" si="3880"/>
        <v/>
      </c>
      <c r="DC307" s="66" t="str">
        <f t="shared" si="3881"/>
        <v/>
      </c>
      <c r="DD307" s="66" t="str">
        <f t="shared" si="3882"/>
        <v/>
      </c>
      <c r="DE307" s="66" t="str">
        <f t="shared" si="3883"/>
        <v/>
      </c>
      <c r="DF307" s="66" t="str">
        <f t="shared" si="3884"/>
        <v/>
      </c>
      <c r="DG307" s="66" t="str">
        <f t="shared" si="3885"/>
        <v/>
      </c>
      <c r="DH307" s="66" t="str">
        <f t="shared" si="3886"/>
        <v/>
      </c>
      <c r="DI307" s="66" t="str">
        <f t="shared" si="3887"/>
        <v/>
      </c>
      <c r="DJ307" s="66" t="str">
        <f t="shared" si="3888"/>
        <v/>
      </c>
      <c r="DK307" s="66" t="str">
        <f t="shared" si="3889"/>
        <v/>
      </c>
      <c r="DL307" s="66" t="str">
        <f t="shared" si="3890"/>
        <v/>
      </c>
      <c r="DM307" s="66" t="str">
        <f t="shared" si="3891"/>
        <v/>
      </c>
      <c r="DN307" s="66" t="str">
        <f t="shared" si="3892"/>
        <v/>
      </c>
      <c r="DO307" s="66" t="str">
        <f t="shared" si="3893"/>
        <v/>
      </c>
      <c r="DP307" s="66" t="str">
        <f t="shared" si="3894"/>
        <v/>
      </c>
      <c r="DQ307" s="66" t="str">
        <f t="shared" si="3895"/>
        <v/>
      </c>
      <c r="DR307" s="66" t="str">
        <f t="shared" si="3896"/>
        <v/>
      </c>
      <c r="DS307" s="66" t="str">
        <f t="shared" si="3897"/>
        <v/>
      </c>
      <c r="DT307" s="66" t="str">
        <f t="shared" si="3898"/>
        <v/>
      </c>
      <c r="DU307" s="66" t="str">
        <f t="shared" si="3899"/>
        <v/>
      </c>
      <c r="DV307" s="66" t="str">
        <f t="shared" si="3900"/>
        <v/>
      </c>
      <c r="DW307" s="66" t="str">
        <f t="shared" si="3901"/>
        <v/>
      </c>
      <c r="DX307" s="66" t="str">
        <f t="shared" si="3902"/>
        <v/>
      </c>
      <c r="DY307" s="66" t="str">
        <f t="shared" si="3903"/>
        <v/>
      </c>
      <c r="DZ307" s="66" t="str">
        <f t="shared" si="3904"/>
        <v/>
      </c>
      <c r="EA307" s="66" t="str">
        <f t="shared" si="3905"/>
        <v/>
      </c>
      <c r="EB307" s="66" t="str">
        <f t="shared" si="3906"/>
        <v/>
      </c>
      <c r="EC307" s="66" t="str">
        <f t="shared" si="3907"/>
        <v/>
      </c>
      <c r="ED307" s="66" t="str">
        <f t="shared" si="3908"/>
        <v/>
      </c>
      <c r="EE307" s="66" t="str">
        <f t="shared" si="3909"/>
        <v/>
      </c>
      <c r="EF307" s="66" t="str">
        <f t="shared" si="3910"/>
        <v/>
      </c>
      <c r="EG307" s="66" t="str">
        <f t="shared" si="3911"/>
        <v/>
      </c>
      <c r="EH307" s="66" t="str">
        <f t="shared" si="3912"/>
        <v/>
      </c>
      <c r="EI307" s="66" t="str">
        <f t="shared" si="3913"/>
        <v/>
      </c>
      <c r="EJ307" s="66" t="str">
        <f t="shared" si="3914"/>
        <v/>
      </c>
      <c r="EK307" s="66" t="str">
        <f t="shared" si="3915"/>
        <v/>
      </c>
      <c r="EL307" s="66" t="str">
        <f t="shared" si="3916"/>
        <v/>
      </c>
      <c r="EM307" s="66" t="str">
        <f t="shared" si="3917"/>
        <v/>
      </c>
      <c r="EN307" s="66" t="str">
        <f t="shared" si="3918"/>
        <v/>
      </c>
      <c r="EO307" s="66" t="str">
        <f t="shared" si="3919"/>
        <v/>
      </c>
      <c r="EP307" s="66" t="str">
        <f t="shared" si="3920"/>
        <v/>
      </c>
      <c r="EQ307" s="66" t="str">
        <f t="shared" si="3921"/>
        <v/>
      </c>
      <c r="ER307" s="66" t="str">
        <f t="shared" si="3922"/>
        <v/>
      </c>
      <c r="ES307" s="66" t="str">
        <f t="shared" si="3923"/>
        <v/>
      </c>
      <c r="ET307" s="66" t="str">
        <f t="shared" si="3924"/>
        <v/>
      </c>
      <c r="EU307" s="66" t="str">
        <f t="shared" si="3925"/>
        <v/>
      </c>
      <c r="EV307" s="66" t="str">
        <f t="shared" si="3926"/>
        <v/>
      </c>
      <c r="EW307" s="66" t="str">
        <f t="shared" si="3927"/>
        <v/>
      </c>
      <c r="EX307" s="66" t="str">
        <f t="shared" si="3928"/>
        <v/>
      </c>
      <c r="EY307" s="66" t="str">
        <f t="shared" si="3929"/>
        <v/>
      </c>
      <c r="EZ307" s="66" t="str">
        <f t="shared" si="3930"/>
        <v/>
      </c>
      <c r="FA307" s="66" t="str">
        <f t="shared" si="3931"/>
        <v/>
      </c>
      <c r="FB307" s="66" t="str">
        <f t="shared" si="3932"/>
        <v/>
      </c>
      <c r="FC307" s="66" t="str">
        <f t="shared" si="3933"/>
        <v/>
      </c>
      <c r="FD307" s="66" t="str">
        <f t="shared" si="3934"/>
        <v/>
      </c>
      <c r="FE307" s="66" t="str">
        <f t="shared" si="3935"/>
        <v/>
      </c>
      <c r="FF307" s="66" t="str">
        <f t="shared" si="3936"/>
        <v/>
      </c>
      <c r="FG307" s="66" t="str">
        <f t="shared" si="3937"/>
        <v/>
      </c>
      <c r="FH307" s="66" t="str">
        <f t="shared" si="3938"/>
        <v/>
      </c>
      <c r="FI307" s="66" t="str">
        <f t="shared" si="3939"/>
        <v/>
      </c>
      <c r="FJ307" s="66" t="str">
        <f t="shared" si="3940"/>
        <v/>
      </c>
      <c r="FK307" s="66" t="str">
        <f t="shared" si="3941"/>
        <v/>
      </c>
      <c r="FL307" s="66" t="str">
        <f t="shared" si="3942"/>
        <v/>
      </c>
      <c r="FM307" s="66" t="str">
        <f t="shared" si="3943"/>
        <v/>
      </c>
      <c r="FN307" s="66" t="str">
        <f t="shared" si="3944"/>
        <v/>
      </c>
      <c r="FO307" s="66" t="str">
        <f t="shared" si="3945"/>
        <v/>
      </c>
      <c r="FP307" s="66" t="str">
        <f t="shared" si="3946"/>
        <v/>
      </c>
      <c r="FQ307" s="66" t="str">
        <f t="shared" si="3947"/>
        <v/>
      </c>
      <c r="FR307" s="66" t="str">
        <f t="shared" si="3948"/>
        <v/>
      </c>
      <c r="FS307" s="66" t="str">
        <f t="shared" si="3949"/>
        <v/>
      </c>
    </row>
    <row r="308" spans="92:175">
      <c r="CN308" s="36" t="str">
        <f t="shared" si="3874"/>
        <v>InitUnitState('',,,,,,,,,,)</v>
      </c>
      <c r="CO308" s="36" t="str">
        <f t="shared" si="3875"/>
        <v>InitUnitNormal('',,,,,,,,,,)</v>
      </c>
      <c r="CP308" s="36" t="str">
        <f t="shared" si="3876"/>
        <v>InitUnitMagic('',,,,,,,,,,)</v>
      </c>
      <c r="CQ308" s="36" t="str">
        <f t="shared" si="3877"/>
        <v>InitUnitAdd('',,,,,,,,,,)</v>
      </c>
      <c r="CR308" s="36" t="str">
        <f t="shared" si="3878"/>
        <v>InitEquipData('',,"",,,,,'','','','','','',"")</v>
      </c>
      <c r="CU308" s="19" t="str">
        <f t="shared" si="3950"/>
        <v>|n</v>
      </c>
      <c r="CW308" s="33"/>
      <c r="CX308" s="33"/>
      <c r="CY308" s="33"/>
      <c r="CZ308" s="33"/>
      <c r="DA308" s="33"/>
      <c r="DB308" s="66" t="str">
        <f t="shared" si="3880"/>
        <v/>
      </c>
      <c r="DC308" s="66" t="str">
        <f t="shared" si="3881"/>
        <v/>
      </c>
      <c r="DD308" s="66" t="str">
        <f t="shared" si="3882"/>
        <v/>
      </c>
      <c r="DE308" s="66" t="str">
        <f t="shared" si="3883"/>
        <v/>
      </c>
      <c r="DF308" s="66" t="str">
        <f t="shared" si="3884"/>
        <v/>
      </c>
      <c r="DG308" s="66" t="str">
        <f t="shared" si="3885"/>
        <v/>
      </c>
      <c r="DH308" s="66" t="str">
        <f t="shared" si="3886"/>
        <v/>
      </c>
      <c r="DI308" s="66" t="str">
        <f t="shared" si="3887"/>
        <v/>
      </c>
      <c r="DJ308" s="66" t="str">
        <f t="shared" si="3888"/>
        <v/>
      </c>
      <c r="DK308" s="66" t="str">
        <f t="shared" si="3889"/>
        <v/>
      </c>
      <c r="DL308" s="66" t="str">
        <f t="shared" si="3890"/>
        <v/>
      </c>
      <c r="DM308" s="66" t="str">
        <f t="shared" si="3891"/>
        <v/>
      </c>
      <c r="DN308" s="66" t="str">
        <f t="shared" si="3892"/>
        <v/>
      </c>
      <c r="DO308" s="66" t="str">
        <f t="shared" si="3893"/>
        <v/>
      </c>
      <c r="DP308" s="66" t="str">
        <f t="shared" si="3894"/>
        <v/>
      </c>
      <c r="DQ308" s="66" t="str">
        <f t="shared" si="3895"/>
        <v/>
      </c>
      <c r="DR308" s="66" t="str">
        <f t="shared" si="3896"/>
        <v/>
      </c>
      <c r="DS308" s="66" t="str">
        <f t="shared" si="3897"/>
        <v/>
      </c>
      <c r="DT308" s="66" t="str">
        <f t="shared" si="3898"/>
        <v/>
      </c>
      <c r="DU308" s="66" t="str">
        <f t="shared" si="3899"/>
        <v/>
      </c>
      <c r="DV308" s="66" t="str">
        <f t="shared" si="3900"/>
        <v/>
      </c>
      <c r="DW308" s="66" t="str">
        <f t="shared" si="3901"/>
        <v/>
      </c>
      <c r="DX308" s="66" t="str">
        <f t="shared" si="3902"/>
        <v/>
      </c>
      <c r="DY308" s="66" t="str">
        <f t="shared" si="3903"/>
        <v/>
      </c>
      <c r="DZ308" s="66" t="str">
        <f t="shared" si="3904"/>
        <v/>
      </c>
      <c r="EA308" s="66" t="str">
        <f t="shared" si="3905"/>
        <v/>
      </c>
      <c r="EB308" s="66" t="str">
        <f t="shared" si="3906"/>
        <v/>
      </c>
      <c r="EC308" s="66" t="str">
        <f t="shared" si="3907"/>
        <v/>
      </c>
      <c r="ED308" s="66" t="str">
        <f t="shared" si="3908"/>
        <v/>
      </c>
      <c r="EE308" s="66" t="str">
        <f t="shared" si="3909"/>
        <v/>
      </c>
      <c r="EF308" s="66" t="str">
        <f t="shared" si="3910"/>
        <v/>
      </c>
      <c r="EG308" s="66" t="str">
        <f t="shared" si="3911"/>
        <v/>
      </c>
      <c r="EH308" s="66" t="str">
        <f t="shared" si="3912"/>
        <v/>
      </c>
      <c r="EI308" s="66" t="str">
        <f t="shared" si="3913"/>
        <v/>
      </c>
      <c r="EJ308" s="66" t="str">
        <f t="shared" si="3914"/>
        <v/>
      </c>
      <c r="EK308" s="66" t="str">
        <f t="shared" si="3915"/>
        <v/>
      </c>
      <c r="EL308" s="66" t="str">
        <f t="shared" si="3916"/>
        <v/>
      </c>
      <c r="EM308" s="66" t="str">
        <f t="shared" si="3917"/>
        <v/>
      </c>
      <c r="EN308" s="66" t="str">
        <f t="shared" si="3918"/>
        <v/>
      </c>
      <c r="EO308" s="66" t="str">
        <f t="shared" si="3919"/>
        <v/>
      </c>
      <c r="EP308" s="66" t="str">
        <f t="shared" si="3920"/>
        <v/>
      </c>
      <c r="EQ308" s="66" t="str">
        <f t="shared" si="3921"/>
        <v/>
      </c>
      <c r="ER308" s="66" t="str">
        <f t="shared" si="3922"/>
        <v/>
      </c>
      <c r="ES308" s="66" t="str">
        <f t="shared" si="3923"/>
        <v/>
      </c>
      <c r="ET308" s="66" t="str">
        <f t="shared" si="3924"/>
        <v/>
      </c>
      <c r="EU308" s="66" t="str">
        <f t="shared" si="3925"/>
        <v/>
      </c>
      <c r="EV308" s="66" t="str">
        <f t="shared" si="3926"/>
        <v/>
      </c>
      <c r="EW308" s="66" t="str">
        <f t="shared" si="3927"/>
        <v/>
      </c>
      <c r="EX308" s="66" t="str">
        <f t="shared" si="3928"/>
        <v/>
      </c>
      <c r="EY308" s="66" t="str">
        <f t="shared" si="3929"/>
        <v/>
      </c>
      <c r="EZ308" s="66" t="str">
        <f t="shared" si="3930"/>
        <v/>
      </c>
      <c r="FA308" s="66" t="str">
        <f t="shared" si="3931"/>
        <v/>
      </c>
      <c r="FB308" s="66" t="str">
        <f t="shared" si="3932"/>
        <v/>
      </c>
      <c r="FC308" s="66" t="str">
        <f t="shared" si="3933"/>
        <v/>
      </c>
      <c r="FD308" s="66" t="str">
        <f t="shared" si="3934"/>
        <v/>
      </c>
      <c r="FE308" s="66" t="str">
        <f t="shared" si="3935"/>
        <v/>
      </c>
      <c r="FF308" s="66" t="str">
        <f t="shared" si="3936"/>
        <v/>
      </c>
      <c r="FG308" s="66" t="str">
        <f t="shared" si="3937"/>
        <v/>
      </c>
      <c r="FH308" s="66" t="str">
        <f t="shared" si="3938"/>
        <v/>
      </c>
      <c r="FI308" s="66" t="str">
        <f t="shared" si="3939"/>
        <v/>
      </c>
      <c r="FJ308" s="66" t="str">
        <f t="shared" si="3940"/>
        <v/>
      </c>
      <c r="FK308" s="66" t="str">
        <f t="shared" si="3941"/>
        <v/>
      </c>
      <c r="FL308" s="66" t="str">
        <f t="shared" si="3942"/>
        <v/>
      </c>
      <c r="FM308" s="66" t="str">
        <f t="shared" si="3943"/>
        <v/>
      </c>
      <c r="FN308" s="66" t="str">
        <f t="shared" si="3944"/>
        <v/>
      </c>
      <c r="FO308" s="66" t="str">
        <f t="shared" si="3945"/>
        <v/>
      </c>
      <c r="FP308" s="66" t="str">
        <f t="shared" si="3946"/>
        <v/>
      </c>
      <c r="FQ308" s="66" t="str">
        <f t="shared" si="3947"/>
        <v/>
      </c>
      <c r="FR308" s="66" t="str">
        <f t="shared" si="3948"/>
        <v/>
      </c>
      <c r="FS308" s="66" t="str">
        <f t="shared" si="3949"/>
        <v/>
      </c>
    </row>
    <row r="309" spans="92:175">
      <c r="CN309" s="36" t="str">
        <f t="shared" si="3874"/>
        <v>InitUnitState('',,,,,,,,,,)</v>
      </c>
      <c r="CO309" s="36" t="str">
        <f t="shared" si="3875"/>
        <v>InitUnitNormal('',,,,,,,,,,)</v>
      </c>
      <c r="CP309" s="36" t="str">
        <f t="shared" si="3876"/>
        <v>InitUnitMagic('',,,,,,,,,,)</v>
      </c>
      <c r="CQ309" s="36" t="str">
        <f t="shared" si="3877"/>
        <v>InitUnitAdd('',,,,,,,,,,)</v>
      </c>
      <c r="CR309" s="36" t="str">
        <f t="shared" si="3878"/>
        <v>InitEquipData('',,"",,,,,'','','','','','',"")</v>
      </c>
      <c r="CU309" s="19" t="str">
        <f t="shared" si="3950"/>
        <v>|n</v>
      </c>
      <c r="CW309" s="33"/>
      <c r="CX309" s="33"/>
      <c r="CY309" s="33"/>
      <c r="CZ309" s="33"/>
      <c r="DA309" s="33"/>
      <c r="DB309" s="66" t="str">
        <f t="shared" si="3880"/>
        <v/>
      </c>
      <c r="DC309" s="66" t="str">
        <f t="shared" si="3881"/>
        <v/>
      </c>
      <c r="DD309" s="66" t="str">
        <f t="shared" si="3882"/>
        <v/>
      </c>
      <c r="DE309" s="66" t="str">
        <f t="shared" si="3883"/>
        <v/>
      </c>
      <c r="DF309" s="66" t="str">
        <f t="shared" si="3884"/>
        <v/>
      </c>
      <c r="DG309" s="66" t="str">
        <f t="shared" si="3885"/>
        <v/>
      </c>
      <c r="DH309" s="66" t="str">
        <f t="shared" si="3886"/>
        <v/>
      </c>
      <c r="DI309" s="66" t="str">
        <f t="shared" si="3887"/>
        <v/>
      </c>
      <c r="DJ309" s="66" t="str">
        <f t="shared" si="3888"/>
        <v/>
      </c>
      <c r="DK309" s="66" t="str">
        <f t="shared" si="3889"/>
        <v/>
      </c>
      <c r="DL309" s="66" t="str">
        <f t="shared" si="3890"/>
        <v/>
      </c>
      <c r="DM309" s="66" t="str">
        <f t="shared" si="3891"/>
        <v/>
      </c>
      <c r="DN309" s="66" t="str">
        <f t="shared" si="3892"/>
        <v/>
      </c>
      <c r="DO309" s="66" t="str">
        <f t="shared" si="3893"/>
        <v/>
      </c>
      <c r="DP309" s="66" t="str">
        <f t="shared" si="3894"/>
        <v/>
      </c>
      <c r="DQ309" s="66" t="str">
        <f t="shared" si="3895"/>
        <v/>
      </c>
      <c r="DR309" s="66" t="str">
        <f t="shared" si="3896"/>
        <v/>
      </c>
      <c r="DS309" s="66" t="str">
        <f t="shared" si="3897"/>
        <v/>
      </c>
      <c r="DT309" s="66" t="str">
        <f t="shared" si="3898"/>
        <v/>
      </c>
      <c r="DU309" s="66" t="str">
        <f t="shared" si="3899"/>
        <v/>
      </c>
      <c r="DV309" s="66" t="str">
        <f t="shared" si="3900"/>
        <v/>
      </c>
      <c r="DW309" s="66" t="str">
        <f t="shared" si="3901"/>
        <v/>
      </c>
      <c r="DX309" s="66" t="str">
        <f t="shared" si="3902"/>
        <v/>
      </c>
      <c r="DY309" s="66" t="str">
        <f t="shared" si="3903"/>
        <v/>
      </c>
      <c r="DZ309" s="66" t="str">
        <f t="shared" si="3904"/>
        <v/>
      </c>
      <c r="EA309" s="66" t="str">
        <f t="shared" si="3905"/>
        <v/>
      </c>
      <c r="EB309" s="66" t="str">
        <f t="shared" si="3906"/>
        <v/>
      </c>
      <c r="EC309" s="66" t="str">
        <f t="shared" si="3907"/>
        <v/>
      </c>
      <c r="ED309" s="66" t="str">
        <f t="shared" si="3908"/>
        <v/>
      </c>
      <c r="EE309" s="66" t="str">
        <f t="shared" si="3909"/>
        <v/>
      </c>
      <c r="EF309" s="66" t="str">
        <f t="shared" si="3910"/>
        <v/>
      </c>
      <c r="EG309" s="66" t="str">
        <f t="shared" si="3911"/>
        <v/>
      </c>
      <c r="EH309" s="66" t="str">
        <f t="shared" si="3912"/>
        <v/>
      </c>
      <c r="EI309" s="66" t="str">
        <f t="shared" si="3913"/>
        <v/>
      </c>
      <c r="EJ309" s="66" t="str">
        <f t="shared" si="3914"/>
        <v/>
      </c>
      <c r="EK309" s="66" t="str">
        <f t="shared" si="3915"/>
        <v/>
      </c>
      <c r="EL309" s="66" t="str">
        <f t="shared" si="3916"/>
        <v/>
      </c>
      <c r="EM309" s="66" t="str">
        <f t="shared" si="3917"/>
        <v/>
      </c>
      <c r="EN309" s="66" t="str">
        <f t="shared" si="3918"/>
        <v/>
      </c>
      <c r="EO309" s="66" t="str">
        <f t="shared" si="3919"/>
        <v/>
      </c>
      <c r="EP309" s="66" t="str">
        <f t="shared" si="3920"/>
        <v/>
      </c>
      <c r="EQ309" s="66" t="str">
        <f t="shared" si="3921"/>
        <v/>
      </c>
      <c r="ER309" s="66" t="str">
        <f t="shared" si="3922"/>
        <v/>
      </c>
      <c r="ES309" s="66" t="str">
        <f t="shared" si="3923"/>
        <v/>
      </c>
      <c r="ET309" s="66" t="str">
        <f t="shared" si="3924"/>
        <v/>
      </c>
      <c r="EU309" s="66" t="str">
        <f t="shared" si="3925"/>
        <v/>
      </c>
      <c r="EV309" s="66" t="str">
        <f t="shared" si="3926"/>
        <v/>
      </c>
      <c r="EW309" s="66" t="str">
        <f t="shared" si="3927"/>
        <v/>
      </c>
      <c r="EX309" s="66" t="str">
        <f t="shared" si="3928"/>
        <v/>
      </c>
      <c r="EY309" s="66" t="str">
        <f t="shared" si="3929"/>
        <v/>
      </c>
      <c r="EZ309" s="66" t="str">
        <f t="shared" si="3930"/>
        <v/>
      </c>
      <c r="FA309" s="66" t="str">
        <f t="shared" si="3931"/>
        <v/>
      </c>
      <c r="FB309" s="66" t="str">
        <f t="shared" si="3932"/>
        <v/>
      </c>
      <c r="FC309" s="66" t="str">
        <f t="shared" si="3933"/>
        <v/>
      </c>
      <c r="FD309" s="66" t="str">
        <f t="shared" si="3934"/>
        <v/>
      </c>
      <c r="FE309" s="66" t="str">
        <f t="shared" si="3935"/>
        <v/>
      </c>
      <c r="FF309" s="66" t="str">
        <f t="shared" si="3936"/>
        <v/>
      </c>
      <c r="FG309" s="66" t="str">
        <f t="shared" si="3937"/>
        <v/>
      </c>
      <c r="FH309" s="66" t="str">
        <f t="shared" si="3938"/>
        <v/>
      </c>
      <c r="FI309" s="66" t="str">
        <f t="shared" si="3939"/>
        <v/>
      </c>
      <c r="FJ309" s="66" t="str">
        <f t="shared" si="3940"/>
        <v/>
      </c>
      <c r="FK309" s="66" t="str">
        <f t="shared" si="3941"/>
        <v/>
      </c>
      <c r="FL309" s="66" t="str">
        <f t="shared" si="3942"/>
        <v/>
      </c>
      <c r="FM309" s="66" t="str">
        <f t="shared" si="3943"/>
        <v/>
      </c>
      <c r="FN309" s="66" t="str">
        <f t="shared" si="3944"/>
        <v/>
      </c>
      <c r="FO309" s="66" t="str">
        <f t="shared" si="3945"/>
        <v/>
      </c>
      <c r="FP309" s="66" t="str">
        <f t="shared" si="3946"/>
        <v/>
      </c>
      <c r="FQ309" s="66" t="str">
        <f t="shared" si="3947"/>
        <v/>
      </c>
      <c r="FR309" s="66" t="str">
        <f t="shared" si="3948"/>
        <v/>
      </c>
      <c r="FS309" s="66" t="str">
        <f t="shared" si="3949"/>
        <v/>
      </c>
    </row>
    <row r="310" spans="92:175">
      <c r="CN310" s="36" t="str">
        <f t="shared" si="3874"/>
        <v>InitUnitState('',,,,,,,,,,)</v>
      </c>
      <c r="CO310" s="36" t="str">
        <f t="shared" si="3875"/>
        <v>InitUnitNormal('',,,,,,,,,,)</v>
      </c>
      <c r="CP310" s="36" t="str">
        <f t="shared" si="3876"/>
        <v>InitUnitMagic('',,,,,,,,,,)</v>
      </c>
      <c r="CQ310" s="36" t="str">
        <f t="shared" si="3877"/>
        <v>InitUnitAdd('',,,,,,,,,,)</v>
      </c>
      <c r="CR310" s="36" t="str">
        <f t="shared" si="3878"/>
        <v>InitEquipData('',,"",,,,,'','','','','','',"")</v>
      </c>
      <c r="CU310" s="19" t="str">
        <f t="shared" si="3950"/>
        <v>|n</v>
      </c>
      <c r="CW310" s="33"/>
      <c r="CX310" s="33"/>
      <c r="CY310" s="33"/>
      <c r="CZ310" s="33"/>
      <c r="DA310" s="33"/>
      <c r="DB310" s="66" t="str">
        <f t="shared" si="3880"/>
        <v/>
      </c>
      <c r="DC310" s="66" t="str">
        <f t="shared" si="3881"/>
        <v/>
      </c>
      <c r="DD310" s="66" t="str">
        <f t="shared" si="3882"/>
        <v/>
      </c>
      <c r="DE310" s="66" t="str">
        <f t="shared" si="3883"/>
        <v/>
      </c>
      <c r="DF310" s="66" t="str">
        <f t="shared" si="3884"/>
        <v/>
      </c>
      <c r="DG310" s="66" t="str">
        <f t="shared" si="3885"/>
        <v/>
      </c>
      <c r="DH310" s="66" t="str">
        <f t="shared" si="3886"/>
        <v/>
      </c>
      <c r="DI310" s="66" t="str">
        <f t="shared" si="3887"/>
        <v/>
      </c>
      <c r="DJ310" s="66" t="str">
        <f t="shared" si="3888"/>
        <v/>
      </c>
      <c r="DK310" s="66" t="str">
        <f t="shared" si="3889"/>
        <v/>
      </c>
      <c r="DL310" s="66" t="str">
        <f t="shared" si="3890"/>
        <v/>
      </c>
      <c r="DM310" s="66" t="str">
        <f t="shared" si="3891"/>
        <v/>
      </c>
      <c r="DN310" s="66" t="str">
        <f t="shared" si="3892"/>
        <v/>
      </c>
      <c r="DO310" s="66" t="str">
        <f t="shared" si="3893"/>
        <v/>
      </c>
      <c r="DP310" s="66" t="str">
        <f t="shared" si="3894"/>
        <v/>
      </c>
      <c r="DQ310" s="66" t="str">
        <f t="shared" si="3895"/>
        <v/>
      </c>
      <c r="DR310" s="66" t="str">
        <f t="shared" si="3896"/>
        <v/>
      </c>
      <c r="DS310" s="66" t="str">
        <f t="shared" si="3897"/>
        <v/>
      </c>
      <c r="DT310" s="66" t="str">
        <f t="shared" si="3898"/>
        <v/>
      </c>
      <c r="DU310" s="66" t="str">
        <f t="shared" si="3899"/>
        <v/>
      </c>
      <c r="DV310" s="66" t="str">
        <f t="shared" si="3900"/>
        <v/>
      </c>
      <c r="DW310" s="66" t="str">
        <f t="shared" si="3901"/>
        <v/>
      </c>
      <c r="DX310" s="66" t="str">
        <f t="shared" si="3902"/>
        <v/>
      </c>
      <c r="DY310" s="66" t="str">
        <f t="shared" si="3903"/>
        <v/>
      </c>
      <c r="DZ310" s="66" t="str">
        <f t="shared" si="3904"/>
        <v/>
      </c>
      <c r="EA310" s="66" t="str">
        <f t="shared" si="3905"/>
        <v/>
      </c>
      <c r="EB310" s="66" t="str">
        <f t="shared" si="3906"/>
        <v/>
      </c>
      <c r="EC310" s="66" t="str">
        <f t="shared" si="3907"/>
        <v/>
      </c>
      <c r="ED310" s="66" t="str">
        <f t="shared" si="3908"/>
        <v/>
      </c>
      <c r="EE310" s="66" t="str">
        <f t="shared" si="3909"/>
        <v/>
      </c>
      <c r="EF310" s="66" t="str">
        <f t="shared" si="3910"/>
        <v/>
      </c>
      <c r="EG310" s="66" t="str">
        <f t="shared" si="3911"/>
        <v/>
      </c>
      <c r="EH310" s="66" t="str">
        <f t="shared" si="3912"/>
        <v/>
      </c>
      <c r="EI310" s="66" t="str">
        <f t="shared" si="3913"/>
        <v/>
      </c>
      <c r="EJ310" s="66" t="str">
        <f t="shared" si="3914"/>
        <v/>
      </c>
      <c r="EK310" s="66" t="str">
        <f t="shared" si="3915"/>
        <v/>
      </c>
      <c r="EL310" s="66" t="str">
        <f t="shared" si="3916"/>
        <v/>
      </c>
      <c r="EM310" s="66" t="str">
        <f t="shared" si="3917"/>
        <v/>
      </c>
      <c r="EN310" s="66" t="str">
        <f t="shared" si="3918"/>
        <v/>
      </c>
      <c r="EO310" s="66" t="str">
        <f t="shared" si="3919"/>
        <v/>
      </c>
      <c r="EP310" s="66" t="str">
        <f t="shared" si="3920"/>
        <v/>
      </c>
      <c r="EQ310" s="66" t="str">
        <f t="shared" si="3921"/>
        <v/>
      </c>
      <c r="ER310" s="66" t="str">
        <f t="shared" si="3922"/>
        <v/>
      </c>
      <c r="ES310" s="66" t="str">
        <f t="shared" si="3923"/>
        <v/>
      </c>
      <c r="ET310" s="66" t="str">
        <f t="shared" si="3924"/>
        <v/>
      </c>
      <c r="EU310" s="66" t="str">
        <f t="shared" si="3925"/>
        <v/>
      </c>
      <c r="EV310" s="66" t="str">
        <f t="shared" si="3926"/>
        <v/>
      </c>
      <c r="EW310" s="66" t="str">
        <f t="shared" si="3927"/>
        <v/>
      </c>
      <c r="EX310" s="66" t="str">
        <f t="shared" si="3928"/>
        <v/>
      </c>
      <c r="EY310" s="66" t="str">
        <f t="shared" si="3929"/>
        <v/>
      </c>
      <c r="EZ310" s="66" t="str">
        <f t="shared" si="3930"/>
        <v/>
      </c>
      <c r="FA310" s="66" t="str">
        <f t="shared" si="3931"/>
        <v/>
      </c>
      <c r="FB310" s="66" t="str">
        <f t="shared" si="3932"/>
        <v/>
      </c>
      <c r="FC310" s="66" t="str">
        <f t="shared" si="3933"/>
        <v/>
      </c>
      <c r="FD310" s="66" t="str">
        <f t="shared" si="3934"/>
        <v/>
      </c>
      <c r="FE310" s="66" t="str">
        <f t="shared" si="3935"/>
        <v/>
      </c>
      <c r="FF310" s="66" t="str">
        <f t="shared" si="3936"/>
        <v/>
      </c>
      <c r="FG310" s="66" t="str">
        <f t="shared" si="3937"/>
        <v/>
      </c>
      <c r="FH310" s="66" t="str">
        <f t="shared" si="3938"/>
        <v/>
      </c>
      <c r="FI310" s="66" t="str">
        <f t="shared" si="3939"/>
        <v/>
      </c>
      <c r="FJ310" s="66" t="str">
        <f t="shared" si="3940"/>
        <v/>
      </c>
      <c r="FK310" s="66" t="str">
        <f t="shared" si="3941"/>
        <v/>
      </c>
      <c r="FL310" s="66" t="str">
        <f t="shared" si="3942"/>
        <v/>
      </c>
      <c r="FM310" s="66" t="str">
        <f t="shared" si="3943"/>
        <v/>
      </c>
      <c r="FN310" s="66" t="str">
        <f t="shared" si="3944"/>
        <v/>
      </c>
      <c r="FO310" s="66" t="str">
        <f t="shared" si="3945"/>
        <v/>
      </c>
      <c r="FP310" s="66" t="str">
        <f t="shared" si="3946"/>
        <v/>
      </c>
      <c r="FQ310" s="66" t="str">
        <f t="shared" si="3947"/>
        <v/>
      </c>
      <c r="FR310" s="66" t="str">
        <f t="shared" si="3948"/>
        <v/>
      </c>
      <c r="FS310" s="66" t="str">
        <f t="shared" si="3949"/>
        <v/>
      </c>
    </row>
    <row r="311" spans="92:175">
      <c r="CN311" s="36" t="str">
        <f t="shared" si="3874"/>
        <v>InitUnitState('',,,,,,,,,,)</v>
      </c>
      <c r="CO311" s="36" t="str">
        <f t="shared" si="3875"/>
        <v>InitUnitNormal('',,,,,,,,,,)</v>
      </c>
      <c r="CP311" s="36" t="str">
        <f t="shared" si="3876"/>
        <v>InitUnitMagic('',,,,,,,,,,)</v>
      </c>
      <c r="CQ311" s="36" t="str">
        <f t="shared" si="3877"/>
        <v>InitUnitAdd('',,,,,,,,,,)</v>
      </c>
      <c r="CR311" s="36" t="str">
        <f t="shared" si="3878"/>
        <v>InitEquipData('',,"",,,,,'','','','','','',"")</v>
      </c>
      <c r="CU311" s="19" t="str">
        <f t="shared" si="3950"/>
        <v>|n</v>
      </c>
      <c r="CW311" s="33"/>
      <c r="CX311" s="33"/>
      <c r="CY311" s="33"/>
      <c r="CZ311" s="33"/>
      <c r="DA311" s="33"/>
      <c r="DB311" s="66" t="str">
        <f t="shared" si="3880"/>
        <v/>
      </c>
      <c r="DC311" s="66" t="str">
        <f t="shared" si="3881"/>
        <v/>
      </c>
      <c r="DD311" s="66" t="str">
        <f t="shared" si="3882"/>
        <v/>
      </c>
      <c r="DE311" s="66" t="str">
        <f t="shared" si="3883"/>
        <v/>
      </c>
      <c r="DF311" s="66" t="str">
        <f t="shared" si="3884"/>
        <v/>
      </c>
      <c r="DG311" s="66" t="str">
        <f t="shared" si="3885"/>
        <v/>
      </c>
      <c r="DH311" s="66" t="str">
        <f t="shared" si="3886"/>
        <v/>
      </c>
      <c r="DI311" s="66" t="str">
        <f t="shared" si="3887"/>
        <v/>
      </c>
      <c r="DJ311" s="66" t="str">
        <f t="shared" si="3888"/>
        <v/>
      </c>
      <c r="DK311" s="66" t="str">
        <f t="shared" si="3889"/>
        <v/>
      </c>
      <c r="DL311" s="66" t="str">
        <f t="shared" si="3890"/>
        <v/>
      </c>
      <c r="DM311" s="66" t="str">
        <f t="shared" si="3891"/>
        <v/>
      </c>
      <c r="DN311" s="66" t="str">
        <f t="shared" si="3892"/>
        <v/>
      </c>
      <c r="DO311" s="66" t="str">
        <f t="shared" si="3893"/>
        <v/>
      </c>
      <c r="DP311" s="66" t="str">
        <f t="shared" si="3894"/>
        <v/>
      </c>
      <c r="DQ311" s="66" t="str">
        <f t="shared" si="3895"/>
        <v/>
      </c>
      <c r="DR311" s="66" t="str">
        <f t="shared" si="3896"/>
        <v/>
      </c>
      <c r="DS311" s="66" t="str">
        <f t="shared" si="3897"/>
        <v/>
      </c>
      <c r="DT311" s="66" t="str">
        <f t="shared" si="3898"/>
        <v/>
      </c>
      <c r="DU311" s="66" t="str">
        <f t="shared" si="3899"/>
        <v/>
      </c>
      <c r="DV311" s="66" t="str">
        <f t="shared" si="3900"/>
        <v/>
      </c>
      <c r="DW311" s="66" t="str">
        <f t="shared" si="3901"/>
        <v/>
      </c>
      <c r="DX311" s="66" t="str">
        <f t="shared" si="3902"/>
        <v/>
      </c>
      <c r="DY311" s="66" t="str">
        <f t="shared" si="3903"/>
        <v/>
      </c>
      <c r="DZ311" s="66" t="str">
        <f t="shared" si="3904"/>
        <v/>
      </c>
      <c r="EA311" s="66" t="str">
        <f t="shared" si="3905"/>
        <v/>
      </c>
      <c r="EB311" s="66" t="str">
        <f t="shared" si="3906"/>
        <v/>
      </c>
      <c r="EC311" s="66" t="str">
        <f t="shared" si="3907"/>
        <v/>
      </c>
      <c r="ED311" s="66" t="str">
        <f t="shared" si="3908"/>
        <v/>
      </c>
      <c r="EE311" s="66" t="str">
        <f t="shared" si="3909"/>
        <v/>
      </c>
      <c r="EF311" s="66" t="str">
        <f t="shared" si="3910"/>
        <v/>
      </c>
      <c r="EG311" s="66" t="str">
        <f t="shared" si="3911"/>
        <v/>
      </c>
      <c r="EH311" s="66" t="str">
        <f t="shared" si="3912"/>
        <v/>
      </c>
      <c r="EI311" s="66" t="str">
        <f t="shared" si="3913"/>
        <v/>
      </c>
      <c r="EJ311" s="66" t="str">
        <f t="shared" si="3914"/>
        <v/>
      </c>
      <c r="EK311" s="66" t="str">
        <f t="shared" si="3915"/>
        <v/>
      </c>
      <c r="EL311" s="66" t="str">
        <f t="shared" si="3916"/>
        <v/>
      </c>
      <c r="EM311" s="66" t="str">
        <f t="shared" si="3917"/>
        <v/>
      </c>
      <c r="EN311" s="66" t="str">
        <f t="shared" si="3918"/>
        <v/>
      </c>
      <c r="EO311" s="66" t="str">
        <f t="shared" si="3919"/>
        <v/>
      </c>
      <c r="EP311" s="66" t="str">
        <f t="shared" si="3920"/>
        <v/>
      </c>
      <c r="EQ311" s="66" t="str">
        <f t="shared" si="3921"/>
        <v/>
      </c>
      <c r="ER311" s="66" t="str">
        <f t="shared" si="3922"/>
        <v/>
      </c>
      <c r="ES311" s="66" t="str">
        <f t="shared" si="3923"/>
        <v/>
      </c>
      <c r="ET311" s="66" t="str">
        <f t="shared" si="3924"/>
        <v/>
      </c>
      <c r="EU311" s="66" t="str">
        <f t="shared" si="3925"/>
        <v/>
      </c>
      <c r="EV311" s="66" t="str">
        <f t="shared" si="3926"/>
        <v/>
      </c>
      <c r="EW311" s="66" t="str">
        <f t="shared" si="3927"/>
        <v/>
      </c>
      <c r="EX311" s="66" t="str">
        <f t="shared" si="3928"/>
        <v/>
      </c>
      <c r="EY311" s="66" t="str">
        <f t="shared" si="3929"/>
        <v/>
      </c>
      <c r="EZ311" s="66" t="str">
        <f t="shared" si="3930"/>
        <v/>
      </c>
      <c r="FA311" s="66" t="str">
        <f t="shared" si="3931"/>
        <v/>
      </c>
      <c r="FB311" s="66" t="str">
        <f t="shared" si="3932"/>
        <v/>
      </c>
      <c r="FC311" s="66" t="str">
        <f t="shared" si="3933"/>
        <v/>
      </c>
      <c r="FD311" s="66" t="str">
        <f t="shared" si="3934"/>
        <v/>
      </c>
      <c r="FE311" s="66" t="str">
        <f t="shared" si="3935"/>
        <v/>
      </c>
      <c r="FF311" s="66" t="str">
        <f t="shared" si="3936"/>
        <v/>
      </c>
      <c r="FG311" s="66" t="str">
        <f t="shared" si="3937"/>
        <v/>
      </c>
      <c r="FH311" s="66" t="str">
        <f t="shared" si="3938"/>
        <v/>
      </c>
      <c r="FI311" s="66" t="str">
        <f t="shared" si="3939"/>
        <v/>
      </c>
      <c r="FJ311" s="66" t="str">
        <f t="shared" si="3940"/>
        <v/>
      </c>
      <c r="FK311" s="66" t="str">
        <f t="shared" si="3941"/>
        <v/>
      </c>
      <c r="FL311" s="66" t="str">
        <f t="shared" si="3942"/>
        <v/>
      </c>
      <c r="FM311" s="66" t="str">
        <f t="shared" si="3943"/>
        <v/>
      </c>
      <c r="FN311" s="66" t="str">
        <f t="shared" si="3944"/>
        <v/>
      </c>
      <c r="FO311" s="66" t="str">
        <f t="shared" si="3945"/>
        <v/>
      </c>
      <c r="FP311" s="66" t="str">
        <f t="shared" si="3946"/>
        <v/>
      </c>
      <c r="FQ311" s="66" t="str">
        <f t="shared" si="3947"/>
        <v/>
      </c>
      <c r="FR311" s="66" t="str">
        <f t="shared" si="3948"/>
        <v/>
      </c>
      <c r="FS311" s="66" t="str">
        <f t="shared" si="3949"/>
        <v/>
      </c>
    </row>
    <row r="312" spans="92:175">
      <c r="CN312" s="36" t="str">
        <f t="shared" si="3874"/>
        <v>InitUnitState('',,,,,,,,,,)</v>
      </c>
      <c r="CO312" s="36" t="str">
        <f t="shared" si="3875"/>
        <v>InitUnitNormal('',,,,,,,,,,)</v>
      </c>
      <c r="CP312" s="36" t="str">
        <f t="shared" si="3876"/>
        <v>InitUnitMagic('',,,,,,,,,,)</v>
      </c>
      <c r="CQ312" s="36" t="str">
        <f t="shared" si="3877"/>
        <v>InitUnitAdd('',,,,,,,,,,)</v>
      </c>
      <c r="CR312" s="36" t="str">
        <f t="shared" si="3878"/>
        <v>InitEquipData('',,"",,,,,'','','','','','',"")</v>
      </c>
      <c r="CU312" s="19" t="str">
        <f t="shared" si="3950"/>
        <v>|n</v>
      </c>
      <c r="CW312" s="33"/>
      <c r="CX312" s="33"/>
      <c r="CY312" s="33"/>
      <c r="CZ312" s="33"/>
      <c r="DA312" s="33"/>
      <c r="DB312" s="66" t="str">
        <f t="shared" si="3880"/>
        <v/>
      </c>
      <c r="DC312" s="66" t="str">
        <f t="shared" si="3881"/>
        <v/>
      </c>
      <c r="DD312" s="66" t="str">
        <f t="shared" si="3882"/>
        <v/>
      </c>
      <c r="DE312" s="66" t="str">
        <f t="shared" si="3883"/>
        <v/>
      </c>
      <c r="DF312" s="66" t="str">
        <f t="shared" si="3884"/>
        <v/>
      </c>
      <c r="DG312" s="66" t="str">
        <f t="shared" si="3885"/>
        <v/>
      </c>
      <c r="DH312" s="66" t="str">
        <f t="shared" si="3886"/>
        <v/>
      </c>
      <c r="DI312" s="66" t="str">
        <f t="shared" si="3887"/>
        <v/>
      </c>
      <c r="DJ312" s="66" t="str">
        <f t="shared" si="3888"/>
        <v/>
      </c>
      <c r="DK312" s="66" t="str">
        <f t="shared" si="3889"/>
        <v/>
      </c>
      <c r="DL312" s="66" t="str">
        <f t="shared" si="3890"/>
        <v/>
      </c>
      <c r="DM312" s="66" t="str">
        <f t="shared" si="3891"/>
        <v/>
      </c>
      <c r="DN312" s="66" t="str">
        <f t="shared" si="3892"/>
        <v/>
      </c>
      <c r="DO312" s="66" t="str">
        <f t="shared" si="3893"/>
        <v/>
      </c>
      <c r="DP312" s="66" t="str">
        <f t="shared" si="3894"/>
        <v/>
      </c>
      <c r="DQ312" s="66" t="str">
        <f t="shared" si="3895"/>
        <v/>
      </c>
      <c r="DR312" s="66" t="str">
        <f t="shared" si="3896"/>
        <v/>
      </c>
      <c r="DS312" s="66" t="str">
        <f t="shared" si="3897"/>
        <v/>
      </c>
      <c r="DT312" s="66" t="str">
        <f t="shared" si="3898"/>
        <v/>
      </c>
      <c r="DU312" s="66" t="str">
        <f t="shared" si="3899"/>
        <v/>
      </c>
      <c r="DV312" s="66" t="str">
        <f t="shared" si="3900"/>
        <v/>
      </c>
      <c r="DW312" s="66" t="str">
        <f t="shared" si="3901"/>
        <v/>
      </c>
      <c r="DX312" s="66" t="str">
        <f t="shared" si="3902"/>
        <v/>
      </c>
      <c r="DY312" s="66" t="str">
        <f t="shared" si="3903"/>
        <v/>
      </c>
      <c r="DZ312" s="66" t="str">
        <f t="shared" si="3904"/>
        <v/>
      </c>
      <c r="EA312" s="66" t="str">
        <f t="shared" si="3905"/>
        <v/>
      </c>
      <c r="EB312" s="66" t="str">
        <f t="shared" si="3906"/>
        <v/>
      </c>
      <c r="EC312" s="66" t="str">
        <f t="shared" si="3907"/>
        <v/>
      </c>
      <c r="ED312" s="66" t="str">
        <f t="shared" si="3908"/>
        <v/>
      </c>
      <c r="EE312" s="66" t="str">
        <f t="shared" si="3909"/>
        <v/>
      </c>
      <c r="EF312" s="66" t="str">
        <f t="shared" si="3910"/>
        <v/>
      </c>
      <c r="EG312" s="66" t="str">
        <f t="shared" si="3911"/>
        <v/>
      </c>
      <c r="EH312" s="66" t="str">
        <f t="shared" si="3912"/>
        <v/>
      </c>
      <c r="EI312" s="66" t="str">
        <f t="shared" si="3913"/>
        <v/>
      </c>
      <c r="EJ312" s="66" t="str">
        <f t="shared" si="3914"/>
        <v/>
      </c>
      <c r="EK312" s="66" t="str">
        <f t="shared" si="3915"/>
        <v/>
      </c>
      <c r="EL312" s="66" t="str">
        <f t="shared" si="3916"/>
        <v/>
      </c>
      <c r="EM312" s="66" t="str">
        <f t="shared" si="3917"/>
        <v/>
      </c>
      <c r="EN312" s="66" t="str">
        <f t="shared" si="3918"/>
        <v/>
      </c>
      <c r="EO312" s="66" t="str">
        <f t="shared" si="3919"/>
        <v/>
      </c>
      <c r="EP312" s="66" t="str">
        <f t="shared" si="3920"/>
        <v/>
      </c>
      <c r="EQ312" s="66" t="str">
        <f t="shared" si="3921"/>
        <v/>
      </c>
      <c r="ER312" s="66" t="str">
        <f t="shared" si="3922"/>
        <v/>
      </c>
      <c r="ES312" s="66" t="str">
        <f t="shared" si="3923"/>
        <v/>
      </c>
      <c r="ET312" s="66" t="str">
        <f t="shared" si="3924"/>
        <v/>
      </c>
      <c r="EU312" s="66" t="str">
        <f t="shared" si="3925"/>
        <v/>
      </c>
      <c r="EV312" s="66" t="str">
        <f t="shared" si="3926"/>
        <v/>
      </c>
      <c r="EW312" s="66" t="str">
        <f t="shared" si="3927"/>
        <v/>
      </c>
      <c r="EX312" s="66" t="str">
        <f t="shared" si="3928"/>
        <v/>
      </c>
      <c r="EY312" s="66" t="str">
        <f t="shared" si="3929"/>
        <v/>
      </c>
      <c r="EZ312" s="66" t="str">
        <f t="shared" si="3930"/>
        <v/>
      </c>
      <c r="FA312" s="66" t="str">
        <f t="shared" si="3931"/>
        <v/>
      </c>
      <c r="FB312" s="66" t="str">
        <f t="shared" si="3932"/>
        <v/>
      </c>
      <c r="FC312" s="66" t="str">
        <f t="shared" si="3933"/>
        <v/>
      </c>
      <c r="FD312" s="66" t="str">
        <f t="shared" si="3934"/>
        <v/>
      </c>
      <c r="FE312" s="66" t="str">
        <f t="shared" si="3935"/>
        <v/>
      </c>
      <c r="FF312" s="66" t="str">
        <f t="shared" si="3936"/>
        <v/>
      </c>
      <c r="FG312" s="66" t="str">
        <f t="shared" si="3937"/>
        <v/>
      </c>
      <c r="FH312" s="66" t="str">
        <f t="shared" si="3938"/>
        <v/>
      </c>
      <c r="FI312" s="66" t="str">
        <f t="shared" si="3939"/>
        <v/>
      </c>
      <c r="FJ312" s="66" t="str">
        <f t="shared" si="3940"/>
        <v/>
      </c>
      <c r="FK312" s="66" t="str">
        <f t="shared" si="3941"/>
        <v/>
      </c>
      <c r="FL312" s="66" t="str">
        <f t="shared" si="3942"/>
        <v/>
      </c>
      <c r="FM312" s="66" t="str">
        <f t="shared" si="3943"/>
        <v/>
      </c>
      <c r="FN312" s="66" t="str">
        <f t="shared" si="3944"/>
        <v/>
      </c>
      <c r="FO312" s="66" t="str">
        <f t="shared" si="3945"/>
        <v/>
      </c>
      <c r="FP312" s="66" t="str">
        <f t="shared" si="3946"/>
        <v/>
      </c>
      <c r="FQ312" s="66" t="str">
        <f t="shared" si="3947"/>
        <v/>
      </c>
      <c r="FR312" s="66" t="str">
        <f t="shared" si="3948"/>
        <v/>
      </c>
      <c r="FS312" s="66" t="str">
        <f t="shared" si="3949"/>
        <v/>
      </c>
    </row>
    <row r="313" spans="92:175">
      <c r="CN313" s="36" t="str">
        <f t="shared" si="3874"/>
        <v>InitUnitState('',,,,,,,,,,)</v>
      </c>
      <c r="CO313" s="36" t="str">
        <f t="shared" si="3875"/>
        <v>InitUnitNormal('',,,,,,,,,,)</v>
      </c>
      <c r="CP313" s="36" t="str">
        <f t="shared" si="3876"/>
        <v>InitUnitMagic('',,,,,,,,,,)</v>
      </c>
      <c r="CQ313" s="36" t="str">
        <f t="shared" si="3877"/>
        <v>InitUnitAdd('',,,,,,,,,,)</v>
      </c>
      <c r="CR313" s="36" t="str">
        <f t="shared" si="3878"/>
        <v>InitEquipData('',,"",,,,,'','','','','','',"")</v>
      </c>
      <c r="CU313" s="19" t="str">
        <f t="shared" si="3950"/>
        <v>|n</v>
      </c>
      <c r="CW313" s="33"/>
      <c r="CX313" s="33"/>
      <c r="CY313" s="33"/>
      <c r="CZ313" s="33"/>
      <c r="DA313" s="33"/>
      <c r="DB313" s="66" t="str">
        <f t="shared" si="3880"/>
        <v/>
      </c>
      <c r="DC313" s="66" t="str">
        <f t="shared" si="3881"/>
        <v/>
      </c>
      <c r="DD313" s="66" t="str">
        <f t="shared" si="3882"/>
        <v/>
      </c>
      <c r="DE313" s="66" t="str">
        <f t="shared" si="3883"/>
        <v/>
      </c>
      <c r="DF313" s="66" t="str">
        <f t="shared" si="3884"/>
        <v/>
      </c>
      <c r="DG313" s="66" t="str">
        <f t="shared" si="3885"/>
        <v/>
      </c>
      <c r="DH313" s="66" t="str">
        <f t="shared" si="3886"/>
        <v/>
      </c>
      <c r="DI313" s="66" t="str">
        <f t="shared" si="3887"/>
        <v/>
      </c>
      <c r="DJ313" s="66" t="str">
        <f t="shared" si="3888"/>
        <v/>
      </c>
      <c r="DK313" s="66" t="str">
        <f t="shared" si="3889"/>
        <v/>
      </c>
      <c r="DL313" s="66" t="str">
        <f t="shared" si="3890"/>
        <v/>
      </c>
      <c r="DM313" s="66" t="str">
        <f t="shared" si="3891"/>
        <v/>
      </c>
      <c r="DN313" s="66" t="str">
        <f t="shared" si="3892"/>
        <v/>
      </c>
      <c r="DO313" s="66" t="str">
        <f t="shared" si="3893"/>
        <v/>
      </c>
      <c r="DP313" s="66" t="str">
        <f t="shared" si="3894"/>
        <v/>
      </c>
      <c r="DQ313" s="66" t="str">
        <f t="shared" si="3895"/>
        <v/>
      </c>
      <c r="DR313" s="66" t="str">
        <f t="shared" si="3896"/>
        <v/>
      </c>
      <c r="DS313" s="66" t="str">
        <f t="shared" si="3897"/>
        <v/>
      </c>
      <c r="DT313" s="66" t="str">
        <f t="shared" si="3898"/>
        <v/>
      </c>
      <c r="DU313" s="66" t="str">
        <f t="shared" si="3899"/>
        <v/>
      </c>
      <c r="DV313" s="66" t="str">
        <f t="shared" si="3900"/>
        <v/>
      </c>
      <c r="DW313" s="66" t="str">
        <f t="shared" si="3901"/>
        <v/>
      </c>
      <c r="DX313" s="66" t="str">
        <f t="shared" si="3902"/>
        <v/>
      </c>
      <c r="DY313" s="66" t="str">
        <f t="shared" si="3903"/>
        <v/>
      </c>
      <c r="DZ313" s="66" t="str">
        <f t="shared" si="3904"/>
        <v/>
      </c>
      <c r="EA313" s="66" t="str">
        <f t="shared" si="3905"/>
        <v/>
      </c>
      <c r="EB313" s="66" t="str">
        <f t="shared" si="3906"/>
        <v/>
      </c>
      <c r="EC313" s="66" t="str">
        <f t="shared" si="3907"/>
        <v/>
      </c>
      <c r="ED313" s="66" t="str">
        <f t="shared" si="3908"/>
        <v/>
      </c>
      <c r="EE313" s="66" t="str">
        <f t="shared" si="3909"/>
        <v/>
      </c>
      <c r="EF313" s="66" t="str">
        <f t="shared" si="3910"/>
        <v/>
      </c>
      <c r="EG313" s="66" t="str">
        <f t="shared" si="3911"/>
        <v/>
      </c>
      <c r="EH313" s="66" t="str">
        <f t="shared" si="3912"/>
        <v/>
      </c>
      <c r="EI313" s="66" t="str">
        <f t="shared" si="3913"/>
        <v/>
      </c>
      <c r="EJ313" s="66" t="str">
        <f t="shared" si="3914"/>
        <v/>
      </c>
      <c r="EK313" s="66" t="str">
        <f t="shared" si="3915"/>
        <v/>
      </c>
      <c r="EL313" s="66" t="str">
        <f t="shared" si="3916"/>
        <v/>
      </c>
      <c r="EM313" s="66" t="str">
        <f t="shared" si="3917"/>
        <v/>
      </c>
      <c r="EN313" s="66" t="str">
        <f t="shared" si="3918"/>
        <v/>
      </c>
      <c r="EO313" s="66" t="str">
        <f t="shared" si="3919"/>
        <v/>
      </c>
      <c r="EP313" s="66" t="str">
        <f t="shared" si="3920"/>
        <v/>
      </c>
      <c r="EQ313" s="66" t="str">
        <f t="shared" si="3921"/>
        <v/>
      </c>
      <c r="ER313" s="66" t="str">
        <f t="shared" si="3922"/>
        <v/>
      </c>
      <c r="ES313" s="66" t="str">
        <f t="shared" si="3923"/>
        <v/>
      </c>
      <c r="ET313" s="66" t="str">
        <f t="shared" si="3924"/>
        <v/>
      </c>
      <c r="EU313" s="66" t="str">
        <f t="shared" si="3925"/>
        <v/>
      </c>
      <c r="EV313" s="66" t="str">
        <f t="shared" si="3926"/>
        <v/>
      </c>
      <c r="EW313" s="66" t="str">
        <f t="shared" si="3927"/>
        <v/>
      </c>
      <c r="EX313" s="66" t="str">
        <f t="shared" si="3928"/>
        <v/>
      </c>
      <c r="EY313" s="66" t="str">
        <f t="shared" si="3929"/>
        <v/>
      </c>
      <c r="EZ313" s="66" t="str">
        <f t="shared" si="3930"/>
        <v/>
      </c>
      <c r="FA313" s="66" t="str">
        <f t="shared" si="3931"/>
        <v/>
      </c>
      <c r="FB313" s="66" t="str">
        <f t="shared" si="3932"/>
        <v/>
      </c>
      <c r="FC313" s="66" t="str">
        <f t="shared" si="3933"/>
        <v/>
      </c>
      <c r="FD313" s="66" t="str">
        <f t="shared" si="3934"/>
        <v/>
      </c>
      <c r="FE313" s="66" t="str">
        <f t="shared" si="3935"/>
        <v/>
      </c>
      <c r="FF313" s="66" t="str">
        <f t="shared" si="3936"/>
        <v/>
      </c>
      <c r="FG313" s="66" t="str">
        <f t="shared" si="3937"/>
        <v/>
      </c>
      <c r="FH313" s="66" t="str">
        <f t="shared" si="3938"/>
        <v/>
      </c>
      <c r="FI313" s="66" t="str">
        <f t="shared" si="3939"/>
        <v/>
      </c>
      <c r="FJ313" s="66" t="str">
        <f t="shared" si="3940"/>
        <v/>
      </c>
      <c r="FK313" s="66" t="str">
        <f t="shared" si="3941"/>
        <v/>
      </c>
      <c r="FL313" s="66" t="str">
        <f t="shared" si="3942"/>
        <v/>
      </c>
      <c r="FM313" s="66" t="str">
        <f t="shared" si="3943"/>
        <v/>
      </c>
      <c r="FN313" s="66" t="str">
        <f t="shared" si="3944"/>
        <v/>
      </c>
      <c r="FO313" s="66" t="str">
        <f t="shared" si="3945"/>
        <v/>
      </c>
      <c r="FP313" s="66" t="str">
        <f t="shared" si="3946"/>
        <v/>
      </c>
      <c r="FQ313" s="66" t="str">
        <f t="shared" si="3947"/>
        <v/>
      </c>
      <c r="FR313" s="66" t="str">
        <f t="shared" si="3948"/>
        <v/>
      </c>
      <c r="FS313" s="66" t="str">
        <f t="shared" si="3949"/>
        <v/>
      </c>
    </row>
    <row r="314" spans="92:175">
      <c r="CN314" s="36" t="str">
        <f t="shared" si="3874"/>
        <v>InitUnitState('',,,,,,,,,,)</v>
      </c>
      <c r="CO314" s="36" t="str">
        <f t="shared" si="3875"/>
        <v>InitUnitNormal('',,,,,,,,,,)</v>
      </c>
      <c r="CP314" s="36" t="str">
        <f t="shared" si="3876"/>
        <v>InitUnitMagic('',,,,,,,,,,)</v>
      </c>
      <c r="CQ314" s="36" t="str">
        <f t="shared" si="3877"/>
        <v>InitUnitAdd('',,,,,,,,,,)</v>
      </c>
      <c r="CR314" s="36" t="str">
        <f t="shared" si="3878"/>
        <v>InitEquipData('',,"",,,,,'','','','','','',"")</v>
      </c>
      <c r="CU314" s="19" t="str">
        <f t="shared" si="3950"/>
        <v>|n</v>
      </c>
      <c r="CW314" s="33"/>
      <c r="CX314" s="33"/>
      <c r="CY314" s="33"/>
      <c r="CZ314" s="33"/>
      <c r="DA314" s="33"/>
      <c r="DB314" s="66" t="str">
        <f t="shared" si="3880"/>
        <v/>
      </c>
      <c r="DC314" s="66" t="str">
        <f t="shared" si="3881"/>
        <v/>
      </c>
      <c r="DD314" s="66" t="str">
        <f t="shared" si="3882"/>
        <v/>
      </c>
      <c r="DE314" s="66" t="str">
        <f t="shared" si="3883"/>
        <v/>
      </c>
      <c r="DF314" s="66" t="str">
        <f t="shared" si="3884"/>
        <v/>
      </c>
      <c r="DG314" s="66" t="str">
        <f t="shared" si="3885"/>
        <v/>
      </c>
      <c r="DH314" s="66" t="str">
        <f t="shared" si="3886"/>
        <v/>
      </c>
      <c r="DI314" s="66" t="str">
        <f t="shared" si="3887"/>
        <v/>
      </c>
      <c r="DJ314" s="66" t="str">
        <f t="shared" si="3888"/>
        <v/>
      </c>
      <c r="DK314" s="66" t="str">
        <f t="shared" si="3889"/>
        <v/>
      </c>
      <c r="DL314" s="66" t="str">
        <f t="shared" si="3890"/>
        <v/>
      </c>
      <c r="DM314" s="66" t="str">
        <f t="shared" si="3891"/>
        <v/>
      </c>
      <c r="DN314" s="66" t="str">
        <f t="shared" si="3892"/>
        <v/>
      </c>
      <c r="DO314" s="66" t="str">
        <f t="shared" si="3893"/>
        <v/>
      </c>
      <c r="DP314" s="66" t="str">
        <f t="shared" si="3894"/>
        <v/>
      </c>
      <c r="DQ314" s="66" t="str">
        <f t="shared" si="3895"/>
        <v/>
      </c>
      <c r="DR314" s="66" t="str">
        <f t="shared" si="3896"/>
        <v/>
      </c>
      <c r="DS314" s="66" t="str">
        <f t="shared" si="3897"/>
        <v/>
      </c>
      <c r="DT314" s="66" t="str">
        <f t="shared" si="3898"/>
        <v/>
      </c>
      <c r="DU314" s="66" t="str">
        <f t="shared" si="3899"/>
        <v/>
      </c>
      <c r="DV314" s="66" t="str">
        <f t="shared" si="3900"/>
        <v/>
      </c>
      <c r="DW314" s="66" t="str">
        <f t="shared" si="3901"/>
        <v/>
      </c>
      <c r="DX314" s="66" t="str">
        <f t="shared" si="3902"/>
        <v/>
      </c>
      <c r="DY314" s="66" t="str">
        <f t="shared" si="3903"/>
        <v/>
      </c>
      <c r="DZ314" s="66" t="str">
        <f t="shared" si="3904"/>
        <v/>
      </c>
      <c r="EA314" s="66" t="str">
        <f t="shared" si="3905"/>
        <v/>
      </c>
      <c r="EB314" s="66" t="str">
        <f t="shared" si="3906"/>
        <v/>
      </c>
      <c r="EC314" s="66" t="str">
        <f t="shared" si="3907"/>
        <v/>
      </c>
      <c r="ED314" s="66" t="str">
        <f t="shared" si="3908"/>
        <v/>
      </c>
      <c r="EE314" s="66" t="str">
        <f t="shared" si="3909"/>
        <v/>
      </c>
      <c r="EF314" s="66" t="str">
        <f t="shared" si="3910"/>
        <v/>
      </c>
      <c r="EG314" s="66" t="str">
        <f t="shared" si="3911"/>
        <v/>
      </c>
      <c r="EH314" s="66" t="str">
        <f t="shared" si="3912"/>
        <v/>
      </c>
      <c r="EI314" s="66" t="str">
        <f t="shared" si="3913"/>
        <v/>
      </c>
      <c r="EJ314" s="66" t="str">
        <f t="shared" si="3914"/>
        <v/>
      </c>
      <c r="EK314" s="66" t="str">
        <f t="shared" si="3915"/>
        <v/>
      </c>
      <c r="EL314" s="66" t="str">
        <f t="shared" si="3916"/>
        <v/>
      </c>
      <c r="EM314" s="66" t="str">
        <f t="shared" si="3917"/>
        <v/>
      </c>
      <c r="EN314" s="66" t="str">
        <f t="shared" si="3918"/>
        <v/>
      </c>
      <c r="EO314" s="66" t="str">
        <f t="shared" si="3919"/>
        <v/>
      </c>
      <c r="EP314" s="66" t="str">
        <f t="shared" si="3920"/>
        <v/>
      </c>
      <c r="EQ314" s="66" t="str">
        <f t="shared" si="3921"/>
        <v/>
      </c>
      <c r="ER314" s="66" t="str">
        <f t="shared" si="3922"/>
        <v/>
      </c>
      <c r="ES314" s="66" t="str">
        <f t="shared" si="3923"/>
        <v/>
      </c>
      <c r="ET314" s="66" t="str">
        <f t="shared" si="3924"/>
        <v/>
      </c>
      <c r="EU314" s="66" t="str">
        <f t="shared" si="3925"/>
        <v/>
      </c>
      <c r="EV314" s="66" t="str">
        <f t="shared" si="3926"/>
        <v/>
      </c>
      <c r="EW314" s="66" t="str">
        <f t="shared" si="3927"/>
        <v/>
      </c>
      <c r="EX314" s="66" t="str">
        <f t="shared" si="3928"/>
        <v/>
      </c>
      <c r="EY314" s="66" t="str">
        <f t="shared" si="3929"/>
        <v/>
      </c>
      <c r="EZ314" s="66" t="str">
        <f t="shared" si="3930"/>
        <v/>
      </c>
      <c r="FA314" s="66" t="str">
        <f t="shared" si="3931"/>
        <v/>
      </c>
      <c r="FB314" s="66" t="str">
        <f t="shared" si="3932"/>
        <v/>
      </c>
      <c r="FC314" s="66" t="str">
        <f t="shared" si="3933"/>
        <v/>
      </c>
      <c r="FD314" s="66" t="str">
        <f t="shared" si="3934"/>
        <v/>
      </c>
      <c r="FE314" s="66" t="str">
        <f t="shared" si="3935"/>
        <v/>
      </c>
      <c r="FF314" s="66" t="str">
        <f t="shared" si="3936"/>
        <v/>
      </c>
      <c r="FG314" s="66" t="str">
        <f t="shared" si="3937"/>
        <v/>
      </c>
      <c r="FH314" s="66" t="str">
        <f t="shared" si="3938"/>
        <v/>
      </c>
      <c r="FI314" s="66" t="str">
        <f t="shared" si="3939"/>
        <v/>
      </c>
      <c r="FJ314" s="66" t="str">
        <f t="shared" si="3940"/>
        <v/>
      </c>
      <c r="FK314" s="66" t="str">
        <f t="shared" si="3941"/>
        <v/>
      </c>
      <c r="FL314" s="66" t="str">
        <f t="shared" si="3942"/>
        <v/>
      </c>
      <c r="FM314" s="66" t="str">
        <f t="shared" si="3943"/>
        <v/>
      </c>
      <c r="FN314" s="66" t="str">
        <f t="shared" si="3944"/>
        <v/>
      </c>
      <c r="FO314" s="66" t="str">
        <f t="shared" si="3945"/>
        <v/>
      </c>
      <c r="FP314" s="66" t="str">
        <f t="shared" si="3946"/>
        <v/>
      </c>
      <c r="FQ314" s="66" t="str">
        <f t="shared" si="3947"/>
        <v/>
      </c>
      <c r="FR314" s="66" t="str">
        <f t="shared" si="3948"/>
        <v/>
      </c>
      <c r="FS314" s="66" t="str">
        <f t="shared" si="3949"/>
        <v/>
      </c>
    </row>
    <row r="315" spans="92:175">
      <c r="CN315" s="36" t="str">
        <f t="shared" si="3874"/>
        <v>InitUnitState('',,,,,,,,,,)</v>
      </c>
      <c r="CO315" s="36" t="str">
        <f t="shared" si="3875"/>
        <v>InitUnitNormal('',,,,,,,,,,)</v>
      </c>
      <c r="CP315" s="36" t="str">
        <f t="shared" si="3876"/>
        <v>InitUnitMagic('',,,,,,,,,,)</v>
      </c>
      <c r="CQ315" s="36" t="str">
        <f t="shared" si="3877"/>
        <v>InitUnitAdd('',,,,,,,,,,)</v>
      </c>
      <c r="CR315" s="36" t="str">
        <f t="shared" si="3878"/>
        <v>InitEquipData('',,"",,,,,'','','','','','',"")</v>
      </c>
      <c r="CU315" s="19" t="str">
        <f t="shared" si="3950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75">
      <c r="CN316" s="36" t="str">
        <f t="shared" si="3874"/>
        <v>InitUnitState('',,,,,,,,,,)</v>
      </c>
      <c r="CO316" s="36" t="str">
        <f t="shared" si="3875"/>
        <v>InitUnitNormal('',,,,,,,,,,)</v>
      </c>
      <c r="CP316" s="36" t="str">
        <f t="shared" si="3876"/>
        <v>InitUnitMagic('',,,,,,,,,,)</v>
      </c>
      <c r="CQ316" s="36" t="str">
        <f t="shared" si="3877"/>
        <v>InitUnitAdd('',,,,,,,,,,)</v>
      </c>
      <c r="CR316" s="36" t="str">
        <f t="shared" si="3878"/>
        <v>InitEquipData('',,"",,,,,'','','','','','',"")</v>
      </c>
      <c r="CU316" s="19" t="str">
        <f t="shared" si="3950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75">
      <c r="CN317" s="36" t="str">
        <f t="shared" si="3874"/>
        <v>InitUnitState('',,,,,,,,,,)</v>
      </c>
      <c r="CO317" s="36" t="str">
        <f t="shared" si="3875"/>
        <v>InitUnitNormal('',,,,,,,,,,)</v>
      </c>
      <c r="CP317" s="36" t="str">
        <f t="shared" si="3876"/>
        <v>InitUnitMagic('',,,,,,,,,,)</v>
      </c>
      <c r="CQ317" s="36" t="str">
        <f t="shared" si="3877"/>
        <v>InitUnitAdd('',,,,,,,,,,)</v>
      </c>
      <c r="CR317" s="36" t="str">
        <f t="shared" si="3878"/>
        <v>InitEquipData('',,"",,,,,'','','','','','',"")</v>
      </c>
      <c r="CU317" s="19" t="str">
        <f t="shared" si="3950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75">
      <c r="CN318" s="36" t="str">
        <f t="shared" si="3874"/>
        <v>InitUnitState('',,,,,,,,,,)</v>
      </c>
      <c r="CO318" s="36" t="str">
        <f t="shared" si="3875"/>
        <v>InitUnitNormal('',,,,,,,,,,)</v>
      </c>
      <c r="CP318" s="36" t="str">
        <f t="shared" si="3876"/>
        <v>InitUnitMagic('',,,,,,,,,,)</v>
      </c>
      <c r="CQ318" s="36" t="str">
        <f t="shared" si="3877"/>
        <v>InitUnitAdd('',,,,,,,,,,)</v>
      </c>
      <c r="CR318" s="36" t="str">
        <f t="shared" si="3878"/>
        <v>InitEquipData('',,"",,,,,'','','','','','',"")</v>
      </c>
      <c r="CU318" s="19" t="str">
        <f t="shared" si="3950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75">
      <c r="CN319" s="36" t="str">
        <f t="shared" si="3874"/>
        <v>InitUnitState('',,,,,,,,,,)</v>
      </c>
      <c r="CO319" s="36" t="str">
        <f t="shared" si="3875"/>
        <v>InitUnitNormal('',,,,,,,,,,)</v>
      </c>
      <c r="CP319" s="36" t="str">
        <f t="shared" si="3876"/>
        <v>InitUnitMagic('',,,,,,,,,,)</v>
      </c>
      <c r="CQ319" s="36" t="str">
        <f t="shared" si="3877"/>
        <v>InitUnitAdd('',,,,,,,,,,)</v>
      </c>
      <c r="CR319" s="36" t="str">
        <f t="shared" si="3878"/>
        <v>InitEquipData('',,"",,,,,'','','','','','',"")</v>
      </c>
      <c r="CU319" s="19" t="str">
        <f t="shared" si="3950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75">
      <c r="CN320" s="36" t="str">
        <f t="shared" si="3874"/>
        <v>InitUnitState('',,,,,,,,,,)</v>
      </c>
      <c r="CO320" s="36" t="str">
        <f t="shared" si="3875"/>
        <v>InitUnitNormal('',,,,,,,,,,)</v>
      </c>
      <c r="CP320" s="36" t="str">
        <f t="shared" si="3876"/>
        <v>InitUnitMagic('',,,,,,,,,,)</v>
      </c>
      <c r="CQ320" s="36" t="str">
        <f t="shared" si="3877"/>
        <v>InitUnitAdd('',,,,,,,,,,)</v>
      </c>
      <c r="CR320" s="36" t="str">
        <f t="shared" si="3878"/>
        <v>InitEquipData('',,"",,,,,'','','','','','',"")</v>
      </c>
      <c r="CU320" s="19" t="str">
        <f t="shared" si="3950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874"/>
        <v>InitUnitState('',,,,,,,,,,)</v>
      </c>
      <c r="CO321" s="36" t="str">
        <f t="shared" si="3875"/>
        <v>InitUnitNormal('',,,,,,,,,,)</v>
      </c>
      <c r="CP321" s="36" t="str">
        <f t="shared" si="3876"/>
        <v>InitUnitMagic('',,,,,,,,,,)</v>
      </c>
      <c r="CQ321" s="36" t="str">
        <f t="shared" si="3877"/>
        <v>InitUnitAdd('',,,,,,,,,,)</v>
      </c>
      <c r="CR321" s="36" t="str">
        <f t="shared" si="3878"/>
        <v>InitEquipData('',,"",,,,,'','','','','','',"")</v>
      </c>
      <c r="CU321" s="19" t="str">
        <f t="shared" si="3950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874"/>
        <v>InitUnitState('',,,,,,,,,,)</v>
      </c>
      <c r="CO322" s="36" t="str">
        <f t="shared" si="3875"/>
        <v>InitUnitNormal('',,,,,,,,,,)</v>
      </c>
      <c r="CP322" s="36" t="str">
        <f t="shared" si="3876"/>
        <v>InitUnitMagic('',,,,,,,,,,)</v>
      </c>
      <c r="CQ322" s="36" t="str">
        <f t="shared" si="3877"/>
        <v>InitUnitAdd('',,,,,,,,,,)</v>
      </c>
      <c r="CR322" s="36" t="str">
        <f t="shared" si="3878"/>
        <v>InitEquipData('',,"",,,,,'','','','','','',"")</v>
      </c>
      <c r="CU322" s="19" t="str">
        <f t="shared" si="3950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874"/>
        <v>InitUnitState('',,,,,,,,,,)</v>
      </c>
      <c r="CO323" s="36" t="str">
        <f t="shared" si="3875"/>
        <v>InitUnitNormal('',,,,,,,,,,)</v>
      </c>
      <c r="CP323" s="36" t="str">
        <f t="shared" si="3876"/>
        <v>InitUnitMagic('',,,,,,,,,,)</v>
      </c>
      <c r="CQ323" s="36" t="str">
        <f t="shared" si="3877"/>
        <v>InitUnitAdd('',,,,,,,,,,)</v>
      </c>
      <c r="CR323" s="36" t="str">
        <f t="shared" si="3878"/>
        <v>InitEquipData('',,"",,,,,'','','','','','',"")</v>
      </c>
      <c r="CU323" s="19" t="str">
        <f t="shared" si="3950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874"/>
        <v>InitUnitState('',,,,,,,,,,)</v>
      </c>
      <c r="CO324" s="36" t="str">
        <f t="shared" si="3875"/>
        <v>InitUnitNormal('',,,,,,,,,,)</v>
      </c>
      <c r="CP324" s="36" t="str">
        <f t="shared" si="3876"/>
        <v>InitUnitMagic('',,,,,,,,,,)</v>
      </c>
      <c r="CQ324" s="36" t="str">
        <f t="shared" si="3877"/>
        <v>InitUnitAdd('',,,,,,,,,,)</v>
      </c>
      <c r="CR324" s="36" t="str">
        <f t="shared" si="3878"/>
        <v>InitEquipData('',,"",,,,,'','','','','','',"")</v>
      </c>
      <c r="CU324" s="19" t="str">
        <f t="shared" si="3950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874"/>
        <v>InitUnitState('',,,,,,,,,,)</v>
      </c>
      <c r="CO325" s="36" t="str">
        <f t="shared" si="3875"/>
        <v>InitUnitNormal('',,,,,,,,,,)</v>
      </c>
      <c r="CP325" s="36" t="str">
        <f t="shared" si="3876"/>
        <v>InitUnitMagic('',,,,,,,,,,)</v>
      </c>
      <c r="CQ325" s="36" t="str">
        <f t="shared" si="3877"/>
        <v>InitUnitAdd('',,,,,,,,,,)</v>
      </c>
      <c r="CR325" s="36" t="str">
        <f t="shared" si="3878"/>
        <v>InitEquipData('',,"",,,,,'','','','','','',"")</v>
      </c>
      <c r="CU325" s="19" t="str">
        <f t="shared" si="3950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ref="CN326:CN345" si="3951">"InitUnitState('"&amp;B326&amp;"',"&amp;V326&amp;","&amp;W326&amp;","&amp;X326&amp;","&amp;Y326&amp;","&amp;Z326&amp;","&amp;AA326&amp;","&amp;AB326&amp;","&amp;AC326&amp;","&amp;AD326&amp;","&amp;AE326&amp;")"</f>
        <v>InitUnitState('',,,,,,,,,,)</v>
      </c>
      <c r="CO326" s="36" t="str">
        <f t="shared" ref="CO326:CO345" si="3952">"InitUnitNormal('"&amp;B326&amp;"',"&amp;AF326&amp;","&amp;AG326&amp;","&amp;AH326&amp;","&amp;AI326&amp;","&amp;AJ326&amp;","&amp;AK326&amp;","&amp;AL326&amp;","&amp;AM326&amp;","&amp;AN326&amp;","&amp;AO326&amp;")"</f>
        <v>InitUnitNormal('',,,,,,,,,,)</v>
      </c>
      <c r="CP326" s="36" t="str">
        <f t="shared" ref="CP326:CP345" si="3953">"InitUnitMagic('"&amp;B326&amp;"',"&amp;AP326&amp;","&amp;AQ326&amp;","&amp;AR326&amp;","&amp;AS326&amp;","&amp;AT326&amp;","&amp;AU326&amp;","&amp;AV326&amp;","&amp;AW326&amp;","&amp;BI326&amp;","&amp;BJ326&amp;")"</f>
        <v>InitUnitMagic('',,,,,,,,,,)</v>
      </c>
      <c r="CQ326" s="36" t="str">
        <f t="shared" ref="CQ326:CQ345" si="3954">"InitUnitAdd('"&amp;B326&amp;"',"&amp;BK326&amp;","&amp;BL326&amp;","&amp;BM326&amp;","&amp;BN326&amp;","&amp;BO326&amp;","&amp;BP326&amp;","&amp;BQ326&amp;","&amp;BR326&amp;","&amp;BS326&amp;","&amp;BT326&amp;")"</f>
        <v>InitUnitAdd('',,,,,,,,,,)</v>
      </c>
      <c r="CR326" s="36" t="str">
        <f t="shared" ref="CR326:CR345" si="3955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327&amp;CR$1&amp;")"</f>
        <v>InitEquipData('',,"",,,,,'','','','','','',"")</v>
      </c>
      <c r="CU326" s="19" t="str">
        <f t="shared" si="3950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951"/>
        <v>InitUnitState('',,,,,,,,,,)</v>
      </c>
      <c r="CO327" s="36" t="str">
        <f t="shared" si="3952"/>
        <v>InitUnitNormal('',,,,,,,,,,)</v>
      </c>
      <c r="CP327" s="36" t="str">
        <f t="shared" si="3953"/>
        <v>InitUnitMagic('',,,,,,,,,,)</v>
      </c>
      <c r="CQ327" s="36" t="str">
        <f t="shared" si="3954"/>
        <v>InitUnitAdd('',,,,,,,,,,)</v>
      </c>
      <c r="CR327" s="36" t="str">
        <f t="shared" si="3955"/>
        <v>InitEquipData('',,"",,,,,'','','','','','',"")</v>
      </c>
      <c r="CU327" s="19" t="str">
        <f t="shared" si="3950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951"/>
        <v>InitUnitState('',,,,,,,,,,)</v>
      </c>
      <c r="CO328" s="36" t="str">
        <f t="shared" si="3952"/>
        <v>InitUnitNormal('',,,,,,,,,,)</v>
      </c>
      <c r="CP328" s="36" t="str">
        <f t="shared" si="3953"/>
        <v>InitUnitMagic('',,,,,,,,,,)</v>
      </c>
      <c r="CQ328" s="36" t="str">
        <f t="shared" si="3954"/>
        <v>InitUnitAdd('',,,,,,,,,,)</v>
      </c>
      <c r="CR328" s="36" t="str">
        <f t="shared" si="3955"/>
        <v>InitEquipData('',,"",,,,,'','','','','','',"")</v>
      </c>
      <c r="CU328" s="19" t="str">
        <f t="shared" si="3950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951"/>
        <v>InitUnitState('',,,,,,,,,,)</v>
      </c>
      <c r="CO329" s="36" t="str">
        <f t="shared" si="3952"/>
        <v>InitUnitNormal('',,,,,,,,,,)</v>
      </c>
      <c r="CP329" s="36" t="str">
        <f t="shared" si="3953"/>
        <v>InitUnitMagic('',,,,,,,,,,)</v>
      </c>
      <c r="CQ329" s="36" t="str">
        <f t="shared" si="3954"/>
        <v>InitUnitAdd('',,,,,,,,,,)</v>
      </c>
      <c r="CR329" s="36" t="str">
        <f t="shared" si="3955"/>
        <v>InitEquipData('',,"",,,,,'','','','','','',"")</v>
      </c>
      <c r="CU329" s="19" t="str">
        <f t="shared" si="3950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951"/>
        <v>InitUnitState('',,,,,,,,,,)</v>
      </c>
      <c r="CO330" s="36" t="str">
        <f t="shared" si="3952"/>
        <v>InitUnitNormal('',,,,,,,,,,)</v>
      </c>
      <c r="CP330" s="36" t="str">
        <f t="shared" si="3953"/>
        <v>InitUnitMagic('',,,,,,,,,,)</v>
      </c>
      <c r="CQ330" s="36" t="str">
        <f t="shared" si="3954"/>
        <v>InitUnitAdd('',,,,,,,,,,)</v>
      </c>
      <c r="CR330" s="36" t="str">
        <f t="shared" si="3955"/>
        <v>InitEquipData('',,"",,,,,'','','','','','',"")</v>
      </c>
      <c r="CU330" s="19" t="str">
        <f t="shared" si="3950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951"/>
        <v>InitUnitState('',,,,,,,,,,)</v>
      </c>
      <c r="CO331" s="36" t="str">
        <f t="shared" si="3952"/>
        <v>InitUnitNormal('',,,,,,,,,,)</v>
      </c>
      <c r="CP331" s="36" t="str">
        <f t="shared" si="3953"/>
        <v>InitUnitMagic('',,,,,,,,,,)</v>
      </c>
      <c r="CQ331" s="36" t="str">
        <f t="shared" si="3954"/>
        <v>InitUnitAdd('',,,,,,,,,,)</v>
      </c>
      <c r="CR331" s="36" t="str">
        <f t="shared" si="3955"/>
        <v>InitEquipData('',,"",,,,,'','','','','','',"")</v>
      </c>
      <c r="CU331" s="19" t="str">
        <f t="shared" si="3950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3951"/>
        <v>InitUnitState('',,,,,,,,,,)</v>
      </c>
      <c r="CO332" s="36" t="str">
        <f t="shared" si="3952"/>
        <v>InitUnitNormal('',,,,,,,,,,)</v>
      </c>
      <c r="CP332" s="36" t="str">
        <f t="shared" si="3953"/>
        <v>InitUnitMagic('',,,,,,,,,,)</v>
      </c>
      <c r="CQ332" s="36" t="str">
        <f t="shared" si="3954"/>
        <v>InitUnitAdd('',,,,,,,,,,)</v>
      </c>
      <c r="CR332" s="36" t="str">
        <f t="shared" si="3955"/>
        <v>InitEquipData('',,"",,,,,'','','','','','',"")</v>
      </c>
      <c r="CU332" s="19" t="str">
        <f t="shared" si="3950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3951"/>
        <v>InitUnitState('',,,,,,,,,,)</v>
      </c>
      <c r="CO333" s="36" t="str">
        <f t="shared" si="3952"/>
        <v>InitUnitNormal('',,,,,,,,,,)</v>
      </c>
      <c r="CP333" s="36" t="str">
        <f t="shared" si="3953"/>
        <v>InitUnitMagic('',,,,,,,,,,)</v>
      </c>
      <c r="CQ333" s="36" t="str">
        <f t="shared" si="3954"/>
        <v>InitUnitAdd('',,,,,,,,,,)</v>
      </c>
      <c r="CR333" s="36" t="str">
        <f t="shared" si="3955"/>
        <v>InitEquipData('',,"",,,,,'','','','','','',"")</v>
      </c>
      <c r="CU333" s="19" t="str">
        <f t="shared" si="3950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  <row r="334" spans="92:120">
      <c r="CN334" s="36" t="str">
        <f t="shared" si="3951"/>
        <v>InitUnitState('',,,,,,,,,,)</v>
      </c>
      <c r="CO334" s="36" t="str">
        <f t="shared" si="3952"/>
        <v>InitUnitNormal('',,,,,,,,,,)</v>
      </c>
      <c r="CP334" s="36" t="str">
        <f t="shared" si="3953"/>
        <v>InitUnitMagic('',,,,,,,,,,)</v>
      </c>
      <c r="CQ334" s="36" t="str">
        <f t="shared" si="3954"/>
        <v>InitUnitAdd('',,,,,,,,,,)</v>
      </c>
      <c r="CR334" s="36" t="str">
        <f t="shared" si="3955"/>
        <v>InitEquipData('',,"",,,,,'','','','','','',"")</v>
      </c>
      <c r="CU334" s="19" t="str">
        <f t="shared" si="3950"/>
        <v>|n</v>
      </c>
      <c r="DB334" s="66" t="str">
        <f>IF(V334="","","|n"&amp;#REF!&amp;"+"&amp;V334)</f>
        <v/>
      </c>
      <c r="DC334" s="66" t="str">
        <f>IF(W334="","","|n"&amp;#REF!&amp;"+"&amp;W334)</f>
        <v/>
      </c>
      <c r="DD334" s="66" t="str">
        <f>IF(X334="","","|n"&amp;#REF!&amp;"+"&amp;X334)</f>
        <v/>
      </c>
      <c r="DE334" s="66" t="str">
        <f>IF(Y334="","","|n"&amp;#REF!&amp;"+"&amp;Y334)</f>
        <v/>
      </c>
      <c r="DF334" s="66" t="str">
        <f>IF(Z334="","","|n"&amp;#REF!&amp;"+"&amp;Z334)</f>
        <v/>
      </c>
      <c r="DG334" s="66" t="str">
        <f>IF(AA334="","","|n"&amp;#REF!&amp;"+"&amp;AA334)</f>
        <v/>
      </c>
      <c r="DH334" s="66" t="str">
        <f>IF(AB334="","","|n"&amp;#REF!&amp;"+"&amp;AB334)</f>
        <v/>
      </c>
      <c r="DI334" s="66" t="str">
        <f>IF(AC334="","","|n"&amp;#REF!&amp;"+"&amp;AC334&amp;"%")</f>
        <v/>
      </c>
      <c r="DJ334" s="66" t="str">
        <f>IF(AD334="","","|n"&amp;#REF!&amp;"+"&amp;AD334)</f>
        <v/>
      </c>
      <c r="DK334" s="66" t="str">
        <f>IF(AE334="","","|n"&amp;#REF!&amp;"+"&amp;AE334)</f>
        <v/>
      </c>
      <c r="DL334" s="66" t="str">
        <f>IF(AF334="","","|n"&amp;#REF!&amp;"+"&amp;AF334)</f>
        <v/>
      </c>
      <c r="DM334" s="66" t="str">
        <f>IF(AG334="","","|n"&amp;#REF!&amp;"+"&amp;AG334&amp;"%")</f>
        <v/>
      </c>
      <c r="DN334" s="66" t="str">
        <f>IF(AH334="","","|n"&amp;#REF!&amp;"+"&amp;AH334)</f>
        <v/>
      </c>
      <c r="DO334" s="66" t="str">
        <f>IF(AI334="","","|n"&amp;#REF!&amp;"+"&amp;AI334)</f>
        <v/>
      </c>
      <c r="DP334" s="66" t="str">
        <f>IF(AJ334="","","|n"&amp;#REF!&amp;"+"&amp;AJ334)</f>
        <v/>
      </c>
    </row>
    <row r="335" spans="92:120">
      <c r="CN335" s="36" t="str">
        <f t="shared" si="3951"/>
        <v>InitUnitState('',,,,,,,,,,)</v>
      </c>
      <c r="CO335" s="36" t="str">
        <f t="shared" si="3952"/>
        <v>InitUnitNormal('',,,,,,,,,,)</v>
      </c>
      <c r="CP335" s="36" t="str">
        <f t="shared" si="3953"/>
        <v>InitUnitMagic('',,,,,,,,,,)</v>
      </c>
      <c r="CQ335" s="36" t="str">
        <f t="shared" si="3954"/>
        <v>InitUnitAdd('',,,,,,,,,,)</v>
      </c>
      <c r="CR335" s="36" t="str">
        <f t="shared" si="3955"/>
        <v>InitEquipData('',,"",,,,,'','','','','','',"")</v>
      </c>
      <c r="CU335" s="19" t="str">
        <f t="shared" si="3950"/>
        <v>|n</v>
      </c>
      <c r="DB335" s="66" t="str">
        <f>IF(V335="","","|n"&amp;#REF!&amp;"+"&amp;V335)</f>
        <v/>
      </c>
      <c r="DC335" s="66" t="str">
        <f>IF(W335="","","|n"&amp;#REF!&amp;"+"&amp;W335)</f>
        <v/>
      </c>
      <c r="DD335" s="66" t="str">
        <f>IF(X335="","","|n"&amp;#REF!&amp;"+"&amp;X335)</f>
        <v/>
      </c>
      <c r="DE335" s="66" t="str">
        <f>IF(Y335="","","|n"&amp;#REF!&amp;"+"&amp;Y335)</f>
        <v/>
      </c>
      <c r="DF335" s="66" t="str">
        <f>IF(Z335="","","|n"&amp;#REF!&amp;"+"&amp;Z335)</f>
        <v/>
      </c>
      <c r="DG335" s="66" t="str">
        <f>IF(AA335="","","|n"&amp;#REF!&amp;"+"&amp;AA335)</f>
        <v/>
      </c>
      <c r="DH335" s="66" t="str">
        <f>IF(AB335="","","|n"&amp;#REF!&amp;"+"&amp;AB335)</f>
        <v/>
      </c>
      <c r="DI335" s="66" t="str">
        <f>IF(AC335="","","|n"&amp;#REF!&amp;"+"&amp;AC335&amp;"%")</f>
        <v/>
      </c>
      <c r="DJ335" s="66" t="str">
        <f>IF(AD335="","","|n"&amp;#REF!&amp;"+"&amp;AD335)</f>
        <v/>
      </c>
      <c r="DK335" s="66" t="str">
        <f>IF(AE335="","","|n"&amp;#REF!&amp;"+"&amp;AE335)</f>
        <v/>
      </c>
      <c r="DL335" s="66" t="str">
        <f>IF(AF335="","","|n"&amp;#REF!&amp;"+"&amp;AF335)</f>
        <v/>
      </c>
      <c r="DM335" s="66" t="str">
        <f>IF(AG335="","","|n"&amp;#REF!&amp;"+"&amp;AG335&amp;"%")</f>
        <v/>
      </c>
      <c r="DN335" s="66" t="str">
        <f>IF(AH335="","","|n"&amp;#REF!&amp;"+"&amp;AH335)</f>
        <v/>
      </c>
      <c r="DO335" s="66" t="str">
        <f>IF(AI335="","","|n"&amp;#REF!&amp;"+"&amp;AI335)</f>
        <v/>
      </c>
      <c r="DP335" s="66" t="str">
        <f>IF(AJ335="","","|n"&amp;#REF!&amp;"+"&amp;AJ335)</f>
        <v/>
      </c>
    </row>
    <row r="336" spans="92:120">
      <c r="CN336" s="36" t="str">
        <f t="shared" si="3951"/>
        <v>InitUnitState('',,,,,,,,,,)</v>
      </c>
      <c r="CO336" s="36" t="str">
        <f t="shared" si="3952"/>
        <v>InitUnitNormal('',,,,,,,,,,)</v>
      </c>
      <c r="CP336" s="36" t="str">
        <f t="shared" si="3953"/>
        <v>InitUnitMagic('',,,,,,,,,,)</v>
      </c>
      <c r="CQ336" s="36" t="str">
        <f t="shared" si="3954"/>
        <v>InitUnitAdd('',,,,,,,,,,)</v>
      </c>
      <c r="CR336" s="36" t="str">
        <f t="shared" si="3955"/>
        <v>InitEquipData('',,"",,,,,'','','','','','',"")</v>
      </c>
      <c r="CU336" s="19" t="str">
        <f t="shared" si="3950"/>
        <v>|n</v>
      </c>
      <c r="DB336" s="66" t="str">
        <f>IF(V336="","","|n"&amp;#REF!&amp;"+"&amp;V336)</f>
        <v/>
      </c>
      <c r="DC336" s="66" t="str">
        <f>IF(W336="","","|n"&amp;#REF!&amp;"+"&amp;W336)</f>
        <v/>
      </c>
      <c r="DD336" s="66" t="str">
        <f>IF(X336="","","|n"&amp;#REF!&amp;"+"&amp;X336)</f>
        <v/>
      </c>
      <c r="DE336" s="66" t="str">
        <f>IF(Y336="","","|n"&amp;#REF!&amp;"+"&amp;Y336)</f>
        <v/>
      </c>
      <c r="DF336" s="66" t="str">
        <f>IF(Z336="","","|n"&amp;#REF!&amp;"+"&amp;Z336)</f>
        <v/>
      </c>
      <c r="DG336" s="66" t="str">
        <f>IF(AA336="","","|n"&amp;#REF!&amp;"+"&amp;AA336)</f>
        <v/>
      </c>
      <c r="DH336" s="66" t="str">
        <f>IF(AB336="","","|n"&amp;#REF!&amp;"+"&amp;AB336)</f>
        <v/>
      </c>
      <c r="DI336" s="66" t="str">
        <f>IF(AC336="","","|n"&amp;#REF!&amp;"+"&amp;AC336&amp;"%")</f>
        <v/>
      </c>
      <c r="DJ336" s="66" t="str">
        <f>IF(AD336="","","|n"&amp;#REF!&amp;"+"&amp;AD336)</f>
        <v/>
      </c>
      <c r="DK336" s="66" t="str">
        <f>IF(AE336="","","|n"&amp;#REF!&amp;"+"&amp;AE336)</f>
        <v/>
      </c>
      <c r="DL336" s="66" t="str">
        <f>IF(AF336="","","|n"&amp;#REF!&amp;"+"&amp;AF336)</f>
        <v/>
      </c>
      <c r="DM336" s="66" t="str">
        <f>IF(AG336="","","|n"&amp;#REF!&amp;"+"&amp;AG336&amp;"%")</f>
        <v/>
      </c>
      <c r="DN336" s="66" t="str">
        <f>IF(AH336="","","|n"&amp;#REF!&amp;"+"&amp;AH336)</f>
        <v/>
      </c>
      <c r="DO336" s="66" t="str">
        <f>IF(AI336="","","|n"&amp;#REF!&amp;"+"&amp;AI336)</f>
        <v/>
      </c>
      <c r="DP336" s="66" t="str">
        <f>IF(AJ336="","","|n"&amp;#REF!&amp;"+"&amp;AJ336)</f>
        <v/>
      </c>
    </row>
    <row r="337" spans="92:120">
      <c r="CN337" s="36" t="str">
        <f t="shared" si="3951"/>
        <v>InitUnitState('',,,,,,,,,,)</v>
      </c>
      <c r="CO337" s="36" t="str">
        <f t="shared" si="3952"/>
        <v>InitUnitNormal('',,,,,,,,,,)</v>
      </c>
      <c r="CP337" s="36" t="str">
        <f t="shared" si="3953"/>
        <v>InitUnitMagic('',,,,,,,,,,)</v>
      </c>
      <c r="CQ337" s="36" t="str">
        <f t="shared" si="3954"/>
        <v>InitUnitAdd('',,,,,,,,,,)</v>
      </c>
      <c r="CR337" s="36" t="str">
        <f t="shared" si="3955"/>
        <v>InitEquipData('',,"",,,,,'','','','','','',"")</v>
      </c>
      <c r="CU337" s="19" t="str">
        <f t="shared" si="3950"/>
        <v>|n</v>
      </c>
      <c r="DB337" s="66" t="str">
        <f>IF(V337="","","|n"&amp;#REF!&amp;"+"&amp;V337)</f>
        <v/>
      </c>
      <c r="DC337" s="66" t="str">
        <f>IF(W337="","","|n"&amp;#REF!&amp;"+"&amp;W337)</f>
        <v/>
      </c>
      <c r="DD337" s="66" t="str">
        <f>IF(X337="","","|n"&amp;#REF!&amp;"+"&amp;X337)</f>
        <v/>
      </c>
      <c r="DE337" s="66" t="str">
        <f>IF(Y337="","","|n"&amp;#REF!&amp;"+"&amp;Y337)</f>
        <v/>
      </c>
      <c r="DF337" s="66" t="str">
        <f>IF(Z337="","","|n"&amp;#REF!&amp;"+"&amp;Z337)</f>
        <v/>
      </c>
      <c r="DG337" s="66" t="str">
        <f>IF(AA337="","","|n"&amp;#REF!&amp;"+"&amp;AA337)</f>
        <v/>
      </c>
      <c r="DH337" s="66" t="str">
        <f>IF(AB337="","","|n"&amp;#REF!&amp;"+"&amp;AB337)</f>
        <v/>
      </c>
      <c r="DI337" s="66" t="str">
        <f>IF(AC337="","","|n"&amp;#REF!&amp;"+"&amp;AC337&amp;"%")</f>
        <v/>
      </c>
      <c r="DJ337" s="66" t="str">
        <f>IF(AD337="","","|n"&amp;#REF!&amp;"+"&amp;AD337)</f>
        <v/>
      </c>
      <c r="DK337" s="66" t="str">
        <f>IF(AE337="","","|n"&amp;#REF!&amp;"+"&amp;AE337)</f>
        <v/>
      </c>
      <c r="DL337" s="66" t="str">
        <f>IF(AF337="","","|n"&amp;#REF!&amp;"+"&amp;AF337)</f>
        <v/>
      </c>
      <c r="DM337" s="66" t="str">
        <f>IF(AG337="","","|n"&amp;#REF!&amp;"+"&amp;AG337&amp;"%")</f>
        <v/>
      </c>
      <c r="DN337" s="66" t="str">
        <f>IF(AH337="","","|n"&amp;#REF!&amp;"+"&amp;AH337)</f>
        <v/>
      </c>
      <c r="DO337" s="66" t="str">
        <f>IF(AI337="","","|n"&amp;#REF!&amp;"+"&amp;AI337)</f>
        <v/>
      </c>
      <c r="DP337" s="66" t="str">
        <f>IF(AJ337="","","|n"&amp;#REF!&amp;"+"&amp;AJ337)</f>
        <v/>
      </c>
    </row>
    <row r="338" spans="92:120">
      <c r="CN338" s="36" t="str">
        <f t="shared" si="3951"/>
        <v>InitUnitState('',,,,,,,,,,)</v>
      </c>
      <c r="CO338" s="36" t="str">
        <f t="shared" si="3952"/>
        <v>InitUnitNormal('',,,,,,,,,,)</v>
      </c>
      <c r="CP338" s="36" t="str">
        <f t="shared" si="3953"/>
        <v>InitUnitMagic('',,,,,,,,,,)</v>
      </c>
      <c r="CQ338" s="36" t="str">
        <f t="shared" si="3954"/>
        <v>InitUnitAdd('',,,,,,,,,,)</v>
      </c>
      <c r="CR338" s="36" t="str">
        <f t="shared" si="3955"/>
        <v>InitEquipData('',,"",,,,,'','','','','','',"")</v>
      </c>
      <c r="CU338" s="19" t="str">
        <f t="shared" si="3950"/>
        <v>|n</v>
      </c>
      <c r="DB338" s="66" t="str">
        <f>IF(V338="","","|n"&amp;#REF!&amp;"+"&amp;V338)</f>
        <v/>
      </c>
      <c r="DC338" s="66" t="str">
        <f>IF(W338="","","|n"&amp;#REF!&amp;"+"&amp;W338)</f>
        <v/>
      </c>
      <c r="DD338" s="66" t="str">
        <f>IF(X338="","","|n"&amp;#REF!&amp;"+"&amp;X338)</f>
        <v/>
      </c>
      <c r="DE338" s="66" t="str">
        <f>IF(Y338="","","|n"&amp;#REF!&amp;"+"&amp;Y338)</f>
        <v/>
      </c>
      <c r="DF338" s="66" t="str">
        <f>IF(Z338="","","|n"&amp;#REF!&amp;"+"&amp;Z338)</f>
        <v/>
      </c>
      <c r="DG338" s="66" t="str">
        <f>IF(AA338="","","|n"&amp;#REF!&amp;"+"&amp;AA338)</f>
        <v/>
      </c>
      <c r="DH338" s="66" t="str">
        <f>IF(AB338="","","|n"&amp;#REF!&amp;"+"&amp;AB338)</f>
        <v/>
      </c>
      <c r="DI338" s="66" t="str">
        <f>IF(AC338="","","|n"&amp;#REF!&amp;"+"&amp;AC338&amp;"%")</f>
        <v/>
      </c>
      <c r="DJ338" s="66" t="str">
        <f>IF(AD338="","","|n"&amp;#REF!&amp;"+"&amp;AD338)</f>
        <v/>
      </c>
      <c r="DK338" s="66" t="str">
        <f>IF(AE338="","","|n"&amp;#REF!&amp;"+"&amp;AE338)</f>
        <v/>
      </c>
      <c r="DL338" s="66" t="str">
        <f>IF(AF338="","","|n"&amp;#REF!&amp;"+"&amp;AF338)</f>
        <v/>
      </c>
      <c r="DM338" s="66" t="str">
        <f>IF(AG338="","","|n"&amp;#REF!&amp;"+"&amp;AG338&amp;"%")</f>
        <v/>
      </c>
      <c r="DN338" s="66" t="str">
        <f>IF(AH338="","","|n"&amp;#REF!&amp;"+"&amp;AH338)</f>
        <v/>
      </c>
      <c r="DO338" s="66" t="str">
        <f>IF(AI338="","","|n"&amp;#REF!&amp;"+"&amp;AI338)</f>
        <v/>
      </c>
      <c r="DP338" s="66" t="str">
        <f>IF(AJ338="","","|n"&amp;#REF!&amp;"+"&amp;AJ338)</f>
        <v/>
      </c>
    </row>
    <row r="339" spans="92:120">
      <c r="CN339" s="36" t="str">
        <f t="shared" si="3951"/>
        <v>InitUnitState('',,,,,,,,,,)</v>
      </c>
      <c r="CO339" s="36" t="str">
        <f t="shared" si="3952"/>
        <v>InitUnitNormal('',,,,,,,,,,)</v>
      </c>
      <c r="CP339" s="36" t="str">
        <f t="shared" si="3953"/>
        <v>InitUnitMagic('',,,,,,,,,,)</v>
      </c>
      <c r="CQ339" s="36" t="str">
        <f t="shared" si="3954"/>
        <v>InitUnitAdd('',,,,,,,,,,)</v>
      </c>
      <c r="CR339" s="36" t="str">
        <f t="shared" si="3955"/>
        <v>InitEquipData('',,"",,,,,'','','','','','',"")</v>
      </c>
      <c r="CU339" s="19" t="str">
        <f t="shared" si="3950"/>
        <v>|n</v>
      </c>
      <c r="DB339" s="66" t="str">
        <f>IF(V339="","","|n"&amp;#REF!&amp;"+"&amp;V339)</f>
        <v/>
      </c>
      <c r="DC339" s="66" t="str">
        <f>IF(W339="","","|n"&amp;#REF!&amp;"+"&amp;W339)</f>
        <v/>
      </c>
      <c r="DD339" s="66" t="str">
        <f>IF(X339="","","|n"&amp;#REF!&amp;"+"&amp;X339)</f>
        <v/>
      </c>
      <c r="DE339" s="66" t="str">
        <f>IF(Y339="","","|n"&amp;#REF!&amp;"+"&amp;Y339)</f>
        <v/>
      </c>
      <c r="DF339" s="66" t="str">
        <f>IF(Z339="","","|n"&amp;#REF!&amp;"+"&amp;Z339)</f>
        <v/>
      </c>
      <c r="DG339" s="66" t="str">
        <f>IF(AA339="","","|n"&amp;#REF!&amp;"+"&amp;AA339)</f>
        <v/>
      </c>
      <c r="DH339" s="66" t="str">
        <f>IF(AB339="","","|n"&amp;#REF!&amp;"+"&amp;AB339)</f>
        <v/>
      </c>
      <c r="DI339" s="66" t="str">
        <f>IF(AC339="","","|n"&amp;#REF!&amp;"+"&amp;AC339&amp;"%")</f>
        <v/>
      </c>
      <c r="DJ339" s="66" t="str">
        <f>IF(AD339="","","|n"&amp;#REF!&amp;"+"&amp;AD339)</f>
        <v/>
      </c>
      <c r="DK339" s="66" t="str">
        <f>IF(AE339="","","|n"&amp;#REF!&amp;"+"&amp;AE339)</f>
        <v/>
      </c>
      <c r="DL339" s="66" t="str">
        <f>IF(AF339="","","|n"&amp;#REF!&amp;"+"&amp;AF339)</f>
        <v/>
      </c>
      <c r="DM339" s="66" t="str">
        <f>IF(AG339="","","|n"&amp;#REF!&amp;"+"&amp;AG339&amp;"%")</f>
        <v/>
      </c>
      <c r="DN339" s="66" t="str">
        <f>IF(AH339="","","|n"&amp;#REF!&amp;"+"&amp;AH339)</f>
        <v/>
      </c>
      <c r="DO339" s="66" t="str">
        <f>IF(AI339="","","|n"&amp;#REF!&amp;"+"&amp;AI339)</f>
        <v/>
      </c>
      <c r="DP339" s="66" t="str">
        <f>IF(AJ339="","","|n"&amp;#REF!&amp;"+"&amp;AJ339)</f>
        <v/>
      </c>
    </row>
    <row r="340" spans="92:120">
      <c r="CN340" s="36" t="str">
        <f t="shared" si="3951"/>
        <v>InitUnitState('',,,,,,,,,,)</v>
      </c>
      <c r="CO340" s="36" t="str">
        <f t="shared" si="3952"/>
        <v>InitUnitNormal('',,,,,,,,,,)</v>
      </c>
      <c r="CP340" s="36" t="str">
        <f t="shared" si="3953"/>
        <v>InitUnitMagic('',,,,,,,,,,)</v>
      </c>
      <c r="CQ340" s="36" t="str">
        <f t="shared" si="3954"/>
        <v>InitUnitAdd('',,,,,,,,,,)</v>
      </c>
      <c r="CR340" s="36" t="str">
        <f t="shared" si="3955"/>
        <v>InitEquipData('',,"",,,,,'','','','','','',"")</v>
      </c>
      <c r="CU340" s="19" t="str">
        <f t="shared" si="3950"/>
        <v>|n</v>
      </c>
      <c r="DB340" s="66" t="str">
        <f>IF(V340="","","|n"&amp;#REF!&amp;"+"&amp;V340)</f>
        <v/>
      </c>
      <c r="DC340" s="66" t="str">
        <f>IF(W340="","","|n"&amp;#REF!&amp;"+"&amp;W340)</f>
        <v/>
      </c>
      <c r="DD340" s="66" t="str">
        <f>IF(X340="","","|n"&amp;#REF!&amp;"+"&amp;X340)</f>
        <v/>
      </c>
      <c r="DE340" s="66" t="str">
        <f>IF(Y340="","","|n"&amp;#REF!&amp;"+"&amp;Y340)</f>
        <v/>
      </c>
      <c r="DF340" s="66" t="str">
        <f>IF(Z340="","","|n"&amp;#REF!&amp;"+"&amp;Z340)</f>
        <v/>
      </c>
      <c r="DG340" s="66" t="str">
        <f>IF(AA340="","","|n"&amp;#REF!&amp;"+"&amp;AA340)</f>
        <v/>
      </c>
      <c r="DH340" s="66" t="str">
        <f>IF(AB340="","","|n"&amp;#REF!&amp;"+"&amp;AB340)</f>
        <v/>
      </c>
      <c r="DI340" s="66" t="str">
        <f>IF(AC340="","","|n"&amp;#REF!&amp;"+"&amp;AC340&amp;"%")</f>
        <v/>
      </c>
      <c r="DJ340" s="66" t="str">
        <f>IF(AD340="","","|n"&amp;#REF!&amp;"+"&amp;AD340)</f>
        <v/>
      </c>
      <c r="DK340" s="66" t="str">
        <f>IF(AE340="","","|n"&amp;#REF!&amp;"+"&amp;AE340)</f>
        <v/>
      </c>
      <c r="DL340" s="66" t="str">
        <f>IF(AF340="","","|n"&amp;#REF!&amp;"+"&amp;AF340)</f>
        <v/>
      </c>
      <c r="DM340" s="66" t="str">
        <f>IF(AG340="","","|n"&amp;#REF!&amp;"+"&amp;AG340&amp;"%")</f>
        <v/>
      </c>
      <c r="DN340" s="66" t="str">
        <f>IF(AH340="","","|n"&amp;#REF!&amp;"+"&amp;AH340)</f>
        <v/>
      </c>
      <c r="DO340" s="66" t="str">
        <f>IF(AI340="","","|n"&amp;#REF!&amp;"+"&amp;AI340)</f>
        <v/>
      </c>
      <c r="DP340" s="66" t="str">
        <f>IF(AJ340="","","|n"&amp;#REF!&amp;"+"&amp;AJ340)</f>
        <v/>
      </c>
    </row>
    <row r="341" spans="92:120">
      <c r="CN341" s="36" t="str">
        <f t="shared" si="3951"/>
        <v>InitUnitState('',,,,,,,,,,)</v>
      </c>
      <c r="CO341" s="36" t="str">
        <f t="shared" si="3952"/>
        <v>InitUnitNormal('',,,,,,,,,,)</v>
      </c>
      <c r="CP341" s="36" t="str">
        <f t="shared" si="3953"/>
        <v>InitUnitMagic('',,,,,,,,,,)</v>
      </c>
      <c r="CQ341" s="36" t="str">
        <f t="shared" si="3954"/>
        <v>InitUnitAdd('',,,,,,,,,,)</v>
      </c>
      <c r="CR341" s="36" t="str">
        <f t="shared" si="3955"/>
        <v>InitEquipData('',,"",,,,,'','','','','','',"")</v>
      </c>
      <c r="CU341" s="19" t="str">
        <f t="shared" si="3950"/>
        <v>|n</v>
      </c>
      <c r="DB341" s="66" t="str">
        <f>IF(V341="","","|n"&amp;#REF!&amp;"+"&amp;V341)</f>
        <v/>
      </c>
      <c r="DC341" s="66" t="str">
        <f>IF(W341="","","|n"&amp;#REF!&amp;"+"&amp;W341)</f>
        <v/>
      </c>
      <c r="DD341" s="66" t="str">
        <f>IF(X341="","","|n"&amp;#REF!&amp;"+"&amp;X341)</f>
        <v/>
      </c>
      <c r="DE341" s="66" t="str">
        <f>IF(Y341="","","|n"&amp;#REF!&amp;"+"&amp;Y341)</f>
        <v/>
      </c>
      <c r="DF341" s="66" t="str">
        <f>IF(Z341="","","|n"&amp;#REF!&amp;"+"&amp;Z341)</f>
        <v/>
      </c>
      <c r="DG341" s="66" t="str">
        <f>IF(AA341="","","|n"&amp;#REF!&amp;"+"&amp;AA341)</f>
        <v/>
      </c>
      <c r="DH341" s="66" t="str">
        <f>IF(AB341="","","|n"&amp;#REF!&amp;"+"&amp;AB341)</f>
        <v/>
      </c>
      <c r="DI341" s="66" t="str">
        <f>IF(AC341="","","|n"&amp;#REF!&amp;"+"&amp;AC341&amp;"%")</f>
        <v/>
      </c>
      <c r="DJ341" s="66" t="str">
        <f>IF(AD341="","","|n"&amp;#REF!&amp;"+"&amp;AD341)</f>
        <v/>
      </c>
      <c r="DK341" s="66" t="str">
        <f>IF(AE341="","","|n"&amp;#REF!&amp;"+"&amp;AE341)</f>
        <v/>
      </c>
      <c r="DL341" s="66" t="str">
        <f>IF(AF341="","","|n"&amp;#REF!&amp;"+"&amp;AF341)</f>
        <v/>
      </c>
      <c r="DM341" s="66" t="str">
        <f>IF(AG341="","","|n"&amp;#REF!&amp;"+"&amp;AG341&amp;"%")</f>
        <v/>
      </c>
      <c r="DN341" s="66" t="str">
        <f>IF(AH341="","","|n"&amp;#REF!&amp;"+"&amp;AH341)</f>
        <v/>
      </c>
      <c r="DO341" s="66" t="str">
        <f>IF(AI341="","","|n"&amp;#REF!&amp;"+"&amp;AI341)</f>
        <v/>
      </c>
      <c r="DP341" s="66" t="str">
        <f>IF(AJ341="","","|n"&amp;#REF!&amp;"+"&amp;AJ341)</f>
        <v/>
      </c>
    </row>
    <row r="342" spans="92:120">
      <c r="CN342" s="36" t="str">
        <f t="shared" si="3951"/>
        <v>InitUnitState('',,,,,,,,,,)</v>
      </c>
      <c r="CO342" s="36" t="str">
        <f t="shared" si="3952"/>
        <v>InitUnitNormal('',,,,,,,,,,)</v>
      </c>
      <c r="CP342" s="36" t="str">
        <f t="shared" si="3953"/>
        <v>InitUnitMagic('',,,,,,,,,,)</v>
      </c>
      <c r="CQ342" s="36" t="str">
        <f t="shared" si="3954"/>
        <v>InitUnitAdd('',,,,,,,,,,)</v>
      </c>
      <c r="CR342" s="36" t="str">
        <f t="shared" si="3955"/>
        <v>InitEquipData('',,"",,,,,'','','','','','',"")</v>
      </c>
      <c r="CU342" s="19" t="str">
        <f t="shared" si="3950"/>
        <v>|n</v>
      </c>
      <c r="DB342" s="66" t="str">
        <f>IF(V342="","","|n"&amp;#REF!&amp;"+"&amp;V342)</f>
        <v/>
      </c>
      <c r="DC342" s="66" t="str">
        <f>IF(W342="","","|n"&amp;#REF!&amp;"+"&amp;W342)</f>
        <v/>
      </c>
      <c r="DD342" s="66" t="str">
        <f>IF(X342="","","|n"&amp;#REF!&amp;"+"&amp;X342)</f>
        <v/>
      </c>
      <c r="DE342" s="66" t="str">
        <f>IF(Y342="","","|n"&amp;#REF!&amp;"+"&amp;Y342)</f>
        <v/>
      </c>
      <c r="DF342" s="66" t="str">
        <f>IF(Z342="","","|n"&amp;#REF!&amp;"+"&amp;Z342)</f>
        <v/>
      </c>
      <c r="DG342" s="66" t="str">
        <f>IF(AA342="","","|n"&amp;#REF!&amp;"+"&amp;AA342)</f>
        <v/>
      </c>
      <c r="DH342" s="66" t="str">
        <f>IF(AB342="","","|n"&amp;#REF!&amp;"+"&amp;AB342)</f>
        <v/>
      </c>
      <c r="DI342" s="66" t="str">
        <f>IF(AC342="","","|n"&amp;#REF!&amp;"+"&amp;AC342&amp;"%")</f>
        <v/>
      </c>
      <c r="DJ342" s="66" t="str">
        <f>IF(AD342="","","|n"&amp;#REF!&amp;"+"&amp;AD342)</f>
        <v/>
      </c>
      <c r="DK342" s="66" t="str">
        <f>IF(AE342="","","|n"&amp;#REF!&amp;"+"&amp;AE342)</f>
        <v/>
      </c>
      <c r="DL342" s="66" t="str">
        <f>IF(AF342="","","|n"&amp;#REF!&amp;"+"&amp;AF342)</f>
        <v/>
      </c>
      <c r="DM342" s="66" t="str">
        <f>IF(AG342="","","|n"&amp;#REF!&amp;"+"&amp;AG342&amp;"%")</f>
        <v/>
      </c>
      <c r="DN342" s="66" t="str">
        <f>IF(AH342="","","|n"&amp;#REF!&amp;"+"&amp;AH342)</f>
        <v/>
      </c>
      <c r="DO342" s="66" t="str">
        <f>IF(AI342="","","|n"&amp;#REF!&amp;"+"&amp;AI342)</f>
        <v/>
      </c>
      <c r="DP342" s="66" t="str">
        <f>IF(AJ342="","","|n"&amp;#REF!&amp;"+"&amp;AJ342)</f>
        <v/>
      </c>
    </row>
    <row r="343" spans="92:120">
      <c r="CN343" s="36" t="str">
        <f t="shared" si="3951"/>
        <v>InitUnitState('',,,,,,,,,,)</v>
      </c>
      <c r="CO343" s="36" t="str">
        <f t="shared" si="3952"/>
        <v>InitUnitNormal('',,,,,,,,,,)</v>
      </c>
      <c r="CP343" s="36" t="str">
        <f t="shared" si="3953"/>
        <v>InitUnitMagic('',,,,,,,,,,)</v>
      </c>
      <c r="CQ343" s="36" t="str">
        <f t="shared" si="3954"/>
        <v>InitUnitAdd('',,,,,,,,,,)</v>
      </c>
      <c r="CR343" s="36" t="str">
        <f t="shared" si="3955"/>
        <v>InitEquipData('',,"",,,,,'','','','','','',"")</v>
      </c>
      <c r="CU343" s="19" t="str">
        <f t="shared" si="3950"/>
        <v>|n</v>
      </c>
      <c r="DB343" s="66" t="str">
        <f>IF(V343="","","|n"&amp;#REF!&amp;"+"&amp;V343)</f>
        <v/>
      </c>
      <c r="DC343" s="66" t="str">
        <f>IF(W343="","","|n"&amp;#REF!&amp;"+"&amp;W343)</f>
        <v/>
      </c>
      <c r="DD343" s="66" t="str">
        <f>IF(X343="","","|n"&amp;#REF!&amp;"+"&amp;X343)</f>
        <v/>
      </c>
      <c r="DE343" s="66" t="str">
        <f>IF(Y343="","","|n"&amp;#REF!&amp;"+"&amp;Y343)</f>
        <v/>
      </c>
      <c r="DF343" s="66" t="str">
        <f>IF(Z343="","","|n"&amp;#REF!&amp;"+"&amp;Z343)</f>
        <v/>
      </c>
      <c r="DG343" s="66" t="str">
        <f>IF(AA343="","","|n"&amp;#REF!&amp;"+"&amp;AA343)</f>
        <v/>
      </c>
      <c r="DH343" s="66" t="str">
        <f>IF(AB343="","","|n"&amp;#REF!&amp;"+"&amp;AB343)</f>
        <v/>
      </c>
      <c r="DI343" s="66" t="str">
        <f>IF(AC343="","","|n"&amp;#REF!&amp;"+"&amp;AC343&amp;"%")</f>
        <v/>
      </c>
      <c r="DJ343" s="66" t="str">
        <f>IF(AD343="","","|n"&amp;#REF!&amp;"+"&amp;AD343)</f>
        <v/>
      </c>
      <c r="DK343" s="66" t="str">
        <f>IF(AE343="","","|n"&amp;#REF!&amp;"+"&amp;AE343)</f>
        <v/>
      </c>
      <c r="DL343" s="66" t="str">
        <f>IF(AF343="","","|n"&amp;#REF!&amp;"+"&amp;AF343)</f>
        <v/>
      </c>
      <c r="DM343" s="66" t="str">
        <f>IF(AG343="","","|n"&amp;#REF!&amp;"+"&amp;AG343&amp;"%")</f>
        <v/>
      </c>
      <c r="DN343" s="66" t="str">
        <f>IF(AH343="","","|n"&amp;#REF!&amp;"+"&amp;AH343)</f>
        <v/>
      </c>
      <c r="DO343" s="66" t="str">
        <f>IF(AI343="","","|n"&amp;#REF!&amp;"+"&amp;AI343)</f>
        <v/>
      </c>
      <c r="DP343" s="66" t="str">
        <f>IF(AJ343="","","|n"&amp;#REF!&amp;"+"&amp;AJ343)</f>
        <v/>
      </c>
    </row>
    <row r="344" spans="92:120">
      <c r="CN344" s="36" t="str">
        <f t="shared" si="3951"/>
        <v>InitUnitState('',,,,,,,,,,)</v>
      </c>
      <c r="CO344" s="36" t="str">
        <f t="shared" si="3952"/>
        <v>InitUnitNormal('',,,,,,,,,,)</v>
      </c>
      <c r="CP344" s="36" t="str">
        <f t="shared" si="3953"/>
        <v>InitUnitMagic('',,,,,,,,,,)</v>
      </c>
      <c r="CQ344" s="36" t="str">
        <f t="shared" si="3954"/>
        <v>InitUnitAdd('',,,,,,,,,,)</v>
      </c>
      <c r="CR344" s="36" t="str">
        <f t="shared" si="3955"/>
        <v>InitEquipData('',,"",,,,,'','','','','','',"")</v>
      </c>
      <c r="CU344" s="19" t="str">
        <f t="shared" si="3950"/>
        <v>|n</v>
      </c>
      <c r="DB344" s="66" t="str">
        <f>IF(V344="","","|n"&amp;#REF!&amp;"+"&amp;V344)</f>
        <v/>
      </c>
      <c r="DC344" s="66" t="str">
        <f>IF(W344="","","|n"&amp;#REF!&amp;"+"&amp;W344)</f>
        <v/>
      </c>
      <c r="DD344" s="66" t="str">
        <f>IF(X344="","","|n"&amp;#REF!&amp;"+"&amp;X344)</f>
        <v/>
      </c>
      <c r="DE344" s="66" t="str">
        <f>IF(Y344="","","|n"&amp;#REF!&amp;"+"&amp;Y344)</f>
        <v/>
      </c>
      <c r="DF344" s="66" t="str">
        <f>IF(Z344="","","|n"&amp;#REF!&amp;"+"&amp;Z344)</f>
        <v/>
      </c>
      <c r="DG344" s="66" t="str">
        <f>IF(AA344="","","|n"&amp;#REF!&amp;"+"&amp;AA344)</f>
        <v/>
      </c>
      <c r="DH344" s="66" t="str">
        <f>IF(AB344="","","|n"&amp;#REF!&amp;"+"&amp;AB344)</f>
        <v/>
      </c>
      <c r="DI344" s="66" t="str">
        <f>IF(AC344="","","|n"&amp;#REF!&amp;"+"&amp;AC344&amp;"%")</f>
        <v/>
      </c>
      <c r="DJ344" s="66" t="str">
        <f>IF(AD344="","","|n"&amp;#REF!&amp;"+"&amp;AD344)</f>
        <v/>
      </c>
      <c r="DK344" s="66" t="str">
        <f>IF(AE344="","","|n"&amp;#REF!&amp;"+"&amp;AE344)</f>
        <v/>
      </c>
      <c r="DL344" s="66" t="str">
        <f>IF(AF344="","","|n"&amp;#REF!&amp;"+"&amp;AF344)</f>
        <v/>
      </c>
      <c r="DM344" s="66" t="str">
        <f>IF(AG344="","","|n"&amp;#REF!&amp;"+"&amp;AG344&amp;"%")</f>
        <v/>
      </c>
      <c r="DN344" s="66" t="str">
        <f>IF(AH344="","","|n"&amp;#REF!&amp;"+"&amp;AH344)</f>
        <v/>
      </c>
      <c r="DO344" s="66" t="str">
        <f>IF(AI344="","","|n"&amp;#REF!&amp;"+"&amp;AI344)</f>
        <v/>
      </c>
      <c r="DP344" s="66" t="str">
        <f>IF(AJ344="","","|n"&amp;#REF!&amp;"+"&amp;AJ344)</f>
        <v/>
      </c>
    </row>
    <row r="345" spans="92:120">
      <c r="CN345" s="36" t="str">
        <f t="shared" si="3951"/>
        <v>InitUnitState('',,,,,,,,,,)</v>
      </c>
      <c r="CO345" s="36" t="str">
        <f t="shared" si="3952"/>
        <v>InitUnitNormal('',,,,,,,,,,)</v>
      </c>
      <c r="CP345" s="36" t="str">
        <f t="shared" si="3953"/>
        <v>InitUnitMagic('',,,,,,,,,,)</v>
      </c>
      <c r="CQ345" s="36" t="str">
        <f t="shared" si="3954"/>
        <v>InitUnitAdd('',,,,,,,,,,)</v>
      </c>
      <c r="CR345" s="36" t="str">
        <f t="shared" si="3955"/>
        <v>InitEquipData('',,"",,,,,'','','','','','',"")</v>
      </c>
      <c r="CU345" s="19" t="str">
        <f t="shared" si="3950"/>
        <v>|n</v>
      </c>
      <c r="DB345" s="66" t="str">
        <f>IF(V345="","","|n"&amp;#REF!&amp;"+"&amp;V345)</f>
        <v/>
      </c>
      <c r="DC345" s="66" t="str">
        <f>IF(W345="","","|n"&amp;#REF!&amp;"+"&amp;W345)</f>
        <v/>
      </c>
      <c r="DD345" s="66" t="str">
        <f>IF(X345="","","|n"&amp;#REF!&amp;"+"&amp;X345)</f>
        <v/>
      </c>
      <c r="DE345" s="66" t="str">
        <f>IF(Y345="","","|n"&amp;#REF!&amp;"+"&amp;Y345)</f>
        <v/>
      </c>
      <c r="DF345" s="66" t="str">
        <f>IF(Z345="","","|n"&amp;#REF!&amp;"+"&amp;Z345)</f>
        <v/>
      </c>
      <c r="DG345" s="66" t="str">
        <f>IF(AA345="","","|n"&amp;#REF!&amp;"+"&amp;AA345)</f>
        <v/>
      </c>
      <c r="DH345" s="66" t="str">
        <f>IF(AB345="","","|n"&amp;#REF!&amp;"+"&amp;AB345)</f>
        <v/>
      </c>
      <c r="DI345" s="66" t="str">
        <f>IF(AC345="","","|n"&amp;#REF!&amp;"+"&amp;AC345&amp;"%")</f>
        <v/>
      </c>
      <c r="DJ345" s="66" t="str">
        <f>IF(AD345="","","|n"&amp;#REF!&amp;"+"&amp;AD345)</f>
        <v/>
      </c>
      <c r="DK345" s="66" t="str">
        <f>IF(AE345="","","|n"&amp;#REF!&amp;"+"&amp;AE345)</f>
        <v/>
      </c>
      <c r="DL345" s="66" t="str">
        <f>IF(AF345="","","|n"&amp;#REF!&amp;"+"&amp;AF345)</f>
        <v/>
      </c>
      <c r="DM345" s="66" t="str">
        <f>IF(AG345="","","|n"&amp;#REF!&amp;"+"&amp;AG345&amp;"%")</f>
        <v/>
      </c>
      <c r="DN345" s="66" t="str">
        <f>IF(AH345="","","|n"&amp;#REF!&amp;"+"&amp;AH345)</f>
        <v/>
      </c>
      <c r="DO345" s="66" t="str">
        <f>IF(AI345="","","|n"&amp;#REF!&amp;"+"&amp;AI345)</f>
        <v/>
      </c>
      <c r="DP345" s="66" t="str">
        <f>IF(AJ345="","","|n"&amp;#REF!&amp;"+"&amp;AJ345)</f>
        <v/>
      </c>
    </row>
  </sheetData>
  <mergeCells count="3">
    <mergeCell ref="F1:O1"/>
    <mergeCell ref="P1:S1"/>
    <mergeCell ref="T1:U1"/>
  </mergeCells>
  <phoneticPr fontId="3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819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820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物品!A156</f>
        <v>0</v>
      </c>
      <c r="B173" s="55" t="str">
        <f>"'"&amp;物品!B156&amp;"'"</f>
        <v>'IP01'</v>
      </c>
      <c r="C173" s="55">
        <f>物品!J156</f>
        <v>0</v>
      </c>
      <c r="D173" s="55">
        <f>物品!K156</f>
        <v>0</v>
      </c>
      <c r="E173" s="55">
        <f>物品!L156</f>
        <v>0</v>
      </c>
      <c r="F173" s="55">
        <f>物品!M156</f>
        <v>0</v>
      </c>
      <c r="G173" s="55">
        <f>物品!N156</f>
        <v>0</v>
      </c>
      <c r="H173" s="55">
        <f>物品!O156</f>
        <v>0</v>
      </c>
      <c r="I173" s="55">
        <f>IF(物品!J156=0,0,"'"&amp;物品!J156&amp;"'")</f>
        <v>0</v>
      </c>
      <c r="J173" s="55">
        <f>IF(物品!K156=0,0,"'"&amp;物品!K156&amp;"'")</f>
        <v>0</v>
      </c>
      <c r="K173" s="55">
        <f>IF(物品!L156=0,0,"'"&amp;物品!L156&amp;"'")</f>
        <v>0</v>
      </c>
      <c r="L173" s="55">
        <f>IF(物品!M156=0,0,"'"&amp;物品!M156&amp;"'")</f>
        <v>0</v>
      </c>
      <c r="M173" s="55">
        <f>IF(物品!N156=0,0,"'"&amp;物品!N156&amp;"'")</f>
        <v>0</v>
      </c>
      <c r="N173" s="55">
        <f>IF(物品!O156=0,0,"'"&amp;物品!O156&amp;"'")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物品!A157</f>
        <v>0</v>
      </c>
      <c r="B174" s="55" t="str">
        <f>"'"&amp;物品!B157&amp;"'"</f>
        <v>'IP02'</v>
      </c>
      <c r="C174" s="55">
        <f>物品!J157</f>
        <v>0</v>
      </c>
      <c r="D174" s="55">
        <f>物品!K157</f>
        <v>0</v>
      </c>
      <c r="E174" s="55">
        <f>物品!L157</f>
        <v>0</v>
      </c>
      <c r="F174" s="55">
        <f>物品!M157</f>
        <v>0</v>
      </c>
      <c r="G174" s="55">
        <f>物品!N157</f>
        <v>0</v>
      </c>
      <c r="H174" s="55">
        <f>物品!O157</f>
        <v>0</v>
      </c>
      <c r="I174" s="55">
        <f>IF(物品!J157=0,0,"'"&amp;物品!J157&amp;"'")</f>
        <v>0</v>
      </c>
      <c r="J174" s="55">
        <f>IF(物品!K157=0,0,"'"&amp;物品!K157&amp;"'")</f>
        <v>0</v>
      </c>
      <c r="K174" s="55">
        <f>IF(物品!L157=0,0,"'"&amp;物品!L157&amp;"'")</f>
        <v>0</v>
      </c>
      <c r="L174" s="55">
        <f>IF(物品!M157=0,0,"'"&amp;物品!M157&amp;"'")</f>
        <v>0</v>
      </c>
      <c r="M174" s="55">
        <f>IF(物品!N157=0,0,"'"&amp;物品!N157&amp;"'")</f>
        <v>0</v>
      </c>
      <c r="N174" s="55">
        <f>IF(物品!O157=0,0,"'"&amp;物品!O157&amp;"'")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物品!A158</f>
        <v>0</v>
      </c>
      <c r="B175" s="55" t="str">
        <f>"'"&amp;物品!B158&amp;"'"</f>
        <v>'IP03'</v>
      </c>
      <c r="C175" s="55">
        <f>物品!J158</f>
        <v>0</v>
      </c>
      <c r="D175" s="55">
        <f>物品!K158</f>
        <v>0</v>
      </c>
      <c r="E175" s="55">
        <f>物品!L158</f>
        <v>0</v>
      </c>
      <c r="F175" s="55">
        <f>物品!M158</f>
        <v>0</v>
      </c>
      <c r="G175" s="55">
        <f>物品!N158</f>
        <v>0</v>
      </c>
      <c r="H175" s="55">
        <f>物品!O158</f>
        <v>0</v>
      </c>
      <c r="I175" s="55">
        <f>IF(物品!J158=0,0,"'"&amp;物品!J158&amp;"'")</f>
        <v>0</v>
      </c>
      <c r="J175" s="55">
        <f>IF(物品!K158=0,0,"'"&amp;物品!K158&amp;"'")</f>
        <v>0</v>
      </c>
      <c r="K175" s="55">
        <f>IF(物品!L158=0,0,"'"&amp;物品!L158&amp;"'")</f>
        <v>0</v>
      </c>
      <c r="L175" s="55">
        <f>IF(物品!M158=0,0,"'"&amp;物品!M158&amp;"'")</f>
        <v>0</v>
      </c>
      <c r="M175" s="55">
        <f>IF(物品!N158=0,0,"'"&amp;物品!N158&amp;"'")</f>
        <v>0</v>
      </c>
      <c r="N175" s="55">
        <f>IF(物品!O158=0,0,"'"&amp;物品!O158&amp;"'")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物品!A165</f>
        <v>0</v>
      </c>
      <c r="B176" s="55" t="str">
        <f>"'"&amp;物品!B165&amp;"'"</f>
        <v>'IT01'</v>
      </c>
      <c r="C176" s="55">
        <f>物品!J165</f>
        <v>0</v>
      </c>
      <c r="D176" s="55">
        <f>物品!K165</f>
        <v>0</v>
      </c>
      <c r="E176" s="55">
        <f>物品!L165</f>
        <v>0</v>
      </c>
      <c r="F176" s="55">
        <f>物品!M165</f>
        <v>0</v>
      </c>
      <c r="G176" s="55">
        <f>物品!N165</f>
        <v>0</v>
      </c>
      <c r="H176" s="55">
        <f>物品!O165</f>
        <v>0</v>
      </c>
      <c r="I176" s="55">
        <f>IF(物品!J165=0,0,"'"&amp;物品!J165&amp;"'")</f>
        <v>0</v>
      </c>
      <c r="J176" s="55">
        <f>IF(物品!K165=0,0,"'"&amp;物品!K165&amp;"'")</f>
        <v>0</v>
      </c>
      <c r="K176" s="55">
        <f>IF(物品!L165=0,0,"'"&amp;物品!L165&amp;"'")</f>
        <v>0</v>
      </c>
      <c r="L176" s="55">
        <f>IF(物品!M165=0,0,"'"&amp;物品!M165&amp;"'")</f>
        <v>0</v>
      </c>
      <c r="M176" s="55">
        <f>IF(物品!N165=0,0,"'"&amp;物品!N165&amp;"'")</f>
        <v>0</v>
      </c>
      <c r="N176" s="55">
        <f>IF(物品!O165=0,0,"'"&amp;物品!O165&amp;"'")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物品!A166</f>
        <v>0</v>
      </c>
      <c r="B177" s="55" t="str">
        <f>"'"&amp;物品!B166&amp;"'"</f>
        <v>'IT02'</v>
      </c>
      <c r="C177" s="55">
        <f>物品!J166</f>
        <v>0</v>
      </c>
      <c r="D177" s="55">
        <f>物品!K166</f>
        <v>0</v>
      </c>
      <c r="E177" s="55">
        <f>物品!L166</f>
        <v>0</v>
      </c>
      <c r="F177" s="55">
        <f>物品!M166</f>
        <v>0</v>
      </c>
      <c r="G177" s="55">
        <f>物品!N166</f>
        <v>0</v>
      </c>
      <c r="H177" s="55">
        <f>物品!O166</f>
        <v>0</v>
      </c>
      <c r="I177" s="55">
        <f>IF(物品!J166=0,0,"'"&amp;物品!J166&amp;"'")</f>
        <v>0</v>
      </c>
      <c r="J177" s="55">
        <f>IF(物品!K166=0,0,"'"&amp;物品!K166&amp;"'")</f>
        <v>0</v>
      </c>
      <c r="K177" s="55">
        <f>IF(物品!L166=0,0,"'"&amp;物品!L166&amp;"'")</f>
        <v>0</v>
      </c>
      <c r="L177" s="55">
        <f>IF(物品!M166=0,0,"'"&amp;物品!M166&amp;"'")</f>
        <v>0</v>
      </c>
      <c r="M177" s="55">
        <f>IF(物品!N166=0,0,"'"&amp;物品!N166&amp;"'")</f>
        <v>0</v>
      </c>
      <c r="N177" s="55">
        <f>IF(物品!O166=0,0,"'"&amp;物品!O166&amp;"'")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物品!A167</f>
        <v>0</v>
      </c>
      <c r="B178" s="55" t="str">
        <f>"'"&amp;物品!B167&amp;"'"</f>
        <v>'IT03'</v>
      </c>
      <c r="C178" s="55">
        <f>物品!J167</f>
        <v>0</v>
      </c>
      <c r="D178" s="55">
        <f>物品!K167</f>
        <v>0</v>
      </c>
      <c r="E178" s="55">
        <f>物品!L167</f>
        <v>0</v>
      </c>
      <c r="F178" s="55">
        <f>物品!M167</f>
        <v>0</v>
      </c>
      <c r="G178" s="55">
        <f>物品!N167</f>
        <v>0</v>
      </c>
      <c r="H178" s="55">
        <f>物品!O167</f>
        <v>0</v>
      </c>
      <c r="I178" s="55">
        <f>IF(物品!J167=0,0,"'"&amp;物品!J167&amp;"'")</f>
        <v>0</v>
      </c>
      <c r="J178" s="55">
        <f>IF(物品!K167=0,0,"'"&amp;物品!K167&amp;"'")</f>
        <v>0</v>
      </c>
      <c r="K178" s="55">
        <f>IF(物品!L167=0,0,"'"&amp;物品!L167&amp;"'")</f>
        <v>0</v>
      </c>
      <c r="L178" s="55">
        <f>IF(物品!M167=0,0,"'"&amp;物品!M167&amp;"'")</f>
        <v>0</v>
      </c>
      <c r="M178" s="55">
        <f>IF(物品!N167=0,0,"'"&amp;物品!N167&amp;"'")</f>
        <v>0</v>
      </c>
      <c r="N178" s="55">
        <f>IF(物品!O167=0,0,"'"&amp;物品!O167&amp;"'")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物品!A168</f>
        <v>0</v>
      </c>
      <c r="B179" s="55" t="str">
        <f>"'"&amp;物品!B168&amp;"'"</f>
        <v>'IT04'</v>
      </c>
      <c r="C179" s="55">
        <f>物品!J168</f>
        <v>0</v>
      </c>
      <c r="D179" s="55">
        <f>物品!K168</f>
        <v>0</v>
      </c>
      <c r="E179" s="55">
        <f>物品!L168</f>
        <v>0</v>
      </c>
      <c r="F179" s="55">
        <f>物品!M168</f>
        <v>0</v>
      </c>
      <c r="G179" s="55">
        <f>物品!N168</f>
        <v>0</v>
      </c>
      <c r="H179" s="55">
        <f>物品!O168</f>
        <v>0</v>
      </c>
      <c r="I179" s="55">
        <f>IF(物品!J168=0,0,"'"&amp;物品!J168&amp;"'")</f>
        <v>0</v>
      </c>
      <c r="J179" s="55">
        <f>IF(物品!K168=0,0,"'"&amp;物品!K168&amp;"'")</f>
        <v>0</v>
      </c>
      <c r="K179" s="55">
        <f>IF(物品!L168=0,0,"'"&amp;物品!L168&amp;"'")</f>
        <v>0</v>
      </c>
      <c r="L179" s="55">
        <f>IF(物品!M168=0,0,"'"&amp;物品!M168&amp;"'")</f>
        <v>0</v>
      </c>
      <c r="M179" s="55">
        <f>IF(物品!N168=0,0,"'"&amp;物品!N168&amp;"'")</f>
        <v>0</v>
      </c>
      <c r="N179" s="55">
        <f>IF(物品!O168=0,0,"'"&amp;物品!O168&amp;"'")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物品!A169</f>
        <v>0</v>
      </c>
      <c r="B180" s="55" t="str">
        <f>"'"&amp;物品!B169&amp;"'"</f>
        <v>'IT05'</v>
      </c>
      <c r="C180" s="55">
        <f>物品!J169</f>
        <v>0</v>
      </c>
      <c r="D180" s="55">
        <f>物品!K169</f>
        <v>0</v>
      </c>
      <c r="E180" s="55">
        <f>物品!L169</f>
        <v>0</v>
      </c>
      <c r="F180" s="55">
        <f>物品!M169</f>
        <v>0</v>
      </c>
      <c r="G180" s="55">
        <f>物品!N169</f>
        <v>0</v>
      </c>
      <c r="H180" s="55">
        <f>物品!O169</f>
        <v>0</v>
      </c>
      <c r="I180" s="55">
        <f>IF(物品!J169=0,0,"'"&amp;物品!J169&amp;"'")</f>
        <v>0</v>
      </c>
      <c r="J180" s="55">
        <f>IF(物品!K169=0,0,"'"&amp;物品!K169&amp;"'")</f>
        <v>0</v>
      </c>
      <c r="K180" s="55">
        <f>IF(物品!L169=0,0,"'"&amp;物品!L169&amp;"'")</f>
        <v>0</v>
      </c>
      <c r="L180" s="55">
        <f>IF(物品!M169=0,0,"'"&amp;物品!M169&amp;"'")</f>
        <v>0</v>
      </c>
      <c r="M180" s="55">
        <f>IF(物品!N169=0,0,"'"&amp;物品!N169&amp;"'")</f>
        <v>0</v>
      </c>
      <c r="N180" s="55">
        <f>IF(物品!O169=0,0,"'"&amp;物品!O169&amp;"'")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物品!A170</f>
        <v>0</v>
      </c>
      <c r="B181" s="55" t="str">
        <f>"'"&amp;物品!B170&amp;"'"</f>
        <v>'IT06'</v>
      </c>
      <c r="C181" s="55">
        <f>物品!J170</f>
        <v>0</v>
      </c>
      <c r="D181" s="55">
        <f>物品!K170</f>
        <v>0</v>
      </c>
      <c r="E181" s="55">
        <f>物品!L170</f>
        <v>0</v>
      </c>
      <c r="F181" s="55">
        <f>物品!M170</f>
        <v>0</v>
      </c>
      <c r="G181" s="55">
        <f>物品!N170</f>
        <v>0</v>
      </c>
      <c r="H181" s="55">
        <f>物品!O170</f>
        <v>0</v>
      </c>
      <c r="I181" s="55">
        <f>IF(物品!J170=0,0,"'"&amp;物品!J170&amp;"'")</f>
        <v>0</v>
      </c>
      <c r="J181" s="55">
        <f>IF(物品!K170=0,0,"'"&amp;物品!K170&amp;"'")</f>
        <v>0</v>
      </c>
      <c r="K181" s="55">
        <f>IF(物品!L170=0,0,"'"&amp;物品!L170&amp;"'")</f>
        <v>0</v>
      </c>
      <c r="L181" s="55">
        <f>IF(物品!M170=0,0,"'"&amp;物品!M170&amp;"'")</f>
        <v>0</v>
      </c>
      <c r="M181" s="55">
        <f>IF(物品!N170=0,0,"'"&amp;物品!N170&amp;"'")</f>
        <v>0</v>
      </c>
      <c r="N181" s="55">
        <f>IF(物品!O170=0,0,"'"&amp;物品!O170&amp;"'")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物品!A171</f>
        <v>0</v>
      </c>
      <c r="B182" s="55" t="str">
        <f>"'"&amp;物品!B171&amp;"'"</f>
        <v>'IT07'</v>
      </c>
      <c r="C182" s="55">
        <f>物品!J171</f>
        <v>0</v>
      </c>
      <c r="D182" s="55">
        <f>物品!K171</f>
        <v>0</v>
      </c>
      <c r="E182" s="55">
        <f>物品!L171</f>
        <v>0</v>
      </c>
      <c r="F182" s="55">
        <f>物品!M171</f>
        <v>0</v>
      </c>
      <c r="G182" s="55">
        <f>物品!N171</f>
        <v>0</v>
      </c>
      <c r="H182" s="55">
        <f>物品!O171</f>
        <v>0</v>
      </c>
      <c r="I182" s="55">
        <f>IF(物品!J171=0,0,"'"&amp;物品!J171&amp;"'")</f>
        <v>0</v>
      </c>
      <c r="J182" s="55">
        <f>IF(物品!K171=0,0,"'"&amp;物品!K171&amp;"'")</f>
        <v>0</v>
      </c>
      <c r="K182" s="55">
        <f>IF(物品!L171=0,0,"'"&amp;物品!L171&amp;"'")</f>
        <v>0</v>
      </c>
      <c r="L182" s="55">
        <f>IF(物品!M171=0,0,"'"&amp;物品!M171&amp;"'")</f>
        <v>0</v>
      </c>
      <c r="M182" s="55">
        <f>IF(物品!N171=0,0,"'"&amp;物品!N171&amp;"'")</f>
        <v>0</v>
      </c>
      <c r="N182" s="55">
        <f>IF(物品!O171=0,0,"'"&amp;物品!O171&amp;"'")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物品!A172</f>
        <v>.</v>
      </c>
      <c r="B183" s="55" t="str">
        <f>"'"&amp;物品!B172&amp;"'"</f>
        <v>'IT08'</v>
      </c>
      <c r="C183" s="55">
        <f>物品!J172</f>
        <v>0</v>
      </c>
      <c r="D183" s="55">
        <f>物品!K172</f>
        <v>0</v>
      </c>
      <c r="E183" s="55">
        <f>物品!L172</f>
        <v>0</v>
      </c>
      <c r="F183" s="55">
        <f>物品!M172</f>
        <v>0</v>
      </c>
      <c r="G183" s="55">
        <f>物品!N172</f>
        <v>0</v>
      </c>
      <c r="H183" s="55">
        <f>物品!O172</f>
        <v>0</v>
      </c>
      <c r="I183" s="55">
        <f>IF(物品!J172=0,0,"'"&amp;物品!J172&amp;"'")</f>
        <v>0</v>
      </c>
      <c r="J183" s="55">
        <f>IF(物品!K172=0,0,"'"&amp;物品!K172&amp;"'")</f>
        <v>0</v>
      </c>
      <c r="K183" s="55">
        <f>IF(物品!L172=0,0,"'"&amp;物品!L172&amp;"'")</f>
        <v>0</v>
      </c>
      <c r="L183" s="55">
        <f>IF(物品!M172=0,0,"'"&amp;物品!M172&amp;"'")</f>
        <v>0</v>
      </c>
      <c r="M183" s="55">
        <f>IF(物品!N172=0,0,"'"&amp;物品!N172&amp;"'")</f>
        <v>0</v>
      </c>
      <c r="N183" s="55">
        <f>IF(物品!O172=0,0,"'"&amp;物品!O172&amp;"'")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物品!A173</f>
        <v>0</v>
      </c>
      <c r="B184" s="55" t="str">
        <f>"'"&amp;物品!B173&amp;"'"</f>
        <v>'IT09'</v>
      </c>
      <c r="C184" s="55">
        <f>物品!J173</f>
        <v>0</v>
      </c>
      <c r="D184" s="55">
        <f>物品!K173</f>
        <v>0</v>
      </c>
      <c r="E184" s="55">
        <f>物品!L173</f>
        <v>0</v>
      </c>
      <c r="F184" s="55">
        <f>物品!M173</f>
        <v>0</v>
      </c>
      <c r="G184" s="55">
        <f>物品!N173</f>
        <v>0</v>
      </c>
      <c r="H184" s="55">
        <f>物品!O173</f>
        <v>0</v>
      </c>
      <c r="I184" s="55">
        <f>IF(物品!J173=0,0,"'"&amp;物品!J173&amp;"'")</f>
        <v>0</v>
      </c>
      <c r="J184" s="55">
        <f>IF(物品!K173=0,0,"'"&amp;物品!K173&amp;"'")</f>
        <v>0</v>
      </c>
      <c r="K184" s="55">
        <f>IF(物品!L173=0,0,"'"&amp;物品!L173&amp;"'")</f>
        <v>0</v>
      </c>
      <c r="L184" s="55">
        <f>IF(物品!M173=0,0,"'"&amp;物品!M173&amp;"'")</f>
        <v>0</v>
      </c>
      <c r="M184" s="55">
        <f>IF(物品!N173=0,0,"'"&amp;物品!N173&amp;"'")</f>
        <v>0</v>
      </c>
      <c r="N184" s="55">
        <f>IF(物品!O173=0,0,"'"&amp;物品!O173&amp;"'")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物品!A174</f>
        <v>0</v>
      </c>
      <c r="B185" s="55" t="str">
        <f>"'"&amp;物品!B174&amp;"'"</f>
        <v>'IT10'</v>
      </c>
      <c r="C185" s="55">
        <f>物品!J174</f>
        <v>0</v>
      </c>
      <c r="D185" s="55">
        <f>物品!K174</f>
        <v>0</v>
      </c>
      <c r="E185" s="55">
        <f>物品!L174</f>
        <v>0</v>
      </c>
      <c r="F185" s="55">
        <f>物品!M174</f>
        <v>0</v>
      </c>
      <c r="G185" s="55">
        <f>物品!N174</f>
        <v>0</v>
      </c>
      <c r="H185" s="55">
        <f>物品!O174</f>
        <v>0</v>
      </c>
      <c r="I185" s="55">
        <f>IF(物品!J174=0,0,"'"&amp;物品!J174&amp;"'")</f>
        <v>0</v>
      </c>
      <c r="J185" s="55">
        <f>IF(物品!K174=0,0,"'"&amp;物品!K174&amp;"'")</f>
        <v>0</v>
      </c>
      <c r="K185" s="55">
        <f>IF(物品!L174=0,0,"'"&amp;物品!L174&amp;"'")</f>
        <v>0</v>
      </c>
      <c r="L185" s="55">
        <f>IF(物品!M174=0,0,"'"&amp;物品!M174&amp;"'")</f>
        <v>0</v>
      </c>
      <c r="M185" s="55">
        <f>IF(物品!N174=0,0,"'"&amp;物品!N174&amp;"'")</f>
        <v>0</v>
      </c>
      <c r="N185" s="55">
        <f>IF(物品!O174=0,0,"'"&amp;物品!O174&amp;"'")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物品!A186</f>
        <v>0</v>
      </c>
      <c r="B186" s="55" t="str">
        <f>"'"&amp;物品!B186&amp;"'"</f>
        <v>'IS02'</v>
      </c>
      <c r="C186" s="55">
        <f>物品!J186</f>
        <v>0</v>
      </c>
      <c r="D186" s="55">
        <f>物品!K186</f>
        <v>0</v>
      </c>
      <c r="E186" s="55">
        <f>物品!L186</f>
        <v>0</v>
      </c>
      <c r="F186" s="55">
        <f>物品!M186</f>
        <v>0</v>
      </c>
      <c r="G186" s="55">
        <f>物品!N186</f>
        <v>0</v>
      </c>
      <c r="H186" s="55">
        <f>物品!O186</f>
        <v>0</v>
      </c>
      <c r="I186" s="55">
        <f>IF(物品!J186=0,0,"'"&amp;物品!J186&amp;"'")</f>
        <v>0</v>
      </c>
      <c r="J186" s="55">
        <f>IF(物品!K186=0,0,"'"&amp;物品!K186&amp;"'")</f>
        <v>0</v>
      </c>
      <c r="K186" s="55">
        <f>IF(物品!L186=0,0,"'"&amp;物品!L186&amp;"'")</f>
        <v>0</v>
      </c>
      <c r="L186" s="55">
        <f>IF(物品!M186=0,0,"'"&amp;物品!M186&amp;"'")</f>
        <v>0</v>
      </c>
      <c r="M186" s="55">
        <f>IF(物品!N186=0,0,"'"&amp;物品!N186&amp;"'")</f>
        <v>0</v>
      </c>
      <c r="N186" s="55">
        <f>IF(物品!O186=0,0,"'"&amp;物品!O186&amp;"'")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物品!A187</f>
        <v>0</v>
      </c>
      <c r="B187" s="55" t="str">
        <f>"'"&amp;物品!B187&amp;"'"</f>
        <v>'IS03'</v>
      </c>
      <c r="C187" s="55">
        <f>物品!J187</f>
        <v>0</v>
      </c>
      <c r="D187" s="55">
        <f>物品!K187</f>
        <v>0</v>
      </c>
      <c r="E187" s="55">
        <f>物品!L187</f>
        <v>0</v>
      </c>
      <c r="F187" s="55">
        <f>物品!M187</f>
        <v>0</v>
      </c>
      <c r="G187" s="55">
        <f>物品!N187</f>
        <v>0</v>
      </c>
      <c r="H187" s="55">
        <f>物品!O187</f>
        <v>0</v>
      </c>
      <c r="I187" s="55">
        <f>IF(物品!J187=0,0,"'"&amp;物品!J187&amp;"'")</f>
        <v>0</v>
      </c>
      <c r="J187" s="55">
        <f>IF(物品!K187=0,0,"'"&amp;物品!K187&amp;"'")</f>
        <v>0</v>
      </c>
      <c r="K187" s="55">
        <f>IF(物品!L187=0,0,"'"&amp;物品!L187&amp;"'")</f>
        <v>0</v>
      </c>
      <c r="L187" s="55">
        <f>IF(物品!M187=0,0,"'"&amp;物品!M187&amp;"'")</f>
        <v>0</v>
      </c>
      <c r="M187" s="55">
        <f>IF(物品!N187=0,0,"'"&amp;物品!N187&amp;"'")</f>
        <v>0</v>
      </c>
      <c r="N187" s="55">
        <f>IF(物品!O187=0,0,"'"&amp;物品!O187&amp;"'")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物品!A195</f>
        <v>0</v>
      </c>
      <c r="B190" s="55" t="str">
        <f>"'"&amp;物品!B195&amp;"'"</f>
        <v>'IS12'</v>
      </c>
      <c r="C190" s="55">
        <f>物品!J195</f>
        <v>0</v>
      </c>
      <c r="D190" s="55">
        <f>物品!K195</f>
        <v>0</v>
      </c>
      <c r="E190" s="55">
        <f>物品!L195</f>
        <v>0</v>
      </c>
      <c r="F190" s="55">
        <f>物品!M195</f>
        <v>0</v>
      </c>
      <c r="G190" s="55">
        <f>物品!N195</f>
        <v>0</v>
      </c>
      <c r="H190" s="55">
        <f>物品!O195</f>
        <v>0</v>
      </c>
      <c r="I190" s="55">
        <f>IF(物品!J195=0,0,"'"&amp;物品!J195&amp;"'")</f>
        <v>0</v>
      </c>
      <c r="J190" s="55">
        <f>IF(物品!K195=0,0,"'"&amp;物品!K195&amp;"'")</f>
        <v>0</v>
      </c>
      <c r="K190" s="55">
        <f>IF(物品!L195=0,0,"'"&amp;物品!L195&amp;"'")</f>
        <v>0</v>
      </c>
      <c r="L190" s="55">
        <f>IF(物品!M195=0,0,"'"&amp;物品!M195&amp;"'")</f>
        <v>0</v>
      </c>
      <c r="M190" s="55">
        <f>IF(物品!N195=0,0,"'"&amp;物品!N195&amp;"'")</f>
        <v>0</v>
      </c>
      <c r="N190" s="55">
        <f>IF(物品!O195=0,0,"'"&amp;物品!O195&amp;"'")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物品!A223</f>
        <v>0</v>
      </c>
      <c r="B199" s="55" t="str">
        <f>"'"&amp;物品!B223&amp;"'"</f>
        <v>'IF01'</v>
      </c>
      <c r="C199" s="55">
        <f>物品!J223</f>
        <v>0</v>
      </c>
      <c r="D199" s="55">
        <f>物品!K223</f>
        <v>0</v>
      </c>
      <c r="E199" s="55">
        <f>物品!L223</f>
        <v>0</v>
      </c>
      <c r="F199" s="55">
        <f>物品!M223</f>
        <v>0</v>
      </c>
      <c r="G199" s="55">
        <f>物品!N223</f>
        <v>0</v>
      </c>
      <c r="H199" s="55">
        <f>物品!O223</f>
        <v>0</v>
      </c>
      <c r="I199" s="55">
        <f>IF(物品!J223=0,0,"'"&amp;物品!J223&amp;"'")</f>
        <v>0</v>
      </c>
      <c r="J199" s="55">
        <f>IF(物品!K223=0,0,"'"&amp;物品!K223&amp;"'")</f>
        <v>0</v>
      </c>
      <c r="K199" s="55">
        <f>IF(物品!L223=0,0,"'"&amp;物品!L223&amp;"'")</f>
        <v>0</v>
      </c>
      <c r="L199" s="55">
        <f>IF(物品!M223=0,0,"'"&amp;物品!M223&amp;"'")</f>
        <v>0</v>
      </c>
      <c r="M199" s="55">
        <f>IF(物品!N223=0,0,"'"&amp;物品!N223&amp;"'")</f>
        <v>0</v>
      </c>
      <c r="N199" s="55">
        <f>IF(物品!O223=0,0,"'"&amp;物品!O223&amp;"'")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物品!A224</f>
        <v>0</v>
      </c>
      <c r="B200" s="55" t="str">
        <f>"'"&amp;物品!B224&amp;"'"</f>
        <v>'IF02'</v>
      </c>
      <c r="C200" s="55">
        <f>物品!J224</f>
        <v>0</v>
      </c>
      <c r="D200" s="55">
        <f>物品!K224</f>
        <v>0</v>
      </c>
      <c r="E200" s="55">
        <f>物品!L224</f>
        <v>0</v>
      </c>
      <c r="F200" s="55">
        <f>物品!M224</f>
        <v>0</v>
      </c>
      <c r="G200" s="55">
        <f>物品!N224</f>
        <v>0</v>
      </c>
      <c r="H200" s="55">
        <f>物品!O224</f>
        <v>0</v>
      </c>
      <c r="I200" s="55">
        <f>IF(物品!J224=0,0,"'"&amp;物品!J224&amp;"'")</f>
        <v>0</v>
      </c>
      <c r="J200" s="55">
        <f>IF(物品!K224=0,0,"'"&amp;物品!K224&amp;"'")</f>
        <v>0</v>
      </c>
      <c r="K200" s="55">
        <f>IF(物品!L224=0,0,"'"&amp;物品!L224&amp;"'")</f>
        <v>0</v>
      </c>
      <c r="L200" s="55">
        <f>IF(物品!M224=0,0,"'"&amp;物品!M224&amp;"'")</f>
        <v>0</v>
      </c>
      <c r="M200" s="55">
        <f>IF(物品!N224=0,0,"'"&amp;物品!N224&amp;"'")</f>
        <v>0</v>
      </c>
      <c r="N200" s="55">
        <f>IF(物品!O224=0,0,"'"&amp;物品!O224&amp;"'")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物品!A225</f>
        <v>0</v>
      </c>
      <c r="B201" s="55" t="str">
        <f>"'"&amp;物品!B225&amp;"'"</f>
        <v>'IF03'</v>
      </c>
      <c r="C201" s="55">
        <f>物品!J225</f>
        <v>0</v>
      </c>
      <c r="D201" s="55">
        <f>物品!K225</f>
        <v>0</v>
      </c>
      <c r="E201" s="55">
        <f>物品!L225</f>
        <v>0</v>
      </c>
      <c r="F201" s="55">
        <f>物品!M225</f>
        <v>0</v>
      </c>
      <c r="G201" s="55">
        <f>物品!N225</f>
        <v>0</v>
      </c>
      <c r="H201" s="55">
        <f>物品!O225</f>
        <v>0</v>
      </c>
      <c r="I201" s="55">
        <f>IF(物品!J225=0,0,"'"&amp;物品!J225&amp;"'")</f>
        <v>0</v>
      </c>
      <c r="J201" s="55">
        <f>IF(物品!K225=0,0,"'"&amp;物品!K225&amp;"'")</f>
        <v>0</v>
      </c>
      <c r="K201" s="55">
        <f>IF(物品!L225=0,0,"'"&amp;物品!L225&amp;"'")</f>
        <v>0</v>
      </c>
      <c r="L201" s="55">
        <f>IF(物品!M225=0,0,"'"&amp;物品!M225&amp;"'")</f>
        <v>0</v>
      </c>
      <c r="M201" s="55">
        <f>IF(物品!N225=0,0,"'"&amp;物品!N225&amp;"'")</f>
        <v>0</v>
      </c>
      <c r="N201" s="55">
        <f>IF(物品!O225=0,0,"'"&amp;物品!O225&amp;"'")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物品!A226</f>
        <v>0</v>
      </c>
      <c r="B202" s="55" t="str">
        <f>"'"&amp;物品!B226&amp;"'"</f>
        <v>'IF04'</v>
      </c>
      <c r="C202" s="55">
        <f>物品!J226</f>
        <v>0</v>
      </c>
      <c r="D202" s="55">
        <f>物品!K226</f>
        <v>0</v>
      </c>
      <c r="E202" s="55">
        <f>物品!L226</f>
        <v>0</v>
      </c>
      <c r="F202" s="55">
        <f>物品!M226</f>
        <v>0</v>
      </c>
      <c r="G202" s="55">
        <f>物品!N226</f>
        <v>0</v>
      </c>
      <c r="H202" s="55">
        <f>物品!O226</f>
        <v>0</v>
      </c>
      <c r="I202" s="55">
        <f>IF(物品!J226=0,0,"'"&amp;物品!J226&amp;"'")</f>
        <v>0</v>
      </c>
      <c r="J202" s="55">
        <f>IF(物品!K226=0,0,"'"&amp;物品!K226&amp;"'")</f>
        <v>0</v>
      </c>
      <c r="K202" s="55">
        <f>IF(物品!L226=0,0,"'"&amp;物品!L226&amp;"'")</f>
        <v>0</v>
      </c>
      <c r="L202" s="55">
        <f>IF(物品!M226=0,0,"'"&amp;物品!M226&amp;"'")</f>
        <v>0</v>
      </c>
      <c r="M202" s="55">
        <f>IF(物品!N226=0,0,"'"&amp;物品!N226&amp;"'")</f>
        <v>0</v>
      </c>
      <c r="N202" s="55">
        <f>IF(物品!O226=0,0,"'"&amp;物品!O226&amp;"'")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物品!A227</f>
        <v>0</v>
      </c>
      <c r="B203" s="55" t="str">
        <f>"'"&amp;物品!B227&amp;"'"</f>
        <v>'IF05'</v>
      </c>
      <c r="C203" s="55">
        <f>物品!J227</f>
        <v>0</v>
      </c>
      <c r="D203" s="55">
        <f>物品!K227</f>
        <v>0</v>
      </c>
      <c r="E203" s="55">
        <f>物品!L227</f>
        <v>0</v>
      </c>
      <c r="F203" s="55">
        <f>物品!M227</f>
        <v>0</v>
      </c>
      <c r="G203" s="55">
        <f>物品!N227</f>
        <v>0</v>
      </c>
      <c r="H203" s="55">
        <f>物品!O227</f>
        <v>0</v>
      </c>
      <c r="I203" s="55">
        <f>IF(物品!J227=0,0,"'"&amp;物品!J227&amp;"'")</f>
        <v>0</v>
      </c>
      <c r="J203" s="55">
        <f>IF(物品!K227=0,0,"'"&amp;物品!K227&amp;"'")</f>
        <v>0</v>
      </c>
      <c r="K203" s="55">
        <f>IF(物品!L227=0,0,"'"&amp;物品!L227&amp;"'")</f>
        <v>0</v>
      </c>
      <c r="L203" s="55">
        <f>IF(物品!M227=0,0,"'"&amp;物品!M227&amp;"'")</f>
        <v>0</v>
      </c>
      <c r="M203" s="55">
        <f>IF(物品!N227=0,0,"'"&amp;物品!N227&amp;"'")</f>
        <v>0</v>
      </c>
      <c r="N203" s="55">
        <f>IF(物品!O227=0,0,"'"&amp;物品!O227&amp;"'")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物品!A228</f>
        <v>0</v>
      </c>
      <c r="B204" s="55" t="str">
        <f>"'"&amp;物品!B228&amp;"'"</f>
        <v>'IF06'</v>
      </c>
      <c r="C204" s="55">
        <f>物品!J228</f>
        <v>0</v>
      </c>
      <c r="D204" s="55">
        <f>物品!K228</f>
        <v>0</v>
      </c>
      <c r="E204" s="55">
        <f>物品!L228</f>
        <v>0</v>
      </c>
      <c r="F204" s="55">
        <f>物品!M228</f>
        <v>0</v>
      </c>
      <c r="G204" s="55">
        <f>物品!N228</f>
        <v>0</v>
      </c>
      <c r="H204" s="55">
        <f>物品!O228</f>
        <v>0</v>
      </c>
      <c r="I204" s="55">
        <f>IF(物品!J228=0,0,"'"&amp;物品!J228&amp;"'")</f>
        <v>0</v>
      </c>
      <c r="J204" s="55">
        <f>IF(物品!K228=0,0,"'"&amp;物品!K228&amp;"'")</f>
        <v>0</v>
      </c>
      <c r="K204" s="55">
        <f>IF(物品!L228=0,0,"'"&amp;物品!L228&amp;"'")</f>
        <v>0</v>
      </c>
      <c r="L204" s="55">
        <f>IF(物品!M228=0,0,"'"&amp;物品!M228&amp;"'")</f>
        <v>0</v>
      </c>
      <c r="M204" s="55">
        <f>IF(物品!N228=0,0,"'"&amp;物品!N228&amp;"'")</f>
        <v>0</v>
      </c>
      <c r="N204" s="55">
        <f>IF(物品!O228=0,0,"'"&amp;物品!O228&amp;"'")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物品!A229</f>
        <v>0</v>
      </c>
      <c r="B205" s="55" t="str">
        <f>"'"&amp;物品!B229&amp;"'"</f>
        <v>'IF07'</v>
      </c>
      <c r="C205" s="55">
        <f>物品!J229</f>
        <v>0</v>
      </c>
      <c r="D205" s="55">
        <f>物品!K229</f>
        <v>0</v>
      </c>
      <c r="E205" s="55">
        <f>物品!L229</f>
        <v>0</v>
      </c>
      <c r="F205" s="55">
        <f>物品!M229</f>
        <v>0</v>
      </c>
      <c r="G205" s="55">
        <f>物品!N229</f>
        <v>0</v>
      </c>
      <c r="H205" s="55">
        <f>物品!O229</f>
        <v>0</v>
      </c>
      <c r="I205" s="55">
        <f>IF(物品!J229=0,0,"'"&amp;物品!J229&amp;"'")</f>
        <v>0</v>
      </c>
      <c r="J205" s="55">
        <f>IF(物品!K229=0,0,"'"&amp;物品!K229&amp;"'")</f>
        <v>0</v>
      </c>
      <c r="K205" s="55">
        <f>IF(物品!L229=0,0,"'"&amp;物品!L229&amp;"'")</f>
        <v>0</v>
      </c>
      <c r="L205" s="55">
        <f>IF(物品!M229=0,0,"'"&amp;物品!M229&amp;"'")</f>
        <v>0</v>
      </c>
      <c r="M205" s="55">
        <f>IF(物品!N229=0,0,"'"&amp;物品!N229&amp;"'")</f>
        <v>0</v>
      </c>
      <c r="N205" s="55">
        <f>IF(物品!O229=0,0,"'"&amp;物品!O229&amp;"'")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物品!A230</f>
        <v>0</v>
      </c>
      <c r="B206" s="55" t="str">
        <f>"'"&amp;物品!B230&amp;"'"</f>
        <v>'IF08'</v>
      </c>
      <c r="C206" s="55">
        <f>物品!J230</f>
        <v>0</v>
      </c>
      <c r="D206" s="55">
        <f>物品!K230</f>
        <v>0</v>
      </c>
      <c r="E206" s="55">
        <f>物品!L230</f>
        <v>0</v>
      </c>
      <c r="F206" s="55">
        <f>物品!M230</f>
        <v>0</v>
      </c>
      <c r="G206" s="55">
        <f>物品!N230</f>
        <v>0</v>
      </c>
      <c r="H206" s="55">
        <f>物品!O230</f>
        <v>0</v>
      </c>
      <c r="I206" s="55">
        <f>IF(物品!J230=0,0,"'"&amp;物品!J230&amp;"'")</f>
        <v>0</v>
      </c>
      <c r="J206" s="55">
        <f>IF(物品!K230=0,0,"'"&amp;物品!K230&amp;"'")</f>
        <v>0</v>
      </c>
      <c r="K206" s="55">
        <f>IF(物品!L230=0,0,"'"&amp;物品!L230&amp;"'")</f>
        <v>0</v>
      </c>
      <c r="L206" s="55">
        <f>IF(物品!M230=0,0,"'"&amp;物品!M230&amp;"'")</f>
        <v>0</v>
      </c>
      <c r="M206" s="55">
        <f>IF(物品!N230=0,0,"'"&amp;物品!N230&amp;"'")</f>
        <v>0</v>
      </c>
      <c r="N206" s="55">
        <f>IF(物品!O230=0,0,"'"&amp;物品!O230&amp;"'")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物品!A231</f>
        <v>0</v>
      </c>
      <c r="B207" s="55" t="str">
        <f>"'"&amp;物品!B231&amp;"'"</f>
        <v>'IF09'</v>
      </c>
      <c r="C207" s="55">
        <f>物品!J231</f>
        <v>0</v>
      </c>
      <c r="D207" s="55">
        <f>物品!K231</f>
        <v>0</v>
      </c>
      <c r="E207" s="55">
        <f>物品!L231</f>
        <v>0</v>
      </c>
      <c r="F207" s="55">
        <f>物品!M231</f>
        <v>0</v>
      </c>
      <c r="G207" s="55">
        <f>物品!N231</f>
        <v>0</v>
      </c>
      <c r="H207" s="55">
        <f>物品!O231</f>
        <v>0</v>
      </c>
      <c r="I207" s="55">
        <f>IF(物品!J231=0,0,"'"&amp;物品!J231&amp;"'")</f>
        <v>0</v>
      </c>
      <c r="J207" s="55">
        <f>IF(物品!K231=0,0,"'"&amp;物品!K231&amp;"'")</f>
        <v>0</v>
      </c>
      <c r="K207" s="55">
        <f>IF(物品!L231=0,0,"'"&amp;物品!L231&amp;"'")</f>
        <v>0</v>
      </c>
      <c r="L207" s="55">
        <f>IF(物品!M231=0,0,"'"&amp;物品!M231&amp;"'")</f>
        <v>0</v>
      </c>
      <c r="M207" s="55">
        <f>IF(物品!N231=0,0,"'"&amp;物品!N231&amp;"'")</f>
        <v>0</v>
      </c>
      <c r="N207" s="55">
        <f>IF(物品!O231=0,0,"'"&amp;物品!O231&amp;"'")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物品!A232</f>
        <v>0</v>
      </c>
      <c r="B208" s="55" t="str">
        <f>"'"&amp;物品!B232&amp;"'"</f>
        <v>'IF10'</v>
      </c>
      <c r="C208" s="55">
        <f>物品!J232</f>
        <v>0</v>
      </c>
      <c r="D208" s="55">
        <f>物品!K232</f>
        <v>0</v>
      </c>
      <c r="E208" s="55">
        <f>物品!L232</f>
        <v>0</v>
      </c>
      <c r="F208" s="55">
        <f>物品!M232</f>
        <v>0</v>
      </c>
      <c r="G208" s="55">
        <f>物品!N232</f>
        <v>0</v>
      </c>
      <c r="H208" s="55">
        <f>物品!O232</f>
        <v>0</v>
      </c>
      <c r="I208" s="55">
        <f>IF(物品!J232=0,0,"'"&amp;物品!J232&amp;"'")</f>
        <v>0</v>
      </c>
      <c r="J208" s="55">
        <f>IF(物品!K232=0,0,"'"&amp;物品!K232&amp;"'")</f>
        <v>0</v>
      </c>
      <c r="K208" s="55">
        <f>IF(物品!L232=0,0,"'"&amp;物品!L232&amp;"'")</f>
        <v>0</v>
      </c>
      <c r="L208" s="55">
        <f>IF(物品!M232=0,0,"'"&amp;物品!M232&amp;"'")</f>
        <v>0</v>
      </c>
      <c r="M208" s="55">
        <f>IF(物品!N232=0,0,"'"&amp;物品!N232&amp;"'")</f>
        <v>0</v>
      </c>
      <c r="N208" s="55">
        <f>IF(物品!O232=0,0,"'"&amp;物品!O232&amp;"'")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物品!A233</f>
        <v>0</v>
      </c>
      <c r="B209" s="55" t="str">
        <f>"'"&amp;物品!B233&amp;"'"</f>
        <v>'IF11'</v>
      </c>
      <c r="C209" s="55">
        <f>物品!J233</f>
        <v>0</v>
      </c>
      <c r="D209" s="55">
        <f>物品!K233</f>
        <v>0</v>
      </c>
      <c r="E209" s="55">
        <f>物品!L233</f>
        <v>0</v>
      </c>
      <c r="F209" s="55">
        <f>物品!M233</f>
        <v>0</v>
      </c>
      <c r="G209" s="55">
        <f>物品!N233</f>
        <v>0</v>
      </c>
      <c r="H209" s="55">
        <f>物品!O233</f>
        <v>0</v>
      </c>
      <c r="I209" s="55">
        <f>IF(物品!J233=0,0,"'"&amp;物品!J233&amp;"'")</f>
        <v>0</v>
      </c>
      <c r="J209" s="55">
        <f>IF(物品!K233=0,0,"'"&amp;物品!K233&amp;"'")</f>
        <v>0</v>
      </c>
      <c r="K209" s="55">
        <f>IF(物品!L233=0,0,"'"&amp;物品!L233&amp;"'")</f>
        <v>0</v>
      </c>
      <c r="L209" s="55">
        <f>IF(物品!M233=0,0,"'"&amp;物品!M233&amp;"'")</f>
        <v>0</v>
      </c>
      <c r="M209" s="55">
        <f>IF(物品!N233=0,0,"'"&amp;物品!N233&amp;"'")</f>
        <v>0</v>
      </c>
      <c r="N209" s="55">
        <f>IF(物品!O233=0,0,"'"&amp;物品!O233&amp;"'")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物品!A234</f>
        <v>0</v>
      </c>
      <c r="B210" s="55" t="str">
        <f>"'"&amp;物品!B234&amp;"'"</f>
        <v>'IF12'</v>
      </c>
      <c r="C210" s="55">
        <f>物品!J234</f>
        <v>0</v>
      </c>
      <c r="D210" s="55">
        <f>物品!K234</f>
        <v>0</v>
      </c>
      <c r="E210" s="55">
        <f>物品!L234</f>
        <v>0</v>
      </c>
      <c r="F210" s="55">
        <f>物品!M234</f>
        <v>0</v>
      </c>
      <c r="G210" s="55">
        <f>物品!N234</f>
        <v>0</v>
      </c>
      <c r="H210" s="55">
        <f>物品!O234</f>
        <v>0</v>
      </c>
      <c r="I210" s="55">
        <f>IF(物品!J234=0,0,"'"&amp;物品!J234&amp;"'")</f>
        <v>0</v>
      </c>
      <c r="J210" s="55">
        <f>IF(物品!K234=0,0,"'"&amp;物品!K234&amp;"'")</f>
        <v>0</v>
      </c>
      <c r="K210" s="55">
        <f>IF(物品!L234=0,0,"'"&amp;物品!L234&amp;"'")</f>
        <v>0</v>
      </c>
      <c r="L210" s="55">
        <f>IF(物品!M234=0,0,"'"&amp;物品!M234&amp;"'")</f>
        <v>0</v>
      </c>
      <c r="M210" s="55">
        <f>IF(物品!N234=0,0,"'"&amp;物品!N234&amp;"'")</f>
        <v>0</v>
      </c>
      <c r="N210" s="55">
        <f>IF(物品!O234=0,0,"'"&amp;物品!O234&amp;"'")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物品!A235</f>
        <v>0</v>
      </c>
      <c r="B211" s="55" t="str">
        <f>"'"&amp;物品!B235&amp;"'"</f>
        <v>'IF13'</v>
      </c>
      <c r="C211" s="55">
        <f>物品!J235</f>
        <v>0</v>
      </c>
      <c r="D211" s="55">
        <f>物品!K235</f>
        <v>0</v>
      </c>
      <c r="E211" s="55">
        <f>物品!L235</f>
        <v>0</v>
      </c>
      <c r="F211" s="55">
        <f>物品!M235</f>
        <v>0</v>
      </c>
      <c r="G211" s="55">
        <f>物品!N235</f>
        <v>0</v>
      </c>
      <c r="H211" s="55">
        <f>物品!O235</f>
        <v>0</v>
      </c>
      <c r="I211" s="55">
        <f>IF(物品!J235=0,0,"'"&amp;物品!J235&amp;"'")</f>
        <v>0</v>
      </c>
      <c r="J211" s="55">
        <f>IF(物品!K235=0,0,"'"&amp;物品!K235&amp;"'")</f>
        <v>0</v>
      </c>
      <c r="K211" s="55">
        <f>IF(物品!L235=0,0,"'"&amp;物品!L235&amp;"'")</f>
        <v>0</v>
      </c>
      <c r="L211" s="55">
        <f>IF(物品!M235=0,0,"'"&amp;物品!M235&amp;"'")</f>
        <v>0</v>
      </c>
      <c r="M211" s="55">
        <f>IF(物品!N235=0,0,"'"&amp;物品!N235&amp;"'")</f>
        <v>0</v>
      </c>
      <c r="N211" s="55">
        <f>IF(物品!O235=0,0,"'"&amp;物品!O235&amp;"'")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物品!A236</f>
        <v>0</v>
      </c>
      <c r="B212" s="55" t="str">
        <f>"'"&amp;物品!B236&amp;"'"</f>
        <v>'IF14'</v>
      </c>
      <c r="C212" s="55">
        <f>物品!J236</f>
        <v>0</v>
      </c>
      <c r="D212" s="55">
        <f>物品!K236</f>
        <v>0</v>
      </c>
      <c r="E212" s="55">
        <f>物品!L236</f>
        <v>0</v>
      </c>
      <c r="F212" s="55">
        <f>物品!M236</f>
        <v>0</v>
      </c>
      <c r="G212" s="55">
        <f>物品!N236</f>
        <v>0</v>
      </c>
      <c r="H212" s="55">
        <f>物品!O236</f>
        <v>0</v>
      </c>
      <c r="I212" s="55">
        <f>IF(物品!J236=0,0,"'"&amp;物品!J236&amp;"'")</f>
        <v>0</v>
      </c>
      <c r="J212" s="55">
        <f>IF(物品!K236=0,0,"'"&amp;物品!K236&amp;"'")</f>
        <v>0</v>
      </c>
      <c r="K212" s="55">
        <f>IF(物品!L236=0,0,"'"&amp;物品!L236&amp;"'")</f>
        <v>0</v>
      </c>
      <c r="L212" s="55">
        <f>IF(物品!M236=0,0,"'"&amp;物品!M236&amp;"'")</f>
        <v>0</v>
      </c>
      <c r="M212" s="55">
        <f>IF(物品!N236=0,0,"'"&amp;物品!N236&amp;"'")</f>
        <v>0</v>
      </c>
      <c r="N212" s="55">
        <f>IF(物品!O236=0,0,"'"&amp;物品!O236&amp;"'")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物品!A237</f>
        <v>0</v>
      </c>
      <c r="B213" s="55" t="str">
        <f>"'"&amp;物品!B237&amp;"'"</f>
        <v>'IF15'</v>
      </c>
      <c r="C213" s="55">
        <f>物品!J237</f>
        <v>0</v>
      </c>
      <c r="D213" s="55">
        <f>物品!K237</f>
        <v>0</v>
      </c>
      <c r="E213" s="55">
        <f>物品!L237</f>
        <v>0</v>
      </c>
      <c r="F213" s="55">
        <f>物品!M237</f>
        <v>0</v>
      </c>
      <c r="G213" s="55">
        <f>物品!N237</f>
        <v>0</v>
      </c>
      <c r="H213" s="55">
        <f>物品!O237</f>
        <v>0</v>
      </c>
      <c r="I213" s="55">
        <f>IF(物品!J237=0,0,"'"&amp;物品!J237&amp;"'")</f>
        <v>0</v>
      </c>
      <c r="J213" s="55">
        <f>IF(物品!K237=0,0,"'"&amp;物品!K237&amp;"'")</f>
        <v>0</v>
      </c>
      <c r="K213" s="55">
        <f>IF(物品!L237=0,0,"'"&amp;物品!L237&amp;"'")</f>
        <v>0</v>
      </c>
      <c r="L213" s="55">
        <f>IF(物品!M237=0,0,"'"&amp;物品!M237&amp;"'")</f>
        <v>0</v>
      </c>
      <c r="M213" s="55">
        <f>IF(物品!N237=0,0,"'"&amp;物品!N237&amp;"'")</f>
        <v>0</v>
      </c>
      <c r="N213" s="55">
        <f>IF(物品!O237=0,0,"'"&amp;物品!O237&amp;"'")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物品!A238</f>
        <v>0</v>
      </c>
      <c r="B214" s="55" t="str">
        <f>"'"&amp;物品!B238&amp;"'"</f>
        <v>'IF16'</v>
      </c>
      <c r="C214" s="55">
        <f>物品!J238</f>
        <v>0</v>
      </c>
      <c r="D214" s="55">
        <f>物品!K238</f>
        <v>0</v>
      </c>
      <c r="E214" s="55">
        <f>物品!L238</f>
        <v>0</v>
      </c>
      <c r="F214" s="55">
        <f>物品!M238</f>
        <v>0</v>
      </c>
      <c r="G214" s="55">
        <f>物品!N238</f>
        <v>0</v>
      </c>
      <c r="H214" s="55">
        <f>物品!O238</f>
        <v>0</v>
      </c>
      <c r="I214" s="55">
        <f>IF(物品!J238=0,0,"'"&amp;物品!J238&amp;"'")</f>
        <v>0</v>
      </c>
      <c r="J214" s="55">
        <f>IF(物品!K238=0,0,"'"&amp;物品!K238&amp;"'")</f>
        <v>0</v>
      </c>
      <c r="K214" s="55">
        <f>IF(物品!L238=0,0,"'"&amp;物品!L238&amp;"'")</f>
        <v>0</v>
      </c>
      <c r="L214" s="55">
        <f>IF(物品!M238=0,0,"'"&amp;物品!M238&amp;"'")</f>
        <v>0</v>
      </c>
      <c r="M214" s="55">
        <f>IF(物品!N238=0,0,"'"&amp;物品!N238&amp;"'")</f>
        <v>0</v>
      </c>
      <c r="N214" s="55">
        <f>IF(物品!O238=0,0,"'"&amp;物品!O238&amp;"'")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物品!A239</f>
        <v>0</v>
      </c>
      <c r="B215" s="55" t="str">
        <f>"'"&amp;物品!B239&amp;"'"</f>
        <v>'IF17'</v>
      </c>
      <c r="C215" s="55">
        <f>物品!J239</f>
        <v>0</v>
      </c>
      <c r="D215" s="55">
        <f>物品!K239</f>
        <v>0</v>
      </c>
      <c r="E215" s="55">
        <f>物品!L239</f>
        <v>0</v>
      </c>
      <c r="F215" s="55">
        <f>物品!M239</f>
        <v>0</v>
      </c>
      <c r="G215" s="55">
        <f>物品!N239</f>
        <v>0</v>
      </c>
      <c r="H215" s="55">
        <f>物品!O239</f>
        <v>0</v>
      </c>
      <c r="I215" s="55">
        <f>IF(物品!J239=0,0,"'"&amp;物品!J239&amp;"'")</f>
        <v>0</v>
      </c>
      <c r="J215" s="55">
        <f>IF(物品!K239=0,0,"'"&amp;物品!K239&amp;"'")</f>
        <v>0</v>
      </c>
      <c r="K215" s="55">
        <f>IF(物品!L239=0,0,"'"&amp;物品!L239&amp;"'")</f>
        <v>0</v>
      </c>
      <c r="L215" s="55">
        <f>IF(物品!M239=0,0,"'"&amp;物品!M239&amp;"'")</f>
        <v>0</v>
      </c>
      <c r="M215" s="55">
        <f>IF(物品!N239=0,0,"'"&amp;物品!N239&amp;"'")</f>
        <v>0</v>
      </c>
      <c r="N215" s="55">
        <f>IF(物品!O239=0,0,"'"&amp;物品!O239&amp;"'")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物品!A240</f>
        <v>0</v>
      </c>
      <c r="B216" s="55" t="str">
        <f>"'"&amp;物品!B240&amp;"'"</f>
        <v>'IF18'</v>
      </c>
      <c r="C216" s="55">
        <f>物品!J240</f>
        <v>0</v>
      </c>
      <c r="D216" s="55">
        <f>物品!K240</f>
        <v>0</v>
      </c>
      <c r="E216" s="55">
        <f>物品!L240</f>
        <v>0</v>
      </c>
      <c r="F216" s="55">
        <f>物品!M240</f>
        <v>0</v>
      </c>
      <c r="G216" s="55">
        <f>物品!N240</f>
        <v>0</v>
      </c>
      <c r="H216" s="55">
        <f>物品!O240</f>
        <v>0</v>
      </c>
      <c r="I216" s="55">
        <f>IF(物品!J240=0,0,"'"&amp;物品!J240&amp;"'")</f>
        <v>0</v>
      </c>
      <c r="J216" s="55">
        <f>IF(物品!K240=0,0,"'"&amp;物品!K240&amp;"'")</f>
        <v>0</v>
      </c>
      <c r="K216" s="55">
        <f>IF(物品!L240=0,0,"'"&amp;物品!L240&amp;"'")</f>
        <v>0</v>
      </c>
      <c r="L216" s="55">
        <f>IF(物品!M240=0,0,"'"&amp;物品!M240&amp;"'")</f>
        <v>0</v>
      </c>
      <c r="M216" s="55">
        <f>IF(物品!N240=0,0,"'"&amp;物品!N240&amp;"'")</f>
        <v>0</v>
      </c>
      <c r="N216" s="55">
        <f>IF(物品!O240=0,0,"'"&amp;物品!O240&amp;"'")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物品!A241</f>
        <v>0</v>
      </c>
      <c r="B217" s="55" t="str">
        <f>"'"&amp;物品!B241&amp;"'"</f>
        <v>'IF19'</v>
      </c>
      <c r="C217" s="55">
        <f>物品!J241</f>
        <v>0</v>
      </c>
      <c r="D217" s="55">
        <f>物品!K241</f>
        <v>0</v>
      </c>
      <c r="E217" s="55">
        <f>物品!L241</f>
        <v>0</v>
      </c>
      <c r="F217" s="55">
        <f>物品!M241</f>
        <v>0</v>
      </c>
      <c r="G217" s="55">
        <f>物品!N241</f>
        <v>0</v>
      </c>
      <c r="H217" s="55">
        <f>物品!O241</f>
        <v>0</v>
      </c>
      <c r="I217" s="55">
        <f>IF(物品!J241=0,0,"'"&amp;物品!J241&amp;"'")</f>
        <v>0</v>
      </c>
      <c r="J217" s="55">
        <f>IF(物品!K241=0,0,"'"&amp;物品!K241&amp;"'")</f>
        <v>0</v>
      </c>
      <c r="K217" s="55">
        <f>IF(物品!L241=0,0,"'"&amp;物品!L241&amp;"'")</f>
        <v>0</v>
      </c>
      <c r="L217" s="55">
        <f>IF(物品!M241=0,0,"'"&amp;物品!M241&amp;"'")</f>
        <v>0</v>
      </c>
      <c r="M217" s="55">
        <f>IF(物品!N241=0,0,"'"&amp;物品!N241&amp;"'")</f>
        <v>0</v>
      </c>
      <c r="N217" s="55">
        <f>IF(物品!O241=0,0,"'"&amp;物品!O241&amp;"'")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物品!A242</f>
        <v>0</v>
      </c>
      <c r="B218" s="55" t="str">
        <f>"'"&amp;物品!B242&amp;"'"</f>
        <v>'IF20'</v>
      </c>
      <c r="C218" s="55">
        <f>物品!J242</f>
        <v>0</v>
      </c>
      <c r="D218" s="55">
        <f>物品!K242</f>
        <v>0</v>
      </c>
      <c r="E218" s="55">
        <f>物品!L242</f>
        <v>0</v>
      </c>
      <c r="F218" s="55">
        <f>物品!M242</f>
        <v>0</v>
      </c>
      <c r="G218" s="55">
        <f>物品!N242</f>
        <v>0</v>
      </c>
      <c r="H218" s="55">
        <f>物品!O242</f>
        <v>0</v>
      </c>
      <c r="I218" s="55">
        <f>IF(物品!J242=0,0,"'"&amp;物品!J242&amp;"'")</f>
        <v>0</v>
      </c>
      <c r="J218" s="55">
        <f>IF(物品!K242=0,0,"'"&amp;物品!K242&amp;"'")</f>
        <v>0</v>
      </c>
      <c r="K218" s="55">
        <f>IF(物品!L242=0,0,"'"&amp;物品!L242&amp;"'")</f>
        <v>0</v>
      </c>
      <c r="L218" s="55">
        <f>IF(物品!M242=0,0,"'"&amp;物品!M242&amp;"'")</f>
        <v>0</v>
      </c>
      <c r="M218" s="55">
        <f>IF(物品!N242=0,0,"'"&amp;物品!N242&amp;"'")</f>
        <v>0</v>
      </c>
      <c r="N218" s="55">
        <f>IF(物品!O242=0,0,"'"&amp;物品!O242&amp;"'")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物品!A243</f>
        <v>0</v>
      </c>
      <c r="B219" s="55" t="str">
        <f>"'"&amp;物品!B243&amp;"'"</f>
        <v>'IF21'</v>
      </c>
      <c r="C219" s="55">
        <f>物品!J243</f>
        <v>0</v>
      </c>
      <c r="D219" s="55">
        <f>物品!K243</f>
        <v>0</v>
      </c>
      <c r="E219" s="55">
        <f>物品!L243</f>
        <v>0</v>
      </c>
      <c r="F219" s="55">
        <f>物品!M243</f>
        <v>0</v>
      </c>
      <c r="G219" s="55">
        <f>物品!N243</f>
        <v>0</v>
      </c>
      <c r="H219" s="55">
        <f>物品!O243</f>
        <v>0</v>
      </c>
      <c r="I219" s="55">
        <f>IF(物品!J243=0,0,"'"&amp;物品!J243&amp;"'")</f>
        <v>0</v>
      </c>
      <c r="J219" s="55">
        <f>IF(物品!K243=0,0,"'"&amp;物品!K243&amp;"'")</f>
        <v>0</v>
      </c>
      <c r="K219" s="55">
        <f>IF(物品!L243=0,0,"'"&amp;物品!L243&amp;"'")</f>
        <v>0</v>
      </c>
      <c r="L219" s="55">
        <f>IF(物品!M243=0,0,"'"&amp;物品!M243&amp;"'")</f>
        <v>0</v>
      </c>
      <c r="M219" s="55">
        <f>IF(物品!N243=0,0,"'"&amp;物品!N243&amp;"'")</f>
        <v>0</v>
      </c>
      <c r="N219" s="55">
        <f>IF(物品!O243=0,0,"'"&amp;物品!O243&amp;"'")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物品!A244</f>
        <v>0</v>
      </c>
      <c r="B220" s="55" t="str">
        <f>"'"&amp;物品!B244&amp;"'"</f>
        <v>'IF22'</v>
      </c>
      <c r="C220" s="55">
        <f>物品!J244</f>
        <v>0</v>
      </c>
      <c r="D220" s="55">
        <f>物品!K244</f>
        <v>0</v>
      </c>
      <c r="E220" s="55">
        <f>物品!L244</f>
        <v>0</v>
      </c>
      <c r="F220" s="55">
        <f>物品!M244</f>
        <v>0</v>
      </c>
      <c r="G220" s="55">
        <f>物品!N244</f>
        <v>0</v>
      </c>
      <c r="H220" s="55">
        <f>物品!O244</f>
        <v>0</v>
      </c>
      <c r="I220" s="55">
        <f>IF(物品!J244=0,0,"'"&amp;物品!J244&amp;"'")</f>
        <v>0</v>
      </c>
      <c r="J220" s="55">
        <f>IF(物品!K244=0,0,"'"&amp;物品!K244&amp;"'")</f>
        <v>0</v>
      </c>
      <c r="K220" s="55">
        <f>IF(物品!L244=0,0,"'"&amp;物品!L244&amp;"'")</f>
        <v>0</v>
      </c>
      <c r="L220" s="55">
        <f>IF(物品!M244=0,0,"'"&amp;物品!M244&amp;"'")</f>
        <v>0</v>
      </c>
      <c r="M220" s="55">
        <f>IF(物品!N244=0,0,"'"&amp;物品!N244&amp;"'")</f>
        <v>0</v>
      </c>
      <c r="N220" s="55">
        <f>IF(物品!O244=0,0,"'"&amp;物品!O244&amp;"'")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物品!A245</f>
        <v>0</v>
      </c>
      <c r="B221" s="55" t="str">
        <f>"'"&amp;物品!B245&amp;"'"</f>
        <v>'IF23'</v>
      </c>
      <c r="C221" s="55">
        <f>物品!J245</f>
        <v>0</v>
      </c>
      <c r="D221" s="55">
        <f>物品!K245</f>
        <v>0</v>
      </c>
      <c r="E221" s="55">
        <f>物品!L245</f>
        <v>0</v>
      </c>
      <c r="F221" s="55">
        <f>物品!M245</f>
        <v>0</v>
      </c>
      <c r="G221" s="55">
        <f>物品!N245</f>
        <v>0</v>
      </c>
      <c r="H221" s="55">
        <f>物品!O245</f>
        <v>0</v>
      </c>
      <c r="I221" s="55">
        <f>IF(物品!J245=0,0,"'"&amp;物品!J245&amp;"'")</f>
        <v>0</v>
      </c>
      <c r="J221" s="55">
        <f>IF(物品!K245=0,0,"'"&amp;物品!K245&amp;"'")</f>
        <v>0</v>
      </c>
      <c r="K221" s="55">
        <f>IF(物品!L245=0,0,"'"&amp;物品!L245&amp;"'")</f>
        <v>0</v>
      </c>
      <c r="L221" s="55">
        <f>IF(物品!M245=0,0,"'"&amp;物品!M245&amp;"'")</f>
        <v>0</v>
      </c>
      <c r="M221" s="55">
        <f>IF(物品!N245=0,0,"'"&amp;物品!N245&amp;"'")</f>
        <v>0</v>
      </c>
      <c r="N221" s="55">
        <f>IF(物品!O245=0,0,"'"&amp;物品!O245&amp;"'")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物品!A246</f>
        <v>0</v>
      </c>
      <c r="B222" s="55" t="str">
        <f>"'"&amp;物品!B246&amp;"'"</f>
        <v>'IF24'</v>
      </c>
      <c r="C222" s="55">
        <f>物品!J246</f>
        <v>0</v>
      </c>
      <c r="D222" s="55">
        <f>物品!K246</f>
        <v>0</v>
      </c>
      <c r="E222" s="55">
        <f>物品!L246</f>
        <v>0</v>
      </c>
      <c r="F222" s="55">
        <f>物品!M246</f>
        <v>0</v>
      </c>
      <c r="G222" s="55">
        <f>物品!N246</f>
        <v>0</v>
      </c>
      <c r="H222" s="55">
        <f>物品!O246</f>
        <v>0</v>
      </c>
      <c r="I222" s="55">
        <f>IF(物品!J246=0,0,"'"&amp;物品!J246&amp;"'")</f>
        <v>0</v>
      </c>
      <c r="J222" s="55">
        <f>IF(物品!K246=0,0,"'"&amp;物品!K246&amp;"'")</f>
        <v>0</v>
      </c>
      <c r="K222" s="55">
        <f>IF(物品!L246=0,0,"'"&amp;物品!L246&amp;"'")</f>
        <v>0</v>
      </c>
      <c r="L222" s="55">
        <f>IF(物品!M246=0,0,"'"&amp;物品!M246&amp;"'")</f>
        <v>0</v>
      </c>
      <c r="M222" s="55">
        <f>IF(物品!N246=0,0,"'"&amp;物品!N246&amp;"'")</f>
        <v>0</v>
      </c>
      <c r="N222" s="55">
        <f>IF(物品!O246=0,0,"'"&amp;物品!O246&amp;"'")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物品!A247</f>
        <v>0</v>
      </c>
      <c r="B223" s="55" t="str">
        <f>"'"&amp;物品!B247&amp;"'"</f>
        <v>'IF25'</v>
      </c>
      <c r="C223" s="55">
        <f>物品!J247</f>
        <v>0</v>
      </c>
      <c r="D223" s="55">
        <f>物品!K247</f>
        <v>0</v>
      </c>
      <c r="E223" s="55">
        <f>物品!L247</f>
        <v>0</v>
      </c>
      <c r="F223" s="55">
        <f>物品!M247</f>
        <v>0</v>
      </c>
      <c r="G223" s="55">
        <f>物品!N247</f>
        <v>0</v>
      </c>
      <c r="H223" s="55">
        <f>物品!O247</f>
        <v>0</v>
      </c>
      <c r="I223" s="55">
        <f>IF(物品!J247=0,0,"'"&amp;物品!J247&amp;"'")</f>
        <v>0</v>
      </c>
      <c r="J223" s="55">
        <f>IF(物品!K247=0,0,"'"&amp;物品!K247&amp;"'")</f>
        <v>0</v>
      </c>
      <c r="K223" s="55">
        <f>IF(物品!L247=0,0,"'"&amp;物品!L247&amp;"'")</f>
        <v>0</v>
      </c>
      <c r="L223" s="55">
        <f>IF(物品!M247=0,0,"'"&amp;物品!M247&amp;"'")</f>
        <v>0</v>
      </c>
      <c r="M223" s="55">
        <f>IF(物品!N247=0,0,"'"&amp;物品!N247&amp;"'")</f>
        <v>0</v>
      </c>
      <c r="N223" s="55">
        <f>IF(物品!O247=0,0,"'"&amp;物品!O247&amp;"'")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物品!A248</f>
        <v>0</v>
      </c>
      <c r="B224" s="55" t="str">
        <f>"'"&amp;物品!B248&amp;"'"</f>
        <v>'IF26'</v>
      </c>
      <c r="C224" s="55">
        <f>物品!J248</f>
        <v>0</v>
      </c>
      <c r="D224" s="55">
        <f>物品!K248</f>
        <v>0</v>
      </c>
      <c r="E224" s="55">
        <f>物品!L248</f>
        <v>0</v>
      </c>
      <c r="F224" s="55">
        <f>物品!M248</f>
        <v>0</v>
      </c>
      <c r="G224" s="55">
        <f>物品!N248</f>
        <v>0</v>
      </c>
      <c r="H224" s="55">
        <f>物品!O248</f>
        <v>0</v>
      </c>
      <c r="I224" s="55">
        <f>IF(物品!J248=0,0,"'"&amp;物品!J248&amp;"'")</f>
        <v>0</v>
      </c>
      <c r="J224" s="55">
        <f>IF(物品!K248=0,0,"'"&amp;物品!K248&amp;"'")</f>
        <v>0</v>
      </c>
      <c r="K224" s="55">
        <f>IF(物品!L248=0,0,"'"&amp;物品!L248&amp;"'")</f>
        <v>0</v>
      </c>
      <c r="L224" s="55">
        <f>IF(物品!M248=0,0,"'"&amp;物品!M248&amp;"'")</f>
        <v>0</v>
      </c>
      <c r="M224" s="55">
        <f>IF(物品!N248=0,0,"'"&amp;物品!N248&amp;"'")</f>
        <v>0</v>
      </c>
      <c r="N224" s="55">
        <f>IF(物品!O248=0,0,"'"&amp;物品!O248&amp;"'")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物品!A249</f>
        <v>0</v>
      </c>
      <c r="B225" s="55" t="str">
        <f>"'"&amp;物品!B249&amp;"'"</f>
        <v>'IF27'</v>
      </c>
      <c r="C225" s="55">
        <f>物品!J249</f>
        <v>0</v>
      </c>
      <c r="D225" s="55">
        <f>物品!K249</f>
        <v>0</v>
      </c>
      <c r="E225" s="55">
        <f>物品!L249</f>
        <v>0</v>
      </c>
      <c r="F225" s="55">
        <f>物品!M249</f>
        <v>0</v>
      </c>
      <c r="G225" s="55">
        <f>物品!N249</f>
        <v>0</v>
      </c>
      <c r="H225" s="55">
        <f>物品!O249</f>
        <v>0</v>
      </c>
      <c r="I225" s="55">
        <f>IF(物品!J249=0,0,"'"&amp;物品!J249&amp;"'")</f>
        <v>0</v>
      </c>
      <c r="J225" s="55">
        <f>IF(物品!K249=0,0,"'"&amp;物品!K249&amp;"'")</f>
        <v>0</v>
      </c>
      <c r="K225" s="55">
        <f>IF(物品!L249=0,0,"'"&amp;物品!L249&amp;"'")</f>
        <v>0</v>
      </c>
      <c r="L225" s="55">
        <f>IF(物品!M249=0,0,"'"&amp;物品!M249&amp;"'")</f>
        <v>0</v>
      </c>
      <c r="M225" s="55">
        <f>IF(物品!N249=0,0,"'"&amp;物品!N249&amp;"'")</f>
        <v>0</v>
      </c>
      <c r="N225" s="55">
        <f>IF(物品!O249=0,0,"'"&amp;物品!O249&amp;"'")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物品!A256</f>
        <v>0</v>
      </c>
      <c r="B226" s="55" t="str">
        <f>"'"&amp;物品!B256&amp;"'"</f>
        <v>'IC01'</v>
      </c>
      <c r="C226" s="55">
        <f>物品!J256</f>
        <v>0</v>
      </c>
      <c r="D226" s="55">
        <f>物品!K256</f>
        <v>0</v>
      </c>
      <c r="E226" s="55">
        <f>物品!L256</f>
        <v>0</v>
      </c>
      <c r="F226" s="55">
        <f>物品!M256</f>
        <v>0</v>
      </c>
      <c r="G226" s="55">
        <f>物品!N256</f>
        <v>0</v>
      </c>
      <c r="H226" s="55">
        <f>物品!O256</f>
        <v>0</v>
      </c>
      <c r="I226" s="55">
        <f>IF(物品!J256=0,0,"'"&amp;物品!J256&amp;"'")</f>
        <v>0</v>
      </c>
      <c r="J226" s="55">
        <f>IF(物品!K256=0,0,"'"&amp;物品!K256&amp;"'")</f>
        <v>0</v>
      </c>
      <c r="K226" s="55">
        <f>IF(物品!L256=0,0,"'"&amp;物品!L256&amp;"'")</f>
        <v>0</v>
      </c>
      <c r="L226" s="55">
        <f>IF(物品!M256=0,0,"'"&amp;物品!M256&amp;"'")</f>
        <v>0</v>
      </c>
      <c r="M226" s="55">
        <f>IF(物品!N256=0,0,"'"&amp;物品!N256&amp;"'")</f>
        <v>0</v>
      </c>
      <c r="N226" s="55">
        <f>IF(物品!O256=0,0,"'"&amp;物品!O256&amp;"'")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物品!A257</f>
        <v>0</v>
      </c>
      <c r="B227" s="55" t="str">
        <f>"'"&amp;物品!B257&amp;"'"</f>
        <v>'IC02'</v>
      </c>
      <c r="C227" s="55">
        <f>物品!J257</f>
        <v>0</v>
      </c>
      <c r="D227" s="55">
        <f>物品!K257</f>
        <v>0</v>
      </c>
      <c r="E227" s="55">
        <f>物品!L257</f>
        <v>0</v>
      </c>
      <c r="F227" s="55">
        <f>物品!M257</f>
        <v>0</v>
      </c>
      <c r="G227" s="55">
        <f>物品!N257</f>
        <v>0</v>
      </c>
      <c r="H227" s="55">
        <f>物品!O257</f>
        <v>0</v>
      </c>
      <c r="I227" s="55">
        <f>IF(物品!J257=0,0,"'"&amp;物品!J257&amp;"'")</f>
        <v>0</v>
      </c>
      <c r="J227" s="55">
        <f>IF(物品!K257=0,0,"'"&amp;物品!K257&amp;"'")</f>
        <v>0</v>
      </c>
      <c r="K227" s="55">
        <f>IF(物品!L257=0,0,"'"&amp;物品!L257&amp;"'")</f>
        <v>0</v>
      </c>
      <c r="L227" s="55">
        <f>IF(物品!M257=0,0,"'"&amp;物品!M257&amp;"'")</f>
        <v>0</v>
      </c>
      <c r="M227" s="55">
        <f>IF(物品!N257=0,0,"'"&amp;物品!N257&amp;"'")</f>
        <v>0</v>
      </c>
      <c r="N227" s="55">
        <f>IF(物品!O257=0,0,"'"&amp;物品!O257&amp;"'")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物品!A258</f>
        <v>0</v>
      </c>
      <c r="B228" s="55" t="str">
        <f>"'"&amp;物品!B258&amp;"'"</f>
        <v>'IC03'</v>
      </c>
      <c r="C228" s="55">
        <f>物品!J258</f>
        <v>0</v>
      </c>
      <c r="D228" s="55">
        <f>物品!K258</f>
        <v>0</v>
      </c>
      <c r="E228" s="55">
        <f>物品!L258</f>
        <v>0</v>
      </c>
      <c r="F228" s="55">
        <f>物品!M258</f>
        <v>0</v>
      </c>
      <c r="G228" s="55">
        <f>物品!N258</f>
        <v>0</v>
      </c>
      <c r="H228" s="55">
        <f>物品!O258</f>
        <v>0</v>
      </c>
      <c r="I228" s="55">
        <f>IF(物品!J258=0,0,"'"&amp;物品!J258&amp;"'")</f>
        <v>0</v>
      </c>
      <c r="J228" s="55">
        <f>IF(物品!K258=0,0,"'"&amp;物品!K258&amp;"'")</f>
        <v>0</v>
      </c>
      <c r="K228" s="55">
        <f>IF(物品!L258=0,0,"'"&amp;物品!L258&amp;"'")</f>
        <v>0</v>
      </c>
      <c r="L228" s="55">
        <f>IF(物品!M258=0,0,"'"&amp;物品!M258&amp;"'")</f>
        <v>0</v>
      </c>
      <c r="M228" s="55">
        <f>IF(物品!N258=0,0,"'"&amp;物品!N258&amp;"'")</f>
        <v>0</v>
      </c>
      <c r="N228" s="55">
        <f>IF(物品!O258=0,0,"'"&amp;物品!O258&amp;"'")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物品!A259</f>
        <v>0</v>
      </c>
      <c r="B229" s="55" t="str">
        <f>"'"&amp;物品!B259&amp;"'"</f>
        <v>'IC04'</v>
      </c>
      <c r="C229" s="55">
        <f>物品!J259</f>
        <v>0</v>
      </c>
      <c r="D229" s="55">
        <f>物品!K259</f>
        <v>0</v>
      </c>
      <c r="E229" s="55">
        <f>物品!L259</f>
        <v>0</v>
      </c>
      <c r="F229" s="55">
        <f>物品!M259</f>
        <v>0</v>
      </c>
      <c r="G229" s="55">
        <f>物品!N259</f>
        <v>0</v>
      </c>
      <c r="H229" s="55">
        <f>物品!O259</f>
        <v>0</v>
      </c>
      <c r="I229" s="55">
        <f>IF(物品!J259=0,0,"'"&amp;物品!J259&amp;"'")</f>
        <v>0</v>
      </c>
      <c r="J229" s="55">
        <f>IF(物品!K259=0,0,"'"&amp;物品!K259&amp;"'")</f>
        <v>0</v>
      </c>
      <c r="K229" s="55">
        <f>IF(物品!L259=0,0,"'"&amp;物品!L259&amp;"'")</f>
        <v>0</v>
      </c>
      <c r="L229" s="55">
        <f>IF(物品!M259=0,0,"'"&amp;物品!M259&amp;"'")</f>
        <v>0</v>
      </c>
      <c r="M229" s="55">
        <f>IF(物品!N259=0,0,"'"&amp;物品!N259&amp;"'")</f>
        <v>0</v>
      </c>
      <c r="N229" s="55">
        <f>IF(物品!O259=0,0,"'"&amp;物品!O259&amp;"'")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物品!A260</f>
        <v>0</v>
      </c>
      <c r="B230" s="55" t="str">
        <f>"'"&amp;物品!B260&amp;"'"</f>
        <v>'IC05'</v>
      </c>
      <c r="C230" s="55">
        <f>物品!J260</f>
        <v>0</v>
      </c>
      <c r="D230" s="55">
        <f>物品!K260</f>
        <v>0</v>
      </c>
      <c r="E230" s="55">
        <f>物品!L260</f>
        <v>0</v>
      </c>
      <c r="F230" s="55">
        <f>物品!M260</f>
        <v>0</v>
      </c>
      <c r="G230" s="55">
        <f>物品!N260</f>
        <v>0</v>
      </c>
      <c r="H230" s="55">
        <f>物品!O260</f>
        <v>0</v>
      </c>
      <c r="I230" s="55">
        <f>IF(物品!J260=0,0,"'"&amp;物品!J260&amp;"'")</f>
        <v>0</v>
      </c>
      <c r="J230" s="55">
        <f>IF(物品!K260=0,0,"'"&amp;物品!K260&amp;"'")</f>
        <v>0</v>
      </c>
      <c r="K230" s="55">
        <f>IF(物品!L260=0,0,"'"&amp;物品!L260&amp;"'")</f>
        <v>0</v>
      </c>
      <c r="L230" s="55">
        <f>IF(物品!M260=0,0,"'"&amp;物品!M260&amp;"'")</f>
        <v>0</v>
      </c>
      <c r="M230" s="55">
        <f>IF(物品!N260=0,0,"'"&amp;物品!N260&amp;"'")</f>
        <v>0</v>
      </c>
      <c r="N230" s="55">
        <f>IF(物品!O260=0,0,"'"&amp;物品!O260&amp;"'")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物品!A261</f>
        <v>0</v>
      </c>
      <c r="B231" s="55" t="str">
        <f>"'"&amp;物品!B261&amp;"'"</f>
        <v>'IC06'</v>
      </c>
      <c r="C231" s="55">
        <f>物品!J261</f>
        <v>0</v>
      </c>
      <c r="D231" s="55">
        <f>物品!K261</f>
        <v>0</v>
      </c>
      <c r="E231" s="55">
        <f>物品!L261</f>
        <v>0</v>
      </c>
      <c r="F231" s="55">
        <f>物品!M261</f>
        <v>0</v>
      </c>
      <c r="G231" s="55">
        <f>物品!N261</f>
        <v>0</v>
      </c>
      <c r="H231" s="55">
        <f>物品!O261</f>
        <v>0</v>
      </c>
      <c r="I231" s="55">
        <f>IF(物品!J261=0,0,"'"&amp;物品!J261&amp;"'")</f>
        <v>0</v>
      </c>
      <c r="J231" s="55">
        <f>IF(物品!K261=0,0,"'"&amp;物品!K261&amp;"'")</f>
        <v>0</v>
      </c>
      <c r="K231" s="55">
        <f>IF(物品!L261=0,0,"'"&amp;物品!L261&amp;"'")</f>
        <v>0</v>
      </c>
      <c r="L231" s="55">
        <f>IF(物品!M261=0,0,"'"&amp;物品!M261&amp;"'")</f>
        <v>0</v>
      </c>
      <c r="M231" s="55">
        <f>IF(物品!N261=0,0,"'"&amp;物品!N261&amp;"'")</f>
        <v>0</v>
      </c>
      <c r="N231" s="55">
        <f>IF(物品!O261=0,0,"'"&amp;物品!O261&amp;"'")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物品!A262</f>
        <v>0</v>
      </c>
      <c r="B232" s="55" t="str">
        <f>"'"&amp;物品!B262&amp;"'"</f>
        <v>'IC07'</v>
      </c>
      <c r="C232" s="55">
        <f>物品!J262</f>
        <v>0</v>
      </c>
      <c r="D232" s="55">
        <f>物品!K262</f>
        <v>0</v>
      </c>
      <c r="E232" s="55">
        <f>物品!L262</f>
        <v>0</v>
      </c>
      <c r="F232" s="55">
        <f>物品!M262</f>
        <v>0</v>
      </c>
      <c r="G232" s="55">
        <f>物品!N262</f>
        <v>0</v>
      </c>
      <c r="H232" s="55">
        <f>物品!O262</f>
        <v>0</v>
      </c>
      <c r="I232" s="55">
        <f>IF(物品!J262=0,0,"'"&amp;物品!J262&amp;"'")</f>
        <v>0</v>
      </c>
      <c r="J232" s="55">
        <f>IF(物品!K262=0,0,"'"&amp;物品!K262&amp;"'")</f>
        <v>0</v>
      </c>
      <c r="K232" s="55">
        <f>IF(物品!L262=0,0,"'"&amp;物品!L262&amp;"'")</f>
        <v>0</v>
      </c>
      <c r="L232" s="55">
        <f>IF(物品!M262=0,0,"'"&amp;物品!M262&amp;"'")</f>
        <v>0</v>
      </c>
      <c r="M232" s="55">
        <f>IF(物品!N262=0,0,"'"&amp;物品!N262&amp;"'")</f>
        <v>0</v>
      </c>
      <c r="N232" s="55">
        <f>IF(物品!O262=0,0,"'"&amp;物品!O262&amp;"'")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物品!A263</f>
        <v>0</v>
      </c>
      <c r="B233" s="55" t="str">
        <f>"'"&amp;物品!B263&amp;"'"</f>
        <v>'IC08'</v>
      </c>
      <c r="C233" s="55">
        <f>物品!J263</f>
        <v>0</v>
      </c>
      <c r="D233" s="55">
        <f>物品!K263</f>
        <v>0</v>
      </c>
      <c r="E233" s="55">
        <f>物品!L263</f>
        <v>0</v>
      </c>
      <c r="F233" s="55">
        <f>物品!M263</f>
        <v>0</v>
      </c>
      <c r="G233" s="55">
        <f>物品!N263</f>
        <v>0</v>
      </c>
      <c r="H233" s="55">
        <f>物品!O263</f>
        <v>0</v>
      </c>
      <c r="I233" s="55">
        <f>IF(物品!J263=0,0,"'"&amp;物品!J263&amp;"'")</f>
        <v>0</v>
      </c>
      <c r="J233" s="55">
        <f>IF(物品!K263=0,0,"'"&amp;物品!K263&amp;"'")</f>
        <v>0</v>
      </c>
      <c r="K233" s="55">
        <f>IF(物品!L263=0,0,"'"&amp;物品!L263&amp;"'")</f>
        <v>0</v>
      </c>
      <c r="L233" s="55">
        <f>IF(物品!M263=0,0,"'"&amp;物品!M263&amp;"'")</f>
        <v>0</v>
      </c>
      <c r="M233" s="55">
        <f>IF(物品!N263=0,0,"'"&amp;物品!N263&amp;"'")</f>
        <v>0</v>
      </c>
      <c r="N233" s="55">
        <f>IF(物品!O263=0,0,"'"&amp;物品!O263&amp;"'")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物品!A264</f>
        <v>0</v>
      </c>
      <c r="B234" s="55" t="str">
        <f>"'"&amp;物品!B264&amp;"'"</f>
        <v>'IC09'</v>
      </c>
      <c r="C234" s="55">
        <f>物品!J264</f>
        <v>0</v>
      </c>
      <c r="D234" s="55">
        <f>物品!K264</f>
        <v>0</v>
      </c>
      <c r="E234" s="55">
        <f>物品!L264</f>
        <v>0</v>
      </c>
      <c r="F234" s="55">
        <f>物品!M264</f>
        <v>0</v>
      </c>
      <c r="G234" s="55">
        <f>物品!N264</f>
        <v>0</v>
      </c>
      <c r="H234" s="55">
        <f>物品!O264</f>
        <v>0</v>
      </c>
      <c r="I234" s="55">
        <f>IF(物品!J264=0,0,"'"&amp;物品!J264&amp;"'")</f>
        <v>0</v>
      </c>
      <c r="J234" s="55">
        <f>IF(物品!K264=0,0,"'"&amp;物品!K264&amp;"'")</f>
        <v>0</v>
      </c>
      <c r="K234" s="55">
        <f>IF(物品!L264=0,0,"'"&amp;物品!L264&amp;"'")</f>
        <v>0</v>
      </c>
      <c r="L234" s="55">
        <f>IF(物品!M264=0,0,"'"&amp;物品!M264&amp;"'")</f>
        <v>0</v>
      </c>
      <c r="M234" s="55">
        <f>IF(物品!N264=0,0,"'"&amp;物品!N264&amp;"'")</f>
        <v>0</v>
      </c>
      <c r="N234" s="55">
        <f>IF(物品!O264=0,0,"'"&amp;物品!O264&amp;"'")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物品!A265</f>
        <v>0</v>
      </c>
      <c r="B235" s="55" t="str">
        <f>"'"&amp;物品!B265&amp;"'"</f>
        <v>'IC10'</v>
      </c>
      <c r="C235" s="55">
        <f>物品!J265</f>
        <v>0</v>
      </c>
      <c r="D235" s="55">
        <f>物品!K265</f>
        <v>0</v>
      </c>
      <c r="E235" s="55">
        <f>物品!L265</f>
        <v>0</v>
      </c>
      <c r="F235" s="55">
        <f>物品!M265</f>
        <v>0</v>
      </c>
      <c r="G235" s="55">
        <f>物品!N265</f>
        <v>0</v>
      </c>
      <c r="H235" s="55">
        <f>物品!O265</f>
        <v>0</v>
      </c>
      <c r="I235" s="55">
        <f>IF(物品!J265=0,0,"'"&amp;物品!J265&amp;"'")</f>
        <v>0</v>
      </c>
      <c r="J235" s="55">
        <f>IF(物品!K265=0,0,"'"&amp;物品!K265&amp;"'")</f>
        <v>0</v>
      </c>
      <c r="K235" s="55">
        <f>IF(物品!L265=0,0,"'"&amp;物品!L265&amp;"'")</f>
        <v>0</v>
      </c>
      <c r="L235" s="55">
        <f>IF(物品!M265=0,0,"'"&amp;物品!M265&amp;"'")</f>
        <v>0</v>
      </c>
      <c r="M235" s="55">
        <f>IF(物品!N265=0,0,"'"&amp;物品!N265&amp;"'")</f>
        <v>0</v>
      </c>
      <c r="N235" s="55">
        <f>IF(物品!O265=0,0,"'"&amp;物品!O265&amp;"'")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物品!A266</f>
        <v>0</v>
      </c>
      <c r="B236" s="55" t="str">
        <f>"'"&amp;物品!B266&amp;"'"</f>
        <v>'IC11'</v>
      </c>
      <c r="C236" s="55">
        <f>物品!J266</f>
        <v>0</v>
      </c>
      <c r="D236" s="55">
        <f>物品!K266</f>
        <v>0</v>
      </c>
      <c r="E236" s="55">
        <f>物品!L266</f>
        <v>0</v>
      </c>
      <c r="F236" s="55">
        <f>物品!M266</f>
        <v>0</v>
      </c>
      <c r="G236" s="55">
        <f>物品!N266</f>
        <v>0</v>
      </c>
      <c r="H236" s="55">
        <f>物品!O266</f>
        <v>0</v>
      </c>
      <c r="I236" s="55">
        <f>IF(物品!J266=0,0,"'"&amp;物品!J266&amp;"'")</f>
        <v>0</v>
      </c>
      <c r="J236" s="55">
        <f>IF(物品!K266=0,0,"'"&amp;物品!K266&amp;"'")</f>
        <v>0</v>
      </c>
      <c r="K236" s="55">
        <f>IF(物品!L266=0,0,"'"&amp;物品!L266&amp;"'")</f>
        <v>0</v>
      </c>
      <c r="L236" s="55">
        <f>IF(物品!M266=0,0,"'"&amp;物品!M266&amp;"'")</f>
        <v>0</v>
      </c>
      <c r="M236" s="55">
        <f>IF(物品!N266=0,0,"'"&amp;物品!N266&amp;"'")</f>
        <v>0</v>
      </c>
      <c r="N236" s="55">
        <f>IF(物品!O266=0,0,"'"&amp;物品!O266&amp;"'")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物品!A267</f>
        <v>0</v>
      </c>
      <c r="B237" s="55" t="str">
        <f>"'"&amp;物品!B267&amp;"'"</f>
        <v>''</v>
      </c>
      <c r="C237" s="55">
        <f>物品!J267</f>
        <v>0</v>
      </c>
      <c r="D237" s="55">
        <f>物品!K267</f>
        <v>0</v>
      </c>
      <c r="E237" s="55">
        <f>物品!L267</f>
        <v>0</v>
      </c>
      <c r="F237" s="55">
        <f>物品!M267</f>
        <v>0</v>
      </c>
      <c r="G237" s="55">
        <f>物品!N267</f>
        <v>0</v>
      </c>
      <c r="H237" s="55">
        <f>物品!O267</f>
        <v>0</v>
      </c>
      <c r="I237" s="55">
        <f>IF(物品!J267=0,0,"'"&amp;物品!J267&amp;"'")</f>
        <v>0</v>
      </c>
      <c r="J237" s="55">
        <f>IF(物品!K267=0,0,"'"&amp;物品!K267&amp;"'")</f>
        <v>0</v>
      </c>
      <c r="K237" s="55">
        <f>IF(物品!L267=0,0,"'"&amp;物品!L267&amp;"'")</f>
        <v>0</v>
      </c>
      <c r="L237" s="55">
        <f>IF(物品!M267=0,0,"'"&amp;物品!M267&amp;"'")</f>
        <v>0</v>
      </c>
      <c r="M237" s="55">
        <f>IF(物品!N267=0,0,"'"&amp;物品!N267&amp;"'")</f>
        <v>0</v>
      </c>
      <c r="N237" s="55">
        <f>IF(物品!O267=0,0,"'"&amp;物品!O267&amp;"'")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物品!A268</f>
        <v>0</v>
      </c>
      <c r="B238" s="55" t="str">
        <f>"'"&amp;物品!B268&amp;"'"</f>
        <v>''</v>
      </c>
      <c r="C238" s="55">
        <f>物品!J268</f>
        <v>0</v>
      </c>
      <c r="D238" s="55">
        <f>物品!K268</f>
        <v>0</v>
      </c>
      <c r="E238" s="55">
        <f>物品!L268</f>
        <v>0</v>
      </c>
      <c r="F238" s="55">
        <f>物品!M268</f>
        <v>0</v>
      </c>
      <c r="G238" s="55">
        <f>物品!N268</f>
        <v>0</v>
      </c>
      <c r="H238" s="55">
        <f>物品!O268</f>
        <v>0</v>
      </c>
      <c r="I238" s="55">
        <f>IF(物品!J268=0,0,"'"&amp;物品!J268&amp;"'")</f>
        <v>0</v>
      </c>
      <c r="J238" s="55">
        <f>IF(物品!K268=0,0,"'"&amp;物品!K268&amp;"'")</f>
        <v>0</v>
      </c>
      <c r="K238" s="55">
        <f>IF(物品!L268=0,0,"'"&amp;物品!L268&amp;"'")</f>
        <v>0</v>
      </c>
      <c r="L238" s="55">
        <f>IF(物品!M268=0,0,"'"&amp;物品!M268&amp;"'")</f>
        <v>0</v>
      </c>
      <c r="M238" s="55">
        <f>IF(物品!N268=0,0,"'"&amp;物品!N268&amp;"'")</f>
        <v>0</v>
      </c>
      <c r="N238" s="55">
        <f>IF(物品!O268=0,0,"'"&amp;物品!O268&amp;"'")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物品!A269</f>
        <v>0</v>
      </c>
      <c r="B239" s="55" t="str">
        <f>"'"&amp;物品!B269&amp;"'"</f>
        <v>''</v>
      </c>
      <c r="C239" s="55">
        <f>物品!J269</f>
        <v>0</v>
      </c>
      <c r="D239" s="55">
        <f>物品!K269</f>
        <v>0</v>
      </c>
      <c r="E239" s="55">
        <f>物品!L269</f>
        <v>0</v>
      </c>
      <c r="F239" s="55">
        <f>物品!M269</f>
        <v>0</v>
      </c>
      <c r="G239" s="55">
        <f>物品!N269</f>
        <v>0</v>
      </c>
      <c r="H239" s="55">
        <f>物品!O269</f>
        <v>0</v>
      </c>
      <c r="I239" s="55">
        <f>IF(物品!J269=0,0,"'"&amp;物品!J269&amp;"'")</f>
        <v>0</v>
      </c>
      <c r="J239" s="55">
        <f>IF(物品!K269=0,0,"'"&amp;物品!K269&amp;"'")</f>
        <v>0</v>
      </c>
      <c r="K239" s="55">
        <f>IF(物品!L269=0,0,"'"&amp;物品!L269&amp;"'")</f>
        <v>0</v>
      </c>
      <c r="L239" s="55">
        <f>IF(物品!M269=0,0,"'"&amp;物品!M269&amp;"'")</f>
        <v>0</v>
      </c>
      <c r="M239" s="55">
        <f>IF(物品!N269=0,0,"'"&amp;物品!N269&amp;"'")</f>
        <v>0</v>
      </c>
      <c r="N239" s="55">
        <f>IF(物品!O269=0,0,"'"&amp;物品!O269&amp;"'")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物品!A270</f>
        <v>0</v>
      </c>
      <c r="B240" s="55" t="str">
        <f>"'"&amp;物品!B270&amp;"'"</f>
        <v>''</v>
      </c>
      <c r="C240" s="55">
        <f>物品!J270</f>
        <v>0</v>
      </c>
      <c r="D240" s="55">
        <f>物品!K270</f>
        <v>0</v>
      </c>
      <c r="E240" s="55">
        <f>物品!L270</f>
        <v>0</v>
      </c>
      <c r="F240" s="55">
        <f>物品!M270</f>
        <v>0</v>
      </c>
      <c r="G240" s="55">
        <f>物品!N270</f>
        <v>0</v>
      </c>
      <c r="H240" s="55">
        <f>物品!O270</f>
        <v>0</v>
      </c>
      <c r="I240" s="55">
        <f>IF(物品!J270=0,0,"'"&amp;物品!J270&amp;"'")</f>
        <v>0</v>
      </c>
      <c r="J240" s="55">
        <f>IF(物品!K270=0,0,"'"&amp;物品!K270&amp;"'")</f>
        <v>0</v>
      </c>
      <c r="K240" s="55">
        <f>IF(物品!L270=0,0,"'"&amp;物品!L270&amp;"'")</f>
        <v>0</v>
      </c>
      <c r="L240" s="55">
        <f>IF(物品!M270=0,0,"'"&amp;物品!M270&amp;"'")</f>
        <v>0</v>
      </c>
      <c r="M240" s="55">
        <f>IF(物品!N270=0,0,"'"&amp;物品!N270&amp;"'")</f>
        <v>0</v>
      </c>
      <c r="N240" s="55">
        <f>IF(物品!O270=0,0,"'"&amp;物品!O270&amp;"'")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物品!A271</f>
        <v>0</v>
      </c>
      <c r="B241" s="55" t="str">
        <f>"'"&amp;物品!B271&amp;"'"</f>
        <v>''</v>
      </c>
      <c r="C241" s="55">
        <f>物品!J271</f>
        <v>0</v>
      </c>
      <c r="D241" s="55">
        <f>物品!K271</f>
        <v>0</v>
      </c>
      <c r="E241" s="55">
        <f>物品!L271</f>
        <v>0</v>
      </c>
      <c r="F241" s="55">
        <f>物品!M271</f>
        <v>0</v>
      </c>
      <c r="G241" s="55">
        <f>物品!N271</f>
        <v>0</v>
      </c>
      <c r="H241" s="55">
        <f>物品!O271</f>
        <v>0</v>
      </c>
      <c r="I241" s="55">
        <f>IF(物品!J271=0,0,"'"&amp;物品!J271&amp;"'")</f>
        <v>0</v>
      </c>
      <c r="J241" s="55">
        <f>IF(物品!K271=0,0,"'"&amp;物品!K271&amp;"'")</f>
        <v>0</v>
      </c>
      <c r="K241" s="55">
        <f>IF(物品!L271=0,0,"'"&amp;物品!L271&amp;"'")</f>
        <v>0</v>
      </c>
      <c r="L241" s="55">
        <f>IF(物品!M271=0,0,"'"&amp;物品!M271&amp;"'")</f>
        <v>0</v>
      </c>
      <c r="M241" s="55">
        <f>IF(物品!N271=0,0,"'"&amp;物品!N271&amp;"'")</f>
        <v>0</v>
      </c>
      <c r="N241" s="55">
        <f>IF(物品!O271=0,0,"'"&amp;物品!O271&amp;"'")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物品!A272</f>
        <v>0</v>
      </c>
      <c r="B242" s="55" t="str">
        <f>"'"&amp;物品!B272&amp;"'"</f>
        <v>''</v>
      </c>
      <c r="C242" s="55">
        <f>物品!J272</f>
        <v>0</v>
      </c>
      <c r="D242" s="55">
        <f>物品!K272</f>
        <v>0</v>
      </c>
      <c r="E242" s="55">
        <f>物品!L272</f>
        <v>0</v>
      </c>
      <c r="F242" s="55">
        <f>物品!M272</f>
        <v>0</v>
      </c>
      <c r="G242" s="55">
        <f>物品!N272</f>
        <v>0</v>
      </c>
      <c r="H242" s="55">
        <f>物品!O272</f>
        <v>0</v>
      </c>
      <c r="I242" s="55">
        <f>IF(物品!J272=0,0,"'"&amp;物品!J272&amp;"'")</f>
        <v>0</v>
      </c>
      <c r="J242" s="55">
        <f>IF(物品!K272=0,0,"'"&amp;物品!K272&amp;"'")</f>
        <v>0</v>
      </c>
      <c r="K242" s="55">
        <f>IF(物品!L272=0,0,"'"&amp;物品!L272&amp;"'")</f>
        <v>0</v>
      </c>
      <c r="L242" s="55">
        <f>IF(物品!M272=0,0,"'"&amp;物品!M272&amp;"'")</f>
        <v>0</v>
      </c>
      <c r="M242" s="55">
        <f>IF(物品!N272=0,0,"'"&amp;物品!N272&amp;"'")</f>
        <v>0</v>
      </c>
      <c r="N242" s="55">
        <f>IF(物品!O272=0,0,"'"&amp;物品!O272&amp;"'")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物品!A273</f>
        <v>0</v>
      </c>
      <c r="B243" s="55" t="str">
        <f>"'"&amp;物品!B273&amp;"'"</f>
        <v>''</v>
      </c>
      <c r="C243" s="55">
        <f>物品!J273</f>
        <v>0</v>
      </c>
      <c r="D243" s="55">
        <f>物品!K273</f>
        <v>0</v>
      </c>
      <c r="E243" s="55">
        <f>物品!L273</f>
        <v>0</v>
      </c>
      <c r="F243" s="55">
        <f>物品!M273</f>
        <v>0</v>
      </c>
      <c r="G243" s="55">
        <f>物品!N273</f>
        <v>0</v>
      </c>
      <c r="H243" s="55">
        <f>物品!O273</f>
        <v>0</v>
      </c>
      <c r="I243" s="55">
        <f>IF(物品!J273=0,0,"'"&amp;物品!J273&amp;"'")</f>
        <v>0</v>
      </c>
      <c r="J243" s="55">
        <f>IF(物品!K273=0,0,"'"&amp;物品!K273&amp;"'")</f>
        <v>0</v>
      </c>
      <c r="K243" s="55">
        <f>IF(物品!L273=0,0,"'"&amp;物品!L273&amp;"'")</f>
        <v>0</v>
      </c>
      <c r="L243" s="55">
        <f>IF(物品!M273=0,0,"'"&amp;物品!M273&amp;"'")</f>
        <v>0</v>
      </c>
      <c r="M243" s="55">
        <f>IF(物品!N273=0,0,"'"&amp;物品!N273&amp;"'")</f>
        <v>0</v>
      </c>
      <c r="N243" s="55">
        <f>IF(物品!O273=0,0,"'"&amp;物品!O273&amp;"'")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物品!A274</f>
        <v>0</v>
      </c>
      <c r="B244" s="55" t="str">
        <f>"'"&amp;物品!B274&amp;"'"</f>
        <v>''</v>
      </c>
      <c r="C244" s="55">
        <f>物品!J274</f>
        <v>0</v>
      </c>
      <c r="D244" s="55">
        <f>物品!K274</f>
        <v>0</v>
      </c>
      <c r="E244" s="55">
        <f>物品!L274</f>
        <v>0</v>
      </c>
      <c r="F244" s="55">
        <f>物品!M274</f>
        <v>0</v>
      </c>
      <c r="G244" s="55">
        <f>物品!N274</f>
        <v>0</v>
      </c>
      <c r="H244" s="55">
        <f>物品!O274</f>
        <v>0</v>
      </c>
      <c r="I244" s="55">
        <f>IF(物品!J274=0,0,"'"&amp;物品!J274&amp;"'")</f>
        <v>0</v>
      </c>
      <c r="J244" s="55">
        <f>IF(物品!K274=0,0,"'"&amp;物品!K274&amp;"'")</f>
        <v>0</v>
      </c>
      <c r="K244" s="55">
        <f>IF(物品!L274=0,0,"'"&amp;物品!L274&amp;"'")</f>
        <v>0</v>
      </c>
      <c r="L244" s="55">
        <f>IF(物品!M274=0,0,"'"&amp;物品!M274&amp;"'")</f>
        <v>0</v>
      </c>
      <c r="M244" s="55">
        <f>IF(物品!N274=0,0,"'"&amp;物品!N274&amp;"'")</f>
        <v>0</v>
      </c>
      <c r="N244" s="55">
        <f>IF(物品!O274=0,0,"'"&amp;物品!O274&amp;"'")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物品!A275</f>
        <v>0</v>
      </c>
      <c r="B245" s="55" t="str">
        <f>"'"&amp;物品!B275&amp;"'"</f>
        <v>''</v>
      </c>
      <c r="C245" s="55">
        <f>物品!J275</f>
        <v>0</v>
      </c>
      <c r="D245" s="55">
        <f>物品!K275</f>
        <v>0</v>
      </c>
      <c r="E245" s="55">
        <f>物品!L275</f>
        <v>0</v>
      </c>
      <c r="F245" s="55">
        <f>物品!M275</f>
        <v>0</v>
      </c>
      <c r="G245" s="55">
        <f>物品!N275</f>
        <v>0</v>
      </c>
      <c r="H245" s="55">
        <f>物品!O275</f>
        <v>0</v>
      </c>
      <c r="I245" s="55">
        <f>IF(物品!J275=0,0,"'"&amp;物品!J275&amp;"'")</f>
        <v>0</v>
      </c>
      <c r="J245" s="55">
        <f>IF(物品!K275=0,0,"'"&amp;物品!K275&amp;"'")</f>
        <v>0</v>
      </c>
      <c r="K245" s="55">
        <f>IF(物品!L275=0,0,"'"&amp;物品!L275&amp;"'")</f>
        <v>0</v>
      </c>
      <c r="L245" s="55">
        <f>IF(物品!M275=0,0,"'"&amp;物品!M275&amp;"'")</f>
        <v>0</v>
      </c>
      <c r="M245" s="55">
        <f>IF(物品!N275=0,0,"'"&amp;物品!N275&amp;"'")</f>
        <v>0</v>
      </c>
      <c r="N245" s="55">
        <f>IF(物品!O275=0,0,"'"&amp;物品!O275&amp;"'")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物品!A276</f>
        <v>0</v>
      </c>
      <c r="B246" s="55" t="str">
        <f>"'"&amp;物品!B276&amp;"'"</f>
        <v>''</v>
      </c>
      <c r="C246" s="55">
        <f>物品!J276</f>
        <v>0</v>
      </c>
      <c r="D246" s="55">
        <f>物品!K276</f>
        <v>0</v>
      </c>
      <c r="E246" s="55">
        <f>物品!L276</f>
        <v>0</v>
      </c>
      <c r="F246" s="55">
        <f>物品!M276</f>
        <v>0</v>
      </c>
      <c r="G246" s="55">
        <f>物品!N276</f>
        <v>0</v>
      </c>
      <c r="H246" s="55">
        <f>物品!O276</f>
        <v>0</v>
      </c>
      <c r="I246" s="55">
        <f>IF(物品!J276=0,0,"'"&amp;物品!J276&amp;"'")</f>
        <v>0</v>
      </c>
      <c r="J246" s="55">
        <f>IF(物品!K276=0,0,"'"&amp;物品!K276&amp;"'")</f>
        <v>0</v>
      </c>
      <c r="K246" s="55">
        <f>IF(物品!L276=0,0,"'"&amp;物品!L276&amp;"'")</f>
        <v>0</v>
      </c>
      <c r="L246" s="55">
        <f>IF(物品!M276=0,0,"'"&amp;物品!M276&amp;"'")</f>
        <v>0</v>
      </c>
      <c r="M246" s="55">
        <f>IF(物品!N276=0,0,"'"&amp;物品!N276&amp;"'")</f>
        <v>0</v>
      </c>
      <c r="N246" s="55">
        <f>IF(物品!O276=0,0,"'"&amp;物品!O276&amp;"'")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物品!A277</f>
        <v>0</v>
      </c>
      <c r="B247" s="55" t="str">
        <f>"'"&amp;物品!B277&amp;"'"</f>
        <v>''</v>
      </c>
      <c r="C247" s="55">
        <f>物品!J277</f>
        <v>0</v>
      </c>
      <c r="D247" s="55">
        <f>物品!K277</f>
        <v>0</v>
      </c>
      <c r="E247" s="55">
        <f>物品!L277</f>
        <v>0</v>
      </c>
      <c r="F247" s="55">
        <f>物品!M277</f>
        <v>0</v>
      </c>
      <c r="G247" s="55">
        <f>物品!N277</f>
        <v>0</v>
      </c>
      <c r="H247" s="55">
        <f>物品!O277</f>
        <v>0</v>
      </c>
      <c r="I247" s="55">
        <f>IF(物品!J277=0,0,"'"&amp;物品!J277&amp;"'")</f>
        <v>0</v>
      </c>
      <c r="J247" s="55">
        <f>IF(物品!K277=0,0,"'"&amp;物品!K277&amp;"'")</f>
        <v>0</v>
      </c>
      <c r="K247" s="55">
        <f>IF(物品!L277=0,0,"'"&amp;物品!L277&amp;"'")</f>
        <v>0</v>
      </c>
      <c r="L247" s="55">
        <f>IF(物品!M277=0,0,"'"&amp;物品!M277&amp;"'")</f>
        <v>0</v>
      </c>
      <c r="M247" s="55">
        <f>IF(物品!N277=0,0,"'"&amp;物品!N277&amp;"'")</f>
        <v>0</v>
      </c>
      <c r="N247" s="55">
        <f>IF(物品!O277=0,0,"'"&amp;物品!O277&amp;"'")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物品!A278</f>
        <v>0</v>
      </c>
      <c r="B248" s="55" t="str">
        <f>"'"&amp;物品!B278&amp;"'"</f>
        <v>''</v>
      </c>
      <c r="C248" s="55">
        <f>物品!J278</f>
        <v>0</v>
      </c>
      <c r="D248" s="55">
        <f>物品!K278</f>
        <v>0</v>
      </c>
      <c r="E248" s="55">
        <f>物品!L278</f>
        <v>0</v>
      </c>
      <c r="F248" s="55">
        <f>物品!M278</f>
        <v>0</v>
      </c>
      <c r="G248" s="55">
        <f>物品!N278</f>
        <v>0</v>
      </c>
      <c r="H248" s="55">
        <f>物品!O278</f>
        <v>0</v>
      </c>
      <c r="I248" s="55">
        <f>IF(物品!J278=0,0,"'"&amp;物品!J278&amp;"'")</f>
        <v>0</v>
      </c>
      <c r="J248" s="55">
        <f>IF(物品!K278=0,0,"'"&amp;物品!K278&amp;"'")</f>
        <v>0</v>
      </c>
      <c r="K248" s="55">
        <f>IF(物品!L278=0,0,"'"&amp;物品!L278&amp;"'")</f>
        <v>0</v>
      </c>
      <c r="L248" s="55">
        <f>IF(物品!M278=0,0,"'"&amp;物品!M278&amp;"'")</f>
        <v>0</v>
      </c>
      <c r="M248" s="55">
        <f>IF(物品!N278=0,0,"'"&amp;物品!N278&amp;"'")</f>
        <v>0</v>
      </c>
      <c r="N248" s="55">
        <f>IF(物品!O278=0,0,"'"&amp;物品!O278&amp;"'")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物品!A279</f>
        <v>0</v>
      </c>
      <c r="B249" s="55" t="str">
        <f>"'"&amp;物品!B279&amp;"'"</f>
        <v>''</v>
      </c>
      <c r="C249" s="55">
        <f>物品!J279</f>
        <v>0</v>
      </c>
      <c r="D249" s="55">
        <f>物品!K279</f>
        <v>0</v>
      </c>
      <c r="E249" s="55">
        <f>物品!L279</f>
        <v>0</v>
      </c>
      <c r="F249" s="55">
        <f>物品!M279</f>
        <v>0</v>
      </c>
      <c r="G249" s="55">
        <f>物品!N279</f>
        <v>0</v>
      </c>
      <c r="H249" s="55">
        <f>物品!O279</f>
        <v>0</v>
      </c>
      <c r="I249" s="55">
        <f>IF(物品!J279=0,0,"'"&amp;物品!J279&amp;"'")</f>
        <v>0</v>
      </c>
      <c r="J249" s="55">
        <f>IF(物品!K279=0,0,"'"&amp;物品!K279&amp;"'")</f>
        <v>0</v>
      </c>
      <c r="K249" s="55">
        <f>IF(物品!L279=0,0,"'"&amp;物品!L279&amp;"'")</f>
        <v>0</v>
      </c>
      <c r="L249" s="55">
        <f>IF(物品!M279=0,0,"'"&amp;物品!M279&amp;"'")</f>
        <v>0</v>
      </c>
      <c r="M249" s="55">
        <f>IF(物品!N279=0,0,"'"&amp;物品!N279&amp;"'")</f>
        <v>0</v>
      </c>
      <c r="N249" s="55">
        <f>IF(物品!O279=0,0,"'"&amp;物品!O279&amp;"'")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物品!A280</f>
        <v>0</v>
      </c>
      <c r="B250" s="55" t="str">
        <f>"'"&amp;物品!B280&amp;"'"</f>
        <v>''</v>
      </c>
      <c r="C250" s="55">
        <f>物品!J280</f>
        <v>0</v>
      </c>
      <c r="D250" s="55">
        <f>物品!K280</f>
        <v>0</v>
      </c>
      <c r="E250" s="55">
        <f>物品!L280</f>
        <v>0</v>
      </c>
      <c r="F250" s="55">
        <f>物品!M280</f>
        <v>0</v>
      </c>
      <c r="G250" s="55">
        <f>物品!N280</f>
        <v>0</v>
      </c>
      <c r="H250" s="55">
        <f>物品!O280</f>
        <v>0</v>
      </c>
      <c r="I250" s="55">
        <f>IF(物品!J280=0,0,"'"&amp;物品!J280&amp;"'")</f>
        <v>0</v>
      </c>
      <c r="J250" s="55">
        <f>IF(物品!K280=0,0,"'"&amp;物品!K280&amp;"'")</f>
        <v>0</v>
      </c>
      <c r="K250" s="55">
        <f>IF(物品!L280=0,0,"'"&amp;物品!L280&amp;"'")</f>
        <v>0</v>
      </c>
      <c r="L250" s="55">
        <f>IF(物品!M280=0,0,"'"&amp;物品!M280&amp;"'")</f>
        <v>0</v>
      </c>
      <c r="M250" s="55">
        <f>IF(物品!N280=0,0,"'"&amp;物品!N280&amp;"'")</f>
        <v>0</v>
      </c>
      <c r="N250" s="55">
        <f>IF(物品!O280=0,0,"'"&amp;物品!O280&amp;"'")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物品!A281</f>
        <v>0</v>
      </c>
      <c r="B251" s="55" t="str">
        <f>"'"&amp;物品!B281&amp;"'"</f>
        <v>''</v>
      </c>
      <c r="C251" s="55">
        <f>物品!J281</f>
        <v>0</v>
      </c>
      <c r="D251" s="55">
        <f>物品!K281</f>
        <v>0</v>
      </c>
      <c r="E251" s="55">
        <f>物品!L281</f>
        <v>0</v>
      </c>
      <c r="F251" s="55">
        <f>物品!M281</f>
        <v>0</v>
      </c>
      <c r="G251" s="55">
        <f>物品!N281</f>
        <v>0</v>
      </c>
      <c r="H251" s="55">
        <f>物品!O281</f>
        <v>0</v>
      </c>
      <c r="I251" s="55">
        <f>IF(物品!J281=0,0,"'"&amp;物品!J281&amp;"'")</f>
        <v>0</v>
      </c>
      <c r="J251" s="55">
        <f>IF(物品!K281=0,0,"'"&amp;物品!K281&amp;"'")</f>
        <v>0</v>
      </c>
      <c r="K251" s="55">
        <f>IF(物品!L281=0,0,"'"&amp;物品!L281&amp;"'")</f>
        <v>0</v>
      </c>
      <c r="L251" s="55">
        <f>IF(物品!M281=0,0,"'"&amp;物品!M281&amp;"'")</f>
        <v>0</v>
      </c>
      <c r="M251" s="55">
        <f>IF(物品!N281=0,0,"'"&amp;物品!N281&amp;"'")</f>
        <v>0</v>
      </c>
      <c r="N251" s="55">
        <f>IF(物品!O281=0,0,"'"&amp;物品!O281&amp;"'")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物品!A282</f>
        <v>0</v>
      </c>
      <c r="B252" s="55" t="str">
        <f>"'"&amp;物品!B282&amp;"'"</f>
        <v>''</v>
      </c>
      <c r="C252" s="55">
        <f>物品!J282</f>
        <v>0</v>
      </c>
      <c r="D252" s="55">
        <f>物品!K282</f>
        <v>0</v>
      </c>
      <c r="E252" s="55">
        <f>物品!L282</f>
        <v>0</v>
      </c>
      <c r="F252" s="55">
        <f>物品!M282</f>
        <v>0</v>
      </c>
      <c r="G252" s="55">
        <f>物品!N282</f>
        <v>0</v>
      </c>
      <c r="H252" s="55">
        <f>物品!O282</f>
        <v>0</v>
      </c>
      <c r="I252" s="55">
        <f>IF(物品!J282=0,0,"'"&amp;物品!J282&amp;"'")</f>
        <v>0</v>
      </c>
      <c r="J252" s="55">
        <f>IF(物品!K282=0,0,"'"&amp;物品!K282&amp;"'")</f>
        <v>0</v>
      </c>
      <c r="K252" s="55">
        <f>IF(物品!L282=0,0,"'"&amp;物品!L282&amp;"'")</f>
        <v>0</v>
      </c>
      <c r="L252" s="55">
        <f>IF(物品!M282=0,0,"'"&amp;物品!M282&amp;"'")</f>
        <v>0</v>
      </c>
      <c r="M252" s="55">
        <f>IF(物品!N282=0,0,"'"&amp;物品!N282&amp;"'")</f>
        <v>0</v>
      </c>
      <c r="N252" s="55">
        <f>IF(物品!O282=0,0,"'"&amp;物品!O282&amp;"'")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物品!A283</f>
        <v>0</v>
      </c>
      <c r="B253" s="55" t="str">
        <f>"'"&amp;物品!B283&amp;"'"</f>
        <v>''</v>
      </c>
      <c r="C253" s="55">
        <f>物品!J283</f>
        <v>0</v>
      </c>
      <c r="D253" s="55">
        <f>物品!K283</f>
        <v>0</v>
      </c>
      <c r="E253" s="55">
        <f>物品!L283</f>
        <v>0</v>
      </c>
      <c r="F253" s="55">
        <f>物品!M283</f>
        <v>0</v>
      </c>
      <c r="G253" s="55">
        <f>物品!N283</f>
        <v>0</v>
      </c>
      <c r="H253" s="55">
        <f>物品!O283</f>
        <v>0</v>
      </c>
      <c r="I253" s="55">
        <f>IF(物品!J283=0,0,"'"&amp;物品!J283&amp;"'")</f>
        <v>0</v>
      </c>
      <c r="J253" s="55">
        <f>IF(物品!K283=0,0,"'"&amp;物品!K283&amp;"'")</f>
        <v>0</v>
      </c>
      <c r="K253" s="55">
        <f>IF(物品!L283=0,0,"'"&amp;物品!L283&amp;"'")</f>
        <v>0</v>
      </c>
      <c r="L253" s="55">
        <f>IF(物品!M283=0,0,"'"&amp;物品!M283&amp;"'")</f>
        <v>0</v>
      </c>
      <c r="M253" s="55">
        <f>IF(物品!N283=0,0,"'"&amp;物品!N283&amp;"'")</f>
        <v>0</v>
      </c>
      <c r="N253" s="55">
        <f>IF(物品!O283=0,0,"'"&amp;物品!O283&amp;"'")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物品!A284</f>
        <v>0</v>
      </c>
      <c r="B254" s="55" t="str">
        <f>"'"&amp;物品!B284&amp;"'"</f>
        <v>''</v>
      </c>
      <c r="C254" s="55">
        <f>物品!J284</f>
        <v>0</v>
      </c>
      <c r="D254" s="55">
        <f>物品!K284</f>
        <v>0</v>
      </c>
      <c r="E254" s="55">
        <f>物品!L284</f>
        <v>0</v>
      </c>
      <c r="F254" s="55">
        <f>物品!M284</f>
        <v>0</v>
      </c>
      <c r="G254" s="55">
        <f>物品!N284</f>
        <v>0</v>
      </c>
      <c r="H254" s="55">
        <f>物品!O284</f>
        <v>0</v>
      </c>
      <c r="I254" s="55">
        <f>IF(物品!J284=0,0,"'"&amp;物品!J284&amp;"'")</f>
        <v>0</v>
      </c>
      <c r="J254" s="55">
        <f>IF(物品!K284=0,0,"'"&amp;物品!K284&amp;"'")</f>
        <v>0</v>
      </c>
      <c r="K254" s="55">
        <f>IF(物品!L284=0,0,"'"&amp;物品!L284&amp;"'")</f>
        <v>0</v>
      </c>
      <c r="L254" s="55">
        <f>IF(物品!M284=0,0,"'"&amp;物品!M284&amp;"'")</f>
        <v>0</v>
      </c>
      <c r="M254" s="55">
        <f>IF(物品!N284=0,0,"'"&amp;物品!N284&amp;"'")</f>
        <v>0</v>
      </c>
      <c r="N254" s="55">
        <f>IF(物品!O284=0,0,"'"&amp;物品!O284&amp;"'")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物品!A285</f>
        <v>0</v>
      </c>
      <c r="B255" s="55" t="str">
        <f>"'"&amp;物品!B285&amp;"'"</f>
        <v>''</v>
      </c>
      <c r="C255" s="55">
        <f>物品!J285</f>
        <v>0</v>
      </c>
      <c r="D255" s="55">
        <f>物品!K285</f>
        <v>0</v>
      </c>
      <c r="E255" s="55">
        <f>物品!L285</f>
        <v>0</v>
      </c>
      <c r="F255" s="55">
        <f>物品!M285</f>
        <v>0</v>
      </c>
      <c r="G255" s="55">
        <f>物品!N285</f>
        <v>0</v>
      </c>
      <c r="H255" s="55">
        <f>物品!O285</f>
        <v>0</v>
      </c>
      <c r="I255" s="55">
        <f>IF(物品!J285=0,0,"'"&amp;物品!J285&amp;"'")</f>
        <v>0</v>
      </c>
      <c r="J255" s="55">
        <f>IF(物品!K285=0,0,"'"&amp;物品!K285&amp;"'")</f>
        <v>0</v>
      </c>
      <c r="K255" s="55">
        <f>IF(物品!L285=0,0,"'"&amp;物品!L285&amp;"'")</f>
        <v>0</v>
      </c>
      <c r="L255" s="55">
        <f>IF(物品!M285=0,0,"'"&amp;物品!M285&amp;"'")</f>
        <v>0</v>
      </c>
      <c r="M255" s="55">
        <f>IF(物品!N285=0,0,"'"&amp;物品!N285&amp;"'")</f>
        <v>0</v>
      </c>
      <c r="N255" s="55">
        <f>IF(物品!O285=0,0,"'"&amp;物品!O285&amp;"'")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物品!A286</f>
        <v>0</v>
      </c>
      <c r="B256" s="55" t="str">
        <f>"'"&amp;物品!B286&amp;"'"</f>
        <v>''</v>
      </c>
      <c r="C256" s="55">
        <f>物品!J286</f>
        <v>0</v>
      </c>
      <c r="D256" s="55">
        <f>物品!K286</f>
        <v>0</v>
      </c>
      <c r="E256" s="55">
        <f>物品!L286</f>
        <v>0</v>
      </c>
      <c r="F256" s="55">
        <f>物品!M286</f>
        <v>0</v>
      </c>
      <c r="G256" s="55">
        <f>物品!N286</f>
        <v>0</v>
      </c>
      <c r="H256" s="55">
        <f>物品!O286</f>
        <v>0</v>
      </c>
      <c r="I256" s="55">
        <f>IF(物品!J286=0,0,"'"&amp;物品!J286&amp;"'")</f>
        <v>0</v>
      </c>
      <c r="J256" s="55">
        <f>IF(物品!K286=0,0,"'"&amp;物品!K286&amp;"'")</f>
        <v>0</v>
      </c>
      <c r="K256" s="55">
        <f>IF(物品!L286=0,0,"'"&amp;物品!L286&amp;"'")</f>
        <v>0</v>
      </c>
      <c r="L256" s="55">
        <f>IF(物品!M286=0,0,"'"&amp;物品!M286&amp;"'")</f>
        <v>0</v>
      </c>
      <c r="M256" s="55">
        <f>IF(物品!N286=0,0,"'"&amp;物品!N286&amp;"'")</f>
        <v>0</v>
      </c>
      <c r="N256" s="55">
        <f>IF(物品!O286=0,0,"'"&amp;物品!O286&amp;"'")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物品!A287</f>
        <v>0</v>
      </c>
      <c r="B257" s="55" t="str">
        <f>"'"&amp;物品!B287&amp;"'"</f>
        <v>''</v>
      </c>
      <c r="C257" s="55">
        <f>物品!J287</f>
        <v>0</v>
      </c>
      <c r="D257" s="55">
        <f>物品!K287</f>
        <v>0</v>
      </c>
      <c r="E257" s="55">
        <f>物品!L287</f>
        <v>0</v>
      </c>
      <c r="F257" s="55">
        <f>物品!M287</f>
        <v>0</v>
      </c>
      <c r="G257" s="55">
        <f>物品!N287</f>
        <v>0</v>
      </c>
      <c r="H257" s="55">
        <f>物品!O287</f>
        <v>0</v>
      </c>
      <c r="I257" s="55">
        <f>IF(物品!J287=0,0,"'"&amp;物品!J287&amp;"'")</f>
        <v>0</v>
      </c>
      <c r="J257" s="55">
        <f>IF(物品!K287=0,0,"'"&amp;物品!K287&amp;"'")</f>
        <v>0</v>
      </c>
      <c r="K257" s="55">
        <f>IF(物品!L287=0,0,"'"&amp;物品!L287&amp;"'")</f>
        <v>0</v>
      </c>
      <c r="L257" s="55">
        <f>IF(物品!M287=0,0,"'"&amp;物品!M287&amp;"'")</f>
        <v>0</v>
      </c>
      <c r="M257" s="55">
        <f>IF(物品!N287=0,0,"'"&amp;物品!N287&amp;"'")</f>
        <v>0</v>
      </c>
      <c r="N257" s="55">
        <f>IF(物品!O287=0,0,"'"&amp;物品!O287&amp;"'")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物品!A288</f>
        <v>0</v>
      </c>
      <c r="B258" s="55" t="str">
        <f>"'"&amp;物品!B288&amp;"'"</f>
        <v>''</v>
      </c>
      <c r="C258" s="55">
        <f>物品!J288</f>
        <v>0</v>
      </c>
      <c r="D258" s="55">
        <f>物品!K288</f>
        <v>0</v>
      </c>
      <c r="E258" s="55">
        <f>物品!L288</f>
        <v>0</v>
      </c>
      <c r="F258" s="55">
        <f>物品!M288</f>
        <v>0</v>
      </c>
      <c r="G258" s="55">
        <f>物品!N288</f>
        <v>0</v>
      </c>
      <c r="H258" s="55">
        <f>物品!O288</f>
        <v>0</v>
      </c>
      <c r="I258" s="55">
        <f>IF(物品!J288=0,0,"'"&amp;物品!J288&amp;"'")</f>
        <v>0</v>
      </c>
      <c r="J258" s="55">
        <f>IF(物品!K288=0,0,"'"&amp;物品!K288&amp;"'")</f>
        <v>0</v>
      </c>
      <c r="K258" s="55">
        <f>IF(物品!L288=0,0,"'"&amp;物品!L288&amp;"'")</f>
        <v>0</v>
      </c>
      <c r="L258" s="55">
        <f>IF(物品!M288=0,0,"'"&amp;物品!M288&amp;"'")</f>
        <v>0</v>
      </c>
      <c r="M258" s="55">
        <f>IF(物品!N288=0,0,"'"&amp;物品!N288&amp;"'")</f>
        <v>0</v>
      </c>
      <c r="N258" s="55">
        <f>IF(物品!O288=0,0,"'"&amp;物品!O288&amp;"'")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物品!A289</f>
        <v>0</v>
      </c>
      <c r="B259" s="55" t="str">
        <f>"'"&amp;物品!B289&amp;"'"</f>
        <v>''</v>
      </c>
      <c r="C259" s="55">
        <f>物品!J289</f>
        <v>0</v>
      </c>
      <c r="D259" s="55">
        <f>物品!K289</f>
        <v>0</v>
      </c>
      <c r="E259" s="55">
        <f>物品!L289</f>
        <v>0</v>
      </c>
      <c r="F259" s="55">
        <f>物品!M289</f>
        <v>0</v>
      </c>
      <c r="G259" s="55">
        <f>物品!N289</f>
        <v>0</v>
      </c>
      <c r="H259" s="55">
        <f>物品!O289</f>
        <v>0</v>
      </c>
      <c r="I259" s="55">
        <f>IF(物品!J289=0,0,"'"&amp;物品!J289&amp;"'")</f>
        <v>0</v>
      </c>
      <c r="J259" s="55">
        <f>IF(物品!K289=0,0,"'"&amp;物品!K289&amp;"'")</f>
        <v>0</v>
      </c>
      <c r="K259" s="55">
        <f>IF(物品!L289=0,0,"'"&amp;物品!L289&amp;"'")</f>
        <v>0</v>
      </c>
      <c r="L259" s="55">
        <f>IF(物品!M289=0,0,"'"&amp;物品!M289&amp;"'")</f>
        <v>0</v>
      </c>
      <c r="M259" s="55">
        <f>IF(物品!N289=0,0,"'"&amp;物品!N289&amp;"'")</f>
        <v>0</v>
      </c>
      <c r="N259" s="55">
        <f>IF(物品!O289=0,0,"'"&amp;物品!O289&amp;"'")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物品!A290</f>
        <v>0</v>
      </c>
      <c r="B260" s="55" t="str">
        <f>"'"&amp;物品!B290&amp;"'"</f>
        <v>''</v>
      </c>
      <c r="C260" s="55">
        <f>物品!J290</f>
        <v>0</v>
      </c>
      <c r="D260" s="55">
        <f>物品!K290</f>
        <v>0</v>
      </c>
      <c r="E260" s="55">
        <f>物品!L290</f>
        <v>0</v>
      </c>
      <c r="F260" s="55">
        <f>物品!M290</f>
        <v>0</v>
      </c>
      <c r="G260" s="55">
        <f>物品!N290</f>
        <v>0</v>
      </c>
      <c r="H260" s="55">
        <f>物品!O290</f>
        <v>0</v>
      </c>
      <c r="I260" s="55">
        <f>IF(物品!J290=0,0,"'"&amp;物品!J290&amp;"'")</f>
        <v>0</v>
      </c>
      <c r="J260" s="55">
        <f>IF(物品!K290=0,0,"'"&amp;物品!K290&amp;"'")</f>
        <v>0</v>
      </c>
      <c r="K260" s="55">
        <f>IF(物品!L290=0,0,"'"&amp;物品!L290&amp;"'")</f>
        <v>0</v>
      </c>
      <c r="L260" s="55">
        <f>IF(物品!M290=0,0,"'"&amp;物品!M290&amp;"'")</f>
        <v>0</v>
      </c>
      <c r="M260" s="55">
        <f>IF(物品!N290=0,0,"'"&amp;物品!N290&amp;"'")</f>
        <v>0</v>
      </c>
      <c r="N260" s="55">
        <f>IF(物品!O290=0,0,"'"&amp;物品!O290&amp;"'")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物品!A291</f>
        <v>0</v>
      </c>
      <c r="B261" s="55" t="str">
        <f>"'"&amp;物品!B291&amp;"'"</f>
        <v>''</v>
      </c>
      <c r="C261" s="55">
        <f>物品!J291</f>
        <v>0</v>
      </c>
      <c r="D261" s="55">
        <f>物品!K291</f>
        <v>0</v>
      </c>
      <c r="E261" s="55">
        <f>物品!L291</f>
        <v>0</v>
      </c>
      <c r="F261" s="55">
        <f>物品!M291</f>
        <v>0</v>
      </c>
      <c r="G261" s="55">
        <f>物品!N291</f>
        <v>0</v>
      </c>
      <c r="H261" s="55">
        <f>物品!O291</f>
        <v>0</v>
      </c>
      <c r="I261" s="55">
        <f>IF(物品!J291=0,0,"'"&amp;物品!J291&amp;"'")</f>
        <v>0</v>
      </c>
      <c r="J261" s="55">
        <f>IF(物品!K291=0,0,"'"&amp;物品!K291&amp;"'")</f>
        <v>0</v>
      </c>
      <c r="K261" s="55">
        <f>IF(物品!L291=0,0,"'"&amp;物品!L291&amp;"'")</f>
        <v>0</v>
      </c>
      <c r="L261" s="55">
        <f>IF(物品!M291=0,0,"'"&amp;物品!M291&amp;"'")</f>
        <v>0</v>
      </c>
      <c r="M261" s="55">
        <f>IF(物品!N291=0,0,"'"&amp;物品!N291&amp;"'")</f>
        <v>0</v>
      </c>
      <c r="N261" s="55">
        <f>IF(物品!O291=0,0,"'"&amp;物品!O291&amp;"'")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物品!A292</f>
        <v>0</v>
      </c>
      <c r="B262" s="55" t="str">
        <f>"'"&amp;物品!B292&amp;"'"</f>
        <v>''</v>
      </c>
      <c r="C262" s="55">
        <f>物品!J292</f>
        <v>0</v>
      </c>
      <c r="D262" s="55">
        <f>物品!K292</f>
        <v>0</v>
      </c>
      <c r="E262" s="55">
        <f>物品!L292</f>
        <v>0</v>
      </c>
      <c r="F262" s="55">
        <f>物品!M292</f>
        <v>0</v>
      </c>
      <c r="G262" s="55">
        <f>物品!N292</f>
        <v>0</v>
      </c>
      <c r="H262" s="55">
        <f>物品!O292</f>
        <v>0</v>
      </c>
      <c r="I262" s="55">
        <f>IF(物品!J292=0,0,"'"&amp;物品!J292&amp;"'")</f>
        <v>0</v>
      </c>
      <c r="J262" s="55">
        <f>IF(物品!K292=0,0,"'"&amp;物品!K292&amp;"'")</f>
        <v>0</v>
      </c>
      <c r="K262" s="55">
        <f>IF(物品!L292=0,0,"'"&amp;物品!L292&amp;"'")</f>
        <v>0</v>
      </c>
      <c r="L262" s="55">
        <f>IF(物品!M292=0,0,"'"&amp;物品!M292&amp;"'")</f>
        <v>0</v>
      </c>
      <c r="M262" s="55">
        <f>IF(物品!N292=0,0,"'"&amp;物品!N292&amp;"'")</f>
        <v>0</v>
      </c>
      <c r="N262" s="55">
        <f>IF(物品!O292=0,0,"'"&amp;物品!O292&amp;"'")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物品!A293</f>
        <v>0</v>
      </c>
      <c r="B263" s="55" t="str">
        <f>"'"&amp;物品!B293&amp;"'"</f>
        <v>''</v>
      </c>
      <c r="C263" s="55">
        <f>物品!J293</f>
        <v>0</v>
      </c>
      <c r="D263" s="55">
        <f>物品!K293</f>
        <v>0</v>
      </c>
      <c r="E263" s="55">
        <f>物品!L293</f>
        <v>0</v>
      </c>
      <c r="F263" s="55">
        <f>物品!M293</f>
        <v>0</v>
      </c>
      <c r="G263" s="55">
        <f>物品!N293</f>
        <v>0</v>
      </c>
      <c r="H263" s="55">
        <f>物品!O293</f>
        <v>0</v>
      </c>
      <c r="I263" s="55">
        <f>IF(物品!J293=0,0,"'"&amp;物品!J293&amp;"'")</f>
        <v>0</v>
      </c>
      <c r="J263" s="55">
        <f>IF(物品!K293=0,0,"'"&amp;物品!K293&amp;"'")</f>
        <v>0</v>
      </c>
      <c r="K263" s="55">
        <f>IF(物品!L293=0,0,"'"&amp;物品!L293&amp;"'")</f>
        <v>0</v>
      </c>
      <c r="L263" s="55">
        <f>IF(物品!M293=0,0,"'"&amp;物品!M293&amp;"'")</f>
        <v>0</v>
      </c>
      <c r="M263" s="55">
        <f>IF(物品!N293=0,0,"'"&amp;物品!N293&amp;"'")</f>
        <v>0</v>
      </c>
      <c r="N263" s="55">
        <f>IF(物品!O293=0,0,"'"&amp;物品!O293&amp;"'")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0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821</v>
      </c>
      <c r="H1" s="39" t="s">
        <v>822</v>
      </c>
      <c r="I1" s="43" t="s">
        <v>823</v>
      </c>
      <c r="J1" s="44" t="s">
        <v>819</v>
      </c>
      <c r="K1" s="45" t="s">
        <v>125</v>
      </c>
      <c r="L1" s="46" t="s">
        <v>126</v>
      </c>
      <c r="M1" s="47" t="s">
        <v>824</v>
      </c>
      <c r="N1" s="48" t="s">
        <v>825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"获得一个随机品质的法宝。|n|n|Cff00ff7f副本难度影响法宝品质稀有度。|r"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IF(物品!B156="",0,"'"&amp;物品!B156&amp;"'")</f>
        <v>'IP01'</v>
      </c>
      <c r="B93" t="e">
        <f>物品!#REF!</f>
        <v>#REF!</v>
      </c>
      <c r="C93">
        <f>物品!E156</f>
        <v>0</v>
      </c>
      <c r="D93">
        <f>物品!F156</f>
        <v>0</v>
      </c>
      <c r="E93">
        <f>IF(ISTEXT(物品!G156)=TRUE,"'"&amp;物品!G156&amp;"'",物品!G156)</f>
        <v>0</v>
      </c>
      <c r="F93">
        <f>IF(ISTEXT(物品!H156)=TRUE,"'"&amp;物品!H156&amp;"'",物品!H156)</f>
        <v>0</v>
      </c>
      <c r="G93">
        <f>IF(物品!I156="",0,"'"&amp;物品!I156&amp;"'")</f>
        <v>0</v>
      </c>
      <c r="H93">
        <f>IF(物品!R156="",0,物品!R156)</f>
        <v>0</v>
      </c>
      <c r="I93">
        <f>IF(物品!S156="",0,物品!S156)</f>
        <v>0</v>
      </c>
      <c r="J93" t="str">
        <f>IF(物品!C156="",0,""""&amp;物品!C156&amp;"""")</f>
        <v>"|CffFF0000时渊入场券|r"</v>
      </c>
      <c r="K93" t="str">
        <f>IF(物品!T156="","""""",""""&amp;物品!T156&amp;"""")</f>
        <v>"每次|Cffffd24d完成|r时渊副本将消耗|Cffffd24d1|r个|Cffffd24d时渊入场券|r"</v>
      </c>
      <c r="L93" t="str">
        <f>IF(物品!U156="",0,""""&amp;物品!U156&amp;"""")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IF(物品!B157="",0,"'"&amp;物品!B157&amp;"'")</f>
        <v>'IP02'</v>
      </c>
      <c r="B94">
        <f>物品!D117</f>
        <v>0</v>
      </c>
      <c r="C94">
        <f>物品!E157</f>
        <v>0</v>
      </c>
      <c r="D94">
        <f>物品!F157</f>
        <v>0</v>
      </c>
      <c r="E94">
        <f>IF(ISTEXT(物品!G157)=TRUE,"'"&amp;物品!G157&amp;"'",物品!G157)</f>
        <v>0</v>
      </c>
      <c r="F94">
        <f>IF(ISTEXT(物品!H157)=TRUE,"'"&amp;物品!H157&amp;"'",物品!H157)</f>
        <v>0</v>
      </c>
      <c r="G94">
        <f>IF(物品!I157="",0,"'"&amp;物品!I157&amp;"'")</f>
        <v>0</v>
      </c>
      <c r="H94">
        <f>IF(物品!R157="",0,物品!R157)</f>
        <v>0</v>
      </c>
      <c r="I94">
        <f>IF(物品!S157="",0,物品!S157)</f>
        <v>0</v>
      </c>
      <c r="J94" t="str">
        <f>IF(物品!C157="",0,""""&amp;物品!C157&amp;"""")</f>
        <v>"|CffFFD24D补天石|r"</v>
      </c>
      <c r="K94" t="str">
        <f>IF(物品!T157="","""""",""""&amp;物品!T157&amp;"""")</f>
        <v>"点击|Cffffc926选中指定法宝|r后，再点击|Cffffc926重铸|r，可|Cffffc926重置|r指定法宝，|Cffffc926品质不变|r。|n|n|Cff00ff7f每次重铸消耗1个补天石|r"</v>
      </c>
      <c r="L94" t="str">
        <f>IF(物品!U157="",0,""""&amp;物品!U157&amp;"""")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IF(物品!B158="",0,"'"&amp;物品!B158&amp;"'")</f>
        <v>'IP03'</v>
      </c>
      <c r="B95">
        <f>物品!D118</f>
        <v>0</v>
      </c>
      <c r="C95">
        <f>物品!E158</f>
        <v>0</v>
      </c>
      <c r="D95">
        <f>物品!F158</f>
        <v>0</v>
      </c>
      <c r="E95">
        <f>IF(ISTEXT(物品!G158)=TRUE,"'"&amp;物品!G158&amp;"'",物品!G158)</f>
        <v>0</v>
      </c>
      <c r="F95">
        <f>IF(ISTEXT(物品!H158)=TRUE,"'"&amp;物品!H158&amp;"'",物品!H158)</f>
        <v>0</v>
      </c>
      <c r="G95">
        <f>IF(物品!I158="",0,"'"&amp;物品!I158&amp;"'")</f>
        <v>0</v>
      </c>
      <c r="H95">
        <f>IF(物品!R158="",0,物品!R158)</f>
        <v>0</v>
      </c>
      <c r="I95">
        <f>IF(物品!S158="",0,物品!S158)</f>
        <v>0</v>
      </c>
      <c r="J95" t="str">
        <f>IF(物品!C158="",0,""""&amp;物品!C158&amp;"""")</f>
        <v>"|CffFF0000鸿蒙结晶|r"</v>
      </c>
      <c r="K95" t="str">
        <f>IF(物品!T158="","""""",""""&amp;物品!T158&amp;"""")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IF(物品!U158="",0,""""&amp;物品!U158&amp;"""")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IF(物品!B165="",0,"'"&amp;物品!B165&amp;"'")</f>
        <v>'IT01'</v>
      </c>
      <c r="B96">
        <f>物品!D119</f>
        <v>0</v>
      </c>
      <c r="C96">
        <f>物品!E165</f>
        <v>0</v>
      </c>
      <c r="D96">
        <f>物品!F165</f>
        <v>0</v>
      </c>
      <c r="E96">
        <f>IF(ISTEXT(物品!G165)=TRUE,"'"&amp;物品!G165&amp;"'",物品!G165)</f>
        <v>0</v>
      </c>
      <c r="F96">
        <f>IF(ISTEXT(物品!H165)=TRUE,"'"&amp;物品!H165&amp;"'",物品!H165)</f>
        <v>0</v>
      </c>
      <c r="G96">
        <f>IF(物品!I165="",0,"'"&amp;物品!I165&amp;"'")</f>
        <v>0</v>
      </c>
      <c r="H96">
        <f>IF(物品!R165="",0,物品!R165)</f>
        <v>-8086</v>
      </c>
      <c r="I96">
        <f>IF(物品!S165="",0,物品!S165)</f>
        <v>-3245</v>
      </c>
      <c r="J96" t="str">
        <f>IF(物品!C165="",0,""""&amp;物品!C165&amp;"""")</f>
        <v>"噬心劫"</v>
      </c>
      <c r="K96" t="str">
        <f>IF(物品!T165="","""""",""""&amp;物品!T165&amp;"""")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IF(物品!U165="",0,""""&amp;物品!U165&amp;"""")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IF(物品!B166="",0,"'"&amp;物品!B166&amp;"'")</f>
        <v>'IT02'</v>
      </c>
      <c r="B97">
        <f>物品!D120</f>
        <v>0</v>
      </c>
      <c r="C97">
        <f>物品!E166</f>
        <v>0</v>
      </c>
      <c r="D97">
        <f>物品!F166</f>
        <v>0</v>
      </c>
      <c r="E97">
        <f>IF(ISTEXT(物品!G166)=TRUE,"'"&amp;物品!G166&amp;"'",物品!G166)</f>
        <v>0</v>
      </c>
      <c r="F97">
        <f>IF(ISTEXT(物品!H166)=TRUE,"'"&amp;物品!H166&amp;"'",物品!H166)</f>
        <v>0</v>
      </c>
      <c r="G97">
        <f>IF(物品!I166="",0,"'"&amp;物品!I166&amp;"'")</f>
        <v>0</v>
      </c>
      <c r="H97">
        <f>IF(物品!R166="",0,物品!R166)</f>
        <v>-7991</v>
      </c>
      <c r="I97">
        <f>IF(物品!S166="",0,物品!S166)</f>
        <v>-2312</v>
      </c>
      <c r="J97" t="str">
        <f>IF(物品!C166="",0,""""&amp;物品!C166&amp;"""")</f>
        <v>"三重轰雷劫"</v>
      </c>
      <c r="K97" t="str">
        <f>IF(物品!T166="","""""",""""&amp;物品!T166&amp;"""")</f>
        <v>"渡过该劫后可结成|CffCCCCCC中级道果|r。|n|n|CffCCCCCC中级道果：|r|n攻击+18000|n生命值+72000|n物理伤害+20%|n法术伤害+20%|n杀敌攻击+8|n杀敌业力+1|n杀敌生命+30|n"</v>
      </c>
      <c r="L97" t="str">
        <f>IF(物品!U166="",0,""""&amp;物品!U166&amp;"""")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+18000|n生命值+72000|n物理伤害+20%|n法术伤害+20%|n杀敌攻击+8|n杀敌业力+1|n杀敌生命+30|n")</v>
      </c>
    </row>
    <row r="98" spans="1:14">
      <c r="A98" t="str">
        <f>IF(物品!B167="",0,"'"&amp;物品!B167&amp;"'")</f>
        <v>'IT03'</v>
      </c>
      <c r="B98">
        <f>物品!D121</f>
        <v>0</v>
      </c>
      <c r="C98">
        <f>物品!E167</f>
        <v>0</v>
      </c>
      <c r="D98">
        <f>物品!F167</f>
        <v>0</v>
      </c>
      <c r="E98">
        <f>IF(ISTEXT(物品!G167)=TRUE,"'"&amp;物品!G167&amp;"'",物品!G167)</f>
        <v>0</v>
      </c>
      <c r="F98">
        <f>IF(ISTEXT(物品!H167)=TRUE,"'"&amp;物品!H167&amp;"'",物品!H167)</f>
        <v>0</v>
      </c>
      <c r="G98">
        <f>IF(物品!I167="",0,"'"&amp;物品!I167&amp;"'")</f>
        <v>0</v>
      </c>
      <c r="H98">
        <f>IF(物品!R167="",0,物品!R167)</f>
        <v>-8089</v>
      </c>
      <c r="I98">
        <f>IF(物品!S167="",0,物品!S167)</f>
        <v>-1230</v>
      </c>
      <c r="J98" t="str">
        <f>IF(物品!C167="",0,""""&amp;物品!C167&amp;"""")</f>
        <v>"|Cff00FF7F六重天雷劫|r"</v>
      </c>
      <c r="K98" t="str">
        <f>IF(物品!T167="","""""",""""&amp;物品!T167&amp;"""")</f>
        <v>"渡过该劫后可结成|Cff00ff7f高级道果|r。|n|n|Cff00ff7f高级道果：|r|n攻击+37500|n生命值+150000|n物理伤害+20%|n法术伤害+20%|n杀敌攻击+8|n杀敌业力+1|n杀敌生命+30|n"</v>
      </c>
      <c r="L98" t="str">
        <f>IF(物品!U167="",0,""""&amp;物品!U167&amp;"""")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+37500|n生命值+150000|n物理伤害+20%|n法术伤害+20%|n杀敌攻击+8|n杀敌业力+1|n杀敌生命+30|n")</v>
      </c>
    </row>
    <row r="99" spans="1:14">
      <c r="A99" t="str">
        <f>IF(物品!B168="",0,"'"&amp;物品!B168&amp;"'")</f>
        <v>'IT04'</v>
      </c>
      <c r="B99">
        <f>物品!D122</f>
        <v>0</v>
      </c>
      <c r="C99">
        <f>物品!E168</f>
        <v>0</v>
      </c>
      <c r="D99">
        <f>物品!F168</f>
        <v>0</v>
      </c>
      <c r="E99">
        <f>IF(ISTEXT(物品!G168)=TRUE,"'"&amp;物品!G168&amp;"'",物品!G168)</f>
        <v>0</v>
      </c>
      <c r="F99">
        <f>IF(ISTEXT(物品!H168)=TRUE,"'"&amp;物品!H168&amp;"'",物品!H168)</f>
        <v>0</v>
      </c>
      <c r="G99">
        <f>IF(物品!I168="",0,"'"&amp;物品!I168&amp;"'")</f>
        <v>0</v>
      </c>
      <c r="H99">
        <f>IF(物品!R168="",0,物品!R168)</f>
        <v>-7794</v>
      </c>
      <c r="I99">
        <f>IF(物品!S168="",0,物品!S168)</f>
        <v>195</v>
      </c>
      <c r="J99" t="str">
        <f>IF(物品!C168="",0,""""&amp;物品!C168&amp;"""")</f>
        <v>"|Cff00FF7F九重煅神劫|r"</v>
      </c>
      <c r="K99" t="str">
        <f>IF(物品!T168="","""""",""""&amp;物品!T168&amp;"""")</f>
        <v>"渡过该劫后可结成|Cff00ff7f黄级道果|r。|n|n|Cff00ff7f黄级道果：|r|n攻击+60000|n生命值+240000|n物理伤害+25%|n法术伤害+25%|n杀敌攻击+8|n杀敌业力+1|n杀敌生命+30|n"</v>
      </c>
      <c r="L99" t="str">
        <f>IF(物品!U168="",0,""""&amp;物品!U168&amp;"""")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+60000|n生命值+240000|n物理伤害+25%|n法术伤害+25%|n杀敌攻击+8|n杀敌业力+1|n杀敌生命+30|n")</v>
      </c>
    </row>
    <row r="100" spans="1:14">
      <c r="A100" t="str">
        <f>IF(物品!B169="",0,"'"&amp;物品!B169&amp;"'")</f>
        <v>'IT05'</v>
      </c>
      <c r="B100">
        <f>物品!D124</f>
        <v>0</v>
      </c>
      <c r="C100">
        <f>物品!E169</f>
        <v>0</v>
      </c>
      <c r="D100">
        <f>物品!F169</f>
        <v>0</v>
      </c>
      <c r="E100">
        <f>IF(ISTEXT(物品!G169)=TRUE,"'"&amp;物品!G169&amp;"'",物品!G169)</f>
        <v>0</v>
      </c>
      <c r="F100">
        <f>IF(ISTEXT(物品!H169)=TRUE,"'"&amp;物品!H169&amp;"'",物品!H169)</f>
        <v>0</v>
      </c>
      <c r="G100">
        <f>IF(物品!I169="",0,"'"&amp;物品!I169&amp;"'")</f>
        <v>0</v>
      </c>
      <c r="H100">
        <f>IF(物品!R169="",0,物品!R169)</f>
        <v>-8110</v>
      </c>
      <c r="I100">
        <f>IF(物品!S169="",0,物品!S169)</f>
        <v>1810</v>
      </c>
      <c r="J100" t="str">
        <f>IF(物品!C169="",0,""""&amp;物品!C169&amp;"""")</f>
        <v>"|Cff00BFFF灭魄血煞劫|r"</v>
      </c>
      <c r="K100" t="str">
        <f>IF(物品!T169="","""""",""""&amp;物品!T169&amp;"""")</f>
        <v>"渡过该劫后可结成|Cff00bfff玄级道果|r。|n|n|Cff00bfff玄级道果：|r|n攻击+82500|n生命值+330000|n物理伤害+25%|n法术伤害+25%|n杀敌攻击+8|n杀敌业力+1|n杀敌生命+30|n"</v>
      </c>
      <c r="L100" t="str">
        <f>IF(物品!U169="",0,""""&amp;物品!U169&amp;"""")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+82500|n生命值+330000|n物理伤害+25%|n法术伤害+25%|n杀敌攻击+8|n杀敌业力+1|n杀敌生命+30|n")</v>
      </c>
    </row>
    <row r="101" spans="1:14">
      <c r="A101" t="str">
        <f>IF(物品!B170="",0,"'"&amp;物品!B170&amp;"'")</f>
        <v>'IT06'</v>
      </c>
      <c r="B101">
        <f>物品!D125</f>
        <v>0</v>
      </c>
      <c r="C101">
        <f>物品!E170</f>
        <v>0</v>
      </c>
      <c r="D101">
        <f>物品!F170</f>
        <v>0</v>
      </c>
      <c r="E101">
        <f>IF(ISTEXT(物品!G170)=TRUE,"'"&amp;物品!G170&amp;"'",物品!G170)</f>
        <v>0</v>
      </c>
      <c r="F101">
        <f>IF(ISTEXT(物品!H170)=TRUE,"'"&amp;物品!H170&amp;"'",物品!H170)</f>
        <v>0</v>
      </c>
      <c r="G101">
        <f>IF(物品!I170="",0,"'"&amp;物品!I170&amp;"'")</f>
        <v>0</v>
      </c>
      <c r="H101">
        <f>IF(物品!R170="",0,物品!R170)</f>
        <v>-7896</v>
      </c>
      <c r="I101">
        <f>IF(物品!S170="",0,物品!S170)</f>
        <v>3839</v>
      </c>
      <c r="J101" t="str">
        <f>IF(物品!C170="",0,""""&amp;物品!C170&amp;"""")</f>
        <v>"|Cff00BFFF入微洞虚劫|r"</v>
      </c>
      <c r="K101" t="str">
        <f>IF(物品!T170="","""""",""""&amp;物品!T170&amp;"""")</f>
        <v>"渡过该劫后可结成|Cff00bfff地级道果|r。|n|n|Cff00bfff地级道果：|r|n攻击+120000|n生命值+480000|n物理伤害+25%|n法术伤害+25%|n杀敌攻击+8|n杀敌业力+1|n杀敌生命+30|n"</v>
      </c>
      <c r="L101" t="str">
        <f>IF(物品!U170="",0,""""&amp;物品!U170&amp;"""")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+120000|n生命值+480000|n物理伤害+25%|n法术伤害+25%|n杀敌攻击+8|n杀敌业力+1|n杀敌生命+30|n")</v>
      </c>
    </row>
    <row r="102" spans="1:14">
      <c r="A102" t="str">
        <f>IF(物品!B171="",0,"'"&amp;物品!B171&amp;"'")</f>
        <v>'IT07'</v>
      </c>
      <c r="B102">
        <f>物品!D126</f>
        <v>0</v>
      </c>
      <c r="C102">
        <f>物品!E171</f>
        <v>0</v>
      </c>
      <c r="D102">
        <f>物品!F171</f>
        <v>0</v>
      </c>
      <c r="E102">
        <f>IF(ISTEXT(物品!G171)=TRUE,"'"&amp;物品!G171&amp;"'",物品!G171)</f>
        <v>0</v>
      </c>
      <c r="F102">
        <f>IF(ISTEXT(物品!H171)=TRUE,"'"&amp;物品!H171&amp;"'",物品!H171)</f>
        <v>0</v>
      </c>
      <c r="G102">
        <f>IF(物品!I171="",0,"'"&amp;物品!I171&amp;"'")</f>
        <v>0</v>
      </c>
      <c r="H102">
        <f>IF(物品!R171="",0,物品!R171)</f>
        <v>-7896</v>
      </c>
      <c r="I102">
        <f>IF(物品!S171="",0,物品!S171)</f>
        <v>5906</v>
      </c>
      <c r="J102" t="str">
        <f>IF(物品!C171="",0,""""&amp;物品!C171&amp;"""")</f>
        <v>"|CffFFD24D因果厄难劫|r"</v>
      </c>
      <c r="K102" t="str">
        <f>IF(物品!T171="","""""",""""&amp;物品!T171&amp;"""")</f>
        <v>"渡过该劫后可结成|Cffffc926天级道果|r。|n|n|Cffffc926天级道果：|r|n攻击+180000|n生命值+720000|n物理伤害+30%|n法术伤害+30%|n杀敌攻击+8|n杀敌业力+1|n杀敌生命+30|n"</v>
      </c>
      <c r="L102" t="str">
        <f>IF(物品!U171="",0,""""&amp;物品!U171&amp;"""")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+180000|n生命值+720000|n物理伤害+30%|n法术伤害+30%|n杀敌攻击+8|n杀敌业力+1|n杀敌生命+30|n")</v>
      </c>
    </row>
    <row r="103" spans="1:14">
      <c r="A103" t="str">
        <f>IF(物品!B172="",0,"'"&amp;物品!B172&amp;"'")</f>
        <v>'IT08'</v>
      </c>
      <c r="B103">
        <f>物品!D127</f>
        <v>0</v>
      </c>
      <c r="C103">
        <f>物品!E172</f>
        <v>0</v>
      </c>
      <c r="D103">
        <f>物品!F172</f>
        <v>0</v>
      </c>
      <c r="E103">
        <f>IF(ISTEXT(物品!G172)=TRUE,"'"&amp;物品!G172&amp;"'",物品!G172)</f>
        <v>0</v>
      </c>
      <c r="F103">
        <f>IF(ISTEXT(物品!H172)=TRUE,"'"&amp;物品!H172&amp;"'",物品!H172)</f>
        <v>0</v>
      </c>
      <c r="G103">
        <f>IF(物品!I172="",0,"'"&amp;物品!I172&amp;"'")</f>
        <v>0</v>
      </c>
      <c r="H103">
        <f>IF(物品!R172="",0,物品!R172)</f>
        <v>-7970</v>
      </c>
      <c r="I103">
        <f>IF(物品!S172="",0,物品!S172)</f>
        <v>7965</v>
      </c>
      <c r="J103" t="str">
        <f>IF(物品!C172="",0,""""&amp;物品!C172&amp;"""")</f>
        <v>"|CffFFD24D迷魂幻世劫|r"</v>
      </c>
      <c r="K103" t="str">
        <f>IF(物品!T172="","""""",""""&amp;物品!T172&amp;"""")</f>
        <v>"渡过该劫后可结成|Cffffc926仙品道果|r。|n|n|Cffffc926仙品道果：|r|n攻击+300000|n生命值+1200000|n物理伤害+30%|n法术伤害+30%|n杀敌攻击+8|n杀敌业力+1|n杀敌生命+30|n"</v>
      </c>
      <c r="L103" t="str">
        <f>IF(物品!U172="",0,""""&amp;物品!U172&amp;"""")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+300000|n生命值+1200000|n物理伤害+30%|n法术伤害+30%|n杀敌攻击+8|n杀敌业力+1|n杀敌生命+30|n")</v>
      </c>
    </row>
    <row r="104" spans="1:14">
      <c r="A104" t="str">
        <f>IF(物品!B173="",0,"'"&amp;物品!B173&amp;"'")</f>
        <v>'IT09'</v>
      </c>
      <c r="B104" t="e">
        <f>物品!#REF!</f>
        <v>#REF!</v>
      </c>
      <c r="C104">
        <f>物品!E173</f>
        <v>0</v>
      </c>
      <c r="D104">
        <f>物品!F173</f>
        <v>0</v>
      </c>
      <c r="E104">
        <f>IF(ISTEXT(物品!G173)=TRUE,"'"&amp;物品!G173&amp;"'",物品!G173)</f>
        <v>0</v>
      </c>
      <c r="F104">
        <f>IF(ISTEXT(物品!H173)=TRUE,"'"&amp;物品!H173&amp;"'",物品!H173)</f>
        <v>0</v>
      </c>
      <c r="G104">
        <f>IF(物品!I173="",0,"'"&amp;物品!I173&amp;"'")</f>
        <v>0</v>
      </c>
      <c r="H104">
        <f>IF(物品!R173="",0,物品!R173)</f>
        <v>2100</v>
      </c>
      <c r="I104">
        <f>IF(物品!S173="",0,物品!S173)</f>
        <v>-5120</v>
      </c>
      <c r="J104" t="str">
        <f>IF(物品!C173="",0,""""&amp;物品!C173&amp;"""")</f>
        <v>"|CffFF0000天人五衰劫|r"</v>
      </c>
      <c r="K104" t="str">
        <f>IF(物品!T173="","""""",""""&amp;物品!T173&amp;"""")</f>
        <v>"渡过该劫后可结成|Cffff0000至圣道果|r。|n|n|Cffff0000至圣道果：|r|n攻击+450000|n生命值+1800000|n物理伤害+30%|n法术伤害+30%|n杀敌攻击+8|n杀敌业力+1|n杀敌生命+30|n"</v>
      </c>
      <c r="L104" t="str">
        <f>IF(物品!U173="",0,""""&amp;物品!U173&amp;"""")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+450000|n生命值+1800000|n物理伤害+30%|n法术伤害+30%|n杀敌攻击+8|n杀敌业力+1|n杀敌生命+30|n")</v>
      </c>
    </row>
    <row r="105" spans="1:14">
      <c r="A105" t="str">
        <f>IF(物品!B174="",0,"'"&amp;物品!B174&amp;"'")</f>
        <v>'IT10'</v>
      </c>
      <c r="B105" t="e">
        <f>物品!#REF!</f>
        <v>#REF!</v>
      </c>
      <c r="C105">
        <f>物品!E174</f>
        <v>0</v>
      </c>
      <c r="D105">
        <f>物品!F174</f>
        <v>0</v>
      </c>
      <c r="E105">
        <f>IF(ISTEXT(物品!G174)=TRUE,"'"&amp;物品!G174&amp;"'",物品!G174)</f>
        <v>0</v>
      </c>
      <c r="F105">
        <f>IF(ISTEXT(物品!H174)=TRUE,"'"&amp;物品!H174&amp;"'",物品!H174)</f>
        <v>0</v>
      </c>
      <c r="G105">
        <f>IF(物品!I174="",0,"'"&amp;物品!I174&amp;"'")</f>
        <v>0</v>
      </c>
      <c r="H105">
        <f>IF(物品!R174="",0,物品!R174)</f>
        <v>2268</v>
      </c>
      <c r="I105">
        <f>IF(物品!S174="",0,物品!S174)</f>
        <v>-8065</v>
      </c>
      <c r="J105" t="str">
        <f>IF(物品!C174="",0,""""&amp;物品!C174&amp;"""")</f>
        <v>"|CffFF0000混元灭世劫|r"</v>
      </c>
      <c r="K105" t="str">
        <f>IF(物品!T174="","""""",""""&amp;物品!T174&amp;"""")</f>
        <v>"渡过该劫后可结成|Cffff0000混沌道果|r。|n|n|Cffff0000混沌道果：|r|n攻击+750000|n生命值+3000000|n物理伤害+40%|n法术伤害+40%|n杀敌攻击+8|n杀敌业力+1|n杀敌生命+30|n"</v>
      </c>
      <c r="L105" t="str">
        <f>IF(物品!U174="",0,""""&amp;物品!U174&amp;"""")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+750000|n生命值+3000000|n物理伤害+40%|n法术伤害+40%|n杀敌攻击+8|n杀敌业力+1|n杀敌生命+30|n")</v>
      </c>
    </row>
    <row r="106" spans="1:14">
      <c r="A106" t="str">
        <f>IF(物品!B175="",0,"'"&amp;物品!B175&amp;"'")</f>
        <v>'IT11'</v>
      </c>
      <c r="B106" t="e">
        <f>物品!#REF!</f>
        <v>#REF!</v>
      </c>
      <c r="C106">
        <f>物品!E175</f>
        <v>0</v>
      </c>
      <c r="D106">
        <f>物品!F175</f>
        <v>0</v>
      </c>
      <c r="E106">
        <f>IF(ISTEXT(物品!G175)=TRUE,"'"&amp;物品!G175&amp;"'",物品!G175)</f>
        <v>0</v>
      </c>
      <c r="F106">
        <f>IF(ISTEXT(物品!H175)=TRUE,"'"&amp;物品!H175&amp;"'",物品!H175)</f>
        <v>0</v>
      </c>
      <c r="G106">
        <f>IF(物品!I175="",0,"'"&amp;物品!I175&amp;"'")</f>
        <v>0</v>
      </c>
      <c r="H106">
        <f>IF(物品!R175="",0,物品!R175)</f>
        <v>0</v>
      </c>
      <c r="I106">
        <f>IF(物品!S175="",0,物品!S175)</f>
        <v>0</v>
      </c>
      <c r="J106" t="str">
        <f>IF(物品!C175="",0,""""&amp;物品!C175&amp;"""")</f>
        <v>"斩三尸"</v>
      </c>
      <c r="K106" t="str">
        <f>IF(物品!T175="","""""",""""&amp;物品!T175&amp;"""")</f>
        <v>"境界挑战11"</v>
      </c>
      <c r="L106" t="str">
        <f>IF(物品!U175="",0,""""&amp;物品!U175&amp;"""")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IF(物品!B176="",0,"'"&amp;物品!B176&amp;"'")</f>
        <v>'IT12'</v>
      </c>
      <c r="B107" t="e">
        <f>物品!#REF!</f>
        <v>#REF!</v>
      </c>
      <c r="C107">
        <f>物品!E176</f>
        <v>0</v>
      </c>
      <c r="D107">
        <f>物品!F176</f>
        <v>0</v>
      </c>
      <c r="E107">
        <f>IF(ISTEXT(物品!G176)=TRUE,"'"&amp;物品!G176&amp;"'",物品!G176)</f>
        <v>0</v>
      </c>
      <c r="F107">
        <f>IF(ISTEXT(物品!H176)=TRUE,"'"&amp;物品!H176&amp;"'",物品!H176)</f>
        <v>0</v>
      </c>
      <c r="G107">
        <f>IF(物品!I176="",0,"'"&amp;物品!I176&amp;"'")</f>
        <v>0</v>
      </c>
      <c r="H107">
        <f>IF(物品!R176="",0,物品!R176)</f>
        <v>0</v>
      </c>
      <c r="I107">
        <f>IF(物品!S176="",0,物品!S176)</f>
        <v>0</v>
      </c>
      <c r="J107" t="str">
        <f>IF(物品!C176="",0,""""&amp;物品!C176&amp;"""")</f>
        <v>"无量量劫"</v>
      </c>
      <c r="K107" t="str">
        <f>IF(物品!T176="","""""",""""&amp;物品!T176&amp;"""")</f>
        <v>"境界挑战12"</v>
      </c>
      <c r="L107" t="str">
        <f>IF(物品!U176="",0,""""&amp;物品!U176&amp;"""")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IF(物品!B177="",0,"'"&amp;物品!B177&amp;"'")</f>
        <v>'IT13'</v>
      </c>
      <c r="B108" t="e">
        <f>物品!#REF!</f>
        <v>#REF!</v>
      </c>
      <c r="C108">
        <f>物品!E177</f>
        <v>0</v>
      </c>
      <c r="D108">
        <f>物品!F177</f>
        <v>0</v>
      </c>
      <c r="E108">
        <f>IF(ISTEXT(物品!G177)=TRUE,"'"&amp;物品!G177&amp;"'",物品!G177)</f>
        <v>0</v>
      </c>
      <c r="F108">
        <f>IF(ISTEXT(物品!H177)=TRUE,"'"&amp;物品!H177&amp;"'",物品!H177)</f>
        <v>0</v>
      </c>
      <c r="G108">
        <f>IF(物品!I177="",0,"'"&amp;物品!I177&amp;"'")</f>
        <v>0</v>
      </c>
      <c r="H108">
        <f>IF(物品!R177="",0,物品!R177)</f>
        <v>0</v>
      </c>
      <c r="I108">
        <f>IF(物品!S177="",0,物品!S177)</f>
        <v>0</v>
      </c>
      <c r="J108" t="str">
        <f>IF(物品!C177="",0,""""&amp;物品!C177&amp;"""")</f>
        <v>"鸿钧对练"</v>
      </c>
      <c r="K108" t="str">
        <f>IF(物品!T177="","""""",""""&amp;物品!T177&amp;"""")</f>
        <v>"境界挑战13"</v>
      </c>
      <c r="L108" t="str">
        <f>IF(物品!U177="",0,""""&amp;物品!U177&amp;"""")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IF(物品!B178="",0,"'"&amp;物品!B178&amp;"'")</f>
        <v>'IT14'</v>
      </c>
      <c r="B109" t="e">
        <f>物品!#REF!</f>
        <v>#REF!</v>
      </c>
      <c r="C109">
        <f>物品!E178</f>
        <v>0</v>
      </c>
      <c r="D109">
        <f>物品!F178</f>
        <v>0</v>
      </c>
      <c r="E109">
        <f>IF(ISTEXT(物品!G178)=TRUE,"'"&amp;物品!G178&amp;"'",物品!G178)</f>
        <v>0</v>
      </c>
      <c r="F109">
        <f>IF(ISTEXT(物品!H178)=TRUE,"'"&amp;物品!H178&amp;"'",物品!H178)</f>
        <v>0</v>
      </c>
      <c r="G109">
        <f>IF(物品!I178="",0,"'"&amp;物品!I178&amp;"'")</f>
        <v>0</v>
      </c>
      <c r="H109">
        <f>IF(物品!R178="",0,物品!R178)</f>
        <v>0</v>
      </c>
      <c r="I109">
        <f>IF(物品!S178="",0,物品!S178)</f>
        <v>0</v>
      </c>
      <c r="J109" t="str">
        <f>IF(物品!C178="",0,""""&amp;物品!C178&amp;"""")</f>
        <v>"境界挑战14"</v>
      </c>
      <c r="K109" t="str">
        <f>IF(物品!T178="","""""",""""&amp;物品!T178&amp;"""")</f>
        <v>"境界挑战14"</v>
      </c>
      <c r="L109" t="str">
        <f>IF(物品!U178="",0,""""&amp;物品!U178&amp;"""")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IF(物品!B186="",0,"'"&amp;物品!B186&amp;"'")</f>
        <v>'IS02'</v>
      </c>
      <c r="B110" t="e">
        <f>物品!#REF!</f>
        <v>#REF!</v>
      </c>
      <c r="C110">
        <f>物品!E186</f>
        <v>0</v>
      </c>
      <c r="D110">
        <f>物品!F186</f>
        <v>0</v>
      </c>
      <c r="E110">
        <f>IF(ISTEXT(物品!G186)=TRUE,"'"&amp;物品!G186&amp;"'",物品!G186)</f>
        <v>0</v>
      </c>
      <c r="F110">
        <f>IF(ISTEXT(物品!H186)=TRUE,"'"&amp;物品!H186&amp;"'",物品!H186)</f>
        <v>0</v>
      </c>
      <c r="G110">
        <f>IF(物品!I186="",0,"'"&amp;物品!I186&amp;"'")</f>
        <v>0</v>
      </c>
      <c r="H110">
        <f>IF(物品!R186="",0,物品!R186)</f>
        <v>0</v>
      </c>
      <c r="I110">
        <f>IF(物品!S186="",0,物品!S186)</f>
        <v>0</v>
      </c>
      <c r="J110" t="str">
        <f>IF(物品!C186="",0,""""&amp;物品!C186&amp;"""")</f>
        <v>"学习W技能"</v>
      </c>
      <c r="K110" t="str">
        <f>IF(物品!T186="","""""",""""&amp;物品!T186&amp;"""")</f>
        <v>"学习或重置当前|cffffd24dW技能|r。|n|cffffcc00抽取消耗：|r灵力*1|n|cffffcc00抽取次数：|r0/10|n|n|cff00ff7f单局最多抽取10次|r"</v>
      </c>
      <c r="L110" t="str">
        <f>IF(物品!U186="",0,""""&amp;物品!U186&amp;"""")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InitTypeIdStrings('IS02',"学习W技能","ReplaceableTextures\\CommandButtons\\BTN002.blp","学习或重置当前|cffffd24dW技能|r。|n|cffffcc00抽取消耗：|r灵力*1|n|cffffcc00抽取次数：|r0/10|n|n|cff00ff7f单局最多抽取10次|r")</v>
      </c>
    </row>
    <row r="111" spans="1:14">
      <c r="A111" t="str">
        <f>IF(物品!B187="",0,"'"&amp;物品!B187&amp;"'")</f>
        <v>'IS03'</v>
      </c>
      <c r="B111" t="e">
        <f>物品!#REF!</f>
        <v>#REF!</v>
      </c>
      <c r="C111">
        <f>物品!E187</f>
        <v>0</v>
      </c>
      <c r="D111">
        <f>物品!F187</f>
        <v>0</v>
      </c>
      <c r="E111">
        <f>IF(ISTEXT(物品!G187)=TRUE,"'"&amp;物品!G187&amp;"'",物品!G187)</f>
        <v>0</v>
      </c>
      <c r="F111">
        <f>IF(ISTEXT(物品!H187)=TRUE,"'"&amp;物品!H187&amp;"'",物品!H187)</f>
        <v>0</v>
      </c>
      <c r="G111">
        <f>IF(物品!I187="",0,"'"&amp;物品!I187&amp;"'")</f>
        <v>0</v>
      </c>
      <c r="H111">
        <f>IF(物品!R187="",0,物品!R187)</f>
        <v>0</v>
      </c>
      <c r="I111">
        <f>IF(物品!S187="",0,物品!S187)</f>
        <v>0</v>
      </c>
      <c r="J111" t="str">
        <f>IF(物品!C187="",0,""""&amp;物品!C187&amp;"""")</f>
        <v>"学习E技能"</v>
      </c>
      <c r="K111" t="str">
        <f>IF(物品!T187="","""""",""""&amp;物品!T187&amp;"""")</f>
        <v>"学习或重置当前|cffffd24dE技能|r。|n|cffffcc00抽取消耗：|r15000金币*次数|n|cffffcc00抽取次数：|r0/10|n|n|cff00ff7f单局最多抽取10次|r"</v>
      </c>
      <c r="L111" t="str">
        <f>IF(物品!U187="",0,""""&amp;物品!U187&amp;"""")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IF(物品!B195="",0,"'"&amp;物品!B195&amp;"'")</f>
        <v>'IS12'</v>
      </c>
      <c r="B114" t="e">
        <f>物品!#REF!</f>
        <v>#REF!</v>
      </c>
      <c r="C114">
        <f>物品!E195</f>
        <v>0</v>
      </c>
      <c r="D114">
        <f>物品!F195</f>
        <v>0</v>
      </c>
      <c r="E114">
        <f>IF(ISTEXT(物品!G195)=TRUE,"'"&amp;物品!G195&amp;"'",物品!G195)</f>
        <v>0</v>
      </c>
      <c r="F114">
        <f>IF(ISTEXT(物品!H195)=TRUE,"'"&amp;物品!H195&amp;"'",物品!H195)</f>
        <v>0</v>
      </c>
      <c r="G114">
        <f>IF(物品!I195="",0,"'"&amp;物品!I195&amp;"'")</f>
        <v>0</v>
      </c>
      <c r="H114">
        <f>IF(物品!R195="",0,物品!R195)</f>
        <v>0</v>
      </c>
      <c r="I114">
        <f>IF(物品!S195="",0,物品!S195)</f>
        <v>0</v>
      </c>
      <c r="J114" t="str">
        <f>IF(物品!C195="",0,""""&amp;物品!C195&amp;"""")</f>
        <v>"|CffFFD24D兽魂抽奖|r"</v>
      </c>
      <c r="K114" t="str">
        <f>IF(物品!T195="","""""",""""&amp;物品!T195&amp;"""")</f>
        <v>"|CffFFD24D兽魂抽奖|r"</v>
      </c>
      <c r="L114" t="str">
        <f>IF(物品!U195="",0,""""&amp;物品!U195&amp;"""")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IF(物品!B201="",0,"'"&amp;物品!B201&amp;"'")</f>
        <v>'IB01'</v>
      </c>
      <c r="B123" t="e">
        <f>物品!#REF!</f>
        <v>#REF!</v>
      </c>
      <c r="C123">
        <f>物品!E201</f>
        <v>0</v>
      </c>
      <c r="D123">
        <f>物品!F201</f>
        <v>0</v>
      </c>
      <c r="E123">
        <f>IF(ISTEXT(物品!G201)=TRUE,"'"&amp;物品!G201&amp;"'",物品!G201)</f>
        <v>0</v>
      </c>
      <c r="F123">
        <f>IF(ISTEXT(物品!H201)=TRUE,"'"&amp;物品!H201&amp;"'",物品!H201)</f>
        <v>0</v>
      </c>
      <c r="G123">
        <f>IF(物品!I201="",0,"'"&amp;物品!I201&amp;"'")</f>
        <v>0</v>
      </c>
      <c r="H123">
        <f>IF(物品!R201="",0,物品!R201)</f>
        <v>0</v>
      </c>
      <c r="I123">
        <f>IF(物品!S201="",0,物品!S201)</f>
        <v>0</v>
      </c>
      <c r="J123" t="str">
        <f>IF(物品!C201="",0,""""&amp;物品!C201&amp;"""")</f>
        <v>"公众号礼包"</v>
      </c>
      <c r="K123" t="str">
        <f>IF(物品!T201="","""""",""""&amp;物品!T201&amp;"""")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IF(物品!U201="",0,""""&amp;物品!U201&amp;"""")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IF(物品!B202="",0,"'"&amp;物品!B202&amp;"'")</f>
        <v>'IB02'</v>
      </c>
      <c r="B124" t="e">
        <f>物品!#REF!</f>
        <v>#REF!</v>
      </c>
      <c r="C124">
        <f>物品!E202</f>
        <v>0</v>
      </c>
      <c r="D124">
        <f>物品!F202</f>
        <v>0</v>
      </c>
      <c r="E124">
        <f>IF(ISTEXT(物品!G202)=TRUE,"'"&amp;物品!G202&amp;"'",物品!G202)</f>
        <v>0</v>
      </c>
      <c r="F124">
        <f>IF(ISTEXT(物品!H202)=TRUE,"'"&amp;物品!H202&amp;"'",物品!H202)</f>
        <v>0</v>
      </c>
      <c r="G124">
        <f>IF(物品!I202="",0,"'"&amp;物品!I202&amp;"'")</f>
        <v>0</v>
      </c>
      <c r="H124">
        <f>IF(物品!R202="",0,物品!R202)</f>
        <v>0</v>
      </c>
      <c r="I124">
        <f>IF(物品!S202="",0,物品!S202)</f>
        <v>0</v>
      </c>
      <c r="J124" t="str">
        <f>IF(物品!C202="",0,""""&amp;物品!C202&amp;"""")</f>
        <v>"入群礼包"</v>
      </c>
      <c r="K124" t="str">
        <f>IF(物品!T202="","""""",""""&amp;物品!T202&amp;"""")</f>
        <v>"加入《|cff00ffcc全民封神|r》官方QQ群，即可获得入群礼包码！|n|n输入礼包码即可获得：|n|cff00ff7f招魂幡Lv2|r"</v>
      </c>
      <c r="L124" t="str">
        <f>IF(物品!U202="",0,""""&amp;物品!U202&amp;"""")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IF(物品!B203="",0,"'"&amp;物品!B203&amp;"'")</f>
        <v>'IB03'</v>
      </c>
      <c r="B125" t="e">
        <f>物品!#REF!</f>
        <v>#REF!</v>
      </c>
      <c r="C125">
        <f>物品!E203</f>
        <v>0</v>
      </c>
      <c r="D125">
        <f>物品!F203</f>
        <v>0</v>
      </c>
      <c r="E125">
        <f>IF(ISTEXT(物品!G203)=TRUE,"'"&amp;物品!G203&amp;"'",物品!G203)</f>
        <v>0</v>
      </c>
      <c r="F125">
        <f>IF(ISTEXT(物品!H203)=TRUE,"'"&amp;物品!H203&amp;"'",物品!H203)</f>
        <v>0</v>
      </c>
      <c r="G125">
        <f>IF(物品!I203="",0,"'"&amp;物品!I203&amp;"'")</f>
        <v>0</v>
      </c>
      <c r="H125">
        <f>IF(物品!R203="",0,物品!R203)</f>
        <v>0</v>
      </c>
      <c r="I125">
        <f>IF(物品!S203="",0,物品!S203)</f>
        <v>0</v>
      </c>
      <c r="J125" t="str">
        <f>IF(物品!C203="",0,""""&amp;物品!C203&amp;"""")</f>
        <v>"拜年礼包"</v>
      </c>
      <c r="K125" t="str">
        <f>IF(物品!T203="","""""",""""&amp;物品!T203&amp;"""")</f>
        <v>"|cff99ccff给与地图有效评论建议|r即可领取：|n|cffffff00杀敌生命+5+3*通行证等级|n杀敌业力+1|n|n|r|cff808080地图等级达到3级可领取|r"</v>
      </c>
      <c r="L125" t="str">
        <f>IF(物品!U203="",0,""""&amp;物品!U203&amp;"""")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IF(物品!B204="",0,"'"&amp;物品!B204&amp;"'")</f>
        <v>'IB04'</v>
      </c>
      <c r="B126" t="e">
        <f>物品!#REF!</f>
        <v>#REF!</v>
      </c>
      <c r="C126">
        <f>物品!E204</f>
        <v>0</v>
      </c>
      <c r="D126">
        <f>物品!F204</f>
        <v>0</v>
      </c>
      <c r="E126">
        <f>IF(ISTEXT(物品!G204)=TRUE,"'"&amp;物品!G204&amp;"'",物品!G204)</f>
        <v>0</v>
      </c>
      <c r="F126">
        <f>IF(ISTEXT(物品!H204)=TRUE,"'"&amp;物品!H204&amp;"'",物品!H204)</f>
        <v>0</v>
      </c>
      <c r="G126">
        <f>IF(物品!I204="",0,"'"&amp;物品!I204&amp;"'")</f>
        <v>0</v>
      </c>
      <c r="H126">
        <f>IF(物品!R204="",0,物品!R204)</f>
        <v>0</v>
      </c>
      <c r="I126">
        <f>IF(物品!S204="",0,物品!S204)</f>
        <v>0</v>
      </c>
      <c r="J126" t="str">
        <f>IF(物品!C204="",0,""""&amp;物品!C204&amp;"""")</f>
        <v>"收藏礼包"</v>
      </c>
      <c r="K126" t="str">
        <f>IF(物品!T204="","""""",""""&amp;物品!T204&amp;"""")</f>
        <v>"|cff99ccff房间大厅界面点击右上角《|r|cffcc99ff收藏|r|cff99ccff》后可领取该礼包。|n|n|r属性：|n|cffffcc33物理伤害+5%|n法术伤害+5%|r"</v>
      </c>
      <c r="L126" t="str">
        <f>IF(物品!U204="",0,""""&amp;物品!U204&amp;"""")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IF(物品!B205="",0,"'"&amp;物品!B205&amp;"'")</f>
        <v>'IB05'</v>
      </c>
      <c r="B127" t="e">
        <f>物品!#REF!</f>
        <v>#REF!</v>
      </c>
      <c r="C127">
        <f>物品!E205</f>
        <v>0</v>
      </c>
      <c r="D127">
        <f>物品!F205</f>
        <v>0</v>
      </c>
      <c r="E127">
        <f>IF(ISTEXT(物品!G205)=TRUE,"'"&amp;物品!G205&amp;"'",物品!G205)</f>
        <v>0</v>
      </c>
      <c r="F127">
        <f>IF(ISTEXT(物品!H205)=TRUE,"'"&amp;物品!H205&amp;"'",物品!H205)</f>
        <v>0</v>
      </c>
      <c r="G127">
        <f>IF(物品!I205="",0,"'"&amp;物品!I205&amp;"'")</f>
        <v>0</v>
      </c>
      <c r="H127">
        <f>IF(物品!R205="",0,物品!R205)</f>
        <v>0</v>
      </c>
      <c r="I127">
        <f>IF(物品!S205="",0,物品!S205)</f>
        <v>0</v>
      </c>
      <c r="J127" t="str">
        <f>IF(物品!C205="",0,""""&amp;物品!C205&amp;"""")</f>
        <v>"重置版礼包"</v>
      </c>
      <c r="K127" t="str">
        <f>IF(物品!T205="","""""",""""&amp;物品!T205&amp;"""")</f>
        <v>"|cff33ff00购买魔兽重制版可领取该礼包！|n|n|r属性：|n|cffffcc33金币+1000|n每秒攻击+2|n每秒业力+1|r"</v>
      </c>
      <c r="L127" t="str">
        <f>IF(物品!U205="",0,""""&amp;物品!U205&amp;"""")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IF(物品!B223="",0,"'"&amp;物品!B223&amp;"'")</f>
        <v>'IF01'</v>
      </c>
      <c r="B128">
        <f>物品!D129</f>
        <v>0</v>
      </c>
      <c r="C128">
        <f>物品!E223</f>
        <v>0</v>
      </c>
      <c r="D128">
        <f>物品!F223</f>
        <v>0</v>
      </c>
      <c r="E128">
        <f>IF(ISTEXT(物品!G223)=TRUE,"'"&amp;物品!G223&amp;"'",物品!G223)</f>
        <v>0</v>
      </c>
      <c r="F128">
        <f>IF(ISTEXT(物品!H223)=TRUE,"'"&amp;物品!H223&amp;"'",物品!H223)</f>
        <v>0</v>
      </c>
      <c r="G128">
        <f>IF(物品!I223="",0,"'"&amp;物品!I223&amp;"'")</f>
        <v>0</v>
      </c>
      <c r="H128">
        <f>IF(物品!R223="",0,物品!R223)</f>
        <v>0</v>
      </c>
      <c r="I128">
        <f>IF(物品!S223="",0,物品!S223)</f>
        <v>0</v>
      </c>
      <c r="J128" t="str">
        <f>IF(物品!C223="",0,""""&amp;物品!C223&amp;"""")</f>
        <v>"附魔"</v>
      </c>
      <c r="K128" t="str">
        <f>IF(物品!T223="","""""",""""&amp;物品!T223&amp;"""")</f>
        <v>""</v>
      </c>
      <c r="L128">
        <f>IF(物品!U223="",0,""""&amp;物品!U223&amp;"""")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IF(物品!B224="",0,"'"&amp;物品!B224&amp;"'")</f>
        <v>'IF02'</v>
      </c>
      <c r="B129" t="e">
        <f>物品!#REF!</f>
        <v>#REF!</v>
      </c>
      <c r="C129">
        <f>物品!E224</f>
        <v>0</v>
      </c>
      <c r="D129">
        <f>物品!F224</f>
        <v>0</v>
      </c>
      <c r="E129">
        <f>IF(ISTEXT(物品!G224)=TRUE,"'"&amp;物品!G224&amp;"'",物品!G224)</f>
        <v>0</v>
      </c>
      <c r="F129">
        <f>IF(ISTEXT(物品!H224)=TRUE,"'"&amp;物品!H224&amp;"'",物品!H224)</f>
        <v>0</v>
      </c>
      <c r="G129">
        <f>IF(物品!I224="",0,"'"&amp;物品!I224&amp;"'")</f>
        <v>0</v>
      </c>
      <c r="H129">
        <f>IF(物品!R224="",0,物品!R224)</f>
        <v>0</v>
      </c>
      <c r="I129">
        <f>IF(物品!S224="",0,物品!S224)</f>
        <v>0</v>
      </c>
      <c r="J129" t="str">
        <f>IF(物品!C224="",0,""""&amp;物品!C224&amp;"""")</f>
        <v>"附魔"</v>
      </c>
      <c r="K129" t="str">
        <f>IF(物品!T224="","""""",""""&amp;物品!T224&amp;"""")</f>
        <v>""</v>
      </c>
      <c r="L129">
        <f>IF(物品!U224="",0,""""&amp;物品!U224&amp;"""")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IF(物品!B225="",0,"'"&amp;物品!B225&amp;"'")</f>
        <v>'IF03'</v>
      </c>
      <c r="B130" t="e">
        <f>物品!#REF!</f>
        <v>#REF!</v>
      </c>
      <c r="C130">
        <f>物品!E225</f>
        <v>0</v>
      </c>
      <c r="D130">
        <f>物品!F225</f>
        <v>0</v>
      </c>
      <c r="E130">
        <f>IF(ISTEXT(物品!G225)=TRUE,"'"&amp;物品!G225&amp;"'",物品!G225)</f>
        <v>0</v>
      </c>
      <c r="F130">
        <f>IF(ISTEXT(物品!H225)=TRUE,"'"&amp;物品!H225&amp;"'",物品!H225)</f>
        <v>0</v>
      </c>
      <c r="G130">
        <f>IF(物品!I225="",0,"'"&amp;物品!I225&amp;"'")</f>
        <v>0</v>
      </c>
      <c r="H130">
        <f>IF(物品!R225="",0,物品!R225)</f>
        <v>0</v>
      </c>
      <c r="I130">
        <f>IF(物品!S225="",0,物品!S225)</f>
        <v>0</v>
      </c>
      <c r="J130" t="str">
        <f>IF(物品!C225="",0,""""&amp;物品!C225&amp;"""")</f>
        <v>"附魔"</v>
      </c>
      <c r="K130" t="str">
        <f>IF(物品!T225="","""""",""""&amp;物品!T225&amp;"""")</f>
        <v>""</v>
      </c>
      <c r="L130">
        <f>IF(物品!U225="",0,""""&amp;物品!U225&amp;"""")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IF(物品!B226="",0,"'"&amp;物品!B226&amp;"'")</f>
        <v>'IF04'</v>
      </c>
      <c r="B131" t="e">
        <f>物品!#REF!</f>
        <v>#REF!</v>
      </c>
      <c r="C131">
        <f>物品!E226</f>
        <v>0</v>
      </c>
      <c r="D131">
        <f>物品!F226</f>
        <v>0</v>
      </c>
      <c r="E131">
        <f>IF(ISTEXT(物品!G226)=TRUE,"'"&amp;物品!G226&amp;"'",物品!G226)</f>
        <v>0</v>
      </c>
      <c r="F131">
        <f>IF(ISTEXT(物品!H226)=TRUE,"'"&amp;物品!H226&amp;"'",物品!H226)</f>
        <v>0</v>
      </c>
      <c r="G131">
        <f>IF(物品!I226="",0,"'"&amp;物品!I226&amp;"'")</f>
        <v>0</v>
      </c>
      <c r="H131">
        <f>IF(物品!R226="",0,物品!R226)</f>
        <v>0</v>
      </c>
      <c r="I131">
        <f>IF(物品!S226="",0,物品!S226)</f>
        <v>0</v>
      </c>
      <c r="J131" t="str">
        <f>IF(物品!C226="",0,""""&amp;物品!C226&amp;"""")</f>
        <v>"附魔"</v>
      </c>
      <c r="K131" t="str">
        <f>IF(物品!T226="","""""",""""&amp;物品!T226&amp;"""")</f>
        <v>""</v>
      </c>
      <c r="L131">
        <f>IF(物品!U226="",0,""""&amp;物品!U226&amp;"""")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IF(物品!B227="",0,"'"&amp;物品!B227&amp;"'")</f>
        <v>'IF05'</v>
      </c>
      <c r="B132" t="e">
        <f>物品!#REF!</f>
        <v>#REF!</v>
      </c>
      <c r="C132">
        <f>物品!E227</f>
        <v>0</v>
      </c>
      <c r="D132">
        <f>物品!F227</f>
        <v>0</v>
      </c>
      <c r="E132">
        <f>IF(ISTEXT(物品!G227)=TRUE,"'"&amp;物品!G227&amp;"'",物品!G227)</f>
        <v>0</v>
      </c>
      <c r="F132">
        <f>IF(ISTEXT(物品!H227)=TRUE,"'"&amp;物品!H227&amp;"'",物品!H227)</f>
        <v>0</v>
      </c>
      <c r="G132">
        <f>IF(物品!I227="",0,"'"&amp;物品!I227&amp;"'")</f>
        <v>0</v>
      </c>
      <c r="H132">
        <f>IF(物品!R227="",0,物品!R227)</f>
        <v>0</v>
      </c>
      <c r="I132">
        <f>IF(物品!S227="",0,物品!S227)</f>
        <v>0</v>
      </c>
      <c r="J132" t="str">
        <f>IF(物品!C227="",0,""""&amp;物品!C227&amp;"""")</f>
        <v>"附魔"</v>
      </c>
      <c r="K132" t="str">
        <f>IF(物品!T227="","""""",""""&amp;物品!T227&amp;"""")</f>
        <v>""</v>
      </c>
      <c r="L132">
        <f>IF(物品!U227="",0,""""&amp;物品!U227&amp;"""")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IF(物品!B228="",0,"'"&amp;物品!B228&amp;"'")</f>
        <v>'IF06'</v>
      </c>
      <c r="B133" t="e">
        <f>物品!#REF!</f>
        <v>#REF!</v>
      </c>
      <c r="C133">
        <f>物品!E228</f>
        <v>0</v>
      </c>
      <c r="D133">
        <f>物品!F228</f>
        <v>0</v>
      </c>
      <c r="E133">
        <f>IF(ISTEXT(物品!G228)=TRUE,"'"&amp;物品!G228&amp;"'",物品!G228)</f>
        <v>0</v>
      </c>
      <c r="F133">
        <f>IF(ISTEXT(物品!H228)=TRUE,"'"&amp;物品!H228&amp;"'",物品!H228)</f>
        <v>0</v>
      </c>
      <c r="G133">
        <f>IF(物品!I228="",0,"'"&amp;物品!I228&amp;"'")</f>
        <v>0</v>
      </c>
      <c r="H133">
        <f>IF(物品!R228="",0,物品!R228)</f>
        <v>0</v>
      </c>
      <c r="I133">
        <f>IF(物品!S228="",0,物品!S228)</f>
        <v>0</v>
      </c>
      <c r="J133" t="str">
        <f>IF(物品!C228="",0,""""&amp;物品!C228&amp;"""")</f>
        <v>"附魔"</v>
      </c>
      <c r="K133" t="str">
        <f>IF(物品!T228="","""""",""""&amp;物品!T228&amp;"""")</f>
        <v>""</v>
      </c>
      <c r="L133">
        <f>IF(物品!U228="",0,""""&amp;物品!U228&amp;"""")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IF(物品!B229="",0,"'"&amp;物品!B229&amp;"'")</f>
        <v>'IF07'</v>
      </c>
      <c r="B134" t="e">
        <f>物品!#REF!</f>
        <v>#REF!</v>
      </c>
      <c r="C134">
        <f>物品!E229</f>
        <v>0</v>
      </c>
      <c r="D134">
        <f>物品!F229</f>
        <v>0</v>
      </c>
      <c r="E134">
        <f>IF(ISTEXT(物品!G229)=TRUE,"'"&amp;物品!G229&amp;"'",物品!G229)</f>
        <v>0</v>
      </c>
      <c r="F134">
        <f>IF(ISTEXT(物品!H229)=TRUE,"'"&amp;物品!H229&amp;"'",物品!H229)</f>
        <v>0</v>
      </c>
      <c r="G134">
        <f>IF(物品!I229="",0,"'"&amp;物品!I229&amp;"'")</f>
        <v>0</v>
      </c>
      <c r="H134">
        <f>IF(物品!R229="",0,物品!R229)</f>
        <v>0</v>
      </c>
      <c r="I134">
        <f>IF(物品!S229="",0,物品!S229)</f>
        <v>0</v>
      </c>
      <c r="J134" t="str">
        <f>IF(物品!C229="",0,""""&amp;物品!C229&amp;"""")</f>
        <v>"附魔"</v>
      </c>
      <c r="K134" t="str">
        <f>IF(物品!T229="","""""",""""&amp;物品!T229&amp;"""")</f>
        <v>""</v>
      </c>
      <c r="L134">
        <f>IF(物品!U229="",0,""""&amp;物品!U229&amp;"""")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IF(物品!B230="",0,"'"&amp;物品!B230&amp;"'")</f>
        <v>'IF08'</v>
      </c>
      <c r="B135">
        <f>物品!D130</f>
        <v>0</v>
      </c>
      <c r="C135">
        <f>物品!E230</f>
        <v>0</v>
      </c>
      <c r="D135">
        <f>物品!F230</f>
        <v>0</v>
      </c>
      <c r="E135">
        <f>IF(ISTEXT(物品!G230)=TRUE,"'"&amp;物品!G230&amp;"'",物品!G230)</f>
        <v>0</v>
      </c>
      <c r="F135">
        <f>IF(ISTEXT(物品!H230)=TRUE,"'"&amp;物品!H230&amp;"'",物品!H230)</f>
        <v>0</v>
      </c>
      <c r="G135">
        <f>IF(物品!I230="",0,"'"&amp;物品!I230&amp;"'")</f>
        <v>0</v>
      </c>
      <c r="H135">
        <f>IF(物品!R230="",0,物品!R230)</f>
        <v>0</v>
      </c>
      <c r="I135">
        <f>IF(物品!S230="",0,物品!S230)</f>
        <v>0</v>
      </c>
      <c r="J135" t="str">
        <f>IF(物品!C230="",0,""""&amp;物品!C230&amp;"""")</f>
        <v>"附魔"</v>
      </c>
      <c r="K135" t="str">
        <f>IF(物品!T230="","""""",""""&amp;物品!T230&amp;"""")</f>
        <v>""</v>
      </c>
      <c r="L135">
        <f>IF(物品!U230="",0,""""&amp;物品!U230&amp;"""")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IF(物品!B231="",0,"'"&amp;物品!B231&amp;"'")</f>
        <v>'IF09'</v>
      </c>
      <c r="B136">
        <f>物品!D131</f>
        <v>0</v>
      </c>
      <c r="C136">
        <f>物品!E231</f>
        <v>0</v>
      </c>
      <c r="D136">
        <f>物品!F231</f>
        <v>0</v>
      </c>
      <c r="E136">
        <f>IF(ISTEXT(物品!G231)=TRUE,"'"&amp;物品!G231&amp;"'",物品!G231)</f>
        <v>0</v>
      </c>
      <c r="F136">
        <f>IF(ISTEXT(物品!H231)=TRUE,"'"&amp;物品!H231&amp;"'",物品!H231)</f>
        <v>0</v>
      </c>
      <c r="G136">
        <f>IF(物品!I231="",0,"'"&amp;物品!I231&amp;"'")</f>
        <v>0</v>
      </c>
      <c r="H136">
        <f>IF(物品!R231="",0,物品!R231)</f>
        <v>0</v>
      </c>
      <c r="I136">
        <f>IF(物品!S231="",0,物品!S231)</f>
        <v>0</v>
      </c>
      <c r="J136" t="str">
        <f>IF(物品!C231="",0,""""&amp;物品!C231&amp;"""")</f>
        <v>"附魔"</v>
      </c>
      <c r="K136" t="str">
        <f>IF(物品!T231="","""""",""""&amp;物品!T231&amp;"""")</f>
        <v>""</v>
      </c>
      <c r="L136">
        <f>IF(物品!U231="",0,""""&amp;物品!U231&amp;"""")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IF(物品!B232="",0,"'"&amp;物品!B232&amp;"'")</f>
        <v>'IF10'</v>
      </c>
      <c r="B137">
        <f>物品!D132</f>
        <v>0</v>
      </c>
      <c r="C137">
        <f>物品!E232</f>
        <v>0</v>
      </c>
      <c r="D137">
        <f>物品!F232</f>
        <v>0</v>
      </c>
      <c r="E137">
        <f>IF(ISTEXT(物品!G232)=TRUE,"'"&amp;物品!G232&amp;"'",物品!G232)</f>
        <v>0</v>
      </c>
      <c r="F137">
        <f>IF(ISTEXT(物品!H232)=TRUE,"'"&amp;物品!H232&amp;"'",物品!H232)</f>
        <v>0</v>
      </c>
      <c r="G137">
        <f>IF(物品!I232="",0,"'"&amp;物品!I232&amp;"'")</f>
        <v>0</v>
      </c>
      <c r="H137">
        <f>IF(物品!R232="",0,物品!R232)</f>
        <v>0</v>
      </c>
      <c r="I137">
        <f>IF(物品!S232="",0,物品!S232)</f>
        <v>0</v>
      </c>
      <c r="J137" t="str">
        <f>IF(物品!C232="",0,""""&amp;物品!C232&amp;"""")</f>
        <v>"附魔"</v>
      </c>
      <c r="K137" t="str">
        <f>IF(物品!T232="","""""",""""&amp;物品!T232&amp;"""")</f>
        <v>""</v>
      </c>
      <c r="L137">
        <f>IF(物品!U232="",0,""""&amp;物品!U232&amp;"""")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IF(物品!B233="",0,"'"&amp;物品!B233&amp;"'")</f>
        <v>'IF11'</v>
      </c>
      <c r="B138">
        <f>物品!D133</f>
        <v>0</v>
      </c>
      <c r="C138">
        <f>物品!E233</f>
        <v>0</v>
      </c>
      <c r="D138">
        <f>物品!F233</f>
        <v>0</v>
      </c>
      <c r="E138">
        <f>IF(ISTEXT(物品!G233)=TRUE,"'"&amp;物品!G233&amp;"'",物品!G233)</f>
        <v>0</v>
      </c>
      <c r="F138">
        <f>IF(ISTEXT(物品!H233)=TRUE,"'"&amp;物品!H233&amp;"'",物品!H233)</f>
        <v>0</v>
      </c>
      <c r="G138">
        <f>IF(物品!I233="",0,"'"&amp;物品!I233&amp;"'")</f>
        <v>0</v>
      </c>
      <c r="H138">
        <f>IF(物品!R233="",0,物品!R233)</f>
        <v>0</v>
      </c>
      <c r="I138">
        <f>IF(物品!S233="",0,物品!S233)</f>
        <v>0</v>
      </c>
      <c r="J138" t="str">
        <f>IF(物品!C233="",0,""""&amp;物品!C233&amp;"""")</f>
        <v>"附魔"</v>
      </c>
      <c r="K138" t="str">
        <f>IF(物品!T233="","""""",""""&amp;物品!T233&amp;"""")</f>
        <v>""</v>
      </c>
      <c r="L138">
        <f>IF(物品!U233="",0,""""&amp;物品!U233&amp;"""")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IF(物品!B234="",0,"'"&amp;物品!B234&amp;"'")</f>
        <v>'IF12'</v>
      </c>
      <c r="B139">
        <f>物品!D134</f>
        <v>0</v>
      </c>
      <c r="C139">
        <f>物品!E234</f>
        <v>0</v>
      </c>
      <c r="D139">
        <f>物品!F234</f>
        <v>0</v>
      </c>
      <c r="E139">
        <f>IF(ISTEXT(物品!G234)=TRUE,"'"&amp;物品!G234&amp;"'",物品!G234)</f>
        <v>0</v>
      </c>
      <c r="F139">
        <f>IF(ISTEXT(物品!H234)=TRUE,"'"&amp;物品!H234&amp;"'",物品!H234)</f>
        <v>0</v>
      </c>
      <c r="G139">
        <f>IF(物品!I234="",0,"'"&amp;物品!I234&amp;"'")</f>
        <v>0</v>
      </c>
      <c r="H139">
        <f>IF(物品!R234="",0,物品!R234)</f>
        <v>0</v>
      </c>
      <c r="I139">
        <f>IF(物品!S234="",0,物品!S234)</f>
        <v>0</v>
      </c>
      <c r="J139" t="str">
        <f>IF(物品!C234="",0,""""&amp;物品!C234&amp;"""")</f>
        <v>"附魔"</v>
      </c>
      <c r="K139" t="str">
        <f>IF(物品!T234="","""""",""""&amp;物品!T234&amp;"""")</f>
        <v>""</v>
      </c>
      <c r="L139">
        <f>IF(物品!U234="",0,""""&amp;物品!U234&amp;"""")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IF(物品!B235="",0,"'"&amp;物品!B235&amp;"'")</f>
        <v>'IF13'</v>
      </c>
      <c r="B140">
        <f>物品!D135</f>
        <v>0</v>
      </c>
      <c r="C140">
        <f>物品!E235</f>
        <v>0</v>
      </c>
      <c r="D140">
        <f>物品!F235</f>
        <v>0</v>
      </c>
      <c r="E140">
        <f>IF(ISTEXT(物品!G235)=TRUE,"'"&amp;物品!G235&amp;"'",物品!G235)</f>
        <v>0</v>
      </c>
      <c r="F140">
        <f>IF(ISTEXT(物品!H235)=TRUE,"'"&amp;物品!H235&amp;"'",物品!H235)</f>
        <v>0</v>
      </c>
      <c r="G140">
        <f>IF(物品!I235="",0,"'"&amp;物品!I235&amp;"'")</f>
        <v>0</v>
      </c>
      <c r="H140">
        <f>IF(物品!R235="",0,物品!R235)</f>
        <v>0</v>
      </c>
      <c r="I140">
        <f>IF(物品!S235="",0,物品!S235)</f>
        <v>0</v>
      </c>
      <c r="J140" t="str">
        <f>IF(物品!C235="",0,""""&amp;物品!C235&amp;"""")</f>
        <v>"附魔"</v>
      </c>
      <c r="K140" t="str">
        <f>IF(物品!T235="","""""",""""&amp;物品!T235&amp;"""")</f>
        <v>""</v>
      </c>
      <c r="L140">
        <f>IF(物品!U235="",0,""""&amp;物品!U235&amp;"""")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IF(物品!B236="",0,"'"&amp;物品!B236&amp;"'")</f>
        <v>'IF14'</v>
      </c>
      <c r="B141">
        <f>物品!D136</f>
        <v>0</v>
      </c>
      <c r="C141">
        <f>物品!E236</f>
        <v>0</v>
      </c>
      <c r="D141">
        <f>物品!F236</f>
        <v>0</v>
      </c>
      <c r="E141">
        <f>IF(ISTEXT(物品!G236)=TRUE,"'"&amp;物品!G236&amp;"'",物品!G236)</f>
        <v>0</v>
      </c>
      <c r="F141">
        <f>IF(ISTEXT(物品!H236)=TRUE,"'"&amp;物品!H236&amp;"'",物品!H236)</f>
        <v>0</v>
      </c>
      <c r="G141">
        <f>IF(物品!I236="",0,"'"&amp;物品!I236&amp;"'")</f>
        <v>0</v>
      </c>
      <c r="H141">
        <f>IF(物品!R236="",0,物品!R236)</f>
        <v>0</v>
      </c>
      <c r="I141">
        <f>IF(物品!S236="",0,物品!S236)</f>
        <v>0</v>
      </c>
      <c r="J141" t="str">
        <f>IF(物品!C236="",0,""""&amp;物品!C236&amp;"""")</f>
        <v>"附魔"</v>
      </c>
      <c r="K141" t="str">
        <f>IF(物品!T236="","""""",""""&amp;物品!T236&amp;"""")</f>
        <v>""</v>
      </c>
      <c r="L141">
        <f>IF(物品!U236="",0,""""&amp;物品!U236&amp;"""")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IF(物品!B237="",0,"'"&amp;物品!B237&amp;"'")</f>
        <v>'IF15'</v>
      </c>
      <c r="B142">
        <f>物品!D137</f>
        <v>0</v>
      </c>
      <c r="C142">
        <f>物品!E237</f>
        <v>0</v>
      </c>
      <c r="D142">
        <f>物品!F237</f>
        <v>0</v>
      </c>
      <c r="E142">
        <f>IF(ISTEXT(物品!G237)=TRUE,"'"&amp;物品!G237&amp;"'",物品!G237)</f>
        <v>0</v>
      </c>
      <c r="F142">
        <f>IF(ISTEXT(物品!H237)=TRUE,"'"&amp;物品!H237&amp;"'",物品!H237)</f>
        <v>0</v>
      </c>
      <c r="G142">
        <f>IF(物品!I237="",0,"'"&amp;物品!I237&amp;"'")</f>
        <v>0</v>
      </c>
      <c r="H142">
        <f>IF(物品!R237="",0,物品!R237)</f>
        <v>0</v>
      </c>
      <c r="I142">
        <f>IF(物品!S237="",0,物品!S237)</f>
        <v>0</v>
      </c>
      <c r="J142" t="str">
        <f>IF(物品!C237="",0,""""&amp;物品!C237&amp;"""")</f>
        <v>"附魔"</v>
      </c>
      <c r="K142" t="str">
        <f>IF(物品!T237="","""""",""""&amp;物品!T237&amp;"""")</f>
        <v>""</v>
      </c>
      <c r="L142">
        <f>IF(物品!U237="",0,""""&amp;物品!U237&amp;"""")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IF(物品!B238="",0,"'"&amp;物品!B238&amp;"'")</f>
        <v>'IF16'</v>
      </c>
      <c r="B143">
        <f>物品!D138</f>
        <v>0</v>
      </c>
      <c r="C143">
        <f>物品!E238</f>
        <v>0</v>
      </c>
      <c r="D143">
        <f>物品!F238</f>
        <v>0</v>
      </c>
      <c r="E143">
        <f>IF(ISTEXT(物品!G238)=TRUE,"'"&amp;物品!G238&amp;"'",物品!G238)</f>
        <v>0</v>
      </c>
      <c r="F143">
        <f>IF(ISTEXT(物品!H238)=TRUE,"'"&amp;物品!H238&amp;"'",物品!H238)</f>
        <v>0</v>
      </c>
      <c r="G143">
        <f>IF(物品!I238="",0,"'"&amp;物品!I238&amp;"'")</f>
        <v>0</v>
      </c>
      <c r="H143">
        <f>IF(物品!R238="",0,物品!R238)</f>
        <v>0</v>
      </c>
      <c r="I143">
        <f>IF(物品!S238="",0,物品!S238)</f>
        <v>0</v>
      </c>
      <c r="J143" t="str">
        <f>IF(物品!C238="",0,""""&amp;物品!C238&amp;"""")</f>
        <v>"附魔"</v>
      </c>
      <c r="K143" t="str">
        <f>IF(物品!T238="","""""",""""&amp;物品!T238&amp;"""")</f>
        <v>""</v>
      </c>
      <c r="L143">
        <f>IF(物品!U238="",0,""""&amp;物品!U238&amp;"""")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IF(物品!B239="",0,"'"&amp;物品!B239&amp;"'")</f>
        <v>'IF17'</v>
      </c>
      <c r="B144">
        <f>物品!D139</f>
        <v>0</v>
      </c>
      <c r="C144">
        <f>物品!E239</f>
        <v>0</v>
      </c>
      <c r="D144">
        <f>物品!F239</f>
        <v>0</v>
      </c>
      <c r="E144">
        <f>IF(ISTEXT(物品!G239)=TRUE,"'"&amp;物品!G239&amp;"'",物品!G239)</f>
        <v>0</v>
      </c>
      <c r="F144">
        <f>IF(ISTEXT(物品!H239)=TRUE,"'"&amp;物品!H239&amp;"'",物品!H239)</f>
        <v>0</v>
      </c>
      <c r="G144">
        <f>IF(物品!I239="",0,"'"&amp;物品!I239&amp;"'")</f>
        <v>0</v>
      </c>
      <c r="H144">
        <f>IF(物品!R239="",0,物品!R239)</f>
        <v>0</v>
      </c>
      <c r="I144">
        <f>IF(物品!S239="",0,物品!S239)</f>
        <v>0</v>
      </c>
      <c r="J144" t="str">
        <f>IF(物品!C239="",0,""""&amp;物品!C239&amp;"""")</f>
        <v>"附魔"</v>
      </c>
      <c r="K144" t="str">
        <f>IF(物品!T239="","""""",""""&amp;物品!T239&amp;"""")</f>
        <v>""</v>
      </c>
      <c r="L144">
        <f>IF(物品!U239="",0,""""&amp;物品!U239&amp;"""")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IF(物品!B240="",0,"'"&amp;物品!B240&amp;"'")</f>
        <v>'IF18'</v>
      </c>
      <c r="B145">
        <f>物品!D140</f>
        <v>0</v>
      </c>
      <c r="C145">
        <f>物品!E240</f>
        <v>0</v>
      </c>
      <c r="D145">
        <f>物品!F240</f>
        <v>0</v>
      </c>
      <c r="E145">
        <f>IF(ISTEXT(物品!G240)=TRUE,"'"&amp;物品!G240&amp;"'",物品!G240)</f>
        <v>0</v>
      </c>
      <c r="F145">
        <f>IF(ISTEXT(物品!H240)=TRUE,"'"&amp;物品!H240&amp;"'",物品!H240)</f>
        <v>0</v>
      </c>
      <c r="G145">
        <f>IF(物品!I240="",0,"'"&amp;物品!I240&amp;"'")</f>
        <v>0</v>
      </c>
      <c r="H145">
        <f>IF(物品!R240="",0,物品!R240)</f>
        <v>0</v>
      </c>
      <c r="I145">
        <f>IF(物品!S240="",0,物品!S240)</f>
        <v>0</v>
      </c>
      <c r="J145" t="str">
        <f>IF(物品!C240="",0,""""&amp;物品!C240&amp;"""")</f>
        <v>"附魔"</v>
      </c>
      <c r="K145" t="str">
        <f>IF(物品!T240="","""""",""""&amp;物品!T240&amp;"""")</f>
        <v>""</v>
      </c>
      <c r="L145">
        <f>IF(物品!U240="",0,""""&amp;物品!U240&amp;"""")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IF(物品!B241="",0,"'"&amp;物品!B241&amp;"'")</f>
        <v>'IF19'</v>
      </c>
      <c r="B146">
        <f>物品!D141</f>
        <v>0</v>
      </c>
      <c r="C146">
        <f>物品!E241</f>
        <v>0</v>
      </c>
      <c r="D146">
        <f>物品!F241</f>
        <v>0</v>
      </c>
      <c r="E146">
        <f>IF(ISTEXT(物品!G241)=TRUE,"'"&amp;物品!G241&amp;"'",物品!G241)</f>
        <v>0</v>
      </c>
      <c r="F146">
        <f>IF(ISTEXT(物品!H241)=TRUE,"'"&amp;物品!H241&amp;"'",物品!H241)</f>
        <v>0</v>
      </c>
      <c r="G146">
        <f>IF(物品!I241="",0,"'"&amp;物品!I241&amp;"'")</f>
        <v>0</v>
      </c>
      <c r="H146">
        <f>IF(物品!R241="",0,物品!R241)</f>
        <v>0</v>
      </c>
      <c r="I146">
        <f>IF(物品!S241="",0,物品!S241)</f>
        <v>0</v>
      </c>
      <c r="J146" t="str">
        <f>IF(物品!C241="",0,""""&amp;物品!C241&amp;"""")</f>
        <v>"附魔"</v>
      </c>
      <c r="K146" t="str">
        <f>IF(物品!T241="","""""",""""&amp;物品!T241&amp;"""")</f>
        <v>""</v>
      </c>
      <c r="L146">
        <f>IF(物品!U241="",0,""""&amp;物品!U241&amp;"""")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IF(物品!B242="",0,"'"&amp;物品!B242&amp;"'")</f>
        <v>'IF20'</v>
      </c>
      <c r="B147">
        <f>物品!D142</f>
        <v>0</v>
      </c>
      <c r="C147">
        <f>物品!E242</f>
        <v>0</v>
      </c>
      <c r="D147">
        <f>物品!F242</f>
        <v>0</v>
      </c>
      <c r="E147">
        <f>IF(ISTEXT(物品!G242)=TRUE,"'"&amp;物品!G242&amp;"'",物品!G242)</f>
        <v>0</v>
      </c>
      <c r="F147">
        <f>IF(ISTEXT(物品!H242)=TRUE,"'"&amp;物品!H242&amp;"'",物品!H242)</f>
        <v>0</v>
      </c>
      <c r="G147">
        <f>IF(物品!I242="",0,"'"&amp;物品!I242&amp;"'")</f>
        <v>0</v>
      </c>
      <c r="H147">
        <f>IF(物品!R242="",0,物品!R242)</f>
        <v>0</v>
      </c>
      <c r="I147">
        <f>IF(物品!S242="",0,物品!S242)</f>
        <v>0</v>
      </c>
      <c r="J147" t="str">
        <f>IF(物品!C242="",0,""""&amp;物品!C242&amp;"""")</f>
        <v>"附魔"</v>
      </c>
      <c r="K147" t="str">
        <f>IF(物品!T242="","""""",""""&amp;物品!T242&amp;"""")</f>
        <v>""</v>
      </c>
      <c r="L147">
        <f>IF(物品!U242="",0,""""&amp;物品!U242&amp;"""")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IF(物品!B243="",0,"'"&amp;物品!B243&amp;"'")</f>
        <v>'IF21'</v>
      </c>
      <c r="B148">
        <f>物品!D156</f>
        <v>0</v>
      </c>
      <c r="C148">
        <f>物品!E243</f>
        <v>0</v>
      </c>
      <c r="D148">
        <f>物品!F243</f>
        <v>0</v>
      </c>
      <c r="E148">
        <f>IF(ISTEXT(物品!G243)=TRUE,"'"&amp;物品!G243&amp;"'",物品!G243)</f>
        <v>0</v>
      </c>
      <c r="F148">
        <f>IF(ISTEXT(物品!H243)=TRUE,"'"&amp;物品!H243&amp;"'",物品!H243)</f>
        <v>0</v>
      </c>
      <c r="G148">
        <f>IF(物品!I243="",0,"'"&amp;物品!I243&amp;"'")</f>
        <v>0</v>
      </c>
      <c r="H148">
        <f>IF(物品!R243="",0,物品!R243)</f>
        <v>0</v>
      </c>
      <c r="I148">
        <f>IF(物品!S243="",0,物品!S243)</f>
        <v>0</v>
      </c>
      <c r="J148" t="str">
        <f>IF(物品!C243="",0,""""&amp;物品!C243&amp;"""")</f>
        <v>"附魔"</v>
      </c>
      <c r="K148" t="str">
        <f>IF(物品!T243="","""""",""""&amp;物品!T243&amp;"""")</f>
        <v>""</v>
      </c>
      <c r="L148">
        <f>IF(物品!U243="",0,""""&amp;物品!U243&amp;"""")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IF(物品!B244="",0,"'"&amp;物品!B244&amp;"'")</f>
        <v>'IF22'</v>
      </c>
      <c r="B149">
        <f>物品!D157</f>
        <v>0</v>
      </c>
      <c r="C149">
        <f>物品!E244</f>
        <v>0</v>
      </c>
      <c r="D149">
        <f>物品!F244</f>
        <v>0</v>
      </c>
      <c r="E149">
        <f>IF(ISTEXT(物品!G244)=TRUE,"'"&amp;物品!G244&amp;"'",物品!G244)</f>
        <v>0</v>
      </c>
      <c r="F149">
        <f>IF(ISTEXT(物品!H244)=TRUE,"'"&amp;物品!H244&amp;"'",物品!H244)</f>
        <v>0</v>
      </c>
      <c r="G149">
        <f>IF(物品!I244="",0,"'"&amp;物品!I244&amp;"'")</f>
        <v>0</v>
      </c>
      <c r="H149">
        <f>IF(物品!R244="",0,物品!R244)</f>
        <v>0</v>
      </c>
      <c r="I149">
        <f>IF(物品!S244="",0,物品!S244)</f>
        <v>0</v>
      </c>
      <c r="J149" t="str">
        <f>IF(物品!C244="",0,""""&amp;物品!C244&amp;"""")</f>
        <v>"附魔"</v>
      </c>
      <c r="K149" t="str">
        <f>IF(物品!T244="","""""",""""&amp;物品!T244&amp;"""")</f>
        <v>""</v>
      </c>
      <c r="L149">
        <f>IF(物品!U244="",0,""""&amp;物品!U244&amp;"""")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IF(物品!B245="",0,"'"&amp;物品!B245&amp;"'")</f>
        <v>'IF23'</v>
      </c>
      <c r="B150">
        <f>物品!D158</f>
        <v>0</v>
      </c>
      <c r="C150">
        <f>物品!E245</f>
        <v>0</v>
      </c>
      <c r="D150">
        <f>物品!F245</f>
        <v>0</v>
      </c>
      <c r="E150">
        <f>IF(ISTEXT(物品!G245)=TRUE,"'"&amp;物品!G245&amp;"'",物品!G245)</f>
        <v>0</v>
      </c>
      <c r="F150">
        <f>IF(ISTEXT(物品!H245)=TRUE,"'"&amp;物品!H245&amp;"'",物品!H245)</f>
        <v>0</v>
      </c>
      <c r="G150">
        <f>IF(物品!I245="",0,"'"&amp;物品!I245&amp;"'")</f>
        <v>0</v>
      </c>
      <c r="H150">
        <f>IF(物品!R245="",0,物品!R245)</f>
        <v>0</v>
      </c>
      <c r="I150">
        <f>IF(物品!S245="",0,物品!S245)</f>
        <v>0</v>
      </c>
      <c r="J150" t="str">
        <f>IF(物品!C245="",0,""""&amp;物品!C245&amp;"""")</f>
        <v>"附魔"</v>
      </c>
      <c r="K150" t="str">
        <f>IF(物品!T245="","""""",""""&amp;物品!T245&amp;"""")</f>
        <v>""</v>
      </c>
      <c r="L150">
        <f>IF(物品!U245="",0,""""&amp;物品!U245&amp;"""")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IF(物品!B246="",0,"'"&amp;物品!B246&amp;"'")</f>
        <v>'IF24'</v>
      </c>
      <c r="B151">
        <f>物品!D159</f>
        <v>0</v>
      </c>
      <c r="C151">
        <f>物品!E246</f>
        <v>0</v>
      </c>
      <c r="D151">
        <f>物品!F246</f>
        <v>0</v>
      </c>
      <c r="E151">
        <f>IF(ISTEXT(物品!G246)=TRUE,"'"&amp;物品!G246&amp;"'",物品!G246)</f>
        <v>0</v>
      </c>
      <c r="F151">
        <f>IF(ISTEXT(物品!H246)=TRUE,"'"&amp;物品!H246&amp;"'",物品!H246)</f>
        <v>0</v>
      </c>
      <c r="G151">
        <f>IF(物品!I246="",0,"'"&amp;物品!I246&amp;"'")</f>
        <v>0</v>
      </c>
      <c r="H151">
        <f>IF(物品!R246="",0,物品!R246)</f>
        <v>0</v>
      </c>
      <c r="I151">
        <f>IF(物品!S246="",0,物品!S246)</f>
        <v>0</v>
      </c>
      <c r="J151" t="str">
        <f>IF(物品!C246="",0,""""&amp;物品!C246&amp;"""")</f>
        <v>"附魔"</v>
      </c>
      <c r="K151" t="str">
        <f>IF(物品!T246="","""""",""""&amp;物品!T246&amp;"""")</f>
        <v>""</v>
      </c>
      <c r="L151">
        <f>IF(物品!U246="",0,""""&amp;物品!U246&amp;"""")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IF(物品!B247="",0,"'"&amp;物品!B247&amp;"'")</f>
        <v>'IF25'</v>
      </c>
      <c r="B152">
        <f>物品!D160</f>
        <v>0</v>
      </c>
      <c r="C152">
        <f>物品!E247</f>
        <v>0</v>
      </c>
      <c r="D152">
        <f>物品!F247</f>
        <v>0</v>
      </c>
      <c r="E152">
        <f>IF(ISTEXT(物品!G247)=TRUE,"'"&amp;物品!G247&amp;"'",物品!G247)</f>
        <v>0</v>
      </c>
      <c r="F152">
        <f>IF(ISTEXT(物品!H247)=TRUE,"'"&amp;物品!H247&amp;"'",物品!H247)</f>
        <v>0</v>
      </c>
      <c r="G152">
        <f>IF(物品!I247="",0,"'"&amp;物品!I247&amp;"'")</f>
        <v>0</v>
      </c>
      <c r="H152">
        <f>IF(物品!R247="",0,物品!R247)</f>
        <v>0</v>
      </c>
      <c r="I152">
        <f>IF(物品!S247="",0,物品!S247)</f>
        <v>0</v>
      </c>
      <c r="J152" t="str">
        <f>IF(物品!C247="",0,""""&amp;物品!C247&amp;"""")</f>
        <v>"附魔"</v>
      </c>
      <c r="K152" t="str">
        <f>IF(物品!T247="","""""",""""&amp;物品!T247&amp;"""")</f>
        <v>""</v>
      </c>
      <c r="L152">
        <f>IF(物品!U247="",0,""""&amp;物品!U247&amp;"""")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IF(物品!B248="",0,"'"&amp;物品!B248&amp;"'")</f>
        <v>'IF26'</v>
      </c>
      <c r="B153">
        <f>物品!D165</f>
        <v>0</v>
      </c>
      <c r="C153">
        <f>物品!E248</f>
        <v>0</v>
      </c>
      <c r="D153">
        <f>物品!F248</f>
        <v>0</v>
      </c>
      <c r="E153">
        <f>IF(ISTEXT(物品!G248)=TRUE,"'"&amp;物品!G248&amp;"'",物品!G248)</f>
        <v>0</v>
      </c>
      <c r="F153">
        <f>IF(ISTEXT(物品!H248)=TRUE,"'"&amp;物品!H248&amp;"'",物品!H248)</f>
        <v>0</v>
      </c>
      <c r="G153">
        <f>IF(物品!I248="",0,"'"&amp;物品!I248&amp;"'")</f>
        <v>0</v>
      </c>
      <c r="H153">
        <f>IF(物品!R248="",0,物品!R248)</f>
        <v>0</v>
      </c>
      <c r="I153">
        <f>IF(物品!S248="",0,物品!S248)</f>
        <v>0</v>
      </c>
      <c r="J153" t="str">
        <f>IF(物品!C248="",0,""""&amp;物品!C248&amp;"""")</f>
        <v>"附魔"</v>
      </c>
      <c r="K153" t="str">
        <f>IF(物品!T248="","""""",""""&amp;物品!T248&amp;"""")</f>
        <v>""</v>
      </c>
      <c r="L153">
        <f>IF(物品!U248="",0,""""&amp;物品!U248&amp;"""")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IF(物品!B249="",0,"'"&amp;物品!B249&amp;"'")</f>
        <v>'IF27'</v>
      </c>
      <c r="B154">
        <f>物品!D166</f>
        <v>0</v>
      </c>
      <c r="C154">
        <f>物品!E249</f>
        <v>0</v>
      </c>
      <c r="D154">
        <f>物品!F249</f>
        <v>0</v>
      </c>
      <c r="E154">
        <f>IF(ISTEXT(物品!G249)=TRUE,"'"&amp;物品!G249&amp;"'",物品!G249)</f>
        <v>0</v>
      </c>
      <c r="F154">
        <f>IF(ISTEXT(物品!H249)=TRUE,"'"&amp;物品!H249&amp;"'",物品!H249)</f>
        <v>0</v>
      </c>
      <c r="G154">
        <f>IF(物品!I249="",0,"'"&amp;物品!I249&amp;"'")</f>
        <v>0</v>
      </c>
      <c r="H154">
        <f>IF(物品!R249="",0,物品!R249)</f>
        <v>0</v>
      </c>
      <c r="I154">
        <f>IF(物品!S249="",0,物品!S249)</f>
        <v>0</v>
      </c>
      <c r="J154" t="str">
        <f>IF(物品!C249="",0,""""&amp;物品!C249&amp;"""")</f>
        <v>"附魔"</v>
      </c>
      <c r="K154" t="str">
        <f>IF(物品!T249="","""""",""""&amp;物品!T249&amp;"""")</f>
        <v>""</v>
      </c>
      <c r="L154">
        <f>IF(物品!U249="",0,""""&amp;物品!U249&amp;"""")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IF(物品!B256="",0,"'"&amp;物品!B256&amp;"'")</f>
        <v>'IC01'</v>
      </c>
      <c r="B155">
        <f>物品!D167</f>
        <v>0</v>
      </c>
      <c r="C155">
        <f>物品!E256</f>
        <v>0</v>
      </c>
      <c r="D155">
        <f>物品!F256</f>
        <v>0</v>
      </c>
      <c r="E155">
        <f>IF(ISTEXT(物品!G256)=TRUE,"'"&amp;物品!G256&amp;"'",物品!G256)</f>
        <v>0</v>
      </c>
      <c r="F155">
        <f>IF(ISTEXT(物品!H256)=TRUE,"'"&amp;物品!H256&amp;"'",物品!H256)</f>
        <v>0</v>
      </c>
      <c r="G155">
        <f>IF(物品!I256="",0,"'"&amp;物品!I256&amp;"'")</f>
        <v>0</v>
      </c>
      <c r="H155">
        <f>IF(物品!R256="",0,物品!R256)</f>
        <v>0</v>
      </c>
      <c r="I155">
        <f>IF(物品!S256="",0,物品!S256)</f>
        <v>0</v>
      </c>
      <c r="J155" t="str">
        <f>IF(物品!C256="",0,""""&amp;物品!C256&amp;"""")</f>
        <v>"玄铁"</v>
      </c>
      <c r="K155" t="str">
        <f>IF(物品!T256="","""""",""""&amp;物品!T256&amp;"""")</f>
        <v>""</v>
      </c>
      <c r="L155">
        <f>IF(物品!U256="",0,""""&amp;物品!U256&amp;"""")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IF(物品!B257="",0,"'"&amp;物品!B257&amp;"'")</f>
        <v>'IC02'</v>
      </c>
      <c r="B156">
        <f>物品!D168</f>
        <v>0</v>
      </c>
      <c r="C156">
        <f>物品!E257</f>
        <v>0</v>
      </c>
      <c r="D156">
        <f>物品!F257</f>
        <v>0</v>
      </c>
      <c r="E156">
        <f>IF(ISTEXT(物品!G257)=TRUE,"'"&amp;物品!G257&amp;"'",物品!G257)</f>
        <v>0</v>
      </c>
      <c r="F156">
        <f>IF(ISTEXT(物品!H257)=TRUE,"'"&amp;物品!H257&amp;"'",物品!H257)</f>
        <v>0</v>
      </c>
      <c r="G156">
        <f>IF(物品!I257="",0,"'"&amp;物品!I257&amp;"'")</f>
        <v>0</v>
      </c>
      <c r="H156">
        <f>IF(物品!R257="",0,物品!R257)</f>
        <v>0</v>
      </c>
      <c r="I156">
        <f>IF(物品!S257="",0,物品!S257)</f>
        <v>0</v>
      </c>
      <c r="J156" t="str">
        <f>IF(物品!C257="",0,""""&amp;物品!C257&amp;"""")</f>
        <v>"杀敌数"</v>
      </c>
      <c r="K156" t="str">
        <f>IF(物品!T257="","""""",""""&amp;物品!T257&amp;"""")</f>
        <v>""</v>
      </c>
      <c r="L156">
        <f>IF(物品!U257="",0,""""&amp;物品!U257&amp;"""")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IF(物品!B258="",0,"'"&amp;物品!B258&amp;"'")</f>
        <v>'IC03'</v>
      </c>
      <c r="B157">
        <f>物品!D169</f>
        <v>0</v>
      </c>
      <c r="C157">
        <f>物品!E258</f>
        <v>0</v>
      </c>
      <c r="D157">
        <f>物品!F258</f>
        <v>0</v>
      </c>
      <c r="E157">
        <f>IF(ISTEXT(物品!G258)=TRUE,"'"&amp;物品!G258&amp;"'",物品!G258)</f>
        <v>0</v>
      </c>
      <c r="F157">
        <f>IF(ISTEXT(物品!H258)=TRUE,"'"&amp;物品!H258&amp;"'",物品!H258)</f>
        <v>0</v>
      </c>
      <c r="G157">
        <f>IF(物品!I258="",0,"'"&amp;物品!I258&amp;"'")</f>
        <v>0</v>
      </c>
      <c r="H157">
        <f>IF(物品!R258="",0,物品!R258)</f>
        <v>0</v>
      </c>
      <c r="I157">
        <f>IF(物品!S258="",0,物品!S258)</f>
        <v>0</v>
      </c>
      <c r="J157" t="str">
        <f>IF(物品!C258="",0,""""&amp;物品!C258&amp;"""")</f>
        <v>"攻击力低"</v>
      </c>
      <c r="K157" t="str">
        <f>IF(物品!T258="","""""",""""&amp;物品!T258&amp;"""")</f>
        <v>""</v>
      </c>
      <c r="L157">
        <f>IF(物品!U258="",0,""""&amp;物品!U258&amp;"""")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IF(物品!B259="",0,"'"&amp;物品!B259&amp;"'")</f>
        <v>'IC04'</v>
      </c>
      <c r="B158">
        <f>物品!D170</f>
        <v>0</v>
      </c>
      <c r="C158">
        <f>物品!E259</f>
        <v>0</v>
      </c>
      <c r="D158">
        <f>物品!F259</f>
        <v>0</v>
      </c>
      <c r="E158">
        <f>IF(ISTEXT(物品!G259)=TRUE,"'"&amp;物品!G259&amp;"'",物品!G259)</f>
        <v>0</v>
      </c>
      <c r="F158">
        <f>IF(ISTEXT(物品!H259)=TRUE,"'"&amp;物品!H259&amp;"'",物品!H259)</f>
        <v>0</v>
      </c>
      <c r="G158">
        <f>IF(物品!I259="",0,"'"&amp;物品!I259&amp;"'")</f>
        <v>0</v>
      </c>
      <c r="H158">
        <f>IF(物品!R259="",0,物品!R259)</f>
        <v>0</v>
      </c>
      <c r="I158">
        <f>IF(物品!S259="",0,物品!S259)</f>
        <v>0</v>
      </c>
      <c r="J158" t="str">
        <f>IF(物品!C259="",0,""""&amp;物品!C259&amp;"""")</f>
        <v>"攻击力中"</v>
      </c>
      <c r="K158" t="str">
        <f>IF(物品!T259="","""""",""""&amp;物品!T259&amp;"""")</f>
        <v>""</v>
      </c>
      <c r="L158">
        <f>IF(物品!U259="",0,""""&amp;物品!U259&amp;"""")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IF(物品!B260="",0,"'"&amp;物品!B260&amp;"'")</f>
        <v>'IC05'</v>
      </c>
      <c r="B159">
        <f>物品!D171</f>
        <v>0</v>
      </c>
      <c r="C159">
        <f>物品!E260</f>
        <v>0</v>
      </c>
      <c r="D159">
        <f>物品!F260</f>
        <v>0</v>
      </c>
      <c r="E159">
        <f>IF(ISTEXT(物品!G260)=TRUE,"'"&amp;物品!G260&amp;"'",物品!G260)</f>
        <v>0</v>
      </c>
      <c r="F159">
        <f>IF(ISTEXT(物品!H260)=TRUE,"'"&amp;物品!H260&amp;"'",物品!H260)</f>
        <v>0</v>
      </c>
      <c r="G159">
        <f>IF(物品!I260="",0,"'"&amp;物品!I260&amp;"'")</f>
        <v>0</v>
      </c>
      <c r="H159">
        <f>IF(物品!R260="",0,物品!R260)</f>
        <v>0</v>
      </c>
      <c r="I159">
        <f>IF(物品!S260="",0,物品!S260)</f>
        <v>0</v>
      </c>
      <c r="J159" t="str">
        <f>IF(物品!C260="",0,""""&amp;物品!C260&amp;"""")</f>
        <v>"攻击力高"</v>
      </c>
      <c r="K159" t="str">
        <f>IF(物品!T260="","""""",""""&amp;物品!T260&amp;"""")</f>
        <v>""</v>
      </c>
      <c r="L159">
        <f>IF(物品!U260="",0,""""&amp;物品!U260&amp;"""")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IF(物品!B261="",0,"'"&amp;物品!B261&amp;"'")</f>
        <v>'IC06'</v>
      </c>
      <c r="B160">
        <f>物品!D172</f>
        <v>0</v>
      </c>
      <c r="C160">
        <f>物品!E261</f>
        <v>0</v>
      </c>
      <c r="D160">
        <f>物品!F261</f>
        <v>0</v>
      </c>
      <c r="E160">
        <f>IF(ISTEXT(物品!G261)=TRUE,"'"&amp;物品!G261&amp;"'",物品!G261)</f>
        <v>0</v>
      </c>
      <c r="F160">
        <f>IF(ISTEXT(物品!H261)=TRUE,"'"&amp;物品!H261&amp;"'",物品!H261)</f>
        <v>0</v>
      </c>
      <c r="G160">
        <f>IF(物品!I261="",0,"'"&amp;物品!I261&amp;"'")</f>
        <v>0</v>
      </c>
      <c r="H160">
        <f>IF(物品!R261="",0,物品!R261)</f>
        <v>0</v>
      </c>
      <c r="I160">
        <f>IF(物品!S261="",0,物品!S261)</f>
        <v>0</v>
      </c>
      <c r="J160" t="str">
        <f>IF(物品!C261="",0,""""&amp;物品!C261&amp;"""")</f>
        <v>"生命值低"</v>
      </c>
      <c r="K160" t="str">
        <f>IF(物品!T261="","""""",""""&amp;物品!T261&amp;"""")</f>
        <v>""</v>
      </c>
      <c r="L160">
        <f>IF(物品!U261="",0,""""&amp;物品!U261&amp;"""")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IF(物品!B262="",0,"'"&amp;物品!B262&amp;"'")</f>
        <v>'IC07'</v>
      </c>
      <c r="B161">
        <f>物品!D173</f>
        <v>0</v>
      </c>
      <c r="C161">
        <f>物品!E262</f>
        <v>0</v>
      </c>
      <c r="D161">
        <f>物品!F262</f>
        <v>0</v>
      </c>
      <c r="E161">
        <f>IF(ISTEXT(物品!G262)=TRUE,"'"&amp;物品!G262&amp;"'",物品!G262)</f>
        <v>0</v>
      </c>
      <c r="F161">
        <f>IF(ISTEXT(物品!H262)=TRUE,"'"&amp;物品!H262&amp;"'",物品!H262)</f>
        <v>0</v>
      </c>
      <c r="G161">
        <f>IF(物品!I262="",0,"'"&amp;物品!I262&amp;"'")</f>
        <v>0</v>
      </c>
      <c r="H161">
        <f>IF(物品!R262="",0,物品!R262)</f>
        <v>0</v>
      </c>
      <c r="I161">
        <f>IF(物品!S262="",0,物品!S262)</f>
        <v>0</v>
      </c>
      <c r="J161" t="str">
        <f>IF(物品!C262="",0,""""&amp;物品!C262&amp;"""")</f>
        <v>"生命值中"</v>
      </c>
      <c r="K161" t="str">
        <f>IF(物品!T262="","""""",""""&amp;物品!T262&amp;"""")</f>
        <v>""</v>
      </c>
      <c r="L161">
        <f>IF(物品!U262="",0,""""&amp;物品!U262&amp;"""")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IF(物品!B263="",0,"'"&amp;物品!B263&amp;"'")</f>
        <v>'IC08'</v>
      </c>
      <c r="B162">
        <f>物品!D174</f>
        <v>0</v>
      </c>
      <c r="C162">
        <f>物品!E263</f>
        <v>0</v>
      </c>
      <c r="D162">
        <f>物品!F263</f>
        <v>0</v>
      </c>
      <c r="E162">
        <f>IF(ISTEXT(物品!G263)=TRUE,"'"&amp;物品!G263&amp;"'",物品!G263)</f>
        <v>0</v>
      </c>
      <c r="F162">
        <f>IF(ISTEXT(物品!H263)=TRUE,"'"&amp;物品!H263&amp;"'",物品!H263)</f>
        <v>0</v>
      </c>
      <c r="G162">
        <f>IF(物品!I263="",0,"'"&amp;物品!I263&amp;"'")</f>
        <v>0</v>
      </c>
      <c r="H162">
        <f>IF(物品!R263="",0,物品!R263)</f>
        <v>0</v>
      </c>
      <c r="I162">
        <f>IF(物品!S263="",0,物品!S263)</f>
        <v>0</v>
      </c>
      <c r="J162" t="str">
        <f>IF(物品!C263="",0,""""&amp;物品!C263&amp;"""")</f>
        <v>"生命值高"</v>
      </c>
      <c r="K162" t="str">
        <f>IF(物品!T263="","""""",""""&amp;物品!T263&amp;"""")</f>
        <v>""</v>
      </c>
      <c r="L162">
        <f>IF(物品!U263="",0,""""&amp;物品!U263&amp;"""")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IF(物品!B264="",0,"'"&amp;物品!B264&amp;"'")</f>
        <v>'IC09'</v>
      </c>
      <c r="B163">
        <f>物品!D175</f>
        <v>0</v>
      </c>
      <c r="C163">
        <f>物品!E264</f>
        <v>0</v>
      </c>
      <c r="D163">
        <f>物品!F264</f>
        <v>0</v>
      </c>
      <c r="E163">
        <f>IF(ISTEXT(物品!G264)=TRUE,"'"&amp;物品!G264&amp;"'",物品!G264)</f>
        <v>0</v>
      </c>
      <c r="F163">
        <f>IF(ISTEXT(物品!H264)=TRUE,"'"&amp;物品!H264&amp;"'",物品!H264)</f>
        <v>0</v>
      </c>
      <c r="G163">
        <f>IF(物品!I264="",0,"'"&amp;物品!I264&amp;"'")</f>
        <v>0</v>
      </c>
      <c r="H163">
        <f>IF(物品!R264="",0,物品!R264)</f>
        <v>0</v>
      </c>
      <c r="I163">
        <f>IF(物品!S264="",0,物品!S264)</f>
        <v>0</v>
      </c>
      <c r="J163" t="str">
        <f>IF(物品!C264="",0,""""&amp;物品!C264&amp;"""")</f>
        <v>"业力低"</v>
      </c>
      <c r="K163" t="str">
        <f>IF(物品!T264="","""""",""""&amp;物品!T264&amp;"""")</f>
        <v>""</v>
      </c>
      <c r="L163">
        <f>IF(物品!U264="",0,""""&amp;物品!U264&amp;"""")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IF(物品!B265="",0,"'"&amp;物品!B265&amp;"'")</f>
        <v>'IC10'</v>
      </c>
      <c r="B164">
        <f>物品!D176</f>
        <v>0</v>
      </c>
      <c r="C164">
        <f>物品!E265</f>
        <v>0</v>
      </c>
      <c r="D164">
        <f>物品!F265</f>
        <v>0</v>
      </c>
      <c r="E164">
        <f>IF(ISTEXT(物品!G265)=TRUE,"'"&amp;物品!G265&amp;"'",物品!G265)</f>
        <v>0</v>
      </c>
      <c r="F164">
        <f>IF(ISTEXT(物品!H265)=TRUE,"'"&amp;物品!H265&amp;"'",物品!H265)</f>
        <v>0</v>
      </c>
      <c r="G164">
        <f>IF(物品!I265="",0,"'"&amp;物品!I265&amp;"'")</f>
        <v>0</v>
      </c>
      <c r="H164">
        <f>IF(物品!R265="",0,物品!R265)</f>
        <v>0</v>
      </c>
      <c r="I164">
        <f>IF(物品!S265="",0,物品!S265)</f>
        <v>0</v>
      </c>
      <c r="J164" t="str">
        <f>IF(物品!C265="",0,""""&amp;物品!C265&amp;"""")</f>
        <v>"业力中"</v>
      </c>
      <c r="K164" t="str">
        <f>IF(物品!T265="","""""",""""&amp;物品!T265&amp;"""")</f>
        <v>""</v>
      </c>
      <c r="L164">
        <f>IF(物品!U265="",0,""""&amp;物品!U265&amp;"""")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IF(物品!B266="",0,"'"&amp;物品!B266&amp;"'")</f>
        <v>'IC11'</v>
      </c>
      <c r="B165">
        <f>物品!D177</f>
        <v>0</v>
      </c>
      <c r="C165">
        <f>物品!E266</f>
        <v>0</v>
      </c>
      <c r="D165">
        <f>物品!F266</f>
        <v>0</v>
      </c>
      <c r="E165">
        <f>IF(ISTEXT(物品!G266)=TRUE,"'"&amp;物品!G266&amp;"'",物品!G266)</f>
        <v>0</v>
      </c>
      <c r="F165">
        <f>IF(ISTEXT(物品!H266)=TRUE,"'"&amp;物品!H266&amp;"'",物品!H266)</f>
        <v>0</v>
      </c>
      <c r="G165">
        <f>IF(物品!I266="",0,"'"&amp;物品!I266&amp;"'")</f>
        <v>0</v>
      </c>
      <c r="H165">
        <f>IF(物品!R266="",0,物品!R266)</f>
        <v>0</v>
      </c>
      <c r="I165">
        <f>IF(物品!S266="",0,物品!S266)</f>
        <v>0</v>
      </c>
      <c r="J165" t="str">
        <f>IF(物品!C266="",0,""""&amp;物品!C266&amp;"""")</f>
        <v>"业力高"</v>
      </c>
      <c r="K165" t="str">
        <f>IF(物品!T266="","""""",""""&amp;物品!T266&amp;"""")</f>
        <v>""</v>
      </c>
      <c r="L165">
        <f>IF(物品!U266="",0,""""&amp;物品!U266&amp;"""")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IF(物品!B267="",0,"'"&amp;物品!B267&amp;"'")</f>
        <v>0</v>
      </c>
      <c r="B166">
        <f>物品!D178</f>
        <v>0</v>
      </c>
      <c r="C166">
        <f>物品!E267</f>
        <v>0</v>
      </c>
      <c r="D166">
        <f>物品!F267</f>
        <v>0</v>
      </c>
      <c r="E166">
        <f>IF(ISTEXT(物品!G267)=TRUE,"'"&amp;物品!G267&amp;"'",物品!G267)</f>
        <v>0</v>
      </c>
      <c r="F166">
        <f>IF(ISTEXT(物品!H267)=TRUE,"'"&amp;物品!H267&amp;"'",物品!H267)</f>
        <v>0</v>
      </c>
      <c r="G166">
        <f>IF(物品!I267="",0,"'"&amp;物品!I267&amp;"'")</f>
        <v>0</v>
      </c>
      <c r="H166">
        <f>IF(物品!R267="",0,物品!R267)</f>
        <v>0</v>
      </c>
      <c r="I166">
        <f>IF(物品!S267="",0,物品!S267)</f>
        <v>0</v>
      </c>
      <c r="J166">
        <f>IF(物品!C267="",0,""""&amp;物品!C267&amp;"""")</f>
        <v>0</v>
      </c>
      <c r="K166" t="str">
        <f>IF(物品!T267="","""""",""""&amp;物品!T267&amp;"""")</f>
        <v>""</v>
      </c>
      <c r="L166">
        <f>IF(物品!U267="",0,""""&amp;物品!U267&amp;"""")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IF(物品!B268="",0,"'"&amp;物品!B268&amp;"'")</f>
        <v>0</v>
      </c>
      <c r="B167">
        <f>物品!D184</f>
        <v>0</v>
      </c>
      <c r="C167">
        <f>物品!E268</f>
        <v>0</v>
      </c>
      <c r="D167">
        <f>物品!F268</f>
        <v>0</v>
      </c>
      <c r="E167">
        <f>IF(ISTEXT(物品!G268)=TRUE,"'"&amp;物品!G268&amp;"'",物品!G268)</f>
        <v>0</v>
      </c>
      <c r="F167">
        <f>IF(ISTEXT(物品!H268)=TRUE,"'"&amp;物品!H268&amp;"'",物品!H268)</f>
        <v>0</v>
      </c>
      <c r="G167">
        <f>IF(物品!I268="",0,"'"&amp;物品!I268&amp;"'")</f>
        <v>0</v>
      </c>
      <c r="H167">
        <f>IF(物品!R268="",0,物品!R268)</f>
        <v>0</v>
      </c>
      <c r="I167">
        <f>IF(物品!S268="",0,物品!S268)</f>
        <v>0</v>
      </c>
      <c r="J167">
        <f>IF(物品!C268="",0,""""&amp;物品!C268&amp;"""")</f>
        <v>0</v>
      </c>
      <c r="K167" t="str">
        <f>IF(物品!T268="","""""",""""&amp;物品!T268&amp;"""")</f>
        <v>""</v>
      </c>
      <c r="L167">
        <f>IF(物品!U268="",0,""""&amp;物品!U268&amp;"""")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IF(物品!B269="",0,"'"&amp;物品!B269&amp;"'")</f>
        <v>0</v>
      </c>
      <c r="B168">
        <f>物品!D185</f>
        <v>0</v>
      </c>
      <c r="C168">
        <f>物品!E269</f>
        <v>0</v>
      </c>
      <c r="D168">
        <f>物品!F269</f>
        <v>0</v>
      </c>
      <c r="E168">
        <f>IF(ISTEXT(物品!G269)=TRUE,"'"&amp;物品!G269&amp;"'",物品!G269)</f>
        <v>0</v>
      </c>
      <c r="F168">
        <f>IF(ISTEXT(物品!H269)=TRUE,"'"&amp;物品!H269&amp;"'",物品!H269)</f>
        <v>0</v>
      </c>
      <c r="G168">
        <f>IF(物品!I269="",0,"'"&amp;物品!I269&amp;"'")</f>
        <v>0</v>
      </c>
      <c r="H168">
        <f>IF(物品!R269="",0,物品!R269)</f>
        <v>0</v>
      </c>
      <c r="I168">
        <f>IF(物品!S269="",0,物品!S269)</f>
        <v>0</v>
      </c>
      <c r="J168">
        <f>IF(物品!C269="",0,""""&amp;物品!C269&amp;"""")</f>
        <v>0</v>
      </c>
      <c r="K168" t="str">
        <f>IF(物品!T269="","""""",""""&amp;物品!T269&amp;"""")</f>
        <v>""</v>
      </c>
      <c r="L168">
        <f>IF(物品!U269="",0,""""&amp;物品!U269&amp;"""")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IF(物品!B270="",0,"'"&amp;物品!B270&amp;"'")</f>
        <v>0</v>
      </c>
      <c r="B169">
        <f>物品!D186</f>
        <v>0</v>
      </c>
      <c r="C169">
        <f>物品!E270</f>
        <v>0</v>
      </c>
      <c r="D169">
        <f>物品!F270</f>
        <v>0</v>
      </c>
      <c r="E169">
        <f>IF(ISTEXT(物品!G270)=TRUE,"'"&amp;物品!G270&amp;"'",物品!G270)</f>
        <v>0</v>
      </c>
      <c r="F169">
        <f>IF(ISTEXT(物品!H270)=TRUE,"'"&amp;物品!H270&amp;"'",物品!H270)</f>
        <v>0</v>
      </c>
      <c r="G169">
        <f>IF(物品!I270="",0,"'"&amp;物品!I270&amp;"'")</f>
        <v>0</v>
      </c>
      <c r="H169">
        <f>IF(物品!R270="",0,物品!R270)</f>
        <v>0</v>
      </c>
      <c r="I169">
        <f>IF(物品!S270="",0,物品!S270)</f>
        <v>0</v>
      </c>
      <c r="J169">
        <f>IF(物品!C270="",0,""""&amp;物品!C270&amp;"""")</f>
        <v>0</v>
      </c>
      <c r="K169" t="str">
        <f>IF(物品!T270="","""""",""""&amp;物品!T270&amp;"""")</f>
        <v>""</v>
      </c>
      <c r="L169">
        <f>IF(物品!U270="",0,""""&amp;物品!U270&amp;"""")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IF(物品!B271="",0,"'"&amp;物品!B271&amp;"'")</f>
        <v>0</v>
      </c>
      <c r="B170">
        <f>物品!D187</f>
        <v>0</v>
      </c>
      <c r="C170">
        <f>物品!E271</f>
        <v>0</v>
      </c>
      <c r="D170">
        <f>物品!F271</f>
        <v>0</v>
      </c>
      <c r="E170">
        <f>IF(ISTEXT(物品!G271)=TRUE,"'"&amp;物品!G271&amp;"'",物品!G271)</f>
        <v>0</v>
      </c>
      <c r="F170">
        <f>IF(ISTEXT(物品!H271)=TRUE,"'"&amp;物品!H271&amp;"'",物品!H271)</f>
        <v>0</v>
      </c>
      <c r="G170">
        <f>IF(物品!I271="",0,"'"&amp;物品!I271&amp;"'")</f>
        <v>0</v>
      </c>
      <c r="H170">
        <f>IF(物品!R271="",0,物品!R271)</f>
        <v>0</v>
      </c>
      <c r="I170">
        <f>IF(物品!S271="",0,物品!S271)</f>
        <v>0</v>
      </c>
      <c r="J170">
        <f>IF(物品!C271="",0,""""&amp;物品!C271&amp;"""")</f>
        <v>0</v>
      </c>
      <c r="K170" t="str">
        <f>IF(物品!T271="","""""",""""&amp;物品!T271&amp;"""")</f>
        <v>""</v>
      </c>
      <c r="L170">
        <f>IF(物品!U271="",0,""""&amp;物品!U271&amp;"""")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IF(物品!B272="",0,"'"&amp;物品!B272&amp;"'")</f>
        <v>0</v>
      </c>
      <c r="B171">
        <f>物品!D188</f>
        <v>0</v>
      </c>
      <c r="C171">
        <f>物品!E272</f>
        <v>0</v>
      </c>
      <c r="D171">
        <f>物品!F272</f>
        <v>0</v>
      </c>
      <c r="E171">
        <f>IF(ISTEXT(物品!G272)=TRUE,"'"&amp;物品!G272&amp;"'",物品!G272)</f>
        <v>0</v>
      </c>
      <c r="F171">
        <f>IF(ISTEXT(物品!H272)=TRUE,"'"&amp;物品!H272&amp;"'",物品!H272)</f>
        <v>0</v>
      </c>
      <c r="G171">
        <f>IF(物品!I272="",0,"'"&amp;物品!I272&amp;"'")</f>
        <v>0</v>
      </c>
      <c r="H171">
        <f>IF(物品!R272="",0,物品!R272)</f>
        <v>0</v>
      </c>
      <c r="I171">
        <f>IF(物品!S272="",0,物品!S272)</f>
        <v>0</v>
      </c>
      <c r="J171">
        <f>IF(物品!C272="",0,""""&amp;物品!C272&amp;"""")</f>
        <v>0</v>
      </c>
      <c r="K171" t="str">
        <f>IF(物品!T272="","""""",""""&amp;物品!T272&amp;"""")</f>
        <v>""</v>
      </c>
      <c r="L171">
        <f>IF(物品!U272="",0,""""&amp;物品!U272&amp;"""")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IF(物品!B273="",0,"'"&amp;物品!B273&amp;"'")</f>
        <v>0</v>
      </c>
      <c r="B172">
        <f>物品!D189</f>
        <v>0</v>
      </c>
      <c r="C172">
        <f>物品!E273</f>
        <v>0</v>
      </c>
      <c r="D172">
        <f>物品!F273</f>
        <v>0</v>
      </c>
      <c r="E172">
        <f>IF(ISTEXT(物品!G273)=TRUE,"'"&amp;物品!G273&amp;"'",物品!G273)</f>
        <v>0</v>
      </c>
      <c r="F172">
        <f>IF(ISTEXT(物品!H273)=TRUE,"'"&amp;物品!H273&amp;"'",物品!H273)</f>
        <v>0</v>
      </c>
      <c r="G172">
        <f>IF(物品!I273="",0,"'"&amp;物品!I273&amp;"'")</f>
        <v>0</v>
      </c>
      <c r="H172">
        <f>IF(物品!R273="",0,物品!R273)</f>
        <v>0</v>
      </c>
      <c r="I172">
        <f>IF(物品!S273="",0,物品!S273)</f>
        <v>0</v>
      </c>
      <c r="J172">
        <f>IF(物品!C273="",0,""""&amp;物品!C273&amp;"""")</f>
        <v>0</v>
      </c>
      <c r="K172" t="str">
        <f>IF(物品!T273="","""""",""""&amp;物品!T273&amp;"""")</f>
        <v>""</v>
      </c>
      <c r="L172">
        <f>IF(物品!U273="",0,""""&amp;物品!U273&amp;"""")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IF(物品!B274="",0,"'"&amp;物品!B274&amp;"'")</f>
        <v>0</v>
      </c>
      <c r="B173">
        <f>物品!D190</f>
        <v>0</v>
      </c>
      <c r="C173">
        <f>物品!E274</f>
        <v>0</v>
      </c>
      <c r="D173">
        <f>物品!F274</f>
        <v>0</v>
      </c>
      <c r="E173">
        <f>IF(ISTEXT(物品!G274)=TRUE,"'"&amp;物品!G274&amp;"'",物品!G274)</f>
        <v>0</v>
      </c>
      <c r="F173">
        <f>IF(ISTEXT(物品!H274)=TRUE,"'"&amp;物品!H274&amp;"'",物品!H274)</f>
        <v>0</v>
      </c>
      <c r="G173">
        <f>IF(物品!I274="",0,"'"&amp;物品!I274&amp;"'")</f>
        <v>0</v>
      </c>
      <c r="H173">
        <f>IF(物品!R274="",0,物品!R274)</f>
        <v>0</v>
      </c>
      <c r="I173">
        <f>IF(物品!S274="",0,物品!S274)</f>
        <v>0</v>
      </c>
      <c r="J173">
        <f>IF(物品!C274="",0,""""&amp;物品!C274&amp;"""")</f>
        <v>0</v>
      </c>
      <c r="K173" t="str">
        <f>IF(物品!T274="","""""",""""&amp;物品!T274&amp;"""")</f>
        <v>""</v>
      </c>
      <c r="L173">
        <f>IF(物品!U274="",0,""""&amp;物品!U274&amp;"""")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IF(物品!B275="",0,"'"&amp;物品!B275&amp;"'")</f>
        <v>0</v>
      </c>
      <c r="B174">
        <f>物品!D194</f>
        <v>0</v>
      </c>
      <c r="C174">
        <f>物品!E275</f>
        <v>0</v>
      </c>
      <c r="D174">
        <f>物品!F275</f>
        <v>0</v>
      </c>
      <c r="E174">
        <f>IF(ISTEXT(物品!G275)=TRUE,"'"&amp;物品!G275&amp;"'",物品!G275)</f>
        <v>0</v>
      </c>
      <c r="F174">
        <f>IF(ISTEXT(物品!H275)=TRUE,"'"&amp;物品!H275&amp;"'",物品!H275)</f>
        <v>0</v>
      </c>
      <c r="G174">
        <f>IF(物品!I275="",0,"'"&amp;物品!I275&amp;"'")</f>
        <v>0</v>
      </c>
      <c r="H174">
        <f>IF(物品!R275="",0,物品!R275)</f>
        <v>0</v>
      </c>
      <c r="I174">
        <f>IF(物品!S275="",0,物品!S275)</f>
        <v>0</v>
      </c>
      <c r="J174">
        <f>IF(物品!C275="",0,""""&amp;物品!C275&amp;"""")</f>
        <v>0</v>
      </c>
      <c r="K174" t="str">
        <f>IF(物品!T275="","""""",""""&amp;物品!T275&amp;"""")</f>
        <v>""</v>
      </c>
      <c r="L174">
        <f>IF(物品!U275="",0,""""&amp;物品!U275&amp;"""")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IF(物品!B276="",0,"'"&amp;物品!B276&amp;"'")</f>
        <v>0</v>
      </c>
      <c r="B175">
        <f>物品!D195</f>
        <v>0</v>
      </c>
      <c r="C175">
        <f>物品!E276</f>
        <v>0</v>
      </c>
      <c r="D175">
        <f>物品!F276</f>
        <v>0</v>
      </c>
      <c r="E175">
        <f>IF(ISTEXT(物品!G276)=TRUE,"'"&amp;物品!G276&amp;"'",物品!G276)</f>
        <v>0</v>
      </c>
      <c r="F175">
        <f>IF(ISTEXT(物品!H276)=TRUE,"'"&amp;物品!H276&amp;"'",物品!H276)</f>
        <v>0</v>
      </c>
      <c r="G175">
        <f>IF(物品!I276="",0,"'"&amp;物品!I276&amp;"'")</f>
        <v>0</v>
      </c>
      <c r="H175">
        <f>IF(物品!R276="",0,物品!R276)</f>
        <v>0</v>
      </c>
      <c r="I175">
        <f>IF(物品!S276="",0,物品!S276)</f>
        <v>0</v>
      </c>
      <c r="J175">
        <f>IF(物品!C276="",0,""""&amp;物品!C276&amp;"""")</f>
        <v>0</v>
      </c>
      <c r="K175" t="str">
        <f>IF(物品!T276="","""""",""""&amp;物品!T276&amp;"""")</f>
        <v>""</v>
      </c>
      <c r="L175">
        <f>IF(物品!U276="",0,""""&amp;物品!U276&amp;"""")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IF(物品!B277="",0,"'"&amp;物品!B277&amp;"'")</f>
        <v>0</v>
      </c>
      <c r="B176" t="e">
        <f>物品!#REF!</f>
        <v>#REF!</v>
      </c>
      <c r="C176">
        <f>物品!E277</f>
        <v>0</v>
      </c>
      <c r="D176">
        <f>物品!F277</f>
        <v>0</v>
      </c>
      <c r="E176">
        <f>IF(ISTEXT(物品!G277)=TRUE,"'"&amp;物品!G277&amp;"'",物品!G277)</f>
        <v>0</v>
      </c>
      <c r="F176">
        <f>IF(ISTEXT(物品!H277)=TRUE,"'"&amp;物品!H277&amp;"'",物品!H277)</f>
        <v>0</v>
      </c>
      <c r="G176">
        <f>IF(物品!I277="",0,"'"&amp;物品!I277&amp;"'")</f>
        <v>0</v>
      </c>
      <c r="H176">
        <f>IF(物品!R277="",0,物品!R277)</f>
        <v>0</v>
      </c>
      <c r="I176">
        <f>IF(物品!S277="",0,物品!S277)</f>
        <v>0</v>
      </c>
      <c r="J176">
        <f>IF(物品!C277="",0,""""&amp;物品!C277&amp;"""")</f>
        <v>0</v>
      </c>
      <c r="K176" t="str">
        <f>IF(物品!T277="","""""",""""&amp;物品!T277&amp;"""")</f>
        <v>""</v>
      </c>
      <c r="L176">
        <f>IF(物品!U277="",0,""""&amp;物品!U277&amp;"""")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IF(物品!B278="",0,"'"&amp;物品!B278&amp;"'")</f>
        <v>0</v>
      </c>
      <c r="B177" t="e">
        <f>物品!#REF!</f>
        <v>#REF!</v>
      </c>
      <c r="C177">
        <f>物品!E278</f>
        <v>0</v>
      </c>
      <c r="D177">
        <f>物品!F278</f>
        <v>0</v>
      </c>
      <c r="E177">
        <f>IF(ISTEXT(物品!G278)=TRUE,"'"&amp;物品!G278&amp;"'",物品!G278)</f>
        <v>0</v>
      </c>
      <c r="F177">
        <f>IF(ISTEXT(物品!H278)=TRUE,"'"&amp;物品!H278&amp;"'",物品!H278)</f>
        <v>0</v>
      </c>
      <c r="G177">
        <f>IF(物品!I278="",0,"'"&amp;物品!I278&amp;"'")</f>
        <v>0</v>
      </c>
      <c r="H177">
        <f>IF(物品!R278="",0,物品!R278)</f>
        <v>0</v>
      </c>
      <c r="I177">
        <f>IF(物品!S278="",0,物品!S278)</f>
        <v>0</v>
      </c>
      <c r="J177">
        <f>IF(物品!C278="",0,""""&amp;物品!C278&amp;"""")</f>
        <v>0</v>
      </c>
      <c r="K177" t="str">
        <f>IF(物品!T278="","""""",""""&amp;物品!T278&amp;"""")</f>
        <v>""</v>
      </c>
      <c r="L177">
        <f>IF(物品!U278="",0,""""&amp;物品!U278&amp;"""")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IF(物品!B279="",0,"'"&amp;物品!B279&amp;"'")</f>
        <v>0</v>
      </c>
      <c r="B178" t="e">
        <f>物品!#REF!</f>
        <v>#REF!</v>
      </c>
      <c r="C178">
        <f>物品!E279</f>
        <v>0</v>
      </c>
      <c r="D178">
        <f>物品!F279</f>
        <v>0</v>
      </c>
      <c r="E178">
        <f>IF(ISTEXT(物品!G279)=TRUE,"'"&amp;物品!G279&amp;"'",物品!G279)</f>
        <v>0</v>
      </c>
      <c r="F178">
        <f>IF(ISTEXT(物品!H279)=TRUE,"'"&amp;物品!H279&amp;"'",物品!H279)</f>
        <v>0</v>
      </c>
      <c r="G178">
        <f>IF(物品!I279="",0,"'"&amp;物品!I279&amp;"'")</f>
        <v>0</v>
      </c>
      <c r="H178">
        <f>IF(物品!R279="",0,物品!R279)</f>
        <v>0</v>
      </c>
      <c r="I178">
        <f>IF(物品!S279="",0,物品!S279)</f>
        <v>0</v>
      </c>
      <c r="J178">
        <f>IF(物品!C279="",0,""""&amp;物品!C279&amp;"""")</f>
        <v>0</v>
      </c>
      <c r="K178" t="str">
        <f>IF(物品!T279="","""""",""""&amp;物品!T279&amp;"""")</f>
        <v>""</v>
      </c>
      <c r="L178">
        <f>IF(物品!U279="",0,""""&amp;物品!U279&amp;"""")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IF(物品!B280="",0,"'"&amp;物品!B280&amp;"'")</f>
        <v>0</v>
      </c>
      <c r="B179" t="e">
        <f>物品!#REF!</f>
        <v>#REF!</v>
      </c>
      <c r="C179">
        <f>物品!E280</f>
        <v>0</v>
      </c>
      <c r="D179">
        <f>物品!F280</f>
        <v>0</v>
      </c>
      <c r="E179">
        <f>IF(ISTEXT(物品!G280)=TRUE,"'"&amp;物品!G280&amp;"'",物品!G280)</f>
        <v>0</v>
      </c>
      <c r="F179">
        <f>IF(ISTEXT(物品!H280)=TRUE,"'"&amp;物品!H280&amp;"'",物品!H280)</f>
        <v>0</v>
      </c>
      <c r="G179">
        <f>IF(物品!I280="",0,"'"&amp;物品!I280&amp;"'")</f>
        <v>0</v>
      </c>
      <c r="H179">
        <f>IF(物品!R280="",0,物品!R280)</f>
        <v>0</v>
      </c>
      <c r="I179">
        <f>IF(物品!S280="",0,物品!S280)</f>
        <v>0</v>
      </c>
      <c r="J179">
        <f>IF(物品!C280="",0,""""&amp;物品!C280&amp;"""")</f>
        <v>0</v>
      </c>
      <c r="K179" t="str">
        <f>IF(物品!T280="","""""",""""&amp;物品!T280&amp;"""")</f>
        <v>""</v>
      </c>
      <c r="L179">
        <f>IF(物品!U280="",0,""""&amp;物品!U280&amp;"""")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IF(物品!B281="",0,"'"&amp;物品!B281&amp;"'")</f>
        <v>0</v>
      </c>
      <c r="B180" t="e">
        <f>物品!#REF!</f>
        <v>#REF!</v>
      </c>
      <c r="C180">
        <f>物品!E281</f>
        <v>0</v>
      </c>
      <c r="D180">
        <f>物品!F281</f>
        <v>0</v>
      </c>
      <c r="E180">
        <f>IF(ISTEXT(物品!G281)=TRUE,"'"&amp;物品!G281&amp;"'",物品!G281)</f>
        <v>0</v>
      </c>
      <c r="F180">
        <f>IF(ISTEXT(物品!H281)=TRUE,"'"&amp;物品!H281&amp;"'",物品!H281)</f>
        <v>0</v>
      </c>
      <c r="G180">
        <f>IF(物品!I281="",0,"'"&amp;物品!I281&amp;"'")</f>
        <v>0</v>
      </c>
      <c r="H180">
        <f>IF(物品!R281="",0,物品!R281)</f>
        <v>0</v>
      </c>
      <c r="I180">
        <f>IF(物品!S281="",0,物品!S281)</f>
        <v>0</v>
      </c>
      <c r="J180">
        <f>IF(物品!C281="",0,""""&amp;物品!C281&amp;"""")</f>
        <v>0</v>
      </c>
      <c r="K180" t="str">
        <f>IF(物品!T281="","""""",""""&amp;物品!T281&amp;"""")</f>
        <v>""</v>
      </c>
      <c r="L180">
        <f>IF(物品!U281="",0,""""&amp;物品!U281&amp;"""")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IF(物品!B282="",0,"'"&amp;物品!B282&amp;"'")</f>
        <v>0</v>
      </c>
      <c r="B181" t="e">
        <f>物品!#REF!</f>
        <v>#REF!</v>
      </c>
      <c r="C181">
        <f>物品!E282</f>
        <v>0</v>
      </c>
      <c r="D181">
        <f>物品!F282</f>
        <v>0</v>
      </c>
      <c r="E181">
        <f>IF(ISTEXT(物品!G282)=TRUE,"'"&amp;物品!G282&amp;"'",物品!G282)</f>
        <v>0</v>
      </c>
      <c r="F181">
        <f>IF(ISTEXT(物品!H282)=TRUE,"'"&amp;物品!H282&amp;"'",物品!H282)</f>
        <v>0</v>
      </c>
      <c r="G181">
        <f>IF(物品!I282="",0,"'"&amp;物品!I282&amp;"'")</f>
        <v>0</v>
      </c>
      <c r="H181">
        <f>IF(物品!R282="",0,物品!R282)</f>
        <v>0</v>
      </c>
      <c r="I181">
        <f>IF(物品!S282="",0,物品!S282)</f>
        <v>0</v>
      </c>
      <c r="J181">
        <f>IF(物品!C282="",0,""""&amp;物品!C282&amp;"""")</f>
        <v>0</v>
      </c>
      <c r="K181" t="str">
        <f>IF(物品!T282="","""""",""""&amp;物品!T282&amp;"""")</f>
        <v>""</v>
      </c>
      <c r="L181">
        <f>IF(物品!U282="",0,""""&amp;物品!U282&amp;"""")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IF(物品!B283="",0,"'"&amp;物品!B283&amp;"'")</f>
        <v>0</v>
      </c>
      <c r="B182" t="e">
        <f>物品!#REF!</f>
        <v>#REF!</v>
      </c>
      <c r="C182">
        <f>物品!E283</f>
        <v>0</v>
      </c>
      <c r="D182">
        <f>物品!F283</f>
        <v>0</v>
      </c>
      <c r="E182">
        <f>IF(ISTEXT(物品!G283)=TRUE,"'"&amp;物品!G283&amp;"'",物品!G283)</f>
        <v>0</v>
      </c>
      <c r="F182">
        <f>IF(ISTEXT(物品!H283)=TRUE,"'"&amp;物品!H283&amp;"'",物品!H283)</f>
        <v>0</v>
      </c>
      <c r="G182">
        <f>IF(物品!I283="",0,"'"&amp;物品!I283&amp;"'")</f>
        <v>0</v>
      </c>
      <c r="H182">
        <f>IF(物品!R283="",0,物品!R283)</f>
        <v>0</v>
      </c>
      <c r="I182">
        <f>IF(物品!S283="",0,物品!S283)</f>
        <v>0</v>
      </c>
      <c r="J182">
        <f>IF(物品!C283="",0,""""&amp;物品!C283&amp;"""")</f>
        <v>0</v>
      </c>
      <c r="K182" t="str">
        <f>IF(物品!T283="","""""",""""&amp;物品!T283&amp;"""")</f>
        <v>""</v>
      </c>
      <c r="L182">
        <f>IF(物品!U283="",0,""""&amp;物品!U283&amp;"""")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IF(物品!B284="",0,"'"&amp;物品!B284&amp;"'")</f>
        <v>0</v>
      </c>
      <c r="B183" t="e">
        <f>物品!#REF!</f>
        <v>#REF!</v>
      </c>
      <c r="C183">
        <f>物品!E284</f>
        <v>0</v>
      </c>
      <c r="D183">
        <f>物品!F284</f>
        <v>0</v>
      </c>
      <c r="E183">
        <f>IF(ISTEXT(物品!G284)=TRUE,"'"&amp;物品!G284&amp;"'",物品!G284)</f>
        <v>0</v>
      </c>
      <c r="F183">
        <f>IF(ISTEXT(物品!H284)=TRUE,"'"&amp;物品!H284&amp;"'",物品!H284)</f>
        <v>0</v>
      </c>
      <c r="G183">
        <f>IF(物品!I284="",0,"'"&amp;物品!I284&amp;"'")</f>
        <v>0</v>
      </c>
      <c r="H183">
        <f>IF(物品!R284="",0,物品!R284)</f>
        <v>0</v>
      </c>
      <c r="I183">
        <f>IF(物品!S284="",0,物品!S284)</f>
        <v>0</v>
      </c>
      <c r="J183">
        <f>IF(物品!C284="",0,""""&amp;物品!C284&amp;"""")</f>
        <v>0</v>
      </c>
      <c r="K183" t="str">
        <f>IF(物品!T284="","""""",""""&amp;物品!T284&amp;"""")</f>
        <v>""</v>
      </c>
      <c r="L183">
        <f>IF(物品!U284="",0,""""&amp;物品!U284&amp;"""")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IF(物品!B285="",0,"'"&amp;物品!B285&amp;"'")</f>
        <v>0</v>
      </c>
      <c r="B184">
        <f>物品!D201</f>
        <v>0</v>
      </c>
      <c r="C184">
        <f>物品!E285</f>
        <v>0</v>
      </c>
      <c r="D184">
        <f>物品!F285</f>
        <v>0</v>
      </c>
      <c r="E184">
        <f>IF(ISTEXT(物品!G285)=TRUE,"'"&amp;物品!G285&amp;"'",物品!G285)</f>
        <v>0</v>
      </c>
      <c r="F184">
        <f>IF(ISTEXT(物品!H285)=TRUE,"'"&amp;物品!H285&amp;"'",物品!H285)</f>
        <v>0</v>
      </c>
      <c r="G184">
        <f>IF(物品!I285="",0,"'"&amp;物品!I285&amp;"'")</f>
        <v>0</v>
      </c>
      <c r="H184">
        <f>IF(物品!R285="",0,物品!R285)</f>
        <v>0</v>
      </c>
      <c r="I184">
        <f>IF(物品!S285="",0,物品!S285)</f>
        <v>0</v>
      </c>
      <c r="J184">
        <f>IF(物品!C285="",0,""""&amp;物品!C285&amp;"""")</f>
        <v>0</v>
      </c>
      <c r="K184" t="str">
        <f>IF(物品!T285="","""""",""""&amp;物品!T285&amp;"""")</f>
        <v>""</v>
      </c>
      <c r="L184">
        <f>IF(物品!U285="",0,""""&amp;物品!U285&amp;"""")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IF(物品!B295="",0,"'"&amp;物品!B295&amp;"'")</f>
        <v>0</v>
      </c>
      <c r="B185">
        <f>物品!D202</f>
        <v>0</v>
      </c>
      <c r="C185">
        <f>物品!E295</f>
        <v>0</v>
      </c>
      <c r="D185">
        <f>物品!F295</f>
        <v>0</v>
      </c>
      <c r="E185">
        <f>IF(ISTEXT(物品!G286)=TRUE,"'"&amp;物品!G286&amp;"'",物品!G286)</f>
        <v>0</v>
      </c>
      <c r="F185">
        <f>IF(ISTEXT(物品!H286)=TRUE,"'"&amp;物品!H286&amp;"'",物品!H286)</f>
        <v>0</v>
      </c>
      <c r="G185">
        <f>IF(物品!I295="",0,"'"&amp;物品!I295&amp;"'")</f>
        <v>0</v>
      </c>
      <c r="H185">
        <f>IF(物品!R286="",0,物品!R286)</f>
        <v>0</v>
      </c>
      <c r="I185">
        <f>IF(物品!S286="",0,物品!S286)</f>
        <v>0</v>
      </c>
      <c r="J185">
        <f>IF(物品!C295="",0,""""&amp;物品!C295&amp;"""")</f>
        <v>0</v>
      </c>
      <c r="K185" t="str">
        <f>IF(物品!T295="","""""",""""&amp;物品!T295&amp;"""")</f>
        <v>""</v>
      </c>
      <c r="L185">
        <f>IF(物品!U295="",0,""""&amp;物品!U295&amp;"""")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IF(物品!B296="",0,"'"&amp;物品!B296&amp;"'")</f>
        <v>0</v>
      </c>
      <c r="B186">
        <f>物品!D203</f>
        <v>0</v>
      </c>
      <c r="C186">
        <f>物品!E296</f>
        <v>0</v>
      </c>
      <c r="D186">
        <f>物品!F296</f>
        <v>0</v>
      </c>
      <c r="E186">
        <f>IF(ISTEXT(物品!G287)=TRUE,"'"&amp;物品!G287&amp;"'",物品!G287)</f>
        <v>0</v>
      </c>
      <c r="F186">
        <f>IF(ISTEXT(物品!H287)=TRUE,"'"&amp;物品!H287&amp;"'",物品!H287)</f>
        <v>0</v>
      </c>
      <c r="G186">
        <f>IF(物品!I296="",0,"'"&amp;物品!I296&amp;"'")</f>
        <v>0</v>
      </c>
      <c r="H186">
        <f>IF(物品!R287="",0,物品!R287)</f>
        <v>0</v>
      </c>
      <c r="I186">
        <f>IF(物品!S287="",0,物品!S287)</f>
        <v>0</v>
      </c>
      <c r="J186">
        <f>IF(物品!C296="",0,""""&amp;物品!C296&amp;"""")</f>
        <v>0</v>
      </c>
      <c r="K186" t="str">
        <f>IF(物品!T296="","""""",""""&amp;物品!T296&amp;"""")</f>
        <v>""</v>
      </c>
      <c r="L186">
        <f>IF(物品!U296="",0,""""&amp;物品!U296&amp;"""")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IF(物品!B297="",0,"'"&amp;物品!B297&amp;"'")</f>
        <v>0</v>
      </c>
      <c r="B187">
        <f>物品!D204</f>
        <v>0</v>
      </c>
      <c r="C187">
        <f>物品!E297</f>
        <v>0</v>
      </c>
      <c r="D187">
        <f>物品!F297</f>
        <v>0</v>
      </c>
      <c r="E187">
        <f>IF(ISTEXT(物品!G288)=TRUE,"'"&amp;物品!G288&amp;"'",物品!G288)</f>
        <v>0</v>
      </c>
      <c r="F187">
        <f>IF(ISTEXT(物品!H288)=TRUE,"'"&amp;物品!H288&amp;"'",物品!H288)</f>
        <v>0</v>
      </c>
      <c r="G187">
        <f>IF(物品!I297="",0,"'"&amp;物品!I297&amp;"'")</f>
        <v>0</v>
      </c>
      <c r="H187">
        <f>IF(物品!R288="",0,物品!R288)</f>
        <v>0</v>
      </c>
      <c r="I187">
        <f>IF(物品!S288="",0,物品!S288)</f>
        <v>0</v>
      </c>
      <c r="J187">
        <f>IF(物品!C297="",0,""""&amp;物品!C297&amp;"""")</f>
        <v>0</v>
      </c>
      <c r="K187" t="str">
        <f>IF(物品!T297="","""""",""""&amp;物品!T297&amp;"""")</f>
        <v>""</v>
      </c>
      <c r="L187">
        <f>IF(物品!U297="",0,""""&amp;物品!U297&amp;"""")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IF(物品!B298="",0,"'"&amp;物品!B298&amp;"'")</f>
        <v>0</v>
      </c>
      <c r="B188">
        <f>物品!D205</f>
        <v>0</v>
      </c>
      <c r="C188">
        <f>物品!E298</f>
        <v>0</v>
      </c>
      <c r="D188">
        <f>物品!F298</f>
        <v>0</v>
      </c>
      <c r="E188">
        <f>IF(ISTEXT(物品!G289)=TRUE,"'"&amp;物品!G289&amp;"'",物品!G289)</f>
        <v>0</v>
      </c>
      <c r="F188">
        <f>IF(ISTEXT(物品!H289)=TRUE,"'"&amp;物品!H289&amp;"'",物品!H289)</f>
        <v>0</v>
      </c>
      <c r="G188">
        <f>IF(物品!I298="",0,"'"&amp;物品!I298&amp;"'")</f>
        <v>0</v>
      </c>
      <c r="H188">
        <f>IF(物品!R289="",0,物品!R289)</f>
        <v>0</v>
      </c>
      <c r="I188">
        <f>IF(物品!S289="",0,物品!S289)</f>
        <v>0</v>
      </c>
      <c r="J188">
        <f>IF(物品!C298="",0,""""&amp;物品!C298&amp;"""")</f>
        <v>0</v>
      </c>
      <c r="K188" t="str">
        <f>IF(物品!T298="","""""",""""&amp;物品!T298&amp;"""")</f>
        <v>""</v>
      </c>
      <c r="L188">
        <f>IF(物品!U298="",0,""""&amp;物品!U298&amp;"""")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IF(物品!B299="",0,"'"&amp;物品!B299&amp;"'")</f>
        <v>0</v>
      </c>
      <c r="B189">
        <f>物品!D206</f>
        <v>0</v>
      </c>
      <c r="C189">
        <f>物品!E299</f>
        <v>0</v>
      </c>
      <c r="D189">
        <f>物品!F299</f>
        <v>0</v>
      </c>
      <c r="E189">
        <f>IF(ISTEXT(物品!G290)=TRUE,"'"&amp;物品!G290&amp;"'",物品!G290)</f>
        <v>0</v>
      </c>
      <c r="F189">
        <f>IF(ISTEXT(物品!H290)=TRUE,"'"&amp;物品!H290&amp;"'",物品!H290)</f>
        <v>0</v>
      </c>
      <c r="G189">
        <f>IF(物品!I299="",0,"'"&amp;物品!I299&amp;"'")</f>
        <v>0</v>
      </c>
      <c r="H189">
        <f>IF(物品!R290="",0,物品!R290)</f>
        <v>0</v>
      </c>
      <c r="I189">
        <f>IF(物品!S290="",0,物品!S290)</f>
        <v>0</v>
      </c>
      <c r="J189">
        <f>IF(物品!C299="",0,""""&amp;物品!C299&amp;"""")</f>
        <v>0</v>
      </c>
      <c r="K189" t="str">
        <f>IF(物品!T299="","""""",""""&amp;物品!T299&amp;"""")</f>
        <v>""</v>
      </c>
      <c r="L189">
        <f>IF(物品!U299="",0,""""&amp;物品!U299&amp;"""")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IF(物品!B300="",0,"'"&amp;物品!B300&amp;"'")</f>
        <v>0</v>
      </c>
      <c r="B190">
        <f>物品!D207</f>
        <v>0</v>
      </c>
      <c r="C190">
        <f>物品!E300</f>
        <v>0</v>
      </c>
      <c r="D190">
        <f>物品!F300</f>
        <v>0</v>
      </c>
      <c r="E190">
        <f>IF(ISTEXT(物品!G291)=TRUE,"'"&amp;物品!G291&amp;"'",物品!G291)</f>
        <v>0</v>
      </c>
      <c r="F190">
        <f>IF(ISTEXT(物品!H291)=TRUE,"'"&amp;物品!H291&amp;"'",物品!H291)</f>
        <v>0</v>
      </c>
      <c r="G190">
        <f>IF(物品!I300="",0,"'"&amp;物品!I300&amp;"'")</f>
        <v>0</v>
      </c>
      <c r="H190">
        <f>IF(物品!R291="",0,物品!R291)</f>
        <v>0</v>
      </c>
      <c r="I190">
        <f>IF(物品!S291="",0,物品!S291)</f>
        <v>0</v>
      </c>
      <c r="J190">
        <f>IF(物品!C300="",0,""""&amp;物品!C300&amp;"""")</f>
        <v>0</v>
      </c>
      <c r="K190" t="str">
        <f>IF(物品!T300="","""""",""""&amp;物品!T300&amp;"""")</f>
        <v>""</v>
      </c>
      <c r="L190">
        <f>IF(物品!U300="",0,""""&amp;物品!U300&amp;"""")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IF(物品!B301="",0,"'"&amp;物品!B301&amp;"'")</f>
        <v>0</v>
      </c>
      <c r="B191">
        <f>物品!D208</f>
        <v>0</v>
      </c>
      <c r="C191">
        <f>物品!E301</f>
        <v>0</v>
      </c>
      <c r="D191">
        <f>物品!F301</f>
        <v>0</v>
      </c>
      <c r="E191">
        <f>IF(ISTEXT(物品!G292)=TRUE,"'"&amp;物品!G292&amp;"'",物品!G292)</f>
        <v>0</v>
      </c>
      <c r="F191">
        <f>IF(ISTEXT(物品!H292)=TRUE,"'"&amp;物品!H292&amp;"'",物品!H292)</f>
        <v>0</v>
      </c>
      <c r="G191">
        <f>IF(物品!I301="",0,"'"&amp;物品!I301&amp;"'")</f>
        <v>0</v>
      </c>
      <c r="H191">
        <f>IF(物品!R292="",0,物品!R292)</f>
        <v>0</v>
      </c>
      <c r="I191">
        <f>IF(物品!S292="",0,物品!S292)</f>
        <v>0</v>
      </c>
      <c r="J191">
        <f>IF(物品!C301="",0,""""&amp;物品!C301&amp;"""")</f>
        <v>0</v>
      </c>
      <c r="K191" t="str">
        <f>IF(物品!T301="","""""",""""&amp;物品!T301&amp;"""")</f>
        <v>""</v>
      </c>
      <c r="L191">
        <f>IF(物品!U301="",0,""""&amp;物品!U301&amp;"""")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IF(物品!B302="",0,"'"&amp;物品!B302&amp;"'")</f>
        <v>0</v>
      </c>
      <c r="B192">
        <f>物品!D223</f>
        <v>0</v>
      </c>
      <c r="C192">
        <f>物品!E302</f>
        <v>0</v>
      </c>
      <c r="D192">
        <f>物品!F302</f>
        <v>0</v>
      </c>
      <c r="E192">
        <f>IF(ISTEXT(物品!G293)=TRUE,"'"&amp;物品!G293&amp;"'",物品!G293)</f>
        <v>0</v>
      </c>
      <c r="F192">
        <f>IF(ISTEXT(物品!H293)=TRUE,"'"&amp;物品!H293&amp;"'",物品!H293)</f>
        <v>0</v>
      </c>
      <c r="G192">
        <f>IF(物品!I302="",0,"'"&amp;物品!I302&amp;"'")</f>
        <v>0</v>
      </c>
      <c r="H192">
        <f>IF(物品!R293="",0,物品!R293)</f>
        <v>0</v>
      </c>
      <c r="I192">
        <f>IF(物品!S293="",0,物品!S293)</f>
        <v>0</v>
      </c>
      <c r="J192">
        <f>IF(物品!C302="",0,""""&amp;物品!C302&amp;"""")</f>
        <v>0</v>
      </c>
      <c r="K192" t="str">
        <f>IF(物品!T302="","""""",""""&amp;物品!T302&amp;"""")</f>
        <v>""</v>
      </c>
      <c r="L192">
        <f>IF(物品!U302="",0,""""&amp;物品!U302&amp;"""")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IF(物品!B303="",0,"'"&amp;物品!B303&amp;"'")</f>
        <v>0</v>
      </c>
      <c r="B193">
        <f>物品!D224</f>
        <v>0</v>
      </c>
      <c r="C193">
        <f>物品!E303</f>
        <v>0</v>
      </c>
      <c r="D193">
        <f>物品!F303</f>
        <v>0</v>
      </c>
      <c r="E193">
        <f>IF(ISTEXT(物品!G294)=TRUE,"'"&amp;物品!G294&amp;"'",物品!G294)</f>
        <v>0</v>
      </c>
      <c r="F193">
        <f>IF(ISTEXT(物品!H294)=TRUE,"'"&amp;物品!H294&amp;"'",物品!H294)</f>
        <v>0</v>
      </c>
      <c r="G193">
        <f>IF(物品!I303="",0,"'"&amp;物品!I303&amp;"'")</f>
        <v>0</v>
      </c>
      <c r="H193">
        <f>IF(物品!R294="",0,物品!R294)</f>
        <v>0</v>
      </c>
      <c r="I193">
        <f>IF(物品!S294="",0,物品!S294)</f>
        <v>0</v>
      </c>
      <c r="J193">
        <f>IF(物品!C303="",0,""""&amp;物品!C303&amp;"""")</f>
        <v>0</v>
      </c>
      <c r="K193" t="str">
        <f>IF(物品!T303="","""""",""""&amp;物品!T303&amp;"""")</f>
        <v>""</v>
      </c>
      <c r="L193">
        <f>IF(物品!U303="",0,""""&amp;物品!U303&amp;"""")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IF(物品!B304="",0,"'"&amp;物品!B304&amp;"'")</f>
        <v>0</v>
      </c>
      <c r="B194">
        <f>物品!D225</f>
        <v>0</v>
      </c>
      <c r="C194">
        <f>物品!E304</f>
        <v>0</v>
      </c>
      <c r="D194">
        <f>物品!F304</f>
        <v>0</v>
      </c>
      <c r="E194">
        <f>IF(ISTEXT(物品!G295)=TRUE,"'"&amp;物品!G295&amp;"'",物品!G295)</f>
        <v>0</v>
      </c>
      <c r="F194">
        <f>IF(ISTEXT(物品!H295)=TRUE,"'"&amp;物品!H295&amp;"'",物品!H295)</f>
        <v>0</v>
      </c>
      <c r="G194">
        <f>IF(物品!I304="",0,"'"&amp;物品!I304&amp;"'")</f>
        <v>0</v>
      </c>
      <c r="H194">
        <f>IF(物品!R295="",0,物品!R295)</f>
        <v>0</v>
      </c>
      <c r="I194">
        <f>IF(物品!S295="",0,物品!S295)</f>
        <v>0</v>
      </c>
      <c r="J194">
        <f>IF(物品!C304="",0,""""&amp;物品!C304&amp;"""")</f>
        <v>0</v>
      </c>
      <c r="K194" t="str">
        <f>IF(物品!T304="","""""",""""&amp;物品!T304&amp;"""")</f>
        <v>""</v>
      </c>
      <c r="L194">
        <f>IF(物品!U304="",0,""""&amp;物品!U304&amp;"""")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IF(物品!B305="",0,"'"&amp;物品!B305&amp;"'")</f>
        <v>0</v>
      </c>
      <c r="B195">
        <f>物品!D226</f>
        <v>0</v>
      </c>
      <c r="C195">
        <f>物品!E305</f>
        <v>0</v>
      </c>
      <c r="D195">
        <f>物品!F305</f>
        <v>0</v>
      </c>
      <c r="E195">
        <f>IF(ISTEXT(物品!G296)=TRUE,"'"&amp;物品!G296&amp;"'",物品!G296)</f>
        <v>0</v>
      </c>
      <c r="F195">
        <f>IF(ISTEXT(物品!H296)=TRUE,"'"&amp;物品!H296&amp;"'",物品!H296)</f>
        <v>0</v>
      </c>
      <c r="G195">
        <f>IF(物品!I305="",0,"'"&amp;物品!I305&amp;"'")</f>
        <v>0</v>
      </c>
      <c r="H195">
        <f>IF(物品!R296="",0,物品!R296)</f>
        <v>0</v>
      </c>
      <c r="I195">
        <f>IF(物品!S296="",0,物品!S296)</f>
        <v>0</v>
      </c>
      <c r="J195">
        <f>IF(物品!C305="",0,""""&amp;物品!C305&amp;"""")</f>
        <v>0</v>
      </c>
      <c r="K195" t="str">
        <f>IF(物品!T305="","""""",""""&amp;物品!T305&amp;"""")</f>
        <v>""</v>
      </c>
      <c r="L195">
        <f>IF(物品!U305="",0,""""&amp;物品!U305&amp;"""")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IF(物品!B306="",0,"'"&amp;物品!B306&amp;"'")</f>
        <v>0</v>
      </c>
      <c r="B196">
        <f>物品!D227</f>
        <v>0</v>
      </c>
      <c r="C196">
        <f>物品!E306</f>
        <v>0</v>
      </c>
      <c r="D196">
        <f>物品!F306</f>
        <v>0</v>
      </c>
      <c r="E196">
        <f>IF(ISTEXT(物品!G297)=TRUE,"'"&amp;物品!G297&amp;"'",物品!G297)</f>
        <v>0</v>
      </c>
      <c r="F196">
        <f>IF(ISTEXT(物品!H297)=TRUE,"'"&amp;物品!H297&amp;"'",物品!H297)</f>
        <v>0</v>
      </c>
      <c r="G196">
        <f>IF(物品!I306="",0,"'"&amp;物品!I306&amp;"'")</f>
        <v>0</v>
      </c>
      <c r="H196">
        <f>IF(物品!R297="",0,物品!R297)</f>
        <v>0</v>
      </c>
      <c r="I196">
        <f>IF(物品!S297="",0,物品!S297)</f>
        <v>0</v>
      </c>
      <c r="J196">
        <f>IF(物品!C306="",0,""""&amp;物品!C306&amp;"""")</f>
        <v>0</v>
      </c>
      <c r="K196" t="str">
        <f>IF(物品!T306="","""""",""""&amp;物品!T306&amp;"""")</f>
        <v>""</v>
      </c>
      <c r="L196">
        <f>IF(物品!U306="",0,""""&amp;物品!U306&amp;"""")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IF(物品!B307="",0,"'"&amp;物品!B307&amp;"'")</f>
        <v>0</v>
      </c>
      <c r="B197">
        <f>物品!D228</f>
        <v>0</v>
      </c>
      <c r="C197">
        <f>物品!E307</f>
        <v>0</v>
      </c>
      <c r="D197">
        <f>物品!F307</f>
        <v>0</v>
      </c>
      <c r="E197">
        <f>IF(ISTEXT(物品!G298)=TRUE,"'"&amp;物品!G298&amp;"'",物品!G298)</f>
        <v>0</v>
      </c>
      <c r="F197">
        <f>IF(ISTEXT(物品!H298)=TRUE,"'"&amp;物品!H298&amp;"'",物品!H298)</f>
        <v>0</v>
      </c>
      <c r="G197">
        <f>IF(物品!I307="",0,"'"&amp;物品!I307&amp;"'")</f>
        <v>0</v>
      </c>
      <c r="H197">
        <f>IF(物品!R298="",0,物品!R298)</f>
        <v>0</v>
      </c>
      <c r="I197">
        <f>IF(物品!S298="",0,物品!S298)</f>
        <v>0</v>
      </c>
      <c r="J197">
        <f>IF(物品!C307="",0,""""&amp;物品!C307&amp;"""")</f>
        <v>0</v>
      </c>
      <c r="K197" t="str">
        <f>IF(物品!T307="","""""",""""&amp;物品!T307&amp;"""")</f>
        <v>""</v>
      </c>
      <c r="L197">
        <f>IF(物品!U307="",0,""""&amp;物品!U307&amp;"""")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IF(物品!B308="",0,"'"&amp;物品!B308&amp;"'")</f>
        <v>0</v>
      </c>
      <c r="B198">
        <f>物品!D229</f>
        <v>0</v>
      </c>
      <c r="C198">
        <f>物品!E308</f>
        <v>0</v>
      </c>
      <c r="D198">
        <f>物品!F308</f>
        <v>0</v>
      </c>
      <c r="E198">
        <f>IF(ISTEXT(物品!G299)=TRUE,"'"&amp;物品!G299&amp;"'",物品!G299)</f>
        <v>0</v>
      </c>
      <c r="F198">
        <f>IF(ISTEXT(物品!H299)=TRUE,"'"&amp;物品!H299&amp;"'",物品!H299)</f>
        <v>0</v>
      </c>
      <c r="G198">
        <f>IF(物品!I308="",0,"'"&amp;物品!I308&amp;"'")</f>
        <v>0</v>
      </c>
      <c r="H198">
        <f>IF(物品!R299="",0,物品!R299)</f>
        <v>0</v>
      </c>
      <c r="I198">
        <f>IF(物品!S299="",0,物品!S299)</f>
        <v>0</v>
      </c>
      <c r="J198">
        <f>IF(物品!C308="",0,""""&amp;物品!C308&amp;"""")</f>
        <v>0</v>
      </c>
      <c r="K198" t="str">
        <f>IF(物品!T308="","""""",""""&amp;物品!T308&amp;"""")</f>
        <v>""</v>
      </c>
      <c r="L198">
        <f>IF(物品!U308="",0,""""&amp;物品!U308&amp;"""")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IF(物品!B309="",0,"'"&amp;物品!B309&amp;"'")</f>
        <v>0</v>
      </c>
      <c r="B199">
        <f>物品!D230</f>
        <v>0</v>
      </c>
      <c r="C199">
        <f>物品!E309</f>
        <v>0</v>
      </c>
      <c r="D199">
        <f>物品!F309</f>
        <v>0</v>
      </c>
      <c r="E199">
        <f>IF(ISTEXT(物品!G300)=TRUE,"'"&amp;物品!G300&amp;"'",物品!G300)</f>
        <v>0</v>
      </c>
      <c r="F199">
        <f>IF(ISTEXT(物品!H300)=TRUE,"'"&amp;物品!H300&amp;"'",物品!H300)</f>
        <v>0</v>
      </c>
      <c r="G199">
        <f>IF(物品!I309="",0,"'"&amp;物品!I309&amp;"'")</f>
        <v>0</v>
      </c>
      <c r="H199">
        <f>IF(物品!R300="",0,物品!R300)</f>
        <v>0</v>
      </c>
      <c r="I199">
        <f>IF(物品!S300="",0,物品!S300)</f>
        <v>0</v>
      </c>
      <c r="J199">
        <f>IF(物品!C309="",0,""""&amp;物品!C309&amp;"""")</f>
        <v>0</v>
      </c>
      <c r="K199" t="str">
        <f>IF(物品!T309="","""""",""""&amp;物品!T309&amp;"""")</f>
        <v>""</v>
      </c>
      <c r="L199">
        <f>IF(物品!U309="",0,""""&amp;物品!U309&amp;"""")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IF(物品!B310="",0,"'"&amp;物品!B310&amp;"'")</f>
        <v>0</v>
      </c>
      <c r="B200">
        <f>物品!D231</f>
        <v>0</v>
      </c>
      <c r="C200">
        <f>物品!E310</f>
        <v>0</v>
      </c>
      <c r="D200">
        <f>物品!F310</f>
        <v>0</v>
      </c>
      <c r="E200">
        <f>IF(ISTEXT(物品!G301)=TRUE,"'"&amp;物品!G301&amp;"'",物品!G301)</f>
        <v>0</v>
      </c>
      <c r="F200">
        <f>IF(ISTEXT(物品!H301)=TRUE,"'"&amp;物品!H301&amp;"'",物品!H301)</f>
        <v>0</v>
      </c>
      <c r="G200">
        <f>IF(物品!I310="",0,"'"&amp;物品!I310&amp;"'")</f>
        <v>0</v>
      </c>
      <c r="H200">
        <f>IF(物品!R301="",0,物品!R301)</f>
        <v>0</v>
      </c>
      <c r="I200">
        <f>IF(物品!S301="",0,物品!S301)</f>
        <v>0</v>
      </c>
      <c r="J200">
        <f>IF(物品!C310="",0,""""&amp;物品!C310&amp;"""")</f>
        <v>0</v>
      </c>
      <c r="K200" t="str">
        <f>IF(物品!T310="","""""",""""&amp;物品!T310&amp;"""")</f>
        <v>""</v>
      </c>
      <c r="L200">
        <f>IF(物品!U310="",0,""""&amp;物品!U310&amp;"""")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IF(物品!B311="",0,"'"&amp;物品!B311&amp;"'")</f>
        <v>0</v>
      </c>
      <c r="B201">
        <f>物品!D232</f>
        <v>0</v>
      </c>
      <c r="C201">
        <f>物品!E311</f>
        <v>0</v>
      </c>
      <c r="D201">
        <f>物品!F311</f>
        <v>0</v>
      </c>
      <c r="E201">
        <f>IF(ISTEXT(物品!G302)=TRUE,"'"&amp;物品!G302&amp;"'",物品!G302)</f>
        <v>0</v>
      </c>
      <c r="F201">
        <f>IF(ISTEXT(物品!H302)=TRUE,"'"&amp;物品!H302&amp;"'",物品!H302)</f>
        <v>0</v>
      </c>
      <c r="G201">
        <f>IF(物品!I311="",0,"'"&amp;物品!I311&amp;"'")</f>
        <v>0</v>
      </c>
      <c r="H201">
        <f>IF(物品!R302="",0,物品!R302)</f>
        <v>0</v>
      </c>
      <c r="I201">
        <f>IF(物品!S302="",0,物品!S302)</f>
        <v>0</v>
      </c>
      <c r="J201">
        <f>IF(物品!C311="",0,""""&amp;物品!C311&amp;"""")</f>
        <v>0</v>
      </c>
      <c r="K201" t="str">
        <f>IF(物品!T311="","""""",""""&amp;物品!T311&amp;"""")</f>
        <v>""</v>
      </c>
      <c r="L201">
        <f>IF(物品!U311="",0,""""&amp;物品!U311&amp;"""")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IF(物品!B312="",0,"'"&amp;物品!B312&amp;"'")</f>
        <v>0</v>
      </c>
      <c r="B202">
        <f>物品!D233</f>
        <v>0</v>
      </c>
      <c r="C202">
        <f>物品!E312</f>
        <v>0</v>
      </c>
      <c r="D202">
        <f>物品!F312</f>
        <v>0</v>
      </c>
      <c r="E202">
        <f>IF(ISTEXT(物品!G303)=TRUE,"'"&amp;物品!G303&amp;"'",物品!G303)</f>
        <v>0</v>
      </c>
      <c r="F202">
        <f>IF(ISTEXT(物品!H303)=TRUE,"'"&amp;物品!H303&amp;"'",物品!H303)</f>
        <v>0</v>
      </c>
      <c r="G202">
        <f>IF(物品!I312="",0,"'"&amp;物品!I312&amp;"'")</f>
        <v>0</v>
      </c>
      <c r="H202">
        <f>IF(物品!R303="",0,物品!R303)</f>
        <v>0</v>
      </c>
      <c r="I202">
        <f>IF(物品!S303="",0,物品!S303)</f>
        <v>0</v>
      </c>
      <c r="J202">
        <f>IF(物品!C312="",0,""""&amp;物品!C312&amp;"""")</f>
        <v>0</v>
      </c>
      <c r="K202" t="str">
        <f>IF(物品!T312="","""""",""""&amp;物品!T312&amp;"""")</f>
        <v>""</v>
      </c>
      <c r="L202">
        <f>IF(物品!U312="",0,""""&amp;物品!U312&amp;"""")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IF(物品!B313="",0,"'"&amp;物品!B313&amp;"'")</f>
        <v>0</v>
      </c>
      <c r="B203">
        <f>物品!D234</f>
        <v>0</v>
      </c>
      <c r="C203">
        <f>物品!E313</f>
        <v>0</v>
      </c>
      <c r="D203">
        <f>物品!F313</f>
        <v>0</v>
      </c>
      <c r="E203">
        <f>IF(ISTEXT(物品!G304)=TRUE,"'"&amp;物品!G304&amp;"'",物品!G304)</f>
        <v>0</v>
      </c>
      <c r="F203">
        <f>IF(ISTEXT(物品!H304)=TRUE,"'"&amp;物品!H304&amp;"'",物品!H304)</f>
        <v>0</v>
      </c>
      <c r="G203">
        <f>IF(物品!I313="",0,"'"&amp;物品!I313&amp;"'")</f>
        <v>0</v>
      </c>
      <c r="H203">
        <f>IF(物品!R304="",0,物品!R304)</f>
        <v>0</v>
      </c>
      <c r="I203">
        <f>IF(物品!S304="",0,物品!S304)</f>
        <v>0</v>
      </c>
      <c r="J203">
        <f>IF(物品!C313="",0,""""&amp;物品!C313&amp;"""")</f>
        <v>0</v>
      </c>
      <c r="K203" t="str">
        <f>IF(物品!T313="","""""",""""&amp;物品!T313&amp;"""")</f>
        <v>""</v>
      </c>
      <c r="L203">
        <f>IF(物品!U313="",0,""""&amp;物品!U313&amp;"""")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IF(物品!B314="",0,"'"&amp;物品!B314&amp;"'")</f>
        <v>0</v>
      </c>
      <c r="B204">
        <f>物品!D235</f>
        <v>0</v>
      </c>
      <c r="C204">
        <f>物品!E314</f>
        <v>0</v>
      </c>
      <c r="D204">
        <f>物品!F314</f>
        <v>0</v>
      </c>
      <c r="E204">
        <f>IF(ISTEXT(物品!G305)=TRUE,"'"&amp;物品!G305&amp;"'",物品!G305)</f>
        <v>0</v>
      </c>
      <c r="F204">
        <f>IF(ISTEXT(物品!H305)=TRUE,"'"&amp;物品!H305&amp;"'",物品!H305)</f>
        <v>0</v>
      </c>
      <c r="G204">
        <f>IF(物品!I314="",0,"'"&amp;物品!I314&amp;"'")</f>
        <v>0</v>
      </c>
      <c r="H204">
        <f>IF(物品!R305="",0,物品!R305)</f>
        <v>0</v>
      </c>
      <c r="I204">
        <f>IF(物品!S305="",0,物品!S305)</f>
        <v>0</v>
      </c>
      <c r="J204">
        <f>IF(物品!C314="",0,""""&amp;物品!C314&amp;"""")</f>
        <v>0</v>
      </c>
      <c r="K204" t="str">
        <f>IF(物品!T314="","""""",""""&amp;物品!T314&amp;"""")</f>
        <v>""</v>
      </c>
      <c r="L204">
        <f>IF(物品!U314="",0,""""&amp;物品!U314&amp;"""")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IF(物品!B315="",0,"'"&amp;物品!B315&amp;"'")</f>
        <v>0</v>
      </c>
      <c r="B205">
        <f>物品!D236</f>
        <v>0</v>
      </c>
      <c r="C205">
        <f>物品!E315</f>
        <v>0</v>
      </c>
      <c r="D205">
        <f>物品!F315</f>
        <v>0</v>
      </c>
      <c r="E205">
        <f>IF(ISTEXT(物品!G306)=TRUE,"'"&amp;物品!G306&amp;"'",物品!G306)</f>
        <v>0</v>
      </c>
      <c r="F205">
        <f>IF(ISTEXT(物品!H306)=TRUE,"'"&amp;物品!H306&amp;"'",物品!H306)</f>
        <v>0</v>
      </c>
      <c r="G205">
        <f>IF(物品!I315="",0,"'"&amp;物品!I315&amp;"'")</f>
        <v>0</v>
      </c>
      <c r="H205">
        <f>IF(物品!R306="",0,物品!R306)</f>
        <v>0</v>
      </c>
      <c r="I205">
        <f>IF(物品!S306="",0,物品!S306)</f>
        <v>0</v>
      </c>
      <c r="J205">
        <f>IF(物品!C315="",0,""""&amp;物品!C315&amp;"""")</f>
        <v>0</v>
      </c>
      <c r="K205" t="str">
        <f>IF(物品!T315="","""""",""""&amp;物品!T315&amp;"""")</f>
        <v>""</v>
      </c>
      <c r="L205">
        <f>IF(物品!U315="",0,""""&amp;物品!U315&amp;"""")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IF(物品!B316="",0,"'"&amp;物品!B316&amp;"'")</f>
        <v>0</v>
      </c>
      <c r="B206">
        <f>物品!D237</f>
        <v>0</v>
      </c>
      <c r="C206">
        <f>物品!E316</f>
        <v>0</v>
      </c>
      <c r="D206">
        <f>物品!F316</f>
        <v>0</v>
      </c>
      <c r="E206">
        <f>IF(ISTEXT(物品!G307)=TRUE,"'"&amp;物品!G307&amp;"'",物品!G307)</f>
        <v>0</v>
      </c>
      <c r="F206">
        <f>IF(ISTEXT(物品!H307)=TRUE,"'"&amp;物品!H307&amp;"'",物品!H307)</f>
        <v>0</v>
      </c>
      <c r="G206">
        <f>IF(物品!I316="",0,"'"&amp;物品!I316&amp;"'")</f>
        <v>0</v>
      </c>
      <c r="H206">
        <f>IF(物品!R307="",0,物品!R307)</f>
        <v>0</v>
      </c>
      <c r="I206">
        <f>IF(物品!S307="",0,物品!S307)</f>
        <v>0</v>
      </c>
      <c r="J206">
        <f>IF(物品!C316="",0,""""&amp;物品!C316&amp;"""")</f>
        <v>0</v>
      </c>
      <c r="K206" t="str">
        <f>IF(物品!T316="","""""",""""&amp;物品!T316&amp;"""")</f>
        <v>""</v>
      </c>
      <c r="L206">
        <f>IF(物品!U316="",0,""""&amp;物品!U316&amp;"""")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IF(物品!B317="",0,"'"&amp;物品!B317&amp;"'")</f>
        <v>0</v>
      </c>
      <c r="B207">
        <f>物品!D238</f>
        <v>0</v>
      </c>
      <c r="C207">
        <f>物品!E317</f>
        <v>0</v>
      </c>
      <c r="D207">
        <f>物品!F317</f>
        <v>0</v>
      </c>
      <c r="E207">
        <f>IF(ISTEXT(物品!G308)=TRUE,"'"&amp;物品!G308&amp;"'",物品!G308)</f>
        <v>0</v>
      </c>
      <c r="F207">
        <f>IF(ISTEXT(物品!H308)=TRUE,"'"&amp;物品!H308&amp;"'",物品!H308)</f>
        <v>0</v>
      </c>
      <c r="G207">
        <f>IF(物品!I317="",0,"'"&amp;物品!I317&amp;"'")</f>
        <v>0</v>
      </c>
      <c r="H207">
        <f>IF(物品!R308="",0,物品!R308)</f>
        <v>0</v>
      </c>
      <c r="I207">
        <f>IF(物品!S308="",0,物品!S308)</f>
        <v>0</v>
      </c>
      <c r="J207">
        <f>IF(物品!C317="",0,""""&amp;物品!C317&amp;"""")</f>
        <v>0</v>
      </c>
      <c r="K207" t="str">
        <f>IF(物品!T317="","""""",""""&amp;物品!T317&amp;"""")</f>
        <v>""</v>
      </c>
      <c r="L207">
        <f>IF(物品!U317="",0,""""&amp;物品!U317&amp;"""")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IF(物品!B318="",0,"'"&amp;物品!B318&amp;"'")</f>
        <v>0</v>
      </c>
      <c r="B208">
        <f>物品!D239</f>
        <v>0</v>
      </c>
      <c r="C208">
        <f>物品!E318</f>
        <v>0</v>
      </c>
      <c r="D208">
        <f>物品!F318</f>
        <v>0</v>
      </c>
      <c r="E208">
        <f>IF(ISTEXT(物品!G309)=TRUE,"'"&amp;物品!G309&amp;"'",物品!G309)</f>
        <v>0</v>
      </c>
      <c r="F208">
        <f>IF(ISTEXT(物品!H309)=TRUE,"'"&amp;物品!H309&amp;"'",物品!H309)</f>
        <v>0</v>
      </c>
      <c r="G208">
        <f>IF(物品!I318="",0,"'"&amp;物品!I318&amp;"'")</f>
        <v>0</v>
      </c>
      <c r="H208">
        <f>IF(物品!R309="",0,物品!R309)</f>
        <v>0</v>
      </c>
      <c r="I208">
        <f>IF(物品!S309="",0,物品!S309)</f>
        <v>0</v>
      </c>
      <c r="J208">
        <f>IF(物品!C318="",0,""""&amp;物品!C318&amp;"""")</f>
        <v>0</v>
      </c>
      <c r="K208" t="str">
        <f>IF(物品!T318="","""""",""""&amp;物品!T318&amp;"""")</f>
        <v>""</v>
      </c>
      <c r="L208">
        <f>IF(物品!U318="",0,""""&amp;物品!U318&amp;"""")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IF(物品!B319="",0,"'"&amp;物品!B319&amp;"'")</f>
        <v>0</v>
      </c>
      <c r="B209">
        <f>物品!D240</f>
        <v>0</v>
      </c>
      <c r="C209">
        <f>物品!E319</f>
        <v>0</v>
      </c>
      <c r="D209">
        <f>物品!F319</f>
        <v>0</v>
      </c>
      <c r="E209">
        <f>IF(ISTEXT(物品!G310)=TRUE,"'"&amp;物品!G310&amp;"'",物品!G310)</f>
        <v>0</v>
      </c>
      <c r="F209">
        <f>IF(ISTEXT(物品!H310)=TRUE,"'"&amp;物品!H310&amp;"'",物品!H310)</f>
        <v>0</v>
      </c>
      <c r="G209">
        <f>IF(物品!I319="",0,"'"&amp;物品!I319&amp;"'")</f>
        <v>0</v>
      </c>
      <c r="H209">
        <f>IF(物品!R310="",0,物品!R310)</f>
        <v>0</v>
      </c>
      <c r="I209">
        <f>IF(物品!S310="",0,物品!S310)</f>
        <v>0</v>
      </c>
      <c r="J209">
        <f>IF(物品!C319="",0,""""&amp;物品!C319&amp;"""")</f>
        <v>0</v>
      </c>
      <c r="K209" t="str">
        <f>IF(物品!T319="","""""",""""&amp;物品!T319&amp;"""")</f>
        <v>""</v>
      </c>
      <c r="L209">
        <f>IF(物品!U319="",0,""""&amp;物品!U319&amp;"""")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IF(物品!B320="",0,"'"&amp;物品!B320&amp;"'")</f>
        <v>0</v>
      </c>
      <c r="B210">
        <f>物品!D241</f>
        <v>0</v>
      </c>
      <c r="C210">
        <f>物品!E320</f>
        <v>0</v>
      </c>
      <c r="D210">
        <f>物品!F320</f>
        <v>0</v>
      </c>
      <c r="E210">
        <f>IF(ISTEXT(物品!G311)=TRUE,"'"&amp;物品!G311&amp;"'",物品!G311)</f>
        <v>0</v>
      </c>
      <c r="F210">
        <f>IF(ISTEXT(物品!H311)=TRUE,"'"&amp;物品!H311&amp;"'",物品!H311)</f>
        <v>0</v>
      </c>
      <c r="G210">
        <f>IF(物品!I320="",0,"'"&amp;物品!I320&amp;"'")</f>
        <v>0</v>
      </c>
      <c r="H210">
        <f>IF(物品!R311="",0,物品!R311)</f>
        <v>0</v>
      </c>
      <c r="I210">
        <f>IF(物品!S311="",0,物品!S311)</f>
        <v>0</v>
      </c>
      <c r="J210">
        <f>IF(物品!C320="",0,""""&amp;物品!C320&amp;"""")</f>
        <v>0</v>
      </c>
      <c r="K210" t="str">
        <f>IF(物品!T320="","""""",""""&amp;物品!T320&amp;"""")</f>
        <v>""</v>
      </c>
      <c r="L210">
        <f>IF(物品!U320="",0,""""&amp;物品!U320&amp;"""")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IF(物品!B321="",0,"'"&amp;物品!B321&amp;"'")</f>
        <v>0</v>
      </c>
      <c r="B211">
        <f>物品!D242</f>
        <v>0</v>
      </c>
      <c r="C211">
        <f>物品!E321</f>
        <v>0</v>
      </c>
      <c r="D211">
        <f>物品!F321</f>
        <v>0</v>
      </c>
      <c r="E211">
        <f>IF(ISTEXT(物品!G312)=TRUE,"'"&amp;物品!G312&amp;"'",物品!G312)</f>
        <v>0</v>
      </c>
      <c r="F211">
        <f>IF(ISTEXT(物品!H312)=TRUE,"'"&amp;物品!H312&amp;"'",物品!H312)</f>
        <v>0</v>
      </c>
      <c r="G211">
        <f>IF(物品!I321="",0,"'"&amp;物品!I321&amp;"'")</f>
        <v>0</v>
      </c>
      <c r="H211">
        <f>IF(物品!R312="",0,物品!R312)</f>
        <v>0</v>
      </c>
      <c r="I211">
        <f>IF(物品!S312="",0,物品!S312)</f>
        <v>0</v>
      </c>
      <c r="J211">
        <f>IF(物品!C321="",0,""""&amp;物品!C321&amp;"""")</f>
        <v>0</v>
      </c>
      <c r="K211" t="str">
        <f>IF(物品!T321="","""""",""""&amp;物品!T321&amp;"""")</f>
        <v>""</v>
      </c>
      <c r="L211">
        <f>IF(物品!U321="",0,""""&amp;物品!U321&amp;"""")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IF(物品!B322="",0,"'"&amp;物品!B322&amp;"'")</f>
        <v>0</v>
      </c>
      <c r="B212">
        <f>物品!D243</f>
        <v>0</v>
      </c>
      <c r="C212">
        <f>物品!E322</f>
        <v>0</v>
      </c>
      <c r="D212">
        <f>物品!F322</f>
        <v>0</v>
      </c>
      <c r="E212">
        <f>IF(ISTEXT(物品!G313)=TRUE,"'"&amp;物品!G313&amp;"'",物品!G313)</f>
        <v>0</v>
      </c>
      <c r="F212">
        <f>IF(ISTEXT(物品!H313)=TRUE,"'"&amp;物品!H313&amp;"'",物品!H313)</f>
        <v>0</v>
      </c>
      <c r="G212">
        <f>IF(物品!I322="",0,"'"&amp;物品!I322&amp;"'")</f>
        <v>0</v>
      </c>
      <c r="H212">
        <f>IF(物品!R313="",0,物品!R313)</f>
        <v>0</v>
      </c>
      <c r="I212">
        <f>IF(物品!S313="",0,物品!S313)</f>
        <v>0</v>
      </c>
      <c r="J212">
        <f>IF(物品!C322="",0,""""&amp;物品!C322&amp;"""")</f>
        <v>0</v>
      </c>
      <c r="K212" t="str">
        <f>IF(物品!T322="","""""",""""&amp;物品!T322&amp;"""")</f>
        <v>""</v>
      </c>
      <c r="L212">
        <f>IF(物品!U322="",0,""""&amp;物品!U322&amp;"""")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IF(物品!B323="",0,"'"&amp;物品!B323&amp;"'")</f>
        <v>0</v>
      </c>
      <c r="B213">
        <f>物品!D244</f>
        <v>0</v>
      </c>
      <c r="C213">
        <f>物品!E323</f>
        <v>0</v>
      </c>
      <c r="D213">
        <f>物品!F323</f>
        <v>0</v>
      </c>
      <c r="E213">
        <f>IF(ISTEXT(物品!G314)=TRUE,"'"&amp;物品!G314&amp;"'",物品!G314)</f>
        <v>0</v>
      </c>
      <c r="F213">
        <f>IF(ISTEXT(物品!H314)=TRUE,"'"&amp;物品!H314&amp;"'",物品!H314)</f>
        <v>0</v>
      </c>
      <c r="G213">
        <f>IF(物品!I323="",0,"'"&amp;物品!I323&amp;"'")</f>
        <v>0</v>
      </c>
      <c r="H213">
        <f>IF(物品!R314="",0,物品!R314)</f>
        <v>0</v>
      </c>
      <c r="I213">
        <f>IF(物品!S314="",0,物品!S314)</f>
        <v>0</v>
      </c>
      <c r="J213">
        <f>IF(物品!C323="",0,""""&amp;物品!C323&amp;"""")</f>
        <v>0</v>
      </c>
      <c r="K213" t="str">
        <f>IF(物品!T323="","""""",""""&amp;物品!T323&amp;"""")</f>
        <v>""</v>
      </c>
      <c r="L213">
        <f>IF(物品!U323="",0,""""&amp;物品!U323&amp;"""")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IF(物品!B324="",0,"'"&amp;物品!B324&amp;"'")</f>
        <v>0</v>
      </c>
      <c r="B214">
        <f>物品!D245</f>
        <v>0</v>
      </c>
      <c r="C214">
        <f>物品!E324</f>
        <v>0</v>
      </c>
      <c r="D214">
        <f>物品!F324</f>
        <v>0</v>
      </c>
      <c r="E214">
        <f>IF(ISTEXT(物品!G315)=TRUE,"'"&amp;物品!G315&amp;"'",物品!G315)</f>
        <v>0</v>
      </c>
      <c r="F214">
        <f>IF(ISTEXT(物品!H315)=TRUE,"'"&amp;物品!H315&amp;"'",物品!H315)</f>
        <v>0</v>
      </c>
      <c r="G214">
        <f>IF(物品!I324="",0,"'"&amp;物品!I324&amp;"'")</f>
        <v>0</v>
      </c>
      <c r="H214">
        <f>IF(物品!R315="",0,物品!R315)</f>
        <v>0</v>
      </c>
      <c r="I214">
        <f>IF(物品!S315="",0,物品!S315)</f>
        <v>0</v>
      </c>
      <c r="J214">
        <f>IF(物品!C324="",0,""""&amp;物品!C324&amp;"""")</f>
        <v>0</v>
      </c>
      <c r="K214" t="str">
        <f>IF(物品!T324="","""""",""""&amp;物品!T324&amp;"""")</f>
        <v>""</v>
      </c>
      <c r="L214">
        <f>IF(物品!U324="",0,""""&amp;物品!U324&amp;"""")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IF(物品!B325="",0,"'"&amp;物品!B325&amp;"'")</f>
        <v>0</v>
      </c>
      <c r="B215">
        <f>物品!D246</f>
        <v>0</v>
      </c>
      <c r="C215">
        <f>物品!E325</f>
        <v>0</v>
      </c>
      <c r="D215">
        <f>物品!F325</f>
        <v>0</v>
      </c>
      <c r="E215">
        <f>IF(ISTEXT(物品!G316)=TRUE,"'"&amp;物品!G316&amp;"'",物品!G316)</f>
        <v>0</v>
      </c>
      <c r="F215">
        <f>IF(ISTEXT(物品!H316)=TRUE,"'"&amp;物品!H316&amp;"'",物品!H316)</f>
        <v>0</v>
      </c>
      <c r="G215">
        <f>IF(物品!I325="",0,"'"&amp;物品!I325&amp;"'")</f>
        <v>0</v>
      </c>
      <c r="H215">
        <f>IF(物品!R316="",0,物品!R316)</f>
        <v>0</v>
      </c>
      <c r="I215">
        <f>IF(物品!S316="",0,物品!S316)</f>
        <v>0</v>
      </c>
      <c r="J215">
        <f>IF(物品!C325="",0,""""&amp;物品!C325&amp;"""")</f>
        <v>0</v>
      </c>
      <c r="K215" t="str">
        <f>IF(物品!T325="","""""",""""&amp;物品!T325&amp;"""")</f>
        <v>""</v>
      </c>
      <c r="L215">
        <f>IF(物品!U325="",0,""""&amp;物品!U325&amp;"""")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IF(物品!B326="",0,"'"&amp;物品!B326&amp;"'")</f>
        <v>0</v>
      </c>
      <c r="B216">
        <f>物品!D247</f>
        <v>0</v>
      </c>
      <c r="C216">
        <f>物品!E326</f>
        <v>0</v>
      </c>
      <c r="D216">
        <f>物品!F326</f>
        <v>0</v>
      </c>
      <c r="E216">
        <f>IF(ISTEXT(物品!G317)=TRUE,"'"&amp;物品!G317&amp;"'",物品!G317)</f>
        <v>0</v>
      </c>
      <c r="F216">
        <f>IF(ISTEXT(物品!H317)=TRUE,"'"&amp;物品!H317&amp;"'",物品!H317)</f>
        <v>0</v>
      </c>
      <c r="G216">
        <f>IF(物品!I326="",0,"'"&amp;物品!I326&amp;"'")</f>
        <v>0</v>
      </c>
      <c r="H216">
        <f>IF(物品!R317="",0,物品!R317)</f>
        <v>0</v>
      </c>
      <c r="I216">
        <f>IF(物品!S317="",0,物品!S317)</f>
        <v>0</v>
      </c>
      <c r="J216">
        <f>IF(物品!C326="",0,""""&amp;物品!C326&amp;"""")</f>
        <v>0</v>
      </c>
      <c r="K216" t="str">
        <f>IF(物品!T326="","""""",""""&amp;物品!T326&amp;"""")</f>
        <v>""</v>
      </c>
      <c r="L216">
        <f>IF(物品!U326="",0,""""&amp;物品!U326&amp;"""")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IF(物品!B327="",0,"'"&amp;物品!B327&amp;"'")</f>
        <v>0</v>
      </c>
      <c r="B217">
        <f>物品!D248</f>
        <v>0</v>
      </c>
      <c r="C217">
        <f>物品!E327</f>
        <v>0</v>
      </c>
      <c r="D217">
        <f>物品!F327</f>
        <v>0</v>
      </c>
      <c r="E217">
        <f>IF(ISTEXT(物品!G318)=TRUE,"'"&amp;物品!G318&amp;"'",物品!G318)</f>
        <v>0</v>
      </c>
      <c r="F217">
        <f>IF(ISTEXT(物品!H318)=TRUE,"'"&amp;物品!H318&amp;"'",物品!H318)</f>
        <v>0</v>
      </c>
      <c r="G217">
        <f>IF(物品!I327="",0,"'"&amp;物品!I327&amp;"'")</f>
        <v>0</v>
      </c>
      <c r="H217">
        <f>IF(物品!R318="",0,物品!R318)</f>
        <v>0</v>
      </c>
      <c r="I217">
        <f>IF(物品!S318="",0,物品!S318)</f>
        <v>0</v>
      </c>
      <c r="J217">
        <f>IF(物品!C327="",0,""""&amp;物品!C327&amp;"""")</f>
        <v>0</v>
      </c>
      <c r="K217" t="str">
        <f>IF(物品!T327="","""""",""""&amp;物品!T327&amp;"""")</f>
        <v>""</v>
      </c>
      <c r="L217">
        <f>IF(物品!U327="",0,""""&amp;物品!U327&amp;"""")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IF(物品!B328="",0,"'"&amp;物品!B328&amp;"'")</f>
        <v>0</v>
      </c>
      <c r="B218">
        <f>物品!D249</f>
        <v>0</v>
      </c>
      <c r="C218">
        <f>物品!E328</f>
        <v>0</v>
      </c>
      <c r="D218">
        <f>物品!F328</f>
        <v>0</v>
      </c>
      <c r="E218">
        <f>IF(ISTEXT(物品!G319)=TRUE,"'"&amp;物品!G319&amp;"'",物品!G319)</f>
        <v>0</v>
      </c>
      <c r="F218">
        <f>IF(ISTEXT(物品!H319)=TRUE,"'"&amp;物品!H319&amp;"'",物品!H319)</f>
        <v>0</v>
      </c>
      <c r="G218">
        <f>IF(物品!I328="",0,"'"&amp;物品!I328&amp;"'")</f>
        <v>0</v>
      </c>
      <c r="H218">
        <f>IF(物品!R319="",0,物品!R319)</f>
        <v>0</v>
      </c>
      <c r="I218">
        <f>IF(物品!S319="",0,物品!S319)</f>
        <v>0</v>
      </c>
      <c r="J218">
        <f>IF(物品!C328="",0,""""&amp;物品!C328&amp;"""")</f>
        <v>0</v>
      </c>
      <c r="K218" t="str">
        <f>IF(物品!T328="","""""",""""&amp;物品!T328&amp;"""")</f>
        <v>""</v>
      </c>
      <c r="L218">
        <f>IF(物品!U328="",0,""""&amp;物品!U328&amp;"""")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IF(物品!B329="",0,"'"&amp;物品!B329&amp;"'")</f>
        <v>0</v>
      </c>
      <c r="B219">
        <f>物品!D256</f>
        <v>0</v>
      </c>
      <c r="C219">
        <f>物品!E329</f>
        <v>0</v>
      </c>
      <c r="D219">
        <f>物品!F329</f>
        <v>0</v>
      </c>
      <c r="E219">
        <f>IF(ISTEXT(物品!G320)=TRUE,"'"&amp;物品!G320&amp;"'",物品!G320)</f>
        <v>0</v>
      </c>
      <c r="F219">
        <f>IF(ISTEXT(物品!H320)=TRUE,"'"&amp;物品!H320&amp;"'",物品!H320)</f>
        <v>0</v>
      </c>
      <c r="G219">
        <f>IF(物品!I329="",0,"'"&amp;物品!I329&amp;"'")</f>
        <v>0</v>
      </c>
      <c r="H219">
        <f>IF(物品!R320="",0,物品!R320)</f>
        <v>0</v>
      </c>
      <c r="I219">
        <f>IF(物品!S320="",0,物品!S320)</f>
        <v>0</v>
      </c>
      <c r="J219">
        <f>IF(物品!C329="",0,""""&amp;物品!C329&amp;"""")</f>
        <v>0</v>
      </c>
      <c r="K219" t="str">
        <f>IF(物品!T329="","""""",""""&amp;物品!T329&amp;"""")</f>
        <v>""</v>
      </c>
      <c r="L219">
        <f>IF(物品!U329="",0,""""&amp;物品!U329&amp;"""")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IF(物品!B330="",0,"'"&amp;物品!B330&amp;"'")</f>
        <v>0</v>
      </c>
      <c r="B220">
        <f>物品!D257</f>
        <v>0</v>
      </c>
      <c r="C220">
        <f>物品!E330</f>
        <v>0</v>
      </c>
      <c r="D220">
        <f>物品!F330</f>
        <v>0</v>
      </c>
      <c r="E220">
        <f>IF(ISTEXT(物品!G321)=TRUE,"'"&amp;物品!G321&amp;"'",物品!G321)</f>
        <v>0</v>
      </c>
      <c r="F220">
        <f>IF(ISTEXT(物品!H321)=TRUE,"'"&amp;物品!H321&amp;"'",物品!H321)</f>
        <v>0</v>
      </c>
      <c r="G220">
        <f>IF(物品!I330="",0,"'"&amp;物品!I330&amp;"'")</f>
        <v>0</v>
      </c>
      <c r="H220">
        <f>IF(物品!R321="",0,物品!R321)</f>
        <v>0</v>
      </c>
      <c r="I220">
        <f>IF(物品!S321="",0,物品!S321)</f>
        <v>0</v>
      </c>
      <c r="J220">
        <f>IF(物品!C330="",0,""""&amp;物品!C330&amp;"""")</f>
        <v>0</v>
      </c>
      <c r="K220" t="str">
        <f>IF(物品!T330="","""""",""""&amp;物品!T330&amp;"""")</f>
        <v>""</v>
      </c>
      <c r="L220">
        <f>IF(物品!U330="",0,""""&amp;物品!U330&amp;"""")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IF(物品!B331="",0,"'"&amp;物品!B331&amp;"'")</f>
        <v>0</v>
      </c>
      <c r="B221">
        <f>物品!D258</f>
        <v>0</v>
      </c>
      <c r="C221">
        <f>物品!E331</f>
        <v>0</v>
      </c>
      <c r="D221">
        <f>物品!F331</f>
        <v>0</v>
      </c>
      <c r="E221">
        <f>IF(ISTEXT(物品!G322)=TRUE,"'"&amp;物品!G322&amp;"'",物品!G322)</f>
        <v>0</v>
      </c>
      <c r="F221">
        <f>IF(ISTEXT(物品!H322)=TRUE,"'"&amp;物品!H322&amp;"'",物品!H322)</f>
        <v>0</v>
      </c>
      <c r="G221">
        <f>IF(物品!I331="",0,"'"&amp;物品!I331&amp;"'")</f>
        <v>0</v>
      </c>
      <c r="H221">
        <f>IF(物品!R322="",0,物品!R322)</f>
        <v>0</v>
      </c>
      <c r="I221">
        <f>IF(物品!S322="",0,物品!S322)</f>
        <v>0</v>
      </c>
      <c r="J221">
        <f>IF(物品!C331="",0,""""&amp;物品!C331&amp;"""")</f>
        <v>0</v>
      </c>
      <c r="K221" t="str">
        <f>IF(物品!T331="","""""",""""&amp;物品!T331&amp;"""")</f>
        <v>""</v>
      </c>
      <c r="L221">
        <f>IF(物品!U331="",0,""""&amp;物品!U331&amp;"""")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IF(物品!B332="",0,"'"&amp;物品!B332&amp;"'")</f>
        <v>0</v>
      </c>
      <c r="B222">
        <f>物品!D259</f>
        <v>0</v>
      </c>
      <c r="C222">
        <f>物品!E332</f>
        <v>0</v>
      </c>
      <c r="D222">
        <f>物品!F332</f>
        <v>0</v>
      </c>
      <c r="E222">
        <f>IF(ISTEXT(物品!G323)=TRUE,"'"&amp;物品!G323&amp;"'",物品!G323)</f>
        <v>0</v>
      </c>
      <c r="F222">
        <f>IF(ISTEXT(物品!H323)=TRUE,"'"&amp;物品!H323&amp;"'",物品!H323)</f>
        <v>0</v>
      </c>
      <c r="G222">
        <f>IF(物品!I332="",0,"'"&amp;物品!I332&amp;"'")</f>
        <v>0</v>
      </c>
      <c r="H222">
        <f>IF(物品!R323="",0,物品!R323)</f>
        <v>0</v>
      </c>
      <c r="I222">
        <f>IF(物品!S323="",0,物品!S323)</f>
        <v>0</v>
      </c>
      <c r="J222">
        <f>IF(物品!C332="",0,""""&amp;物品!C332&amp;"""")</f>
        <v>0</v>
      </c>
      <c r="K222" t="str">
        <f>IF(物品!T332="","""""",""""&amp;物品!T332&amp;"""")</f>
        <v>""</v>
      </c>
      <c r="L222">
        <f>IF(物品!U332="",0,""""&amp;物品!U332&amp;"""")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IF(物品!B333="",0,"'"&amp;物品!B333&amp;"'")</f>
        <v>0</v>
      </c>
      <c r="B223">
        <f>物品!D260</f>
        <v>0</v>
      </c>
      <c r="C223">
        <f>物品!E333</f>
        <v>0</v>
      </c>
      <c r="D223">
        <f>物品!F333</f>
        <v>0</v>
      </c>
      <c r="E223">
        <f>IF(ISTEXT(物品!G324)=TRUE,"'"&amp;物品!G324&amp;"'",物品!G324)</f>
        <v>0</v>
      </c>
      <c r="F223">
        <f>IF(ISTEXT(物品!H324)=TRUE,"'"&amp;物品!H324&amp;"'",物品!H324)</f>
        <v>0</v>
      </c>
      <c r="G223">
        <f>IF(物品!I333="",0,"'"&amp;物品!I333&amp;"'")</f>
        <v>0</v>
      </c>
      <c r="H223">
        <f>IF(物品!R324="",0,物品!R324)</f>
        <v>0</v>
      </c>
      <c r="I223">
        <f>IF(物品!S324="",0,物品!S324)</f>
        <v>0</v>
      </c>
      <c r="J223">
        <f>IF(物品!C333="",0,""""&amp;物品!C333&amp;"""")</f>
        <v>0</v>
      </c>
      <c r="K223" t="str">
        <f>IF(物品!T333="","""""",""""&amp;物品!T333&amp;"""")</f>
        <v>""</v>
      </c>
      <c r="L223">
        <f>IF(物品!U333="",0,""""&amp;物品!U333&amp;"""")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IF(物品!B334="",0,"'"&amp;物品!B334&amp;"'")</f>
        <v>0</v>
      </c>
      <c r="B224">
        <f>物品!D261</f>
        <v>0</v>
      </c>
      <c r="C224">
        <f>物品!E334</f>
        <v>0</v>
      </c>
      <c r="D224">
        <f>物品!F334</f>
        <v>0</v>
      </c>
      <c r="E224">
        <f>IF(ISTEXT(物品!G325)=TRUE,"'"&amp;物品!G325&amp;"'",物品!G325)</f>
        <v>0</v>
      </c>
      <c r="F224">
        <f>IF(ISTEXT(物品!H325)=TRUE,"'"&amp;物品!H325&amp;"'",物品!H325)</f>
        <v>0</v>
      </c>
      <c r="G224">
        <f>IF(物品!I334="",0,"'"&amp;物品!I334&amp;"'")</f>
        <v>0</v>
      </c>
      <c r="H224">
        <f>IF(物品!R325="",0,物品!R325)</f>
        <v>0</v>
      </c>
      <c r="I224">
        <f>IF(物品!S325="",0,物品!S325)</f>
        <v>0</v>
      </c>
      <c r="J224">
        <f>IF(物品!C334="",0,""""&amp;物品!C334&amp;"""")</f>
        <v>0</v>
      </c>
      <c r="K224" t="str">
        <f>IF(物品!T334="","""""",""""&amp;物品!T334&amp;"""")</f>
        <v>""</v>
      </c>
      <c r="L224">
        <f>IF(物品!U334="",0,""""&amp;物品!U334&amp;"""")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IF(物品!B335="",0,"'"&amp;物品!B335&amp;"'")</f>
        <v>0</v>
      </c>
      <c r="B225">
        <f>物品!D262</f>
        <v>0</v>
      </c>
      <c r="C225">
        <f>物品!E335</f>
        <v>0</v>
      </c>
      <c r="D225">
        <f>物品!F335</f>
        <v>0</v>
      </c>
      <c r="E225">
        <f>IF(ISTEXT(物品!G326)=TRUE,"'"&amp;物品!G326&amp;"'",物品!G326)</f>
        <v>0</v>
      </c>
      <c r="F225">
        <f>IF(ISTEXT(物品!H326)=TRUE,"'"&amp;物品!H326&amp;"'",物品!H326)</f>
        <v>0</v>
      </c>
      <c r="G225">
        <f>IF(物品!I335="",0,"'"&amp;物品!I335&amp;"'")</f>
        <v>0</v>
      </c>
      <c r="H225">
        <f>IF(物品!R326="",0,物品!R326)</f>
        <v>0</v>
      </c>
      <c r="I225">
        <f>IF(物品!S326="",0,物品!S326)</f>
        <v>0</v>
      </c>
      <c r="J225">
        <f>IF(物品!C335="",0,""""&amp;物品!C335&amp;"""")</f>
        <v>0</v>
      </c>
      <c r="K225" t="str">
        <f>IF(物品!T335="","""""",""""&amp;物品!T335&amp;"""")</f>
        <v>""</v>
      </c>
      <c r="L225">
        <f>IF(物品!U335="",0,""""&amp;物品!U335&amp;"""")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0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826</v>
      </c>
      <c r="CD1" s="10" t="s">
        <v>826</v>
      </c>
      <c r="CE1" s="10" t="s">
        <v>826</v>
      </c>
      <c r="CF1" s="10" t="s">
        <v>826</v>
      </c>
      <c r="CH1" s="10" t="s">
        <v>826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827</v>
      </c>
      <c r="CC2" s="10" t="s">
        <v>828</v>
      </c>
      <c r="CD2" s="10" t="s">
        <v>829</v>
      </c>
      <c r="CE2" s="10" t="s">
        <v>830</v>
      </c>
      <c r="CF2" s="10" t="s">
        <v>831</v>
      </c>
      <c r="CG2" s="10" t="s">
        <v>832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1800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InitUnitState('E221',0,0,1800,0,750000,0,15000,0,0,0)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InitUnitState('E221',0,0,1800,0,750000,0,15000,0,0,0)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833</v>
      </c>
      <c r="B1" s="10" t="s">
        <v>834</v>
      </c>
      <c r="C1" s="10" t="s">
        <v>835</v>
      </c>
      <c r="D1" s="10" t="s">
        <v>836</v>
      </c>
      <c r="E1" s="10" t="s">
        <v>837</v>
      </c>
    </row>
    <row r="2" spans="1:11" ht="16.5">
      <c r="A2" s="9">
        <v>1</v>
      </c>
      <c r="B2" s="9" t="s">
        <v>838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839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840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841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842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843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503</v>
      </c>
      <c r="C8" s="19">
        <v>2</v>
      </c>
      <c r="D8" s="10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506</v>
      </c>
      <c r="C9" s="19">
        <v>2</v>
      </c>
      <c r="D9" s="10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509</v>
      </c>
      <c r="C10" s="19">
        <v>3</v>
      </c>
      <c r="D10" s="10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512</v>
      </c>
      <c r="C11" s="19">
        <v>2</v>
      </c>
      <c r="D11" s="10" t="str">
        <f>VLOOKUP(B11,物品!B:E,2,FALSE)</f>
        <v>福娃这么可爱..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515</v>
      </c>
      <c r="C12" s="19">
        <v>2</v>
      </c>
      <c r="D12" s="10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518</v>
      </c>
      <c r="C13" s="19">
        <v>2</v>
      </c>
      <c r="D13" s="10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521</v>
      </c>
      <c r="C14" s="19">
        <v>4</v>
      </c>
      <c r="D14" s="10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524</v>
      </c>
      <c r="C15" s="19">
        <v>1</v>
      </c>
      <c r="D15" s="10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527</v>
      </c>
      <c r="C16" s="19">
        <v>1</v>
      </c>
      <c r="D16" s="10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530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533</v>
      </c>
      <c r="C18" s="19">
        <v>2</v>
      </c>
      <c r="D18" s="10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536</v>
      </c>
      <c r="C19" s="19">
        <v>2</v>
      </c>
      <c r="D19" s="10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763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765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766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767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768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769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770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771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772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773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774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775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776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777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778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779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780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781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782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783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784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785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786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787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788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789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790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0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112</v>
      </c>
      <c r="E1" t="s">
        <v>113</v>
      </c>
      <c r="F1" t="s">
        <v>844</v>
      </c>
      <c r="G1" t="s">
        <v>845</v>
      </c>
      <c r="I1" t="s">
        <v>846</v>
      </c>
      <c r="J1">
        <v>11</v>
      </c>
      <c r="P1" t="s">
        <v>847</v>
      </c>
      <c r="U1" t="s">
        <v>848</v>
      </c>
      <c r="V1" t="s">
        <v>849</v>
      </c>
      <c r="X1" s="10" t="s">
        <v>850</v>
      </c>
    </row>
    <row r="2" spans="1:25">
      <c r="A2" t="s">
        <v>851</v>
      </c>
      <c r="D2">
        <v>800</v>
      </c>
      <c r="E2" s="30">
        <v>1</v>
      </c>
      <c r="F2" s="31">
        <f>D2/E2</f>
        <v>800</v>
      </c>
      <c r="I2" t="s">
        <v>852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853</v>
      </c>
      <c r="D3">
        <v>800</v>
      </c>
      <c r="E3" s="30">
        <v>1</v>
      </c>
      <c r="F3" s="31">
        <f t="shared" ref="F3:F25" si="1">D3/E3</f>
        <v>800</v>
      </c>
      <c r="I3" t="s">
        <v>854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855</v>
      </c>
      <c r="D4">
        <v>800</v>
      </c>
      <c r="E4" s="30">
        <v>1</v>
      </c>
      <c r="F4" s="31">
        <f t="shared" si="1"/>
        <v>800</v>
      </c>
      <c r="I4" t="s">
        <v>856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857</v>
      </c>
      <c r="D5">
        <v>800</v>
      </c>
      <c r="E5" s="30">
        <v>1</v>
      </c>
      <c r="F5" s="31">
        <f t="shared" si="1"/>
        <v>800</v>
      </c>
      <c r="I5" t="s">
        <v>858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859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860</v>
      </c>
      <c r="D7">
        <v>2500</v>
      </c>
      <c r="E7" s="30">
        <v>0.85</v>
      </c>
      <c r="F7" s="31">
        <f t="shared" si="1"/>
        <v>2941.1764705882401</v>
      </c>
      <c r="J7" t="s">
        <v>861</v>
      </c>
      <c r="K7" s="10" t="s">
        <v>862</v>
      </c>
      <c r="L7" s="10" t="s">
        <v>863</v>
      </c>
      <c r="M7" t="s">
        <v>864</v>
      </c>
      <c r="N7" t="s">
        <v>865</v>
      </c>
      <c r="P7">
        <f t="shared" si="0"/>
        <v>85</v>
      </c>
    </row>
    <row r="8" spans="1:25">
      <c r="A8" t="s">
        <v>866</v>
      </c>
      <c r="D8">
        <v>2500</v>
      </c>
      <c r="E8" s="30">
        <v>0.85</v>
      </c>
      <c r="F8" s="31">
        <f t="shared" si="1"/>
        <v>2941.1764705882401</v>
      </c>
      <c r="I8" t="s">
        <v>867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868</v>
      </c>
      <c r="D9">
        <v>2500</v>
      </c>
      <c r="E9" s="30">
        <v>0.85</v>
      </c>
      <c r="F9" s="31">
        <f t="shared" si="1"/>
        <v>2941.1764705882401</v>
      </c>
      <c r="I9" t="s">
        <v>869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870</v>
      </c>
      <c r="D10">
        <v>2500</v>
      </c>
      <c r="E10" s="30">
        <v>0.85</v>
      </c>
      <c r="F10" s="31">
        <f t="shared" si="1"/>
        <v>2941.1764705882401</v>
      </c>
      <c r="I10" t="s">
        <v>871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872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873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874</v>
      </c>
      <c r="D12">
        <v>8000</v>
      </c>
      <c r="E12" s="30">
        <v>0.7</v>
      </c>
      <c r="F12" s="31">
        <f t="shared" si="1"/>
        <v>11428.5714285714</v>
      </c>
      <c r="I12" t="s">
        <v>875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876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877</v>
      </c>
      <c r="N13">
        <f>SUM(N8:N12)</f>
        <v>1061280</v>
      </c>
      <c r="P13">
        <f t="shared" si="0"/>
        <v>70</v>
      </c>
    </row>
    <row r="14" spans="1:25">
      <c r="A14" t="s">
        <v>878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879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880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881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882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883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884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885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886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887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888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889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890</v>
      </c>
      <c r="E26" t="s">
        <v>891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892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893</v>
      </c>
      <c r="B31" s="10" t="s">
        <v>112</v>
      </c>
      <c r="C31" s="10" t="s">
        <v>122</v>
      </c>
      <c r="F31" s="10" t="s">
        <v>894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895</v>
      </c>
      <c r="G32" s="10" t="s">
        <v>896</v>
      </c>
      <c r="H32" s="10" t="s">
        <v>844</v>
      </c>
      <c r="J32" s="10" t="s">
        <v>897</v>
      </c>
      <c r="K32" s="10" t="s">
        <v>898</v>
      </c>
      <c r="L32" s="10" t="s">
        <v>1</v>
      </c>
      <c r="M32" s="10" t="s">
        <v>844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891</v>
      </c>
      <c r="N41">
        <f>SUM(N33:N40)</f>
        <v>28860</v>
      </c>
      <c r="O41">
        <f>SUM(O33:O40)</f>
        <v>9600</v>
      </c>
    </row>
    <row r="42" spans="1:15">
      <c r="A42" s="10" t="s">
        <v>891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899</v>
      </c>
      <c r="B45" s="10" t="s">
        <v>900</v>
      </c>
      <c r="C45" s="10" t="s">
        <v>901</v>
      </c>
      <c r="F45" s="10" t="s">
        <v>902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903</v>
      </c>
      <c r="G46" s="32" t="s">
        <v>904</v>
      </c>
      <c r="H46" s="32" t="s">
        <v>164</v>
      </c>
      <c r="I46" s="10" t="s">
        <v>905</v>
      </c>
      <c r="K46" s="10"/>
    </row>
    <row r="47" spans="1:15">
      <c r="A47">
        <v>2</v>
      </c>
      <c r="B47">
        <f t="shared" si="11"/>
        <v>200</v>
      </c>
      <c r="C47" s="10" t="s">
        <v>906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907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891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0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178</v>
      </c>
      <c r="B1" s="2" t="s">
        <v>179</v>
      </c>
      <c r="G1" s="3" t="s">
        <v>581</v>
      </c>
      <c r="H1" t="str">
        <f>IF(G1="","",VLOOKUP(G1,A:B,2,FALSE))</f>
        <v>炽星魔盒</v>
      </c>
    </row>
    <row r="2" spans="1:8" ht="16.5">
      <c r="A2" s="1" t="s">
        <v>182</v>
      </c>
      <c r="B2" s="2" t="s">
        <v>183</v>
      </c>
      <c r="G2" s="4" t="s">
        <v>481</v>
      </c>
      <c r="H2" t="str">
        <f t="shared" ref="H2:H65" si="0">IF(G2="","",VLOOKUP(G2,A:B,2,FALSE))</f>
        <v>招魂幡Lv1</v>
      </c>
    </row>
    <row r="3" spans="1:8" ht="16.5">
      <c r="A3" s="1" t="s">
        <v>184</v>
      </c>
      <c r="B3" s="2" t="s">
        <v>185</v>
      </c>
      <c r="G3" s="4" t="s">
        <v>488</v>
      </c>
      <c r="H3" t="str">
        <f t="shared" si="0"/>
        <v>|Cff00BFFF招魂幡Lv3|r</v>
      </c>
    </row>
    <row r="4" spans="1:8" ht="16.5">
      <c r="A4" s="1" t="s">
        <v>186</v>
      </c>
      <c r="B4" s="2" t="s">
        <v>187</v>
      </c>
      <c r="G4" s="4" t="s">
        <v>496</v>
      </c>
      <c r="H4" t="str">
        <f t="shared" si="0"/>
        <v>|CffFF0000招魂幡Lv5|r</v>
      </c>
    </row>
    <row r="5" spans="1:8" ht="16.5">
      <c r="A5" s="1" t="s">
        <v>188</v>
      </c>
      <c r="B5" s="2" t="s">
        <v>189</v>
      </c>
      <c r="G5" s="5" t="s">
        <v>562</v>
      </c>
      <c r="H5" t="str">
        <f t="shared" si="0"/>
        <v>|CffFFD24D后天道果箱|r</v>
      </c>
    </row>
    <row r="6" spans="1:8" ht="16.5">
      <c r="A6" s="1" t="s">
        <v>191</v>
      </c>
      <c r="B6" s="2" t="s">
        <v>192</v>
      </c>
      <c r="G6" s="5" t="s">
        <v>801</v>
      </c>
      <c r="H6" t="str">
        <f t="shared" si="0"/>
        <v>攻击力低</v>
      </c>
    </row>
    <row r="7" spans="1:8" ht="16.5">
      <c r="A7" s="1" t="s">
        <v>194</v>
      </c>
      <c r="B7" s="2" t="s">
        <v>195</v>
      </c>
      <c r="G7" s="5" t="s">
        <v>803</v>
      </c>
      <c r="H7" t="str">
        <f t="shared" si="0"/>
        <v>攻击力中</v>
      </c>
    </row>
    <row r="8" spans="1:8" ht="16.5">
      <c r="A8" s="1" t="s">
        <v>196</v>
      </c>
      <c r="B8" s="2" t="s">
        <v>197</v>
      </c>
      <c r="G8" s="5" t="s">
        <v>807</v>
      </c>
      <c r="H8" t="str">
        <f t="shared" si="0"/>
        <v>生命值低</v>
      </c>
    </row>
    <row r="9" spans="1:8" ht="16.5">
      <c r="A9" s="1" t="s">
        <v>198</v>
      </c>
      <c r="B9" s="2" t="s">
        <v>199</v>
      </c>
      <c r="G9" s="5" t="s">
        <v>809</v>
      </c>
      <c r="H9" t="str">
        <f t="shared" si="0"/>
        <v>生命值中</v>
      </c>
    </row>
    <row r="10" spans="1:8" ht="16.5">
      <c r="A10" s="1" t="s">
        <v>200</v>
      </c>
      <c r="B10" s="2" t="s">
        <v>201</v>
      </c>
      <c r="G10" s="5" t="s">
        <v>813</v>
      </c>
      <c r="H10" t="str">
        <f t="shared" si="0"/>
        <v>业力低</v>
      </c>
    </row>
    <row r="11" spans="1:8" ht="16.5">
      <c r="A11" s="1" t="s">
        <v>203</v>
      </c>
      <c r="B11" s="2" t="s">
        <v>204</v>
      </c>
      <c r="G11" s="5" t="s">
        <v>815</v>
      </c>
      <c r="H11" t="str">
        <f t="shared" si="0"/>
        <v>业力中</v>
      </c>
    </row>
    <row r="12" spans="1:8" ht="16.5">
      <c r="A12" s="1" t="s">
        <v>206</v>
      </c>
      <c r="B12" s="2" t="s">
        <v>207</v>
      </c>
      <c r="G12" s="5" t="s">
        <v>570</v>
      </c>
      <c r="H12" t="str">
        <f t="shared" si="0"/>
        <v>|CffFFD24D技能宝箱|r</v>
      </c>
    </row>
    <row r="13" spans="1:8" ht="16.5">
      <c r="A13" s="1" t="s">
        <v>208</v>
      </c>
      <c r="B13" s="2" t="s">
        <v>209</v>
      </c>
      <c r="G13" s="5" t="s">
        <v>558</v>
      </c>
      <c r="H13" t="str">
        <f t="shared" si="0"/>
        <v>|Cff00BFFF入门道果箱|r</v>
      </c>
    </row>
    <row r="14" spans="1:8" ht="16.5">
      <c r="A14" s="1" t="s">
        <v>210</v>
      </c>
      <c r="B14" s="2" t="s">
        <v>211</v>
      </c>
      <c r="G14" s="5" t="s">
        <v>586</v>
      </c>
      <c r="H14" t="str">
        <f t="shared" si="0"/>
        <v>|CffFF0000时渊碎片|r</v>
      </c>
    </row>
    <row r="15" spans="1:8" ht="16.5">
      <c r="A15" s="1" t="s">
        <v>212</v>
      </c>
      <c r="B15" s="2" t="s">
        <v>213</v>
      </c>
      <c r="G15" s="5" t="s">
        <v>602</v>
      </c>
      <c r="H15" t="str">
        <f t="shared" si="0"/>
        <v>|Cff00FF7F大补丸|r</v>
      </c>
    </row>
    <row r="16" spans="1:8" ht="16.5">
      <c r="A16" s="1" t="s">
        <v>215</v>
      </c>
      <c r="B16" s="2" t="s">
        <v>216</v>
      </c>
      <c r="G16" s="6" t="s">
        <v>609</v>
      </c>
      <c r="H16" t="str">
        <f t="shared" si="0"/>
        <v>|Cff00FF7F超级大补丸|r</v>
      </c>
    </row>
    <row r="17" spans="1:8" ht="16.5">
      <c r="A17" s="1" t="s">
        <v>218</v>
      </c>
      <c r="B17" s="2" t="s">
        <v>219</v>
      </c>
      <c r="G17" s="5" t="s">
        <v>613</v>
      </c>
      <c r="H17" t="str">
        <f t="shared" si="0"/>
        <v>|Cff00FF7F特级大补丸|r</v>
      </c>
    </row>
    <row r="18" spans="1:8" ht="16.5">
      <c r="A18" s="1" t="s">
        <v>220</v>
      </c>
      <c r="B18" s="2" t="s">
        <v>221</v>
      </c>
      <c r="G18" s="7" t="s">
        <v>908</v>
      </c>
      <c r="H18" t="e">
        <f t="shared" si="0"/>
        <v>#N/A</v>
      </c>
    </row>
    <row r="19" spans="1:8" ht="16.5">
      <c r="A19" s="1" t="s">
        <v>222</v>
      </c>
      <c r="B19" s="2" t="s">
        <v>223</v>
      </c>
      <c r="G19" s="8" t="s">
        <v>539</v>
      </c>
      <c r="H19" t="str">
        <f t="shared" si="0"/>
        <v>附魔宝箱</v>
      </c>
    </row>
    <row r="20" spans="1:8" ht="16.5">
      <c r="A20" s="1" t="s">
        <v>224</v>
      </c>
      <c r="B20" s="2" t="s">
        <v>225</v>
      </c>
      <c r="G20" s="5" t="s">
        <v>796</v>
      </c>
      <c r="H20" t="str">
        <f t="shared" si="0"/>
        <v>没抽到任何东西</v>
      </c>
    </row>
    <row r="21" spans="1:8" ht="16.5">
      <c r="A21" s="1" t="s">
        <v>227</v>
      </c>
      <c r="B21" s="2" t="s">
        <v>228</v>
      </c>
      <c r="G21" s="9"/>
      <c r="H21" t="str">
        <f t="shared" si="0"/>
        <v/>
      </c>
    </row>
    <row r="22" spans="1:8" ht="16.5">
      <c r="A22" s="1" t="s">
        <v>230</v>
      </c>
      <c r="B22" s="2" t="s">
        <v>231</v>
      </c>
      <c r="G22" s="9"/>
      <c r="H22" t="str">
        <f t="shared" si="0"/>
        <v/>
      </c>
    </row>
    <row r="23" spans="1:8" ht="16.5">
      <c r="A23" s="1" t="s">
        <v>232</v>
      </c>
      <c r="B23" s="2" t="s">
        <v>233</v>
      </c>
      <c r="G23" s="9"/>
      <c r="H23" t="str">
        <f t="shared" si="0"/>
        <v/>
      </c>
    </row>
    <row r="24" spans="1:8" ht="16.5">
      <c r="A24" s="1" t="s">
        <v>234</v>
      </c>
      <c r="B24" s="2" t="s">
        <v>235</v>
      </c>
      <c r="G24" s="9"/>
      <c r="H24" t="str">
        <f t="shared" si="0"/>
        <v/>
      </c>
    </row>
    <row r="25" spans="1:8" ht="16.5">
      <c r="A25" s="1" t="s">
        <v>236</v>
      </c>
      <c r="B25" s="2" t="s">
        <v>237</v>
      </c>
      <c r="G25" s="9" t="s">
        <v>909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595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589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592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803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805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809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811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815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817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562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566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488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496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570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908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539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586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602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609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796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558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417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420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387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390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562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423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426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429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393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396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399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609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613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566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402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405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408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411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432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435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438</v>
      </c>
      <c r="H75" t="str">
        <f t="shared" si="1"/>
        <v>|CffFF0000残缺的至圣道果【9】|r</v>
      </c>
    </row>
    <row r="76" spans="1:8" ht="16.5">
      <c r="A76" s="1" t="s">
        <v>354</v>
      </c>
      <c r="B76" s="12" t="s">
        <v>355</v>
      </c>
      <c r="G76" s="9" t="s">
        <v>441</v>
      </c>
      <c r="H76" t="str">
        <f t="shared" si="1"/>
        <v>|CffFF0000残缺的混沌道果【10】|r</v>
      </c>
    </row>
    <row r="77" spans="1:8" ht="16.5">
      <c r="A77" s="1" t="s">
        <v>357</v>
      </c>
      <c r="B77" s="12" t="s">
        <v>358</v>
      </c>
      <c r="G77" s="11" t="s">
        <v>609</v>
      </c>
      <c r="H77" t="str">
        <f t="shared" si="1"/>
        <v>|Cff00FF7F超级大补丸|r</v>
      </c>
    </row>
    <row r="78" spans="1:8" ht="16.5">
      <c r="A78" s="1" t="s">
        <v>360</v>
      </c>
      <c r="B78" s="13" t="s">
        <v>361</v>
      </c>
      <c r="G78" s="9" t="s">
        <v>613</v>
      </c>
      <c r="H78" t="str">
        <f t="shared" si="1"/>
        <v>|Cff00FF7F特级大补丸|r</v>
      </c>
    </row>
    <row r="79" spans="1:8" ht="16.5">
      <c r="A79" s="1" t="s">
        <v>363</v>
      </c>
      <c r="B79" s="13" t="s">
        <v>364</v>
      </c>
      <c r="G79" s="9"/>
      <c r="H79" t="str">
        <f t="shared" si="1"/>
        <v/>
      </c>
    </row>
    <row r="80" spans="1:8" ht="16.5">
      <c r="A80" s="1" t="s">
        <v>366</v>
      </c>
      <c r="B80" s="13" t="s">
        <v>367</v>
      </c>
      <c r="G80" s="11"/>
      <c r="H80" t="str">
        <f t="shared" si="1"/>
        <v/>
      </c>
    </row>
    <row r="81" spans="1:8" ht="16.5">
      <c r="A81" s="1" t="s">
        <v>369</v>
      </c>
      <c r="B81" s="2" t="s">
        <v>370</v>
      </c>
      <c r="G81" s="3" t="s">
        <v>577</v>
      </c>
      <c r="H81" t="str">
        <f t="shared" si="1"/>
        <v>幸运星盒</v>
      </c>
    </row>
    <row r="82" spans="1:8" ht="16.5">
      <c r="A82" s="1" t="s">
        <v>372</v>
      </c>
      <c r="B82" s="2" t="s">
        <v>373</v>
      </c>
      <c r="G82" s="9" t="s">
        <v>798</v>
      </c>
      <c r="H82" t="str">
        <f t="shared" si="1"/>
        <v>玄铁</v>
      </c>
    </row>
    <row r="83" spans="1:8" ht="16.5">
      <c r="A83" s="1" t="s">
        <v>375</v>
      </c>
      <c r="B83" s="2" t="s">
        <v>376</v>
      </c>
      <c r="G83" s="9" t="s">
        <v>800</v>
      </c>
      <c r="H83" t="str">
        <f t="shared" si="1"/>
        <v>杀敌数</v>
      </c>
    </row>
    <row r="84" spans="1:8" ht="16.5">
      <c r="A84" s="1" t="s">
        <v>378</v>
      </c>
      <c r="B84" s="2" t="s">
        <v>379</v>
      </c>
      <c r="G84" s="9" t="s">
        <v>801</v>
      </c>
      <c r="H84" t="str">
        <f t="shared" si="1"/>
        <v>攻击力低</v>
      </c>
    </row>
    <row r="85" spans="1:8" ht="16.5">
      <c r="A85" s="1" t="s">
        <v>381</v>
      </c>
      <c r="B85" s="2" t="s">
        <v>382</v>
      </c>
      <c r="G85" s="9" t="s">
        <v>803</v>
      </c>
      <c r="H85" t="str">
        <f t="shared" si="1"/>
        <v>攻击力中</v>
      </c>
    </row>
    <row r="86" spans="1:8" ht="16.5">
      <c r="A86" s="9" t="s">
        <v>384</v>
      </c>
      <c r="B86" s="12" t="s">
        <v>385</v>
      </c>
      <c r="G86" s="9" t="s">
        <v>805</v>
      </c>
      <c r="H86" t="str">
        <f t="shared" si="1"/>
        <v>攻击力高</v>
      </c>
    </row>
    <row r="87" spans="1:8" ht="16.5">
      <c r="A87" s="9" t="s">
        <v>387</v>
      </c>
      <c r="B87" s="12" t="s">
        <v>388</v>
      </c>
      <c r="G87" s="9" t="s">
        <v>807</v>
      </c>
      <c r="H87" t="str">
        <f t="shared" si="1"/>
        <v>生命值低</v>
      </c>
    </row>
    <row r="88" spans="1:8" ht="16.5">
      <c r="A88" s="9" t="s">
        <v>390</v>
      </c>
      <c r="B88" s="13" t="s">
        <v>391</v>
      </c>
      <c r="G88" s="9" t="s">
        <v>809</v>
      </c>
      <c r="H88" t="str">
        <f t="shared" si="1"/>
        <v>生命值中</v>
      </c>
    </row>
    <row r="89" spans="1:8" ht="16.5">
      <c r="A89" s="9" t="s">
        <v>393</v>
      </c>
      <c r="B89" s="13" t="s">
        <v>394</v>
      </c>
      <c r="G89" s="9" t="s">
        <v>811</v>
      </c>
      <c r="H89" t="str">
        <f t="shared" si="1"/>
        <v>生命值高</v>
      </c>
    </row>
    <row r="90" spans="1:8" ht="16.5">
      <c r="A90" s="9" t="s">
        <v>396</v>
      </c>
      <c r="B90" s="13" t="s">
        <v>397</v>
      </c>
      <c r="G90" s="9" t="s">
        <v>813</v>
      </c>
      <c r="H90" t="str">
        <f t="shared" si="1"/>
        <v>业力低</v>
      </c>
    </row>
    <row r="91" spans="1:8" ht="16.5">
      <c r="A91" s="9" t="s">
        <v>399</v>
      </c>
      <c r="B91" s="2" t="s">
        <v>400</v>
      </c>
      <c r="G91" s="9" t="s">
        <v>815</v>
      </c>
      <c r="H91" t="str">
        <f t="shared" si="1"/>
        <v>业力中</v>
      </c>
    </row>
    <row r="92" spans="1:8" ht="16.5">
      <c r="A92" s="9" t="s">
        <v>402</v>
      </c>
      <c r="B92" s="2" t="s">
        <v>403</v>
      </c>
      <c r="G92" s="9" t="s">
        <v>817</v>
      </c>
      <c r="H92" t="str">
        <f t="shared" si="1"/>
        <v>业力高</v>
      </c>
    </row>
    <row r="93" spans="1:8" ht="16.5">
      <c r="A93" s="9" t="s">
        <v>405</v>
      </c>
      <c r="B93" s="2" t="s">
        <v>406</v>
      </c>
      <c r="G93" s="9" t="s">
        <v>606</v>
      </c>
      <c r="H93" t="str">
        <f t="shared" si="1"/>
        <v>|Cff00FF7F抽奖抵用券|r</v>
      </c>
    </row>
    <row r="94" spans="1:8" ht="16.5">
      <c r="A94" s="9" t="s">
        <v>408</v>
      </c>
      <c r="B94" s="2" t="s">
        <v>409</v>
      </c>
      <c r="G94" s="9" t="s">
        <v>796</v>
      </c>
      <c r="H94" t="str">
        <f t="shared" si="1"/>
        <v>没抽到任何东西</v>
      </c>
    </row>
    <row r="95" spans="1:8" ht="16.5">
      <c r="A95" s="9" t="s">
        <v>411</v>
      </c>
      <c r="B95" s="2" t="s">
        <v>412</v>
      </c>
      <c r="G95" s="11"/>
      <c r="H95" t="str">
        <f t="shared" si="1"/>
        <v/>
      </c>
    </row>
    <row r="96" spans="1:8" ht="16.5">
      <c r="A96" s="9" t="s">
        <v>414</v>
      </c>
      <c r="B96" s="12" t="s">
        <v>415</v>
      </c>
      <c r="G96" s="8" t="s">
        <v>500</v>
      </c>
      <c r="H96" t="str">
        <f t="shared" si="1"/>
        <v>锦囊</v>
      </c>
    </row>
    <row r="97" spans="1:8" ht="16.5">
      <c r="A97" s="9" t="s">
        <v>417</v>
      </c>
      <c r="B97" s="12" t="s">
        <v>418</v>
      </c>
      <c r="G97" s="9" t="s">
        <v>503</v>
      </c>
      <c r="H97" t="str">
        <f t="shared" si="1"/>
        <v>来份快餐</v>
      </c>
    </row>
    <row r="98" spans="1:8" ht="16.5">
      <c r="A98" s="9" t="s">
        <v>420</v>
      </c>
      <c r="B98" s="13" t="s">
        <v>421</v>
      </c>
      <c r="G98" s="9" t="s">
        <v>506</v>
      </c>
      <c r="H98" t="str">
        <f t="shared" si="1"/>
        <v>抬你一手</v>
      </c>
    </row>
    <row r="99" spans="1:8" ht="16.5">
      <c r="A99" s="9" t="s">
        <v>423</v>
      </c>
      <c r="B99" s="13" t="s">
        <v>424</v>
      </c>
      <c r="G99" s="9" t="s">
        <v>509</v>
      </c>
      <c r="H99" t="str">
        <f t="shared" si="1"/>
        <v>死者苏生</v>
      </c>
    </row>
    <row r="100" spans="1:8" ht="16.5">
      <c r="A100" s="9" t="s">
        <v>426</v>
      </c>
      <c r="B100" s="13" t="s">
        <v>427</v>
      </c>
      <c r="G100" s="9" t="s">
        <v>512</v>
      </c>
      <c r="H100" t="str">
        <f t="shared" si="1"/>
        <v>福娃这么可爱..</v>
      </c>
    </row>
    <row r="101" spans="1:8" ht="16.5">
      <c r="A101" s="9" t="s">
        <v>429</v>
      </c>
      <c r="B101" s="2" t="s">
        <v>430</v>
      </c>
      <c r="G101" s="9" t="s">
        <v>515</v>
      </c>
      <c r="H101" t="str">
        <f t="shared" si="1"/>
        <v>奥里给Lo他</v>
      </c>
    </row>
    <row r="102" spans="1:8" ht="16.5">
      <c r="A102" s="9" t="s">
        <v>432</v>
      </c>
      <c r="B102" s="2" t="s">
        <v>433</v>
      </c>
      <c r="G102" s="9" t="s">
        <v>518</v>
      </c>
      <c r="H102" t="str">
        <f t="shared" si="1"/>
        <v>以逸待劳</v>
      </c>
    </row>
    <row r="103" spans="1:8" ht="16.5">
      <c r="A103" s="9" t="s">
        <v>435</v>
      </c>
      <c r="B103" s="2" t="s">
        <v>436</v>
      </c>
      <c r="G103" s="9" t="s">
        <v>521</v>
      </c>
      <c r="H103" t="str">
        <f t="shared" si="1"/>
        <v>全军出击</v>
      </c>
    </row>
    <row r="104" spans="1:8" ht="16.5">
      <c r="A104" s="9" t="s">
        <v>438</v>
      </c>
      <c r="B104" s="2" t="s">
        <v>439</v>
      </c>
      <c r="G104" s="9" t="s">
        <v>524</v>
      </c>
      <c r="H104" t="str">
        <f t="shared" si="1"/>
        <v>心跳时刻</v>
      </c>
    </row>
    <row r="105" spans="1:8" ht="16.5">
      <c r="A105" s="9" t="s">
        <v>441</v>
      </c>
      <c r="B105" s="2" t="s">
        <v>442</v>
      </c>
      <c r="G105" s="9" t="s">
        <v>527</v>
      </c>
      <c r="H105" t="str">
        <f t="shared" si="1"/>
        <v>据守</v>
      </c>
    </row>
    <row r="106" spans="1:8" ht="16.5">
      <c r="A106" s="9" t="s">
        <v>444</v>
      </c>
      <c r="B106" s="9" t="s">
        <v>445</v>
      </c>
      <c r="G106" s="9" t="s">
        <v>530</v>
      </c>
      <c r="H106" t="str">
        <f t="shared" si="1"/>
        <v>赌输可退</v>
      </c>
    </row>
    <row r="107" spans="1:8" ht="16.5">
      <c r="A107" s="9" t="s">
        <v>448</v>
      </c>
      <c r="B107" s="9" t="s">
        <v>449</v>
      </c>
      <c r="G107" s="9" t="s">
        <v>533</v>
      </c>
      <c r="H107" t="str">
        <f t="shared" si="1"/>
        <v>来点玄铁</v>
      </c>
    </row>
    <row r="108" spans="1:8" ht="16.5">
      <c r="A108" s="9" t="s">
        <v>451</v>
      </c>
      <c r="B108" s="9" t="s">
        <v>452</v>
      </c>
      <c r="G108" s="9" t="s">
        <v>536</v>
      </c>
      <c r="H108" t="str">
        <f t="shared" si="1"/>
        <v>恭喜发财</v>
      </c>
    </row>
    <row r="109" spans="1:8" ht="16.5">
      <c r="A109" s="9" t="s">
        <v>454</v>
      </c>
      <c r="B109" s="9" t="s">
        <v>455</v>
      </c>
      <c r="G109" s="9" t="s">
        <v>543</v>
      </c>
      <c r="H109" t="str">
        <f t="shared" si="1"/>
        <v>鼠年大吉</v>
      </c>
    </row>
    <row r="110" spans="1:8" ht="16.5">
      <c r="A110" s="9" t="s">
        <v>457</v>
      </c>
      <c r="B110" s="9" t="s">
        <v>458</v>
      </c>
      <c r="G110" s="9" t="s">
        <v>546</v>
      </c>
      <c r="H110" t="str">
        <f t="shared" si="1"/>
        <v>兄弟们拼了</v>
      </c>
    </row>
    <row r="111" spans="1:8" ht="16.5">
      <c r="A111" s="9" t="s">
        <v>459</v>
      </c>
      <c r="B111" s="14" t="s">
        <v>460</v>
      </c>
      <c r="G111" s="9" t="s">
        <v>549</v>
      </c>
      <c r="H111" t="str">
        <f t="shared" si="1"/>
        <v>老铁忍住啊</v>
      </c>
    </row>
    <row r="112" spans="1:8" ht="16.5">
      <c r="A112" s="9" t="s">
        <v>462</v>
      </c>
      <c r="B112" s="9" t="s">
        <v>463</v>
      </c>
      <c r="G112" s="9" t="s">
        <v>552</v>
      </c>
      <c r="H112" t="str">
        <f t="shared" si="1"/>
        <v>老铁忍住呀</v>
      </c>
    </row>
    <row r="113" spans="1:8" ht="16.5">
      <c r="A113" s="9" t="s">
        <v>465</v>
      </c>
      <c r="B113" s="9" t="s">
        <v>466</v>
      </c>
      <c r="G113" s="9" t="s">
        <v>555</v>
      </c>
      <c r="H113" t="str">
        <f t="shared" si="1"/>
        <v>跳不动了</v>
      </c>
    </row>
    <row r="114" spans="1:8" ht="16.5">
      <c r="A114" s="9" t="s">
        <v>468</v>
      </c>
      <c r="B114" s="9" t="s">
        <v>469</v>
      </c>
      <c r="G114" s="9" t="s">
        <v>801</v>
      </c>
      <c r="H114" t="str">
        <f t="shared" si="1"/>
        <v>攻击力低</v>
      </c>
    </row>
    <row r="115" spans="1:8" ht="16.5">
      <c r="A115" s="9" t="s">
        <v>471</v>
      </c>
      <c r="B115" s="9" t="s">
        <v>472</v>
      </c>
      <c r="G115" s="9" t="s">
        <v>807</v>
      </c>
      <c r="H115" t="str">
        <f t="shared" si="1"/>
        <v>生命值低</v>
      </c>
    </row>
    <row r="116" spans="1:8" ht="16.5">
      <c r="A116" s="9" t="s">
        <v>474</v>
      </c>
      <c r="B116" s="9" t="s">
        <v>475</v>
      </c>
      <c r="G116" s="9" t="s">
        <v>813</v>
      </c>
      <c r="H116" t="str">
        <f t="shared" si="1"/>
        <v>业力低</v>
      </c>
    </row>
    <row r="117" spans="1:8" ht="16.5">
      <c r="A117" s="9" t="s">
        <v>481</v>
      </c>
      <c r="B117" s="15" t="s">
        <v>482</v>
      </c>
      <c r="G117" s="11"/>
      <c r="H117" t="str">
        <f t="shared" si="1"/>
        <v/>
      </c>
    </row>
    <row r="118" spans="1:8" ht="16.5">
      <c r="A118" s="9" t="s">
        <v>484</v>
      </c>
      <c r="B118" s="16" t="s">
        <v>485</v>
      </c>
      <c r="G118" s="8" t="s">
        <v>539</v>
      </c>
      <c r="H118" t="str">
        <f t="shared" si="1"/>
        <v>附魔宝箱</v>
      </c>
    </row>
    <row r="119" spans="1:8" ht="16.5">
      <c r="A119" s="9" t="s">
        <v>488</v>
      </c>
      <c r="B119" s="16" t="s">
        <v>489</v>
      </c>
      <c r="G119" s="9" t="s">
        <v>670</v>
      </c>
      <c r="H119" t="str">
        <f t="shared" si="1"/>
        <v>Q技能附魔卷</v>
      </c>
    </row>
    <row r="120" spans="1:8" ht="16.5">
      <c r="A120" s="9" t="s">
        <v>492</v>
      </c>
      <c r="B120" s="16" t="s">
        <v>493</v>
      </c>
      <c r="G120" s="9" t="s">
        <v>674</v>
      </c>
      <c r="H120" t="str">
        <f t="shared" si="1"/>
        <v>W技能附魔卷</v>
      </c>
    </row>
    <row r="121" spans="1:8" ht="16.5">
      <c r="A121" s="9" t="s">
        <v>496</v>
      </c>
      <c r="B121" s="16" t="s">
        <v>497</v>
      </c>
      <c r="G121" s="9" t="s">
        <v>678</v>
      </c>
      <c r="H121" t="str">
        <f t="shared" si="1"/>
        <v>E技能附魔卷</v>
      </c>
    </row>
    <row r="122" spans="1:8" ht="16.5">
      <c r="A122" s="9" t="s">
        <v>500</v>
      </c>
      <c r="B122" s="9" t="s">
        <v>910</v>
      </c>
      <c r="G122" s="9" t="s">
        <v>682</v>
      </c>
      <c r="H122" t="str">
        <f t="shared" si="1"/>
        <v>|CffFFD24DQ强力附魔卷|r</v>
      </c>
    </row>
    <row r="123" spans="1:8" ht="16.5">
      <c r="A123" s="17" t="s">
        <v>503</v>
      </c>
      <c r="B123" s="18" t="s">
        <v>504</v>
      </c>
      <c r="G123" s="9" t="s">
        <v>685</v>
      </c>
      <c r="H123" t="str">
        <f t="shared" si="1"/>
        <v>|CffFFD24DW强力附魔卷|r</v>
      </c>
    </row>
    <row r="124" spans="1:8" ht="16.5">
      <c r="A124" s="9" t="s">
        <v>506</v>
      </c>
      <c r="B124" s="19" t="s">
        <v>507</v>
      </c>
      <c r="G124" s="9" t="s">
        <v>688</v>
      </c>
      <c r="H124" t="str">
        <f t="shared" si="1"/>
        <v>|CffFFD24DE强力附魔卷|r</v>
      </c>
    </row>
    <row r="125" spans="1:8" ht="16.5">
      <c r="A125" s="17" t="s">
        <v>509</v>
      </c>
      <c r="B125" s="18" t="s">
        <v>510</v>
      </c>
      <c r="G125" s="11"/>
      <c r="H125" t="str">
        <f t="shared" si="1"/>
        <v/>
      </c>
    </row>
    <row r="126" spans="1:8" ht="16.5">
      <c r="A126" s="17" t="s">
        <v>512</v>
      </c>
      <c r="B126" s="18" t="s">
        <v>513</v>
      </c>
      <c r="G126" s="8" t="s">
        <v>570</v>
      </c>
      <c r="H126" t="str">
        <f t="shared" si="1"/>
        <v>|CffFFD24D技能宝箱|r</v>
      </c>
    </row>
    <row r="127" spans="1:8" ht="16.5">
      <c r="A127" s="17" t="s">
        <v>515</v>
      </c>
      <c r="B127" s="18" t="s">
        <v>516</v>
      </c>
      <c r="G127" s="9" t="s">
        <v>454</v>
      </c>
      <c r="H127" t="str">
        <f t="shared" si="1"/>
        <v>|Cff00FF7F技能进阶石【残缺】|r</v>
      </c>
    </row>
    <row r="128" spans="1:8" ht="16.5">
      <c r="A128" s="17" t="s">
        <v>518</v>
      </c>
      <c r="B128" s="18" t="s">
        <v>519</v>
      </c>
      <c r="G128" s="9" t="s">
        <v>448</v>
      </c>
      <c r="H128" t="str">
        <f t="shared" si="1"/>
        <v>|Cff00BFFF技能进阶石【完美】|r</v>
      </c>
    </row>
    <row r="129" spans="1:8" ht="16.5">
      <c r="A129" s="17" t="s">
        <v>521</v>
      </c>
      <c r="B129" s="18" t="s">
        <v>522</v>
      </c>
      <c r="G129" s="9" t="s">
        <v>451</v>
      </c>
      <c r="H129" t="str">
        <f t="shared" si="1"/>
        <v>|CffFF0000技能进化石【完美】|r</v>
      </c>
    </row>
    <row r="130" spans="1:8" ht="16.5">
      <c r="A130" s="17" t="s">
        <v>524</v>
      </c>
      <c r="B130" s="18" t="s">
        <v>525</v>
      </c>
      <c r="G130" s="9" t="s">
        <v>457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527</v>
      </c>
      <c r="B131" s="18" t="s">
        <v>528</v>
      </c>
      <c r="G131" s="11"/>
      <c r="H131" t="str">
        <f t="shared" si="2"/>
        <v/>
      </c>
    </row>
    <row r="132" spans="1:8" ht="16.5">
      <c r="A132" s="17" t="s">
        <v>530</v>
      </c>
      <c r="B132" s="17" t="s">
        <v>531</v>
      </c>
      <c r="G132" s="8" t="s">
        <v>585</v>
      </c>
      <c r="H132" t="str">
        <f t="shared" si="2"/>
        <v>|CffFFD24D技能宝箱|r</v>
      </c>
    </row>
    <row r="133" spans="1:8" ht="16.5">
      <c r="A133" s="17" t="s">
        <v>533</v>
      </c>
      <c r="B133" s="18" t="s">
        <v>534</v>
      </c>
      <c r="G133" s="9" t="s">
        <v>454</v>
      </c>
      <c r="H133" t="str">
        <f t="shared" si="2"/>
        <v>|Cff00FF7F技能进阶石【残缺】|r</v>
      </c>
    </row>
    <row r="134" spans="1:8" ht="16.5">
      <c r="A134" s="17" t="s">
        <v>536</v>
      </c>
      <c r="B134" s="18" t="s">
        <v>537</v>
      </c>
      <c r="G134" s="9" t="s">
        <v>448</v>
      </c>
      <c r="H134" t="str">
        <f t="shared" si="2"/>
        <v>|Cff00BFFF技能进阶石【完美】|r</v>
      </c>
    </row>
    <row r="135" spans="1:8" ht="16.5">
      <c r="A135" s="9" t="s">
        <v>539</v>
      </c>
      <c r="B135" s="20" t="s">
        <v>540</v>
      </c>
      <c r="G135" s="11"/>
      <c r="H135" t="str">
        <f t="shared" si="2"/>
        <v/>
      </c>
    </row>
    <row r="136" spans="1:8" ht="16.5">
      <c r="A136" s="17" t="s">
        <v>543</v>
      </c>
      <c r="B136" s="21" t="s">
        <v>544</v>
      </c>
      <c r="G136" s="8" t="s">
        <v>574</v>
      </c>
      <c r="H136" t="str">
        <f t="shared" si="2"/>
        <v>|CffFFD24D附魔宝箱|r</v>
      </c>
    </row>
    <row r="137" spans="1:8" ht="16.5">
      <c r="A137" s="17" t="s">
        <v>546</v>
      </c>
      <c r="B137" s="22" t="s">
        <v>547</v>
      </c>
      <c r="G137" s="9" t="s">
        <v>670</v>
      </c>
      <c r="H137" t="str">
        <f t="shared" si="2"/>
        <v>Q技能附魔卷</v>
      </c>
    </row>
    <row r="138" spans="1:8" ht="16.5">
      <c r="A138" s="9" t="s">
        <v>549</v>
      </c>
      <c r="B138" s="23" t="s">
        <v>550</v>
      </c>
      <c r="G138" s="9" t="s">
        <v>682</v>
      </c>
      <c r="H138" t="str">
        <f t="shared" si="2"/>
        <v>|CffFFD24DQ强力附魔卷|r</v>
      </c>
    </row>
    <row r="139" spans="1:8" ht="16.5">
      <c r="A139" s="17" t="s">
        <v>552</v>
      </c>
      <c r="B139" s="21" t="s">
        <v>553</v>
      </c>
      <c r="G139" s="9"/>
      <c r="H139" t="str">
        <f t="shared" si="2"/>
        <v/>
      </c>
    </row>
    <row r="140" spans="1:8" ht="16.5">
      <c r="A140" s="17" t="s">
        <v>555</v>
      </c>
      <c r="B140" s="21" t="s">
        <v>556</v>
      </c>
      <c r="G140" s="8"/>
      <c r="H140" t="str">
        <f t="shared" si="2"/>
        <v/>
      </c>
    </row>
    <row r="141" spans="1:8" ht="16.5">
      <c r="A141" s="24" t="s">
        <v>558</v>
      </c>
      <c r="B141" s="23" t="s">
        <v>559</v>
      </c>
      <c r="G141" s="9" t="s">
        <v>763</v>
      </c>
      <c r="H141" t="str">
        <f t="shared" si="2"/>
        <v>附魔</v>
      </c>
    </row>
    <row r="142" spans="1:8" ht="16.5">
      <c r="A142" s="24" t="s">
        <v>562</v>
      </c>
      <c r="B142" s="23" t="s">
        <v>563</v>
      </c>
      <c r="G142" s="9" t="s">
        <v>765</v>
      </c>
      <c r="H142" t="str">
        <f t="shared" si="2"/>
        <v>附魔</v>
      </c>
    </row>
    <row r="143" spans="1:8" ht="16.5">
      <c r="A143" s="24" t="s">
        <v>566</v>
      </c>
      <c r="B143" s="23" t="s">
        <v>567</v>
      </c>
      <c r="G143" s="9" t="s">
        <v>766</v>
      </c>
      <c r="H143" t="str">
        <f t="shared" si="2"/>
        <v>附魔</v>
      </c>
    </row>
    <row r="144" spans="1:8" ht="16.5">
      <c r="A144" s="24" t="s">
        <v>570</v>
      </c>
      <c r="B144" s="20" t="s">
        <v>571</v>
      </c>
      <c r="G144" s="9" t="s">
        <v>767</v>
      </c>
      <c r="H144" t="str">
        <f t="shared" si="2"/>
        <v>附魔</v>
      </c>
    </row>
    <row r="145" spans="1:8" ht="16.5">
      <c r="A145" s="24" t="s">
        <v>574</v>
      </c>
      <c r="B145" s="20" t="s">
        <v>575</v>
      </c>
      <c r="G145" s="9" t="s">
        <v>768</v>
      </c>
      <c r="H145" t="str">
        <f t="shared" si="2"/>
        <v>附魔</v>
      </c>
    </row>
    <row r="146" spans="1:8" ht="16.5">
      <c r="A146" s="24" t="s">
        <v>577</v>
      </c>
      <c r="B146" s="20" t="s">
        <v>911</v>
      </c>
      <c r="G146" s="9" t="s">
        <v>769</v>
      </c>
      <c r="H146" t="str">
        <f t="shared" si="2"/>
        <v>附魔</v>
      </c>
    </row>
    <row r="147" spans="1:8" ht="16.5">
      <c r="A147" s="24" t="s">
        <v>581</v>
      </c>
      <c r="B147" s="20" t="s">
        <v>912</v>
      </c>
      <c r="G147" s="9" t="s">
        <v>770</v>
      </c>
      <c r="H147" t="str">
        <f t="shared" si="2"/>
        <v>附魔</v>
      </c>
    </row>
    <row r="148" spans="1:8" ht="16.5">
      <c r="A148" s="24" t="s">
        <v>585</v>
      </c>
      <c r="B148" s="20" t="s">
        <v>571</v>
      </c>
      <c r="G148" s="9" t="s">
        <v>771</v>
      </c>
      <c r="H148" t="str">
        <f t="shared" si="2"/>
        <v>附魔</v>
      </c>
    </row>
    <row r="149" spans="1:8" ht="16.5">
      <c r="A149" s="9" t="s">
        <v>586</v>
      </c>
      <c r="B149" s="9" t="s">
        <v>913</v>
      </c>
      <c r="G149" s="9" t="s">
        <v>772</v>
      </c>
      <c r="H149" t="str">
        <f t="shared" si="2"/>
        <v>附魔</v>
      </c>
    </row>
    <row r="150" spans="1:8" ht="16.5">
      <c r="A150" s="9" t="s">
        <v>589</v>
      </c>
      <c r="B150" s="15" t="s">
        <v>590</v>
      </c>
      <c r="G150" s="9" t="s">
        <v>773</v>
      </c>
      <c r="H150" t="str">
        <f t="shared" si="2"/>
        <v>附魔</v>
      </c>
    </row>
    <row r="151" spans="1:8" ht="16.5">
      <c r="A151" s="9" t="s">
        <v>592</v>
      </c>
      <c r="B151" s="15" t="s">
        <v>593</v>
      </c>
      <c r="G151" s="9" t="s">
        <v>774</v>
      </c>
      <c r="H151" t="str">
        <f t="shared" si="2"/>
        <v>附魔</v>
      </c>
    </row>
    <row r="152" spans="1:8" ht="16.5">
      <c r="A152" s="9" t="s">
        <v>595</v>
      </c>
      <c r="B152" s="15" t="s">
        <v>596</v>
      </c>
      <c r="G152" s="9" t="s">
        <v>775</v>
      </c>
      <c r="H152" t="str">
        <f t="shared" si="2"/>
        <v>附魔</v>
      </c>
    </row>
    <row r="153" spans="1:8" ht="16.5">
      <c r="A153" s="9" t="s">
        <v>599</v>
      </c>
      <c r="B153" s="15" t="s">
        <v>600</v>
      </c>
      <c r="G153" s="9" t="s">
        <v>776</v>
      </c>
      <c r="H153" t="str">
        <f t="shared" si="2"/>
        <v>附魔</v>
      </c>
    </row>
    <row r="154" spans="1:8" ht="16.5">
      <c r="A154" s="9" t="s">
        <v>602</v>
      </c>
      <c r="B154" s="25" t="s">
        <v>603</v>
      </c>
      <c r="G154" s="9" t="s">
        <v>777</v>
      </c>
      <c r="H154" t="str">
        <f t="shared" si="2"/>
        <v>附魔</v>
      </c>
    </row>
    <row r="155" spans="1:8" ht="16.5">
      <c r="A155" s="9" t="s">
        <v>606</v>
      </c>
      <c r="B155" s="25" t="s">
        <v>607</v>
      </c>
      <c r="G155" s="9" t="s">
        <v>778</v>
      </c>
      <c r="H155" t="str">
        <f t="shared" si="2"/>
        <v>附魔</v>
      </c>
    </row>
    <row r="156" spans="1:8" ht="16.5">
      <c r="A156" s="9" t="s">
        <v>609</v>
      </c>
      <c r="B156" s="25" t="s">
        <v>610</v>
      </c>
      <c r="G156" s="9" t="s">
        <v>779</v>
      </c>
      <c r="H156" t="str">
        <f t="shared" si="2"/>
        <v>附魔</v>
      </c>
    </row>
    <row r="157" spans="1:8" ht="16.5">
      <c r="A157" s="9" t="s">
        <v>613</v>
      </c>
      <c r="B157" s="25" t="s">
        <v>614</v>
      </c>
      <c r="G157" s="11"/>
      <c r="H157" t="str">
        <f t="shared" si="2"/>
        <v/>
      </c>
    </row>
    <row r="158" spans="1:8" ht="16.5">
      <c r="A158" s="9" t="s">
        <v>617</v>
      </c>
      <c r="B158" s="15" t="s">
        <v>618</v>
      </c>
      <c r="G158" s="8"/>
      <c r="H158" t="str">
        <f t="shared" si="2"/>
        <v/>
      </c>
    </row>
    <row r="159" spans="1:8" ht="16.5">
      <c r="A159" s="9" t="s">
        <v>619</v>
      </c>
      <c r="B159" s="15" t="s">
        <v>620</v>
      </c>
      <c r="G159" s="9" t="s">
        <v>780</v>
      </c>
      <c r="H159" t="str">
        <f t="shared" si="2"/>
        <v>附魔</v>
      </c>
    </row>
    <row r="160" spans="1:8" ht="16.5">
      <c r="A160" s="9" t="s">
        <v>621</v>
      </c>
      <c r="B160" s="15" t="s">
        <v>622</v>
      </c>
      <c r="G160" s="9" t="s">
        <v>781</v>
      </c>
      <c r="H160" t="str">
        <f t="shared" si="2"/>
        <v>附魔</v>
      </c>
    </row>
    <row r="161" spans="1:8" ht="16.5">
      <c r="A161" s="9" t="s">
        <v>623</v>
      </c>
      <c r="B161" s="15" t="s">
        <v>624</v>
      </c>
      <c r="G161" s="9" t="s">
        <v>782</v>
      </c>
      <c r="H161" t="str">
        <f t="shared" si="2"/>
        <v>附魔</v>
      </c>
    </row>
    <row r="162" spans="1:8" ht="16.5">
      <c r="A162" s="9" t="s">
        <v>625</v>
      </c>
      <c r="B162" s="15" t="s">
        <v>626</v>
      </c>
      <c r="G162" s="9" t="s">
        <v>783</v>
      </c>
      <c r="H162" t="str">
        <f t="shared" si="2"/>
        <v>附魔</v>
      </c>
    </row>
    <row r="163" spans="1:8" ht="16.5">
      <c r="A163" s="9" t="s">
        <v>627</v>
      </c>
      <c r="B163" s="15" t="s">
        <v>628</v>
      </c>
      <c r="G163" s="9" t="s">
        <v>784</v>
      </c>
      <c r="H163" t="str">
        <f t="shared" si="2"/>
        <v>附魔</v>
      </c>
    </row>
    <row r="164" spans="1:8" ht="16.5">
      <c r="A164" s="9" t="s">
        <v>629</v>
      </c>
      <c r="B164" s="15" t="s">
        <v>630</v>
      </c>
      <c r="G164" s="9" t="s">
        <v>785</v>
      </c>
      <c r="H164" t="str">
        <f t="shared" si="2"/>
        <v>附魔</v>
      </c>
    </row>
    <row r="165" spans="1:8" ht="16.5">
      <c r="A165" s="9" t="s">
        <v>632</v>
      </c>
      <c r="B165" s="15" t="s">
        <v>633</v>
      </c>
      <c r="G165" s="9" t="s">
        <v>786</v>
      </c>
      <c r="H165" t="str">
        <f t="shared" si="2"/>
        <v>附魔</v>
      </c>
    </row>
    <row r="166" spans="1:8" ht="16.5">
      <c r="A166" s="9" t="s">
        <v>634</v>
      </c>
      <c r="B166" s="15" t="s">
        <v>635</v>
      </c>
      <c r="G166" s="9" t="s">
        <v>787</v>
      </c>
      <c r="H166" t="str">
        <f t="shared" si="2"/>
        <v>附魔</v>
      </c>
    </row>
    <row r="167" spans="1:8" ht="16.5">
      <c r="A167" s="9" t="s">
        <v>636</v>
      </c>
      <c r="B167" s="15" t="s">
        <v>637</v>
      </c>
      <c r="G167" s="9" t="s">
        <v>788</v>
      </c>
      <c r="H167" t="str">
        <f t="shared" si="2"/>
        <v>附魔</v>
      </c>
    </row>
    <row r="168" spans="1:8" ht="16.5">
      <c r="A168" s="9" t="s">
        <v>638</v>
      </c>
      <c r="B168" s="15" t="s">
        <v>639</v>
      </c>
      <c r="G168" s="9" t="s">
        <v>789</v>
      </c>
      <c r="H168" t="str">
        <f t="shared" si="2"/>
        <v>附魔</v>
      </c>
    </row>
    <row r="169" spans="1:8" ht="16.5">
      <c r="A169" s="9" t="s">
        <v>641</v>
      </c>
      <c r="B169" s="15" t="s">
        <v>642</v>
      </c>
      <c r="G169" s="9" t="s">
        <v>790</v>
      </c>
      <c r="H169" t="str">
        <f t="shared" si="2"/>
        <v>附魔</v>
      </c>
    </row>
    <row r="170" spans="1:8" ht="16.5">
      <c r="A170" s="9" t="s">
        <v>644</v>
      </c>
      <c r="B170" s="15" t="s">
        <v>645</v>
      </c>
      <c r="G170" s="9" t="s">
        <v>791</v>
      </c>
      <c r="H170" t="str">
        <f t="shared" si="2"/>
        <v>附魔</v>
      </c>
    </row>
    <row r="171" spans="1:8" ht="16.5">
      <c r="A171" s="9" t="s">
        <v>647</v>
      </c>
      <c r="B171" s="15" t="s">
        <v>648</v>
      </c>
      <c r="G171" s="9" t="s">
        <v>792</v>
      </c>
      <c r="H171" t="str">
        <f t="shared" si="2"/>
        <v>附魔</v>
      </c>
    </row>
    <row r="172" spans="1:8" ht="16.5">
      <c r="A172" s="9" t="s">
        <v>649</v>
      </c>
      <c r="B172" s="15" t="s">
        <v>650</v>
      </c>
      <c r="G172" s="9" t="s">
        <v>793</v>
      </c>
      <c r="H172" t="str">
        <f t="shared" si="2"/>
        <v>附魔</v>
      </c>
    </row>
    <row r="173" spans="1:8" ht="16.5">
      <c r="A173" s="9" t="s">
        <v>652</v>
      </c>
      <c r="B173" s="15" t="s">
        <v>653</v>
      </c>
      <c r="G173" s="9" t="s">
        <v>794</v>
      </c>
      <c r="H173" t="str">
        <f t="shared" si="2"/>
        <v>附魔</v>
      </c>
    </row>
    <row r="174" spans="1:8" ht="16.5">
      <c r="A174" s="9" t="s">
        <v>658</v>
      </c>
      <c r="B174" s="15" t="s">
        <v>659</v>
      </c>
      <c r="G174" s="9" t="s">
        <v>795</v>
      </c>
      <c r="H174" t="e">
        <f t="shared" si="2"/>
        <v>#N/A</v>
      </c>
    </row>
    <row r="175" spans="1:8" ht="16.5">
      <c r="A175" s="9" t="s">
        <v>661</v>
      </c>
      <c r="B175" s="15" t="s">
        <v>662</v>
      </c>
    </row>
    <row r="176" spans="1:8" ht="16.5">
      <c r="A176" s="9" t="s">
        <v>663</v>
      </c>
      <c r="B176" s="15" t="s">
        <v>664</v>
      </c>
    </row>
    <row r="177" spans="1:2" ht="16.5">
      <c r="A177" s="9" t="s">
        <v>666</v>
      </c>
      <c r="B177" s="15" t="s">
        <v>667</v>
      </c>
    </row>
    <row r="178" spans="1:2" ht="16.5">
      <c r="A178" s="9" t="s">
        <v>670</v>
      </c>
      <c r="B178" s="15" t="s">
        <v>914</v>
      </c>
    </row>
    <row r="179" spans="1:2" ht="16.5">
      <c r="A179" s="9" t="s">
        <v>674</v>
      </c>
      <c r="B179" s="15" t="s">
        <v>915</v>
      </c>
    </row>
    <row r="180" spans="1:2" ht="16.5">
      <c r="A180" s="9" t="s">
        <v>678</v>
      </c>
      <c r="B180" s="15" t="s">
        <v>916</v>
      </c>
    </row>
    <row r="181" spans="1:2" ht="16.5">
      <c r="A181" s="9" t="s">
        <v>682</v>
      </c>
      <c r="B181" s="25" t="s">
        <v>917</v>
      </c>
    </row>
    <row r="182" spans="1:2" ht="16.5">
      <c r="A182" s="9" t="s">
        <v>685</v>
      </c>
      <c r="B182" s="26" t="s">
        <v>918</v>
      </c>
    </row>
    <row r="183" spans="1:2" ht="16.5">
      <c r="A183" s="9" t="s">
        <v>688</v>
      </c>
      <c r="B183" s="26" t="s">
        <v>919</v>
      </c>
    </row>
    <row r="184" spans="1:2" ht="16.5">
      <c r="A184" s="9" t="s">
        <v>691</v>
      </c>
      <c r="B184" s="15" t="s">
        <v>692</v>
      </c>
    </row>
    <row r="185" spans="1:2" ht="16.5">
      <c r="A185" s="9" t="s">
        <v>693</v>
      </c>
      <c r="B185" s="15" t="s">
        <v>694</v>
      </c>
    </row>
    <row r="186" spans="1:2" ht="16.5">
      <c r="A186" s="9" t="s">
        <v>703</v>
      </c>
      <c r="B186" s="15" t="s">
        <v>704</v>
      </c>
    </row>
    <row r="187" spans="1:2" ht="16.5">
      <c r="A187" s="9" t="s">
        <v>706</v>
      </c>
      <c r="B187" s="15" t="s">
        <v>707</v>
      </c>
    </row>
    <row r="188" spans="1:2">
      <c r="A188" s="27" t="s">
        <v>710</v>
      </c>
      <c r="B188" s="28" t="s">
        <v>711</v>
      </c>
    </row>
    <row r="189" spans="1:2">
      <c r="A189" s="27" t="s">
        <v>713</v>
      </c>
      <c r="B189" s="28" t="s">
        <v>714</v>
      </c>
    </row>
    <row r="190" spans="1:2">
      <c r="A190" s="27" t="s">
        <v>716</v>
      </c>
      <c r="B190" s="28" t="s">
        <v>717</v>
      </c>
    </row>
    <row r="191" spans="1:2">
      <c r="A191" s="27" t="s">
        <v>719</v>
      </c>
      <c r="B191" s="28" t="s">
        <v>720</v>
      </c>
    </row>
    <row r="192" spans="1:2">
      <c r="A192" s="27" t="s">
        <v>722</v>
      </c>
      <c r="B192" s="28" t="s">
        <v>723</v>
      </c>
    </row>
    <row r="193" spans="1:2">
      <c r="A193" s="27" t="s">
        <v>725</v>
      </c>
      <c r="B193" s="28" t="s">
        <v>726</v>
      </c>
    </row>
    <row r="194" spans="1:2">
      <c r="A194" s="27" t="s">
        <v>728</v>
      </c>
      <c r="B194" s="28" t="s">
        <v>729</v>
      </c>
    </row>
    <row r="195" spans="1:2">
      <c r="A195" s="27" t="s">
        <v>731</v>
      </c>
      <c r="B195" s="28" t="s">
        <v>732</v>
      </c>
    </row>
    <row r="196" spans="1:2">
      <c r="A196" s="27" t="s">
        <v>734</v>
      </c>
      <c r="B196" s="28" t="s">
        <v>735</v>
      </c>
    </row>
    <row r="197" spans="1:2">
      <c r="A197" s="27" t="s">
        <v>736</v>
      </c>
      <c r="B197" s="28" t="str">
        <f>"已领取"&amp;B188</f>
        <v>已领取公众号礼包</v>
      </c>
    </row>
    <row r="198" spans="1:2">
      <c r="A198" s="27" t="s">
        <v>739</v>
      </c>
      <c r="B198" s="28" t="str">
        <f t="shared" ref="B198:B205" si="3">"已领取"&amp;B189</f>
        <v>已领取入群礼包</v>
      </c>
    </row>
    <row r="199" spans="1:2">
      <c r="A199" s="27" t="s">
        <v>741</v>
      </c>
      <c r="B199" s="28" t="str">
        <f t="shared" si="3"/>
        <v>已领取拜年礼包</v>
      </c>
    </row>
    <row r="200" spans="1:2">
      <c r="A200" s="27" t="s">
        <v>743</v>
      </c>
      <c r="B200" s="28" t="str">
        <f t="shared" si="3"/>
        <v>已领取收藏礼包</v>
      </c>
    </row>
    <row r="201" spans="1:2">
      <c r="A201" s="27" t="s">
        <v>745</v>
      </c>
      <c r="B201" s="28" t="str">
        <f t="shared" si="3"/>
        <v>已领取重置版礼包</v>
      </c>
    </row>
    <row r="202" spans="1:2">
      <c r="A202" s="27" t="s">
        <v>747</v>
      </c>
      <c r="B202" s="28" t="str">
        <f t="shared" si="3"/>
        <v>已领取公会福利</v>
      </c>
    </row>
    <row r="203" spans="1:2">
      <c r="A203" s="27" t="s">
        <v>748</v>
      </c>
      <c r="B203" s="28" t="str">
        <f t="shared" si="3"/>
        <v>已领取星耀礼包</v>
      </c>
    </row>
    <row r="204" spans="1:2">
      <c r="A204" s="27" t="s">
        <v>750</v>
      </c>
      <c r="B204" s="28" t="str">
        <f t="shared" si="3"/>
        <v>已领取魔芝RPG礼包</v>
      </c>
    </row>
    <row r="205" spans="1:2">
      <c r="A205" s="27" t="s">
        <v>752</v>
      </c>
      <c r="B205" s="28" t="str">
        <f t="shared" si="3"/>
        <v>已领取老铁礼包</v>
      </c>
    </row>
    <row r="206" spans="1:2">
      <c r="A206" s="27" t="s">
        <v>763</v>
      </c>
      <c r="B206" s="29" t="s">
        <v>764</v>
      </c>
    </row>
    <row r="207" spans="1:2">
      <c r="A207" s="27" t="s">
        <v>765</v>
      </c>
      <c r="B207" s="29" t="s">
        <v>764</v>
      </c>
    </row>
    <row r="208" spans="1:2">
      <c r="A208" s="27" t="s">
        <v>766</v>
      </c>
      <c r="B208" s="29" t="s">
        <v>764</v>
      </c>
    </row>
    <row r="209" spans="1:2">
      <c r="A209" s="27" t="s">
        <v>767</v>
      </c>
      <c r="B209" s="29" t="s">
        <v>764</v>
      </c>
    </row>
    <row r="210" spans="1:2">
      <c r="A210" s="27" t="s">
        <v>768</v>
      </c>
      <c r="B210" s="29" t="s">
        <v>764</v>
      </c>
    </row>
    <row r="211" spans="1:2">
      <c r="A211" s="27" t="s">
        <v>769</v>
      </c>
      <c r="B211" s="29" t="s">
        <v>764</v>
      </c>
    </row>
    <row r="212" spans="1:2">
      <c r="A212" s="27" t="s">
        <v>770</v>
      </c>
      <c r="B212" s="29" t="s">
        <v>764</v>
      </c>
    </row>
    <row r="213" spans="1:2">
      <c r="A213" s="27" t="s">
        <v>771</v>
      </c>
      <c r="B213" s="29" t="s">
        <v>764</v>
      </c>
    </row>
    <row r="214" spans="1:2">
      <c r="A214" s="27" t="s">
        <v>772</v>
      </c>
      <c r="B214" s="29" t="s">
        <v>764</v>
      </c>
    </row>
    <row r="215" spans="1:2">
      <c r="A215" s="27" t="s">
        <v>773</v>
      </c>
      <c r="B215" s="29" t="s">
        <v>764</v>
      </c>
    </row>
    <row r="216" spans="1:2">
      <c r="A216" s="27" t="s">
        <v>774</v>
      </c>
      <c r="B216" s="29" t="s">
        <v>764</v>
      </c>
    </row>
    <row r="217" spans="1:2">
      <c r="A217" s="27" t="s">
        <v>775</v>
      </c>
      <c r="B217" s="29" t="s">
        <v>764</v>
      </c>
    </row>
    <row r="218" spans="1:2">
      <c r="A218" s="27" t="s">
        <v>776</v>
      </c>
      <c r="B218" s="29" t="s">
        <v>764</v>
      </c>
    </row>
    <row r="219" spans="1:2">
      <c r="A219" s="27" t="s">
        <v>777</v>
      </c>
      <c r="B219" s="29" t="s">
        <v>764</v>
      </c>
    </row>
    <row r="220" spans="1:2">
      <c r="A220" s="27" t="s">
        <v>778</v>
      </c>
      <c r="B220" s="29" t="s">
        <v>764</v>
      </c>
    </row>
    <row r="221" spans="1:2">
      <c r="A221" s="27" t="s">
        <v>779</v>
      </c>
      <c r="B221" s="29" t="s">
        <v>764</v>
      </c>
    </row>
    <row r="222" spans="1:2">
      <c r="A222" s="27" t="s">
        <v>780</v>
      </c>
      <c r="B222" s="29" t="s">
        <v>764</v>
      </c>
    </row>
    <row r="223" spans="1:2">
      <c r="A223" s="27" t="s">
        <v>781</v>
      </c>
      <c r="B223" s="29" t="s">
        <v>764</v>
      </c>
    </row>
    <row r="224" spans="1:2">
      <c r="A224" s="27" t="s">
        <v>782</v>
      </c>
      <c r="B224" s="29" t="s">
        <v>764</v>
      </c>
    </row>
    <row r="225" spans="1:2">
      <c r="A225" s="27" t="s">
        <v>783</v>
      </c>
      <c r="B225" s="29" t="s">
        <v>764</v>
      </c>
    </row>
    <row r="226" spans="1:2">
      <c r="A226" s="27" t="s">
        <v>784</v>
      </c>
      <c r="B226" s="29" t="s">
        <v>764</v>
      </c>
    </row>
    <row r="227" spans="1:2">
      <c r="A227" s="27" t="s">
        <v>785</v>
      </c>
      <c r="B227" s="29" t="s">
        <v>764</v>
      </c>
    </row>
    <row r="228" spans="1:2">
      <c r="A228" s="27" t="s">
        <v>786</v>
      </c>
      <c r="B228" s="29" t="s">
        <v>764</v>
      </c>
    </row>
    <row r="229" spans="1:2">
      <c r="A229" s="27" t="s">
        <v>787</v>
      </c>
      <c r="B229" s="29" t="s">
        <v>764</v>
      </c>
    </row>
    <row r="230" spans="1:2">
      <c r="A230" s="27" t="s">
        <v>788</v>
      </c>
      <c r="B230" s="29" t="s">
        <v>764</v>
      </c>
    </row>
    <row r="231" spans="1:2">
      <c r="A231" s="27" t="s">
        <v>789</v>
      </c>
      <c r="B231" s="29" t="s">
        <v>764</v>
      </c>
    </row>
    <row r="232" spans="1:2">
      <c r="A232" s="27" t="s">
        <v>790</v>
      </c>
      <c r="B232" s="29" t="s">
        <v>764</v>
      </c>
    </row>
    <row r="233" spans="1:2">
      <c r="A233" s="27" t="s">
        <v>791</v>
      </c>
      <c r="B233" s="29" t="s">
        <v>764</v>
      </c>
    </row>
    <row r="234" spans="1:2">
      <c r="A234" s="27" t="s">
        <v>792</v>
      </c>
      <c r="B234" s="29" t="s">
        <v>764</v>
      </c>
    </row>
    <row r="235" spans="1:2">
      <c r="A235" s="27" t="s">
        <v>793</v>
      </c>
      <c r="B235" s="29" t="s">
        <v>764</v>
      </c>
    </row>
    <row r="236" spans="1:2">
      <c r="A236" s="27" t="s">
        <v>794</v>
      </c>
      <c r="B236" s="29" t="s">
        <v>764</v>
      </c>
    </row>
    <row r="237" spans="1:2" ht="16.5">
      <c r="A237" s="9" t="s">
        <v>796</v>
      </c>
      <c r="B237" s="9" t="s">
        <v>797</v>
      </c>
    </row>
    <row r="238" spans="1:2" ht="16.5">
      <c r="A238" s="9" t="s">
        <v>798</v>
      </c>
      <c r="B238" s="9" t="s">
        <v>799</v>
      </c>
    </row>
    <row r="239" spans="1:2" ht="16.5">
      <c r="A239" s="9" t="s">
        <v>800</v>
      </c>
      <c r="B239" s="9" t="s">
        <v>114</v>
      </c>
    </row>
    <row r="240" spans="1:2" ht="16.5">
      <c r="A240" s="9" t="s">
        <v>801</v>
      </c>
      <c r="B240" s="9" t="s">
        <v>802</v>
      </c>
    </row>
    <row r="241" spans="1:2" ht="16.5">
      <c r="A241" s="9" t="s">
        <v>803</v>
      </c>
      <c r="B241" s="9" t="s">
        <v>804</v>
      </c>
    </row>
    <row r="242" spans="1:2" ht="16.5">
      <c r="A242" s="9" t="s">
        <v>805</v>
      </c>
      <c r="B242" s="9" t="s">
        <v>806</v>
      </c>
    </row>
    <row r="243" spans="1:2" ht="16.5">
      <c r="A243" s="9" t="s">
        <v>807</v>
      </c>
      <c r="B243" s="9" t="s">
        <v>808</v>
      </c>
    </row>
    <row r="244" spans="1:2" ht="16.5">
      <c r="A244" s="9" t="s">
        <v>809</v>
      </c>
      <c r="B244" s="9" t="s">
        <v>810</v>
      </c>
    </row>
    <row r="245" spans="1:2" ht="16.5">
      <c r="A245" s="9" t="s">
        <v>811</v>
      </c>
      <c r="B245" s="9" t="s">
        <v>812</v>
      </c>
    </row>
    <row r="246" spans="1:2" ht="16.5">
      <c r="A246" s="9" t="s">
        <v>813</v>
      </c>
      <c r="B246" s="9" t="s">
        <v>814</v>
      </c>
    </row>
    <row r="247" spans="1:2" ht="16.5">
      <c r="A247" s="9" t="s">
        <v>815</v>
      </c>
      <c r="B247" s="9" t="s">
        <v>816</v>
      </c>
    </row>
    <row r="248" spans="1:2" ht="16.5">
      <c r="A248" s="9" t="s">
        <v>817</v>
      </c>
      <c r="B248" s="9" t="s">
        <v>818</v>
      </c>
    </row>
  </sheetData>
  <phoneticPr fontId="30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2020-02-10T06:39:53Z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