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P000!$A$1:$AP$712</definedName>
  </definedNames>
  <calcPr calcId="125725"/>
</workbook>
</file>

<file path=xl/calcChain.xml><?xml version="1.0" encoding="utf-8"?>
<calcChain xmlns="http://schemas.openxmlformats.org/spreadsheetml/2006/main">
  <c r="M119" i="1"/>
  <c r="H119"/>
  <c r="J119" s="1"/>
  <c r="B119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I119" i="1" s="1"/>
  <c r="K119" s="1"/>
  <c r="CR119" i="2"/>
  <c r="CQ119"/>
  <c r="CP119"/>
  <c r="CO119"/>
  <c r="CN1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CA313" s="1"/>
  <c r="CH313" s="1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CA312" s="1"/>
  <c r="CH312" s="1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E312"/>
  <c r="CF312" s="1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AI312" s="1"/>
  <c r="CD312" s="1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E311"/>
  <c r="CF311" s="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CA308"/>
  <c r="CH308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I307" s="1"/>
  <c r="CD307" s="1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CA307" s="1"/>
  <c r="CH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BE304" s="1"/>
  <c r="CF304" s="1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BE303" s="1"/>
  <c r="CF303" s="1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I303"/>
  <c r="CD303" s="1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I302"/>
  <c r="CD302" s="1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CA301" s="1"/>
  <c r="CH301" s="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CA300" s="1"/>
  <c r="CH300" s="1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E300"/>
  <c r="CF300" s="1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E299"/>
  <c r="CF299" s="1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E297" s="1"/>
  <c r="CF297" s="1"/>
  <c r="CA296"/>
  <c r="CH296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I295" s="1"/>
  <c r="CD295" s="1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CA292" s="1"/>
  <c r="CH292" s="1"/>
  <c r="BO292"/>
  <c r="BN292"/>
  <c r="BM292"/>
  <c r="BL292"/>
  <c r="BK292"/>
  <c r="BJ292"/>
  <c r="BI292"/>
  <c r="BH292"/>
  <c r="BG292"/>
  <c r="BF292"/>
  <c r="BD292"/>
  <c r="BC292"/>
  <c r="BB292"/>
  <c r="BA292"/>
  <c r="BE292" s="1"/>
  <c r="CF292" s="1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AI292" s="1"/>
  <c r="CD292" s="1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BE291" s="1"/>
  <c r="CF291" s="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I291"/>
  <c r="CD291" s="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I290"/>
  <c r="CD290" s="1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CA289" s="1"/>
  <c r="CH289" s="1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CA288" s="1"/>
  <c r="CH288" s="1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E288"/>
  <c r="CF288" s="1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E287"/>
  <c r="CF287" s="1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AI287" s="1"/>
  <c r="CD287" s="1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5"/>
  <c r="CH285" s="1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CA284"/>
  <c r="CH284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BE283" s="1"/>
  <c r="CF283" s="1"/>
  <c r="AS283"/>
  <c r="AR283"/>
  <c r="AQ283"/>
  <c r="AP283"/>
  <c r="AO283"/>
  <c r="AN283"/>
  <c r="AM283"/>
  <c r="AL283"/>
  <c r="AK283"/>
  <c r="AJ283"/>
  <c r="AH283"/>
  <c r="AG283"/>
  <c r="AF283"/>
  <c r="AE283"/>
  <c r="AI283" s="1"/>
  <c r="CD283" s="1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CA283" s="1"/>
  <c r="CH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BE280" s="1"/>
  <c r="CF280" s="1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AI280" s="1"/>
  <c r="CD280" s="1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I279"/>
  <c r="CD279" s="1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I278"/>
  <c r="CD278" s="1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CA277" s="1"/>
  <c r="CH277" s="1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E276"/>
  <c r="CF276" s="1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AI276" s="1"/>
  <c r="CD276" s="1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E275"/>
  <c r="CF275" s="1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AI275" s="1"/>
  <c r="CD275" s="1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E273" s="1"/>
  <c r="CF273" s="1"/>
  <c r="CA272"/>
  <c r="CH272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BE271" s="1"/>
  <c r="CF271" s="1"/>
  <c r="AS271"/>
  <c r="AR271"/>
  <c r="AQ271"/>
  <c r="AP271"/>
  <c r="AO271"/>
  <c r="AN271"/>
  <c r="AM271"/>
  <c r="AL271"/>
  <c r="AK271"/>
  <c r="AJ271"/>
  <c r="AH271"/>
  <c r="AG271"/>
  <c r="AF271"/>
  <c r="AE271"/>
  <c r="AI271" s="1"/>
  <c r="CD271" s="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CA268" s="1"/>
  <c r="CH268" s="1"/>
  <c r="BO268"/>
  <c r="BN268"/>
  <c r="BM268"/>
  <c r="BL268"/>
  <c r="BK268"/>
  <c r="BJ268"/>
  <c r="BI268"/>
  <c r="BH268"/>
  <c r="BG268"/>
  <c r="BF268"/>
  <c r="BD268"/>
  <c r="BC268"/>
  <c r="BB268"/>
  <c r="BA268"/>
  <c r="BE268" s="1"/>
  <c r="CF268" s="1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I267"/>
  <c r="CD267" s="1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I266"/>
  <c r="CD266" s="1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CA265" s="1"/>
  <c r="CH265" s="1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CA264" s="1"/>
  <c r="CH264" s="1"/>
  <c r="BR264"/>
  <c r="BQ264"/>
  <c r="BO264"/>
  <c r="BN264"/>
  <c r="BM264"/>
  <c r="BL264"/>
  <c r="BK264"/>
  <c r="BJ264"/>
  <c r="BI264"/>
  <c r="BH264"/>
  <c r="BG264"/>
  <c r="BF264"/>
  <c r="BE264"/>
  <c r="CF264" s="1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AI264" s="1"/>
  <c r="CD264" s="1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E263"/>
  <c r="CF263" s="1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BE261" s="1"/>
  <c r="CF261" s="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CA260"/>
  <c r="CH260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BE260" s="1"/>
  <c r="CF260" s="1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I259" s="1"/>
  <c r="CD259" s="1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BE256" s="1"/>
  <c r="CF256" s="1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I255"/>
  <c r="CD255" s="1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I254"/>
  <c r="CD254" s="1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CA253" s="1"/>
  <c r="CH253" s="1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CA252" s="1"/>
  <c r="CH252" s="1"/>
  <c r="BR252"/>
  <c r="BQ252"/>
  <c r="BO252"/>
  <c r="BN252"/>
  <c r="BM252"/>
  <c r="BL252"/>
  <c r="BK252"/>
  <c r="BJ252"/>
  <c r="BI252"/>
  <c r="BH252"/>
  <c r="BG252"/>
  <c r="BF252"/>
  <c r="BE252"/>
  <c r="CF252" s="1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AI252" s="1"/>
  <c r="CD252" s="1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E251"/>
  <c r="CF251" s="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AI251" s="1"/>
  <c r="CD251" s="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CA251" s="1"/>
  <c r="CH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BE249" s="1"/>
  <c r="CF249" s="1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CA248"/>
  <c r="CH248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BE247" s="1"/>
  <c r="CF247" s="1"/>
  <c r="AS247"/>
  <c r="AR247"/>
  <c r="AQ247"/>
  <c r="AP247"/>
  <c r="AO247"/>
  <c r="AN247"/>
  <c r="AM247"/>
  <c r="AL247"/>
  <c r="AK247"/>
  <c r="AJ247"/>
  <c r="AH247"/>
  <c r="AG247"/>
  <c r="AF247"/>
  <c r="AE247"/>
  <c r="AI247" s="1"/>
  <c r="CD247" s="1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CA247" s="1"/>
  <c r="CH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BE244" s="1"/>
  <c r="CF244" s="1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I243"/>
  <c r="CD243" s="1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I242"/>
  <c r="CD242" s="1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CA241" s="1"/>
  <c r="CH241" s="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CA240" s="1"/>
  <c r="CH240" s="1"/>
  <c r="BO240"/>
  <c r="BN240"/>
  <c r="BM240"/>
  <c r="BL240"/>
  <c r="BK240"/>
  <c r="BJ240"/>
  <c r="BI240"/>
  <c r="BH240"/>
  <c r="BG240"/>
  <c r="BF240"/>
  <c r="BE240"/>
  <c r="CF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AI240" s="1"/>
  <c r="CD240" s="1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E239"/>
  <c r="CF239" s="1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AI239" s="1"/>
  <c r="CD239" s="1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CA239" s="1"/>
  <c r="CH239" s="1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7"/>
  <c r="CH237" s="1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BE237" s="1"/>
  <c r="CF237" s="1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CA236"/>
  <c r="CH236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I235" s="1"/>
  <c r="CD235" s="1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CA235" s="1"/>
  <c r="CH235" s="1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BE232" s="1"/>
  <c r="CF232" s="1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I231"/>
  <c r="CD231" s="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I230"/>
  <c r="CD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CA229" s="1"/>
  <c r="CH229" s="1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E228"/>
  <c r="CF228" s="1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AI228" s="1"/>
  <c r="CD228" s="1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E227"/>
  <c r="CF227" s="1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BE225" s="1"/>
  <c r="CF225" s="1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CA224"/>
  <c r="CH224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BE224" s="1"/>
  <c r="CF224" s="1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I223" s="1"/>
  <c r="CD223" s="1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CA220" s="1"/>
  <c r="CH220" s="1"/>
  <c r="BO220"/>
  <c r="BN220"/>
  <c r="BM220"/>
  <c r="BL220"/>
  <c r="BK220"/>
  <c r="BJ220"/>
  <c r="BI220"/>
  <c r="BH220"/>
  <c r="BG220"/>
  <c r="BF220"/>
  <c r="BD220"/>
  <c r="BC220"/>
  <c r="BB220"/>
  <c r="BA220"/>
  <c r="BE220" s="1"/>
  <c r="CF220" s="1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I220" s="1"/>
  <c r="CD220" s="1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I219"/>
  <c r="CD219" s="1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I218"/>
  <c r="CD218" s="1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CA217" s="1"/>
  <c r="CH217" s="1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E216"/>
  <c r="CF216" s="1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AI216" s="1"/>
  <c r="CD216" s="1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E215"/>
  <c r="CF215" s="1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CA215" s="1"/>
  <c r="CH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BE213" s="1"/>
  <c r="CF213" s="1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CA212"/>
  <c r="CH212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BE212" s="1"/>
  <c r="CF212" s="1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AI212" s="1"/>
  <c r="CD212" s="1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BE211" s="1"/>
  <c r="CF211" s="1"/>
  <c r="AS211"/>
  <c r="AR211"/>
  <c r="AQ211"/>
  <c r="AP211"/>
  <c r="AO211"/>
  <c r="AN211"/>
  <c r="AM211"/>
  <c r="AL211"/>
  <c r="AK211"/>
  <c r="AJ211"/>
  <c r="AH211"/>
  <c r="AG211"/>
  <c r="AF211"/>
  <c r="AE211"/>
  <c r="AI211" s="1"/>
  <c r="CD211" s="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CA211" s="1"/>
  <c r="CH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BE208" s="1"/>
  <c r="CF208" s="1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I208" s="1"/>
  <c r="CD208" s="1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I207"/>
  <c r="CD207" s="1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I206"/>
  <c r="CD206" s="1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CA205" s="1"/>
  <c r="CH205" s="1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AI204" s="1"/>
  <c r="CD204" s="1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E203"/>
  <c r="CF203" s="1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A203" s="1"/>
  <c r="CH203" s="1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BE201" s="1"/>
  <c r="CF201" s="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CA200"/>
  <c r="CH200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I199" s="1"/>
  <c r="CD199" s="1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CA196" s="1"/>
  <c r="CH196" s="1"/>
  <c r="BO196"/>
  <c r="BN196"/>
  <c r="BM196"/>
  <c r="BL196"/>
  <c r="BK196"/>
  <c r="BJ196"/>
  <c r="BI196"/>
  <c r="BH196"/>
  <c r="BG196"/>
  <c r="BF196"/>
  <c r="BD196"/>
  <c r="BC196"/>
  <c r="BB196"/>
  <c r="BA196"/>
  <c r="BE196" s="1"/>
  <c r="CF196" s="1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I196" s="1"/>
  <c r="CD196" s="1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I195"/>
  <c r="CD195" s="1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I194"/>
  <c r="CD194" s="1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CA193" s="1"/>
  <c r="CH193" s="1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CA192" s="1"/>
  <c r="CH192" s="1"/>
  <c r="BO192"/>
  <c r="BN192"/>
  <c r="BM192"/>
  <c r="BL192"/>
  <c r="BK192"/>
  <c r="BJ192"/>
  <c r="BI192"/>
  <c r="BH192"/>
  <c r="BG192"/>
  <c r="BF192"/>
  <c r="BE192"/>
  <c r="CF192" s="1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AI192" s="1"/>
  <c r="CD192" s="1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E191"/>
  <c r="CF191" s="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A191" s="1"/>
  <c r="CH191" s="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89"/>
  <c r="CH189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BE189" s="1"/>
  <c r="CF189" s="1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CA188"/>
  <c r="CH188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I187" s="1"/>
  <c r="CD187" s="1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BE184" s="1"/>
  <c r="CF184" s="1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I183"/>
  <c r="CD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I182"/>
  <c r="CD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CA180" s="1"/>
  <c r="CH180" s="1"/>
  <c r="BO180"/>
  <c r="BN180"/>
  <c r="BM180"/>
  <c r="BL180"/>
  <c r="BK180"/>
  <c r="BJ180"/>
  <c r="BI180"/>
  <c r="BH180"/>
  <c r="BG180"/>
  <c r="BF180"/>
  <c r="BE180"/>
  <c r="CF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AI180" s="1"/>
  <c r="CD180" s="1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E179"/>
  <c r="CF179" s="1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CA179" s="1"/>
  <c r="CH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BE177" s="1"/>
  <c r="CF177" s="1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CA176"/>
  <c r="CH176" s="1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BE175" s="1"/>
  <c r="CF175" s="1"/>
  <c r="AS175"/>
  <c r="AR175"/>
  <c r="AQ175"/>
  <c r="AP175"/>
  <c r="AO175"/>
  <c r="AN175"/>
  <c r="AM175"/>
  <c r="AL175"/>
  <c r="AK175"/>
  <c r="AJ175"/>
  <c r="AH175"/>
  <c r="AG175"/>
  <c r="AF175"/>
  <c r="AE175"/>
  <c r="AI175" s="1"/>
  <c r="CD175" s="1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CA172" s="1"/>
  <c r="CH172" s="1"/>
  <c r="BO172"/>
  <c r="BN172"/>
  <c r="BM172"/>
  <c r="BL172"/>
  <c r="BK172"/>
  <c r="BJ172"/>
  <c r="BI172"/>
  <c r="BH172"/>
  <c r="BG172"/>
  <c r="BF172"/>
  <c r="BD172"/>
  <c r="BC172"/>
  <c r="BB172"/>
  <c r="BA172"/>
  <c r="BE172" s="1"/>
  <c r="CF172" s="1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I170"/>
  <c r="CD170" s="1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CA169" s="1"/>
  <c r="CH169" s="1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CA168" s="1"/>
  <c r="CH168" s="1"/>
  <c r="BO168"/>
  <c r="BN168"/>
  <c r="BM168"/>
  <c r="BL168"/>
  <c r="BK168"/>
  <c r="BJ168"/>
  <c r="BI168"/>
  <c r="BH168"/>
  <c r="BG168"/>
  <c r="BF168"/>
  <c r="BE168"/>
  <c r="CF168" s="1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AI168" s="1"/>
  <c r="CD168" s="1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E167"/>
  <c r="CF167" s="1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CA167" s="1"/>
  <c r="CH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BE165" s="1"/>
  <c r="CF165" s="1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CA164"/>
  <c r="CH164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BE164" s="1"/>
  <c r="CF164" s="1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I163" s="1"/>
  <c r="CD163" s="1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CA163" s="1"/>
  <c r="CH163" s="1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BE160" s="1"/>
  <c r="CF160" s="1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I159"/>
  <c r="CD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I158"/>
  <c r="CD158" s="1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CA157" s="1"/>
  <c r="CH157" s="1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AI156" s="1"/>
  <c r="CD156" s="1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E155"/>
  <c r="CF155" s="1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BE153" s="1"/>
  <c r="CF153" s="1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2"/>
  <c r="CH152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I151" s="1"/>
  <c r="CD151" s="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CA148" s="1"/>
  <c r="CH148" s="1"/>
  <c r="BO148"/>
  <c r="BN148"/>
  <c r="BM148"/>
  <c r="BL148"/>
  <c r="BK148"/>
  <c r="BJ148"/>
  <c r="BI148"/>
  <c r="BH148"/>
  <c r="BG148"/>
  <c r="BF148"/>
  <c r="BD148"/>
  <c r="BC148"/>
  <c r="BB148"/>
  <c r="BA148"/>
  <c r="BE148" s="1"/>
  <c r="CF148" s="1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I147"/>
  <c r="CD147" s="1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I146"/>
  <c r="CD146" s="1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CA145" s="1"/>
  <c r="CH145" s="1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E144"/>
  <c r="CF144" s="1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AI144" s="1"/>
  <c r="CD144" s="1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E143"/>
  <c r="CF143" s="1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AI143" s="1"/>
  <c r="CD143" s="1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CA143" s="1"/>
  <c r="CH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BE141" s="1"/>
  <c r="CF141" s="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CA140"/>
  <c r="CH140" s="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BE140" s="1"/>
  <c r="CF140" s="1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AI140" s="1"/>
  <c r="CD140" s="1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I139" s="1"/>
  <c r="CD139" s="1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CA139" s="1"/>
  <c r="CH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BE136" s="1"/>
  <c r="CF136" s="1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I136" s="1"/>
  <c r="CD136" s="1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I135"/>
  <c r="CD135" s="1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I134"/>
  <c r="CD134" s="1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CA133" s="1"/>
  <c r="CH133" s="1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BE133" s="1"/>
  <c r="CF133" s="1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AI132" s="1"/>
  <c r="CD132" s="1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E131"/>
  <c r="CF131" s="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CA131" s="1"/>
  <c r="CH131" s="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BE129" s="1"/>
  <c r="CF129" s="1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CA128"/>
  <c r="CH128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I127" s="1"/>
  <c r="CD127" s="1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CA124" s="1"/>
  <c r="CH124" s="1"/>
  <c r="BO124"/>
  <c r="BN124"/>
  <c r="BM124"/>
  <c r="BL124"/>
  <c r="BK124"/>
  <c r="BJ124"/>
  <c r="BI124"/>
  <c r="BH124"/>
  <c r="BG124"/>
  <c r="BF124"/>
  <c r="BD124"/>
  <c r="BC124"/>
  <c r="BB124"/>
  <c r="BA124"/>
  <c r="BE124" s="1"/>
  <c r="CF124" s="1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I122"/>
  <c r="CD122" s="1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CA121" s="1"/>
  <c r="CH121" s="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CA120" s="1"/>
  <c r="CH120" s="1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AI120" s="1"/>
  <c r="CD120" s="1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E119"/>
  <c r="CF119" s="1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CA119" s="1"/>
  <c r="CH119" s="1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BE117" s="1"/>
  <c r="CF117" s="1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CA116"/>
  <c r="CH116" s="1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I115" s="1"/>
  <c r="CD115" s="1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BE112" s="1"/>
  <c r="CF112" s="1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I112" s="1"/>
  <c r="CD112" s="1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I111"/>
  <c r="CD111" s="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I110"/>
  <c r="CD110" s="1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CA109" s="1"/>
  <c r="CH109" s="1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BE109" s="1"/>
  <c r="CF109" s="1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CA108" s="1"/>
  <c r="CH108" s="1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AI108" s="1"/>
  <c r="CD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E107"/>
  <c r="CF107" s="1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CA107" s="1"/>
  <c r="CH107" s="1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BE105" s="1"/>
  <c r="CF105" s="1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CA104"/>
  <c r="CH104" s="1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I103" s="1"/>
  <c r="CD103" s="1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CA100" s="1"/>
  <c r="CH100" s="1"/>
  <c r="BO100"/>
  <c r="BN100"/>
  <c r="BM100"/>
  <c r="BL100"/>
  <c r="BK100"/>
  <c r="BJ100"/>
  <c r="BI100"/>
  <c r="BH100"/>
  <c r="BG100"/>
  <c r="BF100"/>
  <c r="BD100"/>
  <c r="BC100"/>
  <c r="BB100"/>
  <c r="BA100"/>
  <c r="BE100" s="1"/>
  <c r="CF100" s="1"/>
  <c r="AZ100"/>
  <c r="AY100"/>
  <c r="AX100"/>
  <c r="AW100"/>
  <c r="AV100"/>
  <c r="AU100"/>
  <c r="AS100"/>
  <c r="AR100"/>
  <c r="AQ100"/>
  <c r="AP100"/>
  <c r="AO100"/>
  <c r="AT100" s="1"/>
  <c r="CE100" s="1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P99"/>
  <c r="CG99" s="1"/>
  <c r="BO99"/>
  <c r="BN99"/>
  <c r="BM99"/>
  <c r="BL99"/>
  <c r="BK99"/>
  <c r="BJ99"/>
  <c r="BI99"/>
  <c r="BH99"/>
  <c r="BG99"/>
  <c r="BF99"/>
  <c r="BE99"/>
  <c r="CF99" s="1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X99" s="1"/>
  <c r="CC99" s="1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E98"/>
  <c r="CF98" s="1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I98" s="1"/>
  <c r="CD98" s="1"/>
  <c r="AD98"/>
  <c r="AC98"/>
  <c r="AB98"/>
  <c r="AA98"/>
  <c r="Z98"/>
  <c r="Y98"/>
  <c r="W98"/>
  <c r="V98"/>
  <c r="U98"/>
  <c r="X98" s="1"/>
  <c r="CC98" s="1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E97"/>
  <c r="CF97" s="1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X97" s="1"/>
  <c r="CC97" s="1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CA95" s="1"/>
  <c r="CH95" s="1"/>
  <c r="BO95"/>
  <c r="BN95"/>
  <c r="BM95"/>
  <c r="BL95"/>
  <c r="BP95" s="1"/>
  <c r="CG95" s="1"/>
  <c r="BK95"/>
  <c r="BJ95"/>
  <c r="BI95"/>
  <c r="BH95"/>
  <c r="BG95"/>
  <c r="BF95"/>
  <c r="BD95"/>
  <c r="BC95"/>
  <c r="BB95"/>
  <c r="BA95"/>
  <c r="AZ95"/>
  <c r="BE95" s="1"/>
  <c r="CF95" s="1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I95" s="1"/>
  <c r="CD95" s="1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T94" s="1"/>
  <c r="CE94" s="1"/>
  <c r="AO94"/>
  <c r="AN94"/>
  <c r="AM94"/>
  <c r="AL94"/>
  <c r="AK94"/>
  <c r="AJ94"/>
  <c r="AH94"/>
  <c r="AG94"/>
  <c r="AF94"/>
  <c r="AE94"/>
  <c r="AD94"/>
  <c r="AI94" s="1"/>
  <c r="CD94" s="1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P93"/>
  <c r="CG93" s="1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T92" s="1"/>
  <c r="CE92" s="1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P91" s="1"/>
  <c r="CG91" s="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X91" s="1"/>
  <c r="CC91" s="1"/>
  <c r="P91"/>
  <c r="O91"/>
  <c r="N91"/>
  <c r="L91"/>
  <c r="K91"/>
  <c r="J91"/>
  <c r="I91"/>
  <c r="H91"/>
  <c r="G91"/>
  <c r="F91"/>
  <c r="E91"/>
  <c r="D91"/>
  <c r="C91"/>
  <c r="B91"/>
  <c r="A91"/>
  <c r="CA90"/>
  <c r="CH90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BE90" s="1"/>
  <c r="CF90" s="1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P90" s="1"/>
  <c r="CG90" s="1"/>
  <c r="BZ89"/>
  <c r="BY89"/>
  <c r="BX89"/>
  <c r="BW89"/>
  <c r="BV89"/>
  <c r="BU89"/>
  <c r="BT89"/>
  <c r="BS89"/>
  <c r="BR89"/>
  <c r="BQ89"/>
  <c r="CA89" s="1"/>
  <c r="CH89" s="1"/>
  <c r="BO89"/>
  <c r="BN89"/>
  <c r="BM89"/>
  <c r="BL89"/>
  <c r="BP89" s="1"/>
  <c r="CG89" s="1"/>
  <c r="BK89"/>
  <c r="BJ89"/>
  <c r="BI89"/>
  <c r="BH89"/>
  <c r="BG89"/>
  <c r="BF89"/>
  <c r="BD89"/>
  <c r="BC89"/>
  <c r="BB89"/>
  <c r="BA89"/>
  <c r="AZ89"/>
  <c r="BE89" s="1"/>
  <c r="CF89" s="1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I89" s="1"/>
  <c r="CD89" s="1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CE88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BE88" s="1"/>
  <c r="CF88" s="1"/>
  <c r="AS88"/>
  <c r="AR88"/>
  <c r="AQ88"/>
  <c r="AP88"/>
  <c r="AT88" s="1"/>
  <c r="AO88"/>
  <c r="AN88"/>
  <c r="AM88"/>
  <c r="AL88"/>
  <c r="AK88"/>
  <c r="AJ88"/>
  <c r="AH88"/>
  <c r="AG88"/>
  <c r="AF88"/>
  <c r="AE88"/>
  <c r="AD88"/>
  <c r="AI88" s="1"/>
  <c r="CD88" s="1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P87" s="1"/>
  <c r="CG87" s="1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T86" s="1"/>
  <c r="CE86" s="1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CA85" s="1"/>
  <c r="CH85" s="1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X85" s="1"/>
  <c r="CC85" s="1"/>
  <c r="O85"/>
  <c r="N85"/>
  <c r="L85"/>
  <c r="K85"/>
  <c r="J85"/>
  <c r="I85"/>
  <c r="H85"/>
  <c r="G85"/>
  <c r="F85"/>
  <c r="E85"/>
  <c r="D85"/>
  <c r="C85"/>
  <c r="B85"/>
  <c r="A85"/>
  <c r="CA84"/>
  <c r="CH84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CA83" s="1"/>
  <c r="CH83" s="1"/>
  <c r="BP83"/>
  <c r="CG83" s="1"/>
  <c r="BO83"/>
  <c r="BN83"/>
  <c r="BM83"/>
  <c r="BL83"/>
  <c r="BK83"/>
  <c r="BJ83"/>
  <c r="BI83"/>
  <c r="BH83"/>
  <c r="BG83"/>
  <c r="BF83"/>
  <c r="BE83"/>
  <c r="CF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BE82" s="1"/>
  <c r="CF82" s="1"/>
  <c r="AT82"/>
  <c r="CE82" s="1"/>
  <c r="AS82"/>
  <c r="AR82"/>
  <c r="AQ82"/>
  <c r="AP82"/>
  <c r="AO82"/>
  <c r="AN82"/>
  <c r="AM82"/>
  <c r="AL82"/>
  <c r="AK82"/>
  <c r="AJ82"/>
  <c r="AI82"/>
  <c r="CD82" s="1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P81" s="1"/>
  <c r="CG81" s="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T80" s="1"/>
  <c r="CE80" s="1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P79" s="1"/>
  <c r="CG79" s="1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X79" s="1"/>
  <c r="CC79" s="1"/>
  <c r="P79"/>
  <c r="O79"/>
  <c r="N79"/>
  <c r="L79"/>
  <c r="K79"/>
  <c r="J79"/>
  <c r="I79"/>
  <c r="H79"/>
  <c r="G79"/>
  <c r="F79"/>
  <c r="E79"/>
  <c r="D79"/>
  <c r="C79"/>
  <c r="B79"/>
  <c r="A79"/>
  <c r="CA78"/>
  <c r="CH78" s="1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BE78" s="1"/>
  <c r="CF78" s="1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P78" s="1"/>
  <c r="CG78" s="1"/>
  <c r="BZ77"/>
  <c r="BY77"/>
  <c r="BX77"/>
  <c r="BW77"/>
  <c r="BV77"/>
  <c r="BU77"/>
  <c r="BT77"/>
  <c r="BS77"/>
  <c r="BR77"/>
  <c r="BQ77"/>
  <c r="CA77" s="1"/>
  <c r="CH77" s="1"/>
  <c r="BO77"/>
  <c r="BN77"/>
  <c r="BM77"/>
  <c r="BL77"/>
  <c r="BP77" s="1"/>
  <c r="CG77" s="1"/>
  <c r="BK77"/>
  <c r="BJ77"/>
  <c r="BI77"/>
  <c r="BH77"/>
  <c r="BG77"/>
  <c r="BF77"/>
  <c r="BE77"/>
  <c r="CF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I77" s="1"/>
  <c r="CD77" s="1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BE76" s="1"/>
  <c r="CF76" s="1"/>
  <c r="AS76"/>
  <c r="AR76"/>
  <c r="AQ76"/>
  <c r="AP76"/>
  <c r="AT76" s="1"/>
  <c r="CE76" s="1"/>
  <c r="AO76"/>
  <c r="AN76"/>
  <c r="AM76"/>
  <c r="AL76"/>
  <c r="AK76"/>
  <c r="AJ76"/>
  <c r="AI76"/>
  <c r="CD76" s="1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P75" s="1"/>
  <c r="CG75" s="1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X75" s="1"/>
  <c r="CC75" s="1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CH74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T74" s="1"/>
  <c r="CE74" s="1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CA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X73" s="1"/>
  <c r="CC73" s="1"/>
  <c r="O73"/>
  <c r="N73"/>
  <c r="L73"/>
  <c r="K73"/>
  <c r="J73"/>
  <c r="I73"/>
  <c r="H73"/>
  <c r="G73"/>
  <c r="F73"/>
  <c r="E73"/>
  <c r="D73"/>
  <c r="C73"/>
  <c r="B73"/>
  <c r="A73"/>
  <c r="CA72"/>
  <c r="CH72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P72" s="1"/>
  <c r="CG72" s="1"/>
  <c r="BZ71"/>
  <c r="BY71"/>
  <c r="BX71"/>
  <c r="BW71"/>
  <c r="BV71"/>
  <c r="BU71"/>
  <c r="BT71"/>
  <c r="BS71"/>
  <c r="BR71"/>
  <c r="BQ71"/>
  <c r="CA71" s="1"/>
  <c r="CH71" s="1"/>
  <c r="BP71"/>
  <c r="CG71" s="1"/>
  <c r="BO71"/>
  <c r="BN71"/>
  <c r="BM71"/>
  <c r="BL71"/>
  <c r="BK71"/>
  <c r="BJ71"/>
  <c r="BI71"/>
  <c r="BH71"/>
  <c r="BG71"/>
  <c r="BF71"/>
  <c r="BE71"/>
  <c r="CF71" s="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CD70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BE70" s="1"/>
  <c r="CF70" s="1"/>
  <c r="AT70"/>
  <c r="CE70" s="1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P69"/>
  <c r="CG69" s="1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X69"/>
  <c r="CC69" s="1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T68" s="1"/>
  <c r="CE68" s="1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P67" s="1"/>
  <c r="CG67" s="1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X67" s="1"/>
  <c r="CC67" s="1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BE66" s="1"/>
  <c r="CF66" s="1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I65" s="1"/>
  <c r="CD65" s="1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T64"/>
  <c r="CE64" s="1"/>
  <c r="AS64"/>
  <c r="AR64"/>
  <c r="AQ64"/>
  <c r="AP64"/>
  <c r="AO64"/>
  <c r="AN64"/>
  <c r="AM64"/>
  <c r="AL64"/>
  <c r="AK64"/>
  <c r="AJ64"/>
  <c r="AH64"/>
  <c r="AG64"/>
  <c r="AF64"/>
  <c r="AE64"/>
  <c r="AD64"/>
  <c r="AI64" s="1"/>
  <c r="CD64" s="1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P63" s="1"/>
  <c r="CG63" s="1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X63"/>
  <c r="CC63" s="1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T62" s="1"/>
  <c r="CE62" s="1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CA61" s="1"/>
  <c r="CH61" s="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X61"/>
  <c r="CC61" s="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0"/>
  <c r="CH60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BE60" s="1"/>
  <c r="CF60" s="1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CA59" s="1"/>
  <c r="CH59" s="1"/>
  <c r="BP59"/>
  <c r="CG59" s="1"/>
  <c r="BO59"/>
  <c r="BN59"/>
  <c r="BM59"/>
  <c r="BL59"/>
  <c r="BK59"/>
  <c r="BJ59"/>
  <c r="BI59"/>
  <c r="BH59"/>
  <c r="BG59"/>
  <c r="BF59"/>
  <c r="BE59"/>
  <c r="CF59" s="1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I59" s="1"/>
  <c r="CD59" s="1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T59" s="1"/>
  <c r="CE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BE58" s="1"/>
  <c r="CF58" s="1"/>
  <c r="AT58"/>
  <c r="CE58" s="1"/>
  <c r="AS58"/>
  <c r="AR58"/>
  <c r="AQ58"/>
  <c r="AP58"/>
  <c r="AO58"/>
  <c r="AN58"/>
  <c r="AM58"/>
  <c r="AL58"/>
  <c r="AK58"/>
  <c r="AJ58"/>
  <c r="AI58"/>
  <c r="CD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P57" s="1"/>
  <c r="CG57" s="1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T56" s="1"/>
  <c r="CE56" s="1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P55" s="1"/>
  <c r="CG55" s="1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X55" s="1"/>
  <c r="CC55" s="1"/>
  <c r="P55"/>
  <c r="O55"/>
  <c r="N55"/>
  <c r="L55"/>
  <c r="K55"/>
  <c r="J55"/>
  <c r="I55"/>
  <c r="H55"/>
  <c r="G55"/>
  <c r="F55"/>
  <c r="E55"/>
  <c r="D55"/>
  <c r="C55"/>
  <c r="B55"/>
  <c r="A55"/>
  <c r="CA54"/>
  <c r="CH54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BE54" s="1"/>
  <c r="CF54" s="1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P54" s="1"/>
  <c r="CG54" s="1"/>
  <c r="BZ53"/>
  <c r="BY53"/>
  <c r="BX53"/>
  <c r="BW53"/>
  <c r="BV53"/>
  <c r="BU53"/>
  <c r="BT53"/>
  <c r="BS53"/>
  <c r="BR53"/>
  <c r="BQ53"/>
  <c r="CA53" s="1"/>
  <c r="CH53" s="1"/>
  <c r="BO53"/>
  <c r="BN53"/>
  <c r="BM53"/>
  <c r="BL53"/>
  <c r="BP53" s="1"/>
  <c r="CG53" s="1"/>
  <c r="BK53"/>
  <c r="BJ53"/>
  <c r="BI53"/>
  <c r="BH53"/>
  <c r="BG53"/>
  <c r="BF53"/>
  <c r="BE53"/>
  <c r="CF53" s="1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I53" s="1"/>
  <c r="CD53" s="1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BE52" s="1"/>
  <c r="CF52" s="1"/>
  <c r="AS52"/>
  <c r="AR52"/>
  <c r="AQ52"/>
  <c r="AP52"/>
  <c r="AT52" s="1"/>
  <c r="CE52" s="1"/>
  <c r="AO52"/>
  <c r="AN52"/>
  <c r="AM52"/>
  <c r="AL52"/>
  <c r="AK52"/>
  <c r="AJ52"/>
  <c r="AI52"/>
  <c r="CD52" s="1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P51" s="1"/>
  <c r="CG51" s="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X51" s="1"/>
  <c r="CC51" s="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T50" s="1"/>
  <c r="CE50" s="1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X49"/>
  <c r="CC49" s="1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E49" s="1"/>
  <c r="CF49" s="1"/>
  <c r="CA48"/>
  <c r="CH48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P48" s="1"/>
  <c r="CG48" s="1"/>
  <c r="BZ47"/>
  <c r="BY47"/>
  <c r="BX47"/>
  <c r="BW47"/>
  <c r="BV47"/>
  <c r="BU47"/>
  <c r="BT47"/>
  <c r="BS47"/>
  <c r="BR47"/>
  <c r="BQ47"/>
  <c r="CA47" s="1"/>
  <c r="CH47" s="1"/>
  <c r="BP47"/>
  <c r="CG47" s="1"/>
  <c r="BO47"/>
  <c r="BN47"/>
  <c r="BM47"/>
  <c r="BL47"/>
  <c r="BK47"/>
  <c r="BJ47"/>
  <c r="BI47"/>
  <c r="BH47"/>
  <c r="BG47"/>
  <c r="BF47"/>
  <c r="BE47"/>
  <c r="CF47" s="1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CD46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BE46" s="1"/>
  <c r="CF46" s="1"/>
  <c r="AT46"/>
  <c r="CE46" s="1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P45"/>
  <c r="CG45" s="1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X45"/>
  <c r="CC45" s="1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T44" s="1"/>
  <c r="CE44" s="1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P43" s="1"/>
  <c r="CG43" s="1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X43"/>
  <c r="CC43" s="1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BE42" s="1"/>
  <c r="CF42" s="1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BE41" s="1"/>
  <c r="CF41" s="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I41" s="1"/>
  <c r="CD41" s="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T40"/>
  <c r="CE40" s="1"/>
  <c r="AS40"/>
  <c r="AR40"/>
  <c r="AQ40"/>
  <c r="AP40"/>
  <c r="AO40"/>
  <c r="AN40"/>
  <c r="AM40"/>
  <c r="AL40"/>
  <c r="AK40"/>
  <c r="AJ40"/>
  <c r="AH40"/>
  <c r="AG40"/>
  <c r="AF40"/>
  <c r="AE40"/>
  <c r="AD40"/>
  <c r="AI40" s="1"/>
  <c r="CD40" s="1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P39" s="1"/>
  <c r="CG39" s="1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X39"/>
  <c r="CC39" s="1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T38" s="1"/>
  <c r="CE38" s="1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CA37" s="1"/>
  <c r="CH37" s="1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X37"/>
  <c r="CC37" s="1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CA36"/>
  <c r="CH36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BE36" s="1"/>
  <c r="CF36" s="1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CA35" s="1"/>
  <c r="CH35" s="1"/>
  <c r="BP35"/>
  <c r="CG35" s="1"/>
  <c r="BO35"/>
  <c r="BN35"/>
  <c r="BM35"/>
  <c r="BL35"/>
  <c r="BK35"/>
  <c r="BJ35"/>
  <c r="BI35"/>
  <c r="BH35"/>
  <c r="BG35"/>
  <c r="BF35"/>
  <c r="BE35"/>
  <c r="CF35" s="1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I35" s="1"/>
  <c r="CD35" s="1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M35" s="1"/>
  <c r="CB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BE34" s="1"/>
  <c r="CF34" s="1"/>
  <c r="AT34"/>
  <c r="CE34" s="1"/>
  <c r="AS34"/>
  <c r="AR34"/>
  <c r="AQ34"/>
  <c r="AP34"/>
  <c r="AO34"/>
  <c r="AN34"/>
  <c r="AM34"/>
  <c r="AL34"/>
  <c r="AK34"/>
  <c r="AJ34"/>
  <c r="AI34"/>
  <c r="CD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P33" s="1"/>
  <c r="CG33" s="1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T32" s="1"/>
  <c r="CE32" s="1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P31" s="1"/>
  <c r="CG31" s="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X31" s="1"/>
  <c r="CC31" s="1"/>
  <c r="P31"/>
  <c r="O31"/>
  <c r="N31"/>
  <c r="L31"/>
  <c r="K31"/>
  <c r="J31"/>
  <c r="I31"/>
  <c r="H31"/>
  <c r="G31"/>
  <c r="F31"/>
  <c r="E31"/>
  <c r="D31"/>
  <c r="C31"/>
  <c r="B31"/>
  <c r="A31"/>
  <c r="CA30"/>
  <c r="CH30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BE30" s="1"/>
  <c r="CF30" s="1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P30" s="1"/>
  <c r="CG30" s="1"/>
  <c r="BZ29"/>
  <c r="BY29"/>
  <c r="BX29"/>
  <c r="BW29"/>
  <c r="BV29"/>
  <c r="BU29"/>
  <c r="BT29"/>
  <c r="BS29"/>
  <c r="BR29"/>
  <c r="BQ29"/>
  <c r="CA29" s="1"/>
  <c r="CH29" s="1"/>
  <c r="BO29"/>
  <c r="BN29"/>
  <c r="BM29"/>
  <c r="BL29"/>
  <c r="BP29" s="1"/>
  <c r="CG29" s="1"/>
  <c r="BK29"/>
  <c r="BJ29"/>
  <c r="BI29"/>
  <c r="BH29"/>
  <c r="BG29"/>
  <c r="BF29"/>
  <c r="BE29"/>
  <c r="CF29" s="1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I29" s="1"/>
  <c r="CD29" s="1"/>
  <c r="AA29"/>
  <c r="Z29"/>
  <c r="Y29"/>
  <c r="X29"/>
  <c r="CC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T28" s="1"/>
  <c r="CE28" s="1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X28" s="1"/>
  <c r="CC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P27" s="1"/>
  <c r="CG27" s="1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X27" s="1"/>
  <c r="CC27" s="1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T26" s="1"/>
  <c r="CE26" s="1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CA26" s="1"/>
  <c r="CH26" s="1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X25" s="1"/>
  <c r="CC25" s="1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CA24" s="1"/>
  <c r="CH24" s="1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T24" s="1"/>
  <c r="CE24" s="1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P24" s="1"/>
  <c r="CG24" s="1"/>
  <c r="BZ23"/>
  <c r="BY23"/>
  <c r="BX23"/>
  <c r="BW23"/>
  <c r="BV23"/>
  <c r="BU23"/>
  <c r="BT23"/>
  <c r="BS23"/>
  <c r="BR23"/>
  <c r="BQ23"/>
  <c r="BO23"/>
  <c r="BN23"/>
  <c r="BM23"/>
  <c r="BL23"/>
  <c r="BP23" s="1"/>
  <c r="CG23" s="1"/>
  <c r="BK23"/>
  <c r="BJ23"/>
  <c r="BI23"/>
  <c r="BH23"/>
  <c r="BG23"/>
  <c r="BF23"/>
  <c r="BD23"/>
  <c r="BC23"/>
  <c r="BB23"/>
  <c r="BA23"/>
  <c r="AZ23"/>
  <c r="BE23" s="1"/>
  <c r="CF23" s="1"/>
  <c r="AY23"/>
  <c r="AX23"/>
  <c r="AW23"/>
  <c r="AV23"/>
  <c r="AU23"/>
  <c r="AS23"/>
  <c r="AR23"/>
  <c r="AQ23"/>
  <c r="AP23"/>
  <c r="AO23"/>
  <c r="AN23"/>
  <c r="AM23"/>
  <c r="AL23"/>
  <c r="AK23"/>
  <c r="AJ23"/>
  <c r="AT23" s="1"/>
  <c r="CE23" s="1"/>
  <c r="AH23"/>
  <c r="AG23"/>
  <c r="AF23"/>
  <c r="AE23"/>
  <c r="AD23"/>
  <c r="AC23"/>
  <c r="AB23"/>
  <c r="AI23" s="1"/>
  <c r="CD23" s="1"/>
  <c r="AA23"/>
  <c r="Z23"/>
  <c r="Y23"/>
  <c r="W23"/>
  <c r="V23"/>
  <c r="U23"/>
  <c r="T23"/>
  <c r="S23"/>
  <c r="R23"/>
  <c r="Q23"/>
  <c r="P23"/>
  <c r="X23" s="1"/>
  <c r="CC23" s="1"/>
  <c r="O23"/>
  <c r="N23"/>
  <c r="L23"/>
  <c r="K23"/>
  <c r="J23"/>
  <c r="I23"/>
  <c r="H23"/>
  <c r="G23"/>
  <c r="F23"/>
  <c r="E23"/>
  <c r="D23"/>
  <c r="C23"/>
  <c r="B23"/>
  <c r="A23"/>
  <c r="M23" s="1"/>
  <c r="CB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T22"/>
  <c r="CE22" s="1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AI22" s="1"/>
  <c r="CD22" s="1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P21" s="1"/>
  <c r="CG21" s="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X21"/>
  <c r="CC21" s="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T20" s="1"/>
  <c r="CE20" s="1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P19"/>
  <c r="CG19" s="1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X19" s="1"/>
  <c r="CC19" s="1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CA18" s="1"/>
  <c r="CH18" s="1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BE18" s="1"/>
  <c r="CF18" s="1"/>
  <c r="AW18"/>
  <c r="AV18"/>
  <c r="AU18"/>
  <c r="AS18"/>
  <c r="AR18"/>
  <c r="AQ18"/>
  <c r="AP18"/>
  <c r="AO18"/>
  <c r="AN18"/>
  <c r="AM18"/>
  <c r="AL18"/>
  <c r="AT18" s="1"/>
  <c r="CE18" s="1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P18" s="1"/>
  <c r="CG18" s="1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BE17" s="1"/>
  <c r="CF17" s="1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X17" s="1"/>
  <c r="CC17" s="1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P15" s="1"/>
  <c r="CG15" s="1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T14"/>
  <c r="CE14" s="1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X13"/>
  <c r="CC13" s="1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E13" s="1"/>
  <c r="CF13" s="1"/>
  <c r="BZ12"/>
  <c r="BY12"/>
  <c r="BX12"/>
  <c r="BW12"/>
  <c r="BV12"/>
  <c r="BU12"/>
  <c r="BT12"/>
  <c r="BS12"/>
  <c r="BR12"/>
  <c r="CA12" s="1"/>
  <c r="CH12" s="1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T12" s="1"/>
  <c r="CE12" s="1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CA11" s="1"/>
  <c r="CH11" s="1"/>
  <c r="BO11"/>
  <c r="BN11"/>
  <c r="BM11"/>
  <c r="BL11"/>
  <c r="BK11"/>
  <c r="BJ11"/>
  <c r="BI11"/>
  <c r="BH11"/>
  <c r="BP11" s="1"/>
  <c r="CG11" s="1"/>
  <c r="BG11"/>
  <c r="BF11"/>
  <c r="BE11"/>
  <c r="CF11" s="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I11" s="1"/>
  <c r="CD11" s="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CE10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T10" s="1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X10" s="1"/>
  <c r="CC10" s="1"/>
  <c r="BZ9"/>
  <c r="BY9"/>
  <c r="BX9"/>
  <c r="BW9"/>
  <c r="BV9"/>
  <c r="BU9"/>
  <c r="BT9"/>
  <c r="BS9"/>
  <c r="BR9"/>
  <c r="BQ9"/>
  <c r="BO9"/>
  <c r="BN9"/>
  <c r="BM9"/>
  <c r="BL9"/>
  <c r="BK9"/>
  <c r="BJ9"/>
  <c r="BI9"/>
  <c r="BP9" s="1"/>
  <c r="CG9" s="1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X9" s="1"/>
  <c r="CC9" s="1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T8" s="1"/>
  <c r="CE8" s="1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CA8" s="1"/>
  <c r="CH8" s="1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P7" s="1"/>
  <c r="CG7" s="1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CA6" s="1"/>
  <c r="CH6" s="1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T6" s="1"/>
  <c r="CE6" s="1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P5" s="1"/>
  <c r="CG5" s="1"/>
  <c r="BK5"/>
  <c r="BJ5"/>
  <c r="BI5"/>
  <c r="BH5"/>
  <c r="BG5"/>
  <c r="BF5"/>
  <c r="BD5"/>
  <c r="BC5"/>
  <c r="BB5"/>
  <c r="BA5"/>
  <c r="AZ5"/>
  <c r="BE5" s="1"/>
  <c r="CF5" s="1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I5" s="1"/>
  <c r="CD5" s="1"/>
  <c r="AA5"/>
  <c r="Z5"/>
  <c r="Y5"/>
  <c r="W5"/>
  <c r="V5"/>
  <c r="U5"/>
  <c r="T5"/>
  <c r="S5"/>
  <c r="R5"/>
  <c r="Q5"/>
  <c r="P5"/>
  <c r="X5" s="1"/>
  <c r="CC5" s="1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T4"/>
  <c r="CE4" s="1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AI4" s="1"/>
  <c r="CD4" s="1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P3" s="1"/>
  <c r="CG3" s="1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X3"/>
  <c r="CC3" s="1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N225" s="1"/>
  <c r="L224"/>
  <c r="K224"/>
  <c r="J224"/>
  <c r="N224" s="1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N220" s="1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N214" s="1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N212" s="1"/>
  <c r="L211"/>
  <c r="K211"/>
  <c r="J211"/>
  <c r="I211"/>
  <c r="H211"/>
  <c r="G211"/>
  <c r="F211"/>
  <c r="E211"/>
  <c r="D211"/>
  <c r="C211"/>
  <c r="B211"/>
  <c r="A211"/>
  <c r="M211" s="1"/>
  <c r="L210"/>
  <c r="K210"/>
  <c r="J210"/>
  <c r="N210" s="1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N208" s="1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N206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N198" s="1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N196" s="1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I193"/>
  <c r="H193"/>
  <c r="G193"/>
  <c r="F193"/>
  <c r="E193"/>
  <c r="D193"/>
  <c r="C193"/>
  <c r="B193"/>
  <c r="A193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N190" s="1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M187" s="1"/>
  <c r="L186"/>
  <c r="K186"/>
  <c r="J186"/>
  <c r="N186" s="1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N184" s="1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N182"/>
  <c r="L182"/>
  <c r="K182"/>
  <c r="J182"/>
  <c r="I182"/>
  <c r="H182"/>
  <c r="G182"/>
  <c r="F182"/>
  <c r="E182"/>
  <c r="D182"/>
  <c r="C182"/>
  <c r="B182"/>
  <c r="A182"/>
  <c r="M182" s="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I179"/>
  <c r="H179"/>
  <c r="G179"/>
  <c r="F179"/>
  <c r="E179"/>
  <c r="D179"/>
  <c r="C179"/>
  <c r="B179"/>
  <c r="A179"/>
  <c r="L178"/>
  <c r="K178"/>
  <c r="J178"/>
  <c r="N178" s="1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N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M173" s="1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N171" s="1"/>
  <c r="L170"/>
  <c r="K170"/>
  <c r="J170"/>
  <c r="I170"/>
  <c r="H170"/>
  <c r="G170"/>
  <c r="F170"/>
  <c r="E170"/>
  <c r="D170"/>
  <c r="C170"/>
  <c r="B170"/>
  <c r="A170"/>
  <c r="M170" s="1"/>
  <c r="L169"/>
  <c r="K169"/>
  <c r="J169"/>
  <c r="I169"/>
  <c r="H169"/>
  <c r="G169"/>
  <c r="F169"/>
  <c r="E169"/>
  <c r="D169"/>
  <c r="C169"/>
  <c r="B169"/>
  <c r="A169"/>
  <c r="N168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N166" s="1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N164"/>
  <c r="L164"/>
  <c r="K164"/>
  <c r="J164"/>
  <c r="I164"/>
  <c r="H164"/>
  <c r="G164"/>
  <c r="F164"/>
  <c r="E164"/>
  <c r="D164"/>
  <c r="C164"/>
  <c r="B164"/>
  <c r="A164"/>
  <c r="M164" s="1"/>
  <c r="L163"/>
  <c r="K163"/>
  <c r="J163"/>
  <c r="I163"/>
  <c r="H163"/>
  <c r="G163"/>
  <c r="F163"/>
  <c r="E163"/>
  <c r="D163"/>
  <c r="C163"/>
  <c r="B163"/>
  <c r="A163"/>
  <c r="L162"/>
  <c r="K162"/>
  <c r="J162"/>
  <c r="N162" s="1"/>
  <c r="I162"/>
  <c r="H162"/>
  <c r="G162"/>
  <c r="F162"/>
  <c r="E162"/>
  <c r="D162"/>
  <c r="C162"/>
  <c r="B162"/>
  <c r="A162"/>
  <c r="M162" s="1"/>
  <c r="L161"/>
  <c r="K161"/>
  <c r="J161"/>
  <c r="I161"/>
  <c r="H161"/>
  <c r="G161"/>
  <c r="F161"/>
  <c r="E161"/>
  <c r="D161"/>
  <c r="C161"/>
  <c r="B161"/>
  <c r="A161"/>
  <c r="L160"/>
  <c r="K160"/>
  <c r="J160"/>
  <c r="N160" s="1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N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I157"/>
  <c r="H157"/>
  <c r="G157"/>
  <c r="F157"/>
  <c r="E157"/>
  <c r="D157"/>
  <c r="C157"/>
  <c r="B157"/>
  <c r="A157"/>
  <c r="M157" s="1"/>
  <c r="N156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M151" s="1"/>
  <c r="N150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N144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N141" s="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N138"/>
  <c r="L138"/>
  <c r="K138"/>
  <c r="J138"/>
  <c r="I138"/>
  <c r="H138"/>
  <c r="G138"/>
  <c r="F138"/>
  <c r="E138"/>
  <c r="D138"/>
  <c r="C138"/>
  <c r="B138"/>
  <c r="A138"/>
  <c r="M138" s="1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N132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M128" s="1"/>
  <c r="L127"/>
  <c r="K127"/>
  <c r="N127" s="1"/>
  <c r="J127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N126" s="1"/>
  <c r="L125"/>
  <c r="K125"/>
  <c r="J125"/>
  <c r="N125" s="1"/>
  <c r="I125"/>
  <c r="H125"/>
  <c r="G125"/>
  <c r="F125"/>
  <c r="E125"/>
  <c r="D125"/>
  <c r="C125"/>
  <c r="B125"/>
  <c r="A125"/>
  <c r="L124"/>
  <c r="K124"/>
  <c r="J124"/>
  <c r="N124" s="1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N122"/>
  <c r="L122"/>
  <c r="K122"/>
  <c r="J122"/>
  <c r="I122"/>
  <c r="H122"/>
  <c r="G122"/>
  <c r="F122"/>
  <c r="E122"/>
  <c r="D122"/>
  <c r="C122"/>
  <c r="B122"/>
  <c r="A122"/>
  <c r="M122" s="1"/>
  <c r="L121"/>
  <c r="K121"/>
  <c r="N121" s="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N120" s="1"/>
  <c r="L119"/>
  <c r="K119"/>
  <c r="J119"/>
  <c r="N119" s="1"/>
  <c r="I119"/>
  <c r="H119"/>
  <c r="G119"/>
  <c r="F119"/>
  <c r="E119"/>
  <c r="D119"/>
  <c r="C119"/>
  <c r="B119"/>
  <c r="A119"/>
  <c r="L118"/>
  <c r="K118"/>
  <c r="J118"/>
  <c r="N118" s="1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K115"/>
  <c r="N115" s="1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N114" s="1"/>
  <c r="L113"/>
  <c r="K113"/>
  <c r="J113"/>
  <c r="N113" s="1"/>
  <c r="I113"/>
  <c r="H113"/>
  <c r="G113"/>
  <c r="F113"/>
  <c r="E113"/>
  <c r="D113"/>
  <c r="C113"/>
  <c r="B113"/>
  <c r="A113"/>
  <c r="L112"/>
  <c r="K112"/>
  <c r="J112"/>
  <c r="N112" s="1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N110"/>
  <c r="L110"/>
  <c r="K110"/>
  <c r="J110"/>
  <c r="I110"/>
  <c r="H110"/>
  <c r="G110"/>
  <c r="F110"/>
  <c r="E110"/>
  <c r="D110"/>
  <c r="C110"/>
  <c r="B110"/>
  <c r="A110"/>
  <c r="M110" s="1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N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N106" s="1"/>
  <c r="I106"/>
  <c r="H106"/>
  <c r="G106"/>
  <c r="F106"/>
  <c r="E106"/>
  <c r="D106"/>
  <c r="C106"/>
  <c r="B106"/>
  <c r="A106"/>
  <c r="M106" s="1"/>
  <c r="L105"/>
  <c r="K105"/>
  <c r="J105"/>
  <c r="N105" s="1"/>
  <c r="I105"/>
  <c r="H105"/>
  <c r="G105"/>
  <c r="F105"/>
  <c r="E105"/>
  <c r="D105"/>
  <c r="C105"/>
  <c r="B105"/>
  <c r="A105"/>
  <c r="M105" s="1"/>
  <c r="N104"/>
  <c r="L104"/>
  <c r="K104"/>
  <c r="J104"/>
  <c r="I104"/>
  <c r="H104"/>
  <c r="G104"/>
  <c r="F104"/>
  <c r="E104"/>
  <c r="D104"/>
  <c r="C104"/>
  <c r="B104"/>
  <c r="A104"/>
  <c r="L103"/>
  <c r="K103"/>
  <c r="N103" s="1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N102" s="1"/>
  <c r="L101"/>
  <c r="K101"/>
  <c r="J101"/>
  <c r="N101" s="1"/>
  <c r="I101"/>
  <c r="H101"/>
  <c r="G101"/>
  <c r="F101"/>
  <c r="E101"/>
  <c r="D101"/>
  <c r="C101"/>
  <c r="B101"/>
  <c r="A101"/>
  <c r="L100"/>
  <c r="K100"/>
  <c r="J100"/>
  <c r="N100" s="1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M99" s="1"/>
  <c r="N98"/>
  <c r="L98"/>
  <c r="K98"/>
  <c r="J98"/>
  <c r="I98"/>
  <c r="H98"/>
  <c r="G98"/>
  <c r="F98"/>
  <c r="E98"/>
  <c r="D98"/>
  <c r="C98"/>
  <c r="B98"/>
  <c r="A98"/>
  <c r="L97"/>
  <c r="K97"/>
  <c r="N97" s="1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N96" s="1"/>
  <c r="L95"/>
  <c r="K95"/>
  <c r="J95"/>
  <c r="N95" s="1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M94" s="1"/>
  <c r="L93"/>
  <c r="K93"/>
  <c r="J93"/>
  <c r="N93" s="1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N90" s="1"/>
  <c r="L89"/>
  <c r="K89"/>
  <c r="J89"/>
  <c r="N89" s="1"/>
  <c r="I89"/>
  <c r="H89"/>
  <c r="G89"/>
  <c r="F89"/>
  <c r="E89"/>
  <c r="D89"/>
  <c r="C89"/>
  <c r="B89"/>
  <c r="A89"/>
  <c r="L88"/>
  <c r="K88"/>
  <c r="J88"/>
  <c r="N88" s="1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N86"/>
  <c r="L86"/>
  <c r="K86"/>
  <c r="J86"/>
  <c r="I86"/>
  <c r="H86"/>
  <c r="G86"/>
  <c r="F86"/>
  <c r="E86"/>
  <c r="D86"/>
  <c r="C86"/>
  <c r="B86"/>
  <c r="A86"/>
  <c r="M86" s="1"/>
  <c r="L85"/>
  <c r="K85"/>
  <c r="N85" s="1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N84" s="1"/>
  <c r="L83"/>
  <c r="K83"/>
  <c r="J83"/>
  <c r="N83" s="1"/>
  <c r="I83"/>
  <c r="H83"/>
  <c r="G83"/>
  <c r="F83"/>
  <c r="E83"/>
  <c r="D83"/>
  <c r="C83"/>
  <c r="B83"/>
  <c r="A83"/>
  <c r="L82"/>
  <c r="K82"/>
  <c r="J82"/>
  <c r="N82" s="1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N77" s="1"/>
  <c r="I77"/>
  <c r="H77"/>
  <c r="G77"/>
  <c r="F77"/>
  <c r="E77"/>
  <c r="D77"/>
  <c r="C77"/>
  <c r="B77"/>
  <c r="A77"/>
  <c r="L76"/>
  <c r="K76"/>
  <c r="J76"/>
  <c r="N76" s="1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N72" s="1"/>
  <c r="L71"/>
  <c r="K71"/>
  <c r="J71"/>
  <c r="N71" s="1"/>
  <c r="I71"/>
  <c r="H71"/>
  <c r="G71"/>
  <c r="F71"/>
  <c r="E71"/>
  <c r="D71"/>
  <c r="C71"/>
  <c r="B71"/>
  <c r="A71"/>
  <c r="L70"/>
  <c r="K70"/>
  <c r="J70"/>
  <c r="N70" s="1"/>
  <c r="I70"/>
  <c r="H70"/>
  <c r="G70"/>
  <c r="F70"/>
  <c r="E70"/>
  <c r="D70"/>
  <c r="C70"/>
  <c r="B70"/>
  <c r="A70"/>
  <c r="M70" s="1"/>
  <c r="L69"/>
  <c r="K69"/>
  <c r="J69"/>
  <c r="N69" s="1"/>
  <c r="I69"/>
  <c r="H69"/>
  <c r="G69"/>
  <c r="F69"/>
  <c r="E69"/>
  <c r="D69"/>
  <c r="C69"/>
  <c r="B69"/>
  <c r="A69"/>
  <c r="M69" s="1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N66" s="1"/>
  <c r="L65"/>
  <c r="K65"/>
  <c r="J65"/>
  <c r="N65" s="1"/>
  <c r="I65"/>
  <c r="H65"/>
  <c r="G65"/>
  <c r="F65"/>
  <c r="E65"/>
  <c r="D65"/>
  <c r="C65"/>
  <c r="B65"/>
  <c r="A65"/>
  <c r="L64"/>
  <c r="K64"/>
  <c r="J64"/>
  <c r="N64" s="1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N60" s="1"/>
  <c r="L59"/>
  <c r="K59"/>
  <c r="J59"/>
  <c r="N59" s="1"/>
  <c r="I59"/>
  <c r="H59"/>
  <c r="G59"/>
  <c r="F59"/>
  <c r="E59"/>
  <c r="D59"/>
  <c r="C59"/>
  <c r="B59"/>
  <c r="A59"/>
  <c r="L58"/>
  <c r="K58"/>
  <c r="J58"/>
  <c r="N58" s="1"/>
  <c r="I58"/>
  <c r="H58"/>
  <c r="G58"/>
  <c r="F58"/>
  <c r="E58"/>
  <c r="D58"/>
  <c r="C58"/>
  <c r="B58"/>
  <c r="A58"/>
  <c r="M58" s="1"/>
  <c r="L57"/>
  <c r="K57"/>
  <c r="J57"/>
  <c r="N57" s="1"/>
  <c r="I57"/>
  <c r="H57"/>
  <c r="G57"/>
  <c r="F57"/>
  <c r="E57"/>
  <c r="D57"/>
  <c r="C57"/>
  <c r="B57"/>
  <c r="A57"/>
  <c r="M57" s="1"/>
  <c r="N56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N54" s="1"/>
  <c r="L53"/>
  <c r="K53"/>
  <c r="J53"/>
  <c r="N53" s="1"/>
  <c r="I53"/>
  <c r="H53"/>
  <c r="G53"/>
  <c r="F53"/>
  <c r="E53"/>
  <c r="D53"/>
  <c r="C53"/>
  <c r="B53"/>
  <c r="A53"/>
  <c r="L52"/>
  <c r="K52"/>
  <c r="J52"/>
  <c r="N52" s="1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M50" s="1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N48" s="1"/>
  <c r="L47"/>
  <c r="K47"/>
  <c r="J47"/>
  <c r="N47" s="1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N42" s="1"/>
  <c r="L41"/>
  <c r="K41"/>
  <c r="J41"/>
  <c r="N41" s="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M39" s="1"/>
  <c r="N38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N34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M28" s="1"/>
  <c r="L27"/>
  <c r="K27"/>
  <c r="J27"/>
  <c r="N27" s="1"/>
  <c r="I27"/>
  <c r="H27"/>
  <c r="G27"/>
  <c r="F27"/>
  <c r="E27"/>
  <c r="D27"/>
  <c r="C27"/>
  <c r="B27"/>
  <c r="A27"/>
  <c r="M27" s="1"/>
  <c r="L26"/>
  <c r="N26" s="1"/>
  <c r="K26"/>
  <c r="J26"/>
  <c r="I26"/>
  <c r="H26"/>
  <c r="G26"/>
  <c r="F26"/>
  <c r="E26"/>
  <c r="D26"/>
  <c r="C26"/>
  <c r="B26"/>
  <c r="A26"/>
  <c r="N25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M21" s="1"/>
  <c r="N20"/>
  <c r="L20"/>
  <c r="K20"/>
  <c r="J20"/>
  <c r="I20"/>
  <c r="H20"/>
  <c r="G20"/>
  <c r="F20"/>
  <c r="E20"/>
  <c r="D20"/>
  <c r="C20"/>
  <c r="B20"/>
  <c r="A20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M10" s="1"/>
  <c r="L9"/>
  <c r="K9"/>
  <c r="J9"/>
  <c r="N9" s="1"/>
  <c r="I9"/>
  <c r="H9"/>
  <c r="G9"/>
  <c r="F9"/>
  <c r="E9"/>
  <c r="D9"/>
  <c r="C9"/>
  <c r="B9"/>
  <c r="A9"/>
  <c r="M9" s="1"/>
  <c r="L8"/>
  <c r="N8" s="1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M3" s="1"/>
  <c r="T263" i="3"/>
  <c r="Y263" s="1"/>
  <c r="S263"/>
  <c r="X263" s="1"/>
  <c r="Q263"/>
  <c r="N263"/>
  <c r="M263"/>
  <c r="L263"/>
  <c r="K263"/>
  <c r="J263"/>
  <c r="I263"/>
  <c r="O263" s="1"/>
  <c r="H263"/>
  <c r="V263" s="1"/>
  <c r="AA263" s="1"/>
  <c r="G263"/>
  <c r="U263" s="1"/>
  <c r="Z263" s="1"/>
  <c r="F263"/>
  <c r="E263"/>
  <c r="D263"/>
  <c r="R263" s="1"/>
  <c r="W263" s="1"/>
  <c r="C263"/>
  <c r="B263"/>
  <c r="A263"/>
  <c r="U262"/>
  <c r="Z262" s="1"/>
  <c r="R262"/>
  <c r="W262" s="1"/>
  <c r="O262"/>
  <c r="N262"/>
  <c r="M262"/>
  <c r="L262"/>
  <c r="K262"/>
  <c r="J262"/>
  <c r="I262"/>
  <c r="H262"/>
  <c r="V262" s="1"/>
  <c r="AA262" s="1"/>
  <c r="G262"/>
  <c r="F262"/>
  <c r="T262" s="1"/>
  <c r="Y262" s="1"/>
  <c r="E262"/>
  <c r="S262" s="1"/>
  <c r="X262" s="1"/>
  <c r="D262"/>
  <c r="C262"/>
  <c r="Q262" s="1"/>
  <c r="B262"/>
  <c r="A262"/>
  <c r="T261"/>
  <c r="Y261" s="1"/>
  <c r="S261"/>
  <c r="X261" s="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Q261" s="1"/>
  <c r="B261"/>
  <c r="A261"/>
  <c r="T260"/>
  <c r="Y260" s="1"/>
  <c r="S260"/>
  <c r="X260" s="1"/>
  <c r="Q260"/>
  <c r="N260"/>
  <c r="M260"/>
  <c r="L260"/>
  <c r="K260"/>
  <c r="J260"/>
  <c r="I260"/>
  <c r="O260" s="1"/>
  <c r="H260"/>
  <c r="V260" s="1"/>
  <c r="AA260" s="1"/>
  <c r="G260"/>
  <c r="U260" s="1"/>
  <c r="Z260" s="1"/>
  <c r="F260"/>
  <c r="E260"/>
  <c r="D260"/>
  <c r="R260" s="1"/>
  <c r="W260" s="1"/>
  <c r="C260"/>
  <c r="B260"/>
  <c r="A260"/>
  <c r="U259"/>
  <c r="Z259" s="1"/>
  <c r="R259"/>
  <c r="W259" s="1"/>
  <c r="Q259"/>
  <c r="O259"/>
  <c r="N259"/>
  <c r="M259"/>
  <c r="L259"/>
  <c r="K259"/>
  <c r="J259"/>
  <c r="I259"/>
  <c r="H259"/>
  <c r="V259" s="1"/>
  <c r="AA259" s="1"/>
  <c r="G259"/>
  <c r="F259"/>
  <c r="T259" s="1"/>
  <c r="Y259" s="1"/>
  <c r="E259"/>
  <c r="S259" s="1"/>
  <c r="X259" s="1"/>
  <c r="D259"/>
  <c r="C259"/>
  <c r="B259"/>
  <c r="A259"/>
  <c r="T258"/>
  <c r="Y258" s="1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D258"/>
  <c r="R258" s="1"/>
  <c r="W258" s="1"/>
  <c r="C258"/>
  <c r="Q258" s="1"/>
  <c r="B258"/>
  <c r="A258"/>
  <c r="T257"/>
  <c r="Y257" s="1"/>
  <c r="S257"/>
  <c r="X257" s="1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E257"/>
  <c r="D257"/>
  <c r="R257" s="1"/>
  <c r="W257" s="1"/>
  <c r="C257"/>
  <c r="B257"/>
  <c r="A257"/>
  <c r="V256"/>
  <c r="AA256" s="1"/>
  <c r="U256"/>
  <c r="Z256" s="1"/>
  <c r="T256"/>
  <c r="Y256" s="1"/>
  <c r="Q256"/>
  <c r="N256"/>
  <c r="M256"/>
  <c r="L256"/>
  <c r="K256"/>
  <c r="J256"/>
  <c r="I256"/>
  <c r="O256" s="1"/>
  <c r="H256"/>
  <c r="G256"/>
  <c r="F256"/>
  <c r="E256"/>
  <c r="S256" s="1"/>
  <c r="X256" s="1"/>
  <c r="D256"/>
  <c r="R256" s="1"/>
  <c r="W256" s="1"/>
  <c r="C256"/>
  <c r="B256"/>
  <c r="A256"/>
  <c r="T255"/>
  <c r="Y255" s="1"/>
  <c r="S255"/>
  <c r="X255" s="1"/>
  <c r="O255"/>
  <c r="N255"/>
  <c r="M255"/>
  <c r="L255"/>
  <c r="K255"/>
  <c r="J255"/>
  <c r="I255"/>
  <c r="H255"/>
  <c r="V255" s="1"/>
  <c r="AA255" s="1"/>
  <c r="G255"/>
  <c r="U255" s="1"/>
  <c r="Z255" s="1"/>
  <c r="F255"/>
  <c r="E255"/>
  <c r="D255"/>
  <c r="R255" s="1"/>
  <c r="W255" s="1"/>
  <c r="C255"/>
  <c r="Q255" s="1"/>
  <c r="B255"/>
  <c r="A255"/>
  <c r="S254"/>
  <c r="X254" s="1"/>
  <c r="R254"/>
  <c r="W254" s="1"/>
  <c r="Q254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D254"/>
  <c r="C254"/>
  <c r="B254"/>
  <c r="A254"/>
  <c r="V253"/>
  <c r="AA253" s="1"/>
  <c r="U253"/>
  <c r="Z253" s="1"/>
  <c r="T253"/>
  <c r="Y253" s="1"/>
  <c r="R253"/>
  <c r="W253" s="1"/>
  <c r="N253"/>
  <c r="M253"/>
  <c r="L253"/>
  <c r="K253"/>
  <c r="J253"/>
  <c r="I253"/>
  <c r="O253" s="1"/>
  <c r="H253"/>
  <c r="G253"/>
  <c r="F253"/>
  <c r="E253"/>
  <c r="S253" s="1"/>
  <c r="X253" s="1"/>
  <c r="D253"/>
  <c r="C253"/>
  <c r="Q253" s="1"/>
  <c r="B253"/>
  <c r="A253"/>
  <c r="T252"/>
  <c r="Y252" s="1"/>
  <c r="S252"/>
  <c r="X252" s="1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T251"/>
  <c r="Y251" s="1"/>
  <c r="S251"/>
  <c r="X251" s="1"/>
  <c r="Q251"/>
  <c r="N251"/>
  <c r="M251"/>
  <c r="L251"/>
  <c r="K251"/>
  <c r="J251"/>
  <c r="I251"/>
  <c r="O251" s="1"/>
  <c r="H251"/>
  <c r="V251" s="1"/>
  <c r="AA251" s="1"/>
  <c r="G251"/>
  <c r="U251" s="1"/>
  <c r="Z251" s="1"/>
  <c r="F251"/>
  <c r="E251"/>
  <c r="D251"/>
  <c r="R251" s="1"/>
  <c r="W251" s="1"/>
  <c r="C251"/>
  <c r="B251"/>
  <c r="A251"/>
  <c r="V250"/>
  <c r="AA250" s="1"/>
  <c r="U250"/>
  <c r="Z250" s="1"/>
  <c r="T250"/>
  <c r="Y250" s="1"/>
  <c r="Q250"/>
  <c r="N250"/>
  <c r="M250"/>
  <c r="L250"/>
  <c r="K250"/>
  <c r="J250"/>
  <c r="I250"/>
  <c r="O250" s="1"/>
  <c r="H250"/>
  <c r="G250"/>
  <c r="F250"/>
  <c r="E250"/>
  <c r="S250" s="1"/>
  <c r="X250" s="1"/>
  <c r="D250"/>
  <c r="R250" s="1"/>
  <c r="W250" s="1"/>
  <c r="C250"/>
  <c r="B250"/>
  <c r="A250"/>
  <c r="T249"/>
  <c r="Y249" s="1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E249"/>
  <c r="D249"/>
  <c r="R249" s="1"/>
  <c r="W249" s="1"/>
  <c r="C249"/>
  <c r="Q249" s="1"/>
  <c r="B249"/>
  <c r="A249"/>
  <c r="S248"/>
  <c r="X248" s="1"/>
  <c r="R248"/>
  <c r="W248" s="1"/>
  <c r="Q248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D248"/>
  <c r="C248"/>
  <c r="B248"/>
  <c r="A248"/>
  <c r="V247"/>
  <c r="AA247" s="1"/>
  <c r="U247"/>
  <c r="Z247" s="1"/>
  <c r="T247"/>
  <c r="Y247" s="1"/>
  <c r="R247"/>
  <c r="W247" s="1"/>
  <c r="O247"/>
  <c r="N247"/>
  <c r="M247"/>
  <c r="L247"/>
  <c r="K247"/>
  <c r="J247"/>
  <c r="I247"/>
  <c r="H247"/>
  <c r="G247"/>
  <c r="F247"/>
  <c r="E247"/>
  <c r="S247" s="1"/>
  <c r="X247" s="1"/>
  <c r="D247"/>
  <c r="C247"/>
  <c r="Q247" s="1"/>
  <c r="B247"/>
  <c r="A247"/>
  <c r="T246"/>
  <c r="Y246" s="1"/>
  <c r="S246"/>
  <c r="X246" s="1"/>
  <c r="N246"/>
  <c r="M246"/>
  <c r="L246"/>
  <c r="K246"/>
  <c r="J246"/>
  <c r="I246"/>
  <c r="O246" s="1"/>
  <c r="H246"/>
  <c r="V246" s="1"/>
  <c r="AA246" s="1"/>
  <c r="G246"/>
  <c r="U246" s="1"/>
  <c r="Z246" s="1"/>
  <c r="F246"/>
  <c r="E246"/>
  <c r="D246"/>
  <c r="R246" s="1"/>
  <c r="W246" s="1"/>
  <c r="C246"/>
  <c r="Q246" s="1"/>
  <c r="B246"/>
  <c r="A246"/>
  <c r="T245"/>
  <c r="Y245" s="1"/>
  <c r="S245"/>
  <c r="X245" s="1"/>
  <c r="Q245"/>
  <c r="N245"/>
  <c r="M245"/>
  <c r="L245"/>
  <c r="K245"/>
  <c r="J245"/>
  <c r="I245"/>
  <c r="O245" s="1"/>
  <c r="H245"/>
  <c r="V245" s="1"/>
  <c r="AA245" s="1"/>
  <c r="G245"/>
  <c r="U245" s="1"/>
  <c r="Z245" s="1"/>
  <c r="F245"/>
  <c r="E245"/>
  <c r="D245"/>
  <c r="R245" s="1"/>
  <c r="W245" s="1"/>
  <c r="C245"/>
  <c r="B245"/>
  <c r="A245"/>
  <c r="V244"/>
  <c r="AA244" s="1"/>
  <c r="U244"/>
  <c r="Z244" s="1"/>
  <c r="T244"/>
  <c r="Y244" s="1"/>
  <c r="R244"/>
  <c r="W244" s="1"/>
  <c r="Q244"/>
  <c r="N244"/>
  <c r="M244"/>
  <c r="L244"/>
  <c r="K244"/>
  <c r="J244"/>
  <c r="I244"/>
  <c r="O244" s="1"/>
  <c r="H244"/>
  <c r="G244"/>
  <c r="F244"/>
  <c r="E244"/>
  <c r="S244" s="1"/>
  <c r="X244" s="1"/>
  <c r="D244"/>
  <c r="C244"/>
  <c r="B244"/>
  <c r="A244"/>
  <c r="T243"/>
  <c r="Y243" s="1"/>
  <c r="S243"/>
  <c r="X243" s="1"/>
  <c r="N243"/>
  <c r="M243"/>
  <c r="L243"/>
  <c r="K243"/>
  <c r="J243"/>
  <c r="I243"/>
  <c r="O243" s="1"/>
  <c r="H243"/>
  <c r="V243" s="1"/>
  <c r="AA243" s="1"/>
  <c r="G243"/>
  <c r="U243" s="1"/>
  <c r="Z243" s="1"/>
  <c r="F243"/>
  <c r="E243"/>
  <c r="D243"/>
  <c r="R243" s="1"/>
  <c r="W243" s="1"/>
  <c r="C243"/>
  <c r="Q243" s="1"/>
  <c r="B243"/>
  <c r="A243"/>
  <c r="T242"/>
  <c r="Y242" s="1"/>
  <c r="S242"/>
  <c r="X242" s="1"/>
  <c r="Q242"/>
  <c r="O242"/>
  <c r="N242"/>
  <c r="M242"/>
  <c r="L242"/>
  <c r="K242"/>
  <c r="J242"/>
  <c r="I242"/>
  <c r="H242"/>
  <c r="V242" s="1"/>
  <c r="AA242" s="1"/>
  <c r="G242"/>
  <c r="U242" s="1"/>
  <c r="Z242" s="1"/>
  <c r="F242"/>
  <c r="E242"/>
  <c r="D242"/>
  <c r="R242" s="1"/>
  <c r="W242" s="1"/>
  <c r="C242"/>
  <c r="B242"/>
  <c r="A242"/>
  <c r="U241"/>
  <c r="Z241" s="1"/>
  <c r="O241"/>
  <c r="N241"/>
  <c r="M241"/>
  <c r="L241"/>
  <c r="K241"/>
  <c r="J241"/>
  <c r="I241"/>
  <c r="H241"/>
  <c r="V241" s="1"/>
  <c r="AA241" s="1"/>
  <c r="G241"/>
  <c r="F241"/>
  <c r="T241" s="1"/>
  <c r="Y241" s="1"/>
  <c r="E241"/>
  <c r="S241" s="1"/>
  <c r="X241" s="1"/>
  <c r="D241"/>
  <c r="R241" s="1"/>
  <c r="W241" s="1"/>
  <c r="C241"/>
  <c r="Q241" s="1"/>
  <c r="B241"/>
  <c r="A241"/>
  <c r="T240"/>
  <c r="Y240" s="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R240" s="1"/>
  <c r="W240" s="1"/>
  <c r="C240"/>
  <c r="Q240" s="1"/>
  <c r="B240"/>
  <c r="A240"/>
  <c r="T239"/>
  <c r="Y239" s="1"/>
  <c r="R239"/>
  <c r="W239" s="1"/>
  <c r="Q239"/>
  <c r="N239"/>
  <c r="M239"/>
  <c r="L239"/>
  <c r="K239"/>
  <c r="J239"/>
  <c r="I239"/>
  <c r="O239" s="1"/>
  <c r="H239"/>
  <c r="V239" s="1"/>
  <c r="AA239" s="1"/>
  <c r="G239"/>
  <c r="U239" s="1"/>
  <c r="Z239" s="1"/>
  <c r="F239"/>
  <c r="E239"/>
  <c r="S239" s="1"/>
  <c r="X239" s="1"/>
  <c r="D239"/>
  <c r="C239"/>
  <c r="B239"/>
  <c r="A239"/>
  <c r="U238"/>
  <c r="Z238" s="1"/>
  <c r="R238"/>
  <c r="W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S238" s="1"/>
  <c r="X238" s="1"/>
  <c r="D238"/>
  <c r="C238"/>
  <c r="B238"/>
  <c r="A238"/>
  <c r="T237"/>
  <c r="Y237" s="1"/>
  <c r="S237"/>
  <c r="X237" s="1"/>
  <c r="O237"/>
  <c r="N237"/>
  <c r="M237"/>
  <c r="L237"/>
  <c r="K237"/>
  <c r="J237"/>
  <c r="I237"/>
  <c r="H237"/>
  <c r="V237" s="1"/>
  <c r="AA237" s="1"/>
  <c r="G237"/>
  <c r="U237" s="1"/>
  <c r="Z237" s="1"/>
  <c r="F237"/>
  <c r="E237"/>
  <c r="D237"/>
  <c r="R237" s="1"/>
  <c r="W237" s="1"/>
  <c r="C237"/>
  <c r="Q237" s="1"/>
  <c r="B237"/>
  <c r="A237"/>
  <c r="T236"/>
  <c r="Y236" s="1"/>
  <c r="S236"/>
  <c r="X236" s="1"/>
  <c r="R236"/>
  <c r="W236" s="1"/>
  <c r="Q236"/>
  <c r="N236"/>
  <c r="M236"/>
  <c r="L236"/>
  <c r="K236"/>
  <c r="J236"/>
  <c r="I236"/>
  <c r="O236" s="1"/>
  <c r="H236"/>
  <c r="V236" s="1"/>
  <c r="AA236" s="1"/>
  <c r="G236"/>
  <c r="U236" s="1"/>
  <c r="Z236" s="1"/>
  <c r="F236"/>
  <c r="E236"/>
  <c r="D236"/>
  <c r="C236"/>
  <c r="B236"/>
  <c r="A236"/>
  <c r="U235"/>
  <c r="Z235" s="1"/>
  <c r="T235"/>
  <c r="Y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T234"/>
  <c r="Y234" s="1"/>
  <c r="S234"/>
  <c r="X234" s="1"/>
  <c r="N234"/>
  <c r="M234"/>
  <c r="L234"/>
  <c r="K234"/>
  <c r="J234"/>
  <c r="I234"/>
  <c r="O234" s="1"/>
  <c r="H234"/>
  <c r="V234" s="1"/>
  <c r="AA234" s="1"/>
  <c r="G234"/>
  <c r="U234" s="1"/>
  <c r="Z234" s="1"/>
  <c r="F234"/>
  <c r="E234"/>
  <c r="D234"/>
  <c r="R234" s="1"/>
  <c r="W234" s="1"/>
  <c r="C234"/>
  <c r="Q234" s="1"/>
  <c r="B234"/>
  <c r="A234"/>
  <c r="T233"/>
  <c r="Y233" s="1"/>
  <c r="R233"/>
  <c r="W233" s="1"/>
  <c r="Q233"/>
  <c r="N233"/>
  <c r="M233"/>
  <c r="L233"/>
  <c r="K233"/>
  <c r="J233"/>
  <c r="I233"/>
  <c r="O233" s="1"/>
  <c r="H233"/>
  <c r="V233" s="1"/>
  <c r="AA233" s="1"/>
  <c r="G233"/>
  <c r="U233" s="1"/>
  <c r="Z233" s="1"/>
  <c r="F233"/>
  <c r="E233"/>
  <c r="S233" s="1"/>
  <c r="X233" s="1"/>
  <c r="D233"/>
  <c r="C233"/>
  <c r="B233"/>
  <c r="A233"/>
  <c r="V232"/>
  <c r="AA232" s="1"/>
  <c r="U232"/>
  <c r="Z232" s="1"/>
  <c r="R232"/>
  <c r="W232" s="1"/>
  <c r="Q232"/>
  <c r="N232"/>
  <c r="M232"/>
  <c r="L232"/>
  <c r="K232"/>
  <c r="J232"/>
  <c r="I232"/>
  <c r="O232" s="1"/>
  <c r="H232"/>
  <c r="G232"/>
  <c r="F232"/>
  <c r="T232" s="1"/>
  <c r="Y232" s="1"/>
  <c r="E232"/>
  <c r="S232" s="1"/>
  <c r="X232" s="1"/>
  <c r="D232"/>
  <c r="C232"/>
  <c r="B232"/>
  <c r="A232"/>
  <c r="T231"/>
  <c r="Y231" s="1"/>
  <c r="S231"/>
  <c r="X231" s="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Q231" s="1"/>
  <c r="B231"/>
  <c r="A231"/>
  <c r="T230"/>
  <c r="Y230" s="1"/>
  <c r="S230"/>
  <c r="X230" s="1"/>
  <c r="R230"/>
  <c r="W230" s="1"/>
  <c r="Q230"/>
  <c r="N230"/>
  <c r="M230"/>
  <c r="L230"/>
  <c r="K230"/>
  <c r="J230"/>
  <c r="I230"/>
  <c r="O230" s="1"/>
  <c r="H230"/>
  <c r="V230" s="1"/>
  <c r="AA230" s="1"/>
  <c r="G230"/>
  <c r="U230" s="1"/>
  <c r="Z230" s="1"/>
  <c r="F230"/>
  <c r="E230"/>
  <c r="D230"/>
  <c r="C230"/>
  <c r="B230"/>
  <c r="A230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W229" s="1"/>
  <c r="C229"/>
  <c r="B229"/>
  <c r="A229"/>
  <c r="T228"/>
  <c r="Y228" s="1"/>
  <c r="S228"/>
  <c r="X228" s="1"/>
  <c r="N228"/>
  <c r="M228"/>
  <c r="L228"/>
  <c r="K228"/>
  <c r="J228"/>
  <c r="I228"/>
  <c r="O228" s="1"/>
  <c r="H228"/>
  <c r="V228" s="1"/>
  <c r="AA228" s="1"/>
  <c r="G228"/>
  <c r="U228" s="1"/>
  <c r="Z228" s="1"/>
  <c r="F228"/>
  <c r="E228"/>
  <c r="D228"/>
  <c r="R228" s="1"/>
  <c r="W228" s="1"/>
  <c r="C228"/>
  <c r="Q228" s="1"/>
  <c r="B228"/>
  <c r="A228"/>
  <c r="T227"/>
  <c r="Y227" s="1"/>
  <c r="R227"/>
  <c r="W227" s="1"/>
  <c r="Q227"/>
  <c r="N227"/>
  <c r="M227"/>
  <c r="L227"/>
  <c r="K227"/>
  <c r="J227"/>
  <c r="I227"/>
  <c r="O227" s="1"/>
  <c r="H227"/>
  <c r="V227" s="1"/>
  <c r="AA227" s="1"/>
  <c r="G227"/>
  <c r="U227" s="1"/>
  <c r="Z227" s="1"/>
  <c r="F227"/>
  <c r="E227"/>
  <c r="S227" s="1"/>
  <c r="X227" s="1"/>
  <c r="D227"/>
  <c r="C227"/>
  <c r="B227"/>
  <c r="A227"/>
  <c r="V226"/>
  <c r="AA226" s="1"/>
  <c r="U226"/>
  <c r="Z226" s="1"/>
  <c r="R226"/>
  <c r="W226" s="1"/>
  <c r="N226"/>
  <c r="M226"/>
  <c r="L226"/>
  <c r="K226"/>
  <c r="J226"/>
  <c r="I226"/>
  <c r="O226" s="1"/>
  <c r="H226"/>
  <c r="G226"/>
  <c r="F226"/>
  <c r="T226" s="1"/>
  <c r="Y226" s="1"/>
  <c r="E226"/>
  <c r="S226" s="1"/>
  <c r="X226" s="1"/>
  <c r="D226"/>
  <c r="C226"/>
  <c r="Q226" s="1"/>
  <c r="B226"/>
  <c r="A226"/>
  <c r="U225"/>
  <c r="Z225" s="1"/>
  <c r="T225"/>
  <c r="Y225" s="1"/>
  <c r="S225"/>
  <c r="X225" s="1"/>
  <c r="O225"/>
  <c r="N225"/>
  <c r="M225"/>
  <c r="L225"/>
  <c r="K225"/>
  <c r="J225"/>
  <c r="I225"/>
  <c r="H225"/>
  <c r="V225" s="1"/>
  <c r="AA225" s="1"/>
  <c r="G225"/>
  <c r="F225"/>
  <c r="E225"/>
  <c r="D225"/>
  <c r="R225" s="1"/>
  <c r="W225" s="1"/>
  <c r="C225"/>
  <c r="Q225" s="1"/>
  <c r="B225"/>
  <c r="A225"/>
  <c r="T224"/>
  <c r="Y224" s="1"/>
  <c r="R224"/>
  <c r="W224" s="1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C224"/>
  <c r="B224"/>
  <c r="A224"/>
  <c r="U223"/>
  <c r="Z223" s="1"/>
  <c r="O223"/>
  <c r="N223"/>
  <c r="M223"/>
  <c r="L223"/>
  <c r="K223"/>
  <c r="J223"/>
  <c r="I223"/>
  <c r="H223"/>
  <c r="V223" s="1"/>
  <c r="AA223" s="1"/>
  <c r="G223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S222"/>
  <c r="X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R222" s="1"/>
  <c r="W222" s="1"/>
  <c r="C222"/>
  <c r="Q222" s="1"/>
  <c r="B222"/>
  <c r="A222"/>
  <c r="T221"/>
  <c r="Y221" s="1"/>
  <c r="R221"/>
  <c r="W221" s="1"/>
  <c r="Q22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S221" s="1"/>
  <c r="X221" s="1"/>
  <c r="D221"/>
  <c r="C221"/>
  <c r="B221"/>
  <c r="A221"/>
  <c r="U220"/>
  <c r="Z220" s="1"/>
  <c r="R220"/>
  <c r="W220" s="1"/>
  <c r="Q220"/>
  <c r="O220"/>
  <c r="N220"/>
  <c r="M220"/>
  <c r="L220"/>
  <c r="K220"/>
  <c r="J220"/>
  <c r="I220"/>
  <c r="H220"/>
  <c r="V220" s="1"/>
  <c r="AA220" s="1"/>
  <c r="G220"/>
  <c r="F220"/>
  <c r="T220" s="1"/>
  <c r="Y220" s="1"/>
  <c r="E220"/>
  <c r="S220" s="1"/>
  <c r="X220" s="1"/>
  <c r="D220"/>
  <c r="C220"/>
  <c r="B220"/>
  <c r="A220"/>
  <c r="T219"/>
  <c r="Y219" s="1"/>
  <c r="S219"/>
  <c r="X219" s="1"/>
  <c r="O219"/>
  <c r="N219"/>
  <c r="M219"/>
  <c r="L219"/>
  <c r="K219"/>
  <c r="J219"/>
  <c r="I219"/>
  <c r="H219"/>
  <c r="V219" s="1"/>
  <c r="AA219" s="1"/>
  <c r="G219"/>
  <c r="U219" s="1"/>
  <c r="Z219" s="1"/>
  <c r="F219"/>
  <c r="E219"/>
  <c r="D219"/>
  <c r="R219" s="1"/>
  <c r="W219" s="1"/>
  <c r="C219"/>
  <c r="Q219" s="1"/>
  <c r="B219"/>
  <c r="A219"/>
  <c r="T218"/>
  <c r="Y218" s="1"/>
  <c r="S218"/>
  <c r="X218" s="1"/>
  <c r="R218"/>
  <c r="W218" s="1"/>
  <c r="Q218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C218"/>
  <c r="B218"/>
  <c r="A218"/>
  <c r="U217"/>
  <c r="Z217" s="1"/>
  <c r="T217"/>
  <c r="Y217" s="1"/>
  <c r="O217"/>
  <c r="N217"/>
  <c r="M217"/>
  <c r="L217"/>
  <c r="K217"/>
  <c r="J217"/>
  <c r="I217"/>
  <c r="H217"/>
  <c r="V217" s="1"/>
  <c r="AA217" s="1"/>
  <c r="G217"/>
  <c r="F217"/>
  <c r="E217"/>
  <c r="S217" s="1"/>
  <c r="X217" s="1"/>
  <c r="D217"/>
  <c r="R217" s="1"/>
  <c r="W217" s="1"/>
  <c r="C217"/>
  <c r="Q217" s="1"/>
  <c r="B217"/>
  <c r="A217"/>
  <c r="T216"/>
  <c r="Y216" s="1"/>
  <c r="S216"/>
  <c r="X216" s="1"/>
  <c r="N216"/>
  <c r="M216"/>
  <c r="L216"/>
  <c r="K216"/>
  <c r="J216"/>
  <c r="I216"/>
  <c r="O216" s="1"/>
  <c r="H216"/>
  <c r="V216" s="1"/>
  <c r="AA216" s="1"/>
  <c r="G216"/>
  <c r="U216" s="1"/>
  <c r="Z216" s="1"/>
  <c r="F216"/>
  <c r="E216"/>
  <c r="D216"/>
  <c r="R216" s="1"/>
  <c r="W216" s="1"/>
  <c r="C216"/>
  <c r="Q216" s="1"/>
  <c r="B216"/>
  <c r="A216"/>
  <c r="T215"/>
  <c r="Y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S215" s="1"/>
  <c r="X215" s="1"/>
  <c r="D215"/>
  <c r="R215" s="1"/>
  <c r="W215" s="1"/>
  <c r="C215"/>
  <c r="B215"/>
  <c r="A215"/>
  <c r="V214"/>
  <c r="AA214" s="1"/>
  <c r="U214"/>
  <c r="Z214" s="1"/>
  <c r="R214"/>
  <c r="W214" s="1"/>
  <c r="Q214"/>
  <c r="N214"/>
  <c r="M214"/>
  <c r="L214"/>
  <c r="K214"/>
  <c r="J214"/>
  <c r="I214"/>
  <c r="O214" s="1"/>
  <c r="H214"/>
  <c r="G214"/>
  <c r="F214"/>
  <c r="T214" s="1"/>
  <c r="Y214" s="1"/>
  <c r="E214"/>
  <c r="S214" s="1"/>
  <c r="X214" s="1"/>
  <c r="D214"/>
  <c r="C214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Q212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D212"/>
  <c r="C212"/>
  <c r="B212"/>
  <c r="A212"/>
  <c r="U211"/>
  <c r="Z211" s="1"/>
  <c r="T211"/>
  <c r="Y211" s="1"/>
  <c r="Q211"/>
  <c r="N211"/>
  <c r="M211"/>
  <c r="L211"/>
  <c r="K211"/>
  <c r="J211"/>
  <c r="I211"/>
  <c r="O211" s="1"/>
  <c r="H211"/>
  <c r="V211" s="1"/>
  <c r="AA211" s="1"/>
  <c r="G211"/>
  <c r="F211"/>
  <c r="E211"/>
  <c r="S211" s="1"/>
  <c r="X211" s="1"/>
  <c r="D211"/>
  <c r="R211" s="1"/>
  <c r="W211" s="1"/>
  <c r="C211"/>
  <c r="B211"/>
  <c r="A211"/>
  <c r="T210"/>
  <c r="Y210" s="1"/>
  <c r="S210"/>
  <c r="X210" s="1"/>
  <c r="N210"/>
  <c r="M210"/>
  <c r="L210"/>
  <c r="K210"/>
  <c r="J210"/>
  <c r="I210"/>
  <c r="O210" s="1"/>
  <c r="H210"/>
  <c r="V210" s="1"/>
  <c r="AA210" s="1"/>
  <c r="G210"/>
  <c r="U210" s="1"/>
  <c r="Z210" s="1"/>
  <c r="F210"/>
  <c r="E210"/>
  <c r="D210"/>
  <c r="R210" s="1"/>
  <c r="W210" s="1"/>
  <c r="C210"/>
  <c r="Q210" s="1"/>
  <c r="B210"/>
  <c r="A210"/>
  <c r="T209"/>
  <c r="Y209" s="1"/>
  <c r="R209"/>
  <c r="W209" s="1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B209"/>
  <c r="A209"/>
  <c r="V208"/>
  <c r="AA208" s="1"/>
  <c r="U208"/>
  <c r="Z208" s="1"/>
  <c r="R208"/>
  <c r="W208" s="1"/>
  <c r="N208"/>
  <c r="M208"/>
  <c r="L208"/>
  <c r="K208"/>
  <c r="J208"/>
  <c r="I208"/>
  <c r="O208" s="1"/>
  <c r="H208"/>
  <c r="G208"/>
  <c r="F208"/>
  <c r="T208" s="1"/>
  <c r="Y208" s="1"/>
  <c r="E208"/>
  <c r="S208" s="1"/>
  <c r="X208" s="1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R206"/>
  <c r="W206" s="1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E206"/>
  <c r="S206" s="1"/>
  <c r="X206" s="1"/>
  <c r="D206"/>
  <c r="C206"/>
  <c r="B206"/>
  <c r="A206"/>
  <c r="U205"/>
  <c r="Z205" s="1"/>
  <c r="O205"/>
  <c r="N205"/>
  <c r="M205"/>
  <c r="L205"/>
  <c r="K205"/>
  <c r="J205"/>
  <c r="I205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T204"/>
  <c r="Y204" s="1"/>
  <c r="S204"/>
  <c r="X204" s="1"/>
  <c r="N204"/>
  <c r="M204"/>
  <c r="L204"/>
  <c r="K204"/>
  <c r="J204"/>
  <c r="I204"/>
  <c r="O204" s="1"/>
  <c r="H204"/>
  <c r="V204" s="1"/>
  <c r="AA204" s="1"/>
  <c r="G204"/>
  <c r="U204" s="1"/>
  <c r="Z204" s="1"/>
  <c r="F204"/>
  <c r="E204"/>
  <c r="D204"/>
  <c r="R204" s="1"/>
  <c r="W204" s="1"/>
  <c r="C204"/>
  <c r="Q204" s="1"/>
  <c r="B204"/>
  <c r="A204"/>
  <c r="T203"/>
  <c r="Y203" s="1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U202"/>
  <c r="Z202" s="1"/>
  <c r="R202"/>
  <c r="W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C202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S200"/>
  <c r="X200" s="1"/>
  <c r="R200"/>
  <c r="W200" s="1"/>
  <c r="Q200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D200"/>
  <c r="C200"/>
  <c r="B200"/>
  <c r="A200"/>
  <c r="U199"/>
  <c r="Z199" s="1"/>
  <c r="T199"/>
  <c r="Y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R199" s="1"/>
  <c r="W199" s="1"/>
  <c r="C199"/>
  <c r="Q199" s="1"/>
  <c r="B199"/>
  <c r="A199"/>
  <c r="T198"/>
  <c r="Y198" s="1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D198"/>
  <c r="R198" s="1"/>
  <c r="W198" s="1"/>
  <c r="C198"/>
  <c r="Q198" s="1"/>
  <c r="B198"/>
  <c r="A198"/>
  <c r="P198" s="1"/>
  <c r="T197"/>
  <c r="Y197" s="1"/>
  <c r="Q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X197" s="1"/>
  <c r="D197"/>
  <c r="R197" s="1"/>
  <c r="W197" s="1"/>
  <c r="C197"/>
  <c r="B197"/>
  <c r="A197"/>
  <c r="P197" s="1"/>
  <c r="V196"/>
  <c r="AA196" s="1"/>
  <c r="U196"/>
  <c r="Z196" s="1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P195" s="1"/>
  <c r="S194"/>
  <c r="X194" s="1"/>
  <c r="R194"/>
  <c r="W194" s="1"/>
  <c r="Q194"/>
  <c r="P194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D194"/>
  <c r="C194"/>
  <c r="B194"/>
  <c r="A194"/>
  <c r="U193"/>
  <c r="Z193" s="1"/>
  <c r="T193"/>
  <c r="Y193" s="1"/>
  <c r="Q193"/>
  <c r="P193"/>
  <c r="N193"/>
  <c r="M193"/>
  <c r="L193"/>
  <c r="K193"/>
  <c r="J193"/>
  <c r="I193"/>
  <c r="O193" s="1"/>
  <c r="H193"/>
  <c r="V193" s="1"/>
  <c r="AA193" s="1"/>
  <c r="G193"/>
  <c r="F193"/>
  <c r="E193"/>
  <c r="S193" s="1"/>
  <c r="X193" s="1"/>
  <c r="D193"/>
  <c r="R193" s="1"/>
  <c r="W193" s="1"/>
  <c r="C193"/>
  <c r="B193"/>
  <c r="A193"/>
  <c r="T192"/>
  <c r="Y192" s="1"/>
  <c r="S192"/>
  <c r="X192" s="1"/>
  <c r="N192"/>
  <c r="M192"/>
  <c r="L192"/>
  <c r="K192"/>
  <c r="J192"/>
  <c r="I192"/>
  <c r="O192" s="1"/>
  <c r="H192"/>
  <c r="V192" s="1"/>
  <c r="AA192" s="1"/>
  <c r="G192"/>
  <c r="U192" s="1"/>
  <c r="Z192" s="1"/>
  <c r="F192"/>
  <c r="E192"/>
  <c r="D192"/>
  <c r="R192" s="1"/>
  <c r="W192" s="1"/>
  <c r="C192"/>
  <c r="Q192" s="1"/>
  <c r="B192"/>
  <c r="A192"/>
  <c r="P192" s="1"/>
  <c r="T191"/>
  <c r="Y191" s="1"/>
  <c r="R191"/>
  <c r="W191" s="1"/>
  <c r="Q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C191"/>
  <c r="B191"/>
  <c r="A191"/>
  <c r="P191" s="1"/>
  <c r="V190"/>
  <c r="AA190" s="1"/>
  <c r="U190"/>
  <c r="Z190" s="1"/>
  <c r="R190"/>
  <c r="W190" s="1"/>
  <c r="N190"/>
  <c r="M190"/>
  <c r="L190"/>
  <c r="K190"/>
  <c r="J190"/>
  <c r="I190"/>
  <c r="O190" s="1"/>
  <c r="H190"/>
  <c r="G190"/>
  <c r="F190"/>
  <c r="T190" s="1"/>
  <c r="Y190" s="1"/>
  <c r="E190"/>
  <c r="S190" s="1"/>
  <c r="X190" s="1"/>
  <c r="D190"/>
  <c r="C190"/>
  <c r="Q190" s="1"/>
  <c r="B190"/>
  <c r="A190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Q189" s="1"/>
  <c r="B189"/>
  <c r="A189"/>
  <c r="P189" s="1"/>
  <c r="S188"/>
  <c r="X188" s="1"/>
  <c r="Q188"/>
  <c r="P188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D188"/>
  <c r="R188" s="1"/>
  <c r="W188" s="1"/>
  <c r="C188"/>
  <c r="B188"/>
  <c r="A188"/>
  <c r="U187"/>
  <c r="Z187" s="1"/>
  <c r="R187"/>
  <c r="W187" s="1"/>
  <c r="Q187"/>
  <c r="O187"/>
  <c r="N187"/>
  <c r="M187"/>
  <c r="L187"/>
  <c r="K187"/>
  <c r="J187"/>
  <c r="I187"/>
  <c r="H187"/>
  <c r="V187" s="1"/>
  <c r="AA187" s="1"/>
  <c r="G187"/>
  <c r="F187"/>
  <c r="T187" s="1"/>
  <c r="Y187" s="1"/>
  <c r="E187"/>
  <c r="S187" s="1"/>
  <c r="X187" s="1"/>
  <c r="D187"/>
  <c r="C187"/>
  <c r="B187"/>
  <c r="A187"/>
  <c r="T186"/>
  <c r="Y186" s="1"/>
  <c r="S186"/>
  <c r="X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D186"/>
  <c r="R186" s="1"/>
  <c r="W186" s="1"/>
  <c r="C186"/>
  <c r="Q186" s="1"/>
  <c r="B186"/>
  <c r="A186"/>
  <c r="T185"/>
  <c r="Y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S185" s="1"/>
  <c r="X185" s="1"/>
  <c r="D185"/>
  <c r="R185" s="1"/>
  <c r="W185" s="1"/>
  <c r="C185"/>
  <c r="B185"/>
  <c r="A185"/>
  <c r="V184"/>
  <c r="AA184" s="1"/>
  <c r="U184"/>
  <c r="Z184" s="1"/>
  <c r="R184"/>
  <c r="W184" s="1"/>
  <c r="O184"/>
  <c r="N184"/>
  <c r="M184"/>
  <c r="L184"/>
  <c r="K184"/>
  <c r="J184"/>
  <c r="I184"/>
  <c r="H184"/>
  <c r="G184"/>
  <c r="F184"/>
  <c r="T184" s="1"/>
  <c r="Y184" s="1"/>
  <c r="E184"/>
  <c r="S184" s="1"/>
  <c r="X184" s="1"/>
  <c r="D184"/>
  <c r="C184"/>
  <c r="Q184" s="1"/>
  <c r="B184"/>
  <c r="A184"/>
  <c r="U183"/>
  <c r="Z183" s="1"/>
  <c r="T183"/>
  <c r="Y183" s="1"/>
  <c r="S183"/>
  <c r="X183" s="1"/>
  <c r="R183"/>
  <c r="W183" s="1"/>
  <c r="O183"/>
  <c r="N183"/>
  <c r="M183"/>
  <c r="L183"/>
  <c r="K183"/>
  <c r="J183"/>
  <c r="I183"/>
  <c r="H183"/>
  <c r="V183" s="1"/>
  <c r="AA183" s="1"/>
  <c r="G183"/>
  <c r="F183"/>
  <c r="E183"/>
  <c r="D183"/>
  <c r="C183"/>
  <c r="Q183" s="1"/>
  <c r="B183"/>
  <c r="A183"/>
  <c r="S182"/>
  <c r="X182" s="1"/>
  <c r="Q182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D182"/>
  <c r="R182" s="1"/>
  <c r="W182" s="1"/>
  <c r="C182"/>
  <c r="B182"/>
  <c r="A182"/>
  <c r="U181"/>
  <c r="Z181" s="1"/>
  <c r="O181"/>
  <c r="N181"/>
  <c r="M181"/>
  <c r="L181"/>
  <c r="K181"/>
  <c r="J181"/>
  <c r="I181"/>
  <c r="H181"/>
  <c r="V181" s="1"/>
  <c r="AA181" s="1"/>
  <c r="G181"/>
  <c r="F181"/>
  <c r="T181" s="1"/>
  <c r="Y181" s="1"/>
  <c r="E181"/>
  <c r="S181" s="1"/>
  <c r="X181" s="1"/>
  <c r="D181"/>
  <c r="R181" s="1"/>
  <c r="W181" s="1"/>
  <c r="C181"/>
  <c r="Q181" s="1"/>
  <c r="B181"/>
  <c r="A181"/>
  <c r="U180"/>
  <c r="Z180" s="1"/>
  <c r="S180"/>
  <c r="X180" s="1"/>
  <c r="R180"/>
  <c r="W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Q180" s="1"/>
  <c r="B180"/>
  <c r="A180"/>
  <c r="S179"/>
  <c r="X179" s="1"/>
  <c r="R179"/>
  <c r="W179" s="1"/>
  <c r="Q179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C179"/>
  <c r="B179"/>
  <c r="A179"/>
  <c r="U178"/>
  <c r="Z178" s="1"/>
  <c r="T178"/>
  <c r="Y178" s="1"/>
  <c r="Q178"/>
  <c r="N178"/>
  <c r="M178"/>
  <c r="L178"/>
  <c r="K178"/>
  <c r="J178"/>
  <c r="I178"/>
  <c r="O178" s="1"/>
  <c r="H178"/>
  <c r="V178" s="1"/>
  <c r="AA178" s="1"/>
  <c r="G178"/>
  <c r="F178"/>
  <c r="E178"/>
  <c r="S178" s="1"/>
  <c r="X178" s="1"/>
  <c r="D178"/>
  <c r="R178" s="1"/>
  <c r="W178" s="1"/>
  <c r="C178"/>
  <c r="B178"/>
  <c r="A178"/>
  <c r="V177"/>
  <c r="AA177" s="1"/>
  <c r="S177"/>
  <c r="X177" s="1"/>
  <c r="R177"/>
  <c r="W177" s="1"/>
  <c r="O177"/>
  <c r="N177"/>
  <c r="M177"/>
  <c r="L177"/>
  <c r="K177"/>
  <c r="J177"/>
  <c r="I177"/>
  <c r="H177"/>
  <c r="G177"/>
  <c r="U177" s="1"/>
  <c r="Z177" s="1"/>
  <c r="F177"/>
  <c r="T177" s="1"/>
  <c r="Y177" s="1"/>
  <c r="E177"/>
  <c r="D177"/>
  <c r="C177"/>
  <c r="Q177" s="1"/>
  <c r="B177"/>
  <c r="A177"/>
  <c r="T176"/>
  <c r="Y176" s="1"/>
  <c r="S176"/>
  <c r="X176" s="1"/>
  <c r="Q176"/>
  <c r="N176"/>
  <c r="M176"/>
  <c r="L176"/>
  <c r="K176"/>
  <c r="J176"/>
  <c r="I176"/>
  <c r="O176" s="1"/>
  <c r="H176"/>
  <c r="V176" s="1"/>
  <c r="AA176" s="1"/>
  <c r="G176"/>
  <c r="U176" s="1"/>
  <c r="Z176" s="1"/>
  <c r="F176"/>
  <c r="E176"/>
  <c r="D176"/>
  <c r="R176" s="1"/>
  <c r="W176" s="1"/>
  <c r="C176"/>
  <c r="B176"/>
  <c r="A176"/>
  <c r="V175"/>
  <c r="AA175" s="1"/>
  <c r="U175"/>
  <c r="Z175" s="1"/>
  <c r="R175"/>
  <c r="W175" s="1"/>
  <c r="N175"/>
  <c r="M175"/>
  <c r="L175"/>
  <c r="K175"/>
  <c r="J175"/>
  <c r="I175"/>
  <c r="O175" s="1"/>
  <c r="H175"/>
  <c r="G175"/>
  <c r="F175"/>
  <c r="T175" s="1"/>
  <c r="Y175" s="1"/>
  <c r="E175"/>
  <c r="S175" s="1"/>
  <c r="X175" s="1"/>
  <c r="D175"/>
  <c r="C175"/>
  <c r="Q175" s="1"/>
  <c r="B175"/>
  <c r="A175"/>
  <c r="U174"/>
  <c r="Z174" s="1"/>
  <c r="S174"/>
  <c r="X174" s="1"/>
  <c r="O174"/>
  <c r="N174"/>
  <c r="M174"/>
  <c r="L174"/>
  <c r="K174"/>
  <c r="J174"/>
  <c r="I174"/>
  <c r="H174"/>
  <c r="V174" s="1"/>
  <c r="AA174" s="1"/>
  <c r="G174"/>
  <c r="F174"/>
  <c r="T174" s="1"/>
  <c r="Y174" s="1"/>
  <c r="E174"/>
  <c r="D174"/>
  <c r="R174" s="1"/>
  <c r="W174" s="1"/>
  <c r="C174"/>
  <c r="Q174" s="1"/>
  <c r="B174"/>
  <c r="A174"/>
  <c r="T173"/>
  <c r="Y173" s="1"/>
  <c r="Q173"/>
  <c r="N173"/>
  <c r="M173"/>
  <c r="L173"/>
  <c r="K173"/>
  <c r="J173"/>
  <c r="I173"/>
  <c r="O173" s="1"/>
  <c r="H173"/>
  <c r="V173" s="1"/>
  <c r="AA173" s="1"/>
  <c r="G173"/>
  <c r="U173" s="1"/>
  <c r="Z173" s="1"/>
  <c r="F173"/>
  <c r="E173"/>
  <c r="S173" s="1"/>
  <c r="X173" s="1"/>
  <c r="D173"/>
  <c r="R173" s="1"/>
  <c r="W173" s="1"/>
  <c r="C173"/>
  <c r="B173"/>
  <c r="A173"/>
  <c r="V172"/>
  <c r="AA172" s="1"/>
  <c r="U172"/>
  <c r="Z172" s="1"/>
  <c r="R172"/>
  <c r="W172" s="1"/>
  <c r="P172"/>
  <c r="N172"/>
  <c r="M172"/>
  <c r="L172"/>
  <c r="K172"/>
  <c r="J172"/>
  <c r="I172"/>
  <c r="O172" s="1"/>
  <c r="H172"/>
  <c r="G172"/>
  <c r="F172"/>
  <c r="T172" s="1"/>
  <c r="Y172" s="1"/>
  <c r="E172"/>
  <c r="S172" s="1"/>
  <c r="X172" s="1"/>
  <c r="D172"/>
  <c r="C172"/>
  <c r="Q172" s="1"/>
  <c r="B172"/>
  <c r="A172"/>
  <c r="U171"/>
  <c r="Z171" s="1"/>
  <c r="T171"/>
  <c r="Y171" s="1"/>
  <c r="S171"/>
  <c r="X171" s="1"/>
  <c r="N171"/>
  <c r="M171"/>
  <c r="L171"/>
  <c r="K171"/>
  <c r="J171"/>
  <c r="I171"/>
  <c r="O171" s="1"/>
  <c r="H171"/>
  <c r="V171" s="1"/>
  <c r="AA171" s="1"/>
  <c r="G171"/>
  <c r="F171"/>
  <c r="E171"/>
  <c r="D171"/>
  <c r="R171" s="1"/>
  <c r="W171" s="1"/>
  <c r="C171"/>
  <c r="Q171" s="1"/>
  <c r="B171"/>
  <c r="A171"/>
  <c r="P171" s="1"/>
  <c r="R170"/>
  <c r="W170" s="1"/>
  <c r="Q170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C170"/>
  <c r="B170"/>
  <c r="A170"/>
  <c r="U169"/>
  <c r="Z169" s="1"/>
  <c r="T169"/>
  <c r="Y169" s="1"/>
  <c r="Q169"/>
  <c r="P169"/>
  <c r="N169"/>
  <c r="M169"/>
  <c r="L169"/>
  <c r="K169"/>
  <c r="J169"/>
  <c r="I169"/>
  <c r="O169" s="1"/>
  <c r="H169"/>
  <c r="V169" s="1"/>
  <c r="AA169" s="1"/>
  <c r="G169"/>
  <c r="F169"/>
  <c r="E169"/>
  <c r="S169" s="1"/>
  <c r="X169" s="1"/>
  <c r="D169"/>
  <c r="R169" s="1"/>
  <c r="W169" s="1"/>
  <c r="C169"/>
  <c r="B169"/>
  <c r="A169"/>
  <c r="V168"/>
  <c r="AA168" s="1"/>
  <c r="U168"/>
  <c r="Z168" s="1"/>
  <c r="S168"/>
  <c r="X168" s="1"/>
  <c r="N168"/>
  <c r="M168"/>
  <c r="L168"/>
  <c r="K168"/>
  <c r="J168"/>
  <c r="I168"/>
  <c r="O168" s="1"/>
  <c r="H168"/>
  <c r="G168"/>
  <c r="F168"/>
  <c r="T168" s="1"/>
  <c r="Y168" s="1"/>
  <c r="E168"/>
  <c r="D168"/>
  <c r="R168" s="1"/>
  <c r="W168" s="1"/>
  <c r="C168"/>
  <c r="Q168" s="1"/>
  <c r="B168"/>
  <c r="A168"/>
  <c r="P168" s="1"/>
  <c r="T167"/>
  <c r="Y167" s="1"/>
  <c r="R167"/>
  <c r="W167" s="1"/>
  <c r="Q167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C167"/>
  <c r="B167"/>
  <c r="A167"/>
  <c r="V166"/>
  <c r="AA166" s="1"/>
  <c r="U166"/>
  <c r="Z166" s="1"/>
  <c r="T166"/>
  <c r="Y166" s="1"/>
  <c r="Q166"/>
  <c r="P166"/>
  <c r="N166"/>
  <c r="M166"/>
  <c r="L166"/>
  <c r="K166"/>
  <c r="J166"/>
  <c r="I166"/>
  <c r="O166" s="1"/>
  <c r="H166"/>
  <c r="G166"/>
  <c r="F166"/>
  <c r="E166"/>
  <c r="S166" s="1"/>
  <c r="X166" s="1"/>
  <c r="D166"/>
  <c r="R166" s="1"/>
  <c r="W166" s="1"/>
  <c r="C166"/>
  <c r="B166"/>
  <c r="A166"/>
  <c r="V165"/>
  <c r="AA165" s="1"/>
  <c r="S165"/>
  <c r="X165" s="1"/>
  <c r="R165"/>
  <c r="W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C165"/>
  <c r="Q165" s="1"/>
  <c r="B165"/>
  <c r="A165"/>
  <c r="P165" s="1"/>
  <c r="T164"/>
  <c r="Y164" s="1"/>
  <c r="S164"/>
  <c r="X164" s="1"/>
  <c r="Q164"/>
  <c r="P164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B164"/>
  <c r="A164"/>
  <c r="V163"/>
  <c r="AA163" s="1"/>
  <c r="U163"/>
  <c r="Z163" s="1"/>
  <c r="R163"/>
  <c r="W163" s="1"/>
  <c r="Q163"/>
  <c r="P163"/>
  <c r="N163"/>
  <c r="M163"/>
  <c r="L163"/>
  <c r="K163"/>
  <c r="J163"/>
  <c r="I163"/>
  <c r="O163" s="1"/>
  <c r="H163"/>
  <c r="G163"/>
  <c r="F163"/>
  <c r="T163" s="1"/>
  <c r="Y163" s="1"/>
  <c r="E163"/>
  <c r="S163" s="1"/>
  <c r="X163" s="1"/>
  <c r="D163"/>
  <c r="C163"/>
  <c r="B163"/>
  <c r="A163"/>
  <c r="T162"/>
  <c r="Y162" s="1"/>
  <c r="S162"/>
  <c r="X162" s="1"/>
  <c r="P162"/>
  <c r="N162"/>
  <c r="M162"/>
  <c r="L162"/>
  <c r="K162"/>
  <c r="J162"/>
  <c r="I162"/>
  <c r="O162" s="1"/>
  <c r="H162"/>
  <c r="V162" s="1"/>
  <c r="AA162" s="1"/>
  <c r="G162"/>
  <c r="U162" s="1"/>
  <c r="Z162" s="1"/>
  <c r="F162"/>
  <c r="E162"/>
  <c r="D162"/>
  <c r="R162" s="1"/>
  <c r="W162" s="1"/>
  <c r="C162"/>
  <c r="Q162" s="1"/>
  <c r="B162"/>
  <c r="A162"/>
  <c r="T161"/>
  <c r="Y161" s="1"/>
  <c r="R161"/>
  <c r="W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C161"/>
  <c r="B161"/>
  <c r="A161"/>
  <c r="P161" s="1"/>
  <c r="V160"/>
  <c r="AA160" s="1"/>
  <c r="U160"/>
  <c r="Z160" s="1"/>
  <c r="T160"/>
  <c r="Y160" s="1"/>
  <c r="P160"/>
  <c r="O160"/>
  <c r="N160"/>
  <c r="M160"/>
  <c r="L160"/>
  <c r="K160"/>
  <c r="J160"/>
  <c r="I160"/>
  <c r="H160"/>
  <c r="G160"/>
  <c r="F160"/>
  <c r="E160"/>
  <c r="S160" s="1"/>
  <c r="X160" s="1"/>
  <c r="D160"/>
  <c r="R160" s="1"/>
  <c r="W160" s="1"/>
  <c r="C160"/>
  <c r="Q160" s="1"/>
  <c r="B160"/>
  <c r="A160"/>
  <c r="V159"/>
  <c r="AA159" s="1"/>
  <c r="T159"/>
  <c r="Y159" s="1"/>
  <c r="S159"/>
  <c r="X159" s="1"/>
  <c r="P159"/>
  <c r="N159"/>
  <c r="M159"/>
  <c r="L159"/>
  <c r="K159"/>
  <c r="J159"/>
  <c r="I159"/>
  <c r="O159" s="1"/>
  <c r="H159"/>
  <c r="G159"/>
  <c r="U159" s="1"/>
  <c r="Z159" s="1"/>
  <c r="F159"/>
  <c r="E159"/>
  <c r="D159"/>
  <c r="R159" s="1"/>
  <c r="W159" s="1"/>
  <c r="C159"/>
  <c r="Q159" s="1"/>
  <c r="B159"/>
  <c r="A159"/>
  <c r="R158"/>
  <c r="W158" s="1"/>
  <c r="Q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C158"/>
  <c r="B158"/>
  <c r="A158"/>
  <c r="P158" s="1"/>
  <c r="U157"/>
  <c r="Z157" s="1"/>
  <c r="T157"/>
  <c r="Y157" s="1"/>
  <c r="P157"/>
  <c r="O157"/>
  <c r="N157"/>
  <c r="M157"/>
  <c r="L157"/>
  <c r="K157"/>
  <c r="J157"/>
  <c r="I157"/>
  <c r="H157"/>
  <c r="V157" s="1"/>
  <c r="AA157" s="1"/>
  <c r="G157"/>
  <c r="F157"/>
  <c r="E157"/>
  <c r="S157" s="1"/>
  <c r="X157" s="1"/>
  <c r="D157"/>
  <c r="R157" s="1"/>
  <c r="W157" s="1"/>
  <c r="C157"/>
  <c r="Q157" s="1"/>
  <c r="B157"/>
  <c r="A157"/>
  <c r="V156"/>
  <c r="AA156" s="1"/>
  <c r="U156"/>
  <c r="Z156" s="1"/>
  <c r="S156"/>
  <c r="X156" s="1"/>
  <c r="R156"/>
  <c r="W156" s="1"/>
  <c r="P156"/>
  <c r="N156"/>
  <c r="M156"/>
  <c r="L156"/>
  <c r="K156"/>
  <c r="J156"/>
  <c r="I156"/>
  <c r="O156" s="1"/>
  <c r="H156"/>
  <c r="G156"/>
  <c r="F156"/>
  <c r="T156" s="1"/>
  <c r="Y156" s="1"/>
  <c r="E156"/>
  <c r="D156"/>
  <c r="C156"/>
  <c r="Q156" s="1"/>
  <c r="B156"/>
  <c r="A156"/>
  <c r="T155"/>
  <c r="Y155" s="1"/>
  <c r="S155"/>
  <c r="X155" s="1"/>
  <c r="Q155"/>
  <c r="P155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B155"/>
  <c r="A155"/>
  <c r="U154"/>
  <c r="Z154" s="1"/>
  <c r="T154"/>
  <c r="Y154" s="1"/>
  <c r="P154"/>
  <c r="O154"/>
  <c r="N154"/>
  <c r="M154"/>
  <c r="L154"/>
  <c r="K154"/>
  <c r="J154"/>
  <c r="I154"/>
  <c r="H154"/>
  <c r="V154" s="1"/>
  <c r="AA154" s="1"/>
  <c r="G154"/>
  <c r="F154"/>
  <c r="E154"/>
  <c r="S154" s="1"/>
  <c r="X154" s="1"/>
  <c r="D154"/>
  <c r="R154" s="1"/>
  <c r="W154" s="1"/>
  <c r="C154"/>
  <c r="Q154" s="1"/>
  <c r="B154"/>
  <c r="A154"/>
  <c r="T153"/>
  <c r="Y153" s="1"/>
  <c r="S153"/>
  <c r="X153" s="1"/>
  <c r="P153"/>
  <c r="O153"/>
  <c r="N153"/>
  <c r="M153"/>
  <c r="L153"/>
  <c r="K153"/>
  <c r="J153"/>
  <c r="I153"/>
  <c r="H153"/>
  <c r="V153" s="1"/>
  <c r="AA153" s="1"/>
  <c r="G153"/>
  <c r="U153" s="1"/>
  <c r="Z153" s="1"/>
  <c r="F153"/>
  <c r="E153"/>
  <c r="D153"/>
  <c r="R153" s="1"/>
  <c r="W153" s="1"/>
  <c r="C153"/>
  <c r="Q153" s="1"/>
  <c r="B153"/>
  <c r="A153"/>
  <c r="T152"/>
  <c r="Y152" s="1"/>
  <c r="S152"/>
  <c r="X152" s="1"/>
  <c r="Q152"/>
  <c r="P152"/>
  <c r="N152"/>
  <c r="M152"/>
  <c r="L152"/>
  <c r="K152"/>
  <c r="J152"/>
  <c r="I152"/>
  <c r="O152" s="1"/>
  <c r="H152"/>
  <c r="V152" s="1"/>
  <c r="AA152" s="1"/>
  <c r="G152"/>
  <c r="U152" s="1"/>
  <c r="Z152" s="1"/>
  <c r="F152"/>
  <c r="E152"/>
  <c r="D152"/>
  <c r="R152" s="1"/>
  <c r="W152" s="1"/>
  <c r="C152"/>
  <c r="B152"/>
  <c r="A152"/>
  <c r="U151"/>
  <c r="Z151" s="1"/>
  <c r="T151"/>
  <c r="Y151" s="1"/>
  <c r="P151"/>
  <c r="O151"/>
  <c r="N151"/>
  <c r="M151"/>
  <c r="L151"/>
  <c r="K151"/>
  <c r="J151"/>
  <c r="I151"/>
  <c r="H151"/>
  <c r="V151" s="1"/>
  <c r="AA151" s="1"/>
  <c r="G151"/>
  <c r="F151"/>
  <c r="E151"/>
  <c r="S151" s="1"/>
  <c r="X151" s="1"/>
  <c r="D151"/>
  <c r="R151" s="1"/>
  <c r="W151" s="1"/>
  <c r="C151"/>
  <c r="Q151" s="1"/>
  <c r="B151"/>
  <c r="A151"/>
  <c r="T150"/>
  <c r="Y150" s="1"/>
  <c r="S150"/>
  <c r="X150" s="1"/>
  <c r="P150"/>
  <c r="O150"/>
  <c r="N150"/>
  <c r="M150"/>
  <c r="L150"/>
  <c r="K150"/>
  <c r="J150"/>
  <c r="I150"/>
  <c r="H150"/>
  <c r="V150" s="1"/>
  <c r="AA150" s="1"/>
  <c r="G150"/>
  <c r="U150" s="1"/>
  <c r="Z150" s="1"/>
  <c r="F150"/>
  <c r="E150"/>
  <c r="D150"/>
  <c r="R150" s="1"/>
  <c r="W150" s="1"/>
  <c r="C150"/>
  <c r="Q150" s="1"/>
  <c r="B150"/>
  <c r="A150"/>
  <c r="T149"/>
  <c r="Y149" s="1"/>
  <c r="S149"/>
  <c r="X149" s="1"/>
  <c r="Q149"/>
  <c r="P149"/>
  <c r="N149"/>
  <c r="M149"/>
  <c r="L149"/>
  <c r="K149"/>
  <c r="J149"/>
  <c r="I149"/>
  <c r="O149" s="1"/>
  <c r="H149"/>
  <c r="V149" s="1"/>
  <c r="AA149" s="1"/>
  <c r="G149"/>
  <c r="U149" s="1"/>
  <c r="Z149" s="1"/>
  <c r="F149"/>
  <c r="E149"/>
  <c r="D149"/>
  <c r="R149" s="1"/>
  <c r="W149" s="1"/>
  <c r="C149"/>
  <c r="B149"/>
  <c r="A149"/>
  <c r="U148"/>
  <c r="Z148" s="1"/>
  <c r="T148"/>
  <c r="Y148" s="1"/>
  <c r="P148"/>
  <c r="O148"/>
  <c r="N148"/>
  <c r="M148"/>
  <c r="L148"/>
  <c r="K148"/>
  <c r="J148"/>
  <c r="I148"/>
  <c r="H148"/>
  <c r="V148" s="1"/>
  <c r="AA148" s="1"/>
  <c r="G148"/>
  <c r="F148"/>
  <c r="E148"/>
  <c r="S148" s="1"/>
  <c r="X148" s="1"/>
  <c r="D148"/>
  <c r="R148" s="1"/>
  <c r="W148" s="1"/>
  <c r="C148"/>
  <c r="Q148" s="1"/>
  <c r="B148"/>
  <c r="A148"/>
  <c r="T147"/>
  <c r="Y147" s="1"/>
  <c r="S147"/>
  <c r="X147" s="1"/>
  <c r="P147"/>
  <c r="O147"/>
  <c r="N147"/>
  <c r="M147"/>
  <c r="L147"/>
  <c r="K147"/>
  <c r="J147"/>
  <c r="I147"/>
  <c r="H147"/>
  <c r="V147" s="1"/>
  <c r="AA147" s="1"/>
  <c r="G147"/>
  <c r="U147" s="1"/>
  <c r="Z147" s="1"/>
  <c r="F147"/>
  <c r="E147"/>
  <c r="D147"/>
  <c r="R147" s="1"/>
  <c r="W147" s="1"/>
  <c r="C147"/>
  <c r="Q147" s="1"/>
  <c r="B147"/>
  <c r="A147"/>
  <c r="T146"/>
  <c r="Y146" s="1"/>
  <c r="S146"/>
  <c r="X146" s="1"/>
  <c r="Q146"/>
  <c r="P146"/>
  <c r="N146"/>
  <c r="M146"/>
  <c r="L146"/>
  <c r="K146"/>
  <c r="J146"/>
  <c r="I146"/>
  <c r="O146" s="1"/>
  <c r="H146"/>
  <c r="V146" s="1"/>
  <c r="AA146" s="1"/>
  <c r="G146"/>
  <c r="U146" s="1"/>
  <c r="Z146" s="1"/>
  <c r="F146"/>
  <c r="E146"/>
  <c r="D146"/>
  <c r="R146" s="1"/>
  <c r="W146" s="1"/>
  <c r="C146"/>
  <c r="B146"/>
  <c r="A146"/>
  <c r="U145"/>
  <c r="Z145" s="1"/>
  <c r="T145"/>
  <c r="Y145" s="1"/>
  <c r="P145"/>
  <c r="O145"/>
  <c r="N145"/>
  <c r="M145"/>
  <c r="L145"/>
  <c r="K145"/>
  <c r="J145"/>
  <c r="I145"/>
  <c r="H145"/>
  <c r="V145" s="1"/>
  <c r="AA145" s="1"/>
  <c r="G145"/>
  <c r="F145"/>
  <c r="E145"/>
  <c r="S145" s="1"/>
  <c r="X145" s="1"/>
  <c r="D145"/>
  <c r="R145" s="1"/>
  <c r="W145" s="1"/>
  <c r="C145"/>
  <c r="Q145" s="1"/>
  <c r="B145"/>
  <c r="A145"/>
  <c r="T144"/>
  <c r="Y144" s="1"/>
  <c r="S144"/>
  <c r="X144" s="1"/>
  <c r="P144"/>
  <c r="O144"/>
  <c r="N144"/>
  <c r="M144"/>
  <c r="L144"/>
  <c r="K144"/>
  <c r="J144"/>
  <c r="I144"/>
  <c r="H144"/>
  <c r="V144" s="1"/>
  <c r="AA144" s="1"/>
  <c r="G144"/>
  <c r="U144" s="1"/>
  <c r="Z144" s="1"/>
  <c r="F144"/>
  <c r="E144"/>
  <c r="D144"/>
  <c r="R144" s="1"/>
  <c r="W144" s="1"/>
  <c r="C144"/>
  <c r="Q144" s="1"/>
  <c r="B144"/>
  <c r="A144"/>
  <c r="T143"/>
  <c r="Y143" s="1"/>
  <c r="S143"/>
  <c r="X143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D143"/>
  <c r="R143" s="1"/>
  <c r="W143" s="1"/>
  <c r="C143"/>
  <c r="B143"/>
  <c r="A143"/>
  <c r="U142"/>
  <c r="Z142" s="1"/>
  <c r="T142"/>
  <c r="Y142" s="1"/>
  <c r="P142"/>
  <c r="O142"/>
  <c r="N142"/>
  <c r="M142"/>
  <c r="L142"/>
  <c r="K142"/>
  <c r="J142"/>
  <c r="I142"/>
  <c r="H142"/>
  <c r="V142" s="1"/>
  <c r="AA142" s="1"/>
  <c r="G142"/>
  <c r="F142"/>
  <c r="E142"/>
  <c r="S142" s="1"/>
  <c r="X142" s="1"/>
  <c r="D142"/>
  <c r="R142" s="1"/>
  <c r="W142" s="1"/>
  <c r="C142"/>
  <c r="Q142" s="1"/>
  <c r="B142"/>
  <c r="A142"/>
  <c r="T141"/>
  <c r="Y141" s="1"/>
  <c r="S141"/>
  <c r="X141" s="1"/>
  <c r="P141"/>
  <c r="O141"/>
  <c r="N141"/>
  <c r="M141"/>
  <c r="L141"/>
  <c r="K141"/>
  <c r="J141"/>
  <c r="I141"/>
  <c r="H141"/>
  <c r="V141" s="1"/>
  <c r="AA141" s="1"/>
  <c r="G141"/>
  <c r="U141" s="1"/>
  <c r="Z141" s="1"/>
  <c r="F141"/>
  <c r="E141"/>
  <c r="D141"/>
  <c r="R141" s="1"/>
  <c r="W141" s="1"/>
  <c r="C141"/>
  <c r="Q141" s="1"/>
  <c r="B141"/>
  <c r="A141"/>
  <c r="T140"/>
  <c r="Y140" s="1"/>
  <c r="S140"/>
  <c r="X140" s="1"/>
  <c r="Q140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D140"/>
  <c r="R140" s="1"/>
  <c r="W140" s="1"/>
  <c r="C140"/>
  <c r="B140"/>
  <c r="A140"/>
  <c r="U139"/>
  <c r="Z139" s="1"/>
  <c r="T139"/>
  <c r="Y139" s="1"/>
  <c r="P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Q139" s="1"/>
  <c r="B139"/>
  <c r="A139"/>
  <c r="T138"/>
  <c r="Y138" s="1"/>
  <c r="S138"/>
  <c r="X138" s="1"/>
  <c r="P138"/>
  <c r="O138"/>
  <c r="N138"/>
  <c r="M138"/>
  <c r="L138"/>
  <c r="K138"/>
  <c r="J138"/>
  <c r="I138"/>
  <c r="H138"/>
  <c r="V138" s="1"/>
  <c r="AA138" s="1"/>
  <c r="G138"/>
  <c r="U138" s="1"/>
  <c r="Z138" s="1"/>
  <c r="F138"/>
  <c r="E138"/>
  <c r="D138"/>
  <c r="R138" s="1"/>
  <c r="W138" s="1"/>
  <c r="C138"/>
  <c r="Q138" s="1"/>
  <c r="B138"/>
  <c r="A138"/>
  <c r="T137"/>
  <c r="Y137" s="1"/>
  <c r="S137"/>
  <c r="X137" s="1"/>
  <c r="Q137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D137"/>
  <c r="R137" s="1"/>
  <c r="W137" s="1"/>
  <c r="C137"/>
  <c r="B137"/>
  <c r="A137"/>
  <c r="U136"/>
  <c r="Z136" s="1"/>
  <c r="T136"/>
  <c r="Y136" s="1"/>
  <c r="P136"/>
  <c r="O136"/>
  <c r="N136"/>
  <c r="M136"/>
  <c r="L136"/>
  <c r="K136"/>
  <c r="J136"/>
  <c r="I136"/>
  <c r="H136"/>
  <c r="V136" s="1"/>
  <c r="AA136" s="1"/>
  <c r="G136"/>
  <c r="F136"/>
  <c r="E136"/>
  <c r="S136" s="1"/>
  <c r="X136" s="1"/>
  <c r="D136"/>
  <c r="R136" s="1"/>
  <c r="W136" s="1"/>
  <c r="C136"/>
  <c r="Q136" s="1"/>
  <c r="B136"/>
  <c r="A136"/>
  <c r="T135"/>
  <c r="Y135" s="1"/>
  <c r="S135"/>
  <c r="X135" s="1"/>
  <c r="P135"/>
  <c r="O135"/>
  <c r="N135"/>
  <c r="M135"/>
  <c r="L135"/>
  <c r="K135"/>
  <c r="J135"/>
  <c r="I135"/>
  <c r="H135"/>
  <c r="V135" s="1"/>
  <c r="AA135" s="1"/>
  <c r="G135"/>
  <c r="U135" s="1"/>
  <c r="Z135" s="1"/>
  <c r="F135"/>
  <c r="E135"/>
  <c r="D135"/>
  <c r="R135" s="1"/>
  <c r="W135" s="1"/>
  <c r="C135"/>
  <c r="Q135" s="1"/>
  <c r="B135"/>
  <c r="A135"/>
  <c r="T134"/>
  <c r="Y134" s="1"/>
  <c r="S134"/>
  <c r="X134" s="1"/>
  <c r="Q134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E134"/>
  <c r="D134"/>
  <c r="R134" s="1"/>
  <c r="W134" s="1"/>
  <c r="C134"/>
  <c r="B134"/>
  <c r="A134"/>
  <c r="U133"/>
  <c r="Z133" s="1"/>
  <c r="T133"/>
  <c r="Y133" s="1"/>
  <c r="P133"/>
  <c r="O133"/>
  <c r="N133"/>
  <c r="M133"/>
  <c r="L133"/>
  <c r="K133"/>
  <c r="J133"/>
  <c r="I133"/>
  <c r="H133"/>
  <c r="V133" s="1"/>
  <c r="AA133" s="1"/>
  <c r="G133"/>
  <c r="F133"/>
  <c r="E133"/>
  <c r="S133" s="1"/>
  <c r="X133" s="1"/>
  <c r="D133"/>
  <c r="R133" s="1"/>
  <c r="W133" s="1"/>
  <c r="C133"/>
  <c r="Q133" s="1"/>
  <c r="B133"/>
  <c r="A133"/>
  <c r="T132"/>
  <c r="Y132" s="1"/>
  <c r="S132"/>
  <c r="X132" s="1"/>
  <c r="P132"/>
  <c r="O132"/>
  <c r="N132"/>
  <c r="M132"/>
  <c r="L132"/>
  <c r="K132"/>
  <c r="J132"/>
  <c r="I132"/>
  <c r="H132"/>
  <c r="V132" s="1"/>
  <c r="AA132" s="1"/>
  <c r="G132"/>
  <c r="U132" s="1"/>
  <c r="Z132" s="1"/>
  <c r="F132"/>
  <c r="E132"/>
  <c r="D132"/>
  <c r="R132" s="1"/>
  <c r="W132" s="1"/>
  <c r="C132"/>
  <c r="Q132" s="1"/>
  <c r="B132"/>
  <c r="A132"/>
  <c r="T131"/>
  <c r="Y131" s="1"/>
  <c r="S131"/>
  <c r="X131" s="1"/>
  <c r="Q131"/>
  <c r="P131"/>
  <c r="N131"/>
  <c r="M131"/>
  <c r="L131"/>
  <c r="K131"/>
  <c r="J131"/>
  <c r="I131"/>
  <c r="O131" s="1"/>
  <c r="H131"/>
  <c r="V131" s="1"/>
  <c r="AA131" s="1"/>
  <c r="G131"/>
  <c r="U131" s="1"/>
  <c r="Z131" s="1"/>
  <c r="F131"/>
  <c r="E131"/>
  <c r="D131"/>
  <c r="R131" s="1"/>
  <c r="W131" s="1"/>
  <c r="C131"/>
  <c r="B131"/>
  <c r="A131"/>
  <c r="U130"/>
  <c r="Z130" s="1"/>
  <c r="T130"/>
  <c r="Y130" s="1"/>
  <c r="P130"/>
  <c r="O130"/>
  <c r="N130"/>
  <c r="M130"/>
  <c r="L130"/>
  <c r="K130"/>
  <c r="J130"/>
  <c r="I130"/>
  <c r="H130"/>
  <c r="V130" s="1"/>
  <c r="AA130" s="1"/>
  <c r="G130"/>
  <c r="F130"/>
  <c r="E130"/>
  <c r="S130" s="1"/>
  <c r="X130" s="1"/>
  <c r="D130"/>
  <c r="R130" s="1"/>
  <c r="W130" s="1"/>
  <c r="C130"/>
  <c r="Q130" s="1"/>
  <c r="B130"/>
  <c r="A130"/>
  <c r="T129"/>
  <c r="Y129" s="1"/>
  <c r="S129"/>
  <c r="X129" s="1"/>
  <c r="P129"/>
  <c r="O129"/>
  <c r="N129"/>
  <c r="M129"/>
  <c r="L129"/>
  <c r="K129"/>
  <c r="J129"/>
  <c r="I129"/>
  <c r="H129"/>
  <c r="V129" s="1"/>
  <c r="AA129" s="1"/>
  <c r="G129"/>
  <c r="U129" s="1"/>
  <c r="Z129" s="1"/>
  <c r="F129"/>
  <c r="E129"/>
  <c r="D129"/>
  <c r="R129" s="1"/>
  <c r="W129" s="1"/>
  <c r="C129"/>
  <c r="Q129" s="1"/>
  <c r="B129"/>
  <c r="A129"/>
  <c r="T128"/>
  <c r="Y128" s="1"/>
  <c r="S128"/>
  <c r="X128" s="1"/>
  <c r="Q128"/>
  <c r="P128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D128"/>
  <c r="R128" s="1"/>
  <c r="W128" s="1"/>
  <c r="C128"/>
  <c r="B128"/>
  <c r="A128"/>
  <c r="U127"/>
  <c r="Z127" s="1"/>
  <c r="T127"/>
  <c r="Y127" s="1"/>
  <c r="P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Q127" s="1"/>
  <c r="B127"/>
  <c r="A127"/>
  <c r="T126"/>
  <c r="Y126" s="1"/>
  <c r="S126"/>
  <c r="X126" s="1"/>
  <c r="P126"/>
  <c r="O126"/>
  <c r="N126"/>
  <c r="M126"/>
  <c r="L126"/>
  <c r="K126"/>
  <c r="J126"/>
  <c r="I126"/>
  <c r="H126"/>
  <c r="V126" s="1"/>
  <c r="AA126" s="1"/>
  <c r="G126"/>
  <c r="U126" s="1"/>
  <c r="Z126" s="1"/>
  <c r="F126"/>
  <c r="E126"/>
  <c r="D126"/>
  <c r="R126" s="1"/>
  <c r="W126" s="1"/>
  <c r="C126"/>
  <c r="Q126" s="1"/>
  <c r="B126"/>
  <c r="A126"/>
  <c r="T125"/>
  <c r="Y125" s="1"/>
  <c r="S125"/>
  <c r="X125" s="1"/>
  <c r="Q125"/>
  <c r="P125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D125"/>
  <c r="R125" s="1"/>
  <c r="W125" s="1"/>
  <c r="C125"/>
  <c r="B125"/>
  <c r="A125"/>
  <c r="U124"/>
  <c r="Z124" s="1"/>
  <c r="T124"/>
  <c r="Y124" s="1"/>
  <c r="P124"/>
  <c r="O124"/>
  <c r="N124"/>
  <c r="M124"/>
  <c r="L124"/>
  <c r="K124"/>
  <c r="J124"/>
  <c r="I124"/>
  <c r="H124"/>
  <c r="V124" s="1"/>
  <c r="AA124" s="1"/>
  <c r="G124"/>
  <c r="F124"/>
  <c r="E124"/>
  <c r="S124" s="1"/>
  <c r="X124" s="1"/>
  <c r="D124"/>
  <c r="R124" s="1"/>
  <c r="W124" s="1"/>
  <c r="C124"/>
  <c r="Q124" s="1"/>
  <c r="B124"/>
  <c r="A124"/>
  <c r="T123"/>
  <c r="Y123" s="1"/>
  <c r="S123"/>
  <c r="X123" s="1"/>
  <c r="P123"/>
  <c r="O123"/>
  <c r="N123"/>
  <c r="M123"/>
  <c r="L123"/>
  <c r="K123"/>
  <c r="J123"/>
  <c r="I123"/>
  <c r="H123"/>
  <c r="V123" s="1"/>
  <c r="AA123" s="1"/>
  <c r="G123"/>
  <c r="U123" s="1"/>
  <c r="Z123" s="1"/>
  <c r="F123"/>
  <c r="E123"/>
  <c r="D123"/>
  <c r="R123" s="1"/>
  <c r="W123" s="1"/>
  <c r="C123"/>
  <c r="Q123" s="1"/>
  <c r="B123"/>
  <c r="A123"/>
  <c r="T122"/>
  <c r="Y122" s="1"/>
  <c r="S122"/>
  <c r="X122" s="1"/>
  <c r="Q122"/>
  <c r="P122"/>
  <c r="N122"/>
  <c r="M122"/>
  <c r="L122"/>
  <c r="K122"/>
  <c r="J122"/>
  <c r="I122"/>
  <c r="O122" s="1"/>
  <c r="H122"/>
  <c r="V122" s="1"/>
  <c r="AA122" s="1"/>
  <c r="G122"/>
  <c r="U122" s="1"/>
  <c r="Z122" s="1"/>
  <c r="F122"/>
  <c r="E122"/>
  <c r="D122"/>
  <c r="R122" s="1"/>
  <c r="W122" s="1"/>
  <c r="C122"/>
  <c r="B122"/>
  <c r="A122"/>
  <c r="U121"/>
  <c r="Z121" s="1"/>
  <c r="T121"/>
  <c r="Y121" s="1"/>
  <c r="P121"/>
  <c r="O121"/>
  <c r="N121"/>
  <c r="M121"/>
  <c r="L121"/>
  <c r="K121"/>
  <c r="J121"/>
  <c r="I121"/>
  <c r="H121"/>
  <c r="V121" s="1"/>
  <c r="AA121" s="1"/>
  <c r="G121"/>
  <c r="F121"/>
  <c r="E121"/>
  <c r="S121" s="1"/>
  <c r="X121" s="1"/>
  <c r="D121"/>
  <c r="R121" s="1"/>
  <c r="W121" s="1"/>
  <c r="C121"/>
  <c r="Q121" s="1"/>
  <c r="B121"/>
  <c r="A121"/>
  <c r="T120"/>
  <c r="Y120" s="1"/>
  <c r="S120"/>
  <c r="X120" s="1"/>
  <c r="P120"/>
  <c r="O120"/>
  <c r="N120"/>
  <c r="M120"/>
  <c r="L120"/>
  <c r="K120"/>
  <c r="J120"/>
  <c r="I120"/>
  <c r="H120"/>
  <c r="V120" s="1"/>
  <c r="AA120" s="1"/>
  <c r="G120"/>
  <c r="U120" s="1"/>
  <c r="Z120" s="1"/>
  <c r="F120"/>
  <c r="E120"/>
  <c r="D120"/>
  <c r="R120" s="1"/>
  <c r="W120" s="1"/>
  <c r="C120"/>
  <c r="Q120" s="1"/>
  <c r="B120"/>
  <c r="A120"/>
  <c r="T119"/>
  <c r="Y119" s="1"/>
  <c r="S119"/>
  <c r="X119" s="1"/>
  <c r="Q119"/>
  <c r="P119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D119"/>
  <c r="R119" s="1"/>
  <c r="W119" s="1"/>
  <c r="C119"/>
  <c r="B119"/>
  <c r="A119"/>
  <c r="U118"/>
  <c r="Z118" s="1"/>
  <c r="T118"/>
  <c r="Y118" s="1"/>
  <c r="P118"/>
  <c r="O118"/>
  <c r="N118"/>
  <c r="M118"/>
  <c r="L118"/>
  <c r="K118"/>
  <c r="J118"/>
  <c r="I118"/>
  <c r="H118"/>
  <c r="V118" s="1"/>
  <c r="AA118" s="1"/>
  <c r="G118"/>
  <c r="F118"/>
  <c r="E118"/>
  <c r="S118" s="1"/>
  <c r="X118" s="1"/>
  <c r="D118"/>
  <c r="R118" s="1"/>
  <c r="W118" s="1"/>
  <c r="C118"/>
  <c r="Q118" s="1"/>
  <c r="B118"/>
  <c r="A118"/>
  <c r="T117"/>
  <c r="Y117" s="1"/>
  <c r="S117"/>
  <c r="X117" s="1"/>
  <c r="P117"/>
  <c r="O117"/>
  <c r="N117"/>
  <c r="M117"/>
  <c r="L117"/>
  <c r="K117"/>
  <c r="J117"/>
  <c r="I117"/>
  <c r="H117"/>
  <c r="V117" s="1"/>
  <c r="AA117" s="1"/>
  <c r="G117"/>
  <c r="U117" s="1"/>
  <c r="Z117" s="1"/>
  <c r="F117"/>
  <c r="E117"/>
  <c r="D117"/>
  <c r="R117" s="1"/>
  <c r="W117" s="1"/>
  <c r="C117"/>
  <c r="Q117" s="1"/>
  <c r="B117"/>
  <c r="A117"/>
  <c r="T116"/>
  <c r="Y116" s="1"/>
  <c r="S116"/>
  <c r="X116" s="1"/>
  <c r="Q116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D116"/>
  <c r="R116" s="1"/>
  <c r="W116" s="1"/>
  <c r="C116"/>
  <c r="B116"/>
  <c r="A116"/>
  <c r="U115"/>
  <c r="Z115" s="1"/>
  <c r="T115"/>
  <c r="Y115" s="1"/>
  <c r="P115"/>
  <c r="O115"/>
  <c r="N115"/>
  <c r="M115"/>
  <c r="L115"/>
  <c r="K115"/>
  <c r="J115"/>
  <c r="I115"/>
  <c r="H115"/>
  <c r="V115" s="1"/>
  <c r="AA115" s="1"/>
  <c r="G115"/>
  <c r="F115"/>
  <c r="E115"/>
  <c r="S115" s="1"/>
  <c r="X115" s="1"/>
  <c r="D115"/>
  <c r="R115" s="1"/>
  <c r="W115" s="1"/>
  <c r="C115"/>
  <c r="Q115" s="1"/>
  <c r="B115"/>
  <c r="A115"/>
  <c r="T114"/>
  <c r="Y114" s="1"/>
  <c r="S114"/>
  <c r="X114" s="1"/>
  <c r="P114"/>
  <c r="O114"/>
  <c r="N114"/>
  <c r="M114"/>
  <c r="L114"/>
  <c r="K114"/>
  <c r="J114"/>
  <c r="I114"/>
  <c r="H114"/>
  <c r="V114" s="1"/>
  <c r="AA114" s="1"/>
  <c r="G114"/>
  <c r="U114" s="1"/>
  <c r="Z114" s="1"/>
  <c r="F114"/>
  <c r="E114"/>
  <c r="D114"/>
  <c r="R114" s="1"/>
  <c r="W114" s="1"/>
  <c r="C114"/>
  <c r="Q114" s="1"/>
  <c r="B114"/>
  <c r="A114"/>
  <c r="T113"/>
  <c r="Y113" s="1"/>
  <c r="S113"/>
  <c r="X113" s="1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E113"/>
  <c r="D113"/>
  <c r="R113" s="1"/>
  <c r="W113" s="1"/>
  <c r="C113"/>
  <c r="B113"/>
  <c r="A113"/>
  <c r="U112"/>
  <c r="Z112" s="1"/>
  <c r="T112"/>
  <c r="Y112" s="1"/>
  <c r="P112"/>
  <c r="O112"/>
  <c r="N112"/>
  <c r="M112"/>
  <c r="L112"/>
  <c r="K112"/>
  <c r="J112"/>
  <c r="I112"/>
  <c r="H112"/>
  <c r="V112" s="1"/>
  <c r="AA112" s="1"/>
  <c r="G112"/>
  <c r="F112"/>
  <c r="E112"/>
  <c r="S112" s="1"/>
  <c r="X112" s="1"/>
  <c r="D112"/>
  <c r="R112" s="1"/>
  <c r="W112" s="1"/>
  <c r="C112"/>
  <c r="Q112" s="1"/>
  <c r="B112"/>
  <c r="A112"/>
  <c r="X111"/>
  <c r="T111"/>
  <c r="Y111" s="1"/>
  <c r="S111"/>
  <c r="P111"/>
  <c r="O111"/>
  <c r="N111"/>
  <c r="M111"/>
  <c r="L111"/>
  <c r="K111"/>
  <c r="J111"/>
  <c r="I111"/>
  <c r="H111"/>
  <c r="V111" s="1"/>
  <c r="AA111" s="1"/>
  <c r="G111"/>
  <c r="U111" s="1"/>
  <c r="Z111" s="1"/>
  <c r="F111"/>
  <c r="E111"/>
  <c r="D111"/>
  <c r="R111" s="1"/>
  <c r="W111" s="1"/>
  <c r="C111"/>
  <c r="Q111" s="1"/>
  <c r="B111"/>
  <c r="A111"/>
  <c r="T110"/>
  <c r="Y110" s="1"/>
  <c r="S110"/>
  <c r="X110" s="1"/>
  <c r="Q110"/>
  <c r="P110"/>
  <c r="N110"/>
  <c r="M110"/>
  <c r="L110"/>
  <c r="K110"/>
  <c r="J110"/>
  <c r="I110"/>
  <c r="O110" s="1"/>
  <c r="H110"/>
  <c r="V110" s="1"/>
  <c r="AA110" s="1"/>
  <c r="G110"/>
  <c r="U110" s="1"/>
  <c r="Z110" s="1"/>
  <c r="F110"/>
  <c r="E110"/>
  <c r="D110"/>
  <c r="R110" s="1"/>
  <c r="W110" s="1"/>
  <c r="C110"/>
  <c r="B110"/>
  <c r="A110"/>
  <c r="U109"/>
  <c r="Z109" s="1"/>
  <c r="T109"/>
  <c r="Y109" s="1"/>
  <c r="P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Q109" s="1"/>
  <c r="B109"/>
  <c r="A109"/>
  <c r="T108"/>
  <c r="Y108" s="1"/>
  <c r="S108"/>
  <c r="X108" s="1"/>
  <c r="P108"/>
  <c r="O108"/>
  <c r="N108"/>
  <c r="M108"/>
  <c r="L108"/>
  <c r="K108"/>
  <c r="J108"/>
  <c r="I108"/>
  <c r="H108"/>
  <c r="V108" s="1"/>
  <c r="AA108" s="1"/>
  <c r="G108"/>
  <c r="U108" s="1"/>
  <c r="Z108" s="1"/>
  <c r="F108"/>
  <c r="E108"/>
  <c r="D108"/>
  <c r="R108" s="1"/>
  <c r="W108" s="1"/>
  <c r="C108"/>
  <c r="Q108" s="1"/>
  <c r="B108"/>
  <c r="A108"/>
  <c r="T107"/>
  <c r="Y107" s="1"/>
  <c r="S107"/>
  <c r="X107" s="1"/>
  <c r="Q107"/>
  <c r="P107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D107"/>
  <c r="R107" s="1"/>
  <c r="W107" s="1"/>
  <c r="C107"/>
  <c r="B107"/>
  <c r="A107"/>
  <c r="U106"/>
  <c r="Z106" s="1"/>
  <c r="T106"/>
  <c r="Y106" s="1"/>
  <c r="P106"/>
  <c r="O106"/>
  <c r="N106"/>
  <c r="M106"/>
  <c r="L106"/>
  <c r="K106"/>
  <c r="J106"/>
  <c r="I106"/>
  <c r="H106"/>
  <c r="V106" s="1"/>
  <c r="AA106" s="1"/>
  <c r="G106"/>
  <c r="F106"/>
  <c r="E106"/>
  <c r="S106" s="1"/>
  <c r="X106" s="1"/>
  <c r="D106"/>
  <c r="R106" s="1"/>
  <c r="W106" s="1"/>
  <c r="C106"/>
  <c r="Q106" s="1"/>
  <c r="B106"/>
  <c r="A106"/>
  <c r="T105"/>
  <c r="Y105" s="1"/>
  <c r="S105"/>
  <c r="X105" s="1"/>
  <c r="P105"/>
  <c r="O105"/>
  <c r="N105"/>
  <c r="M105"/>
  <c r="L105"/>
  <c r="K105"/>
  <c r="J105"/>
  <c r="I105"/>
  <c r="H105"/>
  <c r="V105" s="1"/>
  <c r="AA105" s="1"/>
  <c r="G105"/>
  <c r="U105" s="1"/>
  <c r="Z105" s="1"/>
  <c r="F105"/>
  <c r="E105"/>
  <c r="D105"/>
  <c r="R105" s="1"/>
  <c r="W105" s="1"/>
  <c r="C105"/>
  <c r="Q105" s="1"/>
  <c r="B105"/>
  <c r="A105"/>
  <c r="T104"/>
  <c r="Y104" s="1"/>
  <c r="S104"/>
  <c r="X104" s="1"/>
  <c r="Q104"/>
  <c r="P104"/>
  <c r="N104"/>
  <c r="M104"/>
  <c r="L104"/>
  <c r="K104"/>
  <c r="J104"/>
  <c r="I104"/>
  <c r="O104" s="1"/>
  <c r="H104"/>
  <c r="V104" s="1"/>
  <c r="AA104" s="1"/>
  <c r="G104"/>
  <c r="U104" s="1"/>
  <c r="Z104" s="1"/>
  <c r="F104"/>
  <c r="E104"/>
  <c r="D104"/>
  <c r="R104" s="1"/>
  <c r="W104" s="1"/>
  <c r="C104"/>
  <c r="B104"/>
  <c r="A104"/>
  <c r="U103"/>
  <c r="Z103" s="1"/>
  <c r="T103"/>
  <c r="Y103" s="1"/>
  <c r="P103"/>
  <c r="O103"/>
  <c r="N103"/>
  <c r="M103"/>
  <c r="L103"/>
  <c r="K103"/>
  <c r="J103"/>
  <c r="I103"/>
  <c r="H103"/>
  <c r="V103" s="1"/>
  <c r="AA103" s="1"/>
  <c r="G103"/>
  <c r="F103"/>
  <c r="E103"/>
  <c r="S103" s="1"/>
  <c r="X103" s="1"/>
  <c r="D103"/>
  <c r="R103" s="1"/>
  <c r="W103" s="1"/>
  <c r="C103"/>
  <c r="Q103" s="1"/>
  <c r="B103"/>
  <c r="A103"/>
  <c r="T102"/>
  <c r="Y102" s="1"/>
  <c r="S102"/>
  <c r="X102" s="1"/>
  <c r="P102"/>
  <c r="O102"/>
  <c r="N102"/>
  <c r="M102"/>
  <c r="L102"/>
  <c r="K102"/>
  <c r="J102"/>
  <c r="I102"/>
  <c r="H102"/>
  <c r="V102" s="1"/>
  <c r="AA102" s="1"/>
  <c r="G102"/>
  <c r="U102" s="1"/>
  <c r="Z102" s="1"/>
  <c r="F102"/>
  <c r="E102"/>
  <c r="D102"/>
  <c r="R102" s="1"/>
  <c r="W102" s="1"/>
  <c r="C102"/>
  <c r="Q102" s="1"/>
  <c r="B102"/>
  <c r="A102"/>
  <c r="T101"/>
  <c r="Y101" s="1"/>
  <c r="S101"/>
  <c r="X101" s="1"/>
  <c r="Q10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E101"/>
  <c r="D101"/>
  <c r="R101" s="1"/>
  <c r="W101" s="1"/>
  <c r="C101"/>
  <c r="B101"/>
  <c r="A101"/>
  <c r="U100"/>
  <c r="Z100" s="1"/>
  <c r="T100"/>
  <c r="Y100" s="1"/>
  <c r="P100"/>
  <c r="O100"/>
  <c r="N100"/>
  <c r="M100"/>
  <c r="L100"/>
  <c r="K100"/>
  <c r="J100"/>
  <c r="I100"/>
  <c r="H100"/>
  <c r="V100" s="1"/>
  <c r="AA100" s="1"/>
  <c r="G100"/>
  <c r="F100"/>
  <c r="E100"/>
  <c r="S100" s="1"/>
  <c r="X100" s="1"/>
  <c r="D100"/>
  <c r="R100" s="1"/>
  <c r="W100" s="1"/>
  <c r="C100"/>
  <c r="Q100" s="1"/>
  <c r="B100"/>
  <c r="A100"/>
  <c r="T99"/>
  <c r="Y99" s="1"/>
  <c r="S99"/>
  <c r="X99" s="1"/>
  <c r="P99"/>
  <c r="O99"/>
  <c r="N99"/>
  <c r="M99"/>
  <c r="L99"/>
  <c r="K99"/>
  <c r="J99"/>
  <c r="I99"/>
  <c r="H99"/>
  <c r="V99" s="1"/>
  <c r="AA99" s="1"/>
  <c r="G99"/>
  <c r="U99" s="1"/>
  <c r="Z99" s="1"/>
  <c r="F99"/>
  <c r="E99"/>
  <c r="D99"/>
  <c r="R99" s="1"/>
  <c r="W99" s="1"/>
  <c r="C99"/>
  <c r="Q99" s="1"/>
  <c r="B99"/>
  <c r="A99"/>
  <c r="T98"/>
  <c r="Y98" s="1"/>
  <c r="S98"/>
  <c r="X98" s="1"/>
  <c r="Q98"/>
  <c r="P98"/>
  <c r="N98"/>
  <c r="M98"/>
  <c r="L98"/>
  <c r="K98"/>
  <c r="J98"/>
  <c r="I98"/>
  <c r="O98" s="1"/>
  <c r="H98"/>
  <c r="V98" s="1"/>
  <c r="AA98" s="1"/>
  <c r="G98"/>
  <c r="U98" s="1"/>
  <c r="Z98" s="1"/>
  <c r="F98"/>
  <c r="E98"/>
  <c r="D98"/>
  <c r="R98" s="1"/>
  <c r="W98" s="1"/>
  <c r="C98"/>
  <c r="B98"/>
  <c r="A98"/>
  <c r="U97"/>
  <c r="Z97" s="1"/>
  <c r="T97"/>
  <c r="Y97" s="1"/>
  <c r="P97"/>
  <c r="O97"/>
  <c r="N97"/>
  <c r="M97"/>
  <c r="L97"/>
  <c r="K97"/>
  <c r="J97"/>
  <c r="I97"/>
  <c r="H97"/>
  <c r="V97" s="1"/>
  <c r="AA97" s="1"/>
  <c r="G97"/>
  <c r="F97"/>
  <c r="E97"/>
  <c r="S97" s="1"/>
  <c r="X97" s="1"/>
  <c r="D97"/>
  <c r="R97" s="1"/>
  <c r="W97" s="1"/>
  <c r="C97"/>
  <c r="Q97" s="1"/>
  <c r="B97"/>
  <c r="A97"/>
  <c r="T96"/>
  <c r="Y96" s="1"/>
  <c r="S96"/>
  <c r="X96" s="1"/>
  <c r="P96"/>
  <c r="O96"/>
  <c r="N96"/>
  <c r="M96"/>
  <c r="L96"/>
  <c r="K96"/>
  <c r="J96"/>
  <c r="I96"/>
  <c r="H96"/>
  <c r="V96" s="1"/>
  <c r="AA96" s="1"/>
  <c r="G96"/>
  <c r="U96" s="1"/>
  <c r="Z96" s="1"/>
  <c r="F96"/>
  <c r="E96"/>
  <c r="D96"/>
  <c r="R96" s="1"/>
  <c r="W96" s="1"/>
  <c r="C96"/>
  <c r="Q96" s="1"/>
  <c r="B96"/>
  <c r="A96"/>
  <c r="T95"/>
  <c r="Y95" s="1"/>
  <c r="S95"/>
  <c r="X95" s="1"/>
  <c r="Q95"/>
  <c r="P95"/>
  <c r="N95"/>
  <c r="M95"/>
  <c r="L95"/>
  <c r="K95"/>
  <c r="J95"/>
  <c r="I95"/>
  <c r="O95" s="1"/>
  <c r="H95"/>
  <c r="V95" s="1"/>
  <c r="AA95" s="1"/>
  <c r="G95"/>
  <c r="U95" s="1"/>
  <c r="Z95" s="1"/>
  <c r="F95"/>
  <c r="E95"/>
  <c r="D95"/>
  <c r="R95" s="1"/>
  <c r="W95" s="1"/>
  <c r="C95"/>
  <c r="B95"/>
  <c r="A95"/>
  <c r="U94"/>
  <c r="Z94" s="1"/>
  <c r="T94"/>
  <c r="Y94" s="1"/>
  <c r="P94"/>
  <c r="O94"/>
  <c r="N94"/>
  <c r="M94"/>
  <c r="L94"/>
  <c r="K94"/>
  <c r="J94"/>
  <c r="I94"/>
  <c r="H94"/>
  <c r="V94" s="1"/>
  <c r="AA94" s="1"/>
  <c r="G94"/>
  <c r="F94"/>
  <c r="E94"/>
  <c r="S94" s="1"/>
  <c r="X94" s="1"/>
  <c r="D94"/>
  <c r="R94" s="1"/>
  <c r="W94" s="1"/>
  <c r="C94"/>
  <c r="Q94" s="1"/>
  <c r="B94"/>
  <c r="A94"/>
  <c r="T93"/>
  <c r="Y93" s="1"/>
  <c r="S93"/>
  <c r="X93" s="1"/>
  <c r="P93"/>
  <c r="O93"/>
  <c r="N93"/>
  <c r="M93"/>
  <c r="L93"/>
  <c r="K93"/>
  <c r="J93"/>
  <c r="I93"/>
  <c r="H93"/>
  <c r="V93" s="1"/>
  <c r="AA93" s="1"/>
  <c r="G93"/>
  <c r="U93" s="1"/>
  <c r="Z93" s="1"/>
  <c r="F93"/>
  <c r="E93"/>
  <c r="D93"/>
  <c r="R93" s="1"/>
  <c r="W93" s="1"/>
  <c r="C93"/>
  <c r="Q93" s="1"/>
  <c r="B93"/>
  <c r="A93"/>
  <c r="T92"/>
  <c r="Y92" s="1"/>
  <c r="S92"/>
  <c r="X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D92"/>
  <c r="R92" s="1"/>
  <c r="W92" s="1"/>
  <c r="C92"/>
  <c r="B92"/>
  <c r="A92"/>
  <c r="U91"/>
  <c r="Z91" s="1"/>
  <c r="T91"/>
  <c r="Y91" s="1"/>
  <c r="P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Q91" s="1"/>
  <c r="B91"/>
  <c r="A91"/>
  <c r="T90"/>
  <c r="Y90" s="1"/>
  <c r="S90"/>
  <c r="X90" s="1"/>
  <c r="P90"/>
  <c r="O90"/>
  <c r="N90"/>
  <c r="M90"/>
  <c r="L90"/>
  <c r="K90"/>
  <c r="J90"/>
  <c r="I90"/>
  <c r="H90"/>
  <c r="V90" s="1"/>
  <c r="AA90" s="1"/>
  <c r="G90"/>
  <c r="U90" s="1"/>
  <c r="Z90" s="1"/>
  <c r="F90"/>
  <c r="E90"/>
  <c r="D90"/>
  <c r="R90" s="1"/>
  <c r="W90" s="1"/>
  <c r="C90"/>
  <c r="Q90" s="1"/>
  <c r="B90"/>
  <c r="A90"/>
  <c r="T89"/>
  <c r="Y89" s="1"/>
  <c r="S89"/>
  <c r="X89" s="1"/>
  <c r="Q89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D89"/>
  <c r="R89" s="1"/>
  <c r="W89" s="1"/>
  <c r="C89"/>
  <c r="B89"/>
  <c r="A89"/>
  <c r="U88"/>
  <c r="Z88" s="1"/>
  <c r="T88"/>
  <c r="Y88" s="1"/>
  <c r="P88"/>
  <c r="O88"/>
  <c r="N88"/>
  <c r="M88"/>
  <c r="L88"/>
  <c r="K88"/>
  <c r="J88"/>
  <c r="I88"/>
  <c r="H88"/>
  <c r="V88" s="1"/>
  <c r="AA88" s="1"/>
  <c r="G88"/>
  <c r="F88"/>
  <c r="E88"/>
  <c r="S88" s="1"/>
  <c r="X88" s="1"/>
  <c r="D88"/>
  <c r="R88" s="1"/>
  <c r="W88" s="1"/>
  <c r="C88"/>
  <c r="Q88" s="1"/>
  <c r="B88"/>
  <c r="A88"/>
  <c r="T87"/>
  <c r="Y87" s="1"/>
  <c r="S87"/>
  <c r="X87" s="1"/>
  <c r="P87"/>
  <c r="O87"/>
  <c r="N87"/>
  <c r="M87"/>
  <c r="L87"/>
  <c r="K87"/>
  <c r="J87"/>
  <c r="I87"/>
  <c r="H87"/>
  <c r="V87" s="1"/>
  <c r="AA87" s="1"/>
  <c r="G87"/>
  <c r="U87" s="1"/>
  <c r="Z87" s="1"/>
  <c r="F87"/>
  <c r="E87"/>
  <c r="D87"/>
  <c r="R87" s="1"/>
  <c r="W87" s="1"/>
  <c r="C87"/>
  <c r="Q87" s="1"/>
  <c r="B87"/>
  <c r="A87"/>
  <c r="T86"/>
  <c r="Y86" s="1"/>
  <c r="S86"/>
  <c r="X86" s="1"/>
  <c r="Q86"/>
  <c r="N86"/>
  <c r="M86"/>
  <c r="L86"/>
  <c r="K86"/>
  <c r="J86"/>
  <c r="I86"/>
  <c r="O86" s="1"/>
  <c r="H86"/>
  <c r="V86" s="1"/>
  <c r="AA86" s="1"/>
  <c r="G86"/>
  <c r="U86" s="1"/>
  <c r="Z86" s="1"/>
  <c r="F86"/>
  <c r="E86"/>
  <c r="D86"/>
  <c r="R86" s="1"/>
  <c r="W86" s="1"/>
  <c r="C86"/>
  <c r="B86"/>
  <c r="A86"/>
  <c r="U85"/>
  <c r="Z85" s="1"/>
  <c r="T85"/>
  <c r="Y85" s="1"/>
  <c r="O85"/>
  <c r="N85"/>
  <c r="M85"/>
  <c r="L85"/>
  <c r="K85"/>
  <c r="J85"/>
  <c r="I85"/>
  <c r="H85"/>
  <c r="V85" s="1"/>
  <c r="AA85" s="1"/>
  <c r="G85"/>
  <c r="F85"/>
  <c r="E85"/>
  <c r="S85" s="1"/>
  <c r="X85" s="1"/>
  <c r="D85"/>
  <c r="R85" s="1"/>
  <c r="W85" s="1"/>
  <c r="C85"/>
  <c r="Q85" s="1"/>
  <c r="B85"/>
  <c r="A85"/>
  <c r="T84"/>
  <c r="Y84" s="1"/>
  <c r="S84"/>
  <c r="X84" s="1"/>
  <c r="O84"/>
  <c r="N84"/>
  <c r="M84"/>
  <c r="L84"/>
  <c r="K84"/>
  <c r="J84"/>
  <c r="I84"/>
  <c r="H84"/>
  <c r="V84" s="1"/>
  <c r="AA84" s="1"/>
  <c r="G84"/>
  <c r="U84" s="1"/>
  <c r="Z84" s="1"/>
  <c r="F84"/>
  <c r="E84"/>
  <c r="D84"/>
  <c r="R84" s="1"/>
  <c r="W84" s="1"/>
  <c r="C84"/>
  <c r="Q84" s="1"/>
  <c r="B84"/>
  <c r="A84"/>
  <c r="T83"/>
  <c r="Y83" s="1"/>
  <c r="S83"/>
  <c r="X83" s="1"/>
  <c r="Q83"/>
  <c r="N83"/>
  <c r="M83"/>
  <c r="L83"/>
  <c r="K83"/>
  <c r="J83"/>
  <c r="I83"/>
  <c r="O83" s="1"/>
  <c r="H83"/>
  <c r="V83" s="1"/>
  <c r="AA83" s="1"/>
  <c r="G83"/>
  <c r="U83" s="1"/>
  <c r="Z83" s="1"/>
  <c r="F83"/>
  <c r="E83"/>
  <c r="D83"/>
  <c r="R83" s="1"/>
  <c r="W83" s="1"/>
  <c r="C83"/>
  <c r="B83"/>
  <c r="A83"/>
  <c r="U82"/>
  <c r="Z82" s="1"/>
  <c r="T82"/>
  <c r="Y82" s="1"/>
  <c r="O82"/>
  <c r="N82"/>
  <c r="M82"/>
  <c r="L82"/>
  <c r="K82"/>
  <c r="J82"/>
  <c r="I82"/>
  <c r="H82"/>
  <c r="V82" s="1"/>
  <c r="AA82" s="1"/>
  <c r="G82"/>
  <c r="F82"/>
  <c r="E82"/>
  <c r="S82" s="1"/>
  <c r="X82" s="1"/>
  <c r="D82"/>
  <c r="R82" s="1"/>
  <c r="W82" s="1"/>
  <c r="C82"/>
  <c r="Q82" s="1"/>
  <c r="B82"/>
  <c r="A82"/>
  <c r="T81"/>
  <c r="Y81" s="1"/>
  <c r="S81"/>
  <c r="X81" s="1"/>
  <c r="O81"/>
  <c r="N81"/>
  <c r="M81"/>
  <c r="L81"/>
  <c r="K81"/>
  <c r="J81"/>
  <c r="I81"/>
  <c r="H81"/>
  <c r="V81" s="1"/>
  <c r="AA81" s="1"/>
  <c r="G81"/>
  <c r="U81" s="1"/>
  <c r="Z81" s="1"/>
  <c r="F81"/>
  <c r="E81"/>
  <c r="D81"/>
  <c r="R81" s="1"/>
  <c r="W81" s="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R79" s="1"/>
  <c r="W79" s="1"/>
  <c r="C79"/>
  <c r="Q79" s="1"/>
  <c r="B79"/>
  <c r="A79"/>
  <c r="T78"/>
  <c r="Y78" s="1"/>
  <c r="S78"/>
  <c r="X78" s="1"/>
  <c r="O78"/>
  <c r="N78"/>
  <c r="M78"/>
  <c r="L78"/>
  <c r="K78"/>
  <c r="J78"/>
  <c r="I78"/>
  <c r="H78"/>
  <c r="V78" s="1"/>
  <c r="AA78" s="1"/>
  <c r="G78"/>
  <c r="U78" s="1"/>
  <c r="Z78" s="1"/>
  <c r="F78"/>
  <c r="E78"/>
  <c r="D78"/>
  <c r="R78" s="1"/>
  <c r="W78" s="1"/>
  <c r="C78"/>
  <c r="Q78" s="1"/>
  <c r="B78"/>
  <c r="A78"/>
  <c r="T77"/>
  <c r="Y77" s="1"/>
  <c r="S77"/>
  <c r="X77" s="1"/>
  <c r="Q77"/>
  <c r="N77"/>
  <c r="M77"/>
  <c r="L77"/>
  <c r="K77"/>
  <c r="J77"/>
  <c r="I77"/>
  <c r="O77" s="1"/>
  <c r="H77"/>
  <c r="V77" s="1"/>
  <c r="AA77" s="1"/>
  <c r="G77"/>
  <c r="U77" s="1"/>
  <c r="Z77" s="1"/>
  <c r="F77"/>
  <c r="E77"/>
  <c r="D77"/>
  <c r="R77" s="1"/>
  <c r="W77" s="1"/>
  <c r="C77"/>
  <c r="B77"/>
  <c r="A77"/>
  <c r="U76"/>
  <c r="Z76" s="1"/>
  <c r="T76"/>
  <c r="Y76" s="1"/>
  <c r="O76"/>
  <c r="N76"/>
  <c r="M76"/>
  <c r="L76"/>
  <c r="K76"/>
  <c r="J76"/>
  <c r="I76"/>
  <c r="H76"/>
  <c r="V76" s="1"/>
  <c r="AA76" s="1"/>
  <c r="G76"/>
  <c r="F76"/>
  <c r="E76"/>
  <c r="S76" s="1"/>
  <c r="X76" s="1"/>
  <c r="D76"/>
  <c r="R76" s="1"/>
  <c r="W76" s="1"/>
  <c r="C76"/>
  <c r="Q76" s="1"/>
  <c r="B76"/>
  <c r="A76"/>
  <c r="T75"/>
  <c r="Y75" s="1"/>
  <c r="S75"/>
  <c r="X75" s="1"/>
  <c r="O75"/>
  <c r="N75"/>
  <c r="M75"/>
  <c r="L75"/>
  <c r="K75"/>
  <c r="J75"/>
  <c r="I75"/>
  <c r="H75"/>
  <c r="V75" s="1"/>
  <c r="AA75" s="1"/>
  <c r="G75"/>
  <c r="U75" s="1"/>
  <c r="Z75" s="1"/>
  <c r="F75"/>
  <c r="E75"/>
  <c r="D75"/>
  <c r="R75" s="1"/>
  <c r="W75" s="1"/>
  <c r="C75"/>
  <c r="Q75" s="1"/>
  <c r="B75"/>
  <c r="A75"/>
  <c r="T74"/>
  <c r="Y74" s="1"/>
  <c r="S74"/>
  <c r="X74" s="1"/>
  <c r="Q74"/>
  <c r="N74"/>
  <c r="M74"/>
  <c r="L74"/>
  <c r="K74"/>
  <c r="J74"/>
  <c r="I74"/>
  <c r="O74" s="1"/>
  <c r="H74"/>
  <c r="V74" s="1"/>
  <c r="AA74" s="1"/>
  <c r="G74"/>
  <c r="U74" s="1"/>
  <c r="Z74" s="1"/>
  <c r="F74"/>
  <c r="E74"/>
  <c r="D74"/>
  <c r="R74" s="1"/>
  <c r="W74" s="1"/>
  <c r="C74"/>
  <c r="B74"/>
  <c r="A74"/>
  <c r="U73"/>
  <c r="Z73" s="1"/>
  <c r="T73"/>
  <c r="Y73" s="1"/>
  <c r="O73"/>
  <c r="N73"/>
  <c r="M73"/>
  <c r="L73"/>
  <c r="K73"/>
  <c r="J73"/>
  <c r="I73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T72"/>
  <c r="Y72" s="1"/>
  <c r="S72"/>
  <c r="X72" s="1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Q72" s="1"/>
  <c r="B72"/>
  <c r="A72"/>
  <c r="T71"/>
  <c r="Y71" s="1"/>
  <c r="S71"/>
  <c r="X71" s="1"/>
  <c r="Q71"/>
  <c r="N71"/>
  <c r="M71"/>
  <c r="L71"/>
  <c r="K71"/>
  <c r="J71"/>
  <c r="I71"/>
  <c r="O71" s="1"/>
  <c r="H71"/>
  <c r="V71" s="1"/>
  <c r="AA71" s="1"/>
  <c r="G71"/>
  <c r="U71" s="1"/>
  <c r="Z71" s="1"/>
  <c r="F71"/>
  <c r="E71"/>
  <c r="D71"/>
  <c r="R71" s="1"/>
  <c r="W71" s="1"/>
  <c r="C71"/>
  <c r="B71"/>
  <c r="A71"/>
  <c r="U70"/>
  <c r="Z70" s="1"/>
  <c r="T70"/>
  <c r="Y70" s="1"/>
  <c r="O70"/>
  <c r="N70"/>
  <c r="M70"/>
  <c r="L70"/>
  <c r="K70"/>
  <c r="J70"/>
  <c r="I70"/>
  <c r="H70"/>
  <c r="V70" s="1"/>
  <c r="AA70" s="1"/>
  <c r="G70"/>
  <c r="F70"/>
  <c r="E70"/>
  <c r="S70" s="1"/>
  <c r="X70" s="1"/>
  <c r="D70"/>
  <c r="R70" s="1"/>
  <c r="W70" s="1"/>
  <c r="C70"/>
  <c r="Q70" s="1"/>
  <c r="B70"/>
  <c r="A70"/>
  <c r="T69"/>
  <c r="Y69" s="1"/>
  <c r="S69"/>
  <c r="X69" s="1"/>
  <c r="O69"/>
  <c r="N69"/>
  <c r="M69"/>
  <c r="L69"/>
  <c r="K69"/>
  <c r="J69"/>
  <c r="I69"/>
  <c r="H69"/>
  <c r="V69" s="1"/>
  <c r="AA69" s="1"/>
  <c r="G69"/>
  <c r="U69" s="1"/>
  <c r="Z69" s="1"/>
  <c r="F69"/>
  <c r="E69"/>
  <c r="D69"/>
  <c r="R69" s="1"/>
  <c r="W69" s="1"/>
  <c r="C69"/>
  <c r="Q69" s="1"/>
  <c r="B69"/>
  <c r="A69"/>
  <c r="T68"/>
  <c r="Y68" s="1"/>
  <c r="S68"/>
  <c r="X68" s="1"/>
  <c r="Q68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B68"/>
  <c r="A68"/>
  <c r="U67"/>
  <c r="Z67" s="1"/>
  <c r="T67"/>
  <c r="Y67" s="1"/>
  <c r="O67"/>
  <c r="N67"/>
  <c r="M67"/>
  <c r="L67"/>
  <c r="K67"/>
  <c r="J67"/>
  <c r="I67"/>
  <c r="H67"/>
  <c r="V67" s="1"/>
  <c r="AA67" s="1"/>
  <c r="G67"/>
  <c r="F67"/>
  <c r="E67"/>
  <c r="S67" s="1"/>
  <c r="X67" s="1"/>
  <c r="D67"/>
  <c r="R67" s="1"/>
  <c r="W67" s="1"/>
  <c r="C67"/>
  <c r="Q67" s="1"/>
  <c r="B67"/>
  <c r="A67"/>
  <c r="T66"/>
  <c r="Y66" s="1"/>
  <c r="S66"/>
  <c r="X66" s="1"/>
  <c r="O66"/>
  <c r="N66"/>
  <c r="M66"/>
  <c r="L66"/>
  <c r="K66"/>
  <c r="J66"/>
  <c r="I66"/>
  <c r="H66"/>
  <c r="V66" s="1"/>
  <c r="AA66" s="1"/>
  <c r="G66"/>
  <c r="U66" s="1"/>
  <c r="Z66" s="1"/>
  <c r="F66"/>
  <c r="E66"/>
  <c r="D66"/>
  <c r="R66" s="1"/>
  <c r="W66" s="1"/>
  <c r="C66"/>
  <c r="Q66" s="1"/>
  <c r="B66"/>
  <c r="A66"/>
  <c r="T65"/>
  <c r="Y65" s="1"/>
  <c r="S65"/>
  <c r="X65" s="1"/>
  <c r="Q65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B65"/>
  <c r="A65"/>
  <c r="U64"/>
  <c r="Z64" s="1"/>
  <c r="T64"/>
  <c r="Y64" s="1"/>
  <c r="O64"/>
  <c r="N64"/>
  <c r="M64"/>
  <c r="L64"/>
  <c r="K64"/>
  <c r="J64"/>
  <c r="I64"/>
  <c r="H64"/>
  <c r="V64" s="1"/>
  <c r="AA64" s="1"/>
  <c r="G64"/>
  <c r="F64"/>
  <c r="E64"/>
  <c r="S64" s="1"/>
  <c r="X64" s="1"/>
  <c r="D64"/>
  <c r="R64" s="1"/>
  <c r="W64" s="1"/>
  <c r="C64"/>
  <c r="Q64" s="1"/>
  <c r="B64"/>
  <c r="A64"/>
  <c r="T63"/>
  <c r="Y63" s="1"/>
  <c r="S63"/>
  <c r="X63" s="1"/>
  <c r="O63"/>
  <c r="N63"/>
  <c r="M63"/>
  <c r="L63"/>
  <c r="K63"/>
  <c r="J63"/>
  <c r="I63"/>
  <c r="H63"/>
  <c r="V63" s="1"/>
  <c r="AA63" s="1"/>
  <c r="G63"/>
  <c r="U63" s="1"/>
  <c r="Z63" s="1"/>
  <c r="F63"/>
  <c r="E63"/>
  <c r="D63"/>
  <c r="R63" s="1"/>
  <c r="W63" s="1"/>
  <c r="C63"/>
  <c r="Q63" s="1"/>
  <c r="B63"/>
  <c r="A63"/>
  <c r="T62"/>
  <c r="Y62" s="1"/>
  <c r="S62"/>
  <c r="X62" s="1"/>
  <c r="Q62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B62"/>
  <c r="A62"/>
  <c r="U61"/>
  <c r="Z61" s="1"/>
  <c r="T61"/>
  <c r="Y61" s="1"/>
  <c r="O61"/>
  <c r="N61"/>
  <c r="M61"/>
  <c r="L61"/>
  <c r="K61"/>
  <c r="J61"/>
  <c r="I61"/>
  <c r="H61"/>
  <c r="V61" s="1"/>
  <c r="AA61" s="1"/>
  <c r="G61"/>
  <c r="F61"/>
  <c r="E61"/>
  <c r="S61" s="1"/>
  <c r="X61" s="1"/>
  <c r="D61"/>
  <c r="R61" s="1"/>
  <c r="W61" s="1"/>
  <c r="C61"/>
  <c r="Q61" s="1"/>
  <c r="B61"/>
  <c r="A61"/>
  <c r="T60"/>
  <c r="Y60" s="1"/>
  <c r="S60"/>
  <c r="X60" s="1"/>
  <c r="O60"/>
  <c r="N60"/>
  <c r="M60"/>
  <c r="L60"/>
  <c r="K60"/>
  <c r="J60"/>
  <c r="I60"/>
  <c r="H60"/>
  <c r="V60" s="1"/>
  <c r="AA60" s="1"/>
  <c r="G60"/>
  <c r="U60" s="1"/>
  <c r="Z60" s="1"/>
  <c r="F60"/>
  <c r="E60"/>
  <c r="D60"/>
  <c r="R60" s="1"/>
  <c r="W60" s="1"/>
  <c r="C60"/>
  <c r="Q60" s="1"/>
  <c r="B60"/>
  <c r="A60"/>
  <c r="T59"/>
  <c r="Y59" s="1"/>
  <c r="S59"/>
  <c r="X59" s="1"/>
  <c r="Q59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B59"/>
  <c r="A59"/>
  <c r="U58"/>
  <c r="Z58" s="1"/>
  <c r="T58"/>
  <c r="Y58" s="1"/>
  <c r="O58"/>
  <c r="N58"/>
  <c r="M58"/>
  <c r="L58"/>
  <c r="K58"/>
  <c r="J58"/>
  <c r="I58"/>
  <c r="H58"/>
  <c r="V58" s="1"/>
  <c r="AA58" s="1"/>
  <c r="G58"/>
  <c r="F58"/>
  <c r="E58"/>
  <c r="S58" s="1"/>
  <c r="X58" s="1"/>
  <c r="D58"/>
  <c r="R58" s="1"/>
  <c r="W58" s="1"/>
  <c r="C58"/>
  <c r="Q58" s="1"/>
  <c r="B58"/>
  <c r="A58"/>
  <c r="T57"/>
  <c r="Y57" s="1"/>
  <c r="S57"/>
  <c r="X57" s="1"/>
  <c r="O57"/>
  <c r="N57"/>
  <c r="M57"/>
  <c r="L57"/>
  <c r="K57"/>
  <c r="J57"/>
  <c r="I57"/>
  <c r="H57"/>
  <c r="V57" s="1"/>
  <c r="AA57" s="1"/>
  <c r="G57"/>
  <c r="U57" s="1"/>
  <c r="Z57" s="1"/>
  <c r="F57"/>
  <c r="E57"/>
  <c r="D57"/>
  <c r="R57" s="1"/>
  <c r="W57" s="1"/>
  <c r="C57"/>
  <c r="Q57" s="1"/>
  <c r="B57"/>
  <c r="A57"/>
  <c r="T56"/>
  <c r="Y56" s="1"/>
  <c r="S56"/>
  <c r="X56" s="1"/>
  <c r="Q56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B56"/>
  <c r="A56"/>
  <c r="U55"/>
  <c r="Z55" s="1"/>
  <c r="T55"/>
  <c r="Y55" s="1"/>
  <c r="O55"/>
  <c r="N55"/>
  <c r="M55"/>
  <c r="L55"/>
  <c r="K55"/>
  <c r="J55"/>
  <c r="I55"/>
  <c r="H55"/>
  <c r="V55" s="1"/>
  <c r="AA55" s="1"/>
  <c r="G55"/>
  <c r="F55"/>
  <c r="E55"/>
  <c r="S55" s="1"/>
  <c r="X55" s="1"/>
  <c r="D55"/>
  <c r="R55" s="1"/>
  <c r="W55" s="1"/>
  <c r="C55"/>
  <c r="Q55" s="1"/>
  <c r="B55"/>
  <c r="A55"/>
  <c r="T54"/>
  <c r="Y54" s="1"/>
  <c r="S54"/>
  <c r="X54" s="1"/>
  <c r="O54"/>
  <c r="N54"/>
  <c r="M54"/>
  <c r="L54"/>
  <c r="K54"/>
  <c r="J54"/>
  <c r="I54"/>
  <c r="H54"/>
  <c r="V54" s="1"/>
  <c r="AA54" s="1"/>
  <c r="G54"/>
  <c r="U54" s="1"/>
  <c r="Z54" s="1"/>
  <c r="F54"/>
  <c r="E54"/>
  <c r="D54"/>
  <c r="R54" s="1"/>
  <c r="W54" s="1"/>
  <c r="C54"/>
  <c r="Q54" s="1"/>
  <c r="B54"/>
  <c r="A54"/>
  <c r="T53"/>
  <c r="Y53" s="1"/>
  <c r="S53"/>
  <c r="X53" s="1"/>
  <c r="Q53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B53"/>
  <c r="A53"/>
  <c r="U52"/>
  <c r="Z52" s="1"/>
  <c r="T52"/>
  <c r="Y52" s="1"/>
  <c r="O52"/>
  <c r="N52"/>
  <c r="M52"/>
  <c r="L52"/>
  <c r="K52"/>
  <c r="J52"/>
  <c r="I52"/>
  <c r="H52"/>
  <c r="V52" s="1"/>
  <c r="AA52" s="1"/>
  <c r="G52"/>
  <c r="F52"/>
  <c r="E52"/>
  <c r="S52" s="1"/>
  <c r="X52" s="1"/>
  <c r="D52"/>
  <c r="R52" s="1"/>
  <c r="W52" s="1"/>
  <c r="C52"/>
  <c r="Q52" s="1"/>
  <c r="B52"/>
  <c r="A52"/>
  <c r="T51"/>
  <c r="Y51" s="1"/>
  <c r="S51"/>
  <c r="X51" s="1"/>
  <c r="O51"/>
  <c r="N51"/>
  <c r="M51"/>
  <c r="L51"/>
  <c r="K51"/>
  <c r="J51"/>
  <c r="I51"/>
  <c r="H51"/>
  <c r="V51" s="1"/>
  <c r="AA51" s="1"/>
  <c r="G51"/>
  <c r="U51" s="1"/>
  <c r="Z51" s="1"/>
  <c r="F51"/>
  <c r="E51"/>
  <c r="D51"/>
  <c r="R51" s="1"/>
  <c r="W51" s="1"/>
  <c r="C51"/>
  <c r="Q51" s="1"/>
  <c r="B51"/>
  <c r="A51"/>
  <c r="T50"/>
  <c r="Y50" s="1"/>
  <c r="S50"/>
  <c r="X50" s="1"/>
  <c r="Q50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B50"/>
  <c r="A50"/>
  <c r="U49"/>
  <c r="Z49" s="1"/>
  <c r="T49"/>
  <c r="Y49" s="1"/>
  <c r="O49"/>
  <c r="N49"/>
  <c r="M49"/>
  <c r="L49"/>
  <c r="K49"/>
  <c r="J49"/>
  <c r="I49"/>
  <c r="H49"/>
  <c r="V49" s="1"/>
  <c r="AA49" s="1"/>
  <c r="G49"/>
  <c r="F49"/>
  <c r="E49"/>
  <c r="S49" s="1"/>
  <c r="X49" s="1"/>
  <c r="D49"/>
  <c r="R49" s="1"/>
  <c r="W49" s="1"/>
  <c r="C49"/>
  <c r="Q49" s="1"/>
  <c r="B49"/>
  <c r="A49"/>
  <c r="T48"/>
  <c r="Y48" s="1"/>
  <c r="S48"/>
  <c r="X48" s="1"/>
  <c r="O48"/>
  <c r="N48"/>
  <c r="M48"/>
  <c r="L48"/>
  <c r="K48"/>
  <c r="J48"/>
  <c r="I48"/>
  <c r="H48"/>
  <c r="V48" s="1"/>
  <c r="AA48" s="1"/>
  <c r="G48"/>
  <c r="U48" s="1"/>
  <c r="Z48" s="1"/>
  <c r="F48"/>
  <c r="E48"/>
  <c r="D48"/>
  <c r="R48" s="1"/>
  <c r="W48" s="1"/>
  <c r="C48"/>
  <c r="Q48" s="1"/>
  <c r="B48"/>
  <c r="A48"/>
  <c r="T47"/>
  <c r="Y47" s="1"/>
  <c r="Q47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T45"/>
  <c r="Y45" s="1"/>
  <c r="S45"/>
  <c r="X45" s="1"/>
  <c r="O45"/>
  <c r="N45"/>
  <c r="M45"/>
  <c r="L45"/>
  <c r="K45"/>
  <c r="J45"/>
  <c r="I45"/>
  <c r="H45"/>
  <c r="V45" s="1"/>
  <c r="AA45" s="1"/>
  <c r="G45"/>
  <c r="U45" s="1"/>
  <c r="Z45" s="1"/>
  <c r="F45"/>
  <c r="E45"/>
  <c r="D45"/>
  <c r="R45" s="1"/>
  <c r="W45" s="1"/>
  <c r="C45"/>
  <c r="Q45" s="1"/>
  <c r="B45"/>
  <c r="A45"/>
  <c r="T44"/>
  <c r="Y44" s="1"/>
  <c r="Q44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B44"/>
  <c r="A44"/>
  <c r="U43"/>
  <c r="Z43" s="1"/>
  <c r="T43"/>
  <c r="Y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R43" s="1"/>
  <c r="W43" s="1"/>
  <c r="C43"/>
  <c r="Q43" s="1"/>
  <c r="B43"/>
  <c r="A43"/>
  <c r="T42"/>
  <c r="Y42" s="1"/>
  <c r="S42"/>
  <c r="X42" s="1"/>
  <c r="O42"/>
  <c r="N42"/>
  <c r="M42"/>
  <c r="L42"/>
  <c r="K42"/>
  <c r="J42"/>
  <c r="I42"/>
  <c r="H42"/>
  <c r="V42" s="1"/>
  <c r="AA42" s="1"/>
  <c r="G42"/>
  <c r="U42" s="1"/>
  <c r="Z42" s="1"/>
  <c r="F42"/>
  <c r="E42"/>
  <c r="D42"/>
  <c r="R42" s="1"/>
  <c r="W42" s="1"/>
  <c r="C42"/>
  <c r="Q42" s="1"/>
  <c r="B42"/>
  <c r="A42"/>
  <c r="T41"/>
  <c r="Y41" s="1"/>
  <c r="Q41"/>
  <c r="N41"/>
  <c r="M41"/>
  <c r="L41"/>
  <c r="K41"/>
  <c r="J41"/>
  <c r="I41"/>
  <c r="O41" s="1"/>
  <c r="H41"/>
  <c r="V41" s="1"/>
  <c r="AA41" s="1"/>
  <c r="G41"/>
  <c r="U41" s="1"/>
  <c r="Z41" s="1"/>
  <c r="F41"/>
  <c r="E41"/>
  <c r="S41" s="1"/>
  <c r="X41" s="1"/>
  <c r="D41"/>
  <c r="R41" s="1"/>
  <c r="W41" s="1"/>
  <c r="C41"/>
  <c r="B41"/>
  <c r="A41"/>
  <c r="U40"/>
  <c r="Z40" s="1"/>
  <c r="T40"/>
  <c r="Y40" s="1"/>
  <c r="O40"/>
  <c r="N40"/>
  <c r="M40"/>
  <c r="L40"/>
  <c r="K40"/>
  <c r="J40"/>
  <c r="I40"/>
  <c r="H40"/>
  <c r="V40" s="1"/>
  <c r="AA40" s="1"/>
  <c r="G40"/>
  <c r="F40"/>
  <c r="E40"/>
  <c r="S40" s="1"/>
  <c r="X40" s="1"/>
  <c r="D40"/>
  <c r="R40" s="1"/>
  <c r="W40" s="1"/>
  <c r="C40"/>
  <c r="Q40" s="1"/>
  <c r="B40"/>
  <c r="A40"/>
  <c r="T39"/>
  <c r="Y39" s="1"/>
  <c r="S39"/>
  <c r="X39" s="1"/>
  <c r="O39"/>
  <c r="N39"/>
  <c r="M39"/>
  <c r="L39"/>
  <c r="K39"/>
  <c r="J39"/>
  <c r="I39"/>
  <c r="H39"/>
  <c r="V39" s="1"/>
  <c r="AA39" s="1"/>
  <c r="G39"/>
  <c r="U39" s="1"/>
  <c r="Z39" s="1"/>
  <c r="F39"/>
  <c r="E39"/>
  <c r="D39"/>
  <c r="R39" s="1"/>
  <c r="W39" s="1"/>
  <c r="C39"/>
  <c r="Q39" s="1"/>
  <c r="B39"/>
  <c r="A39"/>
  <c r="T38"/>
  <c r="Y38" s="1"/>
  <c r="Q38"/>
  <c r="N38"/>
  <c r="M38"/>
  <c r="L38"/>
  <c r="K38"/>
  <c r="J38"/>
  <c r="I38"/>
  <c r="O38" s="1"/>
  <c r="H38"/>
  <c r="V38" s="1"/>
  <c r="AA38" s="1"/>
  <c r="G38"/>
  <c r="U38" s="1"/>
  <c r="Z38" s="1"/>
  <c r="F38"/>
  <c r="E38"/>
  <c r="S38" s="1"/>
  <c r="X38" s="1"/>
  <c r="D38"/>
  <c r="R38" s="1"/>
  <c r="W38" s="1"/>
  <c r="C38"/>
  <c r="B38"/>
  <c r="A38"/>
  <c r="U37"/>
  <c r="Z37" s="1"/>
  <c r="T37"/>
  <c r="Y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R37" s="1"/>
  <c r="W37" s="1"/>
  <c r="C37"/>
  <c r="Q37" s="1"/>
  <c r="B37"/>
  <c r="A37"/>
  <c r="T36"/>
  <c r="Y36" s="1"/>
  <c r="S36"/>
  <c r="X36" s="1"/>
  <c r="O36"/>
  <c r="N36"/>
  <c r="M36"/>
  <c r="L36"/>
  <c r="K36"/>
  <c r="J36"/>
  <c r="I36"/>
  <c r="H36"/>
  <c r="V36" s="1"/>
  <c r="AA36" s="1"/>
  <c r="G36"/>
  <c r="U36" s="1"/>
  <c r="Z36" s="1"/>
  <c r="F36"/>
  <c r="E36"/>
  <c r="D36"/>
  <c r="R36" s="1"/>
  <c r="W36" s="1"/>
  <c r="C36"/>
  <c r="Q36" s="1"/>
  <c r="B36"/>
  <c r="A36"/>
  <c r="T35"/>
  <c r="Y35" s="1"/>
  <c r="Q35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B35"/>
  <c r="A35"/>
  <c r="U34"/>
  <c r="Z34" s="1"/>
  <c r="T34"/>
  <c r="Y34" s="1"/>
  <c r="O34"/>
  <c r="N34"/>
  <c r="M34"/>
  <c r="L34"/>
  <c r="K34"/>
  <c r="J34"/>
  <c r="I34"/>
  <c r="H34"/>
  <c r="V34" s="1"/>
  <c r="AA34" s="1"/>
  <c r="G34"/>
  <c r="F34"/>
  <c r="E34"/>
  <c r="S34" s="1"/>
  <c r="X34" s="1"/>
  <c r="D34"/>
  <c r="R34" s="1"/>
  <c r="W34" s="1"/>
  <c r="C34"/>
  <c r="Q34" s="1"/>
  <c r="B34"/>
  <c r="A34"/>
  <c r="T33"/>
  <c r="Y33" s="1"/>
  <c r="S33"/>
  <c r="X33" s="1"/>
  <c r="O33"/>
  <c r="N33"/>
  <c r="M33"/>
  <c r="L33"/>
  <c r="K33"/>
  <c r="J33"/>
  <c r="I33"/>
  <c r="H33"/>
  <c r="V33" s="1"/>
  <c r="AA33" s="1"/>
  <c r="G33"/>
  <c r="U33" s="1"/>
  <c r="Z33" s="1"/>
  <c r="F33"/>
  <c r="E33"/>
  <c r="D33"/>
  <c r="R33" s="1"/>
  <c r="W33" s="1"/>
  <c r="C33"/>
  <c r="Q33" s="1"/>
  <c r="B33"/>
  <c r="A33"/>
  <c r="T32"/>
  <c r="Y32" s="1"/>
  <c r="Q32"/>
  <c r="N32"/>
  <c r="M32"/>
  <c r="L32"/>
  <c r="K32"/>
  <c r="J32"/>
  <c r="I32"/>
  <c r="O32" s="1"/>
  <c r="H32"/>
  <c r="V32" s="1"/>
  <c r="AA32" s="1"/>
  <c r="G32"/>
  <c r="U32" s="1"/>
  <c r="Z32" s="1"/>
  <c r="F32"/>
  <c r="E32"/>
  <c r="S32" s="1"/>
  <c r="X32" s="1"/>
  <c r="D32"/>
  <c r="R32" s="1"/>
  <c r="W32" s="1"/>
  <c r="C32"/>
  <c r="B32"/>
  <c r="A32"/>
  <c r="U31"/>
  <c r="Z31" s="1"/>
  <c r="T31"/>
  <c r="Y31" s="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Q31" s="1"/>
  <c r="B31"/>
  <c r="A31"/>
  <c r="T30"/>
  <c r="Y30" s="1"/>
  <c r="S30"/>
  <c r="X30" s="1"/>
  <c r="O30"/>
  <c r="N30"/>
  <c r="M30"/>
  <c r="L30"/>
  <c r="K30"/>
  <c r="J30"/>
  <c r="I30"/>
  <c r="H30"/>
  <c r="V30" s="1"/>
  <c r="AA30" s="1"/>
  <c r="G30"/>
  <c r="U30" s="1"/>
  <c r="Z30" s="1"/>
  <c r="F30"/>
  <c r="E30"/>
  <c r="D30"/>
  <c r="R30" s="1"/>
  <c r="W30" s="1"/>
  <c r="C30"/>
  <c r="Q30" s="1"/>
  <c r="B30"/>
  <c r="A30"/>
  <c r="T29"/>
  <c r="Y29" s="1"/>
  <c r="Q29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B29"/>
  <c r="A29"/>
  <c r="U28"/>
  <c r="Z28" s="1"/>
  <c r="T28"/>
  <c r="Y28" s="1"/>
  <c r="O28"/>
  <c r="N28"/>
  <c r="M28"/>
  <c r="L28"/>
  <c r="K28"/>
  <c r="J28"/>
  <c r="I28"/>
  <c r="H28"/>
  <c r="V28" s="1"/>
  <c r="AA28" s="1"/>
  <c r="G28"/>
  <c r="F28"/>
  <c r="E28"/>
  <c r="S28" s="1"/>
  <c r="X28" s="1"/>
  <c r="D28"/>
  <c r="R28" s="1"/>
  <c r="W28" s="1"/>
  <c r="C28"/>
  <c r="Q28" s="1"/>
  <c r="B28"/>
  <c r="A28"/>
  <c r="T27"/>
  <c r="Y27" s="1"/>
  <c r="S27"/>
  <c r="X27" s="1"/>
  <c r="O27"/>
  <c r="N27"/>
  <c r="M27"/>
  <c r="L27"/>
  <c r="K27"/>
  <c r="J27"/>
  <c r="I27"/>
  <c r="H27"/>
  <c r="V27" s="1"/>
  <c r="AA27" s="1"/>
  <c r="G27"/>
  <c r="U27" s="1"/>
  <c r="Z27" s="1"/>
  <c r="F27"/>
  <c r="E27"/>
  <c r="D27"/>
  <c r="R27" s="1"/>
  <c r="W27" s="1"/>
  <c r="C27"/>
  <c r="Q27" s="1"/>
  <c r="B27"/>
  <c r="A27"/>
  <c r="T26"/>
  <c r="Y26" s="1"/>
  <c r="Q26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B26"/>
  <c r="A26"/>
  <c r="U25"/>
  <c r="Z25" s="1"/>
  <c r="T25"/>
  <c r="Y25" s="1"/>
  <c r="N25"/>
  <c r="M25"/>
  <c r="L25"/>
  <c r="K25"/>
  <c r="J25"/>
  <c r="I25"/>
  <c r="O25" s="1"/>
  <c r="H25"/>
  <c r="V25" s="1"/>
  <c r="AA25" s="1"/>
  <c r="G25"/>
  <c r="F25"/>
  <c r="E25"/>
  <c r="S25" s="1"/>
  <c r="X25" s="1"/>
  <c r="D25"/>
  <c r="R25" s="1"/>
  <c r="W25" s="1"/>
  <c r="C25"/>
  <c r="Q25" s="1"/>
  <c r="B25"/>
  <c r="A25"/>
  <c r="T24"/>
  <c r="Y24" s="1"/>
  <c r="S24"/>
  <c r="X24" s="1"/>
  <c r="O24"/>
  <c r="N24"/>
  <c r="M24"/>
  <c r="L24"/>
  <c r="K24"/>
  <c r="J24"/>
  <c r="I24"/>
  <c r="H24"/>
  <c r="V24" s="1"/>
  <c r="AA24" s="1"/>
  <c r="G24"/>
  <c r="U24" s="1"/>
  <c r="Z24" s="1"/>
  <c r="F24"/>
  <c r="E24"/>
  <c r="D24"/>
  <c r="R24" s="1"/>
  <c r="W24" s="1"/>
  <c r="C24"/>
  <c r="Q24" s="1"/>
  <c r="B24"/>
  <c r="A24"/>
  <c r="T23"/>
  <c r="Y23" s="1"/>
  <c r="Q23"/>
  <c r="N23"/>
  <c r="M23"/>
  <c r="L23"/>
  <c r="K23"/>
  <c r="J23"/>
  <c r="I23"/>
  <c r="O23" s="1"/>
  <c r="H23"/>
  <c r="V23" s="1"/>
  <c r="AA23" s="1"/>
  <c r="G23"/>
  <c r="U23" s="1"/>
  <c r="Z23" s="1"/>
  <c r="F23"/>
  <c r="E23"/>
  <c r="S23" s="1"/>
  <c r="X23" s="1"/>
  <c r="D23"/>
  <c r="R23" s="1"/>
  <c r="W23" s="1"/>
  <c r="C23"/>
  <c r="B23"/>
  <c r="A23"/>
  <c r="U22"/>
  <c r="Z22" s="1"/>
  <c r="T22"/>
  <c r="Y22" s="1"/>
  <c r="N22"/>
  <c r="M22"/>
  <c r="L22"/>
  <c r="K22"/>
  <c r="J22"/>
  <c r="I22"/>
  <c r="O22" s="1"/>
  <c r="H22"/>
  <c r="V22" s="1"/>
  <c r="AA22" s="1"/>
  <c r="G22"/>
  <c r="F22"/>
  <c r="E22"/>
  <c r="S22" s="1"/>
  <c r="X22" s="1"/>
  <c r="D22"/>
  <c r="R22" s="1"/>
  <c r="W22" s="1"/>
  <c r="C22"/>
  <c r="Q22" s="1"/>
  <c r="B22"/>
  <c r="A22"/>
  <c r="T21"/>
  <c r="Y21" s="1"/>
  <c r="S21"/>
  <c r="X21" s="1"/>
  <c r="O21"/>
  <c r="N21"/>
  <c r="M21"/>
  <c r="L21"/>
  <c r="K21"/>
  <c r="J21"/>
  <c r="I21"/>
  <c r="H21"/>
  <c r="V21" s="1"/>
  <c r="AA21" s="1"/>
  <c r="G21"/>
  <c r="U21" s="1"/>
  <c r="Z21" s="1"/>
  <c r="F21"/>
  <c r="E21"/>
  <c r="D21"/>
  <c r="R21" s="1"/>
  <c r="W21" s="1"/>
  <c r="C21"/>
  <c r="Q21" s="1"/>
  <c r="B21"/>
  <c r="A21"/>
  <c r="T20"/>
  <c r="Y20" s="1"/>
  <c r="Q20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B20"/>
  <c r="A20"/>
  <c r="U19"/>
  <c r="Z19" s="1"/>
  <c r="T19"/>
  <c r="Y19" s="1"/>
  <c r="N19"/>
  <c r="M19"/>
  <c r="L19"/>
  <c r="K19"/>
  <c r="J19"/>
  <c r="I19"/>
  <c r="O19" s="1"/>
  <c r="H19"/>
  <c r="V19" s="1"/>
  <c r="AA19" s="1"/>
  <c r="G19"/>
  <c r="F19"/>
  <c r="E19"/>
  <c r="S19" s="1"/>
  <c r="X19" s="1"/>
  <c r="D19"/>
  <c r="R19" s="1"/>
  <c r="W19" s="1"/>
  <c r="C19"/>
  <c r="Q19" s="1"/>
  <c r="B19"/>
  <c r="A19"/>
  <c r="T18"/>
  <c r="Y18" s="1"/>
  <c r="S18"/>
  <c r="X18" s="1"/>
  <c r="O18"/>
  <c r="N18"/>
  <c r="M18"/>
  <c r="L18"/>
  <c r="K18"/>
  <c r="J18"/>
  <c r="I18"/>
  <c r="H18"/>
  <c r="V18" s="1"/>
  <c r="AA18" s="1"/>
  <c r="G18"/>
  <c r="U18" s="1"/>
  <c r="Z18" s="1"/>
  <c r="F18"/>
  <c r="E18"/>
  <c r="D18"/>
  <c r="R18" s="1"/>
  <c r="W18" s="1"/>
  <c r="C18"/>
  <c r="Q18" s="1"/>
  <c r="B18"/>
  <c r="A18"/>
  <c r="T17"/>
  <c r="Y17" s="1"/>
  <c r="Q17"/>
  <c r="N17"/>
  <c r="M17"/>
  <c r="L17"/>
  <c r="K17"/>
  <c r="J17"/>
  <c r="I17"/>
  <c r="O17" s="1"/>
  <c r="H17"/>
  <c r="V17" s="1"/>
  <c r="AA17" s="1"/>
  <c r="G17"/>
  <c r="U17" s="1"/>
  <c r="Z17" s="1"/>
  <c r="F17"/>
  <c r="E17"/>
  <c r="S17" s="1"/>
  <c r="X17" s="1"/>
  <c r="D17"/>
  <c r="R17" s="1"/>
  <c r="W17" s="1"/>
  <c r="C17"/>
  <c r="B17"/>
  <c r="A17"/>
  <c r="U16"/>
  <c r="Z16" s="1"/>
  <c r="T16"/>
  <c r="Y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R16" s="1"/>
  <c r="W16" s="1"/>
  <c r="C16"/>
  <c r="Q16" s="1"/>
  <c r="B16"/>
  <c r="A16"/>
  <c r="T15"/>
  <c r="Y15" s="1"/>
  <c r="S15"/>
  <c r="X15" s="1"/>
  <c r="O15"/>
  <c r="N15"/>
  <c r="M15"/>
  <c r="L15"/>
  <c r="K15"/>
  <c r="J15"/>
  <c r="I15"/>
  <c r="H15"/>
  <c r="V15" s="1"/>
  <c r="AA15" s="1"/>
  <c r="G15"/>
  <c r="U15" s="1"/>
  <c r="Z15" s="1"/>
  <c r="F15"/>
  <c r="E15"/>
  <c r="D15"/>
  <c r="R15" s="1"/>
  <c r="W15" s="1"/>
  <c r="C15"/>
  <c r="Q15" s="1"/>
  <c r="B15"/>
  <c r="A15"/>
  <c r="T14"/>
  <c r="Y14" s="1"/>
  <c r="Q14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B14"/>
  <c r="A14"/>
  <c r="U13"/>
  <c r="Z13" s="1"/>
  <c r="T13"/>
  <c r="Y13" s="1"/>
  <c r="O13"/>
  <c r="N13"/>
  <c r="M13"/>
  <c r="L13"/>
  <c r="K13"/>
  <c r="J13"/>
  <c r="I13"/>
  <c r="H13"/>
  <c r="V13" s="1"/>
  <c r="AA13" s="1"/>
  <c r="G13"/>
  <c r="F13"/>
  <c r="E13"/>
  <c r="S13" s="1"/>
  <c r="X13" s="1"/>
  <c r="D13"/>
  <c r="R13" s="1"/>
  <c r="W13" s="1"/>
  <c r="C13"/>
  <c r="Q13" s="1"/>
  <c r="B13"/>
  <c r="A13"/>
  <c r="T12"/>
  <c r="Y12" s="1"/>
  <c r="S12"/>
  <c r="X12" s="1"/>
  <c r="O12"/>
  <c r="N12"/>
  <c r="M12"/>
  <c r="L12"/>
  <c r="K12"/>
  <c r="J12"/>
  <c r="I12"/>
  <c r="H12"/>
  <c r="V12" s="1"/>
  <c r="AA12" s="1"/>
  <c r="G12"/>
  <c r="U12" s="1"/>
  <c r="Z12" s="1"/>
  <c r="F12"/>
  <c r="E12"/>
  <c r="D12"/>
  <c r="R12" s="1"/>
  <c r="W12" s="1"/>
  <c r="C12"/>
  <c r="Q12" s="1"/>
  <c r="B12"/>
  <c r="A12"/>
  <c r="T11"/>
  <c r="Y11" s="1"/>
  <c r="Q1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B11"/>
  <c r="A11"/>
  <c r="U10"/>
  <c r="Z10" s="1"/>
  <c r="T10"/>
  <c r="Y10" s="1"/>
  <c r="N10"/>
  <c r="M10"/>
  <c r="L10"/>
  <c r="K10"/>
  <c r="J10"/>
  <c r="I10"/>
  <c r="O10" s="1"/>
  <c r="H10"/>
  <c r="V10" s="1"/>
  <c r="AA10" s="1"/>
  <c r="G10"/>
  <c r="F10"/>
  <c r="E10"/>
  <c r="S10" s="1"/>
  <c r="X10" s="1"/>
  <c r="D10"/>
  <c r="R10" s="1"/>
  <c r="W10" s="1"/>
  <c r="C10"/>
  <c r="Q10" s="1"/>
  <c r="B10"/>
  <c r="A10"/>
  <c r="T9"/>
  <c r="Y9" s="1"/>
  <c r="S9"/>
  <c r="X9" s="1"/>
  <c r="O9"/>
  <c r="N9"/>
  <c r="M9"/>
  <c r="L9"/>
  <c r="K9"/>
  <c r="J9"/>
  <c r="I9"/>
  <c r="H9"/>
  <c r="V9" s="1"/>
  <c r="AA9" s="1"/>
  <c r="G9"/>
  <c r="U9" s="1"/>
  <c r="Z9" s="1"/>
  <c r="F9"/>
  <c r="E9"/>
  <c r="D9"/>
  <c r="R9" s="1"/>
  <c r="W9" s="1"/>
  <c r="C9"/>
  <c r="Q9" s="1"/>
  <c r="B9"/>
  <c r="A9"/>
  <c r="T8"/>
  <c r="Y8" s="1"/>
  <c r="Q8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B8"/>
  <c r="A8"/>
  <c r="U7"/>
  <c r="Z7" s="1"/>
  <c r="T7"/>
  <c r="Y7" s="1"/>
  <c r="O7"/>
  <c r="N7"/>
  <c r="M7"/>
  <c r="L7"/>
  <c r="K7"/>
  <c r="J7"/>
  <c r="I7"/>
  <c r="H7"/>
  <c r="V7" s="1"/>
  <c r="AA7" s="1"/>
  <c r="G7"/>
  <c r="F7"/>
  <c r="E7"/>
  <c r="S7" s="1"/>
  <c r="X7" s="1"/>
  <c r="D7"/>
  <c r="R7" s="1"/>
  <c r="W7" s="1"/>
  <c r="C7"/>
  <c r="Q7" s="1"/>
  <c r="B7"/>
  <c r="A7"/>
  <c r="T6"/>
  <c r="Y6" s="1"/>
  <c r="S6"/>
  <c r="X6" s="1"/>
  <c r="O6"/>
  <c r="N6"/>
  <c r="M6"/>
  <c r="L6"/>
  <c r="K6"/>
  <c r="J6"/>
  <c r="I6"/>
  <c r="H6"/>
  <c r="V6" s="1"/>
  <c r="AA6" s="1"/>
  <c r="G6"/>
  <c r="U6" s="1"/>
  <c r="Z6" s="1"/>
  <c r="F6"/>
  <c r="E6"/>
  <c r="D6"/>
  <c r="R6" s="1"/>
  <c r="W6" s="1"/>
  <c r="C6"/>
  <c r="Q6" s="1"/>
  <c r="B6"/>
  <c r="A6"/>
  <c r="T5"/>
  <c r="Y5" s="1"/>
  <c r="Q5"/>
  <c r="N5"/>
  <c r="M5"/>
  <c r="L5"/>
  <c r="K5"/>
  <c r="J5"/>
  <c r="I5"/>
  <c r="O5" s="1"/>
  <c r="H5"/>
  <c r="V5" s="1"/>
  <c r="AA5" s="1"/>
  <c r="G5"/>
  <c r="U5" s="1"/>
  <c r="Z5" s="1"/>
  <c r="F5"/>
  <c r="E5"/>
  <c r="S5" s="1"/>
  <c r="X5" s="1"/>
  <c r="D5"/>
  <c r="R5" s="1"/>
  <c r="W5" s="1"/>
  <c r="C5"/>
  <c r="B5"/>
  <c r="A5"/>
  <c r="U4"/>
  <c r="Z4" s="1"/>
  <c r="T4"/>
  <c r="Y4" s="1"/>
  <c r="O4"/>
  <c r="N4"/>
  <c r="M4"/>
  <c r="L4"/>
  <c r="K4"/>
  <c r="J4"/>
  <c r="I4"/>
  <c r="H4"/>
  <c r="V4" s="1"/>
  <c r="AA4" s="1"/>
  <c r="G4"/>
  <c r="F4"/>
  <c r="E4"/>
  <c r="S4" s="1"/>
  <c r="X4" s="1"/>
  <c r="D4"/>
  <c r="R4" s="1"/>
  <c r="W4" s="1"/>
  <c r="C4"/>
  <c r="Q4" s="1"/>
  <c r="B4"/>
  <c r="A4"/>
  <c r="T3"/>
  <c r="Y3" s="1"/>
  <c r="S3"/>
  <c r="X3" s="1"/>
  <c r="O3"/>
  <c r="N3"/>
  <c r="M3"/>
  <c r="L3"/>
  <c r="K3"/>
  <c r="J3"/>
  <c r="I3"/>
  <c r="H3"/>
  <c r="V3" s="1"/>
  <c r="AA3" s="1"/>
  <c r="G3"/>
  <c r="U3" s="1"/>
  <c r="Z3" s="1"/>
  <c r="F3"/>
  <c r="E3"/>
  <c r="D3"/>
  <c r="R3" s="1"/>
  <c r="W3" s="1"/>
  <c r="C3"/>
  <c r="Q3" s="1"/>
  <c r="B3"/>
  <c r="A3"/>
  <c r="T2"/>
  <c r="Y2" s="1"/>
  <c r="Q2"/>
  <c r="N2"/>
  <c r="M2"/>
  <c r="L2"/>
  <c r="K2"/>
  <c r="J2"/>
  <c r="I2"/>
  <c r="O2" s="1"/>
  <c r="H2"/>
  <c r="V2" s="1"/>
  <c r="AA2" s="1"/>
  <c r="G2"/>
  <c r="U2" s="1"/>
  <c r="Z2" s="1"/>
  <c r="F2"/>
  <c r="E2"/>
  <c r="S2" s="1"/>
  <c r="X2" s="1"/>
  <c r="D2"/>
  <c r="R2" s="1"/>
  <c r="W2" s="1"/>
  <c r="C2"/>
  <c r="B2"/>
  <c r="A2"/>
  <c r="DP334" i="2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CU77" s="1"/>
  <c r="DC77"/>
  <c r="DB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CU76" s="1"/>
  <c r="DC76"/>
  <c r="DB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CU75" s="1"/>
  <c r="DC75"/>
  <c r="DB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CU74" s="1"/>
  <c r="DC74"/>
  <c r="DB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CU50" s="1"/>
  <c r="DF50"/>
  <c r="DE50"/>
  <c r="DD50"/>
  <c r="DC50"/>
  <c r="DB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CU49" s="1"/>
  <c r="DF49"/>
  <c r="DE49"/>
  <c r="DD49"/>
  <c r="DC49"/>
  <c r="DB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CU48" s="1"/>
  <c r="DF48"/>
  <c r="DE48"/>
  <c r="DD48"/>
  <c r="DC48"/>
  <c r="DB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CU47" s="1"/>
  <c r="DF47"/>
  <c r="DE47"/>
  <c r="DD47"/>
  <c r="DC47"/>
  <c r="DB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CU46" s="1"/>
  <c r="DF46"/>
  <c r="DE46"/>
  <c r="DD46"/>
  <c r="DC46"/>
  <c r="DB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CU45" s="1"/>
  <c r="DF45"/>
  <c r="DE45"/>
  <c r="DD45"/>
  <c r="DC45"/>
  <c r="DB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CU44" s="1"/>
  <c r="DF44"/>
  <c r="DE44"/>
  <c r="DD44"/>
  <c r="DC44"/>
  <c r="DB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CU43" s="1"/>
  <c r="DF43"/>
  <c r="DE43"/>
  <c r="DD43"/>
  <c r="DC43"/>
  <c r="DB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CU42" s="1"/>
  <c r="DF42"/>
  <c r="DE42"/>
  <c r="DD42"/>
  <c r="DC42"/>
  <c r="DB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CU41" s="1"/>
  <c r="DF41"/>
  <c r="DE41"/>
  <c r="DD41"/>
  <c r="DC41"/>
  <c r="DB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CU40" s="1"/>
  <c r="DF40"/>
  <c r="DE40"/>
  <c r="DD40"/>
  <c r="DC40"/>
  <c r="DB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CU39" s="1"/>
  <c r="DF39"/>
  <c r="DE39"/>
  <c r="DD39"/>
  <c r="DC39"/>
  <c r="DB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CU38" s="1"/>
  <c r="DF38"/>
  <c r="DE38"/>
  <c r="DD38"/>
  <c r="DC38"/>
  <c r="DB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CU37" s="1"/>
  <c r="DF37"/>
  <c r="DE37"/>
  <c r="DD37"/>
  <c r="DC37"/>
  <c r="DB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CU36" s="1"/>
  <c r="DF36"/>
  <c r="DE36"/>
  <c r="DD36"/>
  <c r="DC36"/>
  <c r="DB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CU34" s="1"/>
  <c r="DF34"/>
  <c r="DE34"/>
  <c r="DD34"/>
  <c r="DC34"/>
  <c r="DB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CU33" s="1"/>
  <c r="DF33"/>
  <c r="DE33"/>
  <c r="DD33"/>
  <c r="DC33"/>
  <c r="DB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U24" s="1"/>
  <c r="DB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U23" s="1"/>
  <c r="DB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U22" s="1"/>
  <c r="DB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U21" s="1"/>
  <c r="DB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U20" s="1"/>
  <c r="DB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U19" s="1"/>
  <c r="DB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U18" s="1"/>
  <c r="DB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U17" s="1"/>
  <c r="DB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U16" s="1"/>
  <c r="DB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U15" s="1"/>
  <c r="DB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U14" s="1"/>
  <c r="DB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U13" s="1"/>
  <c r="DB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U12" s="1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U7" s="1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U6" s="1"/>
  <c r="DB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5" i="1"/>
  <c r="H255" s="1"/>
  <c r="J255" s="1"/>
  <c r="B254"/>
  <c r="I254" s="1"/>
  <c r="K254" s="1"/>
  <c r="B253"/>
  <c r="M253" s="1"/>
  <c r="B252"/>
  <c r="H252" s="1"/>
  <c r="J252" s="1"/>
  <c r="B251"/>
  <c r="I251" s="1"/>
  <c r="K251" s="1"/>
  <c r="B250"/>
  <c r="M250" s="1"/>
  <c r="B249"/>
  <c r="H249" s="1"/>
  <c r="J249" s="1"/>
  <c r="B248"/>
  <c r="I248" s="1"/>
  <c r="K248" s="1"/>
  <c r="B247"/>
  <c r="M247" s="1"/>
  <c r="B246"/>
  <c r="H246" s="1"/>
  <c r="J246" s="1"/>
  <c r="B245"/>
  <c r="I245" s="1"/>
  <c r="K245" s="1"/>
  <c r="B244"/>
  <c r="M244" s="1"/>
  <c r="B243"/>
  <c r="H243" s="1"/>
  <c r="J243" s="1"/>
  <c r="B242"/>
  <c r="I242" s="1"/>
  <c r="K242" s="1"/>
  <c r="B241"/>
  <c r="M241" s="1"/>
  <c r="B240"/>
  <c r="H240" s="1"/>
  <c r="J240" s="1"/>
  <c r="B239"/>
  <c r="I239" s="1"/>
  <c r="K239" s="1"/>
  <c r="B238"/>
  <c r="M238" s="1"/>
  <c r="B237"/>
  <c r="H237" s="1"/>
  <c r="J237" s="1"/>
  <c r="B236"/>
  <c r="I236" s="1"/>
  <c r="K236" s="1"/>
  <c r="B235"/>
  <c r="M235" s="1"/>
  <c r="B234"/>
  <c r="H234" s="1"/>
  <c r="J234" s="1"/>
  <c r="B233"/>
  <c r="I233" s="1"/>
  <c r="K233" s="1"/>
  <c r="B232"/>
  <c r="M232" s="1"/>
  <c r="B231"/>
  <c r="H231" s="1"/>
  <c r="J231" s="1"/>
  <c r="B230"/>
  <c r="I230" s="1"/>
  <c r="K230" s="1"/>
  <c r="B229"/>
  <c r="M229" s="1"/>
  <c r="B228"/>
  <c r="H228" s="1"/>
  <c r="J228" s="1"/>
  <c r="B227"/>
  <c r="I227" s="1"/>
  <c r="K227" s="1"/>
  <c r="B226"/>
  <c r="M226" s="1"/>
  <c r="B225"/>
  <c r="H225" s="1"/>
  <c r="J225" s="1"/>
  <c r="B224"/>
  <c r="I224" s="1"/>
  <c r="K224" s="1"/>
  <c r="B223"/>
  <c r="M223" s="1"/>
  <c r="B222"/>
  <c r="H222" s="1"/>
  <c r="J222" s="1"/>
  <c r="B221"/>
  <c r="I221" s="1"/>
  <c r="K221" s="1"/>
  <c r="B220"/>
  <c r="M220" s="1"/>
  <c r="B219"/>
  <c r="H219" s="1"/>
  <c r="J219" s="1"/>
  <c r="B218"/>
  <c r="I218" s="1"/>
  <c r="K218" s="1"/>
  <c r="B217"/>
  <c r="M217" s="1"/>
  <c r="B216"/>
  <c r="H216" s="1"/>
  <c r="J216" s="1"/>
  <c r="B215"/>
  <c r="I215" s="1"/>
  <c r="K215" s="1"/>
  <c r="B214"/>
  <c r="M214" s="1"/>
  <c r="B213"/>
  <c r="H213" s="1"/>
  <c r="J213" s="1"/>
  <c r="B212"/>
  <c r="I212" s="1"/>
  <c r="K212" s="1"/>
  <c r="B211"/>
  <c r="M211" s="1"/>
  <c r="B210"/>
  <c r="H210" s="1"/>
  <c r="J210" s="1"/>
  <c r="B209"/>
  <c r="I209" s="1"/>
  <c r="K209" s="1"/>
  <c r="B208"/>
  <c r="M208" s="1"/>
  <c r="B207"/>
  <c r="H207" s="1"/>
  <c r="J207" s="1"/>
  <c r="B206"/>
  <c r="I206" s="1"/>
  <c r="K206" s="1"/>
  <c r="B205"/>
  <c r="M205" s="1"/>
  <c r="B204"/>
  <c r="H204" s="1"/>
  <c r="J204" s="1"/>
  <c r="B203"/>
  <c r="I203" s="1"/>
  <c r="K203" s="1"/>
  <c r="B202"/>
  <c r="M202" s="1"/>
  <c r="B201"/>
  <c r="H201" s="1"/>
  <c r="J201" s="1"/>
  <c r="B200"/>
  <c r="I200" s="1"/>
  <c r="K200" s="1"/>
  <c r="B199"/>
  <c r="M199" s="1"/>
  <c r="B198"/>
  <c r="H198" s="1"/>
  <c r="J198" s="1"/>
  <c r="B197"/>
  <c r="I197" s="1"/>
  <c r="K197" s="1"/>
  <c r="B196"/>
  <c r="M196" s="1"/>
  <c r="B195"/>
  <c r="H195" s="1"/>
  <c r="J195" s="1"/>
  <c r="B194"/>
  <c r="I194" s="1"/>
  <c r="K194" s="1"/>
  <c r="B193"/>
  <c r="M193" s="1"/>
  <c r="B192"/>
  <c r="H192" s="1"/>
  <c r="J192" s="1"/>
  <c r="B191"/>
  <c r="I191" s="1"/>
  <c r="K191" s="1"/>
  <c r="B190"/>
  <c r="M190" s="1"/>
  <c r="B189"/>
  <c r="H189" s="1"/>
  <c r="J189" s="1"/>
  <c r="B188"/>
  <c r="I188" s="1"/>
  <c r="K188" s="1"/>
  <c r="B187"/>
  <c r="M187" s="1"/>
  <c r="B186"/>
  <c r="H186" s="1"/>
  <c r="J186" s="1"/>
  <c r="B185"/>
  <c r="I185" s="1"/>
  <c r="K185" s="1"/>
  <c r="B184"/>
  <c r="M184" s="1"/>
  <c r="B183"/>
  <c r="H183" s="1"/>
  <c r="J183" s="1"/>
  <c r="B182"/>
  <c r="I182" s="1"/>
  <c r="K182" s="1"/>
  <c r="B181"/>
  <c r="M181" s="1"/>
  <c r="B180"/>
  <c r="H180" s="1"/>
  <c r="J180" s="1"/>
  <c r="B179"/>
  <c r="I179" s="1"/>
  <c r="K179" s="1"/>
  <c r="B178"/>
  <c r="M178" s="1"/>
  <c r="B177"/>
  <c r="H177" s="1"/>
  <c r="J177" s="1"/>
  <c r="B176"/>
  <c r="I176" s="1"/>
  <c r="K176" s="1"/>
  <c r="B175"/>
  <c r="I175" s="1"/>
  <c r="K175" s="1"/>
  <c r="I174"/>
  <c r="K174" s="1"/>
  <c r="B174"/>
  <c r="H174" s="1"/>
  <c r="J174" s="1"/>
  <c r="I173"/>
  <c r="K173" s="1"/>
  <c r="B173"/>
  <c r="H173" s="1"/>
  <c r="J173" s="1"/>
  <c r="M172"/>
  <c r="B172"/>
  <c r="H172" s="1"/>
  <c r="J172" s="1"/>
  <c r="B171"/>
  <c r="H171" s="1"/>
  <c r="J171" s="1"/>
  <c r="B170"/>
  <c r="H170" s="1"/>
  <c r="J170" s="1"/>
  <c r="I169"/>
  <c r="K169" s="1"/>
  <c r="H169"/>
  <c r="J169" s="1"/>
  <c r="B169"/>
  <c r="M169" s="1"/>
  <c r="B168"/>
  <c r="M168" s="1"/>
  <c r="B167"/>
  <c r="I167" s="1"/>
  <c r="K167" s="1"/>
  <c r="I166"/>
  <c r="K166" s="1"/>
  <c r="B166"/>
  <c r="H166" s="1"/>
  <c r="J166" s="1"/>
  <c r="I165"/>
  <c r="K165" s="1"/>
  <c r="B165"/>
  <c r="M165" s="1"/>
  <c r="M164"/>
  <c r="B164"/>
  <c r="H164" s="1"/>
  <c r="J164" s="1"/>
  <c r="I163"/>
  <c r="K163" s="1"/>
  <c r="B163"/>
  <c r="H163" s="1"/>
  <c r="J163" s="1"/>
  <c r="H162"/>
  <c r="J162" s="1"/>
  <c r="B162"/>
  <c r="I162" s="1"/>
  <c r="K162" s="1"/>
  <c r="I161"/>
  <c r="K161" s="1"/>
  <c r="B161"/>
  <c r="H161" s="1"/>
  <c r="J161" s="1"/>
  <c r="M160"/>
  <c r="H160"/>
  <c r="J160" s="1"/>
  <c r="B160"/>
  <c r="I160" s="1"/>
  <c r="K160" s="1"/>
  <c r="H159"/>
  <c r="J159" s="1"/>
  <c r="B159"/>
  <c r="M159" s="1"/>
  <c r="B158"/>
  <c r="H158" s="1"/>
  <c r="J158" s="1"/>
  <c r="B157"/>
  <c r="H157" s="1"/>
  <c r="J157" s="1"/>
  <c r="B156"/>
  <c r="I156" s="1"/>
  <c r="K156" s="1"/>
  <c r="B155"/>
  <c r="M155" s="1"/>
  <c r="M154"/>
  <c r="B154"/>
  <c r="H154" s="1"/>
  <c r="J154" s="1"/>
  <c r="B153"/>
  <c r="H153" s="1"/>
  <c r="J153" s="1"/>
  <c r="I152"/>
  <c r="K152" s="1"/>
  <c r="H152"/>
  <c r="J152" s="1"/>
  <c r="B152"/>
  <c r="M152" s="1"/>
  <c r="M151"/>
  <c r="B151"/>
  <c r="I151" s="1"/>
  <c r="K151" s="1"/>
  <c r="I150"/>
  <c r="K150" s="1"/>
  <c r="B150"/>
  <c r="M150" s="1"/>
  <c r="I149"/>
  <c r="K149" s="1"/>
  <c r="B149"/>
  <c r="H149" s="1"/>
  <c r="J149" s="1"/>
  <c r="M148"/>
  <c r="I148"/>
  <c r="K148" s="1"/>
  <c r="B148"/>
  <c r="H148" s="1"/>
  <c r="J148" s="1"/>
  <c r="B147"/>
  <c r="H147" s="1"/>
  <c r="J147" s="1"/>
  <c r="B146"/>
  <c r="I146" s="1"/>
  <c r="K146" s="1"/>
  <c r="B145"/>
  <c r="M145" s="1"/>
  <c r="H144"/>
  <c r="J144" s="1"/>
  <c r="B144"/>
  <c r="I144" s="1"/>
  <c r="K144" s="1"/>
  <c r="I143"/>
  <c r="K143" s="1"/>
  <c r="B143"/>
  <c r="H143" s="1"/>
  <c r="J143" s="1"/>
  <c r="M142"/>
  <c r="I142"/>
  <c r="K142" s="1"/>
  <c r="H142"/>
  <c r="J142" s="1"/>
  <c r="B142"/>
  <c r="M141"/>
  <c r="B141"/>
  <c r="I141" s="1"/>
  <c r="K141" s="1"/>
  <c r="I140"/>
  <c r="K140" s="1"/>
  <c r="H140"/>
  <c r="J140" s="1"/>
  <c r="B140"/>
  <c r="M140" s="1"/>
  <c r="H139"/>
  <c r="J139" s="1"/>
  <c r="B139"/>
  <c r="I139" s="1"/>
  <c r="K139" s="1"/>
  <c r="B138"/>
  <c r="H138" s="1"/>
  <c r="J138" s="1"/>
  <c r="M137"/>
  <c r="H137"/>
  <c r="J137" s="1"/>
  <c r="B137"/>
  <c r="I137" s="1"/>
  <c r="K137" s="1"/>
  <c r="B136"/>
  <c r="H136" s="1"/>
  <c r="J136" s="1"/>
  <c r="M135"/>
  <c r="I135"/>
  <c r="K135" s="1"/>
  <c r="H135"/>
  <c r="J135" s="1"/>
  <c r="B135"/>
  <c r="B134"/>
  <c r="I134" s="1"/>
  <c r="K134" s="1"/>
  <c r="I133"/>
  <c r="K133" s="1"/>
  <c r="B133"/>
  <c r="H133" s="1"/>
  <c r="J133" s="1"/>
  <c r="M132"/>
  <c r="B132"/>
  <c r="I132" s="1"/>
  <c r="K132" s="1"/>
  <c r="B131"/>
  <c r="H131" s="1"/>
  <c r="J131" s="1"/>
  <c r="M130"/>
  <c r="I130"/>
  <c r="K130" s="1"/>
  <c r="H130"/>
  <c r="J130" s="1"/>
  <c r="B130"/>
  <c r="B129"/>
  <c r="I129" s="1"/>
  <c r="K129" s="1"/>
  <c r="M128"/>
  <c r="H128"/>
  <c r="J128" s="1"/>
  <c r="B128"/>
  <c r="I128" s="1"/>
  <c r="K128" s="1"/>
  <c r="H127"/>
  <c r="J127" s="1"/>
  <c r="B127"/>
  <c r="I127" s="1"/>
  <c r="K127" s="1"/>
  <c r="B126"/>
  <c r="H126" s="1"/>
  <c r="J126" s="1"/>
  <c r="B125"/>
  <c r="H125" s="1"/>
  <c r="J125" s="1"/>
  <c r="B124"/>
  <c r="H124" s="1"/>
  <c r="J124" s="1"/>
  <c r="I123"/>
  <c r="K123" s="1"/>
  <c r="B123"/>
  <c r="H123" s="1"/>
  <c r="J123" s="1"/>
  <c r="M122"/>
  <c r="H122"/>
  <c r="J122" s="1"/>
  <c r="B122"/>
  <c r="I122" s="1"/>
  <c r="K122" s="1"/>
  <c r="B121"/>
  <c r="H121" s="1"/>
  <c r="J121" s="1"/>
  <c r="B120"/>
  <c r="H120" s="1"/>
  <c r="J120" s="1"/>
  <c r="B118"/>
  <c r="H118" s="1"/>
  <c r="J118" s="1"/>
  <c r="M117"/>
  <c r="B117"/>
  <c r="H117" s="1"/>
  <c r="J117" s="1"/>
  <c r="B116"/>
  <c r="I116" s="1"/>
  <c r="K116" s="1"/>
  <c r="B115"/>
  <c r="M115" s="1"/>
  <c r="B114"/>
  <c r="H114" s="1"/>
  <c r="J114" s="1"/>
  <c r="B113"/>
  <c r="I113" s="1"/>
  <c r="K113" s="1"/>
  <c r="B112"/>
  <c r="M112" s="1"/>
  <c r="B111"/>
  <c r="H111" s="1"/>
  <c r="J111" s="1"/>
  <c r="B110"/>
  <c r="I110" s="1"/>
  <c r="K110" s="1"/>
  <c r="B109"/>
  <c r="M109" s="1"/>
  <c r="B108"/>
  <c r="H108" s="1"/>
  <c r="J108" s="1"/>
  <c r="B107"/>
  <c r="I107" s="1"/>
  <c r="K107" s="1"/>
  <c r="B106"/>
  <c r="M106" s="1"/>
  <c r="B105"/>
  <c r="H105" s="1"/>
  <c r="J105" s="1"/>
  <c r="B104"/>
  <c r="I104" s="1"/>
  <c r="K104" s="1"/>
  <c r="B103"/>
  <c r="M103" s="1"/>
  <c r="B102"/>
  <c r="H102" s="1"/>
  <c r="J102" s="1"/>
  <c r="B101"/>
  <c r="I101" s="1"/>
  <c r="K101" s="1"/>
  <c r="B100"/>
  <c r="M100" s="1"/>
  <c r="B99"/>
  <c r="H99" s="1"/>
  <c r="J99" s="1"/>
  <c r="B98"/>
  <c r="I98" s="1"/>
  <c r="K98" s="1"/>
  <c r="B97"/>
  <c r="M97" s="1"/>
  <c r="B96"/>
  <c r="H96" s="1"/>
  <c r="J96" s="1"/>
  <c r="B95"/>
  <c r="I95" s="1"/>
  <c r="K95" s="1"/>
  <c r="B94"/>
  <c r="M94" s="1"/>
  <c r="B93"/>
  <c r="H93" s="1"/>
  <c r="J93" s="1"/>
  <c r="B92"/>
  <c r="I92" s="1"/>
  <c r="K92" s="1"/>
  <c r="B91"/>
  <c r="M91" s="1"/>
  <c r="B90"/>
  <c r="H90" s="1"/>
  <c r="J90" s="1"/>
  <c r="B89"/>
  <c r="I89" s="1"/>
  <c r="K89" s="1"/>
  <c r="B88"/>
  <c r="M88" s="1"/>
  <c r="M87"/>
  <c r="B87"/>
  <c r="H87" s="1"/>
  <c r="J87" s="1"/>
  <c r="M86"/>
  <c r="B86"/>
  <c r="H86" s="1"/>
  <c r="J86" s="1"/>
  <c r="H85"/>
  <c r="J85" s="1"/>
  <c r="B85"/>
  <c r="M85" s="1"/>
  <c r="B84"/>
  <c r="H84" s="1"/>
  <c r="J84" s="1"/>
  <c r="B83"/>
  <c r="H83" s="1"/>
  <c r="J83" s="1"/>
  <c r="H82"/>
  <c r="J82" s="1"/>
  <c r="B82"/>
  <c r="M82" s="1"/>
  <c r="M81"/>
  <c r="B81"/>
  <c r="H81" s="1"/>
  <c r="J81" s="1"/>
  <c r="M80"/>
  <c r="H80"/>
  <c r="J80" s="1"/>
  <c r="B80"/>
  <c r="B79"/>
  <c r="M79" s="1"/>
  <c r="B78"/>
  <c r="H78" s="1"/>
  <c r="J78" s="1"/>
  <c r="M77"/>
  <c r="H77"/>
  <c r="J77" s="1"/>
  <c r="B77"/>
  <c r="H76"/>
  <c r="J76" s="1"/>
  <c r="B76"/>
  <c r="M76" s="1"/>
  <c r="B75"/>
  <c r="H75" s="1"/>
  <c r="J75" s="1"/>
  <c r="B74"/>
  <c r="H74" s="1"/>
  <c r="J74" s="1"/>
  <c r="B73"/>
  <c r="M73" s="1"/>
  <c r="M72"/>
  <c r="B72"/>
  <c r="H72" s="1"/>
  <c r="J72" s="1"/>
  <c r="M71"/>
  <c r="H71"/>
  <c r="J71" s="1"/>
  <c r="B71"/>
  <c r="B70"/>
  <c r="M70" s="1"/>
  <c r="M69"/>
  <c r="B69"/>
  <c r="H69" s="1"/>
  <c r="J69" s="1"/>
  <c r="M68"/>
  <c r="B68"/>
  <c r="H68" s="1"/>
  <c r="J68" s="1"/>
  <c r="H67"/>
  <c r="J67" s="1"/>
  <c r="B67"/>
  <c r="M67" s="1"/>
  <c r="B66"/>
  <c r="H66" s="1"/>
  <c r="J66" s="1"/>
  <c r="B65"/>
  <c r="H65" s="1"/>
  <c r="J65" s="1"/>
  <c r="H64"/>
  <c r="J64" s="1"/>
  <c r="B64"/>
  <c r="M64" s="1"/>
  <c r="M63"/>
  <c r="B63"/>
  <c r="H63" s="1"/>
  <c r="J63" s="1"/>
  <c r="H62"/>
  <c r="J62" s="1"/>
  <c r="B62"/>
  <c r="M62" s="1"/>
  <c r="B61"/>
  <c r="M61" s="1"/>
  <c r="B60"/>
  <c r="H60" s="1"/>
  <c r="J60" s="1"/>
  <c r="M59"/>
  <c r="H59"/>
  <c r="J59" s="1"/>
  <c r="B59"/>
  <c r="H58"/>
  <c r="J58" s="1"/>
  <c r="B58"/>
  <c r="M58" s="1"/>
  <c r="B57"/>
  <c r="H57" s="1"/>
  <c r="J57" s="1"/>
  <c r="B56"/>
  <c r="H56" s="1"/>
  <c r="J56" s="1"/>
  <c r="B55"/>
  <c r="M55" s="1"/>
  <c r="M54"/>
  <c r="B54"/>
  <c r="H54" s="1"/>
  <c r="J54" s="1"/>
  <c r="H53"/>
  <c r="J53" s="1"/>
  <c r="B53"/>
  <c r="M53" s="1"/>
  <c r="B52"/>
  <c r="M52" s="1"/>
  <c r="M51"/>
  <c r="B51"/>
  <c r="H51" s="1"/>
  <c r="J51" s="1"/>
  <c r="M50"/>
  <c r="B50"/>
  <c r="H50" s="1"/>
  <c r="J50" s="1"/>
  <c r="H49"/>
  <c r="J49" s="1"/>
  <c r="B49"/>
  <c r="M49" s="1"/>
  <c r="B48"/>
  <c r="H48" s="1"/>
  <c r="J48" s="1"/>
  <c r="B47"/>
  <c r="H47" s="1"/>
  <c r="J47" s="1"/>
  <c r="H46"/>
  <c r="J46" s="1"/>
  <c r="B46"/>
  <c r="M46" s="1"/>
  <c r="M45"/>
  <c r="B45"/>
  <c r="H45" s="1"/>
  <c r="J45" s="1"/>
  <c r="M44"/>
  <c r="H44"/>
  <c r="J44" s="1"/>
  <c r="B44"/>
  <c r="B43"/>
  <c r="M43" s="1"/>
  <c r="B42"/>
  <c r="H42" s="1"/>
  <c r="J42" s="1"/>
  <c r="M41"/>
  <c r="H41"/>
  <c r="J41" s="1"/>
  <c r="B41"/>
  <c r="H40"/>
  <c r="J40" s="1"/>
  <c r="B40"/>
  <c r="M40" s="1"/>
  <c r="B39"/>
  <c r="H39" s="1"/>
  <c r="J39" s="1"/>
  <c r="B38"/>
  <c r="H38" s="1"/>
  <c r="J38" s="1"/>
  <c r="B37"/>
  <c r="M37" s="1"/>
  <c r="M36"/>
  <c r="B36"/>
  <c r="H36" s="1"/>
  <c r="J36" s="1"/>
  <c r="M35"/>
  <c r="H35"/>
  <c r="J35" s="1"/>
  <c r="B35"/>
  <c r="B34"/>
  <c r="M34" s="1"/>
  <c r="M33"/>
  <c r="B33"/>
  <c r="H33" s="1"/>
  <c r="J33" s="1"/>
  <c r="M32"/>
  <c r="B32"/>
  <c r="H32" s="1"/>
  <c r="J32" s="1"/>
  <c r="H31"/>
  <c r="J31" s="1"/>
  <c r="B31"/>
  <c r="M31" s="1"/>
  <c r="B30"/>
  <c r="H30" s="1"/>
  <c r="J30" s="1"/>
  <c r="B29"/>
  <c r="H29" s="1"/>
  <c r="J29" s="1"/>
  <c r="H28"/>
  <c r="J28" s="1"/>
  <c r="B28"/>
  <c r="M28" s="1"/>
  <c r="M27"/>
  <c r="B27"/>
  <c r="H27" s="1"/>
  <c r="J27" s="1"/>
  <c r="H26"/>
  <c r="J26" s="1"/>
  <c r="B26"/>
  <c r="M26" s="1"/>
  <c r="B25"/>
  <c r="M25" s="1"/>
  <c r="B24"/>
  <c r="H24" s="1"/>
  <c r="J24" s="1"/>
  <c r="M23"/>
  <c r="H23"/>
  <c r="J23" s="1"/>
  <c r="B23"/>
  <c r="H22"/>
  <c r="J22" s="1"/>
  <c r="B22"/>
  <c r="M22" s="1"/>
  <c r="B21"/>
  <c r="H21" s="1"/>
  <c r="J21" s="1"/>
  <c r="B20"/>
  <c r="H20" s="1"/>
  <c r="J20" s="1"/>
  <c r="B19"/>
  <c r="M19" s="1"/>
  <c r="M18"/>
  <c r="B18"/>
  <c r="H18" s="1"/>
  <c r="J18" s="1"/>
  <c r="M17"/>
  <c r="H17"/>
  <c r="J17" s="1"/>
  <c r="B17"/>
  <c r="B16"/>
  <c r="M16" s="1"/>
  <c r="M15"/>
  <c r="B15"/>
  <c r="H15" s="1"/>
  <c r="J15" s="1"/>
  <c r="M14"/>
  <c r="B14"/>
  <c r="H14" s="1"/>
  <c r="J14" s="1"/>
  <c r="H13"/>
  <c r="J13" s="1"/>
  <c r="B13"/>
  <c r="M13" s="1"/>
  <c r="B12"/>
  <c r="H12" s="1"/>
  <c r="J12" s="1"/>
  <c r="B11"/>
  <c r="H11" s="1"/>
  <c r="J11" s="1"/>
  <c r="H10"/>
  <c r="J10" s="1"/>
  <c r="B10"/>
  <c r="M10" s="1"/>
  <c r="M9"/>
  <c r="B9"/>
  <c r="H9" s="1"/>
  <c r="J9" s="1"/>
  <c r="M8"/>
  <c r="H8"/>
  <c r="J8" s="1"/>
  <c r="B8"/>
  <c r="B7"/>
  <c r="M7" s="1"/>
  <c r="B6"/>
  <c r="H6" s="1"/>
  <c r="J6" s="1"/>
  <c r="M5"/>
  <c r="H5"/>
  <c r="J5" s="1"/>
  <c r="B5"/>
  <c r="H4"/>
  <c r="J4" s="1"/>
  <c r="B4"/>
  <c r="M4" s="1"/>
  <c r="B3"/>
  <c r="H3" s="1"/>
  <c r="J3" s="1"/>
  <c r="AB110" i="3" l="1"/>
  <c r="AB250"/>
  <c r="AB11"/>
  <c r="M125" i="1"/>
  <c r="H19"/>
  <c r="J19" s="1"/>
  <c r="M24"/>
  <c r="M29"/>
  <c r="H55"/>
  <c r="J55" s="1"/>
  <c r="M60"/>
  <c r="M65"/>
  <c r="M90"/>
  <c r="I94"/>
  <c r="K94" s="1"/>
  <c r="M98"/>
  <c r="M102"/>
  <c r="I106"/>
  <c r="K106" s="1"/>
  <c r="M110"/>
  <c r="M114"/>
  <c r="I125"/>
  <c r="K125" s="1"/>
  <c r="I147"/>
  <c r="K147" s="1"/>
  <c r="H151"/>
  <c r="J151" s="1"/>
  <c r="I155"/>
  <c r="K155" s="1"/>
  <c r="H165"/>
  <c r="J165" s="1"/>
  <c r="H175"/>
  <c r="J175" s="1"/>
  <c r="M179"/>
  <c r="M183"/>
  <c r="I187"/>
  <c r="K187" s="1"/>
  <c r="M191"/>
  <c r="M195"/>
  <c r="I199"/>
  <c r="K199" s="1"/>
  <c r="M203"/>
  <c r="M207"/>
  <c r="I211"/>
  <c r="K211" s="1"/>
  <c r="M215"/>
  <c r="M219"/>
  <c r="I223"/>
  <c r="K223" s="1"/>
  <c r="M227"/>
  <c r="M231"/>
  <c r="I235"/>
  <c r="K235" s="1"/>
  <c r="M239"/>
  <c r="M243"/>
  <c r="I247"/>
  <c r="K247" s="1"/>
  <c r="M251"/>
  <c r="M255"/>
  <c r="M147"/>
  <c r="M3"/>
  <c r="H34"/>
  <c r="J34" s="1"/>
  <c r="M39"/>
  <c r="H70"/>
  <c r="J70" s="1"/>
  <c r="M75"/>
  <c r="I90"/>
  <c r="K90" s="1"/>
  <c r="H94"/>
  <c r="J94" s="1"/>
  <c r="H98"/>
  <c r="J98" s="1"/>
  <c r="I102"/>
  <c r="K102" s="1"/>
  <c r="H106"/>
  <c r="J106" s="1"/>
  <c r="H110"/>
  <c r="J110" s="1"/>
  <c r="I114"/>
  <c r="K114" s="1"/>
  <c r="H129"/>
  <c r="J129" s="1"/>
  <c r="H134"/>
  <c r="J134" s="1"/>
  <c r="I138"/>
  <c r="K138" s="1"/>
  <c r="H179"/>
  <c r="J179" s="1"/>
  <c r="I183"/>
  <c r="K183" s="1"/>
  <c r="H187"/>
  <c r="J187" s="1"/>
  <c r="H191"/>
  <c r="J191" s="1"/>
  <c r="I195"/>
  <c r="K195" s="1"/>
  <c r="H199"/>
  <c r="J199" s="1"/>
  <c r="H203"/>
  <c r="J203" s="1"/>
  <c r="I207"/>
  <c r="K207" s="1"/>
  <c r="H211"/>
  <c r="J211" s="1"/>
  <c r="H215"/>
  <c r="J215" s="1"/>
  <c r="I219"/>
  <c r="K219" s="1"/>
  <c r="H223"/>
  <c r="J223" s="1"/>
  <c r="H227"/>
  <c r="J227" s="1"/>
  <c r="I231"/>
  <c r="K231" s="1"/>
  <c r="H235"/>
  <c r="J235" s="1"/>
  <c r="H239"/>
  <c r="J239" s="1"/>
  <c r="I243"/>
  <c r="K243" s="1"/>
  <c r="H247"/>
  <c r="J247" s="1"/>
  <c r="H251"/>
  <c r="J251" s="1"/>
  <c r="I255"/>
  <c r="K255" s="1"/>
  <c r="M74"/>
  <c r="M146"/>
  <c r="I178"/>
  <c r="K178" s="1"/>
  <c r="M182"/>
  <c r="M186"/>
  <c r="I190"/>
  <c r="K190" s="1"/>
  <c r="M194"/>
  <c r="M198"/>
  <c r="I202"/>
  <c r="K202" s="1"/>
  <c r="M206"/>
  <c r="M210"/>
  <c r="I214"/>
  <c r="K214" s="1"/>
  <c r="M218"/>
  <c r="M222"/>
  <c r="I226"/>
  <c r="K226" s="1"/>
  <c r="M230"/>
  <c r="M234"/>
  <c r="I238"/>
  <c r="K238" s="1"/>
  <c r="M242"/>
  <c r="M246"/>
  <c r="I250"/>
  <c r="K250" s="1"/>
  <c r="M254"/>
  <c r="M38"/>
  <c r="M89"/>
  <c r="M93"/>
  <c r="I97"/>
  <c r="K97" s="1"/>
  <c r="M101"/>
  <c r="M105"/>
  <c r="I109"/>
  <c r="K109" s="1"/>
  <c r="M113"/>
  <c r="I117"/>
  <c r="K117" s="1"/>
  <c r="I154"/>
  <c r="K154" s="1"/>
  <c r="H7"/>
  <c r="J7" s="1"/>
  <c r="M12"/>
  <c r="H43"/>
  <c r="J43" s="1"/>
  <c r="M48"/>
  <c r="H79"/>
  <c r="J79" s="1"/>
  <c r="M84"/>
  <c r="H89"/>
  <c r="J89" s="1"/>
  <c r="I93"/>
  <c r="K93" s="1"/>
  <c r="H97"/>
  <c r="J97" s="1"/>
  <c r="H101"/>
  <c r="J101" s="1"/>
  <c r="I105"/>
  <c r="K105" s="1"/>
  <c r="H109"/>
  <c r="J109" s="1"/>
  <c r="H113"/>
  <c r="J113" s="1"/>
  <c r="M123"/>
  <c r="H146"/>
  <c r="J146" s="1"/>
  <c r="M149"/>
  <c r="I159"/>
  <c r="K159" s="1"/>
  <c r="M163"/>
  <c r="I168"/>
  <c r="K168" s="1"/>
  <c r="M173"/>
  <c r="H178"/>
  <c r="J178" s="1"/>
  <c r="H182"/>
  <c r="J182" s="1"/>
  <c r="I186"/>
  <c r="K186" s="1"/>
  <c r="H190"/>
  <c r="J190" s="1"/>
  <c r="H194"/>
  <c r="J194" s="1"/>
  <c r="I198"/>
  <c r="K198" s="1"/>
  <c r="H202"/>
  <c r="J202" s="1"/>
  <c r="H206"/>
  <c r="J206" s="1"/>
  <c r="I210"/>
  <c r="K210" s="1"/>
  <c r="H214"/>
  <c r="J214" s="1"/>
  <c r="H218"/>
  <c r="J218" s="1"/>
  <c r="I222"/>
  <c r="K222" s="1"/>
  <c r="H226"/>
  <c r="J226" s="1"/>
  <c r="H230"/>
  <c r="J230" s="1"/>
  <c r="I234"/>
  <c r="K234" s="1"/>
  <c r="H238"/>
  <c r="J238" s="1"/>
  <c r="H242"/>
  <c r="J242" s="1"/>
  <c r="I246"/>
  <c r="K246" s="1"/>
  <c r="H250"/>
  <c r="J250" s="1"/>
  <c r="H254"/>
  <c r="J254" s="1"/>
  <c r="M6"/>
  <c r="M11"/>
  <c r="H37"/>
  <c r="J37" s="1"/>
  <c r="M42"/>
  <c r="M47"/>
  <c r="H73"/>
  <c r="J73" s="1"/>
  <c r="M78"/>
  <c r="M83"/>
  <c r="I88"/>
  <c r="K88" s="1"/>
  <c r="M92"/>
  <c r="M96"/>
  <c r="I100"/>
  <c r="K100" s="1"/>
  <c r="M104"/>
  <c r="M108"/>
  <c r="I112"/>
  <c r="K112" s="1"/>
  <c r="M116"/>
  <c r="H132"/>
  <c r="J132" s="1"/>
  <c r="H141"/>
  <c r="J141" s="1"/>
  <c r="I145"/>
  <c r="K145" s="1"/>
  <c r="M153"/>
  <c r="H167"/>
  <c r="J167" s="1"/>
  <c r="M177"/>
  <c r="I181"/>
  <c r="K181" s="1"/>
  <c r="M185"/>
  <c r="M189"/>
  <c r="I193"/>
  <c r="K193" s="1"/>
  <c r="M197"/>
  <c r="M201"/>
  <c r="I205"/>
  <c r="K205" s="1"/>
  <c r="M209"/>
  <c r="M213"/>
  <c r="I217"/>
  <c r="K217" s="1"/>
  <c r="M221"/>
  <c r="M225"/>
  <c r="I229"/>
  <c r="K229" s="1"/>
  <c r="M233"/>
  <c r="M237"/>
  <c r="I241"/>
  <c r="K241" s="1"/>
  <c r="M245"/>
  <c r="M249"/>
  <c r="I253"/>
  <c r="K253" s="1"/>
  <c r="H16"/>
  <c r="J16" s="1"/>
  <c r="M21"/>
  <c r="H52"/>
  <c r="J52" s="1"/>
  <c r="M57"/>
  <c r="H88"/>
  <c r="J88" s="1"/>
  <c r="H92"/>
  <c r="J92" s="1"/>
  <c r="I96"/>
  <c r="K96" s="1"/>
  <c r="H100"/>
  <c r="J100" s="1"/>
  <c r="H104"/>
  <c r="J104" s="1"/>
  <c r="I108"/>
  <c r="K108" s="1"/>
  <c r="H112"/>
  <c r="J112" s="1"/>
  <c r="H116"/>
  <c r="J116" s="1"/>
  <c r="M127"/>
  <c r="M136"/>
  <c r="M158"/>
  <c r="I177"/>
  <c r="K177" s="1"/>
  <c r="H181"/>
  <c r="J181" s="1"/>
  <c r="H185"/>
  <c r="J185" s="1"/>
  <c r="I189"/>
  <c r="K189" s="1"/>
  <c r="H193"/>
  <c r="J193" s="1"/>
  <c r="H197"/>
  <c r="J197" s="1"/>
  <c r="I201"/>
  <c r="K201" s="1"/>
  <c r="H205"/>
  <c r="J205" s="1"/>
  <c r="H209"/>
  <c r="J209" s="1"/>
  <c r="I213"/>
  <c r="K213" s="1"/>
  <c r="H217"/>
  <c r="J217" s="1"/>
  <c r="H221"/>
  <c r="J221" s="1"/>
  <c r="I225"/>
  <c r="K225" s="1"/>
  <c r="H229"/>
  <c r="J229" s="1"/>
  <c r="H233"/>
  <c r="J233" s="1"/>
  <c r="I237"/>
  <c r="K237" s="1"/>
  <c r="H241"/>
  <c r="J241" s="1"/>
  <c r="H245"/>
  <c r="J245" s="1"/>
  <c r="I249"/>
  <c r="K249" s="1"/>
  <c r="H253"/>
  <c r="J253" s="1"/>
  <c r="M56"/>
  <c r="I91"/>
  <c r="K91" s="1"/>
  <c r="M95"/>
  <c r="M99"/>
  <c r="I103"/>
  <c r="K103" s="1"/>
  <c r="M107"/>
  <c r="M111"/>
  <c r="I115"/>
  <c r="K115" s="1"/>
  <c r="M176"/>
  <c r="M180"/>
  <c r="I184"/>
  <c r="K184" s="1"/>
  <c r="M188"/>
  <c r="M192"/>
  <c r="I196"/>
  <c r="K196" s="1"/>
  <c r="M200"/>
  <c r="M204"/>
  <c r="I208"/>
  <c r="K208" s="1"/>
  <c r="M212"/>
  <c r="M216"/>
  <c r="I220"/>
  <c r="K220" s="1"/>
  <c r="M224"/>
  <c r="M228"/>
  <c r="I232"/>
  <c r="K232" s="1"/>
  <c r="M236"/>
  <c r="M240"/>
  <c r="I244"/>
  <c r="K244" s="1"/>
  <c r="M248"/>
  <c r="M252"/>
  <c r="M20"/>
  <c r="H25"/>
  <c r="J25" s="1"/>
  <c r="M30"/>
  <c r="H61"/>
  <c r="J61" s="1"/>
  <c r="M66"/>
  <c r="H91"/>
  <c r="J91" s="1"/>
  <c r="H95"/>
  <c r="J95" s="1"/>
  <c r="I99"/>
  <c r="K99" s="1"/>
  <c r="H103"/>
  <c r="J103" s="1"/>
  <c r="H107"/>
  <c r="J107" s="1"/>
  <c r="I111"/>
  <c r="K111" s="1"/>
  <c r="H115"/>
  <c r="J115" s="1"/>
  <c r="H156"/>
  <c r="J156" s="1"/>
  <c r="H176"/>
  <c r="J176" s="1"/>
  <c r="I180"/>
  <c r="K180" s="1"/>
  <c r="H184"/>
  <c r="J184" s="1"/>
  <c r="H188"/>
  <c r="J188" s="1"/>
  <c r="I192"/>
  <c r="K192" s="1"/>
  <c r="H196"/>
  <c r="J196" s="1"/>
  <c r="H200"/>
  <c r="J200" s="1"/>
  <c r="I204"/>
  <c r="K204" s="1"/>
  <c r="H208"/>
  <c r="J208" s="1"/>
  <c r="H212"/>
  <c r="J212" s="1"/>
  <c r="I216"/>
  <c r="K216" s="1"/>
  <c r="H220"/>
  <c r="J220" s="1"/>
  <c r="H224"/>
  <c r="J224" s="1"/>
  <c r="I228"/>
  <c r="K228" s="1"/>
  <c r="H232"/>
  <c r="J232" s="1"/>
  <c r="H236"/>
  <c r="J236" s="1"/>
  <c r="I240"/>
  <c r="K240" s="1"/>
  <c r="H244"/>
  <c r="J244" s="1"/>
  <c r="H248"/>
  <c r="J248" s="1"/>
  <c r="I252"/>
  <c r="K252" s="1"/>
  <c r="AB27" i="3"/>
  <c r="AB17"/>
  <c r="AB50"/>
  <c r="AB119"/>
  <c r="AB121"/>
  <c r="AB74"/>
  <c r="AB146"/>
  <c r="AB148"/>
  <c r="AB49"/>
  <c r="AB212"/>
  <c r="AB243"/>
  <c r="AB238"/>
  <c r="AB262"/>
  <c r="AB8"/>
  <c r="AB10"/>
  <c r="AB16"/>
  <c r="P21"/>
  <c r="AB29"/>
  <c r="AB31"/>
  <c r="P36"/>
  <c r="AB54"/>
  <c r="AB68"/>
  <c r="AB89"/>
  <c r="AB116"/>
  <c r="AB125"/>
  <c r="AB152"/>
  <c r="AB185"/>
  <c r="AB12"/>
  <c r="AB62"/>
  <c r="AB260"/>
  <c r="AB5"/>
  <c r="AB58"/>
  <c r="AB64"/>
  <c r="AB77"/>
  <c r="AB93"/>
  <c r="AB107"/>
  <c r="AB129"/>
  <c r="AB169"/>
  <c r="AB204"/>
  <c r="AB227"/>
  <c r="AB241"/>
  <c r="AB39"/>
  <c r="AB83"/>
  <c r="AB98"/>
  <c r="AB100"/>
  <c r="AB109"/>
  <c r="AB134"/>
  <c r="AB143"/>
  <c r="AB145"/>
  <c r="AB176"/>
  <c r="AB216"/>
  <c r="AB229"/>
  <c r="AB92"/>
  <c r="AB101"/>
  <c r="AB128"/>
  <c r="AB137"/>
  <c r="AB181"/>
  <c r="AB194"/>
  <c r="AB225"/>
  <c r="AB234"/>
  <c r="AB9"/>
  <c r="AB21"/>
  <c r="AB24"/>
  <c r="AB53"/>
  <c r="AB71"/>
  <c r="AB28"/>
  <c r="AB32"/>
  <c r="AB59"/>
  <c r="AB80"/>
  <c r="AB105"/>
  <c r="AB141"/>
  <c r="AB183"/>
  <c r="AB192"/>
  <c r="AB30"/>
  <c r="AB65"/>
  <c r="AB67"/>
  <c r="AB155"/>
  <c r="AB246"/>
  <c r="AB13"/>
  <c r="AB15"/>
  <c r="AB23"/>
  <c r="AB34"/>
  <c r="AB36"/>
  <c r="AB38"/>
  <c r="AB55"/>
  <c r="AB57"/>
  <c r="AB70"/>
  <c r="AB104"/>
  <c r="AB113"/>
  <c r="AB140"/>
  <c r="AB149"/>
  <c r="AB163"/>
  <c r="AB197"/>
  <c r="AB4"/>
  <c r="AB25"/>
  <c r="AB156"/>
  <c r="AB199"/>
  <c r="AB224"/>
  <c r="AB226"/>
  <c r="AB228"/>
  <c r="AB40"/>
  <c r="AB86"/>
  <c r="AB117"/>
  <c r="AB153"/>
  <c r="AB14"/>
  <c r="AB88"/>
  <c r="AB95"/>
  <c r="AB97"/>
  <c r="AB122"/>
  <c r="AB131"/>
  <c r="AB133"/>
  <c r="AB175"/>
  <c r="AB191"/>
  <c r="AB195"/>
  <c r="AB198"/>
  <c r="AB251"/>
  <c r="AB253"/>
  <c r="P42"/>
  <c r="P6"/>
  <c r="AB35"/>
  <c r="AB41"/>
  <c r="AB48"/>
  <c r="AB52"/>
  <c r="AB20"/>
  <c r="AB22"/>
  <c r="AB33"/>
  <c r="AB37"/>
  <c r="AB43"/>
  <c r="AB3"/>
  <c r="AB7"/>
  <c r="P12"/>
  <c r="AB18"/>
  <c r="AB26"/>
  <c r="AB47"/>
  <c r="AB51"/>
  <c r="AB45"/>
  <c r="AB73"/>
  <c r="P24"/>
  <c r="AB61"/>
  <c r="P45"/>
  <c r="P80"/>
  <c r="P9"/>
  <c r="AB19"/>
  <c r="AB42"/>
  <c r="P58"/>
  <c r="AB6"/>
  <c r="AB44"/>
  <c r="AB46"/>
  <c r="AB56"/>
  <c r="A2" i="1"/>
  <c r="P59" i="3"/>
  <c r="AB76"/>
  <c r="AB96"/>
  <c r="AB108"/>
  <c r="AB120"/>
  <c r="AB132"/>
  <c r="AB144"/>
  <c r="AB159"/>
  <c r="AB165"/>
  <c r="AB189"/>
  <c r="P207"/>
  <c r="P222"/>
  <c r="P230"/>
  <c r="P254"/>
  <c r="M159" i="4"/>
  <c r="P25" i="3"/>
  <c r="P30"/>
  <c r="P35"/>
  <c r="P50"/>
  <c r="M118" i="1"/>
  <c r="H145"/>
  <c r="J145" s="1"/>
  <c r="H150"/>
  <c r="J150" s="1"/>
  <c r="H155"/>
  <c r="J155" s="1"/>
  <c r="M157"/>
  <c r="H168"/>
  <c r="J168" s="1"/>
  <c r="M170"/>
  <c r="AB2" i="3"/>
  <c r="P10"/>
  <c r="P15"/>
  <c r="P20"/>
  <c r="P46"/>
  <c r="P55"/>
  <c r="AB66"/>
  <c r="P73"/>
  <c r="AB79"/>
  <c r="AB157"/>
  <c r="AB162"/>
  <c r="AB170"/>
  <c r="P183"/>
  <c r="AB184"/>
  <c r="AB187"/>
  <c r="AB193"/>
  <c r="AB218"/>
  <c r="AB237"/>
  <c r="P239"/>
  <c r="P245"/>
  <c r="AB252"/>
  <c r="AB261"/>
  <c r="P263"/>
  <c r="M124" i="1"/>
  <c r="M139"/>
  <c r="P5" i="3"/>
  <c r="P31"/>
  <c r="P41"/>
  <c r="P51"/>
  <c r="AB63"/>
  <c r="AB82"/>
  <c r="AB94"/>
  <c r="AB106"/>
  <c r="AB118"/>
  <c r="AB130"/>
  <c r="AB142"/>
  <c r="AB154"/>
  <c r="AB177"/>
  <c r="AB214"/>
  <c r="P228"/>
  <c r="AB235"/>
  <c r="AB248"/>
  <c r="AB255"/>
  <c r="AB257"/>
  <c r="AB259"/>
  <c r="BP137" i="5"/>
  <c r="CG137" s="1"/>
  <c r="AT137"/>
  <c r="CE137" s="1"/>
  <c r="X137"/>
  <c r="CC137" s="1"/>
  <c r="CA137"/>
  <c r="CH137" s="1"/>
  <c r="BE137"/>
  <c r="CF137" s="1"/>
  <c r="AI137"/>
  <c r="CD137" s="1"/>
  <c r="M134" i="1"/>
  <c r="I118"/>
  <c r="K118" s="1"/>
  <c r="I124"/>
  <c r="K124" s="1"/>
  <c r="I157"/>
  <c r="K157" s="1"/>
  <c r="P16" i="3"/>
  <c r="P26"/>
  <c r="AB60"/>
  <c r="P70"/>
  <c r="AB87"/>
  <c r="AB99"/>
  <c r="AB111"/>
  <c r="AB123"/>
  <c r="AB135"/>
  <c r="AB147"/>
  <c r="AB180"/>
  <c r="AB182"/>
  <c r="AB200"/>
  <c r="AB206"/>
  <c r="AB208"/>
  <c r="AB210"/>
  <c r="AB221"/>
  <c r="AB233"/>
  <c r="P237"/>
  <c r="AB240"/>
  <c r="M137" i="5"/>
  <c r="CB137" s="1"/>
  <c r="M129" i="1"/>
  <c r="M162"/>
  <c r="M144"/>
  <c r="M167"/>
  <c r="I170"/>
  <c r="K170" s="1"/>
  <c r="M121"/>
  <c r="M126"/>
  <c r="M131"/>
  <c r="P11" i="3"/>
  <c r="P37"/>
  <c r="P47"/>
  <c r="P56"/>
  <c r="P74"/>
  <c r="P77"/>
  <c r="AB85"/>
  <c r="AB168"/>
  <c r="AB173"/>
  <c r="P177"/>
  <c r="AB196"/>
  <c r="P212"/>
  <c r="P216"/>
  <c r="P22"/>
  <c r="P27"/>
  <c r="P32"/>
  <c r="P52"/>
  <c r="P67"/>
  <c r="AB158"/>
  <c r="P185"/>
  <c r="P210"/>
  <c r="AB223"/>
  <c r="AB231"/>
  <c r="P233"/>
  <c r="P255"/>
  <c r="P248"/>
  <c r="P247"/>
  <c r="P184"/>
  <c r="P262"/>
  <c r="P249"/>
  <c r="P232"/>
  <c r="P214"/>
  <c r="P251"/>
  <c r="P250"/>
  <c r="P178"/>
  <c r="P261"/>
  <c r="P252"/>
  <c r="P236"/>
  <c r="P235"/>
  <c r="P218"/>
  <c r="P217"/>
  <c r="P200"/>
  <c r="P199"/>
  <c r="P186"/>
  <c r="P179"/>
  <c r="P84"/>
  <c r="P81"/>
  <c r="P78"/>
  <c r="P75"/>
  <c r="P72"/>
  <c r="P69"/>
  <c r="P66"/>
  <c r="P63"/>
  <c r="P60"/>
  <c r="P253"/>
  <c r="P259"/>
  <c r="P238"/>
  <c r="P220"/>
  <c r="P202"/>
  <c r="P187"/>
  <c r="P258"/>
  <c r="P257"/>
  <c r="P256"/>
  <c r="P204"/>
  <c r="P241"/>
  <c r="P224"/>
  <c r="P223"/>
  <c r="P206"/>
  <c r="P205"/>
  <c r="P181"/>
  <c r="P174"/>
  <c r="P85"/>
  <c r="P82"/>
  <c r="P79"/>
  <c r="P76"/>
  <c r="P243"/>
  <c r="P226"/>
  <c r="P208"/>
  <c r="P190"/>
  <c r="P175"/>
  <c r="P244"/>
  <c r="I126" i="1"/>
  <c r="K126" s="1"/>
  <c r="I131"/>
  <c r="K131" s="1"/>
  <c r="I136"/>
  <c r="K136" s="1"/>
  <c r="M156"/>
  <c r="I172"/>
  <c r="K172" s="1"/>
  <c r="P7" i="3"/>
  <c r="P17"/>
  <c r="P43"/>
  <c r="P48"/>
  <c r="P57"/>
  <c r="P64"/>
  <c r="P71"/>
  <c r="P83"/>
  <c r="AB90"/>
  <c r="AB102"/>
  <c r="AB114"/>
  <c r="AB126"/>
  <c r="AB138"/>
  <c r="AB150"/>
  <c r="AB160"/>
  <c r="AB166"/>
  <c r="P173"/>
  <c r="AB178"/>
  <c r="P180"/>
  <c r="P182"/>
  <c r="AB188"/>
  <c r="AB203"/>
  <c r="AB219"/>
  <c r="P221"/>
  <c r="AB242"/>
  <c r="P246"/>
  <c r="I121" i="1"/>
  <c r="K121" s="1"/>
  <c r="I164"/>
  <c r="K164" s="1"/>
  <c r="M133"/>
  <c r="M138"/>
  <c r="M143"/>
  <c r="M161"/>
  <c r="M166"/>
  <c r="M174"/>
  <c r="P2" i="3"/>
  <c r="P28"/>
  <c r="P33"/>
  <c r="P38"/>
  <c r="P61"/>
  <c r="AB75"/>
  <c r="AB171"/>
  <c r="AB190"/>
  <c r="AB215"/>
  <c r="AB217"/>
  <c r="AB220"/>
  <c r="P229"/>
  <c r="P231"/>
  <c r="P240"/>
  <c r="AB244"/>
  <c r="AB258"/>
  <c r="P13"/>
  <c r="P18"/>
  <c r="P23"/>
  <c r="P53"/>
  <c r="P68"/>
  <c r="AB78"/>
  <c r="AB112"/>
  <c r="AB124"/>
  <c r="AB136"/>
  <c r="AB161"/>
  <c r="AB164"/>
  <c r="AB179"/>
  <c r="AB205"/>
  <c r="AB209"/>
  <c r="P219"/>
  <c r="AB222"/>
  <c r="P227"/>
  <c r="AB236"/>
  <c r="AB201"/>
  <c r="P203"/>
  <c r="AB213"/>
  <c r="P215"/>
  <c r="P225"/>
  <c r="P242"/>
  <c r="AB249"/>
  <c r="AB256"/>
  <c r="AB263"/>
  <c r="M120" i="1"/>
  <c r="M171"/>
  <c r="P3" i="3"/>
  <c r="P34"/>
  <c r="P39"/>
  <c r="P44"/>
  <c r="P49"/>
  <c r="AB72"/>
  <c r="AB81"/>
  <c r="AB167"/>
  <c r="AB186"/>
  <c r="I120" i="1"/>
  <c r="K120" s="1"/>
  <c r="I153"/>
  <c r="K153" s="1"/>
  <c r="I158"/>
  <c r="K158" s="1"/>
  <c r="I171"/>
  <c r="K171" s="1"/>
  <c r="P19" i="3"/>
  <c r="P29"/>
  <c r="P54"/>
  <c r="P65"/>
  <c r="AB84"/>
  <c r="P86"/>
  <c r="AB174"/>
  <c r="AB202"/>
  <c r="AB207"/>
  <c r="AB211"/>
  <c r="AB230"/>
  <c r="AB232"/>
  <c r="AB239"/>
  <c r="AB254"/>
  <c r="P260"/>
  <c r="P8"/>
  <c r="P4"/>
  <c r="P14"/>
  <c r="P40"/>
  <c r="P62"/>
  <c r="AB69"/>
  <c r="AB91"/>
  <c r="AB103"/>
  <c r="AB115"/>
  <c r="AB127"/>
  <c r="AB139"/>
  <c r="AB151"/>
  <c r="AB172"/>
  <c r="P176"/>
  <c r="P201"/>
  <c r="P209"/>
  <c r="P211"/>
  <c r="P213"/>
  <c r="P234"/>
  <c r="AB245"/>
  <c r="AB247"/>
  <c r="M8" i="4"/>
  <c r="M26"/>
  <c r="M45"/>
  <c r="M46"/>
  <c r="M47"/>
  <c r="M48"/>
  <c r="M81"/>
  <c r="M82"/>
  <c r="M83"/>
  <c r="M84"/>
  <c r="M117"/>
  <c r="M118"/>
  <c r="M119"/>
  <c r="M120"/>
  <c r="M155"/>
  <c r="M156"/>
  <c r="M225"/>
  <c r="AI10" i="5"/>
  <c r="CD10" s="1"/>
  <c r="BE65"/>
  <c r="CF65" s="1"/>
  <c r="BE73"/>
  <c r="CF73" s="1"/>
  <c r="N11" i="4"/>
  <c r="N29"/>
  <c r="N51"/>
  <c r="N87"/>
  <c r="N123"/>
  <c r="M152"/>
  <c r="M153"/>
  <c r="M5"/>
  <c r="N6"/>
  <c r="M6"/>
  <c r="M23"/>
  <c r="N24"/>
  <c r="M24"/>
  <c r="M43"/>
  <c r="M75"/>
  <c r="M77"/>
  <c r="M78"/>
  <c r="M111"/>
  <c r="M113"/>
  <c r="M114"/>
  <c r="M150"/>
  <c r="M212"/>
  <c r="AI28" i="5"/>
  <c r="CD28" s="1"/>
  <c r="CA66"/>
  <c r="CH66" s="1"/>
  <c r="BP281"/>
  <c r="CG281" s="1"/>
  <c r="AT281"/>
  <c r="CE281" s="1"/>
  <c r="X281"/>
  <c r="CC281" s="1"/>
  <c r="CA281"/>
  <c r="CH281" s="1"/>
  <c r="BE281"/>
  <c r="CF281" s="1"/>
  <c r="AI281"/>
  <c r="CD281" s="1"/>
  <c r="M4" i="4"/>
  <c r="M22"/>
  <c r="M40"/>
  <c r="M41"/>
  <c r="M42"/>
  <c r="N45"/>
  <c r="M74"/>
  <c r="N81"/>
  <c r="N117"/>
  <c r="M145"/>
  <c r="M146"/>
  <c r="M147"/>
  <c r="CA42" i="5"/>
  <c r="CH42" s="1"/>
  <c r="M281"/>
  <c r="CB281" s="1"/>
  <c r="M20" i="4"/>
  <c r="M38"/>
  <c r="M71"/>
  <c r="M72"/>
  <c r="M108"/>
  <c r="M143"/>
  <c r="M200"/>
  <c r="N5"/>
  <c r="M19"/>
  <c r="N23"/>
  <c r="M37"/>
  <c r="M68"/>
  <c r="N75"/>
  <c r="M104"/>
  <c r="N111"/>
  <c r="M139"/>
  <c r="M140"/>
  <c r="M141"/>
  <c r="N3"/>
  <c r="M17"/>
  <c r="N18"/>
  <c r="M18"/>
  <c r="N21"/>
  <c r="M35"/>
  <c r="N36"/>
  <c r="M36"/>
  <c r="N39"/>
  <c r="M64"/>
  <c r="M65"/>
  <c r="M66"/>
  <c r="M100"/>
  <c r="M101"/>
  <c r="M102"/>
  <c r="M137"/>
  <c r="M188"/>
  <c r="BP209" i="5"/>
  <c r="CG209" s="1"/>
  <c r="AT209"/>
  <c r="CE209" s="1"/>
  <c r="X209"/>
  <c r="CC209" s="1"/>
  <c r="CA209"/>
  <c r="CH209" s="1"/>
  <c r="BE209"/>
  <c r="CF209" s="1"/>
  <c r="AI209"/>
  <c r="CD209" s="1"/>
  <c r="M62" i="4"/>
  <c r="M98"/>
  <c r="M133"/>
  <c r="M135"/>
  <c r="M209" i="5"/>
  <c r="CB209" s="1"/>
  <c r="M14" i="4"/>
  <c r="M32"/>
  <c r="M59"/>
  <c r="M60"/>
  <c r="M96"/>
  <c r="M177"/>
  <c r="M13"/>
  <c r="N17"/>
  <c r="M31"/>
  <c r="N35"/>
  <c r="M56"/>
  <c r="N63"/>
  <c r="M92"/>
  <c r="N99"/>
  <c r="M129"/>
  <c r="M168"/>
  <c r="M11"/>
  <c r="N12"/>
  <c r="M12"/>
  <c r="N15"/>
  <c r="M29"/>
  <c r="N30"/>
  <c r="M30"/>
  <c r="N33"/>
  <c r="M51"/>
  <c r="M52"/>
  <c r="M53"/>
  <c r="M54"/>
  <c r="M87"/>
  <c r="M89"/>
  <c r="M90"/>
  <c r="M123"/>
  <c r="M125"/>
  <c r="M126"/>
  <c r="CA3" i="5"/>
  <c r="CH3" s="1"/>
  <c r="BE3"/>
  <c r="CF3" s="1"/>
  <c r="AT3"/>
  <c r="CE3" s="1"/>
  <c r="AI3"/>
  <c r="CD3" s="1"/>
  <c r="CA21"/>
  <c r="CH21" s="1"/>
  <c r="BE21"/>
  <c r="CF21" s="1"/>
  <c r="AT21"/>
  <c r="CE21" s="1"/>
  <c r="AI21"/>
  <c r="CD21" s="1"/>
  <c r="CA39"/>
  <c r="CH39" s="1"/>
  <c r="BE39"/>
  <c r="CF39" s="1"/>
  <c r="AT39"/>
  <c r="CE39" s="1"/>
  <c r="AI39"/>
  <c r="CD39" s="1"/>
  <c r="CA63"/>
  <c r="CH63" s="1"/>
  <c r="BE63"/>
  <c r="CF63" s="1"/>
  <c r="AT63"/>
  <c r="CE63" s="1"/>
  <c r="AI63"/>
  <c r="CD63" s="1"/>
  <c r="CA87"/>
  <c r="CH87" s="1"/>
  <c r="BE87"/>
  <c r="CF87" s="1"/>
  <c r="AT87"/>
  <c r="CE87" s="1"/>
  <c r="AI87"/>
  <c r="CD87" s="1"/>
  <c r="X87"/>
  <c r="CC87" s="1"/>
  <c r="BP126"/>
  <c r="CG126" s="1"/>
  <c r="AT126"/>
  <c r="CE126" s="1"/>
  <c r="X126"/>
  <c r="CC126" s="1"/>
  <c r="BE126"/>
  <c r="CF126" s="1"/>
  <c r="AI126"/>
  <c r="CD126" s="1"/>
  <c r="CA126"/>
  <c r="CH126" s="1"/>
  <c r="BP198"/>
  <c r="CG198" s="1"/>
  <c r="AT198"/>
  <c r="CE198" s="1"/>
  <c r="X198"/>
  <c r="CC198" s="1"/>
  <c r="BE198"/>
  <c r="CF198" s="1"/>
  <c r="AI198"/>
  <c r="CD198" s="1"/>
  <c r="CA198"/>
  <c r="CH198" s="1"/>
  <c r="BP270"/>
  <c r="CG270" s="1"/>
  <c r="AT270"/>
  <c r="CE270" s="1"/>
  <c r="X270"/>
  <c r="CC270" s="1"/>
  <c r="BE270"/>
  <c r="CF270" s="1"/>
  <c r="AI270"/>
  <c r="CD270" s="1"/>
  <c r="CA270"/>
  <c r="CH270" s="1"/>
  <c r="N128" i="4"/>
  <c r="N134"/>
  <c r="N140"/>
  <c r="N146"/>
  <c r="N152"/>
  <c r="N158"/>
  <c r="M167"/>
  <c r="N176"/>
  <c r="M185"/>
  <c r="M186"/>
  <c r="M197"/>
  <c r="M198"/>
  <c r="M209"/>
  <c r="M210"/>
  <c r="M223"/>
  <c r="M224"/>
  <c r="M3" i="5"/>
  <c r="CB3" s="1"/>
  <c r="AT11"/>
  <c r="CE11" s="1"/>
  <c r="CA17"/>
  <c r="CH17" s="1"/>
  <c r="CA19"/>
  <c r="CH19" s="1"/>
  <c r="M21"/>
  <c r="CB21" s="1"/>
  <c r="AT29"/>
  <c r="CE29" s="1"/>
  <c r="CA32"/>
  <c r="CH32" s="1"/>
  <c r="M39"/>
  <c r="CB39" s="1"/>
  <c r="X41"/>
  <c r="CC41" s="1"/>
  <c r="AT42"/>
  <c r="CE42" s="1"/>
  <c r="X52"/>
  <c r="CC52" s="1"/>
  <c r="CA56"/>
  <c r="CH56" s="1"/>
  <c r="M63"/>
  <c r="CB63" s="1"/>
  <c r="X65"/>
  <c r="CC65" s="1"/>
  <c r="AT66"/>
  <c r="CE66" s="1"/>
  <c r="X76"/>
  <c r="CC76" s="1"/>
  <c r="AT77"/>
  <c r="CE77" s="1"/>
  <c r="CA80"/>
  <c r="CH80" s="1"/>
  <c r="M87"/>
  <c r="CB87" s="1"/>
  <c r="CA92"/>
  <c r="CH92" s="1"/>
  <c r="CA96"/>
  <c r="CH96" s="1"/>
  <c r="AI97"/>
  <c r="CD97" s="1"/>
  <c r="CA115"/>
  <c r="CH115" s="1"/>
  <c r="M126"/>
  <c r="CB126" s="1"/>
  <c r="CA144"/>
  <c r="CH144" s="1"/>
  <c r="CA146"/>
  <c r="CH146" s="1"/>
  <c r="CA187"/>
  <c r="CH187" s="1"/>
  <c r="M198"/>
  <c r="CB198" s="1"/>
  <c r="CA216"/>
  <c r="CH216" s="1"/>
  <c r="CA218"/>
  <c r="CH218" s="1"/>
  <c r="BE223"/>
  <c r="CF223" s="1"/>
  <c r="CA259"/>
  <c r="CH259" s="1"/>
  <c r="M270"/>
  <c r="CB270" s="1"/>
  <c r="CA290"/>
  <c r="CH290" s="1"/>
  <c r="BE295"/>
  <c r="CF295" s="1"/>
  <c r="CA299"/>
  <c r="CH299" s="1"/>
  <c r="BP125"/>
  <c r="CG125" s="1"/>
  <c r="AT125"/>
  <c r="CE125" s="1"/>
  <c r="X125"/>
  <c r="CC125" s="1"/>
  <c r="CA125"/>
  <c r="CH125" s="1"/>
  <c r="BE125"/>
  <c r="CF125" s="1"/>
  <c r="AI125"/>
  <c r="CD125" s="1"/>
  <c r="BP197"/>
  <c r="CG197" s="1"/>
  <c r="AT197"/>
  <c r="CE197" s="1"/>
  <c r="X197"/>
  <c r="CC197" s="1"/>
  <c r="CA197"/>
  <c r="CH197" s="1"/>
  <c r="BE197"/>
  <c r="CF197" s="1"/>
  <c r="AI197"/>
  <c r="CD197" s="1"/>
  <c r="BP269"/>
  <c r="CG269" s="1"/>
  <c r="AT269"/>
  <c r="CE269" s="1"/>
  <c r="X269"/>
  <c r="CC269" s="1"/>
  <c r="CA269"/>
  <c r="CH269" s="1"/>
  <c r="BE269"/>
  <c r="CF269" s="1"/>
  <c r="AI269"/>
  <c r="CD269" s="1"/>
  <c r="M221" i="4"/>
  <c r="M222"/>
  <c r="AT5" i="5"/>
  <c r="CE5" s="1"/>
  <c r="CA97"/>
  <c r="CH97" s="1"/>
  <c r="CA112"/>
  <c r="CH112" s="1"/>
  <c r="AI116"/>
  <c r="CD116" s="1"/>
  <c r="M125"/>
  <c r="CB125" s="1"/>
  <c r="BE145"/>
  <c r="CF145" s="1"/>
  <c r="AI184"/>
  <c r="CD184" s="1"/>
  <c r="CA184"/>
  <c r="CH184" s="1"/>
  <c r="AI188"/>
  <c r="CD188" s="1"/>
  <c r="M197"/>
  <c r="CB197" s="1"/>
  <c r="AI256"/>
  <c r="CD256" s="1"/>
  <c r="CA256"/>
  <c r="CH256" s="1"/>
  <c r="M269"/>
  <c r="CB269" s="1"/>
  <c r="BP114"/>
  <c r="CG114" s="1"/>
  <c r="AT114"/>
  <c r="CE114" s="1"/>
  <c r="X114"/>
  <c r="CC114" s="1"/>
  <c r="BE114"/>
  <c r="CF114" s="1"/>
  <c r="AI114"/>
  <c r="CD114" s="1"/>
  <c r="CA114"/>
  <c r="CH114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N133" i="4"/>
  <c r="N139"/>
  <c r="N145"/>
  <c r="N151"/>
  <c r="N157"/>
  <c r="N175"/>
  <c r="M175"/>
  <c r="M220"/>
  <c r="BE16" i="5"/>
  <c r="CF16" s="1"/>
  <c r="BE31"/>
  <c r="CF31" s="1"/>
  <c r="M41"/>
  <c r="CB41" s="1"/>
  <c r="CA43"/>
  <c r="CH43" s="1"/>
  <c r="BE55"/>
  <c r="CF55" s="1"/>
  <c r="M65"/>
  <c r="CB65" s="1"/>
  <c r="CA67"/>
  <c r="CH67" s="1"/>
  <c r="BE79"/>
  <c r="CF79" s="1"/>
  <c r="BE91"/>
  <c r="CF91" s="1"/>
  <c r="X95"/>
  <c r="CC95" s="1"/>
  <c r="M114"/>
  <c r="CB114" s="1"/>
  <c r="CA132"/>
  <c r="CH132" s="1"/>
  <c r="CA134"/>
  <c r="CH134" s="1"/>
  <c r="M186"/>
  <c r="CB186" s="1"/>
  <c r="CA204"/>
  <c r="CH204" s="1"/>
  <c r="CA206"/>
  <c r="CH206" s="1"/>
  <c r="M258"/>
  <c r="CB258" s="1"/>
  <c r="CA278"/>
  <c r="CH278" s="1"/>
  <c r="BE309"/>
  <c r="CF309" s="1"/>
  <c r="CA45"/>
  <c r="CH45" s="1"/>
  <c r="BE45"/>
  <c r="CF45" s="1"/>
  <c r="AT45"/>
  <c r="CE45" s="1"/>
  <c r="AI45"/>
  <c r="CD45" s="1"/>
  <c r="CA69"/>
  <c r="CH69" s="1"/>
  <c r="BE69"/>
  <c r="CF69" s="1"/>
  <c r="AT69"/>
  <c r="CE69" s="1"/>
  <c r="AI69"/>
  <c r="CD69" s="1"/>
  <c r="BP113"/>
  <c r="CG113" s="1"/>
  <c r="AT113"/>
  <c r="CE113" s="1"/>
  <c r="X113"/>
  <c r="CC113" s="1"/>
  <c r="CA113"/>
  <c r="CH113" s="1"/>
  <c r="BE113"/>
  <c r="CF113" s="1"/>
  <c r="AI113"/>
  <c r="CD113" s="1"/>
  <c r="BP185"/>
  <c r="CG185" s="1"/>
  <c r="AT185"/>
  <c r="CE185" s="1"/>
  <c r="X185"/>
  <c r="CC185" s="1"/>
  <c r="CA185"/>
  <c r="CH185" s="1"/>
  <c r="BE185"/>
  <c r="CF185" s="1"/>
  <c r="AI185"/>
  <c r="CD185" s="1"/>
  <c r="BP257"/>
  <c r="CG257" s="1"/>
  <c r="AT257"/>
  <c r="CE257" s="1"/>
  <c r="X257"/>
  <c r="CC257" s="1"/>
  <c r="CA257"/>
  <c r="CH257" s="1"/>
  <c r="BE257"/>
  <c r="CF257" s="1"/>
  <c r="AI257"/>
  <c r="CD257" s="1"/>
  <c r="N165" i="4"/>
  <c r="M165"/>
  <c r="N174"/>
  <c r="N183"/>
  <c r="M183"/>
  <c r="N195"/>
  <c r="M195"/>
  <c r="N207"/>
  <c r="M207"/>
  <c r="N219"/>
  <c r="M219"/>
  <c r="BE7" i="5"/>
  <c r="CF7" s="1"/>
  <c r="BP12"/>
  <c r="CG12" s="1"/>
  <c r="AI17"/>
  <c r="CD17" s="1"/>
  <c r="CA20"/>
  <c r="CH20" s="1"/>
  <c r="BE25"/>
  <c r="CF25" s="1"/>
  <c r="X34"/>
  <c r="CC34" s="1"/>
  <c r="AT35"/>
  <c r="CE35" s="1"/>
  <c r="CA38"/>
  <c r="CH38" s="1"/>
  <c r="M45"/>
  <c r="CB45" s="1"/>
  <c r="X47"/>
  <c r="CC47" s="1"/>
  <c r="AT48"/>
  <c r="CE48" s="1"/>
  <c r="X58"/>
  <c r="CC58" s="1"/>
  <c r="CA62"/>
  <c r="CH62" s="1"/>
  <c r="M69"/>
  <c r="CB69" s="1"/>
  <c r="X71"/>
  <c r="CC71" s="1"/>
  <c r="AT72"/>
  <c r="CE72" s="1"/>
  <c r="X82"/>
  <c r="CC82" s="1"/>
  <c r="CA86"/>
  <c r="CH86" s="1"/>
  <c r="AI104"/>
  <c r="CD104" s="1"/>
  <c r="M113"/>
  <c r="CB113" s="1"/>
  <c r="CA155"/>
  <c r="CH155" s="1"/>
  <c r="AI172"/>
  <c r="CD172" s="1"/>
  <c r="AI176"/>
  <c r="CD176" s="1"/>
  <c r="M185"/>
  <c r="CB185" s="1"/>
  <c r="CA227"/>
  <c r="CH227" s="1"/>
  <c r="AI244"/>
  <c r="CD244" s="1"/>
  <c r="CA244"/>
  <c r="CH244" s="1"/>
  <c r="M257"/>
  <c r="CB257" s="1"/>
  <c r="AI268"/>
  <c r="CD268" s="1"/>
  <c r="CA15"/>
  <c r="CH15" s="1"/>
  <c r="BE15"/>
  <c r="CF15" s="1"/>
  <c r="AT15"/>
  <c r="CE15" s="1"/>
  <c r="AI15"/>
  <c r="CD15" s="1"/>
  <c r="BP102"/>
  <c r="CG102" s="1"/>
  <c r="AT102"/>
  <c r="CE102" s="1"/>
  <c r="X102"/>
  <c r="CC102" s="1"/>
  <c r="BE102"/>
  <c r="CF102" s="1"/>
  <c r="AI102"/>
  <c r="CD102" s="1"/>
  <c r="CA102"/>
  <c r="CH10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CA13"/>
  <c r="CH13" s="1"/>
  <c r="M15"/>
  <c r="CB15" s="1"/>
  <c r="AI47"/>
  <c r="CD47" s="1"/>
  <c r="BE48"/>
  <c r="CF48" s="1"/>
  <c r="BP49"/>
  <c r="CG49" s="1"/>
  <c r="AI71"/>
  <c r="CD71" s="1"/>
  <c r="BE72"/>
  <c r="CF72" s="1"/>
  <c r="BP73"/>
  <c r="CG73" s="1"/>
  <c r="X89"/>
  <c r="CC89" s="1"/>
  <c r="AT95"/>
  <c r="CE95" s="1"/>
  <c r="M102"/>
  <c r="CB102" s="1"/>
  <c r="M174"/>
  <c r="CB174" s="1"/>
  <c r="M246"/>
  <c r="CB246" s="1"/>
  <c r="BP101"/>
  <c r="CG101" s="1"/>
  <c r="AT101"/>
  <c r="CE101" s="1"/>
  <c r="X101"/>
  <c r="CC101" s="1"/>
  <c r="CA101"/>
  <c r="CH101" s="1"/>
  <c r="BE101"/>
  <c r="CF101" s="1"/>
  <c r="AI101"/>
  <c r="CD101" s="1"/>
  <c r="BP173"/>
  <c r="CG173" s="1"/>
  <c r="AT173"/>
  <c r="CE173" s="1"/>
  <c r="X173"/>
  <c r="CC173" s="1"/>
  <c r="CA173"/>
  <c r="CH173" s="1"/>
  <c r="BE173"/>
  <c r="CF173" s="1"/>
  <c r="AI173"/>
  <c r="CD173" s="1"/>
  <c r="BP245"/>
  <c r="CG245" s="1"/>
  <c r="AT245"/>
  <c r="CE245" s="1"/>
  <c r="X245"/>
  <c r="CC245" s="1"/>
  <c r="CA245"/>
  <c r="CH245" s="1"/>
  <c r="BE245"/>
  <c r="CF245" s="1"/>
  <c r="AI245"/>
  <c r="CD245" s="1"/>
  <c r="M193" i="4"/>
  <c r="M205"/>
  <c r="M217"/>
  <c r="BE12" i="5"/>
  <c r="CF12" s="1"/>
  <c r="X15"/>
  <c r="CC15" s="1"/>
  <c r="M17"/>
  <c r="CB17" s="1"/>
  <c r="BE37"/>
  <c r="CF37" s="1"/>
  <c r="M47"/>
  <c r="CB47" s="1"/>
  <c r="CA49"/>
  <c r="CH49" s="1"/>
  <c r="BE61"/>
  <c r="CF61" s="1"/>
  <c r="M71"/>
  <c r="CB71" s="1"/>
  <c r="CA73"/>
  <c r="CH73" s="1"/>
  <c r="BE85"/>
  <c r="CF85" s="1"/>
  <c r="AI99"/>
  <c r="CD99" s="1"/>
  <c r="M101"/>
  <c r="CB101" s="1"/>
  <c r="BE121"/>
  <c r="CF121" s="1"/>
  <c r="AI148"/>
  <c r="CD148" s="1"/>
  <c r="AI160"/>
  <c r="CD160" s="1"/>
  <c r="CA160"/>
  <c r="CH160" s="1"/>
  <c r="AI164"/>
  <c r="CD164" s="1"/>
  <c r="M173"/>
  <c r="CB173" s="1"/>
  <c r="AI232"/>
  <c r="CD232" s="1"/>
  <c r="CA232"/>
  <c r="CH232" s="1"/>
  <c r="AI236"/>
  <c r="CD236" s="1"/>
  <c r="M245"/>
  <c r="CB245" s="1"/>
  <c r="CA304"/>
  <c r="CH304" s="1"/>
  <c r="CA51"/>
  <c r="CH51" s="1"/>
  <c r="BE51"/>
  <c r="CF51" s="1"/>
  <c r="AT51"/>
  <c r="CE51" s="1"/>
  <c r="AI51"/>
  <c r="CD51" s="1"/>
  <c r="CA75"/>
  <c r="CH75" s="1"/>
  <c r="BE75"/>
  <c r="CF75" s="1"/>
  <c r="AT75"/>
  <c r="CE75" s="1"/>
  <c r="AI75"/>
  <c r="CD75" s="1"/>
  <c r="BP162"/>
  <c r="CG162" s="1"/>
  <c r="AT162"/>
  <c r="CE162" s="1"/>
  <c r="X162"/>
  <c r="CC162" s="1"/>
  <c r="BE162"/>
  <c r="CF162" s="1"/>
  <c r="AI162"/>
  <c r="CD162" s="1"/>
  <c r="CA162"/>
  <c r="CH162" s="1"/>
  <c r="BP234"/>
  <c r="CG234" s="1"/>
  <c r="AT234"/>
  <c r="CE234" s="1"/>
  <c r="X234"/>
  <c r="CC234" s="1"/>
  <c r="BE234"/>
  <c r="CF234" s="1"/>
  <c r="AI234"/>
  <c r="CD234" s="1"/>
  <c r="CA234"/>
  <c r="CH234" s="1"/>
  <c r="BP306"/>
  <c r="CG306" s="1"/>
  <c r="AT306"/>
  <c r="CE306" s="1"/>
  <c r="X306"/>
  <c r="CC306" s="1"/>
  <c r="BE306"/>
  <c r="CF306" s="1"/>
  <c r="AI306"/>
  <c r="CD306" s="1"/>
  <c r="CA306"/>
  <c r="CH306" s="1"/>
  <c r="N131" i="4"/>
  <c r="N137"/>
  <c r="N143"/>
  <c r="N149"/>
  <c r="N155"/>
  <c r="N163"/>
  <c r="M163"/>
  <c r="N181"/>
  <c r="M181"/>
  <c r="M191"/>
  <c r="M192"/>
  <c r="M203"/>
  <c r="M204"/>
  <c r="M215"/>
  <c r="M216"/>
  <c r="X4" i="5"/>
  <c r="CC4" s="1"/>
  <c r="BE10"/>
  <c r="CF10" s="1"/>
  <c r="X22"/>
  <c r="CC22" s="1"/>
  <c r="BE28"/>
  <c r="CF28" s="1"/>
  <c r="AT30"/>
  <c r="CE30" s="1"/>
  <c r="X40"/>
  <c r="CC40" s="1"/>
  <c r="AT41"/>
  <c r="CE41" s="1"/>
  <c r="CA44"/>
  <c r="CH44" s="1"/>
  <c r="M51"/>
  <c r="CB51" s="1"/>
  <c r="X53"/>
  <c r="CC53" s="1"/>
  <c r="AT54"/>
  <c r="CE54" s="1"/>
  <c r="X64"/>
  <c r="CC64" s="1"/>
  <c r="AT65"/>
  <c r="CE65" s="1"/>
  <c r="CA68"/>
  <c r="CH68" s="1"/>
  <c r="M75"/>
  <c r="CB75" s="1"/>
  <c r="X77"/>
  <c r="CC77" s="1"/>
  <c r="AT78"/>
  <c r="CE78" s="1"/>
  <c r="AT89"/>
  <c r="CE89" s="1"/>
  <c r="AT90"/>
  <c r="CE90" s="1"/>
  <c r="X94"/>
  <c r="CC94" s="1"/>
  <c r="CA110"/>
  <c r="CH110" s="1"/>
  <c r="CA151"/>
  <c r="CH151" s="1"/>
  <c r="M162"/>
  <c r="CB162" s="1"/>
  <c r="CA182"/>
  <c r="CH182" s="1"/>
  <c r="BE187"/>
  <c r="CF187" s="1"/>
  <c r="CA223"/>
  <c r="CH223" s="1"/>
  <c r="M234"/>
  <c r="CB234" s="1"/>
  <c r="CA254"/>
  <c r="CH254" s="1"/>
  <c r="BE259"/>
  <c r="CF259" s="1"/>
  <c r="CA263"/>
  <c r="CH263" s="1"/>
  <c r="BE285"/>
  <c r="CF285" s="1"/>
  <c r="CA295"/>
  <c r="CH295" s="1"/>
  <c r="M306"/>
  <c r="CB306" s="1"/>
  <c r="BP161"/>
  <c r="CG161" s="1"/>
  <c r="AT161"/>
  <c r="CE161" s="1"/>
  <c r="X161"/>
  <c r="CC161" s="1"/>
  <c r="CA161"/>
  <c r="CH161" s="1"/>
  <c r="BE161"/>
  <c r="CF161" s="1"/>
  <c r="AI161"/>
  <c r="CD161" s="1"/>
  <c r="BP233"/>
  <c r="CG233" s="1"/>
  <c r="AT233"/>
  <c r="CE233" s="1"/>
  <c r="X233"/>
  <c r="CC233" s="1"/>
  <c r="CA233"/>
  <c r="CH233" s="1"/>
  <c r="BE233"/>
  <c r="CF233" s="1"/>
  <c r="AI233"/>
  <c r="CD233" s="1"/>
  <c r="BP305"/>
  <c r="CG305" s="1"/>
  <c r="AT305"/>
  <c r="CE305" s="1"/>
  <c r="X305"/>
  <c r="CC305" s="1"/>
  <c r="CA305"/>
  <c r="CH305" s="1"/>
  <c r="BE305"/>
  <c r="CF305" s="1"/>
  <c r="AI305"/>
  <c r="CD305" s="1"/>
  <c r="M171" i="4"/>
  <c r="CA14" i="5"/>
  <c r="CH14" s="1"/>
  <c r="BE19"/>
  <c r="CF19" s="1"/>
  <c r="BP36"/>
  <c r="CG36" s="1"/>
  <c r="BP60"/>
  <c r="CG60" s="1"/>
  <c r="BP84"/>
  <c r="CG84" s="1"/>
  <c r="AI152"/>
  <c r="CD152" s="1"/>
  <c r="M161"/>
  <c r="CB161" s="1"/>
  <c r="M233"/>
  <c r="CB233" s="1"/>
  <c r="M305"/>
  <c r="CB305" s="1"/>
  <c r="CA9"/>
  <c r="CH9" s="1"/>
  <c r="BE9"/>
  <c r="CF9" s="1"/>
  <c r="AT9"/>
  <c r="CE9" s="1"/>
  <c r="AI9"/>
  <c r="CD9" s="1"/>
  <c r="CA27"/>
  <c r="CH27" s="1"/>
  <c r="BE27"/>
  <c r="CF27" s="1"/>
  <c r="AT27"/>
  <c r="CE27" s="1"/>
  <c r="AI27"/>
  <c r="CD27" s="1"/>
  <c r="BP150"/>
  <c r="CG150" s="1"/>
  <c r="AT150"/>
  <c r="CE150" s="1"/>
  <c r="X150"/>
  <c r="CC150" s="1"/>
  <c r="BE150"/>
  <c r="CF150" s="1"/>
  <c r="AI150"/>
  <c r="CD150" s="1"/>
  <c r="CA150"/>
  <c r="CH150" s="1"/>
  <c r="BP222"/>
  <c r="CG222" s="1"/>
  <c r="AT222"/>
  <c r="CE222" s="1"/>
  <c r="X222"/>
  <c r="CC222" s="1"/>
  <c r="BE222"/>
  <c r="CF222" s="1"/>
  <c r="AI222"/>
  <c r="CD222" s="1"/>
  <c r="CA222"/>
  <c r="CH222" s="1"/>
  <c r="BP294"/>
  <c r="CG294" s="1"/>
  <c r="AT294"/>
  <c r="CE294" s="1"/>
  <c r="X294"/>
  <c r="CC294" s="1"/>
  <c r="BE294"/>
  <c r="CF294" s="1"/>
  <c r="AI294"/>
  <c r="CD294" s="1"/>
  <c r="CA294"/>
  <c r="CH294" s="1"/>
  <c r="N130" i="4"/>
  <c r="N136"/>
  <c r="N142"/>
  <c r="N148"/>
  <c r="N154"/>
  <c r="M161"/>
  <c r="N170"/>
  <c r="M179"/>
  <c r="CA5" i="5"/>
  <c r="CH5" s="1"/>
  <c r="CA7"/>
  <c r="CH7" s="1"/>
  <c r="M9"/>
  <c r="CB9" s="1"/>
  <c r="AT17"/>
  <c r="CE17" s="1"/>
  <c r="CA23"/>
  <c r="CH23" s="1"/>
  <c r="CA25"/>
  <c r="CH25" s="1"/>
  <c r="M27"/>
  <c r="CB27" s="1"/>
  <c r="CA31"/>
  <c r="CH31" s="1"/>
  <c r="BE43"/>
  <c r="CF43" s="1"/>
  <c r="AT53"/>
  <c r="CE53" s="1"/>
  <c r="CA55"/>
  <c r="CH55" s="1"/>
  <c r="BE67"/>
  <c r="CF67" s="1"/>
  <c r="M77"/>
  <c r="CB77" s="1"/>
  <c r="CA79"/>
  <c r="CH79" s="1"/>
  <c r="X88"/>
  <c r="CC88" s="1"/>
  <c r="CA91"/>
  <c r="CH91" s="1"/>
  <c r="M150"/>
  <c r="CB150" s="1"/>
  <c r="CA170"/>
  <c r="CH170" s="1"/>
  <c r="M222"/>
  <c r="CB222" s="1"/>
  <c r="CA242"/>
  <c r="CH242" s="1"/>
  <c r="M294"/>
  <c r="CB294" s="1"/>
  <c r="CA33"/>
  <c r="CH33" s="1"/>
  <c r="BE33"/>
  <c r="CF33" s="1"/>
  <c r="AT33"/>
  <c r="CE33" s="1"/>
  <c r="AI33"/>
  <c r="CD33" s="1"/>
  <c r="CA57"/>
  <c r="CH57" s="1"/>
  <c r="BE57"/>
  <c r="CF57" s="1"/>
  <c r="AT57"/>
  <c r="CE57" s="1"/>
  <c r="AI57"/>
  <c r="CD57" s="1"/>
  <c r="CA81"/>
  <c r="CH81" s="1"/>
  <c r="BE81"/>
  <c r="CF81" s="1"/>
  <c r="AT81"/>
  <c r="CE81" s="1"/>
  <c r="AI81"/>
  <c r="CD81" s="1"/>
  <c r="BP149"/>
  <c r="CG149" s="1"/>
  <c r="AT149"/>
  <c r="CE149" s="1"/>
  <c r="X149"/>
  <c r="CC149" s="1"/>
  <c r="CA149"/>
  <c r="CH149" s="1"/>
  <c r="BE149"/>
  <c r="CF149" s="1"/>
  <c r="AI149"/>
  <c r="CD149" s="1"/>
  <c r="BP221"/>
  <c r="CG221" s="1"/>
  <c r="AT221"/>
  <c r="CE221" s="1"/>
  <c r="X221"/>
  <c r="CC221" s="1"/>
  <c r="CA221"/>
  <c r="CH221" s="1"/>
  <c r="BE221"/>
  <c r="CF221" s="1"/>
  <c r="AI221"/>
  <c r="CD221" s="1"/>
  <c r="BP293"/>
  <c r="CG293" s="1"/>
  <c r="AT293"/>
  <c r="CE293" s="1"/>
  <c r="X293"/>
  <c r="CC293" s="1"/>
  <c r="CA293"/>
  <c r="CH293" s="1"/>
  <c r="BE293"/>
  <c r="CF293" s="1"/>
  <c r="AI293"/>
  <c r="CD293" s="1"/>
  <c r="N189" i="4"/>
  <c r="M189"/>
  <c r="N201"/>
  <c r="M201"/>
  <c r="N213"/>
  <c r="M213"/>
  <c r="N215"/>
  <c r="BE6" i="5"/>
  <c r="CF6" s="1"/>
  <c r="M11"/>
  <c r="CB11" s="1"/>
  <c r="BE24"/>
  <c r="CF24" s="1"/>
  <c r="M29"/>
  <c r="CB29" s="1"/>
  <c r="M33"/>
  <c r="CB33" s="1"/>
  <c r="X35"/>
  <c r="CC35" s="1"/>
  <c r="AT36"/>
  <c r="CE36" s="1"/>
  <c r="X46"/>
  <c r="CC46" s="1"/>
  <c r="AT47"/>
  <c r="CE47" s="1"/>
  <c r="CA50"/>
  <c r="CH50" s="1"/>
  <c r="M57"/>
  <c r="CB57" s="1"/>
  <c r="X59"/>
  <c r="CC59" s="1"/>
  <c r="AT60"/>
  <c r="CE60" s="1"/>
  <c r="X70"/>
  <c r="CC70" s="1"/>
  <c r="AT71"/>
  <c r="CE71" s="1"/>
  <c r="M81"/>
  <c r="CB81" s="1"/>
  <c r="X83"/>
  <c r="CC83" s="1"/>
  <c r="AT84"/>
  <c r="CE84" s="1"/>
  <c r="AT99"/>
  <c r="CE99" s="1"/>
  <c r="AI124"/>
  <c r="CD124" s="1"/>
  <c r="CA136"/>
  <c r="CH136" s="1"/>
  <c r="M149"/>
  <c r="CB149" s="1"/>
  <c r="CA208"/>
  <c r="CH208" s="1"/>
  <c r="M221"/>
  <c r="CB221" s="1"/>
  <c r="CA280"/>
  <c r="CH280" s="1"/>
  <c r="M293"/>
  <c r="CB293" s="1"/>
  <c r="CA93"/>
  <c r="CH93" s="1"/>
  <c r="BE93"/>
  <c r="CF93" s="1"/>
  <c r="AT93"/>
  <c r="CE93" s="1"/>
  <c r="AI93"/>
  <c r="CD93" s="1"/>
  <c r="X93"/>
  <c r="CC93" s="1"/>
  <c r="BP138"/>
  <c r="CG138" s="1"/>
  <c r="AT138"/>
  <c r="CE138" s="1"/>
  <c r="X138"/>
  <c r="CC138" s="1"/>
  <c r="BE138"/>
  <c r="CF138" s="1"/>
  <c r="AI138"/>
  <c r="CD138" s="1"/>
  <c r="CA138"/>
  <c r="CH138" s="1"/>
  <c r="BP210"/>
  <c r="CG210" s="1"/>
  <c r="AT210"/>
  <c r="CE210" s="1"/>
  <c r="X210"/>
  <c r="CC210" s="1"/>
  <c r="BE210"/>
  <c r="CF210" s="1"/>
  <c r="AI210"/>
  <c r="CD210" s="1"/>
  <c r="CA210"/>
  <c r="CH210" s="1"/>
  <c r="BP282"/>
  <c r="CG282" s="1"/>
  <c r="AT282"/>
  <c r="CE282" s="1"/>
  <c r="X282"/>
  <c r="CC282" s="1"/>
  <c r="BE282"/>
  <c r="CF282" s="1"/>
  <c r="AI282"/>
  <c r="CD282" s="1"/>
  <c r="CA282"/>
  <c r="CH282" s="1"/>
  <c r="N169" i="4"/>
  <c r="M169"/>
  <c r="BE4" i="5"/>
  <c r="CF4" s="1"/>
  <c r="X16"/>
  <c r="CC16" s="1"/>
  <c r="BE22"/>
  <c r="CF22" s="1"/>
  <c r="X33"/>
  <c r="CC33" s="1"/>
  <c r="BE40"/>
  <c r="CF40" s="1"/>
  <c r="CA41"/>
  <c r="CH41" s="1"/>
  <c r="BP42"/>
  <c r="CG42" s="1"/>
  <c r="X57"/>
  <c r="CC57" s="1"/>
  <c r="BE64"/>
  <c r="CF64" s="1"/>
  <c r="CA65"/>
  <c r="CH65" s="1"/>
  <c r="BP66"/>
  <c r="CG66" s="1"/>
  <c r="X81"/>
  <c r="CC81" s="1"/>
  <c r="AI83"/>
  <c r="CD83" s="1"/>
  <c r="BE84"/>
  <c r="CF84" s="1"/>
  <c r="BP85"/>
  <c r="CG85" s="1"/>
  <c r="M93"/>
  <c r="CB93" s="1"/>
  <c r="CA127"/>
  <c r="CH127" s="1"/>
  <c r="M138"/>
  <c r="CB138" s="1"/>
  <c r="CA156"/>
  <c r="CH156" s="1"/>
  <c r="CA158"/>
  <c r="CH158" s="1"/>
  <c r="CA199"/>
  <c r="CH199" s="1"/>
  <c r="M210"/>
  <c r="CB210" s="1"/>
  <c r="CA228"/>
  <c r="CH228" s="1"/>
  <c r="CA230"/>
  <c r="CH230" s="1"/>
  <c r="BE235"/>
  <c r="CF235" s="1"/>
  <c r="CA271"/>
  <c r="CH271" s="1"/>
  <c r="CA276"/>
  <c r="CH276" s="1"/>
  <c r="M282"/>
  <c r="CB282" s="1"/>
  <c r="CA302"/>
  <c r="CH302" s="1"/>
  <c r="BE307"/>
  <c r="CF307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M310"/>
  <c r="CB310" s="1"/>
  <c r="AT111"/>
  <c r="CE111" s="1"/>
  <c r="X111"/>
  <c r="CC111" s="1"/>
  <c r="BP111"/>
  <c r="CG111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11"/>
  <c r="CB111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M267"/>
  <c r="CB267" s="1"/>
  <c r="M279"/>
  <c r="CB279" s="1"/>
  <c r="M291"/>
  <c r="CB291" s="1"/>
  <c r="M303"/>
  <c r="CB303" s="1"/>
  <c r="X104"/>
  <c r="CC104" s="1"/>
  <c r="BP104"/>
  <c r="CG104" s="1"/>
  <c r="AT104"/>
  <c r="CE104" s="1"/>
  <c r="X116"/>
  <c r="CC116" s="1"/>
  <c r="BP116"/>
  <c r="CG116" s="1"/>
  <c r="AT116"/>
  <c r="CE116" s="1"/>
  <c r="X128"/>
  <c r="CC128" s="1"/>
  <c r="BP128"/>
  <c r="CG128" s="1"/>
  <c r="AT128"/>
  <c r="CE128" s="1"/>
  <c r="X140"/>
  <c r="CC140" s="1"/>
  <c r="BP140"/>
  <c r="CG140" s="1"/>
  <c r="AT140"/>
  <c r="CE140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N187" i="4"/>
  <c r="N193"/>
  <c r="N199"/>
  <c r="N205"/>
  <c r="N211"/>
  <c r="N217"/>
  <c r="N223"/>
  <c r="BP4" i="5"/>
  <c r="CG4" s="1"/>
  <c r="X8"/>
  <c r="CC8" s="1"/>
  <c r="BP10"/>
  <c r="CG10" s="1"/>
  <c r="X14"/>
  <c r="CC14" s="1"/>
  <c r="BP16"/>
  <c r="CG16" s="1"/>
  <c r="X20"/>
  <c r="CC20" s="1"/>
  <c r="BP22"/>
  <c r="CG22" s="1"/>
  <c r="X26"/>
  <c r="CC26" s="1"/>
  <c r="BP28"/>
  <c r="CG28" s="1"/>
  <c r="X32"/>
  <c r="CC32" s="1"/>
  <c r="BP34"/>
  <c r="CG34" s="1"/>
  <c r="X38"/>
  <c r="CC38" s="1"/>
  <c r="BP40"/>
  <c r="CG40" s="1"/>
  <c r="X44"/>
  <c r="CC44" s="1"/>
  <c r="BP46"/>
  <c r="CG46" s="1"/>
  <c r="X50"/>
  <c r="CC50" s="1"/>
  <c r="BP52"/>
  <c r="CG52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BP88"/>
  <c r="CG88" s="1"/>
  <c r="X92"/>
  <c r="CC92" s="1"/>
  <c r="BP94"/>
  <c r="CG94" s="1"/>
  <c r="M104"/>
  <c r="CB104" s="1"/>
  <c r="BE110"/>
  <c r="CF110" s="1"/>
  <c r="M116"/>
  <c r="CB116" s="1"/>
  <c r="BE122"/>
  <c r="CF122" s="1"/>
  <c r="M128"/>
  <c r="CB128" s="1"/>
  <c r="BE134"/>
  <c r="CF134" s="1"/>
  <c r="M140"/>
  <c r="CB140" s="1"/>
  <c r="BE146"/>
  <c r="CF146" s="1"/>
  <c r="M152"/>
  <c r="CB152" s="1"/>
  <c r="BE158"/>
  <c r="CF158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4"/>
  <c r="CH4" s="1"/>
  <c r="M7"/>
  <c r="CB7" s="1"/>
  <c r="AI8"/>
  <c r="CD8" s="1"/>
  <c r="CA10"/>
  <c r="CH10" s="1"/>
  <c r="M13"/>
  <c r="CB13" s="1"/>
  <c r="AI14"/>
  <c r="CD14" s="1"/>
  <c r="CA16"/>
  <c r="CH16" s="1"/>
  <c r="M19"/>
  <c r="CB19" s="1"/>
  <c r="AI20"/>
  <c r="CD20" s="1"/>
  <c r="CA22"/>
  <c r="CH22" s="1"/>
  <c r="M25"/>
  <c r="CB25" s="1"/>
  <c r="AI26"/>
  <c r="CD26" s="1"/>
  <c r="CA28"/>
  <c r="CH28" s="1"/>
  <c r="M31"/>
  <c r="CB31" s="1"/>
  <c r="AI32"/>
  <c r="CD32" s="1"/>
  <c r="CA34"/>
  <c r="CH34" s="1"/>
  <c r="M37"/>
  <c r="CB37" s="1"/>
  <c r="AI38"/>
  <c r="CD38" s="1"/>
  <c r="CA40"/>
  <c r="CH40" s="1"/>
  <c r="M43"/>
  <c r="CB43" s="1"/>
  <c r="AI44"/>
  <c r="CD44" s="1"/>
  <c r="CA46"/>
  <c r="CH46" s="1"/>
  <c r="M49"/>
  <c r="CB49" s="1"/>
  <c r="AI50"/>
  <c r="CD50" s="1"/>
  <c r="CA52"/>
  <c r="CH52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AI80"/>
  <c r="CD80" s="1"/>
  <c r="CA82"/>
  <c r="CH82" s="1"/>
  <c r="M85"/>
  <c r="CB85" s="1"/>
  <c r="AI86"/>
  <c r="CD86" s="1"/>
  <c r="CA88"/>
  <c r="CH88" s="1"/>
  <c r="M91"/>
  <c r="CB91" s="1"/>
  <c r="AI92"/>
  <c r="CD92" s="1"/>
  <c r="CA94"/>
  <c r="CH94" s="1"/>
  <c r="BE103"/>
  <c r="CF103" s="1"/>
  <c r="AI106"/>
  <c r="CD106" s="1"/>
  <c r="M109"/>
  <c r="CB109" s="1"/>
  <c r="BE115"/>
  <c r="CF115" s="1"/>
  <c r="AI118"/>
  <c r="CD118" s="1"/>
  <c r="M121"/>
  <c r="CB121" s="1"/>
  <c r="BE127"/>
  <c r="CF127" s="1"/>
  <c r="AI130"/>
  <c r="CD130" s="1"/>
  <c r="M133"/>
  <c r="CB133" s="1"/>
  <c r="BE139"/>
  <c r="CF139" s="1"/>
  <c r="AI142"/>
  <c r="CD142" s="1"/>
  <c r="M145"/>
  <c r="CB145" s="1"/>
  <c r="BE151"/>
  <c r="CF151" s="1"/>
  <c r="AI154"/>
  <c r="CD154" s="1"/>
  <c r="M157"/>
  <c r="CB157" s="1"/>
  <c r="BE163"/>
  <c r="CF163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96"/>
  <c r="CG96" s="1"/>
  <c r="AT96"/>
  <c r="CE9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6"/>
  <c r="CB6" s="1"/>
  <c r="AI7"/>
  <c r="CD7" s="1"/>
  <c r="BE8"/>
  <c r="CF8" s="1"/>
  <c r="M12"/>
  <c r="CB12" s="1"/>
  <c r="AI13"/>
  <c r="CD13" s="1"/>
  <c r="BE14"/>
  <c r="CF14" s="1"/>
  <c r="M18"/>
  <c r="CB18" s="1"/>
  <c r="AI19"/>
  <c r="CD19" s="1"/>
  <c r="BE20"/>
  <c r="CF20" s="1"/>
  <c r="M24"/>
  <c r="CB24" s="1"/>
  <c r="AI25"/>
  <c r="CD25" s="1"/>
  <c r="BE26"/>
  <c r="CF26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M54"/>
  <c r="CB54" s="1"/>
  <c r="AI55"/>
  <c r="CD55" s="1"/>
  <c r="BE56"/>
  <c r="CF56" s="1"/>
  <c r="M60"/>
  <c r="CB60" s="1"/>
  <c r="AI61"/>
  <c r="CD61" s="1"/>
  <c r="BE62"/>
  <c r="CF62" s="1"/>
  <c r="M66"/>
  <c r="CB66" s="1"/>
  <c r="AI67"/>
  <c r="CD67" s="1"/>
  <c r="BE68"/>
  <c r="CF68" s="1"/>
  <c r="M72"/>
  <c r="CB72" s="1"/>
  <c r="AI73"/>
  <c r="CD73" s="1"/>
  <c r="BE74"/>
  <c r="CF74" s="1"/>
  <c r="M78"/>
  <c r="CB78" s="1"/>
  <c r="AI79"/>
  <c r="CD79" s="1"/>
  <c r="BE80"/>
  <c r="CF80" s="1"/>
  <c r="M84"/>
  <c r="CB84" s="1"/>
  <c r="AI85"/>
  <c r="CD85" s="1"/>
  <c r="BE86"/>
  <c r="CF86" s="1"/>
  <c r="M90"/>
  <c r="CB90" s="1"/>
  <c r="AI91"/>
  <c r="CD91" s="1"/>
  <c r="BE92"/>
  <c r="CF92" s="1"/>
  <c r="M96"/>
  <c r="CB96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N161" i="4"/>
  <c r="N167"/>
  <c r="N173"/>
  <c r="N179"/>
  <c r="N185"/>
  <c r="N191"/>
  <c r="N197"/>
  <c r="N203"/>
  <c r="N209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X54"/>
  <c r="CC54" s="1"/>
  <c r="AT55"/>
  <c r="CE55" s="1"/>
  <c r="BP56"/>
  <c r="CG56" s="1"/>
  <c r="X60"/>
  <c r="CC60" s="1"/>
  <c r="AT61"/>
  <c r="CE61" s="1"/>
  <c r="BP62"/>
  <c r="CG62" s="1"/>
  <c r="X66"/>
  <c r="CC66" s="1"/>
  <c r="AT67"/>
  <c r="CE67" s="1"/>
  <c r="BP68"/>
  <c r="CG68" s="1"/>
  <c r="X72"/>
  <c r="CC72" s="1"/>
  <c r="AT73"/>
  <c r="CE73" s="1"/>
  <c r="BP74"/>
  <c r="CG74" s="1"/>
  <c r="X78"/>
  <c r="CC78" s="1"/>
  <c r="AT79"/>
  <c r="CE79" s="1"/>
  <c r="BP80"/>
  <c r="CG80" s="1"/>
  <c r="X84"/>
  <c r="CC84" s="1"/>
  <c r="AT85"/>
  <c r="CE85" s="1"/>
  <c r="BP86"/>
  <c r="CG86" s="1"/>
  <c r="X90"/>
  <c r="CC90" s="1"/>
  <c r="AT91"/>
  <c r="CE91" s="1"/>
  <c r="BP92"/>
  <c r="CG92" s="1"/>
  <c r="X96"/>
  <c r="CC96" s="1"/>
  <c r="BE106"/>
  <c r="CF106" s="1"/>
  <c r="AI109"/>
  <c r="CD109" s="1"/>
  <c r="M112"/>
  <c r="CB112" s="1"/>
  <c r="BE118"/>
  <c r="CF118" s="1"/>
  <c r="AI121"/>
  <c r="CD121" s="1"/>
  <c r="M124"/>
  <c r="CB124" s="1"/>
  <c r="BE130"/>
  <c r="CF130" s="1"/>
  <c r="AI133"/>
  <c r="CD133" s="1"/>
  <c r="M136"/>
  <c r="CB136" s="1"/>
  <c r="BE142"/>
  <c r="CF142" s="1"/>
  <c r="AI145"/>
  <c r="CD145" s="1"/>
  <c r="M148"/>
  <c r="CB148" s="1"/>
  <c r="BE154"/>
  <c r="CF154" s="1"/>
  <c r="AI157"/>
  <c r="CD157" s="1"/>
  <c r="M160"/>
  <c r="CB160" s="1"/>
  <c r="BE166"/>
  <c r="CF166" s="1"/>
  <c r="AI169"/>
  <c r="CD169" s="1"/>
  <c r="M172"/>
  <c r="CB172" s="1"/>
  <c r="BE178"/>
  <c r="CF178" s="1"/>
  <c r="AI181"/>
  <c r="CD181" s="1"/>
  <c r="M184"/>
  <c r="CB184" s="1"/>
  <c r="BE190"/>
  <c r="CF190" s="1"/>
  <c r="AI193"/>
  <c r="CD193" s="1"/>
  <c r="M196"/>
  <c r="CB196" s="1"/>
  <c r="BE202"/>
  <c r="CF202" s="1"/>
  <c r="AI205"/>
  <c r="CD205" s="1"/>
  <c r="M208"/>
  <c r="CB208" s="1"/>
  <c r="BE214"/>
  <c r="CF214" s="1"/>
  <c r="AI217"/>
  <c r="CD217" s="1"/>
  <c r="M220"/>
  <c r="CB220" s="1"/>
  <c r="BE226"/>
  <c r="CF226" s="1"/>
  <c r="AI229"/>
  <c r="CD229" s="1"/>
  <c r="M232"/>
  <c r="CB232" s="1"/>
  <c r="BE238"/>
  <c r="CF238" s="1"/>
  <c r="AI241"/>
  <c r="CD241" s="1"/>
  <c r="M244"/>
  <c r="CB244" s="1"/>
  <c r="BE250"/>
  <c r="CF250" s="1"/>
  <c r="AI253"/>
  <c r="CD253" s="1"/>
  <c r="M256"/>
  <c r="CB256" s="1"/>
  <c r="BE262"/>
  <c r="CF262" s="1"/>
  <c r="AI265"/>
  <c r="CD265" s="1"/>
  <c r="M268"/>
  <c r="CB268" s="1"/>
  <c r="BE274"/>
  <c r="CF274" s="1"/>
  <c r="AI277"/>
  <c r="CD277" s="1"/>
  <c r="M280"/>
  <c r="CB280" s="1"/>
  <c r="BE286"/>
  <c r="CF286" s="1"/>
  <c r="AI289"/>
  <c r="CD289" s="1"/>
  <c r="M292"/>
  <c r="CB292" s="1"/>
  <c r="BE298"/>
  <c r="CF298" s="1"/>
  <c r="AI301"/>
  <c r="CD301" s="1"/>
  <c r="M304"/>
  <c r="CB304" s="1"/>
  <c r="BE310"/>
  <c r="CF310" s="1"/>
  <c r="AI313"/>
  <c r="CD313" s="1"/>
  <c r="BP100"/>
  <c r="CG100" s="1"/>
  <c r="X100"/>
  <c r="CC100" s="1"/>
  <c r="AT105"/>
  <c r="CE105" s="1"/>
  <c r="X105"/>
  <c r="CC105" s="1"/>
  <c r="BP105"/>
  <c r="CG105" s="1"/>
  <c r="AT117"/>
  <c r="CE117" s="1"/>
  <c r="X117"/>
  <c r="CC117" s="1"/>
  <c r="BP117"/>
  <c r="CG117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5"/>
  <c r="CB5" s="1"/>
  <c r="AI6"/>
  <c r="CD6" s="1"/>
  <c r="AI12"/>
  <c r="CD12" s="1"/>
  <c r="AI18"/>
  <c r="CD18" s="1"/>
  <c r="AI24"/>
  <c r="CD24" s="1"/>
  <c r="AI30"/>
  <c r="CD30" s="1"/>
  <c r="AI36"/>
  <c r="CD36" s="1"/>
  <c r="AI42"/>
  <c r="CD42" s="1"/>
  <c r="AI48"/>
  <c r="CD48" s="1"/>
  <c r="M53"/>
  <c r="CB53" s="1"/>
  <c r="AI54"/>
  <c r="CD54" s="1"/>
  <c r="M59"/>
  <c r="CB59" s="1"/>
  <c r="AI60"/>
  <c r="CD60" s="1"/>
  <c r="AI66"/>
  <c r="CD66" s="1"/>
  <c r="AI72"/>
  <c r="CD72" s="1"/>
  <c r="AI78"/>
  <c r="CD78" s="1"/>
  <c r="M83"/>
  <c r="CB83" s="1"/>
  <c r="AI84"/>
  <c r="CD84" s="1"/>
  <c r="M89"/>
  <c r="CB89" s="1"/>
  <c r="AI90"/>
  <c r="CD90" s="1"/>
  <c r="M95"/>
  <c r="CB95" s="1"/>
  <c r="AI96"/>
  <c r="CD96" s="1"/>
  <c r="BP97"/>
  <c r="CG97" s="1"/>
  <c r="M97"/>
  <c r="CB97" s="1"/>
  <c r="BP98"/>
  <c r="CG98" s="1"/>
  <c r="M98"/>
  <c r="CB98" s="1"/>
  <c r="M99"/>
  <c r="CB99" s="1"/>
  <c r="M100"/>
  <c r="CB100" s="1"/>
  <c r="M105"/>
  <c r="CB105" s="1"/>
  <c r="BE111"/>
  <c r="CF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M297"/>
  <c r="CB297" s="1"/>
  <c r="M309"/>
  <c r="CB309" s="1"/>
  <c r="X110"/>
  <c r="CC110" s="1"/>
  <c r="BP110"/>
  <c r="CG110" s="1"/>
  <c r="AT110"/>
  <c r="CE110" s="1"/>
  <c r="X122"/>
  <c r="CC122" s="1"/>
  <c r="BP122"/>
  <c r="CG122" s="1"/>
  <c r="AT122"/>
  <c r="CE122" s="1"/>
  <c r="X134"/>
  <c r="CC134" s="1"/>
  <c r="BP134"/>
  <c r="CG134" s="1"/>
  <c r="AT134"/>
  <c r="CE134" s="1"/>
  <c r="X146"/>
  <c r="CC146" s="1"/>
  <c r="BP146"/>
  <c r="CG146" s="1"/>
  <c r="AT146"/>
  <c r="CE146" s="1"/>
  <c r="X158"/>
  <c r="CC158" s="1"/>
  <c r="BP158"/>
  <c r="CG158" s="1"/>
  <c r="AT158"/>
  <c r="CE158" s="1"/>
  <c r="X170"/>
  <c r="CC170" s="1"/>
  <c r="BP170"/>
  <c r="CG170" s="1"/>
  <c r="AT170"/>
  <c r="CE170" s="1"/>
  <c r="X182"/>
  <c r="CC182" s="1"/>
  <c r="BP182"/>
  <c r="CG182" s="1"/>
  <c r="AT182"/>
  <c r="CE182" s="1"/>
  <c r="X194"/>
  <c r="CC194" s="1"/>
  <c r="BP194"/>
  <c r="CG194" s="1"/>
  <c r="AT194"/>
  <c r="CE194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3"/>
  <c r="CB103" s="1"/>
  <c r="CA106"/>
  <c r="CH106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BE96"/>
  <c r="CF96" s="1"/>
  <c r="AT97"/>
  <c r="CE97" s="1"/>
  <c r="AT98"/>
  <c r="CE98" s="1"/>
  <c r="AI100"/>
  <c r="CD100" s="1"/>
  <c r="AI105"/>
  <c r="CD105" s="1"/>
  <c r="M108"/>
  <c r="CB108" s="1"/>
  <c r="CA111"/>
  <c r="CH111" s="1"/>
  <c r="AI117"/>
  <c r="CD117" s="1"/>
  <c r="M120"/>
  <c r="CB120" s="1"/>
  <c r="CA123"/>
  <c r="CH123" s="1"/>
  <c r="AI129"/>
  <c r="CD129" s="1"/>
  <c r="M132"/>
  <c r="CB132" s="1"/>
  <c r="CA135"/>
  <c r="CH135" s="1"/>
  <c r="AI141"/>
  <c r="CD141" s="1"/>
  <c r="M144"/>
  <c r="CB144" s="1"/>
  <c r="CA147"/>
  <c r="CH147" s="1"/>
  <c r="AI153"/>
  <c r="CD153" s="1"/>
  <c r="M156"/>
  <c r="CB156" s="1"/>
  <c r="CA159"/>
  <c r="CH159" s="1"/>
  <c r="AI165"/>
  <c r="CD165" s="1"/>
  <c r="M168"/>
  <c r="CB168" s="1"/>
  <c r="CA171"/>
  <c r="CH171" s="1"/>
  <c r="AI177"/>
  <c r="CD177" s="1"/>
  <c r="M180"/>
  <c r="CB180" s="1"/>
  <c r="CA183"/>
  <c r="CH183" s="1"/>
  <c r="AI189"/>
  <c r="CD189" s="1"/>
  <c r="M192"/>
  <c r="CB192" s="1"/>
  <c r="CA195"/>
  <c r="CH195" s="1"/>
  <c r="AI201"/>
  <c r="CD201" s="1"/>
  <c r="M204"/>
  <c r="CB204" s="1"/>
  <c r="CA207"/>
  <c r="CH207" s="1"/>
  <c r="AI213"/>
  <c r="CD213" s="1"/>
  <c r="M216"/>
  <c r="CB216" s="1"/>
  <c r="CA219"/>
  <c r="CH219" s="1"/>
  <c r="AI225"/>
  <c r="CD225" s="1"/>
  <c r="M228"/>
  <c r="CB228" s="1"/>
  <c r="CA231"/>
  <c r="CH231" s="1"/>
  <c r="AI237"/>
  <c r="CD237" s="1"/>
  <c r="M240"/>
  <c r="CB240" s="1"/>
  <c r="CA243"/>
  <c r="CH243" s="1"/>
  <c r="AI249"/>
  <c r="CD249" s="1"/>
  <c r="M252"/>
  <c r="CB252" s="1"/>
  <c r="CA255"/>
  <c r="CH255" s="1"/>
  <c r="AI261"/>
  <c r="CD261" s="1"/>
  <c r="M264"/>
  <c r="CB264" s="1"/>
  <c r="CA267"/>
  <c r="CH267" s="1"/>
  <c r="AI273"/>
  <c r="CD273" s="1"/>
  <c r="M276"/>
  <c r="CB276" s="1"/>
  <c r="CA279"/>
  <c r="CH279" s="1"/>
  <c r="AI285"/>
  <c r="CD285" s="1"/>
  <c r="M288"/>
  <c r="CB288" s="1"/>
  <c r="CA291"/>
  <c r="CH291" s="1"/>
  <c r="AI297"/>
  <c r="CD297" s="1"/>
  <c r="M300"/>
  <c r="CB300" s="1"/>
  <c r="CA303"/>
  <c r="CH303" s="1"/>
  <c r="AI309"/>
  <c r="CD309" s="1"/>
  <c r="M312"/>
  <c r="CB312" s="1"/>
  <c r="CV87" i="2" l="1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64" i="2"/>
  <c r="I64" i="1" s="1"/>
  <c r="K64" s="1"/>
  <c r="CV52" i="2"/>
  <c r="I52" i="1" s="1"/>
  <c r="K52" s="1"/>
  <c r="CV46" i="2"/>
  <c r="I46" i="1" s="1"/>
  <c r="K46" s="1"/>
  <c r="CV43" i="2"/>
  <c r="I43" i="1" s="1"/>
  <c r="K43" s="1"/>
  <c r="CV25" i="2"/>
  <c r="I25" i="1" s="1"/>
  <c r="K25" s="1"/>
  <c r="CV20" i="2"/>
  <c r="I20" i="1" s="1"/>
  <c r="K20" s="1"/>
  <c r="CV60" i="2"/>
  <c r="I60" i="1" s="1"/>
  <c r="K60" s="1"/>
  <c r="CV53" i="2"/>
  <c r="I53" i="1" s="1"/>
  <c r="K53" s="1"/>
  <c r="CV30" i="2"/>
  <c r="I30" i="1" s="1"/>
  <c r="K30" s="1"/>
  <c r="CV27" i="2"/>
  <c r="I27" i="1" s="1"/>
  <c r="K27" s="1"/>
  <c r="CV18" i="2"/>
  <c r="I18" i="1" s="1"/>
  <c r="K18" s="1"/>
  <c r="CV13" i="2"/>
  <c r="I13" i="1" s="1"/>
  <c r="K13" s="1"/>
  <c r="CV55" i="2"/>
  <c r="I55" i="1" s="1"/>
  <c r="K55" s="1"/>
  <c r="CV15" i="2"/>
  <c r="I15" i="1" s="1"/>
  <c r="K15" s="1"/>
  <c r="CV33" i="2"/>
  <c r="I33" i="1" s="1"/>
  <c r="K33" s="1"/>
  <c r="CV47" i="2"/>
  <c r="I47" i="1" s="1"/>
  <c r="K47" s="1"/>
  <c r="CV75" i="2"/>
  <c r="I75" i="1" s="1"/>
  <c r="K75" s="1"/>
  <c r="CV72" i="2"/>
  <c r="I72" i="1" s="1"/>
  <c r="K72" s="1"/>
  <c r="CV69" i="2"/>
  <c r="I69" i="1" s="1"/>
  <c r="K69" s="1"/>
  <c r="CV50" i="2"/>
  <c r="I50" i="1" s="1"/>
  <c r="K50" s="1"/>
  <c r="CV44" i="2"/>
  <c r="I44" i="1" s="1"/>
  <c r="K44" s="1"/>
  <c r="CV41" i="2"/>
  <c r="I41" i="1" s="1"/>
  <c r="K41" s="1"/>
  <c r="CV38" i="2"/>
  <c r="I38" i="1" s="1"/>
  <c r="K38" s="1"/>
  <c r="CV22" i="2"/>
  <c r="I22" i="1" s="1"/>
  <c r="K22" s="1"/>
  <c r="CV6" i="2"/>
  <c r="I6" i="1" s="1"/>
  <c r="K6" s="1"/>
  <c r="CV4" i="2"/>
  <c r="I4" i="1" s="1"/>
  <c r="K4" s="1"/>
  <c r="CV66" i="2"/>
  <c r="I66" i="1" s="1"/>
  <c r="K66" s="1"/>
  <c r="CV57" i="2"/>
  <c r="I57" i="1" s="1"/>
  <c r="K57" s="1"/>
  <c r="CV32" i="2"/>
  <c r="I32" i="1" s="1"/>
  <c r="K32" s="1"/>
  <c r="CV29" i="2"/>
  <c r="I29" i="1" s="1"/>
  <c r="K29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59" i="2"/>
  <c r="I59" i="1" s="1"/>
  <c r="K59" s="1"/>
  <c r="CV24" i="2"/>
  <c r="I24" i="1" s="1"/>
  <c r="K24" s="1"/>
  <c r="CV26" i="2"/>
  <c r="I26" i="1" s="1"/>
  <c r="K26" s="1"/>
  <c r="CV74" i="2"/>
  <c r="I74" i="1" s="1"/>
  <c r="K74" s="1"/>
  <c r="CV71" i="2"/>
  <c r="I71" i="1" s="1"/>
  <c r="K71" s="1"/>
  <c r="CV68" i="2"/>
  <c r="I68" i="1" s="1"/>
  <c r="K68" s="1"/>
  <c r="CV61" i="2"/>
  <c r="I61" i="1" s="1"/>
  <c r="K61" s="1"/>
  <c r="CV54" i="2"/>
  <c r="I54" i="1" s="1"/>
  <c r="K54" s="1"/>
  <c r="CV49" i="2"/>
  <c r="I49" i="1" s="1"/>
  <c r="K49" s="1"/>
  <c r="CV40" i="2"/>
  <c r="I40" i="1" s="1"/>
  <c r="K40" s="1"/>
  <c r="CV19" i="2"/>
  <c r="I19" i="1" s="1"/>
  <c r="K19" s="1"/>
  <c r="CV14" i="2"/>
  <c r="I14" i="1" s="1"/>
  <c r="K14" s="1"/>
  <c r="CV63" i="2"/>
  <c r="I63" i="1" s="1"/>
  <c r="K63" s="1"/>
  <c r="CV31" i="2"/>
  <c r="I31" i="1" s="1"/>
  <c r="K31" s="1"/>
  <c r="CV28" i="2"/>
  <c r="I28" i="1" s="1"/>
  <c r="K28" s="1"/>
  <c r="CV21" i="2"/>
  <c r="I21" i="1" s="1"/>
  <c r="K21" s="1"/>
  <c r="CV65" i="2"/>
  <c r="I65" i="1" s="1"/>
  <c r="K65" s="1"/>
  <c r="CV56" i="2"/>
  <c r="I56" i="1" s="1"/>
  <c r="K56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11" i="2"/>
  <c r="I11" i="1" s="1"/>
  <c r="K11" s="1"/>
  <c r="CV9" i="2"/>
  <c r="I9" i="1" s="1"/>
  <c r="K9" s="1"/>
  <c r="CV76" i="2"/>
  <c r="I76" i="1" s="1"/>
  <c r="K76" s="1"/>
  <c r="CV67" i="2"/>
  <c r="I67" i="1" s="1"/>
  <c r="K67" s="1"/>
  <c r="CV51" i="2"/>
  <c r="I51" i="1" s="1"/>
  <c r="K51" s="1"/>
  <c r="CV45" i="2"/>
  <c r="I45" i="1" s="1"/>
  <c r="K45" s="1"/>
  <c r="CV42" i="2"/>
  <c r="I42" i="1" s="1"/>
  <c r="K42" s="1"/>
  <c r="CV36" i="2"/>
  <c r="I36" i="1" s="1"/>
  <c r="K36" s="1"/>
  <c r="CV73" i="2"/>
  <c r="I73" i="1" s="1"/>
  <c r="K73" s="1"/>
  <c r="CV70" i="2"/>
  <c r="I70" i="1" s="1"/>
  <c r="K70" s="1"/>
  <c r="CV48" i="2"/>
  <c r="I48" i="1" s="1"/>
  <c r="K48" s="1"/>
  <c r="CV39" i="2"/>
  <c r="I39" i="1" s="1"/>
  <c r="K3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<sst xmlns="http://schemas.openxmlformats.org/spreadsheetml/2006/main" count="5712" uniqueCount="914">
  <si>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</si>
  <si>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</si>
  <si>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</si>
  <si>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</si>
  <si>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</si>
  <si>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</si>
  <si>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</si>
  <si>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</si>
  <si>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</si>
  <si>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</si>
  <si>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</si>
  <si>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</si>
  <si>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</si>
  <si>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</si>
  <si>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</si>
  <si>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</si>
  <si>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</si>
  <si>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</si>
  <si>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</si>
  <si>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</si>
  <si>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</si>
  <si>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</si>
  <si>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</si>
  <si>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</si>
  <si>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</si>
  <si>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</si>
  <si>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</si>
  <si>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</si>
  <si>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</si>
  <si>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</si>
  <si>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</si>
  <si>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</si>
  <si>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</si>
  <si>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</si>
  <si>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</si>
  <si>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</si>
  <si>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</si>
  <si>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</si>
  <si>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</si>
  <si>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</si>
  <si>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</si>
  <si>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</si>
  <si>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</si>
  <si>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</si>
  <si>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</si>
  <si>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</si>
  <si>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</si>
  <si>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</si>
  <si>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</si>
  <si>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</si>
  <si>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</si>
  <si>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</si>
  <si>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</si>
  <si>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</si>
  <si>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</si>
  <si>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</si>
  <si>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</si>
  <si>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</si>
  <si>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</si>
  <si>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</si>
  <si>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</si>
  <si>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</si>
  <si>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</si>
  <si>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</si>
  <si>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</si>
  <si>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</si>
  <si>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</si>
  <si>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</si>
  <si>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</si>
  <si>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</si>
  <si>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</si>
  <si>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</si>
  <si>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</si>
  <si>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</si>
  <si>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</si>
  <si>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</si>
  <si>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</si>
  <si>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</si>
  <si>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</si>
  <si>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</si>
  <si>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</si>
  <si>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</si>
  <si>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</si>
  <si>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</si>
  <si>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</si>
  <si>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</si>
  <si>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</si>
  <si>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</si>
  <si>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</si>
  <si>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</si>
  <si>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</si>
  <si>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</si>
  <si>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</si>
  <si>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</si>
  <si>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</si>
  <si>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</si>
  <si>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</si>
  <si>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</si>
  <si>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</si>
  <si>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</si>
  <si>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</si>
  <si>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</si>
  <si>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</si>
  <si>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</si>
  <si>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</si>
  <si>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</si>
  <si>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</si>
  <si>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</si>
  <si>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</si>
  <si>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</si>
  <si>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</si>
  <si>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</si>
  <si>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</si>
  <si>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</si>
  <si>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</si>
  <si>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</si>
  <si>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</si>
  <si>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</si>
  <si>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</si>
  <si>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</si>
  <si>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</si>
  <si>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</si>
  <si>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</si>
  <si>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</si>
  <si>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</si>
  <si>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</si>
  <si>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</si>
  <si>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</si>
  <si>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</si>
  <si>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</si>
  <si>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</si>
  <si>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</si>
  <si>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</si>
  <si>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</si>
  <si>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</si>
  <si>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</si>
  <si>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</si>
  <si>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</si>
  <si>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</si>
  <si>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</si>
  <si>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</si>
  <si>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</si>
  <si>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</si>
  <si>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</si>
  <si>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</si>
  <si>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</si>
  <si>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</si>
  <si>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</si>
  <si>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</si>
  <si>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</si>
  <si>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</si>
  <si>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</si>
  <si>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</si>
  <si>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</si>
  <si>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</si>
  <si>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</si>
  <si>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</si>
  <si>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</si>
  <si>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</si>
  <si>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</si>
  <si>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</si>
  <si>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</si>
  <si>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</si>
  <si>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</si>
  <si>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</si>
  <si>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</si>
  <si>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</si>
  <si>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</si>
  <si>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</si>
  <si>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</si>
  <si>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</si>
  <si>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</si>
  <si>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</si>
  <si>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</si>
  <si>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</si>
  <si>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</si>
  <si>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</si>
  <si>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</si>
  <si>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</si>
  <si>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</si>
  <si>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</si>
  <si>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</si>
  <si>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</si>
  <si>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</si>
  <si>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</si>
  <si>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</si>
  <si>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</si>
  <si>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</si>
  <si>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</si>
  <si>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</si>
  <si>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</si>
  <si>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</si>
  <si>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</si>
  <si>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</si>
  <si>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</si>
  <si>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</si>
  <si>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</si>
  <si>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</si>
  <si>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</si>
  <si>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</si>
  <si>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</si>
  <si>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</si>
  <si>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</si>
  <si>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</si>
  <si>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</si>
  <si>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</si>
  <si>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</si>
  <si>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</si>
  <si>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</si>
  <si>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</si>
  <si>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</si>
  <si>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</si>
  <si>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</si>
  <si>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</si>
  <si>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</si>
  <si>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</si>
  <si>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</si>
  <si>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</si>
  <si>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</si>
  <si>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</si>
  <si>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</si>
  <si>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</si>
  <si>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</si>
  <si>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</si>
  <si>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</si>
  <si>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</si>
  <si>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</si>
  <si>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</si>
  <si>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</si>
  <si>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</si>
  <si>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</si>
  <si>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</si>
  <si>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</si>
  <si>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</si>
  <si>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</si>
  <si>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</si>
  <si>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</si>
  <si>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</si>
  <si>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</si>
  <si>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</si>
  <si>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</si>
  <si>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</si>
  <si>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</si>
  <si>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</si>
  <si>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</si>
  <si>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</si>
  <si>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</si>
  <si>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</si>
  <si>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</si>
  <si>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</si>
  <si>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</si>
  <si>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</si>
  <si>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</si>
  <si>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</si>
  <si>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</si>
  <si>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</si>
  <si>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</si>
  <si>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</si>
  <si>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</si>
  <si>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</si>
  <si>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</si>
  <si>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</si>
  <si>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</si>
  <si>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</si>
  <si>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</si>
  <si>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</si>
  <si>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</si>
  <si>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</si>
  <si>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</si>
  <si>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</si>
  <si>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</si>
  <si>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</si>
  <si>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</si>
  <si>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</si>
  <si>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</si>
  <si>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</si>
  <si>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</si>
  <si>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</si>
  <si>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</si>
  <si>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</si>
  <si>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</si>
  <si>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</si>
  <si>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</si>
  <si>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</si>
  <si>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</si>
  <si>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</si>
  <si>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</si>
  <si>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</si>
  <si>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</si>
  <si>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</si>
  <si>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</si>
  <si>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</si>
  <si>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</si>
  <si>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</si>
  <si>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</si>
  <si>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</si>
  <si>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</si>
  <si>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</si>
  <si>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</si>
  <si>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</si>
  <si>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</si>
  <si>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</si>
  <si>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</si>
  <si>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</si>
  <si>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</si>
  <si>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</si>
  <si>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</si>
  <si>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</si>
  <si>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</si>
  <si>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</si>
  <si>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</si>
  <si>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</si>
  <si>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</si>
  <si>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</si>
  <si>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</si>
  <si>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</si>
  <si>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</si>
  <si>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</si>
  <si>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</si>
  <si>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</si>
  <si>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</si>
  <si>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</si>
  <si>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</si>
  <si>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</si>
  <si>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</si>
  <si>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</si>
  <si>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</si>
  <si>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</si>
  <si>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</si>
  <si>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</si>
  <si>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</si>
  <si>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</si>
  <si>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</si>
  <si>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</si>
  <si>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</si>
  <si>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</si>
  <si>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</si>
  <si>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</si>
  <si>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</si>
  <si>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</si>
  <si>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</si>
  <si>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</si>
  <si>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</si>
  <si>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</si>
  <si>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</si>
  <si>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</si>
  <si>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</si>
  <si>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</si>
  <si>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</si>
  <si>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</si>
  <si>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</si>
  <si>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</si>
  <si>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</si>
  <si>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</si>
  <si>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</si>
  <si>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</si>
  <si>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</si>
  <si>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</si>
  <si>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</si>
  <si>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</si>
  <si>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</si>
  <si>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</si>
  <si>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</si>
  <si>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</si>
  <si>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</si>
  <si>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</si>
  <si>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</si>
  <si>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</si>
  <si>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</si>
  <si>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</si>
  <si>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</si>
  <si>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</si>
  <si>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</si>
  <si>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</si>
  <si>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</si>
  <si>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</si>
  <si>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</si>
  <si>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</si>
  <si>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</si>
  <si>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</si>
  <si>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</si>
  <si>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</si>
  <si>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</si>
  <si>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</si>
  <si>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</si>
  <si>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</si>
  <si>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</si>
  <si>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</si>
  <si>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</si>
  <si>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</si>
  <si>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</si>
  <si>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</si>
  <si>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</si>
  <si>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</si>
  <si>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</si>
  <si>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</si>
  <si>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</si>
  <si>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</si>
  <si>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</si>
  <si>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</si>
  <si>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</si>
  <si>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</si>
  <si>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</si>
  <si>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</si>
  <si>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</si>
  <si>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</si>
  <si>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</si>
  <si>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</si>
  <si>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</si>
  <si>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</si>
  <si>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</si>
  <si>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</si>
  <si>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</si>
  <si>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</si>
  <si>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</si>
  <si>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</si>
  <si>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</si>
  <si>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</si>
  <si>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</si>
  <si>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</si>
  <si>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</si>
  <si>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</si>
  <si>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</si>
  <si>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</si>
  <si>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</si>
  <si>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</si>
  <si>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</si>
  <si>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</si>
  <si>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</si>
  <si>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</si>
  <si>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</si>
  <si>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</si>
  <si>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</si>
  <si>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</si>
  <si>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</si>
  <si>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</si>
  <si>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</si>
  <si>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</si>
  <si>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</si>
  <si>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</si>
  <si>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</si>
  <si>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</si>
  <si>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</si>
  <si>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</si>
  <si>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</si>
  <si>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</si>
  <si>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</si>
  <si>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</si>
  <si>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</si>
  <si>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</si>
  <si>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</si>
  <si>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</si>
  <si>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</si>
  <si>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</si>
  <si>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</si>
  <si>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</si>
  <si>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</si>
  <si>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</si>
  <si>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</si>
  <si>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</si>
  <si>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</si>
  <si>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</si>
  <si>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</si>
  <si>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</si>
  <si>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</si>
  <si>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</si>
  <si>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</si>
  <si>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</si>
  <si>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</si>
  <si>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</si>
  <si>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</si>
  <si>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</si>
  <si>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</si>
  <si>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</si>
  <si>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</si>
  <si>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</si>
  <si>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</si>
  <si>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</si>
  <si>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</si>
  <si>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</si>
  <si>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</si>
  <si>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</si>
  <si>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</si>
  <si>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</si>
  <si>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</si>
  <si>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</si>
  <si>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</si>
  <si>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</si>
  <si>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</si>
  <si>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</si>
  <si>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</si>
  <si>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</si>
  <si>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</si>
  <si>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</si>
  <si>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</si>
  <si>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</si>
  <si>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</si>
  <si>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</si>
  <si>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</si>
  <si>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</si>
  <si>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</si>
  <si>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</si>
  <si>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</si>
  <si>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</si>
  <si>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</si>
  <si>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</si>
  <si>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</si>
  <si>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</si>
  <si>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</si>
  <si>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</si>
  <si>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</si>
  <si>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</si>
  <si>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</si>
  <si>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</si>
  <si>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</si>
  <si>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</si>
  <si>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</si>
  <si>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</si>
  <si>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</si>
  <si>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</si>
  <si>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</si>
  <si>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</si>
  <si>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</si>
  <si>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</si>
  <si>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</si>
  <si>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</si>
  <si>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</si>
  <si>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</si>
  <si>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</si>
  <si>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</si>
  <si>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</si>
  <si>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</si>
  <si>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</si>
  <si>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</si>
  <si>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</si>
  <si>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</si>
  <si>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</si>
  <si>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</si>
  <si>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</si>
  <si>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</si>
  <si>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</si>
  <si>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</si>
  <si>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</si>
  <si>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</si>
  <si>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</si>
  <si>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</si>
  <si>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</si>
  <si>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</si>
  <si>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</si>
  <si>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</si>
  <si>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</si>
  <si>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</si>
  <si>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</si>
  <si>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</si>
  <si>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</si>
  <si>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</si>
  <si>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</si>
  <si>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</si>
  <si>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</si>
  <si>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</si>
  <si>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</si>
  <si>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</si>
  <si>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</si>
  <si>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</si>
  <si>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</si>
  <si>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</si>
  <si>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</si>
  <si>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</si>
  <si>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</si>
  <si>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</si>
  <si>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</si>
  <si>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</si>
  <si>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</si>
  <si>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</si>
  <si>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</si>
  <si>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</si>
  <si>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</si>
  <si>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</si>
  <si>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</si>
  <si>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</si>
  <si>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</si>
  <si>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</si>
  <si>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</si>
  <si>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</si>
  <si>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</si>
  <si>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</si>
  <si>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</si>
  <si>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</si>
  <si>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</si>
  <si>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</si>
  <si>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</si>
  <si>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</si>
  <si>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</si>
  <si>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</si>
  <si>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</si>
  <si>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</si>
  <si>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</si>
  <si>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</si>
  <si>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</si>
  <si>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</si>
  <si>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</si>
  <si>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</si>
  <si>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</si>
  <si>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</si>
  <si>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</si>
  <si>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</si>
  <si>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</si>
  <si>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</si>
  <si>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</si>
  <si>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</si>
  <si>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</si>
  <si>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</si>
  <si>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</si>
  <si>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</si>
  <si>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</si>
  <si>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</si>
  <si>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</si>
  <si>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</si>
  <si>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</si>
  <si>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</si>
  <si>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</si>
  <si>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</si>
  <si>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</si>
  <si>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</si>
  <si>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</si>
  <si>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</si>
  <si>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</si>
  <si>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</si>
  <si>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</si>
  <si>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</si>
  <si>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</si>
  <si>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</si>
  <si>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</si>
  <si>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</si>
  <si>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</si>
  <si>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</si>
  <si>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</si>
  <si>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</si>
  <si>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</si>
  <si>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</si>
  <si>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</si>
  <si>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</si>
  <si>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</si>
  <si>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</si>
  <si>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</si>
  <si>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</si>
  <si>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</si>
  <si>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</si>
  <si>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</si>
  <si>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</si>
  <si>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</si>
  <si>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</si>
  <si>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</si>
  <si>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</si>
  <si>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</si>
  <si>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</si>
  <si>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</si>
  <si>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</si>
  <si>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</si>
  <si>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</si>
  <si>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</si>
  <si>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</si>
  <si>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</si>
  <si>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</si>
  <si>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</si>
  <si>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</si>
  <si>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</si>
  <si>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</si>
  <si>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</si>
  <si>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</si>
  <si>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</si>
  <si>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</si>
  <si>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</si>
  <si>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</si>
  <si>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</si>
  <si>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</si>
  <si>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</si>
  <si>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</si>
  <si>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</si>
  <si>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</si>
  <si>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</si>
  <si>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</si>
  <si>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</si>
  <si>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</si>
  <si>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</si>
  <si>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</si>
  <si>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</si>
  <si>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</si>
  <si>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</si>
  <si>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</si>
  <si>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</si>
  <si>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</si>
  <si>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</si>
  <si>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</si>
  <si>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</si>
  <si>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</si>
  <si>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</si>
  <si>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</si>
  <si>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</si>
  <si>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</si>
  <si>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</si>
  <si>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</si>
  <si>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</si>
  <si>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</si>
  <si>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</si>
  <si>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</si>
  <si>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</si>
  <si>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</si>
  <si>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</si>
  <si>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</si>
  <si>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</si>
  <si>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</si>
  <si>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</si>
  <si>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</si>
  <si>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</si>
  <si>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</si>
  <si>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</si>
  <si>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</si>
  <si>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</si>
  <si>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</si>
  <si>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</si>
  <si>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</si>
  <si>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</si>
  <si>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</si>
  <si>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</si>
  <si>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</si>
  <si>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</si>
  <si>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</si>
  <si>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</si>
  <si>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</si>
  <si>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</si>
  <si>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</si>
  <si>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</si>
  <si>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</si>
  <si>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</si>
  <si>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</si>
  <si>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</si>
  <si>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</si>
  <si>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</si>
  <si>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</si>
  <si>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</si>
  <si>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</si>
  <si>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</si>
  <si>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</si>
  <si>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</si>
  <si>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</si>
  <si>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</si>
  <si>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</si>
  <si>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</si>
  <si>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</si>
  <si>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</si>
  <si>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</si>
  <si>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</si>
  <si>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</si>
  <si>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</si>
  <si>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</si>
  <si>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</si>
  <si>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</si>
  <si>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</si>
  <si>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</si>
  <si>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</si>
  <si>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</si>
  <si>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</si>
  <si>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</si>
  <si>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</si>
  <si>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</si>
  <si>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</si>
  <si>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</si>
  <si>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</si>
  <si>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</si>
  <si>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</si>
  <si>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</si>
  <si>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</si>
  <si>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</si>
  <si>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</si>
  <si>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</si>
  <si>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</si>
  <si>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</si>
  <si>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</si>
  <si>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</si>
  <si>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</si>
  <si>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</si>
  <si>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</si>
  <si>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</si>
  <si>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</si>
  <si>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</si>
  <si>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</si>
  <si>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</si>
  <si>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</si>
  <si>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</si>
  <si>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</si>
  <si>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</si>
  <si>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</si>
  <si>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</si>
  <si>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</si>
  <si>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</si>
  <si>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</si>
  <si>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</si>
  <si>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</si>
  <si>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</si>
  <si>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</si>
  <si>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</si>
  <si>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</si>
  <si>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</si>
  <si>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</si>
  <si>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</si>
  <si>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</si>
  <si>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</si>
  <si>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</si>
  <si>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</si>
  <si>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</si>
  <si>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</si>
  <si>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</si>
  <si>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</si>
  <si>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</si>
  <si>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</si>
  <si>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</si>
  <si>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</si>
  <si>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</si>
  <si>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</si>
  <si>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</si>
  <si>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</si>
  <si>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</si>
  <si>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</si>
  <si>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</si>
  <si>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</si>
  <si>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</si>
  <si>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</si>
  <si>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</si>
  <si>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</si>
  <si>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</si>
  <si>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</si>
  <si>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</si>
  <si>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</si>
  <si>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</si>
  <si>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</si>
  <si>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</si>
  <si>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</si>
  <si>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</si>
  <si>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</si>
  <si>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</si>
  <si>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</si>
  <si>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</si>
  <si>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</si>
  <si>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</si>
  <si>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</si>
  <si>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</si>
  <si>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</si>
  <si>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</si>
  <si>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</si>
  <si>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</si>
  <si>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</si>
  <si>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</si>
  <si>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</si>
  <si>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</si>
  <si>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</si>
  <si>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</si>
  <si>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</si>
  <si>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</si>
  <si>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</si>
  <si>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</si>
  <si>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</si>
  <si>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</si>
  <si>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</si>
  <si>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</si>
  <si>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</si>
  <si>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</si>
  <si>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</si>
  <si>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</si>
  <si>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</si>
  <si>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</si>
  <si>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</si>
  <si>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</si>
  <si>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</si>
  <si>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</si>
  <si>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</si>
  <si>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</si>
  <si>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</si>
  <si>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</si>
  <si>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</si>
  <si>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</si>
  <si>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</si>
  <si>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</si>
  <si>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</si>
  <si>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</si>
  <si>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</si>
  <si>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</si>
  <si>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</si>
  <si>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</si>
  <si>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</si>
  <si>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</si>
  <si>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</si>
  <si>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</si>
  <si>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</si>
  <si>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</si>
  <si>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</si>
  <si>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</si>
  <si>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</si>
  <si>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r>
      <t>|cff33ff00购买魔兽重制版可领取该礼包！|n|n|r属性：|n|cffffcc33金币+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  <phoneticPr fontId="28" type="noConversion"/>
  </si>
  <si>
    <r>
      <t>|cff33ff00购买魔兽重制版可领取该礼包！|n|n|r属性：|n|cffffcc33金币+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charset val="134"/>
      </rPr>
      <t>000|n每秒攻击+2|n每秒业力+1|r</t>
    </r>
    <phoneticPr fontId="28" type="noConversion"/>
  </si>
  <si>
    <t>I010</t>
    <phoneticPr fontId="28" type="noConversion"/>
  </si>
  <si>
    <r>
      <t>招魂幡Lv</t>
    </r>
    <r>
      <rPr>
        <sz val="11"/>
        <color rgb="FF000000"/>
        <rFont val="等线"/>
        <family val="3"/>
        <charset val="134"/>
        <scheme val="minor"/>
      </rPr>
      <t>0</t>
    </r>
    <phoneticPr fontId="28" type="noConversion"/>
  </si>
  <si>
    <t>护甲|Cffffd24d+10|r|n金币加成|Cffffd24d+10%|n|r|n击杀300个敌人后奖励：|n|CffFFD24D3000~6000|r金币|n|CffCC99FF1000-2000|r业力|n|n|Cff00FF7F同时只能携带一个招魂幡|r</t>
  </si>
  <si>
    <r>
      <t>ReplaceableTextures\\CommandButtons\\</t>
    </r>
    <r>
      <rPr>
        <sz val="11"/>
        <color rgb="FF9C6500"/>
        <rFont val="等线"/>
        <family val="3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family val="3"/>
        <charset val="134"/>
        <scheme val="minor"/>
      </rPr>
      <t>p</t>
    </r>
    <phoneticPr fontId="28" type="noConversion"/>
  </si>
  <si>
    <t>Q技能附魔石</t>
  </si>
  <si>
    <t>W技能附魔石</t>
  </si>
  <si>
    <t>E技能附魔石</t>
  </si>
  <si>
    <t>|CffFFD24DQ强力附魔石|r</t>
  </si>
  <si>
    <t>|CffFFD24DW强力附魔石|r</t>
  </si>
  <si>
    <t>|CffFFD24DE强力附魔石|r</t>
  </si>
  <si>
    <t>使用后获得|Cffffc926随机类型技能附魔石|r</t>
  </si>
  <si>
    <r>
      <t>护甲|cffffd24d+300|n|r金币加成|cffffd24d+35%|n|n|r击杀1000个敌人后奖励：|n|cffffd24d</t>
    </r>
    <r>
      <rPr>
        <sz val="10"/>
        <color rgb="FF000000"/>
        <rFont val="微软雅黑"/>
        <family val="2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</si>
  <si>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r>
      <t>护甲|cffffd24d+200|n|r金币加成|cffffd24d+30%|n|n|r击杀1000个敌人后奖励：|n|cffffd24d</t>
    </r>
    <r>
      <rPr>
        <sz val="10"/>
        <color rgb="FF000000"/>
        <rFont val="微软雅黑"/>
        <family val="2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</si>
  <si>
    <r>
      <t>护甲|cffffd24d+100|n|r金币加成|cffffd24d+25%|n|n|r击杀1000个敌人后奖励：|n|cffffd24d</t>
    </r>
    <r>
      <rPr>
        <sz val="10"/>
        <color rgb="FF000000"/>
        <rFont val="微软雅黑"/>
        <family val="2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family val="2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family val="2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family val="2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  <phoneticPr fontId="28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</si>
</sst>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9C65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6" fillId="0" borderId="0" xfId="0" applyFont="1"/>
    <xf numFmtId="0" fontId="31" fillId="0" borderId="0" xfId="0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4"/>
  <sheetViews>
    <sheetView tabSelected="1" workbookViewId="0">
      <pane xSplit="8" ySplit="2" topLeftCell="T112" activePane="bottomRight" state="frozen"/>
      <selection pane="topRight"/>
      <selection pane="bottomLeft"/>
      <selection pane="bottomRight" activeCell="A122" sqref="A12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255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450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450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450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450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450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550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550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550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550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|Cffbbbbbb属性：|r|n护甲+1800|n生命值+750000|n生命回复+15000|n生命恢复%+3|n|n|Cff00ff7f点击消耗35000金币进行强化|n成功率50%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|Cffbbbbbb属性：|r|n护甲+2000|n生命值+1200000|n生命回复+24000|n生命恢复%+3|n|n|Cff00ff7f点击消耗35000金币进行强化|n成功率50%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|Cffbbbbbb属性：|r|n护甲+2200|n生命值+1650000|n生命回复+33000|n生命恢复%+3|n|n|Cff00ff7f点击消耗35000金币进行强化|n成功率50%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|Cffbbbbbb属性：|r|n护甲+2400|n生命值+2100000|n生命回复+42000|n生命恢复%+3|n|n|Cff00ff7f点击消耗35000金币进行强化|n成功率50%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|Cffbbbbbb属性：|r|n护甲+2600|n生命值+3000000|n生命回复+60000|n生命恢复%+5|n|Cff999999装备进化：未开放|r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1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1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1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1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1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1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1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1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1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1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1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1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1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1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/>
      <c r="Q110" s="27"/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1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1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1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20" si="36">H118</f>
        <v>鲜肉月饼</v>
      </c>
      <c r="K118" s="129" t="str">
        <f t="shared" ref="K118:K120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29" t="str">
        <f t="shared" ref="J119" si="38">H119</f>
        <v>招魂幡Lv0</v>
      </c>
      <c r="K119" s="129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0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300</v>
      </c>
      <c r="AO119" s="27"/>
      <c r="AP119" s="27"/>
    </row>
    <row r="120" spans="1:42">
      <c r="A120" s="127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29" t="str">
        <f t="shared" si="36"/>
        <v>招魂幡Lv1</v>
      </c>
      <c r="K120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0" t="str">
        <f>VLOOKUP(LEFT(RIGHT(B120,5),4),物品!B:CU,20,FALSE)</f>
        <v>ReplaceableTextures\\CommandButtons\\BTNZHP1.blp</v>
      </c>
      <c r="N120" s="27">
        <v>0.5</v>
      </c>
      <c r="O120" s="130" t="s">
        <v>96</v>
      </c>
      <c r="P120" s="27">
        <v>0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29" t="str">
        <f t="shared" ref="J121:J122" si="40">H121</f>
        <v>|Cff00FF7F招魂幡Lv2|r</v>
      </c>
      <c r="K121" s="129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ReplaceableTextures\\CommandButtons\\BTNZHP2.blp</v>
      </c>
      <c r="N121" s="27">
        <v>0.5</v>
      </c>
      <c r="O121" s="130" t="s">
        <v>96</v>
      </c>
      <c r="P121" s="27">
        <v>1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29" t="str">
        <f t="shared" si="40"/>
        <v>|Cff00BFFF招魂幡Lv3|r</v>
      </c>
      <c r="K122" s="129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30" t="str">
        <f>VLOOKUP(LEFT(RIGHT(B122,5),4),物品!B:CU,20,FALSE)</f>
        <v>ReplaceableTextures\\CommandButtons\\BTNZHP3.blp</v>
      </c>
      <c r="N122" s="27">
        <v>0.5</v>
      </c>
      <c r="O122" s="130" t="s">
        <v>96</v>
      </c>
      <c r="P122" s="27">
        <v>2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29" t="str">
        <f t="shared" ref="J123:J125" si="42">H123</f>
        <v>|CffFFD24D招魂幡Lv4|r</v>
      </c>
      <c r="K123" s="129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30" t="str">
        <f>VLOOKUP(LEFT(RIGHT(B123,5),4),物品!B:CU,20,FALSE)</f>
        <v>ReplaceableTextures\\CommandButtons\\BTNZHP4.blp</v>
      </c>
      <c r="N123" s="27">
        <v>0.5</v>
      </c>
      <c r="O123" s="130" t="s">
        <v>96</v>
      </c>
      <c r="P123" s="27">
        <v>3</v>
      </c>
      <c r="Q123" s="27">
        <v>1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29" t="str">
        <f t="shared" ref="J124" si="44">H124</f>
        <v>|CffFF0000招魂幡Lv5|r</v>
      </c>
      <c r="K124" s="129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30" t="str">
        <f>VLOOKUP(LEFT(RIGHT(B124,5),4),物品!B:CU,20,FALSE)</f>
        <v>ReplaceableTextures\\CommandButtons\\BTNZHP5.blp</v>
      </c>
      <c r="N124" s="27">
        <v>0.5</v>
      </c>
      <c r="O124" s="130" t="s">
        <v>96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>
        <v>4</v>
      </c>
      <c r="W124" s="27" t="s">
        <v>85</v>
      </c>
      <c r="X124" s="27">
        <v>0</v>
      </c>
      <c r="Y124" s="148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1000</v>
      </c>
      <c r="AO124" s="27"/>
      <c r="AP124" s="27"/>
    </row>
    <row r="125" spans="1:42">
      <c r="A125" s="127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29" t="str">
        <f t="shared" si="42"/>
        <v>|CffFFD24D锦囊|r</v>
      </c>
      <c r="K125" s="129" t="str">
        <f t="shared" si="43"/>
        <v>开启后获得一个|Cffffd24d随机锦囊|r。</v>
      </c>
      <c r="L125" s="27"/>
      <c r="M125" s="130" t="str">
        <f>VLOOKUP(LEFT(RIGHT(B125,5),4),物品!B:CU,20,FALSE)</f>
        <v>ReplaceableTextures\\CommandButtons\\BTNIN00.blp</v>
      </c>
      <c r="N125" s="27">
        <v>0.8</v>
      </c>
      <c r="O125" s="130" t="s">
        <v>97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29" t="str">
        <f t="shared" ref="J126" si="46">H126</f>
        <v>来份快餐</v>
      </c>
      <c r="K126" s="129" t="str">
        <f t="shared" ref="K126" si="47">I126</f>
        <v>每秒回复|Cffffd24d10%|r生命值，持续|Cffffd24d10|r秒</v>
      </c>
      <c r="L126" s="27"/>
      <c r="M126" s="130" t="str">
        <f>VLOOKUP(LEFT(RIGHT(B126,5),4),物品!B:CU,20,FALSE)</f>
        <v>ReplaceableTextures\\CommandButtons\\BTNIN07.blp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29" t="str">
        <f t="shared" ref="J127:J129" si="48">H127</f>
        <v>抬你一手</v>
      </c>
      <c r="K127" s="129" t="str">
        <f t="shared" ref="K127:K129" si="49">I127</f>
        <v>|CffFFC926击杀|r当前存在的|Cffffc926进攻怪|r和|Cffffc926Boss|r。|n|n|Cff00ff7f无法在大决战时使用|r</v>
      </c>
      <c r="L127" s="27"/>
      <c r="M127" s="130" t="str">
        <f>VLOOKUP(LEFT(RIGHT(B127,5),4),物品!B:CU,20,FALSE)</f>
        <v>ReplaceableTextures\\CommandButtons\\BTNIN08.blp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29" t="str">
        <f t="shared" si="48"/>
        <v>死者苏生</v>
      </c>
      <c r="K128" s="129" t="str">
        <f t="shared" si="49"/>
        <v>死亡时复活。</v>
      </c>
      <c r="L128" s="27"/>
      <c r="M128" s="130" t="str">
        <f>VLOOKUP(LEFT(RIGHT(B128,5),4),物品!B:CU,20,FALSE)</f>
        <v>ReplaceableTextures\\CommandButtons\\BTNIN09.blp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1</v>
      </c>
      <c r="AO128" s="27">
        <v>1</v>
      </c>
      <c r="AP128" s="27">
        <v>1</v>
      </c>
    </row>
    <row r="129" spans="1:42">
      <c r="A129" s="127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29" t="str">
        <f t="shared" si="48"/>
        <v>福娃这么可爱..</v>
      </c>
      <c r="K129" s="129" t="str">
        <f t="shared" si="49"/>
        <v>点金一个|Cffffd24d练功房福娃|r，获得|Cffffd24d100|r倍金币奖励</v>
      </c>
      <c r="L129" s="27"/>
      <c r="M129" s="130" t="str">
        <f>VLOOKUP(LEFT(RIGHT(B129,5),4),物品!B:CU,20,FALSE)</f>
        <v>ReplaceableTextures\\CommandButtons\\BTNIN10.blp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0</v>
      </c>
      <c r="AO129" s="27">
        <v>0</v>
      </c>
      <c r="AP129" s="27">
        <v>1</v>
      </c>
    </row>
    <row r="130" spans="1:42">
      <c r="A130" s="127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29" t="str">
        <f t="shared" ref="J130:J136" si="50">H130</f>
        <v>奥里给Lo他</v>
      </c>
      <c r="K130" s="129" t="str">
        <f t="shared" ref="K130:K136" si="51">I130</f>
        <v>|CffFFD24D5|r秒内提高|Cffffd24d100%|r物理伤害</v>
      </c>
      <c r="L130" s="27"/>
      <c r="M130" s="130" t="str">
        <f>VLOOKUP(LEFT(RIGHT(B130,5),4),物品!B:CU,20,FALSE)</f>
        <v>ReplaceableTextures\\CommandButtons\\BTNIN11.blp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29" t="str">
        <f t="shared" si="50"/>
        <v>以逸待劳</v>
      </c>
      <c r="K131" s="129" t="str">
        <f t="shared" si="51"/>
        <v>在|Cffffd24d基地-周文王|r附近召唤|Cffffd24d1|r个|Cffffd24d黑市商店|r，仅存在|Cffffd24d30|r秒。</v>
      </c>
      <c r="L131" s="27"/>
      <c r="M131" s="130" t="str">
        <f>VLOOKUP(LEFT(RIGHT(B131,5),4),物品!B:CU,20,FALSE)</f>
        <v>ReplaceableTextures\\CommandButtons\\BTNIN12.blp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29" t="str">
        <f t="shared" si="50"/>
        <v>全军出击</v>
      </c>
      <c r="K132" s="129" t="str">
        <f t="shared" si="51"/>
        <v>场上存活的队友|Cffffd24d10|r秒内提高|Cffffd24d30%|r法术伤害</v>
      </c>
      <c r="L132" s="27"/>
      <c r="M132" s="130" t="str">
        <f>VLOOKUP(LEFT(RIGHT(B132,5),4),物品!B:CU,20,FALSE)</f>
        <v>ReplaceableTextures\\CommandButtons\\BTNIN13.blp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29" t="str">
        <f t="shared" si="50"/>
        <v>心跳时刻</v>
      </c>
      <c r="K133" s="129" t="str">
        <f t="shared" si="51"/>
        <v>使用后基地无敌|Cffffd24d5|r秒。</v>
      </c>
      <c r="L133" s="27"/>
      <c r="M133" s="130" t="str">
        <f>VLOOKUP(LEFT(RIGHT(B133,5),4),物品!B:CU,20,FALSE)</f>
        <v>ReplaceableTextures\\CommandButtons\\BTNIN14.blp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29" t="str">
        <f t="shared" si="50"/>
        <v>据守</v>
      </c>
      <c r="K134" s="129" t="str">
        <f t="shared" si="51"/>
        <v>场上存活的队友|Cffffd24d10|r秒内减少|Cffffd24d20%|r承受伤害</v>
      </c>
      <c r="L134" s="27"/>
      <c r="M134" s="130" t="str">
        <f>VLOOKUP(LEFT(RIGHT(B134,5),4),物品!B:CU,20,FALSE)</f>
        <v>ReplaceableTextures\\CommandButtons\\BTNIN15.blp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29" t="str">
        <f t="shared" si="50"/>
        <v>赌输可退</v>
      </c>
      <c r="K135" s="129" t="str">
        <f t="shared" si="51"/>
        <v>使|Cffffd24d1|r个|Cffffd24d道果品质|r提高|Cffffd24d-1~+2|r。|n|n|Cff00ff7f只能对天级【7】或以下的道果使用|r</v>
      </c>
      <c r="L135" s="27"/>
      <c r="M135" s="130" t="str">
        <f>VLOOKUP(LEFT(RIGHT(B135,5),4),物品!B:CU,20,FALSE)</f>
        <v>ReplaceableTextures\\CommandButtons\\BTNIN16.blp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29" t="str">
        <f t="shared" si="50"/>
        <v>来点玄铁</v>
      </c>
      <c r="K136" s="129" t="str">
        <f t="shared" si="51"/>
        <v>玄铁|Cffffd24d+5~50|r</v>
      </c>
      <c r="L136" s="27"/>
      <c r="M136" s="130" t="str">
        <f>VLOOKUP(LEFT(RIGHT(B136,5),4),物品!B:CU,20,FALSE)</f>
        <v>ReplaceableTextures\\CommandButtons\\BTNIN17.blp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29" t="str">
        <f t="shared" ref="J137" si="52">H137</f>
        <v>恭喜发财</v>
      </c>
      <c r="K137" s="129" t="str">
        <f t="shared" ref="K137" si="53">I137</f>
        <v>|CffFFD24D30|r秒内增加|Cffffd24d30%|r金币加成</v>
      </c>
      <c r="L137" s="27"/>
      <c r="M137" s="130" t="str">
        <f>VLOOKUP(LEFT(RIGHT(B137,5),4),物品!B:CU,20,FALSE)</f>
        <v>ReplaceableTextures\\CommandButtons\\BTNIN18.blp</v>
      </c>
      <c r="N137" s="148" t="s">
        <v>83</v>
      </c>
      <c r="O137" s="130" t="s">
        <v>94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29" t="str">
        <f t="shared" ref="J138:J146" si="54">H138</f>
        <v>附魔宝箱</v>
      </c>
      <c r="K138" s="129" t="str">
        <f t="shared" ref="K138:K146" si="55">I138</f>
        <v>使用后获得|Cffffc926随机类型技能附魔石|r</v>
      </c>
      <c r="L138" s="27"/>
      <c r="M138" s="130" t="str">
        <f>VLOOKUP(LEFT(RIGHT(B138,5),4),物品!B:CU,20,FALSE)</f>
        <v>ReplaceableTextures\\CommandButtons\\BTNIN16.blp</v>
      </c>
      <c r="N138" s="148" t="s">
        <v>83</v>
      </c>
      <c r="O138" s="130" t="s">
        <v>99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29" t="str">
        <f t="shared" si="54"/>
        <v>鼠年大吉</v>
      </c>
      <c r="K139" s="129" t="str">
        <f t="shared" si="55"/>
        <v>|CffFFD24D30|r秒内杀敌金币|Cffffd24d+10|r</v>
      </c>
      <c r="L139" s="27"/>
      <c r="M139" s="130" t="str">
        <f>VLOOKUP(LEFT(RIGHT(B139,5),4),物品!B:CU,20,FALSE)</f>
        <v>ReplaceableTextures\\CommandButtons\\BTNIN20.blp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29" t="str">
        <f t="shared" si="54"/>
        <v>兄弟们拼了</v>
      </c>
      <c r="K140" s="129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0" t="str">
        <f>VLOOKUP(LEFT(RIGHT(B140,5),4),物品!B:CU,20,FALSE)</f>
        <v>ReplaceableTextures\\CommandButtons\\BTNIN21.blp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29" t="str">
        <f t="shared" si="54"/>
        <v>老铁忍住啊</v>
      </c>
      <c r="K141" s="129" t="str">
        <f t="shared" si="55"/>
        <v>使用后|Cffffd24d5|r分钟内|Cffffd24d不使用任何主动技能/药水|r，获得|Cffffd24d1|r个|Cffff0000附魔宝箱|r</v>
      </c>
      <c r="L141" s="27"/>
      <c r="M141" s="130" t="str">
        <f>VLOOKUP(LEFT(RIGHT(B141,5),4),物品!B:CU,20,FALSE)</f>
        <v>ReplaceableTextures\\CommandButtons\\BTNIN22.blp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29" t="str">
        <f t="shared" si="54"/>
        <v>老铁忍住呀</v>
      </c>
      <c r="K142" s="129" t="str">
        <f t="shared" si="55"/>
        <v>使用后|Cffffd24d5|r分钟内|Cffffd24d不进行任何挑战|r，获得|Cffffd24d1|r个|Cffff0000附魔宝箱|r</v>
      </c>
      <c r="L142" s="27"/>
      <c r="M142" s="130" t="str">
        <f>VLOOKUP(LEFT(RIGHT(B142,5),4),物品!B:CU,20,FALSE)</f>
        <v>ReplaceableTextures\\CommandButtons\\BTNIN23.blp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29" t="str">
        <f t="shared" si="54"/>
        <v>跳不动了</v>
      </c>
      <c r="K143" s="129" t="str">
        <f t="shared" si="55"/>
        <v>使用后|Cffffd24d5|r分钟内|Cffffd24d不使用轻功|r，获得|Cffffd24d1|r个|Cffff0000附魔宝箱|r</v>
      </c>
      <c r="L143" s="27"/>
      <c r="M143" s="130" t="str">
        <f>VLOOKUP(LEFT(RIGHT(B143,5),4),物品!B:CU,20,FALSE)</f>
        <v>ReplaceableTextures\\CommandButtons\\BTNIN24.blp</v>
      </c>
      <c r="N143" s="148" t="s">
        <v>83</v>
      </c>
      <c r="O143" s="13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29" t="str">
        <f t="shared" si="54"/>
        <v>|Cff00BFFF入门道果箱|r</v>
      </c>
      <c r="K144" s="129" t="str">
        <f t="shared" si="55"/>
        <v>打开后有几率获得以下奖励：|n【随机品质】中级道果|n|Cff00ff7f【随机品质】高级道果|r</v>
      </c>
      <c r="L144" s="27"/>
      <c r="M144" s="130" t="str">
        <f>VLOOKUP(LEFT(RIGHT(B144,5),4),物品!B:CU,20,FALSE)</f>
        <v>ReplaceableTextures\\CommandButtons\\BTNAM20.blp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29" t="str">
        <f t="shared" si="54"/>
        <v>|CffFFD24D后天道果箱|r</v>
      </c>
      <c r="K145" s="129" t="str">
        <f t="shared" si="55"/>
        <v>打开后有几率获得以下奖励：|n|Cff00ff7f【随机品质】黄级道果|r|n|Cff00bfff【随机品质】玄级道果|n【随机品质】地级道果|r</v>
      </c>
      <c r="L145" s="27"/>
      <c r="M145" s="130" t="str">
        <f>VLOOKUP(LEFT(RIGHT(B145,5),4),物品!B:CU,20,FALSE)</f>
        <v>ReplaceableTextures\\CommandButtons\\BTNAM21.blp</v>
      </c>
      <c r="N145" s="148" t="s">
        <v>83</v>
      </c>
      <c r="O145" s="1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29" t="str">
        <f t="shared" si="54"/>
        <v>|CffFF0000先天道果箱|r</v>
      </c>
      <c r="K146" s="129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0" t="str">
        <f>VLOOKUP(LEFT(RIGHT(B146,5),4),物品!B:CU,20,FALSE)</f>
        <v>ReplaceableTextures\\CommandButtons\\BTNAM22.blp</v>
      </c>
      <c r="N146" s="148" t="s">
        <v>83</v>
      </c>
      <c r="O146" s="130" t="s">
        <v>102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29" t="str">
        <f t="shared" ref="J147:J148" si="56">H147</f>
        <v>|CffFFD24D技能宝箱|r</v>
      </c>
      <c r="K147" s="129" t="str">
        <f t="shared" ref="K147:K148" si="57">I147</f>
        <v>使用后获得|Cffffc926随机类型技能升阶石|r</v>
      </c>
      <c r="L147" s="27"/>
      <c r="M147" s="130" t="str">
        <f>VLOOKUP(LEFT(RIGHT(B147,5),4),物品!B:CU,20,FALSE)</f>
        <v>ReplaceableTextures\\CommandButtons\\BTNAM23.blp</v>
      </c>
      <c r="N147" s="148" t="s">
        <v>83</v>
      </c>
      <c r="O147" s="10" t="s">
        <v>101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29" t="str">
        <f t="shared" si="56"/>
        <v>|CffFFD24D附魔宝箱|r</v>
      </c>
      <c r="K148" s="129" t="str">
        <f t="shared" si="57"/>
        <v>使用后获得|Cffffc926随机类型技能附魔石|r</v>
      </c>
      <c r="L148" s="27"/>
      <c r="M148" s="130" t="str">
        <f>VLOOKUP(LEFT(RIGHT(B148,5),4),物品!B:CU,20,FALSE)</f>
        <v>ReplaceableTextures\\CommandButtons\\BTNAM24.blp</v>
      </c>
      <c r="N148" s="148" t="s">
        <v>83</v>
      </c>
      <c r="O148" s="10" t="s">
        <v>101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29" t="str">
        <f t="shared" ref="J149:J150" si="58">H149</f>
        <v>|Cff00FF7F幸运星盒|r</v>
      </c>
      <c r="K149" s="129" t="str">
        <f t="shared" ref="K149:K150" si="59">I149</f>
        <v>开启后获得|Cff00bfff随机奖励|r。</v>
      </c>
      <c r="L149" s="27"/>
      <c r="M149" s="130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29" t="str">
        <f t="shared" si="58"/>
        <v>|CffFFD24D炽星魔盒|r</v>
      </c>
      <c r="K150" s="129" t="str">
        <f t="shared" si="59"/>
        <v>开启后获得|Cffffd24d随机奖励|r。</v>
      </c>
      <c r="L150" s="27"/>
      <c r="M150" s="130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29" t="str">
        <f t="shared" ref="J151" si="60">H151</f>
        <v>|CffFFD24D技能宝箱|r</v>
      </c>
      <c r="K151" s="129" t="str">
        <f t="shared" ref="K151" si="61">I151</f>
        <v>使用后获得|Cffffc926随机类型技能升阶石|r</v>
      </c>
      <c r="L151" s="27"/>
      <c r="M151" s="130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93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/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29" t="str">
        <f t="shared" ref="J152" si="62">H152</f>
        <v>|CffFF0000时渊入场券|r</v>
      </c>
      <c r="K152" s="129" t="str">
        <f t="shared" ref="K152" si="63">I152</f>
        <v>每次|Cffffd24d完成|r时渊副本将消耗|Cffffd24d1|r个|Cffffd24d时渊入场券|r</v>
      </c>
      <c r="L152" s="27"/>
      <c r="M152" s="130" t="str">
        <f>VLOOKUP(LEFT(RIGHT(B152,5),4),物品!B:CU,20,FALSE)</f>
        <v>ReplaceableTextures\\CommandButtons\\BTNIP01.blp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29" t="str">
        <f t="shared" ref="J153:J161" si="64">H153</f>
        <v>|CffFFD24D补天石|r</v>
      </c>
      <c r="K153" s="129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30" t="str">
        <f>VLOOKUP(LEFT(RIGHT(B153,5),4),物品!B:CU,20,FALSE)</f>
        <v>ReplaceableTextures\\CommandButtons\\BTNIP02.blp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29" t="str">
        <f t="shared" si="64"/>
        <v>|CffFF0000鸿蒙结晶|r</v>
      </c>
      <c r="K154" s="129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0" t="str">
        <f>VLOOKUP(LEFT(RIGHT(B154,5),4),物品!B:CU,20,FALSE)</f>
        <v>ReplaceableTextures\\CommandButtons\\BTNIP03.blp</v>
      </c>
      <c r="N154" s="148" t="s">
        <v>83</v>
      </c>
      <c r="O154" s="130" t="s">
        <v>95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88</v>
      </c>
      <c r="X154" s="27">
        <v>0</v>
      </c>
      <c r="Y154" s="148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>
        <v>1</v>
      </c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29" t="str">
        <f t="shared" ref="J155:J156" si="66">H155</f>
        <v>|CffFF0000神兽洗灵石|r</v>
      </c>
      <c r="K155" s="129" t="str">
        <f t="shared" ref="K155:K156" si="67">I155</f>
        <v>使用后|Cffffd24d重置|r当前|Cffff0000神兽神通【R】|r|Cfff0f0f0。|r</v>
      </c>
      <c r="L155" s="27"/>
      <c r="M155" s="130" t="str">
        <f>VLOOKUP(LEFT(RIGHT(B155,5),4),物品!B:CU,20,FALSE)</f>
        <v>ReplaceableTextures\\CommandButtons\\BTNIN08.blp</v>
      </c>
      <c r="N155" s="148" t="s">
        <v>83</v>
      </c>
      <c r="O155" s="130" t="s">
        <v>95</v>
      </c>
      <c r="P155" s="27">
        <v>1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80000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29" t="str">
        <f t="shared" si="66"/>
        <v>|CffFF0000虚空圣战卡|r</v>
      </c>
      <c r="K156" s="129" t="str">
        <f t="shared" si="67"/>
        <v>开启|Cffffd24d结界|r，前往虚空终止|Cffff0000封神圣战|r。</v>
      </c>
      <c r="L156" s="27"/>
      <c r="M156" s="130" t="str">
        <f>VLOOKUP(LEFT(RIGHT(B156,5),4),物品!B:CU,20,FALSE)</f>
        <v>ReplaceableTextures\\CommandButtons\\BTNIP05.blp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29" t="str">
        <f t="shared" ref="J157:J158" si="68">H157</f>
        <v>|Cff00FF7F大补丸|r</v>
      </c>
      <c r="K157" s="129" t="str">
        <f t="shared" ref="K157:K158" si="69">I157</f>
        <v>使用后增加|Cffffd24d100点|r境界经验。</v>
      </c>
      <c r="L157" s="27"/>
      <c r="M157" s="130" t="str">
        <f>VLOOKUP(LEFT(RIGHT(B157,5),4),物品!B:CU,20,FALSE)</f>
        <v>ReplaceableTextures\\CommandButtons\\BTNAM40.blp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29" t="str">
        <f t="shared" si="68"/>
        <v>|Cff00FF7F抽奖抵用券|r</v>
      </c>
      <c r="K158" s="129" t="str">
        <f t="shared" si="69"/>
        <v>可抵扣|Cffffd24d1|r次抽奖消耗</v>
      </c>
      <c r="L158" s="27"/>
      <c r="M158" s="130" t="str">
        <f>VLOOKUP(LEFT(RIGHT(B158,5),4),物品!B:CU,20,FALSE)</f>
        <v>ReplaceableTextures\\CommandButtons\\BTNIP07.blp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29" t="str">
        <f t="shared" ref="J159:J160" si="70">H159</f>
        <v>|Cff00FF7F超级大补丸|r</v>
      </c>
      <c r="K159" s="129" t="str">
        <f t="shared" ref="K159:K160" si="71">I159</f>
        <v>使用后增加|Cffffd24d300点|r境界经验。</v>
      </c>
      <c r="L159" s="27"/>
      <c r="M159" s="130" t="str">
        <f>VLOOKUP(LEFT(RIGHT(B159,5),4),物品!B:CU,20,FALSE)</f>
        <v>ReplaceableTextures\\CommandButtons\\BTNAM41.blp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29" t="str">
        <f t="shared" si="70"/>
        <v>|Cff00FF7F特级大补丸|r</v>
      </c>
      <c r="K160" s="129" t="str">
        <f t="shared" si="71"/>
        <v>使用后增加|Cffffd24d500点|r境界经验。</v>
      </c>
      <c r="L160" s="27"/>
      <c r="M160" s="130" t="str">
        <f>VLOOKUP(LEFT(RIGHT(B160,5),4),物品!B:CU,20,FALSE)</f>
        <v>ReplaceableTextures\\CommandButtons\\BTNAM42.blp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93</v>
      </c>
      <c r="X160" s="27">
        <v>0</v>
      </c>
      <c r="Y160" s="14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/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29" t="str">
        <f t="shared" si="64"/>
        <v>噬心劫</v>
      </c>
      <c r="K161" s="129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ReplaceableTextures\\CommandButtons\\BTNIT01.blp</v>
      </c>
      <c r="N161" s="148" t="s">
        <v>83</v>
      </c>
      <c r="O161" s="130" t="s">
        <v>95</v>
      </c>
      <c r="P161" s="27">
        <v>0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0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29" t="str">
        <f t="shared" ref="J162:J192" si="72">H162</f>
        <v>三重轰雷劫</v>
      </c>
      <c r="K162" s="129" t="str">
        <f t="shared" ref="K162:K192" si="73"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ReplaceableTextures\\CommandButtons\\BTNIT02.blp</v>
      </c>
      <c r="N162" s="148" t="s">
        <v>83</v>
      </c>
      <c r="O162" s="130" t="s">
        <v>95</v>
      </c>
      <c r="P162" s="27">
        <v>1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3000</v>
      </c>
      <c r="Y162" s="148" t="s">
        <v>83</v>
      </c>
      <c r="Z162" s="27">
        <v>0</v>
      </c>
      <c r="AA162" s="27">
        <v>0</v>
      </c>
      <c r="AB162" s="129">
        <v>2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29" t="str">
        <f t="shared" si="72"/>
        <v>|Cff00FF7F六重天雷劫|r</v>
      </c>
      <c r="K163" s="129" t="str">
        <f t="shared" si="73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0" t="str">
        <f>VLOOKUP(LEFT(RIGHT(B163,5),4),物品!B:CU,20,FALSE)</f>
        <v>ReplaceableTextures\\CommandButtons\\BTNIT03.blp</v>
      </c>
      <c r="N163" s="148" t="s">
        <v>83</v>
      </c>
      <c r="O163" s="130" t="s">
        <v>95</v>
      </c>
      <c r="P163" s="27">
        <v>2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5000</v>
      </c>
      <c r="Y163" s="148" t="s">
        <v>83</v>
      </c>
      <c r="Z163" s="27">
        <v>0</v>
      </c>
      <c r="AA163" s="27">
        <v>0</v>
      </c>
      <c r="AB163" s="129">
        <v>3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29" t="str">
        <f t="shared" si="72"/>
        <v>|Cff00FF7F九重煅神劫|r</v>
      </c>
      <c r="K164" s="129" t="str">
        <f t="shared" si="73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ReplaceableTextures\\CommandButtons\\BTNIT04.blp</v>
      </c>
      <c r="N164" s="148" t="s">
        <v>83</v>
      </c>
      <c r="O164" s="130" t="s">
        <v>95</v>
      </c>
      <c r="P164" s="27">
        <v>3</v>
      </c>
      <c r="Q164" s="27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7000</v>
      </c>
      <c r="Y164" s="148" t="s">
        <v>83</v>
      </c>
      <c r="Z164" s="27">
        <v>0</v>
      </c>
      <c r="AA164" s="27">
        <v>0</v>
      </c>
      <c r="AB164" s="129">
        <v>5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29" t="str">
        <f t="shared" si="72"/>
        <v>|Cff00BFFF灭魄血煞劫|r</v>
      </c>
      <c r="K165" s="129" t="str">
        <f t="shared" si="73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ReplaceableTextures\\CommandButtons\\BTNIT05.blp</v>
      </c>
      <c r="N165" s="148" t="s">
        <v>83</v>
      </c>
      <c r="O165" s="130" t="s">
        <v>95</v>
      </c>
      <c r="P165" s="27">
        <v>0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10000</v>
      </c>
      <c r="Y165" s="148" t="s">
        <v>83</v>
      </c>
      <c r="Z165" s="27">
        <v>0</v>
      </c>
      <c r="AA165" s="27">
        <v>0</v>
      </c>
      <c r="AB165" s="129">
        <v>7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29" t="str">
        <f t="shared" si="72"/>
        <v>|Cff00BFFF入微洞虚劫|r</v>
      </c>
      <c r="K166" s="129" t="str">
        <f t="shared" si="73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0" t="str">
        <f>VLOOKUP(LEFT(RIGHT(B166,5),4),物品!B:CU,20,FALSE)</f>
        <v>ReplaceableTextures\\CommandButtons\\BTNIT06.blp</v>
      </c>
      <c r="N166" s="148" t="s">
        <v>83</v>
      </c>
      <c r="O166" s="130" t="s">
        <v>95</v>
      </c>
      <c r="P166" s="27">
        <v>1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15000</v>
      </c>
      <c r="Y166" s="148" t="s">
        <v>83</v>
      </c>
      <c r="Z166" s="27">
        <v>0</v>
      </c>
      <c r="AA166" s="27">
        <v>0</v>
      </c>
      <c r="AB166" s="129">
        <v>10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29" t="str">
        <f t="shared" si="72"/>
        <v>|CffFFD24D因果厄难劫|r</v>
      </c>
      <c r="K167" s="129" t="str">
        <f t="shared" si="73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ReplaceableTextures\\CommandButtons\\BTNIT07.blp</v>
      </c>
      <c r="N167" s="148" t="s">
        <v>83</v>
      </c>
      <c r="O167" s="130" t="s">
        <v>95</v>
      </c>
      <c r="P167" s="27">
        <v>2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20000</v>
      </c>
      <c r="Y167" s="148" t="s">
        <v>83</v>
      </c>
      <c r="Z167" s="27">
        <v>0</v>
      </c>
      <c r="AA167" s="27">
        <v>0</v>
      </c>
      <c r="AB167" s="129">
        <v>13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29" t="str">
        <f t="shared" si="72"/>
        <v>|CffFFD24D迷魂幻世劫|r</v>
      </c>
      <c r="K168" s="129" t="str">
        <f t="shared" si="73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ReplaceableTextures\\CommandButtons\\BTNIT08.blp</v>
      </c>
      <c r="N168" s="148" t="s">
        <v>83</v>
      </c>
      <c r="O168" s="130" t="s">
        <v>95</v>
      </c>
      <c r="P168" s="27">
        <v>3</v>
      </c>
      <c r="Q168" s="27">
        <v>1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25000</v>
      </c>
      <c r="Y168" s="148" t="s">
        <v>83</v>
      </c>
      <c r="Z168" s="27">
        <v>0</v>
      </c>
      <c r="AA168" s="27">
        <v>0</v>
      </c>
      <c r="AB168" s="129">
        <v>16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29" t="str">
        <f t="shared" si="72"/>
        <v>|CffFF0000天人五衰劫|r</v>
      </c>
      <c r="K169" s="129" t="str">
        <f t="shared" si="73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0" t="str">
        <f>VLOOKUP(LEFT(RIGHT(B169,5),4),物品!B:CU,20,FALSE)</f>
        <v>ReplaceableTextures\\CommandButtons\\BTNIT09.blp</v>
      </c>
      <c r="N169" s="148" t="s">
        <v>83</v>
      </c>
      <c r="O169" s="130" t="s">
        <v>95</v>
      </c>
      <c r="P169" s="27">
        <v>0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30000</v>
      </c>
      <c r="Y169" s="148" t="s">
        <v>83</v>
      </c>
      <c r="Z169" s="27">
        <v>0</v>
      </c>
      <c r="AA169" s="27">
        <v>0</v>
      </c>
      <c r="AB169" s="129">
        <v>19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29" t="str">
        <f t="shared" si="72"/>
        <v>|CffFF0000混元灭世劫|r</v>
      </c>
      <c r="K170" s="129" t="str">
        <f t="shared" si="73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0" t="str">
        <f>VLOOKUP(LEFT(RIGHT(B170,5),4),物品!B:CU,20,FALSE)</f>
        <v>ReplaceableTextures\\CommandButtons\\BTNIT10.blp</v>
      </c>
      <c r="N170" s="148" t="s">
        <v>83</v>
      </c>
      <c r="O170" s="130" t="s">
        <v>95</v>
      </c>
      <c r="P170" s="27">
        <v>1</v>
      </c>
      <c r="Q170" s="27">
        <v>2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50000</v>
      </c>
      <c r="Y170" s="148" t="s">
        <v>83</v>
      </c>
      <c r="Z170" s="27">
        <v>0</v>
      </c>
      <c r="AA170" s="27">
        <v>0</v>
      </c>
      <c r="AB170" s="129">
        <v>25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29" t="str">
        <f t="shared" ref="J171:J178" si="74">H171</f>
        <v>斩三尸</v>
      </c>
      <c r="K171" s="129" t="str">
        <f t="shared" ref="K171:K178" si="75">I171</f>
        <v>境界挑战11</v>
      </c>
      <c r="L171" s="27"/>
      <c r="M171" s="130" t="str">
        <f>VLOOKUP(LEFT(RIGHT(B171,5),4),物品!B:CU,20,FALSE)</f>
        <v>ReplaceableTextures\\CommandButtons\\BTNIT11.blp</v>
      </c>
      <c r="N171" s="148" t="s">
        <v>83</v>
      </c>
      <c r="O171" s="130" t="s">
        <v>95</v>
      </c>
      <c r="P171" s="27">
        <v>2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29" t="str">
        <f t="shared" si="74"/>
        <v>无量量劫</v>
      </c>
      <c r="K172" s="129" t="str">
        <f t="shared" si="75"/>
        <v>境界挑战12</v>
      </c>
      <c r="L172" s="27"/>
      <c r="M172" s="130" t="str">
        <f>VLOOKUP(LEFT(RIGHT(B172,5),4),物品!B:CU,20,FALSE)</f>
        <v>ReplaceableTextures\\CommandButtons\\BTNIT12.blp</v>
      </c>
      <c r="N172" s="148" t="s">
        <v>83</v>
      </c>
      <c r="O172" s="130" t="s">
        <v>95</v>
      </c>
      <c r="P172" s="27">
        <v>3</v>
      </c>
      <c r="Q172" s="27">
        <v>1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29" t="str">
        <f t="shared" si="74"/>
        <v>鸿钧对练</v>
      </c>
      <c r="K173" s="129" t="str">
        <f t="shared" si="75"/>
        <v>境界挑战13</v>
      </c>
      <c r="L173" s="27"/>
      <c r="M173" s="130" t="str">
        <f>VLOOKUP(LEFT(RIGHT(B173,5),4),物品!B:CU,20,FALSE)</f>
        <v>ReplaceableTextures\\CommandButtons\\BTNIT13.blp</v>
      </c>
      <c r="N173" s="148" t="s">
        <v>83</v>
      </c>
      <c r="O173" s="130" t="s">
        <v>95</v>
      </c>
      <c r="P173" s="27">
        <v>0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29" t="str">
        <f t="shared" si="74"/>
        <v>境界挑战14</v>
      </c>
      <c r="K174" s="129" t="str">
        <f t="shared" si="75"/>
        <v>境界挑战14</v>
      </c>
      <c r="L174" s="27"/>
      <c r="M174" s="130" t="str">
        <f>VLOOKUP(LEFT(RIGHT(B174,5),4),物品!B:CU,20,FALSE)</f>
        <v>ReplaceableTextures\\CommandButtons\\BTNIT14.blp</v>
      </c>
      <c r="N174" s="148" t="s">
        <v>83</v>
      </c>
      <c r="O174" s="130" t="s">
        <v>95</v>
      </c>
      <c r="P174" s="27">
        <v>1</v>
      </c>
      <c r="Q174" s="27">
        <v>2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0</v>
      </c>
      <c r="Y174" s="14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29" t="str">
        <f t="shared" si="74"/>
        <v>暂停进攻</v>
      </c>
      <c r="K175" s="129" t="str">
        <f t="shared" si="75"/>
        <v>延缓敌军2分钟进攻时间。|n|n|Cff999999狗策划一直不想做这个功能，你们就省着点用吧~（逃|r</v>
      </c>
      <c r="L175" s="27"/>
      <c r="M175" s="131" t="s">
        <v>104</v>
      </c>
      <c r="N175" s="148" t="s">
        <v>83</v>
      </c>
      <c r="O175" s="130" t="s">
        <v>95</v>
      </c>
      <c r="P175" s="27">
        <v>0</v>
      </c>
      <c r="Q175" s="27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10000</v>
      </c>
      <c r="Y175" s="148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29" t="str">
        <f t="shared" ref="J176" si="76">H176</f>
        <v>奇经八脉</v>
      </c>
      <c r="K176" s="129" t="str">
        <f t="shared" ref="K176" si="77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0" t="str">
        <f>VLOOKUP(LEFT(RIGHT(B176,5),4),物品!B:CU,20,FALSE)</f>
        <v>ReplaceableTextures\\CommandButtons\\BTNIZ0B.blp</v>
      </c>
      <c r="N176" s="148" t="s">
        <v>83</v>
      </c>
      <c r="O176" s="130" t="s">
        <v>95</v>
      </c>
      <c r="P176" s="27">
        <v>2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IZ01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|CffFF0000团队副本-万仙阵|r</v>
      </c>
      <c r="I177" s="27" t="str">
        <f>VLOOKUP(B177,物品!B:CV,99,FALSE)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7" s="129" t="str">
        <f t="shared" ref="J177" si="78">H177</f>
        <v>|CffFF0000团队副本-万仙阵|r</v>
      </c>
      <c r="K177" s="129" t="str">
        <f t="shared" ref="K177" si="79">I177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7" s="27"/>
      <c r="M177" s="130" t="str">
        <f>VLOOKUP(LEFT(RIGHT(B177,5),4),物品!B:CU,20,FALSE)</f>
        <v>ReplaceableTextures\\CommandButtons\\BTNIZ01.blp</v>
      </c>
      <c r="N177" s="148" t="s">
        <v>83</v>
      </c>
      <c r="O177" s="130" t="s">
        <v>95</v>
      </c>
      <c r="P177" s="27">
        <v>1</v>
      </c>
      <c r="Q177" s="27">
        <v>2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IS01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学习Q技能</v>
      </c>
      <c r="I178" s="27" t="str">
        <f>VLOOKUP(B178,物品!B:CV,99,FALSE)</f>
        <v>学习或重置当前|cffffd24dQ技能|r。|n|cffffcc00抽取消耗：|r1500金币*次数|n|cffffcc00抽取次数：|r0/10|n|n|cff00ff7f单局最多抽取10次|r</v>
      </c>
      <c r="J178" s="129" t="str">
        <f t="shared" si="74"/>
        <v>学习Q技能</v>
      </c>
      <c r="K178" s="129" t="str">
        <f t="shared" si="75"/>
        <v>学习或重置当前|cffffd24dQ技能|r。|n|cffffcc00抽取消耗：|r1500金币*次数|n|cffffcc00抽取次数：|r0/10|n|n|cff00ff7f单局最多抽取10次|r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ReplaceableTextures\\CommandButtons\\BTN001.blp</v>
      </c>
      <c r="N178" s="148" t="s">
        <v>83</v>
      </c>
      <c r="O178" s="130" t="s">
        <v>95</v>
      </c>
      <c r="P178" s="27">
        <v>0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IS02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学习W技能</v>
      </c>
      <c r="I179" s="27" t="str">
        <f>VLOOKUP(B179,物品!B:CV,99,FALSE)</f>
        <v>学习或重置当前|cffffd24dW技能|r。|n|cffffcc00抽取消耗：|r5000金币*次数|n|cffffcc00抽取次数：|r0/10|n|n|cff00ff7f单局最多抽取10次|r</v>
      </c>
      <c r="J179" s="129" t="str">
        <f t="shared" si="72"/>
        <v>学习W技能</v>
      </c>
      <c r="K179" s="129" t="str">
        <f t="shared" si="73"/>
        <v>学习或重置当前|cffffd24dW技能|r。|n|cffffcc00抽取消耗：|r5000金币*次数|n|cffffcc00抽取次数：|r0/10|n|n|cff00ff7f单局最多抽取10次|r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ReplaceableTextures\\CommandButtons\\BTN002.blp</v>
      </c>
      <c r="N179" s="148" t="s">
        <v>83</v>
      </c>
      <c r="O179" s="130" t="s">
        <v>95</v>
      </c>
      <c r="P179" s="27">
        <v>1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IS03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学习E技能</v>
      </c>
      <c r="I180" s="27" t="str">
        <f>VLOOKUP(B180,物品!B:CV,99,FALSE)</f>
        <v>学习或重置当前|cffffd24dE技能|r。|n|cffffcc00抽取消耗：|r15000金币*次数|n|cffffcc00抽取次数：|r0/10|n|n|cff00ff7f单局最多抽取10次|r</v>
      </c>
      <c r="J180" s="129" t="str">
        <f t="shared" si="72"/>
        <v>学习E技能</v>
      </c>
      <c r="K180" s="129" t="str">
        <f t="shared" si="73"/>
        <v>学习或重置当前|cffffd24dE技能|r。|n|cffffcc00抽取消耗：|r15000金币*次数|n|cffffcc00抽取次数：|r0/10|n|n|cff00ff7f单局最多抽取10次|r</v>
      </c>
      <c r="L180" s="27"/>
      <c r="M180" s="130" t="str">
        <f>VLOOKUP(LEFT(RIGHT(B180,5),4),物品!B:CU,20,FALSE)</f>
        <v>ReplaceableTextures\\CommandButtons\\BTN003.blp</v>
      </c>
      <c r="N180" s="148" t="s">
        <v>83</v>
      </c>
      <c r="O180" s="130" t="s">
        <v>95</v>
      </c>
      <c r="P180" s="27">
        <v>2</v>
      </c>
      <c r="Q180" s="27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88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1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IS21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Q技能附魔石</v>
      </c>
      <c r="I181" s="27" t="str">
        <f>VLOOKUP(B181,物品!B:CV,99,FALSE)</f>
        <v>为|Cffffd24dQ技能|r附魔一条|Cffffd24d随机属性|r。</v>
      </c>
      <c r="J181" s="129" t="str">
        <f t="shared" si="72"/>
        <v>Q技能附魔石</v>
      </c>
      <c r="K181" s="129" t="str">
        <f t="shared" si="73"/>
        <v>为|Cffffd24dQ技能|r附魔一条|Cffffd24d随机属性|r。</v>
      </c>
      <c r="L181" s="27"/>
      <c r="M181" s="130" t="str">
        <f>VLOOKUP(LEFT(RIGHT(B181,5),4),物品!B:CU,20,FALSE)</f>
        <v>ReplaceableTextures\\CommandButtons\\BTNIN01.blp</v>
      </c>
      <c r="N181" s="148" t="s">
        <v>83</v>
      </c>
      <c r="O181" s="130" t="s">
        <v>95</v>
      </c>
      <c r="P181" s="27">
        <v>0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IS22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W技能附魔石</v>
      </c>
      <c r="I182" s="27" t="str">
        <f>VLOOKUP(B182,物品!B:CV,99,FALSE)</f>
        <v>为|Cffffd24dW技能|r附魔一条|Cffffd24d随机属性|r。</v>
      </c>
      <c r="J182" s="129" t="str">
        <f t="shared" ref="J182:J184" si="80">H182</f>
        <v>W技能附魔石</v>
      </c>
      <c r="K182" s="129" t="str">
        <f t="shared" ref="K182:K184" si="81">I182</f>
        <v>为|Cffffd24dW技能|r附魔一条|Cffffd24d随机属性|r。</v>
      </c>
      <c r="L182" s="27"/>
      <c r="M182" s="130" t="str">
        <f>VLOOKUP(LEFT(RIGHT(B182,5),4),物品!B:CU,20,FALSE)</f>
        <v>ReplaceableTextures\\CommandButtons\\BTNIN02.blp</v>
      </c>
      <c r="N182" s="148" t="s">
        <v>83</v>
      </c>
      <c r="O182" s="130" t="s">
        <v>95</v>
      </c>
      <c r="P182" s="27">
        <v>1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IS23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E技能附魔石</v>
      </c>
      <c r="I183" s="27" t="str">
        <f>VLOOKUP(B183,物品!B:CV,99,FALSE)</f>
        <v>为|Cffffd24dE技能|r附魔一条|Cffffd24d随机属性|r。</v>
      </c>
      <c r="J183" s="129" t="str">
        <f t="shared" si="80"/>
        <v>E技能附魔石</v>
      </c>
      <c r="K183" s="129" t="str">
        <f t="shared" si="81"/>
        <v>为|Cffffd24dE技能|r附魔一条|Cffffd24d随机属性|r。</v>
      </c>
      <c r="L183" s="27"/>
      <c r="M183" s="130" t="str">
        <f>VLOOKUP(LEFT(RIGHT(B183,5),4),物品!B:CU,20,FALSE)</f>
        <v>ReplaceableTextures\\CommandButtons\\BTNIN03.blp</v>
      </c>
      <c r="N183" s="148" t="s">
        <v>83</v>
      </c>
      <c r="O183" s="130" t="s">
        <v>95</v>
      </c>
      <c r="P183" s="27">
        <v>2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IS24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|CffFFD24DQ强力附魔石|r</v>
      </c>
      <c r="I184" s="27" t="str">
        <f>VLOOKUP(B184,物品!B:CV,99,FALSE)</f>
        <v>为|Cffffd24dQ技能|r附魔一条|Cffffd24d随机属性|r。</v>
      </c>
      <c r="J184" s="129" t="str">
        <f t="shared" si="80"/>
        <v>|CffFFD24DQ强力附魔石|r</v>
      </c>
      <c r="K184" s="129" t="str">
        <f t="shared" si="81"/>
        <v>为|Cffffd24dQ技能|r附魔一条|Cffffd24d随机属性|r。</v>
      </c>
      <c r="L184" s="27"/>
      <c r="M184" s="130" t="str">
        <f>VLOOKUP(LEFT(RIGHT(B184,5),4),物品!B:CU,20,FALSE)</f>
        <v>ReplaceableTextures\\CommandButtons\\BTN009.blp</v>
      </c>
      <c r="N184" s="148" t="s">
        <v>83</v>
      </c>
      <c r="O184" s="130" t="s">
        <v>95</v>
      </c>
      <c r="P184" s="27">
        <v>0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IS25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|CffFFD24DW强力附魔石|r</v>
      </c>
      <c r="I185" s="27" t="str">
        <f>VLOOKUP(B185,物品!B:CV,99,FALSE)</f>
        <v>为|Cffffd24dW技能|r附魔一条|Cffffd24d随机属性|r。</v>
      </c>
      <c r="J185" s="129" t="str">
        <f t="shared" ref="J185:J186" si="82">H185</f>
        <v>|CffFFD24DW强力附魔石|r</v>
      </c>
      <c r="K185" s="129" t="str">
        <f t="shared" ref="K185:K186" si="83">I185</f>
        <v>为|Cffffd24dW技能|r附魔一条|Cffffd24d随机属性|r。</v>
      </c>
      <c r="L185" s="27"/>
      <c r="M185" s="130" t="str">
        <f>VLOOKUP(LEFT(RIGHT(B185,5),4),物品!B:CU,20,FALSE)</f>
        <v>ReplaceableTextures\\CommandButtons\\BTN010.blp</v>
      </c>
      <c r="N185" s="148" t="s">
        <v>83</v>
      </c>
      <c r="O185" s="130" t="s">
        <v>95</v>
      </c>
      <c r="P185" s="27">
        <v>1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IS26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|CffFFD24DE强力附魔石|r</v>
      </c>
      <c r="I186" s="27" t="str">
        <f>VLOOKUP(B186,物品!B:CV,99,FALSE)</f>
        <v>为|Cffffd24dE技能|r附魔一条|Cffffd24d随机属性|r。</v>
      </c>
      <c r="J186" s="129" t="str">
        <f t="shared" si="82"/>
        <v>|CffFFD24DE强力附魔石|r</v>
      </c>
      <c r="K186" s="129" t="str">
        <f t="shared" si="83"/>
        <v>为|Cffffd24dE技能|r附魔一条|Cffffd24d随机属性|r。</v>
      </c>
      <c r="L186" s="27"/>
      <c r="M186" s="130" t="str">
        <f>VLOOKUP(LEFT(RIGHT(B186,5),4),物品!B:CU,20,FALSE)</f>
        <v>ReplaceableTextures\\CommandButtons\\BTN011.blp</v>
      </c>
      <c r="N186" s="148" t="s">
        <v>83</v>
      </c>
      <c r="O186" s="130" t="s">
        <v>95</v>
      </c>
      <c r="P186" s="27">
        <v>2</v>
      </c>
      <c r="Q186" s="27">
        <v>2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93</v>
      </c>
      <c r="X186" s="27">
        <v>0</v>
      </c>
      <c r="Y186" s="148" t="s">
        <v>83</v>
      </c>
      <c r="Z186" s="27">
        <v>0</v>
      </c>
      <c r="AA186" s="27">
        <v>0</v>
      </c>
      <c r="AB186" s="27">
        <v>30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0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IS11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|CffFF0000占星|r</v>
      </c>
      <c r="I187" s="27" t="str">
        <f>VLOOKUP(B187,物品!B:CV,99,FALSE)</f>
        <v>|CffFF0000占星|r</v>
      </c>
      <c r="J187" s="129" t="str">
        <f t="shared" ref="J187" si="84">H187</f>
        <v>|CffFF0000占星|r</v>
      </c>
      <c r="K187" s="129" t="str">
        <f t="shared" ref="K187" si="85">I187</f>
        <v>|CffFF0000占星|r</v>
      </c>
      <c r="L187" s="27"/>
      <c r="M187" s="130" t="str">
        <f>VLOOKUP(LEFT(RIGHT(B187,5),4),物品!B:CU,20,FALSE)</f>
        <v>ReplaceableTextures\\CommandButtons\\BTNIS11.blp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240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IS12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2"/>
        <v>|CffFFD24D兽魂抽奖|r</v>
      </c>
      <c r="K188" s="129" t="str">
        <f t="shared" si="73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IZ0C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|CffFFD24D兽魂抽奖|r</v>
      </c>
      <c r="I189" s="27" t="str">
        <f>VLOOKUP(B189,物品!B:CV,99,FALSE)</f>
        <v>|CffFFD24D兽魂抽奖|r</v>
      </c>
      <c r="J189" s="129" t="str">
        <f t="shared" si="72"/>
        <v>|CffFFD24D兽魂抽奖|r</v>
      </c>
      <c r="K189" s="129" t="str">
        <f t="shared" si="73"/>
        <v>|CffFFD24D兽魂抽奖|r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0</v>
      </c>
      <c r="Y189" s="148" t="s">
        <v>83</v>
      </c>
      <c r="Z189" s="27">
        <v>0</v>
      </c>
      <c r="AA189" s="27">
        <v>9999999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IZ10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</v>
      </c>
      <c r="I190" s="27" t="str">
        <f>VLOOKUP(B190,物品!B:CV,99,FALSE)</f>
        <v>|CffF0F0F0有几率获得|r|Cffffd24d好东西|r|Cfff0f0f0，也有可能|r|Cffcccccc打水漂|r|Cfff0f0f0。|n|n|r|Cff00ff7f观今夜星象，抽就完事了...|r</v>
      </c>
      <c r="J190" s="129" t="str">
        <f t="shared" si="72"/>
        <v>|CffFFD24D占星卜卦|r</v>
      </c>
      <c r="K190" s="129" t="str">
        <f t="shared" si="73"/>
        <v>|CffF0F0F0有几率获得|r|Cffffd24d好东西|r|Cfff0f0f0，也有可能|r|Cffcccccc打水漂|r|Cfff0f0f0。|n|n|r|Cff00ff7f观今夜星象，抽就完事了...|r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</v>
      </c>
      <c r="Y190" s="148" t="s">
        <v>83</v>
      </c>
      <c r="Z190" s="27">
        <v>0</v>
      </c>
      <c r="AA190" s="27">
        <v>1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IZ11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|CffFFD24D占星卜卦|r - [|cffffcc0010连|r]</v>
      </c>
      <c r="I191" s="27" t="str">
        <f>VLOOKUP(B191,物品!B:CV,99,FALSE)</f>
        <v>|CffF0F0F0有几率获得|r|Cffffd24d很多好东西|r|Cfff0f0f0，也有可能|r|Cffcccccc打很多水漂|r|Cfff0f0f0。|n|n|r|Cff00ff7f观今夜星象，使劲抽就完事了...|r</v>
      </c>
      <c r="J191" s="129" t="str">
        <f t="shared" si="72"/>
        <v>|CffFFD24D占星卜卦|r - [|cffffcc0010连|r]</v>
      </c>
      <c r="K191" s="129" t="str">
        <f t="shared" si="73"/>
        <v>|CffF0F0F0有几率获得|r|Cffffd24d很多好东西|r|Cfff0f0f0，也有可能|r|Cffcccccc打很多水漂|r|Cfff0f0f0。|n|n|r|Cff00ff7f观今夜星象，使劲抽就完事了...|r</v>
      </c>
      <c r="L191" s="27"/>
      <c r="M191" s="130" t="str">
        <f>VLOOKUP(LEFT(RIGHT(B191,5),4),物品!B:CU,20,FALSE)</f>
        <v>ReplaceableTextures\\CommandButtons\\BTNIH00.blp</v>
      </c>
      <c r="N191" s="148" t="s">
        <v>83</v>
      </c>
      <c r="O191" s="130" t="s">
        <v>95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39999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IS13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|cffffd24d强化饰品等级|n|r</v>
      </c>
      <c r="I192" s="27" t="str">
        <f>VLOOKUP(B192,物品!B:CV,99,FALSE)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2" s="129" t="str">
        <f t="shared" si="72"/>
        <v>|cffffd24d强化饰品等级|n|r</v>
      </c>
      <c r="K192" s="129" t="str">
        <f t="shared" si="73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2" s="27"/>
      <c r="M192" s="130" t="str">
        <f>VLOOKUP(LEFT(RIGHT(B192,5),4),物品!B:CU,20,FALSE)</f>
        <v>ReplaceableTextures\\CommandButtons\\BTNZ10.blp</v>
      </c>
      <c r="N192" s="148" t="s">
        <v>83</v>
      </c>
      <c r="O192" s="130" t="s">
        <v>95</v>
      </c>
      <c r="P192" s="27">
        <v>2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IS14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|CffFFD24D强化药品等级|r</v>
      </c>
      <c r="I193" s="27" t="str">
        <f>VLOOKUP(B193,物品!B:CV,99,FALSE)</f>
        <v>|cffffcc00升级消耗：|r150+等级*150杀敌数|n|n|cff00ff7f最高升至10级|r</v>
      </c>
      <c r="J193" s="129" t="str">
        <f t="shared" ref="J193" si="86">H193</f>
        <v>|CffFFD24D强化药品等级|r</v>
      </c>
      <c r="K193" s="129" t="str">
        <f t="shared" ref="K193" si="87">I193</f>
        <v>|cffffcc00升级消耗：|r150+等级*150杀敌数|n|n|cff00ff7f最高升至10级|r</v>
      </c>
      <c r="L193" s="27"/>
      <c r="M193" s="130" t="str">
        <f>VLOOKUP(LEFT(RIGHT(B193,5),4),物品!B:CU,20,FALSE)</f>
        <v>ReplaceableTextures\\CommandButtons\\BTNAG06.blp</v>
      </c>
      <c r="N193" s="148" t="s">
        <v>83</v>
      </c>
      <c r="O193" s="130" t="s">
        <v>95</v>
      </c>
      <c r="P193" s="27">
        <v>0</v>
      </c>
      <c r="Q193" s="27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公众号礼包</v>
      </c>
      <c r="I194" s="27" t="str">
        <f>VLOOKUP(B194,物品!B:CV,99,FALSE)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4" s="129" t="str">
        <f t="shared" ref="J194:K198" si="88">H194</f>
        <v>公众号礼包</v>
      </c>
      <c r="K194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4" s="27"/>
      <c r="M194" s="130" t="str">
        <f>VLOOKUP(LEFT(RIGHT(B194,5),4),物品!B:CU,20,FALSE)</f>
        <v>ReplaceableTextures\\CommandButtons\\BTNIB01.blp</v>
      </c>
      <c r="N194" s="148" t="s">
        <v>83</v>
      </c>
      <c r="O194" s="130" t="s">
        <v>95</v>
      </c>
      <c r="P194" s="27">
        <v>0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入群礼包</v>
      </c>
      <c r="I195" s="27" t="str">
        <f>VLOOKUP(B195,物品!B:CV,99,FALSE)</f>
        <v>加入《|cff00ffcc全民封神|r》官方QQ群，即可获得入群礼包码！|n|n输入礼包码即可获得：|n|cff00ff7f招魂幡Lv2|r</v>
      </c>
      <c r="J195" s="129" t="str">
        <f t="shared" si="88"/>
        <v>入群礼包</v>
      </c>
      <c r="K195" s="129" t="str">
        <f t="shared" si="88"/>
        <v>加入《|cff00ffcc全民封神|r》官方QQ群，即可获得入群礼包码！|n|n输入礼包码即可获得：|n|cff00ff7f招魂幡Lv2|r</v>
      </c>
      <c r="L195" s="27"/>
      <c r="M195" s="130" t="str">
        <f>VLOOKUP(LEFT(RIGHT(B195,5),4),物品!B:CU,20,FALSE)</f>
        <v>ReplaceableTextures\\CommandButtons\\BTNIB02.blp</v>
      </c>
      <c r="N195" s="148" t="s">
        <v>83</v>
      </c>
      <c r="O195" s="130" t="s">
        <v>95</v>
      </c>
      <c r="P195" s="27">
        <v>1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拜年礼包</v>
      </c>
      <c r="I196" s="27" t="str">
        <f>VLOOKUP(B196,物品!B:CV,99,FALSE)</f>
        <v>|cff99ccff给与地图有效评论建议|r即可领取：|n|cffffff00杀敌生命+5+3*通行证等级|n杀敌业力+1|n|n|r|cff808080地图等级达到3级可领取|r</v>
      </c>
      <c r="J196" s="129" t="str">
        <f t="shared" si="88"/>
        <v>拜年礼包</v>
      </c>
      <c r="K196" s="129" t="str">
        <f t="shared" si="88"/>
        <v>|cff99ccff给与地图有效评论建议|r即可领取：|n|cffffff00杀敌生命+5+3*通行证等级|n杀敌业力+1|n|n|r|cff808080地图等级达到3级可领取|r</v>
      </c>
      <c r="L196" s="27"/>
      <c r="M196" s="130" t="str">
        <f>VLOOKUP(LEFT(RIGHT(B196,5),4),物品!B:CU,20,FALSE)</f>
        <v>ReplaceableTextures\\CommandButtons\\BTNIB03.blp</v>
      </c>
      <c r="N196" s="148" t="s">
        <v>83</v>
      </c>
      <c r="O196" s="130" t="s">
        <v>95</v>
      </c>
      <c r="P196" s="27">
        <v>2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收藏礼包</v>
      </c>
      <c r="I197" s="27" t="str">
        <f>VLOOKUP(B197,物品!B:CV,99,FALSE)</f>
        <v>|cff99ccff房间大厅界面点击右上角《|r|cffcc99ff收藏|r|cff99ccff》后可领取该礼包。|n|n|r属性：|n|cffffcc33物理伤害+5%|n法术伤害+5%|r</v>
      </c>
      <c r="J197" s="129" t="str">
        <f t="shared" si="88"/>
        <v>收藏礼包</v>
      </c>
      <c r="K197" s="129" t="str">
        <f t="shared" si="88"/>
        <v>|cff99ccff房间大厅界面点击右上角《|r|cffcc99ff收藏|r|cff99ccff》后可领取该礼包。|n|n|r属性：|n|cffffcc33物理伤害+5%|n法术伤害+5%|r</v>
      </c>
      <c r="L197" s="27"/>
      <c r="M197" s="130" t="str">
        <f>VLOOKUP(LEFT(RIGHT(B197,5),4),物品!B:CU,20,FALSE)</f>
        <v>ReplaceableTextures\\CommandButtons\\BTNIB04.blp</v>
      </c>
      <c r="N197" s="148" t="s">
        <v>83</v>
      </c>
      <c r="O197" s="130" t="s">
        <v>95</v>
      </c>
      <c r="P197" s="27">
        <v>3</v>
      </c>
      <c r="Q197" s="27">
        <v>0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重置版礼包</v>
      </c>
      <c r="I198" s="27" t="str">
        <f>VLOOKUP(B198,物品!B:CV,99,FALSE)</f>
        <v>|cff33ff00购买魔兽重制版可领取该礼包！|n|n|r属性：|n|cffffcc33金币+1000|n每秒攻击+2|n每秒业力+1|r</v>
      </c>
      <c r="J198" s="129" t="str">
        <f t="shared" si="88"/>
        <v>重置版礼包</v>
      </c>
      <c r="K198" s="129" t="str">
        <f t="shared" si="88"/>
        <v>|cff33ff00购买魔兽重制版可领取该礼包！|n|n|r属性：|n|cffffcc33金币+1000|n每秒攻击+2|n每秒业力+1|r</v>
      </c>
      <c r="L198" s="27"/>
      <c r="M198" s="130" t="str">
        <f>VLOOKUP(LEFT(RIGHT(B198,5),4),物品!B:CU,20,FALSE)</f>
        <v>ReplaceableTextures\\CommandButtons\\BTNIB05.blp</v>
      </c>
      <c r="N198" s="148" t="s">
        <v>83</v>
      </c>
      <c r="O198" s="130" t="s">
        <v>95</v>
      </c>
      <c r="P198" s="27">
        <v>0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公会福利</v>
      </c>
      <c r="I199" s="27" t="str">
        <f>VLOOKUP(B199,物品!B:CV,99,FALSE)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9" s="129" t="str">
        <f t="shared" ref="J199:J203" si="89">H199</f>
        <v>公会福利</v>
      </c>
      <c r="K199" s="129" t="str">
        <f t="shared" ref="K199:K203" si="90">I199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9" s="27"/>
      <c r="M199" s="130" t="str">
        <f>VLOOKUP(LEFT(RIGHT(B199,5),4),物品!B:CU,20,FALSE)</f>
        <v>ReplaceableTextures\\CommandButtons\\BTNIB06.blp</v>
      </c>
      <c r="N199" s="148" t="s">
        <v>83</v>
      </c>
      <c r="O199" s="130" t="s">
        <v>95</v>
      </c>
      <c r="P199" s="27">
        <v>1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星耀礼包</v>
      </c>
      <c r="I200" s="27" t="str">
        <f>VLOOKUP(B200,物品!B:CV,99,FALSE)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0" s="129" t="str">
        <f t="shared" si="89"/>
        <v>星耀礼包</v>
      </c>
      <c r="K200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0" s="27"/>
      <c r="M200" s="130" t="str">
        <f>VLOOKUP(LEFT(RIGHT(B200,5),4),物品!B:CU,20,FALSE)</f>
        <v>ReplaceableTextures\\CommandButtons\\BTNIB07.blp</v>
      </c>
      <c r="N200" s="148" t="s">
        <v>83</v>
      </c>
      <c r="O200" s="130" t="s">
        <v>95</v>
      </c>
      <c r="P200" s="27">
        <v>2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魔芝RPG礼包</v>
      </c>
      <c r="I201" s="27" t="str">
        <f>VLOOKUP(B201,物品!B:CV,99,FALSE)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1" s="129" t="str">
        <f t="shared" si="89"/>
        <v>魔芝RPG礼包</v>
      </c>
      <c r="K201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1" s="27"/>
      <c r="M201" s="130" t="str">
        <f>VLOOKUP(LEFT(RIGHT(B201,5),4),物品!B:CU,20,FALSE)</f>
        <v>ReplaceableTextures\\CommandButtons\\BTNIB08.blp</v>
      </c>
      <c r="N201" s="148" t="s">
        <v>83</v>
      </c>
      <c r="O201" s="130" t="s">
        <v>95</v>
      </c>
      <c r="P201" s="27">
        <v>2</v>
      </c>
      <c r="Q201" s="27">
        <v>0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老铁礼包</v>
      </c>
      <c r="I202" s="27">
        <f>VLOOKUP(B202,物品!B:CV,99,FALSE)</f>
        <v>0</v>
      </c>
      <c r="J202" s="129" t="str">
        <f t="shared" si="89"/>
        <v>老铁礼包</v>
      </c>
      <c r="K202" s="129">
        <f t="shared" si="90"/>
        <v>0</v>
      </c>
      <c r="L202" s="27"/>
      <c r="M202" s="130" t="str">
        <f>VLOOKUP(LEFT(RIGHT(B202,5),4),物品!B:CU,20,FALSE)</f>
        <v>ReplaceableTextures\\CommandButtons\\BTNIB09.blp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IB51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已领取公众号礼包</v>
      </c>
      <c r="I203" s="27" t="str">
        <f>VLOOKUP(B203,物品!B:CV,99,FALSE)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29" t="str">
        <f t="shared" si="89"/>
        <v>已领取公众号礼包</v>
      </c>
      <c r="K203" s="12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0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IB52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已领取入群礼包</v>
      </c>
      <c r="I204" s="27" t="str">
        <f>VLOOKUP(B204,物品!B:CV,99,FALSE)</f>
        <v>加入《|cff00ffcc全民封神|r》官方QQ群，即可获得入群礼包码！|n|n输入礼包码即可获得：|n|cff00ff7f招魂幡Lv2|r</v>
      </c>
      <c r="J204" s="129" t="str">
        <f t="shared" ref="J204:J211" si="91">H204</f>
        <v>已领取入群礼包</v>
      </c>
      <c r="K204" s="129" t="str">
        <f t="shared" ref="K204:K211" si="92">I204</f>
        <v>加入《|cff00ffcc全民封神|r》官方QQ群，即可获得入群礼包码！|n|n输入礼包码即可获得：|n|cff00ff7f招魂幡Lv2|r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1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IB53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已领取拜年礼包</v>
      </c>
      <c r="I205" s="27" t="str">
        <f>VLOOKUP(B205,物品!B:CV,99,FALSE)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5" s="129" t="str">
        <f t="shared" si="91"/>
        <v>已领取拜年礼包</v>
      </c>
      <c r="K205" s="12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2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IB54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已领取收藏礼包</v>
      </c>
      <c r="I206" s="27" t="str">
        <f>VLOOKUP(B206,物品!B:CV,99,FALSE)</f>
        <v>|cff99ccff房间大厅界面点击右上角《|r|cffcc99ff收藏|r|cff99ccff》后可领取该礼包。|n|n|r属性：|n|cffffcc33物理伤害+5%|n法术伤害+5%|r</v>
      </c>
      <c r="J206" s="129" t="str">
        <f t="shared" si="91"/>
        <v>已领取收藏礼包</v>
      </c>
      <c r="K206" s="129" t="str">
        <f t="shared" si="92"/>
        <v>|cff99ccff房间大厅界面点击右上角《|r|cffcc99ff收藏|r|cff99ccff》后可领取该礼包。|n|n|r属性：|n|cffffcc33物理伤害+5%|n法术伤害+5%|r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3</v>
      </c>
      <c r="Q206" s="27">
        <v>0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IB55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已领取重置版礼包</v>
      </c>
      <c r="I207" s="27" t="str">
        <f>VLOOKUP(B207,物品!B:CV,99,FALSE)</f>
        <v>|cff33ff00购买魔兽重制版可领取该礼包！|n|n|r属性：|n|cffffcc33金币+1000|n每秒攻击+2|n每秒业力+1|r</v>
      </c>
      <c r="J207" s="129" t="str">
        <f t="shared" si="91"/>
        <v>已领取重置版礼包</v>
      </c>
      <c r="K207" s="129" t="str">
        <f t="shared" si="92"/>
        <v>|cff33ff00购买魔兽重制版可领取该礼包！|n|n|r属性：|n|cffffcc33金币+1000|n每秒攻击+2|n每秒业力+1|r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0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IB56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已领取公会福利</v>
      </c>
      <c r="I208" s="27" t="str">
        <f>VLOOKUP(B208,物品!B:CV,99,FALSE)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29" t="str">
        <f t="shared" si="91"/>
        <v>已领取公会福利</v>
      </c>
      <c r="K208" s="12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1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IB57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已领取星耀礼包</v>
      </c>
      <c r="I209" s="27" t="str">
        <f>VLOOKUP(B209,物品!B:CV,99,FALSE)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29" t="str">
        <f t="shared" si="91"/>
        <v>已领取星耀礼包</v>
      </c>
      <c r="K209" s="12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2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IB58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已领取魔芝RPG礼包</v>
      </c>
      <c r="I210" s="27" t="str">
        <f>VLOOKUP(B210,物品!B:CV,99,FALSE)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29" t="str">
        <f t="shared" si="91"/>
        <v>已领取魔芝RPG礼包</v>
      </c>
      <c r="K210" s="12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2</v>
      </c>
      <c r="Q210" s="27">
        <v>0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IB59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已领取老铁礼包</v>
      </c>
      <c r="I211" s="27" t="str">
        <f>VLOOKUP(B211,物品!B:CV,99,FALSE)</f>
        <v>已领取老铁礼包</v>
      </c>
      <c r="J211" s="129" t="str">
        <f t="shared" si="91"/>
        <v>已领取老铁礼包</v>
      </c>
      <c r="K211" s="129" t="str">
        <f t="shared" si="92"/>
        <v>已领取老铁礼包</v>
      </c>
      <c r="L211" s="27"/>
      <c r="M211" s="130" t="str">
        <f>VLOOKUP(LEFT(RIGHT(B211,5),4),物品!B:CU,20,FALSE)</f>
        <v>ReplaceableTextures\\commandButtons\\BTNLBUI01.blp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IF01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29" t="str">
        <f t="shared" ref="J212" si="93">H212</f>
        <v>附魔</v>
      </c>
      <c r="K212" s="129">
        <f t="shared" ref="K212" si="94">I212</f>
        <v>0</v>
      </c>
      <c r="L212" s="27"/>
      <c r="M212" s="130">
        <f>VLOOKUP(LEFT(RIGHT(B212,5),4),物品!B:CU,20,FALSE)</f>
        <v>0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IF02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29" t="str">
        <f t="shared" ref="J213:J238" si="95">H213</f>
        <v>附魔</v>
      </c>
      <c r="K213" s="129">
        <f t="shared" ref="K213:K238" si="96">I213</f>
        <v>0</v>
      </c>
      <c r="L213" s="27"/>
      <c r="M213" s="130">
        <f>VLOOKUP(LEFT(RIGHT(B213,5),4),物品!B:CU,20,FALSE)</f>
        <v>0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IF03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29" t="str">
        <f t="shared" si="95"/>
        <v>附魔</v>
      </c>
      <c r="K214" s="129">
        <f t="shared" si="96"/>
        <v>0</v>
      </c>
      <c r="L214" s="27"/>
      <c r="M214" s="130">
        <f>VLOOKUP(LEFT(RIGHT(B214,5),4),物品!B:CU,20,FALSE)</f>
        <v>0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IF04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29" t="str">
        <f t="shared" si="95"/>
        <v>附魔</v>
      </c>
      <c r="K215" s="129">
        <f t="shared" si="96"/>
        <v>0</v>
      </c>
      <c r="L215" s="27"/>
      <c r="M215" s="130">
        <f>VLOOKUP(LEFT(RIGHT(B215,5),4),物品!B:CU,20,FALSE)</f>
        <v>0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IF05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si="95"/>
        <v>附魔</v>
      </c>
      <c r="K216" s="129">
        <f t="shared" si="96"/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IF06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si="95"/>
        <v>附魔</v>
      </c>
      <c r="K217" s="129">
        <f t="shared" si="96"/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IF07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5"/>
        <v>附魔</v>
      </c>
      <c r="K218" s="129">
        <f t="shared" si="96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5"/>
        <v>附魔</v>
      </c>
      <c r="K219" s="129">
        <f t="shared" si="96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IF09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5"/>
        <v>附魔</v>
      </c>
      <c r="K220" s="129">
        <f t="shared" si="96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IF10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5"/>
        <v>附魔</v>
      </c>
      <c r="K221" s="129">
        <f t="shared" si="96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IF11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5"/>
        <v>附魔</v>
      </c>
      <c r="K222" s="129">
        <f t="shared" si="96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IF12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5"/>
        <v>附魔</v>
      </c>
      <c r="K223" s="129">
        <f t="shared" si="96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IF13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5"/>
        <v>附魔</v>
      </c>
      <c r="K224" s="129">
        <f t="shared" si="96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5"/>
        <v>附魔</v>
      </c>
      <c r="K225" s="129">
        <f t="shared" si="96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5"/>
        <v>附魔</v>
      </c>
      <c r="K226" s="129">
        <f t="shared" si="96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5"/>
        <v>附魔</v>
      </c>
      <c r="K227" s="129">
        <f t="shared" si="96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5"/>
        <v>附魔</v>
      </c>
      <c r="K228" s="129">
        <f t="shared" si="96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5"/>
        <v>附魔</v>
      </c>
      <c r="K229" s="129">
        <f t="shared" si="96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IF19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5"/>
        <v>附魔</v>
      </c>
      <c r="K230" s="129">
        <f t="shared" si="96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IF20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5"/>
        <v>附魔</v>
      </c>
      <c r="K231" s="129">
        <f t="shared" si="96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IF21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5"/>
        <v>附魔</v>
      </c>
      <c r="K232" s="129">
        <f t="shared" si="96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IF22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5"/>
        <v>附魔</v>
      </c>
      <c r="K233" s="129">
        <f t="shared" si="96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IF23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5"/>
        <v>附魔</v>
      </c>
      <c r="K234" s="129">
        <f t="shared" si="96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IF24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5"/>
        <v>附魔</v>
      </c>
      <c r="K235" s="129">
        <f t="shared" si="96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IF25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5"/>
        <v>附魔</v>
      </c>
      <c r="K236" s="129">
        <f t="shared" si="96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IF26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IF27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IF28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ref="J239:J241" si="97">H239</f>
        <v>附魔</v>
      </c>
      <c r="K239" s="129">
        <f t="shared" ref="K239:K241" si="98">I239</f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IF29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7"/>
        <v>附魔</v>
      </c>
      <c r="K240" s="129">
        <f t="shared" si="98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IF30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si="97"/>
        <v>附魔</v>
      </c>
      <c r="K241" s="129">
        <f t="shared" si="98"/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IF31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ref="J242:J255" si="99">H242</f>
        <v>附魔</v>
      </c>
      <c r="K242" s="129">
        <f t="shared" ref="K242:K255" si="100">I242</f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IF32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29" t="str">
        <f t="shared" ref="J243" si="101">H243</f>
        <v>附魔</v>
      </c>
      <c r="K243" s="129">
        <f t="shared" ref="K243" si="102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IC00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没抽到任何东西</v>
      </c>
      <c r="I244" s="27">
        <f>VLOOKUP(B244,物品!B:CV,99,FALSE)</f>
        <v>0</v>
      </c>
      <c r="J244" s="129" t="str">
        <f t="shared" ref="J244" si="103">H244</f>
        <v>没抽到任何东西</v>
      </c>
      <c r="K244" s="129">
        <f t="shared" ref="K244" si="104">I244</f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IC01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玄铁</v>
      </c>
      <c r="I245" s="27">
        <f>VLOOKUP(B245,物品!B:CV,99,FALSE)</f>
        <v>0</v>
      </c>
      <c r="J245" s="129" t="str">
        <f t="shared" si="99"/>
        <v>玄铁</v>
      </c>
      <c r="K245" s="129">
        <f t="shared" si="100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IC02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杀敌数</v>
      </c>
      <c r="I246" s="27">
        <f>VLOOKUP(B246,物品!B:CV,99,FALSE)</f>
        <v>0</v>
      </c>
      <c r="J246" s="129" t="str">
        <f t="shared" si="99"/>
        <v>杀敌数</v>
      </c>
      <c r="K246" s="129">
        <f t="shared" si="100"/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IC03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攻击力低</v>
      </c>
      <c r="I247" s="27">
        <f>VLOOKUP(B247,物品!B:CV,99,FALSE)</f>
        <v>0</v>
      </c>
      <c r="J247" s="129" t="str">
        <f t="shared" si="99"/>
        <v>攻击力低</v>
      </c>
      <c r="K247" s="129">
        <f t="shared" si="100"/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攻击力中</v>
      </c>
      <c r="I248" s="27">
        <f>VLOOKUP(B248,物品!B:CV,99,FALSE)</f>
        <v>0</v>
      </c>
      <c r="J248" s="129" t="str">
        <f t="shared" si="99"/>
        <v>攻击力中</v>
      </c>
      <c r="K248" s="129">
        <f t="shared" si="100"/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攻击力高</v>
      </c>
      <c r="I249" s="27">
        <f>VLOOKUP(B249,物品!B:CV,99,FALSE)</f>
        <v>0</v>
      </c>
      <c r="J249" s="129" t="str">
        <f t="shared" si="99"/>
        <v>攻击力高</v>
      </c>
      <c r="K249" s="129">
        <f t="shared" si="100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生命值低</v>
      </c>
      <c r="I250" s="27">
        <f>VLOOKUP(B250,物品!B:CV,99,FALSE)</f>
        <v>0</v>
      </c>
      <c r="J250" s="129" t="str">
        <f t="shared" si="99"/>
        <v>生命值低</v>
      </c>
      <c r="K250" s="129">
        <f t="shared" si="100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生命值中</v>
      </c>
      <c r="I251" s="27">
        <f>VLOOKUP(B251,物品!B:CV,99,FALSE)</f>
        <v>0</v>
      </c>
      <c r="J251" s="129" t="str">
        <f t="shared" si="99"/>
        <v>生命值中</v>
      </c>
      <c r="K251" s="129">
        <f t="shared" si="100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生命值高</v>
      </c>
      <c r="I252" s="27">
        <f>VLOOKUP(B252,物品!B:CV,99,FALSE)</f>
        <v>0</v>
      </c>
      <c r="J252" s="129" t="str">
        <f t="shared" si="99"/>
        <v>生命值高</v>
      </c>
      <c r="K252" s="129">
        <f t="shared" si="100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业力低</v>
      </c>
      <c r="I253" s="27">
        <f>VLOOKUP(B253,物品!B:CV,99,FALSE)</f>
        <v>0</v>
      </c>
      <c r="J253" s="129" t="str">
        <f t="shared" si="99"/>
        <v>业力低</v>
      </c>
      <c r="K253" s="129">
        <f t="shared" si="100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IC10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业力中</v>
      </c>
      <c r="I254" s="27">
        <f>VLOOKUP(B254,物品!B:CV,99,FALSE)</f>
        <v>0</v>
      </c>
      <c r="J254" s="129" t="str">
        <f t="shared" si="99"/>
        <v>业力中</v>
      </c>
      <c r="K254" s="129">
        <f t="shared" si="100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 t="str">
        <f>物品!B255</f>
        <v>IC11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业力高</v>
      </c>
      <c r="I255" s="27">
        <f>VLOOKUP(B255,物品!B:CV,99,FALSE)</f>
        <v>0</v>
      </c>
      <c r="J255" s="129" t="str">
        <f t="shared" si="99"/>
        <v>业力高</v>
      </c>
      <c r="K255" s="129">
        <f t="shared" si="100"/>
        <v>0</v>
      </c>
      <c r="L255" s="27"/>
      <c r="M255" s="130">
        <f>VLOOKUP(LEFT(RIGHT(B255,5),4),物品!B:CU,20,FALSE)</f>
        <v>0</v>
      </c>
      <c r="N255" s="148" t="s">
        <v>83</v>
      </c>
      <c r="O255" s="130" t="s">
        <v>95</v>
      </c>
      <c r="P255" s="27">
        <v>0</v>
      </c>
      <c r="Q255" s="27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27"/>
      <c r="W255" s="27" t="s">
        <v>88</v>
      </c>
      <c r="X255" s="27">
        <v>0</v>
      </c>
      <c r="Y255" s="14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27">
        <v>1</v>
      </c>
      <c r="AJ255" s="27"/>
      <c r="AK255" s="27">
        <v>1</v>
      </c>
      <c r="AL255" s="27">
        <v>1</v>
      </c>
      <c r="AM255" s="148" t="s">
        <v>83</v>
      </c>
      <c r="AN255" s="27">
        <v>1</v>
      </c>
      <c r="AO255" s="27">
        <v>1</v>
      </c>
      <c r="AP255" s="27">
        <v>1</v>
      </c>
    </row>
    <row r="256" spans="1:42">
      <c r="A256" s="127"/>
      <c r="B256" s="27"/>
      <c r="C256" s="27"/>
      <c r="D256" s="27"/>
      <c r="E256" s="27"/>
      <c r="F256" s="27"/>
      <c r="G256" s="27"/>
      <c r="H256" s="27"/>
      <c r="I256" s="27"/>
      <c r="J256" s="129"/>
      <c r="K256" s="129"/>
      <c r="L256" s="27"/>
      <c r="M256" s="130"/>
      <c r="N256" s="27"/>
      <c r="O256" s="130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27"/>
      <c r="B257" s="27"/>
      <c r="C257" s="27"/>
      <c r="D257" s="27"/>
      <c r="E257" s="27"/>
      <c r="F257" s="27"/>
      <c r="G257" s="27"/>
      <c r="H257" s="27"/>
      <c r="I257" s="27"/>
      <c r="J257" s="129"/>
      <c r="K257" s="129"/>
      <c r="L257" s="27"/>
      <c r="M257" s="130"/>
      <c r="N257" s="27"/>
      <c r="O257" s="130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27"/>
      <c r="B258" s="27"/>
      <c r="C258" s="27"/>
      <c r="D258" s="27"/>
      <c r="E258" s="27"/>
      <c r="F258" s="27"/>
      <c r="G258" s="27"/>
      <c r="H258" s="27"/>
      <c r="I258" s="27"/>
      <c r="J258" s="129"/>
      <c r="K258" s="129"/>
      <c r="L258" s="27"/>
      <c r="M258" s="130"/>
      <c r="N258" s="27"/>
      <c r="O258" s="130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27"/>
      <c r="B259" s="27"/>
      <c r="C259" s="27"/>
      <c r="D259" s="27"/>
      <c r="E259" s="27"/>
      <c r="F259" s="27"/>
      <c r="G259" s="27"/>
      <c r="H259" s="27"/>
      <c r="I259" s="27"/>
      <c r="J259" s="129"/>
      <c r="K259" s="129"/>
      <c r="L259" s="27"/>
      <c r="M259" s="130"/>
      <c r="N259" s="27"/>
      <c r="O259" s="130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7"/>
      <c r="B303" s="27"/>
      <c r="C303" s="27"/>
      <c r="D303" s="27"/>
      <c r="E303" s="27"/>
      <c r="F303" s="27"/>
      <c r="G303" s="27"/>
      <c r="H303" s="27"/>
      <c r="I303" s="27"/>
      <c r="J303" s="129"/>
      <c r="K303" s="129"/>
      <c r="L303" s="27"/>
      <c r="M303" s="130"/>
      <c r="N303" s="27"/>
      <c r="O303" s="13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B304" s="132"/>
      <c r="C304" s="27"/>
      <c r="D304" s="27"/>
      <c r="E304" s="27"/>
      <c r="H304" s="27"/>
      <c r="J304" s="129"/>
      <c r="K304" s="27"/>
      <c r="L304" s="27"/>
      <c r="O304" s="130"/>
      <c r="P304" s="27"/>
      <c r="Q304" s="27"/>
      <c r="W304" s="123"/>
      <c r="X304" s="123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2"/>
      <c r="C305" s="27"/>
      <c r="D305" s="27"/>
      <c r="E305" s="27"/>
      <c r="H305" s="27"/>
      <c r="J305" s="129"/>
      <c r="K305" s="27"/>
      <c r="L305" s="27"/>
      <c r="O305" s="130"/>
      <c r="P305" s="27"/>
      <c r="Q305" s="27"/>
      <c r="W305" s="123"/>
      <c r="X305" s="123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2"/>
      <c r="C306" s="27"/>
      <c r="D306" s="27"/>
      <c r="E306" s="27"/>
      <c r="H306" s="27"/>
      <c r="J306" s="129"/>
      <c r="K306" s="27"/>
      <c r="L306" s="27"/>
      <c r="O306" s="130"/>
      <c r="P306" s="27"/>
      <c r="Q306" s="27"/>
      <c r="W306" s="123"/>
      <c r="X306" s="123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2"/>
      <c r="C307" s="27"/>
      <c r="D307" s="27"/>
      <c r="E307" s="27"/>
      <c r="H307" s="27"/>
      <c r="J307" s="129"/>
      <c r="K307" s="27"/>
      <c r="L307" s="27"/>
      <c r="O307" s="130"/>
      <c r="P307" s="27"/>
      <c r="Q307" s="27"/>
      <c r="W307" s="123"/>
      <c r="X307" s="123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2"/>
      <c r="C356" s="27"/>
      <c r="D356" s="27"/>
      <c r="E356" s="27"/>
      <c r="H356" s="27"/>
      <c r="J356" s="129"/>
      <c r="K356" s="27"/>
      <c r="L356" s="27"/>
      <c r="O356" s="130"/>
      <c r="P356" s="27"/>
      <c r="Q356" s="27"/>
      <c r="W356" s="123"/>
      <c r="X356" s="12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23"/>
      <c r="C357" s="27"/>
      <c r="D357" s="27"/>
      <c r="E357" s="27"/>
      <c r="H357" s="27"/>
      <c r="J357" s="129"/>
      <c r="K357" s="27"/>
      <c r="L357" s="27"/>
      <c r="M357" s="133"/>
      <c r="O357" s="130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3"/>
      <c r="C358" s="27"/>
      <c r="D358" s="27"/>
      <c r="E358" s="27"/>
      <c r="H358" s="27"/>
      <c r="J358" s="129"/>
      <c r="K358" s="27"/>
      <c r="L358" s="27"/>
      <c r="M358" s="133"/>
      <c r="O358" s="130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3"/>
      <c r="C359" s="27"/>
      <c r="D359" s="27"/>
      <c r="E359" s="27"/>
      <c r="H359" s="27"/>
      <c r="J359" s="129"/>
      <c r="K359" s="27"/>
      <c r="L359" s="27"/>
      <c r="M359" s="133"/>
      <c r="O359" s="130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3"/>
      <c r="C360" s="27"/>
      <c r="D360" s="27"/>
      <c r="E360" s="27"/>
      <c r="H360" s="27"/>
      <c r="J360" s="129"/>
      <c r="K360" s="27"/>
      <c r="L360" s="27"/>
      <c r="M360" s="133"/>
      <c r="O360" s="130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O362" s="130"/>
      <c r="P362" s="27"/>
      <c r="Q362" s="27"/>
      <c r="W362" s="27"/>
      <c r="X362" s="27"/>
      <c r="Z362" s="27"/>
      <c r="AA362" s="27"/>
      <c r="AC362" s="27"/>
      <c r="AD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29"/>
      <c r="K367" s="27"/>
      <c r="L367" s="27"/>
      <c r="M367" s="133"/>
      <c r="P367" s="27"/>
      <c r="Q367" s="27"/>
      <c r="W367" s="27"/>
      <c r="X367" s="2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34"/>
      <c r="K368" s="123"/>
      <c r="L368" s="27"/>
      <c r="M368" s="133"/>
      <c r="O368" s="130"/>
      <c r="P368" s="27"/>
      <c r="Q368" s="27"/>
      <c r="W368" s="123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34"/>
      <c r="K369" s="123"/>
      <c r="L369" s="27"/>
      <c r="M369" s="133"/>
      <c r="O369" s="130"/>
      <c r="P369" s="27"/>
      <c r="Q369" s="27"/>
      <c r="W369" s="123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34"/>
      <c r="K370" s="123"/>
      <c r="L370" s="27"/>
      <c r="M370" s="133"/>
      <c r="O370" s="130"/>
      <c r="P370" s="27"/>
      <c r="Q370" s="27"/>
      <c r="W370" s="123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34"/>
      <c r="K371" s="123"/>
      <c r="L371" s="27"/>
      <c r="M371" s="133"/>
      <c r="O371" s="130"/>
      <c r="P371" s="27"/>
      <c r="Q371" s="27"/>
      <c r="W371" s="123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R372" s="123"/>
      <c r="S372" s="123"/>
      <c r="T372" s="123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R373" s="123"/>
      <c r="S373" s="123"/>
      <c r="T373" s="123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R374" s="123"/>
      <c r="S374" s="123"/>
      <c r="T374" s="123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R375" s="123"/>
      <c r="S375" s="123"/>
      <c r="T375" s="123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123"/>
      <c r="S383" s="123"/>
      <c r="T383" s="123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27"/>
      <c r="S384" s="27"/>
      <c r="T384" s="27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3"/>
      <c r="C385" s="27"/>
      <c r="D385" s="27"/>
      <c r="E385" s="27"/>
      <c r="H385" s="27"/>
      <c r="J385" s="134"/>
      <c r="K385" s="123"/>
      <c r="L385" s="27"/>
      <c r="M385" s="133"/>
      <c r="O385" s="130"/>
      <c r="P385" s="27"/>
      <c r="Q385" s="27"/>
      <c r="R385" s="27"/>
      <c r="S385" s="27"/>
      <c r="T385" s="27"/>
      <c r="W385" s="12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 s="124" customFormat="1">
      <c r="E386" s="27"/>
      <c r="H386" s="27"/>
      <c r="J386" s="129"/>
      <c r="AB386" s="27"/>
    </row>
    <row r="387" spans="2:42" s="124" customFormat="1">
      <c r="E387" s="27"/>
      <c r="H387" s="27"/>
      <c r="J387" s="129"/>
      <c r="AB387" s="27"/>
    </row>
    <row r="388" spans="2:42" s="124" customFormat="1">
      <c r="E388" s="27"/>
      <c r="H388" s="27"/>
      <c r="J388" s="129"/>
      <c r="AB388" s="27"/>
    </row>
    <row r="389" spans="2:42" s="124" customFormat="1">
      <c r="E389" s="27"/>
      <c r="H389" s="27"/>
      <c r="J389" s="129"/>
      <c r="AB389" s="27"/>
    </row>
    <row r="390" spans="2:42" s="124" customFormat="1">
      <c r="E390" s="27"/>
      <c r="H390" s="27"/>
      <c r="J390" s="129"/>
      <c r="AB390" s="27"/>
    </row>
    <row r="391" spans="2:42" s="124" customFormat="1">
      <c r="E391" s="27"/>
      <c r="H391" s="27"/>
      <c r="J391" s="129"/>
      <c r="AB391" s="27"/>
    </row>
    <row r="392" spans="2:42" s="124" customFormat="1">
      <c r="E392" s="27"/>
      <c r="H392" s="27"/>
      <c r="J392" s="129"/>
      <c r="AB392" s="27"/>
    </row>
    <row r="393" spans="2:42" s="124" customFormat="1">
      <c r="E393" s="27"/>
      <c r="H393" s="27"/>
      <c r="J393" s="129"/>
      <c r="AB393" s="27"/>
    </row>
    <row r="394" spans="2:42" s="124" customFormat="1">
      <c r="E394" s="27"/>
      <c r="H394" s="27"/>
      <c r="J394" s="129"/>
      <c r="AB394" s="27"/>
    </row>
    <row r="395" spans="2:42" s="124" customFormat="1">
      <c r="E395" s="27"/>
      <c r="H395" s="27"/>
      <c r="J395" s="129"/>
      <c r="AB395" s="27"/>
    </row>
    <row r="396" spans="2:42" s="124" customFormat="1">
      <c r="E396" s="27"/>
      <c r="H396" s="27"/>
      <c r="J396" s="129"/>
      <c r="AB396" s="27"/>
    </row>
    <row r="397" spans="2:42" s="124" customFormat="1">
      <c r="E397" s="27"/>
      <c r="H397" s="27"/>
      <c r="J397" s="129"/>
      <c r="AB397" s="27"/>
    </row>
    <row r="398" spans="2:42" s="124" customFormat="1">
      <c r="E398" s="27"/>
      <c r="H398" s="27"/>
      <c r="J398" s="129"/>
      <c r="AB398" s="27"/>
    </row>
    <row r="399" spans="2:42" s="124" customFormat="1">
      <c r="E399" s="27"/>
      <c r="H399" s="27"/>
      <c r="J399" s="129"/>
      <c r="AB399" s="27"/>
    </row>
    <row r="400" spans="2:42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 s="124" customFormat="1">
      <c r="E403" s="27"/>
      <c r="H403" s="27"/>
      <c r="J403" s="129"/>
      <c r="AB403" s="27"/>
    </row>
    <row r="404" spans="2:42">
      <c r="B404" s="123"/>
      <c r="C404" s="27"/>
      <c r="D404" s="27"/>
      <c r="E404" s="27"/>
      <c r="H404" s="27"/>
      <c r="J404" s="129"/>
      <c r="K404" s="27"/>
      <c r="L404" s="27"/>
      <c r="O404" s="130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3"/>
      <c r="C405" s="27"/>
      <c r="D405" s="27"/>
      <c r="E405" s="27"/>
      <c r="H405" s="27"/>
      <c r="I405" s="124"/>
      <c r="J405" s="129"/>
      <c r="K405" s="27"/>
      <c r="L405" s="27"/>
      <c r="M405" s="124"/>
      <c r="O405" s="130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3"/>
      <c r="C406" s="27"/>
      <c r="D406" s="27"/>
      <c r="E406" s="27"/>
      <c r="H406" s="27"/>
      <c r="I406" s="124"/>
      <c r="J406" s="129"/>
      <c r="K406" s="27"/>
      <c r="L406" s="27"/>
      <c r="M406" s="124"/>
      <c r="O406" s="130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3"/>
      <c r="C407" s="27"/>
      <c r="D407" s="27"/>
      <c r="E407" s="27"/>
      <c r="H407" s="27"/>
      <c r="I407" s="124"/>
      <c r="J407" s="129"/>
      <c r="K407" s="27"/>
      <c r="L407" s="27"/>
      <c r="M407" s="124"/>
      <c r="O407" s="130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3"/>
      <c r="C408" s="27"/>
      <c r="D408" s="27"/>
      <c r="E408" s="27"/>
      <c r="H408" s="27"/>
      <c r="I408" s="124"/>
      <c r="J408" s="124"/>
      <c r="K408" s="27"/>
      <c r="L408" s="27"/>
      <c r="M408" s="124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4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4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3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I412" s="124"/>
      <c r="J412" s="123"/>
      <c r="K412" s="27"/>
      <c r="L412" s="27"/>
      <c r="M412" s="124"/>
      <c r="O412" s="130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J413" s="129"/>
      <c r="K413" s="27"/>
      <c r="L413" s="27"/>
      <c r="M413" s="133"/>
      <c r="O413" s="130"/>
      <c r="P413" s="27"/>
      <c r="Q413" s="27"/>
      <c r="W413" s="123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J414" s="129"/>
      <c r="K414" s="27"/>
      <c r="L414" s="27"/>
      <c r="M414" s="133"/>
      <c r="O414" s="130"/>
      <c r="P414" s="27"/>
      <c r="Q414" s="27"/>
      <c r="W414" s="123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J415" s="129"/>
      <c r="K415" s="27"/>
      <c r="L415" s="27"/>
      <c r="M415" s="133"/>
      <c r="O415" s="130"/>
      <c r="P415" s="27"/>
      <c r="Q415" s="27"/>
      <c r="W415" s="123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J416" s="129"/>
      <c r="K416" s="27"/>
      <c r="L416" s="27"/>
      <c r="M416" s="133"/>
      <c r="O416" s="130"/>
      <c r="P416" s="27"/>
      <c r="Q416" s="27"/>
      <c r="W416" s="123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5"/>
      <c r="O417" s="130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5"/>
      <c r="O418" s="130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5"/>
      <c r="O419" s="13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5"/>
      <c r="O420" s="13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3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4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4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4"/>
      <c r="C427" s="27"/>
      <c r="D427" s="27"/>
      <c r="E427" s="27"/>
      <c r="H427" s="27"/>
      <c r="J427" s="129"/>
      <c r="K427" s="27"/>
      <c r="L427" s="27"/>
      <c r="M427" s="135"/>
      <c r="O427" s="13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3"/>
      <c r="C428" s="27"/>
      <c r="D428" s="27"/>
      <c r="E428" s="27"/>
      <c r="H428" s="27"/>
      <c r="I428" s="124"/>
      <c r="J428" s="129"/>
      <c r="K428" s="27"/>
      <c r="L428" s="27"/>
      <c r="M428" s="133"/>
      <c r="O428" s="130"/>
      <c r="P428" s="27"/>
      <c r="Q428" s="27"/>
      <c r="W428" s="123"/>
      <c r="X428" s="27"/>
      <c r="Z428" s="27"/>
      <c r="AA428" s="27"/>
      <c r="AC428" s="27"/>
      <c r="AD428" s="27"/>
      <c r="AJ428" s="27"/>
      <c r="AK428" s="27"/>
    </row>
    <row r="429" spans="2:42">
      <c r="B429" s="123"/>
      <c r="C429" s="27"/>
      <c r="D429" s="27"/>
      <c r="E429" s="27"/>
      <c r="H429" s="27"/>
      <c r="J429" s="129"/>
      <c r="K429" s="27"/>
      <c r="L429" s="27"/>
      <c r="M429" s="133"/>
      <c r="O429" s="130"/>
      <c r="P429" s="27"/>
      <c r="Q429" s="27"/>
      <c r="W429" s="123"/>
      <c r="X429" s="27"/>
      <c r="Z429" s="27"/>
      <c r="AA429" s="27"/>
      <c r="AC429" s="27"/>
      <c r="AD429" s="27"/>
      <c r="AJ429" s="27"/>
      <c r="AK429" s="27"/>
    </row>
    <row r="430" spans="2:42">
      <c r="B430" s="123"/>
      <c r="C430" s="27"/>
      <c r="D430" s="27"/>
      <c r="E430" s="27"/>
      <c r="H430" s="27"/>
      <c r="J430" s="129"/>
      <c r="K430" s="27"/>
      <c r="L430" s="27"/>
      <c r="M430" s="133"/>
      <c r="O430" s="130"/>
      <c r="P430" s="27"/>
      <c r="Q430" s="27"/>
      <c r="W430" s="123"/>
      <c r="X430" s="27"/>
      <c r="Z430" s="27"/>
      <c r="AA430" s="27"/>
      <c r="AC430" s="27"/>
      <c r="AD430" s="27"/>
      <c r="AJ430" s="27"/>
      <c r="AK430" s="27"/>
    </row>
    <row r="431" spans="2:42">
      <c r="B431" s="123"/>
      <c r="C431" s="27"/>
      <c r="D431" s="27"/>
      <c r="E431" s="27"/>
      <c r="H431" s="27"/>
      <c r="J431" s="129"/>
      <c r="K431" s="27"/>
      <c r="L431" s="27"/>
      <c r="M431" s="133"/>
      <c r="O431" s="130"/>
      <c r="P431" s="27"/>
      <c r="Q431" s="27"/>
      <c r="W431" s="123"/>
      <c r="X431" s="27"/>
      <c r="Z431" s="27"/>
      <c r="AA431" s="27"/>
      <c r="AC431" s="27"/>
      <c r="AD431" s="27"/>
      <c r="AJ431" s="27"/>
      <c r="AK431" s="27"/>
    </row>
    <row r="432" spans="2:42">
      <c r="B432" s="123"/>
      <c r="C432" s="27"/>
      <c r="D432" s="27"/>
      <c r="E432" s="27"/>
      <c r="H432" s="27"/>
      <c r="J432" s="129"/>
      <c r="K432" s="27"/>
      <c r="L432" s="27"/>
      <c r="P432" s="27"/>
      <c r="Q432" s="27"/>
      <c r="W432" s="123"/>
      <c r="X432" s="27"/>
      <c r="Z432" s="27"/>
      <c r="AA432" s="27"/>
      <c r="AC432" s="27"/>
      <c r="AD432" s="27"/>
      <c r="AJ432" s="27"/>
      <c r="AK432" s="27"/>
      <c r="AO432" s="27"/>
      <c r="AP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O442" s="13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O443" s="130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O444" s="130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M445"/>
      <c r="O445" s="130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M446"/>
      <c r="O446" s="130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M447"/>
      <c r="O447" s="130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M448"/>
      <c r="O448" s="130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L468" s="27"/>
      <c r="M468"/>
      <c r="O468" s="13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M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M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M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M472" s="13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123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123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123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3"/>
      <c r="C488" s="27"/>
      <c r="D488" s="27"/>
      <c r="E488" s="27"/>
      <c r="H488" s="27"/>
      <c r="J488" s="129"/>
      <c r="K488" s="27"/>
      <c r="M488" s="13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I489" s="124"/>
      <c r="J489" s="129"/>
      <c r="K489" s="27"/>
      <c r="L489" s="27"/>
      <c r="M489" s="136"/>
      <c r="O489" s="130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I490" s="124"/>
      <c r="J490" s="129"/>
      <c r="K490" s="27"/>
      <c r="L490" s="27"/>
      <c r="M490" s="136"/>
      <c r="O490" s="130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I491" s="124"/>
      <c r="J491" s="129"/>
      <c r="K491" s="27"/>
      <c r="L491" s="27"/>
      <c r="M491" s="136"/>
      <c r="O491" s="130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I492" s="124"/>
      <c r="J492" s="129"/>
      <c r="K492" s="27"/>
      <c r="L492" s="27"/>
      <c r="M492" s="136"/>
      <c r="O492" s="130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4"/>
      <c r="C507" s="27"/>
      <c r="D507" s="27"/>
      <c r="E507" s="27"/>
      <c r="H507" s="27"/>
      <c r="I507" s="124"/>
      <c r="J507" s="129"/>
      <c r="K507" s="27"/>
      <c r="L507" s="27"/>
      <c r="M507" s="136"/>
      <c r="O507" s="13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3"/>
      <c r="C508" s="27"/>
      <c r="D508" s="27"/>
      <c r="E508" s="27"/>
      <c r="H508" s="27"/>
      <c r="J508" s="129"/>
      <c r="K508" s="27"/>
      <c r="L508" s="27"/>
      <c r="O508" s="130"/>
      <c r="P508" s="27"/>
      <c r="Q508" s="27"/>
      <c r="W508" s="123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3"/>
      <c r="C509" s="27"/>
      <c r="D509" s="27"/>
      <c r="E509" s="27"/>
      <c r="H509" s="27"/>
      <c r="J509" s="129"/>
      <c r="K509" s="27"/>
      <c r="L509" s="27"/>
      <c r="O509" s="130"/>
      <c r="P509" s="27"/>
      <c r="Q509" s="27"/>
      <c r="W509" s="123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3"/>
      <c r="C510" s="27"/>
      <c r="D510" s="27"/>
      <c r="E510" s="27"/>
      <c r="H510" s="27"/>
      <c r="J510" s="129"/>
      <c r="K510" s="27"/>
      <c r="L510" s="27"/>
      <c r="O510" s="130"/>
      <c r="P510" s="27"/>
      <c r="Q510" s="27"/>
      <c r="W510" s="123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3"/>
      <c r="C511" s="27"/>
      <c r="D511" s="27"/>
      <c r="E511" s="27"/>
      <c r="H511" s="27"/>
      <c r="J511" s="129"/>
      <c r="K511" s="27"/>
      <c r="L511" s="27"/>
      <c r="O511" s="130"/>
      <c r="P511" s="27"/>
      <c r="Q511" s="27"/>
      <c r="W511" s="123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J518" s="129"/>
      <c r="K518" s="27"/>
      <c r="L518" s="27"/>
      <c r="O518" s="130"/>
      <c r="P518" s="27"/>
      <c r="Q518" s="27"/>
      <c r="W518" s="123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I519" s="27"/>
      <c r="J519" s="129"/>
      <c r="K519" s="27"/>
      <c r="L519" s="27"/>
      <c r="N519" s="123"/>
      <c r="O519" s="13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I520" s="27"/>
      <c r="J520" s="129"/>
      <c r="K520" s="27"/>
      <c r="L520" s="27"/>
      <c r="N520" s="123"/>
      <c r="O520" s="13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I521" s="27"/>
      <c r="J521" s="129"/>
      <c r="K521" s="27"/>
      <c r="L521" s="27"/>
      <c r="N521" s="123"/>
      <c r="O521" s="13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3"/>
      <c r="C522" s="27"/>
      <c r="D522" s="27"/>
      <c r="E522" s="27"/>
      <c r="H522" s="27"/>
      <c r="I522" s="27"/>
      <c r="J522" s="129"/>
      <c r="K522" s="27"/>
      <c r="L522" s="27"/>
      <c r="N522" s="123"/>
      <c r="O522" s="13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 s="125" customFormat="1">
      <c r="B523" s="137"/>
      <c r="C523" s="138"/>
      <c r="D523" s="138"/>
      <c r="E523" s="27"/>
      <c r="H523" s="27"/>
      <c r="I523" s="138"/>
      <c r="J523" s="139"/>
      <c r="K523" s="138"/>
      <c r="L523" s="138"/>
      <c r="M523" s="133"/>
      <c r="P523" s="138"/>
      <c r="Q523" s="138"/>
      <c r="W523" s="138"/>
      <c r="X523" s="138"/>
      <c r="Z523" s="138"/>
      <c r="AA523" s="27"/>
      <c r="AB523" s="137"/>
      <c r="AC523" s="138"/>
      <c r="AD523" s="138"/>
      <c r="AI523" s="138"/>
      <c r="AJ523" s="138"/>
      <c r="AK523" s="138"/>
      <c r="AN523" s="137"/>
      <c r="AO523" s="138"/>
      <c r="AP523" s="138"/>
    </row>
    <row r="524" spans="2:42" s="125" customFormat="1">
      <c r="B524" s="137"/>
      <c r="C524" s="138"/>
      <c r="D524" s="138"/>
      <c r="E524" s="27"/>
      <c r="H524" s="27"/>
      <c r="I524" s="138"/>
      <c r="J524" s="139"/>
      <c r="K524" s="138"/>
      <c r="L524" s="138"/>
      <c r="M524" s="133"/>
      <c r="P524" s="138"/>
      <c r="Q524" s="138"/>
      <c r="W524" s="138"/>
      <c r="X524" s="138"/>
      <c r="Z524" s="138"/>
      <c r="AA524" s="27"/>
      <c r="AB524" s="137"/>
      <c r="AC524" s="138"/>
      <c r="AD524" s="138"/>
      <c r="AI524" s="138"/>
      <c r="AJ524" s="138"/>
      <c r="AK524" s="138"/>
      <c r="AN524" s="137"/>
      <c r="AO524" s="138"/>
      <c r="AP524" s="138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3"/>
      <c r="C527" s="27"/>
      <c r="D527" s="27"/>
      <c r="E527" s="27"/>
      <c r="H527" s="27"/>
      <c r="I527" s="27"/>
      <c r="J527" s="129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3"/>
      <c r="C528" s="27"/>
      <c r="D528" s="27"/>
      <c r="E528" s="27"/>
      <c r="H528" s="27"/>
      <c r="I528" s="27"/>
      <c r="J528" s="129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27"/>
      <c r="J543" s="12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124"/>
      <c r="J544" s="129"/>
      <c r="K544" s="27"/>
      <c r="L544" s="27"/>
      <c r="P544" s="27"/>
      <c r="Q544" s="27"/>
      <c r="V544" s="27"/>
      <c r="W544" s="123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129"/>
      <c r="J545" s="129"/>
      <c r="K545" s="27"/>
      <c r="L545" s="27"/>
      <c r="P545" s="27"/>
      <c r="Q545" s="27"/>
      <c r="V545" s="27"/>
      <c r="W545" s="123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129"/>
      <c r="J546" s="129"/>
      <c r="K546" s="27"/>
      <c r="L546" s="27"/>
      <c r="P546" s="27"/>
      <c r="Q546" s="27"/>
      <c r="V546" s="27"/>
      <c r="W546" s="123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129"/>
      <c r="J547" s="129"/>
      <c r="K547" s="27"/>
      <c r="L547" s="27"/>
      <c r="P547" s="27"/>
      <c r="Q547" s="27"/>
      <c r="V547" s="27"/>
      <c r="W547" s="123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9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3"/>
      <c r="C552" s="27"/>
      <c r="D552" s="27"/>
      <c r="E552" s="27"/>
      <c r="H552" s="27"/>
      <c r="I552" s="129"/>
      <c r="J552" s="129"/>
      <c r="K552" s="27"/>
      <c r="L552" s="27"/>
      <c r="P552" s="27"/>
      <c r="Q552" s="27"/>
      <c r="V552" s="27"/>
      <c r="W552" s="123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29"/>
      <c r="K553" s="129"/>
      <c r="L553" s="27"/>
      <c r="M553" s="130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29"/>
      <c r="K554" s="129"/>
      <c r="L554" s="27"/>
      <c r="M554" s="130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29"/>
      <c r="K555" s="129"/>
      <c r="L555" s="27"/>
      <c r="M555" s="130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29"/>
      <c r="K556" s="129"/>
      <c r="L556" s="27"/>
      <c r="M556" s="130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F559" s="27"/>
      <c r="G559" s="27"/>
      <c r="H559" s="27"/>
      <c r="I559" s="27"/>
      <c r="J559" s="129"/>
      <c r="K559" s="129"/>
      <c r="L559" s="27"/>
      <c r="M559" s="130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</row>
    <row r="560" spans="2:42">
      <c r="B560" s="27"/>
      <c r="C560" s="27"/>
      <c r="D560" s="27"/>
      <c r="E560" s="27"/>
      <c r="H560" s="27"/>
      <c r="I560" s="129"/>
      <c r="J560" s="129"/>
      <c r="K560" s="27"/>
      <c r="L560" s="27"/>
      <c r="M560" s="140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29"/>
      <c r="J561" s="129"/>
      <c r="K561" s="27"/>
      <c r="L561" s="27"/>
      <c r="M561" s="140"/>
      <c r="O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29"/>
      <c r="J562" s="129"/>
      <c r="K562" s="27"/>
      <c r="L562" s="27"/>
      <c r="M562" s="141"/>
      <c r="O562" s="27"/>
      <c r="P562" s="27"/>
      <c r="Q562" s="27"/>
      <c r="W562" s="27"/>
      <c r="X562" s="27"/>
      <c r="Z562" s="27"/>
      <c r="AA562" s="27"/>
      <c r="AC562" s="27"/>
      <c r="AD562" s="27"/>
      <c r="AI562" s="123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29"/>
      <c r="J563" s="129"/>
      <c r="K563" s="27"/>
      <c r="L563" s="27"/>
      <c r="M563" s="140"/>
      <c r="O563" s="27"/>
      <c r="P563" s="27"/>
      <c r="Q563" s="27"/>
      <c r="W563" s="27"/>
      <c r="X563" s="27"/>
      <c r="Z563" s="27"/>
      <c r="AA563" s="27"/>
      <c r="AC563" s="27"/>
      <c r="AD563" s="27"/>
      <c r="AI563" s="123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129"/>
      <c r="J564" s="129"/>
      <c r="K564" s="27"/>
      <c r="L564" s="27"/>
      <c r="M564" s="140"/>
      <c r="O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29"/>
      <c r="K565" s="27"/>
      <c r="L565" s="27"/>
      <c r="M565" s="140"/>
      <c r="N565" s="123"/>
      <c r="O565" s="142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29"/>
      <c r="K566" s="27"/>
      <c r="L566" s="27"/>
      <c r="M566" s="140"/>
      <c r="N566" s="123"/>
      <c r="O566" s="142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29"/>
      <c r="K567" s="27"/>
      <c r="L567" s="27"/>
      <c r="M567" s="140"/>
      <c r="N567" s="123"/>
      <c r="O567" s="142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29"/>
      <c r="K568" s="27"/>
      <c r="L568" s="27"/>
      <c r="M568" s="140"/>
      <c r="N568" s="123"/>
      <c r="O568" s="142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0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1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1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1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1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1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0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0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0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0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L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M614" s="140"/>
      <c r="N614" s="123"/>
      <c r="O614" s="14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L615" s="27"/>
      <c r="M615" s="142"/>
      <c r="O615" s="127"/>
      <c r="P615" s="27"/>
      <c r="Q615" s="27"/>
      <c r="V615" s="27"/>
      <c r="W615" s="123"/>
      <c r="X615" s="27"/>
      <c r="Z615" s="27"/>
      <c r="AA615" s="27"/>
      <c r="AC615" s="27"/>
      <c r="AD615" s="27"/>
      <c r="AJ615" s="27"/>
      <c r="AK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L616" s="27"/>
      <c r="M616" s="142"/>
      <c r="O616" s="127"/>
      <c r="P616" s="27"/>
      <c r="Q616" s="27"/>
      <c r="V616" s="27"/>
      <c r="W616" s="123"/>
      <c r="X616" s="27"/>
      <c r="Z616" s="27"/>
      <c r="AA616" s="27"/>
      <c r="AB616" s="27"/>
      <c r="AC616" s="27"/>
      <c r="AD616" s="27"/>
      <c r="AJ616" s="27"/>
      <c r="AK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L617" s="27"/>
      <c r="M617" s="142"/>
      <c r="O617" s="127"/>
      <c r="P617" s="27"/>
      <c r="Q617" s="27"/>
      <c r="V617" s="27"/>
      <c r="W617" s="123"/>
      <c r="X617" s="27"/>
      <c r="Z617" s="27"/>
      <c r="AA617" s="27"/>
      <c r="AB617" s="27"/>
      <c r="AC617" s="27"/>
      <c r="AD617" s="27"/>
      <c r="AJ617" s="27"/>
      <c r="AK617" s="27"/>
    </row>
    <row r="618" spans="2:42">
      <c r="B618" s="27"/>
      <c r="C618" s="27"/>
      <c r="D618" s="27"/>
      <c r="E618" s="27"/>
      <c r="H618" s="27"/>
      <c r="I618" s="27"/>
      <c r="J618" s="129"/>
      <c r="K618" s="27"/>
      <c r="L618" s="27"/>
      <c r="M618" s="142"/>
      <c r="O618" s="127"/>
      <c r="P618" s="27"/>
      <c r="Q618" s="27"/>
      <c r="V618" s="27"/>
      <c r="W618" s="123"/>
      <c r="X618" s="27"/>
      <c r="Z618" s="27"/>
      <c r="AA618" s="27"/>
      <c r="AB618" s="27"/>
      <c r="AC618" s="27"/>
      <c r="AD618" s="27"/>
      <c r="AJ618" s="27"/>
      <c r="AK618" s="27"/>
    </row>
    <row r="619" spans="2:42" s="126" customFormat="1">
      <c r="B619" s="143"/>
      <c r="C619" s="143"/>
      <c r="D619" s="143"/>
      <c r="E619" s="27"/>
      <c r="H619" s="27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pans="2:42" s="126" customFormat="1">
      <c r="B620" s="143"/>
      <c r="C620" s="143"/>
      <c r="D620" s="143"/>
      <c r="E620" s="27"/>
      <c r="H620" s="27"/>
      <c r="I620" s="143"/>
      <c r="J620" s="144"/>
      <c r="K620" s="143"/>
      <c r="L620" s="143"/>
      <c r="M620" s="145"/>
      <c r="O620" s="146"/>
      <c r="P620" s="143"/>
      <c r="Q620" s="143"/>
      <c r="V620" s="143"/>
      <c r="W620" s="147"/>
      <c r="X620" s="143"/>
      <c r="Z620" s="143"/>
      <c r="AA620" s="143"/>
      <c r="AB620" s="147"/>
      <c r="AC620" s="143"/>
      <c r="AD620" s="143"/>
      <c r="AJ620" s="143"/>
      <c r="AK620" s="143"/>
      <c r="AN620" s="147"/>
    </row>
    <row r="621" spans="2:42" s="126" customFormat="1">
      <c r="B621" s="143"/>
      <c r="C621" s="143"/>
      <c r="D621" s="143"/>
      <c r="E621" s="27"/>
      <c r="H621" s="27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pans="2:42" s="126" customFormat="1">
      <c r="B622" s="143"/>
      <c r="C622" s="143"/>
      <c r="D622" s="143"/>
      <c r="E622" s="27"/>
      <c r="H622" s="27"/>
      <c r="I622" s="143"/>
      <c r="J622" s="144"/>
      <c r="K622" s="143"/>
      <c r="L622" s="143"/>
      <c r="M622" s="145"/>
      <c r="O622" s="146"/>
      <c r="P622" s="143"/>
      <c r="Q622" s="143"/>
      <c r="V622" s="143"/>
      <c r="W622" s="147"/>
      <c r="X622" s="143"/>
      <c r="Z622" s="143"/>
      <c r="AA622" s="143"/>
      <c r="AB622" s="147"/>
      <c r="AC622" s="143"/>
      <c r="AD622" s="143"/>
      <c r="AJ622" s="143"/>
      <c r="AK622" s="143"/>
      <c r="AN622" s="147"/>
    </row>
    <row r="623" spans="2:42">
      <c r="B623" s="27"/>
      <c r="C623" s="27"/>
      <c r="D623" s="27"/>
      <c r="E623" s="27"/>
      <c r="H623" s="27"/>
      <c r="I623" s="27"/>
      <c r="J623" s="129"/>
      <c r="K623" s="27"/>
      <c r="L623" s="27"/>
      <c r="M623" s="142"/>
      <c r="O623" s="127"/>
      <c r="P623" s="27"/>
      <c r="Q623" s="27"/>
      <c r="W623" s="27"/>
      <c r="X623" s="27"/>
      <c r="Z623" s="27"/>
      <c r="AA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29"/>
      <c r="K624" s="27"/>
      <c r="L624" s="27"/>
      <c r="M624" s="142"/>
      <c r="O624" s="12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29"/>
      <c r="K625" s="27"/>
      <c r="L625" s="27"/>
      <c r="M625" s="142"/>
      <c r="O625" s="12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29"/>
      <c r="K626" s="27"/>
      <c r="L626" s="27"/>
      <c r="M626" s="142"/>
      <c r="O626" s="12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 s="126" customFormat="1">
      <c r="B627" s="143"/>
      <c r="C627" s="143"/>
      <c r="D627" s="143"/>
      <c r="E627" s="27"/>
      <c r="H627" s="27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pans="2:42" s="126" customFormat="1">
      <c r="B628" s="143"/>
      <c r="C628" s="143"/>
      <c r="D628" s="143"/>
      <c r="E628" s="27"/>
      <c r="H628" s="27"/>
      <c r="I628" s="143"/>
      <c r="J628" s="144"/>
      <c r="K628" s="143"/>
      <c r="L628" s="143"/>
      <c r="M628" s="145"/>
      <c r="O628" s="146"/>
      <c r="P628" s="143"/>
      <c r="Q628" s="143"/>
      <c r="W628" s="143"/>
      <c r="X628" s="143"/>
      <c r="Z628" s="143"/>
      <c r="AA628" s="143"/>
      <c r="AB628" s="147"/>
      <c r="AC628" s="143"/>
      <c r="AD628" s="143"/>
      <c r="AJ628" s="143"/>
      <c r="AK628" s="143"/>
      <c r="AN628" s="147"/>
      <c r="AO628" s="143"/>
      <c r="AP628" s="143"/>
    </row>
    <row r="629" spans="2:42" s="126" customFormat="1">
      <c r="B629" s="143"/>
      <c r="C629" s="143"/>
      <c r="D629" s="143"/>
      <c r="E629" s="27"/>
      <c r="H629" s="27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pans="2:42" s="126" customFormat="1">
      <c r="B630" s="143"/>
      <c r="C630" s="143"/>
      <c r="D630" s="143"/>
      <c r="E630" s="27"/>
      <c r="H630" s="27"/>
      <c r="I630" s="143"/>
      <c r="J630" s="144"/>
      <c r="K630" s="143"/>
      <c r="L630" s="143"/>
      <c r="M630" s="145"/>
      <c r="O630" s="146"/>
      <c r="P630" s="143"/>
      <c r="Q630" s="143"/>
      <c r="W630" s="143"/>
      <c r="X630" s="143"/>
      <c r="Z630" s="143"/>
      <c r="AA630" s="143"/>
      <c r="AB630" s="147"/>
      <c r="AC630" s="143"/>
      <c r="AD630" s="143"/>
      <c r="AJ630" s="143"/>
      <c r="AK630" s="143"/>
      <c r="AN630" s="147"/>
      <c r="AO630" s="143"/>
      <c r="AP630" s="143"/>
    </row>
    <row r="631" spans="2:42">
      <c r="B631" s="27"/>
      <c r="C631" s="27"/>
      <c r="D631" s="27"/>
      <c r="E631" s="27"/>
      <c r="H631" s="27"/>
      <c r="I631" s="27"/>
      <c r="J631" s="129"/>
      <c r="K631" s="27"/>
      <c r="L631" s="27"/>
      <c r="M631" s="130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29"/>
      <c r="K632" s="27"/>
      <c r="L632" s="27"/>
      <c r="M632" s="130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29"/>
      <c r="K633" s="27"/>
      <c r="L633" s="27"/>
      <c r="M633" s="130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29"/>
      <c r="K634" s="27"/>
      <c r="L634" s="27"/>
      <c r="M634" s="130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29"/>
      <c r="C645" s="27"/>
      <c r="D645" s="27"/>
      <c r="E645" s="27"/>
      <c r="H645" s="27"/>
      <c r="I645" s="129"/>
      <c r="J645" s="129"/>
      <c r="K645" s="27"/>
      <c r="L645" s="27"/>
      <c r="M645" s="130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O646" s="127"/>
      <c r="P646" s="27"/>
      <c r="Q646" s="27"/>
      <c r="V646" s="27"/>
      <c r="W646" s="123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29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R656" s="123"/>
      <c r="S656" s="123"/>
      <c r="T656" s="123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R657" s="123"/>
      <c r="S657" s="123"/>
      <c r="T657" s="123"/>
      <c r="W657" s="27"/>
      <c r="X657" s="27"/>
      <c r="Z657" s="27"/>
      <c r="AA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R658" s="123"/>
      <c r="S658" s="123"/>
      <c r="T658" s="123"/>
      <c r="W658" s="27"/>
      <c r="X658" s="27"/>
      <c r="Z658" s="27"/>
      <c r="AA658" s="27"/>
      <c r="AC658" s="27"/>
      <c r="AD658" s="27"/>
      <c r="AJ658" s="27"/>
      <c r="AK658" s="27"/>
    </row>
    <row r="659" spans="2:42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R659" s="123"/>
      <c r="S659" s="123"/>
      <c r="T659" s="123"/>
      <c r="W659" s="27"/>
      <c r="X659" s="27"/>
      <c r="Z659" s="27"/>
      <c r="AA659" s="27"/>
      <c r="AC659" s="27"/>
      <c r="AD659" s="27"/>
      <c r="AJ659" s="27"/>
      <c r="AK659" s="27"/>
    </row>
    <row r="660" spans="2:42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J660" s="27"/>
      <c r="AK660" s="27"/>
    </row>
    <row r="661" spans="2:42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</row>
    <row r="662" spans="2:42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2">
      <c r="B664" s="27"/>
      <c r="C664" s="27"/>
      <c r="D664" s="27"/>
      <c r="E664" s="27"/>
      <c r="H664" s="27"/>
      <c r="I664" s="27"/>
      <c r="J664" s="129"/>
      <c r="K664" s="27"/>
      <c r="L664" s="27"/>
      <c r="P664" s="27"/>
      <c r="Q664" s="27"/>
      <c r="R664" s="123"/>
      <c r="S664" s="123"/>
      <c r="T664" s="123"/>
      <c r="W664" s="27"/>
      <c r="X664" s="27"/>
      <c r="Z664" s="27"/>
      <c r="AA664" s="27"/>
      <c r="AC664" s="27"/>
      <c r="AD664" s="27"/>
      <c r="AJ664" s="27"/>
      <c r="AK664" s="27"/>
    </row>
    <row r="665" spans="2:42">
      <c r="B665" s="27"/>
      <c r="C665" s="27"/>
      <c r="D665" s="27"/>
      <c r="E665" s="27"/>
      <c r="H665" s="27"/>
      <c r="I665" s="127"/>
      <c r="J665" s="129"/>
      <c r="K665" s="27"/>
      <c r="M665" s="136"/>
      <c r="W665" s="27"/>
      <c r="Z665" s="27"/>
      <c r="AA665" s="27"/>
      <c r="AC665" s="27"/>
      <c r="AD665" s="27"/>
      <c r="AI665" s="27"/>
      <c r="AO665" s="27"/>
    </row>
    <row r="666" spans="2:42">
      <c r="B666" s="27"/>
      <c r="C666" s="27"/>
      <c r="D666" s="27"/>
      <c r="E666" s="27"/>
      <c r="H666" s="27"/>
      <c r="I666" s="127"/>
      <c r="J666" s="129"/>
      <c r="K666" s="27"/>
      <c r="M666" s="136"/>
      <c r="W666" s="27"/>
      <c r="Z666" s="27"/>
      <c r="AA666" s="27"/>
      <c r="AC666" s="27"/>
      <c r="AD666" s="27"/>
      <c r="AI666" s="27"/>
      <c r="AO666" s="27"/>
    </row>
    <row r="667" spans="2:42">
      <c r="B667" s="27"/>
      <c r="C667" s="27"/>
      <c r="D667" s="27"/>
      <c r="E667" s="27"/>
      <c r="H667" s="27"/>
      <c r="I667" s="127"/>
      <c r="J667" s="129"/>
      <c r="K667" s="27"/>
      <c r="M667" s="136"/>
      <c r="W667" s="27"/>
      <c r="Z667" s="27"/>
      <c r="AA667" s="27"/>
      <c r="AC667" s="27"/>
      <c r="AD667" s="27"/>
      <c r="AI667" s="27"/>
      <c r="AO667" s="27"/>
    </row>
    <row r="668" spans="2:42">
      <c r="B668" s="27"/>
      <c r="C668" s="27"/>
      <c r="D668" s="27"/>
      <c r="E668" s="27"/>
      <c r="H668" s="27"/>
      <c r="I668" s="127"/>
      <c r="J668" s="129"/>
      <c r="K668" s="27"/>
      <c r="M668" s="136"/>
      <c r="W668" s="27"/>
      <c r="Z668" s="27"/>
      <c r="AA668" s="27"/>
      <c r="AC668" s="27"/>
      <c r="AD668" s="27"/>
      <c r="AI668" s="27"/>
      <c r="AO668" s="27"/>
    </row>
    <row r="669" spans="2:42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2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2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2">
      <c r="B672" s="27"/>
      <c r="C672" s="27"/>
      <c r="D672" s="27"/>
      <c r="E672" s="27"/>
      <c r="H672" s="27"/>
      <c r="I672" s="127"/>
      <c r="J672" s="129"/>
      <c r="K672" s="27"/>
      <c r="M672" s="136"/>
      <c r="W672" s="27"/>
      <c r="Z672" s="27"/>
      <c r="AA672" s="27"/>
      <c r="AC672" s="27"/>
      <c r="AD672" s="27"/>
      <c r="AI672" s="27"/>
      <c r="AO672" s="27"/>
    </row>
    <row r="673" spans="2:11">
      <c r="B673" s="27"/>
      <c r="C673" s="27"/>
      <c r="D673" s="27"/>
      <c r="E673" s="27"/>
      <c r="H673" s="27"/>
      <c r="J673" s="129"/>
      <c r="K673" s="27"/>
    </row>
    <row r="674" spans="2:11">
      <c r="B674" s="27"/>
      <c r="C674" s="27"/>
      <c r="D674" s="27"/>
      <c r="E674" s="27"/>
      <c r="H674" s="27"/>
      <c r="J674" s="129"/>
      <c r="K674" s="123"/>
    </row>
    <row r="675" spans="2:11">
      <c r="E675" s="27"/>
      <c r="J675" s="129"/>
    </row>
    <row r="676" spans="2:11">
      <c r="E676" s="27"/>
      <c r="J676" s="129"/>
    </row>
    <row r="677" spans="2:11">
      <c r="E677" s="27"/>
      <c r="J677" s="129"/>
    </row>
    <row r="678" spans="2:11">
      <c r="E678" s="27"/>
      <c r="J678" s="129"/>
    </row>
    <row r="679" spans="2:11">
      <c r="E679" s="27"/>
      <c r="J679" s="129"/>
    </row>
    <row r="680" spans="2:11">
      <c r="E680" s="27"/>
      <c r="J680" s="129"/>
    </row>
    <row r="681" spans="2:11">
      <c r="E681" s="27"/>
      <c r="J681" s="129"/>
    </row>
    <row r="682" spans="2:11">
      <c r="E682" s="27"/>
      <c r="J682" s="129"/>
    </row>
    <row r="683" spans="2:11">
      <c r="E683" s="27"/>
      <c r="J683" s="129"/>
    </row>
    <row r="684" spans="2:11">
      <c r="E684" s="27"/>
      <c r="J684" s="129"/>
    </row>
    <row r="685" spans="2:11">
      <c r="E685" s="27"/>
      <c r="J685" s="129"/>
    </row>
    <row r="686" spans="2:11">
      <c r="E686" s="27"/>
      <c r="J686" s="129"/>
    </row>
    <row r="687" spans="2:11">
      <c r="E687" s="27"/>
      <c r="J687" s="129"/>
    </row>
    <row r="688" spans="2:1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  <c r="J712" s="129"/>
    </row>
    <row r="713" spans="5:10">
      <c r="E713" s="27"/>
    </row>
    <row r="714" spans="5:10">
      <c r="E714" s="27"/>
    </row>
  </sheetData>
  <autoFilter ref="A1:AP712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4"/>
  <sheetViews>
    <sheetView workbookViewId="0">
      <pane xSplit="5" ySplit="2" topLeftCell="M99" activePane="bottomRight" state="frozen"/>
      <selection pane="topRight"/>
      <selection pane="bottomLeft"/>
      <selection pane="bottomRight" activeCell="T121" sqref="T121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5" t="s">
        <v>105</v>
      </c>
      <c r="G1" s="155"/>
      <c r="H1" s="155"/>
      <c r="I1" s="155"/>
      <c r="J1" s="155"/>
      <c r="K1" s="155"/>
      <c r="L1" s="155"/>
      <c r="M1" s="155"/>
      <c r="N1" s="155"/>
      <c r="O1" s="155"/>
      <c r="P1" s="156" t="s">
        <v>106</v>
      </c>
      <c r="Q1" s="157"/>
      <c r="R1" s="157"/>
      <c r="S1" s="158"/>
      <c r="T1" s="159" t="s">
        <v>7</v>
      </c>
      <c r="U1" s="15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900</v>
      </c>
      <c r="C119" s="152" t="s">
        <v>901</v>
      </c>
      <c r="T119" s="153" t="s">
        <v>902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481</v>
      </c>
      <c r="C120" s="15" t="s">
        <v>482</v>
      </c>
      <c r="T120" s="11" t="s">
        <v>483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485</v>
      </c>
      <c r="C121" s="16" t="s">
        <v>486</v>
      </c>
      <c r="T121" s="11" t="s">
        <v>487</v>
      </c>
      <c r="U121" s="77" t="s">
        <v>488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489</v>
      </c>
      <c r="C122" s="16" t="s">
        <v>490</v>
      </c>
      <c r="T122" s="153" t="s">
        <v>913</v>
      </c>
      <c r="U122" s="77" t="s">
        <v>491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492</v>
      </c>
      <c r="C123" s="16" t="s">
        <v>493</v>
      </c>
      <c r="T123" s="153" t="s">
        <v>912</v>
      </c>
      <c r="U123" s="77" t="s">
        <v>494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495</v>
      </c>
      <c r="C124" s="16" t="s">
        <v>496</v>
      </c>
      <c r="T124" s="153" t="s">
        <v>911</v>
      </c>
      <c r="U124" s="77" t="s">
        <v>497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498</v>
      </c>
      <c r="C125" s="9" t="s">
        <v>499</v>
      </c>
      <c r="T125" s="96" t="s">
        <v>500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501</v>
      </c>
      <c r="C126" s="18" t="s">
        <v>502</v>
      </c>
      <c r="T126" s="19" t="s">
        <v>503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504</v>
      </c>
      <c r="C127" s="19" t="s">
        <v>505</v>
      </c>
      <c r="T127" s="19" t="s">
        <v>506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507</v>
      </c>
      <c r="C128" s="18" t="s">
        <v>508</v>
      </c>
      <c r="T128" s="19" t="s">
        <v>509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510</v>
      </c>
      <c r="C129" s="18" t="s">
        <v>511</v>
      </c>
      <c r="T129" s="19" t="s">
        <v>512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513</v>
      </c>
      <c r="C130" s="18" t="s">
        <v>514</v>
      </c>
      <c r="T130" s="19" t="s">
        <v>515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516</v>
      </c>
      <c r="C131" s="18" t="s">
        <v>517</v>
      </c>
      <c r="T131" s="19" t="s">
        <v>518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519</v>
      </c>
      <c r="C132" s="18" t="s">
        <v>520</v>
      </c>
      <c r="T132" s="19" t="s">
        <v>521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522</v>
      </c>
      <c r="C133" s="18" t="s">
        <v>523</v>
      </c>
      <c r="T133" s="100" t="s">
        <v>524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525</v>
      </c>
      <c r="C134" s="18" t="s">
        <v>526</v>
      </c>
      <c r="T134" s="101" t="s">
        <v>527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528</v>
      </c>
      <c r="C135" s="17" t="s">
        <v>529</v>
      </c>
      <c r="T135" s="100" t="s">
        <v>530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531</v>
      </c>
      <c r="C136" s="18" t="s">
        <v>532</v>
      </c>
      <c r="T136" s="19" t="s">
        <v>533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534</v>
      </c>
      <c r="C137" s="18" t="s">
        <v>535</v>
      </c>
      <c r="T137" s="29" t="s">
        <v>536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537</v>
      </c>
      <c r="C138" s="20" t="s">
        <v>538</v>
      </c>
      <c r="T138" s="29" t="s">
        <v>910</v>
      </c>
      <c r="U138" s="77" t="s">
        <v>539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540</v>
      </c>
      <c r="C139" s="21" t="s">
        <v>541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542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543</v>
      </c>
      <c r="C140" s="22" t="s">
        <v>544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545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546</v>
      </c>
      <c r="C141" s="23" t="s">
        <v>547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548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177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549</v>
      </c>
      <c r="C142" s="21" t="s">
        <v>550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551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552</v>
      </c>
      <c r="C143" s="21" t="s">
        <v>553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554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555</v>
      </c>
      <c r="C144" s="23" t="s">
        <v>556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557</v>
      </c>
      <c r="U144" s="77" t="s">
        <v>558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559</v>
      </c>
      <c r="C145" s="23" t="s">
        <v>560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561</v>
      </c>
      <c r="U145" s="77" t="s">
        <v>562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563</v>
      </c>
      <c r="C146" s="23" t="s">
        <v>564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565</v>
      </c>
      <c r="U146" s="77" t="s">
        <v>566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567</v>
      </c>
      <c r="C147" s="20" t="s">
        <v>568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569</v>
      </c>
      <c r="U147" s="77" t="s">
        <v>570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571</v>
      </c>
      <c r="C148" s="20" t="s">
        <v>572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910</v>
      </c>
      <c r="U148" s="77" t="s">
        <v>573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574</v>
      </c>
      <c r="C149" s="20" t="s">
        <v>575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576</v>
      </c>
      <c r="U149" s="77" t="s">
        <v>577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578</v>
      </c>
      <c r="C150" s="20" t="s">
        <v>579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580</v>
      </c>
      <c r="U150" s="77" t="s">
        <v>581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582</v>
      </c>
      <c r="C151" s="20" t="s">
        <v>568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569</v>
      </c>
      <c r="U151" s="77" t="s">
        <v>570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583</v>
      </c>
      <c r="C152" s="9" t="s">
        <v>584</v>
      </c>
      <c r="T152" s="104" t="s">
        <v>585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586</v>
      </c>
      <c r="C153" s="15" t="s">
        <v>587</v>
      </c>
      <c r="T153" s="16" t="s">
        <v>588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589</v>
      </c>
      <c r="C154" s="15" t="s">
        <v>590</v>
      </c>
      <c r="T154" s="16" t="s">
        <v>591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592</v>
      </c>
      <c r="C155" s="15" t="s">
        <v>593</v>
      </c>
      <c r="T155" s="16" t="s">
        <v>594</v>
      </c>
      <c r="U155" s="154" t="s">
        <v>903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595</v>
      </c>
      <c r="C156" s="15" t="s">
        <v>596</v>
      </c>
      <c r="T156" s="16" t="s">
        <v>597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598</v>
      </c>
      <c r="C157" s="25" t="s">
        <v>599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600</v>
      </c>
      <c r="U157" s="77" t="s">
        <v>601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602</v>
      </c>
      <c r="C158" s="25" t="s">
        <v>603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604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605</v>
      </c>
      <c r="C159" s="25" t="s">
        <v>606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607</v>
      </c>
      <c r="U159" s="77" t="s">
        <v>608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609</v>
      </c>
      <c r="C160" s="25" t="s">
        <v>610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611</v>
      </c>
      <c r="U160" s="77" t="s">
        <v>612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613</v>
      </c>
      <c r="C161" s="15" t="s">
        <v>614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615</v>
      </c>
      <c r="C162" s="15" t="s">
        <v>616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617</v>
      </c>
      <c r="C163" s="15" t="s">
        <v>618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619</v>
      </c>
      <c r="C164" s="15" t="s">
        <v>620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621</v>
      </c>
      <c r="C165" s="15" t="s">
        <v>622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623</v>
      </c>
      <c r="C166" s="15" t="s">
        <v>624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625</v>
      </c>
      <c r="C167" s="15" t="s">
        <v>626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627</v>
      </c>
      <c r="B168" s="9" t="s">
        <v>628</v>
      </c>
      <c r="C168" s="15" t="s">
        <v>629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630</v>
      </c>
      <c r="C169" s="15" t="s">
        <v>631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632</v>
      </c>
      <c r="C170" s="15" t="s">
        <v>633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179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627</v>
      </c>
      <c r="B171" s="9" t="s">
        <v>634</v>
      </c>
      <c r="C171" s="15" t="s">
        <v>635</v>
      </c>
      <c r="T171" s="15" t="s">
        <v>636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ref="CU171:CU182" si="283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 t="shared" ref="CV171:CV182" si="2838">T171</f>
        <v>境界挑战11</v>
      </c>
      <c r="CW171" s="33"/>
      <c r="CX171" s="33"/>
      <c r="CY171" s="33"/>
      <c r="CZ171" s="33"/>
      <c r="DA171" s="33"/>
      <c r="DB171" s="66" t="str">
        <f t="shared" ref="DB171:DB173" si="2839">IF(V171="","","|n"&amp;DB$2&amp;"+"&amp;V171&amp;DB$1)</f>
        <v/>
      </c>
      <c r="DC171" s="66" t="str">
        <f t="shared" ref="DC171:DC173" si="2840">IF(W171="","","|n"&amp;DC$2&amp;"+"&amp;W171&amp;DC$1)</f>
        <v/>
      </c>
      <c r="DD171" s="66" t="str">
        <f t="shared" ref="DD171:DD173" si="2841">IF(X171="","","|n"&amp;DD$2&amp;"+"&amp;X171&amp;DD$1)</f>
        <v/>
      </c>
      <c r="DE171" s="66" t="str">
        <f t="shared" ref="DE171:DE173" si="2842">IF(Y171="","","|n"&amp;DE$2&amp;"+"&amp;Y171&amp;DE$1)</f>
        <v/>
      </c>
      <c r="DF171" s="66" t="str">
        <f t="shared" ref="DF171:DF173" si="2843">IF(Z171="","","|n"&amp;DF$2&amp;"+"&amp;Z171&amp;DF$1)</f>
        <v/>
      </c>
      <c r="DG171" s="66" t="str">
        <f t="shared" ref="DG171:DG173" si="2844">IF(AA171="","","|n"&amp;DG$2&amp;"+"&amp;AA171&amp;DG$1)</f>
        <v/>
      </c>
      <c r="DH171" s="66" t="str">
        <f t="shared" ref="DH171:DH173" si="2845">IF(AB171="","","|n"&amp;DH$2&amp;"+"&amp;AB171&amp;DH$1)</f>
        <v/>
      </c>
      <c r="DI171" s="66" t="str">
        <f t="shared" ref="DI171:DI173" si="2846">IF(AC171="","","|n"&amp;DI$2&amp;"+"&amp;AC171&amp;DI$1)</f>
        <v/>
      </c>
      <c r="DJ171" s="66" t="str">
        <f t="shared" ref="DJ171:DJ173" si="2847">IF(AD171="","","|n"&amp;DJ$2&amp;"+"&amp;AD171&amp;DJ$1)</f>
        <v/>
      </c>
      <c r="DK171" s="66" t="str">
        <f t="shared" ref="DK171:DK173" si="2848">IF(AE171="","","|n"&amp;DK$2&amp;"+"&amp;AE171&amp;DK$1)</f>
        <v/>
      </c>
      <c r="DL171" s="66" t="str">
        <f t="shared" ref="DL171:DL173" si="2849">IF(AF171="","","|n"&amp;DL$2&amp;"+"&amp;AF171&amp;DL$1)</f>
        <v/>
      </c>
      <c r="DM171" s="66" t="str">
        <f t="shared" ref="DM171:DM173" si="2850">IF(AG171="","","|n"&amp;DM$2&amp;"+"&amp;AG171&amp;DM$1)</f>
        <v/>
      </c>
      <c r="DN171" s="66" t="str">
        <f t="shared" ref="DN171:DN173" si="2851">IF(AH171="","","|n"&amp;DN$2&amp;"+"&amp;AH171&amp;DN$1)</f>
        <v/>
      </c>
      <c r="DO171" s="66" t="str">
        <f t="shared" ref="DO171:DO173" si="2852">IF(AI171="","","|n"&amp;DO$2&amp;"+"&amp;AI171&amp;DO$1)</f>
        <v/>
      </c>
      <c r="DP171" s="66" t="str">
        <f t="shared" ref="DP171:DP173" si="2853">IF(AJ171="","","|n"&amp;DP$2&amp;"+"&amp;AJ171&amp;DP$1)</f>
        <v/>
      </c>
      <c r="DQ171" s="66" t="str">
        <f t="shared" ref="DQ171:DQ173" si="2854">IF(AK171="","","|n"&amp;DQ$2&amp;"+"&amp;AK171&amp;DQ$1)</f>
        <v/>
      </c>
      <c r="DR171" s="66" t="str">
        <f t="shared" ref="DR171:DR173" si="2855">IF(AL171="","","|n"&amp;DR$2&amp;"+"&amp;AL171&amp;DR$1)</f>
        <v/>
      </c>
      <c r="DS171" s="66" t="str">
        <f t="shared" ref="DS171:DS173" si="2856">IF(AM171="","","|n"&amp;DS$2&amp;"+"&amp;AM171&amp;DS$1)</f>
        <v/>
      </c>
      <c r="DT171" s="66" t="str">
        <f t="shared" ref="DT171:DT173" si="2857">IF(AN171="","","|n"&amp;DT$2&amp;"+"&amp;AN171&amp;DT$1)</f>
        <v/>
      </c>
      <c r="DU171" s="66" t="str">
        <f t="shared" ref="DU171:DU173" si="2858">IF(AO171="","","|n"&amp;DU$2&amp;"+"&amp;AO171&amp;DU$1)</f>
        <v/>
      </c>
      <c r="DV171" s="66" t="str">
        <f t="shared" ref="DV171:DV173" si="2859">IF(AP171="","","|n"&amp;DV$2&amp;"+"&amp;AP171&amp;DV$1)</f>
        <v/>
      </c>
      <c r="DW171" s="66" t="str">
        <f t="shared" ref="DW171:DW173" si="2860">IF(AQ171="","","|n"&amp;DW$2&amp;"+"&amp;AQ171&amp;DW$1)</f>
        <v/>
      </c>
      <c r="DX171" s="66" t="str">
        <f t="shared" ref="DX171:DX173" si="2861">IF(AR171="","","|n"&amp;DX$2&amp;"+"&amp;AR171&amp;DX$1)</f>
        <v/>
      </c>
      <c r="DY171" s="66" t="str">
        <f t="shared" ref="DY171:DY173" si="2862">IF(AS171="","","|n"&amp;DY$2&amp;"+"&amp;AS171&amp;DY$1)</f>
        <v/>
      </c>
      <c r="DZ171" s="66" t="str">
        <f t="shared" ref="DZ171:DZ173" si="2863">IF(AT171="","","|n"&amp;DZ$2&amp;"+"&amp;AT171&amp;DZ$1)</f>
        <v/>
      </c>
      <c r="EA171" s="66" t="str">
        <f t="shared" ref="EA171:EA173" si="2864">IF(AU171="","","|n"&amp;EA$2&amp;"+"&amp;AU171&amp;EA$1)</f>
        <v/>
      </c>
      <c r="EB171" s="66" t="str">
        <f t="shared" ref="EB171:EB173" si="2865">IF(AV171="","","|n"&amp;EB$2&amp;"+"&amp;AV171&amp;EB$1)</f>
        <v/>
      </c>
      <c r="EC171" s="66" t="str">
        <f t="shared" ref="EC171:EC173" si="2866">IF(AW171="","","|n"&amp;EC$2&amp;"+"&amp;AW171&amp;EC$1)</f>
        <v/>
      </c>
      <c r="ED171" s="66" t="str">
        <f t="shared" ref="ED171:ED173" si="2867">IF(AX171="","","|n"&amp;ED$2&amp;"+"&amp;AX171&amp;ED$1)</f>
        <v/>
      </c>
      <c r="EE171" s="66" t="str">
        <f t="shared" ref="EE171:EE173" si="2868">IF(AY171="","","|n"&amp;EE$2&amp;"+"&amp;AY171&amp;EE$1)</f>
        <v/>
      </c>
      <c r="EF171" s="66" t="str">
        <f t="shared" ref="EF171:EF173" si="2869">IF(AZ171="","","|n"&amp;EF$2&amp;"+"&amp;AZ171&amp;EF$1)</f>
        <v/>
      </c>
      <c r="EG171" s="66" t="str">
        <f t="shared" ref="EG171:EG173" si="2870">IF(BA171="","","|n"&amp;EG$2&amp;"+"&amp;BA171&amp;EG$1)</f>
        <v/>
      </c>
      <c r="EH171" s="66" t="str">
        <f t="shared" ref="EH171:EH173" si="2871">IF(BB171="","","|n"&amp;EH$2&amp;"+"&amp;BB171&amp;EH$1)</f>
        <v/>
      </c>
      <c r="EI171" s="66" t="str">
        <f t="shared" ref="EI171:EI173" si="2872">IF(BC171="","","|n"&amp;EI$2&amp;"+"&amp;BC171&amp;EI$1)</f>
        <v/>
      </c>
      <c r="EJ171" s="66" t="str">
        <f t="shared" ref="EJ171:EJ173" si="2873">IF(BD171="","","|n"&amp;EJ$2&amp;"+"&amp;BD171&amp;EJ$1)</f>
        <v/>
      </c>
      <c r="EK171" s="66" t="str">
        <f t="shared" ref="EK171:EK173" si="2874">IF(BE171="","","|n"&amp;EK$2&amp;"+"&amp;BE171&amp;EK$1)</f>
        <v/>
      </c>
      <c r="EL171" s="66" t="str">
        <f t="shared" ref="EL171:EL173" si="2875">IF(BF171="","","|n"&amp;EL$2&amp;"+"&amp;BF171&amp;EL$1)</f>
        <v/>
      </c>
      <c r="EM171" s="66" t="str">
        <f t="shared" ref="EM171:EM173" si="2876">IF(BG171="","","|n"&amp;EM$2&amp;"+"&amp;BG171&amp;EM$1)</f>
        <v/>
      </c>
      <c r="EN171" s="66" t="str">
        <f t="shared" ref="EN171:EN173" si="2877">IF(BH171="","","|n"&amp;EN$2&amp;"+"&amp;BH171&amp;EN$1)</f>
        <v/>
      </c>
      <c r="EO171" s="66" t="str">
        <f t="shared" ref="EO171:EO173" si="2878">IF(BI171="","","|n"&amp;EO$2&amp;"+"&amp;BI171&amp;EO$1)</f>
        <v/>
      </c>
      <c r="EP171" s="66" t="str">
        <f t="shared" ref="EP171:EP173" si="2879">IF(BJ171="","","|n"&amp;EP$2&amp;"+"&amp;BJ171&amp;EP$1)</f>
        <v/>
      </c>
      <c r="EQ171" s="66" t="str">
        <f t="shared" ref="EQ171:EQ173" si="2880">IF(BK171="","","|n"&amp;EQ$2&amp;"+"&amp;BK171&amp;EQ$1)</f>
        <v/>
      </c>
      <c r="ER171" s="66" t="str">
        <f t="shared" ref="ER171:ER173" si="2881">IF(BL171="","","|n"&amp;ER$2&amp;"+"&amp;BL171&amp;ER$1)</f>
        <v/>
      </c>
      <c r="ES171" s="66" t="str">
        <f t="shared" ref="ES171:ES173" si="2882">IF(BM171="","","|n"&amp;ES$2&amp;"+"&amp;BM171&amp;ES$1)</f>
        <v/>
      </c>
      <c r="ET171" s="66" t="str">
        <f t="shared" ref="ET171:ET173" si="2883">IF(BN171="","","|n"&amp;ET$2&amp;"+"&amp;BN171&amp;ET$1)</f>
        <v/>
      </c>
      <c r="EU171" s="66" t="str">
        <f t="shared" ref="EU171:EU173" si="2884">IF(BO171="","","|n"&amp;EU$2&amp;"+"&amp;BO171&amp;EU$1)</f>
        <v/>
      </c>
      <c r="EV171" s="66" t="str">
        <f t="shared" ref="EV171:EV173" si="2885">IF(BP171="","","|n"&amp;EV$2&amp;"+"&amp;BP171&amp;EV$1)</f>
        <v/>
      </c>
      <c r="EW171" s="66" t="str">
        <f t="shared" ref="EW171:EW173" si="2886">IF(BQ171="","","|n"&amp;EW$2&amp;"+"&amp;BQ171&amp;EW$1)</f>
        <v/>
      </c>
      <c r="EX171" s="66" t="str">
        <f t="shared" ref="EX171:EX173" si="2887">IF(BR171="","","|n"&amp;EX$2&amp;"+"&amp;BR171&amp;EX$1)</f>
        <v/>
      </c>
      <c r="EY171" s="66" t="str">
        <f t="shared" ref="EY171:EY173" si="2888">IF(BS171="","","|n"&amp;EY$2&amp;"+"&amp;BS171&amp;EY$1)</f>
        <v/>
      </c>
      <c r="EZ171" s="66" t="str">
        <f t="shared" ref="EZ171:EZ173" si="2889">IF(BT171="","","|n"&amp;EZ$2&amp;"+"&amp;BT171&amp;EZ$1)</f>
        <v/>
      </c>
      <c r="FA171" s="66" t="str">
        <f t="shared" ref="FA171:FA173" si="2890">IF(BU171="","","|n"&amp;FA$2&amp;"+"&amp;BU171&amp;FA$1)</f>
        <v/>
      </c>
      <c r="FB171" s="66" t="str">
        <f t="shared" ref="FB171:FB173" si="2891">IF(BV171="","","|n"&amp;FB$2&amp;"+"&amp;BV171&amp;FB$1)</f>
        <v/>
      </c>
      <c r="FC171" s="66" t="str">
        <f t="shared" ref="FC171:FC173" si="2892">IF(BW171="","","|n"&amp;FC$2&amp;"+"&amp;BW171&amp;FC$1)</f>
        <v/>
      </c>
      <c r="FD171" s="66" t="str">
        <f t="shared" ref="FD171:FD173" si="2893">IF(BX171="","","|n"&amp;FD$2&amp;"+"&amp;BX171&amp;FD$1)</f>
        <v/>
      </c>
      <c r="FE171" s="66" t="str">
        <f t="shared" ref="FE171:FE173" si="2894">IF(BY171="","","|n"&amp;FE$2&amp;"+"&amp;BY171&amp;FE$1)</f>
        <v/>
      </c>
      <c r="FF171" s="66" t="str">
        <f t="shared" ref="FF171:FF173" si="2895">IF(BZ171="","","|n"&amp;FF$2&amp;"+"&amp;BZ171&amp;FF$1)</f>
        <v/>
      </c>
      <c r="FG171" s="66" t="str">
        <f t="shared" ref="FG171:FG173" si="2896">IF(CA171="","","|n"&amp;FG$2&amp;"+"&amp;CA171&amp;FG$1)</f>
        <v/>
      </c>
      <c r="FH171" s="66" t="str">
        <f t="shared" ref="FH171:FH173" si="2897">IF(CB171="","","|n"&amp;FH$2&amp;"+"&amp;CB171&amp;FH$1)</f>
        <v/>
      </c>
      <c r="FI171" s="66" t="str">
        <f t="shared" ref="FI171:FI173" si="2898">IF(CC171="","","|n"&amp;FI$2&amp;"+"&amp;CC171&amp;FI$1)</f>
        <v/>
      </c>
      <c r="FJ171" s="66" t="str">
        <f t="shared" ref="FJ171:FJ173" si="2899">IF(CD171="","","|n"&amp;FJ$2&amp;"+"&amp;CD171&amp;FJ$1)</f>
        <v/>
      </c>
      <c r="FK171" s="66" t="str">
        <f t="shared" ref="FK171:FK173" si="2900">IF(CE171="","","|n"&amp;FK$2&amp;"+"&amp;CE171&amp;FK$1)</f>
        <v/>
      </c>
      <c r="FL171" s="66" t="str">
        <f t="shared" ref="FL171:FL173" si="2901">IF(CF171="","","|n"&amp;FL$2&amp;"+"&amp;CF171&amp;FL$1)</f>
        <v/>
      </c>
      <c r="FM171" s="66" t="str">
        <f t="shared" ref="FM171:FM173" si="2902">IF(CG171="","","|n"&amp;FM$2&amp;"+"&amp;CG171&amp;FM$1)</f>
        <v/>
      </c>
      <c r="FN171" s="66" t="str">
        <f t="shared" ref="FN171:FN173" si="2903">IF(CH171="","","|n"&amp;FN$2&amp;"+"&amp;CH171&amp;FN$1)</f>
        <v/>
      </c>
      <c r="FO171" s="66" t="str">
        <f t="shared" ref="FO171:FO173" si="2904">IF(CI171="","","|n"&amp;FO$2&amp;"+"&amp;CI171&amp;FO$1)</f>
        <v/>
      </c>
      <c r="FP171" s="66" t="str">
        <f t="shared" ref="FP171:FP173" si="2905">IF(CJ171="","","|n"&amp;FP$2&amp;"+"&amp;CJ171&amp;FP$1)</f>
        <v/>
      </c>
      <c r="FQ171" s="66" t="str">
        <f t="shared" ref="FQ171:FQ173" si="2906">IF(CK171="","","|n"&amp;FQ$2&amp;"+"&amp;CK171&amp;FQ$1)</f>
        <v/>
      </c>
      <c r="FR171" s="66" t="str">
        <f t="shared" ref="FR171:FR173" si="2907">IF(CL171="","","|n"&amp;FR$2&amp;"+"&amp;CL171&amp;FR$1)</f>
        <v/>
      </c>
      <c r="FS171" s="66" t="str">
        <f t="shared" ref="FS171:FS173" si="2908">IF(CM171="","","|n"&amp;FS$2&amp;"+"&amp;CM171&amp;FS$1)</f>
        <v/>
      </c>
    </row>
    <row r="172" spans="1:175" ht="16.5">
      <c r="A172" s="15"/>
      <c r="B172" s="9" t="s">
        <v>637</v>
      </c>
      <c r="C172" s="15" t="s">
        <v>638</v>
      </c>
      <c r="T172" s="15" t="s">
        <v>639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837"/>
        <v>|n</v>
      </c>
      <c r="CV172" s="19" t="str">
        <f t="shared" si="2838"/>
        <v>境界挑战12</v>
      </c>
      <c r="CW172" s="33"/>
      <c r="CX172" s="33"/>
      <c r="CY172" s="33"/>
      <c r="CZ172" s="33"/>
      <c r="DA172" s="33"/>
      <c r="DB172" s="66" t="str">
        <f t="shared" si="2839"/>
        <v/>
      </c>
      <c r="DC172" s="66" t="str">
        <f t="shared" si="2840"/>
        <v/>
      </c>
      <c r="DD172" s="66" t="str">
        <f t="shared" si="2841"/>
        <v/>
      </c>
      <c r="DE172" s="66" t="str">
        <f t="shared" si="2842"/>
        <v/>
      </c>
      <c r="DF172" s="66" t="str">
        <f t="shared" si="2843"/>
        <v/>
      </c>
      <c r="DG172" s="66" t="str">
        <f t="shared" si="2844"/>
        <v/>
      </c>
      <c r="DH172" s="66" t="str">
        <f t="shared" si="2845"/>
        <v/>
      </c>
      <c r="DI172" s="66" t="str">
        <f t="shared" si="2846"/>
        <v/>
      </c>
      <c r="DJ172" s="66" t="str">
        <f t="shared" si="2847"/>
        <v/>
      </c>
      <c r="DK172" s="66" t="str">
        <f t="shared" si="2848"/>
        <v/>
      </c>
      <c r="DL172" s="66" t="str">
        <f t="shared" si="2849"/>
        <v/>
      </c>
      <c r="DM172" s="66" t="str">
        <f t="shared" si="2850"/>
        <v/>
      </c>
      <c r="DN172" s="66" t="str">
        <f t="shared" si="2851"/>
        <v/>
      </c>
      <c r="DO172" s="66" t="str">
        <f t="shared" si="2852"/>
        <v/>
      </c>
      <c r="DP172" s="66" t="str">
        <f t="shared" si="2853"/>
        <v/>
      </c>
      <c r="DQ172" s="66" t="str">
        <f t="shared" si="2854"/>
        <v/>
      </c>
      <c r="DR172" s="66" t="str">
        <f t="shared" si="2855"/>
        <v/>
      </c>
      <c r="DS172" s="66" t="str">
        <f t="shared" si="2856"/>
        <v/>
      </c>
      <c r="DT172" s="66" t="str">
        <f t="shared" si="2857"/>
        <v/>
      </c>
      <c r="DU172" s="66" t="str">
        <f t="shared" si="2858"/>
        <v/>
      </c>
      <c r="DV172" s="66" t="str">
        <f t="shared" si="2859"/>
        <v/>
      </c>
      <c r="DW172" s="66" t="str">
        <f t="shared" si="2860"/>
        <v/>
      </c>
      <c r="DX172" s="66" t="str">
        <f t="shared" si="2861"/>
        <v/>
      </c>
      <c r="DY172" s="66" t="str">
        <f t="shared" si="2862"/>
        <v/>
      </c>
      <c r="DZ172" s="66" t="str">
        <f t="shared" si="2863"/>
        <v/>
      </c>
      <c r="EA172" s="66" t="str">
        <f t="shared" si="2864"/>
        <v/>
      </c>
      <c r="EB172" s="66" t="str">
        <f t="shared" si="2865"/>
        <v/>
      </c>
      <c r="EC172" s="66" t="str">
        <f t="shared" si="2866"/>
        <v/>
      </c>
      <c r="ED172" s="66" t="str">
        <f t="shared" si="2867"/>
        <v/>
      </c>
      <c r="EE172" s="66" t="str">
        <f t="shared" si="2868"/>
        <v/>
      </c>
      <c r="EF172" s="66" t="str">
        <f t="shared" si="2869"/>
        <v/>
      </c>
      <c r="EG172" s="66" t="str">
        <f t="shared" si="2870"/>
        <v/>
      </c>
      <c r="EH172" s="66" t="str">
        <f t="shared" si="2871"/>
        <v/>
      </c>
      <c r="EI172" s="66" t="str">
        <f t="shared" si="2872"/>
        <v/>
      </c>
      <c r="EJ172" s="66" t="str">
        <f t="shared" si="2873"/>
        <v/>
      </c>
      <c r="EK172" s="66" t="str">
        <f t="shared" si="2874"/>
        <v/>
      </c>
      <c r="EL172" s="66" t="str">
        <f t="shared" si="2875"/>
        <v/>
      </c>
      <c r="EM172" s="66" t="str">
        <f t="shared" si="2876"/>
        <v/>
      </c>
      <c r="EN172" s="66" t="str">
        <f t="shared" si="2877"/>
        <v/>
      </c>
      <c r="EO172" s="66" t="str">
        <f t="shared" si="2878"/>
        <v/>
      </c>
      <c r="EP172" s="66" t="str">
        <f t="shared" si="2879"/>
        <v/>
      </c>
      <c r="EQ172" s="66" t="str">
        <f t="shared" si="2880"/>
        <v/>
      </c>
      <c r="ER172" s="66" t="str">
        <f t="shared" si="2881"/>
        <v/>
      </c>
      <c r="ES172" s="66" t="str">
        <f t="shared" si="2882"/>
        <v/>
      </c>
      <c r="ET172" s="66" t="str">
        <f t="shared" si="2883"/>
        <v/>
      </c>
      <c r="EU172" s="66" t="str">
        <f t="shared" si="2884"/>
        <v/>
      </c>
      <c r="EV172" s="66" t="str">
        <f t="shared" si="2885"/>
        <v/>
      </c>
      <c r="EW172" s="66" t="str">
        <f t="shared" si="2886"/>
        <v/>
      </c>
      <c r="EX172" s="66" t="str">
        <f t="shared" si="2887"/>
        <v/>
      </c>
      <c r="EY172" s="66" t="str">
        <f t="shared" si="2888"/>
        <v/>
      </c>
      <c r="EZ172" s="66" t="str">
        <f t="shared" si="2889"/>
        <v/>
      </c>
      <c r="FA172" s="66" t="str">
        <f t="shared" si="2890"/>
        <v/>
      </c>
      <c r="FB172" s="66" t="str">
        <f t="shared" si="2891"/>
        <v/>
      </c>
      <c r="FC172" s="66" t="str">
        <f t="shared" si="2892"/>
        <v/>
      </c>
      <c r="FD172" s="66" t="str">
        <f t="shared" si="2893"/>
        <v/>
      </c>
      <c r="FE172" s="66" t="str">
        <f t="shared" si="2894"/>
        <v/>
      </c>
      <c r="FF172" s="66" t="str">
        <f t="shared" si="2895"/>
        <v/>
      </c>
      <c r="FG172" s="66" t="str">
        <f t="shared" si="2896"/>
        <v/>
      </c>
      <c r="FH172" s="66" t="str">
        <f t="shared" si="2897"/>
        <v/>
      </c>
      <c r="FI172" s="66" t="str">
        <f t="shared" si="2898"/>
        <v/>
      </c>
      <c r="FJ172" s="66" t="str">
        <f t="shared" si="2899"/>
        <v/>
      </c>
      <c r="FK172" s="66" t="str">
        <f t="shared" si="2900"/>
        <v/>
      </c>
      <c r="FL172" s="66" t="str">
        <f t="shared" si="2901"/>
        <v/>
      </c>
      <c r="FM172" s="66" t="str">
        <f t="shared" si="2902"/>
        <v/>
      </c>
      <c r="FN172" s="66" t="str">
        <f t="shared" si="2903"/>
        <v/>
      </c>
      <c r="FO172" s="66" t="str">
        <f t="shared" si="2904"/>
        <v/>
      </c>
      <c r="FP172" s="66" t="str">
        <f t="shared" si="2905"/>
        <v/>
      </c>
      <c r="FQ172" s="66" t="str">
        <f t="shared" si="2906"/>
        <v/>
      </c>
      <c r="FR172" s="66" t="str">
        <f t="shared" si="2907"/>
        <v/>
      </c>
      <c r="FS172" s="66" t="str">
        <f t="shared" si="2908"/>
        <v/>
      </c>
    </row>
    <row r="173" spans="1:175" ht="16.5">
      <c r="A173" s="15"/>
      <c r="B173" s="9" t="s">
        <v>640</v>
      </c>
      <c r="C173" s="15" t="s">
        <v>641</v>
      </c>
      <c r="T173" s="15" t="s">
        <v>642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837"/>
        <v>|n</v>
      </c>
      <c r="CV173" s="19" t="str">
        <f t="shared" si="2838"/>
        <v>境界挑战13</v>
      </c>
      <c r="CW173" s="33"/>
      <c r="CX173" s="33"/>
      <c r="CY173" s="33"/>
      <c r="CZ173" s="33"/>
      <c r="DA173" s="33"/>
      <c r="DB173" s="66" t="str">
        <f t="shared" si="2839"/>
        <v/>
      </c>
      <c r="DC173" s="66" t="str">
        <f t="shared" si="2840"/>
        <v/>
      </c>
      <c r="DD173" s="66" t="str">
        <f t="shared" si="2841"/>
        <v/>
      </c>
      <c r="DE173" s="66" t="str">
        <f t="shared" si="2842"/>
        <v/>
      </c>
      <c r="DF173" s="66" t="str">
        <f t="shared" si="2843"/>
        <v/>
      </c>
      <c r="DG173" s="66" t="str">
        <f t="shared" si="2844"/>
        <v/>
      </c>
      <c r="DH173" s="66" t="str">
        <f t="shared" si="2845"/>
        <v/>
      </c>
      <c r="DI173" s="66" t="str">
        <f t="shared" si="2846"/>
        <v/>
      </c>
      <c r="DJ173" s="66" t="str">
        <f t="shared" si="2847"/>
        <v/>
      </c>
      <c r="DK173" s="66" t="str">
        <f t="shared" si="2848"/>
        <v/>
      </c>
      <c r="DL173" s="66" t="str">
        <f t="shared" si="2849"/>
        <v/>
      </c>
      <c r="DM173" s="66" t="str">
        <f t="shared" si="2850"/>
        <v/>
      </c>
      <c r="DN173" s="66" t="str">
        <f t="shared" si="2851"/>
        <v/>
      </c>
      <c r="DO173" s="66" t="str">
        <f t="shared" si="2852"/>
        <v/>
      </c>
      <c r="DP173" s="66" t="str">
        <f t="shared" si="2853"/>
        <v/>
      </c>
      <c r="DQ173" s="66" t="str">
        <f t="shared" si="2854"/>
        <v/>
      </c>
      <c r="DR173" s="66" t="str">
        <f t="shared" si="2855"/>
        <v/>
      </c>
      <c r="DS173" s="66" t="str">
        <f t="shared" si="2856"/>
        <v/>
      </c>
      <c r="DT173" s="66" t="str">
        <f t="shared" si="2857"/>
        <v/>
      </c>
      <c r="DU173" s="66" t="str">
        <f t="shared" si="2858"/>
        <v/>
      </c>
      <c r="DV173" s="66" t="str">
        <f t="shared" si="2859"/>
        <v/>
      </c>
      <c r="DW173" s="66" t="str">
        <f t="shared" si="2860"/>
        <v/>
      </c>
      <c r="DX173" s="66" t="str">
        <f t="shared" si="2861"/>
        <v/>
      </c>
      <c r="DY173" s="66" t="str">
        <f t="shared" si="2862"/>
        <v/>
      </c>
      <c r="DZ173" s="66" t="str">
        <f t="shared" si="2863"/>
        <v/>
      </c>
      <c r="EA173" s="66" t="str">
        <f t="shared" si="2864"/>
        <v/>
      </c>
      <c r="EB173" s="66" t="str">
        <f t="shared" si="2865"/>
        <v/>
      </c>
      <c r="EC173" s="66" t="str">
        <f t="shared" si="2866"/>
        <v/>
      </c>
      <c r="ED173" s="66" t="str">
        <f t="shared" si="2867"/>
        <v/>
      </c>
      <c r="EE173" s="66" t="str">
        <f t="shared" si="2868"/>
        <v/>
      </c>
      <c r="EF173" s="66" t="str">
        <f t="shared" si="2869"/>
        <v/>
      </c>
      <c r="EG173" s="66" t="str">
        <f t="shared" si="2870"/>
        <v/>
      </c>
      <c r="EH173" s="66" t="str">
        <f t="shared" si="2871"/>
        <v/>
      </c>
      <c r="EI173" s="66" t="str">
        <f t="shared" si="2872"/>
        <v/>
      </c>
      <c r="EJ173" s="66" t="str">
        <f t="shared" si="2873"/>
        <v/>
      </c>
      <c r="EK173" s="66" t="str">
        <f t="shared" si="2874"/>
        <v/>
      </c>
      <c r="EL173" s="66" t="str">
        <f t="shared" si="2875"/>
        <v/>
      </c>
      <c r="EM173" s="66" t="str">
        <f t="shared" si="2876"/>
        <v/>
      </c>
      <c r="EN173" s="66" t="str">
        <f t="shared" si="2877"/>
        <v/>
      </c>
      <c r="EO173" s="66" t="str">
        <f t="shared" si="2878"/>
        <v/>
      </c>
      <c r="EP173" s="66" t="str">
        <f t="shared" si="2879"/>
        <v/>
      </c>
      <c r="EQ173" s="66" t="str">
        <f t="shared" si="2880"/>
        <v/>
      </c>
      <c r="ER173" s="66" t="str">
        <f t="shared" si="2881"/>
        <v/>
      </c>
      <c r="ES173" s="66" t="str">
        <f t="shared" si="2882"/>
        <v/>
      </c>
      <c r="ET173" s="66" t="str">
        <f t="shared" si="2883"/>
        <v/>
      </c>
      <c r="EU173" s="66" t="str">
        <f t="shared" si="2884"/>
        <v/>
      </c>
      <c r="EV173" s="66" t="str">
        <f t="shared" si="2885"/>
        <v/>
      </c>
      <c r="EW173" s="66" t="str">
        <f t="shared" si="2886"/>
        <v/>
      </c>
      <c r="EX173" s="66" t="str">
        <f t="shared" si="2887"/>
        <v/>
      </c>
      <c r="EY173" s="66" t="str">
        <f t="shared" si="2888"/>
        <v/>
      </c>
      <c r="EZ173" s="66" t="str">
        <f t="shared" si="2889"/>
        <v/>
      </c>
      <c r="FA173" s="66" t="str">
        <f t="shared" si="2890"/>
        <v/>
      </c>
      <c r="FB173" s="66" t="str">
        <f t="shared" si="2891"/>
        <v/>
      </c>
      <c r="FC173" s="66" t="str">
        <f t="shared" si="2892"/>
        <v/>
      </c>
      <c r="FD173" s="66" t="str">
        <f t="shared" si="2893"/>
        <v/>
      </c>
      <c r="FE173" s="66" t="str">
        <f t="shared" si="2894"/>
        <v/>
      </c>
      <c r="FF173" s="66" t="str">
        <f t="shared" si="2895"/>
        <v/>
      </c>
      <c r="FG173" s="66" t="str">
        <f t="shared" si="2896"/>
        <v/>
      </c>
      <c r="FH173" s="66" t="str">
        <f t="shared" si="2897"/>
        <v/>
      </c>
      <c r="FI173" s="66" t="str">
        <f t="shared" si="2898"/>
        <v/>
      </c>
      <c r="FJ173" s="66" t="str">
        <f t="shared" si="2899"/>
        <v/>
      </c>
      <c r="FK173" s="66" t="str">
        <f t="shared" si="2900"/>
        <v/>
      </c>
      <c r="FL173" s="66" t="str">
        <f t="shared" si="2901"/>
        <v/>
      </c>
      <c r="FM173" s="66" t="str">
        <f t="shared" si="2902"/>
        <v/>
      </c>
      <c r="FN173" s="66" t="str">
        <f t="shared" si="2903"/>
        <v/>
      </c>
      <c r="FO173" s="66" t="str">
        <f t="shared" si="2904"/>
        <v/>
      </c>
      <c r="FP173" s="66" t="str">
        <f t="shared" si="2905"/>
        <v/>
      </c>
      <c r="FQ173" s="66" t="str">
        <f t="shared" si="2906"/>
        <v/>
      </c>
      <c r="FR173" s="66" t="str">
        <f t="shared" si="2907"/>
        <v/>
      </c>
      <c r="FS173" s="66" t="str">
        <f t="shared" si="2908"/>
        <v/>
      </c>
    </row>
    <row r="174" spans="1:175" ht="16.5">
      <c r="A174" s="15"/>
      <c r="B174" s="9" t="s">
        <v>643</v>
      </c>
      <c r="C174" s="15" t="s">
        <v>644</v>
      </c>
      <c r="T174" s="15" t="s">
        <v>644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188&amp;CR$1&amp;")"</f>
        <v>InitEquipData('IT14',,"",,,,,'','','','','','',"ReplaceableTextures\\CommandButtons\\BTNIH00.blp")</v>
      </c>
      <c r="CU174" s="88" t="str">
        <f t="shared" si="2837"/>
        <v>|n</v>
      </c>
      <c r="CV174" s="19" t="str">
        <f t="shared" si="2838"/>
        <v>境界挑战14</v>
      </c>
      <c r="CW174" s="33"/>
      <c r="CX174" s="33"/>
      <c r="CY174" s="33"/>
      <c r="CZ174" s="33"/>
      <c r="DA174" s="33"/>
      <c r="DB174" s="66" t="str">
        <f t="shared" ref="DB174:EG175" si="2909">IF(V174="","","|n"&amp;DB$2&amp;"+"&amp;V174&amp;DB$1)</f>
        <v/>
      </c>
      <c r="DC174" s="66" t="str">
        <f t="shared" si="2909"/>
        <v/>
      </c>
      <c r="DD174" s="66" t="str">
        <f t="shared" si="2909"/>
        <v/>
      </c>
      <c r="DE174" s="66" t="str">
        <f t="shared" si="2909"/>
        <v/>
      </c>
      <c r="DF174" s="66" t="str">
        <f t="shared" si="2909"/>
        <v/>
      </c>
      <c r="DG174" s="66" t="str">
        <f t="shared" si="2909"/>
        <v/>
      </c>
      <c r="DH174" s="66" t="str">
        <f t="shared" si="2909"/>
        <v/>
      </c>
      <c r="DI174" s="66" t="str">
        <f t="shared" si="2909"/>
        <v/>
      </c>
      <c r="DJ174" s="66" t="str">
        <f t="shared" si="2909"/>
        <v/>
      </c>
      <c r="DK174" s="66" t="str">
        <f t="shared" si="2909"/>
        <v/>
      </c>
      <c r="DL174" s="66" t="str">
        <f t="shared" si="2909"/>
        <v/>
      </c>
      <c r="DM174" s="66" t="str">
        <f t="shared" si="2909"/>
        <v/>
      </c>
      <c r="DN174" s="66" t="str">
        <f t="shared" si="2909"/>
        <v/>
      </c>
      <c r="DO174" s="66" t="str">
        <f t="shared" si="2909"/>
        <v/>
      </c>
      <c r="DP174" s="66" t="str">
        <f t="shared" si="2909"/>
        <v/>
      </c>
      <c r="DQ174" s="66" t="str">
        <f t="shared" si="2909"/>
        <v/>
      </c>
      <c r="DR174" s="66" t="str">
        <f t="shared" si="2909"/>
        <v/>
      </c>
      <c r="DS174" s="66" t="str">
        <f t="shared" si="2909"/>
        <v/>
      </c>
      <c r="DT174" s="66" t="str">
        <f t="shared" si="2909"/>
        <v/>
      </c>
      <c r="DU174" s="66" t="str">
        <f t="shared" si="2909"/>
        <v/>
      </c>
      <c r="DV174" s="66" t="str">
        <f t="shared" si="2909"/>
        <v/>
      </c>
      <c r="DW174" s="66" t="str">
        <f t="shared" si="2909"/>
        <v/>
      </c>
      <c r="DX174" s="66" t="str">
        <f t="shared" si="2909"/>
        <v/>
      </c>
      <c r="DY174" s="66" t="str">
        <f t="shared" si="2909"/>
        <v/>
      </c>
      <c r="DZ174" s="66" t="str">
        <f t="shared" si="2909"/>
        <v/>
      </c>
      <c r="EA174" s="66" t="str">
        <f t="shared" si="2909"/>
        <v/>
      </c>
      <c r="EB174" s="66" t="str">
        <f t="shared" si="2909"/>
        <v/>
      </c>
      <c r="EC174" s="66" t="str">
        <f t="shared" si="2909"/>
        <v/>
      </c>
      <c r="ED174" s="66" t="str">
        <f t="shared" si="2909"/>
        <v/>
      </c>
      <c r="EE174" s="66" t="str">
        <f t="shared" si="2909"/>
        <v/>
      </c>
      <c r="EF174" s="66" t="str">
        <f t="shared" si="2909"/>
        <v/>
      </c>
      <c r="EG174" s="66" t="str">
        <f t="shared" si="2909"/>
        <v/>
      </c>
      <c r="EH174" s="66" t="str">
        <f t="shared" ref="EH174:FM175" si="2910">IF(BB174="","","|n"&amp;EH$2&amp;"+"&amp;BB174&amp;EH$1)</f>
        <v/>
      </c>
      <c r="EI174" s="66" t="str">
        <f t="shared" si="2910"/>
        <v/>
      </c>
      <c r="EJ174" s="66" t="str">
        <f t="shared" si="2910"/>
        <v/>
      </c>
      <c r="EK174" s="66" t="str">
        <f t="shared" si="2910"/>
        <v/>
      </c>
      <c r="EL174" s="66" t="str">
        <f t="shared" si="2910"/>
        <v/>
      </c>
      <c r="EM174" s="66" t="str">
        <f t="shared" si="2910"/>
        <v/>
      </c>
      <c r="EN174" s="66" t="str">
        <f t="shared" si="2910"/>
        <v/>
      </c>
      <c r="EO174" s="66" t="str">
        <f t="shared" si="2910"/>
        <v/>
      </c>
      <c r="EP174" s="66" t="str">
        <f t="shared" si="2910"/>
        <v/>
      </c>
      <c r="EQ174" s="66" t="str">
        <f t="shared" si="2910"/>
        <v/>
      </c>
      <c r="ER174" s="66" t="str">
        <f t="shared" si="2910"/>
        <v/>
      </c>
      <c r="ES174" s="66" t="str">
        <f t="shared" si="2910"/>
        <v/>
      </c>
      <c r="ET174" s="66" t="str">
        <f t="shared" si="2910"/>
        <v/>
      </c>
      <c r="EU174" s="66" t="str">
        <f t="shared" si="2910"/>
        <v/>
      </c>
      <c r="EV174" s="66" t="str">
        <f t="shared" si="2910"/>
        <v/>
      </c>
      <c r="EW174" s="66" t="str">
        <f t="shared" si="2910"/>
        <v/>
      </c>
      <c r="EX174" s="66" t="str">
        <f t="shared" si="2910"/>
        <v/>
      </c>
      <c r="EY174" s="66" t="str">
        <f t="shared" si="2910"/>
        <v/>
      </c>
      <c r="EZ174" s="66" t="str">
        <f t="shared" si="2910"/>
        <v/>
      </c>
      <c r="FA174" s="66" t="str">
        <f t="shared" si="2910"/>
        <v/>
      </c>
      <c r="FB174" s="66" t="str">
        <f t="shared" si="2910"/>
        <v/>
      </c>
      <c r="FC174" s="66" t="str">
        <f t="shared" si="2910"/>
        <v/>
      </c>
      <c r="FD174" s="66" t="str">
        <f t="shared" si="2910"/>
        <v/>
      </c>
      <c r="FE174" s="66" t="str">
        <f t="shared" si="2910"/>
        <v/>
      </c>
      <c r="FF174" s="66" t="str">
        <f t="shared" si="2910"/>
        <v/>
      </c>
      <c r="FG174" s="66" t="str">
        <f t="shared" si="2910"/>
        <v/>
      </c>
      <c r="FH174" s="66" t="str">
        <f t="shared" si="2910"/>
        <v/>
      </c>
      <c r="FI174" s="66" t="str">
        <f t="shared" si="2910"/>
        <v/>
      </c>
      <c r="FJ174" s="66" t="str">
        <f t="shared" si="2910"/>
        <v/>
      </c>
      <c r="FK174" s="66" t="str">
        <f t="shared" si="2910"/>
        <v/>
      </c>
      <c r="FL174" s="66" t="str">
        <f t="shared" si="2910"/>
        <v/>
      </c>
      <c r="FM174" s="66" t="str">
        <f t="shared" si="2910"/>
        <v/>
      </c>
      <c r="FN174" s="66" t="str">
        <f t="shared" ref="FN174:FS175" si="2911">IF(CH174="","","|n"&amp;FN$2&amp;"+"&amp;CH174&amp;FN$1)</f>
        <v/>
      </c>
      <c r="FO174" s="66" t="str">
        <f t="shared" si="2911"/>
        <v/>
      </c>
      <c r="FP174" s="66" t="str">
        <f t="shared" si="2911"/>
        <v/>
      </c>
      <c r="FQ174" s="66" t="str">
        <f t="shared" si="2911"/>
        <v/>
      </c>
      <c r="FR174" s="66" t="str">
        <f t="shared" si="2911"/>
        <v/>
      </c>
      <c r="FS174" s="66" t="str">
        <f t="shared" si="2911"/>
        <v/>
      </c>
    </row>
    <row r="175" spans="1:175" s="29" customFormat="1" ht="16.5">
      <c r="A175" s="15"/>
      <c r="B175" s="9" t="s">
        <v>645</v>
      </c>
      <c r="C175" s="15" t="s">
        <v>646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647</v>
      </c>
      <c r="U175" s="77" t="str">
        <f t="shared" ref="U175:U177" si="2912">"ReplaceableTextures\\CommandButtons\\BTN"&amp;B175&amp;".blp"</f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3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4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5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6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8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9"/>
        <v/>
      </c>
      <c r="DC175" s="108" t="str">
        <f t="shared" si="2909"/>
        <v/>
      </c>
      <c r="DD175" s="108" t="str">
        <f t="shared" si="2909"/>
        <v/>
      </c>
      <c r="DE175" s="108" t="str">
        <f t="shared" si="2909"/>
        <v/>
      </c>
      <c r="DF175" s="108" t="str">
        <f t="shared" si="2909"/>
        <v/>
      </c>
      <c r="DG175" s="108" t="str">
        <f t="shared" si="2909"/>
        <v/>
      </c>
      <c r="DH175" s="108" t="str">
        <f t="shared" si="2909"/>
        <v/>
      </c>
      <c r="DI175" s="108" t="str">
        <f t="shared" si="2909"/>
        <v/>
      </c>
      <c r="DJ175" s="108" t="str">
        <f t="shared" si="2909"/>
        <v/>
      </c>
      <c r="DK175" s="108" t="str">
        <f t="shared" si="2909"/>
        <v/>
      </c>
      <c r="DL175" s="108" t="str">
        <f t="shared" si="2909"/>
        <v/>
      </c>
      <c r="DM175" s="108" t="str">
        <f t="shared" si="2909"/>
        <v/>
      </c>
      <c r="DN175" s="108" t="str">
        <f t="shared" si="2909"/>
        <v/>
      </c>
      <c r="DO175" s="108" t="str">
        <f t="shared" si="2909"/>
        <v/>
      </c>
      <c r="DP175" s="108" t="str">
        <f t="shared" si="2909"/>
        <v/>
      </c>
      <c r="DQ175" s="108" t="str">
        <f t="shared" si="2909"/>
        <v/>
      </c>
      <c r="DR175" s="108" t="str">
        <f t="shared" si="2909"/>
        <v/>
      </c>
      <c r="DS175" s="108" t="str">
        <f t="shared" si="2909"/>
        <v/>
      </c>
      <c r="DT175" s="108" t="str">
        <f t="shared" si="2909"/>
        <v/>
      </c>
      <c r="DU175" s="108" t="str">
        <f t="shared" si="2909"/>
        <v/>
      </c>
      <c r="DV175" s="108" t="str">
        <f t="shared" si="2909"/>
        <v/>
      </c>
      <c r="DW175" s="108" t="str">
        <f t="shared" si="2909"/>
        <v/>
      </c>
      <c r="DX175" s="108" t="str">
        <f t="shared" si="2909"/>
        <v/>
      </c>
      <c r="DY175" s="108" t="str">
        <f t="shared" si="2909"/>
        <v/>
      </c>
      <c r="DZ175" s="108" t="str">
        <f t="shared" si="2909"/>
        <v/>
      </c>
      <c r="EA175" s="108" t="str">
        <f t="shared" si="2909"/>
        <v/>
      </c>
      <c r="EB175" s="108" t="str">
        <f t="shared" si="2909"/>
        <v/>
      </c>
      <c r="EC175" s="108" t="str">
        <f t="shared" si="2909"/>
        <v/>
      </c>
      <c r="ED175" s="108" t="str">
        <f t="shared" si="2909"/>
        <v/>
      </c>
      <c r="EE175" s="108" t="str">
        <f t="shared" si="2909"/>
        <v/>
      </c>
      <c r="EF175" s="108" t="str">
        <f t="shared" si="2909"/>
        <v/>
      </c>
      <c r="EG175" s="108" t="str">
        <f t="shared" si="2909"/>
        <v/>
      </c>
      <c r="EH175" s="108" t="str">
        <f t="shared" si="2910"/>
        <v/>
      </c>
      <c r="EI175" s="108" t="str">
        <f t="shared" si="2910"/>
        <v/>
      </c>
      <c r="EJ175" s="108" t="str">
        <f t="shared" si="2910"/>
        <v/>
      </c>
      <c r="EK175" s="108" t="str">
        <f t="shared" si="2910"/>
        <v/>
      </c>
      <c r="EL175" s="108" t="str">
        <f t="shared" si="2910"/>
        <v/>
      </c>
      <c r="EM175" s="108" t="str">
        <f t="shared" si="2910"/>
        <v/>
      </c>
      <c r="EN175" s="108" t="str">
        <f t="shared" si="2910"/>
        <v/>
      </c>
      <c r="EO175" s="108" t="str">
        <f t="shared" si="2910"/>
        <v/>
      </c>
      <c r="EP175" s="108" t="str">
        <f t="shared" si="2910"/>
        <v/>
      </c>
      <c r="EQ175" s="108" t="str">
        <f t="shared" si="2910"/>
        <v/>
      </c>
      <c r="ER175" s="108" t="str">
        <f t="shared" si="2910"/>
        <v/>
      </c>
      <c r="ES175" s="108" t="str">
        <f t="shared" si="2910"/>
        <v/>
      </c>
      <c r="ET175" s="108" t="str">
        <f t="shared" si="2910"/>
        <v/>
      </c>
      <c r="EU175" s="108" t="str">
        <f t="shared" si="2910"/>
        <v/>
      </c>
      <c r="EV175" s="108" t="str">
        <f t="shared" si="2910"/>
        <v/>
      </c>
      <c r="EW175" s="108" t="str">
        <f t="shared" si="2910"/>
        <v/>
      </c>
      <c r="EX175" s="108" t="str">
        <f t="shared" si="2910"/>
        <v/>
      </c>
      <c r="EY175" s="108" t="str">
        <f t="shared" si="2910"/>
        <v/>
      </c>
      <c r="EZ175" s="108" t="str">
        <f t="shared" si="2910"/>
        <v/>
      </c>
      <c r="FA175" s="108" t="str">
        <f t="shared" si="2910"/>
        <v/>
      </c>
      <c r="FB175" s="108" t="str">
        <f t="shared" si="2910"/>
        <v/>
      </c>
      <c r="FC175" s="108" t="str">
        <f t="shared" si="2910"/>
        <v/>
      </c>
      <c r="FD175" s="108" t="str">
        <f t="shared" si="2910"/>
        <v/>
      </c>
      <c r="FE175" s="108" t="str">
        <f t="shared" si="2910"/>
        <v/>
      </c>
      <c r="FF175" s="108" t="str">
        <f t="shared" si="2910"/>
        <v/>
      </c>
      <c r="FG175" s="108" t="str">
        <f t="shared" si="2910"/>
        <v/>
      </c>
      <c r="FH175" s="108" t="str">
        <f t="shared" si="2910"/>
        <v/>
      </c>
      <c r="FI175" s="108" t="str">
        <f t="shared" si="2910"/>
        <v/>
      </c>
      <c r="FJ175" s="108" t="str">
        <f t="shared" si="2910"/>
        <v/>
      </c>
      <c r="FK175" s="108" t="str">
        <f t="shared" si="2910"/>
        <v/>
      </c>
      <c r="FL175" s="108" t="str">
        <f t="shared" si="2910"/>
        <v/>
      </c>
      <c r="FM175" s="108" t="str">
        <f t="shared" si="2910"/>
        <v/>
      </c>
      <c r="FN175" s="108" t="str">
        <f t="shared" si="2911"/>
        <v/>
      </c>
      <c r="FO175" s="108" t="str">
        <f t="shared" si="2911"/>
        <v/>
      </c>
      <c r="FP175" s="108" t="str">
        <f t="shared" si="2911"/>
        <v/>
      </c>
      <c r="FQ175" s="108" t="str">
        <f t="shared" si="2911"/>
        <v/>
      </c>
      <c r="FR175" s="108" t="str">
        <f t="shared" si="2911"/>
        <v/>
      </c>
      <c r="FS175" s="108" t="str">
        <f t="shared" si="2911"/>
        <v/>
      </c>
    </row>
    <row r="176" spans="1:175" s="29" customFormat="1" ht="16.5">
      <c r="A176" s="15"/>
      <c r="B176" s="9" t="s">
        <v>648</v>
      </c>
      <c r="C176" s="15" t="s">
        <v>649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650</v>
      </c>
      <c r="U176" s="77" t="str">
        <f t="shared" ref="U176" si="2919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" si="2920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" si="2921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" si="2922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" si="2923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InitEquipData('IZ0B',,"",,,,,'','','','','','',"ReplaceableTextures\\CommandButtons\\BTN001.blp")</v>
      </c>
      <c r="CS176" s="107"/>
      <c r="CT176" s="107"/>
      <c r="CU176" s="88" t="str">
        <f t="shared" ref="CU176" si="2924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" si="2925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6">IF(V176="","","|n"&amp;DB$2&amp;"+"&amp;V176&amp;DB$1)</f>
        <v/>
      </c>
      <c r="DC176" s="108" t="str">
        <f t="shared" ref="DC176" si="2927">IF(W176="","","|n"&amp;DC$2&amp;"+"&amp;W176&amp;DC$1)</f>
        <v/>
      </c>
      <c r="DD176" s="108" t="str">
        <f t="shared" ref="DD176" si="2928">IF(X176="","","|n"&amp;DD$2&amp;"+"&amp;X176&amp;DD$1)</f>
        <v/>
      </c>
      <c r="DE176" s="108" t="str">
        <f t="shared" ref="DE176" si="2929">IF(Y176="","","|n"&amp;DE$2&amp;"+"&amp;Y176&amp;DE$1)</f>
        <v/>
      </c>
      <c r="DF176" s="108" t="str">
        <f t="shared" ref="DF176" si="2930">IF(Z176="","","|n"&amp;DF$2&amp;"+"&amp;Z176&amp;DF$1)</f>
        <v/>
      </c>
      <c r="DG176" s="108" t="str">
        <f t="shared" ref="DG176" si="2931">IF(AA176="","","|n"&amp;DG$2&amp;"+"&amp;AA176&amp;DG$1)</f>
        <v/>
      </c>
      <c r="DH176" s="108" t="str">
        <f t="shared" ref="DH176" si="2932">IF(AB176="","","|n"&amp;DH$2&amp;"+"&amp;AB176&amp;DH$1)</f>
        <v/>
      </c>
      <c r="DI176" s="108" t="str">
        <f t="shared" ref="DI176" si="2933">IF(AC176="","","|n"&amp;DI$2&amp;"+"&amp;AC176&amp;DI$1)</f>
        <v/>
      </c>
      <c r="DJ176" s="108" t="str">
        <f t="shared" ref="DJ176" si="2934">IF(AD176="","","|n"&amp;DJ$2&amp;"+"&amp;AD176&amp;DJ$1)</f>
        <v/>
      </c>
      <c r="DK176" s="108" t="str">
        <f t="shared" ref="DK176" si="2935">IF(AE176="","","|n"&amp;DK$2&amp;"+"&amp;AE176&amp;DK$1)</f>
        <v/>
      </c>
      <c r="DL176" s="108" t="str">
        <f t="shared" ref="DL176" si="2936">IF(AF176="","","|n"&amp;DL$2&amp;"+"&amp;AF176&amp;DL$1)</f>
        <v/>
      </c>
      <c r="DM176" s="108" t="str">
        <f t="shared" ref="DM176" si="2937">IF(AG176="","","|n"&amp;DM$2&amp;"+"&amp;AG176&amp;DM$1)</f>
        <v/>
      </c>
      <c r="DN176" s="108" t="str">
        <f t="shared" ref="DN176" si="2938">IF(AH176="","","|n"&amp;DN$2&amp;"+"&amp;AH176&amp;DN$1)</f>
        <v/>
      </c>
      <c r="DO176" s="108" t="str">
        <f t="shared" ref="DO176" si="2939">IF(AI176="","","|n"&amp;DO$2&amp;"+"&amp;AI176&amp;DO$1)</f>
        <v/>
      </c>
      <c r="DP176" s="108" t="str">
        <f t="shared" ref="DP176" si="2940">IF(AJ176="","","|n"&amp;DP$2&amp;"+"&amp;AJ176&amp;DP$1)</f>
        <v/>
      </c>
      <c r="DQ176" s="108" t="str">
        <f t="shared" ref="DQ176" si="2941">IF(AK176="","","|n"&amp;DQ$2&amp;"+"&amp;AK176&amp;DQ$1)</f>
        <v/>
      </c>
      <c r="DR176" s="108" t="str">
        <f t="shared" ref="DR176" si="2942">IF(AL176="","","|n"&amp;DR$2&amp;"+"&amp;AL176&amp;DR$1)</f>
        <v/>
      </c>
      <c r="DS176" s="108" t="str">
        <f t="shared" ref="DS176" si="2943">IF(AM176="","","|n"&amp;DS$2&amp;"+"&amp;AM176&amp;DS$1)</f>
        <v/>
      </c>
      <c r="DT176" s="108" t="str">
        <f t="shared" ref="DT176" si="2944">IF(AN176="","","|n"&amp;DT$2&amp;"+"&amp;AN176&amp;DT$1)</f>
        <v/>
      </c>
      <c r="DU176" s="108" t="str">
        <f t="shared" ref="DU176" si="2945">IF(AO176="","","|n"&amp;DU$2&amp;"+"&amp;AO176&amp;DU$1)</f>
        <v/>
      </c>
      <c r="DV176" s="108" t="str">
        <f t="shared" ref="DV176" si="2946">IF(AP176="","","|n"&amp;DV$2&amp;"+"&amp;AP176&amp;DV$1)</f>
        <v/>
      </c>
      <c r="DW176" s="108" t="str">
        <f t="shared" ref="DW176" si="2947">IF(AQ176="","","|n"&amp;DW$2&amp;"+"&amp;AQ176&amp;DW$1)</f>
        <v/>
      </c>
      <c r="DX176" s="108" t="str">
        <f t="shared" ref="DX176" si="2948">IF(AR176="","","|n"&amp;DX$2&amp;"+"&amp;AR176&amp;DX$1)</f>
        <v/>
      </c>
      <c r="DY176" s="108" t="str">
        <f t="shared" ref="DY176" si="2949">IF(AS176="","","|n"&amp;DY$2&amp;"+"&amp;AS176&amp;DY$1)</f>
        <v/>
      </c>
      <c r="DZ176" s="108" t="str">
        <f t="shared" ref="DZ176" si="2950">IF(AT176="","","|n"&amp;DZ$2&amp;"+"&amp;AT176&amp;DZ$1)</f>
        <v/>
      </c>
      <c r="EA176" s="108" t="str">
        <f t="shared" ref="EA176" si="2951">IF(AU176="","","|n"&amp;EA$2&amp;"+"&amp;AU176&amp;EA$1)</f>
        <v/>
      </c>
      <c r="EB176" s="108" t="str">
        <f t="shared" ref="EB176" si="2952">IF(AV176="","","|n"&amp;EB$2&amp;"+"&amp;AV176&amp;EB$1)</f>
        <v/>
      </c>
      <c r="EC176" s="108" t="str">
        <f t="shared" ref="EC176" si="2953">IF(AW176="","","|n"&amp;EC$2&amp;"+"&amp;AW176&amp;EC$1)</f>
        <v/>
      </c>
      <c r="ED176" s="108" t="str">
        <f t="shared" ref="ED176" si="2954">IF(AX176="","","|n"&amp;ED$2&amp;"+"&amp;AX176&amp;ED$1)</f>
        <v/>
      </c>
      <c r="EE176" s="108" t="str">
        <f t="shared" ref="EE176" si="2955">IF(AY176="","","|n"&amp;EE$2&amp;"+"&amp;AY176&amp;EE$1)</f>
        <v/>
      </c>
      <c r="EF176" s="108" t="str">
        <f t="shared" ref="EF176" si="2956">IF(AZ176="","","|n"&amp;EF$2&amp;"+"&amp;AZ176&amp;EF$1)</f>
        <v/>
      </c>
      <c r="EG176" s="108" t="str">
        <f t="shared" ref="EG176" si="2957">IF(BA176="","","|n"&amp;EG$2&amp;"+"&amp;BA176&amp;EG$1)</f>
        <v/>
      </c>
      <c r="EH176" s="108" t="str">
        <f t="shared" ref="EH176" si="2958">IF(BB176="","","|n"&amp;EH$2&amp;"+"&amp;BB176&amp;EH$1)</f>
        <v/>
      </c>
      <c r="EI176" s="108" t="str">
        <f t="shared" ref="EI176" si="2959">IF(BC176="","","|n"&amp;EI$2&amp;"+"&amp;BC176&amp;EI$1)</f>
        <v/>
      </c>
      <c r="EJ176" s="108" t="str">
        <f t="shared" ref="EJ176" si="2960">IF(BD176="","","|n"&amp;EJ$2&amp;"+"&amp;BD176&amp;EJ$1)</f>
        <v/>
      </c>
      <c r="EK176" s="108" t="str">
        <f t="shared" ref="EK176" si="2961">IF(BE176="","","|n"&amp;EK$2&amp;"+"&amp;BE176&amp;EK$1)</f>
        <v/>
      </c>
      <c r="EL176" s="108" t="str">
        <f t="shared" ref="EL176" si="2962">IF(BF176="","","|n"&amp;EL$2&amp;"+"&amp;BF176&amp;EL$1)</f>
        <v/>
      </c>
      <c r="EM176" s="108" t="str">
        <f t="shared" ref="EM176" si="2963">IF(BG176="","","|n"&amp;EM$2&amp;"+"&amp;BG176&amp;EM$1)</f>
        <v/>
      </c>
      <c r="EN176" s="108" t="str">
        <f t="shared" ref="EN176" si="2964">IF(BH176="","","|n"&amp;EN$2&amp;"+"&amp;BH176&amp;EN$1)</f>
        <v/>
      </c>
      <c r="EO176" s="108" t="str">
        <f t="shared" ref="EO176" si="2965">IF(BI176="","","|n"&amp;EO$2&amp;"+"&amp;BI176&amp;EO$1)</f>
        <v/>
      </c>
      <c r="EP176" s="108" t="str">
        <f t="shared" ref="EP176" si="2966">IF(BJ176="","","|n"&amp;EP$2&amp;"+"&amp;BJ176&amp;EP$1)</f>
        <v/>
      </c>
      <c r="EQ176" s="108" t="str">
        <f t="shared" ref="EQ176" si="2967">IF(BK176="","","|n"&amp;EQ$2&amp;"+"&amp;BK176&amp;EQ$1)</f>
        <v/>
      </c>
      <c r="ER176" s="108" t="str">
        <f t="shared" ref="ER176" si="2968">IF(BL176="","","|n"&amp;ER$2&amp;"+"&amp;BL176&amp;ER$1)</f>
        <v/>
      </c>
      <c r="ES176" s="108" t="str">
        <f t="shared" ref="ES176" si="2969">IF(BM176="","","|n"&amp;ES$2&amp;"+"&amp;BM176&amp;ES$1)</f>
        <v/>
      </c>
      <c r="ET176" s="108" t="str">
        <f t="shared" ref="ET176" si="2970">IF(BN176="","","|n"&amp;ET$2&amp;"+"&amp;BN176&amp;ET$1)</f>
        <v/>
      </c>
      <c r="EU176" s="108" t="str">
        <f t="shared" ref="EU176" si="2971">IF(BO176="","","|n"&amp;EU$2&amp;"+"&amp;BO176&amp;EU$1)</f>
        <v/>
      </c>
      <c r="EV176" s="108" t="str">
        <f t="shared" ref="EV176" si="2972">IF(BP176="","","|n"&amp;EV$2&amp;"+"&amp;BP176&amp;EV$1)</f>
        <v/>
      </c>
      <c r="EW176" s="108" t="str">
        <f t="shared" ref="EW176" si="2973">IF(BQ176="","","|n"&amp;EW$2&amp;"+"&amp;BQ176&amp;EW$1)</f>
        <v/>
      </c>
      <c r="EX176" s="108" t="str">
        <f t="shared" ref="EX176" si="2974">IF(BR176="","","|n"&amp;EX$2&amp;"+"&amp;BR176&amp;EX$1)</f>
        <v/>
      </c>
      <c r="EY176" s="108" t="str">
        <f t="shared" ref="EY176" si="2975">IF(BS176="","","|n"&amp;EY$2&amp;"+"&amp;BS176&amp;EY$1)</f>
        <v/>
      </c>
      <c r="EZ176" s="108" t="str">
        <f t="shared" ref="EZ176" si="2976">IF(BT176="","","|n"&amp;EZ$2&amp;"+"&amp;BT176&amp;EZ$1)</f>
        <v/>
      </c>
      <c r="FA176" s="108" t="str">
        <f t="shared" ref="FA176" si="2977">IF(BU176="","","|n"&amp;FA$2&amp;"+"&amp;BU176&amp;FA$1)</f>
        <v/>
      </c>
      <c r="FB176" s="108" t="str">
        <f t="shared" ref="FB176" si="2978">IF(BV176="","","|n"&amp;FB$2&amp;"+"&amp;BV176&amp;FB$1)</f>
        <v/>
      </c>
      <c r="FC176" s="108" t="str">
        <f t="shared" ref="FC176" si="2979">IF(BW176="","","|n"&amp;FC$2&amp;"+"&amp;BW176&amp;FC$1)</f>
        <v/>
      </c>
      <c r="FD176" s="108" t="str">
        <f t="shared" ref="FD176" si="2980">IF(BX176="","","|n"&amp;FD$2&amp;"+"&amp;BX176&amp;FD$1)</f>
        <v/>
      </c>
      <c r="FE176" s="108" t="str">
        <f t="shared" ref="FE176" si="2981">IF(BY176="","","|n"&amp;FE$2&amp;"+"&amp;BY176&amp;FE$1)</f>
        <v/>
      </c>
      <c r="FF176" s="108" t="str">
        <f t="shared" ref="FF176" si="2982">IF(BZ176="","","|n"&amp;FF$2&amp;"+"&amp;BZ176&amp;FF$1)</f>
        <v/>
      </c>
      <c r="FG176" s="108" t="str">
        <f t="shared" ref="FG176" si="2983">IF(CA176="","","|n"&amp;FG$2&amp;"+"&amp;CA176&amp;FG$1)</f>
        <v/>
      </c>
      <c r="FH176" s="108" t="str">
        <f t="shared" ref="FH176" si="2984">IF(CB176="","","|n"&amp;FH$2&amp;"+"&amp;CB176&amp;FH$1)</f>
        <v/>
      </c>
      <c r="FI176" s="108" t="str">
        <f t="shared" ref="FI176" si="2985">IF(CC176="","","|n"&amp;FI$2&amp;"+"&amp;CC176&amp;FI$1)</f>
        <v/>
      </c>
      <c r="FJ176" s="108" t="str">
        <f t="shared" ref="FJ176" si="2986">IF(CD176="","","|n"&amp;FJ$2&amp;"+"&amp;CD176&amp;FJ$1)</f>
        <v/>
      </c>
      <c r="FK176" s="108" t="str">
        <f t="shared" ref="FK176" si="2987">IF(CE176="","","|n"&amp;FK$2&amp;"+"&amp;CE176&amp;FK$1)</f>
        <v/>
      </c>
      <c r="FL176" s="108" t="str">
        <f t="shared" ref="FL176" si="2988">IF(CF176="","","|n"&amp;FL$2&amp;"+"&amp;CF176&amp;FL$1)</f>
        <v/>
      </c>
      <c r="FM176" s="108" t="str">
        <f t="shared" ref="FM176" si="2989">IF(CG176="","","|n"&amp;FM$2&amp;"+"&amp;CG176&amp;FM$1)</f>
        <v/>
      </c>
      <c r="FN176" s="108" t="str">
        <f t="shared" ref="FN176" si="2990">IF(CH176="","","|n"&amp;FN$2&amp;"+"&amp;CH176&amp;FN$1)</f>
        <v/>
      </c>
      <c r="FO176" s="108" t="str">
        <f t="shared" ref="FO176" si="2991">IF(CI176="","","|n"&amp;FO$2&amp;"+"&amp;CI176&amp;FO$1)</f>
        <v/>
      </c>
      <c r="FP176" s="108" t="str">
        <f t="shared" ref="FP176" si="2992">IF(CJ176="","","|n"&amp;FP$2&amp;"+"&amp;CJ176&amp;FP$1)</f>
        <v/>
      </c>
      <c r="FQ176" s="108" t="str">
        <f t="shared" ref="FQ176" si="2993">IF(CK176="","","|n"&amp;FQ$2&amp;"+"&amp;CK176&amp;FQ$1)</f>
        <v/>
      </c>
      <c r="FR176" s="108" t="str">
        <f t="shared" ref="FR176" si="2994">IF(CL176="","","|n"&amp;FR$2&amp;"+"&amp;CL176&amp;FR$1)</f>
        <v/>
      </c>
      <c r="FS176" s="108" t="str">
        <f t="shared" ref="FS176" si="2995">IF(CM176="","","|n"&amp;FS$2&amp;"+"&amp;CM176&amp;FS$1)</f>
        <v/>
      </c>
    </row>
    <row r="177" spans="1:175" s="29" customFormat="1" ht="16.5">
      <c r="A177" s="15"/>
      <c r="B177" s="9" t="s">
        <v>651</v>
      </c>
      <c r="C177" s="15" t="s">
        <v>652</v>
      </c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653</v>
      </c>
      <c r="U177" s="77" t="str">
        <f t="shared" si="2912"/>
        <v>ReplaceableTextures\\CommandButtons\\BTNIZ01.blp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688"/>
        <v>InitUnitState('IZ01',,,,,,,,,,)</v>
      </c>
      <c r="CO177" s="107" t="str">
        <f t="shared" si="2689"/>
        <v>InitUnitNormal('IZ01',,,,,,,,,,)</v>
      </c>
      <c r="CP177" s="107" t="str">
        <f t="shared" si="2690"/>
        <v>InitUnitMagic('IZ01',,,,,,,,,,)</v>
      </c>
      <c r="CQ177" s="107" t="str">
        <f t="shared" si="2691"/>
        <v>InitUnitAdd('IZ01',,,,,,,,,,)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InitEquipData('IZ01',,"",,,,,'','','','','','',"ReplaceableTextures\\CommandButtons\\BTN001.blp")</v>
      </c>
      <c r="CS177" s="107"/>
      <c r="CT177" s="107"/>
      <c r="CU177" s="88" t="str">
        <f t="shared" si="2837"/>
        <v>|n</v>
      </c>
      <c r="CV177" s="29" t="str">
        <f t="shared" si="28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7" s="33"/>
      <c r="CX177" s="33"/>
      <c r="CY177" s="33"/>
      <c r="CZ177" s="33"/>
      <c r="DA177" s="33"/>
      <c r="DB177" s="108" t="str">
        <f t="shared" ref="DB177:FM177" si="2996">IF(V177="","","|n"&amp;DB$2&amp;"+"&amp;V177&amp;DB$1)</f>
        <v/>
      </c>
      <c r="DC177" s="108" t="str">
        <f t="shared" si="2996"/>
        <v/>
      </c>
      <c r="DD177" s="108" t="str">
        <f t="shared" si="2996"/>
        <v/>
      </c>
      <c r="DE177" s="108" t="str">
        <f t="shared" si="2996"/>
        <v/>
      </c>
      <c r="DF177" s="108" t="str">
        <f t="shared" si="2996"/>
        <v/>
      </c>
      <c r="DG177" s="108" t="str">
        <f t="shared" si="2996"/>
        <v/>
      </c>
      <c r="DH177" s="108" t="str">
        <f t="shared" si="2996"/>
        <v/>
      </c>
      <c r="DI177" s="108" t="str">
        <f t="shared" si="2996"/>
        <v/>
      </c>
      <c r="DJ177" s="108" t="str">
        <f t="shared" si="2996"/>
        <v/>
      </c>
      <c r="DK177" s="108" t="str">
        <f t="shared" si="2996"/>
        <v/>
      </c>
      <c r="DL177" s="108" t="str">
        <f t="shared" si="2996"/>
        <v/>
      </c>
      <c r="DM177" s="108" t="str">
        <f t="shared" si="2996"/>
        <v/>
      </c>
      <c r="DN177" s="108" t="str">
        <f t="shared" si="2996"/>
        <v/>
      </c>
      <c r="DO177" s="108" t="str">
        <f t="shared" si="2996"/>
        <v/>
      </c>
      <c r="DP177" s="108" t="str">
        <f t="shared" si="2996"/>
        <v/>
      </c>
      <c r="DQ177" s="108" t="str">
        <f t="shared" si="2996"/>
        <v/>
      </c>
      <c r="DR177" s="108" t="str">
        <f t="shared" si="2996"/>
        <v/>
      </c>
      <c r="DS177" s="108" t="str">
        <f t="shared" si="2996"/>
        <v/>
      </c>
      <c r="DT177" s="108" t="str">
        <f t="shared" si="2996"/>
        <v/>
      </c>
      <c r="DU177" s="108" t="str">
        <f t="shared" si="2996"/>
        <v/>
      </c>
      <c r="DV177" s="108" t="str">
        <f t="shared" si="2996"/>
        <v/>
      </c>
      <c r="DW177" s="108" t="str">
        <f t="shared" si="2996"/>
        <v/>
      </c>
      <c r="DX177" s="108" t="str">
        <f t="shared" si="2996"/>
        <v/>
      </c>
      <c r="DY177" s="108" t="str">
        <f t="shared" si="2996"/>
        <v/>
      </c>
      <c r="DZ177" s="108" t="str">
        <f t="shared" si="2996"/>
        <v/>
      </c>
      <c r="EA177" s="108" t="str">
        <f t="shared" si="2996"/>
        <v/>
      </c>
      <c r="EB177" s="108" t="str">
        <f t="shared" si="2996"/>
        <v/>
      </c>
      <c r="EC177" s="108" t="str">
        <f t="shared" si="2996"/>
        <v/>
      </c>
      <c r="ED177" s="108" t="str">
        <f t="shared" si="2996"/>
        <v/>
      </c>
      <c r="EE177" s="108" t="str">
        <f t="shared" si="2996"/>
        <v/>
      </c>
      <c r="EF177" s="108" t="str">
        <f t="shared" si="2996"/>
        <v/>
      </c>
      <c r="EG177" s="108" t="str">
        <f t="shared" si="2996"/>
        <v/>
      </c>
      <c r="EH177" s="108" t="str">
        <f t="shared" si="2996"/>
        <v/>
      </c>
      <c r="EI177" s="108" t="str">
        <f t="shared" si="2996"/>
        <v/>
      </c>
      <c r="EJ177" s="108" t="str">
        <f t="shared" si="2996"/>
        <v/>
      </c>
      <c r="EK177" s="108" t="str">
        <f t="shared" si="2996"/>
        <v/>
      </c>
      <c r="EL177" s="108" t="str">
        <f t="shared" si="2996"/>
        <v/>
      </c>
      <c r="EM177" s="108" t="str">
        <f t="shared" si="2996"/>
        <v/>
      </c>
      <c r="EN177" s="108" t="str">
        <f t="shared" si="2996"/>
        <v/>
      </c>
      <c r="EO177" s="108" t="str">
        <f t="shared" si="2996"/>
        <v/>
      </c>
      <c r="EP177" s="108" t="str">
        <f t="shared" si="2996"/>
        <v/>
      </c>
      <c r="EQ177" s="108" t="str">
        <f t="shared" si="2996"/>
        <v/>
      </c>
      <c r="ER177" s="108" t="str">
        <f t="shared" si="2996"/>
        <v/>
      </c>
      <c r="ES177" s="108" t="str">
        <f t="shared" si="2996"/>
        <v/>
      </c>
      <c r="ET177" s="108" t="str">
        <f t="shared" si="2996"/>
        <v/>
      </c>
      <c r="EU177" s="108" t="str">
        <f t="shared" si="2996"/>
        <v/>
      </c>
      <c r="EV177" s="108" t="str">
        <f t="shared" si="2996"/>
        <v/>
      </c>
      <c r="EW177" s="108" t="str">
        <f t="shared" si="2996"/>
        <v/>
      </c>
      <c r="EX177" s="108" t="str">
        <f t="shared" si="2996"/>
        <v/>
      </c>
      <c r="EY177" s="108" t="str">
        <f t="shared" si="2996"/>
        <v/>
      </c>
      <c r="EZ177" s="108" t="str">
        <f t="shared" si="2996"/>
        <v/>
      </c>
      <c r="FA177" s="108" t="str">
        <f t="shared" si="2996"/>
        <v/>
      </c>
      <c r="FB177" s="108" t="str">
        <f t="shared" si="2996"/>
        <v/>
      </c>
      <c r="FC177" s="108" t="str">
        <f t="shared" si="2996"/>
        <v/>
      </c>
      <c r="FD177" s="108" t="str">
        <f t="shared" si="2996"/>
        <v/>
      </c>
      <c r="FE177" s="108" t="str">
        <f t="shared" si="2996"/>
        <v/>
      </c>
      <c r="FF177" s="108" t="str">
        <f t="shared" si="2996"/>
        <v/>
      </c>
      <c r="FG177" s="108" t="str">
        <f t="shared" si="2996"/>
        <v/>
      </c>
      <c r="FH177" s="108" t="str">
        <f t="shared" si="2996"/>
        <v/>
      </c>
      <c r="FI177" s="108" t="str">
        <f t="shared" si="2996"/>
        <v/>
      </c>
      <c r="FJ177" s="108" t="str">
        <f t="shared" si="2996"/>
        <v/>
      </c>
      <c r="FK177" s="108" t="str">
        <f t="shared" si="2996"/>
        <v/>
      </c>
      <c r="FL177" s="108" t="str">
        <f t="shared" si="2996"/>
        <v/>
      </c>
      <c r="FM177" s="108" t="str">
        <f t="shared" si="2996"/>
        <v/>
      </c>
      <c r="FN177" s="108" t="str">
        <f t="shared" ref="FN177:FS177" si="2997">IF(CH177="","","|n"&amp;FN$2&amp;"+"&amp;CH177&amp;FN$1)</f>
        <v/>
      </c>
      <c r="FO177" s="108" t="str">
        <f t="shared" si="2997"/>
        <v/>
      </c>
      <c r="FP177" s="108" t="str">
        <f t="shared" si="2997"/>
        <v/>
      </c>
      <c r="FQ177" s="108" t="str">
        <f t="shared" si="2997"/>
        <v/>
      </c>
      <c r="FR177" s="108" t="str">
        <f t="shared" si="2997"/>
        <v/>
      </c>
      <c r="FS177" s="108" t="str">
        <f t="shared" si="2997"/>
        <v/>
      </c>
    </row>
    <row r="178" spans="1:175" ht="16.5">
      <c r="A178" s="15"/>
      <c r="B178" s="9" t="s">
        <v>654</v>
      </c>
      <c r="C178" s="15" t="s">
        <v>655</v>
      </c>
      <c r="T178" s="10" t="s">
        <v>656</v>
      </c>
      <c r="U178" s="77" t="s">
        <v>447</v>
      </c>
      <c r="CN178" s="36" t="str">
        <f t="shared" si="2688"/>
        <v>InitUnitState('IS01',,,,,,,,,,)</v>
      </c>
      <c r="CO178" s="36" t="str">
        <f t="shared" si="2689"/>
        <v>InitUnitNormal('IS01',,,,,,,,,,)</v>
      </c>
      <c r="CP178" s="36" t="str">
        <f t="shared" si="2690"/>
        <v>InitUnitMagic('IS01',,,,,,,,,,)</v>
      </c>
      <c r="CQ178" s="36" t="str">
        <f t="shared" si="2691"/>
        <v>InitUnitAdd('IS01',,,,,,,,,,)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InitEquipData('IS01',,"",,,,,'','','','','','',"ReplaceableTextures\\CommandButtons\\BTN002.blp")</v>
      </c>
      <c r="CU178" s="88" t="str">
        <f t="shared" si="2837"/>
        <v>|n</v>
      </c>
      <c r="CV178" s="19" t="str">
        <f t="shared" si="2838"/>
        <v>学习或重置当前|cffffd24dQ技能|r。|n|cffffcc00抽取消耗：|r1500金币*次数|n|cffffcc00抽取次数：|r0/10|n|n|cff00ff7f单局最多抽取10次|r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ref="DB178:DK179" si="2998">IF(V178="","","|n"&amp;DB$2&amp;"+"&amp;V178&amp;DB$1)</f>
        <v/>
      </c>
      <c r="DC178" s="66" t="str">
        <f t="shared" si="2998"/>
        <v/>
      </c>
      <c r="DD178" s="66" t="str">
        <f t="shared" si="2998"/>
        <v/>
      </c>
      <c r="DE178" s="66" t="str">
        <f t="shared" si="2998"/>
        <v/>
      </c>
      <c r="DF178" s="66" t="str">
        <f t="shared" si="2998"/>
        <v/>
      </c>
      <c r="DG178" s="66" t="str">
        <f t="shared" si="2998"/>
        <v/>
      </c>
      <c r="DH178" s="66" t="str">
        <f t="shared" si="2998"/>
        <v/>
      </c>
      <c r="DI178" s="66" t="str">
        <f t="shared" si="2998"/>
        <v/>
      </c>
      <c r="DJ178" s="66" t="str">
        <f t="shared" si="2998"/>
        <v/>
      </c>
      <c r="DK178" s="66" t="str">
        <f t="shared" si="2998"/>
        <v/>
      </c>
      <c r="DL178" s="66" t="str">
        <f t="shared" ref="DL178:DU179" si="2999">IF(AF178="","","|n"&amp;DL$2&amp;"+"&amp;AF178&amp;DL$1)</f>
        <v/>
      </c>
      <c r="DM178" s="66" t="str">
        <f t="shared" si="2999"/>
        <v/>
      </c>
      <c r="DN178" s="66" t="str">
        <f t="shared" si="2999"/>
        <v/>
      </c>
      <c r="DO178" s="66" t="str">
        <f t="shared" si="2999"/>
        <v/>
      </c>
      <c r="DP178" s="66" t="str">
        <f t="shared" si="2999"/>
        <v/>
      </c>
      <c r="DQ178" s="66" t="str">
        <f t="shared" si="2999"/>
        <v/>
      </c>
      <c r="DR178" s="66" t="str">
        <f t="shared" si="2999"/>
        <v/>
      </c>
      <c r="DS178" s="66" t="str">
        <f t="shared" si="2999"/>
        <v/>
      </c>
      <c r="DT178" s="66" t="str">
        <f t="shared" si="2999"/>
        <v/>
      </c>
      <c r="DU178" s="66" t="str">
        <f t="shared" si="2999"/>
        <v/>
      </c>
      <c r="DV178" s="66" t="str">
        <f t="shared" ref="DV178:EE179" si="3000">IF(AP178="","","|n"&amp;DV$2&amp;"+"&amp;AP178&amp;DV$1)</f>
        <v/>
      </c>
      <c r="DW178" s="66" t="str">
        <f t="shared" si="3000"/>
        <v/>
      </c>
      <c r="DX178" s="66" t="str">
        <f t="shared" si="3000"/>
        <v/>
      </c>
      <c r="DY178" s="66" t="str">
        <f t="shared" si="3000"/>
        <v/>
      </c>
      <c r="DZ178" s="66" t="str">
        <f t="shared" si="3000"/>
        <v/>
      </c>
      <c r="EA178" s="66" t="str">
        <f t="shared" si="3000"/>
        <v/>
      </c>
      <c r="EB178" s="66" t="str">
        <f t="shared" si="3000"/>
        <v/>
      </c>
      <c r="EC178" s="66" t="str">
        <f t="shared" si="3000"/>
        <v/>
      </c>
      <c r="ED178" s="66" t="str">
        <f t="shared" si="3000"/>
        <v/>
      </c>
      <c r="EE178" s="66" t="str">
        <f t="shared" si="3000"/>
        <v/>
      </c>
      <c r="EF178" s="66" t="str">
        <f t="shared" ref="EF178:EO179" si="3001">IF(AZ178="","","|n"&amp;EF$2&amp;"+"&amp;AZ178&amp;EF$1)</f>
        <v/>
      </c>
      <c r="EG178" s="66" t="str">
        <f t="shared" si="3001"/>
        <v/>
      </c>
      <c r="EH178" s="66" t="str">
        <f t="shared" si="3001"/>
        <v/>
      </c>
      <c r="EI178" s="66" t="str">
        <f t="shared" si="3001"/>
        <v/>
      </c>
      <c r="EJ178" s="66" t="str">
        <f t="shared" si="3001"/>
        <v/>
      </c>
      <c r="EK178" s="66" t="str">
        <f t="shared" si="3001"/>
        <v/>
      </c>
      <c r="EL178" s="66" t="str">
        <f t="shared" si="3001"/>
        <v/>
      </c>
      <c r="EM178" s="66" t="str">
        <f t="shared" si="3001"/>
        <v/>
      </c>
      <c r="EN178" s="66" t="str">
        <f t="shared" si="3001"/>
        <v/>
      </c>
      <c r="EO178" s="66" t="str">
        <f t="shared" si="3001"/>
        <v/>
      </c>
      <c r="EP178" s="66" t="str">
        <f t="shared" ref="EP178:EY179" si="3002">IF(BJ178="","","|n"&amp;EP$2&amp;"+"&amp;BJ178&amp;EP$1)</f>
        <v/>
      </c>
      <c r="EQ178" s="66" t="str">
        <f t="shared" si="3002"/>
        <v/>
      </c>
      <c r="ER178" s="66" t="str">
        <f t="shared" si="3002"/>
        <v/>
      </c>
      <c r="ES178" s="66" t="str">
        <f t="shared" si="3002"/>
        <v/>
      </c>
      <c r="ET178" s="66" t="str">
        <f t="shared" si="3002"/>
        <v/>
      </c>
      <c r="EU178" s="66" t="str">
        <f t="shared" si="3002"/>
        <v/>
      </c>
      <c r="EV178" s="66" t="str">
        <f t="shared" si="3002"/>
        <v/>
      </c>
      <c r="EW178" s="66" t="str">
        <f t="shared" si="3002"/>
        <v/>
      </c>
      <c r="EX178" s="66" t="str">
        <f t="shared" si="3002"/>
        <v/>
      </c>
      <c r="EY178" s="66" t="str">
        <f t="shared" si="3002"/>
        <v/>
      </c>
      <c r="EZ178" s="66" t="str">
        <f t="shared" ref="EZ178:FI179" si="3003">IF(BT178="","","|n"&amp;EZ$2&amp;"+"&amp;BT178&amp;EZ$1)</f>
        <v/>
      </c>
      <c r="FA178" s="66" t="str">
        <f t="shared" si="3003"/>
        <v/>
      </c>
      <c r="FB178" s="66" t="str">
        <f t="shared" si="3003"/>
        <v/>
      </c>
      <c r="FC178" s="66" t="str">
        <f t="shared" si="3003"/>
        <v/>
      </c>
      <c r="FD178" s="66" t="str">
        <f t="shared" si="3003"/>
        <v/>
      </c>
      <c r="FE178" s="66" t="str">
        <f t="shared" si="3003"/>
        <v/>
      </c>
      <c r="FF178" s="66" t="str">
        <f t="shared" si="3003"/>
        <v/>
      </c>
      <c r="FG178" s="66" t="str">
        <f t="shared" si="3003"/>
        <v/>
      </c>
      <c r="FH178" s="66" t="str">
        <f t="shared" si="3003"/>
        <v/>
      </c>
      <c r="FI178" s="66" t="str">
        <f t="shared" si="3003"/>
        <v/>
      </c>
      <c r="FJ178" s="66" t="str">
        <f t="shared" ref="FJ178:FS179" si="3004">IF(CD178="","","|n"&amp;FJ$2&amp;"+"&amp;CD178&amp;FJ$1)</f>
        <v/>
      </c>
      <c r="FK178" s="66" t="str">
        <f t="shared" si="3004"/>
        <v/>
      </c>
      <c r="FL178" s="66" t="str">
        <f t="shared" si="3004"/>
        <v/>
      </c>
      <c r="FM178" s="66" t="str">
        <f t="shared" si="3004"/>
        <v/>
      </c>
      <c r="FN178" s="66" t="str">
        <f t="shared" si="3004"/>
        <v/>
      </c>
      <c r="FO178" s="66" t="str">
        <f t="shared" si="3004"/>
        <v/>
      </c>
      <c r="FP178" s="66" t="str">
        <f t="shared" si="3004"/>
        <v/>
      </c>
      <c r="FQ178" s="66" t="str">
        <f t="shared" si="3004"/>
        <v/>
      </c>
      <c r="FR178" s="66" t="str">
        <f t="shared" si="3004"/>
        <v/>
      </c>
      <c r="FS178" s="66" t="str">
        <f t="shared" si="3004"/>
        <v/>
      </c>
    </row>
    <row r="179" spans="1:175" ht="16.5">
      <c r="A179" s="15"/>
      <c r="B179" s="9" t="s">
        <v>657</v>
      </c>
      <c r="C179" s="15" t="s">
        <v>658</v>
      </c>
      <c r="T179" s="10" t="s">
        <v>659</v>
      </c>
      <c r="U179" s="77" t="s">
        <v>660</v>
      </c>
      <c r="CN179" s="36" t="str">
        <f t="shared" si="2688"/>
        <v>InitUnitState('IS02',,,,,,,,,,)</v>
      </c>
      <c r="CO179" s="36" t="str">
        <f t="shared" si="2689"/>
        <v>InitUnitNormal('IS02',,,,,,,,,,)</v>
      </c>
      <c r="CP179" s="36" t="str">
        <f t="shared" si="2690"/>
        <v>InitUnitMagic('IS02',,,,,,,,,,)</v>
      </c>
      <c r="CQ179" s="36" t="str">
        <f t="shared" si="2691"/>
        <v>InitUnitAdd('IS02',,,,,,,,,,)</v>
      </c>
      <c r="CR179" s="36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InitEquipData('IS02',,"",,,,,'','','','','','',"ReplaceableTextures\\CommandButtons\\BTN003.blp")</v>
      </c>
      <c r="CU179" s="88" t="str">
        <f t="shared" si="2837"/>
        <v>|n</v>
      </c>
      <c r="CV179" s="19" t="str">
        <f t="shared" si="2838"/>
        <v>学习或重置当前|cffffd24dW技能|r。|n|cffffcc00抽取消耗：|r5000金币*次数|n|cffffcc00抽取次数：|r0/10|n|n|cff00ff7f单局最多抽取10次|r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si="2998"/>
        <v/>
      </c>
      <c r="DC179" s="66" t="str">
        <f t="shared" si="2998"/>
        <v/>
      </c>
      <c r="DD179" s="66" t="str">
        <f t="shared" si="2998"/>
        <v/>
      </c>
      <c r="DE179" s="66" t="str">
        <f t="shared" si="2998"/>
        <v/>
      </c>
      <c r="DF179" s="66" t="str">
        <f t="shared" si="2998"/>
        <v/>
      </c>
      <c r="DG179" s="66" t="str">
        <f t="shared" si="2998"/>
        <v/>
      </c>
      <c r="DH179" s="66" t="str">
        <f t="shared" si="2998"/>
        <v/>
      </c>
      <c r="DI179" s="66" t="str">
        <f t="shared" si="2998"/>
        <v/>
      </c>
      <c r="DJ179" s="66" t="str">
        <f t="shared" si="2998"/>
        <v/>
      </c>
      <c r="DK179" s="66" t="str">
        <f t="shared" si="2998"/>
        <v/>
      </c>
      <c r="DL179" s="66" t="str">
        <f t="shared" si="2999"/>
        <v/>
      </c>
      <c r="DM179" s="66" t="str">
        <f t="shared" si="2999"/>
        <v/>
      </c>
      <c r="DN179" s="66" t="str">
        <f t="shared" si="2999"/>
        <v/>
      </c>
      <c r="DO179" s="66" t="str">
        <f t="shared" si="2999"/>
        <v/>
      </c>
      <c r="DP179" s="66" t="str">
        <f t="shared" si="2999"/>
        <v/>
      </c>
      <c r="DQ179" s="66" t="str">
        <f t="shared" si="2999"/>
        <v/>
      </c>
      <c r="DR179" s="66" t="str">
        <f t="shared" si="2999"/>
        <v/>
      </c>
      <c r="DS179" s="66" t="str">
        <f t="shared" si="2999"/>
        <v/>
      </c>
      <c r="DT179" s="66" t="str">
        <f t="shared" si="2999"/>
        <v/>
      </c>
      <c r="DU179" s="66" t="str">
        <f t="shared" si="2999"/>
        <v/>
      </c>
      <c r="DV179" s="66" t="str">
        <f t="shared" si="3000"/>
        <v/>
      </c>
      <c r="DW179" s="66" t="str">
        <f t="shared" si="3000"/>
        <v/>
      </c>
      <c r="DX179" s="66" t="str">
        <f t="shared" si="3000"/>
        <v/>
      </c>
      <c r="DY179" s="66" t="str">
        <f t="shared" si="3000"/>
        <v/>
      </c>
      <c r="DZ179" s="66" t="str">
        <f t="shared" si="3000"/>
        <v/>
      </c>
      <c r="EA179" s="66" t="str">
        <f t="shared" si="3000"/>
        <v/>
      </c>
      <c r="EB179" s="66" t="str">
        <f t="shared" si="3000"/>
        <v/>
      </c>
      <c r="EC179" s="66" t="str">
        <f t="shared" si="3000"/>
        <v/>
      </c>
      <c r="ED179" s="66" t="str">
        <f t="shared" si="3000"/>
        <v/>
      </c>
      <c r="EE179" s="66" t="str">
        <f t="shared" si="3000"/>
        <v/>
      </c>
      <c r="EF179" s="66" t="str">
        <f t="shared" si="3001"/>
        <v/>
      </c>
      <c r="EG179" s="66" t="str">
        <f t="shared" si="3001"/>
        <v/>
      </c>
      <c r="EH179" s="66" t="str">
        <f t="shared" si="3001"/>
        <v/>
      </c>
      <c r="EI179" s="66" t="str">
        <f t="shared" si="3001"/>
        <v/>
      </c>
      <c r="EJ179" s="66" t="str">
        <f t="shared" si="3001"/>
        <v/>
      </c>
      <c r="EK179" s="66" t="str">
        <f t="shared" si="3001"/>
        <v/>
      </c>
      <c r="EL179" s="66" t="str">
        <f t="shared" si="3001"/>
        <v/>
      </c>
      <c r="EM179" s="66" t="str">
        <f t="shared" si="3001"/>
        <v/>
      </c>
      <c r="EN179" s="66" t="str">
        <f t="shared" si="3001"/>
        <v/>
      </c>
      <c r="EO179" s="66" t="str">
        <f t="shared" si="3001"/>
        <v/>
      </c>
      <c r="EP179" s="66" t="str">
        <f t="shared" si="3002"/>
        <v/>
      </c>
      <c r="EQ179" s="66" t="str">
        <f t="shared" si="3002"/>
        <v/>
      </c>
      <c r="ER179" s="66" t="str">
        <f t="shared" si="3002"/>
        <v/>
      </c>
      <c r="ES179" s="66" t="str">
        <f t="shared" si="3002"/>
        <v/>
      </c>
      <c r="ET179" s="66" t="str">
        <f t="shared" si="3002"/>
        <v/>
      </c>
      <c r="EU179" s="66" t="str">
        <f t="shared" si="3002"/>
        <v/>
      </c>
      <c r="EV179" s="66" t="str">
        <f t="shared" si="3002"/>
        <v/>
      </c>
      <c r="EW179" s="66" t="str">
        <f t="shared" si="3002"/>
        <v/>
      </c>
      <c r="EX179" s="66" t="str">
        <f t="shared" si="3002"/>
        <v/>
      </c>
      <c r="EY179" s="66" t="str">
        <f t="shared" si="3002"/>
        <v/>
      </c>
      <c r="EZ179" s="66" t="str">
        <f t="shared" si="3003"/>
        <v/>
      </c>
      <c r="FA179" s="66" t="str">
        <f t="shared" si="3003"/>
        <v/>
      </c>
      <c r="FB179" s="66" t="str">
        <f t="shared" si="3003"/>
        <v/>
      </c>
      <c r="FC179" s="66" t="str">
        <f t="shared" si="3003"/>
        <v/>
      </c>
      <c r="FD179" s="66" t="str">
        <f t="shared" si="3003"/>
        <v/>
      </c>
      <c r="FE179" s="66" t="str">
        <f t="shared" si="3003"/>
        <v/>
      </c>
      <c r="FF179" s="66" t="str">
        <f t="shared" si="3003"/>
        <v/>
      </c>
      <c r="FG179" s="66" t="str">
        <f t="shared" si="3003"/>
        <v/>
      </c>
      <c r="FH179" s="66" t="str">
        <f t="shared" si="3003"/>
        <v/>
      </c>
      <c r="FI179" s="66" t="str">
        <f t="shared" si="3003"/>
        <v/>
      </c>
      <c r="FJ179" s="66" t="str">
        <f t="shared" si="3004"/>
        <v/>
      </c>
      <c r="FK179" s="66" t="str">
        <f t="shared" si="3004"/>
        <v/>
      </c>
      <c r="FL179" s="66" t="str">
        <f t="shared" si="3004"/>
        <v/>
      </c>
      <c r="FM179" s="66" t="str">
        <f t="shared" si="3004"/>
        <v/>
      </c>
      <c r="FN179" s="66" t="str">
        <f t="shared" si="3004"/>
        <v/>
      </c>
      <c r="FO179" s="66" t="str">
        <f t="shared" si="3004"/>
        <v/>
      </c>
      <c r="FP179" s="66" t="str">
        <f t="shared" si="3004"/>
        <v/>
      </c>
      <c r="FQ179" s="66" t="str">
        <f t="shared" si="3004"/>
        <v/>
      </c>
      <c r="FR179" s="66" t="str">
        <f t="shared" si="3004"/>
        <v/>
      </c>
      <c r="FS179" s="66" t="str">
        <f t="shared" si="3004"/>
        <v/>
      </c>
    </row>
    <row r="180" spans="1:175" ht="16.5">
      <c r="A180" s="15"/>
      <c r="B180" s="9" t="s">
        <v>661</v>
      </c>
      <c r="C180" s="15" t="s">
        <v>662</v>
      </c>
      <c r="T180" s="10" t="s">
        <v>663</v>
      </c>
      <c r="U180" s="77" t="s">
        <v>664</v>
      </c>
      <c r="CN180" s="36" t="str">
        <f t="shared" si="2688"/>
        <v>InitUnitState('IS03',,,,,,,,,,)</v>
      </c>
      <c r="CO180" s="36" t="str">
        <f t="shared" si="2689"/>
        <v>InitUnitNormal('IS03',,,,,,,,,,)</v>
      </c>
      <c r="CP180" s="36" t="str">
        <f t="shared" si="2690"/>
        <v>InitUnitMagic('IS03',,,,,,,,,,)</v>
      </c>
      <c r="CQ180" s="36" t="str">
        <f t="shared" si="2691"/>
        <v>InitUnitAdd('IS03',,,,,,,,,,)</v>
      </c>
      <c r="CR180" s="36" t="e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#REF!&amp;CR$1&amp;")"</f>
        <v>#REF!</v>
      </c>
      <c r="CU180" s="88" t="str">
        <f t="shared" si="2837"/>
        <v>|n</v>
      </c>
      <c r="CV180" s="19" t="str">
        <f t="shared" si="2838"/>
        <v>学习或重置当前|cffffd24dE技能|r。|n|cffffcc00抽取消耗：|r15000金币*次数|n|cffffcc00抽取次数：|r0/10|n|n|cff00ff7f单局最多抽取10次|r</v>
      </c>
      <c r="CW180" s="33"/>
      <c r="CX180" s="33"/>
      <c r="CY180" s="33"/>
      <c r="CZ180" s="33"/>
      <c r="DA180" s="33"/>
      <c r="DB180" s="66" t="str">
        <f t="shared" ref="DB180:DK182" si="3005">IF(V180="","","|n"&amp;DB$2&amp;"+"&amp;V180&amp;DB$1)</f>
        <v/>
      </c>
      <c r="DC180" s="66" t="str">
        <f t="shared" si="3005"/>
        <v/>
      </c>
      <c r="DD180" s="66" t="str">
        <f t="shared" si="3005"/>
        <v/>
      </c>
      <c r="DE180" s="66" t="str">
        <f t="shared" si="3005"/>
        <v/>
      </c>
      <c r="DF180" s="66" t="str">
        <f t="shared" si="3005"/>
        <v/>
      </c>
      <c r="DG180" s="66" t="str">
        <f t="shared" si="3005"/>
        <v/>
      </c>
      <c r="DH180" s="66" t="str">
        <f t="shared" si="3005"/>
        <v/>
      </c>
      <c r="DI180" s="66" t="str">
        <f t="shared" si="3005"/>
        <v/>
      </c>
      <c r="DJ180" s="66" t="str">
        <f t="shared" si="3005"/>
        <v/>
      </c>
      <c r="DK180" s="66" t="str">
        <f t="shared" si="3005"/>
        <v/>
      </c>
      <c r="DL180" s="66" t="str">
        <f t="shared" ref="DL180:DU182" si="3006">IF(AF180="","","|n"&amp;DL$2&amp;"+"&amp;AF180&amp;DL$1)</f>
        <v/>
      </c>
      <c r="DM180" s="66" t="str">
        <f t="shared" si="3006"/>
        <v/>
      </c>
      <c r="DN180" s="66" t="str">
        <f t="shared" si="3006"/>
        <v/>
      </c>
      <c r="DO180" s="66" t="str">
        <f t="shared" si="3006"/>
        <v/>
      </c>
      <c r="DP180" s="66" t="str">
        <f t="shared" si="3006"/>
        <v/>
      </c>
      <c r="DQ180" s="66" t="str">
        <f t="shared" si="3006"/>
        <v/>
      </c>
      <c r="DR180" s="66" t="str">
        <f t="shared" si="3006"/>
        <v/>
      </c>
      <c r="DS180" s="66" t="str">
        <f t="shared" si="3006"/>
        <v/>
      </c>
      <c r="DT180" s="66" t="str">
        <f t="shared" si="3006"/>
        <v/>
      </c>
      <c r="DU180" s="66" t="str">
        <f t="shared" si="3006"/>
        <v/>
      </c>
      <c r="DV180" s="66" t="str">
        <f t="shared" ref="DV180:EE182" si="3007">IF(AP180="","","|n"&amp;DV$2&amp;"+"&amp;AP180&amp;DV$1)</f>
        <v/>
      </c>
      <c r="DW180" s="66" t="str">
        <f t="shared" si="3007"/>
        <v/>
      </c>
      <c r="DX180" s="66" t="str">
        <f t="shared" si="3007"/>
        <v/>
      </c>
      <c r="DY180" s="66" t="str">
        <f t="shared" si="3007"/>
        <v/>
      </c>
      <c r="DZ180" s="66" t="str">
        <f t="shared" si="3007"/>
        <v/>
      </c>
      <c r="EA180" s="66" t="str">
        <f t="shared" si="3007"/>
        <v/>
      </c>
      <c r="EB180" s="66" t="str">
        <f t="shared" si="3007"/>
        <v/>
      </c>
      <c r="EC180" s="66" t="str">
        <f t="shared" si="3007"/>
        <v/>
      </c>
      <c r="ED180" s="66" t="str">
        <f t="shared" si="3007"/>
        <v/>
      </c>
      <c r="EE180" s="66" t="str">
        <f t="shared" si="3007"/>
        <v/>
      </c>
      <c r="EF180" s="66" t="str">
        <f t="shared" ref="EF180:EO182" si="3008">IF(AZ180="","","|n"&amp;EF$2&amp;"+"&amp;AZ180&amp;EF$1)</f>
        <v/>
      </c>
      <c r="EG180" s="66" t="str">
        <f t="shared" si="3008"/>
        <v/>
      </c>
      <c r="EH180" s="66" t="str">
        <f t="shared" si="3008"/>
        <v/>
      </c>
      <c r="EI180" s="66" t="str">
        <f t="shared" si="3008"/>
        <v/>
      </c>
      <c r="EJ180" s="66" t="str">
        <f t="shared" si="3008"/>
        <v/>
      </c>
      <c r="EK180" s="66" t="str">
        <f t="shared" si="3008"/>
        <v/>
      </c>
      <c r="EL180" s="66" t="str">
        <f t="shared" si="3008"/>
        <v/>
      </c>
      <c r="EM180" s="66" t="str">
        <f t="shared" si="3008"/>
        <v/>
      </c>
      <c r="EN180" s="66" t="str">
        <f t="shared" si="3008"/>
        <v/>
      </c>
      <c r="EO180" s="66" t="str">
        <f t="shared" si="3008"/>
        <v/>
      </c>
      <c r="EP180" s="66" t="str">
        <f t="shared" ref="EP180:EY182" si="3009">IF(BJ180="","","|n"&amp;EP$2&amp;"+"&amp;BJ180&amp;EP$1)</f>
        <v/>
      </c>
      <c r="EQ180" s="66" t="str">
        <f t="shared" si="3009"/>
        <v/>
      </c>
      <c r="ER180" s="66" t="str">
        <f t="shared" si="3009"/>
        <v/>
      </c>
      <c r="ES180" s="66" t="str">
        <f t="shared" si="3009"/>
        <v/>
      </c>
      <c r="ET180" s="66" t="str">
        <f t="shared" si="3009"/>
        <v/>
      </c>
      <c r="EU180" s="66" t="str">
        <f t="shared" si="3009"/>
        <v/>
      </c>
      <c r="EV180" s="66" t="str">
        <f t="shared" si="3009"/>
        <v/>
      </c>
      <c r="EW180" s="66" t="str">
        <f t="shared" si="3009"/>
        <v/>
      </c>
      <c r="EX180" s="66" t="str">
        <f t="shared" si="3009"/>
        <v/>
      </c>
      <c r="EY180" s="66" t="str">
        <f t="shared" si="3009"/>
        <v/>
      </c>
      <c r="EZ180" s="66" t="str">
        <f t="shared" ref="EZ180:FI182" si="3010">IF(BT180="","","|n"&amp;EZ$2&amp;"+"&amp;BT180&amp;EZ$1)</f>
        <v/>
      </c>
      <c r="FA180" s="66" t="str">
        <f t="shared" si="3010"/>
        <v/>
      </c>
      <c r="FB180" s="66" t="str">
        <f t="shared" si="3010"/>
        <v/>
      </c>
      <c r="FC180" s="66" t="str">
        <f t="shared" si="3010"/>
        <v/>
      </c>
      <c r="FD180" s="66" t="str">
        <f t="shared" si="3010"/>
        <v/>
      </c>
      <c r="FE180" s="66" t="str">
        <f t="shared" si="3010"/>
        <v/>
      </c>
      <c r="FF180" s="66" t="str">
        <f t="shared" si="3010"/>
        <v/>
      </c>
      <c r="FG180" s="66" t="str">
        <f t="shared" si="3010"/>
        <v/>
      </c>
      <c r="FH180" s="66" t="str">
        <f t="shared" si="3010"/>
        <v/>
      </c>
      <c r="FI180" s="66" t="str">
        <f t="shared" si="3010"/>
        <v/>
      </c>
      <c r="FJ180" s="66" t="str">
        <f t="shared" ref="FJ180:FS182" si="3011">IF(CD180="","","|n"&amp;FJ$2&amp;"+"&amp;CD180&amp;FJ$1)</f>
        <v/>
      </c>
      <c r="FK180" s="66" t="str">
        <f t="shared" si="3011"/>
        <v/>
      </c>
      <c r="FL180" s="66" t="str">
        <f t="shared" si="3011"/>
        <v/>
      </c>
      <c r="FM180" s="66" t="str">
        <f t="shared" si="3011"/>
        <v/>
      </c>
      <c r="FN180" s="66" t="str">
        <f t="shared" si="3011"/>
        <v/>
      </c>
      <c r="FO180" s="66" t="str">
        <f t="shared" si="3011"/>
        <v/>
      </c>
      <c r="FP180" s="66" t="str">
        <f t="shared" si="3011"/>
        <v/>
      </c>
      <c r="FQ180" s="66" t="str">
        <f t="shared" si="3011"/>
        <v/>
      </c>
      <c r="FR180" s="66" t="str">
        <f t="shared" si="3011"/>
        <v/>
      </c>
      <c r="FS180" s="66" t="str">
        <f t="shared" si="3011"/>
        <v/>
      </c>
    </row>
    <row r="181" spans="1:175" ht="16.5">
      <c r="A181" s="15"/>
      <c r="B181" s="9" t="s">
        <v>665</v>
      </c>
      <c r="C181" s="152" t="s">
        <v>904</v>
      </c>
      <c r="T181" s="15" t="s">
        <v>667</v>
      </c>
      <c r="U181" s="77" t="s">
        <v>668</v>
      </c>
      <c r="CN181" s="36" t="str">
        <f t="shared" si="2688"/>
        <v>InitUnitState('IS21',,,,,,,,,,)</v>
      </c>
      <c r="CO181" s="36" t="str">
        <f t="shared" si="2689"/>
        <v>InitUnitNormal('IS21',,,,,,,,,,)</v>
      </c>
      <c r="CP181" s="36" t="str">
        <f t="shared" si="2690"/>
        <v>InitUnitMagic('IS21',,,,,,,,,,)</v>
      </c>
      <c r="CQ181" s="36" t="str">
        <f t="shared" si="2691"/>
        <v>InitUnitAdd('IS21',,,,,,,,,,)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InitEquipData('IS21',,"",,,,,'','','','','','',"ReplaceableTextures\\CommandButtons\\BTNIN02.blp")</v>
      </c>
      <c r="CU181" s="88" t="str">
        <f t="shared" si="2837"/>
        <v>|n</v>
      </c>
      <c r="CV181" s="19" t="str">
        <f t="shared" si="2838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5"/>
        <v/>
      </c>
      <c r="DC181" s="66" t="str">
        <f t="shared" si="3005"/>
        <v/>
      </c>
      <c r="DD181" s="66" t="str">
        <f t="shared" si="3005"/>
        <v/>
      </c>
      <c r="DE181" s="66" t="str">
        <f t="shared" si="3005"/>
        <v/>
      </c>
      <c r="DF181" s="66" t="str">
        <f t="shared" si="3005"/>
        <v/>
      </c>
      <c r="DG181" s="66" t="str">
        <f t="shared" si="3005"/>
        <v/>
      </c>
      <c r="DH181" s="66" t="str">
        <f t="shared" si="3005"/>
        <v/>
      </c>
      <c r="DI181" s="66" t="str">
        <f t="shared" si="3005"/>
        <v/>
      </c>
      <c r="DJ181" s="66" t="str">
        <f t="shared" si="3005"/>
        <v/>
      </c>
      <c r="DK181" s="66" t="str">
        <f t="shared" si="3005"/>
        <v/>
      </c>
      <c r="DL181" s="66" t="str">
        <f t="shared" si="3006"/>
        <v/>
      </c>
      <c r="DM181" s="66" t="str">
        <f t="shared" si="3006"/>
        <v/>
      </c>
      <c r="DN181" s="66" t="str">
        <f t="shared" si="3006"/>
        <v/>
      </c>
      <c r="DO181" s="66" t="str">
        <f t="shared" si="3006"/>
        <v/>
      </c>
      <c r="DP181" s="66" t="str">
        <f t="shared" si="3006"/>
        <v/>
      </c>
      <c r="DQ181" s="66" t="str">
        <f t="shared" si="3006"/>
        <v/>
      </c>
      <c r="DR181" s="66" t="str">
        <f t="shared" si="3006"/>
        <v/>
      </c>
      <c r="DS181" s="66" t="str">
        <f t="shared" si="3006"/>
        <v/>
      </c>
      <c r="DT181" s="66" t="str">
        <f t="shared" si="3006"/>
        <v/>
      </c>
      <c r="DU181" s="66" t="str">
        <f t="shared" si="3006"/>
        <v/>
      </c>
      <c r="DV181" s="66" t="str">
        <f t="shared" si="3007"/>
        <v/>
      </c>
      <c r="DW181" s="66" t="str">
        <f t="shared" si="3007"/>
        <v/>
      </c>
      <c r="DX181" s="66" t="str">
        <f t="shared" si="3007"/>
        <v/>
      </c>
      <c r="DY181" s="66" t="str">
        <f t="shared" si="3007"/>
        <v/>
      </c>
      <c r="DZ181" s="66" t="str">
        <f t="shared" si="3007"/>
        <v/>
      </c>
      <c r="EA181" s="66" t="str">
        <f t="shared" si="3007"/>
        <v/>
      </c>
      <c r="EB181" s="66" t="str">
        <f t="shared" si="3007"/>
        <v/>
      </c>
      <c r="EC181" s="66" t="str">
        <f t="shared" si="3007"/>
        <v/>
      </c>
      <c r="ED181" s="66" t="str">
        <f t="shared" si="3007"/>
        <v/>
      </c>
      <c r="EE181" s="66" t="str">
        <f t="shared" si="3007"/>
        <v/>
      </c>
      <c r="EF181" s="66" t="str">
        <f t="shared" si="3008"/>
        <v/>
      </c>
      <c r="EG181" s="66" t="str">
        <f t="shared" si="3008"/>
        <v/>
      </c>
      <c r="EH181" s="66" t="str">
        <f t="shared" si="3008"/>
        <v/>
      </c>
      <c r="EI181" s="66" t="str">
        <f t="shared" si="3008"/>
        <v/>
      </c>
      <c r="EJ181" s="66" t="str">
        <f t="shared" si="3008"/>
        <v/>
      </c>
      <c r="EK181" s="66" t="str">
        <f t="shared" si="3008"/>
        <v/>
      </c>
      <c r="EL181" s="66" t="str">
        <f t="shared" si="3008"/>
        <v/>
      </c>
      <c r="EM181" s="66" t="str">
        <f t="shared" si="3008"/>
        <v/>
      </c>
      <c r="EN181" s="66" t="str">
        <f t="shared" si="3008"/>
        <v/>
      </c>
      <c r="EO181" s="66" t="str">
        <f t="shared" si="3008"/>
        <v/>
      </c>
      <c r="EP181" s="66" t="str">
        <f t="shared" si="3009"/>
        <v/>
      </c>
      <c r="EQ181" s="66" t="str">
        <f t="shared" si="3009"/>
        <v/>
      </c>
      <c r="ER181" s="66" t="str">
        <f t="shared" si="3009"/>
        <v/>
      </c>
      <c r="ES181" s="66" t="str">
        <f t="shared" si="3009"/>
        <v/>
      </c>
      <c r="ET181" s="66" t="str">
        <f t="shared" si="3009"/>
        <v/>
      </c>
      <c r="EU181" s="66" t="str">
        <f t="shared" si="3009"/>
        <v/>
      </c>
      <c r="EV181" s="66" t="str">
        <f t="shared" si="3009"/>
        <v/>
      </c>
      <c r="EW181" s="66" t="str">
        <f t="shared" si="3009"/>
        <v/>
      </c>
      <c r="EX181" s="66" t="str">
        <f t="shared" si="3009"/>
        <v/>
      </c>
      <c r="EY181" s="66" t="str">
        <f t="shared" si="3009"/>
        <v/>
      </c>
      <c r="EZ181" s="66" t="str">
        <f t="shared" si="3010"/>
        <v/>
      </c>
      <c r="FA181" s="66" t="str">
        <f t="shared" si="3010"/>
        <v/>
      </c>
      <c r="FB181" s="66" t="str">
        <f t="shared" si="3010"/>
        <v/>
      </c>
      <c r="FC181" s="66" t="str">
        <f t="shared" si="3010"/>
        <v/>
      </c>
      <c r="FD181" s="66" t="str">
        <f t="shared" si="3010"/>
        <v/>
      </c>
      <c r="FE181" s="66" t="str">
        <f t="shared" si="3010"/>
        <v/>
      </c>
      <c r="FF181" s="66" t="str">
        <f t="shared" si="3010"/>
        <v/>
      </c>
      <c r="FG181" s="66" t="str">
        <f t="shared" si="3010"/>
        <v/>
      </c>
      <c r="FH181" s="66" t="str">
        <f t="shared" si="3010"/>
        <v/>
      </c>
      <c r="FI181" s="66" t="str">
        <f t="shared" si="3010"/>
        <v/>
      </c>
      <c r="FJ181" s="66" t="str">
        <f t="shared" si="3011"/>
        <v/>
      </c>
      <c r="FK181" s="66" t="str">
        <f t="shared" si="3011"/>
        <v/>
      </c>
      <c r="FL181" s="66" t="str">
        <f t="shared" si="3011"/>
        <v/>
      </c>
      <c r="FM181" s="66" t="str">
        <f t="shared" si="3011"/>
        <v/>
      </c>
      <c r="FN181" s="66" t="str">
        <f t="shared" si="3011"/>
        <v/>
      </c>
      <c r="FO181" s="66" t="str">
        <f t="shared" si="3011"/>
        <v/>
      </c>
      <c r="FP181" s="66" t="str">
        <f t="shared" si="3011"/>
        <v/>
      </c>
      <c r="FQ181" s="66" t="str">
        <f t="shared" si="3011"/>
        <v/>
      </c>
      <c r="FR181" s="66" t="str">
        <f t="shared" si="3011"/>
        <v/>
      </c>
      <c r="FS181" s="66" t="str">
        <f t="shared" si="3011"/>
        <v/>
      </c>
    </row>
    <row r="182" spans="1:175" ht="16.5">
      <c r="A182" s="15"/>
      <c r="B182" s="9" t="s">
        <v>669</v>
      </c>
      <c r="C182" s="15" t="s">
        <v>905</v>
      </c>
      <c r="T182" s="15" t="s">
        <v>671</v>
      </c>
      <c r="U182" s="77" t="s">
        <v>672</v>
      </c>
      <c r="CN182" s="36" t="str">
        <f t="shared" si="2688"/>
        <v>InitUnitState('IS22',,,,,,,,,,)</v>
      </c>
      <c r="CO182" s="36" t="str">
        <f t="shared" si="2689"/>
        <v>InitUnitNormal('IS22',,,,,,,,,,)</v>
      </c>
      <c r="CP182" s="36" t="str">
        <f t="shared" si="2690"/>
        <v>InitUnitMagic('IS22',,,,,,,,,,)</v>
      </c>
      <c r="CQ182" s="36" t="str">
        <f t="shared" si="2691"/>
        <v>InitUnitAdd('IS22',,,,,,,,,,)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InitEquipData('IS22',,"",,,,,'','','','','','',"ReplaceableTextures\\CommandButtons\\BTNIN03.blp")</v>
      </c>
      <c r="CU182" s="88" t="str">
        <f t="shared" si="2837"/>
        <v>|n</v>
      </c>
      <c r="CV182" s="19" t="str">
        <f t="shared" si="2838"/>
        <v>为|Cffffd24dW技能|r附魔一条|Cffffd24d随机属性|r。</v>
      </c>
      <c r="CW182" s="33"/>
      <c r="CX182" s="33"/>
      <c r="CY182" s="33"/>
      <c r="CZ182" s="33"/>
      <c r="DA182" s="33"/>
      <c r="DB182" s="66" t="str">
        <f t="shared" si="3005"/>
        <v/>
      </c>
      <c r="DC182" s="66" t="str">
        <f t="shared" si="3005"/>
        <v/>
      </c>
      <c r="DD182" s="66" t="str">
        <f t="shared" si="3005"/>
        <v/>
      </c>
      <c r="DE182" s="66" t="str">
        <f t="shared" si="3005"/>
        <v/>
      </c>
      <c r="DF182" s="66" t="str">
        <f t="shared" si="3005"/>
        <v/>
      </c>
      <c r="DG182" s="66" t="str">
        <f t="shared" si="3005"/>
        <v/>
      </c>
      <c r="DH182" s="66" t="str">
        <f t="shared" si="3005"/>
        <v/>
      </c>
      <c r="DI182" s="66" t="str">
        <f t="shared" si="3005"/>
        <v/>
      </c>
      <c r="DJ182" s="66" t="str">
        <f t="shared" si="3005"/>
        <v/>
      </c>
      <c r="DK182" s="66" t="str">
        <f t="shared" si="3005"/>
        <v/>
      </c>
      <c r="DL182" s="66" t="str">
        <f t="shared" si="3006"/>
        <v/>
      </c>
      <c r="DM182" s="66" t="str">
        <f t="shared" si="3006"/>
        <v/>
      </c>
      <c r="DN182" s="66" t="str">
        <f t="shared" si="3006"/>
        <v/>
      </c>
      <c r="DO182" s="66" t="str">
        <f t="shared" si="3006"/>
        <v/>
      </c>
      <c r="DP182" s="66" t="str">
        <f t="shared" si="3006"/>
        <v/>
      </c>
      <c r="DQ182" s="66" t="str">
        <f t="shared" si="3006"/>
        <v/>
      </c>
      <c r="DR182" s="66" t="str">
        <f t="shared" si="3006"/>
        <v/>
      </c>
      <c r="DS182" s="66" t="str">
        <f t="shared" si="3006"/>
        <v/>
      </c>
      <c r="DT182" s="66" t="str">
        <f t="shared" si="3006"/>
        <v/>
      </c>
      <c r="DU182" s="66" t="str">
        <f t="shared" si="3006"/>
        <v/>
      </c>
      <c r="DV182" s="66" t="str">
        <f t="shared" si="3007"/>
        <v/>
      </c>
      <c r="DW182" s="66" t="str">
        <f t="shared" si="3007"/>
        <v/>
      </c>
      <c r="DX182" s="66" t="str">
        <f t="shared" si="3007"/>
        <v/>
      </c>
      <c r="DY182" s="66" t="str">
        <f t="shared" si="3007"/>
        <v/>
      </c>
      <c r="DZ182" s="66" t="str">
        <f t="shared" si="3007"/>
        <v/>
      </c>
      <c r="EA182" s="66" t="str">
        <f t="shared" si="3007"/>
        <v/>
      </c>
      <c r="EB182" s="66" t="str">
        <f t="shared" si="3007"/>
        <v/>
      </c>
      <c r="EC182" s="66" t="str">
        <f t="shared" si="3007"/>
        <v/>
      </c>
      <c r="ED182" s="66" t="str">
        <f t="shared" si="3007"/>
        <v/>
      </c>
      <c r="EE182" s="66" t="str">
        <f t="shared" si="3007"/>
        <v/>
      </c>
      <c r="EF182" s="66" t="str">
        <f t="shared" si="3008"/>
        <v/>
      </c>
      <c r="EG182" s="66" t="str">
        <f t="shared" si="3008"/>
        <v/>
      </c>
      <c r="EH182" s="66" t="str">
        <f t="shared" si="3008"/>
        <v/>
      </c>
      <c r="EI182" s="66" t="str">
        <f t="shared" si="3008"/>
        <v/>
      </c>
      <c r="EJ182" s="66" t="str">
        <f t="shared" si="3008"/>
        <v/>
      </c>
      <c r="EK182" s="66" t="str">
        <f t="shared" si="3008"/>
        <v/>
      </c>
      <c r="EL182" s="66" t="str">
        <f t="shared" si="3008"/>
        <v/>
      </c>
      <c r="EM182" s="66" t="str">
        <f t="shared" si="3008"/>
        <v/>
      </c>
      <c r="EN182" s="66" t="str">
        <f t="shared" si="3008"/>
        <v/>
      </c>
      <c r="EO182" s="66" t="str">
        <f t="shared" si="3008"/>
        <v/>
      </c>
      <c r="EP182" s="66" t="str">
        <f t="shared" si="3009"/>
        <v/>
      </c>
      <c r="EQ182" s="66" t="str">
        <f t="shared" si="3009"/>
        <v/>
      </c>
      <c r="ER182" s="66" t="str">
        <f t="shared" si="3009"/>
        <v/>
      </c>
      <c r="ES182" s="66" t="str">
        <f t="shared" si="3009"/>
        <v/>
      </c>
      <c r="ET182" s="66" t="str">
        <f t="shared" si="3009"/>
        <v/>
      </c>
      <c r="EU182" s="66" t="str">
        <f t="shared" si="3009"/>
        <v/>
      </c>
      <c r="EV182" s="66" t="str">
        <f t="shared" si="3009"/>
        <v/>
      </c>
      <c r="EW182" s="66" t="str">
        <f t="shared" si="3009"/>
        <v/>
      </c>
      <c r="EX182" s="66" t="str">
        <f t="shared" si="3009"/>
        <v/>
      </c>
      <c r="EY182" s="66" t="str">
        <f t="shared" si="3009"/>
        <v/>
      </c>
      <c r="EZ182" s="66" t="str">
        <f t="shared" si="3010"/>
        <v/>
      </c>
      <c r="FA182" s="66" t="str">
        <f t="shared" si="3010"/>
        <v/>
      </c>
      <c r="FB182" s="66" t="str">
        <f t="shared" si="3010"/>
        <v/>
      </c>
      <c r="FC182" s="66" t="str">
        <f t="shared" si="3010"/>
        <v/>
      </c>
      <c r="FD182" s="66" t="str">
        <f t="shared" si="3010"/>
        <v/>
      </c>
      <c r="FE182" s="66" t="str">
        <f t="shared" si="3010"/>
        <v/>
      </c>
      <c r="FF182" s="66" t="str">
        <f t="shared" si="3010"/>
        <v/>
      </c>
      <c r="FG182" s="66" t="str">
        <f t="shared" si="3010"/>
        <v/>
      </c>
      <c r="FH182" s="66" t="str">
        <f t="shared" si="3010"/>
        <v/>
      </c>
      <c r="FI182" s="66" t="str">
        <f t="shared" si="3010"/>
        <v/>
      </c>
      <c r="FJ182" s="66" t="str">
        <f t="shared" si="3011"/>
        <v/>
      </c>
      <c r="FK182" s="66" t="str">
        <f t="shared" si="3011"/>
        <v/>
      </c>
      <c r="FL182" s="66" t="str">
        <f t="shared" si="3011"/>
        <v/>
      </c>
      <c r="FM182" s="66" t="str">
        <f t="shared" si="3011"/>
        <v/>
      </c>
      <c r="FN182" s="66" t="str">
        <f t="shared" si="3011"/>
        <v/>
      </c>
      <c r="FO182" s="66" t="str">
        <f t="shared" si="3011"/>
        <v/>
      </c>
      <c r="FP182" s="66" t="str">
        <f t="shared" si="3011"/>
        <v/>
      </c>
      <c r="FQ182" s="66" t="str">
        <f t="shared" si="3011"/>
        <v/>
      </c>
      <c r="FR182" s="66" t="str">
        <f t="shared" si="3011"/>
        <v/>
      </c>
      <c r="FS182" s="66" t="str">
        <f t="shared" si="3011"/>
        <v/>
      </c>
    </row>
    <row r="183" spans="1:175" ht="16.5">
      <c r="A183" s="15"/>
      <c r="B183" s="9" t="s">
        <v>673</v>
      </c>
      <c r="C183" s="15" t="s">
        <v>906</v>
      </c>
      <c r="T183" s="15" t="s">
        <v>675</v>
      </c>
      <c r="U183" s="77" t="s">
        <v>676</v>
      </c>
      <c r="CN183" s="36" t="str">
        <f t="shared" si="2688"/>
        <v>InitUnitState('IS23',,,,,,,,,,)</v>
      </c>
      <c r="CO183" s="36" t="str">
        <f t="shared" si="2689"/>
        <v>InitUnitNormal('IS23',,,,,,,,,,)</v>
      </c>
      <c r="CP183" s="36" t="str">
        <f t="shared" si="2690"/>
        <v>InitUnitMagic('IS23',,,,,,,,,,)</v>
      </c>
      <c r="CQ183" s="36" t="str">
        <f t="shared" si="2691"/>
        <v>InitUnitAdd('IS23',,,,,,,,,,)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ref="CU183:CU186" si="301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 t="shared" ref="CV183:CV186" si="3013">T183</f>
        <v>为|Cffffd24dE技能|r附魔一条|Cffffd24d随机属性|r。</v>
      </c>
      <c r="CW183" s="33"/>
      <c r="CX183" s="33"/>
      <c r="CY183" s="33"/>
      <c r="CZ183" s="33"/>
      <c r="DA183" s="33"/>
      <c r="DB183" s="66" t="str">
        <f t="shared" ref="DB183" si="3014">IF(V183="","","|n"&amp;DB$2&amp;"+"&amp;V183&amp;DB$1)</f>
        <v/>
      </c>
      <c r="DC183" s="66" t="str">
        <f t="shared" ref="DC183" si="3015">IF(W183="","","|n"&amp;DC$2&amp;"+"&amp;W183&amp;DC$1)</f>
        <v/>
      </c>
      <c r="DD183" s="66" t="str">
        <f t="shared" ref="DD183" si="3016">IF(X183="","","|n"&amp;DD$2&amp;"+"&amp;X183&amp;DD$1)</f>
        <v/>
      </c>
      <c r="DE183" s="66" t="str">
        <f t="shared" ref="DE183" si="3017">IF(Y183="","","|n"&amp;DE$2&amp;"+"&amp;Y183&amp;DE$1)</f>
        <v/>
      </c>
      <c r="DF183" s="66" t="str">
        <f t="shared" ref="DF183" si="3018">IF(Z183="","","|n"&amp;DF$2&amp;"+"&amp;Z183&amp;DF$1)</f>
        <v/>
      </c>
      <c r="DG183" s="66" t="str">
        <f t="shared" ref="DG183" si="3019">IF(AA183="","","|n"&amp;DG$2&amp;"+"&amp;AA183&amp;DG$1)</f>
        <v/>
      </c>
      <c r="DH183" s="66" t="str">
        <f t="shared" ref="DH183" si="3020">IF(AB183="","","|n"&amp;DH$2&amp;"+"&amp;AB183&amp;DH$1)</f>
        <v/>
      </c>
      <c r="DI183" s="66" t="str">
        <f t="shared" ref="DI183" si="3021">IF(AC183="","","|n"&amp;DI$2&amp;"+"&amp;AC183&amp;DI$1)</f>
        <v/>
      </c>
      <c r="DJ183" s="66" t="str">
        <f t="shared" ref="DJ183" si="3022">IF(AD183="","","|n"&amp;DJ$2&amp;"+"&amp;AD183&amp;DJ$1)</f>
        <v/>
      </c>
      <c r="DK183" s="66" t="str">
        <f t="shared" ref="DK183" si="3023">IF(AE183="","","|n"&amp;DK$2&amp;"+"&amp;AE183&amp;DK$1)</f>
        <v/>
      </c>
      <c r="DL183" s="66" t="str">
        <f t="shared" ref="DL183" si="3024">IF(AF183="","","|n"&amp;DL$2&amp;"+"&amp;AF183&amp;DL$1)</f>
        <v/>
      </c>
      <c r="DM183" s="66" t="str">
        <f t="shared" ref="DM183" si="3025">IF(AG183="","","|n"&amp;DM$2&amp;"+"&amp;AG183&amp;DM$1)</f>
        <v/>
      </c>
      <c r="DN183" s="66" t="str">
        <f t="shared" ref="DN183" si="3026">IF(AH183="","","|n"&amp;DN$2&amp;"+"&amp;AH183&amp;DN$1)</f>
        <v/>
      </c>
      <c r="DO183" s="66" t="str">
        <f t="shared" ref="DO183" si="3027">IF(AI183="","","|n"&amp;DO$2&amp;"+"&amp;AI183&amp;DO$1)</f>
        <v/>
      </c>
      <c r="DP183" s="66" t="str">
        <f t="shared" ref="DP183" si="3028">IF(AJ183="","","|n"&amp;DP$2&amp;"+"&amp;AJ183&amp;DP$1)</f>
        <v/>
      </c>
      <c r="DQ183" s="66" t="str">
        <f t="shared" ref="DQ183" si="3029">IF(AK183="","","|n"&amp;DQ$2&amp;"+"&amp;AK183&amp;DQ$1)</f>
        <v/>
      </c>
      <c r="DR183" s="66" t="str">
        <f t="shared" ref="DR183" si="3030">IF(AL183="","","|n"&amp;DR$2&amp;"+"&amp;AL183&amp;DR$1)</f>
        <v/>
      </c>
      <c r="DS183" s="66" t="str">
        <f t="shared" ref="DS183" si="3031">IF(AM183="","","|n"&amp;DS$2&amp;"+"&amp;AM183&amp;DS$1)</f>
        <v/>
      </c>
      <c r="DT183" s="66" t="str">
        <f t="shared" ref="DT183" si="3032">IF(AN183="","","|n"&amp;DT$2&amp;"+"&amp;AN183&amp;DT$1)</f>
        <v/>
      </c>
      <c r="DU183" s="66" t="str">
        <f t="shared" ref="DU183" si="3033">IF(AO183="","","|n"&amp;DU$2&amp;"+"&amp;AO183&amp;DU$1)</f>
        <v/>
      </c>
      <c r="DV183" s="66" t="str">
        <f t="shared" ref="DV183" si="3034">IF(AP183="","","|n"&amp;DV$2&amp;"+"&amp;AP183&amp;DV$1)</f>
        <v/>
      </c>
      <c r="DW183" s="66" t="str">
        <f t="shared" ref="DW183" si="3035">IF(AQ183="","","|n"&amp;DW$2&amp;"+"&amp;AQ183&amp;DW$1)</f>
        <v/>
      </c>
      <c r="DX183" s="66" t="str">
        <f t="shared" ref="DX183" si="3036">IF(AR183="","","|n"&amp;DX$2&amp;"+"&amp;AR183&amp;DX$1)</f>
        <v/>
      </c>
      <c r="DY183" s="66" t="str">
        <f t="shared" ref="DY183" si="3037">IF(AS183="","","|n"&amp;DY$2&amp;"+"&amp;AS183&amp;DY$1)</f>
        <v/>
      </c>
      <c r="DZ183" s="66" t="str">
        <f t="shared" ref="DZ183" si="3038">IF(AT183="","","|n"&amp;DZ$2&amp;"+"&amp;AT183&amp;DZ$1)</f>
        <v/>
      </c>
      <c r="EA183" s="66" t="str">
        <f t="shared" ref="EA183" si="3039">IF(AU183="","","|n"&amp;EA$2&amp;"+"&amp;AU183&amp;EA$1)</f>
        <v/>
      </c>
      <c r="EB183" s="66" t="str">
        <f t="shared" ref="EB183" si="3040">IF(AV183="","","|n"&amp;EB$2&amp;"+"&amp;AV183&amp;EB$1)</f>
        <v/>
      </c>
      <c r="EC183" s="66" t="str">
        <f t="shared" ref="EC183" si="3041">IF(AW183="","","|n"&amp;EC$2&amp;"+"&amp;AW183&amp;EC$1)</f>
        <v/>
      </c>
      <c r="ED183" s="66" t="str">
        <f t="shared" ref="ED183" si="3042">IF(AX183="","","|n"&amp;ED$2&amp;"+"&amp;AX183&amp;ED$1)</f>
        <v/>
      </c>
      <c r="EE183" s="66" t="str">
        <f t="shared" ref="EE183" si="3043">IF(AY183="","","|n"&amp;EE$2&amp;"+"&amp;AY183&amp;EE$1)</f>
        <v/>
      </c>
      <c r="EF183" s="66" t="str">
        <f t="shared" ref="EF183" si="3044">IF(AZ183="","","|n"&amp;EF$2&amp;"+"&amp;AZ183&amp;EF$1)</f>
        <v/>
      </c>
      <c r="EG183" s="66" t="str">
        <f t="shared" ref="EG183" si="3045">IF(BA183="","","|n"&amp;EG$2&amp;"+"&amp;BA183&amp;EG$1)</f>
        <v/>
      </c>
      <c r="EH183" s="66" t="str">
        <f t="shared" ref="EH183" si="3046">IF(BB183="","","|n"&amp;EH$2&amp;"+"&amp;BB183&amp;EH$1)</f>
        <v/>
      </c>
      <c r="EI183" s="66" t="str">
        <f t="shared" ref="EI183" si="3047">IF(BC183="","","|n"&amp;EI$2&amp;"+"&amp;BC183&amp;EI$1)</f>
        <v/>
      </c>
      <c r="EJ183" s="66" t="str">
        <f t="shared" ref="EJ183" si="3048">IF(BD183="","","|n"&amp;EJ$2&amp;"+"&amp;BD183&amp;EJ$1)</f>
        <v/>
      </c>
      <c r="EK183" s="66" t="str">
        <f t="shared" ref="EK183" si="3049">IF(BE183="","","|n"&amp;EK$2&amp;"+"&amp;BE183&amp;EK$1)</f>
        <v/>
      </c>
      <c r="EL183" s="66" t="str">
        <f t="shared" ref="EL183" si="3050">IF(BF183="","","|n"&amp;EL$2&amp;"+"&amp;BF183&amp;EL$1)</f>
        <v/>
      </c>
      <c r="EM183" s="66" t="str">
        <f t="shared" ref="EM183" si="3051">IF(BG183="","","|n"&amp;EM$2&amp;"+"&amp;BG183&amp;EM$1)</f>
        <v/>
      </c>
      <c r="EN183" s="66" t="str">
        <f t="shared" ref="EN183" si="3052">IF(BH183="","","|n"&amp;EN$2&amp;"+"&amp;BH183&amp;EN$1)</f>
        <v/>
      </c>
      <c r="EO183" s="66" t="str">
        <f t="shared" ref="EO183" si="3053">IF(BI183="","","|n"&amp;EO$2&amp;"+"&amp;BI183&amp;EO$1)</f>
        <v/>
      </c>
      <c r="EP183" s="66" t="str">
        <f t="shared" ref="EP183" si="3054">IF(BJ183="","","|n"&amp;EP$2&amp;"+"&amp;BJ183&amp;EP$1)</f>
        <v/>
      </c>
      <c r="EQ183" s="66" t="str">
        <f t="shared" ref="EQ183" si="3055">IF(BK183="","","|n"&amp;EQ$2&amp;"+"&amp;BK183&amp;EQ$1)</f>
        <v/>
      </c>
      <c r="ER183" s="66" t="str">
        <f t="shared" ref="ER183" si="3056">IF(BL183="","","|n"&amp;ER$2&amp;"+"&amp;BL183&amp;ER$1)</f>
        <v/>
      </c>
      <c r="ES183" s="66" t="str">
        <f t="shared" ref="ES183" si="3057">IF(BM183="","","|n"&amp;ES$2&amp;"+"&amp;BM183&amp;ES$1)</f>
        <v/>
      </c>
      <c r="ET183" s="66" t="str">
        <f t="shared" ref="ET183" si="3058">IF(BN183="","","|n"&amp;ET$2&amp;"+"&amp;BN183&amp;ET$1)</f>
        <v/>
      </c>
      <c r="EU183" s="66" t="str">
        <f t="shared" ref="EU183" si="3059">IF(BO183="","","|n"&amp;EU$2&amp;"+"&amp;BO183&amp;EU$1)</f>
        <v/>
      </c>
      <c r="EV183" s="66" t="str">
        <f t="shared" ref="EV183" si="3060">IF(BP183="","","|n"&amp;EV$2&amp;"+"&amp;BP183&amp;EV$1)</f>
        <v/>
      </c>
      <c r="EW183" s="66" t="str">
        <f t="shared" ref="EW183" si="3061">IF(BQ183="","","|n"&amp;EW$2&amp;"+"&amp;BQ183&amp;EW$1)</f>
        <v/>
      </c>
      <c r="EX183" s="66" t="str">
        <f t="shared" ref="EX183" si="3062">IF(BR183="","","|n"&amp;EX$2&amp;"+"&amp;BR183&amp;EX$1)</f>
        <v/>
      </c>
      <c r="EY183" s="66" t="str">
        <f t="shared" ref="EY183" si="3063">IF(BS183="","","|n"&amp;EY$2&amp;"+"&amp;BS183&amp;EY$1)</f>
        <v/>
      </c>
      <c r="EZ183" s="66" t="str">
        <f t="shared" ref="EZ183" si="3064">IF(BT183="","","|n"&amp;EZ$2&amp;"+"&amp;BT183&amp;EZ$1)</f>
        <v/>
      </c>
      <c r="FA183" s="66" t="str">
        <f t="shared" ref="FA183" si="3065">IF(BU183="","","|n"&amp;FA$2&amp;"+"&amp;BU183&amp;FA$1)</f>
        <v/>
      </c>
      <c r="FB183" s="66" t="str">
        <f t="shared" ref="FB183" si="3066">IF(BV183="","","|n"&amp;FB$2&amp;"+"&amp;BV183&amp;FB$1)</f>
        <v/>
      </c>
      <c r="FC183" s="66" t="str">
        <f t="shared" ref="FC183" si="3067">IF(BW183="","","|n"&amp;FC$2&amp;"+"&amp;BW183&amp;FC$1)</f>
        <v/>
      </c>
      <c r="FD183" s="66" t="str">
        <f t="shared" ref="FD183" si="3068">IF(BX183="","","|n"&amp;FD$2&amp;"+"&amp;BX183&amp;FD$1)</f>
        <v/>
      </c>
      <c r="FE183" s="66" t="str">
        <f t="shared" ref="FE183" si="3069">IF(BY183="","","|n"&amp;FE$2&amp;"+"&amp;BY183&amp;FE$1)</f>
        <v/>
      </c>
      <c r="FF183" s="66" t="str">
        <f t="shared" ref="FF183" si="3070">IF(BZ183="","","|n"&amp;FF$2&amp;"+"&amp;BZ183&amp;FF$1)</f>
        <v/>
      </c>
      <c r="FG183" s="66" t="str">
        <f t="shared" ref="FG183" si="3071">IF(CA183="","","|n"&amp;FG$2&amp;"+"&amp;CA183&amp;FG$1)</f>
        <v/>
      </c>
      <c r="FH183" s="66" t="str">
        <f t="shared" ref="FH183" si="3072">IF(CB183="","","|n"&amp;FH$2&amp;"+"&amp;CB183&amp;FH$1)</f>
        <v/>
      </c>
      <c r="FI183" s="66" t="str">
        <f t="shared" ref="FI183" si="3073">IF(CC183="","","|n"&amp;FI$2&amp;"+"&amp;CC183&amp;FI$1)</f>
        <v/>
      </c>
      <c r="FJ183" s="66" t="str">
        <f t="shared" ref="FJ183" si="3074">IF(CD183="","","|n"&amp;FJ$2&amp;"+"&amp;CD183&amp;FJ$1)</f>
        <v/>
      </c>
      <c r="FK183" s="66" t="str">
        <f t="shared" ref="FK183" si="3075">IF(CE183="","","|n"&amp;FK$2&amp;"+"&amp;CE183&amp;FK$1)</f>
        <v/>
      </c>
      <c r="FL183" s="66" t="str">
        <f t="shared" ref="FL183" si="3076">IF(CF183="","","|n"&amp;FL$2&amp;"+"&amp;CF183&amp;FL$1)</f>
        <v/>
      </c>
      <c r="FM183" s="66" t="str">
        <f t="shared" ref="FM183" si="3077">IF(CG183="","","|n"&amp;FM$2&amp;"+"&amp;CG183&amp;FM$1)</f>
        <v/>
      </c>
      <c r="FN183" s="66" t="str">
        <f t="shared" ref="FN183" si="3078">IF(CH183="","","|n"&amp;FN$2&amp;"+"&amp;CH183&amp;FN$1)</f>
        <v/>
      </c>
      <c r="FO183" s="66" t="str">
        <f t="shared" ref="FO183" si="3079">IF(CI183="","","|n"&amp;FO$2&amp;"+"&amp;CI183&amp;FO$1)</f>
        <v/>
      </c>
      <c r="FP183" s="66" t="str">
        <f t="shared" ref="FP183" si="3080">IF(CJ183="","","|n"&amp;FP$2&amp;"+"&amp;CJ183&amp;FP$1)</f>
        <v/>
      </c>
      <c r="FQ183" s="66" t="str">
        <f t="shared" ref="FQ183" si="3081">IF(CK183="","","|n"&amp;FQ$2&amp;"+"&amp;CK183&amp;FQ$1)</f>
        <v/>
      </c>
      <c r="FR183" s="66" t="str">
        <f t="shared" ref="FR183" si="3082">IF(CL183="","","|n"&amp;FR$2&amp;"+"&amp;CL183&amp;FR$1)</f>
        <v/>
      </c>
      <c r="FS183" s="66" t="str">
        <f t="shared" ref="FS183" si="3083">IF(CM183="","","|n"&amp;FS$2&amp;"+"&amp;CM183&amp;FS$1)</f>
        <v/>
      </c>
    </row>
    <row r="184" spans="1:175" s="29" customFormat="1" ht="16.5">
      <c r="A184" s="15"/>
      <c r="B184" s="9" t="s">
        <v>677</v>
      </c>
      <c r="C184" s="25" t="s">
        <v>907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667</v>
      </c>
      <c r="U184" s="77" t="s">
        <v>679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8"/>
        <v>InitUnitState('IS24',,,,,,,,,,)</v>
      </c>
      <c r="CO184" s="107" t="str">
        <f t="shared" si="2689"/>
        <v>InitUnitNormal('IS24',,,,,,,,,,)</v>
      </c>
      <c r="CP184" s="107" t="str">
        <f t="shared" si="2690"/>
        <v>InitUnitMagic('IS24',,,,,,,,,,)</v>
      </c>
      <c r="CQ184" s="107" t="str">
        <f t="shared" si="2691"/>
        <v>InitUnitAdd('IS24',,,,,,,,,,)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InitEquipData('IS24',,"",,,,,'','','','','','',"ReplaceableTextures\\CommandButtons\\BTN010.blp")</v>
      </c>
      <c r="CS184" s="107"/>
      <c r="CT184" s="107"/>
      <c r="CU184" s="88" t="str">
        <f t="shared" si="3012"/>
        <v>|n</v>
      </c>
      <c r="CV184" s="29" t="str">
        <f t="shared" si="3013"/>
        <v>为|Cffffd24dQ技能|r附魔一条|Cffffd24d随机属性|r。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4">IF(V184="","","|n"&amp;DB$2&amp;"+"&amp;V184&amp;DB$1)</f>
        <v/>
      </c>
      <c r="DC184" s="108" t="str">
        <f t="shared" si="3084"/>
        <v/>
      </c>
      <c r="DD184" s="108" t="str">
        <f t="shared" si="3084"/>
        <v/>
      </c>
      <c r="DE184" s="108" t="str">
        <f t="shared" si="3084"/>
        <v/>
      </c>
      <c r="DF184" s="108" t="str">
        <f t="shared" si="3084"/>
        <v/>
      </c>
      <c r="DG184" s="108" t="str">
        <f t="shared" si="3084"/>
        <v/>
      </c>
      <c r="DH184" s="108" t="str">
        <f t="shared" si="3084"/>
        <v/>
      </c>
      <c r="DI184" s="108" t="str">
        <f t="shared" si="3084"/>
        <v/>
      </c>
      <c r="DJ184" s="108" t="str">
        <f t="shared" si="3084"/>
        <v/>
      </c>
      <c r="DK184" s="108" t="str">
        <f t="shared" si="3084"/>
        <v/>
      </c>
      <c r="DL184" s="108" t="str">
        <f t="shared" si="3084"/>
        <v/>
      </c>
      <c r="DM184" s="108" t="str">
        <f t="shared" si="3084"/>
        <v/>
      </c>
      <c r="DN184" s="108" t="str">
        <f t="shared" si="3084"/>
        <v/>
      </c>
      <c r="DO184" s="108" t="str">
        <f t="shared" si="3084"/>
        <v/>
      </c>
      <c r="DP184" s="108" t="str">
        <f t="shared" si="3084"/>
        <v/>
      </c>
      <c r="DQ184" s="108" t="str">
        <f t="shared" si="3084"/>
        <v/>
      </c>
      <c r="DR184" s="108" t="str">
        <f t="shared" si="3084"/>
        <v/>
      </c>
      <c r="DS184" s="108" t="str">
        <f t="shared" si="3084"/>
        <v/>
      </c>
      <c r="DT184" s="108" t="str">
        <f t="shared" si="3084"/>
        <v/>
      </c>
      <c r="DU184" s="108" t="str">
        <f t="shared" si="3084"/>
        <v/>
      </c>
      <c r="DV184" s="108" t="str">
        <f t="shared" si="3084"/>
        <v/>
      </c>
      <c r="DW184" s="108" t="str">
        <f t="shared" si="3084"/>
        <v/>
      </c>
      <c r="DX184" s="108" t="str">
        <f t="shared" si="3084"/>
        <v/>
      </c>
      <c r="DY184" s="108" t="str">
        <f t="shared" si="3084"/>
        <v/>
      </c>
      <c r="DZ184" s="108" t="str">
        <f t="shared" si="3084"/>
        <v/>
      </c>
      <c r="EA184" s="108" t="str">
        <f t="shared" si="3084"/>
        <v/>
      </c>
      <c r="EB184" s="108" t="str">
        <f t="shared" si="3084"/>
        <v/>
      </c>
      <c r="EC184" s="108" t="str">
        <f t="shared" si="3084"/>
        <v/>
      </c>
      <c r="ED184" s="108" t="str">
        <f t="shared" si="3084"/>
        <v/>
      </c>
      <c r="EE184" s="108" t="str">
        <f t="shared" si="3084"/>
        <v/>
      </c>
      <c r="EF184" s="108" t="str">
        <f t="shared" si="3084"/>
        <v/>
      </c>
      <c r="EG184" s="108" t="str">
        <f t="shared" si="3084"/>
        <v/>
      </c>
      <c r="EH184" s="108" t="str">
        <f t="shared" si="3084"/>
        <v/>
      </c>
      <c r="EI184" s="108" t="str">
        <f t="shared" si="3084"/>
        <v/>
      </c>
      <c r="EJ184" s="108" t="str">
        <f t="shared" si="3084"/>
        <v/>
      </c>
      <c r="EK184" s="108" t="str">
        <f t="shared" si="3084"/>
        <v/>
      </c>
      <c r="EL184" s="108" t="str">
        <f t="shared" si="3084"/>
        <v/>
      </c>
      <c r="EM184" s="108" t="str">
        <f t="shared" si="3084"/>
        <v/>
      </c>
      <c r="EN184" s="108" t="str">
        <f t="shared" si="3084"/>
        <v/>
      </c>
      <c r="EO184" s="108" t="str">
        <f t="shared" si="3084"/>
        <v/>
      </c>
      <c r="EP184" s="108" t="str">
        <f t="shared" si="3084"/>
        <v/>
      </c>
      <c r="EQ184" s="108" t="str">
        <f t="shared" si="3084"/>
        <v/>
      </c>
      <c r="ER184" s="108" t="str">
        <f t="shared" si="3084"/>
        <v/>
      </c>
      <c r="ES184" s="108" t="str">
        <f t="shared" si="3084"/>
        <v/>
      </c>
      <c r="ET184" s="108" t="str">
        <f t="shared" si="3084"/>
        <v/>
      </c>
      <c r="EU184" s="108" t="str">
        <f t="shared" si="3084"/>
        <v/>
      </c>
      <c r="EV184" s="108" t="str">
        <f t="shared" si="3084"/>
        <v/>
      </c>
      <c r="EW184" s="108" t="str">
        <f t="shared" si="3084"/>
        <v/>
      </c>
      <c r="EX184" s="108" t="str">
        <f t="shared" si="3084"/>
        <v/>
      </c>
      <c r="EY184" s="108" t="str">
        <f t="shared" si="3084"/>
        <v/>
      </c>
      <c r="EZ184" s="108" t="str">
        <f t="shared" si="3084"/>
        <v/>
      </c>
      <c r="FA184" s="108" t="str">
        <f t="shared" si="3084"/>
        <v/>
      </c>
      <c r="FB184" s="108" t="str">
        <f t="shared" si="3084"/>
        <v/>
      </c>
      <c r="FC184" s="108" t="str">
        <f t="shared" si="3084"/>
        <v/>
      </c>
      <c r="FD184" s="108" t="str">
        <f t="shared" si="3084"/>
        <v/>
      </c>
      <c r="FE184" s="108" t="str">
        <f t="shared" si="3084"/>
        <v/>
      </c>
      <c r="FF184" s="108" t="str">
        <f t="shared" si="3084"/>
        <v/>
      </c>
      <c r="FG184" s="108" t="str">
        <f t="shared" si="3084"/>
        <v/>
      </c>
      <c r="FH184" s="108" t="str">
        <f t="shared" si="3084"/>
        <v/>
      </c>
      <c r="FI184" s="108" t="str">
        <f t="shared" si="3084"/>
        <v/>
      </c>
      <c r="FJ184" s="108" t="str">
        <f t="shared" si="3084"/>
        <v/>
      </c>
      <c r="FK184" s="108" t="str">
        <f t="shared" si="3084"/>
        <v/>
      </c>
      <c r="FL184" s="108" t="str">
        <f t="shared" si="3084"/>
        <v/>
      </c>
      <c r="FM184" s="108" t="str">
        <f t="shared" si="3084"/>
        <v/>
      </c>
      <c r="FN184" s="108" t="str">
        <f t="shared" ref="FN184:FS184" si="3085">IF(CH184="","","|n"&amp;FN$2&amp;"+"&amp;CH184&amp;FN$1)</f>
        <v/>
      </c>
      <c r="FO184" s="108" t="str">
        <f t="shared" si="3085"/>
        <v/>
      </c>
      <c r="FP184" s="108" t="str">
        <f t="shared" si="3085"/>
        <v/>
      </c>
      <c r="FQ184" s="108" t="str">
        <f t="shared" si="3085"/>
        <v/>
      </c>
      <c r="FR184" s="108" t="str">
        <f t="shared" si="3085"/>
        <v/>
      </c>
      <c r="FS184" s="108" t="str">
        <f t="shared" si="3085"/>
        <v/>
      </c>
    </row>
    <row r="185" spans="1:175" s="29" customFormat="1" ht="16.5">
      <c r="A185" s="15"/>
      <c r="B185" s="9" t="s">
        <v>680</v>
      </c>
      <c r="C185" s="26" t="s">
        <v>908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671</v>
      </c>
      <c r="U185" s="77" t="s">
        <v>682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8"/>
        <v>InitUnitState('IS25',,,,,,,,,,)</v>
      </c>
      <c r="CO185" s="107" t="str">
        <f t="shared" si="2689"/>
        <v>InitUnitNormal('IS25',,,,,,,,,,)</v>
      </c>
      <c r="CP185" s="107" t="str">
        <f t="shared" si="2690"/>
        <v>InitUnitMagic('IS25',,,,,,,,,,)</v>
      </c>
      <c r="CQ185" s="107" t="str">
        <f t="shared" si="2691"/>
        <v>InitUnitAdd('IS25',,,,,,,,,,)</v>
      </c>
      <c r="CR185" s="107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InitEquipData('IS25',,"",,,,,'','','','','','',"ReplaceableTextures\\CommandButtons\\BTN011.blp")</v>
      </c>
      <c r="CS185" s="107"/>
      <c r="CT185" s="107"/>
      <c r="CU185" s="88" t="str">
        <f t="shared" si="3012"/>
        <v>|n</v>
      </c>
      <c r="CV185" s="29" t="str">
        <f t="shared" si="3013"/>
        <v>为|Cffffd24dW技能|r附魔一条|Cffffd24d随机属性|r。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6">IF(V185="","","|n"&amp;DB$2&amp;"+"&amp;V185&amp;DB$1)</f>
        <v/>
      </c>
      <c r="DC185" s="108" t="str">
        <f t="shared" si="3086"/>
        <v/>
      </c>
      <c r="DD185" s="108" t="str">
        <f t="shared" si="3086"/>
        <v/>
      </c>
      <c r="DE185" s="108" t="str">
        <f t="shared" si="3086"/>
        <v/>
      </c>
      <c r="DF185" s="108" t="str">
        <f t="shared" si="3086"/>
        <v/>
      </c>
      <c r="DG185" s="108" t="str">
        <f t="shared" si="3086"/>
        <v/>
      </c>
      <c r="DH185" s="108" t="str">
        <f t="shared" si="3086"/>
        <v/>
      </c>
      <c r="DI185" s="108" t="str">
        <f t="shared" si="3086"/>
        <v/>
      </c>
      <c r="DJ185" s="108" t="str">
        <f t="shared" si="3086"/>
        <v/>
      </c>
      <c r="DK185" s="108" t="str">
        <f t="shared" si="3086"/>
        <v/>
      </c>
      <c r="DL185" s="108" t="str">
        <f t="shared" si="3086"/>
        <v/>
      </c>
      <c r="DM185" s="108" t="str">
        <f t="shared" si="3086"/>
        <v/>
      </c>
      <c r="DN185" s="108" t="str">
        <f t="shared" si="3086"/>
        <v/>
      </c>
      <c r="DO185" s="108" t="str">
        <f t="shared" si="3086"/>
        <v/>
      </c>
      <c r="DP185" s="108" t="str">
        <f t="shared" si="3086"/>
        <v/>
      </c>
      <c r="DQ185" s="108" t="str">
        <f t="shared" si="3086"/>
        <v/>
      </c>
      <c r="DR185" s="108" t="str">
        <f t="shared" si="3086"/>
        <v/>
      </c>
      <c r="DS185" s="108" t="str">
        <f t="shared" si="3086"/>
        <v/>
      </c>
      <c r="DT185" s="108" t="str">
        <f t="shared" si="3086"/>
        <v/>
      </c>
      <c r="DU185" s="108" t="str">
        <f t="shared" si="3086"/>
        <v/>
      </c>
      <c r="DV185" s="108" t="str">
        <f t="shared" si="3086"/>
        <v/>
      </c>
      <c r="DW185" s="108" t="str">
        <f t="shared" si="3086"/>
        <v/>
      </c>
      <c r="DX185" s="108" t="str">
        <f t="shared" si="3086"/>
        <v/>
      </c>
      <c r="DY185" s="108" t="str">
        <f t="shared" si="3086"/>
        <v/>
      </c>
      <c r="DZ185" s="108" t="str">
        <f t="shared" si="3086"/>
        <v/>
      </c>
      <c r="EA185" s="108" t="str">
        <f t="shared" si="3086"/>
        <v/>
      </c>
      <c r="EB185" s="108" t="str">
        <f t="shared" si="3086"/>
        <v/>
      </c>
      <c r="EC185" s="108" t="str">
        <f t="shared" si="3086"/>
        <v/>
      </c>
      <c r="ED185" s="108" t="str">
        <f t="shared" si="3086"/>
        <v/>
      </c>
      <c r="EE185" s="108" t="str">
        <f t="shared" si="3086"/>
        <v/>
      </c>
      <c r="EF185" s="108" t="str">
        <f t="shared" si="3086"/>
        <v/>
      </c>
      <c r="EG185" s="108" t="str">
        <f t="shared" si="3086"/>
        <v/>
      </c>
      <c r="EH185" s="108" t="str">
        <f t="shared" si="3086"/>
        <v/>
      </c>
      <c r="EI185" s="108" t="str">
        <f t="shared" si="3086"/>
        <v/>
      </c>
      <c r="EJ185" s="108" t="str">
        <f t="shared" si="3086"/>
        <v/>
      </c>
      <c r="EK185" s="108" t="str">
        <f t="shared" si="3086"/>
        <v/>
      </c>
      <c r="EL185" s="108" t="str">
        <f t="shared" si="3086"/>
        <v/>
      </c>
      <c r="EM185" s="108" t="str">
        <f t="shared" si="3086"/>
        <v/>
      </c>
      <c r="EN185" s="108" t="str">
        <f t="shared" si="3086"/>
        <v/>
      </c>
      <c r="EO185" s="108" t="str">
        <f t="shared" si="3086"/>
        <v/>
      </c>
      <c r="EP185" s="108" t="str">
        <f t="shared" si="3086"/>
        <v/>
      </c>
      <c r="EQ185" s="108" t="str">
        <f t="shared" si="3086"/>
        <v/>
      </c>
      <c r="ER185" s="108" t="str">
        <f t="shared" si="3086"/>
        <v/>
      </c>
      <c r="ES185" s="108" t="str">
        <f t="shared" si="3086"/>
        <v/>
      </c>
      <c r="ET185" s="108" t="str">
        <f t="shared" si="3086"/>
        <v/>
      </c>
      <c r="EU185" s="108" t="str">
        <f t="shared" si="3086"/>
        <v/>
      </c>
      <c r="EV185" s="108" t="str">
        <f t="shared" si="3086"/>
        <v/>
      </c>
      <c r="EW185" s="108" t="str">
        <f t="shared" si="3086"/>
        <v/>
      </c>
      <c r="EX185" s="108" t="str">
        <f t="shared" si="3086"/>
        <v/>
      </c>
      <c r="EY185" s="108" t="str">
        <f t="shared" si="3086"/>
        <v/>
      </c>
      <c r="EZ185" s="108" t="str">
        <f t="shared" si="3086"/>
        <v/>
      </c>
      <c r="FA185" s="108" t="str">
        <f t="shared" si="3086"/>
        <v/>
      </c>
      <c r="FB185" s="108" t="str">
        <f t="shared" si="3086"/>
        <v/>
      </c>
      <c r="FC185" s="108" t="str">
        <f t="shared" si="3086"/>
        <v/>
      </c>
      <c r="FD185" s="108" t="str">
        <f t="shared" si="3086"/>
        <v/>
      </c>
      <c r="FE185" s="108" t="str">
        <f t="shared" si="3086"/>
        <v/>
      </c>
      <c r="FF185" s="108" t="str">
        <f t="shared" si="3086"/>
        <v/>
      </c>
      <c r="FG185" s="108" t="str">
        <f t="shared" si="3086"/>
        <v/>
      </c>
      <c r="FH185" s="108" t="str">
        <f t="shared" si="3086"/>
        <v/>
      </c>
      <c r="FI185" s="108" t="str">
        <f t="shared" si="3086"/>
        <v/>
      </c>
      <c r="FJ185" s="108" t="str">
        <f t="shared" si="3086"/>
        <v/>
      </c>
      <c r="FK185" s="108" t="str">
        <f t="shared" si="3086"/>
        <v/>
      </c>
      <c r="FL185" s="108" t="str">
        <f t="shared" si="3086"/>
        <v/>
      </c>
      <c r="FM185" s="108" t="str">
        <f t="shared" si="3086"/>
        <v/>
      </c>
      <c r="FN185" s="108" t="str">
        <f t="shared" ref="FN185:FS185" si="3087">IF(CH185="","","|n"&amp;FN$2&amp;"+"&amp;CH185&amp;FN$1)</f>
        <v/>
      </c>
      <c r="FO185" s="108" t="str">
        <f t="shared" si="3087"/>
        <v/>
      </c>
      <c r="FP185" s="108" t="str">
        <f t="shared" si="3087"/>
        <v/>
      </c>
      <c r="FQ185" s="108" t="str">
        <f t="shared" si="3087"/>
        <v/>
      </c>
      <c r="FR185" s="108" t="str">
        <f t="shared" si="3087"/>
        <v/>
      </c>
      <c r="FS185" s="108" t="str">
        <f t="shared" si="3087"/>
        <v/>
      </c>
    </row>
    <row r="186" spans="1:175" s="29" customFormat="1" ht="16.5">
      <c r="A186" s="15"/>
      <c r="B186" s="9" t="s">
        <v>683</v>
      </c>
      <c r="C186" s="26" t="s">
        <v>909</v>
      </c>
      <c r="D186" s="12"/>
      <c r="E186" s="12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92"/>
      <c r="Q186" s="92"/>
      <c r="R186" s="92"/>
      <c r="S186" s="92"/>
      <c r="T186" s="15" t="s">
        <v>675</v>
      </c>
      <c r="U186" s="77" t="s">
        <v>685</v>
      </c>
      <c r="V186" s="102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6"/>
      <c r="AS186" s="106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7" t="str">
        <f t="shared" si="2688"/>
        <v>InitUnitState('IS26',,,,,,,,,,)</v>
      </c>
      <c r="CO186" s="107" t="str">
        <f t="shared" si="2689"/>
        <v>InitUnitNormal('IS26',,,,,,,,,,)</v>
      </c>
      <c r="CP186" s="107" t="str">
        <f t="shared" si="2690"/>
        <v>InitUnitMagic('IS26',,,,,,,,,,)</v>
      </c>
      <c r="CQ186" s="107" t="str">
        <f t="shared" si="2691"/>
        <v>InitUnitAdd('IS26',,,,,,,,,,)</v>
      </c>
      <c r="CR186" s="107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S186" s="107"/>
      <c r="CT186" s="107"/>
      <c r="CU186" s="88" t="str">
        <f t="shared" si="3012"/>
        <v>|n</v>
      </c>
      <c r="CV186" s="29" t="str">
        <f t="shared" si="3013"/>
        <v>为|Cffffd24dE技能|r附魔一条|Cffffd24d随机属性|r。</v>
      </c>
      <c r="CW186" s="33"/>
      <c r="CX186" s="33"/>
      <c r="CY186" s="33"/>
      <c r="CZ186" s="33"/>
      <c r="DA186" s="33"/>
      <c r="DB186" s="108" t="str">
        <f t="shared" ref="DB186:FM186" si="3088">IF(V186="","","|n"&amp;DB$2&amp;"+"&amp;V186&amp;DB$1)</f>
        <v/>
      </c>
      <c r="DC186" s="108" t="str">
        <f t="shared" si="3088"/>
        <v/>
      </c>
      <c r="DD186" s="108" t="str">
        <f t="shared" si="3088"/>
        <v/>
      </c>
      <c r="DE186" s="108" t="str">
        <f t="shared" si="3088"/>
        <v/>
      </c>
      <c r="DF186" s="108" t="str">
        <f t="shared" si="3088"/>
        <v/>
      </c>
      <c r="DG186" s="108" t="str">
        <f t="shared" si="3088"/>
        <v/>
      </c>
      <c r="DH186" s="108" t="str">
        <f t="shared" si="3088"/>
        <v/>
      </c>
      <c r="DI186" s="108" t="str">
        <f t="shared" si="3088"/>
        <v/>
      </c>
      <c r="DJ186" s="108" t="str">
        <f t="shared" si="3088"/>
        <v/>
      </c>
      <c r="DK186" s="108" t="str">
        <f t="shared" si="3088"/>
        <v/>
      </c>
      <c r="DL186" s="108" t="str">
        <f t="shared" si="3088"/>
        <v/>
      </c>
      <c r="DM186" s="108" t="str">
        <f t="shared" si="3088"/>
        <v/>
      </c>
      <c r="DN186" s="108" t="str">
        <f t="shared" si="3088"/>
        <v/>
      </c>
      <c r="DO186" s="108" t="str">
        <f t="shared" si="3088"/>
        <v/>
      </c>
      <c r="DP186" s="108" t="str">
        <f t="shared" si="3088"/>
        <v/>
      </c>
      <c r="DQ186" s="108" t="str">
        <f t="shared" si="3088"/>
        <v/>
      </c>
      <c r="DR186" s="108" t="str">
        <f t="shared" si="3088"/>
        <v/>
      </c>
      <c r="DS186" s="108" t="str">
        <f t="shared" si="3088"/>
        <v/>
      </c>
      <c r="DT186" s="108" t="str">
        <f t="shared" si="3088"/>
        <v/>
      </c>
      <c r="DU186" s="108" t="str">
        <f t="shared" si="3088"/>
        <v/>
      </c>
      <c r="DV186" s="108" t="str">
        <f t="shared" si="3088"/>
        <v/>
      </c>
      <c r="DW186" s="108" t="str">
        <f t="shared" si="3088"/>
        <v/>
      </c>
      <c r="DX186" s="108" t="str">
        <f t="shared" si="3088"/>
        <v/>
      </c>
      <c r="DY186" s="108" t="str">
        <f t="shared" si="3088"/>
        <v/>
      </c>
      <c r="DZ186" s="108" t="str">
        <f t="shared" si="3088"/>
        <v/>
      </c>
      <c r="EA186" s="108" t="str">
        <f t="shared" si="3088"/>
        <v/>
      </c>
      <c r="EB186" s="108" t="str">
        <f t="shared" si="3088"/>
        <v/>
      </c>
      <c r="EC186" s="108" t="str">
        <f t="shared" si="3088"/>
        <v/>
      </c>
      <c r="ED186" s="108" t="str">
        <f t="shared" si="3088"/>
        <v/>
      </c>
      <c r="EE186" s="108" t="str">
        <f t="shared" si="3088"/>
        <v/>
      </c>
      <c r="EF186" s="108" t="str">
        <f t="shared" si="3088"/>
        <v/>
      </c>
      <c r="EG186" s="108" t="str">
        <f t="shared" si="3088"/>
        <v/>
      </c>
      <c r="EH186" s="108" t="str">
        <f t="shared" si="3088"/>
        <v/>
      </c>
      <c r="EI186" s="108" t="str">
        <f t="shared" si="3088"/>
        <v/>
      </c>
      <c r="EJ186" s="108" t="str">
        <f t="shared" si="3088"/>
        <v/>
      </c>
      <c r="EK186" s="108" t="str">
        <f t="shared" si="3088"/>
        <v/>
      </c>
      <c r="EL186" s="108" t="str">
        <f t="shared" si="3088"/>
        <v/>
      </c>
      <c r="EM186" s="108" t="str">
        <f t="shared" si="3088"/>
        <v/>
      </c>
      <c r="EN186" s="108" t="str">
        <f t="shared" si="3088"/>
        <v/>
      </c>
      <c r="EO186" s="108" t="str">
        <f t="shared" si="3088"/>
        <v/>
      </c>
      <c r="EP186" s="108" t="str">
        <f t="shared" si="3088"/>
        <v/>
      </c>
      <c r="EQ186" s="108" t="str">
        <f t="shared" si="3088"/>
        <v/>
      </c>
      <c r="ER186" s="108" t="str">
        <f t="shared" si="3088"/>
        <v/>
      </c>
      <c r="ES186" s="108" t="str">
        <f t="shared" si="3088"/>
        <v/>
      </c>
      <c r="ET186" s="108" t="str">
        <f t="shared" si="3088"/>
        <v/>
      </c>
      <c r="EU186" s="108" t="str">
        <f t="shared" si="3088"/>
        <v/>
      </c>
      <c r="EV186" s="108" t="str">
        <f t="shared" si="3088"/>
        <v/>
      </c>
      <c r="EW186" s="108" t="str">
        <f t="shared" si="3088"/>
        <v/>
      </c>
      <c r="EX186" s="108" t="str">
        <f t="shared" si="3088"/>
        <v/>
      </c>
      <c r="EY186" s="108" t="str">
        <f t="shared" si="3088"/>
        <v/>
      </c>
      <c r="EZ186" s="108" t="str">
        <f t="shared" si="3088"/>
        <v/>
      </c>
      <c r="FA186" s="108" t="str">
        <f t="shared" si="3088"/>
        <v/>
      </c>
      <c r="FB186" s="108" t="str">
        <f t="shared" si="3088"/>
        <v/>
      </c>
      <c r="FC186" s="108" t="str">
        <f t="shared" si="3088"/>
        <v/>
      </c>
      <c r="FD186" s="108" t="str">
        <f t="shared" si="3088"/>
        <v/>
      </c>
      <c r="FE186" s="108" t="str">
        <f t="shared" si="3088"/>
        <v/>
      </c>
      <c r="FF186" s="108" t="str">
        <f t="shared" si="3088"/>
        <v/>
      </c>
      <c r="FG186" s="108" t="str">
        <f t="shared" si="3088"/>
        <v/>
      </c>
      <c r="FH186" s="108" t="str">
        <f t="shared" si="3088"/>
        <v/>
      </c>
      <c r="FI186" s="108" t="str">
        <f t="shared" si="3088"/>
        <v/>
      </c>
      <c r="FJ186" s="108" t="str">
        <f t="shared" si="3088"/>
        <v/>
      </c>
      <c r="FK186" s="108" t="str">
        <f t="shared" si="3088"/>
        <v/>
      </c>
      <c r="FL186" s="108" t="str">
        <f t="shared" si="3088"/>
        <v/>
      </c>
      <c r="FM186" s="108" t="str">
        <f t="shared" si="3088"/>
        <v/>
      </c>
      <c r="FN186" s="108" t="str">
        <f t="shared" ref="FN186:FS186" si="3089">IF(CH186="","","|n"&amp;FN$2&amp;"+"&amp;CH186&amp;FN$1)</f>
        <v/>
      </c>
      <c r="FO186" s="108" t="str">
        <f t="shared" si="3089"/>
        <v/>
      </c>
      <c r="FP186" s="108" t="str">
        <f t="shared" si="3089"/>
        <v/>
      </c>
      <c r="FQ186" s="108" t="str">
        <f t="shared" si="3089"/>
        <v/>
      </c>
      <c r="FR186" s="108" t="str">
        <f t="shared" si="3089"/>
        <v/>
      </c>
      <c r="FS186" s="108" t="str">
        <f t="shared" si="3089"/>
        <v/>
      </c>
    </row>
    <row r="187" spans="1:175" ht="16.5">
      <c r="A187" s="15"/>
      <c r="B187" s="9" t="s">
        <v>686</v>
      </c>
      <c r="C187" s="15" t="s">
        <v>687</v>
      </c>
      <c r="T187" s="15" t="str">
        <f t="shared" ref="T187:T189" si="3090">C187</f>
        <v>|CffFF0000占星|r</v>
      </c>
      <c r="U187" s="77" t="str">
        <f t="shared" ref="U187" si="3091">"ReplaceableTextures\\CommandButtons\\BTN"&amp;B187&amp;".blp"</f>
        <v>ReplaceableTextures\\CommandButtons\\BTNIS11.blp</v>
      </c>
      <c r="CN187" s="36" t="str">
        <f t="shared" si="2688"/>
        <v>InitUnitState('IS11',,,,,,,,,,)</v>
      </c>
      <c r="CO187" s="36" t="str">
        <f t="shared" si="2689"/>
        <v>InitUnitNormal('IS11',,,,,,,,,,)</v>
      </c>
      <c r="CP187" s="36" t="str">
        <f t="shared" si="2690"/>
        <v>InitUnitMagic('IS11',,,,,,,,,,)</v>
      </c>
      <c r="CQ187" s="36" t="str">
        <f t="shared" si="2691"/>
        <v>InitUnitAdd('IS11',,,,,,,,,,)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ref="CU187:CU191" si="309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19" t="str">
        <f t="shared" ref="CV187:CV191" si="3093">T187</f>
        <v>|CffFF0000占星|r</v>
      </c>
      <c r="CW187" s="33"/>
      <c r="CX187" s="33"/>
      <c r="CY187" s="33"/>
      <c r="CZ187" s="33"/>
      <c r="DA187" s="33"/>
      <c r="DB187" s="66" t="str">
        <f t="shared" ref="DB187" si="3094">IF(V187="","","|n"&amp;DB$2&amp;"+"&amp;V187&amp;DB$1)</f>
        <v/>
      </c>
      <c r="DC187" s="66" t="str">
        <f t="shared" ref="DC187" si="3095">IF(W187="","","|n"&amp;DC$2&amp;"+"&amp;W187&amp;DC$1)</f>
        <v/>
      </c>
      <c r="DD187" s="66" t="str">
        <f t="shared" ref="DD187" si="3096">IF(X187="","","|n"&amp;DD$2&amp;"+"&amp;X187&amp;DD$1)</f>
        <v/>
      </c>
      <c r="DE187" s="66" t="str">
        <f t="shared" ref="DE187" si="3097">IF(Y187="","","|n"&amp;DE$2&amp;"+"&amp;Y187&amp;DE$1)</f>
        <v/>
      </c>
      <c r="DF187" s="66" t="str">
        <f t="shared" ref="DF187" si="3098">IF(Z187="","","|n"&amp;DF$2&amp;"+"&amp;Z187&amp;DF$1)</f>
        <v/>
      </c>
      <c r="DG187" s="66" t="str">
        <f t="shared" ref="DG187" si="3099">IF(AA187="","","|n"&amp;DG$2&amp;"+"&amp;AA187&amp;DG$1)</f>
        <v/>
      </c>
      <c r="DH187" s="66" t="str">
        <f t="shared" ref="DH187" si="3100">IF(AB187="","","|n"&amp;DH$2&amp;"+"&amp;AB187&amp;DH$1)</f>
        <v/>
      </c>
      <c r="DI187" s="66" t="str">
        <f t="shared" ref="DI187" si="3101">IF(AC187="","","|n"&amp;DI$2&amp;"+"&amp;AC187&amp;DI$1)</f>
        <v/>
      </c>
      <c r="DJ187" s="66" t="str">
        <f t="shared" ref="DJ187" si="3102">IF(AD187="","","|n"&amp;DJ$2&amp;"+"&amp;AD187&amp;DJ$1)</f>
        <v/>
      </c>
      <c r="DK187" s="66" t="str">
        <f t="shared" ref="DK187" si="3103">IF(AE187="","","|n"&amp;DK$2&amp;"+"&amp;AE187&amp;DK$1)</f>
        <v/>
      </c>
      <c r="DL187" s="66" t="str">
        <f t="shared" ref="DL187" si="3104">IF(AF187="","","|n"&amp;DL$2&amp;"+"&amp;AF187&amp;DL$1)</f>
        <v/>
      </c>
      <c r="DM187" s="66" t="str">
        <f t="shared" ref="DM187" si="3105">IF(AG187="","","|n"&amp;DM$2&amp;"+"&amp;AG187&amp;DM$1)</f>
        <v/>
      </c>
      <c r="DN187" s="66" t="str">
        <f t="shared" ref="DN187" si="3106">IF(AH187="","","|n"&amp;DN$2&amp;"+"&amp;AH187&amp;DN$1)</f>
        <v/>
      </c>
      <c r="DO187" s="66" t="str">
        <f t="shared" ref="DO187" si="3107">IF(AI187="","","|n"&amp;DO$2&amp;"+"&amp;AI187&amp;DO$1)</f>
        <v/>
      </c>
      <c r="DP187" s="66" t="str">
        <f t="shared" ref="DP187" si="3108">IF(AJ187="","","|n"&amp;DP$2&amp;"+"&amp;AJ187&amp;DP$1)</f>
        <v/>
      </c>
      <c r="DQ187" s="66" t="str">
        <f t="shared" ref="DQ187" si="3109">IF(AK187="","","|n"&amp;DQ$2&amp;"+"&amp;AK187&amp;DQ$1)</f>
        <v/>
      </c>
      <c r="DR187" s="66" t="str">
        <f t="shared" ref="DR187" si="3110">IF(AL187="","","|n"&amp;DR$2&amp;"+"&amp;AL187&amp;DR$1)</f>
        <v/>
      </c>
      <c r="DS187" s="66" t="str">
        <f t="shared" ref="DS187" si="3111">IF(AM187="","","|n"&amp;DS$2&amp;"+"&amp;AM187&amp;DS$1)</f>
        <v/>
      </c>
      <c r="DT187" s="66" t="str">
        <f t="shared" ref="DT187" si="3112">IF(AN187="","","|n"&amp;DT$2&amp;"+"&amp;AN187&amp;DT$1)</f>
        <v/>
      </c>
      <c r="DU187" s="66" t="str">
        <f t="shared" ref="DU187" si="3113">IF(AO187="","","|n"&amp;DU$2&amp;"+"&amp;AO187&amp;DU$1)</f>
        <v/>
      </c>
      <c r="DV187" s="66" t="str">
        <f t="shared" ref="DV187" si="3114">IF(AP187="","","|n"&amp;DV$2&amp;"+"&amp;AP187&amp;DV$1)</f>
        <v/>
      </c>
      <c r="DW187" s="66" t="str">
        <f t="shared" ref="DW187" si="3115">IF(AQ187="","","|n"&amp;DW$2&amp;"+"&amp;AQ187&amp;DW$1)</f>
        <v/>
      </c>
      <c r="DX187" s="66" t="str">
        <f t="shared" ref="DX187" si="3116">IF(AR187="","","|n"&amp;DX$2&amp;"+"&amp;AR187&amp;DX$1)</f>
        <v/>
      </c>
      <c r="DY187" s="66" t="str">
        <f t="shared" ref="DY187" si="3117">IF(AS187="","","|n"&amp;DY$2&amp;"+"&amp;AS187&amp;DY$1)</f>
        <v/>
      </c>
      <c r="DZ187" s="66" t="str">
        <f t="shared" ref="DZ187" si="3118">IF(AT187="","","|n"&amp;DZ$2&amp;"+"&amp;AT187&amp;DZ$1)</f>
        <v/>
      </c>
      <c r="EA187" s="66" t="str">
        <f t="shared" ref="EA187" si="3119">IF(AU187="","","|n"&amp;EA$2&amp;"+"&amp;AU187&amp;EA$1)</f>
        <v/>
      </c>
      <c r="EB187" s="66" t="str">
        <f t="shared" ref="EB187" si="3120">IF(AV187="","","|n"&amp;EB$2&amp;"+"&amp;AV187&amp;EB$1)</f>
        <v/>
      </c>
      <c r="EC187" s="66" t="str">
        <f t="shared" ref="EC187" si="3121">IF(AW187="","","|n"&amp;EC$2&amp;"+"&amp;AW187&amp;EC$1)</f>
        <v/>
      </c>
      <c r="ED187" s="66" t="str">
        <f t="shared" ref="ED187" si="3122">IF(AX187="","","|n"&amp;ED$2&amp;"+"&amp;AX187&amp;ED$1)</f>
        <v/>
      </c>
      <c r="EE187" s="66" t="str">
        <f t="shared" ref="EE187" si="3123">IF(AY187="","","|n"&amp;EE$2&amp;"+"&amp;AY187&amp;EE$1)</f>
        <v/>
      </c>
      <c r="EF187" s="66" t="str">
        <f t="shared" ref="EF187" si="3124">IF(AZ187="","","|n"&amp;EF$2&amp;"+"&amp;AZ187&amp;EF$1)</f>
        <v/>
      </c>
      <c r="EG187" s="66" t="str">
        <f t="shared" ref="EG187" si="3125">IF(BA187="","","|n"&amp;EG$2&amp;"+"&amp;BA187&amp;EG$1)</f>
        <v/>
      </c>
      <c r="EH187" s="66" t="str">
        <f t="shared" ref="EH187" si="3126">IF(BB187="","","|n"&amp;EH$2&amp;"+"&amp;BB187&amp;EH$1)</f>
        <v/>
      </c>
      <c r="EI187" s="66" t="str">
        <f t="shared" ref="EI187" si="3127">IF(BC187="","","|n"&amp;EI$2&amp;"+"&amp;BC187&amp;EI$1)</f>
        <v/>
      </c>
      <c r="EJ187" s="66" t="str">
        <f t="shared" ref="EJ187" si="3128">IF(BD187="","","|n"&amp;EJ$2&amp;"+"&amp;BD187&amp;EJ$1)</f>
        <v/>
      </c>
      <c r="EK187" s="66" t="str">
        <f t="shared" ref="EK187" si="3129">IF(BE187="","","|n"&amp;EK$2&amp;"+"&amp;BE187&amp;EK$1)</f>
        <v/>
      </c>
      <c r="EL187" s="66" t="str">
        <f t="shared" ref="EL187" si="3130">IF(BF187="","","|n"&amp;EL$2&amp;"+"&amp;BF187&amp;EL$1)</f>
        <v/>
      </c>
      <c r="EM187" s="66" t="str">
        <f t="shared" ref="EM187" si="3131">IF(BG187="","","|n"&amp;EM$2&amp;"+"&amp;BG187&amp;EM$1)</f>
        <v/>
      </c>
      <c r="EN187" s="66" t="str">
        <f t="shared" ref="EN187" si="3132">IF(BH187="","","|n"&amp;EN$2&amp;"+"&amp;BH187&amp;EN$1)</f>
        <v/>
      </c>
      <c r="EO187" s="66" t="str">
        <f t="shared" ref="EO187" si="3133">IF(BI187="","","|n"&amp;EO$2&amp;"+"&amp;BI187&amp;EO$1)</f>
        <v/>
      </c>
      <c r="EP187" s="66" t="str">
        <f t="shared" ref="EP187" si="3134">IF(BJ187="","","|n"&amp;EP$2&amp;"+"&amp;BJ187&amp;EP$1)</f>
        <v/>
      </c>
      <c r="EQ187" s="66" t="str">
        <f t="shared" ref="EQ187" si="3135">IF(BK187="","","|n"&amp;EQ$2&amp;"+"&amp;BK187&amp;EQ$1)</f>
        <v/>
      </c>
      <c r="ER187" s="66" t="str">
        <f t="shared" ref="ER187" si="3136">IF(BL187="","","|n"&amp;ER$2&amp;"+"&amp;BL187&amp;ER$1)</f>
        <v/>
      </c>
      <c r="ES187" s="66" t="str">
        <f t="shared" ref="ES187" si="3137">IF(BM187="","","|n"&amp;ES$2&amp;"+"&amp;BM187&amp;ES$1)</f>
        <v/>
      </c>
      <c r="ET187" s="66" t="str">
        <f t="shared" ref="ET187" si="3138">IF(BN187="","","|n"&amp;ET$2&amp;"+"&amp;BN187&amp;ET$1)</f>
        <v/>
      </c>
      <c r="EU187" s="66" t="str">
        <f t="shared" ref="EU187" si="3139">IF(BO187="","","|n"&amp;EU$2&amp;"+"&amp;BO187&amp;EU$1)</f>
        <v/>
      </c>
      <c r="EV187" s="66" t="str">
        <f t="shared" ref="EV187" si="3140">IF(BP187="","","|n"&amp;EV$2&amp;"+"&amp;BP187&amp;EV$1)</f>
        <v/>
      </c>
      <c r="EW187" s="66" t="str">
        <f t="shared" ref="EW187" si="3141">IF(BQ187="","","|n"&amp;EW$2&amp;"+"&amp;BQ187&amp;EW$1)</f>
        <v/>
      </c>
      <c r="EX187" s="66" t="str">
        <f t="shared" ref="EX187" si="3142">IF(BR187="","","|n"&amp;EX$2&amp;"+"&amp;BR187&amp;EX$1)</f>
        <v/>
      </c>
      <c r="EY187" s="66" t="str">
        <f t="shared" ref="EY187" si="3143">IF(BS187="","","|n"&amp;EY$2&amp;"+"&amp;BS187&amp;EY$1)</f>
        <v/>
      </c>
      <c r="EZ187" s="66" t="str">
        <f t="shared" ref="EZ187" si="3144">IF(BT187="","","|n"&amp;EZ$2&amp;"+"&amp;BT187&amp;EZ$1)</f>
        <v/>
      </c>
      <c r="FA187" s="66" t="str">
        <f t="shared" ref="FA187" si="3145">IF(BU187="","","|n"&amp;FA$2&amp;"+"&amp;BU187&amp;FA$1)</f>
        <v/>
      </c>
      <c r="FB187" s="66" t="str">
        <f t="shared" ref="FB187" si="3146">IF(BV187="","","|n"&amp;FB$2&amp;"+"&amp;BV187&amp;FB$1)</f>
        <v/>
      </c>
      <c r="FC187" s="66" t="str">
        <f t="shared" ref="FC187" si="3147">IF(BW187="","","|n"&amp;FC$2&amp;"+"&amp;BW187&amp;FC$1)</f>
        <v/>
      </c>
      <c r="FD187" s="66" t="str">
        <f t="shared" ref="FD187" si="3148">IF(BX187="","","|n"&amp;FD$2&amp;"+"&amp;BX187&amp;FD$1)</f>
        <v/>
      </c>
      <c r="FE187" s="66" t="str">
        <f t="shared" ref="FE187" si="3149">IF(BY187="","","|n"&amp;FE$2&amp;"+"&amp;BY187&amp;FE$1)</f>
        <v/>
      </c>
      <c r="FF187" s="66" t="str">
        <f t="shared" ref="FF187" si="3150">IF(BZ187="","","|n"&amp;FF$2&amp;"+"&amp;BZ187&amp;FF$1)</f>
        <v/>
      </c>
      <c r="FG187" s="66" t="str">
        <f t="shared" ref="FG187" si="3151">IF(CA187="","","|n"&amp;FG$2&amp;"+"&amp;CA187&amp;FG$1)</f>
        <v/>
      </c>
      <c r="FH187" s="66" t="str">
        <f t="shared" ref="FH187" si="3152">IF(CB187="","","|n"&amp;FH$2&amp;"+"&amp;CB187&amp;FH$1)</f>
        <v/>
      </c>
      <c r="FI187" s="66" t="str">
        <f t="shared" ref="FI187" si="3153">IF(CC187="","","|n"&amp;FI$2&amp;"+"&amp;CC187&amp;FI$1)</f>
        <v/>
      </c>
      <c r="FJ187" s="66" t="str">
        <f t="shared" ref="FJ187" si="3154">IF(CD187="","","|n"&amp;FJ$2&amp;"+"&amp;CD187&amp;FJ$1)</f>
        <v/>
      </c>
      <c r="FK187" s="66" t="str">
        <f t="shared" ref="FK187" si="3155">IF(CE187="","","|n"&amp;FK$2&amp;"+"&amp;CE187&amp;FK$1)</f>
        <v/>
      </c>
      <c r="FL187" s="66" t="str">
        <f t="shared" ref="FL187" si="3156">IF(CF187="","","|n"&amp;FL$2&amp;"+"&amp;CF187&amp;FL$1)</f>
        <v/>
      </c>
      <c r="FM187" s="66" t="str">
        <f t="shared" ref="FM187" si="3157">IF(CG187="","","|n"&amp;FM$2&amp;"+"&amp;CG187&amp;FM$1)</f>
        <v/>
      </c>
      <c r="FN187" s="66" t="str">
        <f t="shared" ref="FN187" si="3158">IF(CH187="","","|n"&amp;FN$2&amp;"+"&amp;CH187&amp;FN$1)</f>
        <v/>
      </c>
      <c r="FO187" s="66" t="str">
        <f t="shared" ref="FO187" si="3159">IF(CI187="","","|n"&amp;FO$2&amp;"+"&amp;CI187&amp;FO$1)</f>
        <v/>
      </c>
      <c r="FP187" s="66" t="str">
        <f t="shared" ref="FP187" si="3160">IF(CJ187="","","|n"&amp;FP$2&amp;"+"&amp;CJ187&amp;FP$1)</f>
        <v/>
      </c>
      <c r="FQ187" s="66" t="str">
        <f t="shared" ref="FQ187" si="3161">IF(CK187="","","|n"&amp;FQ$2&amp;"+"&amp;CK187&amp;FQ$1)</f>
        <v/>
      </c>
      <c r="FR187" s="66" t="str">
        <f t="shared" ref="FR187" si="3162">IF(CL187="","","|n"&amp;FR$2&amp;"+"&amp;CL187&amp;FR$1)</f>
        <v/>
      </c>
      <c r="FS187" s="66" t="str">
        <f t="shared" ref="FS187" si="3163">IF(CM187="","","|n"&amp;FS$2&amp;"+"&amp;CM187&amp;FS$1)</f>
        <v/>
      </c>
    </row>
    <row r="188" spans="1:175" ht="16.5">
      <c r="A188" s="15"/>
      <c r="B188" s="9" t="s">
        <v>688</v>
      </c>
      <c r="C188" s="15" t="s">
        <v>689</v>
      </c>
      <c r="T188" s="25" t="str">
        <f t="shared" si="3090"/>
        <v>|CffFFD24D兽魂抽奖|r</v>
      </c>
      <c r="U188" s="77" t="s">
        <v>690</v>
      </c>
      <c r="CN188" s="36" t="str">
        <f t="shared" si="2688"/>
        <v>InitUnitState('IS12',,,,,,,,,,)</v>
      </c>
      <c r="CO188" s="36" t="str">
        <f t="shared" si="2689"/>
        <v>InitUnitNormal('IS12',,,,,,,,,,)</v>
      </c>
      <c r="CP188" s="36" t="str">
        <f t="shared" si="2690"/>
        <v>InitUnitMagic('IS12',,,,,,,,,,)</v>
      </c>
      <c r="CQ188" s="36" t="str">
        <f t="shared" si="2691"/>
        <v>InitUnitAdd('IS12',,,,,,,,,,)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92"/>
        <v>|n</v>
      </c>
      <c r="CV188" s="19" t="str">
        <f t="shared" si="3093"/>
        <v>|CffFFD24D兽魂抽奖|r</v>
      </c>
      <c r="CW188" s="33"/>
      <c r="CX188" s="33"/>
      <c r="CY188" s="33"/>
      <c r="CZ188" s="33"/>
      <c r="DA188" s="33"/>
      <c r="DB188" s="66" t="str">
        <f t="shared" ref="DB188:EG188" si="3164">IF(V188="","","|n"&amp;DB$2&amp;"+"&amp;V188&amp;DB$1)</f>
        <v/>
      </c>
      <c r="DC188" s="66" t="str">
        <f t="shared" si="3164"/>
        <v/>
      </c>
      <c r="DD188" s="66" t="str">
        <f t="shared" si="3164"/>
        <v/>
      </c>
      <c r="DE188" s="66" t="str">
        <f t="shared" si="3164"/>
        <v/>
      </c>
      <c r="DF188" s="66" t="str">
        <f t="shared" si="3164"/>
        <v/>
      </c>
      <c r="DG188" s="66" t="str">
        <f t="shared" si="3164"/>
        <v/>
      </c>
      <c r="DH188" s="66" t="str">
        <f t="shared" si="3164"/>
        <v/>
      </c>
      <c r="DI188" s="66" t="str">
        <f t="shared" si="3164"/>
        <v/>
      </c>
      <c r="DJ188" s="66" t="str">
        <f t="shared" si="3164"/>
        <v/>
      </c>
      <c r="DK188" s="66" t="str">
        <f t="shared" si="3164"/>
        <v/>
      </c>
      <c r="DL188" s="66" t="str">
        <f t="shared" si="3164"/>
        <v/>
      </c>
      <c r="DM188" s="66" t="str">
        <f t="shared" si="3164"/>
        <v/>
      </c>
      <c r="DN188" s="66" t="str">
        <f t="shared" si="3164"/>
        <v/>
      </c>
      <c r="DO188" s="66" t="str">
        <f t="shared" si="3164"/>
        <v/>
      </c>
      <c r="DP188" s="66" t="str">
        <f t="shared" si="3164"/>
        <v/>
      </c>
      <c r="DQ188" s="66" t="str">
        <f t="shared" si="3164"/>
        <v/>
      </c>
      <c r="DR188" s="66" t="str">
        <f t="shared" si="3164"/>
        <v/>
      </c>
      <c r="DS188" s="66" t="str">
        <f t="shared" si="3164"/>
        <v/>
      </c>
      <c r="DT188" s="66" t="str">
        <f t="shared" si="3164"/>
        <v/>
      </c>
      <c r="DU188" s="66" t="str">
        <f t="shared" si="3164"/>
        <v/>
      </c>
      <c r="DV188" s="66" t="str">
        <f t="shared" si="3164"/>
        <v/>
      </c>
      <c r="DW188" s="66" t="str">
        <f t="shared" si="3164"/>
        <v/>
      </c>
      <c r="DX188" s="66" t="str">
        <f t="shared" si="3164"/>
        <v/>
      </c>
      <c r="DY188" s="66" t="str">
        <f t="shared" si="3164"/>
        <v/>
      </c>
      <c r="DZ188" s="66" t="str">
        <f t="shared" si="3164"/>
        <v/>
      </c>
      <c r="EA188" s="66" t="str">
        <f t="shared" si="3164"/>
        <v/>
      </c>
      <c r="EB188" s="66" t="str">
        <f t="shared" si="3164"/>
        <v/>
      </c>
      <c r="EC188" s="66" t="str">
        <f t="shared" si="3164"/>
        <v/>
      </c>
      <c r="ED188" s="66" t="str">
        <f t="shared" si="3164"/>
        <v/>
      </c>
      <c r="EE188" s="66" t="str">
        <f t="shared" si="3164"/>
        <v/>
      </c>
      <c r="EF188" s="66" t="str">
        <f t="shared" si="3164"/>
        <v/>
      </c>
      <c r="EG188" s="66" t="str">
        <f t="shared" si="3164"/>
        <v/>
      </c>
      <c r="EH188" s="66" t="str">
        <f t="shared" ref="EH188:FM188" si="3165">IF(BB188="","","|n"&amp;EH$2&amp;"+"&amp;BB188&amp;EH$1)</f>
        <v/>
      </c>
      <c r="EI188" s="66" t="str">
        <f t="shared" si="3165"/>
        <v/>
      </c>
      <c r="EJ188" s="66" t="str">
        <f t="shared" si="3165"/>
        <v/>
      </c>
      <c r="EK188" s="66" t="str">
        <f t="shared" si="3165"/>
        <v/>
      </c>
      <c r="EL188" s="66" t="str">
        <f t="shared" si="3165"/>
        <v/>
      </c>
      <c r="EM188" s="66" t="str">
        <f t="shared" si="3165"/>
        <v/>
      </c>
      <c r="EN188" s="66" t="str">
        <f t="shared" si="3165"/>
        <v/>
      </c>
      <c r="EO188" s="66" t="str">
        <f t="shared" si="3165"/>
        <v/>
      </c>
      <c r="EP188" s="66" t="str">
        <f t="shared" si="3165"/>
        <v/>
      </c>
      <c r="EQ188" s="66" t="str">
        <f t="shared" si="3165"/>
        <v/>
      </c>
      <c r="ER188" s="66" t="str">
        <f t="shared" si="3165"/>
        <v/>
      </c>
      <c r="ES188" s="66" t="str">
        <f t="shared" si="3165"/>
        <v/>
      </c>
      <c r="ET188" s="66" t="str">
        <f t="shared" si="3165"/>
        <v/>
      </c>
      <c r="EU188" s="66" t="str">
        <f t="shared" si="3165"/>
        <v/>
      </c>
      <c r="EV188" s="66" t="str">
        <f t="shared" si="3165"/>
        <v/>
      </c>
      <c r="EW188" s="66" t="str">
        <f t="shared" si="3165"/>
        <v/>
      </c>
      <c r="EX188" s="66" t="str">
        <f t="shared" si="3165"/>
        <v/>
      </c>
      <c r="EY188" s="66" t="str">
        <f t="shared" si="3165"/>
        <v/>
      </c>
      <c r="EZ188" s="66" t="str">
        <f t="shared" si="3165"/>
        <v/>
      </c>
      <c r="FA188" s="66" t="str">
        <f t="shared" si="3165"/>
        <v/>
      </c>
      <c r="FB188" s="66" t="str">
        <f t="shared" si="3165"/>
        <v/>
      </c>
      <c r="FC188" s="66" t="str">
        <f t="shared" si="3165"/>
        <v/>
      </c>
      <c r="FD188" s="66" t="str">
        <f t="shared" si="3165"/>
        <v/>
      </c>
      <c r="FE188" s="66" t="str">
        <f t="shared" si="3165"/>
        <v/>
      </c>
      <c r="FF188" s="66" t="str">
        <f t="shared" si="3165"/>
        <v/>
      </c>
      <c r="FG188" s="66" t="str">
        <f t="shared" si="3165"/>
        <v/>
      </c>
      <c r="FH188" s="66" t="str">
        <f t="shared" si="3165"/>
        <v/>
      </c>
      <c r="FI188" s="66" t="str">
        <f t="shared" si="3165"/>
        <v/>
      </c>
      <c r="FJ188" s="66" t="str">
        <f t="shared" si="3165"/>
        <v/>
      </c>
      <c r="FK188" s="66" t="str">
        <f t="shared" si="3165"/>
        <v/>
      </c>
      <c r="FL188" s="66" t="str">
        <f t="shared" si="3165"/>
        <v/>
      </c>
      <c r="FM188" s="66" t="str">
        <f t="shared" si="3165"/>
        <v/>
      </c>
      <c r="FN188" s="66" t="str">
        <f t="shared" ref="FN188:FS188" si="3166">IF(CH188="","","|n"&amp;FN$2&amp;"+"&amp;CH188&amp;FN$1)</f>
        <v/>
      </c>
      <c r="FO188" s="66" t="str">
        <f t="shared" si="3166"/>
        <v/>
      </c>
      <c r="FP188" s="66" t="str">
        <f t="shared" si="3166"/>
        <v/>
      </c>
      <c r="FQ188" s="66" t="str">
        <f t="shared" si="3166"/>
        <v/>
      </c>
      <c r="FR188" s="66" t="str">
        <f t="shared" si="3166"/>
        <v/>
      </c>
      <c r="FS188" s="66" t="str">
        <f t="shared" si="3166"/>
        <v/>
      </c>
    </row>
    <row r="189" spans="1:175" ht="16.5">
      <c r="A189" s="15"/>
      <c r="B189" s="9" t="s">
        <v>691</v>
      </c>
      <c r="C189" s="15" t="s">
        <v>689</v>
      </c>
      <c r="T189" s="25" t="str">
        <f t="shared" si="3090"/>
        <v>|CffFFD24D兽魂抽奖|r</v>
      </c>
      <c r="U189" s="77" t="s">
        <v>690</v>
      </c>
      <c r="CN189" s="36" t="str">
        <f t="shared" si="2688"/>
        <v>InitUnitState('IZ0C',,,,,,,,,,)</v>
      </c>
      <c r="CO189" s="36" t="str">
        <f t="shared" si="2689"/>
        <v>InitUnitNormal('IZ0C',,,,,,,,,,)</v>
      </c>
      <c r="CP189" s="36" t="str">
        <f t="shared" si="2690"/>
        <v>InitUnitMagic('IZ0C',,,,,,,,,,)</v>
      </c>
      <c r="CQ189" s="36" t="str">
        <f t="shared" si="2691"/>
        <v>InitUnitAdd('IZ0C',,,,,,,,,,)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92"/>
        <v>|n</v>
      </c>
      <c r="CV189" s="19" t="str">
        <f t="shared" si="3093"/>
        <v>|CffFFD24D兽魂抽奖|r</v>
      </c>
      <c r="CW189" s="33"/>
      <c r="CX189" s="33"/>
      <c r="CY189" s="33"/>
      <c r="CZ189" s="33"/>
      <c r="DA189" s="33"/>
      <c r="DB189" s="66" t="str">
        <f t="shared" ref="DB189:FM189" si="3167">IF(V189="","","|n"&amp;DB$2&amp;"+"&amp;V189&amp;DB$1)</f>
        <v/>
      </c>
      <c r="DC189" s="66" t="str">
        <f t="shared" si="3167"/>
        <v/>
      </c>
      <c r="DD189" s="66" t="str">
        <f t="shared" si="3167"/>
        <v/>
      </c>
      <c r="DE189" s="66" t="str">
        <f t="shared" si="3167"/>
        <v/>
      </c>
      <c r="DF189" s="66" t="str">
        <f t="shared" si="3167"/>
        <v/>
      </c>
      <c r="DG189" s="66" t="str">
        <f t="shared" si="3167"/>
        <v/>
      </c>
      <c r="DH189" s="66" t="str">
        <f t="shared" si="3167"/>
        <v/>
      </c>
      <c r="DI189" s="66" t="str">
        <f t="shared" si="3167"/>
        <v/>
      </c>
      <c r="DJ189" s="66" t="str">
        <f t="shared" si="3167"/>
        <v/>
      </c>
      <c r="DK189" s="66" t="str">
        <f t="shared" si="3167"/>
        <v/>
      </c>
      <c r="DL189" s="66" t="str">
        <f t="shared" si="3167"/>
        <v/>
      </c>
      <c r="DM189" s="66" t="str">
        <f t="shared" si="3167"/>
        <v/>
      </c>
      <c r="DN189" s="66" t="str">
        <f t="shared" si="3167"/>
        <v/>
      </c>
      <c r="DO189" s="66" t="str">
        <f t="shared" si="3167"/>
        <v/>
      </c>
      <c r="DP189" s="66" t="str">
        <f t="shared" si="3167"/>
        <v/>
      </c>
      <c r="DQ189" s="66" t="str">
        <f t="shared" si="3167"/>
        <v/>
      </c>
      <c r="DR189" s="66" t="str">
        <f t="shared" si="3167"/>
        <v/>
      </c>
      <c r="DS189" s="66" t="str">
        <f t="shared" si="3167"/>
        <v/>
      </c>
      <c r="DT189" s="66" t="str">
        <f t="shared" si="3167"/>
        <v/>
      </c>
      <c r="DU189" s="66" t="str">
        <f t="shared" si="3167"/>
        <v/>
      </c>
      <c r="DV189" s="66" t="str">
        <f t="shared" si="3167"/>
        <v/>
      </c>
      <c r="DW189" s="66" t="str">
        <f t="shared" si="3167"/>
        <v/>
      </c>
      <c r="DX189" s="66" t="str">
        <f t="shared" si="3167"/>
        <v/>
      </c>
      <c r="DY189" s="66" t="str">
        <f t="shared" si="3167"/>
        <v/>
      </c>
      <c r="DZ189" s="66" t="str">
        <f t="shared" si="3167"/>
        <v/>
      </c>
      <c r="EA189" s="66" t="str">
        <f t="shared" si="3167"/>
        <v/>
      </c>
      <c r="EB189" s="66" t="str">
        <f t="shared" si="3167"/>
        <v/>
      </c>
      <c r="EC189" s="66" t="str">
        <f t="shared" si="3167"/>
        <v/>
      </c>
      <c r="ED189" s="66" t="str">
        <f t="shared" si="3167"/>
        <v/>
      </c>
      <c r="EE189" s="66" t="str">
        <f t="shared" si="3167"/>
        <v/>
      </c>
      <c r="EF189" s="66" t="str">
        <f t="shared" si="3167"/>
        <v/>
      </c>
      <c r="EG189" s="66" t="str">
        <f t="shared" si="3167"/>
        <v/>
      </c>
      <c r="EH189" s="66" t="str">
        <f t="shared" si="3167"/>
        <v/>
      </c>
      <c r="EI189" s="66" t="str">
        <f t="shared" si="3167"/>
        <v/>
      </c>
      <c r="EJ189" s="66" t="str">
        <f t="shared" si="3167"/>
        <v/>
      </c>
      <c r="EK189" s="66" t="str">
        <f t="shared" si="3167"/>
        <v/>
      </c>
      <c r="EL189" s="66" t="str">
        <f t="shared" si="3167"/>
        <v/>
      </c>
      <c r="EM189" s="66" t="str">
        <f t="shared" si="3167"/>
        <v/>
      </c>
      <c r="EN189" s="66" t="str">
        <f t="shared" si="3167"/>
        <v/>
      </c>
      <c r="EO189" s="66" t="str">
        <f t="shared" si="3167"/>
        <v/>
      </c>
      <c r="EP189" s="66" t="str">
        <f t="shared" si="3167"/>
        <v/>
      </c>
      <c r="EQ189" s="66" t="str">
        <f t="shared" si="3167"/>
        <v/>
      </c>
      <c r="ER189" s="66" t="str">
        <f t="shared" si="3167"/>
        <v/>
      </c>
      <c r="ES189" s="66" t="str">
        <f t="shared" si="3167"/>
        <v/>
      </c>
      <c r="ET189" s="66" t="str">
        <f t="shared" si="3167"/>
        <v/>
      </c>
      <c r="EU189" s="66" t="str">
        <f t="shared" si="3167"/>
        <v/>
      </c>
      <c r="EV189" s="66" t="str">
        <f t="shared" si="3167"/>
        <v/>
      </c>
      <c r="EW189" s="66" t="str">
        <f t="shared" si="3167"/>
        <v/>
      </c>
      <c r="EX189" s="66" t="str">
        <f t="shared" si="3167"/>
        <v/>
      </c>
      <c r="EY189" s="66" t="str">
        <f t="shared" si="3167"/>
        <v/>
      </c>
      <c r="EZ189" s="66" t="str">
        <f t="shared" si="3167"/>
        <v/>
      </c>
      <c r="FA189" s="66" t="str">
        <f t="shared" si="3167"/>
        <v/>
      </c>
      <c r="FB189" s="66" t="str">
        <f t="shared" si="3167"/>
        <v/>
      </c>
      <c r="FC189" s="66" t="str">
        <f t="shared" si="3167"/>
        <v/>
      </c>
      <c r="FD189" s="66" t="str">
        <f t="shared" si="3167"/>
        <v/>
      </c>
      <c r="FE189" s="66" t="str">
        <f t="shared" si="3167"/>
        <v/>
      </c>
      <c r="FF189" s="66" t="str">
        <f t="shared" si="3167"/>
        <v/>
      </c>
      <c r="FG189" s="66" t="str">
        <f t="shared" si="3167"/>
        <v/>
      </c>
      <c r="FH189" s="66" t="str">
        <f t="shared" si="3167"/>
        <v/>
      </c>
      <c r="FI189" s="66" t="str">
        <f t="shared" si="3167"/>
        <v/>
      </c>
      <c r="FJ189" s="66" t="str">
        <f t="shared" si="3167"/>
        <v/>
      </c>
      <c r="FK189" s="66" t="str">
        <f t="shared" si="3167"/>
        <v/>
      </c>
      <c r="FL189" s="66" t="str">
        <f t="shared" si="3167"/>
        <v/>
      </c>
      <c r="FM189" s="66" t="str">
        <f t="shared" si="3167"/>
        <v/>
      </c>
      <c r="FN189" s="66" t="str">
        <f t="shared" ref="FN189:FS189" si="3168">IF(CH189="","","|n"&amp;FN$2&amp;"+"&amp;CH189&amp;FN$1)</f>
        <v/>
      </c>
      <c r="FO189" s="66" t="str">
        <f t="shared" si="3168"/>
        <v/>
      </c>
      <c r="FP189" s="66" t="str">
        <f t="shared" si="3168"/>
        <v/>
      </c>
      <c r="FQ189" s="66" t="str">
        <f t="shared" si="3168"/>
        <v/>
      </c>
      <c r="FR189" s="66" t="str">
        <f t="shared" si="3168"/>
        <v/>
      </c>
      <c r="FS189" s="66" t="str">
        <f t="shared" si="3168"/>
        <v/>
      </c>
    </row>
    <row r="190" spans="1:175" ht="16.5">
      <c r="A190" s="15"/>
      <c r="B190" s="9" t="s">
        <v>692</v>
      </c>
      <c r="C190" s="15" t="s">
        <v>693</v>
      </c>
      <c r="T190" s="25" t="s">
        <v>694</v>
      </c>
      <c r="U190" s="77" t="s">
        <v>690</v>
      </c>
      <c r="CN190" s="36" t="str">
        <f t="shared" si="2688"/>
        <v>InitUnitState('IZ10',,,,,,,,,,)</v>
      </c>
      <c r="CO190" s="36" t="str">
        <f t="shared" si="2689"/>
        <v>InitUnitNormal('IZ10',,,,,,,,,,)</v>
      </c>
      <c r="CP190" s="36" t="str">
        <f t="shared" si="2690"/>
        <v>InitUnitMagic('IZ10',,,,,,,,,,)</v>
      </c>
      <c r="CQ190" s="36" t="str">
        <f t="shared" si="2691"/>
        <v>InitUnitAdd('IZ10',,,,,,,,,,)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92"/>
        <v>|n</v>
      </c>
      <c r="CV190" s="19" t="str">
        <f t="shared" si="3093"/>
        <v>|CffF0F0F0有几率获得|r|Cffffd24d好东西|r|Cfff0f0f0，也有可能|r|Cffcccccc打水漂|r|Cfff0f0f0。|n|n|r|Cff00ff7f观今夜星象，抽就完事了...|r</v>
      </c>
      <c r="CW190" s="33"/>
      <c r="CX190" s="33"/>
      <c r="CY190" s="33"/>
      <c r="CZ190" s="33"/>
      <c r="DA190" s="33"/>
      <c r="DB190" s="66" t="str">
        <f t="shared" ref="DB190:FM190" si="3169">IF(V190="","","|n"&amp;DB$2&amp;"+"&amp;V190&amp;DB$1)</f>
        <v/>
      </c>
      <c r="DC190" s="66" t="str">
        <f t="shared" si="3169"/>
        <v/>
      </c>
      <c r="DD190" s="66" t="str">
        <f t="shared" si="3169"/>
        <v/>
      </c>
      <c r="DE190" s="66" t="str">
        <f t="shared" si="3169"/>
        <v/>
      </c>
      <c r="DF190" s="66" t="str">
        <f t="shared" si="3169"/>
        <v/>
      </c>
      <c r="DG190" s="66" t="str">
        <f t="shared" si="3169"/>
        <v/>
      </c>
      <c r="DH190" s="66" t="str">
        <f t="shared" si="3169"/>
        <v/>
      </c>
      <c r="DI190" s="66" t="str">
        <f t="shared" si="3169"/>
        <v/>
      </c>
      <c r="DJ190" s="66" t="str">
        <f t="shared" si="3169"/>
        <v/>
      </c>
      <c r="DK190" s="66" t="str">
        <f t="shared" si="3169"/>
        <v/>
      </c>
      <c r="DL190" s="66" t="str">
        <f t="shared" si="3169"/>
        <v/>
      </c>
      <c r="DM190" s="66" t="str">
        <f t="shared" si="3169"/>
        <v/>
      </c>
      <c r="DN190" s="66" t="str">
        <f t="shared" si="3169"/>
        <v/>
      </c>
      <c r="DO190" s="66" t="str">
        <f t="shared" si="3169"/>
        <v/>
      </c>
      <c r="DP190" s="66" t="str">
        <f t="shared" si="3169"/>
        <v/>
      </c>
      <c r="DQ190" s="66" t="str">
        <f t="shared" si="3169"/>
        <v/>
      </c>
      <c r="DR190" s="66" t="str">
        <f t="shared" si="3169"/>
        <v/>
      </c>
      <c r="DS190" s="66" t="str">
        <f t="shared" si="3169"/>
        <v/>
      </c>
      <c r="DT190" s="66" t="str">
        <f t="shared" si="3169"/>
        <v/>
      </c>
      <c r="DU190" s="66" t="str">
        <f t="shared" si="3169"/>
        <v/>
      </c>
      <c r="DV190" s="66" t="str">
        <f t="shared" si="3169"/>
        <v/>
      </c>
      <c r="DW190" s="66" t="str">
        <f t="shared" si="3169"/>
        <v/>
      </c>
      <c r="DX190" s="66" t="str">
        <f t="shared" si="3169"/>
        <v/>
      </c>
      <c r="DY190" s="66" t="str">
        <f t="shared" si="3169"/>
        <v/>
      </c>
      <c r="DZ190" s="66" t="str">
        <f t="shared" si="3169"/>
        <v/>
      </c>
      <c r="EA190" s="66" t="str">
        <f t="shared" si="3169"/>
        <v/>
      </c>
      <c r="EB190" s="66" t="str">
        <f t="shared" si="3169"/>
        <v/>
      </c>
      <c r="EC190" s="66" t="str">
        <f t="shared" si="3169"/>
        <v/>
      </c>
      <c r="ED190" s="66" t="str">
        <f t="shared" si="3169"/>
        <v/>
      </c>
      <c r="EE190" s="66" t="str">
        <f t="shared" si="3169"/>
        <v/>
      </c>
      <c r="EF190" s="66" t="str">
        <f t="shared" si="3169"/>
        <v/>
      </c>
      <c r="EG190" s="66" t="str">
        <f t="shared" si="3169"/>
        <v/>
      </c>
      <c r="EH190" s="66" t="str">
        <f t="shared" si="3169"/>
        <v/>
      </c>
      <c r="EI190" s="66" t="str">
        <f t="shared" si="3169"/>
        <v/>
      </c>
      <c r="EJ190" s="66" t="str">
        <f t="shared" si="3169"/>
        <v/>
      </c>
      <c r="EK190" s="66" t="str">
        <f t="shared" si="3169"/>
        <v/>
      </c>
      <c r="EL190" s="66" t="str">
        <f t="shared" si="3169"/>
        <v/>
      </c>
      <c r="EM190" s="66" t="str">
        <f t="shared" si="3169"/>
        <v/>
      </c>
      <c r="EN190" s="66" t="str">
        <f t="shared" si="3169"/>
        <v/>
      </c>
      <c r="EO190" s="66" t="str">
        <f t="shared" si="3169"/>
        <v/>
      </c>
      <c r="EP190" s="66" t="str">
        <f t="shared" si="3169"/>
        <v/>
      </c>
      <c r="EQ190" s="66" t="str">
        <f t="shared" si="3169"/>
        <v/>
      </c>
      <c r="ER190" s="66" t="str">
        <f t="shared" si="3169"/>
        <v/>
      </c>
      <c r="ES190" s="66" t="str">
        <f t="shared" si="3169"/>
        <v/>
      </c>
      <c r="ET190" s="66" t="str">
        <f t="shared" si="3169"/>
        <v/>
      </c>
      <c r="EU190" s="66" t="str">
        <f t="shared" si="3169"/>
        <v/>
      </c>
      <c r="EV190" s="66" t="str">
        <f t="shared" si="3169"/>
        <v/>
      </c>
      <c r="EW190" s="66" t="str">
        <f t="shared" si="3169"/>
        <v/>
      </c>
      <c r="EX190" s="66" t="str">
        <f t="shared" si="3169"/>
        <v/>
      </c>
      <c r="EY190" s="66" t="str">
        <f t="shared" si="3169"/>
        <v/>
      </c>
      <c r="EZ190" s="66" t="str">
        <f t="shared" si="3169"/>
        <v/>
      </c>
      <c r="FA190" s="66" t="str">
        <f t="shared" si="3169"/>
        <v/>
      </c>
      <c r="FB190" s="66" t="str">
        <f t="shared" si="3169"/>
        <v/>
      </c>
      <c r="FC190" s="66" t="str">
        <f t="shared" si="3169"/>
        <v/>
      </c>
      <c r="FD190" s="66" t="str">
        <f t="shared" si="3169"/>
        <v/>
      </c>
      <c r="FE190" s="66" t="str">
        <f t="shared" si="3169"/>
        <v/>
      </c>
      <c r="FF190" s="66" t="str">
        <f t="shared" si="3169"/>
        <v/>
      </c>
      <c r="FG190" s="66" t="str">
        <f t="shared" si="3169"/>
        <v/>
      </c>
      <c r="FH190" s="66" t="str">
        <f t="shared" si="3169"/>
        <v/>
      </c>
      <c r="FI190" s="66" t="str">
        <f t="shared" si="3169"/>
        <v/>
      </c>
      <c r="FJ190" s="66" t="str">
        <f t="shared" si="3169"/>
        <v/>
      </c>
      <c r="FK190" s="66" t="str">
        <f t="shared" si="3169"/>
        <v/>
      </c>
      <c r="FL190" s="66" t="str">
        <f t="shared" si="3169"/>
        <v/>
      </c>
      <c r="FM190" s="66" t="str">
        <f t="shared" si="3169"/>
        <v/>
      </c>
      <c r="FN190" s="66" t="str">
        <f t="shared" ref="FN190:FS190" si="3170">IF(CH190="","","|n"&amp;FN$2&amp;"+"&amp;CH190&amp;FN$1)</f>
        <v/>
      </c>
      <c r="FO190" s="66" t="str">
        <f t="shared" si="3170"/>
        <v/>
      </c>
      <c r="FP190" s="66" t="str">
        <f t="shared" si="3170"/>
        <v/>
      </c>
      <c r="FQ190" s="66" t="str">
        <f t="shared" si="3170"/>
        <v/>
      </c>
      <c r="FR190" s="66" t="str">
        <f t="shared" si="3170"/>
        <v/>
      </c>
      <c r="FS190" s="66" t="str">
        <f t="shared" si="3170"/>
        <v/>
      </c>
    </row>
    <row r="191" spans="1:175" ht="16.5">
      <c r="A191" s="15"/>
      <c r="B191" s="9" t="s">
        <v>695</v>
      </c>
      <c r="C191" s="15" t="s">
        <v>696</v>
      </c>
      <c r="T191" s="25" t="s">
        <v>697</v>
      </c>
      <c r="U191" s="77" t="s">
        <v>690</v>
      </c>
      <c r="CN191" s="36" t="str">
        <f t="shared" si="2688"/>
        <v>InitUnitState('IZ11',,,,,,,,,,)</v>
      </c>
      <c r="CO191" s="36" t="str">
        <f t="shared" si="2689"/>
        <v>InitUnitNormal('IZ11',,,,,,,,,,)</v>
      </c>
      <c r="CP191" s="36" t="str">
        <f t="shared" si="2690"/>
        <v>InitUnitMagic('IZ11',,,,,,,,,,)</v>
      </c>
      <c r="CQ191" s="36" t="str">
        <f t="shared" si="2691"/>
        <v>InitUnitAdd('IZ11',,,,,,,,,,)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2"/>
        <v>|n</v>
      </c>
      <c r="CV191" s="19" t="str">
        <f t="shared" si="3093"/>
        <v>|CffF0F0F0有几率获得|r|Cffffd24d很多好东西|r|Cfff0f0f0，也有可能|r|Cffcccccc打很多水漂|r|Cfff0f0f0。|n|n|r|Cff00ff7f观今夜星象，使劲抽就完事了...|r</v>
      </c>
      <c r="CW191" s="33"/>
      <c r="CX191" s="33"/>
      <c r="CY191" s="33"/>
      <c r="CZ191" s="33"/>
      <c r="DA191" s="33"/>
      <c r="DB191" s="66" t="str">
        <f t="shared" ref="DB191:FM191" si="3171">IF(V191="","","|n"&amp;DB$2&amp;"+"&amp;V191&amp;DB$1)</f>
        <v/>
      </c>
      <c r="DC191" s="66" t="str">
        <f t="shared" si="3171"/>
        <v/>
      </c>
      <c r="DD191" s="66" t="str">
        <f t="shared" si="3171"/>
        <v/>
      </c>
      <c r="DE191" s="66" t="str">
        <f t="shared" si="3171"/>
        <v/>
      </c>
      <c r="DF191" s="66" t="str">
        <f t="shared" si="3171"/>
        <v/>
      </c>
      <c r="DG191" s="66" t="str">
        <f t="shared" si="3171"/>
        <v/>
      </c>
      <c r="DH191" s="66" t="str">
        <f t="shared" si="3171"/>
        <v/>
      </c>
      <c r="DI191" s="66" t="str">
        <f t="shared" si="3171"/>
        <v/>
      </c>
      <c r="DJ191" s="66" t="str">
        <f t="shared" si="3171"/>
        <v/>
      </c>
      <c r="DK191" s="66" t="str">
        <f t="shared" si="3171"/>
        <v/>
      </c>
      <c r="DL191" s="66" t="str">
        <f t="shared" si="3171"/>
        <v/>
      </c>
      <c r="DM191" s="66" t="str">
        <f t="shared" si="3171"/>
        <v/>
      </c>
      <c r="DN191" s="66" t="str">
        <f t="shared" si="3171"/>
        <v/>
      </c>
      <c r="DO191" s="66" t="str">
        <f t="shared" si="3171"/>
        <v/>
      </c>
      <c r="DP191" s="66" t="str">
        <f t="shared" si="3171"/>
        <v/>
      </c>
      <c r="DQ191" s="66" t="str">
        <f t="shared" si="3171"/>
        <v/>
      </c>
      <c r="DR191" s="66" t="str">
        <f t="shared" si="3171"/>
        <v/>
      </c>
      <c r="DS191" s="66" t="str">
        <f t="shared" si="3171"/>
        <v/>
      </c>
      <c r="DT191" s="66" t="str">
        <f t="shared" si="3171"/>
        <v/>
      </c>
      <c r="DU191" s="66" t="str">
        <f t="shared" si="3171"/>
        <v/>
      </c>
      <c r="DV191" s="66" t="str">
        <f t="shared" si="3171"/>
        <v/>
      </c>
      <c r="DW191" s="66" t="str">
        <f t="shared" si="3171"/>
        <v/>
      </c>
      <c r="DX191" s="66" t="str">
        <f t="shared" si="3171"/>
        <v/>
      </c>
      <c r="DY191" s="66" t="str">
        <f t="shared" si="3171"/>
        <v/>
      </c>
      <c r="DZ191" s="66" t="str">
        <f t="shared" si="3171"/>
        <v/>
      </c>
      <c r="EA191" s="66" t="str">
        <f t="shared" si="3171"/>
        <v/>
      </c>
      <c r="EB191" s="66" t="str">
        <f t="shared" si="3171"/>
        <v/>
      </c>
      <c r="EC191" s="66" t="str">
        <f t="shared" si="3171"/>
        <v/>
      </c>
      <c r="ED191" s="66" t="str">
        <f t="shared" si="3171"/>
        <v/>
      </c>
      <c r="EE191" s="66" t="str">
        <f t="shared" si="3171"/>
        <v/>
      </c>
      <c r="EF191" s="66" t="str">
        <f t="shared" si="3171"/>
        <v/>
      </c>
      <c r="EG191" s="66" t="str">
        <f t="shared" si="3171"/>
        <v/>
      </c>
      <c r="EH191" s="66" t="str">
        <f t="shared" si="3171"/>
        <v/>
      </c>
      <c r="EI191" s="66" t="str">
        <f t="shared" si="3171"/>
        <v/>
      </c>
      <c r="EJ191" s="66" t="str">
        <f t="shared" si="3171"/>
        <v/>
      </c>
      <c r="EK191" s="66" t="str">
        <f t="shared" si="3171"/>
        <v/>
      </c>
      <c r="EL191" s="66" t="str">
        <f t="shared" si="3171"/>
        <v/>
      </c>
      <c r="EM191" s="66" t="str">
        <f t="shared" si="3171"/>
        <v/>
      </c>
      <c r="EN191" s="66" t="str">
        <f t="shared" si="3171"/>
        <v/>
      </c>
      <c r="EO191" s="66" t="str">
        <f t="shared" si="3171"/>
        <v/>
      </c>
      <c r="EP191" s="66" t="str">
        <f t="shared" si="3171"/>
        <v/>
      </c>
      <c r="EQ191" s="66" t="str">
        <f t="shared" si="3171"/>
        <v/>
      </c>
      <c r="ER191" s="66" t="str">
        <f t="shared" si="3171"/>
        <v/>
      </c>
      <c r="ES191" s="66" t="str">
        <f t="shared" si="3171"/>
        <v/>
      </c>
      <c r="ET191" s="66" t="str">
        <f t="shared" si="3171"/>
        <v/>
      </c>
      <c r="EU191" s="66" t="str">
        <f t="shared" si="3171"/>
        <v/>
      </c>
      <c r="EV191" s="66" t="str">
        <f t="shared" si="3171"/>
        <v/>
      </c>
      <c r="EW191" s="66" t="str">
        <f t="shared" si="3171"/>
        <v/>
      </c>
      <c r="EX191" s="66" t="str">
        <f t="shared" si="3171"/>
        <v/>
      </c>
      <c r="EY191" s="66" t="str">
        <f t="shared" si="3171"/>
        <v/>
      </c>
      <c r="EZ191" s="66" t="str">
        <f t="shared" si="3171"/>
        <v/>
      </c>
      <c r="FA191" s="66" t="str">
        <f t="shared" si="3171"/>
        <v/>
      </c>
      <c r="FB191" s="66" t="str">
        <f t="shared" si="3171"/>
        <v/>
      </c>
      <c r="FC191" s="66" t="str">
        <f t="shared" si="3171"/>
        <v/>
      </c>
      <c r="FD191" s="66" t="str">
        <f t="shared" si="3171"/>
        <v/>
      </c>
      <c r="FE191" s="66" t="str">
        <f t="shared" si="3171"/>
        <v/>
      </c>
      <c r="FF191" s="66" t="str">
        <f t="shared" si="3171"/>
        <v/>
      </c>
      <c r="FG191" s="66" t="str">
        <f t="shared" si="3171"/>
        <v/>
      </c>
      <c r="FH191" s="66" t="str">
        <f t="shared" si="3171"/>
        <v/>
      </c>
      <c r="FI191" s="66" t="str">
        <f t="shared" si="3171"/>
        <v/>
      </c>
      <c r="FJ191" s="66" t="str">
        <f t="shared" si="3171"/>
        <v/>
      </c>
      <c r="FK191" s="66" t="str">
        <f t="shared" si="3171"/>
        <v/>
      </c>
      <c r="FL191" s="66" t="str">
        <f t="shared" si="3171"/>
        <v/>
      </c>
      <c r="FM191" s="66" t="str">
        <f t="shared" si="3171"/>
        <v/>
      </c>
      <c r="FN191" s="66" t="str">
        <f t="shared" ref="FN191:FS191" si="3172">IF(CH191="","","|n"&amp;FN$2&amp;"+"&amp;CH191&amp;FN$1)</f>
        <v/>
      </c>
      <c r="FO191" s="66" t="str">
        <f t="shared" si="3172"/>
        <v/>
      </c>
      <c r="FP191" s="66" t="str">
        <f t="shared" si="3172"/>
        <v/>
      </c>
      <c r="FQ191" s="66" t="str">
        <f t="shared" si="3172"/>
        <v/>
      </c>
      <c r="FR191" s="66" t="str">
        <f t="shared" si="3172"/>
        <v/>
      </c>
      <c r="FS191" s="66" t="str">
        <f t="shared" si="3172"/>
        <v/>
      </c>
    </row>
    <row r="192" spans="1:175" ht="16.5">
      <c r="A192" s="15"/>
      <c r="B192" s="9" t="s">
        <v>698</v>
      </c>
      <c r="C192" s="15" t="s">
        <v>699</v>
      </c>
      <c r="T192" s="9" t="s">
        <v>700</v>
      </c>
      <c r="U192" s="77" t="s">
        <v>285</v>
      </c>
      <c r="CN192" s="36" t="str">
        <f t="shared" ref="CN192" si="3173">"InitUnitState('"&amp;B192&amp;"',"&amp;V192&amp;","&amp;W192&amp;","&amp;X192&amp;","&amp;Y192&amp;","&amp;Z192&amp;","&amp;AA192&amp;","&amp;AB192&amp;","&amp;AC192&amp;","&amp;AD192&amp;","&amp;AE192&amp;")"</f>
        <v>InitUnitState('IS13',,,,,,,,,,)</v>
      </c>
      <c r="CO192" s="36" t="str">
        <f t="shared" ref="CO192" si="3174">"InitUnitNormal('"&amp;B192&amp;"',"&amp;AF192&amp;","&amp;AG192&amp;","&amp;AH192&amp;","&amp;AI192&amp;","&amp;AJ192&amp;","&amp;AK192&amp;","&amp;AL192&amp;","&amp;AM192&amp;","&amp;AN192&amp;","&amp;AO192&amp;")"</f>
        <v>InitUnitNormal('IS13',,,,,,,,,,)</v>
      </c>
      <c r="CP192" s="36" t="str">
        <f t="shared" ref="CP192" si="3175">"InitUnitMagic('"&amp;B192&amp;"',"&amp;AP192&amp;","&amp;AQ192&amp;","&amp;AR192&amp;","&amp;AS192&amp;","&amp;AT192&amp;","&amp;AU192&amp;","&amp;AV192&amp;","&amp;AW192&amp;","&amp;BI192&amp;","&amp;BJ192&amp;")"</f>
        <v>InitUnitMagic('IS13',,,,,,,,,,)</v>
      </c>
      <c r="CQ192" s="36" t="str">
        <f t="shared" ref="CQ192" si="3176">"InitUnitAdd('"&amp;B192&amp;"',"&amp;BK192&amp;","&amp;BL192&amp;","&amp;BM192&amp;","&amp;BN192&amp;","&amp;BO192&amp;","&amp;BP192&amp;","&amp;BQ192&amp;","&amp;BR192&amp;","&amp;BS192&amp;","&amp;BT192&amp;")"</f>
        <v>InitUnitAdd('IS13',,,,,,,,,,)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ref="CU192:CU193" si="3177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19" t="str">
        <f t="shared" ref="CV192:CV193" si="3178">T192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2" s="33"/>
      <c r="CX192" s="33"/>
      <c r="CY192" s="33"/>
      <c r="CZ192" s="33"/>
      <c r="DA192" s="33"/>
      <c r="DB192" s="66" t="str">
        <f t="shared" ref="DB192" si="3179">IF(V192="","","|n"&amp;DB$2&amp;"+"&amp;V192&amp;DB$1)</f>
        <v/>
      </c>
      <c r="DC192" s="66" t="str">
        <f t="shared" ref="DC192" si="3180">IF(W192="","","|n"&amp;DC$2&amp;"+"&amp;W192&amp;DC$1)</f>
        <v/>
      </c>
      <c r="DD192" s="66" t="str">
        <f t="shared" ref="DD192" si="3181">IF(X192="","","|n"&amp;DD$2&amp;"+"&amp;X192&amp;DD$1)</f>
        <v/>
      </c>
      <c r="DE192" s="66" t="str">
        <f t="shared" ref="DE192" si="3182">IF(Y192="","","|n"&amp;DE$2&amp;"+"&amp;Y192&amp;DE$1)</f>
        <v/>
      </c>
      <c r="DF192" s="66" t="str">
        <f t="shared" ref="DF192" si="3183">IF(Z192="","","|n"&amp;DF$2&amp;"+"&amp;Z192&amp;DF$1)</f>
        <v/>
      </c>
      <c r="DG192" s="66" t="str">
        <f t="shared" ref="DG192" si="3184">IF(AA192="","","|n"&amp;DG$2&amp;"+"&amp;AA192&amp;DG$1)</f>
        <v/>
      </c>
      <c r="DH192" s="66" t="str">
        <f t="shared" ref="DH192" si="3185">IF(AB192="","","|n"&amp;DH$2&amp;"+"&amp;AB192&amp;DH$1)</f>
        <v/>
      </c>
      <c r="DI192" s="66" t="str">
        <f t="shared" ref="DI192" si="3186">IF(AC192="","","|n"&amp;DI$2&amp;"+"&amp;AC192&amp;DI$1)</f>
        <v/>
      </c>
      <c r="DJ192" s="66" t="str">
        <f t="shared" ref="DJ192" si="3187">IF(AD192="","","|n"&amp;DJ$2&amp;"+"&amp;AD192&amp;DJ$1)</f>
        <v/>
      </c>
      <c r="DK192" s="66" t="str">
        <f t="shared" ref="DK192" si="3188">IF(AE192="","","|n"&amp;DK$2&amp;"+"&amp;AE192&amp;DK$1)</f>
        <v/>
      </c>
      <c r="DL192" s="66" t="str">
        <f t="shared" ref="DL192" si="3189">IF(AF192="","","|n"&amp;DL$2&amp;"+"&amp;AF192&amp;DL$1)</f>
        <v/>
      </c>
      <c r="DM192" s="66" t="str">
        <f t="shared" ref="DM192" si="3190">IF(AG192="","","|n"&amp;DM$2&amp;"+"&amp;AG192&amp;DM$1)</f>
        <v/>
      </c>
      <c r="DN192" s="66" t="str">
        <f t="shared" ref="DN192" si="3191">IF(AH192="","","|n"&amp;DN$2&amp;"+"&amp;AH192&amp;DN$1)</f>
        <v/>
      </c>
      <c r="DO192" s="66" t="str">
        <f t="shared" ref="DO192" si="3192">IF(AI192="","","|n"&amp;DO$2&amp;"+"&amp;AI192&amp;DO$1)</f>
        <v/>
      </c>
      <c r="DP192" s="66" t="str">
        <f t="shared" ref="DP192" si="3193">IF(AJ192="","","|n"&amp;DP$2&amp;"+"&amp;AJ192&amp;DP$1)</f>
        <v/>
      </c>
      <c r="DQ192" s="66" t="str">
        <f t="shared" ref="DQ192" si="3194">IF(AK192="","","|n"&amp;DQ$2&amp;"+"&amp;AK192&amp;DQ$1)</f>
        <v/>
      </c>
      <c r="DR192" s="66" t="str">
        <f t="shared" ref="DR192" si="3195">IF(AL192="","","|n"&amp;DR$2&amp;"+"&amp;AL192&amp;DR$1)</f>
        <v/>
      </c>
      <c r="DS192" s="66" t="str">
        <f t="shared" ref="DS192" si="3196">IF(AM192="","","|n"&amp;DS$2&amp;"+"&amp;AM192&amp;DS$1)</f>
        <v/>
      </c>
      <c r="DT192" s="66" t="str">
        <f t="shared" ref="DT192" si="3197">IF(AN192="","","|n"&amp;DT$2&amp;"+"&amp;AN192&amp;DT$1)</f>
        <v/>
      </c>
      <c r="DU192" s="66" t="str">
        <f t="shared" ref="DU192" si="3198">IF(AO192="","","|n"&amp;DU$2&amp;"+"&amp;AO192&amp;DU$1)</f>
        <v/>
      </c>
      <c r="DV192" s="66" t="str">
        <f t="shared" ref="DV192" si="3199">IF(AP192="","","|n"&amp;DV$2&amp;"+"&amp;AP192&amp;DV$1)</f>
        <v/>
      </c>
      <c r="DW192" s="66" t="str">
        <f t="shared" ref="DW192" si="3200">IF(AQ192="","","|n"&amp;DW$2&amp;"+"&amp;AQ192&amp;DW$1)</f>
        <v/>
      </c>
      <c r="DX192" s="66" t="str">
        <f t="shared" ref="DX192" si="3201">IF(AR192="","","|n"&amp;DX$2&amp;"+"&amp;AR192&amp;DX$1)</f>
        <v/>
      </c>
      <c r="DY192" s="66" t="str">
        <f t="shared" ref="DY192" si="3202">IF(AS192="","","|n"&amp;DY$2&amp;"+"&amp;AS192&amp;DY$1)</f>
        <v/>
      </c>
      <c r="DZ192" s="66" t="str">
        <f t="shared" ref="DZ192" si="3203">IF(AT192="","","|n"&amp;DZ$2&amp;"+"&amp;AT192&amp;DZ$1)</f>
        <v/>
      </c>
      <c r="EA192" s="66" t="str">
        <f t="shared" ref="EA192" si="3204">IF(AU192="","","|n"&amp;EA$2&amp;"+"&amp;AU192&amp;EA$1)</f>
        <v/>
      </c>
      <c r="EB192" s="66" t="str">
        <f t="shared" ref="EB192" si="3205">IF(AV192="","","|n"&amp;EB$2&amp;"+"&amp;AV192&amp;EB$1)</f>
        <v/>
      </c>
      <c r="EC192" s="66" t="str">
        <f t="shared" ref="EC192" si="3206">IF(AW192="","","|n"&amp;EC$2&amp;"+"&amp;AW192&amp;EC$1)</f>
        <v/>
      </c>
      <c r="ED192" s="66" t="str">
        <f t="shared" ref="ED192" si="3207">IF(AX192="","","|n"&amp;ED$2&amp;"+"&amp;AX192&amp;ED$1)</f>
        <v/>
      </c>
      <c r="EE192" s="66" t="str">
        <f t="shared" ref="EE192" si="3208">IF(AY192="","","|n"&amp;EE$2&amp;"+"&amp;AY192&amp;EE$1)</f>
        <v/>
      </c>
      <c r="EF192" s="66" t="str">
        <f t="shared" ref="EF192" si="3209">IF(AZ192="","","|n"&amp;EF$2&amp;"+"&amp;AZ192&amp;EF$1)</f>
        <v/>
      </c>
      <c r="EG192" s="66" t="str">
        <f t="shared" ref="EG192" si="3210">IF(BA192="","","|n"&amp;EG$2&amp;"+"&amp;BA192&amp;EG$1)</f>
        <v/>
      </c>
      <c r="EH192" s="66" t="str">
        <f t="shared" ref="EH192" si="3211">IF(BB192="","","|n"&amp;EH$2&amp;"+"&amp;BB192&amp;EH$1)</f>
        <v/>
      </c>
      <c r="EI192" s="66" t="str">
        <f t="shared" ref="EI192" si="3212">IF(BC192="","","|n"&amp;EI$2&amp;"+"&amp;BC192&amp;EI$1)</f>
        <v/>
      </c>
      <c r="EJ192" s="66" t="str">
        <f t="shared" ref="EJ192" si="3213">IF(BD192="","","|n"&amp;EJ$2&amp;"+"&amp;BD192&amp;EJ$1)</f>
        <v/>
      </c>
      <c r="EK192" s="66" t="str">
        <f t="shared" ref="EK192" si="3214">IF(BE192="","","|n"&amp;EK$2&amp;"+"&amp;BE192&amp;EK$1)</f>
        <v/>
      </c>
      <c r="EL192" s="66" t="str">
        <f t="shared" ref="EL192" si="3215">IF(BF192="","","|n"&amp;EL$2&amp;"+"&amp;BF192&amp;EL$1)</f>
        <v/>
      </c>
      <c r="EM192" s="66" t="str">
        <f t="shared" ref="EM192" si="3216">IF(BG192="","","|n"&amp;EM$2&amp;"+"&amp;BG192&amp;EM$1)</f>
        <v/>
      </c>
      <c r="EN192" s="66" t="str">
        <f t="shared" ref="EN192" si="3217">IF(BH192="","","|n"&amp;EN$2&amp;"+"&amp;BH192&amp;EN$1)</f>
        <v/>
      </c>
      <c r="EO192" s="66" t="str">
        <f t="shared" ref="EO192" si="3218">IF(BI192="","","|n"&amp;EO$2&amp;"+"&amp;BI192&amp;EO$1)</f>
        <v/>
      </c>
      <c r="EP192" s="66" t="str">
        <f t="shared" ref="EP192" si="3219">IF(BJ192="","","|n"&amp;EP$2&amp;"+"&amp;BJ192&amp;EP$1)</f>
        <v/>
      </c>
      <c r="EQ192" s="66" t="str">
        <f t="shared" ref="EQ192" si="3220">IF(BK192="","","|n"&amp;EQ$2&amp;"+"&amp;BK192&amp;EQ$1)</f>
        <v/>
      </c>
      <c r="ER192" s="66" t="str">
        <f t="shared" ref="ER192" si="3221">IF(BL192="","","|n"&amp;ER$2&amp;"+"&amp;BL192&amp;ER$1)</f>
        <v/>
      </c>
      <c r="ES192" s="66" t="str">
        <f t="shared" ref="ES192" si="3222">IF(BM192="","","|n"&amp;ES$2&amp;"+"&amp;BM192&amp;ES$1)</f>
        <v/>
      </c>
      <c r="ET192" s="66" t="str">
        <f t="shared" ref="ET192" si="3223">IF(BN192="","","|n"&amp;ET$2&amp;"+"&amp;BN192&amp;ET$1)</f>
        <v/>
      </c>
      <c r="EU192" s="66" t="str">
        <f t="shared" ref="EU192" si="3224">IF(BO192="","","|n"&amp;EU$2&amp;"+"&amp;BO192&amp;EU$1)</f>
        <v/>
      </c>
      <c r="EV192" s="66" t="str">
        <f t="shared" ref="EV192" si="3225">IF(BP192="","","|n"&amp;EV$2&amp;"+"&amp;BP192&amp;EV$1)</f>
        <v/>
      </c>
      <c r="EW192" s="66" t="str">
        <f t="shared" ref="EW192" si="3226">IF(BQ192="","","|n"&amp;EW$2&amp;"+"&amp;BQ192&amp;EW$1)</f>
        <v/>
      </c>
      <c r="EX192" s="66" t="str">
        <f t="shared" ref="EX192" si="3227">IF(BR192="","","|n"&amp;EX$2&amp;"+"&amp;BR192&amp;EX$1)</f>
        <v/>
      </c>
      <c r="EY192" s="66" t="str">
        <f t="shared" ref="EY192" si="3228">IF(BS192="","","|n"&amp;EY$2&amp;"+"&amp;BS192&amp;EY$1)</f>
        <v/>
      </c>
      <c r="EZ192" s="66" t="str">
        <f t="shared" ref="EZ192" si="3229">IF(BT192="","","|n"&amp;EZ$2&amp;"+"&amp;BT192&amp;EZ$1)</f>
        <v/>
      </c>
      <c r="FA192" s="66" t="str">
        <f t="shared" ref="FA192" si="3230">IF(BU192="","","|n"&amp;FA$2&amp;"+"&amp;BU192&amp;FA$1)</f>
        <v/>
      </c>
      <c r="FB192" s="66" t="str">
        <f t="shared" ref="FB192" si="3231">IF(BV192="","","|n"&amp;FB$2&amp;"+"&amp;BV192&amp;FB$1)</f>
        <v/>
      </c>
      <c r="FC192" s="66" t="str">
        <f t="shared" ref="FC192" si="3232">IF(BW192="","","|n"&amp;FC$2&amp;"+"&amp;BW192&amp;FC$1)</f>
        <v/>
      </c>
      <c r="FD192" s="66" t="str">
        <f t="shared" ref="FD192" si="3233">IF(BX192="","","|n"&amp;FD$2&amp;"+"&amp;BX192&amp;FD$1)</f>
        <v/>
      </c>
      <c r="FE192" s="66" t="str">
        <f t="shared" ref="FE192" si="3234">IF(BY192="","","|n"&amp;FE$2&amp;"+"&amp;BY192&amp;FE$1)</f>
        <v/>
      </c>
      <c r="FF192" s="66" t="str">
        <f t="shared" ref="FF192" si="3235">IF(BZ192="","","|n"&amp;FF$2&amp;"+"&amp;BZ192&amp;FF$1)</f>
        <v/>
      </c>
      <c r="FG192" s="66" t="str">
        <f t="shared" ref="FG192" si="3236">IF(CA192="","","|n"&amp;FG$2&amp;"+"&amp;CA192&amp;FG$1)</f>
        <v/>
      </c>
      <c r="FH192" s="66" t="str">
        <f t="shared" ref="FH192" si="3237">IF(CB192="","","|n"&amp;FH$2&amp;"+"&amp;CB192&amp;FH$1)</f>
        <v/>
      </c>
      <c r="FI192" s="66" t="str">
        <f t="shared" ref="FI192" si="3238">IF(CC192="","","|n"&amp;FI$2&amp;"+"&amp;CC192&amp;FI$1)</f>
        <v/>
      </c>
      <c r="FJ192" s="66" t="str">
        <f t="shared" ref="FJ192" si="3239">IF(CD192="","","|n"&amp;FJ$2&amp;"+"&amp;CD192&amp;FJ$1)</f>
        <v/>
      </c>
      <c r="FK192" s="66" t="str">
        <f t="shared" ref="FK192" si="3240">IF(CE192="","","|n"&amp;FK$2&amp;"+"&amp;CE192&amp;FK$1)</f>
        <v/>
      </c>
      <c r="FL192" s="66" t="str">
        <f t="shared" ref="FL192" si="3241">IF(CF192="","","|n"&amp;FL$2&amp;"+"&amp;CF192&amp;FL$1)</f>
        <v/>
      </c>
      <c r="FM192" s="66" t="str">
        <f t="shared" ref="FM192" si="3242">IF(CG192="","","|n"&amp;FM$2&amp;"+"&amp;CG192&amp;FM$1)</f>
        <v/>
      </c>
      <c r="FN192" s="66" t="str">
        <f t="shared" ref="FN192" si="3243">IF(CH192="","","|n"&amp;FN$2&amp;"+"&amp;CH192&amp;FN$1)</f>
        <v/>
      </c>
      <c r="FO192" s="66" t="str">
        <f t="shared" ref="FO192" si="3244">IF(CI192="","","|n"&amp;FO$2&amp;"+"&amp;CI192&amp;FO$1)</f>
        <v/>
      </c>
      <c r="FP192" s="66" t="str">
        <f t="shared" ref="FP192" si="3245">IF(CJ192="","","|n"&amp;FP$2&amp;"+"&amp;CJ192&amp;FP$1)</f>
        <v/>
      </c>
      <c r="FQ192" s="66" t="str">
        <f t="shared" ref="FQ192" si="3246">IF(CK192="","","|n"&amp;FQ$2&amp;"+"&amp;CK192&amp;FQ$1)</f>
        <v/>
      </c>
      <c r="FR192" s="66" t="str">
        <f t="shared" ref="FR192" si="3247">IF(CL192="","","|n"&amp;FR$2&amp;"+"&amp;CL192&amp;FR$1)</f>
        <v/>
      </c>
      <c r="FS192" s="66" t="str">
        <f t="shared" ref="FS192" si="3248">IF(CM192="","","|n"&amp;FS$2&amp;"+"&amp;CM192&amp;FS$1)</f>
        <v/>
      </c>
    </row>
    <row r="193" spans="1:175" ht="16.5">
      <c r="A193" s="15"/>
      <c r="B193" s="9" t="s">
        <v>701</v>
      </c>
      <c r="C193" s="15" t="s">
        <v>702</v>
      </c>
      <c r="T193" s="15" t="s">
        <v>703</v>
      </c>
      <c r="U193" s="77" t="s">
        <v>704</v>
      </c>
      <c r="CN193" s="36" t="str">
        <f t="shared" ref="CN193:CN196" si="3249">"InitUnitState('"&amp;B193&amp;"',"&amp;V193&amp;","&amp;W193&amp;","&amp;X193&amp;","&amp;Y193&amp;","&amp;Z193&amp;","&amp;AA193&amp;","&amp;AB193&amp;","&amp;AC193&amp;","&amp;AD193&amp;","&amp;AE193&amp;")"</f>
        <v>InitUnitState('IS14',,,,,,,,,,)</v>
      </c>
      <c r="CO193" s="36" t="str">
        <f t="shared" ref="CO193:CO196" si="3250">"InitUnitNormal('"&amp;B193&amp;"',"&amp;AF193&amp;","&amp;AG193&amp;","&amp;AH193&amp;","&amp;AI193&amp;","&amp;AJ193&amp;","&amp;AK193&amp;","&amp;AL193&amp;","&amp;AM193&amp;","&amp;AN193&amp;","&amp;AO193&amp;")"</f>
        <v>InitUnitNormal('IS14',,,,,,,,,,)</v>
      </c>
      <c r="CP193" s="36" t="str">
        <f t="shared" ref="CP193:CP196" si="3251">"InitUnitMagic('"&amp;B193&amp;"',"&amp;AP193&amp;","&amp;AQ193&amp;","&amp;AR193&amp;","&amp;AS193&amp;","&amp;AT193&amp;","&amp;AU193&amp;","&amp;AV193&amp;","&amp;AW193&amp;","&amp;BI193&amp;","&amp;BJ193&amp;")"</f>
        <v>InitUnitMagic('IS14',,,,,,,,,,)</v>
      </c>
      <c r="CQ193" s="36" t="str">
        <f t="shared" ref="CQ193:CQ196" si="3252">"InitUnitAdd('"&amp;B193&amp;"',"&amp;BK193&amp;","&amp;BL193&amp;","&amp;BM193&amp;","&amp;BN193&amp;","&amp;BO193&amp;","&amp;BP193&amp;","&amp;BQ193&amp;","&amp;BR193&amp;","&amp;BS193&amp;","&amp;BT193&amp;")"</f>
        <v>InitUnitAdd('IS14',,,,,,,,,,)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181&amp;CR$1&amp;")"</f>
        <v>InitEquipData('IS14',,"",,,,,'','','','','','',"ReplaceableTextures\\CommandButtons\\BTNIN01.blp")</v>
      </c>
      <c r="CU193" s="88" t="str">
        <f t="shared" si="3177"/>
        <v>|n</v>
      </c>
      <c r="CV193" s="19" t="str">
        <f t="shared" si="3178"/>
        <v>|cffffcc00升级消耗：|r150+等级*150杀敌数|n|n|cff00ff7f最高升至10级|r</v>
      </c>
      <c r="CW193" s="33"/>
      <c r="CX193" s="33"/>
      <c r="CY193" s="33"/>
      <c r="CZ193" s="33"/>
      <c r="DA193" s="33"/>
      <c r="DB193" s="66" t="str">
        <f t="shared" ref="DB193:EG193" si="3253">IF(V193="","","|n"&amp;DB$2&amp;"+"&amp;V193&amp;DB$1)</f>
        <v/>
      </c>
      <c r="DC193" s="66" t="str">
        <f t="shared" si="3253"/>
        <v/>
      </c>
      <c r="DD193" s="66" t="str">
        <f t="shared" si="3253"/>
        <v/>
      </c>
      <c r="DE193" s="66" t="str">
        <f t="shared" si="3253"/>
        <v/>
      </c>
      <c r="DF193" s="66" t="str">
        <f t="shared" si="3253"/>
        <v/>
      </c>
      <c r="DG193" s="66" t="str">
        <f t="shared" si="3253"/>
        <v/>
      </c>
      <c r="DH193" s="66" t="str">
        <f t="shared" si="3253"/>
        <v/>
      </c>
      <c r="DI193" s="66" t="str">
        <f t="shared" si="3253"/>
        <v/>
      </c>
      <c r="DJ193" s="66" t="str">
        <f t="shared" si="3253"/>
        <v/>
      </c>
      <c r="DK193" s="66" t="str">
        <f t="shared" si="3253"/>
        <v/>
      </c>
      <c r="DL193" s="66" t="str">
        <f t="shared" si="3253"/>
        <v/>
      </c>
      <c r="DM193" s="66" t="str">
        <f t="shared" si="3253"/>
        <v/>
      </c>
      <c r="DN193" s="66" t="str">
        <f t="shared" si="3253"/>
        <v/>
      </c>
      <c r="DO193" s="66" t="str">
        <f t="shared" si="3253"/>
        <v/>
      </c>
      <c r="DP193" s="66" t="str">
        <f t="shared" si="3253"/>
        <v/>
      </c>
      <c r="DQ193" s="66" t="str">
        <f t="shared" si="3253"/>
        <v/>
      </c>
      <c r="DR193" s="66" t="str">
        <f t="shared" si="3253"/>
        <v/>
      </c>
      <c r="DS193" s="66" t="str">
        <f t="shared" si="3253"/>
        <v/>
      </c>
      <c r="DT193" s="66" t="str">
        <f t="shared" si="3253"/>
        <v/>
      </c>
      <c r="DU193" s="66" t="str">
        <f t="shared" si="3253"/>
        <v/>
      </c>
      <c r="DV193" s="66" t="str">
        <f t="shared" si="3253"/>
        <v/>
      </c>
      <c r="DW193" s="66" t="str">
        <f t="shared" si="3253"/>
        <v/>
      </c>
      <c r="DX193" s="66" t="str">
        <f t="shared" si="3253"/>
        <v/>
      </c>
      <c r="DY193" s="66" t="str">
        <f t="shared" si="3253"/>
        <v/>
      </c>
      <c r="DZ193" s="66" t="str">
        <f t="shared" si="3253"/>
        <v/>
      </c>
      <c r="EA193" s="66" t="str">
        <f t="shared" si="3253"/>
        <v/>
      </c>
      <c r="EB193" s="66" t="str">
        <f t="shared" si="3253"/>
        <v/>
      </c>
      <c r="EC193" s="66" t="str">
        <f t="shared" si="3253"/>
        <v/>
      </c>
      <c r="ED193" s="66" t="str">
        <f t="shared" si="3253"/>
        <v/>
      </c>
      <c r="EE193" s="66" t="str">
        <f t="shared" si="3253"/>
        <v/>
      </c>
      <c r="EF193" s="66" t="str">
        <f t="shared" si="3253"/>
        <v/>
      </c>
      <c r="EG193" s="66" t="str">
        <f t="shared" si="3253"/>
        <v/>
      </c>
      <c r="EH193" s="66" t="str">
        <f t="shared" ref="EH193:FM193" si="3254">IF(BB193="","","|n"&amp;EH$2&amp;"+"&amp;BB193&amp;EH$1)</f>
        <v/>
      </c>
      <c r="EI193" s="66" t="str">
        <f t="shared" si="3254"/>
        <v/>
      </c>
      <c r="EJ193" s="66" t="str">
        <f t="shared" si="3254"/>
        <v/>
      </c>
      <c r="EK193" s="66" t="str">
        <f t="shared" si="3254"/>
        <v/>
      </c>
      <c r="EL193" s="66" t="str">
        <f t="shared" si="3254"/>
        <v/>
      </c>
      <c r="EM193" s="66" t="str">
        <f t="shared" si="3254"/>
        <v/>
      </c>
      <c r="EN193" s="66" t="str">
        <f t="shared" si="3254"/>
        <v/>
      </c>
      <c r="EO193" s="66" t="str">
        <f t="shared" si="3254"/>
        <v/>
      </c>
      <c r="EP193" s="66" t="str">
        <f t="shared" si="3254"/>
        <v/>
      </c>
      <c r="EQ193" s="66" t="str">
        <f t="shared" si="3254"/>
        <v/>
      </c>
      <c r="ER193" s="66" t="str">
        <f t="shared" si="3254"/>
        <v/>
      </c>
      <c r="ES193" s="66" t="str">
        <f t="shared" si="3254"/>
        <v/>
      </c>
      <c r="ET193" s="66" t="str">
        <f t="shared" si="3254"/>
        <v/>
      </c>
      <c r="EU193" s="66" t="str">
        <f t="shared" si="3254"/>
        <v/>
      </c>
      <c r="EV193" s="66" t="str">
        <f t="shared" si="3254"/>
        <v/>
      </c>
      <c r="EW193" s="66" t="str">
        <f t="shared" si="3254"/>
        <v/>
      </c>
      <c r="EX193" s="66" t="str">
        <f t="shared" si="3254"/>
        <v/>
      </c>
      <c r="EY193" s="66" t="str">
        <f t="shared" si="3254"/>
        <v/>
      </c>
      <c r="EZ193" s="66" t="str">
        <f t="shared" si="3254"/>
        <v/>
      </c>
      <c r="FA193" s="66" t="str">
        <f t="shared" si="3254"/>
        <v/>
      </c>
      <c r="FB193" s="66" t="str">
        <f t="shared" si="3254"/>
        <v/>
      </c>
      <c r="FC193" s="66" t="str">
        <f t="shared" si="3254"/>
        <v/>
      </c>
      <c r="FD193" s="66" t="str">
        <f t="shared" si="3254"/>
        <v/>
      </c>
      <c r="FE193" s="66" t="str">
        <f t="shared" si="3254"/>
        <v/>
      </c>
      <c r="FF193" s="66" t="str">
        <f t="shared" si="3254"/>
        <v/>
      </c>
      <c r="FG193" s="66" t="str">
        <f t="shared" si="3254"/>
        <v/>
      </c>
      <c r="FH193" s="66" t="str">
        <f t="shared" si="3254"/>
        <v/>
      </c>
      <c r="FI193" s="66" t="str">
        <f t="shared" si="3254"/>
        <v/>
      </c>
      <c r="FJ193" s="66" t="str">
        <f t="shared" si="3254"/>
        <v/>
      </c>
      <c r="FK193" s="66" t="str">
        <f t="shared" si="3254"/>
        <v/>
      </c>
      <c r="FL193" s="66" t="str">
        <f t="shared" si="3254"/>
        <v/>
      </c>
      <c r="FM193" s="66" t="str">
        <f t="shared" si="3254"/>
        <v/>
      </c>
      <c r="FN193" s="66" t="str">
        <f t="shared" ref="FN193:FS193" si="3255">IF(CH193="","","|n"&amp;FN$2&amp;"+"&amp;CH193&amp;FN$1)</f>
        <v/>
      </c>
      <c r="FO193" s="66" t="str">
        <f t="shared" si="3255"/>
        <v/>
      </c>
      <c r="FP193" s="66" t="str">
        <f t="shared" si="3255"/>
        <v/>
      </c>
      <c r="FQ193" s="66" t="str">
        <f t="shared" si="3255"/>
        <v/>
      </c>
      <c r="FR193" s="66" t="str">
        <f t="shared" si="3255"/>
        <v/>
      </c>
      <c r="FS193" s="66" t="str">
        <f t="shared" si="3255"/>
        <v/>
      </c>
    </row>
    <row r="194" spans="1:175">
      <c r="A194" s="15"/>
      <c r="B194" s="27" t="s">
        <v>705</v>
      </c>
      <c r="C194" s="28" t="s">
        <v>706</v>
      </c>
      <c r="T194" s="29" t="s">
        <v>707</v>
      </c>
      <c r="U194" s="77" t="str">
        <f t="shared" ref="U194:U202" si="3256">"ReplaceableTextures\\CommandButtons\\BTN"&amp;B194&amp;".blp"</f>
        <v>ReplaceableTextures\\CommandButtons\\BTNIB01.blp</v>
      </c>
      <c r="CN194" s="36" t="str">
        <f t="shared" si="3249"/>
        <v>InitUnitState('IB01',,,,,,,,,,)</v>
      </c>
      <c r="CO194" s="36" t="str">
        <f t="shared" si="3250"/>
        <v>InitUnitNormal('IB01',,,,,,,,,,)</v>
      </c>
      <c r="CP194" s="36" t="str">
        <f t="shared" si="3251"/>
        <v>InitUnitMagic('IB01',,,,,,,,,,)</v>
      </c>
      <c r="CQ194" s="36" t="str">
        <f t="shared" si="3252"/>
        <v>InitUnitAdd('IB01',,,,,,,,,,)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InitEquipData('IB01',,"",,,,,'','','','','','',"ReplaceableTextures\\CommandButtons\\BTNIB02.blp")</v>
      </c>
      <c r="CU194" s="88" t="str">
        <f t="shared" ref="CU194:CU202" si="325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202" si="3258">T194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4" s="33"/>
      <c r="CX194" s="33"/>
      <c r="CY194" s="33"/>
      <c r="CZ194" s="33"/>
      <c r="DA194" s="33"/>
      <c r="DB194" s="66" t="str">
        <f t="shared" ref="DB194:DB201" si="3259">IF(V194="","","|n"&amp;DB$2&amp;"+"&amp;V194&amp;DB$1)</f>
        <v/>
      </c>
      <c r="DC194" s="66" t="str">
        <f t="shared" ref="DC194:DC201" si="3260">IF(W194="","","|n"&amp;DC$2&amp;"+"&amp;W194&amp;DC$1)</f>
        <v/>
      </c>
      <c r="DD194" s="66" t="str">
        <f t="shared" ref="DD194:DD201" si="3261">IF(X194="","","|n"&amp;DD$2&amp;"+"&amp;X194&amp;DD$1)</f>
        <v/>
      </c>
      <c r="DE194" s="66" t="str">
        <f t="shared" ref="DE194:DE201" si="3262">IF(Y194="","","|n"&amp;DE$2&amp;"+"&amp;Y194&amp;DE$1)</f>
        <v/>
      </c>
      <c r="DF194" s="66" t="str">
        <f t="shared" ref="DF194:DF201" si="3263">IF(Z194="","","|n"&amp;DF$2&amp;"+"&amp;Z194&amp;DF$1)</f>
        <v/>
      </c>
      <c r="DG194" s="66" t="str">
        <f t="shared" ref="DG194:DG201" si="3264">IF(AA194="","","|n"&amp;DG$2&amp;"+"&amp;AA194&amp;DG$1)</f>
        <v/>
      </c>
      <c r="DH194" s="66" t="str">
        <f t="shared" ref="DH194:DH201" si="3265">IF(AB194="","","|n"&amp;DH$2&amp;"+"&amp;AB194&amp;DH$1)</f>
        <v/>
      </c>
      <c r="DI194" s="66" t="str">
        <f t="shared" ref="DI194:DI201" si="3266">IF(AC194="","","|n"&amp;DI$2&amp;"+"&amp;AC194&amp;DI$1)</f>
        <v/>
      </c>
      <c r="DJ194" s="66" t="str">
        <f t="shared" ref="DJ194:DJ201" si="3267">IF(AD194="","","|n"&amp;DJ$2&amp;"+"&amp;AD194&amp;DJ$1)</f>
        <v/>
      </c>
      <c r="DK194" s="66" t="str">
        <f t="shared" ref="DK194:DK201" si="3268">IF(AE194="","","|n"&amp;DK$2&amp;"+"&amp;AE194&amp;DK$1)</f>
        <v/>
      </c>
      <c r="DL194" s="66" t="str">
        <f t="shared" ref="DL194:DL201" si="3269">IF(AF194="","","|n"&amp;DL$2&amp;"+"&amp;AF194&amp;DL$1)</f>
        <v/>
      </c>
      <c r="DM194" s="66" t="str">
        <f t="shared" ref="DM194:DM201" si="3270">IF(AG194="","","|n"&amp;DM$2&amp;"+"&amp;AG194&amp;DM$1)</f>
        <v/>
      </c>
      <c r="DN194" s="66" t="str">
        <f t="shared" ref="DN194:DN201" si="3271">IF(AH194="","","|n"&amp;DN$2&amp;"+"&amp;AH194&amp;DN$1)</f>
        <v/>
      </c>
      <c r="DO194" s="66" t="str">
        <f t="shared" ref="DO194:DO201" si="3272">IF(AI194="","","|n"&amp;DO$2&amp;"+"&amp;AI194&amp;DO$1)</f>
        <v/>
      </c>
      <c r="DP194" s="66" t="str">
        <f t="shared" ref="DP194:DP201" si="3273">IF(AJ194="","","|n"&amp;DP$2&amp;"+"&amp;AJ194&amp;DP$1)</f>
        <v/>
      </c>
      <c r="DQ194" s="66" t="str">
        <f t="shared" ref="DQ194:DQ201" si="3274">IF(AK194="","","|n"&amp;DQ$2&amp;"+"&amp;AK194&amp;DQ$1)</f>
        <v/>
      </c>
      <c r="DR194" s="66" t="str">
        <f t="shared" ref="DR194:DR201" si="3275">IF(AL194="","","|n"&amp;DR$2&amp;"+"&amp;AL194&amp;DR$1)</f>
        <v/>
      </c>
      <c r="DS194" s="66" t="str">
        <f t="shared" ref="DS194:DS201" si="3276">IF(AM194="","","|n"&amp;DS$2&amp;"+"&amp;AM194&amp;DS$1)</f>
        <v/>
      </c>
      <c r="DT194" s="66" t="str">
        <f t="shared" ref="DT194:DT201" si="3277">IF(AN194="","","|n"&amp;DT$2&amp;"+"&amp;AN194&amp;DT$1)</f>
        <v/>
      </c>
      <c r="DU194" s="66" t="str">
        <f t="shared" ref="DU194:DU201" si="3278">IF(AO194="","","|n"&amp;DU$2&amp;"+"&amp;AO194&amp;DU$1)</f>
        <v/>
      </c>
      <c r="DV194" s="66" t="str">
        <f t="shared" ref="DV194:DV201" si="3279">IF(AP194="","","|n"&amp;DV$2&amp;"+"&amp;AP194&amp;DV$1)</f>
        <v/>
      </c>
      <c r="DW194" s="66" t="str">
        <f t="shared" ref="DW194:DW201" si="3280">IF(AQ194="","","|n"&amp;DW$2&amp;"+"&amp;AQ194&amp;DW$1)</f>
        <v/>
      </c>
      <c r="DX194" s="66" t="str">
        <f t="shared" ref="DX194:DX201" si="3281">IF(AR194="","","|n"&amp;DX$2&amp;"+"&amp;AR194&amp;DX$1)</f>
        <v/>
      </c>
      <c r="DY194" s="66" t="str">
        <f t="shared" ref="DY194:DY201" si="3282">IF(AS194="","","|n"&amp;DY$2&amp;"+"&amp;AS194&amp;DY$1)</f>
        <v/>
      </c>
      <c r="DZ194" s="66" t="str">
        <f t="shared" ref="DZ194:DZ201" si="3283">IF(AT194="","","|n"&amp;DZ$2&amp;"+"&amp;AT194&amp;DZ$1)</f>
        <v/>
      </c>
      <c r="EA194" s="66" t="str">
        <f t="shared" ref="EA194:EA201" si="3284">IF(AU194="","","|n"&amp;EA$2&amp;"+"&amp;AU194&amp;EA$1)</f>
        <v/>
      </c>
      <c r="EB194" s="66" t="str">
        <f t="shared" ref="EB194:EB201" si="3285">IF(AV194="","","|n"&amp;EB$2&amp;"+"&amp;AV194&amp;EB$1)</f>
        <v/>
      </c>
      <c r="EC194" s="66" t="str">
        <f t="shared" ref="EC194:EC201" si="3286">IF(AW194="","","|n"&amp;EC$2&amp;"+"&amp;AW194&amp;EC$1)</f>
        <v/>
      </c>
      <c r="ED194" s="66" t="str">
        <f t="shared" ref="ED194:ED201" si="3287">IF(AX194="","","|n"&amp;ED$2&amp;"+"&amp;AX194&amp;ED$1)</f>
        <v/>
      </c>
      <c r="EE194" s="66" t="str">
        <f t="shared" ref="EE194:EE201" si="3288">IF(AY194="","","|n"&amp;EE$2&amp;"+"&amp;AY194&amp;EE$1)</f>
        <v/>
      </c>
      <c r="EF194" s="66" t="str">
        <f t="shared" ref="EF194:EF201" si="3289">IF(AZ194="","","|n"&amp;EF$2&amp;"+"&amp;AZ194&amp;EF$1)</f>
        <v/>
      </c>
      <c r="EG194" s="66" t="str">
        <f t="shared" ref="EG194:EG201" si="3290">IF(BA194="","","|n"&amp;EG$2&amp;"+"&amp;BA194&amp;EG$1)</f>
        <v/>
      </c>
      <c r="EH194" s="66" t="str">
        <f t="shared" ref="EH194:EH201" si="3291">IF(BB194="","","|n"&amp;EH$2&amp;"+"&amp;BB194&amp;EH$1)</f>
        <v/>
      </c>
      <c r="EI194" s="66" t="str">
        <f t="shared" ref="EI194:EI201" si="3292">IF(BC194="","","|n"&amp;EI$2&amp;"+"&amp;BC194&amp;EI$1)</f>
        <v/>
      </c>
      <c r="EJ194" s="66" t="str">
        <f t="shared" ref="EJ194:EJ201" si="3293">IF(BD194="","","|n"&amp;EJ$2&amp;"+"&amp;BD194&amp;EJ$1)</f>
        <v/>
      </c>
      <c r="EK194" s="66" t="str">
        <f t="shared" ref="EK194:EK201" si="3294">IF(BE194="","","|n"&amp;EK$2&amp;"+"&amp;BE194&amp;EK$1)</f>
        <v/>
      </c>
      <c r="EL194" s="66" t="str">
        <f t="shared" ref="EL194:EL201" si="3295">IF(BF194="","","|n"&amp;EL$2&amp;"+"&amp;BF194&amp;EL$1)</f>
        <v/>
      </c>
      <c r="EM194" s="66" t="str">
        <f t="shared" ref="EM194:EM201" si="3296">IF(BG194="","","|n"&amp;EM$2&amp;"+"&amp;BG194&amp;EM$1)</f>
        <v/>
      </c>
      <c r="EN194" s="66" t="str">
        <f t="shared" ref="EN194:EN201" si="3297">IF(BH194="","","|n"&amp;EN$2&amp;"+"&amp;BH194&amp;EN$1)</f>
        <v/>
      </c>
      <c r="EO194" s="66" t="str">
        <f t="shared" ref="EO194:EO201" si="3298">IF(BI194="","","|n"&amp;EO$2&amp;"+"&amp;BI194&amp;EO$1)</f>
        <v/>
      </c>
      <c r="EP194" s="66" t="str">
        <f t="shared" ref="EP194:EP201" si="3299">IF(BJ194="","","|n"&amp;EP$2&amp;"+"&amp;BJ194&amp;EP$1)</f>
        <v/>
      </c>
      <c r="EQ194" s="66" t="str">
        <f t="shared" ref="EQ194:EQ201" si="3300">IF(BK194="","","|n"&amp;EQ$2&amp;"+"&amp;BK194&amp;EQ$1)</f>
        <v/>
      </c>
      <c r="ER194" s="66" t="str">
        <f t="shared" ref="ER194:ER201" si="3301">IF(BL194="","","|n"&amp;ER$2&amp;"+"&amp;BL194&amp;ER$1)</f>
        <v/>
      </c>
      <c r="ES194" s="66" t="str">
        <f t="shared" ref="ES194:ES201" si="3302">IF(BM194="","","|n"&amp;ES$2&amp;"+"&amp;BM194&amp;ES$1)</f>
        <v/>
      </c>
      <c r="ET194" s="66" t="str">
        <f t="shared" ref="ET194:ET201" si="3303">IF(BN194="","","|n"&amp;ET$2&amp;"+"&amp;BN194&amp;ET$1)</f>
        <v/>
      </c>
      <c r="EU194" s="66" t="str">
        <f t="shared" ref="EU194:EU201" si="3304">IF(BO194="","","|n"&amp;EU$2&amp;"+"&amp;BO194&amp;EU$1)</f>
        <v/>
      </c>
      <c r="EV194" s="66" t="str">
        <f t="shared" ref="EV194:EV201" si="3305">IF(BP194="","","|n"&amp;EV$2&amp;"+"&amp;BP194&amp;EV$1)</f>
        <v/>
      </c>
      <c r="EW194" s="66" t="str">
        <f t="shared" ref="EW194:EW201" si="3306">IF(BQ194="","","|n"&amp;EW$2&amp;"+"&amp;BQ194&amp;EW$1)</f>
        <v/>
      </c>
      <c r="EX194" s="66" t="str">
        <f t="shared" ref="EX194:EX201" si="3307">IF(BR194="","","|n"&amp;EX$2&amp;"+"&amp;BR194&amp;EX$1)</f>
        <v/>
      </c>
      <c r="EY194" s="66" t="str">
        <f t="shared" ref="EY194:EY201" si="3308">IF(BS194="","","|n"&amp;EY$2&amp;"+"&amp;BS194&amp;EY$1)</f>
        <v/>
      </c>
      <c r="EZ194" s="66" t="str">
        <f t="shared" ref="EZ194:EZ201" si="3309">IF(BT194="","","|n"&amp;EZ$2&amp;"+"&amp;BT194&amp;EZ$1)</f>
        <v/>
      </c>
      <c r="FA194" s="66" t="str">
        <f t="shared" ref="FA194:FA201" si="3310">IF(BU194="","","|n"&amp;FA$2&amp;"+"&amp;BU194&amp;FA$1)</f>
        <v/>
      </c>
      <c r="FB194" s="66" t="str">
        <f t="shared" ref="FB194:FB201" si="3311">IF(BV194="","","|n"&amp;FB$2&amp;"+"&amp;BV194&amp;FB$1)</f>
        <v/>
      </c>
      <c r="FC194" s="66" t="str">
        <f t="shared" ref="FC194:FC201" si="3312">IF(BW194="","","|n"&amp;FC$2&amp;"+"&amp;BW194&amp;FC$1)</f>
        <v/>
      </c>
      <c r="FD194" s="66" t="str">
        <f t="shared" ref="FD194:FD201" si="3313">IF(BX194="","","|n"&amp;FD$2&amp;"+"&amp;BX194&amp;FD$1)</f>
        <v/>
      </c>
      <c r="FE194" s="66" t="str">
        <f t="shared" ref="FE194:FE201" si="3314">IF(BY194="","","|n"&amp;FE$2&amp;"+"&amp;BY194&amp;FE$1)</f>
        <v/>
      </c>
      <c r="FF194" s="66" t="str">
        <f t="shared" ref="FF194:FF201" si="3315">IF(BZ194="","","|n"&amp;FF$2&amp;"+"&amp;BZ194&amp;FF$1)</f>
        <v/>
      </c>
      <c r="FG194" s="66" t="str">
        <f t="shared" ref="FG194:FG201" si="3316">IF(CA194="","","|n"&amp;FG$2&amp;"+"&amp;CA194&amp;FG$1)</f>
        <v/>
      </c>
      <c r="FH194" s="66" t="str">
        <f t="shared" ref="FH194:FH201" si="3317">IF(CB194="","","|n"&amp;FH$2&amp;"+"&amp;CB194&amp;FH$1)</f>
        <v/>
      </c>
      <c r="FI194" s="66" t="str">
        <f t="shared" ref="FI194:FI201" si="3318">IF(CC194="","","|n"&amp;FI$2&amp;"+"&amp;CC194&amp;FI$1)</f>
        <v/>
      </c>
      <c r="FJ194" s="66" t="str">
        <f t="shared" ref="FJ194:FJ201" si="3319">IF(CD194="","","|n"&amp;FJ$2&amp;"+"&amp;CD194&amp;FJ$1)</f>
        <v/>
      </c>
      <c r="FK194" s="66" t="str">
        <f t="shared" ref="FK194:FK201" si="3320">IF(CE194="","","|n"&amp;FK$2&amp;"+"&amp;CE194&amp;FK$1)</f>
        <v/>
      </c>
      <c r="FL194" s="66" t="str">
        <f t="shared" ref="FL194:FL201" si="3321">IF(CF194="","","|n"&amp;FL$2&amp;"+"&amp;CF194&amp;FL$1)</f>
        <v/>
      </c>
      <c r="FM194" s="66" t="str">
        <f t="shared" ref="FM194:FM201" si="3322">IF(CG194="","","|n"&amp;FM$2&amp;"+"&amp;CG194&amp;FM$1)</f>
        <v/>
      </c>
      <c r="FN194" s="66" t="str">
        <f t="shared" ref="FN194:FN201" si="3323">IF(CH194="","","|n"&amp;FN$2&amp;"+"&amp;CH194&amp;FN$1)</f>
        <v/>
      </c>
      <c r="FO194" s="66" t="str">
        <f t="shared" ref="FO194:FO201" si="3324">IF(CI194="","","|n"&amp;FO$2&amp;"+"&amp;CI194&amp;FO$1)</f>
        <v/>
      </c>
      <c r="FP194" s="66" t="str">
        <f t="shared" ref="FP194:FP201" si="3325">IF(CJ194="","","|n"&amp;FP$2&amp;"+"&amp;CJ194&amp;FP$1)</f>
        <v/>
      </c>
      <c r="FQ194" s="66" t="str">
        <f t="shared" ref="FQ194:FQ201" si="3326">IF(CK194="","","|n"&amp;FQ$2&amp;"+"&amp;CK194&amp;FQ$1)</f>
        <v/>
      </c>
      <c r="FR194" s="66" t="str">
        <f t="shared" ref="FR194:FR201" si="3327">IF(CL194="","","|n"&amp;FR$2&amp;"+"&amp;CL194&amp;FR$1)</f>
        <v/>
      </c>
      <c r="FS194" s="66" t="str">
        <f t="shared" ref="FS194:FS201" si="3328">IF(CM194="","","|n"&amp;FS$2&amp;"+"&amp;CM194&amp;FS$1)</f>
        <v/>
      </c>
    </row>
    <row r="195" spans="1:175">
      <c r="A195" s="15"/>
      <c r="B195" s="27" t="s">
        <v>708</v>
      </c>
      <c r="C195" s="28" t="s">
        <v>709</v>
      </c>
      <c r="T195" s="29" t="s">
        <v>710</v>
      </c>
      <c r="U195" s="77" t="str">
        <f t="shared" si="3256"/>
        <v>ReplaceableTextures\\CommandButtons\\BTNIB02.blp</v>
      </c>
      <c r="CN195" s="36" t="str">
        <f t="shared" si="3249"/>
        <v>InitUnitState('IB02',,,,,,,,,,)</v>
      </c>
      <c r="CO195" s="36" t="str">
        <f t="shared" si="3250"/>
        <v>InitUnitNormal('IB02',,,,,,,,,,)</v>
      </c>
      <c r="CP195" s="36" t="str">
        <f t="shared" si="3251"/>
        <v>InitUnitMagic('IB02',,,,,,,,,,)</v>
      </c>
      <c r="CQ195" s="36" t="str">
        <f t="shared" si="3252"/>
        <v>InitUnitAdd('IB02',,,,,,,,,,)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InitEquipData('IB02',,"",,,,,'','','','','','',"ReplaceableTextures\\CommandButtons\\BTNIB03.blp")</v>
      </c>
      <c r="CU195" s="88" t="str">
        <f t="shared" si="3257"/>
        <v>|n</v>
      </c>
      <c r="CV195" s="19" t="str">
        <f t="shared" si="3258"/>
        <v>加入《|cff00ffcc全民封神|r》官方QQ群，即可获得入群礼包码！|n|n输入礼包码即可获得：|n|cff00ff7f招魂幡Lv2|r</v>
      </c>
      <c r="CW195" s="33"/>
      <c r="CX195" s="33"/>
      <c r="CY195" s="33"/>
      <c r="CZ195" s="33"/>
      <c r="DA195" s="33"/>
      <c r="DB195" s="66" t="str">
        <f t="shared" si="3259"/>
        <v/>
      </c>
      <c r="DC195" s="66" t="str">
        <f t="shared" si="3260"/>
        <v/>
      </c>
      <c r="DD195" s="66" t="str">
        <f t="shared" si="3261"/>
        <v/>
      </c>
      <c r="DE195" s="66" t="str">
        <f t="shared" si="3262"/>
        <v/>
      </c>
      <c r="DF195" s="66" t="str">
        <f t="shared" si="3263"/>
        <v/>
      </c>
      <c r="DG195" s="66" t="str">
        <f t="shared" si="3264"/>
        <v/>
      </c>
      <c r="DH195" s="66" t="str">
        <f t="shared" si="3265"/>
        <v/>
      </c>
      <c r="DI195" s="66" t="str">
        <f t="shared" si="3266"/>
        <v/>
      </c>
      <c r="DJ195" s="66" t="str">
        <f t="shared" si="3267"/>
        <v/>
      </c>
      <c r="DK195" s="66" t="str">
        <f t="shared" si="3268"/>
        <v/>
      </c>
      <c r="DL195" s="66" t="str">
        <f t="shared" si="3269"/>
        <v/>
      </c>
      <c r="DM195" s="66" t="str">
        <f t="shared" si="3270"/>
        <v/>
      </c>
      <c r="DN195" s="66" t="str">
        <f t="shared" si="3271"/>
        <v/>
      </c>
      <c r="DO195" s="66" t="str">
        <f t="shared" si="3272"/>
        <v/>
      </c>
      <c r="DP195" s="66" t="str">
        <f t="shared" si="3273"/>
        <v/>
      </c>
      <c r="DQ195" s="66" t="str">
        <f t="shared" si="3274"/>
        <v/>
      </c>
      <c r="DR195" s="66" t="str">
        <f t="shared" si="3275"/>
        <v/>
      </c>
      <c r="DS195" s="66" t="str">
        <f t="shared" si="3276"/>
        <v/>
      </c>
      <c r="DT195" s="66" t="str">
        <f t="shared" si="3277"/>
        <v/>
      </c>
      <c r="DU195" s="66" t="str">
        <f t="shared" si="3278"/>
        <v/>
      </c>
      <c r="DV195" s="66" t="str">
        <f t="shared" si="3279"/>
        <v/>
      </c>
      <c r="DW195" s="66" t="str">
        <f t="shared" si="3280"/>
        <v/>
      </c>
      <c r="DX195" s="66" t="str">
        <f t="shared" si="3281"/>
        <v/>
      </c>
      <c r="DY195" s="66" t="str">
        <f t="shared" si="3282"/>
        <v/>
      </c>
      <c r="DZ195" s="66" t="str">
        <f t="shared" si="3283"/>
        <v/>
      </c>
      <c r="EA195" s="66" t="str">
        <f t="shared" si="3284"/>
        <v/>
      </c>
      <c r="EB195" s="66" t="str">
        <f t="shared" si="3285"/>
        <v/>
      </c>
      <c r="EC195" s="66" t="str">
        <f t="shared" si="3286"/>
        <v/>
      </c>
      <c r="ED195" s="66" t="str">
        <f t="shared" si="3287"/>
        <v/>
      </c>
      <c r="EE195" s="66" t="str">
        <f t="shared" si="3288"/>
        <v/>
      </c>
      <c r="EF195" s="66" t="str">
        <f t="shared" si="3289"/>
        <v/>
      </c>
      <c r="EG195" s="66" t="str">
        <f t="shared" si="3290"/>
        <v/>
      </c>
      <c r="EH195" s="66" t="str">
        <f t="shared" si="3291"/>
        <v/>
      </c>
      <c r="EI195" s="66" t="str">
        <f t="shared" si="3292"/>
        <v/>
      </c>
      <c r="EJ195" s="66" t="str">
        <f t="shared" si="3293"/>
        <v/>
      </c>
      <c r="EK195" s="66" t="str">
        <f t="shared" si="3294"/>
        <v/>
      </c>
      <c r="EL195" s="66" t="str">
        <f t="shared" si="3295"/>
        <v/>
      </c>
      <c r="EM195" s="66" t="str">
        <f t="shared" si="3296"/>
        <v/>
      </c>
      <c r="EN195" s="66" t="str">
        <f t="shared" si="3297"/>
        <v/>
      </c>
      <c r="EO195" s="66" t="str">
        <f t="shared" si="3298"/>
        <v/>
      </c>
      <c r="EP195" s="66" t="str">
        <f t="shared" si="3299"/>
        <v/>
      </c>
      <c r="EQ195" s="66" t="str">
        <f t="shared" si="3300"/>
        <v/>
      </c>
      <c r="ER195" s="66" t="str">
        <f t="shared" si="3301"/>
        <v/>
      </c>
      <c r="ES195" s="66" t="str">
        <f t="shared" si="3302"/>
        <v/>
      </c>
      <c r="ET195" s="66" t="str">
        <f t="shared" si="3303"/>
        <v/>
      </c>
      <c r="EU195" s="66" t="str">
        <f t="shared" si="3304"/>
        <v/>
      </c>
      <c r="EV195" s="66" t="str">
        <f t="shared" si="3305"/>
        <v/>
      </c>
      <c r="EW195" s="66" t="str">
        <f t="shared" si="3306"/>
        <v/>
      </c>
      <c r="EX195" s="66" t="str">
        <f t="shared" si="3307"/>
        <v/>
      </c>
      <c r="EY195" s="66" t="str">
        <f t="shared" si="3308"/>
        <v/>
      </c>
      <c r="EZ195" s="66" t="str">
        <f t="shared" si="3309"/>
        <v/>
      </c>
      <c r="FA195" s="66" t="str">
        <f t="shared" si="3310"/>
        <v/>
      </c>
      <c r="FB195" s="66" t="str">
        <f t="shared" si="3311"/>
        <v/>
      </c>
      <c r="FC195" s="66" t="str">
        <f t="shared" si="3312"/>
        <v/>
      </c>
      <c r="FD195" s="66" t="str">
        <f t="shared" si="3313"/>
        <v/>
      </c>
      <c r="FE195" s="66" t="str">
        <f t="shared" si="3314"/>
        <v/>
      </c>
      <c r="FF195" s="66" t="str">
        <f t="shared" si="3315"/>
        <v/>
      </c>
      <c r="FG195" s="66" t="str">
        <f t="shared" si="3316"/>
        <v/>
      </c>
      <c r="FH195" s="66" t="str">
        <f t="shared" si="3317"/>
        <v/>
      </c>
      <c r="FI195" s="66" t="str">
        <f t="shared" si="3318"/>
        <v/>
      </c>
      <c r="FJ195" s="66" t="str">
        <f t="shared" si="3319"/>
        <v/>
      </c>
      <c r="FK195" s="66" t="str">
        <f t="shared" si="3320"/>
        <v/>
      </c>
      <c r="FL195" s="66" t="str">
        <f t="shared" si="3321"/>
        <v/>
      </c>
      <c r="FM195" s="66" t="str">
        <f t="shared" si="3322"/>
        <v/>
      </c>
      <c r="FN195" s="66" t="str">
        <f t="shared" si="3323"/>
        <v/>
      </c>
      <c r="FO195" s="66" t="str">
        <f t="shared" si="3324"/>
        <v/>
      </c>
      <c r="FP195" s="66" t="str">
        <f t="shared" si="3325"/>
        <v/>
      </c>
      <c r="FQ195" s="66" t="str">
        <f t="shared" si="3326"/>
        <v/>
      </c>
      <c r="FR195" s="66" t="str">
        <f t="shared" si="3327"/>
        <v/>
      </c>
      <c r="FS195" s="66" t="str">
        <f t="shared" si="3328"/>
        <v/>
      </c>
    </row>
    <row r="196" spans="1:175">
      <c r="A196" s="15"/>
      <c r="B196" s="27" t="s">
        <v>711</v>
      </c>
      <c r="C196" s="28" t="s">
        <v>712</v>
      </c>
      <c r="T196" s="29" t="s">
        <v>713</v>
      </c>
      <c r="U196" s="77" t="str">
        <f t="shared" si="3256"/>
        <v>ReplaceableTextures\\CommandButtons\\BTNIB03.blp</v>
      </c>
      <c r="CN196" s="36" t="str">
        <f t="shared" si="3249"/>
        <v>InitUnitState('IB03',,,,,,,,,,)</v>
      </c>
      <c r="CO196" s="36" t="str">
        <f t="shared" si="3250"/>
        <v>InitUnitNormal('IB03',,,,,,,,,,)</v>
      </c>
      <c r="CP196" s="36" t="str">
        <f t="shared" si="3251"/>
        <v>InitUnitMagic('IB03',,,,,,,,,,)</v>
      </c>
      <c r="CQ196" s="36" t="str">
        <f t="shared" si="3252"/>
        <v>InitUnitAdd('IB03',,,,,,,,,,)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InitEquipData('IB03',,"",,,,,'','','','','','',"ReplaceableTextures\\CommandButtons\\BTNIB04.blp")</v>
      </c>
      <c r="CU196" s="88" t="str">
        <f t="shared" si="3257"/>
        <v>|n</v>
      </c>
      <c r="CV196" s="19" t="str">
        <f t="shared" si="3258"/>
        <v>|cff99ccff给与地图有效评论建议|r即可领取：|n|cffffff00杀敌生命+5+3*通行证等级|n杀敌业力+1|n|n|r|cff808080地图等级达到3级可领取|r</v>
      </c>
      <c r="CW196" s="33"/>
      <c r="CX196" s="33"/>
      <c r="CY196" s="33"/>
      <c r="CZ196" s="33"/>
      <c r="DA196" s="33"/>
      <c r="DB196" s="66" t="str">
        <f t="shared" si="3259"/>
        <v/>
      </c>
      <c r="DC196" s="66" t="str">
        <f t="shared" si="3260"/>
        <v/>
      </c>
      <c r="DD196" s="66" t="str">
        <f t="shared" si="3261"/>
        <v/>
      </c>
      <c r="DE196" s="66" t="str">
        <f t="shared" si="3262"/>
        <v/>
      </c>
      <c r="DF196" s="66" t="str">
        <f t="shared" si="3263"/>
        <v/>
      </c>
      <c r="DG196" s="66" t="str">
        <f t="shared" si="3264"/>
        <v/>
      </c>
      <c r="DH196" s="66" t="str">
        <f t="shared" si="3265"/>
        <v/>
      </c>
      <c r="DI196" s="66" t="str">
        <f t="shared" si="3266"/>
        <v/>
      </c>
      <c r="DJ196" s="66" t="str">
        <f t="shared" si="3267"/>
        <v/>
      </c>
      <c r="DK196" s="66" t="str">
        <f t="shared" si="3268"/>
        <v/>
      </c>
      <c r="DL196" s="66" t="str">
        <f t="shared" si="3269"/>
        <v/>
      </c>
      <c r="DM196" s="66" t="str">
        <f t="shared" si="3270"/>
        <v/>
      </c>
      <c r="DN196" s="66" t="str">
        <f t="shared" si="3271"/>
        <v/>
      </c>
      <c r="DO196" s="66" t="str">
        <f t="shared" si="3272"/>
        <v/>
      </c>
      <c r="DP196" s="66" t="str">
        <f t="shared" si="3273"/>
        <v/>
      </c>
      <c r="DQ196" s="66" t="str">
        <f t="shared" si="3274"/>
        <v/>
      </c>
      <c r="DR196" s="66" t="str">
        <f t="shared" si="3275"/>
        <v/>
      </c>
      <c r="DS196" s="66" t="str">
        <f t="shared" si="3276"/>
        <v/>
      </c>
      <c r="DT196" s="66" t="str">
        <f t="shared" si="3277"/>
        <v/>
      </c>
      <c r="DU196" s="66" t="str">
        <f t="shared" si="3278"/>
        <v/>
      </c>
      <c r="DV196" s="66" t="str">
        <f t="shared" si="3279"/>
        <v/>
      </c>
      <c r="DW196" s="66" t="str">
        <f t="shared" si="3280"/>
        <v/>
      </c>
      <c r="DX196" s="66" t="str">
        <f t="shared" si="3281"/>
        <v/>
      </c>
      <c r="DY196" s="66" t="str">
        <f t="shared" si="3282"/>
        <v/>
      </c>
      <c r="DZ196" s="66" t="str">
        <f t="shared" si="3283"/>
        <v/>
      </c>
      <c r="EA196" s="66" t="str">
        <f t="shared" si="3284"/>
        <v/>
      </c>
      <c r="EB196" s="66" t="str">
        <f t="shared" si="3285"/>
        <v/>
      </c>
      <c r="EC196" s="66" t="str">
        <f t="shared" si="3286"/>
        <v/>
      </c>
      <c r="ED196" s="66" t="str">
        <f t="shared" si="3287"/>
        <v/>
      </c>
      <c r="EE196" s="66" t="str">
        <f t="shared" si="3288"/>
        <v/>
      </c>
      <c r="EF196" s="66" t="str">
        <f t="shared" si="3289"/>
        <v/>
      </c>
      <c r="EG196" s="66" t="str">
        <f t="shared" si="3290"/>
        <v/>
      </c>
      <c r="EH196" s="66" t="str">
        <f t="shared" si="3291"/>
        <v/>
      </c>
      <c r="EI196" s="66" t="str">
        <f t="shared" si="3292"/>
        <v/>
      </c>
      <c r="EJ196" s="66" t="str">
        <f t="shared" si="3293"/>
        <v/>
      </c>
      <c r="EK196" s="66" t="str">
        <f t="shared" si="3294"/>
        <v/>
      </c>
      <c r="EL196" s="66" t="str">
        <f t="shared" si="3295"/>
        <v/>
      </c>
      <c r="EM196" s="66" t="str">
        <f t="shared" si="3296"/>
        <v/>
      </c>
      <c r="EN196" s="66" t="str">
        <f t="shared" si="3297"/>
        <v/>
      </c>
      <c r="EO196" s="66" t="str">
        <f t="shared" si="3298"/>
        <v/>
      </c>
      <c r="EP196" s="66" t="str">
        <f t="shared" si="3299"/>
        <v/>
      </c>
      <c r="EQ196" s="66" t="str">
        <f t="shared" si="3300"/>
        <v/>
      </c>
      <c r="ER196" s="66" t="str">
        <f t="shared" si="3301"/>
        <v/>
      </c>
      <c r="ES196" s="66" t="str">
        <f t="shared" si="3302"/>
        <v/>
      </c>
      <c r="ET196" s="66" t="str">
        <f t="shared" si="3303"/>
        <v/>
      </c>
      <c r="EU196" s="66" t="str">
        <f t="shared" si="3304"/>
        <v/>
      </c>
      <c r="EV196" s="66" t="str">
        <f t="shared" si="3305"/>
        <v/>
      </c>
      <c r="EW196" s="66" t="str">
        <f t="shared" si="3306"/>
        <v/>
      </c>
      <c r="EX196" s="66" t="str">
        <f t="shared" si="3307"/>
        <v/>
      </c>
      <c r="EY196" s="66" t="str">
        <f t="shared" si="3308"/>
        <v/>
      </c>
      <c r="EZ196" s="66" t="str">
        <f t="shared" si="3309"/>
        <v/>
      </c>
      <c r="FA196" s="66" t="str">
        <f t="shared" si="3310"/>
        <v/>
      </c>
      <c r="FB196" s="66" t="str">
        <f t="shared" si="3311"/>
        <v/>
      </c>
      <c r="FC196" s="66" t="str">
        <f t="shared" si="3312"/>
        <v/>
      </c>
      <c r="FD196" s="66" t="str">
        <f t="shared" si="3313"/>
        <v/>
      </c>
      <c r="FE196" s="66" t="str">
        <f t="shared" si="3314"/>
        <v/>
      </c>
      <c r="FF196" s="66" t="str">
        <f t="shared" si="3315"/>
        <v/>
      </c>
      <c r="FG196" s="66" t="str">
        <f t="shared" si="3316"/>
        <v/>
      </c>
      <c r="FH196" s="66" t="str">
        <f t="shared" si="3317"/>
        <v/>
      </c>
      <c r="FI196" s="66" t="str">
        <f t="shared" si="3318"/>
        <v/>
      </c>
      <c r="FJ196" s="66" t="str">
        <f t="shared" si="3319"/>
        <v/>
      </c>
      <c r="FK196" s="66" t="str">
        <f t="shared" si="3320"/>
        <v/>
      </c>
      <c r="FL196" s="66" t="str">
        <f t="shared" si="3321"/>
        <v/>
      </c>
      <c r="FM196" s="66" t="str">
        <f t="shared" si="3322"/>
        <v/>
      </c>
      <c r="FN196" s="66" t="str">
        <f t="shared" si="3323"/>
        <v/>
      </c>
      <c r="FO196" s="66" t="str">
        <f t="shared" si="3324"/>
        <v/>
      </c>
      <c r="FP196" s="66" t="str">
        <f t="shared" si="3325"/>
        <v/>
      </c>
      <c r="FQ196" s="66" t="str">
        <f t="shared" si="3326"/>
        <v/>
      </c>
      <c r="FR196" s="66" t="str">
        <f t="shared" si="3327"/>
        <v/>
      </c>
      <c r="FS196" s="66" t="str">
        <f t="shared" si="3328"/>
        <v/>
      </c>
    </row>
    <row r="197" spans="1:175">
      <c r="A197" s="15"/>
      <c r="B197" s="27" t="s">
        <v>714</v>
      </c>
      <c r="C197" s="28" t="s">
        <v>715</v>
      </c>
      <c r="T197" s="29" t="s">
        <v>716</v>
      </c>
      <c r="U197" s="77" t="str">
        <f t="shared" si="3256"/>
        <v>ReplaceableTextures\\CommandButtons\\BTNIB04.blp</v>
      </c>
      <c r="CN197" s="36" t="str">
        <f t="shared" ref="CN197:CN203" si="3329">"InitUnitState('"&amp;B197&amp;"',"&amp;V197&amp;","&amp;W197&amp;","&amp;X197&amp;","&amp;Y197&amp;","&amp;Z197&amp;","&amp;AA197&amp;","&amp;AB197&amp;","&amp;AC197&amp;","&amp;AD197&amp;","&amp;AE197&amp;")"</f>
        <v>InitUnitState('IB04',,,,,,,,,,)</v>
      </c>
      <c r="CO197" s="36" t="str">
        <f t="shared" ref="CO197:CO203" si="3330">"InitUnitNormal('"&amp;B197&amp;"',"&amp;AF197&amp;","&amp;AG197&amp;","&amp;AH197&amp;","&amp;AI197&amp;","&amp;AJ197&amp;","&amp;AK197&amp;","&amp;AL197&amp;","&amp;AM197&amp;","&amp;AN197&amp;","&amp;AO197&amp;")"</f>
        <v>InitUnitNormal('IB04',,,,,,,,,,)</v>
      </c>
      <c r="CP197" s="36" t="str">
        <f t="shared" ref="CP197:CP203" si="3331">"InitUnitMagic('"&amp;B197&amp;"',"&amp;AP197&amp;","&amp;AQ197&amp;","&amp;AR197&amp;","&amp;AS197&amp;","&amp;AT197&amp;","&amp;AU197&amp;","&amp;AV197&amp;","&amp;AW197&amp;","&amp;BI197&amp;","&amp;BJ197&amp;")"</f>
        <v>InitUnitMagic('IB04',,,,,,,,,,)</v>
      </c>
      <c r="CQ197" s="36" t="str">
        <f t="shared" ref="CQ197:CQ203" si="3332">"InitUnitAdd('"&amp;B197&amp;"',"&amp;BK197&amp;","&amp;BL197&amp;","&amp;BM197&amp;","&amp;BN197&amp;","&amp;BO197&amp;","&amp;BP197&amp;","&amp;BQ197&amp;","&amp;BR197&amp;","&amp;BS197&amp;","&amp;BT197&amp;")"</f>
        <v>InitUnitAdd('IB04',,,,,,,,,,)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InitEquipData('IB04',,"",,,,,'','','','','','',"ReplaceableTextures\\CommandButtons\\BTNIB05.blp")</v>
      </c>
      <c r="CU197" s="88" t="str">
        <f t="shared" si="3257"/>
        <v>|n</v>
      </c>
      <c r="CV197" s="19" t="str">
        <f t="shared" si="3258"/>
        <v>|cff99ccff房间大厅界面点击右上角《|r|cffcc99ff收藏|r|cff99ccff》后可领取该礼包。|n|n|r属性：|n|cffffcc33物理伤害+5%|n法术伤害+5%|r</v>
      </c>
      <c r="CW197" s="33"/>
      <c r="CX197" s="33"/>
      <c r="CY197" s="33"/>
      <c r="CZ197" s="33"/>
      <c r="DA197" s="33"/>
      <c r="DB197" s="66" t="str">
        <f t="shared" si="3259"/>
        <v/>
      </c>
      <c r="DC197" s="66" t="str">
        <f t="shared" si="3260"/>
        <v/>
      </c>
      <c r="DD197" s="66" t="str">
        <f t="shared" si="3261"/>
        <v/>
      </c>
      <c r="DE197" s="66" t="str">
        <f t="shared" si="3262"/>
        <v/>
      </c>
      <c r="DF197" s="66" t="str">
        <f t="shared" si="3263"/>
        <v/>
      </c>
      <c r="DG197" s="66" t="str">
        <f t="shared" si="3264"/>
        <v/>
      </c>
      <c r="DH197" s="66" t="str">
        <f t="shared" si="3265"/>
        <v/>
      </c>
      <c r="DI197" s="66" t="str">
        <f t="shared" si="3266"/>
        <v/>
      </c>
      <c r="DJ197" s="66" t="str">
        <f t="shared" si="3267"/>
        <v/>
      </c>
      <c r="DK197" s="66" t="str">
        <f t="shared" si="3268"/>
        <v/>
      </c>
      <c r="DL197" s="66" t="str">
        <f t="shared" si="3269"/>
        <v/>
      </c>
      <c r="DM197" s="66" t="str">
        <f t="shared" si="3270"/>
        <v/>
      </c>
      <c r="DN197" s="66" t="str">
        <f t="shared" si="3271"/>
        <v/>
      </c>
      <c r="DO197" s="66" t="str">
        <f t="shared" si="3272"/>
        <v/>
      </c>
      <c r="DP197" s="66" t="str">
        <f t="shared" si="3273"/>
        <v/>
      </c>
      <c r="DQ197" s="66" t="str">
        <f t="shared" si="3274"/>
        <v/>
      </c>
      <c r="DR197" s="66" t="str">
        <f t="shared" si="3275"/>
        <v/>
      </c>
      <c r="DS197" s="66" t="str">
        <f t="shared" si="3276"/>
        <v/>
      </c>
      <c r="DT197" s="66" t="str">
        <f t="shared" si="3277"/>
        <v/>
      </c>
      <c r="DU197" s="66" t="str">
        <f t="shared" si="3278"/>
        <v/>
      </c>
      <c r="DV197" s="66" t="str">
        <f t="shared" si="3279"/>
        <v/>
      </c>
      <c r="DW197" s="66" t="str">
        <f t="shared" si="3280"/>
        <v/>
      </c>
      <c r="DX197" s="66" t="str">
        <f t="shared" si="3281"/>
        <v/>
      </c>
      <c r="DY197" s="66" t="str">
        <f t="shared" si="3282"/>
        <v/>
      </c>
      <c r="DZ197" s="66" t="str">
        <f t="shared" si="3283"/>
        <v/>
      </c>
      <c r="EA197" s="66" t="str">
        <f t="shared" si="3284"/>
        <v/>
      </c>
      <c r="EB197" s="66" t="str">
        <f t="shared" si="3285"/>
        <v/>
      </c>
      <c r="EC197" s="66" t="str">
        <f t="shared" si="3286"/>
        <v/>
      </c>
      <c r="ED197" s="66" t="str">
        <f t="shared" si="3287"/>
        <v/>
      </c>
      <c r="EE197" s="66" t="str">
        <f t="shared" si="3288"/>
        <v/>
      </c>
      <c r="EF197" s="66" t="str">
        <f t="shared" si="3289"/>
        <v/>
      </c>
      <c r="EG197" s="66" t="str">
        <f t="shared" si="3290"/>
        <v/>
      </c>
      <c r="EH197" s="66" t="str">
        <f t="shared" si="3291"/>
        <v/>
      </c>
      <c r="EI197" s="66" t="str">
        <f t="shared" si="3292"/>
        <v/>
      </c>
      <c r="EJ197" s="66" t="str">
        <f t="shared" si="3293"/>
        <v/>
      </c>
      <c r="EK197" s="66" t="str">
        <f t="shared" si="3294"/>
        <v/>
      </c>
      <c r="EL197" s="66" t="str">
        <f t="shared" si="3295"/>
        <v/>
      </c>
      <c r="EM197" s="66" t="str">
        <f t="shared" si="3296"/>
        <v/>
      </c>
      <c r="EN197" s="66" t="str">
        <f t="shared" si="3297"/>
        <v/>
      </c>
      <c r="EO197" s="66" t="str">
        <f t="shared" si="3298"/>
        <v/>
      </c>
      <c r="EP197" s="66" t="str">
        <f t="shared" si="3299"/>
        <v/>
      </c>
      <c r="EQ197" s="66" t="str">
        <f t="shared" si="3300"/>
        <v/>
      </c>
      <c r="ER197" s="66" t="str">
        <f t="shared" si="3301"/>
        <v/>
      </c>
      <c r="ES197" s="66" t="str">
        <f t="shared" si="3302"/>
        <v/>
      </c>
      <c r="ET197" s="66" t="str">
        <f t="shared" si="3303"/>
        <v/>
      </c>
      <c r="EU197" s="66" t="str">
        <f t="shared" si="3304"/>
        <v/>
      </c>
      <c r="EV197" s="66" t="str">
        <f t="shared" si="3305"/>
        <v/>
      </c>
      <c r="EW197" s="66" t="str">
        <f t="shared" si="3306"/>
        <v/>
      </c>
      <c r="EX197" s="66" t="str">
        <f t="shared" si="3307"/>
        <v/>
      </c>
      <c r="EY197" s="66" t="str">
        <f t="shared" si="3308"/>
        <v/>
      </c>
      <c r="EZ197" s="66" t="str">
        <f t="shared" si="3309"/>
        <v/>
      </c>
      <c r="FA197" s="66" t="str">
        <f t="shared" si="3310"/>
        <v/>
      </c>
      <c r="FB197" s="66" t="str">
        <f t="shared" si="3311"/>
        <v/>
      </c>
      <c r="FC197" s="66" t="str">
        <f t="shared" si="3312"/>
        <v/>
      </c>
      <c r="FD197" s="66" t="str">
        <f t="shared" si="3313"/>
        <v/>
      </c>
      <c r="FE197" s="66" t="str">
        <f t="shared" si="3314"/>
        <v/>
      </c>
      <c r="FF197" s="66" t="str">
        <f t="shared" si="3315"/>
        <v/>
      </c>
      <c r="FG197" s="66" t="str">
        <f t="shared" si="3316"/>
        <v/>
      </c>
      <c r="FH197" s="66" t="str">
        <f t="shared" si="3317"/>
        <v/>
      </c>
      <c r="FI197" s="66" t="str">
        <f t="shared" si="3318"/>
        <v/>
      </c>
      <c r="FJ197" s="66" t="str">
        <f t="shared" si="3319"/>
        <v/>
      </c>
      <c r="FK197" s="66" t="str">
        <f t="shared" si="3320"/>
        <v/>
      </c>
      <c r="FL197" s="66" t="str">
        <f t="shared" si="3321"/>
        <v/>
      </c>
      <c r="FM197" s="66" t="str">
        <f t="shared" si="3322"/>
        <v/>
      </c>
      <c r="FN197" s="66" t="str">
        <f t="shared" si="3323"/>
        <v/>
      </c>
      <c r="FO197" s="66" t="str">
        <f t="shared" si="3324"/>
        <v/>
      </c>
      <c r="FP197" s="66" t="str">
        <f t="shared" si="3325"/>
        <v/>
      </c>
      <c r="FQ197" s="66" t="str">
        <f t="shared" si="3326"/>
        <v/>
      </c>
      <c r="FR197" s="66" t="str">
        <f t="shared" si="3327"/>
        <v/>
      </c>
      <c r="FS197" s="66" t="str">
        <f t="shared" si="3328"/>
        <v/>
      </c>
    </row>
    <row r="198" spans="1:175">
      <c r="A198" s="15"/>
      <c r="B198" s="27" t="s">
        <v>717</v>
      </c>
      <c r="C198" s="28" t="s">
        <v>718</v>
      </c>
      <c r="T198" s="150" t="s">
        <v>898</v>
      </c>
      <c r="U198" s="77" t="str">
        <f t="shared" si="3256"/>
        <v>ReplaceableTextures\\CommandButtons\\BTNIB05.blp</v>
      </c>
      <c r="CN198" s="36" t="str">
        <f t="shared" si="3329"/>
        <v>InitUnitState('IB05',,,,,,,,,,)</v>
      </c>
      <c r="CO198" s="36" t="str">
        <f t="shared" si="3330"/>
        <v>InitUnitNormal('IB05',,,,,,,,,,)</v>
      </c>
      <c r="CP198" s="36" t="str">
        <f t="shared" si="3331"/>
        <v>InitUnitMagic('IB05',,,,,,,,,,)</v>
      </c>
      <c r="CQ198" s="36" t="str">
        <f t="shared" si="3332"/>
        <v>InitUnitAdd('IB05',,,,,,,,,,)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InitEquipData('IB05',,"",,,,,'','','','','','',"")</v>
      </c>
      <c r="CU198" s="88" t="str">
        <f t="shared" si="3257"/>
        <v>|n</v>
      </c>
      <c r="CV198" s="19" t="str">
        <f t="shared" si="3258"/>
        <v>|cff33ff00购买魔兽重制版可领取该礼包！|n|n|r属性：|n|cffffcc33金币+1000|n每秒攻击+2|n每秒业力+1|r</v>
      </c>
      <c r="CW198" s="33"/>
      <c r="CX198" s="33"/>
      <c r="CY198" s="33"/>
      <c r="CZ198" s="33"/>
      <c r="DA198" s="33"/>
      <c r="DB198" s="66" t="str">
        <f t="shared" si="3259"/>
        <v/>
      </c>
      <c r="DC198" s="66" t="str">
        <f t="shared" si="3260"/>
        <v/>
      </c>
      <c r="DD198" s="66" t="str">
        <f t="shared" si="3261"/>
        <v/>
      </c>
      <c r="DE198" s="66" t="str">
        <f t="shared" si="3262"/>
        <v/>
      </c>
      <c r="DF198" s="66" t="str">
        <f t="shared" si="3263"/>
        <v/>
      </c>
      <c r="DG198" s="66" t="str">
        <f t="shared" si="3264"/>
        <v/>
      </c>
      <c r="DH198" s="66" t="str">
        <f t="shared" si="3265"/>
        <v/>
      </c>
      <c r="DI198" s="66" t="str">
        <f t="shared" si="3266"/>
        <v/>
      </c>
      <c r="DJ198" s="66" t="str">
        <f t="shared" si="3267"/>
        <v/>
      </c>
      <c r="DK198" s="66" t="str">
        <f t="shared" si="3268"/>
        <v/>
      </c>
      <c r="DL198" s="66" t="str">
        <f t="shared" si="3269"/>
        <v/>
      </c>
      <c r="DM198" s="66" t="str">
        <f t="shared" si="3270"/>
        <v/>
      </c>
      <c r="DN198" s="66" t="str">
        <f t="shared" si="3271"/>
        <v/>
      </c>
      <c r="DO198" s="66" t="str">
        <f t="shared" si="3272"/>
        <v/>
      </c>
      <c r="DP198" s="66" t="str">
        <f t="shared" si="3273"/>
        <v/>
      </c>
      <c r="DQ198" s="66" t="str">
        <f t="shared" si="3274"/>
        <v/>
      </c>
      <c r="DR198" s="66" t="str">
        <f t="shared" si="3275"/>
        <v/>
      </c>
      <c r="DS198" s="66" t="str">
        <f t="shared" si="3276"/>
        <v/>
      </c>
      <c r="DT198" s="66" t="str">
        <f t="shared" si="3277"/>
        <v/>
      </c>
      <c r="DU198" s="66" t="str">
        <f t="shared" si="3278"/>
        <v/>
      </c>
      <c r="DV198" s="66" t="str">
        <f t="shared" si="3279"/>
        <v/>
      </c>
      <c r="DW198" s="66" t="str">
        <f t="shared" si="3280"/>
        <v/>
      </c>
      <c r="DX198" s="66" t="str">
        <f t="shared" si="3281"/>
        <v/>
      </c>
      <c r="DY198" s="66" t="str">
        <f t="shared" si="3282"/>
        <v/>
      </c>
      <c r="DZ198" s="66" t="str">
        <f t="shared" si="3283"/>
        <v/>
      </c>
      <c r="EA198" s="66" t="str">
        <f t="shared" si="3284"/>
        <v/>
      </c>
      <c r="EB198" s="66" t="str">
        <f t="shared" si="3285"/>
        <v/>
      </c>
      <c r="EC198" s="66" t="str">
        <f t="shared" si="3286"/>
        <v/>
      </c>
      <c r="ED198" s="66" t="str">
        <f t="shared" si="3287"/>
        <v/>
      </c>
      <c r="EE198" s="66" t="str">
        <f t="shared" si="3288"/>
        <v/>
      </c>
      <c r="EF198" s="66" t="str">
        <f t="shared" si="3289"/>
        <v/>
      </c>
      <c r="EG198" s="66" t="str">
        <f t="shared" si="3290"/>
        <v/>
      </c>
      <c r="EH198" s="66" t="str">
        <f t="shared" si="3291"/>
        <v/>
      </c>
      <c r="EI198" s="66" t="str">
        <f t="shared" si="3292"/>
        <v/>
      </c>
      <c r="EJ198" s="66" t="str">
        <f t="shared" si="3293"/>
        <v/>
      </c>
      <c r="EK198" s="66" t="str">
        <f t="shared" si="3294"/>
        <v/>
      </c>
      <c r="EL198" s="66" t="str">
        <f t="shared" si="3295"/>
        <v/>
      </c>
      <c r="EM198" s="66" t="str">
        <f t="shared" si="3296"/>
        <v/>
      </c>
      <c r="EN198" s="66" t="str">
        <f t="shared" si="3297"/>
        <v/>
      </c>
      <c r="EO198" s="66" t="str">
        <f t="shared" si="3298"/>
        <v/>
      </c>
      <c r="EP198" s="66" t="str">
        <f t="shared" si="3299"/>
        <v/>
      </c>
      <c r="EQ198" s="66" t="str">
        <f t="shared" si="3300"/>
        <v/>
      </c>
      <c r="ER198" s="66" t="str">
        <f t="shared" si="3301"/>
        <v/>
      </c>
      <c r="ES198" s="66" t="str">
        <f t="shared" si="3302"/>
        <v/>
      </c>
      <c r="ET198" s="66" t="str">
        <f t="shared" si="3303"/>
        <v/>
      </c>
      <c r="EU198" s="66" t="str">
        <f t="shared" si="3304"/>
        <v/>
      </c>
      <c r="EV198" s="66" t="str">
        <f t="shared" si="3305"/>
        <v/>
      </c>
      <c r="EW198" s="66" t="str">
        <f t="shared" si="3306"/>
        <v/>
      </c>
      <c r="EX198" s="66" t="str">
        <f t="shared" si="3307"/>
        <v/>
      </c>
      <c r="EY198" s="66" t="str">
        <f t="shared" si="3308"/>
        <v/>
      </c>
      <c r="EZ198" s="66" t="str">
        <f t="shared" si="3309"/>
        <v/>
      </c>
      <c r="FA198" s="66" t="str">
        <f t="shared" si="3310"/>
        <v/>
      </c>
      <c r="FB198" s="66" t="str">
        <f t="shared" si="3311"/>
        <v/>
      </c>
      <c r="FC198" s="66" t="str">
        <f t="shared" si="3312"/>
        <v/>
      </c>
      <c r="FD198" s="66" t="str">
        <f t="shared" si="3313"/>
        <v/>
      </c>
      <c r="FE198" s="66" t="str">
        <f t="shared" si="3314"/>
        <v/>
      </c>
      <c r="FF198" s="66" t="str">
        <f t="shared" si="3315"/>
        <v/>
      </c>
      <c r="FG198" s="66" t="str">
        <f t="shared" si="3316"/>
        <v/>
      </c>
      <c r="FH198" s="66" t="str">
        <f t="shared" si="3317"/>
        <v/>
      </c>
      <c r="FI198" s="66" t="str">
        <f t="shared" si="3318"/>
        <v/>
      </c>
      <c r="FJ198" s="66" t="str">
        <f t="shared" si="3319"/>
        <v/>
      </c>
      <c r="FK198" s="66" t="str">
        <f t="shared" si="3320"/>
        <v/>
      </c>
      <c r="FL198" s="66" t="str">
        <f t="shared" si="3321"/>
        <v/>
      </c>
      <c r="FM198" s="66" t="str">
        <f t="shared" si="3322"/>
        <v/>
      </c>
      <c r="FN198" s="66" t="str">
        <f t="shared" si="3323"/>
        <v/>
      </c>
      <c r="FO198" s="66" t="str">
        <f t="shared" si="3324"/>
        <v/>
      </c>
      <c r="FP198" s="66" t="str">
        <f t="shared" si="3325"/>
        <v/>
      </c>
      <c r="FQ198" s="66" t="str">
        <f t="shared" si="3326"/>
        <v/>
      </c>
      <c r="FR198" s="66" t="str">
        <f t="shared" si="3327"/>
        <v/>
      </c>
      <c r="FS198" s="66" t="str">
        <f t="shared" si="3328"/>
        <v/>
      </c>
    </row>
    <row r="199" spans="1:175">
      <c r="A199" s="15"/>
      <c r="B199" s="27" t="s">
        <v>719</v>
      </c>
      <c r="C199" s="28" t="s">
        <v>720</v>
      </c>
      <c r="T199" s="29" t="s">
        <v>721</v>
      </c>
      <c r="U199" s="77" t="str">
        <f t="shared" si="3256"/>
        <v>ReplaceableTextures\\CommandButtons\\BTNIB06.blp</v>
      </c>
      <c r="CN199" s="36" t="str">
        <f t="shared" si="3329"/>
        <v>InitUnitState('IB06',,,,,,,,,,)</v>
      </c>
      <c r="CO199" s="36" t="str">
        <f t="shared" si="3330"/>
        <v>InitUnitNormal('IB06',,,,,,,,,,)</v>
      </c>
      <c r="CP199" s="36" t="str">
        <f t="shared" si="3331"/>
        <v>InitUnitMagic('IB06',,,,,,,,,,)</v>
      </c>
      <c r="CQ199" s="36" t="str">
        <f t="shared" si="3332"/>
        <v>InitUnitAdd('IB06',,,,,,,,,,)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InitEquipData('IB06',,"",,,,,'','','','','','',"ReplaceableTextures\\CommandButtons\\BTNIB07.blp")</v>
      </c>
      <c r="CU199" s="88" t="str">
        <f t="shared" si="3257"/>
        <v>|n</v>
      </c>
      <c r="CV199" s="19" t="str">
        <f t="shared" si="32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9" s="33"/>
      <c r="CX199" s="33"/>
      <c r="CY199" s="33"/>
      <c r="CZ199" s="33"/>
      <c r="DA199" s="33"/>
      <c r="DB199" s="66" t="str">
        <f t="shared" si="3259"/>
        <v/>
      </c>
      <c r="DC199" s="66" t="str">
        <f t="shared" si="3260"/>
        <v/>
      </c>
      <c r="DD199" s="66" t="str">
        <f t="shared" si="3261"/>
        <v/>
      </c>
      <c r="DE199" s="66" t="str">
        <f t="shared" si="3262"/>
        <v/>
      </c>
      <c r="DF199" s="66" t="str">
        <f t="shared" si="3263"/>
        <v/>
      </c>
      <c r="DG199" s="66" t="str">
        <f t="shared" si="3264"/>
        <v/>
      </c>
      <c r="DH199" s="66" t="str">
        <f t="shared" si="3265"/>
        <v/>
      </c>
      <c r="DI199" s="66" t="str">
        <f t="shared" si="3266"/>
        <v/>
      </c>
      <c r="DJ199" s="66" t="str">
        <f t="shared" si="3267"/>
        <v/>
      </c>
      <c r="DK199" s="66" t="str">
        <f t="shared" si="3268"/>
        <v/>
      </c>
      <c r="DL199" s="66" t="str">
        <f t="shared" si="3269"/>
        <v/>
      </c>
      <c r="DM199" s="66" t="str">
        <f t="shared" si="3270"/>
        <v/>
      </c>
      <c r="DN199" s="66" t="str">
        <f t="shared" si="3271"/>
        <v/>
      </c>
      <c r="DO199" s="66" t="str">
        <f t="shared" si="3272"/>
        <v/>
      </c>
      <c r="DP199" s="66" t="str">
        <f t="shared" si="3273"/>
        <v/>
      </c>
      <c r="DQ199" s="66" t="str">
        <f t="shared" si="3274"/>
        <v/>
      </c>
      <c r="DR199" s="66" t="str">
        <f t="shared" si="3275"/>
        <v/>
      </c>
      <c r="DS199" s="66" t="str">
        <f t="shared" si="3276"/>
        <v/>
      </c>
      <c r="DT199" s="66" t="str">
        <f t="shared" si="3277"/>
        <v/>
      </c>
      <c r="DU199" s="66" t="str">
        <f t="shared" si="3278"/>
        <v/>
      </c>
      <c r="DV199" s="66" t="str">
        <f t="shared" si="3279"/>
        <v/>
      </c>
      <c r="DW199" s="66" t="str">
        <f t="shared" si="3280"/>
        <v/>
      </c>
      <c r="DX199" s="66" t="str">
        <f t="shared" si="3281"/>
        <v/>
      </c>
      <c r="DY199" s="66" t="str">
        <f t="shared" si="3282"/>
        <v/>
      </c>
      <c r="DZ199" s="66" t="str">
        <f t="shared" si="3283"/>
        <v/>
      </c>
      <c r="EA199" s="66" t="str">
        <f t="shared" si="3284"/>
        <v/>
      </c>
      <c r="EB199" s="66" t="str">
        <f t="shared" si="3285"/>
        <v/>
      </c>
      <c r="EC199" s="66" t="str">
        <f t="shared" si="3286"/>
        <v/>
      </c>
      <c r="ED199" s="66" t="str">
        <f t="shared" si="3287"/>
        <v/>
      </c>
      <c r="EE199" s="66" t="str">
        <f t="shared" si="3288"/>
        <v/>
      </c>
      <c r="EF199" s="66" t="str">
        <f t="shared" si="3289"/>
        <v/>
      </c>
      <c r="EG199" s="66" t="str">
        <f t="shared" si="3290"/>
        <v/>
      </c>
      <c r="EH199" s="66" t="str">
        <f t="shared" si="3291"/>
        <v/>
      </c>
      <c r="EI199" s="66" t="str">
        <f t="shared" si="3292"/>
        <v/>
      </c>
      <c r="EJ199" s="66" t="str">
        <f t="shared" si="3293"/>
        <v/>
      </c>
      <c r="EK199" s="66" t="str">
        <f t="shared" si="3294"/>
        <v/>
      </c>
      <c r="EL199" s="66" t="str">
        <f t="shared" si="3295"/>
        <v/>
      </c>
      <c r="EM199" s="66" t="str">
        <f t="shared" si="3296"/>
        <v/>
      </c>
      <c r="EN199" s="66" t="str">
        <f t="shared" si="3297"/>
        <v/>
      </c>
      <c r="EO199" s="66" t="str">
        <f t="shared" si="3298"/>
        <v/>
      </c>
      <c r="EP199" s="66" t="str">
        <f t="shared" si="3299"/>
        <v/>
      </c>
      <c r="EQ199" s="66" t="str">
        <f t="shared" si="3300"/>
        <v/>
      </c>
      <c r="ER199" s="66" t="str">
        <f t="shared" si="3301"/>
        <v/>
      </c>
      <c r="ES199" s="66" t="str">
        <f t="shared" si="3302"/>
        <v/>
      </c>
      <c r="ET199" s="66" t="str">
        <f t="shared" si="3303"/>
        <v/>
      </c>
      <c r="EU199" s="66" t="str">
        <f t="shared" si="3304"/>
        <v/>
      </c>
      <c r="EV199" s="66" t="str">
        <f t="shared" si="3305"/>
        <v/>
      </c>
      <c r="EW199" s="66" t="str">
        <f t="shared" si="3306"/>
        <v/>
      </c>
      <c r="EX199" s="66" t="str">
        <f t="shared" si="3307"/>
        <v/>
      </c>
      <c r="EY199" s="66" t="str">
        <f t="shared" si="3308"/>
        <v/>
      </c>
      <c r="EZ199" s="66" t="str">
        <f t="shared" si="3309"/>
        <v/>
      </c>
      <c r="FA199" s="66" t="str">
        <f t="shared" si="3310"/>
        <v/>
      </c>
      <c r="FB199" s="66" t="str">
        <f t="shared" si="3311"/>
        <v/>
      </c>
      <c r="FC199" s="66" t="str">
        <f t="shared" si="3312"/>
        <v/>
      </c>
      <c r="FD199" s="66" t="str">
        <f t="shared" si="3313"/>
        <v/>
      </c>
      <c r="FE199" s="66" t="str">
        <f t="shared" si="3314"/>
        <v/>
      </c>
      <c r="FF199" s="66" t="str">
        <f t="shared" si="3315"/>
        <v/>
      </c>
      <c r="FG199" s="66" t="str">
        <f t="shared" si="3316"/>
        <v/>
      </c>
      <c r="FH199" s="66" t="str">
        <f t="shared" si="3317"/>
        <v/>
      </c>
      <c r="FI199" s="66" t="str">
        <f t="shared" si="3318"/>
        <v/>
      </c>
      <c r="FJ199" s="66" t="str">
        <f t="shared" si="3319"/>
        <v/>
      </c>
      <c r="FK199" s="66" t="str">
        <f t="shared" si="3320"/>
        <v/>
      </c>
      <c r="FL199" s="66" t="str">
        <f t="shared" si="3321"/>
        <v/>
      </c>
      <c r="FM199" s="66" t="str">
        <f t="shared" si="3322"/>
        <v/>
      </c>
      <c r="FN199" s="66" t="str">
        <f t="shared" si="3323"/>
        <v/>
      </c>
      <c r="FO199" s="66" t="str">
        <f t="shared" si="3324"/>
        <v/>
      </c>
      <c r="FP199" s="66" t="str">
        <f t="shared" si="3325"/>
        <v/>
      </c>
      <c r="FQ199" s="66" t="str">
        <f t="shared" si="3326"/>
        <v/>
      </c>
      <c r="FR199" s="66" t="str">
        <f t="shared" si="3327"/>
        <v/>
      </c>
      <c r="FS199" s="66" t="str">
        <f t="shared" si="3328"/>
        <v/>
      </c>
    </row>
    <row r="200" spans="1:175">
      <c r="A200" s="15"/>
      <c r="B200" s="27" t="s">
        <v>722</v>
      </c>
      <c r="C200" s="28" t="s">
        <v>723</v>
      </c>
      <c r="T200" s="29" t="s">
        <v>724</v>
      </c>
      <c r="U200" s="77" t="str">
        <f t="shared" si="3256"/>
        <v>ReplaceableTextures\\CommandButtons\\BTNIB07.blp</v>
      </c>
      <c r="CN200" s="36" t="str">
        <f t="shared" si="3329"/>
        <v>InitUnitState('IB07',,,,,,,,,,)</v>
      </c>
      <c r="CO200" s="36" t="str">
        <f t="shared" si="3330"/>
        <v>InitUnitNormal('IB07',,,,,,,,,,)</v>
      </c>
      <c r="CP200" s="36" t="str">
        <f t="shared" si="3331"/>
        <v>InitUnitMagic('IB07',,,,,,,,,,)</v>
      </c>
      <c r="CQ200" s="36" t="str">
        <f t="shared" si="3332"/>
        <v>InitUnitAdd('IB07',,,,,,,,,,)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InitEquipData('IB07',,"",,,,,'','','','','','',"ReplaceableTextures\\CommandButtons\\BTNIB08.blp")</v>
      </c>
      <c r="CU200" s="88" t="str">
        <f t="shared" si="3257"/>
        <v>|n</v>
      </c>
      <c r="CV200" s="19" t="str">
        <f t="shared" si="32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0" s="33"/>
      <c r="CX200" s="33"/>
      <c r="CY200" s="33"/>
      <c r="CZ200" s="33"/>
      <c r="DA200" s="33"/>
      <c r="DB200" s="66" t="str">
        <f t="shared" si="3259"/>
        <v/>
      </c>
      <c r="DC200" s="66" t="str">
        <f t="shared" si="3260"/>
        <v/>
      </c>
      <c r="DD200" s="66" t="str">
        <f t="shared" si="3261"/>
        <v/>
      </c>
      <c r="DE200" s="66" t="str">
        <f t="shared" si="3262"/>
        <v/>
      </c>
      <c r="DF200" s="66" t="str">
        <f t="shared" si="3263"/>
        <v/>
      </c>
      <c r="DG200" s="66" t="str">
        <f t="shared" si="3264"/>
        <v/>
      </c>
      <c r="DH200" s="66" t="str">
        <f t="shared" si="3265"/>
        <v/>
      </c>
      <c r="DI200" s="66" t="str">
        <f t="shared" si="3266"/>
        <v/>
      </c>
      <c r="DJ200" s="66" t="str">
        <f t="shared" si="3267"/>
        <v/>
      </c>
      <c r="DK200" s="66" t="str">
        <f t="shared" si="3268"/>
        <v/>
      </c>
      <c r="DL200" s="66" t="str">
        <f t="shared" si="3269"/>
        <v/>
      </c>
      <c r="DM200" s="66" t="str">
        <f t="shared" si="3270"/>
        <v/>
      </c>
      <c r="DN200" s="66" t="str">
        <f t="shared" si="3271"/>
        <v/>
      </c>
      <c r="DO200" s="66" t="str">
        <f t="shared" si="3272"/>
        <v/>
      </c>
      <c r="DP200" s="66" t="str">
        <f t="shared" si="3273"/>
        <v/>
      </c>
      <c r="DQ200" s="66" t="str">
        <f t="shared" si="3274"/>
        <v/>
      </c>
      <c r="DR200" s="66" t="str">
        <f t="shared" si="3275"/>
        <v/>
      </c>
      <c r="DS200" s="66" t="str">
        <f t="shared" si="3276"/>
        <v/>
      </c>
      <c r="DT200" s="66" t="str">
        <f t="shared" si="3277"/>
        <v/>
      </c>
      <c r="DU200" s="66" t="str">
        <f t="shared" si="3278"/>
        <v/>
      </c>
      <c r="DV200" s="66" t="str">
        <f t="shared" si="3279"/>
        <v/>
      </c>
      <c r="DW200" s="66" t="str">
        <f t="shared" si="3280"/>
        <v/>
      </c>
      <c r="DX200" s="66" t="str">
        <f t="shared" si="3281"/>
        <v/>
      </c>
      <c r="DY200" s="66" t="str">
        <f t="shared" si="3282"/>
        <v/>
      </c>
      <c r="DZ200" s="66" t="str">
        <f t="shared" si="3283"/>
        <v/>
      </c>
      <c r="EA200" s="66" t="str">
        <f t="shared" si="3284"/>
        <v/>
      </c>
      <c r="EB200" s="66" t="str">
        <f t="shared" si="3285"/>
        <v/>
      </c>
      <c r="EC200" s="66" t="str">
        <f t="shared" si="3286"/>
        <v/>
      </c>
      <c r="ED200" s="66" t="str">
        <f t="shared" si="3287"/>
        <v/>
      </c>
      <c r="EE200" s="66" t="str">
        <f t="shared" si="3288"/>
        <v/>
      </c>
      <c r="EF200" s="66" t="str">
        <f t="shared" si="3289"/>
        <v/>
      </c>
      <c r="EG200" s="66" t="str">
        <f t="shared" si="3290"/>
        <v/>
      </c>
      <c r="EH200" s="66" t="str">
        <f t="shared" si="3291"/>
        <v/>
      </c>
      <c r="EI200" s="66" t="str">
        <f t="shared" si="3292"/>
        <v/>
      </c>
      <c r="EJ200" s="66" t="str">
        <f t="shared" si="3293"/>
        <v/>
      </c>
      <c r="EK200" s="66" t="str">
        <f t="shared" si="3294"/>
        <v/>
      </c>
      <c r="EL200" s="66" t="str">
        <f t="shared" si="3295"/>
        <v/>
      </c>
      <c r="EM200" s="66" t="str">
        <f t="shared" si="3296"/>
        <v/>
      </c>
      <c r="EN200" s="66" t="str">
        <f t="shared" si="3297"/>
        <v/>
      </c>
      <c r="EO200" s="66" t="str">
        <f t="shared" si="3298"/>
        <v/>
      </c>
      <c r="EP200" s="66" t="str">
        <f t="shared" si="3299"/>
        <v/>
      </c>
      <c r="EQ200" s="66" t="str">
        <f t="shared" si="3300"/>
        <v/>
      </c>
      <c r="ER200" s="66" t="str">
        <f t="shared" si="3301"/>
        <v/>
      </c>
      <c r="ES200" s="66" t="str">
        <f t="shared" si="3302"/>
        <v/>
      </c>
      <c r="ET200" s="66" t="str">
        <f t="shared" si="3303"/>
        <v/>
      </c>
      <c r="EU200" s="66" t="str">
        <f t="shared" si="3304"/>
        <v/>
      </c>
      <c r="EV200" s="66" t="str">
        <f t="shared" si="3305"/>
        <v/>
      </c>
      <c r="EW200" s="66" t="str">
        <f t="shared" si="3306"/>
        <v/>
      </c>
      <c r="EX200" s="66" t="str">
        <f t="shared" si="3307"/>
        <v/>
      </c>
      <c r="EY200" s="66" t="str">
        <f t="shared" si="3308"/>
        <v/>
      </c>
      <c r="EZ200" s="66" t="str">
        <f t="shared" si="3309"/>
        <v/>
      </c>
      <c r="FA200" s="66" t="str">
        <f t="shared" si="3310"/>
        <v/>
      </c>
      <c r="FB200" s="66" t="str">
        <f t="shared" si="3311"/>
        <v/>
      </c>
      <c r="FC200" s="66" t="str">
        <f t="shared" si="3312"/>
        <v/>
      </c>
      <c r="FD200" s="66" t="str">
        <f t="shared" si="3313"/>
        <v/>
      </c>
      <c r="FE200" s="66" t="str">
        <f t="shared" si="3314"/>
        <v/>
      </c>
      <c r="FF200" s="66" t="str">
        <f t="shared" si="3315"/>
        <v/>
      </c>
      <c r="FG200" s="66" t="str">
        <f t="shared" si="3316"/>
        <v/>
      </c>
      <c r="FH200" s="66" t="str">
        <f t="shared" si="3317"/>
        <v/>
      </c>
      <c r="FI200" s="66" t="str">
        <f t="shared" si="3318"/>
        <v/>
      </c>
      <c r="FJ200" s="66" t="str">
        <f t="shared" si="3319"/>
        <v/>
      </c>
      <c r="FK200" s="66" t="str">
        <f t="shared" si="3320"/>
        <v/>
      </c>
      <c r="FL200" s="66" t="str">
        <f t="shared" si="3321"/>
        <v/>
      </c>
      <c r="FM200" s="66" t="str">
        <f t="shared" si="3322"/>
        <v/>
      </c>
      <c r="FN200" s="66" t="str">
        <f t="shared" si="3323"/>
        <v/>
      </c>
      <c r="FO200" s="66" t="str">
        <f t="shared" si="3324"/>
        <v/>
      </c>
      <c r="FP200" s="66" t="str">
        <f t="shared" si="3325"/>
        <v/>
      </c>
      <c r="FQ200" s="66" t="str">
        <f t="shared" si="3326"/>
        <v/>
      </c>
      <c r="FR200" s="66" t="str">
        <f t="shared" si="3327"/>
        <v/>
      </c>
      <c r="FS200" s="66" t="str">
        <f t="shared" si="3328"/>
        <v/>
      </c>
    </row>
    <row r="201" spans="1:175">
      <c r="A201" s="15"/>
      <c r="B201" s="27" t="s">
        <v>725</v>
      </c>
      <c r="C201" s="28" t="s">
        <v>726</v>
      </c>
      <c r="T201" s="29" t="s">
        <v>727</v>
      </c>
      <c r="U201" s="77" t="str">
        <f t="shared" si="3256"/>
        <v>ReplaceableTextures\\CommandButtons\\BTNIB08.blp</v>
      </c>
      <c r="CN201" s="36" t="str">
        <f t="shared" si="3329"/>
        <v>InitUnitState('IB08',,,,,,,,,,)</v>
      </c>
      <c r="CO201" s="36" t="str">
        <f t="shared" si="3330"/>
        <v>InitUnitNormal('IB08',,,,,,,,,,)</v>
      </c>
      <c r="CP201" s="36" t="str">
        <f t="shared" si="3331"/>
        <v>InitUnitMagic('IB08',,,,,,,,,,)</v>
      </c>
      <c r="CQ201" s="36" t="str">
        <f t="shared" si="3332"/>
        <v>InitUnitAdd('IB08',,,,,,,,,,)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InitEquipData('IB08',,"",,,,,'','','','','','',"")</v>
      </c>
      <c r="CU201" s="88" t="str">
        <f t="shared" si="3257"/>
        <v>|n</v>
      </c>
      <c r="CV201" s="19" t="str">
        <f t="shared" si="32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1" s="33"/>
      <c r="CX201" s="33"/>
      <c r="CY201" s="33"/>
      <c r="CZ201" s="33"/>
      <c r="DA201" s="33"/>
      <c r="DB201" s="66" t="str">
        <f t="shared" si="3259"/>
        <v/>
      </c>
      <c r="DC201" s="66" t="str">
        <f t="shared" si="3260"/>
        <v/>
      </c>
      <c r="DD201" s="66" t="str">
        <f t="shared" si="3261"/>
        <v/>
      </c>
      <c r="DE201" s="66" t="str">
        <f t="shared" si="3262"/>
        <v/>
      </c>
      <c r="DF201" s="66" t="str">
        <f t="shared" si="3263"/>
        <v/>
      </c>
      <c r="DG201" s="66" t="str">
        <f t="shared" si="3264"/>
        <v/>
      </c>
      <c r="DH201" s="66" t="str">
        <f t="shared" si="3265"/>
        <v/>
      </c>
      <c r="DI201" s="66" t="str">
        <f t="shared" si="3266"/>
        <v/>
      </c>
      <c r="DJ201" s="66" t="str">
        <f t="shared" si="3267"/>
        <v/>
      </c>
      <c r="DK201" s="66" t="str">
        <f t="shared" si="3268"/>
        <v/>
      </c>
      <c r="DL201" s="66" t="str">
        <f t="shared" si="3269"/>
        <v/>
      </c>
      <c r="DM201" s="66" t="str">
        <f t="shared" si="3270"/>
        <v/>
      </c>
      <c r="DN201" s="66" t="str">
        <f t="shared" si="3271"/>
        <v/>
      </c>
      <c r="DO201" s="66" t="str">
        <f t="shared" si="3272"/>
        <v/>
      </c>
      <c r="DP201" s="66" t="str">
        <f t="shared" si="3273"/>
        <v/>
      </c>
      <c r="DQ201" s="66" t="str">
        <f t="shared" si="3274"/>
        <v/>
      </c>
      <c r="DR201" s="66" t="str">
        <f t="shared" si="3275"/>
        <v/>
      </c>
      <c r="DS201" s="66" t="str">
        <f t="shared" si="3276"/>
        <v/>
      </c>
      <c r="DT201" s="66" t="str">
        <f t="shared" si="3277"/>
        <v/>
      </c>
      <c r="DU201" s="66" t="str">
        <f t="shared" si="3278"/>
        <v/>
      </c>
      <c r="DV201" s="66" t="str">
        <f t="shared" si="3279"/>
        <v/>
      </c>
      <c r="DW201" s="66" t="str">
        <f t="shared" si="3280"/>
        <v/>
      </c>
      <c r="DX201" s="66" t="str">
        <f t="shared" si="3281"/>
        <v/>
      </c>
      <c r="DY201" s="66" t="str">
        <f t="shared" si="3282"/>
        <v/>
      </c>
      <c r="DZ201" s="66" t="str">
        <f t="shared" si="3283"/>
        <v/>
      </c>
      <c r="EA201" s="66" t="str">
        <f t="shared" si="3284"/>
        <v/>
      </c>
      <c r="EB201" s="66" t="str">
        <f t="shared" si="3285"/>
        <v/>
      </c>
      <c r="EC201" s="66" t="str">
        <f t="shared" si="3286"/>
        <v/>
      </c>
      <c r="ED201" s="66" t="str">
        <f t="shared" si="3287"/>
        <v/>
      </c>
      <c r="EE201" s="66" t="str">
        <f t="shared" si="3288"/>
        <v/>
      </c>
      <c r="EF201" s="66" t="str">
        <f t="shared" si="3289"/>
        <v/>
      </c>
      <c r="EG201" s="66" t="str">
        <f t="shared" si="3290"/>
        <v/>
      </c>
      <c r="EH201" s="66" t="str">
        <f t="shared" si="3291"/>
        <v/>
      </c>
      <c r="EI201" s="66" t="str">
        <f t="shared" si="3292"/>
        <v/>
      </c>
      <c r="EJ201" s="66" t="str">
        <f t="shared" si="3293"/>
        <v/>
      </c>
      <c r="EK201" s="66" t="str">
        <f t="shared" si="3294"/>
        <v/>
      </c>
      <c r="EL201" s="66" t="str">
        <f t="shared" si="3295"/>
        <v/>
      </c>
      <c r="EM201" s="66" t="str">
        <f t="shared" si="3296"/>
        <v/>
      </c>
      <c r="EN201" s="66" t="str">
        <f t="shared" si="3297"/>
        <v/>
      </c>
      <c r="EO201" s="66" t="str">
        <f t="shared" si="3298"/>
        <v/>
      </c>
      <c r="EP201" s="66" t="str">
        <f t="shared" si="3299"/>
        <v/>
      </c>
      <c r="EQ201" s="66" t="str">
        <f t="shared" si="3300"/>
        <v/>
      </c>
      <c r="ER201" s="66" t="str">
        <f t="shared" si="3301"/>
        <v/>
      </c>
      <c r="ES201" s="66" t="str">
        <f t="shared" si="3302"/>
        <v/>
      </c>
      <c r="ET201" s="66" t="str">
        <f t="shared" si="3303"/>
        <v/>
      </c>
      <c r="EU201" s="66" t="str">
        <f t="shared" si="3304"/>
        <v/>
      </c>
      <c r="EV201" s="66" t="str">
        <f t="shared" si="3305"/>
        <v/>
      </c>
      <c r="EW201" s="66" t="str">
        <f t="shared" si="3306"/>
        <v/>
      </c>
      <c r="EX201" s="66" t="str">
        <f t="shared" si="3307"/>
        <v/>
      </c>
      <c r="EY201" s="66" t="str">
        <f t="shared" si="3308"/>
        <v/>
      </c>
      <c r="EZ201" s="66" t="str">
        <f t="shared" si="3309"/>
        <v/>
      </c>
      <c r="FA201" s="66" t="str">
        <f t="shared" si="3310"/>
        <v/>
      </c>
      <c r="FB201" s="66" t="str">
        <f t="shared" si="3311"/>
        <v/>
      </c>
      <c r="FC201" s="66" t="str">
        <f t="shared" si="3312"/>
        <v/>
      </c>
      <c r="FD201" s="66" t="str">
        <f t="shared" si="3313"/>
        <v/>
      </c>
      <c r="FE201" s="66" t="str">
        <f t="shared" si="3314"/>
        <v/>
      </c>
      <c r="FF201" s="66" t="str">
        <f t="shared" si="3315"/>
        <v/>
      </c>
      <c r="FG201" s="66" t="str">
        <f t="shared" si="3316"/>
        <v/>
      </c>
      <c r="FH201" s="66" t="str">
        <f t="shared" si="3317"/>
        <v/>
      </c>
      <c r="FI201" s="66" t="str">
        <f t="shared" si="3318"/>
        <v/>
      </c>
      <c r="FJ201" s="66" t="str">
        <f t="shared" si="3319"/>
        <v/>
      </c>
      <c r="FK201" s="66" t="str">
        <f t="shared" si="3320"/>
        <v/>
      </c>
      <c r="FL201" s="66" t="str">
        <f t="shared" si="3321"/>
        <v/>
      </c>
      <c r="FM201" s="66" t="str">
        <f t="shared" si="3322"/>
        <v/>
      </c>
      <c r="FN201" s="66" t="str">
        <f t="shared" si="3323"/>
        <v/>
      </c>
      <c r="FO201" s="66" t="str">
        <f t="shared" si="3324"/>
        <v/>
      </c>
      <c r="FP201" s="66" t="str">
        <f t="shared" si="3325"/>
        <v/>
      </c>
      <c r="FQ201" s="66" t="str">
        <f t="shared" si="3326"/>
        <v/>
      </c>
      <c r="FR201" s="66" t="str">
        <f t="shared" si="3327"/>
        <v/>
      </c>
      <c r="FS201" s="66" t="str">
        <f t="shared" si="3328"/>
        <v/>
      </c>
    </row>
    <row r="202" spans="1:175">
      <c r="A202" s="15"/>
      <c r="B202" s="27" t="s">
        <v>728</v>
      </c>
      <c r="C202" s="28" t="s">
        <v>729</v>
      </c>
      <c r="T202" s="28"/>
      <c r="U202" s="77" t="str">
        <f t="shared" si="3256"/>
        <v>ReplaceableTextures\\CommandButtons\\BTNIB09.blp</v>
      </c>
      <c r="CN202" s="36" t="str">
        <f t="shared" si="3329"/>
        <v>InitUnitState('IB09',,,,,,,,,,)</v>
      </c>
      <c r="CO202" s="36" t="str">
        <f t="shared" si="3330"/>
        <v>InitUnitNormal('IB09',,,,,,,,,,)</v>
      </c>
      <c r="CP202" s="36" t="str">
        <f t="shared" si="3331"/>
        <v>InitUnitMagic('IB09',,,,,,,,,,)</v>
      </c>
      <c r="CQ202" s="36" t="str">
        <f t="shared" si="3332"/>
        <v>InitUnitAdd('IB09',,,,,,,,,,)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InitEquipData('IB09',,"",,,,,'','','','','','',"")</v>
      </c>
      <c r="CU202" s="88" t="str">
        <f t="shared" si="3257"/>
        <v>|n</v>
      </c>
      <c r="CV202" s="19">
        <f t="shared" si="3258"/>
        <v>0</v>
      </c>
      <c r="CW202" s="33"/>
      <c r="CX202" s="33"/>
      <c r="CY202" s="33"/>
      <c r="CZ202" s="33"/>
      <c r="DA202" s="33"/>
      <c r="DB202" s="66" t="str">
        <f t="shared" ref="DB202:FM202" si="3333">IF(V202="","","|n"&amp;DB$2&amp;"+"&amp;V202&amp;DB$1)</f>
        <v/>
      </c>
      <c r="DC202" s="66" t="str">
        <f t="shared" si="3333"/>
        <v/>
      </c>
      <c r="DD202" s="66" t="str">
        <f t="shared" si="3333"/>
        <v/>
      </c>
      <c r="DE202" s="66" t="str">
        <f t="shared" si="3333"/>
        <v/>
      </c>
      <c r="DF202" s="66" t="str">
        <f t="shared" si="3333"/>
        <v/>
      </c>
      <c r="DG202" s="66" t="str">
        <f t="shared" si="3333"/>
        <v/>
      </c>
      <c r="DH202" s="66" t="str">
        <f t="shared" si="3333"/>
        <v/>
      </c>
      <c r="DI202" s="66" t="str">
        <f t="shared" si="3333"/>
        <v/>
      </c>
      <c r="DJ202" s="66" t="str">
        <f t="shared" si="3333"/>
        <v/>
      </c>
      <c r="DK202" s="66" t="str">
        <f t="shared" si="3333"/>
        <v/>
      </c>
      <c r="DL202" s="66" t="str">
        <f t="shared" si="3333"/>
        <v/>
      </c>
      <c r="DM202" s="66" t="str">
        <f t="shared" si="3333"/>
        <v/>
      </c>
      <c r="DN202" s="66" t="str">
        <f t="shared" si="3333"/>
        <v/>
      </c>
      <c r="DO202" s="66" t="str">
        <f t="shared" si="3333"/>
        <v/>
      </c>
      <c r="DP202" s="66" t="str">
        <f t="shared" si="3333"/>
        <v/>
      </c>
      <c r="DQ202" s="66" t="str">
        <f t="shared" si="3333"/>
        <v/>
      </c>
      <c r="DR202" s="66" t="str">
        <f t="shared" si="3333"/>
        <v/>
      </c>
      <c r="DS202" s="66" t="str">
        <f t="shared" si="3333"/>
        <v/>
      </c>
      <c r="DT202" s="66" t="str">
        <f t="shared" si="3333"/>
        <v/>
      </c>
      <c r="DU202" s="66" t="str">
        <f t="shared" si="3333"/>
        <v/>
      </c>
      <c r="DV202" s="66" t="str">
        <f t="shared" si="3333"/>
        <v/>
      </c>
      <c r="DW202" s="66" t="str">
        <f t="shared" si="3333"/>
        <v/>
      </c>
      <c r="DX202" s="66" t="str">
        <f t="shared" si="3333"/>
        <v/>
      </c>
      <c r="DY202" s="66" t="str">
        <f t="shared" si="3333"/>
        <v/>
      </c>
      <c r="DZ202" s="66" t="str">
        <f t="shared" si="3333"/>
        <v/>
      </c>
      <c r="EA202" s="66" t="str">
        <f t="shared" si="3333"/>
        <v/>
      </c>
      <c r="EB202" s="66" t="str">
        <f t="shared" si="3333"/>
        <v/>
      </c>
      <c r="EC202" s="66" t="str">
        <f t="shared" si="3333"/>
        <v/>
      </c>
      <c r="ED202" s="66" t="str">
        <f t="shared" si="3333"/>
        <v/>
      </c>
      <c r="EE202" s="66" t="str">
        <f t="shared" si="3333"/>
        <v/>
      </c>
      <c r="EF202" s="66" t="str">
        <f t="shared" si="3333"/>
        <v/>
      </c>
      <c r="EG202" s="66" t="str">
        <f t="shared" si="3333"/>
        <v/>
      </c>
      <c r="EH202" s="66" t="str">
        <f t="shared" si="3333"/>
        <v/>
      </c>
      <c r="EI202" s="66" t="str">
        <f t="shared" si="3333"/>
        <v/>
      </c>
      <c r="EJ202" s="66" t="str">
        <f t="shared" si="3333"/>
        <v/>
      </c>
      <c r="EK202" s="66" t="str">
        <f t="shared" si="3333"/>
        <v/>
      </c>
      <c r="EL202" s="66" t="str">
        <f t="shared" si="3333"/>
        <v/>
      </c>
      <c r="EM202" s="66" t="str">
        <f t="shared" si="3333"/>
        <v/>
      </c>
      <c r="EN202" s="66" t="str">
        <f t="shared" si="3333"/>
        <v/>
      </c>
      <c r="EO202" s="66" t="str">
        <f t="shared" si="3333"/>
        <v/>
      </c>
      <c r="EP202" s="66" t="str">
        <f t="shared" si="3333"/>
        <v/>
      </c>
      <c r="EQ202" s="66" t="str">
        <f t="shared" si="3333"/>
        <v/>
      </c>
      <c r="ER202" s="66" t="str">
        <f t="shared" si="3333"/>
        <v/>
      </c>
      <c r="ES202" s="66" t="str">
        <f t="shared" si="3333"/>
        <v/>
      </c>
      <c r="ET202" s="66" t="str">
        <f t="shared" si="3333"/>
        <v/>
      </c>
      <c r="EU202" s="66" t="str">
        <f t="shared" si="3333"/>
        <v/>
      </c>
      <c r="EV202" s="66" t="str">
        <f t="shared" si="3333"/>
        <v/>
      </c>
      <c r="EW202" s="66" t="str">
        <f t="shared" si="3333"/>
        <v/>
      </c>
      <c r="EX202" s="66" t="str">
        <f t="shared" si="3333"/>
        <v/>
      </c>
      <c r="EY202" s="66" t="str">
        <f t="shared" si="3333"/>
        <v/>
      </c>
      <c r="EZ202" s="66" t="str">
        <f t="shared" si="3333"/>
        <v/>
      </c>
      <c r="FA202" s="66" t="str">
        <f t="shared" si="3333"/>
        <v/>
      </c>
      <c r="FB202" s="66" t="str">
        <f t="shared" si="3333"/>
        <v/>
      </c>
      <c r="FC202" s="66" t="str">
        <f t="shared" si="3333"/>
        <v/>
      </c>
      <c r="FD202" s="66" t="str">
        <f t="shared" si="3333"/>
        <v/>
      </c>
      <c r="FE202" s="66" t="str">
        <f t="shared" si="3333"/>
        <v/>
      </c>
      <c r="FF202" s="66" t="str">
        <f t="shared" si="3333"/>
        <v/>
      </c>
      <c r="FG202" s="66" t="str">
        <f t="shared" si="3333"/>
        <v/>
      </c>
      <c r="FH202" s="66" t="str">
        <f t="shared" si="3333"/>
        <v/>
      </c>
      <c r="FI202" s="66" t="str">
        <f t="shared" si="3333"/>
        <v/>
      </c>
      <c r="FJ202" s="66" t="str">
        <f t="shared" si="3333"/>
        <v/>
      </c>
      <c r="FK202" s="66" t="str">
        <f t="shared" si="3333"/>
        <v/>
      </c>
      <c r="FL202" s="66" t="str">
        <f t="shared" si="3333"/>
        <v/>
      </c>
      <c r="FM202" s="66" t="str">
        <f t="shared" si="3333"/>
        <v/>
      </c>
      <c r="FN202" s="66" t="str">
        <f t="shared" ref="FN202:FS202" si="3334">IF(CH202="","","|n"&amp;FN$2&amp;"+"&amp;CH202&amp;FN$1)</f>
        <v/>
      </c>
      <c r="FO202" s="66" t="str">
        <f t="shared" si="3334"/>
        <v/>
      </c>
      <c r="FP202" s="66" t="str">
        <f t="shared" si="3334"/>
        <v/>
      </c>
      <c r="FQ202" s="66" t="str">
        <f t="shared" si="3334"/>
        <v/>
      </c>
      <c r="FR202" s="66" t="str">
        <f t="shared" si="3334"/>
        <v/>
      </c>
      <c r="FS202" s="66" t="str">
        <f t="shared" si="3334"/>
        <v/>
      </c>
    </row>
    <row r="203" spans="1:175">
      <c r="A203" s="15"/>
      <c r="B203" s="27" t="s">
        <v>730</v>
      </c>
      <c r="C203" s="28" t="str">
        <f>"已领取"&amp;C194</f>
        <v>已领取公众号礼包</v>
      </c>
      <c r="T203" s="28" t="s">
        <v>731</v>
      </c>
      <c r="U203" s="10" t="s">
        <v>732</v>
      </c>
      <c r="CN203" s="36" t="str">
        <f t="shared" si="3329"/>
        <v>InitUnitState('IB51',,,,,,,,,,)</v>
      </c>
      <c r="CO203" s="36" t="str">
        <f t="shared" si="3330"/>
        <v>InitUnitNormal('IB51',,,,,,,,,,)</v>
      </c>
      <c r="CP203" s="36" t="str">
        <f t="shared" si="3331"/>
        <v>InitUnitMagic('IB51',,,,,,,,,,)</v>
      </c>
      <c r="CQ203" s="36" t="str">
        <f t="shared" si="3332"/>
        <v>InitUnitAdd('IB51',,,,,,,,,,)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InitEquipData('IB51',,"",,,,,'','','','','','',"ReplaceableTextures\\commandButtons\\BTNLBUI01.blp")</v>
      </c>
      <c r="CU203" s="88" t="str">
        <f t="shared" ref="CU203:CU211" si="3335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11" si="3336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33"/>
      <c r="CX203" s="33"/>
      <c r="CY203" s="33"/>
      <c r="CZ203" s="33"/>
      <c r="DA203" s="33"/>
      <c r="DB203" s="66" t="str">
        <f t="shared" ref="DB203:DB209" si="3337">IF(V203="","","|n"&amp;DB$2&amp;"+"&amp;V203&amp;DB$1)</f>
        <v/>
      </c>
      <c r="DC203" s="66" t="str">
        <f t="shared" ref="DC203:DC209" si="3338">IF(W203="","","|n"&amp;DC$2&amp;"+"&amp;W203&amp;DC$1)</f>
        <v/>
      </c>
      <c r="DD203" s="66" t="str">
        <f t="shared" ref="DD203:DD209" si="3339">IF(X203="","","|n"&amp;DD$2&amp;"+"&amp;X203&amp;DD$1)</f>
        <v/>
      </c>
      <c r="DE203" s="66" t="str">
        <f t="shared" ref="DE203:DE209" si="3340">IF(Y203="","","|n"&amp;DE$2&amp;"+"&amp;Y203&amp;DE$1)</f>
        <v/>
      </c>
      <c r="DF203" s="66" t="str">
        <f t="shared" ref="DF203:DF209" si="3341">IF(Z203="","","|n"&amp;DF$2&amp;"+"&amp;Z203&amp;DF$1)</f>
        <v/>
      </c>
      <c r="DG203" s="66" t="str">
        <f t="shared" ref="DG203:DG209" si="3342">IF(AA203="","","|n"&amp;DG$2&amp;"+"&amp;AA203&amp;DG$1)</f>
        <v/>
      </c>
      <c r="DH203" s="66" t="str">
        <f t="shared" ref="DH203:DH209" si="3343">IF(AB203="","","|n"&amp;DH$2&amp;"+"&amp;AB203&amp;DH$1)</f>
        <v/>
      </c>
      <c r="DI203" s="66" t="str">
        <f t="shared" ref="DI203:DI209" si="3344">IF(AC203="","","|n"&amp;DI$2&amp;"+"&amp;AC203&amp;DI$1)</f>
        <v/>
      </c>
      <c r="DJ203" s="66" t="str">
        <f t="shared" ref="DJ203:DJ209" si="3345">IF(AD203="","","|n"&amp;DJ$2&amp;"+"&amp;AD203&amp;DJ$1)</f>
        <v/>
      </c>
      <c r="DK203" s="66" t="str">
        <f t="shared" ref="DK203:DK209" si="3346">IF(AE203="","","|n"&amp;DK$2&amp;"+"&amp;AE203&amp;DK$1)</f>
        <v/>
      </c>
      <c r="DL203" s="66" t="str">
        <f t="shared" ref="DL203:DL209" si="3347">IF(AF203="","","|n"&amp;DL$2&amp;"+"&amp;AF203&amp;DL$1)</f>
        <v/>
      </c>
      <c r="DM203" s="66" t="str">
        <f t="shared" ref="DM203:DM209" si="3348">IF(AG203="","","|n"&amp;DM$2&amp;"+"&amp;AG203&amp;DM$1)</f>
        <v/>
      </c>
      <c r="DN203" s="66" t="str">
        <f t="shared" ref="DN203:DN209" si="3349">IF(AH203="","","|n"&amp;DN$2&amp;"+"&amp;AH203&amp;DN$1)</f>
        <v/>
      </c>
      <c r="DO203" s="66" t="str">
        <f t="shared" ref="DO203:DO209" si="3350">IF(AI203="","","|n"&amp;DO$2&amp;"+"&amp;AI203&amp;DO$1)</f>
        <v/>
      </c>
      <c r="DP203" s="66" t="str">
        <f t="shared" ref="DP203:DP209" si="3351">IF(AJ203="","","|n"&amp;DP$2&amp;"+"&amp;AJ203&amp;DP$1)</f>
        <v/>
      </c>
      <c r="DQ203" s="66" t="str">
        <f t="shared" ref="DQ203:DQ209" si="3352">IF(AK203="","","|n"&amp;DQ$2&amp;"+"&amp;AK203&amp;DQ$1)</f>
        <v/>
      </c>
      <c r="DR203" s="66" t="str">
        <f t="shared" ref="DR203:DR209" si="3353">IF(AL203="","","|n"&amp;DR$2&amp;"+"&amp;AL203&amp;DR$1)</f>
        <v/>
      </c>
      <c r="DS203" s="66" t="str">
        <f t="shared" ref="DS203:DS209" si="3354">IF(AM203="","","|n"&amp;DS$2&amp;"+"&amp;AM203&amp;DS$1)</f>
        <v/>
      </c>
      <c r="DT203" s="66" t="str">
        <f t="shared" ref="DT203:DT209" si="3355">IF(AN203="","","|n"&amp;DT$2&amp;"+"&amp;AN203&amp;DT$1)</f>
        <v/>
      </c>
      <c r="DU203" s="66" t="str">
        <f t="shared" ref="DU203:DU209" si="3356">IF(AO203="","","|n"&amp;DU$2&amp;"+"&amp;AO203&amp;DU$1)</f>
        <v/>
      </c>
      <c r="DV203" s="66" t="str">
        <f t="shared" ref="DV203:DV209" si="3357">IF(AP203="","","|n"&amp;DV$2&amp;"+"&amp;AP203&amp;DV$1)</f>
        <v/>
      </c>
      <c r="DW203" s="66" t="str">
        <f t="shared" ref="DW203:DW209" si="3358">IF(AQ203="","","|n"&amp;DW$2&amp;"+"&amp;AQ203&amp;DW$1)</f>
        <v/>
      </c>
      <c r="DX203" s="66" t="str">
        <f t="shared" ref="DX203:DX209" si="3359">IF(AR203="","","|n"&amp;DX$2&amp;"+"&amp;AR203&amp;DX$1)</f>
        <v/>
      </c>
      <c r="DY203" s="66" t="str">
        <f t="shared" ref="DY203:DY209" si="3360">IF(AS203="","","|n"&amp;DY$2&amp;"+"&amp;AS203&amp;DY$1)</f>
        <v/>
      </c>
      <c r="DZ203" s="66" t="str">
        <f t="shared" ref="DZ203:DZ209" si="3361">IF(AT203="","","|n"&amp;DZ$2&amp;"+"&amp;AT203&amp;DZ$1)</f>
        <v/>
      </c>
      <c r="EA203" s="66" t="str">
        <f t="shared" ref="EA203:EA209" si="3362">IF(AU203="","","|n"&amp;EA$2&amp;"+"&amp;AU203&amp;EA$1)</f>
        <v/>
      </c>
      <c r="EB203" s="66" t="str">
        <f t="shared" ref="EB203:EB209" si="3363">IF(AV203="","","|n"&amp;EB$2&amp;"+"&amp;AV203&amp;EB$1)</f>
        <v/>
      </c>
      <c r="EC203" s="66" t="str">
        <f t="shared" ref="EC203:EC209" si="3364">IF(AW203="","","|n"&amp;EC$2&amp;"+"&amp;AW203&amp;EC$1)</f>
        <v/>
      </c>
      <c r="ED203" s="66" t="str">
        <f t="shared" ref="ED203:ED209" si="3365">IF(AX203="","","|n"&amp;ED$2&amp;"+"&amp;AX203&amp;ED$1)</f>
        <v/>
      </c>
      <c r="EE203" s="66" t="str">
        <f t="shared" ref="EE203:EE209" si="3366">IF(AY203="","","|n"&amp;EE$2&amp;"+"&amp;AY203&amp;EE$1)</f>
        <v/>
      </c>
      <c r="EF203" s="66" t="str">
        <f t="shared" ref="EF203:EF209" si="3367">IF(AZ203="","","|n"&amp;EF$2&amp;"+"&amp;AZ203&amp;EF$1)</f>
        <v/>
      </c>
      <c r="EG203" s="66" t="str">
        <f t="shared" ref="EG203:EG209" si="3368">IF(BA203="","","|n"&amp;EG$2&amp;"+"&amp;BA203&amp;EG$1)</f>
        <v/>
      </c>
      <c r="EH203" s="66" t="str">
        <f t="shared" ref="EH203:EH209" si="3369">IF(BB203="","","|n"&amp;EH$2&amp;"+"&amp;BB203&amp;EH$1)</f>
        <v/>
      </c>
      <c r="EI203" s="66" t="str">
        <f t="shared" ref="EI203:EI209" si="3370">IF(BC203="","","|n"&amp;EI$2&amp;"+"&amp;BC203&amp;EI$1)</f>
        <v/>
      </c>
      <c r="EJ203" s="66" t="str">
        <f t="shared" ref="EJ203:EJ209" si="3371">IF(BD203="","","|n"&amp;EJ$2&amp;"+"&amp;BD203&amp;EJ$1)</f>
        <v/>
      </c>
      <c r="EK203" s="66" t="str">
        <f t="shared" ref="EK203:EK209" si="3372">IF(BE203="","","|n"&amp;EK$2&amp;"+"&amp;BE203&amp;EK$1)</f>
        <v/>
      </c>
      <c r="EL203" s="66" t="str">
        <f t="shared" ref="EL203:EL209" si="3373">IF(BF203="","","|n"&amp;EL$2&amp;"+"&amp;BF203&amp;EL$1)</f>
        <v/>
      </c>
      <c r="EM203" s="66" t="str">
        <f t="shared" ref="EM203:EM209" si="3374">IF(BG203="","","|n"&amp;EM$2&amp;"+"&amp;BG203&amp;EM$1)</f>
        <v/>
      </c>
      <c r="EN203" s="66" t="str">
        <f t="shared" ref="EN203:EN209" si="3375">IF(BH203="","","|n"&amp;EN$2&amp;"+"&amp;BH203&amp;EN$1)</f>
        <v/>
      </c>
      <c r="EO203" s="66" t="str">
        <f t="shared" ref="EO203:EO209" si="3376">IF(BI203="","","|n"&amp;EO$2&amp;"+"&amp;BI203&amp;EO$1)</f>
        <v/>
      </c>
      <c r="EP203" s="66" t="str">
        <f t="shared" ref="EP203:EP209" si="3377">IF(BJ203="","","|n"&amp;EP$2&amp;"+"&amp;BJ203&amp;EP$1)</f>
        <v/>
      </c>
      <c r="EQ203" s="66" t="str">
        <f t="shared" ref="EQ203:EQ209" si="3378">IF(BK203="","","|n"&amp;EQ$2&amp;"+"&amp;BK203&amp;EQ$1)</f>
        <v/>
      </c>
      <c r="ER203" s="66" t="str">
        <f t="shared" ref="ER203:ER209" si="3379">IF(BL203="","","|n"&amp;ER$2&amp;"+"&amp;BL203&amp;ER$1)</f>
        <v/>
      </c>
      <c r="ES203" s="66" t="str">
        <f t="shared" ref="ES203:ES209" si="3380">IF(BM203="","","|n"&amp;ES$2&amp;"+"&amp;BM203&amp;ES$1)</f>
        <v/>
      </c>
      <c r="ET203" s="66" t="str">
        <f t="shared" ref="ET203:ET209" si="3381">IF(BN203="","","|n"&amp;ET$2&amp;"+"&amp;BN203&amp;ET$1)</f>
        <v/>
      </c>
      <c r="EU203" s="66" t="str">
        <f t="shared" ref="EU203:EU209" si="3382">IF(BO203="","","|n"&amp;EU$2&amp;"+"&amp;BO203&amp;EU$1)</f>
        <v/>
      </c>
      <c r="EV203" s="66" t="str">
        <f t="shared" ref="EV203:EV209" si="3383">IF(BP203="","","|n"&amp;EV$2&amp;"+"&amp;BP203&amp;EV$1)</f>
        <v/>
      </c>
      <c r="EW203" s="66" t="str">
        <f t="shared" ref="EW203:EW209" si="3384">IF(BQ203="","","|n"&amp;EW$2&amp;"+"&amp;BQ203&amp;EW$1)</f>
        <v/>
      </c>
      <c r="EX203" s="66" t="str">
        <f t="shared" ref="EX203:EX209" si="3385">IF(BR203="","","|n"&amp;EX$2&amp;"+"&amp;BR203&amp;EX$1)</f>
        <v/>
      </c>
      <c r="EY203" s="66" t="str">
        <f t="shared" ref="EY203:EY209" si="3386">IF(BS203="","","|n"&amp;EY$2&amp;"+"&amp;BS203&amp;EY$1)</f>
        <v/>
      </c>
      <c r="EZ203" s="66" t="str">
        <f t="shared" ref="EZ203:EZ209" si="3387">IF(BT203="","","|n"&amp;EZ$2&amp;"+"&amp;BT203&amp;EZ$1)</f>
        <v/>
      </c>
      <c r="FA203" s="66" t="str">
        <f t="shared" ref="FA203:FA209" si="3388">IF(BU203="","","|n"&amp;FA$2&amp;"+"&amp;BU203&amp;FA$1)</f>
        <v/>
      </c>
      <c r="FB203" s="66" t="str">
        <f t="shared" ref="FB203:FB209" si="3389">IF(BV203="","","|n"&amp;FB$2&amp;"+"&amp;BV203&amp;FB$1)</f>
        <v/>
      </c>
      <c r="FC203" s="66" t="str">
        <f t="shared" ref="FC203:FC209" si="3390">IF(BW203="","","|n"&amp;FC$2&amp;"+"&amp;BW203&amp;FC$1)</f>
        <v/>
      </c>
      <c r="FD203" s="66" t="str">
        <f t="shared" ref="FD203:FD209" si="3391">IF(BX203="","","|n"&amp;FD$2&amp;"+"&amp;BX203&amp;FD$1)</f>
        <v/>
      </c>
      <c r="FE203" s="66" t="str">
        <f t="shared" ref="FE203:FE209" si="3392">IF(BY203="","","|n"&amp;FE$2&amp;"+"&amp;BY203&amp;FE$1)</f>
        <v/>
      </c>
      <c r="FF203" s="66" t="str">
        <f t="shared" ref="FF203:FF209" si="3393">IF(BZ203="","","|n"&amp;FF$2&amp;"+"&amp;BZ203&amp;FF$1)</f>
        <v/>
      </c>
      <c r="FG203" s="66" t="str">
        <f t="shared" ref="FG203:FG209" si="3394">IF(CA203="","","|n"&amp;FG$2&amp;"+"&amp;CA203&amp;FG$1)</f>
        <v/>
      </c>
      <c r="FH203" s="66" t="str">
        <f t="shared" ref="FH203:FH209" si="3395">IF(CB203="","","|n"&amp;FH$2&amp;"+"&amp;CB203&amp;FH$1)</f>
        <v/>
      </c>
      <c r="FI203" s="66" t="str">
        <f t="shared" ref="FI203:FI209" si="3396">IF(CC203="","","|n"&amp;FI$2&amp;"+"&amp;CC203&amp;FI$1)</f>
        <v/>
      </c>
      <c r="FJ203" s="66" t="str">
        <f t="shared" ref="FJ203:FJ209" si="3397">IF(CD203="","","|n"&amp;FJ$2&amp;"+"&amp;CD203&amp;FJ$1)</f>
        <v/>
      </c>
      <c r="FK203" s="66" t="str">
        <f t="shared" ref="FK203:FK209" si="3398">IF(CE203="","","|n"&amp;FK$2&amp;"+"&amp;CE203&amp;FK$1)</f>
        <v/>
      </c>
      <c r="FL203" s="66" t="str">
        <f t="shared" ref="FL203:FL209" si="3399">IF(CF203="","","|n"&amp;FL$2&amp;"+"&amp;CF203&amp;FL$1)</f>
        <v/>
      </c>
      <c r="FM203" s="66" t="str">
        <f t="shared" ref="FM203:FM209" si="3400">IF(CG203="","","|n"&amp;FM$2&amp;"+"&amp;CG203&amp;FM$1)</f>
        <v/>
      </c>
      <c r="FN203" s="66" t="str">
        <f t="shared" ref="FN203:FN209" si="3401">IF(CH203="","","|n"&amp;FN$2&amp;"+"&amp;CH203&amp;FN$1)</f>
        <v/>
      </c>
      <c r="FO203" s="66" t="str">
        <f t="shared" ref="FO203:FO209" si="3402">IF(CI203="","","|n"&amp;FO$2&amp;"+"&amp;CI203&amp;FO$1)</f>
        <v/>
      </c>
      <c r="FP203" s="66" t="str">
        <f t="shared" ref="FP203:FP209" si="3403">IF(CJ203="","","|n"&amp;FP$2&amp;"+"&amp;CJ203&amp;FP$1)</f>
        <v/>
      </c>
      <c r="FQ203" s="66" t="str">
        <f t="shared" ref="FQ203:FQ209" si="3404">IF(CK203="","","|n"&amp;FQ$2&amp;"+"&amp;CK203&amp;FQ$1)</f>
        <v/>
      </c>
      <c r="FR203" s="66" t="str">
        <f t="shared" ref="FR203:FR209" si="3405">IF(CL203="","","|n"&amp;FR$2&amp;"+"&amp;CL203&amp;FR$1)</f>
        <v/>
      </c>
      <c r="FS203" s="66" t="str">
        <f t="shared" ref="FS203:FS209" si="3406">IF(CM203="","","|n"&amp;FS$2&amp;"+"&amp;CM203&amp;FS$1)</f>
        <v/>
      </c>
    </row>
    <row r="204" spans="1:175">
      <c r="A204" s="15"/>
      <c r="B204" s="27" t="s">
        <v>733</v>
      </c>
      <c r="C204" s="28" t="str">
        <f t="shared" ref="C204:C211" si="3407">"已领取"&amp;C195</f>
        <v>已领取入群礼包</v>
      </c>
      <c r="T204" s="28" t="s">
        <v>734</v>
      </c>
      <c r="U204" s="10" t="s">
        <v>732</v>
      </c>
      <c r="CN204" s="36" t="str">
        <f t="shared" ref="CN204:CN211" si="3408">"InitUnitState('"&amp;B204&amp;"',"&amp;V204&amp;","&amp;W204&amp;","&amp;X204&amp;","&amp;Y204&amp;","&amp;Z204&amp;","&amp;AA204&amp;","&amp;AB204&amp;","&amp;AC204&amp;","&amp;AD204&amp;","&amp;AE204&amp;")"</f>
        <v>InitUnitState('IB52',,,,,,,,,,)</v>
      </c>
      <c r="CO204" s="36" t="str">
        <f t="shared" ref="CO204:CO211" si="3409">"InitUnitNormal('"&amp;B204&amp;"',"&amp;AF204&amp;","&amp;AG204&amp;","&amp;AH204&amp;","&amp;AI204&amp;","&amp;AJ204&amp;","&amp;AK204&amp;","&amp;AL204&amp;","&amp;AM204&amp;","&amp;AN204&amp;","&amp;AO204&amp;")"</f>
        <v>InitUnitNormal('IB52',,,,,,,,,,)</v>
      </c>
      <c r="CP204" s="36" t="str">
        <f t="shared" ref="CP204:CP211" si="3410">"InitUnitMagic('"&amp;B204&amp;"',"&amp;AP204&amp;","&amp;AQ204&amp;","&amp;AR204&amp;","&amp;AS204&amp;","&amp;AT204&amp;","&amp;AU204&amp;","&amp;AV204&amp;","&amp;AW204&amp;","&amp;BI204&amp;","&amp;BJ204&amp;")"</f>
        <v>InitUnitMagic('IB52',,,,,,,,,,)</v>
      </c>
      <c r="CQ204" s="36" t="str">
        <f t="shared" ref="CQ204:CQ211" si="3411">"InitUnitAdd('"&amp;B204&amp;"',"&amp;BK204&amp;","&amp;BL204&amp;","&amp;BM204&amp;","&amp;BN204&amp;","&amp;BO204&amp;","&amp;BP204&amp;","&amp;BQ204&amp;","&amp;BR204&amp;","&amp;BS204&amp;","&amp;BT204&amp;")"</f>
        <v>InitUnitAdd('IB52',,,,,,,,,,)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InitEquipData('IB52',,"",,,,,'','','','','','',"ReplaceableTextures\\commandButtons\\BTNLBUI01.blp")</v>
      </c>
      <c r="CU204" s="88" t="str">
        <f t="shared" si="3335"/>
        <v>|n</v>
      </c>
      <c r="CV204" s="19" t="str">
        <f t="shared" si="3336"/>
        <v>加入《|cff00ffcc全民封神|r》官方QQ群，即可获得入群礼包码！|n|n输入礼包码即可获得：|n|cff00ff7f招魂幡Lv2|r</v>
      </c>
      <c r="CW204" s="33"/>
      <c r="CX204" s="33"/>
      <c r="CY204" s="33"/>
      <c r="CZ204" s="33"/>
      <c r="DA204" s="33"/>
      <c r="DB204" s="66" t="str">
        <f t="shared" si="3337"/>
        <v/>
      </c>
      <c r="DC204" s="66" t="str">
        <f t="shared" si="3338"/>
        <v/>
      </c>
      <c r="DD204" s="66" t="str">
        <f t="shared" si="3339"/>
        <v/>
      </c>
      <c r="DE204" s="66" t="str">
        <f t="shared" si="3340"/>
        <v/>
      </c>
      <c r="DF204" s="66" t="str">
        <f t="shared" si="3341"/>
        <v/>
      </c>
      <c r="DG204" s="66" t="str">
        <f t="shared" si="3342"/>
        <v/>
      </c>
      <c r="DH204" s="66" t="str">
        <f t="shared" si="3343"/>
        <v/>
      </c>
      <c r="DI204" s="66" t="str">
        <f t="shared" si="3344"/>
        <v/>
      </c>
      <c r="DJ204" s="66" t="str">
        <f t="shared" si="3345"/>
        <v/>
      </c>
      <c r="DK204" s="66" t="str">
        <f t="shared" si="3346"/>
        <v/>
      </c>
      <c r="DL204" s="66" t="str">
        <f t="shared" si="3347"/>
        <v/>
      </c>
      <c r="DM204" s="66" t="str">
        <f t="shared" si="3348"/>
        <v/>
      </c>
      <c r="DN204" s="66" t="str">
        <f t="shared" si="3349"/>
        <v/>
      </c>
      <c r="DO204" s="66" t="str">
        <f t="shared" si="3350"/>
        <v/>
      </c>
      <c r="DP204" s="66" t="str">
        <f t="shared" si="3351"/>
        <v/>
      </c>
      <c r="DQ204" s="66" t="str">
        <f t="shared" si="3352"/>
        <v/>
      </c>
      <c r="DR204" s="66" t="str">
        <f t="shared" si="3353"/>
        <v/>
      </c>
      <c r="DS204" s="66" t="str">
        <f t="shared" si="3354"/>
        <v/>
      </c>
      <c r="DT204" s="66" t="str">
        <f t="shared" si="3355"/>
        <v/>
      </c>
      <c r="DU204" s="66" t="str">
        <f t="shared" si="3356"/>
        <v/>
      </c>
      <c r="DV204" s="66" t="str">
        <f t="shared" si="3357"/>
        <v/>
      </c>
      <c r="DW204" s="66" t="str">
        <f t="shared" si="3358"/>
        <v/>
      </c>
      <c r="DX204" s="66" t="str">
        <f t="shared" si="3359"/>
        <v/>
      </c>
      <c r="DY204" s="66" t="str">
        <f t="shared" si="3360"/>
        <v/>
      </c>
      <c r="DZ204" s="66" t="str">
        <f t="shared" si="3361"/>
        <v/>
      </c>
      <c r="EA204" s="66" t="str">
        <f t="shared" si="3362"/>
        <v/>
      </c>
      <c r="EB204" s="66" t="str">
        <f t="shared" si="3363"/>
        <v/>
      </c>
      <c r="EC204" s="66" t="str">
        <f t="shared" si="3364"/>
        <v/>
      </c>
      <c r="ED204" s="66" t="str">
        <f t="shared" si="3365"/>
        <v/>
      </c>
      <c r="EE204" s="66" t="str">
        <f t="shared" si="3366"/>
        <v/>
      </c>
      <c r="EF204" s="66" t="str">
        <f t="shared" si="3367"/>
        <v/>
      </c>
      <c r="EG204" s="66" t="str">
        <f t="shared" si="3368"/>
        <v/>
      </c>
      <c r="EH204" s="66" t="str">
        <f t="shared" si="3369"/>
        <v/>
      </c>
      <c r="EI204" s="66" t="str">
        <f t="shared" si="3370"/>
        <v/>
      </c>
      <c r="EJ204" s="66" t="str">
        <f t="shared" si="3371"/>
        <v/>
      </c>
      <c r="EK204" s="66" t="str">
        <f t="shared" si="3372"/>
        <v/>
      </c>
      <c r="EL204" s="66" t="str">
        <f t="shared" si="3373"/>
        <v/>
      </c>
      <c r="EM204" s="66" t="str">
        <f t="shared" si="3374"/>
        <v/>
      </c>
      <c r="EN204" s="66" t="str">
        <f t="shared" si="3375"/>
        <v/>
      </c>
      <c r="EO204" s="66" t="str">
        <f t="shared" si="3376"/>
        <v/>
      </c>
      <c r="EP204" s="66" t="str">
        <f t="shared" si="3377"/>
        <v/>
      </c>
      <c r="EQ204" s="66" t="str">
        <f t="shared" si="3378"/>
        <v/>
      </c>
      <c r="ER204" s="66" t="str">
        <f t="shared" si="3379"/>
        <v/>
      </c>
      <c r="ES204" s="66" t="str">
        <f t="shared" si="3380"/>
        <v/>
      </c>
      <c r="ET204" s="66" t="str">
        <f t="shared" si="3381"/>
        <v/>
      </c>
      <c r="EU204" s="66" t="str">
        <f t="shared" si="3382"/>
        <v/>
      </c>
      <c r="EV204" s="66" t="str">
        <f t="shared" si="3383"/>
        <v/>
      </c>
      <c r="EW204" s="66" t="str">
        <f t="shared" si="3384"/>
        <v/>
      </c>
      <c r="EX204" s="66" t="str">
        <f t="shared" si="3385"/>
        <v/>
      </c>
      <c r="EY204" s="66" t="str">
        <f t="shared" si="3386"/>
        <v/>
      </c>
      <c r="EZ204" s="66" t="str">
        <f t="shared" si="3387"/>
        <v/>
      </c>
      <c r="FA204" s="66" t="str">
        <f t="shared" si="3388"/>
        <v/>
      </c>
      <c r="FB204" s="66" t="str">
        <f t="shared" si="3389"/>
        <v/>
      </c>
      <c r="FC204" s="66" t="str">
        <f t="shared" si="3390"/>
        <v/>
      </c>
      <c r="FD204" s="66" t="str">
        <f t="shared" si="3391"/>
        <v/>
      </c>
      <c r="FE204" s="66" t="str">
        <f t="shared" si="3392"/>
        <v/>
      </c>
      <c r="FF204" s="66" t="str">
        <f t="shared" si="3393"/>
        <v/>
      </c>
      <c r="FG204" s="66" t="str">
        <f t="shared" si="3394"/>
        <v/>
      </c>
      <c r="FH204" s="66" t="str">
        <f t="shared" si="3395"/>
        <v/>
      </c>
      <c r="FI204" s="66" t="str">
        <f t="shared" si="3396"/>
        <v/>
      </c>
      <c r="FJ204" s="66" t="str">
        <f t="shared" si="3397"/>
        <v/>
      </c>
      <c r="FK204" s="66" t="str">
        <f t="shared" si="3398"/>
        <v/>
      </c>
      <c r="FL204" s="66" t="str">
        <f t="shared" si="3399"/>
        <v/>
      </c>
      <c r="FM204" s="66" t="str">
        <f t="shared" si="3400"/>
        <v/>
      </c>
      <c r="FN204" s="66" t="str">
        <f t="shared" si="3401"/>
        <v/>
      </c>
      <c r="FO204" s="66" t="str">
        <f t="shared" si="3402"/>
        <v/>
      </c>
      <c r="FP204" s="66" t="str">
        <f t="shared" si="3403"/>
        <v/>
      </c>
      <c r="FQ204" s="66" t="str">
        <f t="shared" si="3404"/>
        <v/>
      </c>
      <c r="FR204" s="66" t="str">
        <f t="shared" si="3405"/>
        <v/>
      </c>
      <c r="FS204" s="66" t="str">
        <f t="shared" si="3406"/>
        <v/>
      </c>
    </row>
    <row r="205" spans="1:175">
      <c r="A205" s="15"/>
      <c r="B205" s="27" t="s">
        <v>735</v>
      </c>
      <c r="C205" s="28" t="str">
        <f t="shared" si="3407"/>
        <v>已领取拜年礼包</v>
      </c>
      <c r="T205" s="28" t="s">
        <v>736</v>
      </c>
      <c r="U205" s="10" t="s">
        <v>732</v>
      </c>
      <c r="CN205" s="36" t="str">
        <f t="shared" si="3408"/>
        <v>InitUnitState('IB53',,,,,,,,,,)</v>
      </c>
      <c r="CO205" s="36" t="str">
        <f t="shared" si="3409"/>
        <v>InitUnitNormal('IB53',,,,,,,,,,)</v>
      </c>
      <c r="CP205" s="36" t="str">
        <f t="shared" si="3410"/>
        <v>InitUnitMagic('IB53',,,,,,,,,,)</v>
      </c>
      <c r="CQ205" s="36" t="str">
        <f t="shared" si="3411"/>
        <v>InitUnitAdd('IB53',,,,,,,,,,)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InitEquipData('IB53',,"",,,,,'','','','','','',"ReplaceableTextures\\commandButtons\\BTNLBUI01.blp")</v>
      </c>
      <c r="CU205" s="88" t="str">
        <f t="shared" si="3335"/>
        <v>|n</v>
      </c>
      <c r="CV205" s="19" t="str">
        <f t="shared" si="333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5" s="33"/>
      <c r="CX205" s="33"/>
      <c r="CY205" s="33"/>
      <c r="CZ205" s="33"/>
      <c r="DA205" s="33"/>
      <c r="DB205" s="66" t="str">
        <f t="shared" si="3337"/>
        <v/>
      </c>
      <c r="DC205" s="66" t="str">
        <f t="shared" si="3338"/>
        <v/>
      </c>
      <c r="DD205" s="66" t="str">
        <f t="shared" si="3339"/>
        <v/>
      </c>
      <c r="DE205" s="66" t="str">
        <f t="shared" si="3340"/>
        <v/>
      </c>
      <c r="DF205" s="66" t="str">
        <f t="shared" si="3341"/>
        <v/>
      </c>
      <c r="DG205" s="66" t="str">
        <f t="shared" si="3342"/>
        <v/>
      </c>
      <c r="DH205" s="66" t="str">
        <f t="shared" si="3343"/>
        <v/>
      </c>
      <c r="DI205" s="66" t="str">
        <f t="shared" si="3344"/>
        <v/>
      </c>
      <c r="DJ205" s="66" t="str">
        <f t="shared" si="3345"/>
        <v/>
      </c>
      <c r="DK205" s="66" t="str">
        <f t="shared" si="3346"/>
        <v/>
      </c>
      <c r="DL205" s="66" t="str">
        <f t="shared" si="3347"/>
        <v/>
      </c>
      <c r="DM205" s="66" t="str">
        <f t="shared" si="3348"/>
        <v/>
      </c>
      <c r="DN205" s="66" t="str">
        <f t="shared" si="3349"/>
        <v/>
      </c>
      <c r="DO205" s="66" t="str">
        <f t="shared" si="3350"/>
        <v/>
      </c>
      <c r="DP205" s="66" t="str">
        <f t="shared" si="3351"/>
        <v/>
      </c>
      <c r="DQ205" s="66" t="str">
        <f t="shared" si="3352"/>
        <v/>
      </c>
      <c r="DR205" s="66" t="str">
        <f t="shared" si="3353"/>
        <v/>
      </c>
      <c r="DS205" s="66" t="str">
        <f t="shared" si="3354"/>
        <v/>
      </c>
      <c r="DT205" s="66" t="str">
        <f t="shared" si="3355"/>
        <v/>
      </c>
      <c r="DU205" s="66" t="str">
        <f t="shared" si="3356"/>
        <v/>
      </c>
      <c r="DV205" s="66" t="str">
        <f t="shared" si="3357"/>
        <v/>
      </c>
      <c r="DW205" s="66" t="str">
        <f t="shared" si="3358"/>
        <v/>
      </c>
      <c r="DX205" s="66" t="str">
        <f t="shared" si="3359"/>
        <v/>
      </c>
      <c r="DY205" s="66" t="str">
        <f t="shared" si="3360"/>
        <v/>
      </c>
      <c r="DZ205" s="66" t="str">
        <f t="shared" si="3361"/>
        <v/>
      </c>
      <c r="EA205" s="66" t="str">
        <f t="shared" si="3362"/>
        <v/>
      </c>
      <c r="EB205" s="66" t="str">
        <f t="shared" si="3363"/>
        <v/>
      </c>
      <c r="EC205" s="66" t="str">
        <f t="shared" si="3364"/>
        <v/>
      </c>
      <c r="ED205" s="66" t="str">
        <f t="shared" si="3365"/>
        <v/>
      </c>
      <c r="EE205" s="66" t="str">
        <f t="shared" si="3366"/>
        <v/>
      </c>
      <c r="EF205" s="66" t="str">
        <f t="shared" si="3367"/>
        <v/>
      </c>
      <c r="EG205" s="66" t="str">
        <f t="shared" si="3368"/>
        <v/>
      </c>
      <c r="EH205" s="66" t="str">
        <f t="shared" si="3369"/>
        <v/>
      </c>
      <c r="EI205" s="66" t="str">
        <f t="shared" si="3370"/>
        <v/>
      </c>
      <c r="EJ205" s="66" t="str">
        <f t="shared" si="3371"/>
        <v/>
      </c>
      <c r="EK205" s="66" t="str">
        <f t="shared" si="3372"/>
        <v/>
      </c>
      <c r="EL205" s="66" t="str">
        <f t="shared" si="3373"/>
        <v/>
      </c>
      <c r="EM205" s="66" t="str">
        <f t="shared" si="3374"/>
        <v/>
      </c>
      <c r="EN205" s="66" t="str">
        <f t="shared" si="3375"/>
        <v/>
      </c>
      <c r="EO205" s="66" t="str">
        <f t="shared" si="3376"/>
        <v/>
      </c>
      <c r="EP205" s="66" t="str">
        <f t="shared" si="3377"/>
        <v/>
      </c>
      <c r="EQ205" s="66" t="str">
        <f t="shared" si="3378"/>
        <v/>
      </c>
      <c r="ER205" s="66" t="str">
        <f t="shared" si="3379"/>
        <v/>
      </c>
      <c r="ES205" s="66" t="str">
        <f t="shared" si="3380"/>
        <v/>
      </c>
      <c r="ET205" s="66" t="str">
        <f t="shared" si="3381"/>
        <v/>
      </c>
      <c r="EU205" s="66" t="str">
        <f t="shared" si="3382"/>
        <v/>
      </c>
      <c r="EV205" s="66" t="str">
        <f t="shared" si="3383"/>
        <v/>
      </c>
      <c r="EW205" s="66" t="str">
        <f t="shared" si="3384"/>
        <v/>
      </c>
      <c r="EX205" s="66" t="str">
        <f t="shared" si="3385"/>
        <v/>
      </c>
      <c r="EY205" s="66" t="str">
        <f t="shared" si="3386"/>
        <v/>
      </c>
      <c r="EZ205" s="66" t="str">
        <f t="shared" si="3387"/>
        <v/>
      </c>
      <c r="FA205" s="66" t="str">
        <f t="shared" si="3388"/>
        <v/>
      </c>
      <c r="FB205" s="66" t="str">
        <f t="shared" si="3389"/>
        <v/>
      </c>
      <c r="FC205" s="66" t="str">
        <f t="shared" si="3390"/>
        <v/>
      </c>
      <c r="FD205" s="66" t="str">
        <f t="shared" si="3391"/>
        <v/>
      </c>
      <c r="FE205" s="66" t="str">
        <f t="shared" si="3392"/>
        <v/>
      </c>
      <c r="FF205" s="66" t="str">
        <f t="shared" si="3393"/>
        <v/>
      </c>
      <c r="FG205" s="66" t="str">
        <f t="shared" si="3394"/>
        <v/>
      </c>
      <c r="FH205" s="66" t="str">
        <f t="shared" si="3395"/>
        <v/>
      </c>
      <c r="FI205" s="66" t="str">
        <f t="shared" si="3396"/>
        <v/>
      </c>
      <c r="FJ205" s="66" t="str">
        <f t="shared" si="3397"/>
        <v/>
      </c>
      <c r="FK205" s="66" t="str">
        <f t="shared" si="3398"/>
        <v/>
      </c>
      <c r="FL205" s="66" t="str">
        <f t="shared" si="3399"/>
        <v/>
      </c>
      <c r="FM205" s="66" t="str">
        <f t="shared" si="3400"/>
        <v/>
      </c>
      <c r="FN205" s="66" t="str">
        <f t="shared" si="3401"/>
        <v/>
      </c>
      <c r="FO205" s="66" t="str">
        <f t="shared" si="3402"/>
        <v/>
      </c>
      <c r="FP205" s="66" t="str">
        <f t="shared" si="3403"/>
        <v/>
      </c>
      <c r="FQ205" s="66" t="str">
        <f t="shared" si="3404"/>
        <v/>
      </c>
      <c r="FR205" s="66" t="str">
        <f t="shared" si="3405"/>
        <v/>
      </c>
      <c r="FS205" s="66" t="str">
        <f t="shared" si="3406"/>
        <v/>
      </c>
    </row>
    <row r="206" spans="1:175">
      <c r="A206" s="15"/>
      <c r="B206" s="27" t="s">
        <v>737</v>
      </c>
      <c r="C206" s="28" t="str">
        <f t="shared" si="3407"/>
        <v>已领取收藏礼包</v>
      </c>
      <c r="T206" s="28" t="s">
        <v>738</v>
      </c>
      <c r="U206" s="10" t="s">
        <v>732</v>
      </c>
      <c r="CN206" s="36" t="str">
        <f t="shared" si="3408"/>
        <v>InitUnitState('IB54',,,,,,,,,,)</v>
      </c>
      <c r="CO206" s="36" t="str">
        <f t="shared" si="3409"/>
        <v>InitUnitNormal('IB54',,,,,,,,,,)</v>
      </c>
      <c r="CP206" s="36" t="str">
        <f t="shared" si="3410"/>
        <v>InitUnitMagic('IB54',,,,,,,,,,)</v>
      </c>
      <c r="CQ206" s="36" t="str">
        <f t="shared" si="3411"/>
        <v>InitUnitAdd('IB54',,,,,,,,,,)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InitEquipData('IB54',,"",,,,,'','','','','','',"ReplaceableTextures\\commandButtons\\BTNLBUI01.blp")</v>
      </c>
      <c r="CU206" s="88" t="str">
        <f t="shared" si="3335"/>
        <v>|n</v>
      </c>
      <c r="CV206" s="19" t="str">
        <f t="shared" si="3336"/>
        <v>|cff99ccff房间大厅界面点击右上角《|r|cffcc99ff收藏|r|cff99ccff》后可领取该礼包。|n|n|r属性：|n|cffffcc33物理伤害+5%|n法术伤害+5%|r</v>
      </c>
      <c r="CW206" s="33"/>
      <c r="CX206" s="33"/>
      <c r="CY206" s="33"/>
      <c r="CZ206" s="33"/>
      <c r="DA206" s="33"/>
      <c r="DB206" s="66" t="str">
        <f t="shared" si="3337"/>
        <v/>
      </c>
      <c r="DC206" s="66" t="str">
        <f t="shared" si="3338"/>
        <v/>
      </c>
      <c r="DD206" s="66" t="str">
        <f t="shared" si="3339"/>
        <v/>
      </c>
      <c r="DE206" s="66" t="str">
        <f t="shared" si="3340"/>
        <v/>
      </c>
      <c r="DF206" s="66" t="str">
        <f t="shared" si="3341"/>
        <v/>
      </c>
      <c r="DG206" s="66" t="str">
        <f t="shared" si="3342"/>
        <v/>
      </c>
      <c r="DH206" s="66" t="str">
        <f t="shared" si="3343"/>
        <v/>
      </c>
      <c r="DI206" s="66" t="str">
        <f t="shared" si="3344"/>
        <v/>
      </c>
      <c r="DJ206" s="66" t="str">
        <f t="shared" si="3345"/>
        <v/>
      </c>
      <c r="DK206" s="66" t="str">
        <f t="shared" si="3346"/>
        <v/>
      </c>
      <c r="DL206" s="66" t="str">
        <f t="shared" si="3347"/>
        <v/>
      </c>
      <c r="DM206" s="66" t="str">
        <f t="shared" si="3348"/>
        <v/>
      </c>
      <c r="DN206" s="66" t="str">
        <f t="shared" si="3349"/>
        <v/>
      </c>
      <c r="DO206" s="66" t="str">
        <f t="shared" si="3350"/>
        <v/>
      </c>
      <c r="DP206" s="66" t="str">
        <f t="shared" si="3351"/>
        <v/>
      </c>
      <c r="DQ206" s="66" t="str">
        <f t="shared" si="3352"/>
        <v/>
      </c>
      <c r="DR206" s="66" t="str">
        <f t="shared" si="3353"/>
        <v/>
      </c>
      <c r="DS206" s="66" t="str">
        <f t="shared" si="3354"/>
        <v/>
      </c>
      <c r="DT206" s="66" t="str">
        <f t="shared" si="3355"/>
        <v/>
      </c>
      <c r="DU206" s="66" t="str">
        <f t="shared" si="3356"/>
        <v/>
      </c>
      <c r="DV206" s="66" t="str">
        <f t="shared" si="3357"/>
        <v/>
      </c>
      <c r="DW206" s="66" t="str">
        <f t="shared" si="3358"/>
        <v/>
      </c>
      <c r="DX206" s="66" t="str">
        <f t="shared" si="3359"/>
        <v/>
      </c>
      <c r="DY206" s="66" t="str">
        <f t="shared" si="3360"/>
        <v/>
      </c>
      <c r="DZ206" s="66" t="str">
        <f t="shared" si="3361"/>
        <v/>
      </c>
      <c r="EA206" s="66" t="str">
        <f t="shared" si="3362"/>
        <v/>
      </c>
      <c r="EB206" s="66" t="str">
        <f t="shared" si="3363"/>
        <v/>
      </c>
      <c r="EC206" s="66" t="str">
        <f t="shared" si="3364"/>
        <v/>
      </c>
      <c r="ED206" s="66" t="str">
        <f t="shared" si="3365"/>
        <v/>
      </c>
      <c r="EE206" s="66" t="str">
        <f t="shared" si="3366"/>
        <v/>
      </c>
      <c r="EF206" s="66" t="str">
        <f t="shared" si="3367"/>
        <v/>
      </c>
      <c r="EG206" s="66" t="str">
        <f t="shared" si="3368"/>
        <v/>
      </c>
      <c r="EH206" s="66" t="str">
        <f t="shared" si="3369"/>
        <v/>
      </c>
      <c r="EI206" s="66" t="str">
        <f t="shared" si="3370"/>
        <v/>
      </c>
      <c r="EJ206" s="66" t="str">
        <f t="shared" si="3371"/>
        <v/>
      </c>
      <c r="EK206" s="66" t="str">
        <f t="shared" si="3372"/>
        <v/>
      </c>
      <c r="EL206" s="66" t="str">
        <f t="shared" si="3373"/>
        <v/>
      </c>
      <c r="EM206" s="66" t="str">
        <f t="shared" si="3374"/>
        <v/>
      </c>
      <c r="EN206" s="66" t="str">
        <f t="shared" si="3375"/>
        <v/>
      </c>
      <c r="EO206" s="66" t="str">
        <f t="shared" si="3376"/>
        <v/>
      </c>
      <c r="EP206" s="66" t="str">
        <f t="shared" si="3377"/>
        <v/>
      </c>
      <c r="EQ206" s="66" t="str">
        <f t="shared" si="3378"/>
        <v/>
      </c>
      <c r="ER206" s="66" t="str">
        <f t="shared" si="3379"/>
        <v/>
      </c>
      <c r="ES206" s="66" t="str">
        <f t="shared" si="3380"/>
        <v/>
      </c>
      <c r="ET206" s="66" t="str">
        <f t="shared" si="3381"/>
        <v/>
      </c>
      <c r="EU206" s="66" t="str">
        <f t="shared" si="3382"/>
        <v/>
      </c>
      <c r="EV206" s="66" t="str">
        <f t="shared" si="3383"/>
        <v/>
      </c>
      <c r="EW206" s="66" t="str">
        <f t="shared" si="3384"/>
        <v/>
      </c>
      <c r="EX206" s="66" t="str">
        <f t="shared" si="3385"/>
        <v/>
      </c>
      <c r="EY206" s="66" t="str">
        <f t="shared" si="3386"/>
        <v/>
      </c>
      <c r="EZ206" s="66" t="str">
        <f t="shared" si="3387"/>
        <v/>
      </c>
      <c r="FA206" s="66" t="str">
        <f t="shared" si="3388"/>
        <v/>
      </c>
      <c r="FB206" s="66" t="str">
        <f t="shared" si="3389"/>
        <v/>
      </c>
      <c r="FC206" s="66" t="str">
        <f t="shared" si="3390"/>
        <v/>
      </c>
      <c r="FD206" s="66" t="str">
        <f t="shared" si="3391"/>
        <v/>
      </c>
      <c r="FE206" s="66" t="str">
        <f t="shared" si="3392"/>
        <v/>
      </c>
      <c r="FF206" s="66" t="str">
        <f t="shared" si="3393"/>
        <v/>
      </c>
      <c r="FG206" s="66" t="str">
        <f t="shared" si="3394"/>
        <v/>
      </c>
      <c r="FH206" s="66" t="str">
        <f t="shared" si="3395"/>
        <v/>
      </c>
      <c r="FI206" s="66" t="str">
        <f t="shared" si="3396"/>
        <v/>
      </c>
      <c r="FJ206" s="66" t="str">
        <f t="shared" si="3397"/>
        <v/>
      </c>
      <c r="FK206" s="66" t="str">
        <f t="shared" si="3398"/>
        <v/>
      </c>
      <c r="FL206" s="66" t="str">
        <f t="shared" si="3399"/>
        <v/>
      </c>
      <c r="FM206" s="66" t="str">
        <f t="shared" si="3400"/>
        <v/>
      </c>
      <c r="FN206" s="66" t="str">
        <f t="shared" si="3401"/>
        <v/>
      </c>
      <c r="FO206" s="66" t="str">
        <f t="shared" si="3402"/>
        <v/>
      </c>
      <c r="FP206" s="66" t="str">
        <f t="shared" si="3403"/>
        <v/>
      </c>
      <c r="FQ206" s="66" t="str">
        <f t="shared" si="3404"/>
        <v/>
      </c>
      <c r="FR206" s="66" t="str">
        <f t="shared" si="3405"/>
        <v/>
      </c>
      <c r="FS206" s="66" t="str">
        <f t="shared" si="3406"/>
        <v/>
      </c>
    </row>
    <row r="207" spans="1:175">
      <c r="A207" s="15"/>
      <c r="B207" s="27" t="s">
        <v>739</v>
      </c>
      <c r="C207" s="28" t="str">
        <f t="shared" si="3407"/>
        <v>已领取重置版礼包</v>
      </c>
      <c r="T207" s="151" t="s">
        <v>899</v>
      </c>
      <c r="U207" s="10" t="s">
        <v>732</v>
      </c>
      <c r="CN207" s="36" t="str">
        <f t="shared" si="3408"/>
        <v>InitUnitState('IB55',,,,,,,,,,)</v>
      </c>
      <c r="CO207" s="36" t="str">
        <f t="shared" si="3409"/>
        <v>InitUnitNormal('IB55',,,,,,,,,,)</v>
      </c>
      <c r="CP207" s="36" t="str">
        <f t="shared" si="3410"/>
        <v>InitUnitMagic('IB55',,,,,,,,,,)</v>
      </c>
      <c r="CQ207" s="36" t="str">
        <f t="shared" si="3411"/>
        <v>InitUnitAdd('IB55',,,,,,,,,,)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225&amp;CR$1&amp;")"</f>
        <v>InitEquipData('IB55',,"",,,,,'','','','','','',"")</v>
      </c>
      <c r="CU207" s="88" t="str">
        <f t="shared" si="3335"/>
        <v>|n</v>
      </c>
      <c r="CV207" s="19" t="str">
        <f t="shared" si="3336"/>
        <v>|cff33ff00购买魔兽重制版可领取该礼包！|n|n|r属性：|n|cffffcc33金币+1000|n每秒攻击+2|n每秒业力+1|r</v>
      </c>
      <c r="CW207" s="33"/>
      <c r="CX207" s="33"/>
      <c r="CY207" s="33"/>
      <c r="CZ207" s="33"/>
      <c r="DA207" s="33"/>
      <c r="DB207" s="66" t="str">
        <f t="shared" si="3337"/>
        <v/>
      </c>
      <c r="DC207" s="66" t="str">
        <f t="shared" si="3338"/>
        <v/>
      </c>
      <c r="DD207" s="66" t="str">
        <f t="shared" si="3339"/>
        <v/>
      </c>
      <c r="DE207" s="66" t="str">
        <f t="shared" si="3340"/>
        <v/>
      </c>
      <c r="DF207" s="66" t="str">
        <f t="shared" si="3341"/>
        <v/>
      </c>
      <c r="DG207" s="66" t="str">
        <f t="shared" si="3342"/>
        <v/>
      </c>
      <c r="DH207" s="66" t="str">
        <f t="shared" si="3343"/>
        <v/>
      </c>
      <c r="DI207" s="66" t="str">
        <f t="shared" si="3344"/>
        <v/>
      </c>
      <c r="DJ207" s="66" t="str">
        <f t="shared" si="3345"/>
        <v/>
      </c>
      <c r="DK207" s="66" t="str">
        <f t="shared" si="3346"/>
        <v/>
      </c>
      <c r="DL207" s="66" t="str">
        <f t="shared" si="3347"/>
        <v/>
      </c>
      <c r="DM207" s="66" t="str">
        <f t="shared" si="3348"/>
        <v/>
      </c>
      <c r="DN207" s="66" t="str">
        <f t="shared" si="3349"/>
        <v/>
      </c>
      <c r="DO207" s="66" t="str">
        <f t="shared" si="3350"/>
        <v/>
      </c>
      <c r="DP207" s="66" t="str">
        <f t="shared" si="3351"/>
        <v/>
      </c>
      <c r="DQ207" s="66" t="str">
        <f t="shared" si="3352"/>
        <v/>
      </c>
      <c r="DR207" s="66" t="str">
        <f t="shared" si="3353"/>
        <v/>
      </c>
      <c r="DS207" s="66" t="str">
        <f t="shared" si="3354"/>
        <v/>
      </c>
      <c r="DT207" s="66" t="str">
        <f t="shared" si="3355"/>
        <v/>
      </c>
      <c r="DU207" s="66" t="str">
        <f t="shared" si="3356"/>
        <v/>
      </c>
      <c r="DV207" s="66" t="str">
        <f t="shared" si="3357"/>
        <v/>
      </c>
      <c r="DW207" s="66" t="str">
        <f t="shared" si="3358"/>
        <v/>
      </c>
      <c r="DX207" s="66" t="str">
        <f t="shared" si="3359"/>
        <v/>
      </c>
      <c r="DY207" s="66" t="str">
        <f t="shared" si="3360"/>
        <v/>
      </c>
      <c r="DZ207" s="66" t="str">
        <f t="shared" si="3361"/>
        <v/>
      </c>
      <c r="EA207" s="66" t="str">
        <f t="shared" si="3362"/>
        <v/>
      </c>
      <c r="EB207" s="66" t="str">
        <f t="shared" si="3363"/>
        <v/>
      </c>
      <c r="EC207" s="66" t="str">
        <f t="shared" si="3364"/>
        <v/>
      </c>
      <c r="ED207" s="66" t="str">
        <f t="shared" si="3365"/>
        <v/>
      </c>
      <c r="EE207" s="66" t="str">
        <f t="shared" si="3366"/>
        <v/>
      </c>
      <c r="EF207" s="66" t="str">
        <f t="shared" si="3367"/>
        <v/>
      </c>
      <c r="EG207" s="66" t="str">
        <f t="shared" si="3368"/>
        <v/>
      </c>
      <c r="EH207" s="66" t="str">
        <f t="shared" si="3369"/>
        <v/>
      </c>
      <c r="EI207" s="66" t="str">
        <f t="shared" si="3370"/>
        <v/>
      </c>
      <c r="EJ207" s="66" t="str">
        <f t="shared" si="3371"/>
        <v/>
      </c>
      <c r="EK207" s="66" t="str">
        <f t="shared" si="3372"/>
        <v/>
      </c>
      <c r="EL207" s="66" t="str">
        <f t="shared" si="3373"/>
        <v/>
      </c>
      <c r="EM207" s="66" t="str">
        <f t="shared" si="3374"/>
        <v/>
      </c>
      <c r="EN207" s="66" t="str">
        <f t="shared" si="3375"/>
        <v/>
      </c>
      <c r="EO207" s="66" t="str">
        <f t="shared" si="3376"/>
        <v/>
      </c>
      <c r="EP207" s="66" t="str">
        <f t="shared" si="3377"/>
        <v/>
      </c>
      <c r="EQ207" s="66" t="str">
        <f t="shared" si="3378"/>
        <v/>
      </c>
      <c r="ER207" s="66" t="str">
        <f t="shared" si="3379"/>
        <v/>
      </c>
      <c r="ES207" s="66" t="str">
        <f t="shared" si="3380"/>
        <v/>
      </c>
      <c r="ET207" s="66" t="str">
        <f t="shared" si="3381"/>
        <v/>
      </c>
      <c r="EU207" s="66" t="str">
        <f t="shared" si="3382"/>
        <v/>
      </c>
      <c r="EV207" s="66" t="str">
        <f t="shared" si="3383"/>
        <v/>
      </c>
      <c r="EW207" s="66" t="str">
        <f t="shared" si="3384"/>
        <v/>
      </c>
      <c r="EX207" s="66" t="str">
        <f t="shared" si="3385"/>
        <v/>
      </c>
      <c r="EY207" s="66" t="str">
        <f t="shared" si="3386"/>
        <v/>
      </c>
      <c r="EZ207" s="66" t="str">
        <f t="shared" si="3387"/>
        <v/>
      </c>
      <c r="FA207" s="66" t="str">
        <f t="shared" si="3388"/>
        <v/>
      </c>
      <c r="FB207" s="66" t="str">
        <f t="shared" si="3389"/>
        <v/>
      </c>
      <c r="FC207" s="66" t="str">
        <f t="shared" si="3390"/>
        <v/>
      </c>
      <c r="FD207" s="66" t="str">
        <f t="shared" si="3391"/>
        <v/>
      </c>
      <c r="FE207" s="66" t="str">
        <f t="shared" si="3392"/>
        <v/>
      </c>
      <c r="FF207" s="66" t="str">
        <f t="shared" si="3393"/>
        <v/>
      </c>
      <c r="FG207" s="66" t="str">
        <f t="shared" si="3394"/>
        <v/>
      </c>
      <c r="FH207" s="66" t="str">
        <f t="shared" si="3395"/>
        <v/>
      </c>
      <c r="FI207" s="66" t="str">
        <f t="shared" si="3396"/>
        <v/>
      </c>
      <c r="FJ207" s="66" t="str">
        <f t="shared" si="3397"/>
        <v/>
      </c>
      <c r="FK207" s="66" t="str">
        <f t="shared" si="3398"/>
        <v/>
      </c>
      <c r="FL207" s="66" t="str">
        <f t="shared" si="3399"/>
        <v/>
      </c>
      <c r="FM207" s="66" t="str">
        <f t="shared" si="3400"/>
        <v/>
      </c>
      <c r="FN207" s="66" t="str">
        <f t="shared" si="3401"/>
        <v/>
      </c>
      <c r="FO207" s="66" t="str">
        <f t="shared" si="3402"/>
        <v/>
      </c>
      <c r="FP207" s="66" t="str">
        <f t="shared" si="3403"/>
        <v/>
      </c>
      <c r="FQ207" s="66" t="str">
        <f t="shared" si="3404"/>
        <v/>
      </c>
      <c r="FR207" s="66" t="str">
        <f t="shared" si="3405"/>
        <v/>
      </c>
      <c r="FS207" s="66" t="str">
        <f t="shared" si="3406"/>
        <v/>
      </c>
    </row>
    <row r="208" spans="1:175">
      <c r="A208" s="15"/>
      <c r="B208" s="27" t="s">
        <v>740</v>
      </c>
      <c r="C208" s="28" t="str">
        <f t="shared" si="3407"/>
        <v>已领取公会福利</v>
      </c>
      <c r="T208" s="28" t="s">
        <v>721</v>
      </c>
      <c r="U208" s="10" t="s">
        <v>732</v>
      </c>
      <c r="CN208" s="36" t="str">
        <f t="shared" si="3408"/>
        <v>InitUnitState('IB56',,,,,,,,,,)</v>
      </c>
      <c r="CO208" s="36" t="str">
        <f t="shared" si="3409"/>
        <v>InitUnitNormal('IB56',,,,,,,,,,)</v>
      </c>
      <c r="CP208" s="36" t="str">
        <f t="shared" si="3410"/>
        <v>InitUnitMagic('IB56',,,,,,,,,,)</v>
      </c>
      <c r="CQ208" s="36" t="str">
        <f t="shared" si="3411"/>
        <v>InitUnitAdd('IB56',,,,,,,,,,)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InitEquipData('IB56',,"",,,,,'','','','','','',"ReplaceableTextures\\commandButtons\\BTNLBUI01.blp")</v>
      </c>
      <c r="CU208" s="88" t="str">
        <f t="shared" si="3335"/>
        <v>|n</v>
      </c>
      <c r="CV208" s="19" t="str">
        <f t="shared" si="333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33"/>
      <c r="CX208" s="33"/>
      <c r="CY208" s="33"/>
      <c r="CZ208" s="33"/>
      <c r="DA208" s="33"/>
      <c r="DB208" s="66" t="str">
        <f t="shared" si="3337"/>
        <v/>
      </c>
      <c r="DC208" s="66" t="str">
        <f t="shared" si="3338"/>
        <v/>
      </c>
      <c r="DD208" s="66" t="str">
        <f t="shared" si="3339"/>
        <v/>
      </c>
      <c r="DE208" s="66" t="str">
        <f t="shared" si="3340"/>
        <v/>
      </c>
      <c r="DF208" s="66" t="str">
        <f t="shared" si="3341"/>
        <v/>
      </c>
      <c r="DG208" s="66" t="str">
        <f t="shared" si="3342"/>
        <v/>
      </c>
      <c r="DH208" s="66" t="str">
        <f t="shared" si="3343"/>
        <v/>
      </c>
      <c r="DI208" s="66" t="str">
        <f t="shared" si="3344"/>
        <v/>
      </c>
      <c r="DJ208" s="66" t="str">
        <f t="shared" si="3345"/>
        <v/>
      </c>
      <c r="DK208" s="66" t="str">
        <f t="shared" si="3346"/>
        <v/>
      </c>
      <c r="DL208" s="66" t="str">
        <f t="shared" si="3347"/>
        <v/>
      </c>
      <c r="DM208" s="66" t="str">
        <f t="shared" si="3348"/>
        <v/>
      </c>
      <c r="DN208" s="66" t="str">
        <f t="shared" si="3349"/>
        <v/>
      </c>
      <c r="DO208" s="66" t="str">
        <f t="shared" si="3350"/>
        <v/>
      </c>
      <c r="DP208" s="66" t="str">
        <f t="shared" si="3351"/>
        <v/>
      </c>
      <c r="DQ208" s="66" t="str">
        <f t="shared" si="3352"/>
        <v/>
      </c>
      <c r="DR208" s="66" t="str">
        <f t="shared" si="3353"/>
        <v/>
      </c>
      <c r="DS208" s="66" t="str">
        <f t="shared" si="3354"/>
        <v/>
      </c>
      <c r="DT208" s="66" t="str">
        <f t="shared" si="3355"/>
        <v/>
      </c>
      <c r="DU208" s="66" t="str">
        <f t="shared" si="3356"/>
        <v/>
      </c>
      <c r="DV208" s="66" t="str">
        <f t="shared" si="3357"/>
        <v/>
      </c>
      <c r="DW208" s="66" t="str">
        <f t="shared" si="3358"/>
        <v/>
      </c>
      <c r="DX208" s="66" t="str">
        <f t="shared" si="3359"/>
        <v/>
      </c>
      <c r="DY208" s="66" t="str">
        <f t="shared" si="3360"/>
        <v/>
      </c>
      <c r="DZ208" s="66" t="str">
        <f t="shared" si="3361"/>
        <v/>
      </c>
      <c r="EA208" s="66" t="str">
        <f t="shared" si="3362"/>
        <v/>
      </c>
      <c r="EB208" s="66" t="str">
        <f t="shared" si="3363"/>
        <v/>
      </c>
      <c r="EC208" s="66" t="str">
        <f t="shared" si="3364"/>
        <v/>
      </c>
      <c r="ED208" s="66" t="str">
        <f t="shared" si="3365"/>
        <v/>
      </c>
      <c r="EE208" s="66" t="str">
        <f t="shared" si="3366"/>
        <v/>
      </c>
      <c r="EF208" s="66" t="str">
        <f t="shared" si="3367"/>
        <v/>
      </c>
      <c r="EG208" s="66" t="str">
        <f t="shared" si="3368"/>
        <v/>
      </c>
      <c r="EH208" s="66" t="str">
        <f t="shared" si="3369"/>
        <v/>
      </c>
      <c r="EI208" s="66" t="str">
        <f t="shared" si="3370"/>
        <v/>
      </c>
      <c r="EJ208" s="66" t="str">
        <f t="shared" si="3371"/>
        <v/>
      </c>
      <c r="EK208" s="66" t="str">
        <f t="shared" si="3372"/>
        <v/>
      </c>
      <c r="EL208" s="66" t="str">
        <f t="shared" si="3373"/>
        <v/>
      </c>
      <c r="EM208" s="66" t="str">
        <f t="shared" si="3374"/>
        <v/>
      </c>
      <c r="EN208" s="66" t="str">
        <f t="shared" si="3375"/>
        <v/>
      </c>
      <c r="EO208" s="66" t="str">
        <f t="shared" si="3376"/>
        <v/>
      </c>
      <c r="EP208" s="66" t="str">
        <f t="shared" si="3377"/>
        <v/>
      </c>
      <c r="EQ208" s="66" t="str">
        <f t="shared" si="3378"/>
        <v/>
      </c>
      <c r="ER208" s="66" t="str">
        <f t="shared" si="3379"/>
        <v/>
      </c>
      <c r="ES208" s="66" t="str">
        <f t="shared" si="3380"/>
        <v/>
      </c>
      <c r="ET208" s="66" t="str">
        <f t="shared" si="3381"/>
        <v/>
      </c>
      <c r="EU208" s="66" t="str">
        <f t="shared" si="3382"/>
        <v/>
      </c>
      <c r="EV208" s="66" t="str">
        <f t="shared" si="3383"/>
        <v/>
      </c>
      <c r="EW208" s="66" t="str">
        <f t="shared" si="3384"/>
        <v/>
      </c>
      <c r="EX208" s="66" t="str">
        <f t="shared" si="3385"/>
        <v/>
      </c>
      <c r="EY208" s="66" t="str">
        <f t="shared" si="3386"/>
        <v/>
      </c>
      <c r="EZ208" s="66" t="str">
        <f t="shared" si="3387"/>
        <v/>
      </c>
      <c r="FA208" s="66" t="str">
        <f t="shared" si="3388"/>
        <v/>
      </c>
      <c r="FB208" s="66" t="str">
        <f t="shared" si="3389"/>
        <v/>
      </c>
      <c r="FC208" s="66" t="str">
        <f t="shared" si="3390"/>
        <v/>
      </c>
      <c r="FD208" s="66" t="str">
        <f t="shared" si="3391"/>
        <v/>
      </c>
      <c r="FE208" s="66" t="str">
        <f t="shared" si="3392"/>
        <v/>
      </c>
      <c r="FF208" s="66" t="str">
        <f t="shared" si="3393"/>
        <v/>
      </c>
      <c r="FG208" s="66" t="str">
        <f t="shared" si="3394"/>
        <v/>
      </c>
      <c r="FH208" s="66" t="str">
        <f t="shared" si="3395"/>
        <v/>
      </c>
      <c r="FI208" s="66" t="str">
        <f t="shared" si="3396"/>
        <v/>
      </c>
      <c r="FJ208" s="66" t="str">
        <f t="shared" si="3397"/>
        <v/>
      </c>
      <c r="FK208" s="66" t="str">
        <f t="shared" si="3398"/>
        <v/>
      </c>
      <c r="FL208" s="66" t="str">
        <f t="shared" si="3399"/>
        <v/>
      </c>
      <c r="FM208" s="66" t="str">
        <f t="shared" si="3400"/>
        <v/>
      </c>
      <c r="FN208" s="66" t="str">
        <f t="shared" si="3401"/>
        <v/>
      </c>
      <c r="FO208" s="66" t="str">
        <f t="shared" si="3402"/>
        <v/>
      </c>
      <c r="FP208" s="66" t="str">
        <f t="shared" si="3403"/>
        <v/>
      </c>
      <c r="FQ208" s="66" t="str">
        <f t="shared" si="3404"/>
        <v/>
      </c>
      <c r="FR208" s="66" t="str">
        <f t="shared" si="3405"/>
        <v/>
      </c>
      <c r="FS208" s="66" t="str">
        <f t="shared" si="3406"/>
        <v/>
      </c>
    </row>
    <row r="209" spans="1:175">
      <c r="A209" s="15"/>
      <c r="B209" s="27" t="s">
        <v>741</v>
      </c>
      <c r="C209" s="28" t="str">
        <f t="shared" si="3407"/>
        <v>已领取星耀礼包</v>
      </c>
      <c r="T209" s="28" t="s">
        <v>742</v>
      </c>
      <c r="U209" s="10" t="s">
        <v>732</v>
      </c>
      <c r="CN209" s="36" t="str">
        <f t="shared" si="3408"/>
        <v>InitUnitState('IB57',,,,,,,,,,)</v>
      </c>
      <c r="CO209" s="36" t="str">
        <f t="shared" si="3409"/>
        <v>InitUnitNormal('IB57',,,,,,,,,,)</v>
      </c>
      <c r="CP209" s="36" t="str">
        <f t="shared" si="3410"/>
        <v>InitUnitMagic('IB57',,,,,,,,,,)</v>
      </c>
      <c r="CQ209" s="36" t="str">
        <f t="shared" si="3411"/>
        <v>InitUnitAdd('IB57',,,,,,,,,,)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InitEquipData('IB57',,"",,,,,'','','','','','',"ReplaceableTextures\\commandButtons\\BTNLBUI01.blp")</v>
      </c>
      <c r="CU209" s="88" t="str">
        <f t="shared" si="3335"/>
        <v>|n</v>
      </c>
      <c r="CV209" s="19" t="str">
        <f t="shared" si="333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33"/>
      <c r="CX209" s="33"/>
      <c r="CY209" s="33"/>
      <c r="CZ209" s="33"/>
      <c r="DA209" s="33"/>
      <c r="DB209" s="66" t="str">
        <f t="shared" si="3337"/>
        <v/>
      </c>
      <c r="DC209" s="66" t="str">
        <f t="shared" si="3338"/>
        <v/>
      </c>
      <c r="DD209" s="66" t="str">
        <f t="shared" si="3339"/>
        <v/>
      </c>
      <c r="DE209" s="66" t="str">
        <f t="shared" si="3340"/>
        <v/>
      </c>
      <c r="DF209" s="66" t="str">
        <f t="shared" si="3341"/>
        <v/>
      </c>
      <c r="DG209" s="66" t="str">
        <f t="shared" si="3342"/>
        <v/>
      </c>
      <c r="DH209" s="66" t="str">
        <f t="shared" si="3343"/>
        <v/>
      </c>
      <c r="DI209" s="66" t="str">
        <f t="shared" si="3344"/>
        <v/>
      </c>
      <c r="DJ209" s="66" t="str">
        <f t="shared" si="3345"/>
        <v/>
      </c>
      <c r="DK209" s="66" t="str">
        <f t="shared" si="3346"/>
        <v/>
      </c>
      <c r="DL209" s="66" t="str">
        <f t="shared" si="3347"/>
        <v/>
      </c>
      <c r="DM209" s="66" t="str">
        <f t="shared" si="3348"/>
        <v/>
      </c>
      <c r="DN209" s="66" t="str">
        <f t="shared" si="3349"/>
        <v/>
      </c>
      <c r="DO209" s="66" t="str">
        <f t="shared" si="3350"/>
        <v/>
      </c>
      <c r="DP209" s="66" t="str">
        <f t="shared" si="3351"/>
        <v/>
      </c>
      <c r="DQ209" s="66" t="str">
        <f t="shared" si="3352"/>
        <v/>
      </c>
      <c r="DR209" s="66" t="str">
        <f t="shared" si="3353"/>
        <v/>
      </c>
      <c r="DS209" s="66" t="str">
        <f t="shared" si="3354"/>
        <v/>
      </c>
      <c r="DT209" s="66" t="str">
        <f t="shared" si="3355"/>
        <v/>
      </c>
      <c r="DU209" s="66" t="str">
        <f t="shared" si="3356"/>
        <v/>
      </c>
      <c r="DV209" s="66" t="str">
        <f t="shared" si="3357"/>
        <v/>
      </c>
      <c r="DW209" s="66" t="str">
        <f t="shared" si="3358"/>
        <v/>
      </c>
      <c r="DX209" s="66" t="str">
        <f t="shared" si="3359"/>
        <v/>
      </c>
      <c r="DY209" s="66" t="str">
        <f t="shared" si="3360"/>
        <v/>
      </c>
      <c r="DZ209" s="66" t="str">
        <f t="shared" si="3361"/>
        <v/>
      </c>
      <c r="EA209" s="66" t="str">
        <f t="shared" si="3362"/>
        <v/>
      </c>
      <c r="EB209" s="66" t="str">
        <f t="shared" si="3363"/>
        <v/>
      </c>
      <c r="EC209" s="66" t="str">
        <f t="shared" si="3364"/>
        <v/>
      </c>
      <c r="ED209" s="66" t="str">
        <f t="shared" si="3365"/>
        <v/>
      </c>
      <c r="EE209" s="66" t="str">
        <f t="shared" si="3366"/>
        <v/>
      </c>
      <c r="EF209" s="66" t="str">
        <f t="shared" si="3367"/>
        <v/>
      </c>
      <c r="EG209" s="66" t="str">
        <f t="shared" si="3368"/>
        <v/>
      </c>
      <c r="EH209" s="66" t="str">
        <f t="shared" si="3369"/>
        <v/>
      </c>
      <c r="EI209" s="66" t="str">
        <f t="shared" si="3370"/>
        <v/>
      </c>
      <c r="EJ209" s="66" t="str">
        <f t="shared" si="3371"/>
        <v/>
      </c>
      <c r="EK209" s="66" t="str">
        <f t="shared" si="3372"/>
        <v/>
      </c>
      <c r="EL209" s="66" t="str">
        <f t="shared" si="3373"/>
        <v/>
      </c>
      <c r="EM209" s="66" t="str">
        <f t="shared" si="3374"/>
        <v/>
      </c>
      <c r="EN209" s="66" t="str">
        <f t="shared" si="3375"/>
        <v/>
      </c>
      <c r="EO209" s="66" t="str">
        <f t="shared" si="3376"/>
        <v/>
      </c>
      <c r="EP209" s="66" t="str">
        <f t="shared" si="3377"/>
        <v/>
      </c>
      <c r="EQ209" s="66" t="str">
        <f t="shared" si="3378"/>
        <v/>
      </c>
      <c r="ER209" s="66" t="str">
        <f t="shared" si="3379"/>
        <v/>
      </c>
      <c r="ES209" s="66" t="str">
        <f t="shared" si="3380"/>
        <v/>
      </c>
      <c r="ET209" s="66" t="str">
        <f t="shared" si="3381"/>
        <v/>
      </c>
      <c r="EU209" s="66" t="str">
        <f t="shared" si="3382"/>
        <v/>
      </c>
      <c r="EV209" s="66" t="str">
        <f t="shared" si="3383"/>
        <v/>
      </c>
      <c r="EW209" s="66" t="str">
        <f t="shared" si="3384"/>
        <v/>
      </c>
      <c r="EX209" s="66" t="str">
        <f t="shared" si="3385"/>
        <v/>
      </c>
      <c r="EY209" s="66" t="str">
        <f t="shared" si="3386"/>
        <v/>
      </c>
      <c r="EZ209" s="66" t="str">
        <f t="shared" si="3387"/>
        <v/>
      </c>
      <c r="FA209" s="66" t="str">
        <f t="shared" si="3388"/>
        <v/>
      </c>
      <c r="FB209" s="66" t="str">
        <f t="shared" si="3389"/>
        <v/>
      </c>
      <c r="FC209" s="66" t="str">
        <f t="shared" si="3390"/>
        <v/>
      </c>
      <c r="FD209" s="66" t="str">
        <f t="shared" si="3391"/>
        <v/>
      </c>
      <c r="FE209" s="66" t="str">
        <f t="shared" si="3392"/>
        <v/>
      </c>
      <c r="FF209" s="66" t="str">
        <f t="shared" si="3393"/>
        <v/>
      </c>
      <c r="FG209" s="66" t="str">
        <f t="shared" si="3394"/>
        <v/>
      </c>
      <c r="FH209" s="66" t="str">
        <f t="shared" si="3395"/>
        <v/>
      </c>
      <c r="FI209" s="66" t="str">
        <f t="shared" si="3396"/>
        <v/>
      </c>
      <c r="FJ209" s="66" t="str">
        <f t="shared" si="3397"/>
        <v/>
      </c>
      <c r="FK209" s="66" t="str">
        <f t="shared" si="3398"/>
        <v/>
      </c>
      <c r="FL209" s="66" t="str">
        <f t="shared" si="3399"/>
        <v/>
      </c>
      <c r="FM209" s="66" t="str">
        <f t="shared" si="3400"/>
        <v/>
      </c>
      <c r="FN209" s="66" t="str">
        <f t="shared" si="3401"/>
        <v/>
      </c>
      <c r="FO209" s="66" t="str">
        <f t="shared" si="3402"/>
        <v/>
      </c>
      <c r="FP209" s="66" t="str">
        <f t="shared" si="3403"/>
        <v/>
      </c>
      <c r="FQ209" s="66" t="str">
        <f t="shared" si="3404"/>
        <v/>
      </c>
      <c r="FR209" s="66" t="str">
        <f t="shared" si="3405"/>
        <v/>
      </c>
      <c r="FS209" s="66" t="str">
        <f t="shared" si="3406"/>
        <v/>
      </c>
    </row>
    <row r="210" spans="1:175">
      <c r="A210" s="15"/>
      <c r="B210" s="27" t="s">
        <v>743</v>
      </c>
      <c r="C210" s="28" t="str">
        <f t="shared" si="3407"/>
        <v>已领取魔芝RPG礼包</v>
      </c>
      <c r="T210" s="28" t="s">
        <v>744</v>
      </c>
      <c r="U210" s="10" t="s">
        <v>732</v>
      </c>
      <c r="CN210" s="36" t="str">
        <f t="shared" si="3408"/>
        <v>InitUnitState('IB58',,,,,,,,,,)</v>
      </c>
      <c r="CO210" s="36" t="str">
        <f t="shared" si="3409"/>
        <v>InitUnitNormal('IB58',,,,,,,,,,)</v>
      </c>
      <c r="CP210" s="36" t="str">
        <f t="shared" si="3410"/>
        <v>InitUnitMagic('IB58',,,,,,,,,,)</v>
      </c>
      <c r="CQ210" s="36" t="str">
        <f t="shared" si="3411"/>
        <v>InitUnitAdd('IB58',,,,,,,,,,)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InitEquipData('IB58',,"",,,,,'','','','','','',"")</v>
      </c>
      <c r="CU210" s="88" t="str">
        <f t="shared" si="3335"/>
        <v>|n</v>
      </c>
      <c r="CV210" s="19" t="str">
        <f t="shared" si="333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33"/>
      <c r="CX210" s="33"/>
      <c r="CY210" s="33"/>
      <c r="CZ210" s="33"/>
      <c r="DA210" s="33"/>
      <c r="DB210" s="66" t="str">
        <f t="shared" ref="DB210:FM210" si="3412">IF(V210="","","|n"&amp;DB$2&amp;"+"&amp;V210&amp;DB$1)</f>
        <v/>
      </c>
      <c r="DC210" s="66" t="str">
        <f t="shared" si="3412"/>
        <v/>
      </c>
      <c r="DD210" s="66" t="str">
        <f t="shared" si="3412"/>
        <v/>
      </c>
      <c r="DE210" s="66" t="str">
        <f t="shared" si="3412"/>
        <v/>
      </c>
      <c r="DF210" s="66" t="str">
        <f t="shared" si="3412"/>
        <v/>
      </c>
      <c r="DG210" s="66" t="str">
        <f t="shared" si="3412"/>
        <v/>
      </c>
      <c r="DH210" s="66" t="str">
        <f t="shared" si="3412"/>
        <v/>
      </c>
      <c r="DI210" s="66" t="str">
        <f t="shared" si="3412"/>
        <v/>
      </c>
      <c r="DJ210" s="66" t="str">
        <f t="shared" si="3412"/>
        <v/>
      </c>
      <c r="DK210" s="66" t="str">
        <f t="shared" si="3412"/>
        <v/>
      </c>
      <c r="DL210" s="66" t="str">
        <f t="shared" si="3412"/>
        <v/>
      </c>
      <c r="DM210" s="66" t="str">
        <f t="shared" si="3412"/>
        <v/>
      </c>
      <c r="DN210" s="66" t="str">
        <f t="shared" si="3412"/>
        <v/>
      </c>
      <c r="DO210" s="66" t="str">
        <f t="shared" si="3412"/>
        <v/>
      </c>
      <c r="DP210" s="66" t="str">
        <f t="shared" si="3412"/>
        <v/>
      </c>
      <c r="DQ210" s="66" t="str">
        <f t="shared" si="3412"/>
        <v/>
      </c>
      <c r="DR210" s="66" t="str">
        <f t="shared" si="3412"/>
        <v/>
      </c>
      <c r="DS210" s="66" t="str">
        <f t="shared" si="3412"/>
        <v/>
      </c>
      <c r="DT210" s="66" t="str">
        <f t="shared" si="3412"/>
        <v/>
      </c>
      <c r="DU210" s="66" t="str">
        <f t="shared" si="3412"/>
        <v/>
      </c>
      <c r="DV210" s="66" t="str">
        <f t="shared" si="3412"/>
        <v/>
      </c>
      <c r="DW210" s="66" t="str">
        <f t="shared" si="3412"/>
        <v/>
      </c>
      <c r="DX210" s="66" t="str">
        <f t="shared" si="3412"/>
        <v/>
      </c>
      <c r="DY210" s="66" t="str">
        <f t="shared" si="3412"/>
        <v/>
      </c>
      <c r="DZ210" s="66" t="str">
        <f t="shared" si="3412"/>
        <v/>
      </c>
      <c r="EA210" s="66" t="str">
        <f t="shared" si="3412"/>
        <v/>
      </c>
      <c r="EB210" s="66" t="str">
        <f t="shared" si="3412"/>
        <v/>
      </c>
      <c r="EC210" s="66" t="str">
        <f t="shared" si="3412"/>
        <v/>
      </c>
      <c r="ED210" s="66" t="str">
        <f t="shared" si="3412"/>
        <v/>
      </c>
      <c r="EE210" s="66" t="str">
        <f t="shared" si="3412"/>
        <v/>
      </c>
      <c r="EF210" s="66" t="str">
        <f t="shared" si="3412"/>
        <v/>
      </c>
      <c r="EG210" s="66" t="str">
        <f t="shared" si="3412"/>
        <v/>
      </c>
      <c r="EH210" s="66" t="str">
        <f t="shared" si="3412"/>
        <v/>
      </c>
      <c r="EI210" s="66" t="str">
        <f t="shared" si="3412"/>
        <v/>
      </c>
      <c r="EJ210" s="66" t="str">
        <f t="shared" si="3412"/>
        <v/>
      </c>
      <c r="EK210" s="66" t="str">
        <f t="shared" si="3412"/>
        <v/>
      </c>
      <c r="EL210" s="66" t="str">
        <f t="shared" si="3412"/>
        <v/>
      </c>
      <c r="EM210" s="66" t="str">
        <f t="shared" si="3412"/>
        <v/>
      </c>
      <c r="EN210" s="66" t="str">
        <f t="shared" si="3412"/>
        <v/>
      </c>
      <c r="EO210" s="66" t="str">
        <f t="shared" si="3412"/>
        <v/>
      </c>
      <c r="EP210" s="66" t="str">
        <f t="shared" si="3412"/>
        <v/>
      </c>
      <c r="EQ210" s="66" t="str">
        <f t="shared" si="3412"/>
        <v/>
      </c>
      <c r="ER210" s="66" t="str">
        <f t="shared" si="3412"/>
        <v/>
      </c>
      <c r="ES210" s="66" t="str">
        <f t="shared" si="3412"/>
        <v/>
      </c>
      <c r="ET210" s="66" t="str">
        <f t="shared" si="3412"/>
        <v/>
      </c>
      <c r="EU210" s="66" t="str">
        <f t="shared" si="3412"/>
        <v/>
      </c>
      <c r="EV210" s="66" t="str">
        <f t="shared" si="3412"/>
        <v/>
      </c>
      <c r="EW210" s="66" t="str">
        <f t="shared" si="3412"/>
        <v/>
      </c>
      <c r="EX210" s="66" t="str">
        <f t="shared" si="3412"/>
        <v/>
      </c>
      <c r="EY210" s="66" t="str">
        <f t="shared" si="3412"/>
        <v/>
      </c>
      <c r="EZ210" s="66" t="str">
        <f t="shared" si="3412"/>
        <v/>
      </c>
      <c r="FA210" s="66" t="str">
        <f t="shared" si="3412"/>
        <v/>
      </c>
      <c r="FB210" s="66" t="str">
        <f t="shared" si="3412"/>
        <v/>
      </c>
      <c r="FC210" s="66" t="str">
        <f t="shared" si="3412"/>
        <v/>
      </c>
      <c r="FD210" s="66" t="str">
        <f t="shared" si="3412"/>
        <v/>
      </c>
      <c r="FE210" s="66" t="str">
        <f t="shared" si="3412"/>
        <v/>
      </c>
      <c r="FF210" s="66" t="str">
        <f t="shared" si="3412"/>
        <v/>
      </c>
      <c r="FG210" s="66" t="str">
        <f t="shared" si="3412"/>
        <v/>
      </c>
      <c r="FH210" s="66" t="str">
        <f t="shared" si="3412"/>
        <v/>
      </c>
      <c r="FI210" s="66" t="str">
        <f t="shared" si="3412"/>
        <v/>
      </c>
      <c r="FJ210" s="66" t="str">
        <f t="shared" si="3412"/>
        <v/>
      </c>
      <c r="FK210" s="66" t="str">
        <f t="shared" si="3412"/>
        <v/>
      </c>
      <c r="FL210" s="66" t="str">
        <f t="shared" si="3412"/>
        <v/>
      </c>
      <c r="FM210" s="66" t="str">
        <f t="shared" si="3412"/>
        <v/>
      </c>
      <c r="FN210" s="66" t="str">
        <f t="shared" ref="FN210:FS210" si="3413">IF(CH210="","","|n"&amp;FN$2&amp;"+"&amp;CH210&amp;FN$1)</f>
        <v/>
      </c>
      <c r="FO210" s="66" t="str">
        <f t="shared" si="3413"/>
        <v/>
      </c>
      <c r="FP210" s="66" t="str">
        <f t="shared" si="3413"/>
        <v/>
      </c>
      <c r="FQ210" s="66" t="str">
        <f t="shared" si="3413"/>
        <v/>
      </c>
      <c r="FR210" s="66" t="str">
        <f t="shared" si="3413"/>
        <v/>
      </c>
      <c r="FS210" s="66" t="str">
        <f t="shared" si="3413"/>
        <v/>
      </c>
    </row>
    <row r="211" spans="1:175">
      <c r="A211" s="15"/>
      <c r="B211" s="27" t="s">
        <v>745</v>
      </c>
      <c r="C211" s="28" t="str">
        <f t="shared" si="3407"/>
        <v>已领取老铁礼包</v>
      </c>
      <c r="T211" s="28" t="s">
        <v>746</v>
      </c>
      <c r="U211" s="10" t="s">
        <v>732</v>
      </c>
      <c r="CN211" s="36" t="str">
        <f t="shared" si="3408"/>
        <v>InitUnitState('IB59',,,,,,,,,,)</v>
      </c>
      <c r="CO211" s="36" t="str">
        <f t="shared" si="3409"/>
        <v>InitUnitNormal('IB59',,,,,,,,,,)</v>
      </c>
      <c r="CP211" s="36" t="str">
        <f t="shared" si="3410"/>
        <v>InitUnitMagic('IB59',,,,,,,,,,)</v>
      </c>
      <c r="CQ211" s="36" t="str">
        <f t="shared" si="3411"/>
        <v>InitUnitAdd('IB59',,,,,,,,,,)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228&amp;CR$1&amp;")"</f>
        <v>InitEquipData('IB59',,"",,,,,'','','','','','',"")</v>
      </c>
      <c r="CU211" s="88" t="str">
        <f t="shared" si="3335"/>
        <v>|n</v>
      </c>
      <c r="CV211" s="19" t="str">
        <f t="shared" si="3336"/>
        <v>已领取老铁礼包</v>
      </c>
      <c r="CW211" s="33"/>
      <c r="CX211" s="33"/>
      <c r="CY211" s="33"/>
      <c r="CZ211" s="33"/>
      <c r="DA211" s="33"/>
      <c r="DB211" s="66" t="str">
        <f t="shared" ref="DB211:FM211" si="3414">IF(V211="","","|n"&amp;DB$2&amp;"+"&amp;V211&amp;DB$1)</f>
        <v/>
      </c>
      <c r="DC211" s="66" t="str">
        <f t="shared" si="3414"/>
        <v/>
      </c>
      <c r="DD211" s="66" t="str">
        <f t="shared" si="3414"/>
        <v/>
      </c>
      <c r="DE211" s="66" t="str">
        <f t="shared" si="3414"/>
        <v/>
      </c>
      <c r="DF211" s="66" t="str">
        <f t="shared" si="3414"/>
        <v/>
      </c>
      <c r="DG211" s="66" t="str">
        <f t="shared" si="3414"/>
        <v/>
      </c>
      <c r="DH211" s="66" t="str">
        <f t="shared" si="3414"/>
        <v/>
      </c>
      <c r="DI211" s="66" t="str">
        <f t="shared" si="3414"/>
        <v/>
      </c>
      <c r="DJ211" s="66" t="str">
        <f t="shared" si="3414"/>
        <v/>
      </c>
      <c r="DK211" s="66" t="str">
        <f t="shared" si="3414"/>
        <v/>
      </c>
      <c r="DL211" s="66" t="str">
        <f t="shared" si="3414"/>
        <v/>
      </c>
      <c r="DM211" s="66" t="str">
        <f t="shared" si="3414"/>
        <v/>
      </c>
      <c r="DN211" s="66" t="str">
        <f t="shared" si="3414"/>
        <v/>
      </c>
      <c r="DO211" s="66" t="str">
        <f t="shared" si="3414"/>
        <v/>
      </c>
      <c r="DP211" s="66" t="str">
        <f t="shared" si="3414"/>
        <v/>
      </c>
      <c r="DQ211" s="66" t="str">
        <f t="shared" si="3414"/>
        <v/>
      </c>
      <c r="DR211" s="66" t="str">
        <f t="shared" si="3414"/>
        <v/>
      </c>
      <c r="DS211" s="66" t="str">
        <f t="shared" si="3414"/>
        <v/>
      </c>
      <c r="DT211" s="66" t="str">
        <f t="shared" si="3414"/>
        <v/>
      </c>
      <c r="DU211" s="66" t="str">
        <f t="shared" si="3414"/>
        <v/>
      </c>
      <c r="DV211" s="66" t="str">
        <f t="shared" si="3414"/>
        <v/>
      </c>
      <c r="DW211" s="66" t="str">
        <f t="shared" si="3414"/>
        <v/>
      </c>
      <c r="DX211" s="66" t="str">
        <f t="shared" si="3414"/>
        <v/>
      </c>
      <c r="DY211" s="66" t="str">
        <f t="shared" si="3414"/>
        <v/>
      </c>
      <c r="DZ211" s="66" t="str">
        <f t="shared" si="3414"/>
        <v/>
      </c>
      <c r="EA211" s="66" t="str">
        <f t="shared" si="3414"/>
        <v/>
      </c>
      <c r="EB211" s="66" t="str">
        <f t="shared" si="3414"/>
        <v/>
      </c>
      <c r="EC211" s="66" t="str">
        <f t="shared" si="3414"/>
        <v/>
      </c>
      <c r="ED211" s="66" t="str">
        <f t="shared" si="3414"/>
        <v/>
      </c>
      <c r="EE211" s="66" t="str">
        <f t="shared" si="3414"/>
        <v/>
      </c>
      <c r="EF211" s="66" t="str">
        <f t="shared" si="3414"/>
        <v/>
      </c>
      <c r="EG211" s="66" t="str">
        <f t="shared" si="3414"/>
        <v/>
      </c>
      <c r="EH211" s="66" t="str">
        <f t="shared" si="3414"/>
        <v/>
      </c>
      <c r="EI211" s="66" t="str">
        <f t="shared" si="3414"/>
        <v/>
      </c>
      <c r="EJ211" s="66" t="str">
        <f t="shared" si="3414"/>
        <v/>
      </c>
      <c r="EK211" s="66" t="str">
        <f t="shared" si="3414"/>
        <v/>
      </c>
      <c r="EL211" s="66" t="str">
        <f t="shared" si="3414"/>
        <v/>
      </c>
      <c r="EM211" s="66" t="str">
        <f t="shared" si="3414"/>
        <v/>
      </c>
      <c r="EN211" s="66" t="str">
        <f t="shared" si="3414"/>
        <v/>
      </c>
      <c r="EO211" s="66" t="str">
        <f t="shared" si="3414"/>
        <v/>
      </c>
      <c r="EP211" s="66" t="str">
        <f t="shared" si="3414"/>
        <v/>
      </c>
      <c r="EQ211" s="66" t="str">
        <f t="shared" si="3414"/>
        <v/>
      </c>
      <c r="ER211" s="66" t="str">
        <f t="shared" si="3414"/>
        <v/>
      </c>
      <c r="ES211" s="66" t="str">
        <f t="shared" si="3414"/>
        <v/>
      </c>
      <c r="ET211" s="66" t="str">
        <f t="shared" si="3414"/>
        <v/>
      </c>
      <c r="EU211" s="66" t="str">
        <f t="shared" si="3414"/>
        <v/>
      </c>
      <c r="EV211" s="66" t="str">
        <f t="shared" si="3414"/>
        <v/>
      </c>
      <c r="EW211" s="66" t="str">
        <f t="shared" si="3414"/>
        <v/>
      </c>
      <c r="EX211" s="66" t="str">
        <f t="shared" si="3414"/>
        <v/>
      </c>
      <c r="EY211" s="66" t="str">
        <f t="shared" si="3414"/>
        <v/>
      </c>
      <c r="EZ211" s="66" t="str">
        <f t="shared" si="3414"/>
        <v/>
      </c>
      <c r="FA211" s="66" t="str">
        <f t="shared" si="3414"/>
        <v/>
      </c>
      <c r="FB211" s="66" t="str">
        <f t="shared" si="3414"/>
        <v/>
      </c>
      <c r="FC211" s="66" t="str">
        <f t="shared" si="3414"/>
        <v/>
      </c>
      <c r="FD211" s="66" t="str">
        <f t="shared" si="3414"/>
        <v/>
      </c>
      <c r="FE211" s="66" t="str">
        <f t="shared" si="3414"/>
        <v/>
      </c>
      <c r="FF211" s="66" t="str">
        <f t="shared" si="3414"/>
        <v/>
      </c>
      <c r="FG211" s="66" t="str">
        <f t="shared" si="3414"/>
        <v/>
      </c>
      <c r="FH211" s="66" t="str">
        <f t="shared" si="3414"/>
        <v/>
      </c>
      <c r="FI211" s="66" t="str">
        <f t="shared" si="3414"/>
        <v/>
      </c>
      <c r="FJ211" s="66" t="str">
        <f t="shared" si="3414"/>
        <v/>
      </c>
      <c r="FK211" s="66" t="str">
        <f t="shared" si="3414"/>
        <v/>
      </c>
      <c r="FL211" s="66" t="str">
        <f t="shared" si="3414"/>
        <v/>
      </c>
      <c r="FM211" s="66" t="str">
        <f t="shared" si="3414"/>
        <v/>
      </c>
      <c r="FN211" s="66" t="str">
        <f t="shared" ref="FN211:FS211" si="3415">IF(CH211="","","|n"&amp;FN$2&amp;"+"&amp;CH211&amp;FN$1)</f>
        <v/>
      </c>
      <c r="FO211" s="66" t="str">
        <f t="shared" si="3415"/>
        <v/>
      </c>
      <c r="FP211" s="66" t="str">
        <f t="shared" si="3415"/>
        <v/>
      </c>
      <c r="FQ211" s="66" t="str">
        <f t="shared" si="3415"/>
        <v/>
      </c>
      <c r="FR211" s="66" t="str">
        <f t="shared" si="3415"/>
        <v/>
      </c>
      <c r="FS211" s="66" t="str">
        <f t="shared" si="3415"/>
        <v/>
      </c>
    </row>
    <row r="212" spans="1:175" ht="16.5">
      <c r="A212" s="109"/>
      <c r="B212" s="27" t="s">
        <v>747</v>
      </c>
      <c r="C212" s="29" t="s">
        <v>748</v>
      </c>
      <c r="T212" s="115"/>
      <c r="U212" s="77"/>
      <c r="CN212" s="36" t="str">
        <f t="shared" ref="CN212:CN238" si="3416">"InitUnitState('"&amp;B212&amp;"',"&amp;V212&amp;","&amp;W212&amp;","&amp;X212&amp;","&amp;Y212&amp;","&amp;Z212&amp;","&amp;AA212&amp;","&amp;AB212&amp;","&amp;AC212&amp;","&amp;AD212&amp;","&amp;AE212&amp;")"</f>
        <v>InitUnitState('IF01',,,,,,,,,,)</v>
      </c>
      <c r="CO212" s="36" t="str">
        <f t="shared" ref="CO212:CO238" si="3417">"InitUnitNormal('"&amp;B212&amp;"',"&amp;AF212&amp;","&amp;AG212&amp;","&amp;AH212&amp;","&amp;AI212&amp;","&amp;AJ212&amp;","&amp;AK212&amp;","&amp;AL212&amp;","&amp;AM212&amp;","&amp;AN212&amp;","&amp;AO212&amp;")"</f>
        <v>InitUnitNormal('IF01',,,,,,,,,,)</v>
      </c>
      <c r="CP212" s="36" t="str">
        <f t="shared" ref="CP212:CP238" si="3418">"InitUnitMagic('"&amp;B212&amp;"',"&amp;AP212&amp;","&amp;AQ212&amp;","&amp;AR212&amp;","&amp;AS212&amp;","&amp;AT212&amp;","&amp;AU212&amp;","&amp;AV212&amp;","&amp;AW212&amp;","&amp;BI212&amp;","&amp;BJ212&amp;")"</f>
        <v>InitUnitMagic('IF01',,,,,,,,,,)</v>
      </c>
      <c r="CQ212" s="36" t="str">
        <f t="shared" ref="CQ212:CQ238" si="3419">"InitUnitAdd('"&amp;B212&amp;"',"&amp;BK212&amp;","&amp;BL212&amp;","&amp;BM212&amp;","&amp;BN212&amp;","&amp;BO212&amp;","&amp;BP212&amp;","&amp;BQ212&amp;","&amp;BR212&amp;","&amp;BS212&amp;","&amp;BT212&amp;")"</f>
        <v>InitUnitAdd('IF01',,,,,,,,,,)</v>
      </c>
      <c r="CR212" s="36" t="str">
        <f t="shared" ref="CR212:CR254" si="3420"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InitEquipData('IF01',,"",,,,,'','','','','','',"")</v>
      </c>
      <c r="CU212" s="88" t="str">
        <f t="shared" ref="CU212:CU234" si="3421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33"/>
      <c r="CX212" s="33"/>
      <c r="CY212" s="33"/>
      <c r="CZ212" s="33"/>
      <c r="DA212" s="33"/>
      <c r="DB212" s="66" t="str">
        <f t="shared" ref="DB212:DB234" si="3422">IF(V212="","","|n"&amp;DB$2&amp;"+"&amp;V212&amp;DB$1)</f>
        <v/>
      </c>
      <c r="DC212" s="66" t="str">
        <f t="shared" ref="DC212:DC234" si="3423">IF(W212="","","|n"&amp;DC$2&amp;"+"&amp;W212&amp;DC$1)</f>
        <v/>
      </c>
      <c r="DD212" s="66" t="str">
        <f t="shared" ref="DD212:DD234" si="3424">IF(X212="","","|n"&amp;DD$2&amp;"+"&amp;X212&amp;DD$1)</f>
        <v/>
      </c>
      <c r="DE212" s="66" t="str">
        <f t="shared" ref="DE212:DE234" si="3425">IF(Y212="","","|n"&amp;DE$2&amp;"+"&amp;Y212&amp;DE$1)</f>
        <v/>
      </c>
      <c r="DF212" s="66" t="str">
        <f t="shared" ref="DF212:DF234" si="3426">IF(Z212="","","|n"&amp;DF$2&amp;"+"&amp;Z212&amp;DF$1)</f>
        <v/>
      </c>
      <c r="DG212" s="66" t="str">
        <f t="shared" ref="DG212:DG234" si="3427">IF(AA212="","","|n"&amp;DG$2&amp;"+"&amp;AA212&amp;DG$1)</f>
        <v/>
      </c>
      <c r="DH212" s="66" t="str">
        <f t="shared" ref="DH212:DH234" si="3428">IF(AB212="","","|n"&amp;DH$2&amp;"+"&amp;AB212&amp;DH$1)</f>
        <v/>
      </c>
      <c r="DI212" s="66" t="str">
        <f t="shared" ref="DI212:DI234" si="3429">IF(AC212="","","|n"&amp;DI$2&amp;"+"&amp;AC212&amp;DI$1)</f>
        <v/>
      </c>
      <c r="DJ212" s="66" t="str">
        <f t="shared" ref="DJ212:DJ234" si="3430">IF(AD212="","","|n"&amp;DJ$2&amp;"+"&amp;AD212&amp;DJ$1)</f>
        <v/>
      </c>
      <c r="DK212" s="66" t="str">
        <f t="shared" ref="DK212:DK234" si="3431">IF(AE212="","","|n"&amp;DK$2&amp;"+"&amp;AE212&amp;DK$1)</f>
        <v/>
      </c>
      <c r="DL212" s="66" t="str">
        <f t="shared" ref="DL212:DL234" si="3432">IF(AF212="","","|n"&amp;DL$2&amp;"+"&amp;AF212&amp;DL$1)</f>
        <v/>
      </c>
      <c r="DM212" s="66" t="str">
        <f t="shared" ref="DM212:DM234" si="3433">IF(AG212="","","|n"&amp;DM$2&amp;"+"&amp;AG212&amp;DM$1)</f>
        <v/>
      </c>
      <c r="DN212" s="66" t="str">
        <f t="shared" ref="DN212:DN234" si="3434">IF(AH212="","","|n"&amp;DN$2&amp;"+"&amp;AH212&amp;DN$1)</f>
        <v/>
      </c>
      <c r="DO212" s="66" t="str">
        <f t="shared" ref="DO212:DO234" si="3435">IF(AI212="","","|n"&amp;DO$2&amp;"+"&amp;AI212&amp;DO$1)</f>
        <v/>
      </c>
      <c r="DP212" s="66" t="str">
        <f t="shared" ref="DP212:DP234" si="3436">IF(AJ212="","","|n"&amp;DP$2&amp;"+"&amp;AJ212&amp;DP$1)</f>
        <v/>
      </c>
      <c r="DQ212" s="66" t="str">
        <f t="shared" ref="DQ212:DQ234" si="3437">IF(AK212="","","|n"&amp;DQ$2&amp;"+"&amp;AK212&amp;DQ$1)</f>
        <v/>
      </c>
      <c r="DR212" s="66" t="str">
        <f t="shared" ref="DR212:DR234" si="3438">IF(AL212="","","|n"&amp;DR$2&amp;"+"&amp;AL212&amp;DR$1)</f>
        <v/>
      </c>
      <c r="DS212" s="66" t="str">
        <f t="shared" ref="DS212:DS234" si="3439">IF(AM212="","","|n"&amp;DS$2&amp;"+"&amp;AM212&amp;DS$1)</f>
        <v/>
      </c>
      <c r="DT212" s="66" t="str">
        <f t="shared" ref="DT212:DT234" si="3440">IF(AN212="","","|n"&amp;DT$2&amp;"+"&amp;AN212&amp;DT$1)</f>
        <v/>
      </c>
      <c r="DU212" s="66" t="str">
        <f t="shared" ref="DU212:DU234" si="3441">IF(AO212="","","|n"&amp;DU$2&amp;"+"&amp;AO212&amp;DU$1)</f>
        <v/>
      </c>
      <c r="DV212" s="66" t="str">
        <f t="shared" ref="DV212:DV234" si="3442">IF(AP212="","","|n"&amp;DV$2&amp;"+"&amp;AP212&amp;DV$1)</f>
        <v/>
      </c>
      <c r="DW212" s="66" t="str">
        <f t="shared" ref="DW212:DW234" si="3443">IF(AQ212="","","|n"&amp;DW$2&amp;"+"&amp;AQ212&amp;DW$1)</f>
        <v/>
      </c>
      <c r="DX212" s="66" t="str">
        <f t="shared" ref="DX212:DX234" si="3444">IF(AR212="","","|n"&amp;DX$2&amp;"+"&amp;AR212&amp;DX$1)</f>
        <v/>
      </c>
      <c r="DY212" s="66" t="str">
        <f t="shared" ref="DY212:DY234" si="3445">IF(AS212="","","|n"&amp;DY$2&amp;"+"&amp;AS212&amp;DY$1)</f>
        <v/>
      </c>
      <c r="DZ212" s="66" t="str">
        <f t="shared" ref="DZ212:DZ234" si="3446">IF(AT212="","","|n"&amp;DZ$2&amp;"+"&amp;AT212&amp;DZ$1)</f>
        <v/>
      </c>
      <c r="EA212" s="66" t="str">
        <f t="shared" ref="EA212:EA234" si="3447">IF(AU212="","","|n"&amp;EA$2&amp;"+"&amp;AU212&amp;EA$1)</f>
        <v/>
      </c>
      <c r="EB212" s="66" t="str">
        <f t="shared" ref="EB212:EB234" si="3448">IF(AV212="","","|n"&amp;EB$2&amp;"+"&amp;AV212&amp;EB$1)</f>
        <v/>
      </c>
      <c r="EC212" s="66" t="str">
        <f t="shared" ref="EC212:EC234" si="3449">IF(AW212="","","|n"&amp;EC$2&amp;"+"&amp;AW212&amp;EC$1)</f>
        <v/>
      </c>
      <c r="ED212" s="66" t="str">
        <f t="shared" ref="ED212:ED234" si="3450">IF(AX212="","","|n"&amp;ED$2&amp;"+"&amp;AX212&amp;ED$1)</f>
        <v/>
      </c>
      <c r="EE212" s="66" t="str">
        <f t="shared" ref="EE212:EE234" si="3451">IF(AY212="","","|n"&amp;EE$2&amp;"+"&amp;AY212&amp;EE$1)</f>
        <v/>
      </c>
      <c r="EF212" s="66" t="str">
        <f t="shared" ref="EF212:EF234" si="3452">IF(AZ212="","","|n"&amp;EF$2&amp;"+"&amp;AZ212&amp;EF$1)</f>
        <v/>
      </c>
      <c r="EG212" s="66" t="str">
        <f t="shared" ref="EG212:EG234" si="3453">IF(BA212="","","|n"&amp;EG$2&amp;"+"&amp;BA212&amp;EG$1)</f>
        <v/>
      </c>
      <c r="EH212" s="66" t="str">
        <f t="shared" ref="EH212:EH234" si="3454">IF(BB212="","","|n"&amp;EH$2&amp;"+"&amp;BB212&amp;EH$1)</f>
        <v/>
      </c>
      <c r="EI212" s="66" t="str">
        <f t="shared" ref="EI212:EI234" si="3455">IF(BC212="","","|n"&amp;EI$2&amp;"+"&amp;BC212&amp;EI$1)</f>
        <v/>
      </c>
      <c r="EJ212" s="66" t="str">
        <f t="shared" ref="EJ212:EJ234" si="3456">IF(BD212="","","|n"&amp;EJ$2&amp;"+"&amp;BD212&amp;EJ$1)</f>
        <v/>
      </c>
      <c r="EK212" s="66" t="str">
        <f t="shared" ref="EK212:EK234" si="3457">IF(BE212="","","|n"&amp;EK$2&amp;"+"&amp;BE212&amp;EK$1)</f>
        <v/>
      </c>
      <c r="EL212" s="66" t="str">
        <f t="shared" ref="EL212:EL234" si="3458">IF(BF212="","","|n"&amp;EL$2&amp;"+"&amp;BF212&amp;EL$1)</f>
        <v/>
      </c>
      <c r="EM212" s="66" t="str">
        <f t="shared" ref="EM212:EM234" si="3459">IF(BG212="","","|n"&amp;EM$2&amp;"+"&amp;BG212&amp;EM$1)</f>
        <v/>
      </c>
      <c r="EN212" s="66" t="str">
        <f t="shared" ref="EN212:EN234" si="3460">IF(BH212="","","|n"&amp;EN$2&amp;"+"&amp;BH212&amp;EN$1)</f>
        <v/>
      </c>
      <c r="EO212" s="66" t="str">
        <f t="shared" ref="EO212:EO234" si="3461">IF(BI212="","","|n"&amp;EO$2&amp;"+"&amp;BI212&amp;EO$1)</f>
        <v/>
      </c>
      <c r="EP212" s="66" t="str">
        <f t="shared" ref="EP212:EP234" si="3462">IF(BJ212="","","|n"&amp;EP$2&amp;"+"&amp;BJ212&amp;EP$1)</f>
        <v/>
      </c>
      <c r="EQ212" s="66" t="str">
        <f t="shared" ref="EQ212:EQ234" si="3463">IF(BK212="","","|n"&amp;EQ$2&amp;"+"&amp;BK212&amp;EQ$1)</f>
        <v/>
      </c>
      <c r="ER212" s="66" t="str">
        <f t="shared" ref="ER212:ER234" si="3464">IF(BL212="","","|n"&amp;ER$2&amp;"+"&amp;BL212&amp;ER$1)</f>
        <v/>
      </c>
      <c r="ES212" s="66" t="str">
        <f t="shared" ref="ES212:ES234" si="3465">IF(BM212="","","|n"&amp;ES$2&amp;"+"&amp;BM212&amp;ES$1)</f>
        <v/>
      </c>
      <c r="ET212" s="66" t="str">
        <f t="shared" ref="ET212:ET234" si="3466">IF(BN212="","","|n"&amp;ET$2&amp;"+"&amp;BN212&amp;ET$1)</f>
        <v/>
      </c>
      <c r="EU212" s="66" t="str">
        <f t="shared" ref="EU212:EU234" si="3467">IF(BO212="","","|n"&amp;EU$2&amp;"+"&amp;BO212&amp;EU$1)</f>
        <v/>
      </c>
      <c r="EV212" s="66" t="str">
        <f t="shared" ref="EV212:EV234" si="3468">IF(BP212="","","|n"&amp;EV$2&amp;"+"&amp;BP212&amp;EV$1)</f>
        <v/>
      </c>
      <c r="EW212" s="66" t="str">
        <f t="shared" ref="EW212:EW234" si="3469">IF(BQ212="","","|n"&amp;EW$2&amp;"+"&amp;BQ212&amp;EW$1)</f>
        <v/>
      </c>
      <c r="EX212" s="66" t="str">
        <f t="shared" ref="EX212:EX234" si="3470">IF(BR212="","","|n"&amp;EX$2&amp;"+"&amp;BR212&amp;EX$1)</f>
        <v/>
      </c>
      <c r="EY212" s="66" t="str">
        <f t="shared" ref="EY212:EY234" si="3471">IF(BS212="","","|n"&amp;EY$2&amp;"+"&amp;BS212&amp;EY$1)</f>
        <v/>
      </c>
      <c r="EZ212" s="66" t="str">
        <f t="shared" ref="EZ212:EZ234" si="3472">IF(BT212="","","|n"&amp;EZ$2&amp;"+"&amp;BT212&amp;EZ$1)</f>
        <v/>
      </c>
      <c r="FA212" s="66" t="str">
        <f t="shared" ref="FA212:FA234" si="3473">IF(BU212="","","|n"&amp;FA$2&amp;"+"&amp;BU212&amp;FA$1)</f>
        <v/>
      </c>
      <c r="FB212" s="66" t="str">
        <f t="shared" ref="FB212:FB234" si="3474">IF(BV212="","","|n"&amp;FB$2&amp;"+"&amp;BV212&amp;FB$1)</f>
        <v/>
      </c>
      <c r="FC212" s="66" t="str">
        <f t="shared" ref="FC212:FC234" si="3475">IF(BW212="","","|n"&amp;FC$2&amp;"+"&amp;BW212&amp;FC$1)</f>
        <v/>
      </c>
      <c r="FD212" s="66" t="str">
        <f t="shared" ref="FD212:FD234" si="3476">IF(BX212="","","|n"&amp;FD$2&amp;"+"&amp;BX212&amp;FD$1)</f>
        <v/>
      </c>
      <c r="FE212" s="66" t="str">
        <f t="shared" ref="FE212:FE234" si="3477">IF(BY212="","","|n"&amp;FE$2&amp;"+"&amp;BY212&amp;FE$1)</f>
        <v/>
      </c>
      <c r="FF212" s="66" t="str">
        <f t="shared" ref="FF212:FF234" si="3478">IF(BZ212="","","|n"&amp;FF$2&amp;"+"&amp;BZ212&amp;FF$1)</f>
        <v/>
      </c>
      <c r="FG212" s="66" t="str">
        <f t="shared" ref="FG212:FG234" si="3479">IF(CA212="","","|n"&amp;FG$2&amp;"+"&amp;CA212&amp;FG$1)</f>
        <v/>
      </c>
      <c r="FH212" s="66" t="str">
        <f t="shared" ref="FH212:FH234" si="3480">IF(CB212="","","|n"&amp;FH$2&amp;"+"&amp;CB212&amp;FH$1)</f>
        <v/>
      </c>
      <c r="FI212" s="66" t="str">
        <f t="shared" ref="FI212:FI234" si="3481">IF(CC212="","","|n"&amp;FI$2&amp;"+"&amp;CC212&amp;FI$1)</f>
        <v/>
      </c>
      <c r="FJ212" s="66" t="str">
        <f t="shared" ref="FJ212:FJ234" si="3482">IF(CD212="","","|n"&amp;FJ$2&amp;"+"&amp;CD212&amp;FJ$1)</f>
        <v/>
      </c>
      <c r="FK212" s="66" t="str">
        <f t="shared" ref="FK212:FK234" si="3483">IF(CE212="","","|n"&amp;FK$2&amp;"+"&amp;CE212&amp;FK$1)</f>
        <v/>
      </c>
      <c r="FL212" s="66" t="str">
        <f t="shared" ref="FL212:FL234" si="3484">IF(CF212="","","|n"&amp;FL$2&amp;"+"&amp;CF212&amp;FL$1)</f>
        <v/>
      </c>
      <c r="FM212" s="66" t="str">
        <f t="shared" ref="FM212:FM234" si="3485">IF(CG212="","","|n"&amp;FM$2&amp;"+"&amp;CG212&amp;FM$1)</f>
        <v/>
      </c>
      <c r="FN212" s="66" t="str">
        <f t="shared" ref="FN212:FN234" si="3486">IF(CH212="","","|n"&amp;FN$2&amp;"+"&amp;CH212&amp;FN$1)</f>
        <v/>
      </c>
      <c r="FO212" s="66" t="str">
        <f t="shared" ref="FO212:FO234" si="3487">IF(CI212="","","|n"&amp;FO$2&amp;"+"&amp;CI212&amp;FO$1)</f>
        <v/>
      </c>
      <c r="FP212" s="66" t="str">
        <f t="shared" ref="FP212:FP234" si="3488">IF(CJ212="","","|n"&amp;FP$2&amp;"+"&amp;CJ212&amp;FP$1)</f>
        <v/>
      </c>
      <c r="FQ212" s="66" t="str">
        <f t="shared" ref="FQ212:FQ234" si="3489">IF(CK212="","","|n"&amp;FQ$2&amp;"+"&amp;CK212&amp;FQ$1)</f>
        <v/>
      </c>
      <c r="FR212" s="66" t="str">
        <f t="shared" ref="FR212:FR234" si="3490">IF(CL212="","","|n"&amp;FR$2&amp;"+"&amp;CL212&amp;FR$1)</f>
        <v/>
      </c>
      <c r="FS212" s="66" t="str">
        <f t="shared" ref="FS212:FS234" si="3491">IF(CM212="","","|n"&amp;FS$2&amp;"+"&amp;CM212&amp;FS$1)</f>
        <v/>
      </c>
    </row>
    <row r="213" spans="1:175" ht="16.5">
      <c r="A213" s="109"/>
      <c r="B213" s="27" t="s">
        <v>749</v>
      </c>
      <c r="C213" s="29" t="s">
        <v>748</v>
      </c>
      <c r="T213" s="115"/>
      <c r="U213" s="77"/>
      <c r="CN213" s="36" t="str">
        <f t="shared" si="3416"/>
        <v>InitUnitState('IF02',,,,,,,,,,)</v>
      </c>
      <c r="CO213" s="36" t="str">
        <f t="shared" si="3417"/>
        <v>InitUnitNormal('IF02',,,,,,,,,,)</v>
      </c>
      <c r="CP213" s="36" t="str">
        <f t="shared" si="3418"/>
        <v>InitUnitMagic('IF02',,,,,,,,,,)</v>
      </c>
      <c r="CQ213" s="36" t="str">
        <f t="shared" si="3419"/>
        <v>InitUnitAdd('IF02',,,,,,,,,,)</v>
      </c>
      <c r="CR213" s="36" t="str">
        <f t="shared" si="3420"/>
        <v>InitEquipData('IF02',,"",,,,,'','','','','','',"")</v>
      </c>
      <c r="CU213" s="88" t="str">
        <f t="shared" si="3421"/>
        <v>|n</v>
      </c>
      <c r="CW213" s="33"/>
      <c r="CX213" s="33"/>
      <c r="CY213" s="33"/>
      <c r="CZ213" s="33"/>
      <c r="DA213" s="33"/>
      <c r="DB213" s="66" t="str">
        <f t="shared" si="3422"/>
        <v/>
      </c>
      <c r="DC213" s="66" t="str">
        <f t="shared" si="3423"/>
        <v/>
      </c>
      <c r="DD213" s="66" t="str">
        <f t="shared" si="3424"/>
        <v/>
      </c>
      <c r="DE213" s="66" t="str">
        <f t="shared" si="3425"/>
        <v/>
      </c>
      <c r="DF213" s="66" t="str">
        <f t="shared" si="3426"/>
        <v/>
      </c>
      <c r="DG213" s="66" t="str">
        <f t="shared" si="3427"/>
        <v/>
      </c>
      <c r="DH213" s="66" t="str">
        <f t="shared" si="3428"/>
        <v/>
      </c>
      <c r="DI213" s="66" t="str">
        <f t="shared" si="3429"/>
        <v/>
      </c>
      <c r="DJ213" s="66" t="str">
        <f t="shared" si="3430"/>
        <v/>
      </c>
      <c r="DK213" s="66" t="str">
        <f t="shared" si="3431"/>
        <v/>
      </c>
      <c r="DL213" s="66" t="str">
        <f t="shared" si="3432"/>
        <v/>
      </c>
      <c r="DM213" s="66" t="str">
        <f t="shared" si="3433"/>
        <v/>
      </c>
      <c r="DN213" s="66" t="str">
        <f t="shared" si="3434"/>
        <v/>
      </c>
      <c r="DO213" s="66" t="str">
        <f t="shared" si="3435"/>
        <v/>
      </c>
      <c r="DP213" s="66" t="str">
        <f t="shared" si="3436"/>
        <v/>
      </c>
      <c r="DQ213" s="66" t="str">
        <f t="shared" si="3437"/>
        <v/>
      </c>
      <c r="DR213" s="66" t="str">
        <f t="shared" si="3438"/>
        <v/>
      </c>
      <c r="DS213" s="66" t="str">
        <f t="shared" si="3439"/>
        <v/>
      </c>
      <c r="DT213" s="66" t="str">
        <f t="shared" si="3440"/>
        <v/>
      </c>
      <c r="DU213" s="66" t="str">
        <f t="shared" si="3441"/>
        <v/>
      </c>
      <c r="DV213" s="66" t="str">
        <f t="shared" si="3442"/>
        <v/>
      </c>
      <c r="DW213" s="66" t="str">
        <f t="shared" si="3443"/>
        <v/>
      </c>
      <c r="DX213" s="66" t="str">
        <f t="shared" si="3444"/>
        <v/>
      </c>
      <c r="DY213" s="66" t="str">
        <f t="shared" si="3445"/>
        <v/>
      </c>
      <c r="DZ213" s="66" t="str">
        <f t="shared" si="3446"/>
        <v/>
      </c>
      <c r="EA213" s="66" t="str">
        <f t="shared" si="3447"/>
        <v/>
      </c>
      <c r="EB213" s="66" t="str">
        <f t="shared" si="3448"/>
        <v/>
      </c>
      <c r="EC213" s="66" t="str">
        <f t="shared" si="3449"/>
        <v/>
      </c>
      <c r="ED213" s="66" t="str">
        <f t="shared" si="3450"/>
        <v/>
      </c>
      <c r="EE213" s="66" t="str">
        <f t="shared" si="3451"/>
        <v/>
      </c>
      <c r="EF213" s="66" t="str">
        <f t="shared" si="3452"/>
        <v/>
      </c>
      <c r="EG213" s="66" t="str">
        <f t="shared" si="3453"/>
        <v/>
      </c>
      <c r="EH213" s="66" t="str">
        <f t="shared" si="3454"/>
        <v/>
      </c>
      <c r="EI213" s="66" t="str">
        <f t="shared" si="3455"/>
        <v/>
      </c>
      <c r="EJ213" s="66" t="str">
        <f t="shared" si="3456"/>
        <v/>
      </c>
      <c r="EK213" s="66" t="str">
        <f t="shared" si="3457"/>
        <v/>
      </c>
      <c r="EL213" s="66" t="str">
        <f t="shared" si="3458"/>
        <v/>
      </c>
      <c r="EM213" s="66" t="str">
        <f t="shared" si="3459"/>
        <v/>
      </c>
      <c r="EN213" s="66" t="str">
        <f t="shared" si="3460"/>
        <v/>
      </c>
      <c r="EO213" s="66" t="str">
        <f t="shared" si="3461"/>
        <v/>
      </c>
      <c r="EP213" s="66" t="str">
        <f t="shared" si="3462"/>
        <v/>
      </c>
      <c r="EQ213" s="66" t="str">
        <f t="shared" si="3463"/>
        <v/>
      </c>
      <c r="ER213" s="66" t="str">
        <f t="shared" si="3464"/>
        <v/>
      </c>
      <c r="ES213" s="66" t="str">
        <f t="shared" si="3465"/>
        <v/>
      </c>
      <c r="ET213" s="66" t="str">
        <f t="shared" si="3466"/>
        <v/>
      </c>
      <c r="EU213" s="66" t="str">
        <f t="shared" si="3467"/>
        <v/>
      </c>
      <c r="EV213" s="66" t="str">
        <f t="shared" si="3468"/>
        <v/>
      </c>
      <c r="EW213" s="66" t="str">
        <f t="shared" si="3469"/>
        <v/>
      </c>
      <c r="EX213" s="66" t="str">
        <f t="shared" si="3470"/>
        <v/>
      </c>
      <c r="EY213" s="66" t="str">
        <f t="shared" si="3471"/>
        <v/>
      </c>
      <c r="EZ213" s="66" t="str">
        <f t="shared" si="3472"/>
        <v/>
      </c>
      <c r="FA213" s="66" t="str">
        <f t="shared" si="3473"/>
        <v/>
      </c>
      <c r="FB213" s="66" t="str">
        <f t="shared" si="3474"/>
        <v/>
      </c>
      <c r="FC213" s="66" t="str">
        <f t="shared" si="3475"/>
        <v/>
      </c>
      <c r="FD213" s="66" t="str">
        <f t="shared" si="3476"/>
        <v/>
      </c>
      <c r="FE213" s="66" t="str">
        <f t="shared" si="3477"/>
        <v/>
      </c>
      <c r="FF213" s="66" t="str">
        <f t="shared" si="3478"/>
        <v/>
      </c>
      <c r="FG213" s="66" t="str">
        <f t="shared" si="3479"/>
        <v/>
      </c>
      <c r="FH213" s="66" t="str">
        <f t="shared" si="3480"/>
        <v/>
      </c>
      <c r="FI213" s="66" t="str">
        <f t="shared" si="3481"/>
        <v/>
      </c>
      <c r="FJ213" s="66" t="str">
        <f t="shared" si="3482"/>
        <v/>
      </c>
      <c r="FK213" s="66" t="str">
        <f t="shared" si="3483"/>
        <v/>
      </c>
      <c r="FL213" s="66" t="str">
        <f t="shared" si="3484"/>
        <v/>
      </c>
      <c r="FM213" s="66" t="str">
        <f t="shared" si="3485"/>
        <v/>
      </c>
      <c r="FN213" s="66" t="str">
        <f t="shared" si="3486"/>
        <v/>
      </c>
      <c r="FO213" s="66" t="str">
        <f t="shared" si="3487"/>
        <v/>
      </c>
      <c r="FP213" s="66" t="str">
        <f t="shared" si="3488"/>
        <v/>
      </c>
      <c r="FQ213" s="66" t="str">
        <f t="shared" si="3489"/>
        <v/>
      </c>
      <c r="FR213" s="66" t="str">
        <f t="shared" si="3490"/>
        <v/>
      </c>
      <c r="FS213" s="66" t="str">
        <f t="shared" si="3491"/>
        <v/>
      </c>
    </row>
    <row r="214" spans="1:175" ht="16.5">
      <c r="A214" s="110"/>
      <c r="B214" s="27" t="s">
        <v>750</v>
      </c>
      <c r="C214" s="29" t="s">
        <v>748</v>
      </c>
      <c r="T214" s="116"/>
      <c r="U214" s="77"/>
      <c r="CN214" s="36" t="str">
        <f t="shared" si="3416"/>
        <v>InitUnitState('IF03',,,,,,,,,,)</v>
      </c>
      <c r="CO214" s="36" t="str">
        <f t="shared" si="3417"/>
        <v>InitUnitNormal('IF03',,,,,,,,,,)</v>
      </c>
      <c r="CP214" s="36" t="str">
        <f t="shared" si="3418"/>
        <v>InitUnitMagic('IF03',,,,,,,,,,)</v>
      </c>
      <c r="CQ214" s="36" t="str">
        <f t="shared" si="3419"/>
        <v>InitUnitAdd('IF03',,,,,,,,,,)</v>
      </c>
      <c r="CR214" s="36" t="str">
        <f t="shared" si="3420"/>
        <v>InitEquipData('IF03',,"",,,,,'','','','','','',"")</v>
      </c>
      <c r="CU214" s="88" t="str">
        <f t="shared" si="3421"/>
        <v>|n</v>
      </c>
      <c r="CW214" s="33"/>
      <c r="CX214" s="33"/>
      <c r="CY214" s="33"/>
      <c r="CZ214" s="33"/>
      <c r="DA214" s="33"/>
      <c r="DB214" s="66" t="str">
        <f t="shared" si="3422"/>
        <v/>
      </c>
      <c r="DC214" s="66" t="str">
        <f t="shared" si="3423"/>
        <v/>
      </c>
      <c r="DD214" s="66" t="str">
        <f t="shared" si="3424"/>
        <v/>
      </c>
      <c r="DE214" s="66" t="str">
        <f t="shared" si="3425"/>
        <v/>
      </c>
      <c r="DF214" s="66" t="str">
        <f t="shared" si="3426"/>
        <v/>
      </c>
      <c r="DG214" s="66" t="str">
        <f t="shared" si="3427"/>
        <v/>
      </c>
      <c r="DH214" s="66" t="str">
        <f t="shared" si="3428"/>
        <v/>
      </c>
      <c r="DI214" s="66" t="str">
        <f t="shared" si="3429"/>
        <v/>
      </c>
      <c r="DJ214" s="66" t="str">
        <f t="shared" si="3430"/>
        <v/>
      </c>
      <c r="DK214" s="66" t="str">
        <f t="shared" si="3431"/>
        <v/>
      </c>
      <c r="DL214" s="66" t="str">
        <f t="shared" si="3432"/>
        <v/>
      </c>
      <c r="DM214" s="66" t="str">
        <f t="shared" si="3433"/>
        <v/>
      </c>
      <c r="DN214" s="66" t="str">
        <f t="shared" si="3434"/>
        <v/>
      </c>
      <c r="DO214" s="66" t="str">
        <f t="shared" si="3435"/>
        <v/>
      </c>
      <c r="DP214" s="66" t="str">
        <f t="shared" si="3436"/>
        <v/>
      </c>
      <c r="DQ214" s="66" t="str">
        <f t="shared" si="3437"/>
        <v/>
      </c>
      <c r="DR214" s="66" t="str">
        <f t="shared" si="3438"/>
        <v/>
      </c>
      <c r="DS214" s="66" t="str">
        <f t="shared" si="3439"/>
        <v/>
      </c>
      <c r="DT214" s="66" t="str">
        <f t="shared" si="3440"/>
        <v/>
      </c>
      <c r="DU214" s="66" t="str">
        <f t="shared" si="3441"/>
        <v/>
      </c>
      <c r="DV214" s="66" t="str">
        <f t="shared" si="3442"/>
        <v/>
      </c>
      <c r="DW214" s="66" t="str">
        <f t="shared" si="3443"/>
        <v/>
      </c>
      <c r="DX214" s="66" t="str">
        <f t="shared" si="3444"/>
        <v/>
      </c>
      <c r="DY214" s="66" t="str">
        <f t="shared" si="3445"/>
        <v/>
      </c>
      <c r="DZ214" s="66" t="str">
        <f t="shared" si="3446"/>
        <v/>
      </c>
      <c r="EA214" s="66" t="str">
        <f t="shared" si="3447"/>
        <v/>
      </c>
      <c r="EB214" s="66" t="str">
        <f t="shared" si="3448"/>
        <v/>
      </c>
      <c r="EC214" s="66" t="str">
        <f t="shared" si="3449"/>
        <v/>
      </c>
      <c r="ED214" s="66" t="str">
        <f t="shared" si="3450"/>
        <v/>
      </c>
      <c r="EE214" s="66" t="str">
        <f t="shared" si="3451"/>
        <v/>
      </c>
      <c r="EF214" s="66" t="str">
        <f t="shared" si="3452"/>
        <v/>
      </c>
      <c r="EG214" s="66" t="str">
        <f t="shared" si="3453"/>
        <v/>
      </c>
      <c r="EH214" s="66" t="str">
        <f t="shared" si="3454"/>
        <v/>
      </c>
      <c r="EI214" s="66" t="str">
        <f t="shared" si="3455"/>
        <v/>
      </c>
      <c r="EJ214" s="66" t="str">
        <f t="shared" si="3456"/>
        <v/>
      </c>
      <c r="EK214" s="66" t="str">
        <f t="shared" si="3457"/>
        <v/>
      </c>
      <c r="EL214" s="66" t="str">
        <f t="shared" si="3458"/>
        <v/>
      </c>
      <c r="EM214" s="66" t="str">
        <f t="shared" si="3459"/>
        <v/>
      </c>
      <c r="EN214" s="66" t="str">
        <f t="shared" si="3460"/>
        <v/>
      </c>
      <c r="EO214" s="66" t="str">
        <f t="shared" si="3461"/>
        <v/>
      </c>
      <c r="EP214" s="66" t="str">
        <f t="shared" si="3462"/>
        <v/>
      </c>
      <c r="EQ214" s="66" t="str">
        <f t="shared" si="3463"/>
        <v/>
      </c>
      <c r="ER214" s="66" t="str">
        <f t="shared" si="3464"/>
        <v/>
      </c>
      <c r="ES214" s="66" t="str">
        <f t="shared" si="3465"/>
        <v/>
      </c>
      <c r="ET214" s="66" t="str">
        <f t="shared" si="3466"/>
        <v/>
      </c>
      <c r="EU214" s="66" t="str">
        <f t="shared" si="3467"/>
        <v/>
      </c>
      <c r="EV214" s="66" t="str">
        <f t="shared" si="3468"/>
        <v/>
      </c>
      <c r="EW214" s="66" t="str">
        <f t="shared" si="3469"/>
        <v/>
      </c>
      <c r="EX214" s="66" t="str">
        <f t="shared" si="3470"/>
        <v/>
      </c>
      <c r="EY214" s="66" t="str">
        <f t="shared" si="3471"/>
        <v/>
      </c>
      <c r="EZ214" s="66" t="str">
        <f t="shared" si="3472"/>
        <v/>
      </c>
      <c r="FA214" s="66" t="str">
        <f t="shared" si="3473"/>
        <v/>
      </c>
      <c r="FB214" s="66" t="str">
        <f t="shared" si="3474"/>
        <v/>
      </c>
      <c r="FC214" s="66" t="str">
        <f t="shared" si="3475"/>
        <v/>
      </c>
      <c r="FD214" s="66" t="str">
        <f t="shared" si="3476"/>
        <v/>
      </c>
      <c r="FE214" s="66" t="str">
        <f t="shared" si="3477"/>
        <v/>
      </c>
      <c r="FF214" s="66" t="str">
        <f t="shared" si="3478"/>
        <v/>
      </c>
      <c r="FG214" s="66" t="str">
        <f t="shared" si="3479"/>
        <v/>
      </c>
      <c r="FH214" s="66" t="str">
        <f t="shared" si="3480"/>
        <v/>
      </c>
      <c r="FI214" s="66" t="str">
        <f t="shared" si="3481"/>
        <v/>
      </c>
      <c r="FJ214" s="66" t="str">
        <f t="shared" si="3482"/>
        <v/>
      </c>
      <c r="FK214" s="66" t="str">
        <f t="shared" si="3483"/>
        <v/>
      </c>
      <c r="FL214" s="66" t="str">
        <f t="shared" si="3484"/>
        <v/>
      </c>
      <c r="FM214" s="66" t="str">
        <f t="shared" si="3485"/>
        <v/>
      </c>
      <c r="FN214" s="66" t="str">
        <f t="shared" si="3486"/>
        <v/>
      </c>
      <c r="FO214" s="66" t="str">
        <f t="shared" si="3487"/>
        <v/>
      </c>
      <c r="FP214" s="66" t="str">
        <f t="shared" si="3488"/>
        <v/>
      </c>
      <c r="FQ214" s="66" t="str">
        <f t="shared" si="3489"/>
        <v/>
      </c>
      <c r="FR214" s="66" t="str">
        <f t="shared" si="3490"/>
        <v/>
      </c>
      <c r="FS214" s="66" t="str">
        <f t="shared" si="3491"/>
        <v/>
      </c>
    </row>
    <row r="215" spans="1:175" ht="16.5">
      <c r="A215" s="110"/>
      <c r="B215" s="27" t="s">
        <v>751</v>
      </c>
      <c r="C215" s="29" t="s">
        <v>748</v>
      </c>
      <c r="T215" s="116"/>
      <c r="U215" s="77"/>
      <c r="CN215" s="36" t="str">
        <f t="shared" si="3416"/>
        <v>InitUnitState('IF04',,,,,,,,,,)</v>
      </c>
      <c r="CO215" s="36" t="str">
        <f t="shared" si="3417"/>
        <v>InitUnitNormal('IF04',,,,,,,,,,)</v>
      </c>
      <c r="CP215" s="36" t="str">
        <f t="shared" si="3418"/>
        <v>InitUnitMagic('IF04',,,,,,,,,,)</v>
      </c>
      <c r="CQ215" s="36" t="str">
        <f t="shared" si="3419"/>
        <v>InitUnitAdd('IF04',,,,,,,,,,)</v>
      </c>
      <c r="CR215" s="36" t="str">
        <f t="shared" si="3420"/>
        <v>InitEquipData('IF04',,"",,,,,'','','','','','',"")</v>
      </c>
      <c r="CU215" s="88" t="str">
        <f t="shared" si="3421"/>
        <v>|n</v>
      </c>
      <c r="CW215" s="33"/>
      <c r="CX215" s="33"/>
      <c r="CY215" s="33"/>
      <c r="CZ215" s="33"/>
      <c r="DA215" s="33"/>
      <c r="DB215" s="66" t="str">
        <f t="shared" si="3422"/>
        <v/>
      </c>
      <c r="DC215" s="66" t="str">
        <f t="shared" si="3423"/>
        <v/>
      </c>
      <c r="DD215" s="66" t="str">
        <f t="shared" si="3424"/>
        <v/>
      </c>
      <c r="DE215" s="66" t="str">
        <f t="shared" si="3425"/>
        <v/>
      </c>
      <c r="DF215" s="66" t="str">
        <f t="shared" si="3426"/>
        <v/>
      </c>
      <c r="DG215" s="66" t="str">
        <f t="shared" si="3427"/>
        <v/>
      </c>
      <c r="DH215" s="66" t="str">
        <f t="shared" si="3428"/>
        <v/>
      </c>
      <c r="DI215" s="66" t="str">
        <f t="shared" si="3429"/>
        <v/>
      </c>
      <c r="DJ215" s="66" t="str">
        <f t="shared" si="3430"/>
        <v/>
      </c>
      <c r="DK215" s="66" t="str">
        <f t="shared" si="3431"/>
        <v/>
      </c>
      <c r="DL215" s="66" t="str">
        <f t="shared" si="3432"/>
        <v/>
      </c>
      <c r="DM215" s="66" t="str">
        <f t="shared" si="3433"/>
        <v/>
      </c>
      <c r="DN215" s="66" t="str">
        <f t="shared" si="3434"/>
        <v/>
      </c>
      <c r="DO215" s="66" t="str">
        <f t="shared" si="3435"/>
        <v/>
      </c>
      <c r="DP215" s="66" t="str">
        <f t="shared" si="3436"/>
        <v/>
      </c>
      <c r="DQ215" s="66" t="str">
        <f t="shared" si="3437"/>
        <v/>
      </c>
      <c r="DR215" s="66" t="str">
        <f t="shared" si="3438"/>
        <v/>
      </c>
      <c r="DS215" s="66" t="str">
        <f t="shared" si="3439"/>
        <v/>
      </c>
      <c r="DT215" s="66" t="str">
        <f t="shared" si="3440"/>
        <v/>
      </c>
      <c r="DU215" s="66" t="str">
        <f t="shared" si="3441"/>
        <v/>
      </c>
      <c r="DV215" s="66" t="str">
        <f t="shared" si="3442"/>
        <v/>
      </c>
      <c r="DW215" s="66" t="str">
        <f t="shared" si="3443"/>
        <v/>
      </c>
      <c r="DX215" s="66" t="str">
        <f t="shared" si="3444"/>
        <v/>
      </c>
      <c r="DY215" s="66" t="str">
        <f t="shared" si="3445"/>
        <v/>
      </c>
      <c r="DZ215" s="66" t="str">
        <f t="shared" si="3446"/>
        <v/>
      </c>
      <c r="EA215" s="66" t="str">
        <f t="shared" si="3447"/>
        <v/>
      </c>
      <c r="EB215" s="66" t="str">
        <f t="shared" si="3448"/>
        <v/>
      </c>
      <c r="EC215" s="66" t="str">
        <f t="shared" si="3449"/>
        <v/>
      </c>
      <c r="ED215" s="66" t="str">
        <f t="shared" si="3450"/>
        <v/>
      </c>
      <c r="EE215" s="66" t="str">
        <f t="shared" si="3451"/>
        <v/>
      </c>
      <c r="EF215" s="66" t="str">
        <f t="shared" si="3452"/>
        <v/>
      </c>
      <c r="EG215" s="66" t="str">
        <f t="shared" si="3453"/>
        <v/>
      </c>
      <c r="EH215" s="66" t="str">
        <f t="shared" si="3454"/>
        <v/>
      </c>
      <c r="EI215" s="66" t="str">
        <f t="shared" si="3455"/>
        <v/>
      </c>
      <c r="EJ215" s="66" t="str">
        <f t="shared" si="3456"/>
        <v/>
      </c>
      <c r="EK215" s="66" t="str">
        <f t="shared" si="3457"/>
        <v/>
      </c>
      <c r="EL215" s="66" t="str">
        <f t="shared" si="3458"/>
        <v/>
      </c>
      <c r="EM215" s="66" t="str">
        <f t="shared" si="3459"/>
        <v/>
      </c>
      <c r="EN215" s="66" t="str">
        <f t="shared" si="3460"/>
        <v/>
      </c>
      <c r="EO215" s="66" t="str">
        <f t="shared" si="3461"/>
        <v/>
      </c>
      <c r="EP215" s="66" t="str">
        <f t="shared" si="3462"/>
        <v/>
      </c>
      <c r="EQ215" s="66" t="str">
        <f t="shared" si="3463"/>
        <v/>
      </c>
      <c r="ER215" s="66" t="str">
        <f t="shared" si="3464"/>
        <v/>
      </c>
      <c r="ES215" s="66" t="str">
        <f t="shared" si="3465"/>
        <v/>
      </c>
      <c r="ET215" s="66" t="str">
        <f t="shared" si="3466"/>
        <v/>
      </c>
      <c r="EU215" s="66" t="str">
        <f t="shared" si="3467"/>
        <v/>
      </c>
      <c r="EV215" s="66" t="str">
        <f t="shared" si="3468"/>
        <v/>
      </c>
      <c r="EW215" s="66" t="str">
        <f t="shared" si="3469"/>
        <v/>
      </c>
      <c r="EX215" s="66" t="str">
        <f t="shared" si="3470"/>
        <v/>
      </c>
      <c r="EY215" s="66" t="str">
        <f t="shared" si="3471"/>
        <v/>
      </c>
      <c r="EZ215" s="66" t="str">
        <f t="shared" si="3472"/>
        <v/>
      </c>
      <c r="FA215" s="66" t="str">
        <f t="shared" si="3473"/>
        <v/>
      </c>
      <c r="FB215" s="66" t="str">
        <f t="shared" si="3474"/>
        <v/>
      </c>
      <c r="FC215" s="66" t="str">
        <f t="shared" si="3475"/>
        <v/>
      </c>
      <c r="FD215" s="66" t="str">
        <f t="shared" si="3476"/>
        <v/>
      </c>
      <c r="FE215" s="66" t="str">
        <f t="shared" si="3477"/>
        <v/>
      </c>
      <c r="FF215" s="66" t="str">
        <f t="shared" si="3478"/>
        <v/>
      </c>
      <c r="FG215" s="66" t="str">
        <f t="shared" si="3479"/>
        <v/>
      </c>
      <c r="FH215" s="66" t="str">
        <f t="shared" si="3480"/>
        <v/>
      </c>
      <c r="FI215" s="66" t="str">
        <f t="shared" si="3481"/>
        <v/>
      </c>
      <c r="FJ215" s="66" t="str">
        <f t="shared" si="3482"/>
        <v/>
      </c>
      <c r="FK215" s="66" t="str">
        <f t="shared" si="3483"/>
        <v/>
      </c>
      <c r="FL215" s="66" t="str">
        <f t="shared" si="3484"/>
        <v/>
      </c>
      <c r="FM215" s="66" t="str">
        <f t="shared" si="3485"/>
        <v/>
      </c>
      <c r="FN215" s="66" t="str">
        <f t="shared" si="3486"/>
        <v/>
      </c>
      <c r="FO215" s="66" t="str">
        <f t="shared" si="3487"/>
        <v/>
      </c>
      <c r="FP215" s="66" t="str">
        <f t="shared" si="3488"/>
        <v/>
      </c>
      <c r="FQ215" s="66" t="str">
        <f t="shared" si="3489"/>
        <v/>
      </c>
      <c r="FR215" s="66" t="str">
        <f t="shared" si="3490"/>
        <v/>
      </c>
      <c r="FS215" s="66" t="str">
        <f t="shared" si="3491"/>
        <v/>
      </c>
    </row>
    <row r="216" spans="1:175" ht="16.5">
      <c r="A216" s="110"/>
      <c r="B216" s="27" t="s">
        <v>752</v>
      </c>
      <c r="C216" s="29" t="s">
        <v>748</v>
      </c>
      <c r="T216" s="116"/>
      <c r="U216" s="77"/>
      <c r="CN216" s="36" t="str">
        <f t="shared" si="3416"/>
        <v>InitUnitState('IF05',,,,,,,,,,)</v>
      </c>
      <c r="CO216" s="36" t="str">
        <f t="shared" si="3417"/>
        <v>InitUnitNormal('IF05',,,,,,,,,,)</v>
      </c>
      <c r="CP216" s="36" t="str">
        <f t="shared" si="3418"/>
        <v>InitUnitMagic('IF05',,,,,,,,,,)</v>
      </c>
      <c r="CQ216" s="36" t="str">
        <f t="shared" si="3419"/>
        <v>InitUnitAdd('IF05',,,,,,,,,,)</v>
      </c>
      <c r="CR216" s="36" t="str">
        <f t="shared" si="3420"/>
        <v>InitEquipData('IF05',,"",,,,,'','','','','','',"")</v>
      </c>
      <c r="CU216" s="88" t="str">
        <f t="shared" si="3421"/>
        <v>|n</v>
      </c>
      <c r="CW216" s="33"/>
      <c r="CX216" s="33"/>
      <c r="CY216" s="33"/>
      <c r="CZ216" s="33"/>
      <c r="DA216" s="33"/>
      <c r="DB216" s="66" t="str">
        <f t="shared" si="3422"/>
        <v/>
      </c>
      <c r="DC216" s="66" t="str">
        <f t="shared" si="3423"/>
        <v/>
      </c>
      <c r="DD216" s="66" t="str">
        <f t="shared" si="3424"/>
        <v/>
      </c>
      <c r="DE216" s="66" t="str">
        <f t="shared" si="3425"/>
        <v/>
      </c>
      <c r="DF216" s="66" t="str">
        <f t="shared" si="3426"/>
        <v/>
      </c>
      <c r="DG216" s="66" t="str">
        <f t="shared" si="3427"/>
        <v/>
      </c>
      <c r="DH216" s="66" t="str">
        <f t="shared" si="3428"/>
        <v/>
      </c>
      <c r="DI216" s="66" t="str">
        <f t="shared" si="3429"/>
        <v/>
      </c>
      <c r="DJ216" s="66" t="str">
        <f t="shared" si="3430"/>
        <v/>
      </c>
      <c r="DK216" s="66" t="str">
        <f t="shared" si="3431"/>
        <v/>
      </c>
      <c r="DL216" s="66" t="str">
        <f t="shared" si="3432"/>
        <v/>
      </c>
      <c r="DM216" s="66" t="str">
        <f t="shared" si="3433"/>
        <v/>
      </c>
      <c r="DN216" s="66" t="str">
        <f t="shared" si="3434"/>
        <v/>
      </c>
      <c r="DO216" s="66" t="str">
        <f t="shared" si="3435"/>
        <v/>
      </c>
      <c r="DP216" s="66" t="str">
        <f t="shared" si="3436"/>
        <v/>
      </c>
      <c r="DQ216" s="66" t="str">
        <f t="shared" si="3437"/>
        <v/>
      </c>
      <c r="DR216" s="66" t="str">
        <f t="shared" si="3438"/>
        <v/>
      </c>
      <c r="DS216" s="66" t="str">
        <f t="shared" si="3439"/>
        <v/>
      </c>
      <c r="DT216" s="66" t="str">
        <f t="shared" si="3440"/>
        <v/>
      </c>
      <c r="DU216" s="66" t="str">
        <f t="shared" si="3441"/>
        <v/>
      </c>
      <c r="DV216" s="66" t="str">
        <f t="shared" si="3442"/>
        <v/>
      </c>
      <c r="DW216" s="66" t="str">
        <f t="shared" si="3443"/>
        <v/>
      </c>
      <c r="DX216" s="66" t="str">
        <f t="shared" si="3444"/>
        <v/>
      </c>
      <c r="DY216" s="66" t="str">
        <f t="shared" si="3445"/>
        <v/>
      </c>
      <c r="DZ216" s="66" t="str">
        <f t="shared" si="3446"/>
        <v/>
      </c>
      <c r="EA216" s="66" t="str">
        <f t="shared" si="3447"/>
        <v/>
      </c>
      <c r="EB216" s="66" t="str">
        <f t="shared" si="3448"/>
        <v/>
      </c>
      <c r="EC216" s="66" t="str">
        <f t="shared" si="3449"/>
        <v/>
      </c>
      <c r="ED216" s="66" t="str">
        <f t="shared" si="3450"/>
        <v/>
      </c>
      <c r="EE216" s="66" t="str">
        <f t="shared" si="3451"/>
        <v/>
      </c>
      <c r="EF216" s="66" t="str">
        <f t="shared" si="3452"/>
        <v/>
      </c>
      <c r="EG216" s="66" t="str">
        <f t="shared" si="3453"/>
        <v/>
      </c>
      <c r="EH216" s="66" t="str">
        <f t="shared" si="3454"/>
        <v/>
      </c>
      <c r="EI216" s="66" t="str">
        <f t="shared" si="3455"/>
        <v/>
      </c>
      <c r="EJ216" s="66" t="str">
        <f t="shared" si="3456"/>
        <v/>
      </c>
      <c r="EK216" s="66" t="str">
        <f t="shared" si="3457"/>
        <v/>
      </c>
      <c r="EL216" s="66" t="str">
        <f t="shared" si="3458"/>
        <v/>
      </c>
      <c r="EM216" s="66" t="str">
        <f t="shared" si="3459"/>
        <v/>
      </c>
      <c r="EN216" s="66" t="str">
        <f t="shared" si="3460"/>
        <v/>
      </c>
      <c r="EO216" s="66" t="str">
        <f t="shared" si="3461"/>
        <v/>
      </c>
      <c r="EP216" s="66" t="str">
        <f t="shared" si="3462"/>
        <v/>
      </c>
      <c r="EQ216" s="66" t="str">
        <f t="shared" si="3463"/>
        <v/>
      </c>
      <c r="ER216" s="66" t="str">
        <f t="shared" si="3464"/>
        <v/>
      </c>
      <c r="ES216" s="66" t="str">
        <f t="shared" si="3465"/>
        <v/>
      </c>
      <c r="ET216" s="66" t="str">
        <f t="shared" si="3466"/>
        <v/>
      </c>
      <c r="EU216" s="66" t="str">
        <f t="shared" si="3467"/>
        <v/>
      </c>
      <c r="EV216" s="66" t="str">
        <f t="shared" si="3468"/>
        <v/>
      </c>
      <c r="EW216" s="66" t="str">
        <f t="shared" si="3469"/>
        <v/>
      </c>
      <c r="EX216" s="66" t="str">
        <f t="shared" si="3470"/>
        <v/>
      </c>
      <c r="EY216" s="66" t="str">
        <f t="shared" si="3471"/>
        <v/>
      </c>
      <c r="EZ216" s="66" t="str">
        <f t="shared" si="3472"/>
        <v/>
      </c>
      <c r="FA216" s="66" t="str">
        <f t="shared" si="3473"/>
        <v/>
      </c>
      <c r="FB216" s="66" t="str">
        <f t="shared" si="3474"/>
        <v/>
      </c>
      <c r="FC216" s="66" t="str">
        <f t="shared" si="3475"/>
        <v/>
      </c>
      <c r="FD216" s="66" t="str">
        <f t="shared" si="3476"/>
        <v/>
      </c>
      <c r="FE216" s="66" t="str">
        <f t="shared" si="3477"/>
        <v/>
      </c>
      <c r="FF216" s="66" t="str">
        <f t="shared" si="3478"/>
        <v/>
      </c>
      <c r="FG216" s="66" t="str">
        <f t="shared" si="3479"/>
        <v/>
      </c>
      <c r="FH216" s="66" t="str">
        <f t="shared" si="3480"/>
        <v/>
      </c>
      <c r="FI216" s="66" t="str">
        <f t="shared" si="3481"/>
        <v/>
      </c>
      <c r="FJ216" s="66" t="str">
        <f t="shared" si="3482"/>
        <v/>
      </c>
      <c r="FK216" s="66" t="str">
        <f t="shared" si="3483"/>
        <v/>
      </c>
      <c r="FL216" s="66" t="str">
        <f t="shared" si="3484"/>
        <v/>
      </c>
      <c r="FM216" s="66" t="str">
        <f t="shared" si="3485"/>
        <v/>
      </c>
      <c r="FN216" s="66" t="str">
        <f t="shared" si="3486"/>
        <v/>
      </c>
      <c r="FO216" s="66" t="str">
        <f t="shared" si="3487"/>
        <v/>
      </c>
      <c r="FP216" s="66" t="str">
        <f t="shared" si="3488"/>
        <v/>
      </c>
      <c r="FQ216" s="66" t="str">
        <f t="shared" si="3489"/>
        <v/>
      </c>
      <c r="FR216" s="66" t="str">
        <f t="shared" si="3490"/>
        <v/>
      </c>
      <c r="FS216" s="66" t="str">
        <f t="shared" si="3491"/>
        <v/>
      </c>
    </row>
    <row r="217" spans="1:175" ht="16.5">
      <c r="A217" s="110"/>
      <c r="B217" s="27" t="s">
        <v>753</v>
      </c>
      <c r="C217" s="29" t="s">
        <v>748</v>
      </c>
      <c r="T217" s="116"/>
      <c r="U217" s="77"/>
      <c r="CN217" s="36" t="str">
        <f t="shared" si="3416"/>
        <v>InitUnitState('IF06',,,,,,,,,,)</v>
      </c>
      <c r="CO217" s="36" t="str">
        <f t="shared" si="3417"/>
        <v>InitUnitNormal('IF06',,,,,,,,,,)</v>
      </c>
      <c r="CP217" s="36" t="str">
        <f t="shared" si="3418"/>
        <v>InitUnitMagic('IF06',,,,,,,,,,)</v>
      </c>
      <c r="CQ217" s="36" t="str">
        <f t="shared" si="3419"/>
        <v>InitUnitAdd('IF06',,,,,,,,,,)</v>
      </c>
      <c r="CR217" s="36" t="str">
        <f t="shared" si="3420"/>
        <v>InitEquipData('IF06',,"",,,,,'','','','','','',"")</v>
      </c>
      <c r="CU217" s="88" t="str">
        <f t="shared" si="3421"/>
        <v>|n</v>
      </c>
      <c r="CW217" s="33"/>
      <c r="CX217" s="33"/>
      <c r="CY217" s="33"/>
      <c r="CZ217" s="33"/>
      <c r="DA217" s="33"/>
      <c r="DB217" s="66" t="str">
        <f t="shared" si="3422"/>
        <v/>
      </c>
      <c r="DC217" s="66" t="str">
        <f t="shared" si="3423"/>
        <v/>
      </c>
      <c r="DD217" s="66" t="str">
        <f t="shared" si="3424"/>
        <v/>
      </c>
      <c r="DE217" s="66" t="str">
        <f t="shared" si="3425"/>
        <v/>
      </c>
      <c r="DF217" s="66" t="str">
        <f t="shared" si="3426"/>
        <v/>
      </c>
      <c r="DG217" s="66" t="str">
        <f t="shared" si="3427"/>
        <v/>
      </c>
      <c r="DH217" s="66" t="str">
        <f t="shared" si="3428"/>
        <v/>
      </c>
      <c r="DI217" s="66" t="str">
        <f t="shared" si="3429"/>
        <v/>
      </c>
      <c r="DJ217" s="66" t="str">
        <f t="shared" si="3430"/>
        <v/>
      </c>
      <c r="DK217" s="66" t="str">
        <f t="shared" si="3431"/>
        <v/>
      </c>
      <c r="DL217" s="66" t="str">
        <f t="shared" si="3432"/>
        <v/>
      </c>
      <c r="DM217" s="66" t="str">
        <f t="shared" si="3433"/>
        <v/>
      </c>
      <c r="DN217" s="66" t="str">
        <f t="shared" si="3434"/>
        <v/>
      </c>
      <c r="DO217" s="66" t="str">
        <f t="shared" si="3435"/>
        <v/>
      </c>
      <c r="DP217" s="66" t="str">
        <f t="shared" si="3436"/>
        <v/>
      </c>
      <c r="DQ217" s="66" t="str">
        <f t="shared" si="3437"/>
        <v/>
      </c>
      <c r="DR217" s="66" t="str">
        <f t="shared" si="3438"/>
        <v/>
      </c>
      <c r="DS217" s="66" t="str">
        <f t="shared" si="3439"/>
        <v/>
      </c>
      <c r="DT217" s="66" t="str">
        <f t="shared" si="3440"/>
        <v/>
      </c>
      <c r="DU217" s="66" t="str">
        <f t="shared" si="3441"/>
        <v/>
      </c>
      <c r="DV217" s="66" t="str">
        <f t="shared" si="3442"/>
        <v/>
      </c>
      <c r="DW217" s="66" t="str">
        <f t="shared" si="3443"/>
        <v/>
      </c>
      <c r="DX217" s="66" t="str">
        <f t="shared" si="3444"/>
        <v/>
      </c>
      <c r="DY217" s="66" t="str">
        <f t="shared" si="3445"/>
        <v/>
      </c>
      <c r="DZ217" s="66" t="str">
        <f t="shared" si="3446"/>
        <v/>
      </c>
      <c r="EA217" s="66" t="str">
        <f t="shared" si="3447"/>
        <v/>
      </c>
      <c r="EB217" s="66" t="str">
        <f t="shared" si="3448"/>
        <v/>
      </c>
      <c r="EC217" s="66" t="str">
        <f t="shared" si="3449"/>
        <v/>
      </c>
      <c r="ED217" s="66" t="str">
        <f t="shared" si="3450"/>
        <v/>
      </c>
      <c r="EE217" s="66" t="str">
        <f t="shared" si="3451"/>
        <v/>
      </c>
      <c r="EF217" s="66" t="str">
        <f t="shared" si="3452"/>
        <v/>
      </c>
      <c r="EG217" s="66" t="str">
        <f t="shared" si="3453"/>
        <v/>
      </c>
      <c r="EH217" s="66" t="str">
        <f t="shared" si="3454"/>
        <v/>
      </c>
      <c r="EI217" s="66" t="str">
        <f t="shared" si="3455"/>
        <v/>
      </c>
      <c r="EJ217" s="66" t="str">
        <f t="shared" si="3456"/>
        <v/>
      </c>
      <c r="EK217" s="66" t="str">
        <f t="shared" si="3457"/>
        <v/>
      </c>
      <c r="EL217" s="66" t="str">
        <f t="shared" si="3458"/>
        <v/>
      </c>
      <c r="EM217" s="66" t="str">
        <f t="shared" si="3459"/>
        <v/>
      </c>
      <c r="EN217" s="66" t="str">
        <f t="shared" si="3460"/>
        <v/>
      </c>
      <c r="EO217" s="66" t="str">
        <f t="shared" si="3461"/>
        <v/>
      </c>
      <c r="EP217" s="66" t="str">
        <f t="shared" si="3462"/>
        <v/>
      </c>
      <c r="EQ217" s="66" t="str">
        <f t="shared" si="3463"/>
        <v/>
      </c>
      <c r="ER217" s="66" t="str">
        <f t="shared" si="3464"/>
        <v/>
      </c>
      <c r="ES217" s="66" t="str">
        <f t="shared" si="3465"/>
        <v/>
      </c>
      <c r="ET217" s="66" t="str">
        <f t="shared" si="3466"/>
        <v/>
      </c>
      <c r="EU217" s="66" t="str">
        <f t="shared" si="3467"/>
        <v/>
      </c>
      <c r="EV217" s="66" t="str">
        <f t="shared" si="3468"/>
        <v/>
      </c>
      <c r="EW217" s="66" t="str">
        <f t="shared" si="3469"/>
        <v/>
      </c>
      <c r="EX217" s="66" t="str">
        <f t="shared" si="3470"/>
        <v/>
      </c>
      <c r="EY217" s="66" t="str">
        <f t="shared" si="3471"/>
        <v/>
      </c>
      <c r="EZ217" s="66" t="str">
        <f t="shared" si="3472"/>
        <v/>
      </c>
      <c r="FA217" s="66" t="str">
        <f t="shared" si="3473"/>
        <v/>
      </c>
      <c r="FB217" s="66" t="str">
        <f t="shared" si="3474"/>
        <v/>
      </c>
      <c r="FC217" s="66" t="str">
        <f t="shared" si="3475"/>
        <v/>
      </c>
      <c r="FD217" s="66" t="str">
        <f t="shared" si="3476"/>
        <v/>
      </c>
      <c r="FE217" s="66" t="str">
        <f t="shared" si="3477"/>
        <v/>
      </c>
      <c r="FF217" s="66" t="str">
        <f t="shared" si="3478"/>
        <v/>
      </c>
      <c r="FG217" s="66" t="str">
        <f t="shared" si="3479"/>
        <v/>
      </c>
      <c r="FH217" s="66" t="str">
        <f t="shared" si="3480"/>
        <v/>
      </c>
      <c r="FI217" s="66" t="str">
        <f t="shared" si="3481"/>
        <v/>
      </c>
      <c r="FJ217" s="66" t="str">
        <f t="shared" si="3482"/>
        <v/>
      </c>
      <c r="FK217" s="66" t="str">
        <f t="shared" si="3483"/>
        <v/>
      </c>
      <c r="FL217" s="66" t="str">
        <f t="shared" si="3484"/>
        <v/>
      </c>
      <c r="FM217" s="66" t="str">
        <f t="shared" si="3485"/>
        <v/>
      </c>
      <c r="FN217" s="66" t="str">
        <f t="shared" si="3486"/>
        <v/>
      </c>
      <c r="FO217" s="66" t="str">
        <f t="shared" si="3487"/>
        <v/>
      </c>
      <c r="FP217" s="66" t="str">
        <f t="shared" si="3488"/>
        <v/>
      </c>
      <c r="FQ217" s="66" t="str">
        <f t="shared" si="3489"/>
        <v/>
      </c>
      <c r="FR217" s="66" t="str">
        <f t="shared" si="3490"/>
        <v/>
      </c>
      <c r="FS217" s="66" t="str">
        <f t="shared" si="3491"/>
        <v/>
      </c>
    </row>
    <row r="218" spans="1:175" ht="16.5">
      <c r="A218" s="110"/>
      <c r="B218" s="27" t="s">
        <v>754</v>
      </c>
      <c r="C218" s="29" t="s">
        <v>748</v>
      </c>
      <c r="T218" s="116"/>
      <c r="U218" s="77"/>
      <c r="CN218" s="36" t="str">
        <f t="shared" si="3416"/>
        <v>InitUnitState('IF07',,,,,,,,,,)</v>
      </c>
      <c r="CO218" s="36" t="str">
        <f t="shared" si="3417"/>
        <v>InitUnitNormal('IF07',,,,,,,,,,)</v>
      </c>
      <c r="CP218" s="36" t="str">
        <f t="shared" si="3418"/>
        <v>InitUnitMagic('IF07',,,,,,,,,,)</v>
      </c>
      <c r="CQ218" s="36" t="str">
        <f t="shared" si="3419"/>
        <v>InitUnitAdd('IF07',,,,,,,,,,)</v>
      </c>
      <c r="CR218" s="36" t="str">
        <f t="shared" si="3420"/>
        <v>InitEquipData('IF07',,"",,,,,'','','','','','',"")</v>
      </c>
      <c r="CU218" s="88" t="str">
        <f t="shared" si="3421"/>
        <v>|n</v>
      </c>
      <c r="CW218" s="33"/>
      <c r="CX218" s="33"/>
      <c r="CY218" s="33"/>
      <c r="CZ218" s="33"/>
      <c r="DA218" s="33"/>
      <c r="DB218" s="66" t="str">
        <f t="shared" si="3422"/>
        <v/>
      </c>
      <c r="DC218" s="66" t="str">
        <f t="shared" si="3423"/>
        <v/>
      </c>
      <c r="DD218" s="66" t="str">
        <f t="shared" si="3424"/>
        <v/>
      </c>
      <c r="DE218" s="66" t="str">
        <f t="shared" si="3425"/>
        <v/>
      </c>
      <c r="DF218" s="66" t="str">
        <f t="shared" si="3426"/>
        <v/>
      </c>
      <c r="DG218" s="66" t="str">
        <f t="shared" si="3427"/>
        <v/>
      </c>
      <c r="DH218" s="66" t="str">
        <f t="shared" si="3428"/>
        <v/>
      </c>
      <c r="DI218" s="66" t="str">
        <f t="shared" si="3429"/>
        <v/>
      </c>
      <c r="DJ218" s="66" t="str">
        <f t="shared" si="3430"/>
        <v/>
      </c>
      <c r="DK218" s="66" t="str">
        <f t="shared" si="3431"/>
        <v/>
      </c>
      <c r="DL218" s="66" t="str">
        <f t="shared" si="3432"/>
        <v/>
      </c>
      <c r="DM218" s="66" t="str">
        <f t="shared" si="3433"/>
        <v/>
      </c>
      <c r="DN218" s="66" t="str">
        <f t="shared" si="3434"/>
        <v/>
      </c>
      <c r="DO218" s="66" t="str">
        <f t="shared" si="3435"/>
        <v/>
      </c>
      <c r="DP218" s="66" t="str">
        <f t="shared" si="3436"/>
        <v/>
      </c>
      <c r="DQ218" s="66" t="str">
        <f t="shared" si="3437"/>
        <v/>
      </c>
      <c r="DR218" s="66" t="str">
        <f t="shared" si="3438"/>
        <v/>
      </c>
      <c r="DS218" s="66" t="str">
        <f t="shared" si="3439"/>
        <v/>
      </c>
      <c r="DT218" s="66" t="str">
        <f t="shared" si="3440"/>
        <v/>
      </c>
      <c r="DU218" s="66" t="str">
        <f t="shared" si="3441"/>
        <v/>
      </c>
      <c r="DV218" s="66" t="str">
        <f t="shared" si="3442"/>
        <v/>
      </c>
      <c r="DW218" s="66" t="str">
        <f t="shared" si="3443"/>
        <v/>
      </c>
      <c r="DX218" s="66" t="str">
        <f t="shared" si="3444"/>
        <v/>
      </c>
      <c r="DY218" s="66" t="str">
        <f t="shared" si="3445"/>
        <v/>
      </c>
      <c r="DZ218" s="66" t="str">
        <f t="shared" si="3446"/>
        <v/>
      </c>
      <c r="EA218" s="66" t="str">
        <f t="shared" si="3447"/>
        <v/>
      </c>
      <c r="EB218" s="66" t="str">
        <f t="shared" si="3448"/>
        <v/>
      </c>
      <c r="EC218" s="66" t="str">
        <f t="shared" si="3449"/>
        <v/>
      </c>
      <c r="ED218" s="66" t="str">
        <f t="shared" si="3450"/>
        <v/>
      </c>
      <c r="EE218" s="66" t="str">
        <f t="shared" si="3451"/>
        <v/>
      </c>
      <c r="EF218" s="66" t="str">
        <f t="shared" si="3452"/>
        <v/>
      </c>
      <c r="EG218" s="66" t="str">
        <f t="shared" si="3453"/>
        <v/>
      </c>
      <c r="EH218" s="66" t="str">
        <f t="shared" si="3454"/>
        <v/>
      </c>
      <c r="EI218" s="66" t="str">
        <f t="shared" si="3455"/>
        <v/>
      </c>
      <c r="EJ218" s="66" t="str">
        <f t="shared" si="3456"/>
        <v/>
      </c>
      <c r="EK218" s="66" t="str">
        <f t="shared" si="3457"/>
        <v/>
      </c>
      <c r="EL218" s="66" t="str">
        <f t="shared" si="3458"/>
        <v/>
      </c>
      <c r="EM218" s="66" t="str">
        <f t="shared" si="3459"/>
        <v/>
      </c>
      <c r="EN218" s="66" t="str">
        <f t="shared" si="3460"/>
        <v/>
      </c>
      <c r="EO218" s="66" t="str">
        <f t="shared" si="3461"/>
        <v/>
      </c>
      <c r="EP218" s="66" t="str">
        <f t="shared" si="3462"/>
        <v/>
      </c>
      <c r="EQ218" s="66" t="str">
        <f t="shared" si="3463"/>
        <v/>
      </c>
      <c r="ER218" s="66" t="str">
        <f t="shared" si="3464"/>
        <v/>
      </c>
      <c r="ES218" s="66" t="str">
        <f t="shared" si="3465"/>
        <v/>
      </c>
      <c r="ET218" s="66" t="str">
        <f t="shared" si="3466"/>
        <v/>
      </c>
      <c r="EU218" s="66" t="str">
        <f t="shared" si="3467"/>
        <v/>
      </c>
      <c r="EV218" s="66" t="str">
        <f t="shared" si="3468"/>
        <v/>
      </c>
      <c r="EW218" s="66" t="str">
        <f t="shared" si="3469"/>
        <v/>
      </c>
      <c r="EX218" s="66" t="str">
        <f t="shared" si="3470"/>
        <v/>
      </c>
      <c r="EY218" s="66" t="str">
        <f t="shared" si="3471"/>
        <v/>
      </c>
      <c r="EZ218" s="66" t="str">
        <f t="shared" si="3472"/>
        <v/>
      </c>
      <c r="FA218" s="66" t="str">
        <f t="shared" si="3473"/>
        <v/>
      </c>
      <c r="FB218" s="66" t="str">
        <f t="shared" si="3474"/>
        <v/>
      </c>
      <c r="FC218" s="66" t="str">
        <f t="shared" si="3475"/>
        <v/>
      </c>
      <c r="FD218" s="66" t="str">
        <f t="shared" si="3476"/>
        <v/>
      </c>
      <c r="FE218" s="66" t="str">
        <f t="shared" si="3477"/>
        <v/>
      </c>
      <c r="FF218" s="66" t="str">
        <f t="shared" si="3478"/>
        <v/>
      </c>
      <c r="FG218" s="66" t="str">
        <f t="shared" si="3479"/>
        <v/>
      </c>
      <c r="FH218" s="66" t="str">
        <f t="shared" si="3480"/>
        <v/>
      </c>
      <c r="FI218" s="66" t="str">
        <f t="shared" si="3481"/>
        <v/>
      </c>
      <c r="FJ218" s="66" t="str">
        <f t="shared" si="3482"/>
        <v/>
      </c>
      <c r="FK218" s="66" t="str">
        <f t="shared" si="3483"/>
        <v/>
      </c>
      <c r="FL218" s="66" t="str">
        <f t="shared" si="3484"/>
        <v/>
      </c>
      <c r="FM218" s="66" t="str">
        <f t="shared" si="3485"/>
        <v/>
      </c>
      <c r="FN218" s="66" t="str">
        <f t="shared" si="3486"/>
        <v/>
      </c>
      <c r="FO218" s="66" t="str">
        <f t="shared" si="3487"/>
        <v/>
      </c>
      <c r="FP218" s="66" t="str">
        <f t="shared" si="3488"/>
        <v/>
      </c>
      <c r="FQ218" s="66" t="str">
        <f t="shared" si="3489"/>
        <v/>
      </c>
      <c r="FR218" s="66" t="str">
        <f t="shared" si="3490"/>
        <v/>
      </c>
      <c r="FS218" s="66" t="str">
        <f t="shared" si="3491"/>
        <v/>
      </c>
    </row>
    <row r="219" spans="1:175" ht="16.5">
      <c r="A219" s="110"/>
      <c r="B219" s="27" t="s">
        <v>755</v>
      </c>
      <c r="C219" s="29" t="s">
        <v>748</v>
      </c>
      <c r="T219" s="116"/>
      <c r="U219" s="77"/>
      <c r="CN219" s="36" t="str">
        <f t="shared" si="3416"/>
        <v>InitUnitState('IF08',,,,,,,,,,)</v>
      </c>
      <c r="CO219" s="36" t="str">
        <f t="shared" si="3417"/>
        <v>InitUnitNormal('IF08',,,,,,,,,,)</v>
      </c>
      <c r="CP219" s="36" t="str">
        <f t="shared" si="3418"/>
        <v>InitUnitMagic('IF08',,,,,,,,,,)</v>
      </c>
      <c r="CQ219" s="36" t="str">
        <f t="shared" si="3419"/>
        <v>InitUnitAdd('IF08',,,,,,,,,,)</v>
      </c>
      <c r="CR219" s="36" t="str">
        <f t="shared" si="3420"/>
        <v>InitEquipData('IF08',,"",,,,,'','','','','','',"")</v>
      </c>
      <c r="CU219" s="88" t="str">
        <f t="shared" si="3421"/>
        <v>|n</v>
      </c>
      <c r="CW219" s="33"/>
      <c r="CX219" s="33"/>
      <c r="CY219" s="33"/>
      <c r="CZ219" s="33"/>
      <c r="DA219" s="33"/>
      <c r="DB219" s="66" t="str">
        <f t="shared" si="3422"/>
        <v/>
      </c>
      <c r="DC219" s="66" t="str">
        <f t="shared" si="3423"/>
        <v/>
      </c>
      <c r="DD219" s="66" t="str">
        <f t="shared" si="3424"/>
        <v/>
      </c>
      <c r="DE219" s="66" t="str">
        <f t="shared" si="3425"/>
        <v/>
      </c>
      <c r="DF219" s="66" t="str">
        <f t="shared" si="3426"/>
        <v/>
      </c>
      <c r="DG219" s="66" t="str">
        <f t="shared" si="3427"/>
        <v/>
      </c>
      <c r="DH219" s="66" t="str">
        <f t="shared" si="3428"/>
        <v/>
      </c>
      <c r="DI219" s="66" t="str">
        <f t="shared" si="3429"/>
        <v/>
      </c>
      <c r="DJ219" s="66" t="str">
        <f t="shared" si="3430"/>
        <v/>
      </c>
      <c r="DK219" s="66" t="str">
        <f t="shared" si="3431"/>
        <v/>
      </c>
      <c r="DL219" s="66" t="str">
        <f t="shared" si="3432"/>
        <v/>
      </c>
      <c r="DM219" s="66" t="str">
        <f t="shared" si="3433"/>
        <v/>
      </c>
      <c r="DN219" s="66" t="str">
        <f t="shared" si="3434"/>
        <v/>
      </c>
      <c r="DO219" s="66" t="str">
        <f t="shared" si="3435"/>
        <v/>
      </c>
      <c r="DP219" s="66" t="str">
        <f t="shared" si="3436"/>
        <v/>
      </c>
      <c r="DQ219" s="66" t="str">
        <f t="shared" si="3437"/>
        <v/>
      </c>
      <c r="DR219" s="66" t="str">
        <f t="shared" si="3438"/>
        <v/>
      </c>
      <c r="DS219" s="66" t="str">
        <f t="shared" si="3439"/>
        <v/>
      </c>
      <c r="DT219" s="66" t="str">
        <f t="shared" si="3440"/>
        <v/>
      </c>
      <c r="DU219" s="66" t="str">
        <f t="shared" si="3441"/>
        <v/>
      </c>
      <c r="DV219" s="66" t="str">
        <f t="shared" si="3442"/>
        <v/>
      </c>
      <c r="DW219" s="66" t="str">
        <f t="shared" si="3443"/>
        <v/>
      </c>
      <c r="DX219" s="66" t="str">
        <f t="shared" si="3444"/>
        <v/>
      </c>
      <c r="DY219" s="66" t="str">
        <f t="shared" si="3445"/>
        <v/>
      </c>
      <c r="DZ219" s="66" t="str">
        <f t="shared" si="3446"/>
        <v/>
      </c>
      <c r="EA219" s="66" t="str">
        <f t="shared" si="3447"/>
        <v/>
      </c>
      <c r="EB219" s="66" t="str">
        <f t="shared" si="3448"/>
        <v/>
      </c>
      <c r="EC219" s="66" t="str">
        <f t="shared" si="3449"/>
        <v/>
      </c>
      <c r="ED219" s="66" t="str">
        <f t="shared" si="3450"/>
        <v/>
      </c>
      <c r="EE219" s="66" t="str">
        <f t="shared" si="3451"/>
        <v/>
      </c>
      <c r="EF219" s="66" t="str">
        <f t="shared" si="3452"/>
        <v/>
      </c>
      <c r="EG219" s="66" t="str">
        <f t="shared" si="3453"/>
        <v/>
      </c>
      <c r="EH219" s="66" t="str">
        <f t="shared" si="3454"/>
        <v/>
      </c>
      <c r="EI219" s="66" t="str">
        <f t="shared" si="3455"/>
        <v/>
      </c>
      <c r="EJ219" s="66" t="str">
        <f t="shared" si="3456"/>
        <v/>
      </c>
      <c r="EK219" s="66" t="str">
        <f t="shared" si="3457"/>
        <v/>
      </c>
      <c r="EL219" s="66" t="str">
        <f t="shared" si="3458"/>
        <v/>
      </c>
      <c r="EM219" s="66" t="str">
        <f t="shared" si="3459"/>
        <v/>
      </c>
      <c r="EN219" s="66" t="str">
        <f t="shared" si="3460"/>
        <v/>
      </c>
      <c r="EO219" s="66" t="str">
        <f t="shared" si="3461"/>
        <v/>
      </c>
      <c r="EP219" s="66" t="str">
        <f t="shared" si="3462"/>
        <v/>
      </c>
      <c r="EQ219" s="66" t="str">
        <f t="shared" si="3463"/>
        <v/>
      </c>
      <c r="ER219" s="66" t="str">
        <f t="shared" si="3464"/>
        <v/>
      </c>
      <c r="ES219" s="66" t="str">
        <f t="shared" si="3465"/>
        <v/>
      </c>
      <c r="ET219" s="66" t="str">
        <f t="shared" si="3466"/>
        <v/>
      </c>
      <c r="EU219" s="66" t="str">
        <f t="shared" si="3467"/>
        <v/>
      </c>
      <c r="EV219" s="66" t="str">
        <f t="shared" si="3468"/>
        <v/>
      </c>
      <c r="EW219" s="66" t="str">
        <f t="shared" si="3469"/>
        <v/>
      </c>
      <c r="EX219" s="66" t="str">
        <f t="shared" si="3470"/>
        <v/>
      </c>
      <c r="EY219" s="66" t="str">
        <f t="shared" si="3471"/>
        <v/>
      </c>
      <c r="EZ219" s="66" t="str">
        <f t="shared" si="3472"/>
        <v/>
      </c>
      <c r="FA219" s="66" t="str">
        <f t="shared" si="3473"/>
        <v/>
      </c>
      <c r="FB219" s="66" t="str">
        <f t="shared" si="3474"/>
        <v/>
      </c>
      <c r="FC219" s="66" t="str">
        <f t="shared" si="3475"/>
        <v/>
      </c>
      <c r="FD219" s="66" t="str">
        <f t="shared" si="3476"/>
        <v/>
      </c>
      <c r="FE219" s="66" t="str">
        <f t="shared" si="3477"/>
        <v/>
      </c>
      <c r="FF219" s="66" t="str">
        <f t="shared" si="3478"/>
        <v/>
      </c>
      <c r="FG219" s="66" t="str">
        <f t="shared" si="3479"/>
        <v/>
      </c>
      <c r="FH219" s="66" t="str">
        <f t="shared" si="3480"/>
        <v/>
      </c>
      <c r="FI219" s="66" t="str">
        <f t="shared" si="3481"/>
        <v/>
      </c>
      <c r="FJ219" s="66" t="str">
        <f t="shared" si="3482"/>
        <v/>
      </c>
      <c r="FK219" s="66" t="str">
        <f t="shared" si="3483"/>
        <v/>
      </c>
      <c r="FL219" s="66" t="str">
        <f t="shared" si="3484"/>
        <v/>
      </c>
      <c r="FM219" s="66" t="str">
        <f t="shared" si="3485"/>
        <v/>
      </c>
      <c r="FN219" s="66" t="str">
        <f t="shared" si="3486"/>
        <v/>
      </c>
      <c r="FO219" s="66" t="str">
        <f t="shared" si="3487"/>
        <v/>
      </c>
      <c r="FP219" s="66" t="str">
        <f t="shared" si="3488"/>
        <v/>
      </c>
      <c r="FQ219" s="66" t="str">
        <f t="shared" si="3489"/>
        <v/>
      </c>
      <c r="FR219" s="66" t="str">
        <f t="shared" si="3490"/>
        <v/>
      </c>
      <c r="FS219" s="66" t="str">
        <f t="shared" si="3491"/>
        <v/>
      </c>
    </row>
    <row r="220" spans="1:175" ht="16.5">
      <c r="A220" s="110"/>
      <c r="B220" s="27" t="s">
        <v>756</v>
      </c>
      <c r="C220" s="29" t="s">
        <v>748</v>
      </c>
      <c r="T220" s="116"/>
      <c r="U220" s="77"/>
      <c r="CN220" s="36" t="str">
        <f t="shared" si="3416"/>
        <v>InitUnitState('IF09',,,,,,,,,,)</v>
      </c>
      <c r="CO220" s="36" t="str">
        <f t="shared" si="3417"/>
        <v>InitUnitNormal('IF09',,,,,,,,,,)</v>
      </c>
      <c r="CP220" s="36" t="str">
        <f t="shared" si="3418"/>
        <v>InitUnitMagic('IF09',,,,,,,,,,)</v>
      </c>
      <c r="CQ220" s="36" t="str">
        <f t="shared" si="3419"/>
        <v>InitUnitAdd('IF09',,,,,,,,,,)</v>
      </c>
      <c r="CR220" s="36" t="str">
        <f t="shared" si="3420"/>
        <v>InitEquipData('IF09',,"",,,,,'','','','','','',"")</v>
      </c>
      <c r="CU220" s="88" t="str">
        <f t="shared" si="3421"/>
        <v>|n</v>
      </c>
      <c r="CW220" s="33"/>
      <c r="CX220" s="33"/>
      <c r="CY220" s="33"/>
      <c r="CZ220" s="33"/>
      <c r="DA220" s="33"/>
      <c r="DB220" s="66" t="str">
        <f t="shared" si="3422"/>
        <v/>
      </c>
      <c r="DC220" s="66" t="str">
        <f t="shared" si="3423"/>
        <v/>
      </c>
      <c r="DD220" s="66" t="str">
        <f t="shared" si="3424"/>
        <v/>
      </c>
      <c r="DE220" s="66" t="str">
        <f t="shared" si="3425"/>
        <v/>
      </c>
      <c r="DF220" s="66" t="str">
        <f t="shared" si="3426"/>
        <v/>
      </c>
      <c r="DG220" s="66" t="str">
        <f t="shared" si="3427"/>
        <v/>
      </c>
      <c r="DH220" s="66" t="str">
        <f t="shared" si="3428"/>
        <v/>
      </c>
      <c r="DI220" s="66" t="str">
        <f t="shared" si="3429"/>
        <v/>
      </c>
      <c r="DJ220" s="66" t="str">
        <f t="shared" si="3430"/>
        <v/>
      </c>
      <c r="DK220" s="66" t="str">
        <f t="shared" si="3431"/>
        <v/>
      </c>
      <c r="DL220" s="66" t="str">
        <f t="shared" si="3432"/>
        <v/>
      </c>
      <c r="DM220" s="66" t="str">
        <f t="shared" si="3433"/>
        <v/>
      </c>
      <c r="DN220" s="66" t="str">
        <f t="shared" si="3434"/>
        <v/>
      </c>
      <c r="DO220" s="66" t="str">
        <f t="shared" si="3435"/>
        <v/>
      </c>
      <c r="DP220" s="66" t="str">
        <f t="shared" si="3436"/>
        <v/>
      </c>
      <c r="DQ220" s="66" t="str">
        <f t="shared" si="3437"/>
        <v/>
      </c>
      <c r="DR220" s="66" t="str">
        <f t="shared" si="3438"/>
        <v/>
      </c>
      <c r="DS220" s="66" t="str">
        <f t="shared" si="3439"/>
        <v/>
      </c>
      <c r="DT220" s="66" t="str">
        <f t="shared" si="3440"/>
        <v/>
      </c>
      <c r="DU220" s="66" t="str">
        <f t="shared" si="3441"/>
        <v/>
      </c>
      <c r="DV220" s="66" t="str">
        <f t="shared" si="3442"/>
        <v/>
      </c>
      <c r="DW220" s="66" t="str">
        <f t="shared" si="3443"/>
        <v/>
      </c>
      <c r="DX220" s="66" t="str">
        <f t="shared" si="3444"/>
        <v/>
      </c>
      <c r="DY220" s="66" t="str">
        <f t="shared" si="3445"/>
        <v/>
      </c>
      <c r="DZ220" s="66" t="str">
        <f t="shared" si="3446"/>
        <v/>
      </c>
      <c r="EA220" s="66" t="str">
        <f t="shared" si="3447"/>
        <v/>
      </c>
      <c r="EB220" s="66" t="str">
        <f t="shared" si="3448"/>
        <v/>
      </c>
      <c r="EC220" s="66" t="str">
        <f t="shared" si="3449"/>
        <v/>
      </c>
      <c r="ED220" s="66" t="str">
        <f t="shared" si="3450"/>
        <v/>
      </c>
      <c r="EE220" s="66" t="str">
        <f t="shared" si="3451"/>
        <v/>
      </c>
      <c r="EF220" s="66" t="str">
        <f t="shared" si="3452"/>
        <v/>
      </c>
      <c r="EG220" s="66" t="str">
        <f t="shared" si="3453"/>
        <v/>
      </c>
      <c r="EH220" s="66" t="str">
        <f t="shared" si="3454"/>
        <v/>
      </c>
      <c r="EI220" s="66" t="str">
        <f t="shared" si="3455"/>
        <v/>
      </c>
      <c r="EJ220" s="66" t="str">
        <f t="shared" si="3456"/>
        <v/>
      </c>
      <c r="EK220" s="66" t="str">
        <f t="shared" si="3457"/>
        <v/>
      </c>
      <c r="EL220" s="66" t="str">
        <f t="shared" si="3458"/>
        <v/>
      </c>
      <c r="EM220" s="66" t="str">
        <f t="shared" si="3459"/>
        <v/>
      </c>
      <c r="EN220" s="66" t="str">
        <f t="shared" si="3460"/>
        <v/>
      </c>
      <c r="EO220" s="66" t="str">
        <f t="shared" si="3461"/>
        <v/>
      </c>
      <c r="EP220" s="66" t="str">
        <f t="shared" si="3462"/>
        <v/>
      </c>
      <c r="EQ220" s="66" t="str">
        <f t="shared" si="3463"/>
        <v/>
      </c>
      <c r="ER220" s="66" t="str">
        <f t="shared" si="3464"/>
        <v/>
      </c>
      <c r="ES220" s="66" t="str">
        <f t="shared" si="3465"/>
        <v/>
      </c>
      <c r="ET220" s="66" t="str">
        <f t="shared" si="3466"/>
        <v/>
      </c>
      <c r="EU220" s="66" t="str">
        <f t="shared" si="3467"/>
        <v/>
      </c>
      <c r="EV220" s="66" t="str">
        <f t="shared" si="3468"/>
        <v/>
      </c>
      <c r="EW220" s="66" t="str">
        <f t="shared" si="3469"/>
        <v/>
      </c>
      <c r="EX220" s="66" t="str">
        <f t="shared" si="3470"/>
        <v/>
      </c>
      <c r="EY220" s="66" t="str">
        <f t="shared" si="3471"/>
        <v/>
      </c>
      <c r="EZ220" s="66" t="str">
        <f t="shared" si="3472"/>
        <v/>
      </c>
      <c r="FA220" s="66" t="str">
        <f t="shared" si="3473"/>
        <v/>
      </c>
      <c r="FB220" s="66" t="str">
        <f t="shared" si="3474"/>
        <v/>
      </c>
      <c r="FC220" s="66" t="str">
        <f t="shared" si="3475"/>
        <v/>
      </c>
      <c r="FD220" s="66" t="str">
        <f t="shared" si="3476"/>
        <v/>
      </c>
      <c r="FE220" s="66" t="str">
        <f t="shared" si="3477"/>
        <v/>
      </c>
      <c r="FF220" s="66" t="str">
        <f t="shared" si="3478"/>
        <v/>
      </c>
      <c r="FG220" s="66" t="str">
        <f t="shared" si="3479"/>
        <v/>
      </c>
      <c r="FH220" s="66" t="str">
        <f t="shared" si="3480"/>
        <v/>
      </c>
      <c r="FI220" s="66" t="str">
        <f t="shared" si="3481"/>
        <v/>
      </c>
      <c r="FJ220" s="66" t="str">
        <f t="shared" si="3482"/>
        <v/>
      </c>
      <c r="FK220" s="66" t="str">
        <f t="shared" si="3483"/>
        <v/>
      </c>
      <c r="FL220" s="66" t="str">
        <f t="shared" si="3484"/>
        <v/>
      </c>
      <c r="FM220" s="66" t="str">
        <f t="shared" si="3485"/>
        <v/>
      </c>
      <c r="FN220" s="66" t="str">
        <f t="shared" si="3486"/>
        <v/>
      </c>
      <c r="FO220" s="66" t="str">
        <f t="shared" si="3487"/>
        <v/>
      </c>
      <c r="FP220" s="66" t="str">
        <f t="shared" si="3488"/>
        <v/>
      </c>
      <c r="FQ220" s="66" t="str">
        <f t="shared" si="3489"/>
        <v/>
      </c>
      <c r="FR220" s="66" t="str">
        <f t="shared" si="3490"/>
        <v/>
      </c>
      <c r="FS220" s="66" t="str">
        <f t="shared" si="3491"/>
        <v/>
      </c>
    </row>
    <row r="221" spans="1:175" ht="16.5">
      <c r="A221" s="110"/>
      <c r="B221" s="27" t="s">
        <v>757</v>
      </c>
      <c r="C221" s="29" t="s">
        <v>748</v>
      </c>
      <c r="T221" s="116"/>
      <c r="U221" s="77"/>
      <c r="CN221" s="36" t="str">
        <f t="shared" si="3416"/>
        <v>InitUnitState('IF10',,,,,,,,,,)</v>
      </c>
      <c r="CO221" s="36" t="str">
        <f t="shared" si="3417"/>
        <v>InitUnitNormal('IF10',,,,,,,,,,)</v>
      </c>
      <c r="CP221" s="36" t="str">
        <f t="shared" si="3418"/>
        <v>InitUnitMagic('IF10',,,,,,,,,,)</v>
      </c>
      <c r="CQ221" s="36" t="str">
        <f t="shared" si="3419"/>
        <v>InitUnitAdd('IF10',,,,,,,,,,)</v>
      </c>
      <c r="CR221" s="36" t="str">
        <f t="shared" si="3420"/>
        <v>InitEquipData('IF10',,"",,,,,'','','','','','',"")</v>
      </c>
      <c r="CU221" s="88" t="str">
        <f t="shared" si="3421"/>
        <v>|n</v>
      </c>
      <c r="CW221" s="33"/>
      <c r="CX221" s="33"/>
      <c r="CY221" s="33"/>
      <c r="CZ221" s="33"/>
      <c r="DA221" s="33"/>
      <c r="DB221" s="66" t="str">
        <f t="shared" si="3422"/>
        <v/>
      </c>
      <c r="DC221" s="66" t="str">
        <f t="shared" si="3423"/>
        <v/>
      </c>
      <c r="DD221" s="66" t="str">
        <f t="shared" si="3424"/>
        <v/>
      </c>
      <c r="DE221" s="66" t="str">
        <f t="shared" si="3425"/>
        <v/>
      </c>
      <c r="DF221" s="66" t="str">
        <f t="shared" si="3426"/>
        <v/>
      </c>
      <c r="DG221" s="66" t="str">
        <f t="shared" si="3427"/>
        <v/>
      </c>
      <c r="DH221" s="66" t="str">
        <f t="shared" si="3428"/>
        <v/>
      </c>
      <c r="DI221" s="66" t="str">
        <f t="shared" si="3429"/>
        <v/>
      </c>
      <c r="DJ221" s="66" t="str">
        <f t="shared" si="3430"/>
        <v/>
      </c>
      <c r="DK221" s="66" t="str">
        <f t="shared" si="3431"/>
        <v/>
      </c>
      <c r="DL221" s="66" t="str">
        <f t="shared" si="3432"/>
        <v/>
      </c>
      <c r="DM221" s="66" t="str">
        <f t="shared" si="3433"/>
        <v/>
      </c>
      <c r="DN221" s="66" t="str">
        <f t="shared" si="3434"/>
        <v/>
      </c>
      <c r="DO221" s="66" t="str">
        <f t="shared" si="3435"/>
        <v/>
      </c>
      <c r="DP221" s="66" t="str">
        <f t="shared" si="3436"/>
        <v/>
      </c>
      <c r="DQ221" s="66" t="str">
        <f t="shared" si="3437"/>
        <v/>
      </c>
      <c r="DR221" s="66" t="str">
        <f t="shared" si="3438"/>
        <v/>
      </c>
      <c r="DS221" s="66" t="str">
        <f t="shared" si="3439"/>
        <v/>
      </c>
      <c r="DT221" s="66" t="str">
        <f t="shared" si="3440"/>
        <v/>
      </c>
      <c r="DU221" s="66" t="str">
        <f t="shared" si="3441"/>
        <v/>
      </c>
      <c r="DV221" s="66" t="str">
        <f t="shared" si="3442"/>
        <v/>
      </c>
      <c r="DW221" s="66" t="str">
        <f t="shared" si="3443"/>
        <v/>
      </c>
      <c r="DX221" s="66" t="str">
        <f t="shared" si="3444"/>
        <v/>
      </c>
      <c r="DY221" s="66" t="str">
        <f t="shared" si="3445"/>
        <v/>
      </c>
      <c r="DZ221" s="66" t="str">
        <f t="shared" si="3446"/>
        <v/>
      </c>
      <c r="EA221" s="66" t="str">
        <f t="shared" si="3447"/>
        <v/>
      </c>
      <c r="EB221" s="66" t="str">
        <f t="shared" si="3448"/>
        <v/>
      </c>
      <c r="EC221" s="66" t="str">
        <f t="shared" si="3449"/>
        <v/>
      </c>
      <c r="ED221" s="66" t="str">
        <f t="shared" si="3450"/>
        <v/>
      </c>
      <c r="EE221" s="66" t="str">
        <f t="shared" si="3451"/>
        <v/>
      </c>
      <c r="EF221" s="66" t="str">
        <f t="shared" si="3452"/>
        <v/>
      </c>
      <c r="EG221" s="66" t="str">
        <f t="shared" si="3453"/>
        <v/>
      </c>
      <c r="EH221" s="66" t="str">
        <f t="shared" si="3454"/>
        <v/>
      </c>
      <c r="EI221" s="66" t="str">
        <f t="shared" si="3455"/>
        <v/>
      </c>
      <c r="EJ221" s="66" t="str">
        <f t="shared" si="3456"/>
        <v/>
      </c>
      <c r="EK221" s="66" t="str">
        <f t="shared" si="3457"/>
        <v/>
      </c>
      <c r="EL221" s="66" t="str">
        <f t="shared" si="3458"/>
        <v/>
      </c>
      <c r="EM221" s="66" t="str">
        <f t="shared" si="3459"/>
        <v/>
      </c>
      <c r="EN221" s="66" t="str">
        <f t="shared" si="3460"/>
        <v/>
      </c>
      <c r="EO221" s="66" t="str">
        <f t="shared" si="3461"/>
        <v/>
      </c>
      <c r="EP221" s="66" t="str">
        <f t="shared" si="3462"/>
        <v/>
      </c>
      <c r="EQ221" s="66" t="str">
        <f t="shared" si="3463"/>
        <v/>
      </c>
      <c r="ER221" s="66" t="str">
        <f t="shared" si="3464"/>
        <v/>
      </c>
      <c r="ES221" s="66" t="str">
        <f t="shared" si="3465"/>
        <v/>
      </c>
      <c r="ET221" s="66" t="str">
        <f t="shared" si="3466"/>
        <v/>
      </c>
      <c r="EU221" s="66" t="str">
        <f t="shared" si="3467"/>
        <v/>
      </c>
      <c r="EV221" s="66" t="str">
        <f t="shared" si="3468"/>
        <v/>
      </c>
      <c r="EW221" s="66" t="str">
        <f t="shared" si="3469"/>
        <v/>
      </c>
      <c r="EX221" s="66" t="str">
        <f t="shared" si="3470"/>
        <v/>
      </c>
      <c r="EY221" s="66" t="str">
        <f t="shared" si="3471"/>
        <v/>
      </c>
      <c r="EZ221" s="66" t="str">
        <f t="shared" si="3472"/>
        <v/>
      </c>
      <c r="FA221" s="66" t="str">
        <f t="shared" si="3473"/>
        <v/>
      </c>
      <c r="FB221" s="66" t="str">
        <f t="shared" si="3474"/>
        <v/>
      </c>
      <c r="FC221" s="66" t="str">
        <f t="shared" si="3475"/>
        <v/>
      </c>
      <c r="FD221" s="66" t="str">
        <f t="shared" si="3476"/>
        <v/>
      </c>
      <c r="FE221" s="66" t="str">
        <f t="shared" si="3477"/>
        <v/>
      </c>
      <c r="FF221" s="66" t="str">
        <f t="shared" si="3478"/>
        <v/>
      </c>
      <c r="FG221" s="66" t="str">
        <f t="shared" si="3479"/>
        <v/>
      </c>
      <c r="FH221" s="66" t="str">
        <f t="shared" si="3480"/>
        <v/>
      </c>
      <c r="FI221" s="66" t="str">
        <f t="shared" si="3481"/>
        <v/>
      </c>
      <c r="FJ221" s="66" t="str">
        <f t="shared" si="3482"/>
        <v/>
      </c>
      <c r="FK221" s="66" t="str">
        <f t="shared" si="3483"/>
        <v/>
      </c>
      <c r="FL221" s="66" t="str">
        <f t="shared" si="3484"/>
        <v/>
      </c>
      <c r="FM221" s="66" t="str">
        <f t="shared" si="3485"/>
        <v/>
      </c>
      <c r="FN221" s="66" t="str">
        <f t="shared" si="3486"/>
        <v/>
      </c>
      <c r="FO221" s="66" t="str">
        <f t="shared" si="3487"/>
        <v/>
      </c>
      <c r="FP221" s="66" t="str">
        <f t="shared" si="3488"/>
        <v/>
      </c>
      <c r="FQ221" s="66" t="str">
        <f t="shared" si="3489"/>
        <v/>
      </c>
      <c r="FR221" s="66" t="str">
        <f t="shared" si="3490"/>
        <v/>
      </c>
      <c r="FS221" s="66" t="str">
        <f t="shared" si="3491"/>
        <v/>
      </c>
    </row>
    <row r="222" spans="1:175" ht="16.5">
      <c r="A222" s="110"/>
      <c r="B222" s="27" t="s">
        <v>758</v>
      </c>
      <c r="C222" s="29" t="s">
        <v>748</v>
      </c>
      <c r="T222" s="116"/>
      <c r="U222" s="77"/>
      <c r="CN222" s="36" t="str">
        <f t="shared" si="3416"/>
        <v>InitUnitState('IF11',,,,,,,,,,)</v>
      </c>
      <c r="CO222" s="36" t="str">
        <f t="shared" si="3417"/>
        <v>InitUnitNormal('IF11',,,,,,,,,,)</v>
      </c>
      <c r="CP222" s="36" t="str">
        <f t="shared" si="3418"/>
        <v>InitUnitMagic('IF11',,,,,,,,,,)</v>
      </c>
      <c r="CQ222" s="36" t="str">
        <f t="shared" si="3419"/>
        <v>InitUnitAdd('IF11',,,,,,,,,,)</v>
      </c>
      <c r="CR222" s="36" t="str">
        <f t="shared" si="3420"/>
        <v>InitEquipData('IF11',,"",,,,,'','','','','','',"")</v>
      </c>
      <c r="CU222" s="88" t="str">
        <f t="shared" si="3421"/>
        <v>|n</v>
      </c>
      <c r="CW222" s="33"/>
      <c r="CX222" s="33"/>
      <c r="CY222" s="33"/>
      <c r="CZ222" s="33"/>
      <c r="DA222" s="33"/>
      <c r="DB222" s="66" t="str">
        <f t="shared" si="3422"/>
        <v/>
      </c>
      <c r="DC222" s="66" t="str">
        <f t="shared" si="3423"/>
        <v/>
      </c>
      <c r="DD222" s="66" t="str">
        <f t="shared" si="3424"/>
        <v/>
      </c>
      <c r="DE222" s="66" t="str">
        <f t="shared" si="3425"/>
        <v/>
      </c>
      <c r="DF222" s="66" t="str">
        <f t="shared" si="3426"/>
        <v/>
      </c>
      <c r="DG222" s="66" t="str">
        <f t="shared" si="3427"/>
        <v/>
      </c>
      <c r="DH222" s="66" t="str">
        <f t="shared" si="3428"/>
        <v/>
      </c>
      <c r="DI222" s="66" t="str">
        <f t="shared" si="3429"/>
        <v/>
      </c>
      <c r="DJ222" s="66" t="str">
        <f t="shared" si="3430"/>
        <v/>
      </c>
      <c r="DK222" s="66" t="str">
        <f t="shared" si="3431"/>
        <v/>
      </c>
      <c r="DL222" s="66" t="str">
        <f t="shared" si="3432"/>
        <v/>
      </c>
      <c r="DM222" s="66" t="str">
        <f t="shared" si="3433"/>
        <v/>
      </c>
      <c r="DN222" s="66" t="str">
        <f t="shared" si="3434"/>
        <v/>
      </c>
      <c r="DO222" s="66" t="str">
        <f t="shared" si="3435"/>
        <v/>
      </c>
      <c r="DP222" s="66" t="str">
        <f t="shared" si="3436"/>
        <v/>
      </c>
      <c r="DQ222" s="66" t="str">
        <f t="shared" si="3437"/>
        <v/>
      </c>
      <c r="DR222" s="66" t="str">
        <f t="shared" si="3438"/>
        <v/>
      </c>
      <c r="DS222" s="66" t="str">
        <f t="shared" si="3439"/>
        <v/>
      </c>
      <c r="DT222" s="66" t="str">
        <f t="shared" si="3440"/>
        <v/>
      </c>
      <c r="DU222" s="66" t="str">
        <f t="shared" si="3441"/>
        <v/>
      </c>
      <c r="DV222" s="66" t="str">
        <f t="shared" si="3442"/>
        <v/>
      </c>
      <c r="DW222" s="66" t="str">
        <f t="shared" si="3443"/>
        <v/>
      </c>
      <c r="DX222" s="66" t="str">
        <f t="shared" si="3444"/>
        <v/>
      </c>
      <c r="DY222" s="66" t="str">
        <f t="shared" si="3445"/>
        <v/>
      </c>
      <c r="DZ222" s="66" t="str">
        <f t="shared" si="3446"/>
        <v/>
      </c>
      <c r="EA222" s="66" t="str">
        <f t="shared" si="3447"/>
        <v/>
      </c>
      <c r="EB222" s="66" t="str">
        <f t="shared" si="3448"/>
        <v/>
      </c>
      <c r="EC222" s="66" t="str">
        <f t="shared" si="3449"/>
        <v/>
      </c>
      <c r="ED222" s="66" t="str">
        <f t="shared" si="3450"/>
        <v/>
      </c>
      <c r="EE222" s="66" t="str">
        <f t="shared" si="3451"/>
        <v/>
      </c>
      <c r="EF222" s="66" t="str">
        <f t="shared" si="3452"/>
        <v/>
      </c>
      <c r="EG222" s="66" t="str">
        <f t="shared" si="3453"/>
        <v/>
      </c>
      <c r="EH222" s="66" t="str">
        <f t="shared" si="3454"/>
        <v/>
      </c>
      <c r="EI222" s="66" t="str">
        <f t="shared" si="3455"/>
        <v/>
      </c>
      <c r="EJ222" s="66" t="str">
        <f t="shared" si="3456"/>
        <v/>
      </c>
      <c r="EK222" s="66" t="str">
        <f t="shared" si="3457"/>
        <v/>
      </c>
      <c r="EL222" s="66" t="str">
        <f t="shared" si="3458"/>
        <v/>
      </c>
      <c r="EM222" s="66" t="str">
        <f t="shared" si="3459"/>
        <v/>
      </c>
      <c r="EN222" s="66" t="str">
        <f t="shared" si="3460"/>
        <v/>
      </c>
      <c r="EO222" s="66" t="str">
        <f t="shared" si="3461"/>
        <v/>
      </c>
      <c r="EP222" s="66" t="str">
        <f t="shared" si="3462"/>
        <v/>
      </c>
      <c r="EQ222" s="66" t="str">
        <f t="shared" si="3463"/>
        <v/>
      </c>
      <c r="ER222" s="66" t="str">
        <f t="shared" si="3464"/>
        <v/>
      </c>
      <c r="ES222" s="66" t="str">
        <f t="shared" si="3465"/>
        <v/>
      </c>
      <c r="ET222" s="66" t="str">
        <f t="shared" si="3466"/>
        <v/>
      </c>
      <c r="EU222" s="66" t="str">
        <f t="shared" si="3467"/>
        <v/>
      </c>
      <c r="EV222" s="66" t="str">
        <f t="shared" si="3468"/>
        <v/>
      </c>
      <c r="EW222" s="66" t="str">
        <f t="shared" si="3469"/>
        <v/>
      </c>
      <c r="EX222" s="66" t="str">
        <f t="shared" si="3470"/>
        <v/>
      </c>
      <c r="EY222" s="66" t="str">
        <f t="shared" si="3471"/>
        <v/>
      </c>
      <c r="EZ222" s="66" t="str">
        <f t="shared" si="3472"/>
        <v/>
      </c>
      <c r="FA222" s="66" t="str">
        <f t="shared" si="3473"/>
        <v/>
      </c>
      <c r="FB222" s="66" t="str">
        <f t="shared" si="3474"/>
        <v/>
      </c>
      <c r="FC222" s="66" t="str">
        <f t="shared" si="3475"/>
        <v/>
      </c>
      <c r="FD222" s="66" t="str">
        <f t="shared" si="3476"/>
        <v/>
      </c>
      <c r="FE222" s="66" t="str">
        <f t="shared" si="3477"/>
        <v/>
      </c>
      <c r="FF222" s="66" t="str">
        <f t="shared" si="3478"/>
        <v/>
      </c>
      <c r="FG222" s="66" t="str">
        <f t="shared" si="3479"/>
        <v/>
      </c>
      <c r="FH222" s="66" t="str">
        <f t="shared" si="3480"/>
        <v/>
      </c>
      <c r="FI222" s="66" t="str">
        <f t="shared" si="3481"/>
        <v/>
      </c>
      <c r="FJ222" s="66" t="str">
        <f t="shared" si="3482"/>
        <v/>
      </c>
      <c r="FK222" s="66" t="str">
        <f t="shared" si="3483"/>
        <v/>
      </c>
      <c r="FL222" s="66" t="str">
        <f t="shared" si="3484"/>
        <v/>
      </c>
      <c r="FM222" s="66" t="str">
        <f t="shared" si="3485"/>
        <v/>
      </c>
      <c r="FN222" s="66" t="str">
        <f t="shared" si="3486"/>
        <v/>
      </c>
      <c r="FO222" s="66" t="str">
        <f t="shared" si="3487"/>
        <v/>
      </c>
      <c r="FP222" s="66" t="str">
        <f t="shared" si="3488"/>
        <v/>
      </c>
      <c r="FQ222" s="66" t="str">
        <f t="shared" si="3489"/>
        <v/>
      </c>
      <c r="FR222" s="66" t="str">
        <f t="shared" si="3490"/>
        <v/>
      </c>
      <c r="FS222" s="66" t="str">
        <f t="shared" si="3491"/>
        <v/>
      </c>
    </row>
    <row r="223" spans="1:175" ht="16.5">
      <c r="A223" s="109"/>
      <c r="B223" s="27" t="s">
        <v>759</v>
      </c>
      <c r="C223" s="29" t="s">
        <v>748</v>
      </c>
      <c r="T223" s="117"/>
      <c r="U223" s="77"/>
      <c r="CN223" s="36" t="str">
        <f t="shared" si="3416"/>
        <v>InitUnitState('IF12',,,,,,,,,,)</v>
      </c>
      <c r="CO223" s="36" t="str">
        <f t="shared" si="3417"/>
        <v>InitUnitNormal('IF12',,,,,,,,,,)</v>
      </c>
      <c r="CP223" s="36" t="str">
        <f t="shared" si="3418"/>
        <v>InitUnitMagic('IF12',,,,,,,,,,)</v>
      </c>
      <c r="CQ223" s="36" t="str">
        <f t="shared" si="3419"/>
        <v>InitUnitAdd('IF12',,,,,,,,,,)</v>
      </c>
      <c r="CR223" s="36" t="str">
        <f t="shared" si="3420"/>
        <v>InitEquipData('IF12',,"",,,,,'','','','','','',"")</v>
      </c>
      <c r="CU223" s="88" t="str">
        <f t="shared" si="3421"/>
        <v>|n</v>
      </c>
      <c r="CW223" s="33"/>
      <c r="CX223" s="33"/>
      <c r="CY223" s="33"/>
      <c r="CZ223" s="33"/>
      <c r="DA223" s="33"/>
      <c r="DB223" s="66" t="str">
        <f t="shared" si="3422"/>
        <v/>
      </c>
      <c r="DC223" s="66" t="str">
        <f t="shared" si="3423"/>
        <v/>
      </c>
      <c r="DD223" s="66" t="str">
        <f t="shared" si="3424"/>
        <v/>
      </c>
      <c r="DE223" s="66" t="str">
        <f t="shared" si="3425"/>
        <v/>
      </c>
      <c r="DF223" s="66" t="str">
        <f t="shared" si="3426"/>
        <v/>
      </c>
      <c r="DG223" s="66" t="str">
        <f t="shared" si="3427"/>
        <v/>
      </c>
      <c r="DH223" s="66" t="str">
        <f t="shared" si="3428"/>
        <v/>
      </c>
      <c r="DI223" s="66" t="str">
        <f t="shared" si="3429"/>
        <v/>
      </c>
      <c r="DJ223" s="66" t="str">
        <f t="shared" si="3430"/>
        <v/>
      </c>
      <c r="DK223" s="66" t="str">
        <f t="shared" si="3431"/>
        <v/>
      </c>
      <c r="DL223" s="66" t="str">
        <f t="shared" si="3432"/>
        <v/>
      </c>
      <c r="DM223" s="66" t="str">
        <f t="shared" si="3433"/>
        <v/>
      </c>
      <c r="DN223" s="66" t="str">
        <f t="shared" si="3434"/>
        <v/>
      </c>
      <c r="DO223" s="66" t="str">
        <f t="shared" si="3435"/>
        <v/>
      </c>
      <c r="DP223" s="66" t="str">
        <f t="shared" si="3436"/>
        <v/>
      </c>
      <c r="DQ223" s="66" t="str">
        <f t="shared" si="3437"/>
        <v/>
      </c>
      <c r="DR223" s="66" t="str">
        <f t="shared" si="3438"/>
        <v/>
      </c>
      <c r="DS223" s="66" t="str">
        <f t="shared" si="3439"/>
        <v/>
      </c>
      <c r="DT223" s="66" t="str">
        <f t="shared" si="3440"/>
        <v/>
      </c>
      <c r="DU223" s="66" t="str">
        <f t="shared" si="3441"/>
        <v/>
      </c>
      <c r="DV223" s="66" t="str">
        <f t="shared" si="3442"/>
        <v/>
      </c>
      <c r="DW223" s="66" t="str">
        <f t="shared" si="3443"/>
        <v/>
      </c>
      <c r="DX223" s="66" t="str">
        <f t="shared" si="3444"/>
        <v/>
      </c>
      <c r="DY223" s="66" t="str">
        <f t="shared" si="3445"/>
        <v/>
      </c>
      <c r="DZ223" s="66" t="str">
        <f t="shared" si="3446"/>
        <v/>
      </c>
      <c r="EA223" s="66" t="str">
        <f t="shared" si="3447"/>
        <v/>
      </c>
      <c r="EB223" s="66" t="str">
        <f t="shared" si="3448"/>
        <v/>
      </c>
      <c r="EC223" s="66" t="str">
        <f t="shared" si="3449"/>
        <v/>
      </c>
      <c r="ED223" s="66" t="str">
        <f t="shared" si="3450"/>
        <v/>
      </c>
      <c r="EE223" s="66" t="str">
        <f t="shared" si="3451"/>
        <v/>
      </c>
      <c r="EF223" s="66" t="str">
        <f t="shared" si="3452"/>
        <v/>
      </c>
      <c r="EG223" s="66" t="str">
        <f t="shared" si="3453"/>
        <v/>
      </c>
      <c r="EH223" s="66" t="str">
        <f t="shared" si="3454"/>
        <v/>
      </c>
      <c r="EI223" s="66" t="str">
        <f t="shared" si="3455"/>
        <v/>
      </c>
      <c r="EJ223" s="66" t="str">
        <f t="shared" si="3456"/>
        <v/>
      </c>
      <c r="EK223" s="66" t="str">
        <f t="shared" si="3457"/>
        <v/>
      </c>
      <c r="EL223" s="66" t="str">
        <f t="shared" si="3458"/>
        <v/>
      </c>
      <c r="EM223" s="66" t="str">
        <f t="shared" si="3459"/>
        <v/>
      </c>
      <c r="EN223" s="66" t="str">
        <f t="shared" si="3460"/>
        <v/>
      </c>
      <c r="EO223" s="66" t="str">
        <f t="shared" si="3461"/>
        <v/>
      </c>
      <c r="EP223" s="66" t="str">
        <f t="shared" si="3462"/>
        <v/>
      </c>
      <c r="EQ223" s="66" t="str">
        <f t="shared" si="3463"/>
        <v/>
      </c>
      <c r="ER223" s="66" t="str">
        <f t="shared" si="3464"/>
        <v/>
      </c>
      <c r="ES223" s="66" t="str">
        <f t="shared" si="3465"/>
        <v/>
      </c>
      <c r="ET223" s="66" t="str">
        <f t="shared" si="3466"/>
        <v/>
      </c>
      <c r="EU223" s="66" t="str">
        <f t="shared" si="3467"/>
        <v/>
      </c>
      <c r="EV223" s="66" t="str">
        <f t="shared" si="3468"/>
        <v/>
      </c>
      <c r="EW223" s="66" t="str">
        <f t="shared" si="3469"/>
        <v/>
      </c>
      <c r="EX223" s="66" t="str">
        <f t="shared" si="3470"/>
        <v/>
      </c>
      <c r="EY223" s="66" t="str">
        <f t="shared" si="3471"/>
        <v/>
      </c>
      <c r="EZ223" s="66" t="str">
        <f t="shared" si="3472"/>
        <v/>
      </c>
      <c r="FA223" s="66" t="str">
        <f t="shared" si="3473"/>
        <v/>
      </c>
      <c r="FB223" s="66" t="str">
        <f t="shared" si="3474"/>
        <v/>
      </c>
      <c r="FC223" s="66" t="str">
        <f t="shared" si="3475"/>
        <v/>
      </c>
      <c r="FD223" s="66" t="str">
        <f t="shared" si="3476"/>
        <v/>
      </c>
      <c r="FE223" s="66" t="str">
        <f t="shared" si="3477"/>
        <v/>
      </c>
      <c r="FF223" s="66" t="str">
        <f t="shared" si="3478"/>
        <v/>
      </c>
      <c r="FG223" s="66" t="str">
        <f t="shared" si="3479"/>
        <v/>
      </c>
      <c r="FH223" s="66" t="str">
        <f t="shared" si="3480"/>
        <v/>
      </c>
      <c r="FI223" s="66" t="str">
        <f t="shared" si="3481"/>
        <v/>
      </c>
      <c r="FJ223" s="66" t="str">
        <f t="shared" si="3482"/>
        <v/>
      </c>
      <c r="FK223" s="66" t="str">
        <f t="shared" si="3483"/>
        <v/>
      </c>
      <c r="FL223" s="66" t="str">
        <f t="shared" si="3484"/>
        <v/>
      </c>
      <c r="FM223" s="66" t="str">
        <f t="shared" si="3485"/>
        <v/>
      </c>
      <c r="FN223" s="66" t="str">
        <f t="shared" si="3486"/>
        <v/>
      </c>
      <c r="FO223" s="66" t="str">
        <f t="shared" si="3487"/>
        <v/>
      </c>
      <c r="FP223" s="66" t="str">
        <f t="shared" si="3488"/>
        <v/>
      </c>
      <c r="FQ223" s="66" t="str">
        <f t="shared" si="3489"/>
        <v/>
      </c>
      <c r="FR223" s="66" t="str">
        <f t="shared" si="3490"/>
        <v/>
      </c>
      <c r="FS223" s="66" t="str">
        <f t="shared" si="3491"/>
        <v/>
      </c>
    </row>
    <row r="224" spans="1:175" ht="16.5">
      <c r="A224" s="109"/>
      <c r="B224" s="27" t="s">
        <v>760</v>
      </c>
      <c r="C224" s="29" t="s">
        <v>748</v>
      </c>
      <c r="T224" s="117"/>
      <c r="U224" s="77"/>
      <c r="CN224" s="36" t="str">
        <f t="shared" si="3416"/>
        <v>InitUnitState('IF13',,,,,,,,,,)</v>
      </c>
      <c r="CO224" s="36" t="str">
        <f t="shared" si="3417"/>
        <v>InitUnitNormal('IF13',,,,,,,,,,)</v>
      </c>
      <c r="CP224" s="36" t="str">
        <f t="shared" si="3418"/>
        <v>InitUnitMagic('IF13',,,,,,,,,,)</v>
      </c>
      <c r="CQ224" s="36" t="str">
        <f t="shared" si="3419"/>
        <v>InitUnitAdd('IF13',,,,,,,,,,)</v>
      </c>
      <c r="CR224" s="36" t="str">
        <f t="shared" si="3420"/>
        <v>InitEquipData('IF13',,"",,,,,'','','','','','',"")</v>
      </c>
      <c r="CU224" s="88" t="str">
        <f t="shared" si="3421"/>
        <v>|n</v>
      </c>
      <c r="CW224" s="33"/>
      <c r="CX224" s="33"/>
      <c r="CY224" s="33"/>
      <c r="CZ224" s="33"/>
      <c r="DA224" s="33"/>
      <c r="DB224" s="66" t="str">
        <f t="shared" si="3422"/>
        <v/>
      </c>
      <c r="DC224" s="66" t="str">
        <f t="shared" si="3423"/>
        <v/>
      </c>
      <c r="DD224" s="66" t="str">
        <f t="shared" si="3424"/>
        <v/>
      </c>
      <c r="DE224" s="66" t="str">
        <f t="shared" si="3425"/>
        <v/>
      </c>
      <c r="DF224" s="66" t="str">
        <f t="shared" si="3426"/>
        <v/>
      </c>
      <c r="DG224" s="66" t="str">
        <f t="shared" si="3427"/>
        <v/>
      </c>
      <c r="DH224" s="66" t="str">
        <f t="shared" si="3428"/>
        <v/>
      </c>
      <c r="DI224" s="66" t="str">
        <f t="shared" si="3429"/>
        <v/>
      </c>
      <c r="DJ224" s="66" t="str">
        <f t="shared" si="3430"/>
        <v/>
      </c>
      <c r="DK224" s="66" t="str">
        <f t="shared" si="3431"/>
        <v/>
      </c>
      <c r="DL224" s="66" t="str">
        <f t="shared" si="3432"/>
        <v/>
      </c>
      <c r="DM224" s="66" t="str">
        <f t="shared" si="3433"/>
        <v/>
      </c>
      <c r="DN224" s="66" t="str">
        <f t="shared" si="3434"/>
        <v/>
      </c>
      <c r="DO224" s="66" t="str">
        <f t="shared" si="3435"/>
        <v/>
      </c>
      <c r="DP224" s="66" t="str">
        <f t="shared" si="3436"/>
        <v/>
      </c>
      <c r="DQ224" s="66" t="str">
        <f t="shared" si="3437"/>
        <v/>
      </c>
      <c r="DR224" s="66" t="str">
        <f t="shared" si="3438"/>
        <v/>
      </c>
      <c r="DS224" s="66" t="str">
        <f t="shared" si="3439"/>
        <v/>
      </c>
      <c r="DT224" s="66" t="str">
        <f t="shared" si="3440"/>
        <v/>
      </c>
      <c r="DU224" s="66" t="str">
        <f t="shared" si="3441"/>
        <v/>
      </c>
      <c r="DV224" s="66" t="str">
        <f t="shared" si="3442"/>
        <v/>
      </c>
      <c r="DW224" s="66" t="str">
        <f t="shared" si="3443"/>
        <v/>
      </c>
      <c r="DX224" s="66" t="str">
        <f t="shared" si="3444"/>
        <v/>
      </c>
      <c r="DY224" s="66" t="str">
        <f t="shared" si="3445"/>
        <v/>
      </c>
      <c r="DZ224" s="66" t="str">
        <f t="shared" si="3446"/>
        <v/>
      </c>
      <c r="EA224" s="66" t="str">
        <f t="shared" si="3447"/>
        <v/>
      </c>
      <c r="EB224" s="66" t="str">
        <f t="shared" si="3448"/>
        <v/>
      </c>
      <c r="EC224" s="66" t="str">
        <f t="shared" si="3449"/>
        <v/>
      </c>
      <c r="ED224" s="66" t="str">
        <f t="shared" si="3450"/>
        <v/>
      </c>
      <c r="EE224" s="66" t="str">
        <f t="shared" si="3451"/>
        <v/>
      </c>
      <c r="EF224" s="66" t="str">
        <f t="shared" si="3452"/>
        <v/>
      </c>
      <c r="EG224" s="66" t="str">
        <f t="shared" si="3453"/>
        <v/>
      </c>
      <c r="EH224" s="66" t="str">
        <f t="shared" si="3454"/>
        <v/>
      </c>
      <c r="EI224" s="66" t="str">
        <f t="shared" si="3455"/>
        <v/>
      </c>
      <c r="EJ224" s="66" t="str">
        <f t="shared" si="3456"/>
        <v/>
      </c>
      <c r="EK224" s="66" t="str">
        <f t="shared" si="3457"/>
        <v/>
      </c>
      <c r="EL224" s="66" t="str">
        <f t="shared" si="3458"/>
        <v/>
      </c>
      <c r="EM224" s="66" t="str">
        <f t="shared" si="3459"/>
        <v/>
      </c>
      <c r="EN224" s="66" t="str">
        <f t="shared" si="3460"/>
        <v/>
      </c>
      <c r="EO224" s="66" t="str">
        <f t="shared" si="3461"/>
        <v/>
      </c>
      <c r="EP224" s="66" t="str">
        <f t="shared" si="3462"/>
        <v/>
      </c>
      <c r="EQ224" s="66" t="str">
        <f t="shared" si="3463"/>
        <v/>
      </c>
      <c r="ER224" s="66" t="str">
        <f t="shared" si="3464"/>
        <v/>
      </c>
      <c r="ES224" s="66" t="str">
        <f t="shared" si="3465"/>
        <v/>
      </c>
      <c r="ET224" s="66" t="str">
        <f t="shared" si="3466"/>
        <v/>
      </c>
      <c r="EU224" s="66" t="str">
        <f t="shared" si="3467"/>
        <v/>
      </c>
      <c r="EV224" s="66" t="str">
        <f t="shared" si="3468"/>
        <v/>
      </c>
      <c r="EW224" s="66" t="str">
        <f t="shared" si="3469"/>
        <v/>
      </c>
      <c r="EX224" s="66" t="str">
        <f t="shared" si="3470"/>
        <v/>
      </c>
      <c r="EY224" s="66" t="str">
        <f t="shared" si="3471"/>
        <v/>
      </c>
      <c r="EZ224" s="66" t="str">
        <f t="shared" si="3472"/>
        <v/>
      </c>
      <c r="FA224" s="66" t="str">
        <f t="shared" si="3473"/>
        <v/>
      </c>
      <c r="FB224" s="66" t="str">
        <f t="shared" si="3474"/>
        <v/>
      </c>
      <c r="FC224" s="66" t="str">
        <f t="shared" si="3475"/>
        <v/>
      </c>
      <c r="FD224" s="66" t="str">
        <f t="shared" si="3476"/>
        <v/>
      </c>
      <c r="FE224" s="66" t="str">
        <f t="shared" si="3477"/>
        <v/>
      </c>
      <c r="FF224" s="66" t="str">
        <f t="shared" si="3478"/>
        <v/>
      </c>
      <c r="FG224" s="66" t="str">
        <f t="shared" si="3479"/>
        <v/>
      </c>
      <c r="FH224" s="66" t="str">
        <f t="shared" si="3480"/>
        <v/>
      </c>
      <c r="FI224" s="66" t="str">
        <f t="shared" si="3481"/>
        <v/>
      </c>
      <c r="FJ224" s="66" t="str">
        <f t="shared" si="3482"/>
        <v/>
      </c>
      <c r="FK224" s="66" t="str">
        <f t="shared" si="3483"/>
        <v/>
      </c>
      <c r="FL224" s="66" t="str">
        <f t="shared" si="3484"/>
        <v/>
      </c>
      <c r="FM224" s="66" t="str">
        <f t="shared" si="3485"/>
        <v/>
      </c>
      <c r="FN224" s="66" t="str">
        <f t="shared" si="3486"/>
        <v/>
      </c>
      <c r="FO224" s="66" t="str">
        <f t="shared" si="3487"/>
        <v/>
      </c>
      <c r="FP224" s="66" t="str">
        <f t="shared" si="3488"/>
        <v/>
      </c>
      <c r="FQ224" s="66" t="str">
        <f t="shared" si="3489"/>
        <v/>
      </c>
      <c r="FR224" s="66" t="str">
        <f t="shared" si="3490"/>
        <v/>
      </c>
      <c r="FS224" s="66" t="str">
        <f t="shared" si="3491"/>
        <v/>
      </c>
    </row>
    <row r="225" spans="1:175" ht="16.5">
      <c r="A225" s="109"/>
      <c r="B225" s="27" t="s">
        <v>761</v>
      </c>
      <c r="C225" s="29" t="s">
        <v>748</v>
      </c>
      <c r="T225" s="117"/>
      <c r="U225" s="77"/>
      <c r="CN225" s="36" t="str">
        <f t="shared" si="3416"/>
        <v>InitUnitState('IF14',,,,,,,,,,)</v>
      </c>
      <c r="CO225" s="36" t="str">
        <f t="shared" si="3417"/>
        <v>InitUnitNormal('IF14',,,,,,,,,,)</v>
      </c>
      <c r="CP225" s="36" t="str">
        <f t="shared" si="3418"/>
        <v>InitUnitMagic('IF14',,,,,,,,,,)</v>
      </c>
      <c r="CQ225" s="36" t="str">
        <f t="shared" si="3419"/>
        <v>InitUnitAdd('IF14',,,,,,,,,,)</v>
      </c>
      <c r="CR225" s="36" t="str">
        <f t="shared" si="3420"/>
        <v>InitEquipData('IF14',,"",,,,,'','','','','','',"")</v>
      </c>
      <c r="CU225" s="88" t="str">
        <f t="shared" si="3421"/>
        <v>|n</v>
      </c>
      <c r="CW225" s="33"/>
      <c r="CX225" s="33"/>
      <c r="CY225" s="33"/>
      <c r="CZ225" s="33"/>
      <c r="DA225" s="33"/>
      <c r="DB225" s="66" t="str">
        <f t="shared" si="3422"/>
        <v/>
      </c>
      <c r="DC225" s="66" t="str">
        <f t="shared" si="3423"/>
        <v/>
      </c>
      <c r="DD225" s="66" t="str">
        <f t="shared" si="3424"/>
        <v/>
      </c>
      <c r="DE225" s="66" t="str">
        <f t="shared" si="3425"/>
        <v/>
      </c>
      <c r="DF225" s="66" t="str">
        <f t="shared" si="3426"/>
        <v/>
      </c>
      <c r="DG225" s="66" t="str">
        <f t="shared" si="3427"/>
        <v/>
      </c>
      <c r="DH225" s="66" t="str">
        <f t="shared" si="3428"/>
        <v/>
      </c>
      <c r="DI225" s="66" t="str">
        <f t="shared" si="3429"/>
        <v/>
      </c>
      <c r="DJ225" s="66" t="str">
        <f t="shared" si="3430"/>
        <v/>
      </c>
      <c r="DK225" s="66" t="str">
        <f t="shared" si="3431"/>
        <v/>
      </c>
      <c r="DL225" s="66" t="str">
        <f t="shared" si="3432"/>
        <v/>
      </c>
      <c r="DM225" s="66" t="str">
        <f t="shared" si="3433"/>
        <v/>
      </c>
      <c r="DN225" s="66" t="str">
        <f t="shared" si="3434"/>
        <v/>
      </c>
      <c r="DO225" s="66" t="str">
        <f t="shared" si="3435"/>
        <v/>
      </c>
      <c r="DP225" s="66" t="str">
        <f t="shared" si="3436"/>
        <v/>
      </c>
      <c r="DQ225" s="66" t="str">
        <f t="shared" si="3437"/>
        <v/>
      </c>
      <c r="DR225" s="66" t="str">
        <f t="shared" si="3438"/>
        <v/>
      </c>
      <c r="DS225" s="66" t="str">
        <f t="shared" si="3439"/>
        <v/>
      </c>
      <c r="DT225" s="66" t="str">
        <f t="shared" si="3440"/>
        <v/>
      </c>
      <c r="DU225" s="66" t="str">
        <f t="shared" si="3441"/>
        <v/>
      </c>
      <c r="DV225" s="66" t="str">
        <f t="shared" si="3442"/>
        <v/>
      </c>
      <c r="DW225" s="66" t="str">
        <f t="shared" si="3443"/>
        <v/>
      </c>
      <c r="DX225" s="66" t="str">
        <f t="shared" si="3444"/>
        <v/>
      </c>
      <c r="DY225" s="66" t="str">
        <f t="shared" si="3445"/>
        <v/>
      </c>
      <c r="DZ225" s="66" t="str">
        <f t="shared" si="3446"/>
        <v/>
      </c>
      <c r="EA225" s="66" t="str">
        <f t="shared" si="3447"/>
        <v/>
      </c>
      <c r="EB225" s="66" t="str">
        <f t="shared" si="3448"/>
        <v/>
      </c>
      <c r="EC225" s="66" t="str">
        <f t="shared" si="3449"/>
        <v/>
      </c>
      <c r="ED225" s="66" t="str">
        <f t="shared" si="3450"/>
        <v/>
      </c>
      <c r="EE225" s="66" t="str">
        <f t="shared" si="3451"/>
        <v/>
      </c>
      <c r="EF225" s="66" t="str">
        <f t="shared" si="3452"/>
        <v/>
      </c>
      <c r="EG225" s="66" t="str">
        <f t="shared" si="3453"/>
        <v/>
      </c>
      <c r="EH225" s="66" t="str">
        <f t="shared" si="3454"/>
        <v/>
      </c>
      <c r="EI225" s="66" t="str">
        <f t="shared" si="3455"/>
        <v/>
      </c>
      <c r="EJ225" s="66" t="str">
        <f t="shared" si="3456"/>
        <v/>
      </c>
      <c r="EK225" s="66" t="str">
        <f t="shared" si="3457"/>
        <v/>
      </c>
      <c r="EL225" s="66" t="str">
        <f t="shared" si="3458"/>
        <v/>
      </c>
      <c r="EM225" s="66" t="str">
        <f t="shared" si="3459"/>
        <v/>
      </c>
      <c r="EN225" s="66" t="str">
        <f t="shared" si="3460"/>
        <v/>
      </c>
      <c r="EO225" s="66" t="str">
        <f t="shared" si="3461"/>
        <v/>
      </c>
      <c r="EP225" s="66" t="str">
        <f t="shared" si="3462"/>
        <v/>
      </c>
      <c r="EQ225" s="66" t="str">
        <f t="shared" si="3463"/>
        <v/>
      </c>
      <c r="ER225" s="66" t="str">
        <f t="shared" si="3464"/>
        <v/>
      </c>
      <c r="ES225" s="66" t="str">
        <f t="shared" si="3465"/>
        <v/>
      </c>
      <c r="ET225" s="66" t="str">
        <f t="shared" si="3466"/>
        <v/>
      </c>
      <c r="EU225" s="66" t="str">
        <f t="shared" si="3467"/>
        <v/>
      </c>
      <c r="EV225" s="66" t="str">
        <f t="shared" si="3468"/>
        <v/>
      </c>
      <c r="EW225" s="66" t="str">
        <f t="shared" si="3469"/>
        <v/>
      </c>
      <c r="EX225" s="66" t="str">
        <f t="shared" si="3470"/>
        <v/>
      </c>
      <c r="EY225" s="66" t="str">
        <f t="shared" si="3471"/>
        <v/>
      </c>
      <c r="EZ225" s="66" t="str">
        <f t="shared" si="3472"/>
        <v/>
      </c>
      <c r="FA225" s="66" t="str">
        <f t="shared" si="3473"/>
        <v/>
      </c>
      <c r="FB225" s="66" t="str">
        <f t="shared" si="3474"/>
        <v/>
      </c>
      <c r="FC225" s="66" t="str">
        <f t="shared" si="3475"/>
        <v/>
      </c>
      <c r="FD225" s="66" t="str">
        <f t="shared" si="3476"/>
        <v/>
      </c>
      <c r="FE225" s="66" t="str">
        <f t="shared" si="3477"/>
        <v/>
      </c>
      <c r="FF225" s="66" t="str">
        <f t="shared" si="3478"/>
        <v/>
      </c>
      <c r="FG225" s="66" t="str">
        <f t="shared" si="3479"/>
        <v/>
      </c>
      <c r="FH225" s="66" t="str">
        <f t="shared" si="3480"/>
        <v/>
      </c>
      <c r="FI225" s="66" t="str">
        <f t="shared" si="3481"/>
        <v/>
      </c>
      <c r="FJ225" s="66" t="str">
        <f t="shared" si="3482"/>
        <v/>
      </c>
      <c r="FK225" s="66" t="str">
        <f t="shared" si="3483"/>
        <v/>
      </c>
      <c r="FL225" s="66" t="str">
        <f t="shared" si="3484"/>
        <v/>
      </c>
      <c r="FM225" s="66" t="str">
        <f t="shared" si="3485"/>
        <v/>
      </c>
      <c r="FN225" s="66" t="str">
        <f t="shared" si="3486"/>
        <v/>
      </c>
      <c r="FO225" s="66" t="str">
        <f t="shared" si="3487"/>
        <v/>
      </c>
      <c r="FP225" s="66" t="str">
        <f t="shared" si="3488"/>
        <v/>
      </c>
      <c r="FQ225" s="66" t="str">
        <f t="shared" si="3489"/>
        <v/>
      </c>
      <c r="FR225" s="66" t="str">
        <f t="shared" si="3490"/>
        <v/>
      </c>
      <c r="FS225" s="66" t="str">
        <f t="shared" si="3491"/>
        <v/>
      </c>
    </row>
    <row r="226" spans="1:175" ht="16.5">
      <c r="A226" s="109"/>
      <c r="B226" s="27" t="s">
        <v>762</v>
      </c>
      <c r="C226" s="29" t="s">
        <v>748</v>
      </c>
      <c r="T226" s="117"/>
      <c r="U226" s="77"/>
      <c r="CN226" s="36" t="str">
        <f t="shared" si="3416"/>
        <v>InitUnitState('IF15',,,,,,,,,,)</v>
      </c>
      <c r="CO226" s="36" t="str">
        <f t="shared" si="3417"/>
        <v>InitUnitNormal('IF15',,,,,,,,,,)</v>
      </c>
      <c r="CP226" s="36" t="str">
        <f t="shared" si="3418"/>
        <v>InitUnitMagic('IF15',,,,,,,,,,)</v>
      </c>
      <c r="CQ226" s="36" t="str">
        <f t="shared" si="3419"/>
        <v>InitUnitAdd('IF15',,,,,,,,,,)</v>
      </c>
      <c r="CR226" s="36" t="str">
        <f t="shared" si="3420"/>
        <v>InitEquipData('IF15',,"",,,,,'','','','','','',"")</v>
      </c>
      <c r="CU226" s="88" t="str">
        <f t="shared" si="3421"/>
        <v>|n</v>
      </c>
      <c r="CW226" s="33"/>
      <c r="CX226" s="33"/>
      <c r="CY226" s="33"/>
      <c r="CZ226" s="33"/>
      <c r="DA226" s="33"/>
      <c r="DB226" s="66" t="str">
        <f t="shared" si="3422"/>
        <v/>
      </c>
      <c r="DC226" s="66" t="str">
        <f t="shared" si="3423"/>
        <v/>
      </c>
      <c r="DD226" s="66" t="str">
        <f t="shared" si="3424"/>
        <v/>
      </c>
      <c r="DE226" s="66" t="str">
        <f t="shared" si="3425"/>
        <v/>
      </c>
      <c r="DF226" s="66" t="str">
        <f t="shared" si="3426"/>
        <v/>
      </c>
      <c r="DG226" s="66" t="str">
        <f t="shared" si="3427"/>
        <v/>
      </c>
      <c r="DH226" s="66" t="str">
        <f t="shared" si="3428"/>
        <v/>
      </c>
      <c r="DI226" s="66" t="str">
        <f t="shared" si="3429"/>
        <v/>
      </c>
      <c r="DJ226" s="66" t="str">
        <f t="shared" si="3430"/>
        <v/>
      </c>
      <c r="DK226" s="66" t="str">
        <f t="shared" si="3431"/>
        <v/>
      </c>
      <c r="DL226" s="66" t="str">
        <f t="shared" si="3432"/>
        <v/>
      </c>
      <c r="DM226" s="66" t="str">
        <f t="shared" si="3433"/>
        <v/>
      </c>
      <c r="DN226" s="66" t="str">
        <f t="shared" si="3434"/>
        <v/>
      </c>
      <c r="DO226" s="66" t="str">
        <f t="shared" si="3435"/>
        <v/>
      </c>
      <c r="DP226" s="66" t="str">
        <f t="shared" si="3436"/>
        <v/>
      </c>
      <c r="DQ226" s="66" t="str">
        <f t="shared" si="3437"/>
        <v/>
      </c>
      <c r="DR226" s="66" t="str">
        <f t="shared" si="3438"/>
        <v/>
      </c>
      <c r="DS226" s="66" t="str">
        <f t="shared" si="3439"/>
        <v/>
      </c>
      <c r="DT226" s="66" t="str">
        <f t="shared" si="3440"/>
        <v/>
      </c>
      <c r="DU226" s="66" t="str">
        <f t="shared" si="3441"/>
        <v/>
      </c>
      <c r="DV226" s="66" t="str">
        <f t="shared" si="3442"/>
        <v/>
      </c>
      <c r="DW226" s="66" t="str">
        <f t="shared" si="3443"/>
        <v/>
      </c>
      <c r="DX226" s="66" t="str">
        <f t="shared" si="3444"/>
        <v/>
      </c>
      <c r="DY226" s="66" t="str">
        <f t="shared" si="3445"/>
        <v/>
      </c>
      <c r="DZ226" s="66" t="str">
        <f t="shared" si="3446"/>
        <v/>
      </c>
      <c r="EA226" s="66" t="str">
        <f t="shared" si="3447"/>
        <v/>
      </c>
      <c r="EB226" s="66" t="str">
        <f t="shared" si="3448"/>
        <v/>
      </c>
      <c r="EC226" s="66" t="str">
        <f t="shared" si="3449"/>
        <v/>
      </c>
      <c r="ED226" s="66" t="str">
        <f t="shared" si="3450"/>
        <v/>
      </c>
      <c r="EE226" s="66" t="str">
        <f t="shared" si="3451"/>
        <v/>
      </c>
      <c r="EF226" s="66" t="str">
        <f t="shared" si="3452"/>
        <v/>
      </c>
      <c r="EG226" s="66" t="str">
        <f t="shared" si="3453"/>
        <v/>
      </c>
      <c r="EH226" s="66" t="str">
        <f t="shared" si="3454"/>
        <v/>
      </c>
      <c r="EI226" s="66" t="str">
        <f t="shared" si="3455"/>
        <v/>
      </c>
      <c r="EJ226" s="66" t="str">
        <f t="shared" si="3456"/>
        <v/>
      </c>
      <c r="EK226" s="66" t="str">
        <f t="shared" si="3457"/>
        <v/>
      </c>
      <c r="EL226" s="66" t="str">
        <f t="shared" si="3458"/>
        <v/>
      </c>
      <c r="EM226" s="66" t="str">
        <f t="shared" si="3459"/>
        <v/>
      </c>
      <c r="EN226" s="66" t="str">
        <f t="shared" si="3460"/>
        <v/>
      </c>
      <c r="EO226" s="66" t="str">
        <f t="shared" si="3461"/>
        <v/>
      </c>
      <c r="EP226" s="66" t="str">
        <f t="shared" si="3462"/>
        <v/>
      </c>
      <c r="EQ226" s="66" t="str">
        <f t="shared" si="3463"/>
        <v/>
      </c>
      <c r="ER226" s="66" t="str">
        <f t="shared" si="3464"/>
        <v/>
      </c>
      <c r="ES226" s="66" t="str">
        <f t="shared" si="3465"/>
        <v/>
      </c>
      <c r="ET226" s="66" t="str">
        <f t="shared" si="3466"/>
        <v/>
      </c>
      <c r="EU226" s="66" t="str">
        <f t="shared" si="3467"/>
        <v/>
      </c>
      <c r="EV226" s="66" t="str">
        <f t="shared" si="3468"/>
        <v/>
      </c>
      <c r="EW226" s="66" t="str">
        <f t="shared" si="3469"/>
        <v/>
      </c>
      <c r="EX226" s="66" t="str">
        <f t="shared" si="3470"/>
        <v/>
      </c>
      <c r="EY226" s="66" t="str">
        <f t="shared" si="3471"/>
        <v/>
      </c>
      <c r="EZ226" s="66" t="str">
        <f t="shared" si="3472"/>
        <v/>
      </c>
      <c r="FA226" s="66" t="str">
        <f t="shared" si="3473"/>
        <v/>
      </c>
      <c r="FB226" s="66" t="str">
        <f t="shared" si="3474"/>
        <v/>
      </c>
      <c r="FC226" s="66" t="str">
        <f t="shared" si="3475"/>
        <v/>
      </c>
      <c r="FD226" s="66" t="str">
        <f t="shared" si="3476"/>
        <v/>
      </c>
      <c r="FE226" s="66" t="str">
        <f t="shared" si="3477"/>
        <v/>
      </c>
      <c r="FF226" s="66" t="str">
        <f t="shared" si="3478"/>
        <v/>
      </c>
      <c r="FG226" s="66" t="str">
        <f t="shared" si="3479"/>
        <v/>
      </c>
      <c r="FH226" s="66" t="str">
        <f t="shared" si="3480"/>
        <v/>
      </c>
      <c r="FI226" s="66" t="str">
        <f t="shared" si="3481"/>
        <v/>
      </c>
      <c r="FJ226" s="66" t="str">
        <f t="shared" si="3482"/>
        <v/>
      </c>
      <c r="FK226" s="66" t="str">
        <f t="shared" si="3483"/>
        <v/>
      </c>
      <c r="FL226" s="66" t="str">
        <f t="shared" si="3484"/>
        <v/>
      </c>
      <c r="FM226" s="66" t="str">
        <f t="shared" si="3485"/>
        <v/>
      </c>
      <c r="FN226" s="66" t="str">
        <f t="shared" si="3486"/>
        <v/>
      </c>
      <c r="FO226" s="66" t="str">
        <f t="shared" si="3487"/>
        <v/>
      </c>
      <c r="FP226" s="66" t="str">
        <f t="shared" si="3488"/>
        <v/>
      </c>
      <c r="FQ226" s="66" t="str">
        <f t="shared" si="3489"/>
        <v/>
      </c>
      <c r="FR226" s="66" t="str">
        <f t="shared" si="3490"/>
        <v/>
      </c>
      <c r="FS226" s="66" t="str">
        <f t="shared" si="3491"/>
        <v/>
      </c>
    </row>
    <row r="227" spans="1:175" ht="16.5">
      <c r="A227" s="109"/>
      <c r="B227" s="27" t="s">
        <v>763</v>
      </c>
      <c r="C227" s="29" t="s">
        <v>748</v>
      </c>
      <c r="T227" s="117"/>
      <c r="U227" s="77"/>
      <c r="CN227" s="36" t="str">
        <f t="shared" si="3416"/>
        <v>InitUnitState('IF16',,,,,,,,,,)</v>
      </c>
      <c r="CO227" s="36" t="str">
        <f t="shared" si="3417"/>
        <v>InitUnitNormal('IF16',,,,,,,,,,)</v>
      </c>
      <c r="CP227" s="36" t="str">
        <f t="shared" si="3418"/>
        <v>InitUnitMagic('IF16',,,,,,,,,,)</v>
      </c>
      <c r="CQ227" s="36" t="str">
        <f t="shared" si="3419"/>
        <v>InitUnitAdd('IF16',,,,,,,,,,)</v>
      </c>
      <c r="CR227" s="36" t="str">
        <f t="shared" si="3420"/>
        <v>InitEquipData('IF16',,"",,,,,'','','','','','',"")</v>
      </c>
      <c r="CU227" s="88" t="str">
        <f t="shared" si="3421"/>
        <v>|n</v>
      </c>
      <c r="CW227" s="33"/>
      <c r="CX227" s="33"/>
      <c r="CY227" s="33"/>
      <c r="CZ227" s="33"/>
      <c r="DA227" s="33"/>
      <c r="DB227" s="66" t="str">
        <f t="shared" si="3422"/>
        <v/>
      </c>
      <c r="DC227" s="66" t="str">
        <f t="shared" si="3423"/>
        <v/>
      </c>
      <c r="DD227" s="66" t="str">
        <f t="shared" si="3424"/>
        <v/>
      </c>
      <c r="DE227" s="66" t="str">
        <f t="shared" si="3425"/>
        <v/>
      </c>
      <c r="DF227" s="66" t="str">
        <f t="shared" si="3426"/>
        <v/>
      </c>
      <c r="DG227" s="66" t="str">
        <f t="shared" si="3427"/>
        <v/>
      </c>
      <c r="DH227" s="66" t="str">
        <f t="shared" si="3428"/>
        <v/>
      </c>
      <c r="DI227" s="66" t="str">
        <f t="shared" si="3429"/>
        <v/>
      </c>
      <c r="DJ227" s="66" t="str">
        <f t="shared" si="3430"/>
        <v/>
      </c>
      <c r="DK227" s="66" t="str">
        <f t="shared" si="3431"/>
        <v/>
      </c>
      <c r="DL227" s="66" t="str">
        <f t="shared" si="3432"/>
        <v/>
      </c>
      <c r="DM227" s="66" t="str">
        <f t="shared" si="3433"/>
        <v/>
      </c>
      <c r="DN227" s="66" t="str">
        <f t="shared" si="3434"/>
        <v/>
      </c>
      <c r="DO227" s="66" t="str">
        <f t="shared" si="3435"/>
        <v/>
      </c>
      <c r="DP227" s="66" t="str">
        <f t="shared" si="3436"/>
        <v/>
      </c>
      <c r="DQ227" s="66" t="str">
        <f t="shared" si="3437"/>
        <v/>
      </c>
      <c r="DR227" s="66" t="str">
        <f t="shared" si="3438"/>
        <v/>
      </c>
      <c r="DS227" s="66" t="str">
        <f t="shared" si="3439"/>
        <v/>
      </c>
      <c r="DT227" s="66" t="str">
        <f t="shared" si="3440"/>
        <v/>
      </c>
      <c r="DU227" s="66" t="str">
        <f t="shared" si="3441"/>
        <v/>
      </c>
      <c r="DV227" s="66" t="str">
        <f t="shared" si="3442"/>
        <v/>
      </c>
      <c r="DW227" s="66" t="str">
        <f t="shared" si="3443"/>
        <v/>
      </c>
      <c r="DX227" s="66" t="str">
        <f t="shared" si="3444"/>
        <v/>
      </c>
      <c r="DY227" s="66" t="str">
        <f t="shared" si="3445"/>
        <v/>
      </c>
      <c r="DZ227" s="66" t="str">
        <f t="shared" si="3446"/>
        <v/>
      </c>
      <c r="EA227" s="66" t="str">
        <f t="shared" si="3447"/>
        <v/>
      </c>
      <c r="EB227" s="66" t="str">
        <f t="shared" si="3448"/>
        <v/>
      </c>
      <c r="EC227" s="66" t="str">
        <f t="shared" si="3449"/>
        <v/>
      </c>
      <c r="ED227" s="66" t="str">
        <f t="shared" si="3450"/>
        <v/>
      </c>
      <c r="EE227" s="66" t="str">
        <f t="shared" si="3451"/>
        <v/>
      </c>
      <c r="EF227" s="66" t="str">
        <f t="shared" si="3452"/>
        <v/>
      </c>
      <c r="EG227" s="66" t="str">
        <f t="shared" si="3453"/>
        <v/>
      </c>
      <c r="EH227" s="66" t="str">
        <f t="shared" si="3454"/>
        <v/>
      </c>
      <c r="EI227" s="66" t="str">
        <f t="shared" si="3455"/>
        <v/>
      </c>
      <c r="EJ227" s="66" t="str">
        <f t="shared" si="3456"/>
        <v/>
      </c>
      <c r="EK227" s="66" t="str">
        <f t="shared" si="3457"/>
        <v/>
      </c>
      <c r="EL227" s="66" t="str">
        <f t="shared" si="3458"/>
        <v/>
      </c>
      <c r="EM227" s="66" t="str">
        <f t="shared" si="3459"/>
        <v/>
      </c>
      <c r="EN227" s="66" t="str">
        <f t="shared" si="3460"/>
        <v/>
      </c>
      <c r="EO227" s="66" t="str">
        <f t="shared" si="3461"/>
        <v/>
      </c>
      <c r="EP227" s="66" t="str">
        <f t="shared" si="3462"/>
        <v/>
      </c>
      <c r="EQ227" s="66" t="str">
        <f t="shared" si="3463"/>
        <v/>
      </c>
      <c r="ER227" s="66" t="str">
        <f t="shared" si="3464"/>
        <v/>
      </c>
      <c r="ES227" s="66" t="str">
        <f t="shared" si="3465"/>
        <v/>
      </c>
      <c r="ET227" s="66" t="str">
        <f t="shared" si="3466"/>
        <v/>
      </c>
      <c r="EU227" s="66" t="str">
        <f t="shared" si="3467"/>
        <v/>
      </c>
      <c r="EV227" s="66" t="str">
        <f t="shared" si="3468"/>
        <v/>
      </c>
      <c r="EW227" s="66" t="str">
        <f t="shared" si="3469"/>
        <v/>
      </c>
      <c r="EX227" s="66" t="str">
        <f t="shared" si="3470"/>
        <v/>
      </c>
      <c r="EY227" s="66" t="str">
        <f t="shared" si="3471"/>
        <v/>
      </c>
      <c r="EZ227" s="66" t="str">
        <f t="shared" si="3472"/>
        <v/>
      </c>
      <c r="FA227" s="66" t="str">
        <f t="shared" si="3473"/>
        <v/>
      </c>
      <c r="FB227" s="66" t="str">
        <f t="shared" si="3474"/>
        <v/>
      </c>
      <c r="FC227" s="66" t="str">
        <f t="shared" si="3475"/>
        <v/>
      </c>
      <c r="FD227" s="66" t="str">
        <f t="shared" si="3476"/>
        <v/>
      </c>
      <c r="FE227" s="66" t="str">
        <f t="shared" si="3477"/>
        <v/>
      </c>
      <c r="FF227" s="66" t="str">
        <f t="shared" si="3478"/>
        <v/>
      </c>
      <c r="FG227" s="66" t="str">
        <f t="shared" si="3479"/>
        <v/>
      </c>
      <c r="FH227" s="66" t="str">
        <f t="shared" si="3480"/>
        <v/>
      </c>
      <c r="FI227" s="66" t="str">
        <f t="shared" si="3481"/>
        <v/>
      </c>
      <c r="FJ227" s="66" t="str">
        <f t="shared" si="3482"/>
        <v/>
      </c>
      <c r="FK227" s="66" t="str">
        <f t="shared" si="3483"/>
        <v/>
      </c>
      <c r="FL227" s="66" t="str">
        <f t="shared" si="3484"/>
        <v/>
      </c>
      <c r="FM227" s="66" t="str">
        <f t="shared" si="3485"/>
        <v/>
      </c>
      <c r="FN227" s="66" t="str">
        <f t="shared" si="3486"/>
        <v/>
      </c>
      <c r="FO227" s="66" t="str">
        <f t="shared" si="3487"/>
        <v/>
      </c>
      <c r="FP227" s="66" t="str">
        <f t="shared" si="3488"/>
        <v/>
      </c>
      <c r="FQ227" s="66" t="str">
        <f t="shared" si="3489"/>
        <v/>
      </c>
      <c r="FR227" s="66" t="str">
        <f t="shared" si="3490"/>
        <v/>
      </c>
      <c r="FS227" s="66" t="str">
        <f t="shared" si="3491"/>
        <v/>
      </c>
    </row>
    <row r="228" spans="1:175" ht="16.5">
      <c r="A228" s="109"/>
      <c r="B228" s="27" t="s">
        <v>764</v>
      </c>
      <c r="C228" s="29" t="s">
        <v>748</v>
      </c>
      <c r="T228" s="117"/>
      <c r="U228" s="77"/>
      <c r="CN228" s="36" t="str">
        <f t="shared" si="3416"/>
        <v>InitUnitState('IF17',,,,,,,,,,)</v>
      </c>
      <c r="CO228" s="36" t="str">
        <f t="shared" si="3417"/>
        <v>InitUnitNormal('IF17',,,,,,,,,,)</v>
      </c>
      <c r="CP228" s="36" t="str">
        <f t="shared" si="3418"/>
        <v>InitUnitMagic('IF17',,,,,,,,,,)</v>
      </c>
      <c r="CQ228" s="36" t="str">
        <f t="shared" si="3419"/>
        <v>InitUnitAdd('IF17',,,,,,,,,,)</v>
      </c>
      <c r="CR228" s="36" t="str">
        <f t="shared" si="3420"/>
        <v>InitEquipData('IF17',,"",,,,,'','','','','','',"")</v>
      </c>
      <c r="CU228" s="88" t="str">
        <f t="shared" si="3421"/>
        <v>|n</v>
      </c>
      <c r="CW228" s="33"/>
      <c r="CX228" s="33"/>
      <c r="CY228" s="33"/>
      <c r="CZ228" s="33"/>
      <c r="DA228" s="33"/>
      <c r="DB228" s="66" t="str">
        <f t="shared" si="3422"/>
        <v/>
      </c>
      <c r="DC228" s="66" t="str">
        <f t="shared" si="3423"/>
        <v/>
      </c>
      <c r="DD228" s="66" t="str">
        <f t="shared" si="3424"/>
        <v/>
      </c>
      <c r="DE228" s="66" t="str">
        <f t="shared" si="3425"/>
        <v/>
      </c>
      <c r="DF228" s="66" t="str">
        <f t="shared" si="3426"/>
        <v/>
      </c>
      <c r="DG228" s="66" t="str">
        <f t="shared" si="3427"/>
        <v/>
      </c>
      <c r="DH228" s="66" t="str">
        <f t="shared" si="3428"/>
        <v/>
      </c>
      <c r="DI228" s="66" t="str">
        <f t="shared" si="3429"/>
        <v/>
      </c>
      <c r="DJ228" s="66" t="str">
        <f t="shared" si="3430"/>
        <v/>
      </c>
      <c r="DK228" s="66" t="str">
        <f t="shared" si="3431"/>
        <v/>
      </c>
      <c r="DL228" s="66" t="str">
        <f t="shared" si="3432"/>
        <v/>
      </c>
      <c r="DM228" s="66" t="str">
        <f t="shared" si="3433"/>
        <v/>
      </c>
      <c r="DN228" s="66" t="str">
        <f t="shared" si="3434"/>
        <v/>
      </c>
      <c r="DO228" s="66" t="str">
        <f t="shared" si="3435"/>
        <v/>
      </c>
      <c r="DP228" s="66" t="str">
        <f t="shared" si="3436"/>
        <v/>
      </c>
      <c r="DQ228" s="66" t="str">
        <f t="shared" si="3437"/>
        <v/>
      </c>
      <c r="DR228" s="66" t="str">
        <f t="shared" si="3438"/>
        <v/>
      </c>
      <c r="DS228" s="66" t="str">
        <f t="shared" si="3439"/>
        <v/>
      </c>
      <c r="DT228" s="66" t="str">
        <f t="shared" si="3440"/>
        <v/>
      </c>
      <c r="DU228" s="66" t="str">
        <f t="shared" si="3441"/>
        <v/>
      </c>
      <c r="DV228" s="66" t="str">
        <f t="shared" si="3442"/>
        <v/>
      </c>
      <c r="DW228" s="66" t="str">
        <f t="shared" si="3443"/>
        <v/>
      </c>
      <c r="DX228" s="66" t="str">
        <f t="shared" si="3444"/>
        <v/>
      </c>
      <c r="DY228" s="66" t="str">
        <f t="shared" si="3445"/>
        <v/>
      </c>
      <c r="DZ228" s="66" t="str">
        <f t="shared" si="3446"/>
        <v/>
      </c>
      <c r="EA228" s="66" t="str">
        <f t="shared" si="3447"/>
        <v/>
      </c>
      <c r="EB228" s="66" t="str">
        <f t="shared" si="3448"/>
        <v/>
      </c>
      <c r="EC228" s="66" t="str">
        <f t="shared" si="3449"/>
        <v/>
      </c>
      <c r="ED228" s="66" t="str">
        <f t="shared" si="3450"/>
        <v/>
      </c>
      <c r="EE228" s="66" t="str">
        <f t="shared" si="3451"/>
        <v/>
      </c>
      <c r="EF228" s="66" t="str">
        <f t="shared" si="3452"/>
        <v/>
      </c>
      <c r="EG228" s="66" t="str">
        <f t="shared" si="3453"/>
        <v/>
      </c>
      <c r="EH228" s="66" t="str">
        <f t="shared" si="3454"/>
        <v/>
      </c>
      <c r="EI228" s="66" t="str">
        <f t="shared" si="3455"/>
        <v/>
      </c>
      <c r="EJ228" s="66" t="str">
        <f t="shared" si="3456"/>
        <v/>
      </c>
      <c r="EK228" s="66" t="str">
        <f t="shared" si="3457"/>
        <v/>
      </c>
      <c r="EL228" s="66" t="str">
        <f t="shared" si="3458"/>
        <v/>
      </c>
      <c r="EM228" s="66" t="str">
        <f t="shared" si="3459"/>
        <v/>
      </c>
      <c r="EN228" s="66" t="str">
        <f t="shared" si="3460"/>
        <v/>
      </c>
      <c r="EO228" s="66" t="str">
        <f t="shared" si="3461"/>
        <v/>
      </c>
      <c r="EP228" s="66" t="str">
        <f t="shared" si="3462"/>
        <v/>
      </c>
      <c r="EQ228" s="66" t="str">
        <f t="shared" si="3463"/>
        <v/>
      </c>
      <c r="ER228" s="66" t="str">
        <f t="shared" si="3464"/>
        <v/>
      </c>
      <c r="ES228" s="66" t="str">
        <f t="shared" si="3465"/>
        <v/>
      </c>
      <c r="ET228" s="66" t="str">
        <f t="shared" si="3466"/>
        <v/>
      </c>
      <c r="EU228" s="66" t="str">
        <f t="shared" si="3467"/>
        <v/>
      </c>
      <c r="EV228" s="66" t="str">
        <f t="shared" si="3468"/>
        <v/>
      </c>
      <c r="EW228" s="66" t="str">
        <f t="shared" si="3469"/>
        <v/>
      </c>
      <c r="EX228" s="66" t="str">
        <f t="shared" si="3470"/>
        <v/>
      </c>
      <c r="EY228" s="66" t="str">
        <f t="shared" si="3471"/>
        <v/>
      </c>
      <c r="EZ228" s="66" t="str">
        <f t="shared" si="3472"/>
        <v/>
      </c>
      <c r="FA228" s="66" t="str">
        <f t="shared" si="3473"/>
        <v/>
      </c>
      <c r="FB228" s="66" t="str">
        <f t="shared" si="3474"/>
        <v/>
      </c>
      <c r="FC228" s="66" t="str">
        <f t="shared" si="3475"/>
        <v/>
      </c>
      <c r="FD228" s="66" t="str">
        <f t="shared" si="3476"/>
        <v/>
      </c>
      <c r="FE228" s="66" t="str">
        <f t="shared" si="3477"/>
        <v/>
      </c>
      <c r="FF228" s="66" t="str">
        <f t="shared" si="3478"/>
        <v/>
      </c>
      <c r="FG228" s="66" t="str">
        <f t="shared" si="3479"/>
        <v/>
      </c>
      <c r="FH228" s="66" t="str">
        <f t="shared" si="3480"/>
        <v/>
      </c>
      <c r="FI228" s="66" t="str">
        <f t="shared" si="3481"/>
        <v/>
      </c>
      <c r="FJ228" s="66" t="str">
        <f t="shared" si="3482"/>
        <v/>
      </c>
      <c r="FK228" s="66" t="str">
        <f t="shared" si="3483"/>
        <v/>
      </c>
      <c r="FL228" s="66" t="str">
        <f t="shared" si="3484"/>
        <v/>
      </c>
      <c r="FM228" s="66" t="str">
        <f t="shared" si="3485"/>
        <v/>
      </c>
      <c r="FN228" s="66" t="str">
        <f t="shared" si="3486"/>
        <v/>
      </c>
      <c r="FO228" s="66" t="str">
        <f t="shared" si="3487"/>
        <v/>
      </c>
      <c r="FP228" s="66" t="str">
        <f t="shared" si="3488"/>
        <v/>
      </c>
      <c r="FQ228" s="66" t="str">
        <f t="shared" si="3489"/>
        <v/>
      </c>
      <c r="FR228" s="66" t="str">
        <f t="shared" si="3490"/>
        <v/>
      </c>
      <c r="FS228" s="66" t="str">
        <f t="shared" si="3491"/>
        <v/>
      </c>
    </row>
    <row r="229" spans="1:175" ht="16.5">
      <c r="A229" s="109"/>
      <c r="B229" s="27" t="s">
        <v>765</v>
      </c>
      <c r="C229" s="29" t="s">
        <v>748</v>
      </c>
      <c r="T229" s="118"/>
      <c r="U229" s="77"/>
      <c r="CN229" s="36" t="str">
        <f t="shared" si="3416"/>
        <v>InitUnitState('IF18',,,,,,,,,,)</v>
      </c>
      <c r="CO229" s="36" t="str">
        <f t="shared" si="3417"/>
        <v>InitUnitNormal('IF18',,,,,,,,,,)</v>
      </c>
      <c r="CP229" s="36" t="str">
        <f t="shared" si="3418"/>
        <v>InitUnitMagic('IF18',,,,,,,,,,)</v>
      </c>
      <c r="CQ229" s="36" t="str">
        <f t="shared" si="3419"/>
        <v>InitUnitAdd('IF18',,,,,,,,,,)</v>
      </c>
      <c r="CR229" s="36" t="str">
        <f t="shared" si="3420"/>
        <v>InitEquipData('IF18',,"",,,,,'','','','','','',"")</v>
      </c>
      <c r="CU229" s="88" t="str">
        <f t="shared" si="3421"/>
        <v>|n</v>
      </c>
      <c r="CW229" s="33"/>
      <c r="CX229" s="33"/>
      <c r="CY229" s="33"/>
      <c r="CZ229" s="33"/>
      <c r="DA229" s="33"/>
      <c r="DB229" s="66" t="str">
        <f t="shared" si="3422"/>
        <v/>
      </c>
      <c r="DC229" s="66" t="str">
        <f t="shared" si="3423"/>
        <v/>
      </c>
      <c r="DD229" s="66" t="str">
        <f t="shared" si="3424"/>
        <v/>
      </c>
      <c r="DE229" s="66" t="str">
        <f t="shared" si="3425"/>
        <v/>
      </c>
      <c r="DF229" s="66" t="str">
        <f t="shared" si="3426"/>
        <v/>
      </c>
      <c r="DG229" s="66" t="str">
        <f t="shared" si="3427"/>
        <v/>
      </c>
      <c r="DH229" s="66" t="str">
        <f t="shared" si="3428"/>
        <v/>
      </c>
      <c r="DI229" s="66" t="str">
        <f t="shared" si="3429"/>
        <v/>
      </c>
      <c r="DJ229" s="66" t="str">
        <f t="shared" si="3430"/>
        <v/>
      </c>
      <c r="DK229" s="66" t="str">
        <f t="shared" si="3431"/>
        <v/>
      </c>
      <c r="DL229" s="66" t="str">
        <f t="shared" si="3432"/>
        <v/>
      </c>
      <c r="DM229" s="66" t="str">
        <f t="shared" si="3433"/>
        <v/>
      </c>
      <c r="DN229" s="66" t="str">
        <f t="shared" si="3434"/>
        <v/>
      </c>
      <c r="DO229" s="66" t="str">
        <f t="shared" si="3435"/>
        <v/>
      </c>
      <c r="DP229" s="66" t="str">
        <f t="shared" si="3436"/>
        <v/>
      </c>
      <c r="DQ229" s="66" t="str">
        <f t="shared" si="3437"/>
        <v/>
      </c>
      <c r="DR229" s="66" t="str">
        <f t="shared" si="3438"/>
        <v/>
      </c>
      <c r="DS229" s="66" t="str">
        <f t="shared" si="3439"/>
        <v/>
      </c>
      <c r="DT229" s="66" t="str">
        <f t="shared" si="3440"/>
        <v/>
      </c>
      <c r="DU229" s="66" t="str">
        <f t="shared" si="3441"/>
        <v/>
      </c>
      <c r="DV229" s="66" t="str">
        <f t="shared" si="3442"/>
        <v/>
      </c>
      <c r="DW229" s="66" t="str">
        <f t="shared" si="3443"/>
        <v/>
      </c>
      <c r="DX229" s="66" t="str">
        <f t="shared" si="3444"/>
        <v/>
      </c>
      <c r="DY229" s="66" t="str">
        <f t="shared" si="3445"/>
        <v/>
      </c>
      <c r="DZ229" s="66" t="str">
        <f t="shared" si="3446"/>
        <v/>
      </c>
      <c r="EA229" s="66" t="str">
        <f t="shared" si="3447"/>
        <v/>
      </c>
      <c r="EB229" s="66" t="str">
        <f t="shared" si="3448"/>
        <v/>
      </c>
      <c r="EC229" s="66" t="str">
        <f t="shared" si="3449"/>
        <v/>
      </c>
      <c r="ED229" s="66" t="str">
        <f t="shared" si="3450"/>
        <v/>
      </c>
      <c r="EE229" s="66" t="str">
        <f t="shared" si="3451"/>
        <v/>
      </c>
      <c r="EF229" s="66" t="str">
        <f t="shared" si="3452"/>
        <v/>
      </c>
      <c r="EG229" s="66" t="str">
        <f t="shared" si="3453"/>
        <v/>
      </c>
      <c r="EH229" s="66" t="str">
        <f t="shared" si="3454"/>
        <v/>
      </c>
      <c r="EI229" s="66" t="str">
        <f t="shared" si="3455"/>
        <v/>
      </c>
      <c r="EJ229" s="66" t="str">
        <f t="shared" si="3456"/>
        <v/>
      </c>
      <c r="EK229" s="66" t="str">
        <f t="shared" si="3457"/>
        <v/>
      </c>
      <c r="EL229" s="66" t="str">
        <f t="shared" si="3458"/>
        <v/>
      </c>
      <c r="EM229" s="66" t="str">
        <f t="shared" si="3459"/>
        <v/>
      </c>
      <c r="EN229" s="66" t="str">
        <f t="shared" si="3460"/>
        <v/>
      </c>
      <c r="EO229" s="66" t="str">
        <f t="shared" si="3461"/>
        <v/>
      </c>
      <c r="EP229" s="66" t="str">
        <f t="shared" si="3462"/>
        <v/>
      </c>
      <c r="EQ229" s="66" t="str">
        <f t="shared" si="3463"/>
        <v/>
      </c>
      <c r="ER229" s="66" t="str">
        <f t="shared" si="3464"/>
        <v/>
      </c>
      <c r="ES229" s="66" t="str">
        <f t="shared" si="3465"/>
        <v/>
      </c>
      <c r="ET229" s="66" t="str">
        <f t="shared" si="3466"/>
        <v/>
      </c>
      <c r="EU229" s="66" t="str">
        <f t="shared" si="3467"/>
        <v/>
      </c>
      <c r="EV229" s="66" t="str">
        <f t="shared" si="3468"/>
        <v/>
      </c>
      <c r="EW229" s="66" t="str">
        <f t="shared" si="3469"/>
        <v/>
      </c>
      <c r="EX229" s="66" t="str">
        <f t="shared" si="3470"/>
        <v/>
      </c>
      <c r="EY229" s="66" t="str">
        <f t="shared" si="3471"/>
        <v/>
      </c>
      <c r="EZ229" s="66" t="str">
        <f t="shared" si="3472"/>
        <v/>
      </c>
      <c r="FA229" s="66" t="str">
        <f t="shared" si="3473"/>
        <v/>
      </c>
      <c r="FB229" s="66" t="str">
        <f t="shared" si="3474"/>
        <v/>
      </c>
      <c r="FC229" s="66" t="str">
        <f t="shared" si="3475"/>
        <v/>
      </c>
      <c r="FD229" s="66" t="str">
        <f t="shared" si="3476"/>
        <v/>
      </c>
      <c r="FE229" s="66" t="str">
        <f t="shared" si="3477"/>
        <v/>
      </c>
      <c r="FF229" s="66" t="str">
        <f t="shared" si="3478"/>
        <v/>
      </c>
      <c r="FG229" s="66" t="str">
        <f t="shared" si="3479"/>
        <v/>
      </c>
      <c r="FH229" s="66" t="str">
        <f t="shared" si="3480"/>
        <v/>
      </c>
      <c r="FI229" s="66" t="str">
        <f t="shared" si="3481"/>
        <v/>
      </c>
      <c r="FJ229" s="66" t="str">
        <f t="shared" si="3482"/>
        <v/>
      </c>
      <c r="FK229" s="66" t="str">
        <f t="shared" si="3483"/>
        <v/>
      </c>
      <c r="FL229" s="66" t="str">
        <f t="shared" si="3484"/>
        <v/>
      </c>
      <c r="FM229" s="66" t="str">
        <f t="shared" si="3485"/>
        <v/>
      </c>
      <c r="FN229" s="66" t="str">
        <f t="shared" si="3486"/>
        <v/>
      </c>
      <c r="FO229" s="66" t="str">
        <f t="shared" si="3487"/>
        <v/>
      </c>
      <c r="FP229" s="66" t="str">
        <f t="shared" si="3488"/>
        <v/>
      </c>
      <c r="FQ229" s="66" t="str">
        <f t="shared" si="3489"/>
        <v/>
      </c>
      <c r="FR229" s="66" t="str">
        <f t="shared" si="3490"/>
        <v/>
      </c>
      <c r="FS229" s="66" t="str">
        <f t="shared" si="3491"/>
        <v/>
      </c>
    </row>
    <row r="230" spans="1:175" ht="16.5">
      <c r="A230" s="109"/>
      <c r="B230" s="27" t="s">
        <v>766</v>
      </c>
      <c r="C230" s="29" t="s">
        <v>748</v>
      </c>
      <c r="T230" s="118"/>
      <c r="U230" s="77"/>
      <c r="CN230" s="36" t="str">
        <f t="shared" si="3416"/>
        <v>InitUnitState('IF19',,,,,,,,,,)</v>
      </c>
      <c r="CO230" s="36" t="str">
        <f t="shared" si="3417"/>
        <v>InitUnitNormal('IF19',,,,,,,,,,)</v>
      </c>
      <c r="CP230" s="36" t="str">
        <f t="shared" si="3418"/>
        <v>InitUnitMagic('IF19',,,,,,,,,,)</v>
      </c>
      <c r="CQ230" s="36" t="str">
        <f t="shared" si="3419"/>
        <v>InitUnitAdd('IF19',,,,,,,,,,)</v>
      </c>
      <c r="CR230" s="36" t="str">
        <f t="shared" si="3420"/>
        <v>InitEquipData('IF19',,"",,,,,'','','','','','',"")</v>
      </c>
      <c r="CU230" s="88" t="str">
        <f t="shared" si="3421"/>
        <v>|n</v>
      </c>
      <c r="CW230" s="33"/>
      <c r="CX230" s="33"/>
      <c r="CY230" s="33"/>
      <c r="CZ230" s="33"/>
      <c r="DA230" s="33"/>
      <c r="DB230" s="66" t="str">
        <f t="shared" si="3422"/>
        <v/>
      </c>
      <c r="DC230" s="66" t="str">
        <f t="shared" si="3423"/>
        <v/>
      </c>
      <c r="DD230" s="66" t="str">
        <f t="shared" si="3424"/>
        <v/>
      </c>
      <c r="DE230" s="66" t="str">
        <f t="shared" si="3425"/>
        <v/>
      </c>
      <c r="DF230" s="66" t="str">
        <f t="shared" si="3426"/>
        <v/>
      </c>
      <c r="DG230" s="66" t="str">
        <f t="shared" si="3427"/>
        <v/>
      </c>
      <c r="DH230" s="66" t="str">
        <f t="shared" si="3428"/>
        <v/>
      </c>
      <c r="DI230" s="66" t="str">
        <f t="shared" si="3429"/>
        <v/>
      </c>
      <c r="DJ230" s="66" t="str">
        <f t="shared" si="3430"/>
        <v/>
      </c>
      <c r="DK230" s="66" t="str">
        <f t="shared" si="3431"/>
        <v/>
      </c>
      <c r="DL230" s="66" t="str">
        <f t="shared" si="3432"/>
        <v/>
      </c>
      <c r="DM230" s="66" t="str">
        <f t="shared" si="3433"/>
        <v/>
      </c>
      <c r="DN230" s="66" t="str">
        <f t="shared" si="3434"/>
        <v/>
      </c>
      <c r="DO230" s="66" t="str">
        <f t="shared" si="3435"/>
        <v/>
      </c>
      <c r="DP230" s="66" t="str">
        <f t="shared" si="3436"/>
        <v/>
      </c>
      <c r="DQ230" s="66" t="str">
        <f t="shared" si="3437"/>
        <v/>
      </c>
      <c r="DR230" s="66" t="str">
        <f t="shared" si="3438"/>
        <v/>
      </c>
      <c r="DS230" s="66" t="str">
        <f t="shared" si="3439"/>
        <v/>
      </c>
      <c r="DT230" s="66" t="str">
        <f t="shared" si="3440"/>
        <v/>
      </c>
      <c r="DU230" s="66" t="str">
        <f t="shared" si="3441"/>
        <v/>
      </c>
      <c r="DV230" s="66" t="str">
        <f t="shared" si="3442"/>
        <v/>
      </c>
      <c r="DW230" s="66" t="str">
        <f t="shared" si="3443"/>
        <v/>
      </c>
      <c r="DX230" s="66" t="str">
        <f t="shared" si="3444"/>
        <v/>
      </c>
      <c r="DY230" s="66" t="str">
        <f t="shared" si="3445"/>
        <v/>
      </c>
      <c r="DZ230" s="66" t="str">
        <f t="shared" si="3446"/>
        <v/>
      </c>
      <c r="EA230" s="66" t="str">
        <f t="shared" si="3447"/>
        <v/>
      </c>
      <c r="EB230" s="66" t="str">
        <f t="shared" si="3448"/>
        <v/>
      </c>
      <c r="EC230" s="66" t="str">
        <f t="shared" si="3449"/>
        <v/>
      </c>
      <c r="ED230" s="66" t="str">
        <f t="shared" si="3450"/>
        <v/>
      </c>
      <c r="EE230" s="66" t="str">
        <f t="shared" si="3451"/>
        <v/>
      </c>
      <c r="EF230" s="66" t="str">
        <f t="shared" si="3452"/>
        <v/>
      </c>
      <c r="EG230" s="66" t="str">
        <f t="shared" si="3453"/>
        <v/>
      </c>
      <c r="EH230" s="66" t="str">
        <f t="shared" si="3454"/>
        <v/>
      </c>
      <c r="EI230" s="66" t="str">
        <f t="shared" si="3455"/>
        <v/>
      </c>
      <c r="EJ230" s="66" t="str">
        <f t="shared" si="3456"/>
        <v/>
      </c>
      <c r="EK230" s="66" t="str">
        <f t="shared" si="3457"/>
        <v/>
      </c>
      <c r="EL230" s="66" t="str">
        <f t="shared" si="3458"/>
        <v/>
      </c>
      <c r="EM230" s="66" t="str">
        <f t="shared" si="3459"/>
        <v/>
      </c>
      <c r="EN230" s="66" t="str">
        <f t="shared" si="3460"/>
        <v/>
      </c>
      <c r="EO230" s="66" t="str">
        <f t="shared" si="3461"/>
        <v/>
      </c>
      <c r="EP230" s="66" t="str">
        <f t="shared" si="3462"/>
        <v/>
      </c>
      <c r="EQ230" s="66" t="str">
        <f t="shared" si="3463"/>
        <v/>
      </c>
      <c r="ER230" s="66" t="str">
        <f t="shared" si="3464"/>
        <v/>
      </c>
      <c r="ES230" s="66" t="str">
        <f t="shared" si="3465"/>
        <v/>
      </c>
      <c r="ET230" s="66" t="str">
        <f t="shared" si="3466"/>
        <v/>
      </c>
      <c r="EU230" s="66" t="str">
        <f t="shared" si="3467"/>
        <v/>
      </c>
      <c r="EV230" s="66" t="str">
        <f t="shared" si="3468"/>
        <v/>
      </c>
      <c r="EW230" s="66" t="str">
        <f t="shared" si="3469"/>
        <v/>
      </c>
      <c r="EX230" s="66" t="str">
        <f t="shared" si="3470"/>
        <v/>
      </c>
      <c r="EY230" s="66" t="str">
        <f t="shared" si="3471"/>
        <v/>
      </c>
      <c r="EZ230" s="66" t="str">
        <f t="shared" si="3472"/>
        <v/>
      </c>
      <c r="FA230" s="66" t="str">
        <f t="shared" si="3473"/>
        <v/>
      </c>
      <c r="FB230" s="66" t="str">
        <f t="shared" si="3474"/>
        <v/>
      </c>
      <c r="FC230" s="66" t="str">
        <f t="shared" si="3475"/>
        <v/>
      </c>
      <c r="FD230" s="66" t="str">
        <f t="shared" si="3476"/>
        <v/>
      </c>
      <c r="FE230" s="66" t="str">
        <f t="shared" si="3477"/>
        <v/>
      </c>
      <c r="FF230" s="66" t="str">
        <f t="shared" si="3478"/>
        <v/>
      </c>
      <c r="FG230" s="66" t="str">
        <f t="shared" si="3479"/>
        <v/>
      </c>
      <c r="FH230" s="66" t="str">
        <f t="shared" si="3480"/>
        <v/>
      </c>
      <c r="FI230" s="66" t="str">
        <f t="shared" si="3481"/>
        <v/>
      </c>
      <c r="FJ230" s="66" t="str">
        <f t="shared" si="3482"/>
        <v/>
      </c>
      <c r="FK230" s="66" t="str">
        <f t="shared" si="3483"/>
        <v/>
      </c>
      <c r="FL230" s="66" t="str">
        <f t="shared" si="3484"/>
        <v/>
      </c>
      <c r="FM230" s="66" t="str">
        <f t="shared" si="3485"/>
        <v/>
      </c>
      <c r="FN230" s="66" t="str">
        <f t="shared" si="3486"/>
        <v/>
      </c>
      <c r="FO230" s="66" t="str">
        <f t="shared" si="3487"/>
        <v/>
      </c>
      <c r="FP230" s="66" t="str">
        <f t="shared" si="3488"/>
        <v/>
      </c>
      <c r="FQ230" s="66" t="str">
        <f t="shared" si="3489"/>
        <v/>
      </c>
      <c r="FR230" s="66" t="str">
        <f t="shared" si="3490"/>
        <v/>
      </c>
      <c r="FS230" s="66" t="str">
        <f t="shared" si="3491"/>
        <v/>
      </c>
    </row>
    <row r="231" spans="1:175" ht="16.5">
      <c r="A231" s="109"/>
      <c r="B231" s="27" t="s">
        <v>767</v>
      </c>
      <c r="C231" s="29" t="s">
        <v>748</v>
      </c>
      <c r="T231" s="118"/>
      <c r="U231" s="77"/>
      <c r="CN231" s="36" t="str">
        <f t="shared" si="3416"/>
        <v>InitUnitState('IF20',,,,,,,,,,)</v>
      </c>
      <c r="CO231" s="36" t="str">
        <f t="shared" si="3417"/>
        <v>InitUnitNormal('IF20',,,,,,,,,,)</v>
      </c>
      <c r="CP231" s="36" t="str">
        <f t="shared" si="3418"/>
        <v>InitUnitMagic('IF20',,,,,,,,,,)</v>
      </c>
      <c r="CQ231" s="36" t="str">
        <f t="shared" si="3419"/>
        <v>InitUnitAdd('IF20',,,,,,,,,,)</v>
      </c>
      <c r="CR231" s="36" t="str">
        <f t="shared" si="3420"/>
        <v>InitEquipData('IF20',,"",,,,,'','','','','','',"")</v>
      </c>
      <c r="CU231" s="88" t="str">
        <f t="shared" si="3421"/>
        <v>|n</v>
      </c>
      <c r="CW231" s="33"/>
      <c r="CX231" s="33"/>
      <c r="CY231" s="33"/>
      <c r="CZ231" s="33"/>
      <c r="DA231" s="33"/>
      <c r="DB231" s="66" t="str">
        <f t="shared" si="3422"/>
        <v/>
      </c>
      <c r="DC231" s="66" t="str">
        <f t="shared" si="3423"/>
        <v/>
      </c>
      <c r="DD231" s="66" t="str">
        <f t="shared" si="3424"/>
        <v/>
      </c>
      <c r="DE231" s="66" t="str">
        <f t="shared" si="3425"/>
        <v/>
      </c>
      <c r="DF231" s="66" t="str">
        <f t="shared" si="3426"/>
        <v/>
      </c>
      <c r="DG231" s="66" t="str">
        <f t="shared" si="3427"/>
        <v/>
      </c>
      <c r="DH231" s="66" t="str">
        <f t="shared" si="3428"/>
        <v/>
      </c>
      <c r="DI231" s="66" t="str">
        <f t="shared" si="3429"/>
        <v/>
      </c>
      <c r="DJ231" s="66" t="str">
        <f t="shared" si="3430"/>
        <v/>
      </c>
      <c r="DK231" s="66" t="str">
        <f t="shared" si="3431"/>
        <v/>
      </c>
      <c r="DL231" s="66" t="str">
        <f t="shared" si="3432"/>
        <v/>
      </c>
      <c r="DM231" s="66" t="str">
        <f t="shared" si="3433"/>
        <v/>
      </c>
      <c r="DN231" s="66" t="str">
        <f t="shared" si="3434"/>
        <v/>
      </c>
      <c r="DO231" s="66" t="str">
        <f t="shared" si="3435"/>
        <v/>
      </c>
      <c r="DP231" s="66" t="str">
        <f t="shared" si="3436"/>
        <v/>
      </c>
      <c r="DQ231" s="66" t="str">
        <f t="shared" si="3437"/>
        <v/>
      </c>
      <c r="DR231" s="66" t="str">
        <f t="shared" si="3438"/>
        <v/>
      </c>
      <c r="DS231" s="66" t="str">
        <f t="shared" si="3439"/>
        <v/>
      </c>
      <c r="DT231" s="66" t="str">
        <f t="shared" si="3440"/>
        <v/>
      </c>
      <c r="DU231" s="66" t="str">
        <f t="shared" si="3441"/>
        <v/>
      </c>
      <c r="DV231" s="66" t="str">
        <f t="shared" si="3442"/>
        <v/>
      </c>
      <c r="DW231" s="66" t="str">
        <f t="shared" si="3443"/>
        <v/>
      </c>
      <c r="DX231" s="66" t="str">
        <f t="shared" si="3444"/>
        <v/>
      </c>
      <c r="DY231" s="66" t="str">
        <f t="shared" si="3445"/>
        <v/>
      </c>
      <c r="DZ231" s="66" t="str">
        <f t="shared" si="3446"/>
        <v/>
      </c>
      <c r="EA231" s="66" t="str">
        <f t="shared" si="3447"/>
        <v/>
      </c>
      <c r="EB231" s="66" t="str">
        <f t="shared" si="3448"/>
        <v/>
      </c>
      <c r="EC231" s="66" t="str">
        <f t="shared" si="3449"/>
        <v/>
      </c>
      <c r="ED231" s="66" t="str">
        <f t="shared" si="3450"/>
        <v/>
      </c>
      <c r="EE231" s="66" t="str">
        <f t="shared" si="3451"/>
        <v/>
      </c>
      <c r="EF231" s="66" t="str">
        <f t="shared" si="3452"/>
        <v/>
      </c>
      <c r="EG231" s="66" t="str">
        <f t="shared" si="3453"/>
        <v/>
      </c>
      <c r="EH231" s="66" t="str">
        <f t="shared" si="3454"/>
        <v/>
      </c>
      <c r="EI231" s="66" t="str">
        <f t="shared" si="3455"/>
        <v/>
      </c>
      <c r="EJ231" s="66" t="str">
        <f t="shared" si="3456"/>
        <v/>
      </c>
      <c r="EK231" s="66" t="str">
        <f t="shared" si="3457"/>
        <v/>
      </c>
      <c r="EL231" s="66" t="str">
        <f t="shared" si="3458"/>
        <v/>
      </c>
      <c r="EM231" s="66" t="str">
        <f t="shared" si="3459"/>
        <v/>
      </c>
      <c r="EN231" s="66" t="str">
        <f t="shared" si="3460"/>
        <v/>
      </c>
      <c r="EO231" s="66" t="str">
        <f t="shared" si="3461"/>
        <v/>
      </c>
      <c r="EP231" s="66" t="str">
        <f t="shared" si="3462"/>
        <v/>
      </c>
      <c r="EQ231" s="66" t="str">
        <f t="shared" si="3463"/>
        <v/>
      </c>
      <c r="ER231" s="66" t="str">
        <f t="shared" si="3464"/>
        <v/>
      </c>
      <c r="ES231" s="66" t="str">
        <f t="shared" si="3465"/>
        <v/>
      </c>
      <c r="ET231" s="66" t="str">
        <f t="shared" si="3466"/>
        <v/>
      </c>
      <c r="EU231" s="66" t="str">
        <f t="shared" si="3467"/>
        <v/>
      </c>
      <c r="EV231" s="66" t="str">
        <f t="shared" si="3468"/>
        <v/>
      </c>
      <c r="EW231" s="66" t="str">
        <f t="shared" si="3469"/>
        <v/>
      </c>
      <c r="EX231" s="66" t="str">
        <f t="shared" si="3470"/>
        <v/>
      </c>
      <c r="EY231" s="66" t="str">
        <f t="shared" si="3471"/>
        <v/>
      </c>
      <c r="EZ231" s="66" t="str">
        <f t="shared" si="3472"/>
        <v/>
      </c>
      <c r="FA231" s="66" t="str">
        <f t="shared" si="3473"/>
        <v/>
      </c>
      <c r="FB231" s="66" t="str">
        <f t="shared" si="3474"/>
        <v/>
      </c>
      <c r="FC231" s="66" t="str">
        <f t="shared" si="3475"/>
        <v/>
      </c>
      <c r="FD231" s="66" t="str">
        <f t="shared" si="3476"/>
        <v/>
      </c>
      <c r="FE231" s="66" t="str">
        <f t="shared" si="3477"/>
        <v/>
      </c>
      <c r="FF231" s="66" t="str">
        <f t="shared" si="3478"/>
        <v/>
      </c>
      <c r="FG231" s="66" t="str">
        <f t="shared" si="3479"/>
        <v/>
      </c>
      <c r="FH231" s="66" t="str">
        <f t="shared" si="3480"/>
        <v/>
      </c>
      <c r="FI231" s="66" t="str">
        <f t="shared" si="3481"/>
        <v/>
      </c>
      <c r="FJ231" s="66" t="str">
        <f t="shared" si="3482"/>
        <v/>
      </c>
      <c r="FK231" s="66" t="str">
        <f t="shared" si="3483"/>
        <v/>
      </c>
      <c r="FL231" s="66" t="str">
        <f t="shared" si="3484"/>
        <v/>
      </c>
      <c r="FM231" s="66" t="str">
        <f t="shared" si="3485"/>
        <v/>
      </c>
      <c r="FN231" s="66" t="str">
        <f t="shared" si="3486"/>
        <v/>
      </c>
      <c r="FO231" s="66" t="str">
        <f t="shared" si="3487"/>
        <v/>
      </c>
      <c r="FP231" s="66" t="str">
        <f t="shared" si="3488"/>
        <v/>
      </c>
      <c r="FQ231" s="66" t="str">
        <f t="shared" si="3489"/>
        <v/>
      </c>
      <c r="FR231" s="66" t="str">
        <f t="shared" si="3490"/>
        <v/>
      </c>
      <c r="FS231" s="66" t="str">
        <f t="shared" si="3491"/>
        <v/>
      </c>
    </row>
    <row r="232" spans="1:175">
      <c r="A232" s="27"/>
      <c r="B232" s="27" t="s">
        <v>768</v>
      </c>
      <c r="C232" s="29" t="s">
        <v>748</v>
      </c>
      <c r="T232" s="119"/>
      <c r="U232" s="77"/>
      <c r="CN232" s="36" t="str">
        <f t="shared" si="3416"/>
        <v>InitUnitState('IF21',,,,,,,,,,)</v>
      </c>
      <c r="CO232" s="36" t="str">
        <f t="shared" si="3417"/>
        <v>InitUnitNormal('IF21',,,,,,,,,,)</v>
      </c>
      <c r="CP232" s="36" t="str">
        <f t="shared" si="3418"/>
        <v>InitUnitMagic('IF21',,,,,,,,,,)</v>
      </c>
      <c r="CQ232" s="36" t="str">
        <f t="shared" si="3419"/>
        <v>InitUnitAdd('IF21',,,,,,,,,,)</v>
      </c>
      <c r="CR232" s="36" t="str">
        <f t="shared" si="3420"/>
        <v>InitEquipData('IF21',,"",,,,,'','','','','','',"")</v>
      </c>
      <c r="CU232" s="88" t="str">
        <f t="shared" si="3421"/>
        <v>|n</v>
      </c>
      <c r="CW232" s="33"/>
      <c r="CX232" s="33"/>
      <c r="CY232" s="33"/>
      <c r="CZ232" s="33"/>
      <c r="DA232" s="33"/>
      <c r="DB232" s="66" t="str">
        <f t="shared" si="3422"/>
        <v/>
      </c>
      <c r="DC232" s="66" t="str">
        <f t="shared" si="3423"/>
        <v/>
      </c>
      <c r="DD232" s="66" t="str">
        <f t="shared" si="3424"/>
        <v/>
      </c>
      <c r="DE232" s="66" t="str">
        <f t="shared" si="3425"/>
        <v/>
      </c>
      <c r="DF232" s="66" t="str">
        <f t="shared" si="3426"/>
        <v/>
      </c>
      <c r="DG232" s="66" t="str">
        <f t="shared" si="3427"/>
        <v/>
      </c>
      <c r="DH232" s="66" t="str">
        <f t="shared" si="3428"/>
        <v/>
      </c>
      <c r="DI232" s="66" t="str">
        <f t="shared" si="3429"/>
        <v/>
      </c>
      <c r="DJ232" s="66" t="str">
        <f t="shared" si="3430"/>
        <v/>
      </c>
      <c r="DK232" s="66" t="str">
        <f t="shared" si="3431"/>
        <v/>
      </c>
      <c r="DL232" s="66" t="str">
        <f t="shared" si="3432"/>
        <v/>
      </c>
      <c r="DM232" s="66" t="str">
        <f t="shared" si="3433"/>
        <v/>
      </c>
      <c r="DN232" s="66" t="str">
        <f t="shared" si="3434"/>
        <v/>
      </c>
      <c r="DO232" s="66" t="str">
        <f t="shared" si="3435"/>
        <v/>
      </c>
      <c r="DP232" s="66" t="str">
        <f t="shared" si="3436"/>
        <v/>
      </c>
      <c r="DQ232" s="66" t="str">
        <f t="shared" si="3437"/>
        <v/>
      </c>
      <c r="DR232" s="66" t="str">
        <f t="shared" si="3438"/>
        <v/>
      </c>
      <c r="DS232" s="66" t="str">
        <f t="shared" si="3439"/>
        <v/>
      </c>
      <c r="DT232" s="66" t="str">
        <f t="shared" si="3440"/>
        <v/>
      </c>
      <c r="DU232" s="66" t="str">
        <f t="shared" si="3441"/>
        <v/>
      </c>
      <c r="DV232" s="66" t="str">
        <f t="shared" si="3442"/>
        <v/>
      </c>
      <c r="DW232" s="66" t="str">
        <f t="shared" si="3443"/>
        <v/>
      </c>
      <c r="DX232" s="66" t="str">
        <f t="shared" si="3444"/>
        <v/>
      </c>
      <c r="DY232" s="66" t="str">
        <f t="shared" si="3445"/>
        <v/>
      </c>
      <c r="DZ232" s="66" t="str">
        <f t="shared" si="3446"/>
        <v/>
      </c>
      <c r="EA232" s="66" t="str">
        <f t="shared" si="3447"/>
        <v/>
      </c>
      <c r="EB232" s="66" t="str">
        <f t="shared" si="3448"/>
        <v/>
      </c>
      <c r="EC232" s="66" t="str">
        <f t="shared" si="3449"/>
        <v/>
      </c>
      <c r="ED232" s="66" t="str">
        <f t="shared" si="3450"/>
        <v/>
      </c>
      <c r="EE232" s="66" t="str">
        <f t="shared" si="3451"/>
        <v/>
      </c>
      <c r="EF232" s="66" t="str">
        <f t="shared" si="3452"/>
        <v/>
      </c>
      <c r="EG232" s="66" t="str">
        <f t="shared" si="3453"/>
        <v/>
      </c>
      <c r="EH232" s="66" t="str">
        <f t="shared" si="3454"/>
        <v/>
      </c>
      <c r="EI232" s="66" t="str">
        <f t="shared" si="3455"/>
        <v/>
      </c>
      <c r="EJ232" s="66" t="str">
        <f t="shared" si="3456"/>
        <v/>
      </c>
      <c r="EK232" s="66" t="str">
        <f t="shared" si="3457"/>
        <v/>
      </c>
      <c r="EL232" s="66" t="str">
        <f t="shared" si="3458"/>
        <v/>
      </c>
      <c r="EM232" s="66" t="str">
        <f t="shared" si="3459"/>
        <v/>
      </c>
      <c r="EN232" s="66" t="str">
        <f t="shared" si="3460"/>
        <v/>
      </c>
      <c r="EO232" s="66" t="str">
        <f t="shared" si="3461"/>
        <v/>
      </c>
      <c r="EP232" s="66" t="str">
        <f t="shared" si="3462"/>
        <v/>
      </c>
      <c r="EQ232" s="66" t="str">
        <f t="shared" si="3463"/>
        <v/>
      </c>
      <c r="ER232" s="66" t="str">
        <f t="shared" si="3464"/>
        <v/>
      </c>
      <c r="ES232" s="66" t="str">
        <f t="shared" si="3465"/>
        <v/>
      </c>
      <c r="ET232" s="66" t="str">
        <f t="shared" si="3466"/>
        <v/>
      </c>
      <c r="EU232" s="66" t="str">
        <f t="shared" si="3467"/>
        <v/>
      </c>
      <c r="EV232" s="66" t="str">
        <f t="shared" si="3468"/>
        <v/>
      </c>
      <c r="EW232" s="66" t="str">
        <f t="shared" si="3469"/>
        <v/>
      </c>
      <c r="EX232" s="66" t="str">
        <f t="shared" si="3470"/>
        <v/>
      </c>
      <c r="EY232" s="66" t="str">
        <f t="shared" si="3471"/>
        <v/>
      </c>
      <c r="EZ232" s="66" t="str">
        <f t="shared" si="3472"/>
        <v/>
      </c>
      <c r="FA232" s="66" t="str">
        <f t="shared" si="3473"/>
        <v/>
      </c>
      <c r="FB232" s="66" t="str">
        <f t="shared" si="3474"/>
        <v/>
      </c>
      <c r="FC232" s="66" t="str">
        <f t="shared" si="3475"/>
        <v/>
      </c>
      <c r="FD232" s="66" t="str">
        <f t="shared" si="3476"/>
        <v/>
      </c>
      <c r="FE232" s="66" t="str">
        <f t="shared" si="3477"/>
        <v/>
      </c>
      <c r="FF232" s="66" t="str">
        <f t="shared" si="3478"/>
        <v/>
      </c>
      <c r="FG232" s="66" t="str">
        <f t="shared" si="3479"/>
        <v/>
      </c>
      <c r="FH232" s="66" t="str">
        <f t="shared" si="3480"/>
        <v/>
      </c>
      <c r="FI232" s="66" t="str">
        <f t="shared" si="3481"/>
        <v/>
      </c>
      <c r="FJ232" s="66" t="str">
        <f t="shared" si="3482"/>
        <v/>
      </c>
      <c r="FK232" s="66" t="str">
        <f t="shared" si="3483"/>
        <v/>
      </c>
      <c r="FL232" s="66" t="str">
        <f t="shared" si="3484"/>
        <v/>
      </c>
      <c r="FM232" s="66" t="str">
        <f t="shared" si="3485"/>
        <v/>
      </c>
      <c r="FN232" s="66" t="str">
        <f t="shared" si="3486"/>
        <v/>
      </c>
      <c r="FO232" s="66" t="str">
        <f t="shared" si="3487"/>
        <v/>
      </c>
      <c r="FP232" s="66" t="str">
        <f t="shared" si="3488"/>
        <v/>
      </c>
      <c r="FQ232" s="66" t="str">
        <f t="shared" si="3489"/>
        <v/>
      </c>
      <c r="FR232" s="66" t="str">
        <f t="shared" si="3490"/>
        <v/>
      </c>
      <c r="FS232" s="66" t="str">
        <f t="shared" si="3491"/>
        <v/>
      </c>
    </row>
    <row r="233" spans="1:175">
      <c r="A233" s="27"/>
      <c r="B233" s="27" t="s">
        <v>769</v>
      </c>
      <c r="C233" s="29" t="s">
        <v>748</v>
      </c>
      <c r="T233" s="119"/>
      <c r="U233" s="77"/>
      <c r="CN233" s="36" t="str">
        <f t="shared" si="3416"/>
        <v>InitUnitState('IF22',,,,,,,,,,)</v>
      </c>
      <c r="CO233" s="36" t="str">
        <f t="shared" si="3417"/>
        <v>InitUnitNormal('IF22',,,,,,,,,,)</v>
      </c>
      <c r="CP233" s="36" t="str">
        <f t="shared" si="3418"/>
        <v>InitUnitMagic('IF22',,,,,,,,,,)</v>
      </c>
      <c r="CQ233" s="36" t="str">
        <f t="shared" si="3419"/>
        <v>InitUnitAdd('IF22',,,,,,,,,,)</v>
      </c>
      <c r="CR233" s="36" t="str">
        <f t="shared" si="3420"/>
        <v>InitEquipData('IF22',,"",,,,,'','','','','','',"")</v>
      </c>
      <c r="CU233" s="88" t="str">
        <f t="shared" si="3421"/>
        <v>|n</v>
      </c>
      <c r="CW233" s="33"/>
      <c r="CX233" s="33"/>
      <c r="CY233" s="33"/>
      <c r="CZ233" s="33"/>
      <c r="DA233" s="33"/>
      <c r="DB233" s="66" t="str">
        <f t="shared" si="3422"/>
        <v/>
      </c>
      <c r="DC233" s="66" t="str">
        <f t="shared" si="3423"/>
        <v/>
      </c>
      <c r="DD233" s="66" t="str">
        <f t="shared" si="3424"/>
        <v/>
      </c>
      <c r="DE233" s="66" t="str">
        <f t="shared" si="3425"/>
        <v/>
      </c>
      <c r="DF233" s="66" t="str">
        <f t="shared" si="3426"/>
        <v/>
      </c>
      <c r="DG233" s="66" t="str">
        <f t="shared" si="3427"/>
        <v/>
      </c>
      <c r="DH233" s="66" t="str">
        <f t="shared" si="3428"/>
        <v/>
      </c>
      <c r="DI233" s="66" t="str">
        <f t="shared" si="3429"/>
        <v/>
      </c>
      <c r="DJ233" s="66" t="str">
        <f t="shared" si="3430"/>
        <v/>
      </c>
      <c r="DK233" s="66" t="str">
        <f t="shared" si="3431"/>
        <v/>
      </c>
      <c r="DL233" s="66" t="str">
        <f t="shared" si="3432"/>
        <v/>
      </c>
      <c r="DM233" s="66" t="str">
        <f t="shared" si="3433"/>
        <v/>
      </c>
      <c r="DN233" s="66" t="str">
        <f t="shared" si="3434"/>
        <v/>
      </c>
      <c r="DO233" s="66" t="str">
        <f t="shared" si="3435"/>
        <v/>
      </c>
      <c r="DP233" s="66" t="str">
        <f t="shared" si="3436"/>
        <v/>
      </c>
      <c r="DQ233" s="66" t="str">
        <f t="shared" si="3437"/>
        <v/>
      </c>
      <c r="DR233" s="66" t="str">
        <f t="shared" si="3438"/>
        <v/>
      </c>
      <c r="DS233" s="66" t="str">
        <f t="shared" si="3439"/>
        <v/>
      </c>
      <c r="DT233" s="66" t="str">
        <f t="shared" si="3440"/>
        <v/>
      </c>
      <c r="DU233" s="66" t="str">
        <f t="shared" si="3441"/>
        <v/>
      </c>
      <c r="DV233" s="66" t="str">
        <f t="shared" si="3442"/>
        <v/>
      </c>
      <c r="DW233" s="66" t="str">
        <f t="shared" si="3443"/>
        <v/>
      </c>
      <c r="DX233" s="66" t="str">
        <f t="shared" si="3444"/>
        <v/>
      </c>
      <c r="DY233" s="66" t="str">
        <f t="shared" si="3445"/>
        <v/>
      </c>
      <c r="DZ233" s="66" t="str">
        <f t="shared" si="3446"/>
        <v/>
      </c>
      <c r="EA233" s="66" t="str">
        <f t="shared" si="3447"/>
        <v/>
      </c>
      <c r="EB233" s="66" t="str">
        <f t="shared" si="3448"/>
        <v/>
      </c>
      <c r="EC233" s="66" t="str">
        <f t="shared" si="3449"/>
        <v/>
      </c>
      <c r="ED233" s="66" t="str">
        <f t="shared" si="3450"/>
        <v/>
      </c>
      <c r="EE233" s="66" t="str">
        <f t="shared" si="3451"/>
        <v/>
      </c>
      <c r="EF233" s="66" t="str">
        <f t="shared" si="3452"/>
        <v/>
      </c>
      <c r="EG233" s="66" t="str">
        <f t="shared" si="3453"/>
        <v/>
      </c>
      <c r="EH233" s="66" t="str">
        <f t="shared" si="3454"/>
        <v/>
      </c>
      <c r="EI233" s="66" t="str">
        <f t="shared" si="3455"/>
        <v/>
      </c>
      <c r="EJ233" s="66" t="str">
        <f t="shared" si="3456"/>
        <v/>
      </c>
      <c r="EK233" s="66" t="str">
        <f t="shared" si="3457"/>
        <v/>
      </c>
      <c r="EL233" s="66" t="str">
        <f t="shared" si="3458"/>
        <v/>
      </c>
      <c r="EM233" s="66" t="str">
        <f t="shared" si="3459"/>
        <v/>
      </c>
      <c r="EN233" s="66" t="str">
        <f t="shared" si="3460"/>
        <v/>
      </c>
      <c r="EO233" s="66" t="str">
        <f t="shared" si="3461"/>
        <v/>
      </c>
      <c r="EP233" s="66" t="str">
        <f t="shared" si="3462"/>
        <v/>
      </c>
      <c r="EQ233" s="66" t="str">
        <f t="shared" si="3463"/>
        <v/>
      </c>
      <c r="ER233" s="66" t="str">
        <f t="shared" si="3464"/>
        <v/>
      </c>
      <c r="ES233" s="66" t="str">
        <f t="shared" si="3465"/>
        <v/>
      </c>
      <c r="ET233" s="66" t="str">
        <f t="shared" si="3466"/>
        <v/>
      </c>
      <c r="EU233" s="66" t="str">
        <f t="shared" si="3467"/>
        <v/>
      </c>
      <c r="EV233" s="66" t="str">
        <f t="shared" si="3468"/>
        <v/>
      </c>
      <c r="EW233" s="66" t="str">
        <f t="shared" si="3469"/>
        <v/>
      </c>
      <c r="EX233" s="66" t="str">
        <f t="shared" si="3470"/>
        <v/>
      </c>
      <c r="EY233" s="66" t="str">
        <f t="shared" si="3471"/>
        <v/>
      </c>
      <c r="EZ233" s="66" t="str">
        <f t="shared" si="3472"/>
        <v/>
      </c>
      <c r="FA233" s="66" t="str">
        <f t="shared" si="3473"/>
        <v/>
      </c>
      <c r="FB233" s="66" t="str">
        <f t="shared" si="3474"/>
        <v/>
      </c>
      <c r="FC233" s="66" t="str">
        <f t="shared" si="3475"/>
        <v/>
      </c>
      <c r="FD233" s="66" t="str">
        <f t="shared" si="3476"/>
        <v/>
      </c>
      <c r="FE233" s="66" t="str">
        <f t="shared" si="3477"/>
        <v/>
      </c>
      <c r="FF233" s="66" t="str">
        <f t="shared" si="3478"/>
        <v/>
      </c>
      <c r="FG233" s="66" t="str">
        <f t="shared" si="3479"/>
        <v/>
      </c>
      <c r="FH233" s="66" t="str">
        <f t="shared" si="3480"/>
        <v/>
      </c>
      <c r="FI233" s="66" t="str">
        <f t="shared" si="3481"/>
        <v/>
      </c>
      <c r="FJ233" s="66" t="str">
        <f t="shared" si="3482"/>
        <v/>
      </c>
      <c r="FK233" s="66" t="str">
        <f t="shared" si="3483"/>
        <v/>
      </c>
      <c r="FL233" s="66" t="str">
        <f t="shared" si="3484"/>
        <v/>
      </c>
      <c r="FM233" s="66" t="str">
        <f t="shared" si="3485"/>
        <v/>
      </c>
      <c r="FN233" s="66" t="str">
        <f t="shared" si="3486"/>
        <v/>
      </c>
      <c r="FO233" s="66" t="str">
        <f t="shared" si="3487"/>
        <v/>
      </c>
      <c r="FP233" s="66" t="str">
        <f t="shared" si="3488"/>
        <v/>
      </c>
      <c r="FQ233" s="66" t="str">
        <f t="shared" si="3489"/>
        <v/>
      </c>
      <c r="FR233" s="66" t="str">
        <f t="shared" si="3490"/>
        <v/>
      </c>
      <c r="FS233" s="66" t="str">
        <f t="shared" si="3491"/>
        <v/>
      </c>
    </row>
    <row r="234" spans="1:175">
      <c r="A234" s="27"/>
      <c r="B234" s="27" t="s">
        <v>770</v>
      </c>
      <c r="C234" s="29" t="s">
        <v>748</v>
      </c>
      <c r="T234" s="119"/>
      <c r="U234" s="77"/>
      <c r="CN234" s="36" t="str">
        <f t="shared" si="3416"/>
        <v>InitUnitState('IF23',,,,,,,,,,)</v>
      </c>
      <c r="CO234" s="36" t="str">
        <f t="shared" si="3417"/>
        <v>InitUnitNormal('IF23',,,,,,,,,,)</v>
      </c>
      <c r="CP234" s="36" t="str">
        <f t="shared" si="3418"/>
        <v>InitUnitMagic('IF23',,,,,,,,,,)</v>
      </c>
      <c r="CQ234" s="36" t="str">
        <f t="shared" si="3419"/>
        <v>InitUnitAdd('IF23',,,,,,,,,,)</v>
      </c>
      <c r="CR234" s="36" t="str">
        <f t="shared" si="3420"/>
        <v>InitEquipData('IF23',,"",,,,,'','','','','','',"")</v>
      </c>
      <c r="CU234" s="88" t="str">
        <f t="shared" si="3421"/>
        <v>|n</v>
      </c>
      <c r="CW234" s="33"/>
      <c r="CX234" s="33"/>
      <c r="CY234" s="33"/>
      <c r="CZ234" s="33"/>
      <c r="DA234" s="33"/>
      <c r="DB234" s="66" t="str">
        <f t="shared" si="3422"/>
        <v/>
      </c>
      <c r="DC234" s="66" t="str">
        <f t="shared" si="3423"/>
        <v/>
      </c>
      <c r="DD234" s="66" t="str">
        <f t="shared" si="3424"/>
        <v/>
      </c>
      <c r="DE234" s="66" t="str">
        <f t="shared" si="3425"/>
        <v/>
      </c>
      <c r="DF234" s="66" t="str">
        <f t="shared" si="3426"/>
        <v/>
      </c>
      <c r="DG234" s="66" t="str">
        <f t="shared" si="3427"/>
        <v/>
      </c>
      <c r="DH234" s="66" t="str">
        <f t="shared" si="3428"/>
        <v/>
      </c>
      <c r="DI234" s="66" t="str">
        <f t="shared" si="3429"/>
        <v/>
      </c>
      <c r="DJ234" s="66" t="str">
        <f t="shared" si="3430"/>
        <v/>
      </c>
      <c r="DK234" s="66" t="str">
        <f t="shared" si="3431"/>
        <v/>
      </c>
      <c r="DL234" s="66" t="str">
        <f t="shared" si="3432"/>
        <v/>
      </c>
      <c r="DM234" s="66" t="str">
        <f t="shared" si="3433"/>
        <v/>
      </c>
      <c r="DN234" s="66" t="str">
        <f t="shared" si="3434"/>
        <v/>
      </c>
      <c r="DO234" s="66" t="str">
        <f t="shared" si="3435"/>
        <v/>
      </c>
      <c r="DP234" s="66" t="str">
        <f t="shared" si="3436"/>
        <v/>
      </c>
      <c r="DQ234" s="66" t="str">
        <f t="shared" si="3437"/>
        <v/>
      </c>
      <c r="DR234" s="66" t="str">
        <f t="shared" si="3438"/>
        <v/>
      </c>
      <c r="DS234" s="66" t="str">
        <f t="shared" si="3439"/>
        <v/>
      </c>
      <c r="DT234" s="66" t="str">
        <f t="shared" si="3440"/>
        <v/>
      </c>
      <c r="DU234" s="66" t="str">
        <f t="shared" si="3441"/>
        <v/>
      </c>
      <c r="DV234" s="66" t="str">
        <f t="shared" si="3442"/>
        <v/>
      </c>
      <c r="DW234" s="66" t="str">
        <f t="shared" si="3443"/>
        <v/>
      </c>
      <c r="DX234" s="66" t="str">
        <f t="shared" si="3444"/>
        <v/>
      </c>
      <c r="DY234" s="66" t="str">
        <f t="shared" si="3445"/>
        <v/>
      </c>
      <c r="DZ234" s="66" t="str">
        <f t="shared" si="3446"/>
        <v/>
      </c>
      <c r="EA234" s="66" t="str">
        <f t="shared" si="3447"/>
        <v/>
      </c>
      <c r="EB234" s="66" t="str">
        <f t="shared" si="3448"/>
        <v/>
      </c>
      <c r="EC234" s="66" t="str">
        <f t="shared" si="3449"/>
        <v/>
      </c>
      <c r="ED234" s="66" t="str">
        <f t="shared" si="3450"/>
        <v/>
      </c>
      <c r="EE234" s="66" t="str">
        <f t="shared" si="3451"/>
        <v/>
      </c>
      <c r="EF234" s="66" t="str">
        <f t="shared" si="3452"/>
        <v/>
      </c>
      <c r="EG234" s="66" t="str">
        <f t="shared" si="3453"/>
        <v/>
      </c>
      <c r="EH234" s="66" t="str">
        <f t="shared" si="3454"/>
        <v/>
      </c>
      <c r="EI234" s="66" t="str">
        <f t="shared" si="3455"/>
        <v/>
      </c>
      <c r="EJ234" s="66" t="str">
        <f t="shared" si="3456"/>
        <v/>
      </c>
      <c r="EK234" s="66" t="str">
        <f t="shared" si="3457"/>
        <v/>
      </c>
      <c r="EL234" s="66" t="str">
        <f t="shared" si="3458"/>
        <v/>
      </c>
      <c r="EM234" s="66" t="str">
        <f t="shared" si="3459"/>
        <v/>
      </c>
      <c r="EN234" s="66" t="str">
        <f t="shared" si="3460"/>
        <v/>
      </c>
      <c r="EO234" s="66" t="str">
        <f t="shared" si="3461"/>
        <v/>
      </c>
      <c r="EP234" s="66" t="str">
        <f t="shared" si="3462"/>
        <v/>
      </c>
      <c r="EQ234" s="66" t="str">
        <f t="shared" si="3463"/>
        <v/>
      </c>
      <c r="ER234" s="66" t="str">
        <f t="shared" si="3464"/>
        <v/>
      </c>
      <c r="ES234" s="66" t="str">
        <f t="shared" si="3465"/>
        <v/>
      </c>
      <c r="ET234" s="66" t="str">
        <f t="shared" si="3466"/>
        <v/>
      </c>
      <c r="EU234" s="66" t="str">
        <f t="shared" si="3467"/>
        <v/>
      </c>
      <c r="EV234" s="66" t="str">
        <f t="shared" si="3468"/>
        <v/>
      </c>
      <c r="EW234" s="66" t="str">
        <f t="shared" si="3469"/>
        <v/>
      </c>
      <c r="EX234" s="66" t="str">
        <f t="shared" si="3470"/>
        <v/>
      </c>
      <c r="EY234" s="66" t="str">
        <f t="shared" si="3471"/>
        <v/>
      </c>
      <c r="EZ234" s="66" t="str">
        <f t="shared" si="3472"/>
        <v/>
      </c>
      <c r="FA234" s="66" t="str">
        <f t="shared" si="3473"/>
        <v/>
      </c>
      <c r="FB234" s="66" t="str">
        <f t="shared" si="3474"/>
        <v/>
      </c>
      <c r="FC234" s="66" t="str">
        <f t="shared" si="3475"/>
        <v/>
      </c>
      <c r="FD234" s="66" t="str">
        <f t="shared" si="3476"/>
        <v/>
      </c>
      <c r="FE234" s="66" t="str">
        <f t="shared" si="3477"/>
        <v/>
      </c>
      <c r="FF234" s="66" t="str">
        <f t="shared" si="3478"/>
        <v/>
      </c>
      <c r="FG234" s="66" t="str">
        <f t="shared" si="3479"/>
        <v/>
      </c>
      <c r="FH234" s="66" t="str">
        <f t="shared" si="3480"/>
        <v/>
      </c>
      <c r="FI234" s="66" t="str">
        <f t="shared" si="3481"/>
        <v/>
      </c>
      <c r="FJ234" s="66" t="str">
        <f t="shared" si="3482"/>
        <v/>
      </c>
      <c r="FK234" s="66" t="str">
        <f t="shared" si="3483"/>
        <v/>
      </c>
      <c r="FL234" s="66" t="str">
        <f t="shared" si="3484"/>
        <v/>
      </c>
      <c r="FM234" s="66" t="str">
        <f t="shared" si="3485"/>
        <v/>
      </c>
      <c r="FN234" s="66" t="str">
        <f t="shared" si="3486"/>
        <v/>
      </c>
      <c r="FO234" s="66" t="str">
        <f t="shared" si="3487"/>
        <v/>
      </c>
      <c r="FP234" s="66" t="str">
        <f t="shared" si="3488"/>
        <v/>
      </c>
      <c r="FQ234" s="66" t="str">
        <f t="shared" si="3489"/>
        <v/>
      </c>
      <c r="FR234" s="66" t="str">
        <f t="shared" si="3490"/>
        <v/>
      </c>
      <c r="FS234" s="66" t="str">
        <f t="shared" si="3491"/>
        <v/>
      </c>
    </row>
    <row r="235" spans="1:175">
      <c r="A235" s="27"/>
      <c r="B235" s="27" t="s">
        <v>771</v>
      </c>
      <c r="C235" s="29" t="s">
        <v>748</v>
      </c>
      <c r="T235" s="119"/>
      <c r="U235" s="77"/>
      <c r="CN235" s="36" t="str">
        <f t="shared" si="3416"/>
        <v>InitUnitState('IF24',,,,,,,,,,)</v>
      </c>
      <c r="CO235" s="36" t="str">
        <f t="shared" si="3417"/>
        <v>InitUnitNormal('IF24',,,,,,,,,,)</v>
      </c>
      <c r="CP235" s="36" t="str">
        <f t="shared" si="3418"/>
        <v>InitUnitMagic('IF24',,,,,,,,,,)</v>
      </c>
      <c r="CQ235" s="36" t="str">
        <f t="shared" si="3419"/>
        <v>InitUnitAdd('IF24',,,,,,,,,,)</v>
      </c>
      <c r="CR235" s="36" t="str">
        <f t="shared" si="3420"/>
        <v>InitEquipData('IF24',,"",,,,,'','','','','','',"")</v>
      </c>
      <c r="CU235" s="88" t="str">
        <f t="shared" ref="CU235:CU282" si="34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33"/>
      <c r="CX235" s="33"/>
      <c r="CY235" s="33"/>
      <c r="CZ235" s="33"/>
      <c r="DA235" s="33"/>
      <c r="DB235" s="66" t="str">
        <f t="shared" ref="DB235:DB282" si="3493">IF(V235="","","|n"&amp;DB$2&amp;"+"&amp;V235&amp;DB$1)</f>
        <v/>
      </c>
      <c r="DC235" s="66" t="str">
        <f t="shared" ref="DC235:DC282" si="3494">IF(W235="","","|n"&amp;DC$2&amp;"+"&amp;W235&amp;DC$1)</f>
        <v/>
      </c>
      <c r="DD235" s="66" t="str">
        <f t="shared" ref="DD235:DD282" si="3495">IF(X235="","","|n"&amp;DD$2&amp;"+"&amp;X235&amp;DD$1)</f>
        <v/>
      </c>
      <c r="DE235" s="66" t="str">
        <f t="shared" ref="DE235:DE282" si="3496">IF(Y235="","","|n"&amp;DE$2&amp;"+"&amp;Y235&amp;DE$1)</f>
        <v/>
      </c>
      <c r="DF235" s="66" t="str">
        <f t="shared" ref="DF235:DF282" si="3497">IF(Z235="","","|n"&amp;DF$2&amp;"+"&amp;Z235&amp;DF$1)</f>
        <v/>
      </c>
      <c r="DG235" s="66" t="str">
        <f t="shared" ref="DG235:DG282" si="3498">IF(AA235="","","|n"&amp;DG$2&amp;"+"&amp;AA235&amp;DG$1)</f>
        <v/>
      </c>
      <c r="DH235" s="66" t="str">
        <f t="shared" ref="DH235:DH282" si="3499">IF(AB235="","","|n"&amp;DH$2&amp;"+"&amp;AB235&amp;DH$1)</f>
        <v/>
      </c>
      <c r="DI235" s="66" t="str">
        <f t="shared" ref="DI235:DI282" si="3500">IF(AC235="","","|n"&amp;DI$2&amp;"+"&amp;AC235&amp;DI$1)</f>
        <v/>
      </c>
      <c r="DJ235" s="66" t="str">
        <f t="shared" ref="DJ235:DJ282" si="3501">IF(AD235="","","|n"&amp;DJ$2&amp;"+"&amp;AD235&amp;DJ$1)</f>
        <v/>
      </c>
      <c r="DK235" s="66" t="str">
        <f t="shared" ref="DK235:DK282" si="3502">IF(AE235="","","|n"&amp;DK$2&amp;"+"&amp;AE235&amp;DK$1)</f>
        <v/>
      </c>
      <c r="DL235" s="66" t="str">
        <f t="shared" ref="DL235:DL282" si="3503">IF(AF235="","","|n"&amp;DL$2&amp;"+"&amp;AF235&amp;DL$1)</f>
        <v/>
      </c>
      <c r="DM235" s="66" t="str">
        <f t="shared" ref="DM235:DM282" si="3504">IF(AG235="","","|n"&amp;DM$2&amp;"+"&amp;AG235&amp;DM$1)</f>
        <v/>
      </c>
      <c r="DN235" s="66" t="str">
        <f t="shared" ref="DN235:DN282" si="3505">IF(AH235="","","|n"&amp;DN$2&amp;"+"&amp;AH235&amp;DN$1)</f>
        <v/>
      </c>
      <c r="DO235" s="66" t="str">
        <f t="shared" ref="DO235:DO282" si="3506">IF(AI235="","","|n"&amp;DO$2&amp;"+"&amp;AI235&amp;DO$1)</f>
        <v/>
      </c>
      <c r="DP235" s="66" t="str">
        <f t="shared" ref="DP235:DP282" si="3507">IF(AJ235="","","|n"&amp;DP$2&amp;"+"&amp;AJ235&amp;DP$1)</f>
        <v/>
      </c>
      <c r="DQ235" s="66" t="str">
        <f t="shared" ref="DQ235:DQ282" si="3508">IF(AK235="","","|n"&amp;DQ$2&amp;"+"&amp;AK235&amp;DQ$1)</f>
        <v/>
      </c>
      <c r="DR235" s="66" t="str">
        <f t="shared" ref="DR235:DR282" si="3509">IF(AL235="","","|n"&amp;DR$2&amp;"+"&amp;AL235&amp;DR$1)</f>
        <v/>
      </c>
      <c r="DS235" s="66" t="str">
        <f t="shared" ref="DS235:DS282" si="3510">IF(AM235="","","|n"&amp;DS$2&amp;"+"&amp;AM235&amp;DS$1)</f>
        <v/>
      </c>
      <c r="DT235" s="66" t="str">
        <f t="shared" ref="DT235:DT282" si="3511">IF(AN235="","","|n"&amp;DT$2&amp;"+"&amp;AN235&amp;DT$1)</f>
        <v/>
      </c>
      <c r="DU235" s="66" t="str">
        <f t="shared" ref="DU235:DU282" si="3512">IF(AO235="","","|n"&amp;DU$2&amp;"+"&amp;AO235&amp;DU$1)</f>
        <v/>
      </c>
      <c r="DV235" s="66" t="str">
        <f t="shared" ref="DV235:DV282" si="3513">IF(AP235="","","|n"&amp;DV$2&amp;"+"&amp;AP235&amp;DV$1)</f>
        <v/>
      </c>
      <c r="DW235" s="66" t="str">
        <f t="shared" ref="DW235:DW282" si="3514">IF(AQ235="","","|n"&amp;DW$2&amp;"+"&amp;AQ235&amp;DW$1)</f>
        <v/>
      </c>
      <c r="DX235" s="66" t="str">
        <f t="shared" ref="DX235:DX282" si="3515">IF(AR235="","","|n"&amp;DX$2&amp;"+"&amp;AR235&amp;DX$1)</f>
        <v/>
      </c>
      <c r="DY235" s="66" t="str">
        <f t="shared" ref="DY235:DY282" si="3516">IF(AS235="","","|n"&amp;DY$2&amp;"+"&amp;AS235&amp;DY$1)</f>
        <v/>
      </c>
      <c r="DZ235" s="66" t="str">
        <f t="shared" ref="DZ235:DZ282" si="3517">IF(AT235="","","|n"&amp;DZ$2&amp;"+"&amp;AT235&amp;DZ$1)</f>
        <v/>
      </c>
      <c r="EA235" s="66" t="str">
        <f t="shared" ref="EA235:EA282" si="3518">IF(AU235="","","|n"&amp;EA$2&amp;"+"&amp;AU235&amp;EA$1)</f>
        <v/>
      </c>
      <c r="EB235" s="66" t="str">
        <f t="shared" ref="EB235:EB282" si="3519">IF(AV235="","","|n"&amp;EB$2&amp;"+"&amp;AV235&amp;EB$1)</f>
        <v/>
      </c>
      <c r="EC235" s="66" t="str">
        <f t="shared" ref="EC235:EC282" si="3520">IF(AW235="","","|n"&amp;EC$2&amp;"+"&amp;AW235&amp;EC$1)</f>
        <v/>
      </c>
      <c r="ED235" s="66" t="str">
        <f t="shared" ref="ED235:ED282" si="3521">IF(AX235="","","|n"&amp;ED$2&amp;"+"&amp;AX235&amp;ED$1)</f>
        <v/>
      </c>
      <c r="EE235" s="66" t="str">
        <f t="shared" ref="EE235:EE282" si="3522">IF(AY235="","","|n"&amp;EE$2&amp;"+"&amp;AY235&amp;EE$1)</f>
        <v/>
      </c>
      <c r="EF235" s="66" t="str">
        <f t="shared" ref="EF235:EF282" si="3523">IF(AZ235="","","|n"&amp;EF$2&amp;"+"&amp;AZ235&amp;EF$1)</f>
        <v/>
      </c>
      <c r="EG235" s="66" t="str">
        <f t="shared" ref="EG235:EG282" si="3524">IF(BA235="","","|n"&amp;EG$2&amp;"+"&amp;BA235&amp;EG$1)</f>
        <v/>
      </c>
      <c r="EH235" s="66" t="str">
        <f t="shared" ref="EH235:EH282" si="3525">IF(BB235="","","|n"&amp;EH$2&amp;"+"&amp;BB235&amp;EH$1)</f>
        <v/>
      </c>
      <c r="EI235" s="66" t="str">
        <f t="shared" ref="EI235:EI282" si="3526">IF(BC235="","","|n"&amp;EI$2&amp;"+"&amp;BC235&amp;EI$1)</f>
        <v/>
      </c>
      <c r="EJ235" s="66" t="str">
        <f t="shared" ref="EJ235:EJ282" si="3527">IF(BD235="","","|n"&amp;EJ$2&amp;"+"&amp;BD235&amp;EJ$1)</f>
        <v/>
      </c>
      <c r="EK235" s="66" t="str">
        <f t="shared" ref="EK235:EK282" si="3528">IF(BE235="","","|n"&amp;EK$2&amp;"+"&amp;BE235&amp;EK$1)</f>
        <v/>
      </c>
      <c r="EL235" s="66" t="str">
        <f t="shared" ref="EL235:EL282" si="3529">IF(BF235="","","|n"&amp;EL$2&amp;"+"&amp;BF235&amp;EL$1)</f>
        <v/>
      </c>
      <c r="EM235" s="66" t="str">
        <f t="shared" ref="EM235:EM282" si="3530">IF(BG235="","","|n"&amp;EM$2&amp;"+"&amp;BG235&amp;EM$1)</f>
        <v/>
      </c>
      <c r="EN235" s="66" t="str">
        <f t="shared" ref="EN235:EN282" si="3531">IF(BH235="","","|n"&amp;EN$2&amp;"+"&amp;BH235&amp;EN$1)</f>
        <v/>
      </c>
      <c r="EO235" s="66" t="str">
        <f t="shared" ref="EO235:EO282" si="3532">IF(BI235="","","|n"&amp;EO$2&amp;"+"&amp;BI235&amp;EO$1)</f>
        <v/>
      </c>
      <c r="EP235" s="66" t="str">
        <f t="shared" ref="EP235:EP282" si="3533">IF(BJ235="","","|n"&amp;EP$2&amp;"+"&amp;BJ235&amp;EP$1)</f>
        <v/>
      </c>
      <c r="EQ235" s="66" t="str">
        <f t="shared" ref="EQ235:EQ282" si="3534">IF(BK235="","","|n"&amp;EQ$2&amp;"+"&amp;BK235&amp;EQ$1)</f>
        <v/>
      </c>
      <c r="ER235" s="66" t="str">
        <f t="shared" ref="ER235:ER282" si="3535">IF(BL235="","","|n"&amp;ER$2&amp;"+"&amp;BL235&amp;ER$1)</f>
        <v/>
      </c>
      <c r="ES235" s="66" t="str">
        <f t="shared" ref="ES235:ES282" si="3536">IF(BM235="","","|n"&amp;ES$2&amp;"+"&amp;BM235&amp;ES$1)</f>
        <v/>
      </c>
      <c r="ET235" s="66" t="str">
        <f t="shared" ref="ET235:ET282" si="3537">IF(BN235="","","|n"&amp;ET$2&amp;"+"&amp;BN235&amp;ET$1)</f>
        <v/>
      </c>
      <c r="EU235" s="66" t="str">
        <f t="shared" ref="EU235:EU282" si="3538">IF(BO235="","","|n"&amp;EU$2&amp;"+"&amp;BO235&amp;EU$1)</f>
        <v/>
      </c>
      <c r="EV235" s="66" t="str">
        <f t="shared" ref="EV235:EV282" si="3539">IF(BP235="","","|n"&amp;EV$2&amp;"+"&amp;BP235&amp;EV$1)</f>
        <v/>
      </c>
      <c r="EW235" s="66" t="str">
        <f t="shared" ref="EW235:EW282" si="3540">IF(BQ235="","","|n"&amp;EW$2&amp;"+"&amp;BQ235&amp;EW$1)</f>
        <v/>
      </c>
      <c r="EX235" s="66" t="str">
        <f t="shared" ref="EX235:EX282" si="3541">IF(BR235="","","|n"&amp;EX$2&amp;"+"&amp;BR235&amp;EX$1)</f>
        <v/>
      </c>
      <c r="EY235" s="66" t="str">
        <f t="shared" ref="EY235:EY282" si="3542">IF(BS235="","","|n"&amp;EY$2&amp;"+"&amp;BS235&amp;EY$1)</f>
        <v/>
      </c>
      <c r="EZ235" s="66" t="str">
        <f t="shared" ref="EZ235:EZ282" si="3543">IF(BT235="","","|n"&amp;EZ$2&amp;"+"&amp;BT235&amp;EZ$1)</f>
        <v/>
      </c>
      <c r="FA235" s="66" t="str">
        <f t="shared" ref="FA235:FA282" si="3544">IF(BU235="","","|n"&amp;FA$2&amp;"+"&amp;BU235&amp;FA$1)</f>
        <v/>
      </c>
      <c r="FB235" s="66" t="str">
        <f t="shared" ref="FB235:FB282" si="3545">IF(BV235="","","|n"&amp;FB$2&amp;"+"&amp;BV235&amp;FB$1)</f>
        <v/>
      </c>
      <c r="FC235" s="66" t="str">
        <f t="shared" ref="FC235:FC282" si="3546">IF(BW235="","","|n"&amp;FC$2&amp;"+"&amp;BW235&amp;FC$1)</f>
        <v/>
      </c>
      <c r="FD235" s="66" t="str">
        <f t="shared" ref="FD235:FD282" si="3547">IF(BX235="","","|n"&amp;FD$2&amp;"+"&amp;BX235&amp;FD$1)</f>
        <v/>
      </c>
      <c r="FE235" s="66" t="str">
        <f t="shared" ref="FE235:FE282" si="3548">IF(BY235="","","|n"&amp;FE$2&amp;"+"&amp;BY235&amp;FE$1)</f>
        <v/>
      </c>
      <c r="FF235" s="66" t="str">
        <f t="shared" ref="FF235:FF282" si="3549">IF(BZ235="","","|n"&amp;FF$2&amp;"+"&amp;BZ235&amp;FF$1)</f>
        <v/>
      </c>
      <c r="FG235" s="66" t="str">
        <f t="shared" ref="FG235:FG282" si="3550">IF(CA235="","","|n"&amp;FG$2&amp;"+"&amp;CA235&amp;FG$1)</f>
        <v/>
      </c>
      <c r="FH235" s="66" t="str">
        <f t="shared" ref="FH235:FH282" si="3551">IF(CB235="","","|n"&amp;FH$2&amp;"+"&amp;CB235&amp;FH$1)</f>
        <v/>
      </c>
      <c r="FI235" s="66" t="str">
        <f t="shared" ref="FI235:FI282" si="3552">IF(CC235="","","|n"&amp;FI$2&amp;"+"&amp;CC235&amp;FI$1)</f>
        <v/>
      </c>
      <c r="FJ235" s="66" t="str">
        <f t="shared" ref="FJ235:FJ282" si="3553">IF(CD235="","","|n"&amp;FJ$2&amp;"+"&amp;CD235&amp;FJ$1)</f>
        <v/>
      </c>
      <c r="FK235" s="66" t="str">
        <f t="shared" ref="FK235:FK282" si="3554">IF(CE235="","","|n"&amp;FK$2&amp;"+"&amp;CE235&amp;FK$1)</f>
        <v/>
      </c>
      <c r="FL235" s="66" t="str">
        <f t="shared" ref="FL235:FL282" si="3555">IF(CF235="","","|n"&amp;FL$2&amp;"+"&amp;CF235&amp;FL$1)</f>
        <v/>
      </c>
      <c r="FM235" s="66" t="str">
        <f t="shared" ref="FM235:FM282" si="3556">IF(CG235="","","|n"&amp;FM$2&amp;"+"&amp;CG235&amp;FM$1)</f>
        <v/>
      </c>
      <c r="FN235" s="66" t="str">
        <f t="shared" ref="FN235:FN282" si="3557">IF(CH235="","","|n"&amp;FN$2&amp;"+"&amp;CH235&amp;FN$1)</f>
        <v/>
      </c>
      <c r="FO235" s="66" t="str">
        <f t="shared" ref="FO235:FO282" si="3558">IF(CI235="","","|n"&amp;FO$2&amp;"+"&amp;CI235&amp;FO$1)</f>
        <v/>
      </c>
      <c r="FP235" s="66" t="str">
        <f t="shared" ref="FP235:FP282" si="3559">IF(CJ235="","","|n"&amp;FP$2&amp;"+"&amp;CJ235&amp;FP$1)</f>
        <v/>
      </c>
      <c r="FQ235" s="66" t="str">
        <f t="shared" ref="FQ235:FQ282" si="3560">IF(CK235="","","|n"&amp;FQ$2&amp;"+"&amp;CK235&amp;FQ$1)</f>
        <v/>
      </c>
      <c r="FR235" s="66" t="str">
        <f t="shared" ref="FR235:FR282" si="3561">IF(CL235="","","|n"&amp;FR$2&amp;"+"&amp;CL235&amp;FR$1)</f>
        <v/>
      </c>
      <c r="FS235" s="66" t="str">
        <f t="shared" ref="FS235:FS282" si="3562">IF(CM235="","","|n"&amp;FS$2&amp;"+"&amp;CM235&amp;FS$1)</f>
        <v/>
      </c>
    </row>
    <row r="236" spans="1:175">
      <c r="A236" s="27"/>
      <c r="B236" s="27" t="s">
        <v>772</v>
      </c>
      <c r="C236" s="29" t="s">
        <v>748</v>
      </c>
      <c r="T236" s="119"/>
      <c r="U236" s="77"/>
      <c r="CN236" s="36" t="str">
        <f t="shared" si="3416"/>
        <v>InitUnitState('IF25',,,,,,,,,,)</v>
      </c>
      <c r="CO236" s="36" t="str">
        <f t="shared" si="3417"/>
        <v>InitUnitNormal('IF25',,,,,,,,,,)</v>
      </c>
      <c r="CP236" s="36" t="str">
        <f t="shared" si="3418"/>
        <v>InitUnitMagic('IF25',,,,,,,,,,)</v>
      </c>
      <c r="CQ236" s="36" t="str">
        <f t="shared" si="3419"/>
        <v>InitUnitAdd('IF25',,,,,,,,,,)</v>
      </c>
      <c r="CR236" s="36" t="str">
        <f t="shared" si="3420"/>
        <v>InitEquipData('IF25',,"",,,,,'','','','','','',"")</v>
      </c>
      <c r="CU236" s="88" t="str">
        <f t="shared" si="3492"/>
        <v>|n</v>
      </c>
      <c r="CW236" s="33"/>
      <c r="CX236" s="33"/>
      <c r="CY236" s="33"/>
      <c r="CZ236" s="33"/>
      <c r="DA236" s="33"/>
      <c r="DB236" s="66" t="str">
        <f t="shared" si="3493"/>
        <v/>
      </c>
      <c r="DC236" s="66" t="str">
        <f t="shared" si="3494"/>
        <v/>
      </c>
      <c r="DD236" s="66" t="str">
        <f t="shared" si="3495"/>
        <v/>
      </c>
      <c r="DE236" s="66" t="str">
        <f t="shared" si="3496"/>
        <v/>
      </c>
      <c r="DF236" s="66" t="str">
        <f t="shared" si="3497"/>
        <v/>
      </c>
      <c r="DG236" s="66" t="str">
        <f t="shared" si="3498"/>
        <v/>
      </c>
      <c r="DH236" s="66" t="str">
        <f t="shared" si="3499"/>
        <v/>
      </c>
      <c r="DI236" s="66" t="str">
        <f t="shared" si="3500"/>
        <v/>
      </c>
      <c r="DJ236" s="66" t="str">
        <f t="shared" si="3501"/>
        <v/>
      </c>
      <c r="DK236" s="66" t="str">
        <f t="shared" si="3502"/>
        <v/>
      </c>
      <c r="DL236" s="66" t="str">
        <f t="shared" si="3503"/>
        <v/>
      </c>
      <c r="DM236" s="66" t="str">
        <f t="shared" si="3504"/>
        <v/>
      </c>
      <c r="DN236" s="66" t="str">
        <f t="shared" si="3505"/>
        <v/>
      </c>
      <c r="DO236" s="66" t="str">
        <f t="shared" si="3506"/>
        <v/>
      </c>
      <c r="DP236" s="66" t="str">
        <f t="shared" si="3507"/>
        <v/>
      </c>
      <c r="DQ236" s="66" t="str">
        <f t="shared" si="3508"/>
        <v/>
      </c>
      <c r="DR236" s="66" t="str">
        <f t="shared" si="3509"/>
        <v/>
      </c>
      <c r="DS236" s="66" t="str">
        <f t="shared" si="3510"/>
        <v/>
      </c>
      <c r="DT236" s="66" t="str">
        <f t="shared" si="3511"/>
        <v/>
      </c>
      <c r="DU236" s="66" t="str">
        <f t="shared" si="3512"/>
        <v/>
      </c>
      <c r="DV236" s="66" t="str">
        <f t="shared" si="3513"/>
        <v/>
      </c>
      <c r="DW236" s="66" t="str">
        <f t="shared" si="3514"/>
        <v/>
      </c>
      <c r="DX236" s="66" t="str">
        <f t="shared" si="3515"/>
        <v/>
      </c>
      <c r="DY236" s="66" t="str">
        <f t="shared" si="3516"/>
        <v/>
      </c>
      <c r="DZ236" s="66" t="str">
        <f t="shared" si="3517"/>
        <v/>
      </c>
      <c r="EA236" s="66" t="str">
        <f t="shared" si="3518"/>
        <v/>
      </c>
      <c r="EB236" s="66" t="str">
        <f t="shared" si="3519"/>
        <v/>
      </c>
      <c r="EC236" s="66" t="str">
        <f t="shared" si="3520"/>
        <v/>
      </c>
      <c r="ED236" s="66" t="str">
        <f t="shared" si="3521"/>
        <v/>
      </c>
      <c r="EE236" s="66" t="str">
        <f t="shared" si="3522"/>
        <v/>
      </c>
      <c r="EF236" s="66" t="str">
        <f t="shared" si="3523"/>
        <v/>
      </c>
      <c r="EG236" s="66" t="str">
        <f t="shared" si="3524"/>
        <v/>
      </c>
      <c r="EH236" s="66" t="str">
        <f t="shared" si="3525"/>
        <v/>
      </c>
      <c r="EI236" s="66" t="str">
        <f t="shared" si="3526"/>
        <v/>
      </c>
      <c r="EJ236" s="66" t="str">
        <f t="shared" si="3527"/>
        <v/>
      </c>
      <c r="EK236" s="66" t="str">
        <f t="shared" si="3528"/>
        <v/>
      </c>
      <c r="EL236" s="66" t="str">
        <f t="shared" si="3529"/>
        <v/>
      </c>
      <c r="EM236" s="66" t="str">
        <f t="shared" si="3530"/>
        <v/>
      </c>
      <c r="EN236" s="66" t="str">
        <f t="shared" si="3531"/>
        <v/>
      </c>
      <c r="EO236" s="66" t="str">
        <f t="shared" si="3532"/>
        <v/>
      </c>
      <c r="EP236" s="66" t="str">
        <f t="shared" si="3533"/>
        <v/>
      </c>
      <c r="EQ236" s="66" t="str">
        <f t="shared" si="3534"/>
        <v/>
      </c>
      <c r="ER236" s="66" t="str">
        <f t="shared" si="3535"/>
        <v/>
      </c>
      <c r="ES236" s="66" t="str">
        <f t="shared" si="3536"/>
        <v/>
      </c>
      <c r="ET236" s="66" t="str">
        <f t="shared" si="3537"/>
        <v/>
      </c>
      <c r="EU236" s="66" t="str">
        <f t="shared" si="3538"/>
        <v/>
      </c>
      <c r="EV236" s="66" t="str">
        <f t="shared" si="3539"/>
        <v/>
      </c>
      <c r="EW236" s="66" t="str">
        <f t="shared" si="3540"/>
        <v/>
      </c>
      <c r="EX236" s="66" t="str">
        <f t="shared" si="3541"/>
        <v/>
      </c>
      <c r="EY236" s="66" t="str">
        <f t="shared" si="3542"/>
        <v/>
      </c>
      <c r="EZ236" s="66" t="str">
        <f t="shared" si="3543"/>
        <v/>
      </c>
      <c r="FA236" s="66" t="str">
        <f t="shared" si="3544"/>
        <v/>
      </c>
      <c r="FB236" s="66" t="str">
        <f t="shared" si="3545"/>
        <v/>
      </c>
      <c r="FC236" s="66" t="str">
        <f t="shared" si="3546"/>
        <v/>
      </c>
      <c r="FD236" s="66" t="str">
        <f t="shared" si="3547"/>
        <v/>
      </c>
      <c r="FE236" s="66" t="str">
        <f t="shared" si="3548"/>
        <v/>
      </c>
      <c r="FF236" s="66" t="str">
        <f t="shared" si="3549"/>
        <v/>
      </c>
      <c r="FG236" s="66" t="str">
        <f t="shared" si="3550"/>
        <v/>
      </c>
      <c r="FH236" s="66" t="str">
        <f t="shared" si="3551"/>
        <v/>
      </c>
      <c r="FI236" s="66" t="str">
        <f t="shared" si="3552"/>
        <v/>
      </c>
      <c r="FJ236" s="66" t="str">
        <f t="shared" si="3553"/>
        <v/>
      </c>
      <c r="FK236" s="66" t="str">
        <f t="shared" si="3554"/>
        <v/>
      </c>
      <c r="FL236" s="66" t="str">
        <f t="shared" si="3555"/>
        <v/>
      </c>
      <c r="FM236" s="66" t="str">
        <f t="shared" si="3556"/>
        <v/>
      </c>
      <c r="FN236" s="66" t="str">
        <f t="shared" si="3557"/>
        <v/>
      </c>
      <c r="FO236" s="66" t="str">
        <f t="shared" si="3558"/>
        <v/>
      </c>
      <c r="FP236" s="66" t="str">
        <f t="shared" si="3559"/>
        <v/>
      </c>
      <c r="FQ236" s="66" t="str">
        <f t="shared" si="3560"/>
        <v/>
      </c>
      <c r="FR236" s="66" t="str">
        <f t="shared" si="3561"/>
        <v/>
      </c>
      <c r="FS236" s="66" t="str">
        <f t="shared" si="3562"/>
        <v/>
      </c>
    </row>
    <row r="237" spans="1:175">
      <c r="A237" s="27"/>
      <c r="B237" s="27" t="s">
        <v>773</v>
      </c>
      <c r="C237" s="29" t="s">
        <v>748</v>
      </c>
      <c r="T237" s="119"/>
      <c r="U237" s="77"/>
      <c r="CN237" s="36" t="str">
        <f t="shared" si="3416"/>
        <v>InitUnitState('IF26',,,,,,,,,,)</v>
      </c>
      <c r="CO237" s="36" t="str">
        <f t="shared" si="3417"/>
        <v>InitUnitNormal('IF26',,,,,,,,,,)</v>
      </c>
      <c r="CP237" s="36" t="str">
        <f t="shared" si="3418"/>
        <v>InitUnitMagic('IF26',,,,,,,,,,)</v>
      </c>
      <c r="CQ237" s="36" t="str">
        <f t="shared" si="3419"/>
        <v>InitUnitAdd('IF26',,,,,,,,,,)</v>
      </c>
      <c r="CR237" s="36" t="str">
        <f t="shared" si="3420"/>
        <v>InitEquipData('IF26',,"",,,,,'','','','','','',"")</v>
      </c>
      <c r="CU237" s="88" t="str">
        <f t="shared" si="3492"/>
        <v>|n</v>
      </c>
      <c r="CW237" s="33"/>
      <c r="CX237" s="33"/>
      <c r="CY237" s="33"/>
      <c r="CZ237" s="33"/>
      <c r="DA237" s="33"/>
      <c r="DB237" s="66" t="str">
        <f t="shared" si="3493"/>
        <v/>
      </c>
      <c r="DC237" s="66" t="str">
        <f t="shared" si="3494"/>
        <v/>
      </c>
      <c r="DD237" s="66" t="str">
        <f t="shared" si="3495"/>
        <v/>
      </c>
      <c r="DE237" s="66" t="str">
        <f t="shared" si="3496"/>
        <v/>
      </c>
      <c r="DF237" s="66" t="str">
        <f t="shared" si="3497"/>
        <v/>
      </c>
      <c r="DG237" s="66" t="str">
        <f t="shared" si="3498"/>
        <v/>
      </c>
      <c r="DH237" s="66" t="str">
        <f t="shared" si="3499"/>
        <v/>
      </c>
      <c r="DI237" s="66" t="str">
        <f t="shared" si="3500"/>
        <v/>
      </c>
      <c r="DJ237" s="66" t="str">
        <f t="shared" si="3501"/>
        <v/>
      </c>
      <c r="DK237" s="66" t="str">
        <f t="shared" si="3502"/>
        <v/>
      </c>
      <c r="DL237" s="66" t="str">
        <f t="shared" si="3503"/>
        <v/>
      </c>
      <c r="DM237" s="66" t="str">
        <f t="shared" si="3504"/>
        <v/>
      </c>
      <c r="DN237" s="66" t="str">
        <f t="shared" si="3505"/>
        <v/>
      </c>
      <c r="DO237" s="66" t="str">
        <f t="shared" si="3506"/>
        <v/>
      </c>
      <c r="DP237" s="66" t="str">
        <f t="shared" si="3507"/>
        <v/>
      </c>
      <c r="DQ237" s="66" t="str">
        <f t="shared" si="3508"/>
        <v/>
      </c>
      <c r="DR237" s="66" t="str">
        <f t="shared" si="3509"/>
        <v/>
      </c>
      <c r="DS237" s="66" t="str">
        <f t="shared" si="3510"/>
        <v/>
      </c>
      <c r="DT237" s="66" t="str">
        <f t="shared" si="3511"/>
        <v/>
      </c>
      <c r="DU237" s="66" t="str">
        <f t="shared" si="3512"/>
        <v/>
      </c>
      <c r="DV237" s="66" t="str">
        <f t="shared" si="3513"/>
        <v/>
      </c>
      <c r="DW237" s="66" t="str">
        <f t="shared" si="3514"/>
        <v/>
      </c>
      <c r="DX237" s="66" t="str">
        <f t="shared" si="3515"/>
        <v/>
      </c>
      <c r="DY237" s="66" t="str">
        <f t="shared" si="3516"/>
        <v/>
      </c>
      <c r="DZ237" s="66" t="str">
        <f t="shared" si="3517"/>
        <v/>
      </c>
      <c r="EA237" s="66" t="str">
        <f t="shared" si="3518"/>
        <v/>
      </c>
      <c r="EB237" s="66" t="str">
        <f t="shared" si="3519"/>
        <v/>
      </c>
      <c r="EC237" s="66" t="str">
        <f t="shared" si="3520"/>
        <v/>
      </c>
      <c r="ED237" s="66" t="str">
        <f t="shared" si="3521"/>
        <v/>
      </c>
      <c r="EE237" s="66" t="str">
        <f t="shared" si="3522"/>
        <v/>
      </c>
      <c r="EF237" s="66" t="str">
        <f t="shared" si="3523"/>
        <v/>
      </c>
      <c r="EG237" s="66" t="str">
        <f t="shared" si="3524"/>
        <v/>
      </c>
      <c r="EH237" s="66" t="str">
        <f t="shared" si="3525"/>
        <v/>
      </c>
      <c r="EI237" s="66" t="str">
        <f t="shared" si="3526"/>
        <v/>
      </c>
      <c r="EJ237" s="66" t="str">
        <f t="shared" si="3527"/>
        <v/>
      </c>
      <c r="EK237" s="66" t="str">
        <f t="shared" si="3528"/>
        <v/>
      </c>
      <c r="EL237" s="66" t="str">
        <f t="shared" si="3529"/>
        <v/>
      </c>
      <c r="EM237" s="66" t="str">
        <f t="shared" si="3530"/>
        <v/>
      </c>
      <c r="EN237" s="66" t="str">
        <f t="shared" si="3531"/>
        <v/>
      </c>
      <c r="EO237" s="66" t="str">
        <f t="shared" si="3532"/>
        <v/>
      </c>
      <c r="EP237" s="66" t="str">
        <f t="shared" si="3533"/>
        <v/>
      </c>
      <c r="EQ237" s="66" t="str">
        <f t="shared" si="3534"/>
        <v/>
      </c>
      <c r="ER237" s="66" t="str">
        <f t="shared" si="3535"/>
        <v/>
      </c>
      <c r="ES237" s="66" t="str">
        <f t="shared" si="3536"/>
        <v/>
      </c>
      <c r="ET237" s="66" t="str">
        <f t="shared" si="3537"/>
        <v/>
      </c>
      <c r="EU237" s="66" t="str">
        <f t="shared" si="3538"/>
        <v/>
      </c>
      <c r="EV237" s="66" t="str">
        <f t="shared" si="3539"/>
        <v/>
      </c>
      <c r="EW237" s="66" t="str">
        <f t="shared" si="3540"/>
        <v/>
      </c>
      <c r="EX237" s="66" t="str">
        <f t="shared" si="3541"/>
        <v/>
      </c>
      <c r="EY237" s="66" t="str">
        <f t="shared" si="3542"/>
        <v/>
      </c>
      <c r="EZ237" s="66" t="str">
        <f t="shared" si="3543"/>
        <v/>
      </c>
      <c r="FA237" s="66" t="str">
        <f t="shared" si="3544"/>
        <v/>
      </c>
      <c r="FB237" s="66" t="str">
        <f t="shared" si="3545"/>
        <v/>
      </c>
      <c r="FC237" s="66" t="str">
        <f t="shared" si="3546"/>
        <v/>
      </c>
      <c r="FD237" s="66" t="str">
        <f t="shared" si="3547"/>
        <v/>
      </c>
      <c r="FE237" s="66" t="str">
        <f t="shared" si="3548"/>
        <v/>
      </c>
      <c r="FF237" s="66" t="str">
        <f t="shared" si="3549"/>
        <v/>
      </c>
      <c r="FG237" s="66" t="str">
        <f t="shared" si="3550"/>
        <v/>
      </c>
      <c r="FH237" s="66" t="str">
        <f t="shared" si="3551"/>
        <v/>
      </c>
      <c r="FI237" s="66" t="str">
        <f t="shared" si="3552"/>
        <v/>
      </c>
      <c r="FJ237" s="66" t="str">
        <f t="shared" si="3553"/>
        <v/>
      </c>
      <c r="FK237" s="66" t="str">
        <f t="shared" si="3554"/>
        <v/>
      </c>
      <c r="FL237" s="66" t="str">
        <f t="shared" si="3555"/>
        <v/>
      </c>
      <c r="FM237" s="66" t="str">
        <f t="shared" si="3556"/>
        <v/>
      </c>
      <c r="FN237" s="66" t="str">
        <f t="shared" si="3557"/>
        <v/>
      </c>
      <c r="FO237" s="66" t="str">
        <f t="shared" si="3558"/>
        <v/>
      </c>
      <c r="FP237" s="66" t="str">
        <f t="shared" si="3559"/>
        <v/>
      </c>
      <c r="FQ237" s="66" t="str">
        <f t="shared" si="3560"/>
        <v/>
      </c>
      <c r="FR237" s="66" t="str">
        <f t="shared" si="3561"/>
        <v/>
      </c>
      <c r="FS237" s="66" t="str">
        <f t="shared" si="3562"/>
        <v/>
      </c>
    </row>
    <row r="238" spans="1:175">
      <c r="A238" s="27"/>
      <c r="B238" s="27" t="s">
        <v>774</v>
      </c>
      <c r="C238" s="29" t="s">
        <v>748</v>
      </c>
      <c r="T238" s="119"/>
      <c r="U238" s="77"/>
      <c r="CN238" s="36" t="str">
        <f t="shared" si="3416"/>
        <v>InitUnitState('IF27',,,,,,,,,,)</v>
      </c>
      <c r="CO238" s="36" t="str">
        <f t="shared" si="3417"/>
        <v>InitUnitNormal('IF27',,,,,,,,,,)</v>
      </c>
      <c r="CP238" s="36" t="str">
        <f t="shared" si="3418"/>
        <v>InitUnitMagic('IF27',,,,,,,,,,)</v>
      </c>
      <c r="CQ238" s="36" t="str">
        <f t="shared" si="3419"/>
        <v>InitUnitAdd('IF27',,,,,,,,,,)</v>
      </c>
      <c r="CR238" s="36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InitEquipData('IF27',,"",,,,,'','','','','','',"")</v>
      </c>
      <c r="CU238" s="88" t="str">
        <f t="shared" si="3492"/>
        <v>|n</v>
      </c>
      <c r="CW238" s="33"/>
      <c r="CX238" s="33"/>
      <c r="CY238" s="33"/>
      <c r="CZ238" s="33"/>
      <c r="DA238" s="33"/>
      <c r="DB238" s="66" t="str">
        <f t="shared" si="3493"/>
        <v/>
      </c>
      <c r="DC238" s="66" t="str">
        <f t="shared" si="3494"/>
        <v/>
      </c>
      <c r="DD238" s="66" t="str">
        <f t="shared" si="3495"/>
        <v/>
      </c>
      <c r="DE238" s="66" t="str">
        <f t="shared" si="3496"/>
        <v/>
      </c>
      <c r="DF238" s="66" t="str">
        <f t="shared" si="3497"/>
        <v/>
      </c>
      <c r="DG238" s="66" t="str">
        <f t="shared" si="3498"/>
        <v/>
      </c>
      <c r="DH238" s="66" t="str">
        <f t="shared" si="3499"/>
        <v/>
      </c>
      <c r="DI238" s="66" t="str">
        <f t="shared" si="3500"/>
        <v/>
      </c>
      <c r="DJ238" s="66" t="str">
        <f t="shared" si="3501"/>
        <v/>
      </c>
      <c r="DK238" s="66" t="str">
        <f t="shared" si="3502"/>
        <v/>
      </c>
      <c r="DL238" s="66" t="str">
        <f t="shared" si="3503"/>
        <v/>
      </c>
      <c r="DM238" s="66" t="str">
        <f t="shared" si="3504"/>
        <v/>
      </c>
      <c r="DN238" s="66" t="str">
        <f t="shared" si="3505"/>
        <v/>
      </c>
      <c r="DO238" s="66" t="str">
        <f t="shared" si="3506"/>
        <v/>
      </c>
      <c r="DP238" s="66" t="str">
        <f t="shared" si="3507"/>
        <v/>
      </c>
      <c r="DQ238" s="66" t="str">
        <f t="shared" si="3508"/>
        <v/>
      </c>
      <c r="DR238" s="66" t="str">
        <f t="shared" si="3509"/>
        <v/>
      </c>
      <c r="DS238" s="66" t="str">
        <f t="shared" si="3510"/>
        <v/>
      </c>
      <c r="DT238" s="66" t="str">
        <f t="shared" si="3511"/>
        <v/>
      </c>
      <c r="DU238" s="66" t="str">
        <f t="shared" si="3512"/>
        <v/>
      </c>
      <c r="DV238" s="66" t="str">
        <f t="shared" si="3513"/>
        <v/>
      </c>
      <c r="DW238" s="66" t="str">
        <f t="shared" si="3514"/>
        <v/>
      </c>
      <c r="DX238" s="66" t="str">
        <f t="shared" si="3515"/>
        <v/>
      </c>
      <c r="DY238" s="66" t="str">
        <f t="shared" si="3516"/>
        <v/>
      </c>
      <c r="DZ238" s="66" t="str">
        <f t="shared" si="3517"/>
        <v/>
      </c>
      <c r="EA238" s="66" t="str">
        <f t="shared" si="3518"/>
        <v/>
      </c>
      <c r="EB238" s="66" t="str">
        <f t="shared" si="3519"/>
        <v/>
      </c>
      <c r="EC238" s="66" t="str">
        <f t="shared" si="3520"/>
        <v/>
      </c>
      <c r="ED238" s="66" t="str">
        <f t="shared" si="3521"/>
        <v/>
      </c>
      <c r="EE238" s="66" t="str">
        <f t="shared" si="3522"/>
        <v/>
      </c>
      <c r="EF238" s="66" t="str">
        <f t="shared" si="3523"/>
        <v/>
      </c>
      <c r="EG238" s="66" t="str">
        <f t="shared" si="3524"/>
        <v/>
      </c>
      <c r="EH238" s="66" t="str">
        <f t="shared" si="3525"/>
        <v/>
      </c>
      <c r="EI238" s="66" t="str">
        <f t="shared" si="3526"/>
        <v/>
      </c>
      <c r="EJ238" s="66" t="str">
        <f t="shared" si="3527"/>
        <v/>
      </c>
      <c r="EK238" s="66" t="str">
        <f t="shared" si="3528"/>
        <v/>
      </c>
      <c r="EL238" s="66" t="str">
        <f t="shared" si="3529"/>
        <v/>
      </c>
      <c r="EM238" s="66" t="str">
        <f t="shared" si="3530"/>
        <v/>
      </c>
      <c r="EN238" s="66" t="str">
        <f t="shared" si="3531"/>
        <v/>
      </c>
      <c r="EO238" s="66" t="str">
        <f t="shared" si="3532"/>
        <v/>
      </c>
      <c r="EP238" s="66" t="str">
        <f t="shared" si="3533"/>
        <v/>
      </c>
      <c r="EQ238" s="66" t="str">
        <f t="shared" si="3534"/>
        <v/>
      </c>
      <c r="ER238" s="66" t="str">
        <f t="shared" si="3535"/>
        <v/>
      </c>
      <c r="ES238" s="66" t="str">
        <f t="shared" si="3536"/>
        <v/>
      </c>
      <c r="ET238" s="66" t="str">
        <f t="shared" si="3537"/>
        <v/>
      </c>
      <c r="EU238" s="66" t="str">
        <f t="shared" si="3538"/>
        <v/>
      </c>
      <c r="EV238" s="66" t="str">
        <f t="shared" si="3539"/>
        <v/>
      </c>
      <c r="EW238" s="66" t="str">
        <f t="shared" si="3540"/>
        <v/>
      </c>
      <c r="EX238" s="66" t="str">
        <f t="shared" si="3541"/>
        <v/>
      </c>
      <c r="EY238" s="66" t="str">
        <f t="shared" si="3542"/>
        <v/>
      </c>
      <c r="EZ238" s="66" t="str">
        <f t="shared" si="3543"/>
        <v/>
      </c>
      <c r="FA238" s="66" t="str">
        <f t="shared" si="3544"/>
        <v/>
      </c>
      <c r="FB238" s="66" t="str">
        <f t="shared" si="3545"/>
        <v/>
      </c>
      <c r="FC238" s="66" t="str">
        <f t="shared" si="3546"/>
        <v/>
      </c>
      <c r="FD238" s="66" t="str">
        <f t="shared" si="3547"/>
        <v/>
      </c>
      <c r="FE238" s="66" t="str">
        <f t="shared" si="3548"/>
        <v/>
      </c>
      <c r="FF238" s="66" t="str">
        <f t="shared" si="3549"/>
        <v/>
      </c>
      <c r="FG238" s="66" t="str">
        <f t="shared" si="3550"/>
        <v/>
      </c>
      <c r="FH238" s="66" t="str">
        <f t="shared" si="3551"/>
        <v/>
      </c>
      <c r="FI238" s="66" t="str">
        <f t="shared" si="3552"/>
        <v/>
      </c>
      <c r="FJ238" s="66" t="str">
        <f t="shared" si="3553"/>
        <v/>
      </c>
      <c r="FK238" s="66" t="str">
        <f t="shared" si="3554"/>
        <v/>
      </c>
      <c r="FL238" s="66" t="str">
        <f t="shared" si="3555"/>
        <v/>
      </c>
      <c r="FM238" s="66" t="str">
        <f t="shared" si="3556"/>
        <v/>
      </c>
      <c r="FN238" s="66" t="str">
        <f t="shared" si="3557"/>
        <v/>
      </c>
      <c r="FO238" s="66" t="str">
        <f t="shared" si="3558"/>
        <v/>
      </c>
      <c r="FP238" s="66" t="str">
        <f t="shared" si="3559"/>
        <v/>
      </c>
      <c r="FQ238" s="66" t="str">
        <f t="shared" si="3560"/>
        <v/>
      </c>
      <c r="FR238" s="66" t="str">
        <f t="shared" si="3561"/>
        <v/>
      </c>
      <c r="FS238" s="66" t="str">
        <f t="shared" si="3562"/>
        <v/>
      </c>
    </row>
    <row r="239" spans="1:175">
      <c r="A239" s="27"/>
      <c r="B239" s="27" t="s">
        <v>775</v>
      </c>
      <c r="C239" s="29" t="s">
        <v>748</v>
      </c>
      <c r="T239" s="119"/>
      <c r="U239" s="77"/>
      <c r="CN239" s="36" t="str">
        <f t="shared" ref="CN239:CN244" si="3563">"InitUnitState('"&amp;B239&amp;"',"&amp;V239&amp;","&amp;W239&amp;","&amp;X239&amp;","&amp;Y239&amp;","&amp;Z239&amp;","&amp;AA239&amp;","&amp;AB239&amp;","&amp;AC239&amp;","&amp;AD239&amp;","&amp;AE239&amp;")"</f>
        <v>InitUnitState('IF28',,,,,,,,,,)</v>
      </c>
      <c r="CO239" s="36" t="str">
        <f t="shared" ref="CO239:CO244" si="3564">"InitUnitNormal('"&amp;B239&amp;"',"&amp;AF239&amp;","&amp;AG239&amp;","&amp;AH239&amp;","&amp;AI239&amp;","&amp;AJ239&amp;","&amp;AK239&amp;","&amp;AL239&amp;","&amp;AM239&amp;","&amp;AN239&amp;","&amp;AO239&amp;")"</f>
        <v>InitUnitNormal('IF28',,,,,,,,,,)</v>
      </c>
      <c r="CP239" s="36" t="str">
        <f t="shared" ref="CP239:CP244" si="3565">"InitUnitMagic('"&amp;B239&amp;"',"&amp;AP239&amp;","&amp;AQ239&amp;","&amp;AR239&amp;","&amp;AS239&amp;","&amp;AT239&amp;","&amp;AU239&amp;","&amp;AV239&amp;","&amp;AW239&amp;","&amp;BI239&amp;","&amp;BJ239&amp;")"</f>
        <v>InitUnitMagic('IF28',,,,,,,,,,)</v>
      </c>
      <c r="CQ239" s="36" t="str">
        <f t="shared" ref="CQ239:CQ244" si="3566">"InitUnitAdd('"&amp;B239&amp;"',"&amp;BK239&amp;","&amp;BL239&amp;","&amp;BM239&amp;","&amp;BN239&amp;","&amp;BO239&amp;","&amp;BP239&amp;","&amp;BQ239&amp;","&amp;BR239&amp;","&amp;BS239&amp;","&amp;BT239&amp;")"</f>
        <v>InitUnitAdd('IF28',,,,,,,,,,)</v>
      </c>
      <c r="CR239" s="36" t="str">
        <f t="shared" ref="CR239:CR241" si="3567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InitEquipData('IF28',,"",,,,,'','','','','','',"")</v>
      </c>
      <c r="CU239" s="88" t="str">
        <f t="shared" ref="CU239:CU244" si="3568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33"/>
      <c r="CX239" s="33"/>
      <c r="CY239" s="33"/>
      <c r="CZ239" s="33"/>
      <c r="DA239" s="33"/>
      <c r="DB239" s="66" t="str">
        <f t="shared" ref="DB239:DB244" si="3569">IF(V239="","","|n"&amp;DB$2&amp;"+"&amp;V239&amp;DB$1)</f>
        <v/>
      </c>
      <c r="DC239" s="66" t="str">
        <f t="shared" ref="DC239:DC244" si="3570">IF(W239="","","|n"&amp;DC$2&amp;"+"&amp;W239&amp;DC$1)</f>
        <v/>
      </c>
      <c r="DD239" s="66" t="str">
        <f t="shared" ref="DD239:DD244" si="3571">IF(X239="","","|n"&amp;DD$2&amp;"+"&amp;X239&amp;DD$1)</f>
        <v/>
      </c>
      <c r="DE239" s="66" t="str">
        <f t="shared" ref="DE239:DE244" si="3572">IF(Y239="","","|n"&amp;DE$2&amp;"+"&amp;Y239&amp;DE$1)</f>
        <v/>
      </c>
      <c r="DF239" s="66" t="str">
        <f t="shared" ref="DF239:DF244" si="3573">IF(Z239="","","|n"&amp;DF$2&amp;"+"&amp;Z239&amp;DF$1)</f>
        <v/>
      </c>
      <c r="DG239" s="66" t="str">
        <f t="shared" ref="DG239:DG244" si="3574">IF(AA239="","","|n"&amp;DG$2&amp;"+"&amp;AA239&amp;DG$1)</f>
        <v/>
      </c>
      <c r="DH239" s="66" t="str">
        <f t="shared" ref="DH239:DH244" si="3575">IF(AB239="","","|n"&amp;DH$2&amp;"+"&amp;AB239&amp;DH$1)</f>
        <v/>
      </c>
      <c r="DI239" s="66" t="str">
        <f t="shared" ref="DI239:DI244" si="3576">IF(AC239="","","|n"&amp;DI$2&amp;"+"&amp;AC239&amp;DI$1)</f>
        <v/>
      </c>
      <c r="DJ239" s="66" t="str">
        <f t="shared" ref="DJ239:DJ244" si="3577">IF(AD239="","","|n"&amp;DJ$2&amp;"+"&amp;AD239&amp;DJ$1)</f>
        <v/>
      </c>
      <c r="DK239" s="66" t="str">
        <f t="shared" ref="DK239:DK244" si="3578">IF(AE239="","","|n"&amp;DK$2&amp;"+"&amp;AE239&amp;DK$1)</f>
        <v/>
      </c>
      <c r="DL239" s="66" t="str">
        <f t="shared" ref="DL239:DL244" si="3579">IF(AF239="","","|n"&amp;DL$2&amp;"+"&amp;AF239&amp;DL$1)</f>
        <v/>
      </c>
      <c r="DM239" s="66" t="str">
        <f t="shared" ref="DM239:DM244" si="3580">IF(AG239="","","|n"&amp;DM$2&amp;"+"&amp;AG239&amp;DM$1)</f>
        <v/>
      </c>
      <c r="DN239" s="66" t="str">
        <f t="shared" ref="DN239:DN244" si="3581">IF(AH239="","","|n"&amp;DN$2&amp;"+"&amp;AH239&amp;DN$1)</f>
        <v/>
      </c>
      <c r="DO239" s="66" t="str">
        <f t="shared" ref="DO239:DO244" si="3582">IF(AI239="","","|n"&amp;DO$2&amp;"+"&amp;AI239&amp;DO$1)</f>
        <v/>
      </c>
      <c r="DP239" s="66" t="str">
        <f t="shared" ref="DP239:DP244" si="3583">IF(AJ239="","","|n"&amp;DP$2&amp;"+"&amp;AJ239&amp;DP$1)</f>
        <v/>
      </c>
      <c r="DQ239" s="66" t="str">
        <f t="shared" ref="DQ239:DQ244" si="3584">IF(AK239="","","|n"&amp;DQ$2&amp;"+"&amp;AK239&amp;DQ$1)</f>
        <v/>
      </c>
      <c r="DR239" s="66" t="str">
        <f t="shared" ref="DR239:DR244" si="3585">IF(AL239="","","|n"&amp;DR$2&amp;"+"&amp;AL239&amp;DR$1)</f>
        <v/>
      </c>
      <c r="DS239" s="66" t="str">
        <f t="shared" ref="DS239:DS244" si="3586">IF(AM239="","","|n"&amp;DS$2&amp;"+"&amp;AM239&amp;DS$1)</f>
        <v/>
      </c>
      <c r="DT239" s="66" t="str">
        <f t="shared" ref="DT239:DT244" si="3587">IF(AN239="","","|n"&amp;DT$2&amp;"+"&amp;AN239&amp;DT$1)</f>
        <v/>
      </c>
      <c r="DU239" s="66" t="str">
        <f t="shared" ref="DU239:DU244" si="3588">IF(AO239="","","|n"&amp;DU$2&amp;"+"&amp;AO239&amp;DU$1)</f>
        <v/>
      </c>
      <c r="DV239" s="66" t="str">
        <f t="shared" ref="DV239:DV244" si="3589">IF(AP239="","","|n"&amp;DV$2&amp;"+"&amp;AP239&amp;DV$1)</f>
        <v/>
      </c>
      <c r="DW239" s="66" t="str">
        <f t="shared" ref="DW239:DW244" si="3590">IF(AQ239="","","|n"&amp;DW$2&amp;"+"&amp;AQ239&amp;DW$1)</f>
        <v/>
      </c>
      <c r="DX239" s="66" t="str">
        <f t="shared" ref="DX239:DX244" si="3591">IF(AR239="","","|n"&amp;DX$2&amp;"+"&amp;AR239&amp;DX$1)</f>
        <v/>
      </c>
      <c r="DY239" s="66" t="str">
        <f t="shared" ref="DY239:DY244" si="3592">IF(AS239="","","|n"&amp;DY$2&amp;"+"&amp;AS239&amp;DY$1)</f>
        <v/>
      </c>
      <c r="DZ239" s="66" t="str">
        <f t="shared" ref="DZ239:DZ244" si="3593">IF(AT239="","","|n"&amp;DZ$2&amp;"+"&amp;AT239&amp;DZ$1)</f>
        <v/>
      </c>
      <c r="EA239" s="66" t="str">
        <f t="shared" ref="EA239:EA244" si="3594">IF(AU239="","","|n"&amp;EA$2&amp;"+"&amp;AU239&amp;EA$1)</f>
        <v/>
      </c>
      <c r="EB239" s="66" t="str">
        <f t="shared" ref="EB239:EB244" si="3595">IF(AV239="","","|n"&amp;EB$2&amp;"+"&amp;AV239&amp;EB$1)</f>
        <v/>
      </c>
      <c r="EC239" s="66" t="str">
        <f t="shared" ref="EC239:EC244" si="3596">IF(AW239="","","|n"&amp;EC$2&amp;"+"&amp;AW239&amp;EC$1)</f>
        <v/>
      </c>
      <c r="ED239" s="66" t="str">
        <f t="shared" ref="ED239:ED244" si="3597">IF(AX239="","","|n"&amp;ED$2&amp;"+"&amp;AX239&amp;ED$1)</f>
        <v/>
      </c>
      <c r="EE239" s="66" t="str">
        <f t="shared" ref="EE239:EE244" si="3598">IF(AY239="","","|n"&amp;EE$2&amp;"+"&amp;AY239&amp;EE$1)</f>
        <v/>
      </c>
      <c r="EF239" s="66" t="str">
        <f t="shared" ref="EF239:EF244" si="3599">IF(AZ239="","","|n"&amp;EF$2&amp;"+"&amp;AZ239&amp;EF$1)</f>
        <v/>
      </c>
      <c r="EG239" s="66" t="str">
        <f t="shared" ref="EG239:EG244" si="3600">IF(BA239="","","|n"&amp;EG$2&amp;"+"&amp;BA239&amp;EG$1)</f>
        <v/>
      </c>
      <c r="EH239" s="66" t="str">
        <f t="shared" ref="EH239:EH244" si="3601">IF(BB239="","","|n"&amp;EH$2&amp;"+"&amp;BB239&amp;EH$1)</f>
        <v/>
      </c>
      <c r="EI239" s="66" t="str">
        <f t="shared" ref="EI239:EI244" si="3602">IF(BC239="","","|n"&amp;EI$2&amp;"+"&amp;BC239&amp;EI$1)</f>
        <v/>
      </c>
      <c r="EJ239" s="66" t="str">
        <f t="shared" ref="EJ239:EJ244" si="3603">IF(BD239="","","|n"&amp;EJ$2&amp;"+"&amp;BD239&amp;EJ$1)</f>
        <v/>
      </c>
      <c r="EK239" s="66" t="str">
        <f t="shared" ref="EK239:EK244" si="3604">IF(BE239="","","|n"&amp;EK$2&amp;"+"&amp;BE239&amp;EK$1)</f>
        <v/>
      </c>
      <c r="EL239" s="66" t="str">
        <f t="shared" ref="EL239:EL244" si="3605">IF(BF239="","","|n"&amp;EL$2&amp;"+"&amp;BF239&amp;EL$1)</f>
        <v/>
      </c>
      <c r="EM239" s="66" t="str">
        <f t="shared" ref="EM239:EM244" si="3606">IF(BG239="","","|n"&amp;EM$2&amp;"+"&amp;BG239&amp;EM$1)</f>
        <v/>
      </c>
      <c r="EN239" s="66" t="str">
        <f t="shared" ref="EN239:EN244" si="3607">IF(BH239="","","|n"&amp;EN$2&amp;"+"&amp;BH239&amp;EN$1)</f>
        <v/>
      </c>
      <c r="EO239" s="66" t="str">
        <f t="shared" ref="EO239:EO244" si="3608">IF(BI239="","","|n"&amp;EO$2&amp;"+"&amp;BI239&amp;EO$1)</f>
        <v/>
      </c>
      <c r="EP239" s="66" t="str">
        <f t="shared" ref="EP239:EP244" si="3609">IF(BJ239="","","|n"&amp;EP$2&amp;"+"&amp;BJ239&amp;EP$1)</f>
        <v/>
      </c>
      <c r="EQ239" s="66" t="str">
        <f t="shared" ref="EQ239:EQ244" si="3610">IF(BK239="","","|n"&amp;EQ$2&amp;"+"&amp;BK239&amp;EQ$1)</f>
        <v/>
      </c>
      <c r="ER239" s="66" t="str">
        <f t="shared" ref="ER239:ER244" si="3611">IF(BL239="","","|n"&amp;ER$2&amp;"+"&amp;BL239&amp;ER$1)</f>
        <v/>
      </c>
      <c r="ES239" s="66" t="str">
        <f t="shared" ref="ES239:ES244" si="3612">IF(BM239="","","|n"&amp;ES$2&amp;"+"&amp;BM239&amp;ES$1)</f>
        <v/>
      </c>
      <c r="ET239" s="66" t="str">
        <f t="shared" ref="ET239:ET244" si="3613">IF(BN239="","","|n"&amp;ET$2&amp;"+"&amp;BN239&amp;ET$1)</f>
        <v/>
      </c>
      <c r="EU239" s="66" t="str">
        <f t="shared" ref="EU239:EU244" si="3614">IF(BO239="","","|n"&amp;EU$2&amp;"+"&amp;BO239&amp;EU$1)</f>
        <v/>
      </c>
      <c r="EV239" s="66" t="str">
        <f t="shared" ref="EV239:EV244" si="3615">IF(BP239="","","|n"&amp;EV$2&amp;"+"&amp;BP239&amp;EV$1)</f>
        <v/>
      </c>
      <c r="EW239" s="66" t="str">
        <f t="shared" ref="EW239:EW244" si="3616">IF(BQ239="","","|n"&amp;EW$2&amp;"+"&amp;BQ239&amp;EW$1)</f>
        <v/>
      </c>
      <c r="EX239" s="66" t="str">
        <f t="shared" ref="EX239:EX244" si="3617">IF(BR239="","","|n"&amp;EX$2&amp;"+"&amp;BR239&amp;EX$1)</f>
        <v/>
      </c>
      <c r="EY239" s="66" t="str">
        <f t="shared" ref="EY239:EY244" si="3618">IF(BS239="","","|n"&amp;EY$2&amp;"+"&amp;BS239&amp;EY$1)</f>
        <v/>
      </c>
      <c r="EZ239" s="66" t="str">
        <f t="shared" ref="EZ239:EZ244" si="3619">IF(BT239="","","|n"&amp;EZ$2&amp;"+"&amp;BT239&amp;EZ$1)</f>
        <v/>
      </c>
      <c r="FA239" s="66" t="str">
        <f t="shared" ref="FA239:FA244" si="3620">IF(BU239="","","|n"&amp;FA$2&amp;"+"&amp;BU239&amp;FA$1)</f>
        <v/>
      </c>
      <c r="FB239" s="66" t="str">
        <f t="shared" ref="FB239:FB244" si="3621">IF(BV239="","","|n"&amp;FB$2&amp;"+"&amp;BV239&amp;FB$1)</f>
        <v/>
      </c>
      <c r="FC239" s="66" t="str">
        <f t="shared" ref="FC239:FC244" si="3622">IF(BW239="","","|n"&amp;FC$2&amp;"+"&amp;BW239&amp;FC$1)</f>
        <v/>
      </c>
      <c r="FD239" s="66" t="str">
        <f t="shared" ref="FD239:FD244" si="3623">IF(BX239="","","|n"&amp;FD$2&amp;"+"&amp;BX239&amp;FD$1)</f>
        <v/>
      </c>
      <c r="FE239" s="66" t="str">
        <f t="shared" ref="FE239:FE244" si="3624">IF(BY239="","","|n"&amp;FE$2&amp;"+"&amp;BY239&amp;FE$1)</f>
        <v/>
      </c>
      <c r="FF239" s="66" t="str">
        <f t="shared" ref="FF239:FF244" si="3625">IF(BZ239="","","|n"&amp;FF$2&amp;"+"&amp;BZ239&amp;FF$1)</f>
        <v/>
      </c>
      <c r="FG239" s="66" t="str">
        <f t="shared" ref="FG239:FG244" si="3626">IF(CA239="","","|n"&amp;FG$2&amp;"+"&amp;CA239&amp;FG$1)</f>
        <v/>
      </c>
      <c r="FH239" s="66" t="str">
        <f t="shared" ref="FH239:FH244" si="3627">IF(CB239="","","|n"&amp;FH$2&amp;"+"&amp;CB239&amp;FH$1)</f>
        <v/>
      </c>
      <c r="FI239" s="66" t="str">
        <f t="shared" ref="FI239:FI244" si="3628">IF(CC239="","","|n"&amp;FI$2&amp;"+"&amp;CC239&amp;FI$1)</f>
        <v/>
      </c>
      <c r="FJ239" s="66" t="str">
        <f t="shared" ref="FJ239:FJ244" si="3629">IF(CD239="","","|n"&amp;FJ$2&amp;"+"&amp;CD239&amp;FJ$1)</f>
        <v/>
      </c>
      <c r="FK239" s="66" t="str">
        <f t="shared" ref="FK239:FK244" si="3630">IF(CE239="","","|n"&amp;FK$2&amp;"+"&amp;CE239&amp;FK$1)</f>
        <v/>
      </c>
      <c r="FL239" s="66" t="str">
        <f t="shared" ref="FL239:FL244" si="3631">IF(CF239="","","|n"&amp;FL$2&amp;"+"&amp;CF239&amp;FL$1)</f>
        <v/>
      </c>
      <c r="FM239" s="66" t="str">
        <f t="shared" ref="FM239:FM244" si="3632">IF(CG239="","","|n"&amp;FM$2&amp;"+"&amp;CG239&amp;FM$1)</f>
        <v/>
      </c>
      <c r="FN239" s="66" t="str">
        <f t="shared" ref="FN239:FN244" si="3633">IF(CH239="","","|n"&amp;FN$2&amp;"+"&amp;CH239&amp;FN$1)</f>
        <v/>
      </c>
      <c r="FO239" s="66" t="str">
        <f t="shared" ref="FO239:FO244" si="3634">IF(CI239="","","|n"&amp;FO$2&amp;"+"&amp;CI239&amp;FO$1)</f>
        <v/>
      </c>
      <c r="FP239" s="66" t="str">
        <f t="shared" ref="FP239:FP244" si="3635">IF(CJ239="","","|n"&amp;FP$2&amp;"+"&amp;CJ239&amp;FP$1)</f>
        <v/>
      </c>
      <c r="FQ239" s="66" t="str">
        <f t="shared" ref="FQ239:FQ244" si="3636">IF(CK239="","","|n"&amp;FQ$2&amp;"+"&amp;CK239&amp;FQ$1)</f>
        <v/>
      </c>
      <c r="FR239" s="66" t="str">
        <f t="shared" ref="FR239:FR244" si="3637">IF(CL239="","","|n"&amp;FR$2&amp;"+"&amp;CL239&amp;FR$1)</f>
        <v/>
      </c>
      <c r="FS239" s="66" t="str">
        <f t="shared" ref="FS239:FS244" si="3638">IF(CM239="","","|n"&amp;FS$2&amp;"+"&amp;CM239&amp;FS$1)</f>
        <v/>
      </c>
    </row>
    <row r="240" spans="1:175">
      <c r="A240" s="27"/>
      <c r="B240" s="27" t="s">
        <v>776</v>
      </c>
      <c r="C240" s="29" t="s">
        <v>748</v>
      </c>
      <c r="T240" s="119"/>
      <c r="U240" s="77"/>
      <c r="CN240" s="36" t="str">
        <f t="shared" si="3563"/>
        <v>InitUnitState('IF29',,,,,,,,,,)</v>
      </c>
      <c r="CO240" s="36" t="str">
        <f t="shared" si="3564"/>
        <v>InitUnitNormal('IF29',,,,,,,,,,)</v>
      </c>
      <c r="CP240" s="36" t="str">
        <f t="shared" si="3565"/>
        <v>InitUnitMagic('IF29',,,,,,,,,,)</v>
      </c>
      <c r="CQ240" s="36" t="str">
        <f t="shared" si="3566"/>
        <v>InitUnitAdd('IF29',,,,,,,,,,)</v>
      </c>
      <c r="CR240" s="36" t="str">
        <f t="shared" si="3567"/>
        <v>InitEquipData('IF29',,"",,,,,'','','','','','',"")</v>
      </c>
      <c r="CU240" s="88" t="str">
        <f t="shared" si="3568"/>
        <v>|n</v>
      </c>
      <c r="CW240" s="33"/>
      <c r="CX240" s="33"/>
      <c r="CY240" s="33"/>
      <c r="CZ240" s="33"/>
      <c r="DA240" s="33"/>
      <c r="DB240" s="66" t="str">
        <f t="shared" si="3569"/>
        <v/>
      </c>
      <c r="DC240" s="66" t="str">
        <f t="shared" si="3570"/>
        <v/>
      </c>
      <c r="DD240" s="66" t="str">
        <f t="shared" si="3571"/>
        <v/>
      </c>
      <c r="DE240" s="66" t="str">
        <f t="shared" si="3572"/>
        <v/>
      </c>
      <c r="DF240" s="66" t="str">
        <f t="shared" si="3573"/>
        <v/>
      </c>
      <c r="DG240" s="66" t="str">
        <f t="shared" si="3574"/>
        <v/>
      </c>
      <c r="DH240" s="66" t="str">
        <f t="shared" si="3575"/>
        <v/>
      </c>
      <c r="DI240" s="66" t="str">
        <f t="shared" si="3576"/>
        <v/>
      </c>
      <c r="DJ240" s="66" t="str">
        <f t="shared" si="3577"/>
        <v/>
      </c>
      <c r="DK240" s="66" t="str">
        <f t="shared" si="3578"/>
        <v/>
      </c>
      <c r="DL240" s="66" t="str">
        <f t="shared" si="3579"/>
        <v/>
      </c>
      <c r="DM240" s="66" t="str">
        <f t="shared" si="3580"/>
        <v/>
      </c>
      <c r="DN240" s="66" t="str">
        <f t="shared" si="3581"/>
        <v/>
      </c>
      <c r="DO240" s="66" t="str">
        <f t="shared" si="3582"/>
        <v/>
      </c>
      <c r="DP240" s="66" t="str">
        <f t="shared" si="3583"/>
        <v/>
      </c>
      <c r="DQ240" s="66" t="str">
        <f t="shared" si="3584"/>
        <v/>
      </c>
      <c r="DR240" s="66" t="str">
        <f t="shared" si="3585"/>
        <v/>
      </c>
      <c r="DS240" s="66" t="str">
        <f t="shared" si="3586"/>
        <v/>
      </c>
      <c r="DT240" s="66" t="str">
        <f t="shared" si="3587"/>
        <v/>
      </c>
      <c r="DU240" s="66" t="str">
        <f t="shared" si="3588"/>
        <v/>
      </c>
      <c r="DV240" s="66" t="str">
        <f t="shared" si="3589"/>
        <v/>
      </c>
      <c r="DW240" s="66" t="str">
        <f t="shared" si="3590"/>
        <v/>
      </c>
      <c r="DX240" s="66" t="str">
        <f t="shared" si="3591"/>
        <v/>
      </c>
      <c r="DY240" s="66" t="str">
        <f t="shared" si="3592"/>
        <v/>
      </c>
      <c r="DZ240" s="66" t="str">
        <f t="shared" si="3593"/>
        <v/>
      </c>
      <c r="EA240" s="66" t="str">
        <f t="shared" si="3594"/>
        <v/>
      </c>
      <c r="EB240" s="66" t="str">
        <f t="shared" si="3595"/>
        <v/>
      </c>
      <c r="EC240" s="66" t="str">
        <f t="shared" si="3596"/>
        <v/>
      </c>
      <c r="ED240" s="66" t="str">
        <f t="shared" si="3597"/>
        <v/>
      </c>
      <c r="EE240" s="66" t="str">
        <f t="shared" si="3598"/>
        <v/>
      </c>
      <c r="EF240" s="66" t="str">
        <f t="shared" si="3599"/>
        <v/>
      </c>
      <c r="EG240" s="66" t="str">
        <f t="shared" si="3600"/>
        <v/>
      </c>
      <c r="EH240" s="66" t="str">
        <f t="shared" si="3601"/>
        <v/>
      </c>
      <c r="EI240" s="66" t="str">
        <f t="shared" si="3602"/>
        <v/>
      </c>
      <c r="EJ240" s="66" t="str">
        <f t="shared" si="3603"/>
        <v/>
      </c>
      <c r="EK240" s="66" t="str">
        <f t="shared" si="3604"/>
        <v/>
      </c>
      <c r="EL240" s="66" t="str">
        <f t="shared" si="3605"/>
        <v/>
      </c>
      <c r="EM240" s="66" t="str">
        <f t="shared" si="3606"/>
        <v/>
      </c>
      <c r="EN240" s="66" t="str">
        <f t="shared" si="3607"/>
        <v/>
      </c>
      <c r="EO240" s="66" t="str">
        <f t="shared" si="3608"/>
        <v/>
      </c>
      <c r="EP240" s="66" t="str">
        <f t="shared" si="3609"/>
        <v/>
      </c>
      <c r="EQ240" s="66" t="str">
        <f t="shared" si="3610"/>
        <v/>
      </c>
      <c r="ER240" s="66" t="str">
        <f t="shared" si="3611"/>
        <v/>
      </c>
      <c r="ES240" s="66" t="str">
        <f t="shared" si="3612"/>
        <v/>
      </c>
      <c r="ET240" s="66" t="str">
        <f t="shared" si="3613"/>
        <v/>
      </c>
      <c r="EU240" s="66" t="str">
        <f t="shared" si="3614"/>
        <v/>
      </c>
      <c r="EV240" s="66" t="str">
        <f t="shared" si="3615"/>
        <v/>
      </c>
      <c r="EW240" s="66" t="str">
        <f t="shared" si="3616"/>
        <v/>
      </c>
      <c r="EX240" s="66" t="str">
        <f t="shared" si="3617"/>
        <v/>
      </c>
      <c r="EY240" s="66" t="str">
        <f t="shared" si="3618"/>
        <v/>
      </c>
      <c r="EZ240" s="66" t="str">
        <f t="shared" si="3619"/>
        <v/>
      </c>
      <c r="FA240" s="66" t="str">
        <f t="shared" si="3620"/>
        <v/>
      </c>
      <c r="FB240" s="66" t="str">
        <f t="shared" si="3621"/>
        <v/>
      </c>
      <c r="FC240" s="66" t="str">
        <f t="shared" si="3622"/>
        <v/>
      </c>
      <c r="FD240" s="66" t="str">
        <f t="shared" si="3623"/>
        <v/>
      </c>
      <c r="FE240" s="66" t="str">
        <f t="shared" si="3624"/>
        <v/>
      </c>
      <c r="FF240" s="66" t="str">
        <f t="shared" si="3625"/>
        <v/>
      </c>
      <c r="FG240" s="66" t="str">
        <f t="shared" si="3626"/>
        <v/>
      </c>
      <c r="FH240" s="66" t="str">
        <f t="shared" si="3627"/>
        <v/>
      </c>
      <c r="FI240" s="66" t="str">
        <f t="shared" si="3628"/>
        <v/>
      </c>
      <c r="FJ240" s="66" t="str">
        <f t="shared" si="3629"/>
        <v/>
      </c>
      <c r="FK240" s="66" t="str">
        <f t="shared" si="3630"/>
        <v/>
      </c>
      <c r="FL240" s="66" t="str">
        <f t="shared" si="3631"/>
        <v/>
      </c>
      <c r="FM240" s="66" t="str">
        <f t="shared" si="3632"/>
        <v/>
      </c>
      <c r="FN240" s="66" t="str">
        <f t="shared" si="3633"/>
        <v/>
      </c>
      <c r="FO240" s="66" t="str">
        <f t="shared" si="3634"/>
        <v/>
      </c>
      <c r="FP240" s="66" t="str">
        <f t="shared" si="3635"/>
        <v/>
      </c>
      <c r="FQ240" s="66" t="str">
        <f t="shared" si="3636"/>
        <v/>
      </c>
      <c r="FR240" s="66" t="str">
        <f t="shared" si="3637"/>
        <v/>
      </c>
      <c r="FS240" s="66" t="str">
        <f t="shared" si="3638"/>
        <v/>
      </c>
    </row>
    <row r="241" spans="1:175">
      <c r="A241" s="27"/>
      <c r="B241" s="27" t="s">
        <v>777</v>
      </c>
      <c r="C241" s="29" t="s">
        <v>748</v>
      </c>
      <c r="T241" s="119"/>
      <c r="U241" s="77"/>
      <c r="CN241" s="36" t="str">
        <f t="shared" si="3563"/>
        <v>InitUnitState('IF30',,,,,,,,,,)</v>
      </c>
      <c r="CO241" s="36" t="str">
        <f t="shared" si="3564"/>
        <v>InitUnitNormal('IF30',,,,,,,,,,)</v>
      </c>
      <c r="CP241" s="36" t="str">
        <f t="shared" si="3565"/>
        <v>InitUnitMagic('IF30',,,,,,,,,,)</v>
      </c>
      <c r="CQ241" s="36" t="str">
        <f t="shared" si="3566"/>
        <v>InitUnitAdd('IF30',,,,,,,,,,)</v>
      </c>
      <c r="CR241" s="36" t="str">
        <f t="shared" si="3567"/>
        <v>InitEquipData('IF30',,"",,,,,'','','','','','',"")</v>
      </c>
      <c r="CU241" s="88" t="str">
        <f t="shared" si="3568"/>
        <v>|n</v>
      </c>
      <c r="CW241" s="33"/>
      <c r="CX241" s="33"/>
      <c r="CY241" s="33"/>
      <c r="CZ241" s="33"/>
      <c r="DA241" s="33"/>
      <c r="DB241" s="66" t="str">
        <f t="shared" si="3569"/>
        <v/>
      </c>
      <c r="DC241" s="66" t="str">
        <f t="shared" si="3570"/>
        <v/>
      </c>
      <c r="DD241" s="66" t="str">
        <f t="shared" si="3571"/>
        <v/>
      </c>
      <c r="DE241" s="66" t="str">
        <f t="shared" si="3572"/>
        <v/>
      </c>
      <c r="DF241" s="66" t="str">
        <f t="shared" si="3573"/>
        <v/>
      </c>
      <c r="DG241" s="66" t="str">
        <f t="shared" si="3574"/>
        <v/>
      </c>
      <c r="DH241" s="66" t="str">
        <f t="shared" si="3575"/>
        <v/>
      </c>
      <c r="DI241" s="66" t="str">
        <f t="shared" si="3576"/>
        <v/>
      </c>
      <c r="DJ241" s="66" t="str">
        <f t="shared" si="3577"/>
        <v/>
      </c>
      <c r="DK241" s="66" t="str">
        <f t="shared" si="3578"/>
        <v/>
      </c>
      <c r="DL241" s="66" t="str">
        <f t="shared" si="3579"/>
        <v/>
      </c>
      <c r="DM241" s="66" t="str">
        <f t="shared" si="3580"/>
        <v/>
      </c>
      <c r="DN241" s="66" t="str">
        <f t="shared" si="3581"/>
        <v/>
      </c>
      <c r="DO241" s="66" t="str">
        <f t="shared" si="3582"/>
        <v/>
      </c>
      <c r="DP241" s="66" t="str">
        <f t="shared" si="3583"/>
        <v/>
      </c>
      <c r="DQ241" s="66" t="str">
        <f t="shared" si="3584"/>
        <v/>
      </c>
      <c r="DR241" s="66" t="str">
        <f t="shared" si="3585"/>
        <v/>
      </c>
      <c r="DS241" s="66" t="str">
        <f t="shared" si="3586"/>
        <v/>
      </c>
      <c r="DT241" s="66" t="str">
        <f t="shared" si="3587"/>
        <v/>
      </c>
      <c r="DU241" s="66" t="str">
        <f t="shared" si="3588"/>
        <v/>
      </c>
      <c r="DV241" s="66" t="str">
        <f t="shared" si="3589"/>
        <v/>
      </c>
      <c r="DW241" s="66" t="str">
        <f t="shared" si="3590"/>
        <v/>
      </c>
      <c r="DX241" s="66" t="str">
        <f t="shared" si="3591"/>
        <v/>
      </c>
      <c r="DY241" s="66" t="str">
        <f t="shared" si="3592"/>
        <v/>
      </c>
      <c r="DZ241" s="66" t="str">
        <f t="shared" si="3593"/>
        <v/>
      </c>
      <c r="EA241" s="66" t="str">
        <f t="shared" si="3594"/>
        <v/>
      </c>
      <c r="EB241" s="66" t="str">
        <f t="shared" si="3595"/>
        <v/>
      </c>
      <c r="EC241" s="66" t="str">
        <f t="shared" si="3596"/>
        <v/>
      </c>
      <c r="ED241" s="66" t="str">
        <f t="shared" si="3597"/>
        <v/>
      </c>
      <c r="EE241" s="66" t="str">
        <f t="shared" si="3598"/>
        <v/>
      </c>
      <c r="EF241" s="66" t="str">
        <f t="shared" si="3599"/>
        <v/>
      </c>
      <c r="EG241" s="66" t="str">
        <f t="shared" si="3600"/>
        <v/>
      </c>
      <c r="EH241" s="66" t="str">
        <f t="shared" si="3601"/>
        <v/>
      </c>
      <c r="EI241" s="66" t="str">
        <f t="shared" si="3602"/>
        <v/>
      </c>
      <c r="EJ241" s="66" t="str">
        <f t="shared" si="3603"/>
        <v/>
      </c>
      <c r="EK241" s="66" t="str">
        <f t="shared" si="3604"/>
        <v/>
      </c>
      <c r="EL241" s="66" t="str">
        <f t="shared" si="3605"/>
        <v/>
      </c>
      <c r="EM241" s="66" t="str">
        <f t="shared" si="3606"/>
        <v/>
      </c>
      <c r="EN241" s="66" t="str">
        <f t="shared" si="3607"/>
        <v/>
      </c>
      <c r="EO241" s="66" t="str">
        <f t="shared" si="3608"/>
        <v/>
      </c>
      <c r="EP241" s="66" t="str">
        <f t="shared" si="3609"/>
        <v/>
      </c>
      <c r="EQ241" s="66" t="str">
        <f t="shared" si="3610"/>
        <v/>
      </c>
      <c r="ER241" s="66" t="str">
        <f t="shared" si="3611"/>
        <v/>
      </c>
      <c r="ES241" s="66" t="str">
        <f t="shared" si="3612"/>
        <v/>
      </c>
      <c r="ET241" s="66" t="str">
        <f t="shared" si="3613"/>
        <v/>
      </c>
      <c r="EU241" s="66" t="str">
        <f t="shared" si="3614"/>
        <v/>
      </c>
      <c r="EV241" s="66" t="str">
        <f t="shared" si="3615"/>
        <v/>
      </c>
      <c r="EW241" s="66" t="str">
        <f t="shared" si="3616"/>
        <v/>
      </c>
      <c r="EX241" s="66" t="str">
        <f t="shared" si="3617"/>
        <v/>
      </c>
      <c r="EY241" s="66" t="str">
        <f t="shared" si="3618"/>
        <v/>
      </c>
      <c r="EZ241" s="66" t="str">
        <f t="shared" si="3619"/>
        <v/>
      </c>
      <c r="FA241" s="66" t="str">
        <f t="shared" si="3620"/>
        <v/>
      </c>
      <c r="FB241" s="66" t="str">
        <f t="shared" si="3621"/>
        <v/>
      </c>
      <c r="FC241" s="66" t="str">
        <f t="shared" si="3622"/>
        <v/>
      </c>
      <c r="FD241" s="66" t="str">
        <f t="shared" si="3623"/>
        <v/>
      </c>
      <c r="FE241" s="66" t="str">
        <f t="shared" si="3624"/>
        <v/>
      </c>
      <c r="FF241" s="66" t="str">
        <f t="shared" si="3625"/>
        <v/>
      </c>
      <c r="FG241" s="66" t="str">
        <f t="shared" si="3626"/>
        <v/>
      </c>
      <c r="FH241" s="66" t="str">
        <f t="shared" si="3627"/>
        <v/>
      </c>
      <c r="FI241" s="66" t="str">
        <f t="shared" si="3628"/>
        <v/>
      </c>
      <c r="FJ241" s="66" t="str">
        <f t="shared" si="3629"/>
        <v/>
      </c>
      <c r="FK241" s="66" t="str">
        <f t="shared" si="3630"/>
        <v/>
      </c>
      <c r="FL241" s="66" t="str">
        <f t="shared" si="3631"/>
        <v/>
      </c>
      <c r="FM241" s="66" t="str">
        <f t="shared" si="3632"/>
        <v/>
      </c>
      <c r="FN241" s="66" t="str">
        <f t="shared" si="3633"/>
        <v/>
      </c>
      <c r="FO241" s="66" t="str">
        <f t="shared" si="3634"/>
        <v/>
      </c>
      <c r="FP241" s="66" t="str">
        <f t="shared" si="3635"/>
        <v/>
      </c>
      <c r="FQ241" s="66" t="str">
        <f t="shared" si="3636"/>
        <v/>
      </c>
      <c r="FR241" s="66" t="str">
        <f t="shared" si="3637"/>
        <v/>
      </c>
      <c r="FS241" s="66" t="str">
        <f t="shared" si="3638"/>
        <v/>
      </c>
    </row>
    <row r="242" spans="1:175">
      <c r="A242" s="27"/>
      <c r="B242" s="27" t="s">
        <v>778</v>
      </c>
      <c r="C242" s="29" t="s">
        <v>748</v>
      </c>
      <c r="T242" s="119"/>
      <c r="U242" s="77"/>
      <c r="CN242" s="36" t="str">
        <f t="shared" si="3563"/>
        <v>InitUnitState('IF31',,,,,,,,,,)</v>
      </c>
      <c r="CO242" s="36" t="str">
        <f t="shared" si="3564"/>
        <v>InitUnitNormal('IF31',,,,,,,,,,)</v>
      </c>
      <c r="CP242" s="36" t="str">
        <f t="shared" si="3565"/>
        <v>InitUnitMagic('IF31',,,,,,,,,,)</v>
      </c>
      <c r="CQ242" s="36" t="str">
        <f t="shared" si="3566"/>
        <v>InitUnitAdd('IF31',,,,,,,,,,)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InitEquipData('IF31',,"",,,,,'','','','','','',"")</v>
      </c>
      <c r="CU242" s="88" t="str">
        <f t="shared" si="3568"/>
        <v>|n</v>
      </c>
      <c r="CW242" s="33"/>
      <c r="CX242" s="33"/>
      <c r="CY242" s="33"/>
      <c r="CZ242" s="33"/>
      <c r="DA242" s="33"/>
      <c r="DB242" s="66" t="str">
        <f t="shared" si="3569"/>
        <v/>
      </c>
      <c r="DC242" s="66" t="str">
        <f t="shared" si="3570"/>
        <v/>
      </c>
      <c r="DD242" s="66" t="str">
        <f t="shared" si="3571"/>
        <v/>
      </c>
      <c r="DE242" s="66" t="str">
        <f t="shared" si="3572"/>
        <v/>
      </c>
      <c r="DF242" s="66" t="str">
        <f t="shared" si="3573"/>
        <v/>
      </c>
      <c r="DG242" s="66" t="str">
        <f t="shared" si="3574"/>
        <v/>
      </c>
      <c r="DH242" s="66" t="str">
        <f t="shared" si="3575"/>
        <v/>
      </c>
      <c r="DI242" s="66" t="str">
        <f t="shared" si="3576"/>
        <v/>
      </c>
      <c r="DJ242" s="66" t="str">
        <f t="shared" si="3577"/>
        <v/>
      </c>
      <c r="DK242" s="66" t="str">
        <f t="shared" si="3578"/>
        <v/>
      </c>
      <c r="DL242" s="66" t="str">
        <f t="shared" si="3579"/>
        <v/>
      </c>
      <c r="DM242" s="66" t="str">
        <f t="shared" si="3580"/>
        <v/>
      </c>
      <c r="DN242" s="66" t="str">
        <f t="shared" si="3581"/>
        <v/>
      </c>
      <c r="DO242" s="66" t="str">
        <f t="shared" si="3582"/>
        <v/>
      </c>
      <c r="DP242" s="66" t="str">
        <f t="shared" si="3583"/>
        <v/>
      </c>
      <c r="DQ242" s="66" t="str">
        <f t="shared" si="3584"/>
        <v/>
      </c>
      <c r="DR242" s="66" t="str">
        <f t="shared" si="3585"/>
        <v/>
      </c>
      <c r="DS242" s="66" t="str">
        <f t="shared" si="3586"/>
        <v/>
      </c>
      <c r="DT242" s="66" t="str">
        <f t="shared" si="3587"/>
        <v/>
      </c>
      <c r="DU242" s="66" t="str">
        <f t="shared" si="3588"/>
        <v/>
      </c>
      <c r="DV242" s="66" t="str">
        <f t="shared" si="3589"/>
        <v/>
      </c>
      <c r="DW242" s="66" t="str">
        <f t="shared" si="3590"/>
        <v/>
      </c>
      <c r="DX242" s="66" t="str">
        <f t="shared" si="3591"/>
        <v/>
      </c>
      <c r="DY242" s="66" t="str">
        <f t="shared" si="3592"/>
        <v/>
      </c>
      <c r="DZ242" s="66" t="str">
        <f t="shared" si="3593"/>
        <v/>
      </c>
      <c r="EA242" s="66" t="str">
        <f t="shared" si="3594"/>
        <v/>
      </c>
      <c r="EB242" s="66" t="str">
        <f t="shared" si="3595"/>
        <v/>
      </c>
      <c r="EC242" s="66" t="str">
        <f t="shared" si="3596"/>
        <v/>
      </c>
      <c r="ED242" s="66" t="str">
        <f t="shared" si="3597"/>
        <v/>
      </c>
      <c r="EE242" s="66" t="str">
        <f t="shared" si="3598"/>
        <v/>
      </c>
      <c r="EF242" s="66" t="str">
        <f t="shared" si="3599"/>
        <v/>
      </c>
      <c r="EG242" s="66" t="str">
        <f t="shared" si="3600"/>
        <v/>
      </c>
      <c r="EH242" s="66" t="str">
        <f t="shared" si="3601"/>
        <v/>
      </c>
      <c r="EI242" s="66" t="str">
        <f t="shared" si="3602"/>
        <v/>
      </c>
      <c r="EJ242" s="66" t="str">
        <f t="shared" si="3603"/>
        <v/>
      </c>
      <c r="EK242" s="66" t="str">
        <f t="shared" si="3604"/>
        <v/>
      </c>
      <c r="EL242" s="66" t="str">
        <f t="shared" si="3605"/>
        <v/>
      </c>
      <c r="EM242" s="66" t="str">
        <f t="shared" si="3606"/>
        <v/>
      </c>
      <c r="EN242" s="66" t="str">
        <f t="shared" si="3607"/>
        <v/>
      </c>
      <c r="EO242" s="66" t="str">
        <f t="shared" si="3608"/>
        <v/>
      </c>
      <c r="EP242" s="66" t="str">
        <f t="shared" si="3609"/>
        <v/>
      </c>
      <c r="EQ242" s="66" t="str">
        <f t="shared" si="3610"/>
        <v/>
      </c>
      <c r="ER242" s="66" t="str">
        <f t="shared" si="3611"/>
        <v/>
      </c>
      <c r="ES242" s="66" t="str">
        <f t="shared" si="3612"/>
        <v/>
      </c>
      <c r="ET242" s="66" t="str">
        <f t="shared" si="3613"/>
        <v/>
      </c>
      <c r="EU242" s="66" t="str">
        <f t="shared" si="3614"/>
        <v/>
      </c>
      <c r="EV242" s="66" t="str">
        <f t="shared" si="3615"/>
        <v/>
      </c>
      <c r="EW242" s="66" t="str">
        <f t="shared" si="3616"/>
        <v/>
      </c>
      <c r="EX242" s="66" t="str">
        <f t="shared" si="3617"/>
        <v/>
      </c>
      <c r="EY242" s="66" t="str">
        <f t="shared" si="3618"/>
        <v/>
      </c>
      <c r="EZ242" s="66" t="str">
        <f t="shared" si="3619"/>
        <v/>
      </c>
      <c r="FA242" s="66" t="str">
        <f t="shared" si="3620"/>
        <v/>
      </c>
      <c r="FB242" s="66" t="str">
        <f t="shared" si="3621"/>
        <v/>
      </c>
      <c r="FC242" s="66" t="str">
        <f t="shared" si="3622"/>
        <v/>
      </c>
      <c r="FD242" s="66" t="str">
        <f t="shared" si="3623"/>
        <v/>
      </c>
      <c r="FE242" s="66" t="str">
        <f t="shared" si="3624"/>
        <v/>
      </c>
      <c r="FF242" s="66" t="str">
        <f t="shared" si="3625"/>
        <v/>
      </c>
      <c r="FG242" s="66" t="str">
        <f t="shared" si="3626"/>
        <v/>
      </c>
      <c r="FH242" s="66" t="str">
        <f t="shared" si="3627"/>
        <v/>
      </c>
      <c r="FI242" s="66" t="str">
        <f t="shared" si="3628"/>
        <v/>
      </c>
      <c r="FJ242" s="66" t="str">
        <f t="shared" si="3629"/>
        <v/>
      </c>
      <c r="FK242" s="66" t="str">
        <f t="shared" si="3630"/>
        <v/>
      </c>
      <c r="FL242" s="66" t="str">
        <f t="shared" si="3631"/>
        <v/>
      </c>
      <c r="FM242" s="66" t="str">
        <f t="shared" si="3632"/>
        <v/>
      </c>
      <c r="FN242" s="66" t="str">
        <f t="shared" si="3633"/>
        <v/>
      </c>
      <c r="FO242" s="66" t="str">
        <f t="shared" si="3634"/>
        <v/>
      </c>
      <c r="FP242" s="66" t="str">
        <f t="shared" si="3635"/>
        <v/>
      </c>
      <c r="FQ242" s="66" t="str">
        <f t="shared" si="3636"/>
        <v/>
      </c>
      <c r="FR242" s="66" t="str">
        <f t="shared" si="3637"/>
        <v/>
      </c>
      <c r="FS242" s="66" t="str">
        <f t="shared" si="3638"/>
        <v/>
      </c>
    </row>
    <row r="243" spans="1:175">
      <c r="A243" s="27"/>
      <c r="B243" s="27" t="s">
        <v>779</v>
      </c>
      <c r="C243" s="29" t="s">
        <v>748</v>
      </c>
      <c r="T243" s="119"/>
      <c r="U243" s="77"/>
      <c r="CN243" s="36" t="str">
        <f t="shared" ref="CN243" si="3639">"InitUnitState('"&amp;B243&amp;"',"&amp;V243&amp;","&amp;W243&amp;","&amp;X243&amp;","&amp;Y243&amp;","&amp;Z243&amp;","&amp;AA243&amp;","&amp;AB243&amp;","&amp;AC243&amp;","&amp;AD243&amp;","&amp;AE243&amp;")"</f>
        <v>InitUnitState('IF32',,,,,,,,,,)</v>
      </c>
      <c r="CO243" s="36" t="str">
        <f t="shared" ref="CO243" si="3640">"InitUnitNormal('"&amp;B243&amp;"',"&amp;AF243&amp;","&amp;AG243&amp;","&amp;AH243&amp;","&amp;AI243&amp;","&amp;AJ243&amp;","&amp;AK243&amp;","&amp;AL243&amp;","&amp;AM243&amp;","&amp;AN243&amp;","&amp;AO243&amp;")"</f>
        <v>InitUnitNormal('IF32',,,,,,,,,,)</v>
      </c>
      <c r="CP243" s="36" t="str">
        <f t="shared" ref="CP243" si="3641">"InitUnitMagic('"&amp;B243&amp;"',"&amp;AP243&amp;","&amp;AQ243&amp;","&amp;AR243&amp;","&amp;AS243&amp;","&amp;AT243&amp;","&amp;AU243&amp;","&amp;AV243&amp;","&amp;AW243&amp;","&amp;BI243&amp;","&amp;BJ243&amp;")"</f>
        <v>InitUnitMagic('IF32',,,,,,,,,,)</v>
      </c>
      <c r="CQ243" s="36" t="str">
        <f t="shared" ref="CQ243" si="3642">"InitUnitAdd('"&amp;B243&amp;"',"&amp;BK243&amp;","&amp;BL243&amp;","&amp;BM243&amp;","&amp;BN243&amp;","&amp;BO243&amp;","&amp;BP243&amp;","&amp;BQ243&amp;","&amp;BR243&amp;","&amp;BS243&amp;","&amp;BT243&amp;")"</f>
        <v>InitUnitAdd('IF32',,,,,,,,,,)</v>
      </c>
      <c r="CR243" s="36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250&amp;CR$1&amp;")"</f>
        <v>InitEquipData('IF32',,"",,,,,'','','','','','',"")</v>
      </c>
      <c r="CU243" s="88" t="str">
        <f t="shared" ref="CU243" si="3643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33"/>
      <c r="CX243" s="33"/>
      <c r="CY243" s="33"/>
      <c r="CZ243" s="33"/>
      <c r="DA243" s="33"/>
      <c r="DB243" s="66" t="str">
        <f t="shared" ref="DB243" si="3644">IF(V243="","","|n"&amp;DB$2&amp;"+"&amp;V243&amp;DB$1)</f>
        <v/>
      </c>
      <c r="DC243" s="66" t="str">
        <f t="shared" ref="DC243" si="3645">IF(W243="","","|n"&amp;DC$2&amp;"+"&amp;W243&amp;DC$1)</f>
        <v/>
      </c>
      <c r="DD243" s="66" t="str">
        <f t="shared" ref="DD243" si="3646">IF(X243="","","|n"&amp;DD$2&amp;"+"&amp;X243&amp;DD$1)</f>
        <v/>
      </c>
      <c r="DE243" s="66" t="str">
        <f t="shared" ref="DE243" si="3647">IF(Y243="","","|n"&amp;DE$2&amp;"+"&amp;Y243&amp;DE$1)</f>
        <v/>
      </c>
      <c r="DF243" s="66" t="str">
        <f t="shared" ref="DF243" si="3648">IF(Z243="","","|n"&amp;DF$2&amp;"+"&amp;Z243&amp;DF$1)</f>
        <v/>
      </c>
      <c r="DG243" s="66" t="str">
        <f t="shared" ref="DG243" si="3649">IF(AA243="","","|n"&amp;DG$2&amp;"+"&amp;AA243&amp;DG$1)</f>
        <v/>
      </c>
      <c r="DH243" s="66" t="str">
        <f t="shared" ref="DH243" si="3650">IF(AB243="","","|n"&amp;DH$2&amp;"+"&amp;AB243&amp;DH$1)</f>
        <v/>
      </c>
      <c r="DI243" s="66" t="str">
        <f t="shared" ref="DI243" si="3651">IF(AC243="","","|n"&amp;DI$2&amp;"+"&amp;AC243&amp;DI$1)</f>
        <v/>
      </c>
      <c r="DJ243" s="66" t="str">
        <f t="shared" ref="DJ243" si="3652">IF(AD243="","","|n"&amp;DJ$2&amp;"+"&amp;AD243&amp;DJ$1)</f>
        <v/>
      </c>
      <c r="DK243" s="66" t="str">
        <f t="shared" ref="DK243" si="3653">IF(AE243="","","|n"&amp;DK$2&amp;"+"&amp;AE243&amp;DK$1)</f>
        <v/>
      </c>
      <c r="DL243" s="66" t="str">
        <f t="shared" ref="DL243" si="3654">IF(AF243="","","|n"&amp;DL$2&amp;"+"&amp;AF243&amp;DL$1)</f>
        <v/>
      </c>
      <c r="DM243" s="66" t="str">
        <f t="shared" ref="DM243" si="3655">IF(AG243="","","|n"&amp;DM$2&amp;"+"&amp;AG243&amp;DM$1)</f>
        <v/>
      </c>
      <c r="DN243" s="66" t="str">
        <f t="shared" ref="DN243" si="3656">IF(AH243="","","|n"&amp;DN$2&amp;"+"&amp;AH243&amp;DN$1)</f>
        <v/>
      </c>
      <c r="DO243" s="66" t="str">
        <f t="shared" ref="DO243" si="3657">IF(AI243="","","|n"&amp;DO$2&amp;"+"&amp;AI243&amp;DO$1)</f>
        <v/>
      </c>
      <c r="DP243" s="66" t="str">
        <f t="shared" ref="DP243" si="3658">IF(AJ243="","","|n"&amp;DP$2&amp;"+"&amp;AJ243&amp;DP$1)</f>
        <v/>
      </c>
      <c r="DQ243" s="66" t="str">
        <f t="shared" ref="DQ243" si="3659">IF(AK243="","","|n"&amp;DQ$2&amp;"+"&amp;AK243&amp;DQ$1)</f>
        <v/>
      </c>
      <c r="DR243" s="66" t="str">
        <f t="shared" ref="DR243" si="3660">IF(AL243="","","|n"&amp;DR$2&amp;"+"&amp;AL243&amp;DR$1)</f>
        <v/>
      </c>
      <c r="DS243" s="66" t="str">
        <f t="shared" ref="DS243" si="3661">IF(AM243="","","|n"&amp;DS$2&amp;"+"&amp;AM243&amp;DS$1)</f>
        <v/>
      </c>
      <c r="DT243" s="66" t="str">
        <f t="shared" ref="DT243" si="3662">IF(AN243="","","|n"&amp;DT$2&amp;"+"&amp;AN243&amp;DT$1)</f>
        <v/>
      </c>
      <c r="DU243" s="66" t="str">
        <f t="shared" ref="DU243" si="3663">IF(AO243="","","|n"&amp;DU$2&amp;"+"&amp;AO243&amp;DU$1)</f>
        <v/>
      </c>
      <c r="DV243" s="66" t="str">
        <f t="shared" ref="DV243" si="3664">IF(AP243="","","|n"&amp;DV$2&amp;"+"&amp;AP243&amp;DV$1)</f>
        <v/>
      </c>
      <c r="DW243" s="66" t="str">
        <f t="shared" ref="DW243" si="3665">IF(AQ243="","","|n"&amp;DW$2&amp;"+"&amp;AQ243&amp;DW$1)</f>
        <v/>
      </c>
      <c r="DX243" s="66" t="str">
        <f t="shared" ref="DX243" si="3666">IF(AR243="","","|n"&amp;DX$2&amp;"+"&amp;AR243&amp;DX$1)</f>
        <v/>
      </c>
      <c r="DY243" s="66" t="str">
        <f t="shared" ref="DY243" si="3667">IF(AS243="","","|n"&amp;DY$2&amp;"+"&amp;AS243&amp;DY$1)</f>
        <v/>
      </c>
      <c r="DZ243" s="66" t="str">
        <f t="shared" ref="DZ243" si="3668">IF(AT243="","","|n"&amp;DZ$2&amp;"+"&amp;AT243&amp;DZ$1)</f>
        <v/>
      </c>
      <c r="EA243" s="66" t="str">
        <f t="shared" ref="EA243" si="3669">IF(AU243="","","|n"&amp;EA$2&amp;"+"&amp;AU243&amp;EA$1)</f>
        <v/>
      </c>
      <c r="EB243" s="66" t="str">
        <f t="shared" ref="EB243" si="3670">IF(AV243="","","|n"&amp;EB$2&amp;"+"&amp;AV243&amp;EB$1)</f>
        <v/>
      </c>
      <c r="EC243" s="66" t="str">
        <f t="shared" ref="EC243" si="3671">IF(AW243="","","|n"&amp;EC$2&amp;"+"&amp;AW243&amp;EC$1)</f>
        <v/>
      </c>
      <c r="ED243" s="66" t="str">
        <f t="shared" ref="ED243" si="3672">IF(AX243="","","|n"&amp;ED$2&amp;"+"&amp;AX243&amp;ED$1)</f>
        <v/>
      </c>
      <c r="EE243" s="66" t="str">
        <f t="shared" ref="EE243" si="3673">IF(AY243="","","|n"&amp;EE$2&amp;"+"&amp;AY243&amp;EE$1)</f>
        <v/>
      </c>
      <c r="EF243" s="66" t="str">
        <f t="shared" ref="EF243" si="3674">IF(AZ243="","","|n"&amp;EF$2&amp;"+"&amp;AZ243&amp;EF$1)</f>
        <v/>
      </c>
      <c r="EG243" s="66" t="str">
        <f t="shared" ref="EG243" si="3675">IF(BA243="","","|n"&amp;EG$2&amp;"+"&amp;BA243&amp;EG$1)</f>
        <v/>
      </c>
      <c r="EH243" s="66" t="str">
        <f t="shared" ref="EH243" si="3676">IF(BB243="","","|n"&amp;EH$2&amp;"+"&amp;BB243&amp;EH$1)</f>
        <v/>
      </c>
      <c r="EI243" s="66" t="str">
        <f t="shared" ref="EI243" si="3677">IF(BC243="","","|n"&amp;EI$2&amp;"+"&amp;BC243&amp;EI$1)</f>
        <v/>
      </c>
      <c r="EJ243" s="66" t="str">
        <f t="shared" ref="EJ243" si="3678">IF(BD243="","","|n"&amp;EJ$2&amp;"+"&amp;BD243&amp;EJ$1)</f>
        <v/>
      </c>
      <c r="EK243" s="66" t="str">
        <f t="shared" ref="EK243" si="3679">IF(BE243="","","|n"&amp;EK$2&amp;"+"&amp;BE243&amp;EK$1)</f>
        <v/>
      </c>
      <c r="EL243" s="66" t="str">
        <f t="shared" ref="EL243" si="3680">IF(BF243="","","|n"&amp;EL$2&amp;"+"&amp;BF243&amp;EL$1)</f>
        <v/>
      </c>
      <c r="EM243" s="66" t="str">
        <f t="shared" ref="EM243" si="3681">IF(BG243="","","|n"&amp;EM$2&amp;"+"&amp;BG243&amp;EM$1)</f>
        <v/>
      </c>
      <c r="EN243" s="66" t="str">
        <f t="shared" ref="EN243" si="3682">IF(BH243="","","|n"&amp;EN$2&amp;"+"&amp;BH243&amp;EN$1)</f>
        <v/>
      </c>
      <c r="EO243" s="66" t="str">
        <f t="shared" ref="EO243" si="3683">IF(BI243="","","|n"&amp;EO$2&amp;"+"&amp;BI243&amp;EO$1)</f>
        <v/>
      </c>
      <c r="EP243" s="66" t="str">
        <f t="shared" ref="EP243" si="3684">IF(BJ243="","","|n"&amp;EP$2&amp;"+"&amp;BJ243&amp;EP$1)</f>
        <v/>
      </c>
      <c r="EQ243" s="66" t="str">
        <f t="shared" ref="EQ243" si="3685">IF(BK243="","","|n"&amp;EQ$2&amp;"+"&amp;BK243&amp;EQ$1)</f>
        <v/>
      </c>
      <c r="ER243" s="66" t="str">
        <f t="shared" ref="ER243" si="3686">IF(BL243="","","|n"&amp;ER$2&amp;"+"&amp;BL243&amp;ER$1)</f>
        <v/>
      </c>
      <c r="ES243" s="66" t="str">
        <f t="shared" ref="ES243" si="3687">IF(BM243="","","|n"&amp;ES$2&amp;"+"&amp;BM243&amp;ES$1)</f>
        <v/>
      </c>
      <c r="ET243" s="66" t="str">
        <f t="shared" ref="ET243" si="3688">IF(BN243="","","|n"&amp;ET$2&amp;"+"&amp;BN243&amp;ET$1)</f>
        <v/>
      </c>
      <c r="EU243" s="66" t="str">
        <f t="shared" ref="EU243" si="3689">IF(BO243="","","|n"&amp;EU$2&amp;"+"&amp;BO243&amp;EU$1)</f>
        <v/>
      </c>
      <c r="EV243" s="66" t="str">
        <f t="shared" ref="EV243" si="3690">IF(BP243="","","|n"&amp;EV$2&amp;"+"&amp;BP243&amp;EV$1)</f>
        <v/>
      </c>
      <c r="EW243" s="66" t="str">
        <f t="shared" ref="EW243" si="3691">IF(BQ243="","","|n"&amp;EW$2&amp;"+"&amp;BQ243&amp;EW$1)</f>
        <v/>
      </c>
      <c r="EX243" s="66" t="str">
        <f t="shared" ref="EX243" si="3692">IF(BR243="","","|n"&amp;EX$2&amp;"+"&amp;BR243&amp;EX$1)</f>
        <v/>
      </c>
      <c r="EY243" s="66" t="str">
        <f t="shared" ref="EY243" si="3693">IF(BS243="","","|n"&amp;EY$2&amp;"+"&amp;BS243&amp;EY$1)</f>
        <v/>
      </c>
      <c r="EZ243" s="66" t="str">
        <f t="shared" ref="EZ243" si="3694">IF(BT243="","","|n"&amp;EZ$2&amp;"+"&amp;BT243&amp;EZ$1)</f>
        <v/>
      </c>
      <c r="FA243" s="66" t="str">
        <f t="shared" ref="FA243" si="3695">IF(BU243="","","|n"&amp;FA$2&amp;"+"&amp;BU243&amp;FA$1)</f>
        <v/>
      </c>
      <c r="FB243" s="66" t="str">
        <f t="shared" ref="FB243" si="3696">IF(BV243="","","|n"&amp;FB$2&amp;"+"&amp;BV243&amp;FB$1)</f>
        <v/>
      </c>
      <c r="FC243" s="66" t="str">
        <f t="shared" ref="FC243" si="3697">IF(BW243="","","|n"&amp;FC$2&amp;"+"&amp;BW243&amp;FC$1)</f>
        <v/>
      </c>
      <c r="FD243" s="66" t="str">
        <f t="shared" ref="FD243" si="3698">IF(BX243="","","|n"&amp;FD$2&amp;"+"&amp;BX243&amp;FD$1)</f>
        <v/>
      </c>
      <c r="FE243" s="66" t="str">
        <f t="shared" ref="FE243" si="3699">IF(BY243="","","|n"&amp;FE$2&amp;"+"&amp;BY243&amp;FE$1)</f>
        <v/>
      </c>
      <c r="FF243" s="66" t="str">
        <f t="shared" ref="FF243" si="3700">IF(BZ243="","","|n"&amp;FF$2&amp;"+"&amp;BZ243&amp;FF$1)</f>
        <v/>
      </c>
      <c r="FG243" s="66" t="str">
        <f t="shared" ref="FG243" si="3701">IF(CA243="","","|n"&amp;FG$2&amp;"+"&amp;CA243&amp;FG$1)</f>
        <v/>
      </c>
      <c r="FH243" s="66" t="str">
        <f t="shared" ref="FH243" si="3702">IF(CB243="","","|n"&amp;FH$2&amp;"+"&amp;CB243&amp;FH$1)</f>
        <v/>
      </c>
      <c r="FI243" s="66" t="str">
        <f t="shared" ref="FI243" si="3703">IF(CC243="","","|n"&amp;FI$2&amp;"+"&amp;CC243&amp;FI$1)</f>
        <v/>
      </c>
      <c r="FJ243" s="66" t="str">
        <f t="shared" ref="FJ243" si="3704">IF(CD243="","","|n"&amp;FJ$2&amp;"+"&amp;CD243&amp;FJ$1)</f>
        <v/>
      </c>
      <c r="FK243" s="66" t="str">
        <f t="shared" ref="FK243" si="3705">IF(CE243="","","|n"&amp;FK$2&amp;"+"&amp;CE243&amp;FK$1)</f>
        <v/>
      </c>
      <c r="FL243" s="66" t="str">
        <f t="shared" ref="FL243" si="3706">IF(CF243="","","|n"&amp;FL$2&amp;"+"&amp;CF243&amp;FL$1)</f>
        <v/>
      </c>
      <c r="FM243" s="66" t="str">
        <f t="shared" ref="FM243" si="3707">IF(CG243="","","|n"&amp;FM$2&amp;"+"&amp;CG243&amp;FM$1)</f>
        <v/>
      </c>
      <c r="FN243" s="66" t="str">
        <f t="shared" ref="FN243" si="3708">IF(CH243="","","|n"&amp;FN$2&amp;"+"&amp;CH243&amp;FN$1)</f>
        <v/>
      </c>
      <c r="FO243" s="66" t="str">
        <f t="shared" ref="FO243" si="3709">IF(CI243="","","|n"&amp;FO$2&amp;"+"&amp;CI243&amp;FO$1)</f>
        <v/>
      </c>
      <c r="FP243" s="66" t="str">
        <f t="shared" ref="FP243" si="3710">IF(CJ243="","","|n"&amp;FP$2&amp;"+"&amp;CJ243&amp;FP$1)</f>
        <v/>
      </c>
      <c r="FQ243" s="66" t="str">
        <f t="shared" ref="FQ243" si="3711">IF(CK243="","","|n"&amp;FQ$2&amp;"+"&amp;CK243&amp;FQ$1)</f>
        <v/>
      </c>
      <c r="FR243" s="66" t="str">
        <f t="shared" ref="FR243" si="3712">IF(CL243="","","|n"&amp;FR$2&amp;"+"&amp;CL243&amp;FR$1)</f>
        <v/>
      </c>
      <c r="FS243" s="66" t="str">
        <f t="shared" ref="FS243" si="3713">IF(CM243="","","|n"&amp;FS$2&amp;"+"&amp;CM243&amp;FS$1)</f>
        <v/>
      </c>
    </row>
    <row r="244" spans="1:175" ht="16.5">
      <c r="A244" s="109"/>
      <c r="B244" s="9" t="s">
        <v>780</v>
      </c>
      <c r="C244" s="9" t="s">
        <v>781</v>
      </c>
      <c r="T244" s="115"/>
      <c r="U244" s="77"/>
      <c r="CN244" s="36" t="str">
        <f t="shared" si="3563"/>
        <v>InitUnitState('IC00',,,,,,,,,,)</v>
      </c>
      <c r="CO244" s="36" t="str">
        <f t="shared" si="3564"/>
        <v>InitUnitNormal('IC00',,,,,,,,,,)</v>
      </c>
      <c r="CP244" s="36" t="str">
        <f t="shared" si="3565"/>
        <v>InitUnitMagic('IC00',,,,,,,,,,)</v>
      </c>
      <c r="CQ244" s="36" t="str">
        <f t="shared" si="3566"/>
        <v>InitUnitAdd('IC00',,,,,,,,,,)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InitEquipData('IC00',,"",,,,,'','','','','','',"")</v>
      </c>
      <c r="CU244" s="88" t="str">
        <f t="shared" si="3568"/>
        <v>|n</v>
      </c>
      <c r="CW244" s="33"/>
      <c r="CX244" s="33"/>
      <c r="CY244" s="33"/>
      <c r="CZ244" s="33"/>
      <c r="DA244" s="33"/>
      <c r="DB244" s="66" t="str">
        <f t="shared" si="3569"/>
        <v/>
      </c>
      <c r="DC244" s="66" t="str">
        <f t="shared" si="3570"/>
        <v/>
      </c>
      <c r="DD244" s="66" t="str">
        <f t="shared" si="3571"/>
        <v/>
      </c>
      <c r="DE244" s="66" t="str">
        <f t="shared" si="3572"/>
        <v/>
      </c>
      <c r="DF244" s="66" t="str">
        <f t="shared" si="3573"/>
        <v/>
      </c>
      <c r="DG244" s="66" t="str">
        <f t="shared" si="3574"/>
        <v/>
      </c>
      <c r="DH244" s="66" t="str">
        <f t="shared" si="3575"/>
        <v/>
      </c>
      <c r="DI244" s="66" t="str">
        <f t="shared" si="3576"/>
        <v/>
      </c>
      <c r="DJ244" s="66" t="str">
        <f t="shared" si="3577"/>
        <v/>
      </c>
      <c r="DK244" s="66" t="str">
        <f t="shared" si="3578"/>
        <v/>
      </c>
      <c r="DL244" s="66" t="str">
        <f t="shared" si="3579"/>
        <v/>
      </c>
      <c r="DM244" s="66" t="str">
        <f t="shared" si="3580"/>
        <v/>
      </c>
      <c r="DN244" s="66" t="str">
        <f t="shared" si="3581"/>
        <v/>
      </c>
      <c r="DO244" s="66" t="str">
        <f t="shared" si="3582"/>
        <v/>
      </c>
      <c r="DP244" s="66" t="str">
        <f t="shared" si="3583"/>
        <v/>
      </c>
      <c r="DQ244" s="66" t="str">
        <f t="shared" si="3584"/>
        <v/>
      </c>
      <c r="DR244" s="66" t="str">
        <f t="shared" si="3585"/>
        <v/>
      </c>
      <c r="DS244" s="66" t="str">
        <f t="shared" si="3586"/>
        <v/>
      </c>
      <c r="DT244" s="66" t="str">
        <f t="shared" si="3587"/>
        <v/>
      </c>
      <c r="DU244" s="66" t="str">
        <f t="shared" si="3588"/>
        <v/>
      </c>
      <c r="DV244" s="66" t="str">
        <f t="shared" si="3589"/>
        <v/>
      </c>
      <c r="DW244" s="66" t="str">
        <f t="shared" si="3590"/>
        <v/>
      </c>
      <c r="DX244" s="66" t="str">
        <f t="shared" si="3591"/>
        <v/>
      </c>
      <c r="DY244" s="66" t="str">
        <f t="shared" si="3592"/>
        <v/>
      </c>
      <c r="DZ244" s="66" t="str">
        <f t="shared" si="3593"/>
        <v/>
      </c>
      <c r="EA244" s="66" t="str">
        <f t="shared" si="3594"/>
        <v/>
      </c>
      <c r="EB244" s="66" t="str">
        <f t="shared" si="3595"/>
        <v/>
      </c>
      <c r="EC244" s="66" t="str">
        <f t="shared" si="3596"/>
        <v/>
      </c>
      <c r="ED244" s="66" t="str">
        <f t="shared" si="3597"/>
        <v/>
      </c>
      <c r="EE244" s="66" t="str">
        <f t="shared" si="3598"/>
        <v/>
      </c>
      <c r="EF244" s="66" t="str">
        <f t="shared" si="3599"/>
        <v/>
      </c>
      <c r="EG244" s="66" t="str">
        <f t="shared" si="3600"/>
        <v/>
      </c>
      <c r="EH244" s="66" t="str">
        <f t="shared" si="3601"/>
        <v/>
      </c>
      <c r="EI244" s="66" t="str">
        <f t="shared" si="3602"/>
        <v/>
      </c>
      <c r="EJ244" s="66" t="str">
        <f t="shared" si="3603"/>
        <v/>
      </c>
      <c r="EK244" s="66" t="str">
        <f t="shared" si="3604"/>
        <v/>
      </c>
      <c r="EL244" s="66" t="str">
        <f t="shared" si="3605"/>
        <v/>
      </c>
      <c r="EM244" s="66" t="str">
        <f t="shared" si="3606"/>
        <v/>
      </c>
      <c r="EN244" s="66" t="str">
        <f t="shared" si="3607"/>
        <v/>
      </c>
      <c r="EO244" s="66" t="str">
        <f t="shared" si="3608"/>
        <v/>
      </c>
      <c r="EP244" s="66" t="str">
        <f t="shared" si="3609"/>
        <v/>
      </c>
      <c r="EQ244" s="66" t="str">
        <f t="shared" si="3610"/>
        <v/>
      </c>
      <c r="ER244" s="66" t="str">
        <f t="shared" si="3611"/>
        <v/>
      </c>
      <c r="ES244" s="66" t="str">
        <f t="shared" si="3612"/>
        <v/>
      </c>
      <c r="ET244" s="66" t="str">
        <f t="shared" si="3613"/>
        <v/>
      </c>
      <c r="EU244" s="66" t="str">
        <f t="shared" si="3614"/>
        <v/>
      </c>
      <c r="EV244" s="66" t="str">
        <f t="shared" si="3615"/>
        <v/>
      </c>
      <c r="EW244" s="66" t="str">
        <f t="shared" si="3616"/>
        <v/>
      </c>
      <c r="EX244" s="66" t="str">
        <f t="shared" si="3617"/>
        <v/>
      </c>
      <c r="EY244" s="66" t="str">
        <f t="shared" si="3618"/>
        <v/>
      </c>
      <c r="EZ244" s="66" t="str">
        <f t="shared" si="3619"/>
        <v/>
      </c>
      <c r="FA244" s="66" t="str">
        <f t="shared" si="3620"/>
        <v/>
      </c>
      <c r="FB244" s="66" t="str">
        <f t="shared" si="3621"/>
        <v/>
      </c>
      <c r="FC244" s="66" t="str">
        <f t="shared" si="3622"/>
        <v/>
      </c>
      <c r="FD244" s="66" t="str">
        <f t="shared" si="3623"/>
        <v/>
      </c>
      <c r="FE244" s="66" t="str">
        <f t="shared" si="3624"/>
        <v/>
      </c>
      <c r="FF244" s="66" t="str">
        <f t="shared" si="3625"/>
        <v/>
      </c>
      <c r="FG244" s="66" t="str">
        <f t="shared" si="3626"/>
        <v/>
      </c>
      <c r="FH244" s="66" t="str">
        <f t="shared" si="3627"/>
        <v/>
      </c>
      <c r="FI244" s="66" t="str">
        <f t="shared" si="3628"/>
        <v/>
      </c>
      <c r="FJ244" s="66" t="str">
        <f t="shared" si="3629"/>
        <v/>
      </c>
      <c r="FK244" s="66" t="str">
        <f t="shared" si="3630"/>
        <v/>
      </c>
      <c r="FL244" s="66" t="str">
        <f t="shared" si="3631"/>
        <v/>
      </c>
      <c r="FM244" s="66" t="str">
        <f t="shared" si="3632"/>
        <v/>
      </c>
      <c r="FN244" s="66" t="str">
        <f t="shared" si="3633"/>
        <v/>
      </c>
      <c r="FO244" s="66" t="str">
        <f t="shared" si="3634"/>
        <v/>
      </c>
      <c r="FP244" s="66" t="str">
        <f t="shared" si="3635"/>
        <v/>
      </c>
      <c r="FQ244" s="66" t="str">
        <f t="shared" si="3636"/>
        <v/>
      </c>
      <c r="FR244" s="66" t="str">
        <f t="shared" si="3637"/>
        <v/>
      </c>
      <c r="FS244" s="66" t="str">
        <f t="shared" si="3638"/>
        <v/>
      </c>
    </row>
    <row r="245" spans="1:175" ht="16.5">
      <c r="A245" s="109"/>
      <c r="B245" s="9" t="s">
        <v>782</v>
      </c>
      <c r="C245" s="9" t="s">
        <v>783</v>
      </c>
      <c r="T245" s="115"/>
      <c r="U245" s="77"/>
      <c r="CN245" s="36" t="str">
        <f t="shared" ref="CN245" si="3715">"InitUnitState('"&amp;B245&amp;"',"&amp;V245&amp;","&amp;W245&amp;","&amp;X245&amp;","&amp;Y245&amp;","&amp;Z245&amp;","&amp;AA245&amp;","&amp;AB245&amp;","&amp;AC245&amp;","&amp;AD245&amp;","&amp;AE245&amp;")"</f>
        <v>InitUnitState('IC01',,,,,,,,,,)</v>
      </c>
      <c r="CO245" s="36" t="str">
        <f t="shared" ref="CO245" si="3716">"InitUnitNormal('"&amp;B245&amp;"',"&amp;AF245&amp;","&amp;AG245&amp;","&amp;AH245&amp;","&amp;AI245&amp;","&amp;AJ245&amp;","&amp;AK245&amp;","&amp;AL245&amp;","&amp;AM245&amp;","&amp;AN245&amp;","&amp;AO245&amp;")"</f>
        <v>InitUnitNormal('IC01',,,,,,,,,,)</v>
      </c>
      <c r="CP245" s="36" t="str">
        <f t="shared" ref="CP245" si="3717">"InitUnitMagic('"&amp;B245&amp;"',"&amp;AP245&amp;","&amp;AQ245&amp;","&amp;AR245&amp;","&amp;AS245&amp;","&amp;AT245&amp;","&amp;AU245&amp;","&amp;AV245&amp;","&amp;AW245&amp;","&amp;BI245&amp;","&amp;BJ245&amp;")"</f>
        <v>InitUnitMagic('IC01',,,,,,,,,,)</v>
      </c>
      <c r="CQ245" s="36" t="str">
        <f t="shared" ref="CQ245" si="3718">"InitUnitAdd('"&amp;B245&amp;"',"&amp;BK245&amp;","&amp;BL245&amp;","&amp;BM245&amp;","&amp;BN245&amp;","&amp;BO245&amp;","&amp;BP245&amp;","&amp;BQ245&amp;","&amp;BR245&amp;","&amp;BS245&amp;","&amp;BT245&amp;")"</f>
        <v>InitUnitAdd('IC01',,,,,,,,,,)</v>
      </c>
      <c r="CR245" s="36" t="str">
        <f t="shared" ref="CR245" si="3719"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InitEquipData('IC01',,"",,,,,'','','','','','',"")</v>
      </c>
      <c r="CU245" s="88" t="str">
        <f t="shared" si="3492"/>
        <v>|n</v>
      </c>
      <c r="CW245" s="33"/>
      <c r="CX245" s="33"/>
      <c r="CY245" s="33"/>
      <c r="CZ245" s="33"/>
      <c r="DA245" s="33"/>
      <c r="DB245" s="66" t="str">
        <f t="shared" si="3493"/>
        <v/>
      </c>
      <c r="DC245" s="66" t="str">
        <f t="shared" si="3494"/>
        <v/>
      </c>
      <c r="DD245" s="66" t="str">
        <f t="shared" si="3495"/>
        <v/>
      </c>
      <c r="DE245" s="66" t="str">
        <f t="shared" si="3496"/>
        <v/>
      </c>
      <c r="DF245" s="66" t="str">
        <f t="shared" si="3497"/>
        <v/>
      </c>
      <c r="DG245" s="66" t="str">
        <f t="shared" si="3498"/>
        <v/>
      </c>
      <c r="DH245" s="66" t="str">
        <f t="shared" si="3499"/>
        <v/>
      </c>
      <c r="DI245" s="66" t="str">
        <f t="shared" si="3500"/>
        <v/>
      </c>
      <c r="DJ245" s="66" t="str">
        <f t="shared" si="3501"/>
        <v/>
      </c>
      <c r="DK245" s="66" t="str">
        <f t="shared" si="3502"/>
        <v/>
      </c>
      <c r="DL245" s="66" t="str">
        <f t="shared" si="3503"/>
        <v/>
      </c>
      <c r="DM245" s="66" t="str">
        <f t="shared" si="3504"/>
        <v/>
      </c>
      <c r="DN245" s="66" t="str">
        <f t="shared" si="3505"/>
        <v/>
      </c>
      <c r="DO245" s="66" t="str">
        <f t="shared" si="3506"/>
        <v/>
      </c>
      <c r="DP245" s="66" t="str">
        <f t="shared" si="3507"/>
        <v/>
      </c>
      <c r="DQ245" s="66" t="str">
        <f t="shared" si="3508"/>
        <v/>
      </c>
      <c r="DR245" s="66" t="str">
        <f t="shared" si="3509"/>
        <v/>
      </c>
      <c r="DS245" s="66" t="str">
        <f t="shared" si="3510"/>
        <v/>
      </c>
      <c r="DT245" s="66" t="str">
        <f t="shared" si="3511"/>
        <v/>
      </c>
      <c r="DU245" s="66" t="str">
        <f t="shared" si="3512"/>
        <v/>
      </c>
      <c r="DV245" s="66" t="str">
        <f t="shared" si="3513"/>
        <v/>
      </c>
      <c r="DW245" s="66" t="str">
        <f t="shared" si="3514"/>
        <v/>
      </c>
      <c r="DX245" s="66" t="str">
        <f t="shared" si="3515"/>
        <v/>
      </c>
      <c r="DY245" s="66" t="str">
        <f t="shared" si="3516"/>
        <v/>
      </c>
      <c r="DZ245" s="66" t="str">
        <f t="shared" si="3517"/>
        <v/>
      </c>
      <c r="EA245" s="66" t="str">
        <f t="shared" si="3518"/>
        <v/>
      </c>
      <c r="EB245" s="66" t="str">
        <f t="shared" si="3519"/>
        <v/>
      </c>
      <c r="EC245" s="66" t="str">
        <f t="shared" si="3520"/>
        <v/>
      </c>
      <c r="ED245" s="66" t="str">
        <f t="shared" si="3521"/>
        <v/>
      </c>
      <c r="EE245" s="66" t="str">
        <f t="shared" si="3522"/>
        <v/>
      </c>
      <c r="EF245" s="66" t="str">
        <f t="shared" si="3523"/>
        <v/>
      </c>
      <c r="EG245" s="66" t="str">
        <f t="shared" si="3524"/>
        <v/>
      </c>
      <c r="EH245" s="66" t="str">
        <f t="shared" si="3525"/>
        <v/>
      </c>
      <c r="EI245" s="66" t="str">
        <f t="shared" si="3526"/>
        <v/>
      </c>
      <c r="EJ245" s="66" t="str">
        <f t="shared" si="3527"/>
        <v/>
      </c>
      <c r="EK245" s="66" t="str">
        <f t="shared" si="3528"/>
        <v/>
      </c>
      <c r="EL245" s="66" t="str">
        <f t="shared" si="3529"/>
        <v/>
      </c>
      <c r="EM245" s="66" t="str">
        <f t="shared" si="3530"/>
        <v/>
      </c>
      <c r="EN245" s="66" t="str">
        <f t="shared" si="3531"/>
        <v/>
      </c>
      <c r="EO245" s="66" t="str">
        <f t="shared" si="3532"/>
        <v/>
      </c>
      <c r="EP245" s="66" t="str">
        <f t="shared" si="3533"/>
        <v/>
      </c>
      <c r="EQ245" s="66" t="str">
        <f t="shared" si="3534"/>
        <v/>
      </c>
      <c r="ER245" s="66" t="str">
        <f t="shared" si="3535"/>
        <v/>
      </c>
      <c r="ES245" s="66" t="str">
        <f t="shared" si="3536"/>
        <v/>
      </c>
      <c r="ET245" s="66" t="str">
        <f t="shared" si="3537"/>
        <v/>
      </c>
      <c r="EU245" s="66" t="str">
        <f t="shared" si="3538"/>
        <v/>
      </c>
      <c r="EV245" s="66" t="str">
        <f t="shared" si="3539"/>
        <v/>
      </c>
      <c r="EW245" s="66" t="str">
        <f t="shared" si="3540"/>
        <v/>
      </c>
      <c r="EX245" s="66" t="str">
        <f t="shared" si="3541"/>
        <v/>
      </c>
      <c r="EY245" s="66" t="str">
        <f t="shared" si="3542"/>
        <v/>
      </c>
      <c r="EZ245" s="66" t="str">
        <f t="shared" si="3543"/>
        <v/>
      </c>
      <c r="FA245" s="66" t="str">
        <f t="shared" si="3544"/>
        <v/>
      </c>
      <c r="FB245" s="66" t="str">
        <f t="shared" si="3545"/>
        <v/>
      </c>
      <c r="FC245" s="66" t="str">
        <f t="shared" si="3546"/>
        <v/>
      </c>
      <c r="FD245" s="66" t="str">
        <f t="shared" si="3547"/>
        <v/>
      </c>
      <c r="FE245" s="66" t="str">
        <f t="shared" si="3548"/>
        <v/>
      </c>
      <c r="FF245" s="66" t="str">
        <f t="shared" si="3549"/>
        <v/>
      </c>
      <c r="FG245" s="66" t="str">
        <f t="shared" si="3550"/>
        <v/>
      </c>
      <c r="FH245" s="66" t="str">
        <f t="shared" si="3551"/>
        <v/>
      </c>
      <c r="FI245" s="66" t="str">
        <f t="shared" si="3552"/>
        <v/>
      </c>
      <c r="FJ245" s="66" t="str">
        <f t="shared" si="3553"/>
        <v/>
      </c>
      <c r="FK245" s="66" t="str">
        <f t="shared" si="3554"/>
        <v/>
      </c>
      <c r="FL245" s="66" t="str">
        <f t="shared" si="3555"/>
        <v/>
      </c>
      <c r="FM245" s="66" t="str">
        <f t="shared" si="3556"/>
        <v/>
      </c>
      <c r="FN245" s="66" t="str">
        <f t="shared" si="3557"/>
        <v/>
      </c>
      <c r="FO245" s="66" t="str">
        <f t="shared" si="3558"/>
        <v/>
      </c>
      <c r="FP245" s="66" t="str">
        <f t="shared" si="3559"/>
        <v/>
      </c>
      <c r="FQ245" s="66" t="str">
        <f t="shared" si="3560"/>
        <v/>
      </c>
      <c r="FR245" s="66" t="str">
        <f t="shared" si="3561"/>
        <v/>
      </c>
      <c r="FS245" s="66" t="str">
        <f t="shared" si="3562"/>
        <v/>
      </c>
    </row>
    <row r="246" spans="1:175" ht="16.5">
      <c r="A246" s="27"/>
      <c r="B246" s="9" t="s">
        <v>784</v>
      </c>
      <c r="C246" s="9" t="s">
        <v>114</v>
      </c>
      <c r="T246" s="119"/>
      <c r="U246" s="77"/>
      <c r="CN246" s="36" t="str">
        <f t="shared" ref="CN246:CN254" si="3720">"InitUnitState('"&amp;B246&amp;"',"&amp;V246&amp;","&amp;W246&amp;","&amp;X246&amp;","&amp;Y246&amp;","&amp;Z246&amp;","&amp;AA246&amp;","&amp;AB246&amp;","&amp;AC246&amp;","&amp;AD246&amp;","&amp;AE246&amp;")"</f>
        <v>InitUnitState('IC02',,,,,,,,,,)</v>
      </c>
      <c r="CO246" s="36" t="str">
        <f t="shared" ref="CO246:CO254" si="3721">"InitUnitNormal('"&amp;B246&amp;"',"&amp;AF246&amp;","&amp;AG246&amp;","&amp;AH246&amp;","&amp;AI246&amp;","&amp;AJ246&amp;","&amp;AK246&amp;","&amp;AL246&amp;","&amp;AM246&amp;","&amp;AN246&amp;","&amp;AO246&amp;")"</f>
        <v>InitUnitNormal('IC02',,,,,,,,,,)</v>
      </c>
      <c r="CP246" s="36" t="str">
        <f t="shared" ref="CP246:CP254" si="3722">"InitUnitMagic('"&amp;B246&amp;"',"&amp;AP246&amp;","&amp;AQ246&amp;","&amp;AR246&amp;","&amp;AS246&amp;","&amp;AT246&amp;","&amp;AU246&amp;","&amp;AV246&amp;","&amp;AW246&amp;","&amp;BI246&amp;","&amp;BJ246&amp;")"</f>
        <v>InitUnitMagic('IC02',,,,,,,,,,)</v>
      </c>
      <c r="CQ246" s="36" t="str">
        <f t="shared" ref="CQ246:CQ254" si="3723">"InitUnitAdd('"&amp;B246&amp;"',"&amp;BK246&amp;","&amp;BL246&amp;","&amp;BM246&amp;","&amp;BN246&amp;","&amp;BO246&amp;","&amp;BP246&amp;","&amp;BQ246&amp;","&amp;BR246&amp;","&amp;BS246&amp;","&amp;BT246&amp;")"</f>
        <v>InitUnitAdd('IC02',,,,,,,,,,)</v>
      </c>
      <c r="CR246" s="36" t="str">
        <f t="shared" si="3420"/>
        <v>InitEquipData('IC02',,"",,,,,'','','','','','',"")</v>
      </c>
      <c r="CU246" s="88" t="str">
        <f t="shared" si="3492"/>
        <v>|n</v>
      </c>
      <c r="CW246" s="33"/>
      <c r="CX246" s="33"/>
      <c r="CY246" s="33"/>
      <c r="CZ246" s="33"/>
      <c r="DA246" s="33"/>
      <c r="DB246" s="66" t="str">
        <f t="shared" si="3493"/>
        <v/>
      </c>
      <c r="DC246" s="66" t="str">
        <f t="shared" si="3494"/>
        <v/>
      </c>
      <c r="DD246" s="66" t="str">
        <f t="shared" si="3495"/>
        <v/>
      </c>
      <c r="DE246" s="66" t="str">
        <f t="shared" si="3496"/>
        <v/>
      </c>
      <c r="DF246" s="66" t="str">
        <f t="shared" si="3497"/>
        <v/>
      </c>
      <c r="DG246" s="66" t="str">
        <f t="shared" si="3498"/>
        <v/>
      </c>
      <c r="DH246" s="66" t="str">
        <f t="shared" si="3499"/>
        <v/>
      </c>
      <c r="DI246" s="66" t="str">
        <f t="shared" si="3500"/>
        <v/>
      </c>
      <c r="DJ246" s="66" t="str">
        <f t="shared" si="3501"/>
        <v/>
      </c>
      <c r="DK246" s="66" t="str">
        <f t="shared" si="3502"/>
        <v/>
      </c>
      <c r="DL246" s="66" t="str">
        <f t="shared" si="3503"/>
        <v/>
      </c>
      <c r="DM246" s="66" t="str">
        <f t="shared" si="3504"/>
        <v/>
      </c>
      <c r="DN246" s="66" t="str">
        <f t="shared" si="3505"/>
        <v/>
      </c>
      <c r="DO246" s="66" t="str">
        <f t="shared" si="3506"/>
        <v/>
      </c>
      <c r="DP246" s="66" t="str">
        <f t="shared" si="3507"/>
        <v/>
      </c>
      <c r="DQ246" s="66" t="str">
        <f t="shared" si="3508"/>
        <v/>
      </c>
      <c r="DR246" s="66" t="str">
        <f t="shared" si="3509"/>
        <v/>
      </c>
      <c r="DS246" s="66" t="str">
        <f t="shared" si="3510"/>
        <v/>
      </c>
      <c r="DT246" s="66" t="str">
        <f t="shared" si="3511"/>
        <v/>
      </c>
      <c r="DU246" s="66" t="str">
        <f t="shared" si="3512"/>
        <v/>
      </c>
      <c r="DV246" s="66" t="str">
        <f t="shared" si="3513"/>
        <v/>
      </c>
      <c r="DW246" s="66" t="str">
        <f t="shared" si="3514"/>
        <v/>
      </c>
      <c r="DX246" s="66" t="str">
        <f t="shared" si="3515"/>
        <v/>
      </c>
      <c r="DY246" s="66" t="str">
        <f t="shared" si="3516"/>
        <v/>
      </c>
      <c r="DZ246" s="66" t="str">
        <f t="shared" si="3517"/>
        <v/>
      </c>
      <c r="EA246" s="66" t="str">
        <f t="shared" si="3518"/>
        <v/>
      </c>
      <c r="EB246" s="66" t="str">
        <f t="shared" si="3519"/>
        <v/>
      </c>
      <c r="EC246" s="66" t="str">
        <f t="shared" si="3520"/>
        <v/>
      </c>
      <c r="ED246" s="66" t="str">
        <f t="shared" si="3521"/>
        <v/>
      </c>
      <c r="EE246" s="66" t="str">
        <f t="shared" si="3522"/>
        <v/>
      </c>
      <c r="EF246" s="66" t="str">
        <f t="shared" si="3523"/>
        <v/>
      </c>
      <c r="EG246" s="66" t="str">
        <f t="shared" si="3524"/>
        <v/>
      </c>
      <c r="EH246" s="66" t="str">
        <f t="shared" si="3525"/>
        <v/>
      </c>
      <c r="EI246" s="66" t="str">
        <f t="shared" si="3526"/>
        <v/>
      </c>
      <c r="EJ246" s="66" t="str">
        <f t="shared" si="3527"/>
        <v/>
      </c>
      <c r="EK246" s="66" t="str">
        <f t="shared" si="3528"/>
        <v/>
      </c>
      <c r="EL246" s="66" t="str">
        <f t="shared" si="3529"/>
        <v/>
      </c>
      <c r="EM246" s="66" t="str">
        <f t="shared" si="3530"/>
        <v/>
      </c>
      <c r="EN246" s="66" t="str">
        <f t="shared" si="3531"/>
        <v/>
      </c>
      <c r="EO246" s="66" t="str">
        <f t="shared" si="3532"/>
        <v/>
      </c>
      <c r="EP246" s="66" t="str">
        <f t="shared" si="3533"/>
        <v/>
      </c>
      <c r="EQ246" s="66" t="str">
        <f t="shared" si="3534"/>
        <v/>
      </c>
      <c r="ER246" s="66" t="str">
        <f t="shared" si="3535"/>
        <v/>
      </c>
      <c r="ES246" s="66" t="str">
        <f t="shared" si="3536"/>
        <v/>
      </c>
      <c r="ET246" s="66" t="str">
        <f t="shared" si="3537"/>
        <v/>
      </c>
      <c r="EU246" s="66" t="str">
        <f t="shared" si="3538"/>
        <v/>
      </c>
      <c r="EV246" s="66" t="str">
        <f t="shared" si="3539"/>
        <v/>
      </c>
      <c r="EW246" s="66" t="str">
        <f t="shared" si="3540"/>
        <v/>
      </c>
      <c r="EX246" s="66" t="str">
        <f t="shared" si="3541"/>
        <v/>
      </c>
      <c r="EY246" s="66" t="str">
        <f t="shared" si="3542"/>
        <v/>
      </c>
      <c r="EZ246" s="66" t="str">
        <f t="shared" si="3543"/>
        <v/>
      </c>
      <c r="FA246" s="66" t="str">
        <f t="shared" si="3544"/>
        <v/>
      </c>
      <c r="FB246" s="66" t="str">
        <f t="shared" si="3545"/>
        <v/>
      </c>
      <c r="FC246" s="66" t="str">
        <f t="shared" si="3546"/>
        <v/>
      </c>
      <c r="FD246" s="66" t="str">
        <f t="shared" si="3547"/>
        <v/>
      </c>
      <c r="FE246" s="66" t="str">
        <f t="shared" si="3548"/>
        <v/>
      </c>
      <c r="FF246" s="66" t="str">
        <f t="shared" si="3549"/>
        <v/>
      </c>
      <c r="FG246" s="66" t="str">
        <f t="shared" si="3550"/>
        <v/>
      </c>
      <c r="FH246" s="66" t="str">
        <f t="shared" si="3551"/>
        <v/>
      </c>
      <c r="FI246" s="66" t="str">
        <f t="shared" si="3552"/>
        <v/>
      </c>
      <c r="FJ246" s="66" t="str">
        <f t="shared" si="3553"/>
        <v/>
      </c>
      <c r="FK246" s="66" t="str">
        <f t="shared" si="3554"/>
        <v/>
      </c>
      <c r="FL246" s="66" t="str">
        <f t="shared" si="3555"/>
        <v/>
      </c>
      <c r="FM246" s="66" t="str">
        <f t="shared" si="3556"/>
        <v/>
      </c>
      <c r="FN246" s="66" t="str">
        <f t="shared" si="3557"/>
        <v/>
      </c>
      <c r="FO246" s="66" t="str">
        <f t="shared" si="3558"/>
        <v/>
      </c>
      <c r="FP246" s="66" t="str">
        <f t="shared" si="3559"/>
        <v/>
      </c>
      <c r="FQ246" s="66" t="str">
        <f t="shared" si="3560"/>
        <v/>
      </c>
      <c r="FR246" s="66" t="str">
        <f t="shared" si="3561"/>
        <v/>
      </c>
      <c r="FS246" s="66" t="str">
        <f t="shared" si="3562"/>
        <v/>
      </c>
    </row>
    <row r="247" spans="1:175" s="33" customFormat="1" ht="16.5">
      <c r="A247" s="111"/>
      <c r="B247" s="9" t="s">
        <v>785</v>
      </c>
      <c r="C247" s="9" t="s">
        <v>786</v>
      </c>
      <c r="D247" s="67"/>
      <c r="E247" s="68"/>
      <c r="F247" s="112"/>
      <c r="G247" s="113"/>
      <c r="H247" s="113"/>
      <c r="I247" s="113"/>
      <c r="J247" s="113"/>
      <c r="K247" s="113"/>
      <c r="L247" s="113"/>
      <c r="M247" s="113"/>
      <c r="N247" s="113"/>
      <c r="O247" s="113"/>
      <c r="P247" s="73"/>
      <c r="Q247" s="73"/>
      <c r="R247" s="73"/>
      <c r="S247" s="73"/>
      <c r="T247" s="80"/>
      <c r="U247" s="77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84"/>
      <c r="AS247" s="84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86" t="str">
        <f t="shared" si="3720"/>
        <v>InitUnitState('IC03',,,,,,,,,,)</v>
      </c>
      <c r="CO247" s="86" t="str">
        <f t="shared" si="3721"/>
        <v>InitUnitNormal('IC03',,,,,,,,,,)</v>
      </c>
      <c r="CP247" s="86" t="str">
        <f t="shared" si="3722"/>
        <v>InitUnitMagic('IC03',,,,,,,,,,)</v>
      </c>
      <c r="CQ247" s="86" t="str">
        <f t="shared" si="3723"/>
        <v>InitUnitAdd('IC03',,,,,,,,,,)</v>
      </c>
      <c r="CR247" s="86" t="str">
        <f t="shared" si="3420"/>
        <v>InitEquipData('IC03',,"",,,,,'','','','','','',"")</v>
      </c>
      <c r="CS247" s="86"/>
      <c r="CT247" s="86"/>
      <c r="CU247" s="88" t="str">
        <f t="shared" si="3492"/>
        <v>|n</v>
      </c>
      <c r="CV247" s="19"/>
      <c r="DB247" s="66" t="str">
        <f t="shared" si="3493"/>
        <v/>
      </c>
      <c r="DC247" s="66" t="str">
        <f t="shared" si="3494"/>
        <v/>
      </c>
      <c r="DD247" s="66" t="str">
        <f t="shared" si="3495"/>
        <v/>
      </c>
      <c r="DE247" s="66" t="str">
        <f t="shared" si="3496"/>
        <v/>
      </c>
      <c r="DF247" s="66" t="str">
        <f t="shared" si="3497"/>
        <v/>
      </c>
      <c r="DG247" s="66" t="str">
        <f t="shared" si="3498"/>
        <v/>
      </c>
      <c r="DH247" s="66" t="str">
        <f t="shared" si="3499"/>
        <v/>
      </c>
      <c r="DI247" s="66" t="str">
        <f t="shared" si="3500"/>
        <v/>
      </c>
      <c r="DJ247" s="66" t="str">
        <f t="shared" si="3501"/>
        <v/>
      </c>
      <c r="DK247" s="66" t="str">
        <f t="shared" si="3502"/>
        <v/>
      </c>
      <c r="DL247" s="66" t="str">
        <f t="shared" si="3503"/>
        <v/>
      </c>
      <c r="DM247" s="66" t="str">
        <f t="shared" si="3504"/>
        <v/>
      </c>
      <c r="DN247" s="66" t="str">
        <f t="shared" si="3505"/>
        <v/>
      </c>
      <c r="DO247" s="66" t="str">
        <f t="shared" si="3506"/>
        <v/>
      </c>
      <c r="DP247" s="66" t="str">
        <f t="shared" si="3507"/>
        <v/>
      </c>
      <c r="DQ247" s="66" t="str">
        <f t="shared" si="3508"/>
        <v/>
      </c>
      <c r="DR247" s="66" t="str">
        <f t="shared" si="3509"/>
        <v/>
      </c>
      <c r="DS247" s="66" t="str">
        <f t="shared" si="3510"/>
        <v/>
      </c>
      <c r="DT247" s="66" t="str">
        <f t="shared" si="3511"/>
        <v/>
      </c>
      <c r="DU247" s="66" t="str">
        <f t="shared" si="3512"/>
        <v/>
      </c>
      <c r="DV247" s="66" t="str">
        <f t="shared" si="3513"/>
        <v/>
      </c>
      <c r="DW247" s="66" t="str">
        <f t="shared" si="3514"/>
        <v/>
      </c>
      <c r="DX247" s="66" t="str">
        <f t="shared" si="3515"/>
        <v/>
      </c>
      <c r="DY247" s="66" t="str">
        <f t="shared" si="3516"/>
        <v/>
      </c>
      <c r="DZ247" s="66" t="str">
        <f t="shared" si="3517"/>
        <v/>
      </c>
      <c r="EA247" s="66" t="str">
        <f t="shared" si="3518"/>
        <v/>
      </c>
      <c r="EB247" s="66" t="str">
        <f t="shared" si="3519"/>
        <v/>
      </c>
      <c r="EC247" s="66" t="str">
        <f t="shared" si="3520"/>
        <v/>
      </c>
      <c r="ED247" s="66" t="str">
        <f t="shared" si="3521"/>
        <v/>
      </c>
      <c r="EE247" s="66" t="str">
        <f t="shared" si="3522"/>
        <v/>
      </c>
      <c r="EF247" s="66" t="str">
        <f t="shared" si="3523"/>
        <v/>
      </c>
      <c r="EG247" s="66" t="str">
        <f t="shared" si="3524"/>
        <v/>
      </c>
      <c r="EH247" s="66" t="str">
        <f t="shared" si="3525"/>
        <v/>
      </c>
      <c r="EI247" s="66" t="str">
        <f t="shared" si="3526"/>
        <v/>
      </c>
      <c r="EJ247" s="66" t="str">
        <f t="shared" si="3527"/>
        <v/>
      </c>
      <c r="EK247" s="66" t="str">
        <f t="shared" si="3528"/>
        <v/>
      </c>
      <c r="EL247" s="66" t="str">
        <f t="shared" si="3529"/>
        <v/>
      </c>
      <c r="EM247" s="66" t="str">
        <f t="shared" si="3530"/>
        <v/>
      </c>
      <c r="EN247" s="66" t="str">
        <f t="shared" si="3531"/>
        <v/>
      </c>
      <c r="EO247" s="66" t="str">
        <f t="shared" si="3532"/>
        <v/>
      </c>
      <c r="EP247" s="66" t="str">
        <f t="shared" si="3533"/>
        <v/>
      </c>
      <c r="EQ247" s="66" t="str">
        <f t="shared" si="3534"/>
        <v/>
      </c>
      <c r="ER247" s="66" t="str">
        <f t="shared" si="3535"/>
        <v/>
      </c>
      <c r="ES247" s="66" t="str">
        <f t="shared" si="3536"/>
        <v/>
      </c>
      <c r="ET247" s="66" t="str">
        <f t="shared" si="3537"/>
        <v/>
      </c>
      <c r="EU247" s="66" t="str">
        <f t="shared" si="3538"/>
        <v/>
      </c>
      <c r="EV247" s="66" t="str">
        <f t="shared" si="3539"/>
        <v/>
      </c>
      <c r="EW247" s="66" t="str">
        <f t="shared" si="3540"/>
        <v/>
      </c>
      <c r="EX247" s="66" t="str">
        <f t="shared" si="3541"/>
        <v/>
      </c>
      <c r="EY247" s="66" t="str">
        <f t="shared" si="3542"/>
        <v/>
      </c>
      <c r="EZ247" s="66" t="str">
        <f t="shared" si="3543"/>
        <v/>
      </c>
      <c r="FA247" s="66" t="str">
        <f t="shared" si="3544"/>
        <v/>
      </c>
      <c r="FB247" s="66" t="str">
        <f t="shared" si="3545"/>
        <v/>
      </c>
      <c r="FC247" s="66" t="str">
        <f t="shared" si="3546"/>
        <v/>
      </c>
      <c r="FD247" s="66" t="str">
        <f t="shared" si="3547"/>
        <v/>
      </c>
      <c r="FE247" s="66" t="str">
        <f t="shared" si="3548"/>
        <v/>
      </c>
      <c r="FF247" s="66" t="str">
        <f t="shared" si="3549"/>
        <v/>
      </c>
      <c r="FG247" s="66" t="str">
        <f t="shared" si="3550"/>
        <v/>
      </c>
      <c r="FH247" s="66" t="str">
        <f t="shared" si="3551"/>
        <v/>
      </c>
      <c r="FI247" s="66" t="str">
        <f t="shared" si="3552"/>
        <v/>
      </c>
      <c r="FJ247" s="66" t="str">
        <f t="shared" si="3553"/>
        <v/>
      </c>
      <c r="FK247" s="66" t="str">
        <f t="shared" si="3554"/>
        <v/>
      </c>
      <c r="FL247" s="66" t="str">
        <f t="shared" si="3555"/>
        <v/>
      </c>
      <c r="FM247" s="66" t="str">
        <f t="shared" si="3556"/>
        <v/>
      </c>
      <c r="FN247" s="66" t="str">
        <f t="shared" si="3557"/>
        <v/>
      </c>
      <c r="FO247" s="66" t="str">
        <f t="shared" si="3558"/>
        <v/>
      </c>
      <c r="FP247" s="66" t="str">
        <f t="shared" si="3559"/>
        <v/>
      </c>
      <c r="FQ247" s="66" t="str">
        <f t="shared" si="3560"/>
        <v/>
      </c>
      <c r="FR247" s="66" t="str">
        <f t="shared" si="3561"/>
        <v/>
      </c>
      <c r="FS247" s="66" t="str">
        <f t="shared" si="3562"/>
        <v/>
      </c>
    </row>
    <row r="248" spans="1:175" s="33" customFormat="1" ht="16.5">
      <c r="A248" s="111"/>
      <c r="B248" s="9" t="s">
        <v>787</v>
      </c>
      <c r="C248" s="9" t="s">
        <v>788</v>
      </c>
      <c r="D248" s="67"/>
      <c r="E248" s="68"/>
      <c r="F248" s="112"/>
      <c r="G248" s="113"/>
      <c r="H248" s="113"/>
      <c r="I248" s="113"/>
      <c r="J248" s="113"/>
      <c r="K248" s="113"/>
      <c r="L248" s="113"/>
      <c r="M248" s="113"/>
      <c r="N248" s="113"/>
      <c r="O248" s="113"/>
      <c r="P248" s="73"/>
      <c r="Q248" s="73"/>
      <c r="R248" s="73"/>
      <c r="S248" s="73"/>
      <c r="T248" s="80"/>
      <c r="U248" s="77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84"/>
      <c r="AS248" s="84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86" t="str">
        <f t="shared" si="3720"/>
        <v>InitUnitState('IC04',,,,,,,,,,)</v>
      </c>
      <c r="CO248" s="86" t="str">
        <f t="shared" si="3721"/>
        <v>InitUnitNormal('IC04',,,,,,,,,,)</v>
      </c>
      <c r="CP248" s="86" t="str">
        <f t="shared" si="3722"/>
        <v>InitUnitMagic('IC04',,,,,,,,,,)</v>
      </c>
      <c r="CQ248" s="86" t="str">
        <f t="shared" si="3723"/>
        <v>InitUnitAdd('IC04',,,,,,,,,,)</v>
      </c>
      <c r="CR248" s="86" t="str">
        <f t="shared" si="3420"/>
        <v>InitEquipData('IC04',,"",,,,,'','','','','','',"")</v>
      </c>
      <c r="CS248" s="86"/>
      <c r="CT248" s="86"/>
      <c r="CU248" s="88" t="str">
        <f t="shared" si="3492"/>
        <v>|n</v>
      </c>
      <c r="CV248" s="19"/>
      <c r="DB248" s="66" t="str">
        <f t="shared" si="3493"/>
        <v/>
      </c>
      <c r="DC248" s="66" t="str">
        <f t="shared" si="3494"/>
        <v/>
      </c>
      <c r="DD248" s="66" t="str">
        <f t="shared" si="3495"/>
        <v/>
      </c>
      <c r="DE248" s="66" t="str">
        <f t="shared" si="3496"/>
        <v/>
      </c>
      <c r="DF248" s="66" t="str">
        <f t="shared" si="3497"/>
        <v/>
      </c>
      <c r="DG248" s="66" t="str">
        <f t="shared" si="3498"/>
        <v/>
      </c>
      <c r="DH248" s="66" t="str">
        <f t="shared" si="3499"/>
        <v/>
      </c>
      <c r="DI248" s="66" t="str">
        <f t="shared" si="3500"/>
        <v/>
      </c>
      <c r="DJ248" s="66" t="str">
        <f t="shared" si="3501"/>
        <v/>
      </c>
      <c r="DK248" s="66" t="str">
        <f t="shared" si="3502"/>
        <v/>
      </c>
      <c r="DL248" s="66" t="str">
        <f t="shared" si="3503"/>
        <v/>
      </c>
      <c r="DM248" s="66" t="str">
        <f t="shared" si="3504"/>
        <v/>
      </c>
      <c r="DN248" s="66" t="str">
        <f t="shared" si="3505"/>
        <v/>
      </c>
      <c r="DO248" s="66" t="str">
        <f t="shared" si="3506"/>
        <v/>
      </c>
      <c r="DP248" s="66" t="str">
        <f t="shared" si="3507"/>
        <v/>
      </c>
      <c r="DQ248" s="66" t="str">
        <f t="shared" si="3508"/>
        <v/>
      </c>
      <c r="DR248" s="66" t="str">
        <f t="shared" si="3509"/>
        <v/>
      </c>
      <c r="DS248" s="66" t="str">
        <f t="shared" si="3510"/>
        <v/>
      </c>
      <c r="DT248" s="66" t="str">
        <f t="shared" si="3511"/>
        <v/>
      </c>
      <c r="DU248" s="66" t="str">
        <f t="shared" si="3512"/>
        <v/>
      </c>
      <c r="DV248" s="66" t="str">
        <f t="shared" si="3513"/>
        <v/>
      </c>
      <c r="DW248" s="66" t="str">
        <f t="shared" si="3514"/>
        <v/>
      </c>
      <c r="DX248" s="66" t="str">
        <f t="shared" si="3515"/>
        <v/>
      </c>
      <c r="DY248" s="66" t="str">
        <f t="shared" si="3516"/>
        <v/>
      </c>
      <c r="DZ248" s="66" t="str">
        <f t="shared" si="3517"/>
        <v/>
      </c>
      <c r="EA248" s="66" t="str">
        <f t="shared" si="3518"/>
        <v/>
      </c>
      <c r="EB248" s="66" t="str">
        <f t="shared" si="3519"/>
        <v/>
      </c>
      <c r="EC248" s="66" t="str">
        <f t="shared" si="3520"/>
        <v/>
      </c>
      <c r="ED248" s="66" t="str">
        <f t="shared" si="3521"/>
        <v/>
      </c>
      <c r="EE248" s="66" t="str">
        <f t="shared" si="3522"/>
        <v/>
      </c>
      <c r="EF248" s="66" t="str">
        <f t="shared" si="3523"/>
        <v/>
      </c>
      <c r="EG248" s="66" t="str">
        <f t="shared" si="3524"/>
        <v/>
      </c>
      <c r="EH248" s="66" t="str">
        <f t="shared" si="3525"/>
        <v/>
      </c>
      <c r="EI248" s="66" t="str">
        <f t="shared" si="3526"/>
        <v/>
      </c>
      <c r="EJ248" s="66" t="str">
        <f t="shared" si="3527"/>
        <v/>
      </c>
      <c r="EK248" s="66" t="str">
        <f t="shared" si="3528"/>
        <v/>
      </c>
      <c r="EL248" s="66" t="str">
        <f t="shared" si="3529"/>
        <v/>
      </c>
      <c r="EM248" s="66" t="str">
        <f t="shared" si="3530"/>
        <v/>
      </c>
      <c r="EN248" s="66" t="str">
        <f t="shared" si="3531"/>
        <v/>
      </c>
      <c r="EO248" s="66" t="str">
        <f t="shared" si="3532"/>
        <v/>
      </c>
      <c r="EP248" s="66" t="str">
        <f t="shared" si="3533"/>
        <v/>
      </c>
      <c r="EQ248" s="66" t="str">
        <f t="shared" si="3534"/>
        <v/>
      </c>
      <c r="ER248" s="66" t="str">
        <f t="shared" si="3535"/>
        <v/>
      </c>
      <c r="ES248" s="66" t="str">
        <f t="shared" si="3536"/>
        <v/>
      </c>
      <c r="ET248" s="66" t="str">
        <f t="shared" si="3537"/>
        <v/>
      </c>
      <c r="EU248" s="66" t="str">
        <f t="shared" si="3538"/>
        <v/>
      </c>
      <c r="EV248" s="66" t="str">
        <f t="shared" si="3539"/>
        <v/>
      </c>
      <c r="EW248" s="66" t="str">
        <f t="shared" si="3540"/>
        <v/>
      </c>
      <c r="EX248" s="66" t="str">
        <f t="shared" si="3541"/>
        <v/>
      </c>
      <c r="EY248" s="66" t="str">
        <f t="shared" si="3542"/>
        <v/>
      </c>
      <c r="EZ248" s="66" t="str">
        <f t="shared" si="3543"/>
        <v/>
      </c>
      <c r="FA248" s="66" t="str">
        <f t="shared" si="3544"/>
        <v/>
      </c>
      <c r="FB248" s="66" t="str">
        <f t="shared" si="3545"/>
        <v/>
      </c>
      <c r="FC248" s="66" t="str">
        <f t="shared" si="3546"/>
        <v/>
      </c>
      <c r="FD248" s="66" t="str">
        <f t="shared" si="3547"/>
        <v/>
      </c>
      <c r="FE248" s="66" t="str">
        <f t="shared" si="3548"/>
        <v/>
      </c>
      <c r="FF248" s="66" t="str">
        <f t="shared" si="3549"/>
        <v/>
      </c>
      <c r="FG248" s="66" t="str">
        <f t="shared" si="3550"/>
        <v/>
      </c>
      <c r="FH248" s="66" t="str">
        <f t="shared" si="3551"/>
        <v/>
      </c>
      <c r="FI248" s="66" t="str">
        <f t="shared" si="3552"/>
        <v/>
      </c>
      <c r="FJ248" s="66" t="str">
        <f t="shared" si="3553"/>
        <v/>
      </c>
      <c r="FK248" s="66" t="str">
        <f t="shared" si="3554"/>
        <v/>
      </c>
      <c r="FL248" s="66" t="str">
        <f t="shared" si="3555"/>
        <v/>
      </c>
      <c r="FM248" s="66" t="str">
        <f t="shared" si="3556"/>
        <v/>
      </c>
      <c r="FN248" s="66" t="str">
        <f t="shared" si="3557"/>
        <v/>
      </c>
      <c r="FO248" s="66" t="str">
        <f t="shared" si="3558"/>
        <v/>
      </c>
      <c r="FP248" s="66" t="str">
        <f t="shared" si="3559"/>
        <v/>
      </c>
      <c r="FQ248" s="66" t="str">
        <f t="shared" si="3560"/>
        <v/>
      </c>
      <c r="FR248" s="66" t="str">
        <f t="shared" si="3561"/>
        <v/>
      </c>
      <c r="FS248" s="66" t="str">
        <f t="shared" si="3562"/>
        <v/>
      </c>
    </row>
    <row r="249" spans="1:175" s="33" customFormat="1" ht="16.5">
      <c r="A249" s="111"/>
      <c r="B249" s="9" t="s">
        <v>789</v>
      </c>
      <c r="C249" s="9" t="s">
        <v>790</v>
      </c>
      <c r="D249" s="67"/>
      <c r="E249" s="68"/>
      <c r="F249" s="112"/>
      <c r="G249" s="113"/>
      <c r="H249" s="113"/>
      <c r="I249" s="113"/>
      <c r="J249" s="113"/>
      <c r="K249" s="113"/>
      <c r="L249" s="113"/>
      <c r="M249" s="113"/>
      <c r="N249" s="113"/>
      <c r="O249" s="113"/>
      <c r="P249" s="73"/>
      <c r="Q249" s="73"/>
      <c r="R249" s="73"/>
      <c r="S249" s="73"/>
      <c r="T249" s="80"/>
      <c r="U249" s="77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84"/>
      <c r="AS249" s="84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86" t="str">
        <f t="shared" si="3720"/>
        <v>InitUnitState('IC05',,,,,,,,,,)</v>
      </c>
      <c r="CO249" s="86" t="str">
        <f t="shared" si="3721"/>
        <v>InitUnitNormal('IC05',,,,,,,,,,)</v>
      </c>
      <c r="CP249" s="86" t="str">
        <f t="shared" si="3722"/>
        <v>InitUnitMagic('IC05',,,,,,,,,,)</v>
      </c>
      <c r="CQ249" s="86" t="str">
        <f t="shared" si="3723"/>
        <v>InitUnitAdd('IC05',,,,,,,,,,)</v>
      </c>
      <c r="CR249" s="86" t="str">
        <f t="shared" si="3420"/>
        <v>InitEquipData('IC05',,"",,,,,'','','','','','',"")</v>
      </c>
      <c r="CS249" s="86"/>
      <c r="CT249" s="86"/>
      <c r="CU249" s="88" t="str">
        <f t="shared" si="3492"/>
        <v>|n</v>
      </c>
      <c r="CV249" s="19"/>
      <c r="DB249" s="66" t="str">
        <f t="shared" si="3493"/>
        <v/>
      </c>
      <c r="DC249" s="66" t="str">
        <f t="shared" si="3494"/>
        <v/>
      </c>
      <c r="DD249" s="66" t="str">
        <f t="shared" si="3495"/>
        <v/>
      </c>
      <c r="DE249" s="66" t="str">
        <f t="shared" si="3496"/>
        <v/>
      </c>
      <c r="DF249" s="66" t="str">
        <f t="shared" si="3497"/>
        <v/>
      </c>
      <c r="DG249" s="66" t="str">
        <f t="shared" si="3498"/>
        <v/>
      </c>
      <c r="DH249" s="66" t="str">
        <f t="shared" si="3499"/>
        <v/>
      </c>
      <c r="DI249" s="66" t="str">
        <f t="shared" si="3500"/>
        <v/>
      </c>
      <c r="DJ249" s="66" t="str">
        <f t="shared" si="3501"/>
        <v/>
      </c>
      <c r="DK249" s="66" t="str">
        <f t="shared" si="3502"/>
        <v/>
      </c>
      <c r="DL249" s="66" t="str">
        <f t="shared" si="3503"/>
        <v/>
      </c>
      <c r="DM249" s="66" t="str">
        <f t="shared" si="3504"/>
        <v/>
      </c>
      <c r="DN249" s="66" t="str">
        <f t="shared" si="3505"/>
        <v/>
      </c>
      <c r="DO249" s="66" t="str">
        <f t="shared" si="3506"/>
        <v/>
      </c>
      <c r="DP249" s="66" t="str">
        <f t="shared" si="3507"/>
        <v/>
      </c>
      <c r="DQ249" s="66" t="str">
        <f t="shared" si="3508"/>
        <v/>
      </c>
      <c r="DR249" s="66" t="str">
        <f t="shared" si="3509"/>
        <v/>
      </c>
      <c r="DS249" s="66" t="str">
        <f t="shared" si="3510"/>
        <v/>
      </c>
      <c r="DT249" s="66" t="str">
        <f t="shared" si="3511"/>
        <v/>
      </c>
      <c r="DU249" s="66" t="str">
        <f t="shared" si="3512"/>
        <v/>
      </c>
      <c r="DV249" s="66" t="str">
        <f t="shared" si="3513"/>
        <v/>
      </c>
      <c r="DW249" s="66" t="str">
        <f t="shared" si="3514"/>
        <v/>
      </c>
      <c r="DX249" s="66" t="str">
        <f t="shared" si="3515"/>
        <v/>
      </c>
      <c r="DY249" s="66" t="str">
        <f t="shared" si="3516"/>
        <v/>
      </c>
      <c r="DZ249" s="66" t="str">
        <f t="shared" si="3517"/>
        <v/>
      </c>
      <c r="EA249" s="66" t="str">
        <f t="shared" si="3518"/>
        <v/>
      </c>
      <c r="EB249" s="66" t="str">
        <f t="shared" si="3519"/>
        <v/>
      </c>
      <c r="EC249" s="66" t="str">
        <f t="shared" si="3520"/>
        <v/>
      </c>
      <c r="ED249" s="66" t="str">
        <f t="shared" si="3521"/>
        <v/>
      </c>
      <c r="EE249" s="66" t="str">
        <f t="shared" si="3522"/>
        <v/>
      </c>
      <c r="EF249" s="66" t="str">
        <f t="shared" si="3523"/>
        <v/>
      </c>
      <c r="EG249" s="66" t="str">
        <f t="shared" si="3524"/>
        <v/>
      </c>
      <c r="EH249" s="66" t="str">
        <f t="shared" si="3525"/>
        <v/>
      </c>
      <c r="EI249" s="66" t="str">
        <f t="shared" si="3526"/>
        <v/>
      </c>
      <c r="EJ249" s="66" t="str">
        <f t="shared" si="3527"/>
        <v/>
      </c>
      <c r="EK249" s="66" t="str">
        <f t="shared" si="3528"/>
        <v/>
      </c>
      <c r="EL249" s="66" t="str">
        <f t="shared" si="3529"/>
        <v/>
      </c>
      <c r="EM249" s="66" t="str">
        <f t="shared" si="3530"/>
        <v/>
      </c>
      <c r="EN249" s="66" t="str">
        <f t="shared" si="3531"/>
        <v/>
      </c>
      <c r="EO249" s="66" t="str">
        <f t="shared" si="3532"/>
        <v/>
      </c>
      <c r="EP249" s="66" t="str">
        <f t="shared" si="3533"/>
        <v/>
      </c>
      <c r="EQ249" s="66" t="str">
        <f t="shared" si="3534"/>
        <v/>
      </c>
      <c r="ER249" s="66" t="str">
        <f t="shared" si="3535"/>
        <v/>
      </c>
      <c r="ES249" s="66" t="str">
        <f t="shared" si="3536"/>
        <v/>
      </c>
      <c r="ET249" s="66" t="str">
        <f t="shared" si="3537"/>
        <v/>
      </c>
      <c r="EU249" s="66" t="str">
        <f t="shared" si="3538"/>
        <v/>
      </c>
      <c r="EV249" s="66" t="str">
        <f t="shared" si="3539"/>
        <v/>
      </c>
      <c r="EW249" s="66" t="str">
        <f t="shared" si="3540"/>
        <v/>
      </c>
      <c r="EX249" s="66" t="str">
        <f t="shared" si="3541"/>
        <v/>
      </c>
      <c r="EY249" s="66" t="str">
        <f t="shared" si="3542"/>
        <v/>
      </c>
      <c r="EZ249" s="66" t="str">
        <f t="shared" si="3543"/>
        <v/>
      </c>
      <c r="FA249" s="66" t="str">
        <f t="shared" si="3544"/>
        <v/>
      </c>
      <c r="FB249" s="66" t="str">
        <f t="shared" si="3545"/>
        <v/>
      </c>
      <c r="FC249" s="66" t="str">
        <f t="shared" si="3546"/>
        <v/>
      </c>
      <c r="FD249" s="66" t="str">
        <f t="shared" si="3547"/>
        <v/>
      </c>
      <c r="FE249" s="66" t="str">
        <f t="shared" si="3548"/>
        <v/>
      </c>
      <c r="FF249" s="66" t="str">
        <f t="shared" si="3549"/>
        <v/>
      </c>
      <c r="FG249" s="66" t="str">
        <f t="shared" si="3550"/>
        <v/>
      </c>
      <c r="FH249" s="66" t="str">
        <f t="shared" si="3551"/>
        <v/>
      </c>
      <c r="FI249" s="66" t="str">
        <f t="shared" si="3552"/>
        <v/>
      </c>
      <c r="FJ249" s="66" t="str">
        <f t="shared" si="3553"/>
        <v/>
      </c>
      <c r="FK249" s="66" t="str">
        <f t="shared" si="3554"/>
        <v/>
      </c>
      <c r="FL249" s="66" t="str">
        <f t="shared" si="3555"/>
        <v/>
      </c>
      <c r="FM249" s="66" t="str">
        <f t="shared" si="3556"/>
        <v/>
      </c>
      <c r="FN249" s="66" t="str">
        <f t="shared" si="3557"/>
        <v/>
      </c>
      <c r="FO249" s="66" t="str">
        <f t="shared" si="3558"/>
        <v/>
      </c>
      <c r="FP249" s="66" t="str">
        <f t="shared" si="3559"/>
        <v/>
      </c>
      <c r="FQ249" s="66" t="str">
        <f t="shared" si="3560"/>
        <v/>
      </c>
      <c r="FR249" s="66" t="str">
        <f t="shared" si="3561"/>
        <v/>
      </c>
      <c r="FS249" s="66" t="str">
        <f t="shared" si="3562"/>
        <v/>
      </c>
    </row>
    <row r="250" spans="1:175" s="33" customFormat="1" ht="16.5">
      <c r="A250" s="111"/>
      <c r="B250" s="9" t="s">
        <v>791</v>
      </c>
      <c r="C250" s="9" t="s">
        <v>792</v>
      </c>
      <c r="D250" s="67"/>
      <c r="E250" s="68"/>
      <c r="F250" s="112"/>
      <c r="G250" s="113"/>
      <c r="H250" s="113"/>
      <c r="I250" s="113"/>
      <c r="J250" s="113"/>
      <c r="K250" s="113"/>
      <c r="L250" s="113"/>
      <c r="M250" s="113"/>
      <c r="N250" s="113"/>
      <c r="O250" s="113"/>
      <c r="P250" s="73"/>
      <c r="Q250" s="73"/>
      <c r="R250" s="73"/>
      <c r="S250" s="73"/>
      <c r="T250" s="80"/>
      <c r="U250" s="77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84"/>
      <c r="AS250" s="84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86" t="str">
        <f t="shared" si="3720"/>
        <v>InitUnitState('IC06',,,,,,,,,,)</v>
      </c>
      <c r="CO250" s="86" t="str">
        <f t="shared" si="3721"/>
        <v>InitUnitNormal('IC06',,,,,,,,,,)</v>
      </c>
      <c r="CP250" s="86" t="str">
        <f t="shared" si="3722"/>
        <v>InitUnitMagic('IC06',,,,,,,,,,)</v>
      </c>
      <c r="CQ250" s="86" t="str">
        <f t="shared" si="3723"/>
        <v>InitUnitAdd('IC06',,,,,,,,,,)</v>
      </c>
      <c r="CR250" s="86" t="str">
        <f t="shared" si="3420"/>
        <v>InitEquipData('IC06',,"",,,,,'','','','','','',"")</v>
      </c>
      <c r="CS250" s="86"/>
      <c r="CT250" s="86"/>
      <c r="CU250" s="88" t="str">
        <f t="shared" si="3492"/>
        <v>|n</v>
      </c>
      <c r="CV250" s="19"/>
      <c r="DB250" s="66" t="str">
        <f t="shared" si="3493"/>
        <v/>
      </c>
      <c r="DC250" s="66" t="str">
        <f t="shared" si="3494"/>
        <v/>
      </c>
      <c r="DD250" s="66" t="str">
        <f t="shared" si="3495"/>
        <v/>
      </c>
      <c r="DE250" s="66" t="str">
        <f t="shared" si="3496"/>
        <v/>
      </c>
      <c r="DF250" s="66" t="str">
        <f t="shared" si="3497"/>
        <v/>
      </c>
      <c r="DG250" s="66" t="str">
        <f t="shared" si="3498"/>
        <v/>
      </c>
      <c r="DH250" s="66" t="str">
        <f t="shared" si="3499"/>
        <v/>
      </c>
      <c r="DI250" s="66" t="str">
        <f t="shared" si="3500"/>
        <v/>
      </c>
      <c r="DJ250" s="66" t="str">
        <f t="shared" si="3501"/>
        <v/>
      </c>
      <c r="DK250" s="66" t="str">
        <f t="shared" si="3502"/>
        <v/>
      </c>
      <c r="DL250" s="66" t="str">
        <f t="shared" si="3503"/>
        <v/>
      </c>
      <c r="DM250" s="66" t="str">
        <f t="shared" si="3504"/>
        <v/>
      </c>
      <c r="DN250" s="66" t="str">
        <f t="shared" si="3505"/>
        <v/>
      </c>
      <c r="DO250" s="66" t="str">
        <f t="shared" si="3506"/>
        <v/>
      </c>
      <c r="DP250" s="66" t="str">
        <f t="shared" si="3507"/>
        <v/>
      </c>
      <c r="DQ250" s="66" t="str">
        <f t="shared" si="3508"/>
        <v/>
      </c>
      <c r="DR250" s="66" t="str">
        <f t="shared" si="3509"/>
        <v/>
      </c>
      <c r="DS250" s="66" t="str">
        <f t="shared" si="3510"/>
        <v/>
      </c>
      <c r="DT250" s="66" t="str">
        <f t="shared" si="3511"/>
        <v/>
      </c>
      <c r="DU250" s="66" t="str">
        <f t="shared" si="3512"/>
        <v/>
      </c>
      <c r="DV250" s="66" t="str">
        <f t="shared" si="3513"/>
        <v/>
      </c>
      <c r="DW250" s="66" t="str">
        <f t="shared" si="3514"/>
        <v/>
      </c>
      <c r="DX250" s="66" t="str">
        <f t="shared" si="3515"/>
        <v/>
      </c>
      <c r="DY250" s="66" t="str">
        <f t="shared" si="3516"/>
        <v/>
      </c>
      <c r="DZ250" s="66" t="str">
        <f t="shared" si="3517"/>
        <v/>
      </c>
      <c r="EA250" s="66" t="str">
        <f t="shared" si="3518"/>
        <v/>
      </c>
      <c r="EB250" s="66" t="str">
        <f t="shared" si="3519"/>
        <v/>
      </c>
      <c r="EC250" s="66" t="str">
        <f t="shared" si="3520"/>
        <v/>
      </c>
      <c r="ED250" s="66" t="str">
        <f t="shared" si="3521"/>
        <v/>
      </c>
      <c r="EE250" s="66" t="str">
        <f t="shared" si="3522"/>
        <v/>
      </c>
      <c r="EF250" s="66" t="str">
        <f t="shared" si="3523"/>
        <v/>
      </c>
      <c r="EG250" s="66" t="str">
        <f t="shared" si="3524"/>
        <v/>
      </c>
      <c r="EH250" s="66" t="str">
        <f t="shared" si="3525"/>
        <v/>
      </c>
      <c r="EI250" s="66" t="str">
        <f t="shared" si="3526"/>
        <v/>
      </c>
      <c r="EJ250" s="66" t="str">
        <f t="shared" si="3527"/>
        <v/>
      </c>
      <c r="EK250" s="66" t="str">
        <f t="shared" si="3528"/>
        <v/>
      </c>
      <c r="EL250" s="66" t="str">
        <f t="shared" si="3529"/>
        <v/>
      </c>
      <c r="EM250" s="66" t="str">
        <f t="shared" si="3530"/>
        <v/>
      </c>
      <c r="EN250" s="66" t="str">
        <f t="shared" si="3531"/>
        <v/>
      </c>
      <c r="EO250" s="66" t="str">
        <f t="shared" si="3532"/>
        <v/>
      </c>
      <c r="EP250" s="66" t="str">
        <f t="shared" si="3533"/>
        <v/>
      </c>
      <c r="EQ250" s="66" t="str">
        <f t="shared" si="3534"/>
        <v/>
      </c>
      <c r="ER250" s="66" t="str">
        <f t="shared" si="3535"/>
        <v/>
      </c>
      <c r="ES250" s="66" t="str">
        <f t="shared" si="3536"/>
        <v/>
      </c>
      <c r="ET250" s="66" t="str">
        <f t="shared" si="3537"/>
        <v/>
      </c>
      <c r="EU250" s="66" t="str">
        <f t="shared" si="3538"/>
        <v/>
      </c>
      <c r="EV250" s="66" t="str">
        <f t="shared" si="3539"/>
        <v/>
      </c>
      <c r="EW250" s="66" t="str">
        <f t="shared" si="3540"/>
        <v/>
      </c>
      <c r="EX250" s="66" t="str">
        <f t="shared" si="3541"/>
        <v/>
      </c>
      <c r="EY250" s="66" t="str">
        <f t="shared" si="3542"/>
        <v/>
      </c>
      <c r="EZ250" s="66" t="str">
        <f t="shared" si="3543"/>
        <v/>
      </c>
      <c r="FA250" s="66" t="str">
        <f t="shared" si="3544"/>
        <v/>
      </c>
      <c r="FB250" s="66" t="str">
        <f t="shared" si="3545"/>
        <v/>
      </c>
      <c r="FC250" s="66" t="str">
        <f t="shared" si="3546"/>
        <v/>
      </c>
      <c r="FD250" s="66" t="str">
        <f t="shared" si="3547"/>
        <v/>
      </c>
      <c r="FE250" s="66" t="str">
        <f t="shared" si="3548"/>
        <v/>
      </c>
      <c r="FF250" s="66" t="str">
        <f t="shared" si="3549"/>
        <v/>
      </c>
      <c r="FG250" s="66" t="str">
        <f t="shared" si="3550"/>
        <v/>
      </c>
      <c r="FH250" s="66" t="str">
        <f t="shared" si="3551"/>
        <v/>
      </c>
      <c r="FI250" s="66" t="str">
        <f t="shared" si="3552"/>
        <v/>
      </c>
      <c r="FJ250" s="66" t="str">
        <f t="shared" si="3553"/>
        <v/>
      </c>
      <c r="FK250" s="66" t="str">
        <f t="shared" si="3554"/>
        <v/>
      </c>
      <c r="FL250" s="66" t="str">
        <f t="shared" si="3555"/>
        <v/>
      </c>
      <c r="FM250" s="66" t="str">
        <f t="shared" si="3556"/>
        <v/>
      </c>
      <c r="FN250" s="66" t="str">
        <f t="shared" si="3557"/>
        <v/>
      </c>
      <c r="FO250" s="66" t="str">
        <f t="shared" si="3558"/>
        <v/>
      </c>
      <c r="FP250" s="66" t="str">
        <f t="shared" si="3559"/>
        <v/>
      </c>
      <c r="FQ250" s="66" t="str">
        <f t="shared" si="3560"/>
        <v/>
      </c>
      <c r="FR250" s="66" t="str">
        <f t="shared" si="3561"/>
        <v/>
      </c>
      <c r="FS250" s="66" t="str">
        <f t="shared" si="3562"/>
        <v/>
      </c>
    </row>
    <row r="251" spans="1:175" s="33" customFormat="1" ht="16.5">
      <c r="A251" s="111"/>
      <c r="B251" s="9" t="s">
        <v>793</v>
      </c>
      <c r="C251" s="9" t="s">
        <v>794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720"/>
        <v>InitUnitState('IC07',,,,,,,,,,)</v>
      </c>
      <c r="CO251" s="86" t="str">
        <f t="shared" si="3721"/>
        <v>InitUnitNormal('IC07',,,,,,,,,,)</v>
      </c>
      <c r="CP251" s="86" t="str">
        <f t="shared" si="3722"/>
        <v>InitUnitMagic('IC07',,,,,,,,,,)</v>
      </c>
      <c r="CQ251" s="86" t="str">
        <f t="shared" si="3723"/>
        <v>InitUnitAdd('IC07',,,,,,,,,,)</v>
      </c>
      <c r="CR251" s="86" t="str">
        <f t="shared" si="3420"/>
        <v>InitEquipData('IC07',,"",,,,,'','','','','','',"")</v>
      </c>
      <c r="CS251" s="86"/>
      <c r="CT251" s="86"/>
      <c r="CU251" s="88" t="str">
        <f t="shared" si="3492"/>
        <v>|n</v>
      </c>
      <c r="CV251" s="19"/>
      <c r="DB251" s="66" t="str">
        <f t="shared" si="3493"/>
        <v/>
      </c>
      <c r="DC251" s="66" t="str">
        <f t="shared" si="3494"/>
        <v/>
      </c>
      <c r="DD251" s="66" t="str">
        <f t="shared" si="3495"/>
        <v/>
      </c>
      <c r="DE251" s="66" t="str">
        <f t="shared" si="3496"/>
        <v/>
      </c>
      <c r="DF251" s="66" t="str">
        <f t="shared" si="3497"/>
        <v/>
      </c>
      <c r="DG251" s="66" t="str">
        <f t="shared" si="3498"/>
        <v/>
      </c>
      <c r="DH251" s="66" t="str">
        <f t="shared" si="3499"/>
        <v/>
      </c>
      <c r="DI251" s="66" t="str">
        <f t="shared" si="3500"/>
        <v/>
      </c>
      <c r="DJ251" s="66" t="str">
        <f t="shared" si="3501"/>
        <v/>
      </c>
      <c r="DK251" s="66" t="str">
        <f t="shared" si="3502"/>
        <v/>
      </c>
      <c r="DL251" s="66" t="str">
        <f t="shared" si="3503"/>
        <v/>
      </c>
      <c r="DM251" s="66" t="str">
        <f t="shared" si="3504"/>
        <v/>
      </c>
      <c r="DN251" s="66" t="str">
        <f t="shared" si="3505"/>
        <v/>
      </c>
      <c r="DO251" s="66" t="str">
        <f t="shared" si="3506"/>
        <v/>
      </c>
      <c r="DP251" s="66" t="str">
        <f t="shared" si="3507"/>
        <v/>
      </c>
      <c r="DQ251" s="66" t="str">
        <f t="shared" si="3508"/>
        <v/>
      </c>
      <c r="DR251" s="66" t="str">
        <f t="shared" si="3509"/>
        <v/>
      </c>
      <c r="DS251" s="66" t="str">
        <f t="shared" si="3510"/>
        <v/>
      </c>
      <c r="DT251" s="66" t="str">
        <f t="shared" si="3511"/>
        <v/>
      </c>
      <c r="DU251" s="66" t="str">
        <f t="shared" si="3512"/>
        <v/>
      </c>
      <c r="DV251" s="66" t="str">
        <f t="shared" si="3513"/>
        <v/>
      </c>
      <c r="DW251" s="66" t="str">
        <f t="shared" si="3514"/>
        <v/>
      </c>
      <c r="DX251" s="66" t="str">
        <f t="shared" si="3515"/>
        <v/>
      </c>
      <c r="DY251" s="66" t="str">
        <f t="shared" si="3516"/>
        <v/>
      </c>
      <c r="DZ251" s="66" t="str">
        <f t="shared" si="3517"/>
        <v/>
      </c>
      <c r="EA251" s="66" t="str">
        <f t="shared" si="3518"/>
        <v/>
      </c>
      <c r="EB251" s="66" t="str">
        <f t="shared" si="3519"/>
        <v/>
      </c>
      <c r="EC251" s="66" t="str">
        <f t="shared" si="3520"/>
        <v/>
      </c>
      <c r="ED251" s="66" t="str">
        <f t="shared" si="3521"/>
        <v/>
      </c>
      <c r="EE251" s="66" t="str">
        <f t="shared" si="3522"/>
        <v/>
      </c>
      <c r="EF251" s="66" t="str">
        <f t="shared" si="3523"/>
        <v/>
      </c>
      <c r="EG251" s="66" t="str">
        <f t="shared" si="3524"/>
        <v/>
      </c>
      <c r="EH251" s="66" t="str">
        <f t="shared" si="3525"/>
        <v/>
      </c>
      <c r="EI251" s="66" t="str">
        <f t="shared" si="3526"/>
        <v/>
      </c>
      <c r="EJ251" s="66" t="str">
        <f t="shared" si="3527"/>
        <v/>
      </c>
      <c r="EK251" s="66" t="str">
        <f t="shared" si="3528"/>
        <v/>
      </c>
      <c r="EL251" s="66" t="str">
        <f t="shared" si="3529"/>
        <v/>
      </c>
      <c r="EM251" s="66" t="str">
        <f t="shared" si="3530"/>
        <v/>
      </c>
      <c r="EN251" s="66" t="str">
        <f t="shared" si="3531"/>
        <v/>
      </c>
      <c r="EO251" s="66" t="str">
        <f t="shared" si="3532"/>
        <v/>
      </c>
      <c r="EP251" s="66" t="str">
        <f t="shared" si="3533"/>
        <v/>
      </c>
      <c r="EQ251" s="66" t="str">
        <f t="shared" si="3534"/>
        <v/>
      </c>
      <c r="ER251" s="66" t="str">
        <f t="shared" si="3535"/>
        <v/>
      </c>
      <c r="ES251" s="66" t="str">
        <f t="shared" si="3536"/>
        <v/>
      </c>
      <c r="ET251" s="66" t="str">
        <f t="shared" si="3537"/>
        <v/>
      </c>
      <c r="EU251" s="66" t="str">
        <f t="shared" si="3538"/>
        <v/>
      </c>
      <c r="EV251" s="66" t="str">
        <f t="shared" si="3539"/>
        <v/>
      </c>
      <c r="EW251" s="66" t="str">
        <f t="shared" si="3540"/>
        <v/>
      </c>
      <c r="EX251" s="66" t="str">
        <f t="shared" si="3541"/>
        <v/>
      </c>
      <c r="EY251" s="66" t="str">
        <f t="shared" si="3542"/>
        <v/>
      </c>
      <c r="EZ251" s="66" t="str">
        <f t="shared" si="3543"/>
        <v/>
      </c>
      <c r="FA251" s="66" t="str">
        <f t="shared" si="3544"/>
        <v/>
      </c>
      <c r="FB251" s="66" t="str">
        <f t="shared" si="3545"/>
        <v/>
      </c>
      <c r="FC251" s="66" t="str">
        <f t="shared" si="3546"/>
        <v/>
      </c>
      <c r="FD251" s="66" t="str">
        <f t="shared" si="3547"/>
        <v/>
      </c>
      <c r="FE251" s="66" t="str">
        <f t="shared" si="3548"/>
        <v/>
      </c>
      <c r="FF251" s="66" t="str">
        <f t="shared" si="3549"/>
        <v/>
      </c>
      <c r="FG251" s="66" t="str">
        <f t="shared" si="3550"/>
        <v/>
      </c>
      <c r="FH251" s="66" t="str">
        <f t="shared" si="3551"/>
        <v/>
      </c>
      <c r="FI251" s="66" t="str">
        <f t="shared" si="3552"/>
        <v/>
      </c>
      <c r="FJ251" s="66" t="str">
        <f t="shared" si="3553"/>
        <v/>
      </c>
      <c r="FK251" s="66" t="str">
        <f t="shared" si="3554"/>
        <v/>
      </c>
      <c r="FL251" s="66" t="str">
        <f t="shared" si="3555"/>
        <v/>
      </c>
      <c r="FM251" s="66" t="str">
        <f t="shared" si="3556"/>
        <v/>
      </c>
      <c r="FN251" s="66" t="str">
        <f t="shared" si="3557"/>
        <v/>
      </c>
      <c r="FO251" s="66" t="str">
        <f t="shared" si="3558"/>
        <v/>
      </c>
      <c r="FP251" s="66" t="str">
        <f t="shared" si="3559"/>
        <v/>
      </c>
      <c r="FQ251" s="66" t="str">
        <f t="shared" si="3560"/>
        <v/>
      </c>
      <c r="FR251" s="66" t="str">
        <f t="shared" si="3561"/>
        <v/>
      </c>
      <c r="FS251" s="66" t="str">
        <f t="shared" si="3562"/>
        <v/>
      </c>
    </row>
    <row r="252" spans="1:175" s="33" customFormat="1" ht="16.5">
      <c r="A252" s="111"/>
      <c r="B252" s="9" t="s">
        <v>795</v>
      </c>
      <c r="C252" s="9" t="s">
        <v>796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720"/>
        <v>InitUnitState('IC08',,,,,,,,,,)</v>
      </c>
      <c r="CO252" s="86" t="str">
        <f t="shared" si="3721"/>
        <v>InitUnitNormal('IC08',,,,,,,,,,)</v>
      </c>
      <c r="CP252" s="86" t="str">
        <f t="shared" si="3722"/>
        <v>InitUnitMagic('IC08',,,,,,,,,,)</v>
      </c>
      <c r="CQ252" s="86" t="str">
        <f t="shared" si="3723"/>
        <v>InitUnitAdd('IC08',,,,,,,,,,)</v>
      </c>
      <c r="CR252" s="86" t="str">
        <f t="shared" si="3420"/>
        <v>InitEquipData('IC08',,"",,,,,'','','','','','',"")</v>
      </c>
      <c r="CS252" s="86"/>
      <c r="CT252" s="86"/>
      <c r="CU252" s="88" t="str">
        <f t="shared" si="3492"/>
        <v>|n</v>
      </c>
      <c r="CV252" s="19"/>
      <c r="DB252" s="66" t="str">
        <f t="shared" si="3493"/>
        <v/>
      </c>
      <c r="DC252" s="66" t="str">
        <f t="shared" si="3494"/>
        <v/>
      </c>
      <c r="DD252" s="66" t="str">
        <f t="shared" si="3495"/>
        <v/>
      </c>
      <c r="DE252" s="66" t="str">
        <f t="shared" si="3496"/>
        <v/>
      </c>
      <c r="DF252" s="66" t="str">
        <f t="shared" si="3497"/>
        <v/>
      </c>
      <c r="DG252" s="66" t="str">
        <f t="shared" si="3498"/>
        <v/>
      </c>
      <c r="DH252" s="66" t="str">
        <f t="shared" si="3499"/>
        <v/>
      </c>
      <c r="DI252" s="66" t="str">
        <f t="shared" si="3500"/>
        <v/>
      </c>
      <c r="DJ252" s="66" t="str">
        <f t="shared" si="3501"/>
        <v/>
      </c>
      <c r="DK252" s="66" t="str">
        <f t="shared" si="3502"/>
        <v/>
      </c>
      <c r="DL252" s="66" t="str">
        <f t="shared" si="3503"/>
        <v/>
      </c>
      <c r="DM252" s="66" t="str">
        <f t="shared" si="3504"/>
        <v/>
      </c>
      <c r="DN252" s="66" t="str">
        <f t="shared" si="3505"/>
        <v/>
      </c>
      <c r="DO252" s="66" t="str">
        <f t="shared" si="3506"/>
        <v/>
      </c>
      <c r="DP252" s="66" t="str">
        <f t="shared" si="3507"/>
        <v/>
      </c>
      <c r="DQ252" s="66" t="str">
        <f t="shared" si="3508"/>
        <v/>
      </c>
      <c r="DR252" s="66" t="str">
        <f t="shared" si="3509"/>
        <v/>
      </c>
      <c r="DS252" s="66" t="str">
        <f t="shared" si="3510"/>
        <v/>
      </c>
      <c r="DT252" s="66" t="str">
        <f t="shared" si="3511"/>
        <v/>
      </c>
      <c r="DU252" s="66" t="str">
        <f t="shared" si="3512"/>
        <v/>
      </c>
      <c r="DV252" s="66" t="str">
        <f t="shared" si="3513"/>
        <v/>
      </c>
      <c r="DW252" s="66" t="str">
        <f t="shared" si="3514"/>
        <v/>
      </c>
      <c r="DX252" s="66" t="str">
        <f t="shared" si="3515"/>
        <v/>
      </c>
      <c r="DY252" s="66" t="str">
        <f t="shared" si="3516"/>
        <v/>
      </c>
      <c r="DZ252" s="66" t="str">
        <f t="shared" si="3517"/>
        <v/>
      </c>
      <c r="EA252" s="66" t="str">
        <f t="shared" si="3518"/>
        <v/>
      </c>
      <c r="EB252" s="66" t="str">
        <f t="shared" si="3519"/>
        <v/>
      </c>
      <c r="EC252" s="66" t="str">
        <f t="shared" si="3520"/>
        <v/>
      </c>
      <c r="ED252" s="66" t="str">
        <f t="shared" si="3521"/>
        <v/>
      </c>
      <c r="EE252" s="66" t="str">
        <f t="shared" si="3522"/>
        <v/>
      </c>
      <c r="EF252" s="66" t="str">
        <f t="shared" si="3523"/>
        <v/>
      </c>
      <c r="EG252" s="66" t="str">
        <f t="shared" si="3524"/>
        <v/>
      </c>
      <c r="EH252" s="66" t="str">
        <f t="shared" si="3525"/>
        <v/>
      </c>
      <c r="EI252" s="66" t="str">
        <f t="shared" si="3526"/>
        <v/>
      </c>
      <c r="EJ252" s="66" t="str">
        <f t="shared" si="3527"/>
        <v/>
      </c>
      <c r="EK252" s="66" t="str">
        <f t="shared" si="3528"/>
        <v/>
      </c>
      <c r="EL252" s="66" t="str">
        <f t="shared" si="3529"/>
        <v/>
      </c>
      <c r="EM252" s="66" t="str">
        <f t="shared" si="3530"/>
        <v/>
      </c>
      <c r="EN252" s="66" t="str">
        <f t="shared" si="3531"/>
        <v/>
      </c>
      <c r="EO252" s="66" t="str">
        <f t="shared" si="3532"/>
        <v/>
      </c>
      <c r="EP252" s="66" t="str">
        <f t="shared" si="3533"/>
        <v/>
      </c>
      <c r="EQ252" s="66" t="str">
        <f t="shared" si="3534"/>
        <v/>
      </c>
      <c r="ER252" s="66" t="str">
        <f t="shared" si="3535"/>
        <v/>
      </c>
      <c r="ES252" s="66" t="str">
        <f t="shared" si="3536"/>
        <v/>
      </c>
      <c r="ET252" s="66" t="str">
        <f t="shared" si="3537"/>
        <v/>
      </c>
      <c r="EU252" s="66" t="str">
        <f t="shared" si="3538"/>
        <v/>
      </c>
      <c r="EV252" s="66" t="str">
        <f t="shared" si="3539"/>
        <v/>
      </c>
      <c r="EW252" s="66" t="str">
        <f t="shared" si="3540"/>
        <v/>
      </c>
      <c r="EX252" s="66" t="str">
        <f t="shared" si="3541"/>
        <v/>
      </c>
      <c r="EY252" s="66" t="str">
        <f t="shared" si="3542"/>
        <v/>
      </c>
      <c r="EZ252" s="66" t="str">
        <f t="shared" si="3543"/>
        <v/>
      </c>
      <c r="FA252" s="66" t="str">
        <f t="shared" si="3544"/>
        <v/>
      </c>
      <c r="FB252" s="66" t="str">
        <f t="shared" si="3545"/>
        <v/>
      </c>
      <c r="FC252" s="66" t="str">
        <f t="shared" si="3546"/>
        <v/>
      </c>
      <c r="FD252" s="66" t="str">
        <f t="shared" si="3547"/>
        <v/>
      </c>
      <c r="FE252" s="66" t="str">
        <f t="shared" si="3548"/>
        <v/>
      </c>
      <c r="FF252" s="66" t="str">
        <f t="shared" si="3549"/>
        <v/>
      </c>
      <c r="FG252" s="66" t="str">
        <f t="shared" si="3550"/>
        <v/>
      </c>
      <c r="FH252" s="66" t="str">
        <f t="shared" si="3551"/>
        <v/>
      </c>
      <c r="FI252" s="66" t="str">
        <f t="shared" si="3552"/>
        <v/>
      </c>
      <c r="FJ252" s="66" t="str">
        <f t="shared" si="3553"/>
        <v/>
      </c>
      <c r="FK252" s="66" t="str">
        <f t="shared" si="3554"/>
        <v/>
      </c>
      <c r="FL252" s="66" t="str">
        <f t="shared" si="3555"/>
        <v/>
      </c>
      <c r="FM252" s="66" t="str">
        <f t="shared" si="3556"/>
        <v/>
      </c>
      <c r="FN252" s="66" t="str">
        <f t="shared" si="3557"/>
        <v/>
      </c>
      <c r="FO252" s="66" t="str">
        <f t="shared" si="3558"/>
        <v/>
      </c>
      <c r="FP252" s="66" t="str">
        <f t="shared" si="3559"/>
        <v/>
      </c>
      <c r="FQ252" s="66" t="str">
        <f t="shared" si="3560"/>
        <v/>
      </c>
      <c r="FR252" s="66" t="str">
        <f t="shared" si="3561"/>
        <v/>
      </c>
      <c r="FS252" s="66" t="str">
        <f t="shared" si="3562"/>
        <v/>
      </c>
    </row>
    <row r="253" spans="1:175" s="33" customFormat="1" ht="16.5">
      <c r="A253" s="111"/>
      <c r="B253" s="9" t="s">
        <v>797</v>
      </c>
      <c r="C253" s="9" t="s">
        <v>798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720"/>
        <v>InitUnitState('IC09',,,,,,,,,,)</v>
      </c>
      <c r="CO253" s="86" t="str">
        <f t="shared" si="3721"/>
        <v>InitUnitNormal('IC09',,,,,,,,,,)</v>
      </c>
      <c r="CP253" s="86" t="str">
        <f t="shared" si="3722"/>
        <v>InitUnitMagic('IC09',,,,,,,,,,)</v>
      </c>
      <c r="CQ253" s="86" t="str">
        <f t="shared" si="3723"/>
        <v>InitUnitAdd('IC09',,,,,,,,,,)</v>
      </c>
      <c r="CR253" s="86" t="str">
        <f t="shared" si="3420"/>
        <v>InitEquipData('IC09',,"",,,,,'','','','','','',"")</v>
      </c>
      <c r="CS253" s="86"/>
      <c r="CT253" s="86"/>
      <c r="CU253" s="88" t="str">
        <f t="shared" si="3492"/>
        <v>|n</v>
      </c>
      <c r="CV253" s="19"/>
      <c r="DB253" s="66" t="str">
        <f t="shared" si="3493"/>
        <v/>
      </c>
      <c r="DC253" s="66" t="str">
        <f t="shared" si="3494"/>
        <v/>
      </c>
      <c r="DD253" s="66" t="str">
        <f t="shared" si="3495"/>
        <v/>
      </c>
      <c r="DE253" s="66" t="str">
        <f t="shared" si="3496"/>
        <v/>
      </c>
      <c r="DF253" s="66" t="str">
        <f t="shared" si="3497"/>
        <v/>
      </c>
      <c r="DG253" s="66" t="str">
        <f t="shared" si="3498"/>
        <v/>
      </c>
      <c r="DH253" s="66" t="str">
        <f t="shared" si="3499"/>
        <v/>
      </c>
      <c r="DI253" s="66" t="str">
        <f t="shared" si="3500"/>
        <v/>
      </c>
      <c r="DJ253" s="66" t="str">
        <f t="shared" si="3501"/>
        <v/>
      </c>
      <c r="DK253" s="66" t="str">
        <f t="shared" si="3502"/>
        <v/>
      </c>
      <c r="DL253" s="66" t="str">
        <f t="shared" si="3503"/>
        <v/>
      </c>
      <c r="DM253" s="66" t="str">
        <f t="shared" si="3504"/>
        <v/>
      </c>
      <c r="DN253" s="66" t="str">
        <f t="shared" si="3505"/>
        <v/>
      </c>
      <c r="DO253" s="66" t="str">
        <f t="shared" si="3506"/>
        <v/>
      </c>
      <c r="DP253" s="66" t="str">
        <f t="shared" si="3507"/>
        <v/>
      </c>
      <c r="DQ253" s="66" t="str">
        <f t="shared" si="3508"/>
        <v/>
      </c>
      <c r="DR253" s="66" t="str">
        <f t="shared" si="3509"/>
        <v/>
      </c>
      <c r="DS253" s="66" t="str">
        <f t="shared" si="3510"/>
        <v/>
      </c>
      <c r="DT253" s="66" t="str">
        <f t="shared" si="3511"/>
        <v/>
      </c>
      <c r="DU253" s="66" t="str">
        <f t="shared" si="3512"/>
        <v/>
      </c>
      <c r="DV253" s="66" t="str">
        <f t="shared" si="3513"/>
        <v/>
      </c>
      <c r="DW253" s="66" t="str">
        <f t="shared" si="3514"/>
        <v/>
      </c>
      <c r="DX253" s="66" t="str">
        <f t="shared" si="3515"/>
        <v/>
      </c>
      <c r="DY253" s="66" t="str">
        <f t="shared" si="3516"/>
        <v/>
      </c>
      <c r="DZ253" s="66" t="str">
        <f t="shared" si="3517"/>
        <v/>
      </c>
      <c r="EA253" s="66" t="str">
        <f t="shared" si="3518"/>
        <v/>
      </c>
      <c r="EB253" s="66" t="str">
        <f t="shared" si="3519"/>
        <v/>
      </c>
      <c r="EC253" s="66" t="str">
        <f t="shared" si="3520"/>
        <v/>
      </c>
      <c r="ED253" s="66" t="str">
        <f t="shared" si="3521"/>
        <v/>
      </c>
      <c r="EE253" s="66" t="str">
        <f t="shared" si="3522"/>
        <v/>
      </c>
      <c r="EF253" s="66" t="str">
        <f t="shared" si="3523"/>
        <v/>
      </c>
      <c r="EG253" s="66" t="str">
        <f t="shared" si="3524"/>
        <v/>
      </c>
      <c r="EH253" s="66" t="str">
        <f t="shared" si="3525"/>
        <v/>
      </c>
      <c r="EI253" s="66" t="str">
        <f t="shared" si="3526"/>
        <v/>
      </c>
      <c r="EJ253" s="66" t="str">
        <f t="shared" si="3527"/>
        <v/>
      </c>
      <c r="EK253" s="66" t="str">
        <f t="shared" si="3528"/>
        <v/>
      </c>
      <c r="EL253" s="66" t="str">
        <f t="shared" si="3529"/>
        <v/>
      </c>
      <c r="EM253" s="66" t="str">
        <f t="shared" si="3530"/>
        <v/>
      </c>
      <c r="EN253" s="66" t="str">
        <f t="shared" si="3531"/>
        <v/>
      </c>
      <c r="EO253" s="66" t="str">
        <f t="shared" si="3532"/>
        <v/>
      </c>
      <c r="EP253" s="66" t="str">
        <f t="shared" si="3533"/>
        <v/>
      </c>
      <c r="EQ253" s="66" t="str">
        <f t="shared" si="3534"/>
        <v/>
      </c>
      <c r="ER253" s="66" t="str">
        <f t="shared" si="3535"/>
        <v/>
      </c>
      <c r="ES253" s="66" t="str">
        <f t="shared" si="3536"/>
        <v/>
      </c>
      <c r="ET253" s="66" t="str">
        <f t="shared" si="3537"/>
        <v/>
      </c>
      <c r="EU253" s="66" t="str">
        <f t="shared" si="3538"/>
        <v/>
      </c>
      <c r="EV253" s="66" t="str">
        <f t="shared" si="3539"/>
        <v/>
      </c>
      <c r="EW253" s="66" t="str">
        <f t="shared" si="3540"/>
        <v/>
      </c>
      <c r="EX253" s="66" t="str">
        <f t="shared" si="3541"/>
        <v/>
      </c>
      <c r="EY253" s="66" t="str">
        <f t="shared" si="3542"/>
        <v/>
      </c>
      <c r="EZ253" s="66" t="str">
        <f t="shared" si="3543"/>
        <v/>
      </c>
      <c r="FA253" s="66" t="str">
        <f t="shared" si="3544"/>
        <v/>
      </c>
      <c r="FB253" s="66" t="str">
        <f t="shared" si="3545"/>
        <v/>
      </c>
      <c r="FC253" s="66" t="str">
        <f t="shared" si="3546"/>
        <v/>
      </c>
      <c r="FD253" s="66" t="str">
        <f t="shared" si="3547"/>
        <v/>
      </c>
      <c r="FE253" s="66" t="str">
        <f t="shared" si="3548"/>
        <v/>
      </c>
      <c r="FF253" s="66" t="str">
        <f t="shared" si="3549"/>
        <v/>
      </c>
      <c r="FG253" s="66" t="str">
        <f t="shared" si="3550"/>
        <v/>
      </c>
      <c r="FH253" s="66" t="str">
        <f t="shared" si="3551"/>
        <v/>
      </c>
      <c r="FI253" s="66" t="str">
        <f t="shared" si="3552"/>
        <v/>
      </c>
      <c r="FJ253" s="66" t="str">
        <f t="shared" si="3553"/>
        <v/>
      </c>
      <c r="FK253" s="66" t="str">
        <f t="shared" si="3554"/>
        <v/>
      </c>
      <c r="FL253" s="66" t="str">
        <f t="shared" si="3555"/>
        <v/>
      </c>
      <c r="FM253" s="66" t="str">
        <f t="shared" si="3556"/>
        <v/>
      </c>
      <c r="FN253" s="66" t="str">
        <f t="shared" si="3557"/>
        <v/>
      </c>
      <c r="FO253" s="66" t="str">
        <f t="shared" si="3558"/>
        <v/>
      </c>
      <c r="FP253" s="66" t="str">
        <f t="shared" si="3559"/>
        <v/>
      </c>
      <c r="FQ253" s="66" t="str">
        <f t="shared" si="3560"/>
        <v/>
      </c>
      <c r="FR253" s="66" t="str">
        <f t="shared" si="3561"/>
        <v/>
      </c>
      <c r="FS253" s="66" t="str">
        <f t="shared" si="3562"/>
        <v/>
      </c>
    </row>
    <row r="254" spans="1:175" s="33" customFormat="1" ht="16.5">
      <c r="A254" s="111"/>
      <c r="B254" s="9" t="s">
        <v>799</v>
      </c>
      <c r="C254" s="9" t="s">
        <v>800</v>
      </c>
      <c r="D254" s="67"/>
      <c r="E254" s="68"/>
      <c r="F254" s="112"/>
      <c r="G254" s="113"/>
      <c r="H254" s="113"/>
      <c r="I254" s="113"/>
      <c r="J254" s="113"/>
      <c r="K254" s="113"/>
      <c r="L254" s="113"/>
      <c r="M254" s="113"/>
      <c r="N254" s="113"/>
      <c r="O254" s="113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720"/>
        <v>InitUnitState('IC10',,,,,,,,,,)</v>
      </c>
      <c r="CO254" s="86" t="str">
        <f t="shared" si="3721"/>
        <v>InitUnitNormal('IC10',,,,,,,,,,)</v>
      </c>
      <c r="CP254" s="86" t="str">
        <f t="shared" si="3722"/>
        <v>InitUnitMagic('IC10',,,,,,,,,,)</v>
      </c>
      <c r="CQ254" s="86" t="str">
        <f t="shared" si="3723"/>
        <v>InitUnitAdd('IC10',,,,,,,,,,)</v>
      </c>
      <c r="CR254" s="86" t="str">
        <f t="shared" si="3420"/>
        <v>InitEquipData('IC10',,"",,,,,'','','','','','',"")</v>
      </c>
      <c r="CS254" s="86"/>
      <c r="CT254" s="86"/>
      <c r="CU254" s="88" t="str">
        <f t="shared" si="3492"/>
        <v>|n</v>
      </c>
      <c r="CV254" s="19"/>
      <c r="DB254" s="66" t="str">
        <f t="shared" si="3493"/>
        <v/>
      </c>
      <c r="DC254" s="66" t="str">
        <f t="shared" si="3494"/>
        <v/>
      </c>
      <c r="DD254" s="66" t="str">
        <f t="shared" si="3495"/>
        <v/>
      </c>
      <c r="DE254" s="66" t="str">
        <f t="shared" si="3496"/>
        <v/>
      </c>
      <c r="DF254" s="66" t="str">
        <f t="shared" si="3497"/>
        <v/>
      </c>
      <c r="DG254" s="66" t="str">
        <f t="shared" si="3498"/>
        <v/>
      </c>
      <c r="DH254" s="66" t="str">
        <f t="shared" si="3499"/>
        <v/>
      </c>
      <c r="DI254" s="66" t="str">
        <f t="shared" si="3500"/>
        <v/>
      </c>
      <c r="DJ254" s="66" t="str">
        <f t="shared" si="3501"/>
        <v/>
      </c>
      <c r="DK254" s="66" t="str">
        <f t="shared" si="3502"/>
        <v/>
      </c>
      <c r="DL254" s="66" t="str">
        <f t="shared" si="3503"/>
        <v/>
      </c>
      <c r="DM254" s="66" t="str">
        <f t="shared" si="3504"/>
        <v/>
      </c>
      <c r="DN254" s="66" t="str">
        <f t="shared" si="3505"/>
        <v/>
      </c>
      <c r="DO254" s="66" t="str">
        <f t="shared" si="3506"/>
        <v/>
      </c>
      <c r="DP254" s="66" t="str">
        <f t="shared" si="3507"/>
        <v/>
      </c>
      <c r="DQ254" s="66" t="str">
        <f t="shared" si="3508"/>
        <v/>
      </c>
      <c r="DR254" s="66" t="str">
        <f t="shared" si="3509"/>
        <v/>
      </c>
      <c r="DS254" s="66" t="str">
        <f t="shared" si="3510"/>
        <v/>
      </c>
      <c r="DT254" s="66" t="str">
        <f t="shared" si="3511"/>
        <v/>
      </c>
      <c r="DU254" s="66" t="str">
        <f t="shared" si="3512"/>
        <v/>
      </c>
      <c r="DV254" s="66" t="str">
        <f t="shared" si="3513"/>
        <v/>
      </c>
      <c r="DW254" s="66" t="str">
        <f t="shared" si="3514"/>
        <v/>
      </c>
      <c r="DX254" s="66" t="str">
        <f t="shared" si="3515"/>
        <v/>
      </c>
      <c r="DY254" s="66" t="str">
        <f t="shared" si="3516"/>
        <v/>
      </c>
      <c r="DZ254" s="66" t="str">
        <f t="shared" si="3517"/>
        <v/>
      </c>
      <c r="EA254" s="66" t="str">
        <f t="shared" si="3518"/>
        <v/>
      </c>
      <c r="EB254" s="66" t="str">
        <f t="shared" si="3519"/>
        <v/>
      </c>
      <c r="EC254" s="66" t="str">
        <f t="shared" si="3520"/>
        <v/>
      </c>
      <c r="ED254" s="66" t="str">
        <f t="shared" si="3521"/>
        <v/>
      </c>
      <c r="EE254" s="66" t="str">
        <f t="shared" si="3522"/>
        <v/>
      </c>
      <c r="EF254" s="66" t="str">
        <f t="shared" si="3523"/>
        <v/>
      </c>
      <c r="EG254" s="66" t="str">
        <f t="shared" si="3524"/>
        <v/>
      </c>
      <c r="EH254" s="66" t="str">
        <f t="shared" si="3525"/>
        <v/>
      </c>
      <c r="EI254" s="66" t="str">
        <f t="shared" si="3526"/>
        <v/>
      </c>
      <c r="EJ254" s="66" t="str">
        <f t="shared" si="3527"/>
        <v/>
      </c>
      <c r="EK254" s="66" t="str">
        <f t="shared" si="3528"/>
        <v/>
      </c>
      <c r="EL254" s="66" t="str">
        <f t="shared" si="3529"/>
        <v/>
      </c>
      <c r="EM254" s="66" t="str">
        <f t="shared" si="3530"/>
        <v/>
      </c>
      <c r="EN254" s="66" t="str">
        <f t="shared" si="3531"/>
        <v/>
      </c>
      <c r="EO254" s="66" t="str">
        <f t="shared" si="3532"/>
        <v/>
      </c>
      <c r="EP254" s="66" t="str">
        <f t="shared" si="3533"/>
        <v/>
      </c>
      <c r="EQ254" s="66" t="str">
        <f t="shared" si="3534"/>
        <v/>
      </c>
      <c r="ER254" s="66" t="str">
        <f t="shared" si="3535"/>
        <v/>
      </c>
      <c r="ES254" s="66" t="str">
        <f t="shared" si="3536"/>
        <v/>
      </c>
      <c r="ET254" s="66" t="str">
        <f t="shared" si="3537"/>
        <v/>
      </c>
      <c r="EU254" s="66" t="str">
        <f t="shared" si="3538"/>
        <v/>
      </c>
      <c r="EV254" s="66" t="str">
        <f t="shared" si="3539"/>
        <v/>
      </c>
      <c r="EW254" s="66" t="str">
        <f t="shared" si="3540"/>
        <v/>
      </c>
      <c r="EX254" s="66" t="str">
        <f t="shared" si="3541"/>
        <v/>
      </c>
      <c r="EY254" s="66" t="str">
        <f t="shared" si="3542"/>
        <v/>
      </c>
      <c r="EZ254" s="66" t="str">
        <f t="shared" si="3543"/>
        <v/>
      </c>
      <c r="FA254" s="66" t="str">
        <f t="shared" si="3544"/>
        <v/>
      </c>
      <c r="FB254" s="66" t="str">
        <f t="shared" si="3545"/>
        <v/>
      </c>
      <c r="FC254" s="66" t="str">
        <f t="shared" si="3546"/>
        <v/>
      </c>
      <c r="FD254" s="66" t="str">
        <f t="shared" si="3547"/>
        <v/>
      </c>
      <c r="FE254" s="66" t="str">
        <f t="shared" si="3548"/>
        <v/>
      </c>
      <c r="FF254" s="66" t="str">
        <f t="shared" si="3549"/>
        <v/>
      </c>
      <c r="FG254" s="66" t="str">
        <f t="shared" si="3550"/>
        <v/>
      </c>
      <c r="FH254" s="66" t="str">
        <f t="shared" si="3551"/>
        <v/>
      </c>
      <c r="FI254" s="66" t="str">
        <f t="shared" si="3552"/>
        <v/>
      </c>
      <c r="FJ254" s="66" t="str">
        <f t="shared" si="3553"/>
        <v/>
      </c>
      <c r="FK254" s="66" t="str">
        <f t="shared" si="3554"/>
        <v/>
      </c>
      <c r="FL254" s="66" t="str">
        <f t="shared" si="3555"/>
        <v/>
      </c>
      <c r="FM254" s="66" t="str">
        <f t="shared" si="3556"/>
        <v/>
      </c>
      <c r="FN254" s="66" t="str">
        <f t="shared" si="3557"/>
        <v/>
      </c>
      <c r="FO254" s="66" t="str">
        <f t="shared" si="3558"/>
        <v/>
      </c>
      <c r="FP254" s="66" t="str">
        <f t="shared" si="3559"/>
        <v/>
      </c>
      <c r="FQ254" s="66" t="str">
        <f t="shared" si="3560"/>
        <v/>
      </c>
      <c r="FR254" s="66" t="str">
        <f t="shared" si="3561"/>
        <v/>
      </c>
      <c r="FS254" s="66" t="str">
        <f t="shared" si="3562"/>
        <v/>
      </c>
    </row>
    <row r="255" spans="1:175" ht="16.5">
      <c r="A255" s="2"/>
      <c r="B255" s="9" t="s">
        <v>801</v>
      </c>
      <c r="C255" s="9" t="s">
        <v>802</v>
      </c>
      <c r="E255" s="114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2"/>
      <c r="Q255" s="92"/>
      <c r="R255" s="92"/>
      <c r="S255" s="92"/>
      <c r="T255" s="120"/>
      <c r="U255" s="77"/>
      <c r="CU255" s="88" t="str">
        <f t="shared" si="3492"/>
        <v>|n</v>
      </c>
      <c r="CW255" s="33"/>
      <c r="CX255" s="33"/>
      <c r="CY255" s="33"/>
      <c r="CZ255" s="33"/>
      <c r="DA255" s="33"/>
      <c r="DB255" s="66" t="str">
        <f t="shared" si="3493"/>
        <v/>
      </c>
      <c r="DC255" s="66" t="str">
        <f t="shared" si="3494"/>
        <v/>
      </c>
      <c r="DD255" s="66" t="str">
        <f t="shared" si="3495"/>
        <v/>
      </c>
      <c r="DE255" s="66" t="str">
        <f t="shared" si="3496"/>
        <v/>
      </c>
      <c r="DF255" s="66" t="str">
        <f t="shared" si="3497"/>
        <v/>
      </c>
      <c r="DG255" s="66" t="str">
        <f t="shared" si="3498"/>
        <v/>
      </c>
      <c r="DH255" s="66" t="str">
        <f t="shared" si="3499"/>
        <v/>
      </c>
      <c r="DI255" s="66" t="str">
        <f t="shared" si="3500"/>
        <v/>
      </c>
      <c r="DJ255" s="66" t="str">
        <f t="shared" si="3501"/>
        <v/>
      </c>
      <c r="DK255" s="66" t="str">
        <f t="shared" si="3502"/>
        <v/>
      </c>
      <c r="DL255" s="66" t="str">
        <f t="shared" si="3503"/>
        <v/>
      </c>
      <c r="DM255" s="66" t="str">
        <f t="shared" si="3504"/>
        <v/>
      </c>
      <c r="DN255" s="66" t="str">
        <f t="shared" si="3505"/>
        <v/>
      </c>
      <c r="DO255" s="66" t="str">
        <f t="shared" si="3506"/>
        <v/>
      </c>
      <c r="DP255" s="66" t="str">
        <f t="shared" si="3507"/>
        <v/>
      </c>
      <c r="DQ255" s="66" t="str">
        <f t="shared" si="3508"/>
        <v/>
      </c>
      <c r="DR255" s="66" t="str">
        <f t="shared" si="3509"/>
        <v/>
      </c>
      <c r="DS255" s="66" t="str">
        <f t="shared" si="3510"/>
        <v/>
      </c>
      <c r="DT255" s="66" t="str">
        <f t="shared" si="3511"/>
        <v/>
      </c>
      <c r="DU255" s="66" t="str">
        <f t="shared" si="3512"/>
        <v/>
      </c>
      <c r="DV255" s="66" t="str">
        <f t="shared" si="3513"/>
        <v/>
      </c>
      <c r="DW255" s="66" t="str">
        <f t="shared" si="3514"/>
        <v/>
      </c>
      <c r="DX255" s="66" t="str">
        <f t="shared" si="3515"/>
        <v/>
      </c>
      <c r="DY255" s="66" t="str">
        <f t="shared" si="3516"/>
        <v/>
      </c>
      <c r="DZ255" s="66" t="str">
        <f t="shared" si="3517"/>
        <v/>
      </c>
      <c r="EA255" s="66" t="str">
        <f t="shared" si="3518"/>
        <v/>
      </c>
      <c r="EB255" s="66" t="str">
        <f t="shared" si="3519"/>
        <v/>
      </c>
      <c r="EC255" s="66" t="str">
        <f t="shared" si="3520"/>
        <v/>
      </c>
      <c r="ED255" s="66" t="str">
        <f t="shared" si="3521"/>
        <v/>
      </c>
      <c r="EE255" s="66" t="str">
        <f t="shared" si="3522"/>
        <v/>
      </c>
      <c r="EF255" s="66" t="str">
        <f t="shared" si="3523"/>
        <v/>
      </c>
      <c r="EG255" s="66" t="str">
        <f t="shared" si="3524"/>
        <v/>
      </c>
      <c r="EH255" s="66" t="str">
        <f t="shared" si="3525"/>
        <v/>
      </c>
      <c r="EI255" s="66" t="str">
        <f t="shared" si="3526"/>
        <v/>
      </c>
      <c r="EJ255" s="66" t="str">
        <f t="shared" si="3527"/>
        <v/>
      </c>
      <c r="EK255" s="66" t="str">
        <f t="shared" si="3528"/>
        <v/>
      </c>
      <c r="EL255" s="66" t="str">
        <f t="shared" si="3529"/>
        <v/>
      </c>
      <c r="EM255" s="66" t="str">
        <f t="shared" si="3530"/>
        <v/>
      </c>
      <c r="EN255" s="66" t="str">
        <f t="shared" si="3531"/>
        <v/>
      </c>
      <c r="EO255" s="66" t="str">
        <f t="shared" si="3532"/>
        <v/>
      </c>
      <c r="EP255" s="66" t="str">
        <f t="shared" si="3533"/>
        <v/>
      </c>
      <c r="EQ255" s="66" t="str">
        <f t="shared" si="3534"/>
        <v/>
      </c>
      <c r="ER255" s="66" t="str">
        <f t="shared" si="3535"/>
        <v/>
      </c>
      <c r="ES255" s="66" t="str">
        <f t="shared" si="3536"/>
        <v/>
      </c>
      <c r="ET255" s="66" t="str">
        <f t="shared" si="3537"/>
        <v/>
      </c>
      <c r="EU255" s="66" t="str">
        <f t="shared" si="3538"/>
        <v/>
      </c>
      <c r="EV255" s="66" t="str">
        <f t="shared" si="3539"/>
        <v/>
      </c>
      <c r="EW255" s="66" t="str">
        <f t="shared" si="3540"/>
        <v/>
      </c>
      <c r="EX255" s="66" t="str">
        <f t="shared" si="3541"/>
        <v/>
      </c>
      <c r="EY255" s="66" t="str">
        <f t="shared" si="3542"/>
        <v/>
      </c>
      <c r="EZ255" s="66" t="str">
        <f t="shared" si="3543"/>
        <v/>
      </c>
      <c r="FA255" s="66" t="str">
        <f t="shared" si="3544"/>
        <v/>
      </c>
      <c r="FB255" s="66" t="str">
        <f t="shared" si="3545"/>
        <v/>
      </c>
      <c r="FC255" s="66" t="str">
        <f t="shared" si="3546"/>
        <v/>
      </c>
      <c r="FD255" s="66" t="str">
        <f t="shared" si="3547"/>
        <v/>
      </c>
      <c r="FE255" s="66" t="str">
        <f t="shared" si="3548"/>
        <v/>
      </c>
      <c r="FF255" s="66" t="str">
        <f t="shared" si="3549"/>
        <v/>
      </c>
      <c r="FG255" s="66" t="str">
        <f t="shared" si="3550"/>
        <v/>
      </c>
      <c r="FH255" s="66" t="str">
        <f t="shared" si="3551"/>
        <v/>
      </c>
      <c r="FI255" s="66" t="str">
        <f t="shared" si="3552"/>
        <v/>
      </c>
      <c r="FJ255" s="66" t="str">
        <f t="shared" si="3553"/>
        <v/>
      </c>
      <c r="FK255" s="66" t="str">
        <f t="shared" si="3554"/>
        <v/>
      </c>
      <c r="FL255" s="66" t="str">
        <f t="shared" si="3555"/>
        <v/>
      </c>
      <c r="FM255" s="66" t="str">
        <f t="shared" si="3556"/>
        <v/>
      </c>
      <c r="FN255" s="66" t="str">
        <f t="shared" si="3557"/>
        <v/>
      </c>
      <c r="FO255" s="66" t="str">
        <f t="shared" si="3558"/>
        <v/>
      </c>
      <c r="FP255" s="66" t="str">
        <f t="shared" si="3559"/>
        <v/>
      </c>
      <c r="FQ255" s="66" t="str">
        <f t="shared" si="3560"/>
        <v/>
      </c>
      <c r="FR255" s="66" t="str">
        <f t="shared" si="3561"/>
        <v/>
      </c>
      <c r="FS255" s="66" t="str">
        <f t="shared" si="3562"/>
        <v/>
      </c>
    </row>
    <row r="256" spans="1:175" ht="16.5">
      <c r="A256" s="2"/>
      <c r="B256" s="1"/>
      <c r="C256" s="2"/>
      <c r="E256" s="114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2"/>
      <c r="Q256" s="92"/>
      <c r="R256" s="92"/>
      <c r="S256" s="92"/>
      <c r="T256" s="120"/>
      <c r="U256" s="77"/>
      <c r="CU256" s="88" t="str">
        <f t="shared" si="3492"/>
        <v>|n</v>
      </c>
      <c r="CW256" s="33"/>
      <c r="CX256" s="33"/>
      <c r="CY256" s="33"/>
      <c r="CZ256" s="33"/>
      <c r="DA256" s="33"/>
      <c r="DB256" s="66" t="str">
        <f t="shared" si="3493"/>
        <v/>
      </c>
      <c r="DC256" s="66" t="str">
        <f t="shared" si="3494"/>
        <v/>
      </c>
      <c r="DD256" s="66" t="str">
        <f t="shared" si="3495"/>
        <v/>
      </c>
      <c r="DE256" s="66" t="str">
        <f t="shared" si="3496"/>
        <v/>
      </c>
      <c r="DF256" s="66" t="str">
        <f t="shared" si="3497"/>
        <v/>
      </c>
      <c r="DG256" s="66" t="str">
        <f t="shared" si="3498"/>
        <v/>
      </c>
      <c r="DH256" s="66" t="str">
        <f t="shared" si="3499"/>
        <v/>
      </c>
      <c r="DI256" s="66" t="str">
        <f t="shared" si="3500"/>
        <v/>
      </c>
      <c r="DJ256" s="66" t="str">
        <f t="shared" si="3501"/>
        <v/>
      </c>
      <c r="DK256" s="66" t="str">
        <f t="shared" si="3502"/>
        <v/>
      </c>
      <c r="DL256" s="66" t="str">
        <f t="shared" si="3503"/>
        <v/>
      </c>
      <c r="DM256" s="66" t="str">
        <f t="shared" si="3504"/>
        <v/>
      </c>
      <c r="DN256" s="66" t="str">
        <f t="shared" si="3505"/>
        <v/>
      </c>
      <c r="DO256" s="66" t="str">
        <f t="shared" si="3506"/>
        <v/>
      </c>
      <c r="DP256" s="66" t="str">
        <f t="shared" si="3507"/>
        <v/>
      </c>
      <c r="DQ256" s="66" t="str">
        <f t="shared" si="3508"/>
        <v/>
      </c>
      <c r="DR256" s="66" t="str">
        <f t="shared" si="3509"/>
        <v/>
      </c>
      <c r="DS256" s="66" t="str">
        <f t="shared" si="3510"/>
        <v/>
      </c>
      <c r="DT256" s="66" t="str">
        <f t="shared" si="3511"/>
        <v/>
      </c>
      <c r="DU256" s="66" t="str">
        <f t="shared" si="3512"/>
        <v/>
      </c>
      <c r="DV256" s="66" t="str">
        <f t="shared" si="3513"/>
        <v/>
      </c>
      <c r="DW256" s="66" t="str">
        <f t="shared" si="3514"/>
        <v/>
      </c>
      <c r="DX256" s="66" t="str">
        <f t="shared" si="3515"/>
        <v/>
      </c>
      <c r="DY256" s="66" t="str">
        <f t="shared" si="3516"/>
        <v/>
      </c>
      <c r="DZ256" s="66" t="str">
        <f t="shared" si="3517"/>
        <v/>
      </c>
      <c r="EA256" s="66" t="str">
        <f t="shared" si="3518"/>
        <v/>
      </c>
      <c r="EB256" s="66" t="str">
        <f t="shared" si="3519"/>
        <v/>
      </c>
      <c r="EC256" s="66" t="str">
        <f t="shared" si="3520"/>
        <v/>
      </c>
      <c r="ED256" s="66" t="str">
        <f t="shared" si="3521"/>
        <v/>
      </c>
      <c r="EE256" s="66" t="str">
        <f t="shared" si="3522"/>
        <v/>
      </c>
      <c r="EF256" s="66" t="str">
        <f t="shared" si="3523"/>
        <v/>
      </c>
      <c r="EG256" s="66" t="str">
        <f t="shared" si="3524"/>
        <v/>
      </c>
      <c r="EH256" s="66" t="str">
        <f t="shared" si="3525"/>
        <v/>
      </c>
      <c r="EI256" s="66" t="str">
        <f t="shared" si="3526"/>
        <v/>
      </c>
      <c r="EJ256" s="66" t="str">
        <f t="shared" si="3527"/>
        <v/>
      </c>
      <c r="EK256" s="66" t="str">
        <f t="shared" si="3528"/>
        <v/>
      </c>
      <c r="EL256" s="66" t="str">
        <f t="shared" si="3529"/>
        <v/>
      </c>
      <c r="EM256" s="66" t="str">
        <f t="shared" si="3530"/>
        <v/>
      </c>
      <c r="EN256" s="66" t="str">
        <f t="shared" si="3531"/>
        <v/>
      </c>
      <c r="EO256" s="66" t="str">
        <f t="shared" si="3532"/>
        <v/>
      </c>
      <c r="EP256" s="66" t="str">
        <f t="shared" si="3533"/>
        <v/>
      </c>
      <c r="EQ256" s="66" t="str">
        <f t="shared" si="3534"/>
        <v/>
      </c>
      <c r="ER256" s="66" t="str">
        <f t="shared" si="3535"/>
        <v/>
      </c>
      <c r="ES256" s="66" t="str">
        <f t="shared" si="3536"/>
        <v/>
      </c>
      <c r="ET256" s="66" t="str">
        <f t="shared" si="3537"/>
        <v/>
      </c>
      <c r="EU256" s="66" t="str">
        <f t="shared" si="3538"/>
        <v/>
      </c>
      <c r="EV256" s="66" t="str">
        <f t="shared" si="3539"/>
        <v/>
      </c>
      <c r="EW256" s="66" t="str">
        <f t="shared" si="3540"/>
        <v/>
      </c>
      <c r="EX256" s="66" t="str">
        <f t="shared" si="3541"/>
        <v/>
      </c>
      <c r="EY256" s="66" t="str">
        <f t="shared" si="3542"/>
        <v/>
      </c>
      <c r="EZ256" s="66" t="str">
        <f t="shared" si="3543"/>
        <v/>
      </c>
      <c r="FA256" s="66" t="str">
        <f t="shared" si="3544"/>
        <v/>
      </c>
      <c r="FB256" s="66" t="str">
        <f t="shared" si="3545"/>
        <v/>
      </c>
      <c r="FC256" s="66" t="str">
        <f t="shared" si="3546"/>
        <v/>
      </c>
      <c r="FD256" s="66" t="str">
        <f t="shared" si="3547"/>
        <v/>
      </c>
      <c r="FE256" s="66" t="str">
        <f t="shared" si="3548"/>
        <v/>
      </c>
      <c r="FF256" s="66" t="str">
        <f t="shared" si="3549"/>
        <v/>
      </c>
      <c r="FG256" s="66" t="str">
        <f t="shared" si="3550"/>
        <v/>
      </c>
      <c r="FH256" s="66" t="str">
        <f t="shared" si="3551"/>
        <v/>
      </c>
      <c r="FI256" s="66" t="str">
        <f t="shared" si="3552"/>
        <v/>
      </c>
      <c r="FJ256" s="66" t="str">
        <f t="shared" si="3553"/>
        <v/>
      </c>
      <c r="FK256" s="66" t="str">
        <f t="shared" si="3554"/>
        <v/>
      </c>
      <c r="FL256" s="66" t="str">
        <f t="shared" si="3555"/>
        <v/>
      </c>
      <c r="FM256" s="66" t="str">
        <f t="shared" si="3556"/>
        <v/>
      </c>
      <c r="FN256" s="66" t="str">
        <f t="shared" si="3557"/>
        <v/>
      </c>
      <c r="FO256" s="66" t="str">
        <f t="shared" si="3558"/>
        <v/>
      </c>
      <c r="FP256" s="66" t="str">
        <f t="shared" si="3559"/>
        <v/>
      </c>
      <c r="FQ256" s="66" t="str">
        <f t="shared" si="3560"/>
        <v/>
      </c>
      <c r="FR256" s="66" t="str">
        <f t="shared" si="3561"/>
        <v/>
      </c>
      <c r="FS256" s="66" t="str">
        <f t="shared" si="3562"/>
        <v/>
      </c>
    </row>
    <row r="257" spans="1:175" ht="16.5">
      <c r="A257" s="2"/>
      <c r="B257" s="1"/>
      <c r="C257" s="2"/>
      <c r="E257" s="114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2"/>
      <c r="Q257" s="92"/>
      <c r="R257" s="92"/>
      <c r="S257" s="92"/>
      <c r="T257" s="120"/>
      <c r="U257" s="77"/>
      <c r="CU257" s="88" t="str">
        <f t="shared" si="3492"/>
        <v>|n</v>
      </c>
      <c r="CW257" s="33"/>
      <c r="CX257" s="33"/>
      <c r="CY257" s="33"/>
      <c r="CZ257" s="33"/>
      <c r="DA257" s="33"/>
      <c r="DB257" s="66" t="str">
        <f t="shared" si="3493"/>
        <v/>
      </c>
      <c r="DC257" s="66" t="str">
        <f t="shared" si="3494"/>
        <v/>
      </c>
      <c r="DD257" s="66" t="str">
        <f t="shared" si="3495"/>
        <v/>
      </c>
      <c r="DE257" s="66" t="str">
        <f t="shared" si="3496"/>
        <v/>
      </c>
      <c r="DF257" s="66" t="str">
        <f t="shared" si="3497"/>
        <v/>
      </c>
      <c r="DG257" s="66" t="str">
        <f t="shared" si="3498"/>
        <v/>
      </c>
      <c r="DH257" s="66" t="str">
        <f t="shared" si="3499"/>
        <v/>
      </c>
      <c r="DI257" s="66" t="str">
        <f t="shared" si="3500"/>
        <v/>
      </c>
      <c r="DJ257" s="66" t="str">
        <f t="shared" si="3501"/>
        <v/>
      </c>
      <c r="DK257" s="66" t="str">
        <f t="shared" si="3502"/>
        <v/>
      </c>
      <c r="DL257" s="66" t="str">
        <f t="shared" si="3503"/>
        <v/>
      </c>
      <c r="DM257" s="66" t="str">
        <f t="shared" si="3504"/>
        <v/>
      </c>
      <c r="DN257" s="66" t="str">
        <f t="shared" si="3505"/>
        <v/>
      </c>
      <c r="DO257" s="66" t="str">
        <f t="shared" si="3506"/>
        <v/>
      </c>
      <c r="DP257" s="66" t="str">
        <f t="shared" si="3507"/>
        <v/>
      </c>
      <c r="DQ257" s="66" t="str">
        <f t="shared" si="3508"/>
        <v/>
      </c>
      <c r="DR257" s="66" t="str">
        <f t="shared" si="3509"/>
        <v/>
      </c>
      <c r="DS257" s="66" t="str">
        <f t="shared" si="3510"/>
        <v/>
      </c>
      <c r="DT257" s="66" t="str">
        <f t="shared" si="3511"/>
        <v/>
      </c>
      <c r="DU257" s="66" t="str">
        <f t="shared" si="3512"/>
        <v/>
      </c>
      <c r="DV257" s="66" t="str">
        <f t="shared" si="3513"/>
        <v/>
      </c>
      <c r="DW257" s="66" t="str">
        <f t="shared" si="3514"/>
        <v/>
      </c>
      <c r="DX257" s="66" t="str">
        <f t="shared" si="3515"/>
        <v/>
      </c>
      <c r="DY257" s="66" t="str">
        <f t="shared" si="3516"/>
        <v/>
      </c>
      <c r="DZ257" s="66" t="str">
        <f t="shared" si="3517"/>
        <v/>
      </c>
      <c r="EA257" s="66" t="str">
        <f t="shared" si="3518"/>
        <v/>
      </c>
      <c r="EB257" s="66" t="str">
        <f t="shared" si="3519"/>
        <v/>
      </c>
      <c r="EC257" s="66" t="str">
        <f t="shared" si="3520"/>
        <v/>
      </c>
      <c r="ED257" s="66" t="str">
        <f t="shared" si="3521"/>
        <v/>
      </c>
      <c r="EE257" s="66" t="str">
        <f t="shared" si="3522"/>
        <v/>
      </c>
      <c r="EF257" s="66" t="str">
        <f t="shared" si="3523"/>
        <v/>
      </c>
      <c r="EG257" s="66" t="str">
        <f t="shared" si="3524"/>
        <v/>
      </c>
      <c r="EH257" s="66" t="str">
        <f t="shared" si="3525"/>
        <v/>
      </c>
      <c r="EI257" s="66" t="str">
        <f t="shared" si="3526"/>
        <v/>
      </c>
      <c r="EJ257" s="66" t="str">
        <f t="shared" si="3527"/>
        <v/>
      </c>
      <c r="EK257" s="66" t="str">
        <f t="shared" si="3528"/>
        <v/>
      </c>
      <c r="EL257" s="66" t="str">
        <f t="shared" si="3529"/>
        <v/>
      </c>
      <c r="EM257" s="66" t="str">
        <f t="shared" si="3530"/>
        <v/>
      </c>
      <c r="EN257" s="66" t="str">
        <f t="shared" si="3531"/>
        <v/>
      </c>
      <c r="EO257" s="66" t="str">
        <f t="shared" si="3532"/>
        <v/>
      </c>
      <c r="EP257" s="66" t="str">
        <f t="shared" si="3533"/>
        <v/>
      </c>
      <c r="EQ257" s="66" t="str">
        <f t="shared" si="3534"/>
        <v/>
      </c>
      <c r="ER257" s="66" t="str">
        <f t="shared" si="3535"/>
        <v/>
      </c>
      <c r="ES257" s="66" t="str">
        <f t="shared" si="3536"/>
        <v/>
      </c>
      <c r="ET257" s="66" t="str">
        <f t="shared" si="3537"/>
        <v/>
      </c>
      <c r="EU257" s="66" t="str">
        <f t="shared" si="3538"/>
        <v/>
      </c>
      <c r="EV257" s="66" t="str">
        <f t="shared" si="3539"/>
        <v/>
      </c>
      <c r="EW257" s="66" t="str">
        <f t="shared" si="3540"/>
        <v/>
      </c>
      <c r="EX257" s="66" t="str">
        <f t="shared" si="3541"/>
        <v/>
      </c>
      <c r="EY257" s="66" t="str">
        <f t="shared" si="3542"/>
        <v/>
      </c>
      <c r="EZ257" s="66" t="str">
        <f t="shared" si="3543"/>
        <v/>
      </c>
      <c r="FA257" s="66" t="str">
        <f t="shared" si="3544"/>
        <v/>
      </c>
      <c r="FB257" s="66" t="str">
        <f t="shared" si="3545"/>
        <v/>
      </c>
      <c r="FC257" s="66" t="str">
        <f t="shared" si="3546"/>
        <v/>
      </c>
      <c r="FD257" s="66" t="str">
        <f t="shared" si="3547"/>
        <v/>
      </c>
      <c r="FE257" s="66" t="str">
        <f t="shared" si="3548"/>
        <v/>
      </c>
      <c r="FF257" s="66" t="str">
        <f t="shared" si="3549"/>
        <v/>
      </c>
      <c r="FG257" s="66" t="str">
        <f t="shared" si="3550"/>
        <v/>
      </c>
      <c r="FH257" s="66" t="str">
        <f t="shared" si="3551"/>
        <v/>
      </c>
      <c r="FI257" s="66" t="str">
        <f t="shared" si="3552"/>
        <v/>
      </c>
      <c r="FJ257" s="66" t="str">
        <f t="shared" si="3553"/>
        <v/>
      </c>
      <c r="FK257" s="66" t="str">
        <f t="shared" si="3554"/>
        <v/>
      </c>
      <c r="FL257" s="66" t="str">
        <f t="shared" si="3555"/>
        <v/>
      </c>
      <c r="FM257" s="66" t="str">
        <f t="shared" si="3556"/>
        <v/>
      </c>
      <c r="FN257" s="66" t="str">
        <f t="shared" si="3557"/>
        <v/>
      </c>
      <c r="FO257" s="66" t="str">
        <f t="shared" si="3558"/>
        <v/>
      </c>
      <c r="FP257" s="66" t="str">
        <f t="shared" si="3559"/>
        <v/>
      </c>
      <c r="FQ257" s="66" t="str">
        <f t="shared" si="3560"/>
        <v/>
      </c>
      <c r="FR257" s="66" t="str">
        <f t="shared" si="3561"/>
        <v/>
      </c>
      <c r="FS257" s="66" t="str">
        <f t="shared" si="3562"/>
        <v/>
      </c>
    </row>
    <row r="258" spans="1:175" ht="16.5">
      <c r="A258" s="2"/>
      <c r="B258" s="1"/>
      <c r="C258" s="2"/>
      <c r="E258" s="114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2"/>
      <c r="Q258" s="92"/>
      <c r="R258" s="92"/>
      <c r="S258" s="92"/>
      <c r="T258" s="120"/>
      <c r="U258" s="77"/>
      <c r="CU258" s="88" t="str">
        <f t="shared" si="3492"/>
        <v>|n</v>
      </c>
      <c r="CW258" s="33"/>
      <c r="CX258" s="33"/>
      <c r="CY258" s="33"/>
      <c r="CZ258" s="33"/>
      <c r="DA258" s="33"/>
      <c r="DB258" s="66" t="str">
        <f t="shared" si="3493"/>
        <v/>
      </c>
      <c r="DC258" s="66" t="str">
        <f t="shared" si="3494"/>
        <v/>
      </c>
      <c r="DD258" s="66" t="str">
        <f t="shared" si="3495"/>
        <v/>
      </c>
      <c r="DE258" s="66" t="str">
        <f t="shared" si="3496"/>
        <v/>
      </c>
      <c r="DF258" s="66" t="str">
        <f t="shared" si="3497"/>
        <v/>
      </c>
      <c r="DG258" s="66" t="str">
        <f t="shared" si="3498"/>
        <v/>
      </c>
      <c r="DH258" s="66" t="str">
        <f t="shared" si="3499"/>
        <v/>
      </c>
      <c r="DI258" s="66" t="str">
        <f t="shared" si="3500"/>
        <v/>
      </c>
      <c r="DJ258" s="66" t="str">
        <f t="shared" si="3501"/>
        <v/>
      </c>
      <c r="DK258" s="66" t="str">
        <f t="shared" si="3502"/>
        <v/>
      </c>
      <c r="DL258" s="66" t="str">
        <f t="shared" si="3503"/>
        <v/>
      </c>
      <c r="DM258" s="66" t="str">
        <f t="shared" si="3504"/>
        <v/>
      </c>
      <c r="DN258" s="66" t="str">
        <f t="shared" si="3505"/>
        <v/>
      </c>
      <c r="DO258" s="66" t="str">
        <f t="shared" si="3506"/>
        <v/>
      </c>
      <c r="DP258" s="66" t="str">
        <f t="shared" si="3507"/>
        <v/>
      </c>
      <c r="DQ258" s="66" t="str">
        <f t="shared" si="3508"/>
        <v/>
      </c>
      <c r="DR258" s="66" t="str">
        <f t="shared" si="3509"/>
        <v/>
      </c>
      <c r="DS258" s="66" t="str">
        <f t="shared" si="3510"/>
        <v/>
      </c>
      <c r="DT258" s="66" t="str">
        <f t="shared" si="3511"/>
        <v/>
      </c>
      <c r="DU258" s="66" t="str">
        <f t="shared" si="3512"/>
        <v/>
      </c>
      <c r="DV258" s="66" t="str">
        <f t="shared" si="3513"/>
        <v/>
      </c>
      <c r="DW258" s="66" t="str">
        <f t="shared" si="3514"/>
        <v/>
      </c>
      <c r="DX258" s="66" t="str">
        <f t="shared" si="3515"/>
        <v/>
      </c>
      <c r="DY258" s="66" t="str">
        <f t="shared" si="3516"/>
        <v/>
      </c>
      <c r="DZ258" s="66" t="str">
        <f t="shared" si="3517"/>
        <v/>
      </c>
      <c r="EA258" s="66" t="str">
        <f t="shared" si="3518"/>
        <v/>
      </c>
      <c r="EB258" s="66" t="str">
        <f t="shared" si="3519"/>
        <v/>
      </c>
      <c r="EC258" s="66" t="str">
        <f t="shared" si="3520"/>
        <v/>
      </c>
      <c r="ED258" s="66" t="str">
        <f t="shared" si="3521"/>
        <v/>
      </c>
      <c r="EE258" s="66" t="str">
        <f t="shared" si="3522"/>
        <v/>
      </c>
      <c r="EF258" s="66" t="str">
        <f t="shared" si="3523"/>
        <v/>
      </c>
      <c r="EG258" s="66" t="str">
        <f t="shared" si="3524"/>
        <v/>
      </c>
      <c r="EH258" s="66" t="str">
        <f t="shared" si="3525"/>
        <v/>
      </c>
      <c r="EI258" s="66" t="str">
        <f t="shared" si="3526"/>
        <v/>
      </c>
      <c r="EJ258" s="66" t="str">
        <f t="shared" si="3527"/>
        <v/>
      </c>
      <c r="EK258" s="66" t="str">
        <f t="shared" si="3528"/>
        <v/>
      </c>
      <c r="EL258" s="66" t="str">
        <f t="shared" si="3529"/>
        <v/>
      </c>
      <c r="EM258" s="66" t="str">
        <f t="shared" si="3530"/>
        <v/>
      </c>
      <c r="EN258" s="66" t="str">
        <f t="shared" si="3531"/>
        <v/>
      </c>
      <c r="EO258" s="66" t="str">
        <f t="shared" si="3532"/>
        <v/>
      </c>
      <c r="EP258" s="66" t="str">
        <f t="shared" si="3533"/>
        <v/>
      </c>
      <c r="EQ258" s="66" t="str">
        <f t="shared" si="3534"/>
        <v/>
      </c>
      <c r="ER258" s="66" t="str">
        <f t="shared" si="3535"/>
        <v/>
      </c>
      <c r="ES258" s="66" t="str">
        <f t="shared" si="3536"/>
        <v/>
      </c>
      <c r="ET258" s="66" t="str">
        <f t="shared" si="3537"/>
        <v/>
      </c>
      <c r="EU258" s="66" t="str">
        <f t="shared" si="3538"/>
        <v/>
      </c>
      <c r="EV258" s="66" t="str">
        <f t="shared" si="3539"/>
        <v/>
      </c>
      <c r="EW258" s="66" t="str">
        <f t="shared" si="3540"/>
        <v/>
      </c>
      <c r="EX258" s="66" t="str">
        <f t="shared" si="3541"/>
        <v/>
      </c>
      <c r="EY258" s="66" t="str">
        <f t="shared" si="3542"/>
        <v/>
      </c>
      <c r="EZ258" s="66" t="str">
        <f t="shared" si="3543"/>
        <v/>
      </c>
      <c r="FA258" s="66" t="str">
        <f t="shared" si="3544"/>
        <v/>
      </c>
      <c r="FB258" s="66" t="str">
        <f t="shared" si="3545"/>
        <v/>
      </c>
      <c r="FC258" s="66" t="str">
        <f t="shared" si="3546"/>
        <v/>
      </c>
      <c r="FD258" s="66" t="str">
        <f t="shared" si="3547"/>
        <v/>
      </c>
      <c r="FE258" s="66" t="str">
        <f t="shared" si="3548"/>
        <v/>
      </c>
      <c r="FF258" s="66" t="str">
        <f t="shared" si="3549"/>
        <v/>
      </c>
      <c r="FG258" s="66" t="str">
        <f t="shared" si="3550"/>
        <v/>
      </c>
      <c r="FH258" s="66" t="str">
        <f t="shared" si="3551"/>
        <v/>
      </c>
      <c r="FI258" s="66" t="str">
        <f t="shared" si="3552"/>
        <v/>
      </c>
      <c r="FJ258" s="66" t="str">
        <f t="shared" si="3553"/>
        <v/>
      </c>
      <c r="FK258" s="66" t="str">
        <f t="shared" si="3554"/>
        <v/>
      </c>
      <c r="FL258" s="66" t="str">
        <f t="shared" si="3555"/>
        <v/>
      </c>
      <c r="FM258" s="66" t="str">
        <f t="shared" si="3556"/>
        <v/>
      </c>
      <c r="FN258" s="66" t="str">
        <f t="shared" si="3557"/>
        <v/>
      </c>
      <c r="FO258" s="66" t="str">
        <f t="shared" si="3558"/>
        <v/>
      </c>
      <c r="FP258" s="66" t="str">
        <f t="shared" si="3559"/>
        <v/>
      </c>
      <c r="FQ258" s="66" t="str">
        <f t="shared" si="3560"/>
        <v/>
      </c>
      <c r="FR258" s="66" t="str">
        <f t="shared" si="3561"/>
        <v/>
      </c>
      <c r="FS258" s="66" t="str">
        <f t="shared" si="3562"/>
        <v/>
      </c>
    </row>
    <row r="259" spans="1:175" ht="16.5">
      <c r="A259" s="2"/>
      <c r="B259" s="1"/>
      <c r="C259" s="2"/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492"/>
        <v>|n</v>
      </c>
      <c r="CW259" s="33"/>
      <c r="CX259" s="33"/>
      <c r="CY259" s="33"/>
      <c r="CZ259" s="33"/>
      <c r="DA259" s="33"/>
      <c r="DB259" s="66" t="str">
        <f t="shared" si="3493"/>
        <v/>
      </c>
      <c r="DC259" s="66" t="str">
        <f t="shared" si="3494"/>
        <v/>
      </c>
      <c r="DD259" s="66" t="str">
        <f t="shared" si="3495"/>
        <v/>
      </c>
      <c r="DE259" s="66" t="str">
        <f t="shared" si="3496"/>
        <v/>
      </c>
      <c r="DF259" s="66" t="str">
        <f t="shared" si="3497"/>
        <v/>
      </c>
      <c r="DG259" s="66" t="str">
        <f t="shared" si="3498"/>
        <v/>
      </c>
      <c r="DH259" s="66" t="str">
        <f t="shared" si="3499"/>
        <v/>
      </c>
      <c r="DI259" s="66" t="str">
        <f t="shared" si="3500"/>
        <v/>
      </c>
      <c r="DJ259" s="66" t="str">
        <f t="shared" si="3501"/>
        <v/>
      </c>
      <c r="DK259" s="66" t="str">
        <f t="shared" si="3502"/>
        <v/>
      </c>
      <c r="DL259" s="66" t="str">
        <f t="shared" si="3503"/>
        <v/>
      </c>
      <c r="DM259" s="66" t="str">
        <f t="shared" si="3504"/>
        <v/>
      </c>
      <c r="DN259" s="66" t="str">
        <f t="shared" si="3505"/>
        <v/>
      </c>
      <c r="DO259" s="66" t="str">
        <f t="shared" si="3506"/>
        <v/>
      </c>
      <c r="DP259" s="66" t="str">
        <f t="shared" si="3507"/>
        <v/>
      </c>
      <c r="DQ259" s="66" t="str">
        <f t="shared" si="3508"/>
        <v/>
      </c>
      <c r="DR259" s="66" t="str">
        <f t="shared" si="3509"/>
        <v/>
      </c>
      <c r="DS259" s="66" t="str">
        <f t="shared" si="3510"/>
        <v/>
      </c>
      <c r="DT259" s="66" t="str">
        <f t="shared" si="3511"/>
        <v/>
      </c>
      <c r="DU259" s="66" t="str">
        <f t="shared" si="3512"/>
        <v/>
      </c>
      <c r="DV259" s="66" t="str">
        <f t="shared" si="3513"/>
        <v/>
      </c>
      <c r="DW259" s="66" t="str">
        <f t="shared" si="3514"/>
        <v/>
      </c>
      <c r="DX259" s="66" t="str">
        <f t="shared" si="3515"/>
        <v/>
      </c>
      <c r="DY259" s="66" t="str">
        <f t="shared" si="3516"/>
        <v/>
      </c>
      <c r="DZ259" s="66" t="str">
        <f t="shared" si="3517"/>
        <v/>
      </c>
      <c r="EA259" s="66" t="str">
        <f t="shared" si="3518"/>
        <v/>
      </c>
      <c r="EB259" s="66" t="str">
        <f t="shared" si="3519"/>
        <v/>
      </c>
      <c r="EC259" s="66" t="str">
        <f t="shared" si="3520"/>
        <v/>
      </c>
      <c r="ED259" s="66" t="str">
        <f t="shared" si="3521"/>
        <v/>
      </c>
      <c r="EE259" s="66" t="str">
        <f t="shared" si="3522"/>
        <v/>
      </c>
      <c r="EF259" s="66" t="str">
        <f t="shared" si="3523"/>
        <v/>
      </c>
      <c r="EG259" s="66" t="str">
        <f t="shared" si="3524"/>
        <v/>
      </c>
      <c r="EH259" s="66" t="str">
        <f t="shared" si="3525"/>
        <v/>
      </c>
      <c r="EI259" s="66" t="str">
        <f t="shared" si="3526"/>
        <v/>
      </c>
      <c r="EJ259" s="66" t="str">
        <f t="shared" si="3527"/>
        <v/>
      </c>
      <c r="EK259" s="66" t="str">
        <f t="shared" si="3528"/>
        <v/>
      </c>
      <c r="EL259" s="66" t="str">
        <f t="shared" si="3529"/>
        <v/>
      </c>
      <c r="EM259" s="66" t="str">
        <f t="shared" si="3530"/>
        <v/>
      </c>
      <c r="EN259" s="66" t="str">
        <f t="shared" si="3531"/>
        <v/>
      </c>
      <c r="EO259" s="66" t="str">
        <f t="shared" si="3532"/>
        <v/>
      </c>
      <c r="EP259" s="66" t="str">
        <f t="shared" si="3533"/>
        <v/>
      </c>
      <c r="EQ259" s="66" t="str">
        <f t="shared" si="3534"/>
        <v/>
      </c>
      <c r="ER259" s="66" t="str">
        <f t="shared" si="3535"/>
        <v/>
      </c>
      <c r="ES259" s="66" t="str">
        <f t="shared" si="3536"/>
        <v/>
      </c>
      <c r="ET259" s="66" t="str">
        <f t="shared" si="3537"/>
        <v/>
      </c>
      <c r="EU259" s="66" t="str">
        <f t="shared" si="3538"/>
        <v/>
      </c>
      <c r="EV259" s="66" t="str">
        <f t="shared" si="3539"/>
        <v/>
      </c>
      <c r="EW259" s="66" t="str">
        <f t="shared" si="3540"/>
        <v/>
      </c>
      <c r="EX259" s="66" t="str">
        <f t="shared" si="3541"/>
        <v/>
      </c>
      <c r="EY259" s="66" t="str">
        <f t="shared" si="3542"/>
        <v/>
      </c>
      <c r="EZ259" s="66" t="str">
        <f t="shared" si="3543"/>
        <v/>
      </c>
      <c r="FA259" s="66" t="str">
        <f t="shared" si="3544"/>
        <v/>
      </c>
      <c r="FB259" s="66" t="str">
        <f t="shared" si="3545"/>
        <v/>
      </c>
      <c r="FC259" s="66" t="str">
        <f t="shared" si="3546"/>
        <v/>
      </c>
      <c r="FD259" s="66" t="str">
        <f t="shared" si="3547"/>
        <v/>
      </c>
      <c r="FE259" s="66" t="str">
        <f t="shared" si="3548"/>
        <v/>
      </c>
      <c r="FF259" s="66" t="str">
        <f t="shared" si="3549"/>
        <v/>
      </c>
      <c r="FG259" s="66" t="str">
        <f t="shared" si="3550"/>
        <v/>
      </c>
      <c r="FH259" s="66" t="str">
        <f t="shared" si="3551"/>
        <v/>
      </c>
      <c r="FI259" s="66" t="str">
        <f t="shared" si="3552"/>
        <v/>
      </c>
      <c r="FJ259" s="66" t="str">
        <f t="shared" si="3553"/>
        <v/>
      </c>
      <c r="FK259" s="66" t="str">
        <f t="shared" si="3554"/>
        <v/>
      </c>
      <c r="FL259" s="66" t="str">
        <f t="shared" si="3555"/>
        <v/>
      </c>
      <c r="FM259" s="66" t="str">
        <f t="shared" si="3556"/>
        <v/>
      </c>
      <c r="FN259" s="66" t="str">
        <f t="shared" si="3557"/>
        <v/>
      </c>
      <c r="FO259" s="66" t="str">
        <f t="shared" si="3558"/>
        <v/>
      </c>
      <c r="FP259" s="66" t="str">
        <f t="shared" si="3559"/>
        <v/>
      </c>
      <c r="FQ259" s="66" t="str">
        <f t="shared" si="3560"/>
        <v/>
      </c>
      <c r="FR259" s="66" t="str">
        <f t="shared" si="3561"/>
        <v/>
      </c>
      <c r="FS259" s="66" t="str">
        <f t="shared" si="3562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492"/>
        <v>|n</v>
      </c>
      <c r="CW260" s="33"/>
      <c r="CX260" s="33"/>
      <c r="CY260" s="33"/>
      <c r="CZ260" s="33"/>
      <c r="DA260" s="33"/>
      <c r="DB260" s="66" t="str">
        <f t="shared" si="3493"/>
        <v/>
      </c>
      <c r="DC260" s="66" t="str">
        <f t="shared" si="3494"/>
        <v/>
      </c>
      <c r="DD260" s="66" t="str">
        <f t="shared" si="3495"/>
        <v/>
      </c>
      <c r="DE260" s="66" t="str">
        <f t="shared" si="3496"/>
        <v/>
      </c>
      <c r="DF260" s="66" t="str">
        <f t="shared" si="3497"/>
        <v/>
      </c>
      <c r="DG260" s="66" t="str">
        <f t="shared" si="3498"/>
        <v/>
      </c>
      <c r="DH260" s="66" t="str">
        <f t="shared" si="3499"/>
        <v/>
      </c>
      <c r="DI260" s="66" t="str">
        <f t="shared" si="3500"/>
        <v/>
      </c>
      <c r="DJ260" s="66" t="str">
        <f t="shared" si="3501"/>
        <v/>
      </c>
      <c r="DK260" s="66" t="str">
        <f t="shared" si="3502"/>
        <v/>
      </c>
      <c r="DL260" s="66" t="str">
        <f t="shared" si="3503"/>
        <v/>
      </c>
      <c r="DM260" s="66" t="str">
        <f t="shared" si="3504"/>
        <v/>
      </c>
      <c r="DN260" s="66" t="str">
        <f t="shared" si="3505"/>
        <v/>
      </c>
      <c r="DO260" s="66" t="str">
        <f t="shared" si="3506"/>
        <v/>
      </c>
      <c r="DP260" s="66" t="str">
        <f t="shared" si="3507"/>
        <v/>
      </c>
      <c r="DQ260" s="66" t="str">
        <f t="shared" si="3508"/>
        <v/>
      </c>
      <c r="DR260" s="66" t="str">
        <f t="shared" si="3509"/>
        <v/>
      </c>
      <c r="DS260" s="66" t="str">
        <f t="shared" si="3510"/>
        <v/>
      </c>
      <c r="DT260" s="66" t="str">
        <f t="shared" si="3511"/>
        <v/>
      </c>
      <c r="DU260" s="66" t="str">
        <f t="shared" si="3512"/>
        <v/>
      </c>
      <c r="DV260" s="66" t="str">
        <f t="shared" si="3513"/>
        <v/>
      </c>
      <c r="DW260" s="66" t="str">
        <f t="shared" si="3514"/>
        <v/>
      </c>
      <c r="DX260" s="66" t="str">
        <f t="shared" si="3515"/>
        <v/>
      </c>
      <c r="DY260" s="66" t="str">
        <f t="shared" si="3516"/>
        <v/>
      </c>
      <c r="DZ260" s="66" t="str">
        <f t="shared" si="3517"/>
        <v/>
      </c>
      <c r="EA260" s="66" t="str">
        <f t="shared" si="3518"/>
        <v/>
      </c>
      <c r="EB260" s="66" t="str">
        <f t="shared" si="3519"/>
        <v/>
      </c>
      <c r="EC260" s="66" t="str">
        <f t="shared" si="3520"/>
        <v/>
      </c>
      <c r="ED260" s="66" t="str">
        <f t="shared" si="3521"/>
        <v/>
      </c>
      <c r="EE260" s="66" t="str">
        <f t="shared" si="3522"/>
        <v/>
      </c>
      <c r="EF260" s="66" t="str">
        <f t="shared" si="3523"/>
        <v/>
      </c>
      <c r="EG260" s="66" t="str">
        <f t="shared" si="3524"/>
        <v/>
      </c>
      <c r="EH260" s="66" t="str">
        <f t="shared" si="3525"/>
        <v/>
      </c>
      <c r="EI260" s="66" t="str">
        <f t="shared" si="3526"/>
        <v/>
      </c>
      <c r="EJ260" s="66" t="str">
        <f t="shared" si="3527"/>
        <v/>
      </c>
      <c r="EK260" s="66" t="str">
        <f t="shared" si="3528"/>
        <v/>
      </c>
      <c r="EL260" s="66" t="str">
        <f t="shared" si="3529"/>
        <v/>
      </c>
      <c r="EM260" s="66" t="str">
        <f t="shared" si="3530"/>
        <v/>
      </c>
      <c r="EN260" s="66" t="str">
        <f t="shared" si="3531"/>
        <v/>
      </c>
      <c r="EO260" s="66" t="str">
        <f t="shared" si="3532"/>
        <v/>
      </c>
      <c r="EP260" s="66" t="str">
        <f t="shared" si="3533"/>
        <v/>
      </c>
      <c r="EQ260" s="66" t="str">
        <f t="shared" si="3534"/>
        <v/>
      </c>
      <c r="ER260" s="66" t="str">
        <f t="shared" si="3535"/>
        <v/>
      </c>
      <c r="ES260" s="66" t="str">
        <f t="shared" si="3536"/>
        <v/>
      </c>
      <c r="ET260" s="66" t="str">
        <f t="shared" si="3537"/>
        <v/>
      </c>
      <c r="EU260" s="66" t="str">
        <f t="shared" si="3538"/>
        <v/>
      </c>
      <c r="EV260" s="66" t="str">
        <f t="shared" si="3539"/>
        <v/>
      </c>
      <c r="EW260" s="66" t="str">
        <f t="shared" si="3540"/>
        <v/>
      </c>
      <c r="EX260" s="66" t="str">
        <f t="shared" si="3541"/>
        <v/>
      </c>
      <c r="EY260" s="66" t="str">
        <f t="shared" si="3542"/>
        <v/>
      </c>
      <c r="EZ260" s="66" t="str">
        <f t="shared" si="3543"/>
        <v/>
      </c>
      <c r="FA260" s="66" t="str">
        <f t="shared" si="3544"/>
        <v/>
      </c>
      <c r="FB260" s="66" t="str">
        <f t="shared" si="3545"/>
        <v/>
      </c>
      <c r="FC260" s="66" t="str">
        <f t="shared" si="3546"/>
        <v/>
      </c>
      <c r="FD260" s="66" t="str">
        <f t="shared" si="3547"/>
        <v/>
      </c>
      <c r="FE260" s="66" t="str">
        <f t="shared" si="3548"/>
        <v/>
      </c>
      <c r="FF260" s="66" t="str">
        <f t="shared" si="3549"/>
        <v/>
      </c>
      <c r="FG260" s="66" t="str">
        <f t="shared" si="3550"/>
        <v/>
      </c>
      <c r="FH260" s="66" t="str">
        <f t="shared" si="3551"/>
        <v/>
      </c>
      <c r="FI260" s="66" t="str">
        <f t="shared" si="3552"/>
        <v/>
      </c>
      <c r="FJ260" s="66" t="str">
        <f t="shared" si="3553"/>
        <v/>
      </c>
      <c r="FK260" s="66" t="str">
        <f t="shared" si="3554"/>
        <v/>
      </c>
      <c r="FL260" s="66" t="str">
        <f t="shared" si="3555"/>
        <v/>
      </c>
      <c r="FM260" s="66" t="str">
        <f t="shared" si="3556"/>
        <v/>
      </c>
      <c r="FN260" s="66" t="str">
        <f t="shared" si="3557"/>
        <v/>
      </c>
      <c r="FO260" s="66" t="str">
        <f t="shared" si="3558"/>
        <v/>
      </c>
      <c r="FP260" s="66" t="str">
        <f t="shared" si="3559"/>
        <v/>
      </c>
      <c r="FQ260" s="66" t="str">
        <f t="shared" si="3560"/>
        <v/>
      </c>
      <c r="FR260" s="66" t="str">
        <f t="shared" si="3561"/>
        <v/>
      </c>
      <c r="FS260" s="66" t="str">
        <f t="shared" si="3562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492"/>
        <v>|n</v>
      </c>
      <c r="CW261" s="33"/>
      <c r="CX261" s="33"/>
      <c r="CY261" s="33"/>
      <c r="CZ261" s="33"/>
      <c r="DA261" s="33"/>
      <c r="DB261" s="66" t="str">
        <f t="shared" si="3493"/>
        <v/>
      </c>
      <c r="DC261" s="66" t="str">
        <f t="shared" si="3494"/>
        <v/>
      </c>
      <c r="DD261" s="66" t="str">
        <f t="shared" si="3495"/>
        <v/>
      </c>
      <c r="DE261" s="66" t="str">
        <f t="shared" si="3496"/>
        <v/>
      </c>
      <c r="DF261" s="66" t="str">
        <f t="shared" si="3497"/>
        <v/>
      </c>
      <c r="DG261" s="66" t="str">
        <f t="shared" si="3498"/>
        <v/>
      </c>
      <c r="DH261" s="66" t="str">
        <f t="shared" si="3499"/>
        <v/>
      </c>
      <c r="DI261" s="66" t="str">
        <f t="shared" si="3500"/>
        <v/>
      </c>
      <c r="DJ261" s="66" t="str">
        <f t="shared" si="3501"/>
        <v/>
      </c>
      <c r="DK261" s="66" t="str">
        <f t="shared" si="3502"/>
        <v/>
      </c>
      <c r="DL261" s="66" t="str">
        <f t="shared" si="3503"/>
        <v/>
      </c>
      <c r="DM261" s="66" t="str">
        <f t="shared" si="3504"/>
        <v/>
      </c>
      <c r="DN261" s="66" t="str">
        <f t="shared" si="3505"/>
        <v/>
      </c>
      <c r="DO261" s="66" t="str">
        <f t="shared" si="3506"/>
        <v/>
      </c>
      <c r="DP261" s="66" t="str">
        <f t="shared" si="3507"/>
        <v/>
      </c>
      <c r="DQ261" s="66" t="str">
        <f t="shared" si="3508"/>
        <v/>
      </c>
      <c r="DR261" s="66" t="str">
        <f t="shared" si="3509"/>
        <v/>
      </c>
      <c r="DS261" s="66" t="str">
        <f t="shared" si="3510"/>
        <v/>
      </c>
      <c r="DT261" s="66" t="str">
        <f t="shared" si="3511"/>
        <v/>
      </c>
      <c r="DU261" s="66" t="str">
        <f t="shared" si="3512"/>
        <v/>
      </c>
      <c r="DV261" s="66" t="str">
        <f t="shared" si="3513"/>
        <v/>
      </c>
      <c r="DW261" s="66" t="str">
        <f t="shared" si="3514"/>
        <v/>
      </c>
      <c r="DX261" s="66" t="str">
        <f t="shared" si="3515"/>
        <v/>
      </c>
      <c r="DY261" s="66" t="str">
        <f t="shared" si="3516"/>
        <v/>
      </c>
      <c r="DZ261" s="66" t="str">
        <f t="shared" si="3517"/>
        <v/>
      </c>
      <c r="EA261" s="66" t="str">
        <f t="shared" si="3518"/>
        <v/>
      </c>
      <c r="EB261" s="66" t="str">
        <f t="shared" si="3519"/>
        <v/>
      </c>
      <c r="EC261" s="66" t="str">
        <f t="shared" si="3520"/>
        <v/>
      </c>
      <c r="ED261" s="66" t="str">
        <f t="shared" si="3521"/>
        <v/>
      </c>
      <c r="EE261" s="66" t="str">
        <f t="shared" si="3522"/>
        <v/>
      </c>
      <c r="EF261" s="66" t="str">
        <f t="shared" si="3523"/>
        <v/>
      </c>
      <c r="EG261" s="66" t="str">
        <f t="shared" si="3524"/>
        <v/>
      </c>
      <c r="EH261" s="66" t="str">
        <f t="shared" si="3525"/>
        <v/>
      </c>
      <c r="EI261" s="66" t="str">
        <f t="shared" si="3526"/>
        <v/>
      </c>
      <c r="EJ261" s="66" t="str">
        <f t="shared" si="3527"/>
        <v/>
      </c>
      <c r="EK261" s="66" t="str">
        <f t="shared" si="3528"/>
        <v/>
      </c>
      <c r="EL261" s="66" t="str">
        <f t="shared" si="3529"/>
        <v/>
      </c>
      <c r="EM261" s="66" t="str">
        <f t="shared" si="3530"/>
        <v/>
      </c>
      <c r="EN261" s="66" t="str">
        <f t="shared" si="3531"/>
        <v/>
      </c>
      <c r="EO261" s="66" t="str">
        <f t="shared" si="3532"/>
        <v/>
      </c>
      <c r="EP261" s="66" t="str">
        <f t="shared" si="3533"/>
        <v/>
      </c>
      <c r="EQ261" s="66" t="str">
        <f t="shared" si="3534"/>
        <v/>
      </c>
      <c r="ER261" s="66" t="str">
        <f t="shared" si="3535"/>
        <v/>
      </c>
      <c r="ES261" s="66" t="str">
        <f t="shared" si="3536"/>
        <v/>
      </c>
      <c r="ET261" s="66" t="str">
        <f t="shared" si="3537"/>
        <v/>
      </c>
      <c r="EU261" s="66" t="str">
        <f t="shared" si="3538"/>
        <v/>
      </c>
      <c r="EV261" s="66" t="str">
        <f t="shared" si="3539"/>
        <v/>
      </c>
      <c r="EW261" s="66" t="str">
        <f t="shared" si="3540"/>
        <v/>
      </c>
      <c r="EX261" s="66" t="str">
        <f t="shared" si="3541"/>
        <v/>
      </c>
      <c r="EY261" s="66" t="str">
        <f t="shared" si="3542"/>
        <v/>
      </c>
      <c r="EZ261" s="66" t="str">
        <f t="shared" si="3543"/>
        <v/>
      </c>
      <c r="FA261" s="66" t="str">
        <f t="shared" si="3544"/>
        <v/>
      </c>
      <c r="FB261" s="66" t="str">
        <f t="shared" si="3545"/>
        <v/>
      </c>
      <c r="FC261" s="66" t="str">
        <f t="shared" si="3546"/>
        <v/>
      </c>
      <c r="FD261" s="66" t="str">
        <f t="shared" si="3547"/>
        <v/>
      </c>
      <c r="FE261" s="66" t="str">
        <f t="shared" si="3548"/>
        <v/>
      </c>
      <c r="FF261" s="66" t="str">
        <f t="shared" si="3549"/>
        <v/>
      </c>
      <c r="FG261" s="66" t="str">
        <f t="shared" si="3550"/>
        <v/>
      </c>
      <c r="FH261" s="66" t="str">
        <f t="shared" si="3551"/>
        <v/>
      </c>
      <c r="FI261" s="66" t="str">
        <f t="shared" si="3552"/>
        <v/>
      </c>
      <c r="FJ261" s="66" t="str">
        <f t="shared" si="3553"/>
        <v/>
      </c>
      <c r="FK261" s="66" t="str">
        <f t="shared" si="3554"/>
        <v/>
      </c>
      <c r="FL261" s="66" t="str">
        <f t="shared" si="3555"/>
        <v/>
      </c>
      <c r="FM261" s="66" t="str">
        <f t="shared" si="3556"/>
        <v/>
      </c>
      <c r="FN261" s="66" t="str">
        <f t="shared" si="3557"/>
        <v/>
      </c>
      <c r="FO261" s="66" t="str">
        <f t="shared" si="3558"/>
        <v/>
      </c>
      <c r="FP261" s="66" t="str">
        <f t="shared" si="3559"/>
        <v/>
      </c>
      <c r="FQ261" s="66" t="str">
        <f t="shared" si="3560"/>
        <v/>
      </c>
      <c r="FR261" s="66" t="str">
        <f t="shared" si="3561"/>
        <v/>
      </c>
      <c r="FS261" s="66" t="str">
        <f t="shared" si="3562"/>
        <v/>
      </c>
    </row>
    <row r="262" spans="1:175" ht="16.5">
      <c r="A262" s="2"/>
      <c r="B262" s="1"/>
      <c r="C262" s="2"/>
      <c r="E262" s="114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0"/>
      <c r="U262" s="77"/>
      <c r="CU262" s="88" t="str">
        <f t="shared" si="3492"/>
        <v>|n</v>
      </c>
      <c r="CW262" s="33"/>
      <c r="CX262" s="33"/>
      <c r="CY262" s="33"/>
      <c r="CZ262" s="33"/>
      <c r="DA262" s="33"/>
      <c r="DB262" s="66" t="str">
        <f t="shared" si="3493"/>
        <v/>
      </c>
      <c r="DC262" s="66" t="str">
        <f t="shared" si="3494"/>
        <v/>
      </c>
      <c r="DD262" s="66" t="str">
        <f t="shared" si="3495"/>
        <v/>
      </c>
      <c r="DE262" s="66" t="str">
        <f t="shared" si="3496"/>
        <v/>
      </c>
      <c r="DF262" s="66" t="str">
        <f t="shared" si="3497"/>
        <v/>
      </c>
      <c r="DG262" s="66" t="str">
        <f t="shared" si="3498"/>
        <v/>
      </c>
      <c r="DH262" s="66" t="str">
        <f t="shared" si="3499"/>
        <v/>
      </c>
      <c r="DI262" s="66" t="str">
        <f t="shared" si="3500"/>
        <v/>
      </c>
      <c r="DJ262" s="66" t="str">
        <f t="shared" si="3501"/>
        <v/>
      </c>
      <c r="DK262" s="66" t="str">
        <f t="shared" si="3502"/>
        <v/>
      </c>
      <c r="DL262" s="66" t="str">
        <f t="shared" si="3503"/>
        <v/>
      </c>
      <c r="DM262" s="66" t="str">
        <f t="shared" si="3504"/>
        <v/>
      </c>
      <c r="DN262" s="66" t="str">
        <f t="shared" si="3505"/>
        <v/>
      </c>
      <c r="DO262" s="66" t="str">
        <f t="shared" si="3506"/>
        <v/>
      </c>
      <c r="DP262" s="66" t="str">
        <f t="shared" si="3507"/>
        <v/>
      </c>
      <c r="DQ262" s="66" t="str">
        <f t="shared" si="3508"/>
        <v/>
      </c>
      <c r="DR262" s="66" t="str">
        <f t="shared" si="3509"/>
        <v/>
      </c>
      <c r="DS262" s="66" t="str">
        <f t="shared" si="3510"/>
        <v/>
      </c>
      <c r="DT262" s="66" t="str">
        <f t="shared" si="3511"/>
        <v/>
      </c>
      <c r="DU262" s="66" t="str">
        <f t="shared" si="3512"/>
        <v/>
      </c>
      <c r="DV262" s="66" t="str">
        <f t="shared" si="3513"/>
        <v/>
      </c>
      <c r="DW262" s="66" t="str">
        <f t="shared" si="3514"/>
        <v/>
      </c>
      <c r="DX262" s="66" t="str">
        <f t="shared" si="3515"/>
        <v/>
      </c>
      <c r="DY262" s="66" t="str">
        <f t="shared" si="3516"/>
        <v/>
      </c>
      <c r="DZ262" s="66" t="str">
        <f t="shared" si="3517"/>
        <v/>
      </c>
      <c r="EA262" s="66" t="str">
        <f t="shared" si="3518"/>
        <v/>
      </c>
      <c r="EB262" s="66" t="str">
        <f t="shared" si="3519"/>
        <v/>
      </c>
      <c r="EC262" s="66" t="str">
        <f t="shared" si="3520"/>
        <v/>
      </c>
      <c r="ED262" s="66" t="str">
        <f t="shared" si="3521"/>
        <v/>
      </c>
      <c r="EE262" s="66" t="str">
        <f t="shared" si="3522"/>
        <v/>
      </c>
      <c r="EF262" s="66" t="str">
        <f t="shared" si="3523"/>
        <v/>
      </c>
      <c r="EG262" s="66" t="str">
        <f t="shared" si="3524"/>
        <v/>
      </c>
      <c r="EH262" s="66" t="str">
        <f t="shared" si="3525"/>
        <v/>
      </c>
      <c r="EI262" s="66" t="str">
        <f t="shared" si="3526"/>
        <v/>
      </c>
      <c r="EJ262" s="66" t="str">
        <f t="shared" si="3527"/>
        <v/>
      </c>
      <c r="EK262" s="66" t="str">
        <f t="shared" si="3528"/>
        <v/>
      </c>
      <c r="EL262" s="66" t="str">
        <f t="shared" si="3529"/>
        <v/>
      </c>
      <c r="EM262" s="66" t="str">
        <f t="shared" si="3530"/>
        <v/>
      </c>
      <c r="EN262" s="66" t="str">
        <f t="shared" si="3531"/>
        <v/>
      </c>
      <c r="EO262" s="66" t="str">
        <f t="shared" si="3532"/>
        <v/>
      </c>
      <c r="EP262" s="66" t="str">
        <f t="shared" si="3533"/>
        <v/>
      </c>
      <c r="EQ262" s="66" t="str">
        <f t="shared" si="3534"/>
        <v/>
      </c>
      <c r="ER262" s="66" t="str">
        <f t="shared" si="3535"/>
        <v/>
      </c>
      <c r="ES262" s="66" t="str">
        <f t="shared" si="3536"/>
        <v/>
      </c>
      <c r="ET262" s="66" t="str">
        <f t="shared" si="3537"/>
        <v/>
      </c>
      <c r="EU262" s="66" t="str">
        <f t="shared" si="3538"/>
        <v/>
      </c>
      <c r="EV262" s="66" t="str">
        <f t="shared" si="3539"/>
        <v/>
      </c>
      <c r="EW262" s="66" t="str">
        <f t="shared" si="3540"/>
        <v/>
      </c>
      <c r="EX262" s="66" t="str">
        <f t="shared" si="3541"/>
        <v/>
      </c>
      <c r="EY262" s="66" t="str">
        <f t="shared" si="3542"/>
        <v/>
      </c>
      <c r="EZ262" s="66" t="str">
        <f t="shared" si="3543"/>
        <v/>
      </c>
      <c r="FA262" s="66" t="str">
        <f t="shared" si="3544"/>
        <v/>
      </c>
      <c r="FB262" s="66" t="str">
        <f t="shared" si="3545"/>
        <v/>
      </c>
      <c r="FC262" s="66" t="str">
        <f t="shared" si="3546"/>
        <v/>
      </c>
      <c r="FD262" s="66" t="str">
        <f t="shared" si="3547"/>
        <v/>
      </c>
      <c r="FE262" s="66" t="str">
        <f t="shared" si="3548"/>
        <v/>
      </c>
      <c r="FF262" s="66" t="str">
        <f t="shared" si="3549"/>
        <v/>
      </c>
      <c r="FG262" s="66" t="str">
        <f t="shared" si="3550"/>
        <v/>
      </c>
      <c r="FH262" s="66" t="str">
        <f t="shared" si="3551"/>
        <v/>
      </c>
      <c r="FI262" s="66" t="str">
        <f t="shared" si="3552"/>
        <v/>
      </c>
      <c r="FJ262" s="66" t="str">
        <f t="shared" si="3553"/>
        <v/>
      </c>
      <c r="FK262" s="66" t="str">
        <f t="shared" si="3554"/>
        <v/>
      </c>
      <c r="FL262" s="66" t="str">
        <f t="shared" si="3555"/>
        <v/>
      </c>
      <c r="FM262" s="66" t="str">
        <f t="shared" si="3556"/>
        <v/>
      </c>
      <c r="FN262" s="66" t="str">
        <f t="shared" si="3557"/>
        <v/>
      </c>
      <c r="FO262" s="66" t="str">
        <f t="shared" si="3558"/>
        <v/>
      </c>
      <c r="FP262" s="66" t="str">
        <f t="shared" si="3559"/>
        <v/>
      </c>
      <c r="FQ262" s="66" t="str">
        <f t="shared" si="3560"/>
        <v/>
      </c>
      <c r="FR262" s="66" t="str">
        <f t="shared" si="3561"/>
        <v/>
      </c>
      <c r="FS262" s="66" t="str">
        <f t="shared" si="3562"/>
        <v/>
      </c>
    </row>
    <row r="263" spans="1:175">
      <c r="A263" s="27"/>
      <c r="B263" s="27"/>
      <c r="C263" s="27"/>
      <c r="E263" s="121"/>
      <c r="T263" s="119"/>
      <c r="U263" s="77"/>
      <c r="CU263" s="88" t="str">
        <f t="shared" si="3492"/>
        <v>|n</v>
      </c>
      <c r="CW263" s="33"/>
      <c r="CX263" s="33"/>
      <c r="CY263" s="33"/>
      <c r="CZ263" s="33"/>
      <c r="DA263" s="33"/>
      <c r="DB263" s="66" t="str">
        <f t="shared" si="3493"/>
        <v/>
      </c>
      <c r="DC263" s="66" t="str">
        <f t="shared" si="3494"/>
        <v/>
      </c>
      <c r="DD263" s="66" t="str">
        <f t="shared" si="3495"/>
        <v/>
      </c>
      <c r="DE263" s="66" t="str">
        <f t="shared" si="3496"/>
        <v/>
      </c>
      <c r="DF263" s="66" t="str">
        <f t="shared" si="3497"/>
        <v/>
      </c>
      <c r="DG263" s="66" t="str">
        <f t="shared" si="3498"/>
        <v/>
      </c>
      <c r="DH263" s="66" t="str">
        <f t="shared" si="3499"/>
        <v/>
      </c>
      <c r="DI263" s="66" t="str">
        <f t="shared" si="3500"/>
        <v/>
      </c>
      <c r="DJ263" s="66" t="str">
        <f t="shared" si="3501"/>
        <v/>
      </c>
      <c r="DK263" s="66" t="str">
        <f t="shared" si="3502"/>
        <v/>
      </c>
      <c r="DL263" s="66" t="str">
        <f t="shared" si="3503"/>
        <v/>
      </c>
      <c r="DM263" s="66" t="str">
        <f t="shared" si="3504"/>
        <v/>
      </c>
      <c r="DN263" s="66" t="str">
        <f t="shared" si="3505"/>
        <v/>
      </c>
      <c r="DO263" s="66" t="str">
        <f t="shared" si="3506"/>
        <v/>
      </c>
      <c r="DP263" s="66" t="str">
        <f t="shared" si="3507"/>
        <v/>
      </c>
      <c r="DQ263" s="66" t="str">
        <f t="shared" si="3508"/>
        <v/>
      </c>
      <c r="DR263" s="66" t="str">
        <f t="shared" si="3509"/>
        <v/>
      </c>
      <c r="DS263" s="66" t="str">
        <f t="shared" si="3510"/>
        <v/>
      </c>
      <c r="DT263" s="66" t="str">
        <f t="shared" si="3511"/>
        <v/>
      </c>
      <c r="DU263" s="66" t="str">
        <f t="shared" si="3512"/>
        <v/>
      </c>
      <c r="DV263" s="66" t="str">
        <f t="shared" si="3513"/>
        <v/>
      </c>
      <c r="DW263" s="66" t="str">
        <f t="shared" si="3514"/>
        <v/>
      </c>
      <c r="DX263" s="66" t="str">
        <f t="shared" si="3515"/>
        <v/>
      </c>
      <c r="DY263" s="66" t="str">
        <f t="shared" si="3516"/>
        <v/>
      </c>
      <c r="DZ263" s="66" t="str">
        <f t="shared" si="3517"/>
        <v/>
      </c>
      <c r="EA263" s="66" t="str">
        <f t="shared" si="3518"/>
        <v/>
      </c>
      <c r="EB263" s="66" t="str">
        <f t="shared" si="3519"/>
        <v/>
      </c>
      <c r="EC263" s="66" t="str">
        <f t="shared" si="3520"/>
        <v/>
      </c>
      <c r="ED263" s="66" t="str">
        <f t="shared" si="3521"/>
        <v/>
      </c>
      <c r="EE263" s="66" t="str">
        <f t="shared" si="3522"/>
        <v/>
      </c>
      <c r="EF263" s="66" t="str">
        <f t="shared" si="3523"/>
        <v/>
      </c>
      <c r="EG263" s="66" t="str">
        <f t="shared" si="3524"/>
        <v/>
      </c>
      <c r="EH263" s="66" t="str">
        <f t="shared" si="3525"/>
        <v/>
      </c>
      <c r="EI263" s="66" t="str">
        <f t="shared" si="3526"/>
        <v/>
      </c>
      <c r="EJ263" s="66" t="str">
        <f t="shared" si="3527"/>
        <v/>
      </c>
      <c r="EK263" s="66" t="str">
        <f t="shared" si="3528"/>
        <v/>
      </c>
      <c r="EL263" s="66" t="str">
        <f t="shared" si="3529"/>
        <v/>
      </c>
      <c r="EM263" s="66" t="str">
        <f t="shared" si="3530"/>
        <v/>
      </c>
      <c r="EN263" s="66" t="str">
        <f t="shared" si="3531"/>
        <v/>
      </c>
      <c r="EO263" s="66" t="str">
        <f t="shared" si="3532"/>
        <v/>
      </c>
      <c r="EP263" s="66" t="str">
        <f t="shared" si="3533"/>
        <v/>
      </c>
      <c r="EQ263" s="66" t="str">
        <f t="shared" si="3534"/>
        <v/>
      </c>
      <c r="ER263" s="66" t="str">
        <f t="shared" si="3535"/>
        <v/>
      </c>
      <c r="ES263" s="66" t="str">
        <f t="shared" si="3536"/>
        <v/>
      </c>
      <c r="ET263" s="66" t="str">
        <f t="shared" si="3537"/>
        <v/>
      </c>
      <c r="EU263" s="66" t="str">
        <f t="shared" si="3538"/>
        <v/>
      </c>
      <c r="EV263" s="66" t="str">
        <f t="shared" si="3539"/>
        <v/>
      </c>
      <c r="EW263" s="66" t="str">
        <f t="shared" si="3540"/>
        <v/>
      </c>
      <c r="EX263" s="66" t="str">
        <f t="shared" si="3541"/>
        <v/>
      </c>
      <c r="EY263" s="66" t="str">
        <f t="shared" si="3542"/>
        <v/>
      </c>
      <c r="EZ263" s="66" t="str">
        <f t="shared" si="3543"/>
        <v/>
      </c>
      <c r="FA263" s="66" t="str">
        <f t="shared" si="3544"/>
        <v/>
      </c>
      <c r="FB263" s="66" t="str">
        <f t="shared" si="3545"/>
        <v/>
      </c>
      <c r="FC263" s="66" t="str">
        <f t="shared" si="3546"/>
        <v/>
      </c>
      <c r="FD263" s="66" t="str">
        <f t="shared" si="3547"/>
        <v/>
      </c>
      <c r="FE263" s="66" t="str">
        <f t="shared" si="3548"/>
        <v/>
      </c>
      <c r="FF263" s="66" t="str">
        <f t="shared" si="3549"/>
        <v/>
      </c>
      <c r="FG263" s="66" t="str">
        <f t="shared" si="3550"/>
        <v/>
      </c>
      <c r="FH263" s="66" t="str">
        <f t="shared" si="3551"/>
        <v/>
      </c>
      <c r="FI263" s="66" t="str">
        <f t="shared" si="3552"/>
        <v/>
      </c>
      <c r="FJ263" s="66" t="str">
        <f t="shared" si="3553"/>
        <v/>
      </c>
      <c r="FK263" s="66" t="str">
        <f t="shared" si="3554"/>
        <v/>
      </c>
      <c r="FL263" s="66" t="str">
        <f t="shared" si="3555"/>
        <v/>
      </c>
      <c r="FM263" s="66" t="str">
        <f t="shared" si="3556"/>
        <v/>
      </c>
      <c r="FN263" s="66" t="str">
        <f t="shared" si="3557"/>
        <v/>
      </c>
      <c r="FO263" s="66" t="str">
        <f t="shared" si="3558"/>
        <v/>
      </c>
      <c r="FP263" s="66" t="str">
        <f t="shared" si="3559"/>
        <v/>
      </c>
      <c r="FQ263" s="66" t="str">
        <f t="shared" si="3560"/>
        <v/>
      </c>
      <c r="FR263" s="66" t="str">
        <f t="shared" si="3561"/>
        <v/>
      </c>
      <c r="FS263" s="66" t="str">
        <f t="shared" si="3562"/>
        <v/>
      </c>
    </row>
    <row r="264" spans="1:175">
      <c r="A264" s="27"/>
      <c r="B264" s="27"/>
      <c r="C264" s="27"/>
      <c r="E264" s="121"/>
      <c r="T264" s="119"/>
      <c r="U264" s="77"/>
      <c r="CU264" s="88" t="str">
        <f t="shared" si="3492"/>
        <v>|n</v>
      </c>
      <c r="CW264" s="33"/>
      <c r="CX264" s="33"/>
      <c r="CY264" s="33"/>
      <c r="CZ264" s="33"/>
      <c r="DA264" s="33"/>
      <c r="DB264" s="66" t="str">
        <f t="shared" si="3493"/>
        <v/>
      </c>
      <c r="DC264" s="66" t="str">
        <f t="shared" si="3494"/>
        <v/>
      </c>
      <c r="DD264" s="66" t="str">
        <f t="shared" si="3495"/>
        <v/>
      </c>
      <c r="DE264" s="66" t="str">
        <f t="shared" si="3496"/>
        <v/>
      </c>
      <c r="DF264" s="66" t="str">
        <f t="shared" si="3497"/>
        <v/>
      </c>
      <c r="DG264" s="66" t="str">
        <f t="shared" si="3498"/>
        <v/>
      </c>
      <c r="DH264" s="66" t="str">
        <f t="shared" si="3499"/>
        <v/>
      </c>
      <c r="DI264" s="66" t="str">
        <f t="shared" si="3500"/>
        <v/>
      </c>
      <c r="DJ264" s="66" t="str">
        <f t="shared" si="3501"/>
        <v/>
      </c>
      <c r="DK264" s="66" t="str">
        <f t="shared" si="3502"/>
        <v/>
      </c>
      <c r="DL264" s="66" t="str">
        <f t="shared" si="3503"/>
        <v/>
      </c>
      <c r="DM264" s="66" t="str">
        <f t="shared" si="3504"/>
        <v/>
      </c>
      <c r="DN264" s="66" t="str">
        <f t="shared" si="3505"/>
        <v/>
      </c>
      <c r="DO264" s="66" t="str">
        <f t="shared" si="3506"/>
        <v/>
      </c>
      <c r="DP264" s="66" t="str">
        <f t="shared" si="3507"/>
        <v/>
      </c>
      <c r="DQ264" s="66" t="str">
        <f t="shared" si="3508"/>
        <v/>
      </c>
      <c r="DR264" s="66" t="str">
        <f t="shared" si="3509"/>
        <v/>
      </c>
      <c r="DS264" s="66" t="str">
        <f t="shared" si="3510"/>
        <v/>
      </c>
      <c r="DT264" s="66" t="str">
        <f t="shared" si="3511"/>
        <v/>
      </c>
      <c r="DU264" s="66" t="str">
        <f t="shared" si="3512"/>
        <v/>
      </c>
      <c r="DV264" s="66" t="str">
        <f t="shared" si="3513"/>
        <v/>
      </c>
      <c r="DW264" s="66" t="str">
        <f t="shared" si="3514"/>
        <v/>
      </c>
      <c r="DX264" s="66" t="str">
        <f t="shared" si="3515"/>
        <v/>
      </c>
      <c r="DY264" s="66" t="str">
        <f t="shared" si="3516"/>
        <v/>
      </c>
      <c r="DZ264" s="66" t="str">
        <f t="shared" si="3517"/>
        <v/>
      </c>
      <c r="EA264" s="66" t="str">
        <f t="shared" si="3518"/>
        <v/>
      </c>
      <c r="EB264" s="66" t="str">
        <f t="shared" si="3519"/>
        <v/>
      </c>
      <c r="EC264" s="66" t="str">
        <f t="shared" si="3520"/>
        <v/>
      </c>
      <c r="ED264" s="66" t="str">
        <f t="shared" si="3521"/>
        <v/>
      </c>
      <c r="EE264" s="66" t="str">
        <f t="shared" si="3522"/>
        <v/>
      </c>
      <c r="EF264" s="66" t="str">
        <f t="shared" si="3523"/>
        <v/>
      </c>
      <c r="EG264" s="66" t="str">
        <f t="shared" si="3524"/>
        <v/>
      </c>
      <c r="EH264" s="66" t="str">
        <f t="shared" si="3525"/>
        <v/>
      </c>
      <c r="EI264" s="66" t="str">
        <f t="shared" si="3526"/>
        <v/>
      </c>
      <c r="EJ264" s="66" t="str">
        <f t="shared" si="3527"/>
        <v/>
      </c>
      <c r="EK264" s="66" t="str">
        <f t="shared" si="3528"/>
        <v/>
      </c>
      <c r="EL264" s="66" t="str">
        <f t="shared" si="3529"/>
        <v/>
      </c>
      <c r="EM264" s="66" t="str">
        <f t="shared" si="3530"/>
        <v/>
      </c>
      <c r="EN264" s="66" t="str">
        <f t="shared" si="3531"/>
        <v/>
      </c>
      <c r="EO264" s="66" t="str">
        <f t="shared" si="3532"/>
        <v/>
      </c>
      <c r="EP264" s="66" t="str">
        <f t="shared" si="3533"/>
        <v/>
      </c>
      <c r="EQ264" s="66" t="str">
        <f t="shared" si="3534"/>
        <v/>
      </c>
      <c r="ER264" s="66" t="str">
        <f t="shared" si="3535"/>
        <v/>
      </c>
      <c r="ES264" s="66" t="str">
        <f t="shared" si="3536"/>
        <v/>
      </c>
      <c r="ET264" s="66" t="str">
        <f t="shared" si="3537"/>
        <v/>
      </c>
      <c r="EU264" s="66" t="str">
        <f t="shared" si="3538"/>
        <v/>
      </c>
      <c r="EV264" s="66" t="str">
        <f t="shared" si="3539"/>
        <v/>
      </c>
      <c r="EW264" s="66" t="str">
        <f t="shared" si="3540"/>
        <v/>
      </c>
      <c r="EX264" s="66" t="str">
        <f t="shared" si="3541"/>
        <v/>
      </c>
      <c r="EY264" s="66" t="str">
        <f t="shared" si="3542"/>
        <v/>
      </c>
      <c r="EZ264" s="66" t="str">
        <f t="shared" si="3543"/>
        <v/>
      </c>
      <c r="FA264" s="66" t="str">
        <f t="shared" si="3544"/>
        <v/>
      </c>
      <c r="FB264" s="66" t="str">
        <f t="shared" si="3545"/>
        <v/>
      </c>
      <c r="FC264" s="66" t="str">
        <f t="shared" si="3546"/>
        <v/>
      </c>
      <c r="FD264" s="66" t="str">
        <f t="shared" si="3547"/>
        <v/>
      </c>
      <c r="FE264" s="66" t="str">
        <f t="shared" si="3548"/>
        <v/>
      </c>
      <c r="FF264" s="66" t="str">
        <f t="shared" si="3549"/>
        <v/>
      </c>
      <c r="FG264" s="66" t="str">
        <f t="shared" si="3550"/>
        <v/>
      </c>
      <c r="FH264" s="66" t="str">
        <f t="shared" si="3551"/>
        <v/>
      </c>
      <c r="FI264" s="66" t="str">
        <f t="shared" si="3552"/>
        <v/>
      </c>
      <c r="FJ264" s="66" t="str">
        <f t="shared" si="3553"/>
        <v/>
      </c>
      <c r="FK264" s="66" t="str">
        <f t="shared" si="3554"/>
        <v/>
      </c>
      <c r="FL264" s="66" t="str">
        <f t="shared" si="3555"/>
        <v/>
      </c>
      <c r="FM264" s="66" t="str">
        <f t="shared" si="3556"/>
        <v/>
      </c>
      <c r="FN264" s="66" t="str">
        <f t="shared" si="3557"/>
        <v/>
      </c>
      <c r="FO264" s="66" t="str">
        <f t="shared" si="3558"/>
        <v/>
      </c>
      <c r="FP264" s="66" t="str">
        <f t="shared" si="3559"/>
        <v/>
      </c>
      <c r="FQ264" s="66" t="str">
        <f t="shared" si="3560"/>
        <v/>
      </c>
      <c r="FR264" s="66" t="str">
        <f t="shared" si="3561"/>
        <v/>
      </c>
      <c r="FS264" s="66" t="str">
        <f t="shared" si="3562"/>
        <v/>
      </c>
    </row>
    <row r="265" spans="1:175" s="33" customFormat="1" ht="16.5">
      <c r="A265" s="111"/>
      <c r="B265" s="1"/>
      <c r="C265" s="111"/>
      <c r="D265" s="67"/>
      <c r="E265" s="68"/>
      <c r="F265" s="112"/>
      <c r="G265" s="113"/>
      <c r="H265" s="113"/>
      <c r="I265" s="113"/>
      <c r="J265" s="113"/>
      <c r="K265" s="113"/>
      <c r="L265" s="113"/>
      <c r="M265" s="113"/>
      <c r="N265" s="113"/>
      <c r="O265" s="113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ref="CN265:CN268" si="3724"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86" t="str">
        <f t="shared" ref="CO265:CO268" si="3725"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86" t="str">
        <f t="shared" ref="CP265:CP268" si="3726"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86" t="str">
        <f t="shared" ref="CQ265:CQ268" si="3727"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86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86"/>
      <c r="CT265" s="86"/>
      <c r="CU265" s="88" t="str">
        <f t="shared" si="3492"/>
        <v>|n</v>
      </c>
      <c r="CV265" s="19"/>
      <c r="DB265" s="66" t="str">
        <f t="shared" si="3493"/>
        <v/>
      </c>
      <c r="DC265" s="66" t="str">
        <f t="shared" si="3494"/>
        <v/>
      </c>
      <c r="DD265" s="66" t="str">
        <f t="shared" si="3495"/>
        <v/>
      </c>
      <c r="DE265" s="66" t="str">
        <f t="shared" si="3496"/>
        <v/>
      </c>
      <c r="DF265" s="66" t="str">
        <f t="shared" si="3497"/>
        <v/>
      </c>
      <c r="DG265" s="66" t="str">
        <f t="shared" si="3498"/>
        <v/>
      </c>
      <c r="DH265" s="66" t="str">
        <f t="shared" si="3499"/>
        <v/>
      </c>
      <c r="DI265" s="66" t="str">
        <f t="shared" si="3500"/>
        <v/>
      </c>
      <c r="DJ265" s="66" t="str">
        <f t="shared" si="3501"/>
        <v/>
      </c>
      <c r="DK265" s="66" t="str">
        <f t="shared" si="3502"/>
        <v/>
      </c>
      <c r="DL265" s="66" t="str">
        <f t="shared" si="3503"/>
        <v/>
      </c>
      <c r="DM265" s="66" t="str">
        <f t="shared" si="3504"/>
        <v/>
      </c>
      <c r="DN265" s="66" t="str">
        <f t="shared" si="3505"/>
        <v/>
      </c>
      <c r="DO265" s="66" t="str">
        <f t="shared" si="3506"/>
        <v/>
      </c>
      <c r="DP265" s="66" t="str">
        <f t="shared" si="3507"/>
        <v/>
      </c>
      <c r="DQ265" s="66" t="str">
        <f t="shared" si="3508"/>
        <v/>
      </c>
      <c r="DR265" s="66" t="str">
        <f t="shared" si="3509"/>
        <v/>
      </c>
      <c r="DS265" s="66" t="str">
        <f t="shared" si="3510"/>
        <v/>
      </c>
      <c r="DT265" s="66" t="str">
        <f t="shared" si="3511"/>
        <v/>
      </c>
      <c r="DU265" s="66" t="str">
        <f t="shared" si="3512"/>
        <v/>
      </c>
      <c r="DV265" s="66" t="str">
        <f t="shared" si="3513"/>
        <v/>
      </c>
      <c r="DW265" s="66" t="str">
        <f t="shared" si="3514"/>
        <v/>
      </c>
      <c r="DX265" s="66" t="str">
        <f t="shared" si="3515"/>
        <v/>
      </c>
      <c r="DY265" s="66" t="str">
        <f t="shared" si="3516"/>
        <v/>
      </c>
      <c r="DZ265" s="66" t="str">
        <f t="shared" si="3517"/>
        <v/>
      </c>
      <c r="EA265" s="66" t="str">
        <f t="shared" si="3518"/>
        <v/>
      </c>
      <c r="EB265" s="66" t="str">
        <f t="shared" si="3519"/>
        <v/>
      </c>
      <c r="EC265" s="66" t="str">
        <f t="shared" si="3520"/>
        <v/>
      </c>
      <c r="ED265" s="66" t="str">
        <f t="shared" si="3521"/>
        <v/>
      </c>
      <c r="EE265" s="66" t="str">
        <f t="shared" si="3522"/>
        <v/>
      </c>
      <c r="EF265" s="66" t="str">
        <f t="shared" si="3523"/>
        <v/>
      </c>
      <c r="EG265" s="66" t="str">
        <f t="shared" si="3524"/>
        <v/>
      </c>
      <c r="EH265" s="66" t="str">
        <f t="shared" si="3525"/>
        <v/>
      </c>
      <c r="EI265" s="66" t="str">
        <f t="shared" si="3526"/>
        <v/>
      </c>
      <c r="EJ265" s="66" t="str">
        <f t="shared" si="3527"/>
        <v/>
      </c>
      <c r="EK265" s="66" t="str">
        <f t="shared" si="3528"/>
        <v/>
      </c>
      <c r="EL265" s="66" t="str">
        <f t="shared" si="3529"/>
        <v/>
      </c>
      <c r="EM265" s="66" t="str">
        <f t="shared" si="3530"/>
        <v/>
      </c>
      <c r="EN265" s="66" t="str">
        <f t="shared" si="3531"/>
        <v/>
      </c>
      <c r="EO265" s="66" t="str">
        <f t="shared" si="3532"/>
        <v/>
      </c>
      <c r="EP265" s="66" t="str">
        <f t="shared" si="3533"/>
        <v/>
      </c>
      <c r="EQ265" s="66" t="str">
        <f t="shared" si="3534"/>
        <v/>
      </c>
      <c r="ER265" s="66" t="str">
        <f t="shared" si="3535"/>
        <v/>
      </c>
      <c r="ES265" s="66" t="str">
        <f t="shared" si="3536"/>
        <v/>
      </c>
      <c r="ET265" s="66" t="str">
        <f t="shared" si="3537"/>
        <v/>
      </c>
      <c r="EU265" s="66" t="str">
        <f t="shared" si="3538"/>
        <v/>
      </c>
      <c r="EV265" s="66" t="str">
        <f t="shared" si="3539"/>
        <v/>
      </c>
      <c r="EW265" s="66" t="str">
        <f t="shared" si="3540"/>
        <v/>
      </c>
      <c r="EX265" s="66" t="str">
        <f t="shared" si="3541"/>
        <v/>
      </c>
      <c r="EY265" s="66" t="str">
        <f t="shared" si="3542"/>
        <v/>
      </c>
      <c r="EZ265" s="66" t="str">
        <f t="shared" si="3543"/>
        <v/>
      </c>
      <c r="FA265" s="66" t="str">
        <f t="shared" si="3544"/>
        <v/>
      </c>
      <c r="FB265" s="66" t="str">
        <f t="shared" si="3545"/>
        <v/>
      </c>
      <c r="FC265" s="66" t="str">
        <f t="shared" si="3546"/>
        <v/>
      </c>
      <c r="FD265" s="66" t="str">
        <f t="shared" si="3547"/>
        <v/>
      </c>
      <c r="FE265" s="66" t="str">
        <f t="shared" si="3548"/>
        <v/>
      </c>
      <c r="FF265" s="66" t="str">
        <f t="shared" si="3549"/>
        <v/>
      </c>
      <c r="FG265" s="66" t="str">
        <f t="shared" si="3550"/>
        <v/>
      </c>
      <c r="FH265" s="66" t="str">
        <f t="shared" si="3551"/>
        <v/>
      </c>
      <c r="FI265" s="66" t="str">
        <f t="shared" si="3552"/>
        <v/>
      </c>
      <c r="FJ265" s="66" t="str">
        <f t="shared" si="3553"/>
        <v/>
      </c>
      <c r="FK265" s="66" t="str">
        <f t="shared" si="3554"/>
        <v/>
      </c>
      <c r="FL265" s="66" t="str">
        <f t="shared" si="3555"/>
        <v/>
      </c>
      <c r="FM265" s="66" t="str">
        <f t="shared" si="3556"/>
        <v/>
      </c>
      <c r="FN265" s="66" t="str">
        <f t="shared" si="3557"/>
        <v/>
      </c>
      <c r="FO265" s="66" t="str">
        <f t="shared" si="3558"/>
        <v/>
      </c>
      <c r="FP265" s="66" t="str">
        <f t="shared" si="3559"/>
        <v/>
      </c>
      <c r="FQ265" s="66" t="str">
        <f t="shared" si="3560"/>
        <v/>
      </c>
      <c r="FR265" s="66" t="str">
        <f t="shared" si="3561"/>
        <v/>
      </c>
      <c r="FS265" s="66" t="str">
        <f t="shared" si="3562"/>
        <v/>
      </c>
    </row>
    <row r="266" spans="1:175" s="33" customFormat="1" ht="16.5">
      <c r="A266" s="111"/>
      <c r="B266" s="1"/>
      <c r="C266" s="111"/>
      <c r="D266" s="67"/>
      <c r="E266" s="68"/>
      <c r="F266" s="112"/>
      <c r="G266" s="113"/>
      <c r="H266" s="113"/>
      <c r="I266" s="113"/>
      <c r="J266" s="113"/>
      <c r="K266" s="113"/>
      <c r="L266" s="113"/>
      <c r="M266" s="113"/>
      <c r="N266" s="113"/>
      <c r="O266" s="113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4"/>
      <c r="AS266" s="84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6" t="str">
        <f t="shared" si="3724"/>
        <v>InitUnitState('',,,,,,,,,,)</v>
      </c>
      <c r="CO266" s="86" t="str">
        <f t="shared" si="3725"/>
        <v>InitUnitNormal('',,,,,,,,,,)</v>
      </c>
      <c r="CP266" s="86" t="str">
        <f t="shared" si="3726"/>
        <v>InitUnitMagic('',,,,,,,,,,)</v>
      </c>
      <c r="CQ266" s="86" t="str">
        <f t="shared" si="3727"/>
        <v>InitUnitAdd('',,,,,,,,,,)</v>
      </c>
      <c r="CR266" s="86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InitEquipData('',,"",,,,,'','','','','','',"")</v>
      </c>
      <c r="CS266" s="86"/>
      <c r="CT266" s="86"/>
      <c r="CU266" s="88" t="str">
        <f t="shared" si="3492"/>
        <v>|n</v>
      </c>
      <c r="CV266" s="19"/>
      <c r="DB266" s="66" t="str">
        <f t="shared" si="3493"/>
        <v/>
      </c>
      <c r="DC266" s="66" t="str">
        <f t="shared" si="3494"/>
        <v/>
      </c>
      <c r="DD266" s="66" t="str">
        <f t="shared" si="3495"/>
        <v/>
      </c>
      <c r="DE266" s="66" t="str">
        <f t="shared" si="3496"/>
        <v/>
      </c>
      <c r="DF266" s="66" t="str">
        <f t="shared" si="3497"/>
        <v/>
      </c>
      <c r="DG266" s="66" t="str">
        <f t="shared" si="3498"/>
        <v/>
      </c>
      <c r="DH266" s="66" t="str">
        <f t="shared" si="3499"/>
        <v/>
      </c>
      <c r="DI266" s="66" t="str">
        <f t="shared" si="3500"/>
        <v/>
      </c>
      <c r="DJ266" s="66" t="str">
        <f t="shared" si="3501"/>
        <v/>
      </c>
      <c r="DK266" s="66" t="str">
        <f t="shared" si="3502"/>
        <v/>
      </c>
      <c r="DL266" s="66" t="str">
        <f t="shared" si="3503"/>
        <v/>
      </c>
      <c r="DM266" s="66" t="str">
        <f t="shared" si="3504"/>
        <v/>
      </c>
      <c r="DN266" s="66" t="str">
        <f t="shared" si="3505"/>
        <v/>
      </c>
      <c r="DO266" s="66" t="str">
        <f t="shared" si="3506"/>
        <v/>
      </c>
      <c r="DP266" s="66" t="str">
        <f t="shared" si="3507"/>
        <v/>
      </c>
      <c r="DQ266" s="66" t="str">
        <f t="shared" si="3508"/>
        <v/>
      </c>
      <c r="DR266" s="66" t="str">
        <f t="shared" si="3509"/>
        <v/>
      </c>
      <c r="DS266" s="66" t="str">
        <f t="shared" si="3510"/>
        <v/>
      </c>
      <c r="DT266" s="66" t="str">
        <f t="shared" si="3511"/>
        <v/>
      </c>
      <c r="DU266" s="66" t="str">
        <f t="shared" si="3512"/>
        <v/>
      </c>
      <c r="DV266" s="66" t="str">
        <f t="shared" si="3513"/>
        <v/>
      </c>
      <c r="DW266" s="66" t="str">
        <f t="shared" si="3514"/>
        <v/>
      </c>
      <c r="DX266" s="66" t="str">
        <f t="shared" si="3515"/>
        <v/>
      </c>
      <c r="DY266" s="66" t="str">
        <f t="shared" si="3516"/>
        <v/>
      </c>
      <c r="DZ266" s="66" t="str">
        <f t="shared" si="3517"/>
        <v/>
      </c>
      <c r="EA266" s="66" t="str">
        <f t="shared" si="3518"/>
        <v/>
      </c>
      <c r="EB266" s="66" t="str">
        <f t="shared" si="3519"/>
        <v/>
      </c>
      <c r="EC266" s="66" t="str">
        <f t="shared" si="3520"/>
        <v/>
      </c>
      <c r="ED266" s="66" t="str">
        <f t="shared" si="3521"/>
        <v/>
      </c>
      <c r="EE266" s="66" t="str">
        <f t="shared" si="3522"/>
        <v/>
      </c>
      <c r="EF266" s="66" t="str">
        <f t="shared" si="3523"/>
        <v/>
      </c>
      <c r="EG266" s="66" t="str">
        <f t="shared" si="3524"/>
        <v/>
      </c>
      <c r="EH266" s="66" t="str">
        <f t="shared" si="3525"/>
        <v/>
      </c>
      <c r="EI266" s="66" t="str">
        <f t="shared" si="3526"/>
        <v/>
      </c>
      <c r="EJ266" s="66" t="str">
        <f t="shared" si="3527"/>
        <v/>
      </c>
      <c r="EK266" s="66" t="str">
        <f t="shared" si="3528"/>
        <v/>
      </c>
      <c r="EL266" s="66" t="str">
        <f t="shared" si="3529"/>
        <v/>
      </c>
      <c r="EM266" s="66" t="str">
        <f t="shared" si="3530"/>
        <v/>
      </c>
      <c r="EN266" s="66" t="str">
        <f t="shared" si="3531"/>
        <v/>
      </c>
      <c r="EO266" s="66" t="str">
        <f t="shared" si="3532"/>
        <v/>
      </c>
      <c r="EP266" s="66" t="str">
        <f t="shared" si="3533"/>
        <v/>
      </c>
      <c r="EQ266" s="66" t="str">
        <f t="shared" si="3534"/>
        <v/>
      </c>
      <c r="ER266" s="66" t="str">
        <f t="shared" si="3535"/>
        <v/>
      </c>
      <c r="ES266" s="66" t="str">
        <f t="shared" si="3536"/>
        <v/>
      </c>
      <c r="ET266" s="66" t="str">
        <f t="shared" si="3537"/>
        <v/>
      </c>
      <c r="EU266" s="66" t="str">
        <f t="shared" si="3538"/>
        <v/>
      </c>
      <c r="EV266" s="66" t="str">
        <f t="shared" si="3539"/>
        <v/>
      </c>
      <c r="EW266" s="66" t="str">
        <f t="shared" si="3540"/>
        <v/>
      </c>
      <c r="EX266" s="66" t="str">
        <f t="shared" si="3541"/>
        <v/>
      </c>
      <c r="EY266" s="66" t="str">
        <f t="shared" si="3542"/>
        <v/>
      </c>
      <c r="EZ266" s="66" t="str">
        <f t="shared" si="3543"/>
        <v/>
      </c>
      <c r="FA266" s="66" t="str">
        <f t="shared" si="3544"/>
        <v/>
      </c>
      <c r="FB266" s="66" t="str">
        <f t="shared" si="3545"/>
        <v/>
      </c>
      <c r="FC266" s="66" t="str">
        <f t="shared" si="3546"/>
        <v/>
      </c>
      <c r="FD266" s="66" t="str">
        <f t="shared" si="3547"/>
        <v/>
      </c>
      <c r="FE266" s="66" t="str">
        <f t="shared" si="3548"/>
        <v/>
      </c>
      <c r="FF266" s="66" t="str">
        <f t="shared" si="3549"/>
        <v/>
      </c>
      <c r="FG266" s="66" t="str">
        <f t="shared" si="3550"/>
        <v/>
      </c>
      <c r="FH266" s="66" t="str">
        <f t="shared" si="3551"/>
        <v/>
      </c>
      <c r="FI266" s="66" t="str">
        <f t="shared" si="3552"/>
        <v/>
      </c>
      <c r="FJ266" s="66" t="str">
        <f t="shared" si="3553"/>
        <v/>
      </c>
      <c r="FK266" s="66" t="str">
        <f t="shared" si="3554"/>
        <v/>
      </c>
      <c r="FL266" s="66" t="str">
        <f t="shared" si="3555"/>
        <v/>
      </c>
      <c r="FM266" s="66" t="str">
        <f t="shared" si="3556"/>
        <v/>
      </c>
      <c r="FN266" s="66" t="str">
        <f t="shared" si="3557"/>
        <v/>
      </c>
      <c r="FO266" s="66" t="str">
        <f t="shared" si="3558"/>
        <v/>
      </c>
      <c r="FP266" s="66" t="str">
        <f t="shared" si="3559"/>
        <v/>
      </c>
      <c r="FQ266" s="66" t="str">
        <f t="shared" si="3560"/>
        <v/>
      </c>
      <c r="FR266" s="66" t="str">
        <f t="shared" si="3561"/>
        <v/>
      </c>
      <c r="FS266" s="66" t="str">
        <f t="shared" si="3562"/>
        <v/>
      </c>
    </row>
    <row r="267" spans="1:175" s="33" customFormat="1" ht="16.5">
      <c r="A267" s="111"/>
      <c r="B267" s="1"/>
      <c r="C267" s="111"/>
      <c r="D267" s="67"/>
      <c r="E267" s="68"/>
      <c r="F267" s="112"/>
      <c r="G267" s="113"/>
      <c r="H267" s="113"/>
      <c r="I267" s="113"/>
      <c r="J267" s="113"/>
      <c r="K267" s="113"/>
      <c r="L267" s="113"/>
      <c r="M267" s="113"/>
      <c r="N267" s="113"/>
      <c r="O267" s="113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4"/>
      <c r="AS267" s="84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6" t="str">
        <f t="shared" si="3724"/>
        <v>InitUnitState('',,,,,,,,,,)</v>
      </c>
      <c r="CO267" s="86" t="str">
        <f t="shared" si="3725"/>
        <v>InitUnitNormal('',,,,,,,,,,)</v>
      </c>
      <c r="CP267" s="86" t="str">
        <f t="shared" si="3726"/>
        <v>InitUnitMagic('',,,,,,,,,,)</v>
      </c>
      <c r="CQ267" s="86" t="str">
        <f t="shared" si="3727"/>
        <v>InitUnitAdd('',,,,,,,,,,)</v>
      </c>
      <c r="CR267" s="86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86"/>
      <c r="CT267" s="86"/>
      <c r="CU267" s="88" t="str">
        <f t="shared" si="3492"/>
        <v>|n</v>
      </c>
      <c r="CV267" s="19"/>
      <c r="DB267" s="66" t="str">
        <f t="shared" si="3493"/>
        <v/>
      </c>
      <c r="DC267" s="66" t="str">
        <f t="shared" si="3494"/>
        <v/>
      </c>
      <c r="DD267" s="66" t="str">
        <f t="shared" si="3495"/>
        <v/>
      </c>
      <c r="DE267" s="66" t="str">
        <f t="shared" si="3496"/>
        <v/>
      </c>
      <c r="DF267" s="66" t="str">
        <f t="shared" si="3497"/>
        <v/>
      </c>
      <c r="DG267" s="66" t="str">
        <f t="shared" si="3498"/>
        <v/>
      </c>
      <c r="DH267" s="66" t="str">
        <f t="shared" si="3499"/>
        <v/>
      </c>
      <c r="DI267" s="66" t="str">
        <f t="shared" si="3500"/>
        <v/>
      </c>
      <c r="DJ267" s="66" t="str">
        <f t="shared" si="3501"/>
        <v/>
      </c>
      <c r="DK267" s="66" t="str">
        <f t="shared" si="3502"/>
        <v/>
      </c>
      <c r="DL267" s="66" t="str">
        <f t="shared" si="3503"/>
        <v/>
      </c>
      <c r="DM267" s="66" t="str">
        <f t="shared" si="3504"/>
        <v/>
      </c>
      <c r="DN267" s="66" t="str">
        <f t="shared" si="3505"/>
        <v/>
      </c>
      <c r="DO267" s="66" t="str">
        <f t="shared" si="3506"/>
        <v/>
      </c>
      <c r="DP267" s="66" t="str">
        <f t="shared" si="3507"/>
        <v/>
      </c>
      <c r="DQ267" s="66" t="str">
        <f t="shared" si="3508"/>
        <v/>
      </c>
      <c r="DR267" s="66" t="str">
        <f t="shared" si="3509"/>
        <v/>
      </c>
      <c r="DS267" s="66" t="str">
        <f t="shared" si="3510"/>
        <v/>
      </c>
      <c r="DT267" s="66" t="str">
        <f t="shared" si="3511"/>
        <v/>
      </c>
      <c r="DU267" s="66" t="str">
        <f t="shared" si="3512"/>
        <v/>
      </c>
      <c r="DV267" s="66" t="str">
        <f t="shared" si="3513"/>
        <v/>
      </c>
      <c r="DW267" s="66" t="str">
        <f t="shared" si="3514"/>
        <v/>
      </c>
      <c r="DX267" s="66" t="str">
        <f t="shared" si="3515"/>
        <v/>
      </c>
      <c r="DY267" s="66" t="str">
        <f t="shared" si="3516"/>
        <v/>
      </c>
      <c r="DZ267" s="66" t="str">
        <f t="shared" si="3517"/>
        <v/>
      </c>
      <c r="EA267" s="66" t="str">
        <f t="shared" si="3518"/>
        <v/>
      </c>
      <c r="EB267" s="66" t="str">
        <f t="shared" si="3519"/>
        <v/>
      </c>
      <c r="EC267" s="66" t="str">
        <f t="shared" si="3520"/>
        <v/>
      </c>
      <c r="ED267" s="66" t="str">
        <f t="shared" si="3521"/>
        <v/>
      </c>
      <c r="EE267" s="66" t="str">
        <f t="shared" si="3522"/>
        <v/>
      </c>
      <c r="EF267" s="66" t="str">
        <f t="shared" si="3523"/>
        <v/>
      </c>
      <c r="EG267" s="66" t="str">
        <f t="shared" si="3524"/>
        <v/>
      </c>
      <c r="EH267" s="66" t="str">
        <f t="shared" si="3525"/>
        <v/>
      </c>
      <c r="EI267" s="66" t="str">
        <f t="shared" si="3526"/>
        <v/>
      </c>
      <c r="EJ267" s="66" t="str">
        <f t="shared" si="3527"/>
        <v/>
      </c>
      <c r="EK267" s="66" t="str">
        <f t="shared" si="3528"/>
        <v/>
      </c>
      <c r="EL267" s="66" t="str">
        <f t="shared" si="3529"/>
        <v/>
      </c>
      <c r="EM267" s="66" t="str">
        <f t="shared" si="3530"/>
        <v/>
      </c>
      <c r="EN267" s="66" t="str">
        <f t="shared" si="3531"/>
        <v/>
      </c>
      <c r="EO267" s="66" t="str">
        <f t="shared" si="3532"/>
        <v/>
      </c>
      <c r="EP267" s="66" t="str">
        <f t="shared" si="3533"/>
        <v/>
      </c>
      <c r="EQ267" s="66" t="str">
        <f t="shared" si="3534"/>
        <v/>
      </c>
      <c r="ER267" s="66" t="str">
        <f t="shared" si="3535"/>
        <v/>
      </c>
      <c r="ES267" s="66" t="str">
        <f t="shared" si="3536"/>
        <v/>
      </c>
      <c r="ET267" s="66" t="str">
        <f t="shared" si="3537"/>
        <v/>
      </c>
      <c r="EU267" s="66" t="str">
        <f t="shared" si="3538"/>
        <v/>
      </c>
      <c r="EV267" s="66" t="str">
        <f t="shared" si="3539"/>
        <v/>
      </c>
      <c r="EW267" s="66" t="str">
        <f t="shared" si="3540"/>
        <v/>
      </c>
      <c r="EX267" s="66" t="str">
        <f t="shared" si="3541"/>
        <v/>
      </c>
      <c r="EY267" s="66" t="str">
        <f t="shared" si="3542"/>
        <v/>
      </c>
      <c r="EZ267" s="66" t="str">
        <f t="shared" si="3543"/>
        <v/>
      </c>
      <c r="FA267" s="66" t="str">
        <f t="shared" si="3544"/>
        <v/>
      </c>
      <c r="FB267" s="66" t="str">
        <f t="shared" si="3545"/>
        <v/>
      </c>
      <c r="FC267" s="66" t="str">
        <f t="shared" si="3546"/>
        <v/>
      </c>
      <c r="FD267" s="66" t="str">
        <f t="shared" si="3547"/>
        <v/>
      </c>
      <c r="FE267" s="66" t="str">
        <f t="shared" si="3548"/>
        <v/>
      </c>
      <c r="FF267" s="66" t="str">
        <f t="shared" si="3549"/>
        <v/>
      </c>
      <c r="FG267" s="66" t="str">
        <f t="shared" si="3550"/>
        <v/>
      </c>
      <c r="FH267" s="66" t="str">
        <f t="shared" si="3551"/>
        <v/>
      </c>
      <c r="FI267" s="66" t="str">
        <f t="shared" si="3552"/>
        <v/>
      </c>
      <c r="FJ267" s="66" t="str">
        <f t="shared" si="3553"/>
        <v/>
      </c>
      <c r="FK267" s="66" t="str">
        <f t="shared" si="3554"/>
        <v/>
      </c>
      <c r="FL267" s="66" t="str">
        <f t="shared" si="3555"/>
        <v/>
      </c>
      <c r="FM267" s="66" t="str">
        <f t="shared" si="3556"/>
        <v/>
      </c>
      <c r="FN267" s="66" t="str">
        <f t="shared" si="3557"/>
        <v/>
      </c>
      <c r="FO267" s="66" t="str">
        <f t="shared" si="3558"/>
        <v/>
      </c>
      <c r="FP267" s="66" t="str">
        <f t="shared" si="3559"/>
        <v/>
      </c>
      <c r="FQ267" s="66" t="str">
        <f t="shared" si="3560"/>
        <v/>
      </c>
      <c r="FR267" s="66" t="str">
        <f t="shared" si="3561"/>
        <v/>
      </c>
      <c r="FS267" s="66" t="str">
        <f t="shared" si="3562"/>
        <v/>
      </c>
    </row>
    <row r="268" spans="1:175" s="33" customFormat="1" ht="16.5">
      <c r="A268" s="111"/>
      <c r="B268" s="1"/>
      <c r="C268" s="111"/>
      <c r="D268" s="67"/>
      <c r="E268" s="68"/>
      <c r="F268" s="112"/>
      <c r="G268" s="113"/>
      <c r="H268" s="113"/>
      <c r="I268" s="113"/>
      <c r="J268" s="113"/>
      <c r="K268" s="113"/>
      <c r="L268" s="113"/>
      <c r="M268" s="113"/>
      <c r="N268" s="113"/>
      <c r="O268" s="113"/>
      <c r="P268" s="73"/>
      <c r="Q268" s="73"/>
      <c r="R268" s="73"/>
      <c r="S268" s="73"/>
      <c r="T268" s="80"/>
      <c r="U268" s="77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84"/>
      <c r="AS268" s="84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86" t="str">
        <f t="shared" si="3724"/>
        <v>InitUnitState('',,,,,,,,,,)</v>
      </c>
      <c r="CO268" s="86" t="str">
        <f t="shared" si="3725"/>
        <v>InitUnitNormal('',,,,,,,,,,)</v>
      </c>
      <c r="CP268" s="86" t="str">
        <f t="shared" si="3726"/>
        <v>InitUnitMagic('',,,,,,,,,,)</v>
      </c>
      <c r="CQ268" s="86" t="str">
        <f t="shared" si="3727"/>
        <v>InitUnitAdd('',,,,,,,,,,)</v>
      </c>
      <c r="CR268" s="86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270&amp;CR$1&amp;")"</f>
        <v>InitEquipData('',,"",,,,,'','','','','','',"")</v>
      </c>
      <c r="CS268" s="86"/>
      <c r="CT268" s="86"/>
      <c r="CU268" s="88" t="str">
        <f t="shared" si="3492"/>
        <v>|n</v>
      </c>
      <c r="CV268" s="19"/>
      <c r="DB268" s="66" t="str">
        <f t="shared" si="3493"/>
        <v/>
      </c>
      <c r="DC268" s="66" t="str">
        <f t="shared" si="3494"/>
        <v/>
      </c>
      <c r="DD268" s="66" t="str">
        <f t="shared" si="3495"/>
        <v/>
      </c>
      <c r="DE268" s="66" t="str">
        <f t="shared" si="3496"/>
        <v/>
      </c>
      <c r="DF268" s="66" t="str">
        <f t="shared" si="3497"/>
        <v/>
      </c>
      <c r="DG268" s="66" t="str">
        <f t="shared" si="3498"/>
        <v/>
      </c>
      <c r="DH268" s="66" t="str">
        <f t="shared" si="3499"/>
        <v/>
      </c>
      <c r="DI268" s="66" t="str">
        <f t="shared" si="3500"/>
        <v/>
      </c>
      <c r="DJ268" s="66" t="str">
        <f t="shared" si="3501"/>
        <v/>
      </c>
      <c r="DK268" s="66" t="str">
        <f t="shared" si="3502"/>
        <v/>
      </c>
      <c r="DL268" s="66" t="str">
        <f t="shared" si="3503"/>
        <v/>
      </c>
      <c r="DM268" s="66" t="str">
        <f t="shared" si="3504"/>
        <v/>
      </c>
      <c r="DN268" s="66" t="str">
        <f t="shared" si="3505"/>
        <v/>
      </c>
      <c r="DO268" s="66" t="str">
        <f t="shared" si="3506"/>
        <v/>
      </c>
      <c r="DP268" s="66" t="str">
        <f t="shared" si="3507"/>
        <v/>
      </c>
      <c r="DQ268" s="66" t="str">
        <f t="shared" si="3508"/>
        <v/>
      </c>
      <c r="DR268" s="66" t="str">
        <f t="shared" si="3509"/>
        <v/>
      </c>
      <c r="DS268" s="66" t="str">
        <f t="shared" si="3510"/>
        <v/>
      </c>
      <c r="DT268" s="66" t="str">
        <f t="shared" si="3511"/>
        <v/>
      </c>
      <c r="DU268" s="66" t="str">
        <f t="shared" si="3512"/>
        <v/>
      </c>
      <c r="DV268" s="66" t="str">
        <f t="shared" si="3513"/>
        <v/>
      </c>
      <c r="DW268" s="66" t="str">
        <f t="shared" si="3514"/>
        <v/>
      </c>
      <c r="DX268" s="66" t="str">
        <f t="shared" si="3515"/>
        <v/>
      </c>
      <c r="DY268" s="66" t="str">
        <f t="shared" si="3516"/>
        <v/>
      </c>
      <c r="DZ268" s="66" t="str">
        <f t="shared" si="3517"/>
        <v/>
      </c>
      <c r="EA268" s="66" t="str">
        <f t="shared" si="3518"/>
        <v/>
      </c>
      <c r="EB268" s="66" t="str">
        <f t="shared" si="3519"/>
        <v/>
      </c>
      <c r="EC268" s="66" t="str">
        <f t="shared" si="3520"/>
        <v/>
      </c>
      <c r="ED268" s="66" t="str">
        <f t="shared" si="3521"/>
        <v/>
      </c>
      <c r="EE268" s="66" t="str">
        <f t="shared" si="3522"/>
        <v/>
      </c>
      <c r="EF268" s="66" t="str">
        <f t="shared" si="3523"/>
        <v/>
      </c>
      <c r="EG268" s="66" t="str">
        <f t="shared" si="3524"/>
        <v/>
      </c>
      <c r="EH268" s="66" t="str">
        <f t="shared" si="3525"/>
        <v/>
      </c>
      <c r="EI268" s="66" t="str">
        <f t="shared" si="3526"/>
        <v/>
      </c>
      <c r="EJ268" s="66" t="str">
        <f t="shared" si="3527"/>
        <v/>
      </c>
      <c r="EK268" s="66" t="str">
        <f t="shared" si="3528"/>
        <v/>
      </c>
      <c r="EL268" s="66" t="str">
        <f t="shared" si="3529"/>
        <v/>
      </c>
      <c r="EM268" s="66" t="str">
        <f t="shared" si="3530"/>
        <v/>
      </c>
      <c r="EN268" s="66" t="str">
        <f t="shared" si="3531"/>
        <v/>
      </c>
      <c r="EO268" s="66" t="str">
        <f t="shared" si="3532"/>
        <v/>
      </c>
      <c r="EP268" s="66" t="str">
        <f t="shared" si="3533"/>
        <v/>
      </c>
      <c r="EQ268" s="66" t="str">
        <f t="shared" si="3534"/>
        <v/>
      </c>
      <c r="ER268" s="66" t="str">
        <f t="shared" si="3535"/>
        <v/>
      </c>
      <c r="ES268" s="66" t="str">
        <f t="shared" si="3536"/>
        <v/>
      </c>
      <c r="ET268" s="66" t="str">
        <f t="shared" si="3537"/>
        <v/>
      </c>
      <c r="EU268" s="66" t="str">
        <f t="shared" si="3538"/>
        <v/>
      </c>
      <c r="EV268" s="66" t="str">
        <f t="shared" si="3539"/>
        <v/>
      </c>
      <c r="EW268" s="66" t="str">
        <f t="shared" si="3540"/>
        <v/>
      </c>
      <c r="EX268" s="66" t="str">
        <f t="shared" si="3541"/>
        <v/>
      </c>
      <c r="EY268" s="66" t="str">
        <f t="shared" si="3542"/>
        <v/>
      </c>
      <c r="EZ268" s="66" t="str">
        <f t="shared" si="3543"/>
        <v/>
      </c>
      <c r="FA268" s="66" t="str">
        <f t="shared" si="3544"/>
        <v/>
      </c>
      <c r="FB268" s="66" t="str">
        <f t="shared" si="3545"/>
        <v/>
      </c>
      <c r="FC268" s="66" t="str">
        <f t="shared" si="3546"/>
        <v/>
      </c>
      <c r="FD268" s="66" t="str">
        <f t="shared" si="3547"/>
        <v/>
      </c>
      <c r="FE268" s="66" t="str">
        <f t="shared" si="3548"/>
        <v/>
      </c>
      <c r="FF268" s="66" t="str">
        <f t="shared" si="3549"/>
        <v/>
      </c>
      <c r="FG268" s="66" t="str">
        <f t="shared" si="3550"/>
        <v/>
      </c>
      <c r="FH268" s="66" t="str">
        <f t="shared" si="3551"/>
        <v/>
      </c>
      <c r="FI268" s="66" t="str">
        <f t="shared" si="3552"/>
        <v/>
      </c>
      <c r="FJ268" s="66" t="str">
        <f t="shared" si="3553"/>
        <v/>
      </c>
      <c r="FK268" s="66" t="str">
        <f t="shared" si="3554"/>
        <v/>
      </c>
      <c r="FL268" s="66" t="str">
        <f t="shared" si="3555"/>
        <v/>
      </c>
      <c r="FM268" s="66" t="str">
        <f t="shared" si="3556"/>
        <v/>
      </c>
      <c r="FN268" s="66" t="str">
        <f t="shared" si="3557"/>
        <v/>
      </c>
      <c r="FO268" s="66" t="str">
        <f t="shared" si="3558"/>
        <v/>
      </c>
      <c r="FP268" s="66" t="str">
        <f t="shared" si="3559"/>
        <v/>
      </c>
      <c r="FQ268" s="66" t="str">
        <f t="shared" si="3560"/>
        <v/>
      </c>
      <c r="FR268" s="66" t="str">
        <f t="shared" si="3561"/>
        <v/>
      </c>
      <c r="FS268" s="66" t="str">
        <f t="shared" si="3562"/>
        <v/>
      </c>
    </row>
    <row r="269" spans="1:175" ht="16.5">
      <c r="A269" s="2"/>
      <c r="B269" s="35"/>
      <c r="C269" s="2"/>
      <c r="E269" s="121"/>
      <c r="T269" s="122"/>
      <c r="U269" s="77"/>
      <c r="CU269" s="88" t="str">
        <f t="shared" si="3492"/>
        <v>|n</v>
      </c>
      <c r="CW269" s="33"/>
      <c r="CX269" s="33"/>
      <c r="CY269" s="33"/>
      <c r="CZ269" s="33"/>
      <c r="DA269" s="33"/>
      <c r="DB269" s="66" t="str">
        <f t="shared" si="3493"/>
        <v/>
      </c>
      <c r="DC269" s="66" t="str">
        <f t="shared" si="3494"/>
        <v/>
      </c>
      <c r="DD269" s="66" t="str">
        <f t="shared" si="3495"/>
        <v/>
      </c>
      <c r="DE269" s="66" t="str">
        <f t="shared" si="3496"/>
        <v/>
      </c>
      <c r="DF269" s="66" t="str">
        <f t="shared" si="3497"/>
        <v/>
      </c>
      <c r="DG269" s="66" t="str">
        <f t="shared" si="3498"/>
        <v/>
      </c>
      <c r="DH269" s="66" t="str">
        <f t="shared" si="3499"/>
        <v/>
      </c>
      <c r="DI269" s="66" t="str">
        <f t="shared" si="3500"/>
        <v/>
      </c>
      <c r="DJ269" s="66" t="str">
        <f t="shared" si="3501"/>
        <v/>
      </c>
      <c r="DK269" s="66" t="str">
        <f t="shared" si="3502"/>
        <v/>
      </c>
      <c r="DL269" s="66" t="str">
        <f t="shared" si="3503"/>
        <v/>
      </c>
      <c r="DM269" s="66" t="str">
        <f t="shared" si="3504"/>
        <v/>
      </c>
      <c r="DN269" s="66" t="str">
        <f t="shared" si="3505"/>
        <v/>
      </c>
      <c r="DO269" s="66" t="str">
        <f t="shared" si="3506"/>
        <v/>
      </c>
      <c r="DP269" s="66" t="str">
        <f t="shared" si="3507"/>
        <v/>
      </c>
      <c r="DQ269" s="66" t="str">
        <f t="shared" si="3508"/>
        <v/>
      </c>
      <c r="DR269" s="66" t="str">
        <f t="shared" si="3509"/>
        <v/>
      </c>
      <c r="DS269" s="66" t="str">
        <f t="shared" si="3510"/>
        <v/>
      </c>
      <c r="DT269" s="66" t="str">
        <f t="shared" si="3511"/>
        <v/>
      </c>
      <c r="DU269" s="66" t="str">
        <f t="shared" si="3512"/>
        <v/>
      </c>
      <c r="DV269" s="66" t="str">
        <f t="shared" si="3513"/>
        <v/>
      </c>
      <c r="DW269" s="66" t="str">
        <f t="shared" si="3514"/>
        <v/>
      </c>
      <c r="DX269" s="66" t="str">
        <f t="shared" si="3515"/>
        <v/>
      </c>
      <c r="DY269" s="66" t="str">
        <f t="shared" si="3516"/>
        <v/>
      </c>
      <c r="DZ269" s="66" t="str">
        <f t="shared" si="3517"/>
        <v/>
      </c>
      <c r="EA269" s="66" t="str">
        <f t="shared" si="3518"/>
        <v/>
      </c>
      <c r="EB269" s="66" t="str">
        <f t="shared" si="3519"/>
        <v/>
      </c>
      <c r="EC269" s="66" t="str">
        <f t="shared" si="3520"/>
        <v/>
      </c>
      <c r="ED269" s="66" t="str">
        <f t="shared" si="3521"/>
        <v/>
      </c>
      <c r="EE269" s="66" t="str">
        <f t="shared" si="3522"/>
        <v/>
      </c>
      <c r="EF269" s="66" t="str">
        <f t="shared" si="3523"/>
        <v/>
      </c>
      <c r="EG269" s="66" t="str">
        <f t="shared" si="3524"/>
        <v/>
      </c>
      <c r="EH269" s="66" t="str">
        <f t="shared" si="3525"/>
        <v/>
      </c>
      <c r="EI269" s="66" t="str">
        <f t="shared" si="3526"/>
        <v/>
      </c>
      <c r="EJ269" s="66" t="str">
        <f t="shared" si="3527"/>
        <v/>
      </c>
      <c r="EK269" s="66" t="str">
        <f t="shared" si="3528"/>
        <v/>
      </c>
      <c r="EL269" s="66" t="str">
        <f t="shared" si="3529"/>
        <v/>
      </c>
      <c r="EM269" s="66" t="str">
        <f t="shared" si="3530"/>
        <v/>
      </c>
      <c r="EN269" s="66" t="str">
        <f t="shared" si="3531"/>
        <v/>
      </c>
      <c r="EO269" s="66" t="str">
        <f t="shared" si="3532"/>
        <v/>
      </c>
      <c r="EP269" s="66" t="str">
        <f t="shared" si="3533"/>
        <v/>
      </c>
      <c r="EQ269" s="66" t="str">
        <f t="shared" si="3534"/>
        <v/>
      </c>
      <c r="ER269" s="66" t="str">
        <f t="shared" si="3535"/>
        <v/>
      </c>
      <c r="ES269" s="66" t="str">
        <f t="shared" si="3536"/>
        <v/>
      </c>
      <c r="ET269" s="66" t="str">
        <f t="shared" si="3537"/>
        <v/>
      </c>
      <c r="EU269" s="66" t="str">
        <f t="shared" si="3538"/>
        <v/>
      </c>
      <c r="EV269" s="66" t="str">
        <f t="shared" si="3539"/>
        <v/>
      </c>
      <c r="EW269" s="66" t="str">
        <f t="shared" si="3540"/>
        <v/>
      </c>
      <c r="EX269" s="66" t="str">
        <f t="shared" si="3541"/>
        <v/>
      </c>
      <c r="EY269" s="66" t="str">
        <f t="shared" si="3542"/>
        <v/>
      </c>
      <c r="EZ269" s="66" t="str">
        <f t="shared" si="3543"/>
        <v/>
      </c>
      <c r="FA269" s="66" t="str">
        <f t="shared" si="3544"/>
        <v/>
      </c>
      <c r="FB269" s="66" t="str">
        <f t="shared" si="3545"/>
        <v/>
      </c>
      <c r="FC269" s="66" t="str">
        <f t="shared" si="3546"/>
        <v/>
      </c>
      <c r="FD269" s="66" t="str">
        <f t="shared" si="3547"/>
        <v/>
      </c>
      <c r="FE269" s="66" t="str">
        <f t="shared" si="3548"/>
        <v/>
      </c>
      <c r="FF269" s="66" t="str">
        <f t="shared" si="3549"/>
        <v/>
      </c>
      <c r="FG269" s="66" t="str">
        <f t="shared" si="3550"/>
        <v/>
      </c>
      <c r="FH269" s="66" t="str">
        <f t="shared" si="3551"/>
        <v/>
      </c>
      <c r="FI269" s="66" t="str">
        <f t="shared" si="3552"/>
        <v/>
      </c>
      <c r="FJ269" s="66" t="str">
        <f t="shared" si="3553"/>
        <v/>
      </c>
      <c r="FK269" s="66" t="str">
        <f t="shared" si="3554"/>
        <v/>
      </c>
      <c r="FL269" s="66" t="str">
        <f t="shared" si="3555"/>
        <v/>
      </c>
      <c r="FM269" s="66" t="str">
        <f t="shared" si="3556"/>
        <v/>
      </c>
      <c r="FN269" s="66" t="str">
        <f t="shared" si="3557"/>
        <v/>
      </c>
      <c r="FO269" s="66" t="str">
        <f t="shared" si="3558"/>
        <v/>
      </c>
      <c r="FP269" s="66" t="str">
        <f t="shared" si="3559"/>
        <v/>
      </c>
      <c r="FQ269" s="66" t="str">
        <f t="shared" si="3560"/>
        <v/>
      </c>
      <c r="FR269" s="66" t="str">
        <f t="shared" si="3561"/>
        <v/>
      </c>
      <c r="FS269" s="66" t="str">
        <f t="shared" si="3562"/>
        <v/>
      </c>
    </row>
    <row r="270" spans="1:175" ht="16.5">
      <c r="A270" s="2"/>
      <c r="B270" s="35"/>
      <c r="C270" s="2"/>
      <c r="E270" s="121"/>
      <c r="T270" s="122"/>
      <c r="U270" s="77"/>
      <c r="CU270" s="88" t="str">
        <f t="shared" si="3492"/>
        <v>|n</v>
      </c>
      <c r="CW270" s="33"/>
      <c r="CX270" s="33"/>
      <c r="CY270" s="33"/>
      <c r="CZ270" s="33"/>
      <c r="DA270" s="33"/>
      <c r="DB270" s="66" t="str">
        <f t="shared" si="3493"/>
        <v/>
      </c>
      <c r="DC270" s="66" t="str">
        <f t="shared" si="3494"/>
        <v/>
      </c>
      <c r="DD270" s="66" t="str">
        <f t="shared" si="3495"/>
        <v/>
      </c>
      <c r="DE270" s="66" t="str">
        <f t="shared" si="3496"/>
        <v/>
      </c>
      <c r="DF270" s="66" t="str">
        <f t="shared" si="3497"/>
        <v/>
      </c>
      <c r="DG270" s="66" t="str">
        <f t="shared" si="3498"/>
        <v/>
      </c>
      <c r="DH270" s="66" t="str">
        <f t="shared" si="3499"/>
        <v/>
      </c>
      <c r="DI270" s="66" t="str">
        <f t="shared" si="3500"/>
        <v/>
      </c>
      <c r="DJ270" s="66" t="str">
        <f t="shared" si="3501"/>
        <v/>
      </c>
      <c r="DK270" s="66" t="str">
        <f t="shared" si="3502"/>
        <v/>
      </c>
      <c r="DL270" s="66" t="str">
        <f t="shared" si="3503"/>
        <v/>
      </c>
      <c r="DM270" s="66" t="str">
        <f t="shared" si="3504"/>
        <v/>
      </c>
      <c r="DN270" s="66" t="str">
        <f t="shared" si="3505"/>
        <v/>
      </c>
      <c r="DO270" s="66" t="str">
        <f t="shared" si="3506"/>
        <v/>
      </c>
      <c r="DP270" s="66" t="str">
        <f t="shared" si="3507"/>
        <v/>
      </c>
      <c r="DQ270" s="66" t="str">
        <f t="shared" si="3508"/>
        <v/>
      </c>
      <c r="DR270" s="66" t="str">
        <f t="shared" si="3509"/>
        <v/>
      </c>
      <c r="DS270" s="66" t="str">
        <f t="shared" si="3510"/>
        <v/>
      </c>
      <c r="DT270" s="66" t="str">
        <f t="shared" si="3511"/>
        <v/>
      </c>
      <c r="DU270" s="66" t="str">
        <f t="shared" si="3512"/>
        <v/>
      </c>
      <c r="DV270" s="66" t="str">
        <f t="shared" si="3513"/>
        <v/>
      </c>
      <c r="DW270" s="66" t="str">
        <f t="shared" si="3514"/>
        <v/>
      </c>
      <c r="DX270" s="66" t="str">
        <f t="shared" si="3515"/>
        <v/>
      </c>
      <c r="DY270" s="66" t="str">
        <f t="shared" si="3516"/>
        <v/>
      </c>
      <c r="DZ270" s="66" t="str">
        <f t="shared" si="3517"/>
        <v/>
      </c>
      <c r="EA270" s="66" t="str">
        <f t="shared" si="3518"/>
        <v/>
      </c>
      <c r="EB270" s="66" t="str">
        <f t="shared" si="3519"/>
        <v/>
      </c>
      <c r="EC270" s="66" t="str">
        <f t="shared" si="3520"/>
        <v/>
      </c>
      <c r="ED270" s="66" t="str">
        <f t="shared" si="3521"/>
        <v/>
      </c>
      <c r="EE270" s="66" t="str">
        <f t="shared" si="3522"/>
        <v/>
      </c>
      <c r="EF270" s="66" t="str">
        <f t="shared" si="3523"/>
        <v/>
      </c>
      <c r="EG270" s="66" t="str">
        <f t="shared" si="3524"/>
        <v/>
      </c>
      <c r="EH270" s="66" t="str">
        <f t="shared" si="3525"/>
        <v/>
      </c>
      <c r="EI270" s="66" t="str">
        <f t="shared" si="3526"/>
        <v/>
      </c>
      <c r="EJ270" s="66" t="str">
        <f t="shared" si="3527"/>
        <v/>
      </c>
      <c r="EK270" s="66" t="str">
        <f t="shared" si="3528"/>
        <v/>
      </c>
      <c r="EL270" s="66" t="str">
        <f t="shared" si="3529"/>
        <v/>
      </c>
      <c r="EM270" s="66" t="str">
        <f t="shared" si="3530"/>
        <v/>
      </c>
      <c r="EN270" s="66" t="str">
        <f t="shared" si="3531"/>
        <v/>
      </c>
      <c r="EO270" s="66" t="str">
        <f t="shared" si="3532"/>
        <v/>
      </c>
      <c r="EP270" s="66" t="str">
        <f t="shared" si="3533"/>
        <v/>
      </c>
      <c r="EQ270" s="66" t="str">
        <f t="shared" si="3534"/>
        <v/>
      </c>
      <c r="ER270" s="66" t="str">
        <f t="shared" si="3535"/>
        <v/>
      </c>
      <c r="ES270" s="66" t="str">
        <f t="shared" si="3536"/>
        <v/>
      </c>
      <c r="ET270" s="66" t="str">
        <f t="shared" si="3537"/>
        <v/>
      </c>
      <c r="EU270" s="66" t="str">
        <f t="shared" si="3538"/>
        <v/>
      </c>
      <c r="EV270" s="66" t="str">
        <f t="shared" si="3539"/>
        <v/>
      </c>
      <c r="EW270" s="66" t="str">
        <f t="shared" si="3540"/>
        <v/>
      </c>
      <c r="EX270" s="66" t="str">
        <f t="shared" si="3541"/>
        <v/>
      </c>
      <c r="EY270" s="66" t="str">
        <f t="shared" si="3542"/>
        <v/>
      </c>
      <c r="EZ270" s="66" t="str">
        <f t="shared" si="3543"/>
        <v/>
      </c>
      <c r="FA270" s="66" t="str">
        <f t="shared" si="3544"/>
        <v/>
      </c>
      <c r="FB270" s="66" t="str">
        <f t="shared" si="3545"/>
        <v/>
      </c>
      <c r="FC270" s="66" t="str">
        <f t="shared" si="3546"/>
        <v/>
      </c>
      <c r="FD270" s="66" t="str">
        <f t="shared" si="3547"/>
        <v/>
      </c>
      <c r="FE270" s="66" t="str">
        <f t="shared" si="3548"/>
        <v/>
      </c>
      <c r="FF270" s="66" t="str">
        <f t="shared" si="3549"/>
        <v/>
      </c>
      <c r="FG270" s="66" t="str">
        <f t="shared" si="3550"/>
        <v/>
      </c>
      <c r="FH270" s="66" t="str">
        <f t="shared" si="3551"/>
        <v/>
      </c>
      <c r="FI270" s="66" t="str">
        <f t="shared" si="3552"/>
        <v/>
      </c>
      <c r="FJ270" s="66" t="str">
        <f t="shared" si="3553"/>
        <v/>
      </c>
      <c r="FK270" s="66" t="str">
        <f t="shared" si="3554"/>
        <v/>
      </c>
      <c r="FL270" s="66" t="str">
        <f t="shared" si="3555"/>
        <v/>
      </c>
      <c r="FM270" s="66" t="str">
        <f t="shared" si="3556"/>
        <v/>
      </c>
      <c r="FN270" s="66" t="str">
        <f t="shared" si="3557"/>
        <v/>
      </c>
      <c r="FO270" s="66" t="str">
        <f t="shared" si="3558"/>
        <v/>
      </c>
      <c r="FP270" s="66" t="str">
        <f t="shared" si="3559"/>
        <v/>
      </c>
      <c r="FQ270" s="66" t="str">
        <f t="shared" si="3560"/>
        <v/>
      </c>
      <c r="FR270" s="66" t="str">
        <f t="shared" si="3561"/>
        <v/>
      </c>
      <c r="FS270" s="66" t="str">
        <f t="shared" si="3562"/>
        <v/>
      </c>
    </row>
    <row r="271" spans="1:175" ht="16.5">
      <c r="A271" s="2"/>
      <c r="B271" s="35"/>
      <c r="C271" s="2"/>
      <c r="E271" s="121"/>
      <c r="T271" s="122"/>
      <c r="U271" s="77"/>
      <c r="CU271" s="88" t="str">
        <f t="shared" si="3492"/>
        <v>|n</v>
      </c>
      <c r="CW271" s="33"/>
      <c r="CX271" s="33"/>
      <c r="CY271" s="33"/>
      <c r="CZ271" s="33"/>
      <c r="DA271" s="33"/>
      <c r="DB271" s="66" t="str">
        <f t="shared" si="3493"/>
        <v/>
      </c>
      <c r="DC271" s="66" t="str">
        <f t="shared" si="3494"/>
        <v/>
      </c>
      <c r="DD271" s="66" t="str">
        <f t="shared" si="3495"/>
        <v/>
      </c>
      <c r="DE271" s="66" t="str">
        <f t="shared" si="3496"/>
        <v/>
      </c>
      <c r="DF271" s="66" t="str">
        <f t="shared" si="3497"/>
        <v/>
      </c>
      <c r="DG271" s="66" t="str">
        <f t="shared" si="3498"/>
        <v/>
      </c>
      <c r="DH271" s="66" t="str">
        <f t="shared" si="3499"/>
        <v/>
      </c>
      <c r="DI271" s="66" t="str">
        <f t="shared" si="3500"/>
        <v/>
      </c>
      <c r="DJ271" s="66" t="str">
        <f t="shared" si="3501"/>
        <v/>
      </c>
      <c r="DK271" s="66" t="str">
        <f t="shared" si="3502"/>
        <v/>
      </c>
      <c r="DL271" s="66" t="str">
        <f t="shared" si="3503"/>
        <v/>
      </c>
      <c r="DM271" s="66" t="str">
        <f t="shared" si="3504"/>
        <v/>
      </c>
      <c r="DN271" s="66" t="str">
        <f t="shared" si="3505"/>
        <v/>
      </c>
      <c r="DO271" s="66" t="str">
        <f t="shared" si="3506"/>
        <v/>
      </c>
      <c r="DP271" s="66" t="str">
        <f t="shared" si="3507"/>
        <v/>
      </c>
      <c r="DQ271" s="66" t="str">
        <f t="shared" si="3508"/>
        <v/>
      </c>
      <c r="DR271" s="66" t="str">
        <f t="shared" si="3509"/>
        <v/>
      </c>
      <c r="DS271" s="66" t="str">
        <f t="shared" si="3510"/>
        <v/>
      </c>
      <c r="DT271" s="66" t="str">
        <f t="shared" si="3511"/>
        <v/>
      </c>
      <c r="DU271" s="66" t="str">
        <f t="shared" si="3512"/>
        <v/>
      </c>
      <c r="DV271" s="66" t="str">
        <f t="shared" si="3513"/>
        <v/>
      </c>
      <c r="DW271" s="66" t="str">
        <f t="shared" si="3514"/>
        <v/>
      </c>
      <c r="DX271" s="66" t="str">
        <f t="shared" si="3515"/>
        <v/>
      </c>
      <c r="DY271" s="66" t="str">
        <f t="shared" si="3516"/>
        <v/>
      </c>
      <c r="DZ271" s="66" t="str">
        <f t="shared" si="3517"/>
        <v/>
      </c>
      <c r="EA271" s="66" t="str">
        <f t="shared" si="3518"/>
        <v/>
      </c>
      <c r="EB271" s="66" t="str">
        <f t="shared" si="3519"/>
        <v/>
      </c>
      <c r="EC271" s="66" t="str">
        <f t="shared" si="3520"/>
        <v/>
      </c>
      <c r="ED271" s="66" t="str">
        <f t="shared" si="3521"/>
        <v/>
      </c>
      <c r="EE271" s="66" t="str">
        <f t="shared" si="3522"/>
        <v/>
      </c>
      <c r="EF271" s="66" t="str">
        <f t="shared" si="3523"/>
        <v/>
      </c>
      <c r="EG271" s="66" t="str">
        <f t="shared" si="3524"/>
        <v/>
      </c>
      <c r="EH271" s="66" t="str">
        <f t="shared" si="3525"/>
        <v/>
      </c>
      <c r="EI271" s="66" t="str">
        <f t="shared" si="3526"/>
        <v/>
      </c>
      <c r="EJ271" s="66" t="str">
        <f t="shared" si="3527"/>
        <v/>
      </c>
      <c r="EK271" s="66" t="str">
        <f t="shared" si="3528"/>
        <v/>
      </c>
      <c r="EL271" s="66" t="str">
        <f t="shared" si="3529"/>
        <v/>
      </c>
      <c r="EM271" s="66" t="str">
        <f t="shared" si="3530"/>
        <v/>
      </c>
      <c r="EN271" s="66" t="str">
        <f t="shared" si="3531"/>
        <v/>
      </c>
      <c r="EO271" s="66" t="str">
        <f t="shared" si="3532"/>
        <v/>
      </c>
      <c r="EP271" s="66" t="str">
        <f t="shared" si="3533"/>
        <v/>
      </c>
      <c r="EQ271" s="66" t="str">
        <f t="shared" si="3534"/>
        <v/>
      </c>
      <c r="ER271" s="66" t="str">
        <f t="shared" si="3535"/>
        <v/>
      </c>
      <c r="ES271" s="66" t="str">
        <f t="shared" si="3536"/>
        <v/>
      </c>
      <c r="ET271" s="66" t="str">
        <f t="shared" si="3537"/>
        <v/>
      </c>
      <c r="EU271" s="66" t="str">
        <f t="shared" si="3538"/>
        <v/>
      </c>
      <c r="EV271" s="66" t="str">
        <f t="shared" si="3539"/>
        <v/>
      </c>
      <c r="EW271" s="66" t="str">
        <f t="shared" si="3540"/>
        <v/>
      </c>
      <c r="EX271" s="66" t="str">
        <f t="shared" si="3541"/>
        <v/>
      </c>
      <c r="EY271" s="66" t="str">
        <f t="shared" si="3542"/>
        <v/>
      </c>
      <c r="EZ271" s="66" t="str">
        <f t="shared" si="3543"/>
        <v/>
      </c>
      <c r="FA271" s="66" t="str">
        <f t="shared" si="3544"/>
        <v/>
      </c>
      <c r="FB271" s="66" t="str">
        <f t="shared" si="3545"/>
        <v/>
      </c>
      <c r="FC271" s="66" t="str">
        <f t="shared" si="3546"/>
        <v/>
      </c>
      <c r="FD271" s="66" t="str">
        <f t="shared" si="3547"/>
        <v/>
      </c>
      <c r="FE271" s="66" t="str">
        <f t="shared" si="3548"/>
        <v/>
      </c>
      <c r="FF271" s="66" t="str">
        <f t="shared" si="3549"/>
        <v/>
      </c>
      <c r="FG271" s="66" t="str">
        <f t="shared" si="3550"/>
        <v/>
      </c>
      <c r="FH271" s="66" t="str">
        <f t="shared" si="3551"/>
        <v/>
      </c>
      <c r="FI271" s="66" t="str">
        <f t="shared" si="3552"/>
        <v/>
      </c>
      <c r="FJ271" s="66" t="str">
        <f t="shared" si="3553"/>
        <v/>
      </c>
      <c r="FK271" s="66" t="str">
        <f t="shared" si="3554"/>
        <v/>
      </c>
      <c r="FL271" s="66" t="str">
        <f t="shared" si="3555"/>
        <v/>
      </c>
      <c r="FM271" s="66" t="str">
        <f t="shared" si="3556"/>
        <v/>
      </c>
      <c r="FN271" s="66" t="str">
        <f t="shared" si="3557"/>
        <v/>
      </c>
      <c r="FO271" s="66" t="str">
        <f t="shared" si="3558"/>
        <v/>
      </c>
      <c r="FP271" s="66" t="str">
        <f t="shared" si="3559"/>
        <v/>
      </c>
      <c r="FQ271" s="66" t="str">
        <f t="shared" si="3560"/>
        <v/>
      </c>
      <c r="FR271" s="66" t="str">
        <f t="shared" si="3561"/>
        <v/>
      </c>
      <c r="FS271" s="66" t="str">
        <f t="shared" si="3562"/>
        <v/>
      </c>
    </row>
    <row r="272" spans="1:175" ht="16.5">
      <c r="A272" s="2"/>
      <c r="B272" s="35"/>
      <c r="C272" s="2"/>
      <c r="E272" s="121"/>
      <c r="T272" s="122"/>
      <c r="U272" s="77"/>
      <c r="CU272" s="88" t="str">
        <f t="shared" si="3492"/>
        <v>|n</v>
      </c>
      <c r="CW272" s="33"/>
      <c r="CX272" s="33"/>
      <c r="CY272" s="33"/>
      <c r="CZ272" s="33"/>
      <c r="DA272" s="33"/>
      <c r="DB272" s="66" t="str">
        <f t="shared" si="3493"/>
        <v/>
      </c>
      <c r="DC272" s="66" t="str">
        <f t="shared" si="3494"/>
        <v/>
      </c>
      <c r="DD272" s="66" t="str">
        <f t="shared" si="3495"/>
        <v/>
      </c>
      <c r="DE272" s="66" t="str">
        <f t="shared" si="3496"/>
        <v/>
      </c>
      <c r="DF272" s="66" t="str">
        <f t="shared" si="3497"/>
        <v/>
      </c>
      <c r="DG272" s="66" t="str">
        <f t="shared" si="3498"/>
        <v/>
      </c>
      <c r="DH272" s="66" t="str">
        <f t="shared" si="3499"/>
        <v/>
      </c>
      <c r="DI272" s="66" t="str">
        <f t="shared" si="3500"/>
        <v/>
      </c>
      <c r="DJ272" s="66" t="str">
        <f t="shared" si="3501"/>
        <v/>
      </c>
      <c r="DK272" s="66" t="str">
        <f t="shared" si="3502"/>
        <v/>
      </c>
      <c r="DL272" s="66" t="str">
        <f t="shared" si="3503"/>
        <v/>
      </c>
      <c r="DM272" s="66" t="str">
        <f t="shared" si="3504"/>
        <v/>
      </c>
      <c r="DN272" s="66" t="str">
        <f t="shared" si="3505"/>
        <v/>
      </c>
      <c r="DO272" s="66" t="str">
        <f t="shared" si="3506"/>
        <v/>
      </c>
      <c r="DP272" s="66" t="str">
        <f t="shared" si="3507"/>
        <v/>
      </c>
      <c r="DQ272" s="66" t="str">
        <f t="shared" si="3508"/>
        <v/>
      </c>
      <c r="DR272" s="66" t="str">
        <f t="shared" si="3509"/>
        <v/>
      </c>
      <c r="DS272" s="66" t="str">
        <f t="shared" si="3510"/>
        <v/>
      </c>
      <c r="DT272" s="66" t="str">
        <f t="shared" si="3511"/>
        <v/>
      </c>
      <c r="DU272" s="66" t="str">
        <f t="shared" si="3512"/>
        <v/>
      </c>
      <c r="DV272" s="66" t="str">
        <f t="shared" si="3513"/>
        <v/>
      </c>
      <c r="DW272" s="66" t="str">
        <f t="shared" si="3514"/>
        <v/>
      </c>
      <c r="DX272" s="66" t="str">
        <f t="shared" si="3515"/>
        <v/>
      </c>
      <c r="DY272" s="66" t="str">
        <f t="shared" si="3516"/>
        <v/>
      </c>
      <c r="DZ272" s="66" t="str">
        <f t="shared" si="3517"/>
        <v/>
      </c>
      <c r="EA272" s="66" t="str">
        <f t="shared" si="3518"/>
        <v/>
      </c>
      <c r="EB272" s="66" t="str">
        <f t="shared" si="3519"/>
        <v/>
      </c>
      <c r="EC272" s="66" t="str">
        <f t="shared" si="3520"/>
        <v/>
      </c>
      <c r="ED272" s="66" t="str">
        <f t="shared" si="3521"/>
        <v/>
      </c>
      <c r="EE272" s="66" t="str">
        <f t="shared" si="3522"/>
        <v/>
      </c>
      <c r="EF272" s="66" t="str">
        <f t="shared" si="3523"/>
        <v/>
      </c>
      <c r="EG272" s="66" t="str">
        <f t="shared" si="3524"/>
        <v/>
      </c>
      <c r="EH272" s="66" t="str">
        <f t="shared" si="3525"/>
        <v/>
      </c>
      <c r="EI272" s="66" t="str">
        <f t="shared" si="3526"/>
        <v/>
      </c>
      <c r="EJ272" s="66" t="str">
        <f t="shared" si="3527"/>
        <v/>
      </c>
      <c r="EK272" s="66" t="str">
        <f t="shared" si="3528"/>
        <v/>
      </c>
      <c r="EL272" s="66" t="str">
        <f t="shared" si="3529"/>
        <v/>
      </c>
      <c r="EM272" s="66" t="str">
        <f t="shared" si="3530"/>
        <v/>
      </c>
      <c r="EN272" s="66" t="str">
        <f t="shared" si="3531"/>
        <v/>
      </c>
      <c r="EO272" s="66" t="str">
        <f t="shared" si="3532"/>
        <v/>
      </c>
      <c r="EP272" s="66" t="str">
        <f t="shared" si="3533"/>
        <v/>
      </c>
      <c r="EQ272" s="66" t="str">
        <f t="shared" si="3534"/>
        <v/>
      </c>
      <c r="ER272" s="66" t="str">
        <f t="shared" si="3535"/>
        <v/>
      </c>
      <c r="ES272" s="66" t="str">
        <f t="shared" si="3536"/>
        <v/>
      </c>
      <c r="ET272" s="66" t="str">
        <f t="shared" si="3537"/>
        <v/>
      </c>
      <c r="EU272" s="66" t="str">
        <f t="shared" si="3538"/>
        <v/>
      </c>
      <c r="EV272" s="66" t="str">
        <f t="shared" si="3539"/>
        <v/>
      </c>
      <c r="EW272" s="66" t="str">
        <f t="shared" si="3540"/>
        <v/>
      </c>
      <c r="EX272" s="66" t="str">
        <f t="shared" si="3541"/>
        <v/>
      </c>
      <c r="EY272" s="66" t="str">
        <f t="shared" si="3542"/>
        <v/>
      </c>
      <c r="EZ272" s="66" t="str">
        <f t="shared" si="3543"/>
        <v/>
      </c>
      <c r="FA272" s="66" t="str">
        <f t="shared" si="3544"/>
        <v/>
      </c>
      <c r="FB272" s="66" t="str">
        <f t="shared" si="3545"/>
        <v/>
      </c>
      <c r="FC272" s="66" t="str">
        <f t="shared" si="3546"/>
        <v/>
      </c>
      <c r="FD272" s="66" t="str">
        <f t="shared" si="3547"/>
        <v/>
      </c>
      <c r="FE272" s="66" t="str">
        <f t="shared" si="3548"/>
        <v/>
      </c>
      <c r="FF272" s="66" t="str">
        <f t="shared" si="3549"/>
        <v/>
      </c>
      <c r="FG272" s="66" t="str">
        <f t="shared" si="3550"/>
        <v/>
      </c>
      <c r="FH272" s="66" t="str">
        <f t="shared" si="3551"/>
        <v/>
      </c>
      <c r="FI272" s="66" t="str">
        <f t="shared" si="3552"/>
        <v/>
      </c>
      <c r="FJ272" s="66" t="str">
        <f t="shared" si="3553"/>
        <v/>
      </c>
      <c r="FK272" s="66" t="str">
        <f t="shared" si="3554"/>
        <v/>
      </c>
      <c r="FL272" s="66" t="str">
        <f t="shared" si="3555"/>
        <v/>
      </c>
      <c r="FM272" s="66" t="str">
        <f t="shared" si="3556"/>
        <v/>
      </c>
      <c r="FN272" s="66" t="str">
        <f t="shared" si="3557"/>
        <v/>
      </c>
      <c r="FO272" s="66" t="str">
        <f t="shared" si="3558"/>
        <v/>
      </c>
      <c r="FP272" s="66" t="str">
        <f t="shared" si="3559"/>
        <v/>
      </c>
      <c r="FQ272" s="66" t="str">
        <f t="shared" si="3560"/>
        <v/>
      </c>
      <c r="FR272" s="66" t="str">
        <f t="shared" si="3561"/>
        <v/>
      </c>
      <c r="FS272" s="66" t="str">
        <f t="shared" si="3562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492"/>
        <v>|n</v>
      </c>
      <c r="CW273" s="33"/>
      <c r="CX273" s="33"/>
      <c r="CY273" s="33"/>
      <c r="CZ273" s="33"/>
      <c r="DA273" s="33"/>
      <c r="DB273" s="66" t="str">
        <f t="shared" si="3493"/>
        <v/>
      </c>
      <c r="DC273" s="66" t="str">
        <f t="shared" si="3494"/>
        <v/>
      </c>
      <c r="DD273" s="66" t="str">
        <f t="shared" si="3495"/>
        <v/>
      </c>
      <c r="DE273" s="66" t="str">
        <f t="shared" si="3496"/>
        <v/>
      </c>
      <c r="DF273" s="66" t="str">
        <f t="shared" si="3497"/>
        <v/>
      </c>
      <c r="DG273" s="66" t="str">
        <f t="shared" si="3498"/>
        <v/>
      </c>
      <c r="DH273" s="66" t="str">
        <f t="shared" si="3499"/>
        <v/>
      </c>
      <c r="DI273" s="66" t="str">
        <f t="shared" si="3500"/>
        <v/>
      </c>
      <c r="DJ273" s="66" t="str">
        <f t="shared" si="3501"/>
        <v/>
      </c>
      <c r="DK273" s="66" t="str">
        <f t="shared" si="3502"/>
        <v/>
      </c>
      <c r="DL273" s="66" t="str">
        <f t="shared" si="3503"/>
        <v/>
      </c>
      <c r="DM273" s="66" t="str">
        <f t="shared" si="3504"/>
        <v/>
      </c>
      <c r="DN273" s="66" t="str">
        <f t="shared" si="3505"/>
        <v/>
      </c>
      <c r="DO273" s="66" t="str">
        <f t="shared" si="3506"/>
        <v/>
      </c>
      <c r="DP273" s="66" t="str">
        <f t="shared" si="3507"/>
        <v/>
      </c>
      <c r="DQ273" s="66" t="str">
        <f t="shared" si="3508"/>
        <v/>
      </c>
      <c r="DR273" s="66" t="str">
        <f t="shared" si="3509"/>
        <v/>
      </c>
      <c r="DS273" s="66" t="str">
        <f t="shared" si="3510"/>
        <v/>
      </c>
      <c r="DT273" s="66" t="str">
        <f t="shared" si="3511"/>
        <v/>
      </c>
      <c r="DU273" s="66" t="str">
        <f t="shared" si="3512"/>
        <v/>
      </c>
      <c r="DV273" s="66" t="str">
        <f t="shared" si="3513"/>
        <v/>
      </c>
      <c r="DW273" s="66" t="str">
        <f t="shared" si="3514"/>
        <v/>
      </c>
      <c r="DX273" s="66" t="str">
        <f t="shared" si="3515"/>
        <v/>
      </c>
      <c r="DY273" s="66" t="str">
        <f t="shared" si="3516"/>
        <v/>
      </c>
      <c r="DZ273" s="66" t="str">
        <f t="shared" si="3517"/>
        <v/>
      </c>
      <c r="EA273" s="66" t="str">
        <f t="shared" si="3518"/>
        <v/>
      </c>
      <c r="EB273" s="66" t="str">
        <f t="shared" si="3519"/>
        <v/>
      </c>
      <c r="EC273" s="66" t="str">
        <f t="shared" si="3520"/>
        <v/>
      </c>
      <c r="ED273" s="66" t="str">
        <f t="shared" si="3521"/>
        <v/>
      </c>
      <c r="EE273" s="66" t="str">
        <f t="shared" si="3522"/>
        <v/>
      </c>
      <c r="EF273" s="66" t="str">
        <f t="shared" si="3523"/>
        <v/>
      </c>
      <c r="EG273" s="66" t="str">
        <f t="shared" si="3524"/>
        <v/>
      </c>
      <c r="EH273" s="66" t="str">
        <f t="shared" si="3525"/>
        <v/>
      </c>
      <c r="EI273" s="66" t="str">
        <f t="shared" si="3526"/>
        <v/>
      </c>
      <c r="EJ273" s="66" t="str">
        <f t="shared" si="3527"/>
        <v/>
      </c>
      <c r="EK273" s="66" t="str">
        <f t="shared" si="3528"/>
        <v/>
      </c>
      <c r="EL273" s="66" t="str">
        <f t="shared" si="3529"/>
        <v/>
      </c>
      <c r="EM273" s="66" t="str">
        <f t="shared" si="3530"/>
        <v/>
      </c>
      <c r="EN273" s="66" t="str">
        <f t="shared" si="3531"/>
        <v/>
      </c>
      <c r="EO273" s="66" t="str">
        <f t="shared" si="3532"/>
        <v/>
      </c>
      <c r="EP273" s="66" t="str">
        <f t="shared" si="3533"/>
        <v/>
      </c>
      <c r="EQ273" s="66" t="str">
        <f t="shared" si="3534"/>
        <v/>
      </c>
      <c r="ER273" s="66" t="str">
        <f t="shared" si="3535"/>
        <v/>
      </c>
      <c r="ES273" s="66" t="str">
        <f t="shared" si="3536"/>
        <v/>
      </c>
      <c r="ET273" s="66" t="str">
        <f t="shared" si="3537"/>
        <v/>
      </c>
      <c r="EU273" s="66" t="str">
        <f t="shared" si="3538"/>
        <v/>
      </c>
      <c r="EV273" s="66" t="str">
        <f t="shared" si="3539"/>
        <v/>
      </c>
      <c r="EW273" s="66" t="str">
        <f t="shared" si="3540"/>
        <v/>
      </c>
      <c r="EX273" s="66" t="str">
        <f t="shared" si="3541"/>
        <v/>
      </c>
      <c r="EY273" s="66" t="str">
        <f t="shared" si="3542"/>
        <v/>
      </c>
      <c r="EZ273" s="66" t="str">
        <f t="shared" si="3543"/>
        <v/>
      </c>
      <c r="FA273" s="66" t="str">
        <f t="shared" si="3544"/>
        <v/>
      </c>
      <c r="FB273" s="66" t="str">
        <f t="shared" si="3545"/>
        <v/>
      </c>
      <c r="FC273" s="66" t="str">
        <f t="shared" si="3546"/>
        <v/>
      </c>
      <c r="FD273" s="66" t="str">
        <f t="shared" si="3547"/>
        <v/>
      </c>
      <c r="FE273" s="66" t="str">
        <f t="shared" si="3548"/>
        <v/>
      </c>
      <c r="FF273" s="66" t="str">
        <f t="shared" si="3549"/>
        <v/>
      </c>
      <c r="FG273" s="66" t="str">
        <f t="shared" si="3550"/>
        <v/>
      </c>
      <c r="FH273" s="66" t="str">
        <f t="shared" si="3551"/>
        <v/>
      </c>
      <c r="FI273" s="66" t="str">
        <f t="shared" si="3552"/>
        <v/>
      </c>
      <c r="FJ273" s="66" t="str">
        <f t="shared" si="3553"/>
        <v/>
      </c>
      <c r="FK273" s="66" t="str">
        <f t="shared" si="3554"/>
        <v/>
      </c>
      <c r="FL273" s="66" t="str">
        <f t="shared" si="3555"/>
        <v/>
      </c>
      <c r="FM273" s="66" t="str">
        <f t="shared" si="3556"/>
        <v/>
      </c>
      <c r="FN273" s="66" t="str">
        <f t="shared" si="3557"/>
        <v/>
      </c>
      <c r="FO273" s="66" t="str">
        <f t="shared" si="3558"/>
        <v/>
      </c>
      <c r="FP273" s="66" t="str">
        <f t="shared" si="3559"/>
        <v/>
      </c>
      <c r="FQ273" s="66" t="str">
        <f t="shared" si="3560"/>
        <v/>
      </c>
      <c r="FR273" s="66" t="str">
        <f t="shared" si="3561"/>
        <v/>
      </c>
      <c r="FS273" s="66" t="str">
        <f t="shared" si="3562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492"/>
        <v>|n</v>
      </c>
      <c r="CW274" s="33"/>
      <c r="CX274" s="33"/>
      <c r="CY274" s="33"/>
      <c r="CZ274" s="33"/>
      <c r="DA274" s="33"/>
      <c r="DB274" s="66" t="str">
        <f t="shared" si="3493"/>
        <v/>
      </c>
      <c r="DC274" s="66" t="str">
        <f t="shared" si="3494"/>
        <v/>
      </c>
      <c r="DD274" s="66" t="str">
        <f t="shared" si="3495"/>
        <v/>
      </c>
      <c r="DE274" s="66" t="str">
        <f t="shared" si="3496"/>
        <v/>
      </c>
      <c r="DF274" s="66" t="str">
        <f t="shared" si="3497"/>
        <v/>
      </c>
      <c r="DG274" s="66" t="str">
        <f t="shared" si="3498"/>
        <v/>
      </c>
      <c r="DH274" s="66" t="str">
        <f t="shared" si="3499"/>
        <v/>
      </c>
      <c r="DI274" s="66" t="str">
        <f t="shared" si="3500"/>
        <v/>
      </c>
      <c r="DJ274" s="66" t="str">
        <f t="shared" si="3501"/>
        <v/>
      </c>
      <c r="DK274" s="66" t="str">
        <f t="shared" si="3502"/>
        <v/>
      </c>
      <c r="DL274" s="66" t="str">
        <f t="shared" si="3503"/>
        <v/>
      </c>
      <c r="DM274" s="66" t="str">
        <f t="shared" si="3504"/>
        <v/>
      </c>
      <c r="DN274" s="66" t="str">
        <f t="shared" si="3505"/>
        <v/>
      </c>
      <c r="DO274" s="66" t="str">
        <f t="shared" si="3506"/>
        <v/>
      </c>
      <c r="DP274" s="66" t="str">
        <f t="shared" si="3507"/>
        <v/>
      </c>
      <c r="DQ274" s="66" t="str">
        <f t="shared" si="3508"/>
        <v/>
      </c>
      <c r="DR274" s="66" t="str">
        <f t="shared" si="3509"/>
        <v/>
      </c>
      <c r="DS274" s="66" t="str">
        <f t="shared" si="3510"/>
        <v/>
      </c>
      <c r="DT274" s="66" t="str">
        <f t="shared" si="3511"/>
        <v/>
      </c>
      <c r="DU274" s="66" t="str">
        <f t="shared" si="3512"/>
        <v/>
      </c>
      <c r="DV274" s="66" t="str">
        <f t="shared" si="3513"/>
        <v/>
      </c>
      <c r="DW274" s="66" t="str">
        <f t="shared" si="3514"/>
        <v/>
      </c>
      <c r="DX274" s="66" t="str">
        <f t="shared" si="3515"/>
        <v/>
      </c>
      <c r="DY274" s="66" t="str">
        <f t="shared" si="3516"/>
        <v/>
      </c>
      <c r="DZ274" s="66" t="str">
        <f t="shared" si="3517"/>
        <v/>
      </c>
      <c r="EA274" s="66" t="str">
        <f t="shared" si="3518"/>
        <v/>
      </c>
      <c r="EB274" s="66" t="str">
        <f t="shared" si="3519"/>
        <v/>
      </c>
      <c r="EC274" s="66" t="str">
        <f t="shared" si="3520"/>
        <v/>
      </c>
      <c r="ED274" s="66" t="str">
        <f t="shared" si="3521"/>
        <v/>
      </c>
      <c r="EE274" s="66" t="str">
        <f t="shared" si="3522"/>
        <v/>
      </c>
      <c r="EF274" s="66" t="str">
        <f t="shared" si="3523"/>
        <v/>
      </c>
      <c r="EG274" s="66" t="str">
        <f t="shared" si="3524"/>
        <v/>
      </c>
      <c r="EH274" s="66" t="str">
        <f t="shared" si="3525"/>
        <v/>
      </c>
      <c r="EI274" s="66" t="str">
        <f t="shared" si="3526"/>
        <v/>
      </c>
      <c r="EJ274" s="66" t="str">
        <f t="shared" si="3527"/>
        <v/>
      </c>
      <c r="EK274" s="66" t="str">
        <f t="shared" si="3528"/>
        <v/>
      </c>
      <c r="EL274" s="66" t="str">
        <f t="shared" si="3529"/>
        <v/>
      </c>
      <c r="EM274" s="66" t="str">
        <f t="shared" si="3530"/>
        <v/>
      </c>
      <c r="EN274" s="66" t="str">
        <f t="shared" si="3531"/>
        <v/>
      </c>
      <c r="EO274" s="66" t="str">
        <f t="shared" si="3532"/>
        <v/>
      </c>
      <c r="EP274" s="66" t="str">
        <f t="shared" si="3533"/>
        <v/>
      </c>
      <c r="EQ274" s="66" t="str">
        <f t="shared" si="3534"/>
        <v/>
      </c>
      <c r="ER274" s="66" t="str">
        <f t="shared" si="3535"/>
        <v/>
      </c>
      <c r="ES274" s="66" t="str">
        <f t="shared" si="3536"/>
        <v/>
      </c>
      <c r="ET274" s="66" t="str">
        <f t="shared" si="3537"/>
        <v/>
      </c>
      <c r="EU274" s="66" t="str">
        <f t="shared" si="3538"/>
        <v/>
      </c>
      <c r="EV274" s="66" t="str">
        <f t="shared" si="3539"/>
        <v/>
      </c>
      <c r="EW274" s="66" t="str">
        <f t="shared" si="3540"/>
        <v/>
      </c>
      <c r="EX274" s="66" t="str">
        <f t="shared" si="3541"/>
        <v/>
      </c>
      <c r="EY274" s="66" t="str">
        <f t="shared" si="3542"/>
        <v/>
      </c>
      <c r="EZ274" s="66" t="str">
        <f t="shared" si="3543"/>
        <v/>
      </c>
      <c r="FA274" s="66" t="str">
        <f t="shared" si="3544"/>
        <v/>
      </c>
      <c r="FB274" s="66" t="str">
        <f t="shared" si="3545"/>
        <v/>
      </c>
      <c r="FC274" s="66" t="str">
        <f t="shared" si="3546"/>
        <v/>
      </c>
      <c r="FD274" s="66" t="str">
        <f t="shared" si="3547"/>
        <v/>
      </c>
      <c r="FE274" s="66" t="str">
        <f t="shared" si="3548"/>
        <v/>
      </c>
      <c r="FF274" s="66" t="str">
        <f t="shared" si="3549"/>
        <v/>
      </c>
      <c r="FG274" s="66" t="str">
        <f t="shared" si="3550"/>
        <v/>
      </c>
      <c r="FH274" s="66" t="str">
        <f t="shared" si="3551"/>
        <v/>
      </c>
      <c r="FI274" s="66" t="str">
        <f t="shared" si="3552"/>
        <v/>
      </c>
      <c r="FJ274" s="66" t="str">
        <f t="shared" si="3553"/>
        <v/>
      </c>
      <c r="FK274" s="66" t="str">
        <f t="shared" si="3554"/>
        <v/>
      </c>
      <c r="FL274" s="66" t="str">
        <f t="shared" si="3555"/>
        <v/>
      </c>
      <c r="FM274" s="66" t="str">
        <f t="shared" si="3556"/>
        <v/>
      </c>
      <c r="FN274" s="66" t="str">
        <f t="shared" si="3557"/>
        <v/>
      </c>
      <c r="FO274" s="66" t="str">
        <f t="shared" si="3558"/>
        <v/>
      </c>
      <c r="FP274" s="66" t="str">
        <f t="shared" si="3559"/>
        <v/>
      </c>
      <c r="FQ274" s="66" t="str">
        <f t="shared" si="3560"/>
        <v/>
      </c>
      <c r="FR274" s="66" t="str">
        <f t="shared" si="3561"/>
        <v/>
      </c>
      <c r="FS274" s="66" t="str">
        <f t="shared" si="3562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492"/>
        <v>|n</v>
      </c>
      <c r="CW275" s="33"/>
      <c r="CX275" s="33"/>
      <c r="CY275" s="33"/>
      <c r="CZ275" s="33"/>
      <c r="DA275" s="33"/>
      <c r="DB275" s="66" t="str">
        <f t="shared" si="3493"/>
        <v/>
      </c>
      <c r="DC275" s="66" t="str">
        <f t="shared" si="3494"/>
        <v/>
      </c>
      <c r="DD275" s="66" t="str">
        <f t="shared" si="3495"/>
        <v/>
      </c>
      <c r="DE275" s="66" t="str">
        <f t="shared" si="3496"/>
        <v/>
      </c>
      <c r="DF275" s="66" t="str">
        <f t="shared" si="3497"/>
        <v/>
      </c>
      <c r="DG275" s="66" t="str">
        <f t="shared" si="3498"/>
        <v/>
      </c>
      <c r="DH275" s="66" t="str">
        <f t="shared" si="3499"/>
        <v/>
      </c>
      <c r="DI275" s="66" t="str">
        <f t="shared" si="3500"/>
        <v/>
      </c>
      <c r="DJ275" s="66" t="str">
        <f t="shared" si="3501"/>
        <v/>
      </c>
      <c r="DK275" s="66" t="str">
        <f t="shared" si="3502"/>
        <v/>
      </c>
      <c r="DL275" s="66" t="str">
        <f t="shared" si="3503"/>
        <v/>
      </c>
      <c r="DM275" s="66" t="str">
        <f t="shared" si="3504"/>
        <v/>
      </c>
      <c r="DN275" s="66" t="str">
        <f t="shared" si="3505"/>
        <v/>
      </c>
      <c r="DO275" s="66" t="str">
        <f t="shared" si="3506"/>
        <v/>
      </c>
      <c r="DP275" s="66" t="str">
        <f t="shared" si="3507"/>
        <v/>
      </c>
      <c r="DQ275" s="66" t="str">
        <f t="shared" si="3508"/>
        <v/>
      </c>
      <c r="DR275" s="66" t="str">
        <f t="shared" si="3509"/>
        <v/>
      </c>
      <c r="DS275" s="66" t="str">
        <f t="shared" si="3510"/>
        <v/>
      </c>
      <c r="DT275" s="66" t="str">
        <f t="shared" si="3511"/>
        <v/>
      </c>
      <c r="DU275" s="66" t="str">
        <f t="shared" si="3512"/>
        <v/>
      </c>
      <c r="DV275" s="66" t="str">
        <f t="shared" si="3513"/>
        <v/>
      </c>
      <c r="DW275" s="66" t="str">
        <f t="shared" si="3514"/>
        <v/>
      </c>
      <c r="DX275" s="66" t="str">
        <f t="shared" si="3515"/>
        <v/>
      </c>
      <c r="DY275" s="66" t="str">
        <f t="shared" si="3516"/>
        <v/>
      </c>
      <c r="DZ275" s="66" t="str">
        <f t="shared" si="3517"/>
        <v/>
      </c>
      <c r="EA275" s="66" t="str">
        <f t="shared" si="3518"/>
        <v/>
      </c>
      <c r="EB275" s="66" t="str">
        <f t="shared" si="3519"/>
        <v/>
      </c>
      <c r="EC275" s="66" t="str">
        <f t="shared" si="3520"/>
        <v/>
      </c>
      <c r="ED275" s="66" t="str">
        <f t="shared" si="3521"/>
        <v/>
      </c>
      <c r="EE275" s="66" t="str">
        <f t="shared" si="3522"/>
        <v/>
      </c>
      <c r="EF275" s="66" t="str">
        <f t="shared" si="3523"/>
        <v/>
      </c>
      <c r="EG275" s="66" t="str">
        <f t="shared" si="3524"/>
        <v/>
      </c>
      <c r="EH275" s="66" t="str">
        <f t="shared" si="3525"/>
        <v/>
      </c>
      <c r="EI275" s="66" t="str">
        <f t="shared" si="3526"/>
        <v/>
      </c>
      <c r="EJ275" s="66" t="str">
        <f t="shared" si="3527"/>
        <v/>
      </c>
      <c r="EK275" s="66" t="str">
        <f t="shared" si="3528"/>
        <v/>
      </c>
      <c r="EL275" s="66" t="str">
        <f t="shared" si="3529"/>
        <v/>
      </c>
      <c r="EM275" s="66" t="str">
        <f t="shared" si="3530"/>
        <v/>
      </c>
      <c r="EN275" s="66" t="str">
        <f t="shared" si="3531"/>
        <v/>
      </c>
      <c r="EO275" s="66" t="str">
        <f t="shared" si="3532"/>
        <v/>
      </c>
      <c r="EP275" s="66" t="str">
        <f t="shared" si="3533"/>
        <v/>
      </c>
      <c r="EQ275" s="66" t="str">
        <f t="shared" si="3534"/>
        <v/>
      </c>
      <c r="ER275" s="66" t="str">
        <f t="shared" si="3535"/>
        <v/>
      </c>
      <c r="ES275" s="66" t="str">
        <f t="shared" si="3536"/>
        <v/>
      </c>
      <c r="ET275" s="66" t="str">
        <f t="shared" si="3537"/>
        <v/>
      </c>
      <c r="EU275" s="66" t="str">
        <f t="shared" si="3538"/>
        <v/>
      </c>
      <c r="EV275" s="66" t="str">
        <f t="shared" si="3539"/>
        <v/>
      </c>
      <c r="EW275" s="66" t="str">
        <f t="shared" si="3540"/>
        <v/>
      </c>
      <c r="EX275" s="66" t="str">
        <f t="shared" si="3541"/>
        <v/>
      </c>
      <c r="EY275" s="66" t="str">
        <f t="shared" si="3542"/>
        <v/>
      </c>
      <c r="EZ275" s="66" t="str">
        <f t="shared" si="3543"/>
        <v/>
      </c>
      <c r="FA275" s="66" t="str">
        <f t="shared" si="3544"/>
        <v/>
      </c>
      <c r="FB275" s="66" t="str">
        <f t="shared" si="3545"/>
        <v/>
      </c>
      <c r="FC275" s="66" t="str">
        <f t="shared" si="3546"/>
        <v/>
      </c>
      <c r="FD275" s="66" t="str">
        <f t="shared" si="3547"/>
        <v/>
      </c>
      <c r="FE275" s="66" t="str">
        <f t="shared" si="3548"/>
        <v/>
      </c>
      <c r="FF275" s="66" t="str">
        <f t="shared" si="3549"/>
        <v/>
      </c>
      <c r="FG275" s="66" t="str">
        <f t="shared" si="3550"/>
        <v/>
      </c>
      <c r="FH275" s="66" t="str">
        <f t="shared" si="3551"/>
        <v/>
      </c>
      <c r="FI275" s="66" t="str">
        <f t="shared" si="3552"/>
        <v/>
      </c>
      <c r="FJ275" s="66" t="str">
        <f t="shared" si="3553"/>
        <v/>
      </c>
      <c r="FK275" s="66" t="str">
        <f t="shared" si="3554"/>
        <v/>
      </c>
      <c r="FL275" s="66" t="str">
        <f t="shared" si="3555"/>
        <v/>
      </c>
      <c r="FM275" s="66" t="str">
        <f t="shared" si="3556"/>
        <v/>
      </c>
      <c r="FN275" s="66" t="str">
        <f t="shared" si="3557"/>
        <v/>
      </c>
      <c r="FO275" s="66" t="str">
        <f t="shared" si="3558"/>
        <v/>
      </c>
      <c r="FP275" s="66" t="str">
        <f t="shared" si="3559"/>
        <v/>
      </c>
      <c r="FQ275" s="66" t="str">
        <f t="shared" si="3560"/>
        <v/>
      </c>
      <c r="FR275" s="66" t="str">
        <f t="shared" si="3561"/>
        <v/>
      </c>
      <c r="FS275" s="66" t="str">
        <f t="shared" si="3562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492"/>
        <v>|n</v>
      </c>
      <c r="CW276" s="33"/>
      <c r="CX276" s="33"/>
      <c r="CY276" s="33"/>
      <c r="CZ276" s="33"/>
      <c r="DA276" s="33"/>
      <c r="DB276" s="66" t="str">
        <f t="shared" si="3493"/>
        <v/>
      </c>
      <c r="DC276" s="66" t="str">
        <f t="shared" si="3494"/>
        <v/>
      </c>
      <c r="DD276" s="66" t="str">
        <f t="shared" si="3495"/>
        <v/>
      </c>
      <c r="DE276" s="66" t="str">
        <f t="shared" si="3496"/>
        <v/>
      </c>
      <c r="DF276" s="66" t="str">
        <f t="shared" si="3497"/>
        <v/>
      </c>
      <c r="DG276" s="66" t="str">
        <f t="shared" si="3498"/>
        <v/>
      </c>
      <c r="DH276" s="66" t="str">
        <f t="shared" si="3499"/>
        <v/>
      </c>
      <c r="DI276" s="66" t="str">
        <f t="shared" si="3500"/>
        <v/>
      </c>
      <c r="DJ276" s="66" t="str">
        <f t="shared" si="3501"/>
        <v/>
      </c>
      <c r="DK276" s="66" t="str">
        <f t="shared" si="3502"/>
        <v/>
      </c>
      <c r="DL276" s="66" t="str">
        <f t="shared" si="3503"/>
        <v/>
      </c>
      <c r="DM276" s="66" t="str">
        <f t="shared" si="3504"/>
        <v/>
      </c>
      <c r="DN276" s="66" t="str">
        <f t="shared" si="3505"/>
        <v/>
      </c>
      <c r="DO276" s="66" t="str">
        <f t="shared" si="3506"/>
        <v/>
      </c>
      <c r="DP276" s="66" t="str">
        <f t="shared" si="3507"/>
        <v/>
      </c>
      <c r="DQ276" s="66" t="str">
        <f t="shared" si="3508"/>
        <v/>
      </c>
      <c r="DR276" s="66" t="str">
        <f t="shared" si="3509"/>
        <v/>
      </c>
      <c r="DS276" s="66" t="str">
        <f t="shared" si="3510"/>
        <v/>
      </c>
      <c r="DT276" s="66" t="str">
        <f t="shared" si="3511"/>
        <v/>
      </c>
      <c r="DU276" s="66" t="str">
        <f t="shared" si="3512"/>
        <v/>
      </c>
      <c r="DV276" s="66" t="str">
        <f t="shared" si="3513"/>
        <v/>
      </c>
      <c r="DW276" s="66" t="str">
        <f t="shared" si="3514"/>
        <v/>
      </c>
      <c r="DX276" s="66" t="str">
        <f t="shared" si="3515"/>
        <v/>
      </c>
      <c r="DY276" s="66" t="str">
        <f t="shared" si="3516"/>
        <v/>
      </c>
      <c r="DZ276" s="66" t="str">
        <f t="shared" si="3517"/>
        <v/>
      </c>
      <c r="EA276" s="66" t="str">
        <f t="shared" si="3518"/>
        <v/>
      </c>
      <c r="EB276" s="66" t="str">
        <f t="shared" si="3519"/>
        <v/>
      </c>
      <c r="EC276" s="66" t="str">
        <f t="shared" si="3520"/>
        <v/>
      </c>
      <c r="ED276" s="66" t="str">
        <f t="shared" si="3521"/>
        <v/>
      </c>
      <c r="EE276" s="66" t="str">
        <f t="shared" si="3522"/>
        <v/>
      </c>
      <c r="EF276" s="66" t="str">
        <f t="shared" si="3523"/>
        <v/>
      </c>
      <c r="EG276" s="66" t="str">
        <f t="shared" si="3524"/>
        <v/>
      </c>
      <c r="EH276" s="66" t="str">
        <f t="shared" si="3525"/>
        <v/>
      </c>
      <c r="EI276" s="66" t="str">
        <f t="shared" si="3526"/>
        <v/>
      </c>
      <c r="EJ276" s="66" t="str">
        <f t="shared" si="3527"/>
        <v/>
      </c>
      <c r="EK276" s="66" t="str">
        <f t="shared" si="3528"/>
        <v/>
      </c>
      <c r="EL276" s="66" t="str">
        <f t="shared" si="3529"/>
        <v/>
      </c>
      <c r="EM276" s="66" t="str">
        <f t="shared" si="3530"/>
        <v/>
      </c>
      <c r="EN276" s="66" t="str">
        <f t="shared" si="3531"/>
        <v/>
      </c>
      <c r="EO276" s="66" t="str">
        <f t="shared" si="3532"/>
        <v/>
      </c>
      <c r="EP276" s="66" t="str">
        <f t="shared" si="3533"/>
        <v/>
      </c>
      <c r="EQ276" s="66" t="str">
        <f t="shared" si="3534"/>
        <v/>
      </c>
      <c r="ER276" s="66" t="str">
        <f t="shared" si="3535"/>
        <v/>
      </c>
      <c r="ES276" s="66" t="str">
        <f t="shared" si="3536"/>
        <v/>
      </c>
      <c r="ET276" s="66" t="str">
        <f t="shared" si="3537"/>
        <v/>
      </c>
      <c r="EU276" s="66" t="str">
        <f t="shared" si="3538"/>
        <v/>
      </c>
      <c r="EV276" s="66" t="str">
        <f t="shared" si="3539"/>
        <v/>
      </c>
      <c r="EW276" s="66" t="str">
        <f t="shared" si="3540"/>
        <v/>
      </c>
      <c r="EX276" s="66" t="str">
        <f t="shared" si="3541"/>
        <v/>
      </c>
      <c r="EY276" s="66" t="str">
        <f t="shared" si="3542"/>
        <v/>
      </c>
      <c r="EZ276" s="66" t="str">
        <f t="shared" si="3543"/>
        <v/>
      </c>
      <c r="FA276" s="66" t="str">
        <f t="shared" si="3544"/>
        <v/>
      </c>
      <c r="FB276" s="66" t="str">
        <f t="shared" si="3545"/>
        <v/>
      </c>
      <c r="FC276" s="66" t="str">
        <f t="shared" si="3546"/>
        <v/>
      </c>
      <c r="FD276" s="66" t="str">
        <f t="shared" si="3547"/>
        <v/>
      </c>
      <c r="FE276" s="66" t="str">
        <f t="shared" si="3548"/>
        <v/>
      </c>
      <c r="FF276" s="66" t="str">
        <f t="shared" si="3549"/>
        <v/>
      </c>
      <c r="FG276" s="66" t="str">
        <f t="shared" si="3550"/>
        <v/>
      </c>
      <c r="FH276" s="66" t="str">
        <f t="shared" si="3551"/>
        <v/>
      </c>
      <c r="FI276" s="66" t="str">
        <f t="shared" si="3552"/>
        <v/>
      </c>
      <c r="FJ276" s="66" t="str">
        <f t="shared" si="3553"/>
        <v/>
      </c>
      <c r="FK276" s="66" t="str">
        <f t="shared" si="3554"/>
        <v/>
      </c>
      <c r="FL276" s="66" t="str">
        <f t="shared" si="3555"/>
        <v/>
      </c>
      <c r="FM276" s="66" t="str">
        <f t="shared" si="3556"/>
        <v/>
      </c>
      <c r="FN276" s="66" t="str">
        <f t="shared" si="3557"/>
        <v/>
      </c>
      <c r="FO276" s="66" t="str">
        <f t="shared" si="3558"/>
        <v/>
      </c>
      <c r="FP276" s="66" t="str">
        <f t="shared" si="3559"/>
        <v/>
      </c>
      <c r="FQ276" s="66" t="str">
        <f t="shared" si="3560"/>
        <v/>
      </c>
      <c r="FR276" s="66" t="str">
        <f t="shared" si="3561"/>
        <v/>
      </c>
      <c r="FS276" s="66" t="str">
        <f t="shared" si="3562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492"/>
        <v>|n</v>
      </c>
      <c r="CW277" s="33"/>
      <c r="CX277" s="33"/>
      <c r="CY277" s="33"/>
      <c r="CZ277" s="33"/>
      <c r="DA277" s="33"/>
      <c r="DB277" s="66" t="str">
        <f t="shared" si="3493"/>
        <v/>
      </c>
      <c r="DC277" s="66" t="str">
        <f t="shared" si="3494"/>
        <v/>
      </c>
      <c r="DD277" s="66" t="str">
        <f t="shared" si="3495"/>
        <v/>
      </c>
      <c r="DE277" s="66" t="str">
        <f t="shared" si="3496"/>
        <v/>
      </c>
      <c r="DF277" s="66" t="str">
        <f t="shared" si="3497"/>
        <v/>
      </c>
      <c r="DG277" s="66" t="str">
        <f t="shared" si="3498"/>
        <v/>
      </c>
      <c r="DH277" s="66" t="str">
        <f t="shared" si="3499"/>
        <v/>
      </c>
      <c r="DI277" s="66" t="str">
        <f t="shared" si="3500"/>
        <v/>
      </c>
      <c r="DJ277" s="66" t="str">
        <f t="shared" si="3501"/>
        <v/>
      </c>
      <c r="DK277" s="66" t="str">
        <f t="shared" si="3502"/>
        <v/>
      </c>
      <c r="DL277" s="66" t="str">
        <f t="shared" si="3503"/>
        <v/>
      </c>
      <c r="DM277" s="66" t="str">
        <f t="shared" si="3504"/>
        <v/>
      </c>
      <c r="DN277" s="66" t="str">
        <f t="shared" si="3505"/>
        <v/>
      </c>
      <c r="DO277" s="66" t="str">
        <f t="shared" si="3506"/>
        <v/>
      </c>
      <c r="DP277" s="66" t="str">
        <f t="shared" si="3507"/>
        <v/>
      </c>
      <c r="DQ277" s="66" t="str">
        <f t="shared" si="3508"/>
        <v/>
      </c>
      <c r="DR277" s="66" t="str">
        <f t="shared" si="3509"/>
        <v/>
      </c>
      <c r="DS277" s="66" t="str">
        <f t="shared" si="3510"/>
        <v/>
      </c>
      <c r="DT277" s="66" t="str">
        <f t="shared" si="3511"/>
        <v/>
      </c>
      <c r="DU277" s="66" t="str">
        <f t="shared" si="3512"/>
        <v/>
      </c>
      <c r="DV277" s="66" t="str">
        <f t="shared" si="3513"/>
        <v/>
      </c>
      <c r="DW277" s="66" t="str">
        <f t="shared" si="3514"/>
        <v/>
      </c>
      <c r="DX277" s="66" t="str">
        <f t="shared" si="3515"/>
        <v/>
      </c>
      <c r="DY277" s="66" t="str">
        <f t="shared" si="3516"/>
        <v/>
      </c>
      <c r="DZ277" s="66" t="str">
        <f t="shared" si="3517"/>
        <v/>
      </c>
      <c r="EA277" s="66" t="str">
        <f t="shared" si="3518"/>
        <v/>
      </c>
      <c r="EB277" s="66" t="str">
        <f t="shared" si="3519"/>
        <v/>
      </c>
      <c r="EC277" s="66" t="str">
        <f t="shared" si="3520"/>
        <v/>
      </c>
      <c r="ED277" s="66" t="str">
        <f t="shared" si="3521"/>
        <v/>
      </c>
      <c r="EE277" s="66" t="str">
        <f t="shared" si="3522"/>
        <v/>
      </c>
      <c r="EF277" s="66" t="str">
        <f t="shared" si="3523"/>
        <v/>
      </c>
      <c r="EG277" s="66" t="str">
        <f t="shared" si="3524"/>
        <v/>
      </c>
      <c r="EH277" s="66" t="str">
        <f t="shared" si="3525"/>
        <v/>
      </c>
      <c r="EI277" s="66" t="str">
        <f t="shared" si="3526"/>
        <v/>
      </c>
      <c r="EJ277" s="66" t="str">
        <f t="shared" si="3527"/>
        <v/>
      </c>
      <c r="EK277" s="66" t="str">
        <f t="shared" si="3528"/>
        <v/>
      </c>
      <c r="EL277" s="66" t="str">
        <f t="shared" si="3529"/>
        <v/>
      </c>
      <c r="EM277" s="66" t="str">
        <f t="shared" si="3530"/>
        <v/>
      </c>
      <c r="EN277" s="66" t="str">
        <f t="shared" si="3531"/>
        <v/>
      </c>
      <c r="EO277" s="66" t="str">
        <f t="shared" si="3532"/>
        <v/>
      </c>
      <c r="EP277" s="66" t="str">
        <f t="shared" si="3533"/>
        <v/>
      </c>
      <c r="EQ277" s="66" t="str">
        <f t="shared" si="3534"/>
        <v/>
      </c>
      <c r="ER277" s="66" t="str">
        <f t="shared" si="3535"/>
        <v/>
      </c>
      <c r="ES277" s="66" t="str">
        <f t="shared" si="3536"/>
        <v/>
      </c>
      <c r="ET277" s="66" t="str">
        <f t="shared" si="3537"/>
        <v/>
      </c>
      <c r="EU277" s="66" t="str">
        <f t="shared" si="3538"/>
        <v/>
      </c>
      <c r="EV277" s="66" t="str">
        <f t="shared" si="3539"/>
        <v/>
      </c>
      <c r="EW277" s="66" t="str">
        <f t="shared" si="3540"/>
        <v/>
      </c>
      <c r="EX277" s="66" t="str">
        <f t="shared" si="3541"/>
        <v/>
      </c>
      <c r="EY277" s="66" t="str">
        <f t="shared" si="3542"/>
        <v/>
      </c>
      <c r="EZ277" s="66" t="str">
        <f t="shared" si="3543"/>
        <v/>
      </c>
      <c r="FA277" s="66" t="str">
        <f t="shared" si="3544"/>
        <v/>
      </c>
      <c r="FB277" s="66" t="str">
        <f t="shared" si="3545"/>
        <v/>
      </c>
      <c r="FC277" s="66" t="str">
        <f t="shared" si="3546"/>
        <v/>
      </c>
      <c r="FD277" s="66" t="str">
        <f t="shared" si="3547"/>
        <v/>
      </c>
      <c r="FE277" s="66" t="str">
        <f t="shared" si="3548"/>
        <v/>
      </c>
      <c r="FF277" s="66" t="str">
        <f t="shared" si="3549"/>
        <v/>
      </c>
      <c r="FG277" s="66" t="str">
        <f t="shared" si="3550"/>
        <v/>
      </c>
      <c r="FH277" s="66" t="str">
        <f t="shared" si="3551"/>
        <v/>
      </c>
      <c r="FI277" s="66" t="str">
        <f t="shared" si="3552"/>
        <v/>
      </c>
      <c r="FJ277" s="66" t="str">
        <f t="shared" si="3553"/>
        <v/>
      </c>
      <c r="FK277" s="66" t="str">
        <f t="shared" si="3554"/>
        <v/>
      </c>
      <c r="FL277" s="66" t="str">
        <f t="shared" si="3555"/>
        <v/>
      </c>
      <c r="FM277" s="66" t="str">
        <f t="shared" si="3556"/>
        <v/>
      </c>
      <c r="FN277" s="66" t="str">
        <f t="shared" si="3557"/>
        <v/>
      </c>
      <c r="FO277" s="66" t="str">
        <f t="shared" si="3558"/>
        <v/>
      </c>
      <c r="FP277" s="66" t="str">
        <f t="shared" si="3559"/>
        <v/>
      </c>
      <c r="FQ277" s="66" t="str">
        <f t="shared" si="3560"/>
        <v/>
      </c>
      <c r="FR277" s="66" t="str">
        <f t="shared" si="3561"/>
        <v/>
      </c>
      <c r="FS277" s="66" t="str">
        <f t="shared" si="3562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492"/>
        <v>|n</v>
      </c>
      <c r="CW278" s="33"/>
      <c r="CX278" s="33"/>
      <c r="CY278" s="33"/>
      <c r="CZ278" s="33"/>
      <c r="DA278" s="33"/>
      <c r="DB278" s="66" t="str">
        <f t="shared" si="3493"/>
        <v/>
      </c>
      <c r="DC278" s="66" t="str">
        <f t="shared" si="3494"/>
        <v/>
      </c>
      <c r="DD278" s="66" t="str">
        <f t="shared" si="3495"/>
        <v/>
      </c>
      <c r="DE278" s="66" t="str">
        <f t="shared" si="3496"/>
        <v/>
      </c>
      <c r="DF278" s="66" t="str">
        <f t="shared" si="3497"/>
        <v/>
      </c>
      <c r="DG278" s="66" t="str">
        <f t="shared" si="3498"/>
        <v/>
      </c>
      <c r="DH278" s="66" t="str">
        <f t="shared" si="3499"/>
        <v/>
      </c>
      <c r="DI278" s="66" t="str">
        <f t="shared" si="3500"/>
        <v/>
      </c>
      <c r="DJ278" s="66" t="str">
        <f t="shared" si="3501"/>
        <v/>
      </c>
      <c r="DK278" s="66" t="str">
        <f t="shared" si="3502"/>
        <v/>
      </c>
      <c r="DL278" s="66" t="str">
        <f t="shared" si="3503"/>
        <v/>
      </c>
      <c r="DM278" s="66" t="str">
        <f t="shared" si="3504"/>
        <v/>
      </c>
      <c r="DN278" s="66" t="str">
        <f t="shared" si="3505"/>
        <v/>
      </c>
      <c r="DO278" s="66" t="str">
        <f t="shared" si="3506"/>
        <v/>
      </c>
      <c r="DP278" s="66" t="str">
        <f t="shared" si="3507"/>
        <v/>
      </c>
      <c r="DQ278" s="66" t="str">
        <f t="shared" si="3508"/>
        <v/>
      </c>
      <c r="DR278" s="66" t="str">
        <f t="shared" si="3509"/>
        <v/>
      </c>
      <c r="DS278" s="66" t="str">
        <f t="shared" si="3510"/>
        <v/>
      </c>
      <c r="DT278" s="66" t="str">
        <f t="shared" si="3511"/>
        <v/>
      </c>
      <c r="DU278" s="66" t="str">
        <f t="shared" si="3512"/>
        <v/>
      </c>
      <c r="DV278" s="66" t="str">
        <f t="shared" si="3513"/>
        <v/>
      </c>
      <c r="DW278" s="66" t="str">
        <f t="shared" si="3514"/>
        <v/>
      </c>
      <c r="DX278" s="66" t="str">
        <f t="shared" si="3515"/>
        <v/>
      </c>
      <c r="DY278" s="66" t="str">
        <f t="shared" si="3516"/>
        <v/>
      </c>
      <c r="DZ278" s="66" t="str">
        <f t="shared" si="3517"/>
        <v/>
      </c>
      <c r="EA278" s="66" t="str">
        <f t="shared" si="3518"/>
        <v/>
      </c>
      <c r="EB278" s="66" t="str">
        <f t="shared" si="3519"/>
        <v/>
      </c>
      <c r="EC278" s="66" t="str">
        <f t="shared" si="3520"/>
        <v/>
      </c>
      <c r="ED278" s="66" t="str">
        <f t="shared" si="3521"/>
        <v/>
      </c>
      <c r="EE278" s="66" t="str">
        <f t="shared" si="3522"/>
        <v/>
      </c>
      <c r="EF278" s="66" t="str">
        <f t="shared" si="3523"/>
        <v/>
      </c>
      <c r="EG278" s="66" t="str">
        <f t="shared" si="3524"/>
        <v/>
      </c>
      <c r="EH278" s="66" t="str">
        <f t="shared" si="3525"/>
        <v/>
      </c>
      <c r="EI278" s="66" t="str">
        <f t="shared" si="3526"/>
        <v/>
      </c>
      <c r="EJ278" s="66" t="str">
        <f t="shared" si="3527"/>
        <v/>
      </c>
      <c r="EK278" s="66" t="str">
        <f t="shared" si="3528"/>
        <v/>
      </c>
      <c r="EL278" s="66" t="str">
        <f t="shared" si="3529"/>
        <v/>
      </c>
      <c r="EM278" s="66" t="str">
        <f t="shared" si="3530"/>
        <v/>
      </c>
      <c r="EN278" s="66" t="str">
        <f t="shared" si="3531"/>
        <v/>
      </c>
      <c r="EO278" s="66" t="str">
        <f t="shared" si="3532"/>
        <v/>
      </c>
      <c r="EP278" s="66" t="str">
        <f t="shared" si="3533"/>
        <v/>
      </c>
      <c r="EQ278" s="66" t="str">
        <f t="shared" si="3534"/>
        <v/>
      </c>
      <c r="ER278" s="66" t="str">
        <f t="shared" si="3535"/>
        <v/>
      </c>
      <c r="ES278" s="66" t="str">
        <f t="shared" si="3536"/>
        <v/>
      </c>
      <c r="ET278" s="66" t="str">
        <f t="shared" si="3537"/>
        <v/>
      </c>
      <c r="EU278" s="66" t="str">
        <f t="shared" si="3538"/>
        <v/>
      </c>
      <c r="EV278" s="66" t="str">
        <f t="shared" si="3539"/>
        <v/>
      </c>
      <c r="EW278" s="66" t="str">
        <f t="shared" si="3540"/>
        <v/>
      </c>
      <c r="EX278" s="66" t="str">
        <f t="shared" si="3541"/>
        <v/>
      </c>
      <c r="EY278" s="66" t="str">
        <f t="shared" si="3542"/>
        <v/>
      </c>
      <c r="EZ278" s="66" t="str">
        <f t="shared" si="3543"/>
        <v/>
      </c>
      <c r="FA278" s="66" t="str">
        <f t="shared" si="3544"/>
        <v/>
      </c>
      <c r="FB278" s="66" t="str">
        <f t="shared" si="3545"/>
        <v/>
      </c>
      <c r="FC278" s="66" t="str">
        <f t="shared" si="3546"/>
        <v/>
      </c>
      <c r="FD278" s="66" t="str">
        <f t="shared" si="3547"/>
        <v/>
      </c>
      <c r="FE278" s="66" t="str">
        <f t="shared" si="3548"/>
        <v/>
      </c>
      <c r="FF278" s="66" t="str">
        <f t="shared" si="3549"/>
        <v/>
      </c>
      <c r="FG278" s="66" t="str">
        <f t="shared" si="3550"/>
        <v/>
      </c>
      <c r="FH278" s="66" t="str">
        <f t="shared" si="3551"/>
        <v/>
      </c>
      <c r="FI278" s="66" t="str">
        <f t="shared" si="3552"/>
        <v/>
      </c>
      <c r="FJ278" s="66" t="str">
        <f t="shared" si="3553"/>
        <v/>
      </c>
      <c r="FK278" s="66" t="str">
        <f t="shared" si="3554"/>
        <v/>
      </c>
      <c r="FL278" s="66" t="str">
        <f t="shared" si="3555"/>
        <v/>
      </c>
      <c r="FM278" s="66" t="str">
        <f t="shared" si="3556"/>
        <v/>
      </c>
      <c r="FN278" s="66" t="str">
        <f t="shared" si="3557"/>
        <v/>
      </c>
      <c r="FO278" s="66" t="str">
        <f t="shared" si="3558"/>
        <v/>
      </c>
      <c r="FP278" s="66" t="str">
        <f t="shared" si="3559"/>
        <v/>
      </c>
      <c r="FQ278" s="66" t="str">
        <f t="shared" si="3560"/>
        <v/>
      </c>
      <c r="FR278" s="66" t="str">
        <f t="shared" si="3561"/>
        <v/>
      </c>
      <c r="FS278" s="66" t="str">
        <f t="shared" si="3562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492"/>
        <v>|n</v>
      </c>
      <c r="CW279" s="33"/>
      <c r="CX279" s="33"/>
      <c r="CY279" s="33"/>
      <c r="CZ279" s="33"/>
      <c r="DA279" s="33"/>
      <c r="DB279" s="66" t="str">
        <f t="shared" si="3493"/>
        <v/>
      </c>
      <c r="DC279" s="66" t="str">
        <f t="shared" si="3494"/>
        <v/>
      </c>
      <c r="DD279" s="66" t="str">
        <f t="shared" si="3495"/>
        <v/>
      </c>
      <c r="DE279" s="66" t="str">
        <f t="shared" si="3496"/>
        <v/>
      </c>
      <c r="DF279" s="66" t="str">
        <f t="shared" si="3497"/>
        <v/>
      </c>
      <c r="DG279" s="66" t="str">
        <f t="shared" si="3498"/>
        <v/>
      </c>
      <c r="DH279" s="66" t="str">
        <f t="shared" si="3499"/>
        <v/>
      </c>
      <c r="DI279" s="66" t="str">
        <f t="shared" si="3500"/>
        <v/>
      </c>
      <c r="DJ279" s="66" t="str">
        <f t="shared" si="3501"/>
        <v/>
      </c>
      <c r="DK279" s="66" t="str">
        <f t="shared" si="3502"/>
        <v/>
      </c>
      <c r="DL279" s="66" t="str">
        <f t="shared" si="3503"/>
        <v/>
      </c>
      <c r="DM279" s="66" t="str">
        <f t="shared" si="3504"/>
        <v/>
      </c>
      <c r="DN279" s="66" t="str">
        <f t="shared" si="3505"/>
        <v/>
      </c>
      <c r="DO279" s="66" t="str">
        <f t="shared" si="3506"/>
        <v/>
      </c>
      <c r="DP279" s="66" t="str">
        <f t="shared" si="3507"/>
        <v/>
      </c>
      <c r="DQ279" s="66" t="str">
        <f t="shared" si="3508"/>
        <v/>
      </c>
      <c r="DR279" s="66" t="str">
        <f t="shared" si="3509"/>
        <v/>
      </c>
      <c r="DS279" s="66" t="str">
        <f t="shared" si="3510"/>
        <v/>
      </c>
      <c r="DT279" s="66" t="str">
        <f t="shared" si="3511"/>
        <v/>
      </c>
      <c r="DU279" s="66" t="str">
        <f t="shared" si="3512"/>
        <v/>
      </c>
      <c r="DV279" s="66" t="str">
        <f t="shared" si="3513"/>
        <v/>
      </c>
      <c r="DW279" s="66" t="str">
        <f t="shared" si="3514"/>
        <v/>
      </c>
      <c r="DX279" s="66" t="str">
        <f t="shared" si="3515"/>
        <v/>
      </c>
      <c r="DY279" s="66" t="str">
        <f t="shared" si="3516"/>
        <v/>
      </c>
      <c r="DZ279" s="66" t="str">
        <f t="shared" si="3517"/>
        <v/>
      </c>
      <c r="EA279" s="66" t="str">
        <f t="shared" si="3518"/>
        <v/>
      </c>
      <c r="EB279" s="66" t="str">
        <f t="shared" si="3519"/>
        <v/>
      </c>
      <c r="EC279" s="66" t="str">
        <f t="shared" si="3520"/>
        <v/>
      </c>
      <c r="ED279" s="66" t="str">
        <f t="shared" si="3521"/>
        <v/>
      </c>
      <c r="EE279" s="66" t="str">
        <f t="shared" si="3522"/>
        <v/>
      </c>
      <c r="EF279" s="66" t="str">
        <f t="shared" si="3523"/>
        <v/>
      </c>
      <c r="EG279" s="66" t="str">
        <f t="shared" si="3524"/>
        <v/>
      </c>
      <c r="EH279" s="66" t="str">
        <f t="shared" si="3525"/>
        <v/>
      </c>
      <c r="EI279" s="66" t="str">
        <f t="shared" si="3526"/>
        <v/>
      </c>
      <c r="EJ279" s="66" t="str">
        <f t="shared" si="3527"/>
        <v/>
      </c>
      <c r="EK279" s="66" t="str">
        <f t="shared" si="3528"/>
        <v/>
      </c>
      <c r="EL279" s="66" t="str">
        <f t="shared" si="3529"/>
        <v/>
      </c>
      <c r="EM279" s="66" t="str">
        <f t="shared" si="3530"/>
        <v/>
      </c>
      <c r="EN279" s="66" t="str">
        <f t="shared" si="3531"/>
        <v/>
      </c>
      <c r="EO279" s="66" t="str">
        <f t="shared" si="3532"/>
        <v/>
      </c>
      <c r="EP279" s="66" t="str">
        <f t="shared" si="3533"/>
        <v/>
      </c>
      <c r="EQ279" s="66" t="str">
        <f t="shared" si="3534"/>
        <v/>
      </c>
      <c r="ER279" s="66" t="str">
        <f t="shared" si="3535"/>
        <v/>
      </c>
      <c r="ES279" s="66" t="str">
        <f t="shared" si="3536"/>
        <v/>
      </c>
      <c r="ET279" s="66" t="str">
        <f t="shared" si="3537"/>
        <v/>
      </c>
      <c r="EU279" s="66" t="str">
        <f t="shared" si="3538"/>
        <v/>
      </c>
      <c r="EV279" s="66" t="str">
        <f t="shared" si="3539"/>
        <v/>
      </c>
      <c r="EW279" s="66" t="str">
        <f t="shared" si="3540"/>
        <v/>
      </c>
      <c r="EX279" s="66" t="str">
        <f t="shared" si="3541"/>
        <v/>
      </c>
      <c r="EY279" s="66" t="str">
        <f t="shared" si="3542"/>
        <v/>
      </c>
      <c r="EZ279" s="66" t="str">
        <f t="shared" si="3543"/>
        <v/>
      </c>
      <c r="FA279" s="66" t="str">
        <f t="shared" si="3544"/>
        <v/>
      </c>
      <c r="FB279" s="66" t="str">
        <f t="shared" si="3545"/>
        <v/>
      </c>
      <c r="FC279" s="66" t="str">
        <f t="shared" si="3546"/>
        <v/>
      </c>
      <c r="FD279" s="66" t="str">
        <f t="shared" si="3547"/>
        <v/>
      </c>
      <c r="FE279" s="66" t="str">
        <f t="shared" si="3548"/>
        <v/>
      </c>
      <c r="FF279" s="66" t="str">
        <f t="shared" si="3549"/>
        <v/>
      </c>
      <c r="FG279" s="66" t="str">
        <f t="shared" si="3550"/>
        <v/>
      </c>
      <c r="FH279" s="66" t="str">
        <f t="shared" si="3551"/>
        <v/>
      </c>
      <c r="FI279" s="66" t="str">
        <f t="shared" si="3552"/>
        <v/>
      </c>
      <c r="FJ279" s="66" t="str">
        <f t="shared" si="3553"/>
        <v/>
      </c>
      <c r="FK279" s="66" t="str">
        <f t="shared" si="3554"/>
        <v/>
      </c>
      <c r="FL279" s="66" t="str">
        <f t="shared" si="3555"/>
        <v/>
      </c>
      <c r="FM279" s="66" t="str">
        <f t="shared" si="3556"/>
        <v/>
      </c>
      <c r="FN279" s="66" t="str">
        <f t="shared" si="3557"/>
        <v/>
      </c>
      <c r="FO279" s="66" t="str">
        <f t="shared" si="3558"/>
        <v/>
      </c>
      <c r="FP279" s="66" t="str">
        <f t="shared" si="3559"/>
        <v/>
      </c>
      <c r="FQ279" s="66" t="str">
        <f t="shared" si="3560"/>
        <v/>
      </c>
      <c r="FR279" s="66" t="str">
        <f t="shared" si="3561"/>
        <v/>
      </c>
      <c r="FS279" s="66" t="str">
        <f t="shared" si="3562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492"/>
        <v>|n</v>
      </c>
      <c r="CW280" s="33"/>
      <c r="CX280" s="33"/>
      <c r="CY280" s="33"/>
      <c r="CZ280" s="33"/>
      <c r="DA280" s="33"/>
      <c r="DB280" s="66" t="str">
        <f t="shared" si="3493"/>
        <v/>
      </c>
      <c r="DC280" s="66" t="str">
        <f t="shared" si="3494"/>
        <v/>
      </c>
      <c r="DD280" s="66" t="str">
        <f t="shared" si="3495"/>
        <v/>
      </c>
      <c r="DE280" s="66" t="str">
        <f t="shared" si="3496"/>
        <v/>
      </c>
      <c r="DF280" s="66" t="str">
        <f t="shared" si="3497"/>
        <v/>
      </c>
      <c r="DG280" s="66" t="str">
        <f t="shared" si="3498"/>
        <v/>
      </c>
      <c r="DH280" s="66" t="str">
        <f t="shared" si="3499"/>
        <v/>
      </c>
      <c r="DI280" s="66" t="str">
        <f t="shared" si="3500"/>
        <v/>
      </c>
      <c r="DJ280" s="66" t="str">
        <f t="shared" si="3501"/>
        <v/>
      </c>
      <c r="DK280" s="66" t="str">
        <f t="shared" si="3502"/>
        <v/>
      </c>
      <c r="DL280" s="66" t="str">
        <f t="shared" si="3503"/>
        <v/>
      </c>
      <c r="DM280" s="66" t="str">
        <f t="shared" si="3504"/>
        <v/>
      </c>
      <c r="DN280" s="66" t="str">
        <f t="shared" si="3505"/>
        <v/>
      </c>
      <c r="DO280" s="66" t="str">
        <f t="shared" si="3506"/>
        <v/>
      </c>
      <c r="DP280" s="66" t="str">
        <f t="shared" si="3507"/>
        <v/>
      </c>
      <c r="DQ280" s="66" t="str">
        <f t="shared" si="3508"/>
        <v/>
      </c>
      <c r="DR280" s="66" t="str">
        <f t="shared" si="3509"/>
        <v/>
      </c>
      <c r="DS280" s="66" t="str">
        <f t="shared" si="3510"/>
        <v/>
      </c>
      <c r="DT280" s="66" t="str">
        <f t="shared" si="3511"/>
        <v/>
      </c>
      <c r="DU280" s="66" t="str">
        <f t="shared" si="3512"/>
        <v/>
      </c>
      <c r="DV280" s="66" t="str">
        <f t="shared" si="3513"/>
        <v/>
      </c>
      <c r="DW280" s="66" t="str">
        <f t="shared" si="3514"/>
        <v/>
      </c>
      <c r="DX280" s="66" t="str">
        <f t="shared" si="3515"/>
        <v/>
      </c>
      <c r="DY280" s="66" t="str">
        <f t="shared" si="3516"/>
        <v/>
      </c>
      <c r="DZ280" s="66" t="str">
        <f t="shared" si="3517"/>
        <v/>
      </c>
      <c r="EA280" s="66" t="str">
        <f t="shared" si="3518"/>
        <v/>
      </c>
      <c r="EB280" s="66" t="str">
        <f t="shared" si="3519"/>
        <v/>
      </c>
      <c r="EC280" s="66" t="str">
        <f t="shared" si="3520"/>
        <v/>
      </c>
      <c r="ED280" s="66" t="str">
        <f t="shared" si="3521"/>
        <v/>
      </c>
      <c r="EE280" s="66" t="str">
        <f t="shared" si="3522"/>
        <v/>
      </c>
      <c r="EF280" s="66" t="str">
        <f t="shared" si="3523"/>
        <v/>
      </c>
      <c r="EG280" s="66" t="str">
        <f t="shared" si="3524"/>
        <v/>
      </c>
      <c r="EH280" s="66" t="str">
        <f t="shared" si="3525"/>
        <v/>
      </c>
      <c r="EI280" s="66" t="str">
        <f t="shared" si="3526"/>
        <v/>
      </c>
      <c r="EJ280" s="66" t="str">
        <f t="shared" si="3527"/>
        <v/>
      </c>
      <c r="EK280" s="66" t="str">
        <f t="shared" si="3528"/>
        <v/>
      </c>
      <c r="EL280" s="66" t="str">
        <f t="shared" si="3529"/>
        <v/>
      </c>
      <c r="EM280" s="66" t="str">
        <f t="shared" si="3530"/>
        <v/>
      </c>
      <c r="EN280" s="66" t="str">
        <f t="shared" si="3531"/>
        <v/>
      </c>
      <c r="EO280" s="66" t="str">
        <f t="shared" si="3532"/>
        <v/>
      </c>
      <c r="EP280" s="66" t="str">
        <f t="shared" si="3533"/>
        <v/>
      </c>
      <c r="EQ280" s="66" t="str">
        <f t="shared" si="3534"/>
        <v/>
      </c>
      <c r="ER280" s="66" t="str">
        <f t="shared" si="3535"/>
        <v/>
      </c>
      <c r="ES280" s="66" t="str">
        <f t="shared" si="3536"/>
        <v/>
      </c>
      <c r="ET280" s="66" t="str">
        <f t="shared" si="3537"/>
        <v/>
      </c>
      <c r="EU280" s="66" t="str">
        <f t="shared" si="3538"/>
        <v/>
      </c>
      <c r="EV280" s="66" t="str">
        <f t="shared" si="3539"/>
        <v/>
      </c>
      <c r="EW280" s="66" t="str">
        <f t="shared" si="3540"/>
        <v/>
      </c>
      <c r="EX280" s="66" t="str">
        <f t="shared" si="3541"/>
        <v/>
      </c>
      <c r="EY280" s="66" t="str">
        <f t="shared" si="3542"/>
        <v/>
      </c>
      <c r="EZ280" s="66" t="str">
        <f t="shared" si="3543"/>
        <v/>
      </c>
      <c r="FA280" s="66" t="str">
        <f t="shared" si="3544"/>
        <v/>
      </c>
      <c r="FB280" s="66" t="str">
        <f t="shared" si="3545"/>
        <v/>
      </c>
      <c r="FC280" s="66" t="str">
        <f t="shared" si="3546"/>
        <v/>
      </c>
      <c r="FD280" s="66" t="str">
        <f t="shared" si="3547"/>
        <v/>
      </c>
      <c r="FE280" s="66" t="str">
        <f t="shared" si="3548"/>
        <v/>
      </c>
      <c r="FF280" s="66" t="str">
        <f t="shared" si="3549"/>
        <v/>
      </c>
      <c r="FG280" s="66" t="str">
        <f t="shared" si="3550"/>
        <v/>
      </c>
      <c r="FH280" s="66" t="str">
        <f t="shared" si="3551"/>
        <v/>
      </c>
      <c r="FI280" s="66" t="str">
        <f t="shared" si="3552"/>
        <v/>
      </c>
      <c r="FJ280" s="66" t="str">
        <f t="shared" si="3553"/>
        <v/>
      </c>
      <c r="FK280" s="66" t="str">
        <f t="shared" si="3554"/>
        <v/>
      </c>
      <c r="FL280" s="66" t="str">
        <f t="shared" si="3555"/>
        <v/>
      </c>
      <c r="FM280" s="66" t="str">
        <f t="shared" si="3556"/>
        <v/>
      </c>
      <c r="FN280" s="66" t="str">
        <f t="shared" si="3557"/>
        <v/>
      </c>
      <c r="FO280" s="66" t="str">
        <f t="shared" si="3558"/>
        <v/>
      </c>
      <c r="FP280" s="66" t="str">
        <f t="shared" si="3559"/>
        <v/>
      </c>
      <c r="FQ280" s="66" t="str">
        <f t="shared" si="3560"/>
        <v/>
      </c>
      <c r="FR280" s="66" t="str">
        <f t="shared" si="3561"/>
        <v/>
      </c>
      <c r="FS280" s="66" t="str">
        <f t="shared" si="3562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492"/>
        <v>|n</v>
      </c>
      <c r="CW281" s="33"/>
      <c r="CX281" s="33"/>
      <c r="CY281" s="33"/>
      <c r="CZ281" s="33"/>
      <c r="DA281" s="33"/>
      <c r="DB281" s="66" t="str">
        <f t="shared" si="3493"/>
        <v/>
      </c>
      <c r="DC281" s="66" t="str">
        <f t="shared" si="3494"/>
        <v/>
      </c>
      <c r="DD281" s="66" t="str">
        <f t="shared" si="3495"/>
        <v/>
      </c>
      <c r="DE281" s="66" t="str">
        <f t="shared" si="3496"/>
        <v/>
      </c>
      <c r="DF281" s="66" t="str">
        <f t="shared" si="3497"/>
        <v/>
      </c>
      <c r="DG281" s="66" t="str">
        <f t="shared" si="3498"/>
        <v/>
      </c>
      <c r="DH281" s="66" t="str">
        <f t="shared" si="3499"/>
        <v/>
      </c>
      <c r="DI281" s="66" t="str">
        <f t="shared" si="3500"/>
        <v/>
      </c>
      <c r="DJ281" s="66" t="str">
        <f t="shared" si="3501"/>
        <v/>
      </c>
      <c r="DK281" s="66" t="str">
        <f t="shared" si="3502"/>
        <v/>
      </c>
      <c r="DL281" s="66" t="str">
        <f t="shared" si="3503"/>
        <v/>
      </c>
      <c r="DM281" s="66" t="str">
        <f t="shared" si="3504"/>
        <v/>
      </c>
      <c r="DN281" s="66" t="str">
        <f t="shared" si="3505"/>
        <v/>
      </c>
      <c r="DO281" s="66" t="str">
        <f t="shared" si="3506"/>
        <v/>
      </c>
      <c r="DP281" s="66" t="str">
        <f t="shared" si="3507"/>
        <v/>
      </c>
      <c r="DQ281" s="66" t="str">
        <f t="shared" si="3508"/>
        <v/>
      </c>
      <c r="DR281" s="66" t="str">
        <f t="shared" si="3509"/>
        <v/>
      </c>
      <c r="DS281" s="66" t="str">
        <f t="shared" si="3510"/>
        <v/>
      </c>
      <c r="DT281" s="66" t="str">
        <f t="shared" si="3511"/>
        <v/>
      </c>
      <c r="DU281" s="66" t="str">
        <f t="shared" si="3512"/>
        <v/>
      </c>
      <c r="DV281" s="66" t="str">
        <f t="shared" si="3513"/>
        <v/>
      </c>
      <c r="DW281" s="66" t="str">
        <f t="shared" si="3514"/>
        <v/>
      </c>
      <c r="DX281" s="66" t="str">
        <f t="shared" si="3515"/>
        <v/>
      </c>
      <c r="DY281" s="66" t="str">
        <f t="shared" si="3516"/>
        <v/>
      </c>
      <c r="DZ281" s="66" t="str">
        <f t="shared" si="3517"/>
        <v/>
      </c>
      <c r="EA281" s="66" t="str">
        <f t="shared" si="3518"/>
        <v/>
      </c>
      <c r="EB281" s="66" t="str">
        <f t="shared" si="3519"/>
        <v/>
      </c>
      <c r="EC281" s="66" t="str">
        <f t="shared" si="3520"/>
        <v/>
      </c>
      <c r="ED281" s="66" t="str">
        <f t="shared" si="3521"/>
        <v/>
      </c>
      <c r="EE281" s="66" t="str">
        <f t="shared" si="3522"/>
        <v/>
      </c>
      <c r="EF281" s="66" t="str">
        <f t="shared" si="3523"/>
        <v/>
      </c>
      <c r="EG281" s="66" t="str">
        <f t="shared" si="3524"/>
        <v/>
      </c>
      <c r="EH281" s="66" t="str">
        <f t="shared" si="3525"/>
        <v/>
      </c>
      <c r="EI281" s="66" t="str">
        <f t="shared" si="3526"/>
        <v/>
      </c>
      <c r="EJ281" s="66" t="str">
        <f t="shared" si="3527"/>
        <v/>
      </c>
      <c r="EK281" s="66" t="str">
        <f t="shared" si="3528"/>
        <v/>
      </c>
      <c r="EL281" s="66" t="str">
        <f t="shared" si="3529"/>
        <v/>
      </c>
      <c r="EM281" s="66" t="str">
        <f t="shared" si="3530"/>
        <v/>
      </c>
      <c r="EN281" s="66" t="str">
        <f t="shared" si="3531"/>
        <v/>
      </c>
      <c r="EO281" s="66" t="str">
        <f t="shared" si="3532"/>
        <v/>
      </c>
      <c r="EP281" s="66" t="str">
        <f t="shared" si="3533"/>
        <v/>
      </c>
      <c r="EQ281" s="66" t="str">
        <f t="shared" si="3534"/>
        <v/>
      </c>
      <c r="ER281" s="66" t="str">
        <f t="shared" si="3535"/>
        <v/>
      </c>
      <c r="ES281" s="66" t="str">
        <f t="shared" si="3536"/>
        <v/>
      </c>
      <c r="ET281" s="66" t="str">
        <f t="shared" si="3537"/>
        <v/>
      </c>
      <c r="EU281" s="66" t="str">
        <f t="shared" si="3538"/>
        <v/>
      </c>
      <c r="EV281" s="66" t="str">
        <f t="shared" si="3539"/>
        <v/>
      </c>
      <c r="EW281" s="66" t="str">
        <f t="shared" si="3540"/>
        <v/>
      </c>
      <c r="EX281" s="66" t="str">
        <f t="shared" si="3541"/>
        <v/>
      </c>
      <c r="EY281" s="66" t="str">
        <f t="shared" si="3542"/>
        <v/>
      </c>
      <c r="EZ281" s="66" t="str">
        <f t="shared" si="3543"/>
        <v/>
      </c>
      <c r="FA281" s="66" t="str">
        <f t="shared" si="3544"/>
        <v/>
      </c>
      <c r="FB281" s="66" t="str">
        <f t="shared" si="3545"/>
        <v/>
      </c>
      <c r="FC281" s="66" t="str">
        <f t="shared" si="3546"/>
        <v/>
      </c>
      <c r="FD281" s="66" t="str">
        <f t="shared" si="3547"/>
        <v/>
      </c>
      <c r="FE281" s="66" t="str">
        <f t="shared" si="3548"/>
        <v/>
      </c>
      <c r="FF281" s="66" t="str">
        <f t="shared" si="3549"/>
        <v/>
      </c>
      <c r="FG281" s="66" t="str">
        <f t="shared" si="3550"/>
        <v/>
      </c>
      <c r="FH281" s="66" t="str">
        <f t="shared" si="3551"/>
        <v/>
      </c>
      <c r="FI281" s="66" t="str">
        <f t="shared" si="3552"/>
        <v/>
      </c>
      <c r="FJ281" s="66" t="str">
        <f t="shared" si="3553"/>
        <v/>
      </c>
      <c r="FK281" s="66" t="str">
        <f t="shared" si="3554"/>
        <v/>
      </c>
      <c r="FL281" s="66" t="str">
        <f t="shared" si="3555"/>
        <v/>
      </c>
      <c r="FM281" s="66" t="str">
        <f t="shared" si="3556"/>
        <v/>
      </c>
      <c r="FN281" s="66" t="str">
        <f t="shared" si="3557"/>
        <v/>
      </c>
      <c r="FO281" s="66" t="str">
        <f t="shared" si="3558"/>
        <v/>
      </c>
      <c r="FP281" s="66" t="str">
        <f t="shared" si="3559"/>
        <v/>
      </c>
      <c r="FQ281" s="66" t="str">
        <f t="shared" si="3560"/>
        <v/>
      </c>
      <c r="FR281" s="66" t="str">
        <f t="shared" si="3561"/>
        <v/>
      </c>
      <c r="FS281" s="66" t="str">
        <f t="shared" si="3562"/>
        <v/>
      </c>
    </row>
    <row r="282" spans="1:175" ht="16.5">
      <c r="A282" s="2"/>
      <c r="B282" s="35"/>
      <c r="C282" s="2"/>
      <c r="E282" s="121"/>
      <c r="T282" s="122"/>
      <c r="U282" s="77"/>
      <c r="CU282" s="88" t="str">
        <f t="shared" si="3492"/>
        <v>|n</v>
      </c>
      <c r="CW282" s="33"/>
      <c r="CX282" s="33"/>
      <c r="CY282" s="33"/>
      <c r="CZ282" s="33"/>
      <c r="DA282" s="33"/>
      <c r="DB282" s="66" t="str">
        <f t="shared" si="3493"/>
        <v/>
      </c>
      <c r="DC282" s="66" t="str">
        <f t="shared" si="3494"/>
        <v/>
      </c>
      <c r="DD282" s="66" t="str">
        <f t="shared" si="3495"/>
        <v/>
      </c>
      <c r="DE282" s="66" t="str">
        <f t="shared" si="3496"/>
        <v/>
      </c>
      <c r="DF282" s="66" t="str">
        <f t="shared" si="3497"/>
        <v/>
      </c>
      <c r="DG282" s="66" t="str">
        <f t="shared" si="3498"/>
        <v/>
      </c>
      <c r="DH282" s="66" t="str">
        <f t="shared" si="3499"/>
        <v/>
      </c>
      <c r="DI282" s="66" t="str">
        <f t="shared" si="3500"/>
        <v/>
      </c>
      <c r="DJ282" s="66" t="str">
        <f t="shared" si="3501"/>
        <v/>
      </c>
      <c r="DK282" s="66" t="str">
        <f t="shared" si="3502"/>
        <v/>
      </c>
      <c r="DL282" s="66" t="str">
        <f t="shared" si="3503"/>
        <v/>
      </c>
      <c r="DM282" s="66" t="str">
        <f t="shared" si="3504"/>
        <v/>
      </c>
      <c r="DN282" s="66" t="str">
        <f t="shared" si="3505"/>
        <v/>
      </c>
      <c r="DO282" s="66" t="str">
        <f t="shared" si="3506"/>
        <v/>
      </c>
      <c r="DP282" s="66" t="str">
        <f t="shared" si="3507"/>
        <v/>
      </c>
      <c r="DQ282" s="66" t="str">
        <f t="shared" si="3508"/>
        <v/>
      </c>
      <c r="DR282" s="66" t="str">
        <f t="shared" si="3509"/>
        <v/>
      </c>
      <c r="DS282" s="66" t="str">
        <f t="shared" si="3510"/>
        <v/>
      </c>
      <c r="DT282" s="66" t="str">
        <f t="shared" si="3511"/>
        <v/>
      </c>
      <c r="DU282" s="66" t="str">
        <f t="shared" si="3512"/>
        <v/>
      </c>
      <c r="DV282" s="66" t="str">
        <f t="shared" si="3513"/>
        <v/>
      </c>
      <c r="DW282" s="66" t="str">
        <f t="shared" si="3514"/>
        <v/>
      </c>
      <c r="DX282" s="66" t="str">
        <f t="shared" si="3515"/>
        <v/>
      </c>
      <c r="DY282" s="66" t="str">
        <f t="shared" si="3516"/>
        <v/>
      </c>
      <c r="DZ282" s="66" t="str">
        <f t="shared" si="3517"/>
        <v/>
      </c>
      <c r="EA282" s="66" t="str">
        <f t="shared" si="3518"/>
        <v/>
      </c>
      <c r="EB282" s="66" t="str">
        <f t="shared" si="3519"/>
        <v/>
      </c>
      <c r="EC282" s="66" t="str">
        <f t="shared" si="3520"/>
        <v/>
      </c>
      <c r="ED282" s="66" t="str">
        <f t="shared" si="3521"/>
        <v/>
      </c>
      <c r="EE282" s="66" t="str">
        <f t="shared" si="3522"/>
        <v/>
      </c>
      <c r="EF282" s="66" t="str">
        <f t="shared" si="3523"/>
        <v/>
      </c>
      <c r="EG282" s="66" t="str">
        <f t="shared" si="3524"/>
        <v/>
      </c>
      <c r="EH282" s="66" t="str">
        <f t="shared" si="3525"/>
        <v/>
      </c>
      <c r="EI282" s="66" t="str">
        <f t="shared" si="3526"/>
        <v/>
      </c>
      <c r="EJ282" s="66" t="str">
        <f t="shared" si="3527"/>
        <v/>
      </c>
      <c r="EK282" s="66" t="str">
        <f t="shared" si="3528"/>
        <v/>
      </c>
      <c r="EL282" s="66" t="str">
        <f t="shared" si="3529"/>
        <v/>
      </c>
      <c r="EM282" s="66" t="str">
        <f t="shared" si="3530"/>
        <v/>
      </c>
      <c r="EN282" s="66" t="str">
        <f t="shared" si="3531"/>
        <v/>
      </c>
      <c r="EO282" s="66" t="str">
        <f t="shared" si="3532"/>
        <v/>
      </c>
      <c r="EP282" s="66" t="str">
        <f t="shared" si="3533"/>
        <v/>
      </c>
      <c r="EQ282" s="66" t="str">
        <f t="shared" si="3534"/>
        <v/>
      </c>
      <c r="ER282" s="66" t="str">
        <f t="shared" si="3535"/>
        <v/>
      </c>
      <c r="ES282" s="66" t="str">
        <f t="shared" si="3536"/>
        <v/>
      </c>
      <c r="ET282" s="66" t="str">
        <f t="shared" si="3537"/>
        <v/>
      </c>
      <c r="EU282" s="66" t="str">
        <f t="shared" si="3538"/>
        <v/>
      </c>
      <c r="EV282" s="66" t="str">
        <f t="shared" si="3539"/>
        <v/>
      </c>
      <c r="EW282" s="66" t="str">
        <f t="shared" si="3540"/>
        <v/>
      </c>
      <c r="EX282" s="66" t="str">
        <f t="shared" si="3541"/>
        <v/>
      </c>
      <c r="EY282" s="66" t="str">
        <f t="shared" si="3542"/>
        <v/>
      </c>
      <c r="EZ282" s="66" t="str">
        <f t="shared" si="3543"/>
        <v/>
      </c>
      <c r="FA282" s="66" t="str">
        <f t="shared" si="3544"/>
        <v/>
      </c>
      <c r="FB282" s="66" t="str">
        <f t="shared" si="3545"/>
        <v/>
      </c>
      <c r="FC282" s="66" t="str">
        <f t="shared" si="3546"/>
        <v/>
      </c>
      <c r="FD282" s="66" t="str">
        <f t="shared" si="3547"/>
        <v/>
      </c>
      <c r="FE282" s="66" t="str">
        <f t="shared" si="3548"/>
        <v/>
      </c>
      <c r="FF282" s="66" t="str">
        <f t="shared" si="3549"/>
        <v/>
      </c>
      <c r="FG282" s="66" t="str">
        <f t="shared" si="3550"/>
        <v/>
      </c>
      <c r="FH282" s="66" t="str">
        <f t="shared" si="3551"/>
        <v/>
      </c>
      <c r="FI282" s="66" t="str">
        <f t="shared" si="3552"/>
        <v/>
      </c>
      <c r="FJ282" s="66" t="str">
        <f t="shared" si="3553"/>
        <v/>
      </c>
      <c r="FK282" s="66" t="str">
        <f t="shared" si="3554"/>
        <v/>
      </c>
      <c r="FL282" s="66" t="str">
        <f t="shared" si="3555"/>
        <v/>
      </c>
      <c r="FM282" s="66" t="str">
        <f t="shared" si="3556"/>
        <v/>
      </c>
      <c r="FN282" s="66" t="str">
        <f t="shared" si="3557"/>
        <v/>
      </c>
      <c r="FO282" s="66" t="str">
        <f t="shared" si="3558"/>
        <v/>
      </c>
      <c r="FP282" s="66" t="str">
        <f t="shared" si="3559"/>
        <v/>
      </c>
      <c r="FQ282" s="66" t="str">
        <f t="shared" si="3560"/>
        <v/>
      </c>
      <c r="FR282" s="66" t="str">
        <f t="shared" si="3561"/>
        <v/>
      </c>
      <c r="FS282" s="66" t="str">
        <f t="shared" si="3562"/>
        <v/>
      </c>
    </row>
    <row r="283" spans="1:175">
      <c r="CN283" s="36" t="str">
        <f t="shared" ref="CN283:CN314" si="3728">"InitUnitState('"&amp;B283&amp;"',"&amp;V283&amp;","&amp;W283&amp;","&amp;X283&amp;","&amp;Y283&amp;","&amp;Z283&amp;","&amp;AA283&amp;","&amp;AB283&amp;","&amp;AC283&amp;","&amp;AD283&amp;","&amp;AE283&amp;")"</f>
        <v>InitUnitState('',,,,,,,,,,)</v>
      </c>
      <c r="CO283" s="36" t="str">
        <f t="shared" ref="CO283:CO314" si="3729">"InitUnitNormal('"&amp;B283&amp;"',"&amp;AF283&amp;","&amp;AG283&amp;","&amp;AH283&amp;","&amp;AI283&amp;","&amp;AJ283&amp;","&amp;AK283&amp;","&amp;AL283&amp;","&amp;AM283&amp;","&amp;AN283&amp;","&amp;AO283&amp;")"</f>
        <v>InitUnitNormal('',,,,,,,,,,)</v>
      </c>
      <c r="CP283" s="36" t="str">
        <f t="shared" ref="CP283:CP314" si="3730">"InitUnitMagic('"&amp;B283&amp;"',"&amp;AP283&amp;","&amp;AQ283&amp;","&amp;AR283&amp;","&amp;AS283&amp;","&amp;AT283&amp;","&amp;AU283&amp;","&amp;AV283&amp;","&amp;AW283&amp;","&amp;BI283&amp;","&amp;BJ283&amp;")"</f>
        <v>InitUnitMagic('',,,,,,,,,,)</v>
      </c>
      <c r="CQ283" s="36" t="str">
        <f t="shared" ref="CQ283:CQ314" si="3731">"InitUnitAdd('"&amp;B283&amp;"',"&amp;BK283&amp;","&amp;BL283&amp;","&amp;BM283&amp;","&amp;BN283&amp;","&amp;BO283&amp;","&amp;BP283&amp;","&amp;BQ283&amp;","&amp;BR283&amp;","&amp;BS283&amp;","&amp;BT283&amp;")"</f>
        <v>InitUnitAdd('',,,,,,,,,,)</v>
      </c>
      <c r="CR283" s="36" t="str">
        <f t="shared" ref="CR283:CR314" si="3732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InitEquipData('',,"",,,,,'','','','','','',"")</v>
      </c>
      <c r="CU283" s="19" t="str">
        <f t="shared" ref="CU283:CU295" si="3733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33"/>
      <c r="CX283" s="33"/>
      <c r="CY283" s="33"/>
      <c r="CZ283" s="33"/>
      <c r="DA283" s="33"/>
      <c r="DB283" s="66" t="str">
        <f t="shared" ref="DB283:DB303" si="3734">IF(V283="","","|n"&amp;DB$2&amp;"+"&amp;V283&amp;DB$1)</f>
        <v/>
      </c>
      <c r="DC283" s="66" t="str">
        <f t="shared" ref="DC283:DC303" si="3735">IF(W283="","","|n"&amp;DC$2&amp;"+"&amp;W283&amp;DC$1)</f>
        <v/>
      </c>
      <c r="DD283" s="66" t="str">
        <f t="shared" ref="DD283:DD303" si="3736">IF(X283="","","|n"&amp;DD$2&amp;"+"&amp;X283&amp;DD$1)</f>
        <v/>
      </c>
      <c r="DE283" s="66" t="str">
        <f t="shared" ref="DE283:DE303" si="3737">IF(Y283="","","|n"&amp;DE$2&amp;"+"&amp;Y283&amp;DE$1)</f>
        <v/>
      </c>
      <c r="DF283" s="66" t="str">
        <f t="shared" ref="DF283:DF303" si="3738">IF(Z283="","","|n"&amp;DF$2&amp;"+"&amp;Z283&amp;DF$1)</f>
        <v/>
      </c>
      <c r="DG283" s="66" t="str">
        <f t="shared" ref="DG283:DG303" si="3739">IF(AA283="","","|n"&amp;DG$2&amp;"+"&amp;AA283&amp;DG$1)</f>
        <v/>
      </c>
      <c r="DH283" s="66" t="str">
        <f t="shared" ref="DH283:DH303" si="3740">IF(AB283="","","|n"&amp;DH$2&amp;"+"&amp;AB283&amp;DH$1)</f>
        <v/>
      </c>
      <c r="DI283" s="66" t="str">
        <f t="shared" ref="DI283:DI303" si="3741">IF(AC283="","","|n"&amp;DI$2&amp;"+"&amp;AC283&amp;DI$1)</f>
        <v/>
      </c>
      <c r="DJ283" s="66" t="str">
        <f t="shared" ref="DJ283:DJ303" si="3742">IF(AD283="","","|n"&amp;DJ$2&amp;"+"&amp;AD283&amp;DJ$1)</f>
        <v/>
      </c>
      <c r="DK283" s="66" t="str">
        <f t="shared" ref="DK283:DK303" si="3743">IF(AE283="","","|n"&amp;DK$2&amp;"+"&amp;AE283&amp;DK$1)</f>
        <v/>
      </c>
      <c r="DL283" s="66" t="str">
        <f t="shared" ref="DL283:DL303" si="3744">IF(AF283="","","|n"&amp;DL$2&amp;"+"&amp;AF283&amp;DL$1)</f>
        <v/>
      </c>
      <c r="DM283" s="66" t="str">
        <f t="shared" ref="DM283:DM303" si="3745">IF(AG283="","","|n"&amp;DM$2&amp;"+"&amp;AG283&amp;DM$1)</f>
        <v/>
      </c>
      <c r="DN283" s="66" t="str">
        <f t="shared" ref="DN283:DN303" si="3746">IF(AH283="","","|n"&amp;DN$2&amp;"+"&amp;AH283&amp;DN$1)</f>
        <v/>
      </c>
      <c r="DO283" s="66" t="str">
        <f t="shared" ref="DO283:DO303" si="3747">IF(AI283="","","|n"&amp;DO$2&amp;"+"&amp;AI283&amp;DO$1)</f>
        <v/>
      </c>
      <c r="DP283" s="66" t="str">
        <f t="shared" ref="DP283:DP303" si="3748">IF(AJ283="","","|n"&amp;DP$2&amp;"+"&amp;AJ283&amp;DP$1)</f>
        <v/>
      </c>
      <c r="DQ283" s="66" t="str">
        <f t="shared" ref="DQ283:DQ303" si="3749">IF(AK283="","","|n"&amp;DQ$2&amp;"+"&amp;AK283&amp;DQ$1)</f>
        <v/>
      </c>
      <c r="DR283" s="66" t="str">
        <f t="shared" ref="DR283:DR303" si="3750">IF(AL283="","","|n"&amp;DR$2&amp;"+"&amp;AL283&amp;DR$1)</f>
        <v/>
      </c>
      <c r="DS283" s="66" t="str">
        <f t="shared" ref="DS283:DS303" si="3751">IF(AM283="","","|n"&amp;DS$2&amp;"+"&amp;AM283&amp;DS$1)</f>
        <v/>
      </c>
      <c r="DT283" s="66" t="str">
        <f t="shared" ref="DT283:DT303" si="3752">IF(AN283="","","|n"&amp;DT$2&amp;"+"&amp;AN283&amp;DT$1)</f>
        <v/>
      </c>
      <c r="DU283" s="66" t="str">
        <f t="shared" ref="DU283:DU303" si="3753">IF(AO283="","","|n"&amp;DU$2&amp;"+"&amp;AO283&amp;DU$1)</f>
        <v/>
      </c>
      <c r="DV283" s="66" t="str">
        <f t="shared" ref="DV283:DV303" si="3754">IF(AP283="","","|n"&amp;DV$2&amp;"+"&amp;AP283&amp;DV$1)</f>
        <v/>
      </c>
      <c r="DW283" s="66" t="str">
        <f t="shared" ref="DW283:DW303" si="3755">IF(AQ283="","","|n"&amp;DW$2&amp;"+"&amp;AQ283&amp;DW$1)</f>
        <v/>
      </c>
      <c r="DX283" s="66" t="str">
        <f t="shared" ref="DX283:DX303" si="3756">IF(AR283="","","|n"&amp;DX$2&amp;"+"&amp;AR283&amp;DX$1)</f>
        <v/>
      </c>
      <c r="DY283" s="66" t="str">
        <f t="shared" ref="DY283:DY303" si="3757">IF(AS283="","","|n"&amp;DY$2&amp;"+"&amp;AS283&amp;DY$1)</f>
        <v/>
      </c>
      <c r="DZ283" s="66" t="str">
        <f t="shared" ref="DZ283:DZ303" si="3758">IF(AT283="","","|n"&amp;DZ$2&amp;"+"&amp;AT283&amp;DZ$1)</f>
        <v/>
      </c>
      <c r="EA283" s="66" t="str">
        <f t="shared" ref="EA283:EA303" si="3759">IF(AU283="","","|n"&amp;EA$2&amp;"+"&amp;AU283&amp;EA$1)</f>
        <v/>
      </c>
      <c r="EB283" s="66" t="str">
        <f t="shared" ref="EB283:EB303" si="3760">IF(AV283="","","|n"&amp;EB$2&amp;"+"&amp;AV283&amp;EB$1)</f>
        <v/>
      </c>
      <c r="EC283" s="66" t="str">
        <f t="shared" ref="EC283:EC303" si="3761">IF(AW283="","","|n"&amp;EC$2&amp;"+"&amp;AW283&amp;EC$1)</f>
        <v/>
      </c>
      <c r="ED283" s="66" t="str">
        <f t="shared" ref="ED283:ED303" si="3762">IF(AX283="","","|n"&amp;ED$2&amp;"+"&amp;AX283&amp;ED$1)</f>
        <v/>
      </c>
      <c r="EE283" s="66" t="str">
        <f t="shared" ref="EE283:EE303" si="3763">IF(AY283="","","|n"&amp;EE$2&amp;"+"&amp;AY283&amp;EE$1)</f>
        <v/>
      </c>
      <c r="EF283" s="66" t="str">
        <f t="shared" ref="EF283:EF303" si="3764">IF(AZ283="","","|n"&amp;EF$2&amp;"+"&amp;AZ283&amp;EF$1)</f>
        <v/>
      </c>
      <c r="EG283" s="66" t="str">
        <f t="shared" ref="EG283:EG303" si="3765">IF(BA283="","","|n"&amp;EG$2&amp;"+"&amp;BA283&amp;EG$1)</f>
        <v/>
      </c>
      <c r="EH283" s="66" t="str">
        <f t="shared" ref="EH283:EH303" si="3766">IF(BB283="","","|n"&amp;EH$2&amp;"+"&amp;BB283&amp;EH$1)</f>
        <v/>
      </c>
      <c r="EI283" s="66" t="str">
        <f t="shared" ref="EI283:EI303" si="3767">IF(BC283="","","|n"&amp;EI$2&amp;"+"&amp;BC283&amp;EI$1)</f>
        <v/>
      </c>
      <c r="EJ283" s="66" t="str">
        <f t="shared" ref="EJ283:EJ303" si="3768">IF(BD283="","","|n"&amp;EJ$2&amp;"+"&amp;BD283&amp;EJ$1)</f>
        <v/>
      </c>
      <c r="EK283" s="66" t="str">
        <f t="shared" ref="EK283:EK303" si="3769">IF(BE283="","","|n"&amp;EK$2&amp;"+"&amp;BE283&amp;EK$1)</f>
        <v/>
      </c>
      <c r="EL283" s="66" t="str">
        <f t="shared" ref="EL283:EL303" si="3770">IF(BF283="","","|n"&amp;EL$2&amp;"+"&amp;BF283&amp;EL$1)</f>
        <v/>
      </c>
      <c r="EM283" s="66" t="str">
        <f t="shared" ref="EM283:EM303" si="3771">IF(BG283="","","|n"&amp;EM$2&amp;"+"&amp;BG283&amp;EM$1)</f>
        <v/>
      </c>
      <c r="EN283" s="66" t="str">
        <f t="shared" ref="EN283:EN303" si="3772">IF(BH283="","","|n"&amp;EN$2&amp;"+"&amp;BH283&amp;EN$1)</f>
        <v/>
      </c>
      <c r="EO283" s="66" t="str">
        <f t="shared" ref="EO283:EO303" si="3773">IF(BI283="","","|n"&amp;EO$2&amp;"+"&amp;BI283&amp;EO$1)</f>
        <v/>
      </c>
      <c r="EP283" s="66" t="str">
        <f t="shared" ref="EP283:EP303" si="3774">IF(BJ283="","","|n"&amp;EP$2&amp;"+"&amp;BJ283&amp;EP$1)</f>
        <v/>
      </c>
      <c r="EQ283" s="66" t="str">
        <f t="shared" ref="EQ283:EQ303" si="3775">IF(BK283="","","|n"&amp;EQ$2&amp;"+"&amp;BK283&amp;EQ$1)</f>
        <v/>
      </c>
      <c r="ER283" s="66" t="str">
        <f t="shared" ref="ER283:ER303" si="3776">IF(BL283="","","|n"&amp;ER$2&amp;"+"&amp;BL283&amp;ER$1)</f>
        <v/>
      </c>
      <c r="ES283" s="66" t="str">
        <f t="shared" ref="ES283:ES303" si="3777">IF(BM283="","","|n"&amp;ES$2&amp;"+"&amp;BM283&amp;ES$1)</f>
        <v/>
      </c>
      <c r="ET283" s="66" t="str">
        <f t="shared" ref="ET283:ET303" si="3778">IF(BN283="","","|n"&amp;ET$2&amp;"+"&amp;BN283&amp;ET$1)</f>
        <v/>
      </c>
      <c r="EU283" s="66" t="str">
        <f t="shared" ref="EU283:EU303" si="3779">IF(BO283="","","|n"&amp;EU$2&amp;"+"&amp;BO283&amp;EU$1)</f>
        <v/>
      </c>
      <c r="EV283" s="66" t="str">
        <f t="shared" ref="EV283:EV303" si="3780">IF(BP283="","","|n"&amp;EV$2&amp;"+"&amp;BP283&amp;EV$1)</f>
        <v/>
      </c>
      <c r="EW283" s="66" t="str">
        <f t="shared" ref="EW283:EW303" si="3781">IF(BQ283="","","|n"&amp;EW$2&amp;"+"&amp;BQ283&amp;EW$1)</f>
        <v/>
      </c>
      <c r="EX283" s="66" t="str">
        <f t="shared" ref="EX283:EX303" si="3782">IF(BR283="","","|n"&amp;EX$2&amp;"+"&amp;BR283&amp;EX$1)</f>
        <v/>
      </c>
      <c r="EY283" s="66" t="str">
        <f t="shared" ref="EY283:EY303" si="3783">IF(BS283="","","|n"&amp;EY$2&amp;"+"&amp;BS283&amp;EY$1)</f>
        <v/>
      </c>
      <c r="EZ283" s="66" t="str">
        <f t="shared" ref="EZ283:EZ303" si="3784">IF(BT283="","","|n"&amp;EZ$2&amp;"+"&amp;BT283&amp;EZ$1)</f>
        <v/>
      </c>
      <c r="FA283" s="66" t="str">
        <f t="shared" ref="FA283:FA303" si="3785">IF(BU283="","","|n"&amp;FA$2&amp;"+"&amp;BU283&amp;FA$1)</f>
        <v/>
      </c>
      <c r="FB283" s="66" t="str">
        <f t="shared" ref="FB283:FB303" si="3786">IF(BV283="","","|n"&amp;FB$2&amp;"+"&amp;BV283&amp;FB$1)</f>
        <v/>
      </c>
      <c r="FC283" s="66" t="str">
        <f t="shared" ref="FC283:FC303" si="3787">IF(BW283="","","|n"&amp;FC$2&amp;"+"&amp;BW283&amp;FC$1)</f>
        <v/>
      </c>
      <c r="FD283" s="66" t="str">
        <f t="shared" ref="FD283:FD303" si="3788">IF(BX283="","","|n"&amp;FD$2&amp;"+"&amp;BX283&amp;FD$1)</f>
        <v/>
      </c>
      <c r="FE283" s="66" t="str">
        <f t="shared" ref="FE283:FE303" si="3789">IF(BY283="","","|n"&amp;FE$2&amp;"+"&amp;BY283&amp;FE$1)</f>
        <v/>
      </c>
      <c r="FF283" s="66" t="str">
        <f t="shared" ref="FF283:FF303" si="3790">IF(BZ283="","","|n"&amp;FF$2&amp;"+"&amp;BZ283&amp;FF$1)</f>
        <v/>
      </c>
      <c r="FG283" s="66" t="str">
        <f t="shared" ref="FG283:FG303" si="3791">IF(CA283="","","|n"&amp;FG$2&amp;"+"&amp;CA283&amp;FG$1)</f>
        <v/>
      </c>
      <c r="FH283" s="66" t="str">
        <f t="shared" ref="FH283:FH303" si="3792">IF(CB283="","","|n"&amp;FH$2&amp;"+"&amp;CB283&amp;FH$1)</f>
        <v/>
      </c>
      <c r="FI283" s="66" t="str">
        <f t="shared" ref="FI283:FI303" si="3793">IF(CC283="","","|n"&amp;FI$2&amp;"+"&amp;CC283&amp;FI$1)</f>
        <v/>
      </c>
      <c r="FJ283" s="66" t="str">
        <f t="shared" ref="FJ283:FJ303" si="3794">IF(CD283="","","|n"&amp;FJ$2&amp;"+"&amp;CD283&amp;FJ$1)</f>
        <v/>
      </c>
      <c r="FK283" s="66" t="str">
        <f t="shared" ref="FK283:FK303" si="3795">IF(CE283="","","|n"&amp;FK$2&amp;"+"&amp;CE283&amp;FK$1)</f>
        <v/>
      </c>
      <c r="FL283" s="66" t="str">
        <f t="shared" ref="FL283:FL303" si="3796">IF(CF283="","","|n"&amp;FL$2&amp;"+"&amp;CF283&amp;FL$1)</f>
        <v/>
      </c>
      <c r="FM283" s="66" t="str">
        <f t="shared" ref="FM283:FM303" si="3797">IF(CG283="","","|n"&amp;FM$2&amp;"+"&amp;CG283&amp;FM$1)</f>
        <v/>
      </c>
      <c r="FN283" s="66" t="str">
        <f t="shared" ref="FN283:FN303" si="3798">IF(CH283="","","|n"&amp;FN$2&amp;"+"&amp;CH283&amp;FN$1)</f>
        <v/>
      </c>
      <c r="FO283" s="66" t="str">
        <f t="shared" ref="FO283:FO303" si="3799">IF(CI283="","","|n"&amp;FO$2&amp;"+"&amp;CI283&amp;FO$1)</f>
        <v/>
      </c>
      <c r="FP283" s="66" t="str">
        <f t="shared" ref="FP283:FP303" si="3800">IF(CJ283="","","|n"&amp;FP$2&amp;"+"&amp;CJ283&amp;FP$1)</f>
        <v/>
      </c>
      <c r="FQ283" s="66" t="str">
        <f t="shared" ref="FQ283:FQ303" si="3801">IF(CK283="","","|n"&amp;FQ$2&amp;"+"&amp;CK283&amp;FQ$1)</f>
        <v/>
      </c>
      <c r="FR283" s="66" t="str">
        <f t="shared" ref="FR283:FR303" si="3802">IF(CL283="","","|n"&amp;FR$2&amp;"+"&amp;CL283&amp;FR$1)</f>
        <v/>
      </c>
      <c r="FS283" s="66" t="str">
        <f t="shared" ref="FS283:FS303" si="3803">IF(CM283="","","|n"&amp;FS$2&amp;"+"&amp;CM283&amp;FS$1)</f>
        <v/>
      </c>
    </row>
    <row r="284" spans="1:175">
      <c r="CN284" s="36" t="str">
        <f t="shared" si="3728"/>
        <v>InitUnitState('',,,,,,,,,,)</v>
      </c>
      <c r="CO284" s="36" t="str">
        <f t="shared" si="3729"/>
        <v>InitUnitNormal('',,,,,,,,,,)</v>
      </c>
      <c r="CP284" s="36" t="str">
        <f t="shared" si="3730"/>
        <v>InitUnitMagic('',,,,,,,,,,)</v>
      </c>
      <c r="CQ284" s="36" t="str">
        <f t="shared" si="3731"/>
        <v>InitUnitAdd('',,,,,,,,,,)</v>
      </c>
      <c r="CR284" s="36" t="str">
        <f t="shared" si="3732"/>
        <v>InitEquipData('',,"",,,,,'','','','','','',"")</v>
      </c>
      <c r="CU284" s="19" t="str">
        <f t="shared" si="3733"/>
        <v>|n</v>
      </c>
      <c r="CW284" s="33"/>
      <c r="CX284" s="33"/>
      <c r="CY284" s="33"/>
      <c r="CZ284" s="33"/>
      <c r="DA284" s="33"/>
      <c r="DB284" s="66" t="str">
        <f t="shared" si="3734"/>
        <v/>
      </c>
      <c r="DC284" s="66" t="str">
        <f t="shared" si="3735"/>
        <v/>
      </c>
      <c r="DD284" s="66" t="str">
        <f t="shared" si="3736"/>
        <v/>
      </c>
      <c r="DE284" s="66" t="str">
        <f t="shared" si="3737"/>
        <v/>
      </c>
      <c r="DF284" s="66" t="str">
        <f t="shared" si="3738"/>
        <v/>
      </c>
      <c r="DG284" s="66" t="str">
        <f t="shared" si="3739"/>
        <v/>
      </c>
      <c r="DH284" s="66" t="str">
        <f t="shared" si="3740"/>
        <v/>
      </c>
      <c r="DI284" s="66" t="str">
        <f t="shared" si="3741"/>
        <v/>
      </c>
      <c r="DJ284" s="66" t="str">
        <f t="shared" si="3742"/>
        <v/>
      </c>
      <c r="DK284" s="66" t="str">
        <f t="shared" si="3743"/>
        <v/>
      </c>
      <c r="DL284" s="66" t="str">
        <f t="shared" si="3744"/>
        <v/>
      </c>
      <c r="DM284" s="66" t="str">
        <f t="shared" si="3745"/>
        <v/>
      </c>
      <c r="DN284" s="66" t="str">
        <f t="shared" si="3746"/>
        <v/>
      </c>
      <c r="DO284" s="66" t="str">
        <f t="shared" si="3747"/>
        <v/>
      </c>
      <c r="DP284" s="66" t="str">
        <f t="shared" si="3748"/>
        <v/>
      </c>
      <c r="DQ284" s="66" t="str">
        <f t="shared" si="3749"/>
        <v/>
      </c>
      <c r="DR284" s="66" t="str">
        <f t="shared" si="3750"/>
        <v/>
      </c>
      <c r="DS284" s="66" t="str">
        <f t="shared" si="3751"/>
        <v/>
      </c>
      <c r="DT284" s="66" t="str">
        <f t="shared" si="3752"/>
        <v/>
      </c>
      <c r="DU284" s="66" t="str">
        <f t="shared" si="3753"/>
        <v/>
      </c>
      <c r="DV284" s="66" t="str">
        <f t="shared" si="3754"/>
        <v/>
      </c>
      <c r="DW284" s="66" t="str">
        <f t="shared" si="3755"/>
        <v/>
      </c>
      <c r="DX284" s="66" t="str">
        <f t="shared" si="3756"/>
        <v/>
      </c>
      <c r="DY284" s="66" t="str">
        <f t="shared" si="3757"/>
        <v/>
      </c>
      <c r="DZ284" s="66" t="str">
        <f t="shared" si="3758"/>
        <v/>
      </c>
      <c r="EA284" s="66" t="str">
        <f t="shared" si="3759"/>
        <v/>
      </c>
      <c r="EB284" s="66" t="str">
        <f t="shared" si="3760"/>
        <v/>
      </c>
      <c r="EC284" s="66" t="str">
        <f t="shared" si="3761"/>
        <v/>
      </c>
      <c r="ED284" s="66" t="str">
        <f t="shared" si="3762"/>
        <v/>
      </c>
      <c r="EE284" s="66" t="str">
        <f t="shared" si="3763"/>
        <v/>
      </c>
      <c r="EF284" s="66" t="str">
        <f t="shared" si="3764"/>
        <v/>
      </c>
      <c r="EG284" s="66" t="str">
        <f t="shared" si="3765"/>
        <v/>
      </c>
      <c r="EH284" s="66" t="str">
        <f t="shared" si="3766"/>
        <v/>
      </c>
      <c r="EI284" s="66" t="str">
        <f t="shared" si="3767"/>
        <v/>
      </c>
      <c r="EJ284" s="66" t="str">
        <f t="shared" si="3768"/>
        <v/>
      </c>
      <c r="EK284" s="66" t="str">
        <f t="shared" si="3769"/>
        <v/>
      </c>
      <c r="EL284" s="66" t="str">
        <f t="shared" si="3770"/>
        <v/>
      </c>
      <c r="EM284" s="66" t="str">
        <f t="shared" si="3771"/>
        <v/>
      </c>
      <c r="EN284" s="66" t="str">
        <f t="shared" si="3772"/>
        <v/>
      </c>
      <c r="EO284" s="66" t="str">
        <f t="shared" si="3773"/>
        <v/>
      </c>
      <c r="EP284" s="66" t="str">
        <f t="shared" si="3774"/>
        <v/>
      </c>
      <c r="EQ284" s="66" t="str">
        <f t="shared" si="3775"/>
        <v/>
      </c>
      <c r="ER284" s="66" t="str">
        <f t="shared" si="3776"/>
        <v/>
      </c>
      <c r="ES284" s="66" t="str">
        <f t="shared" si="3777"/>
        <v/>
      </c>
      <c r="ET284" s="66" t="str">
        <f t="shared" si="3778"/>
        <v/>
      </c>
      <c r="EU284" s="66" t="str">
        <f t="shared" si="3779"/>
        <v/>
      </c>
      <c r="EV284" s="66" t="str">
        <f t="shared" si="3780"/>
        <v/>
      </c>
      <c r="EW284" s="66" t="str">
        <f t="shared" si="3781"/>
        <v/>
      </c>
      <c r="EX284" s="66" t="str">
        <f t="shared" si="3782"/>
        <v/>
      </c>
      <c r="EY284" s="66" t="str">
        <f t="shared" si="3783"/>
        <v/>
      </c>
      <c r="EZ284" s="66" t="str">
        <f t="shared" si="3784"/>
        <v/>
      </c>
      <c r="FA284" s="66" t="str">
        <f t="shared" si="3785"/>
        <v/>
      </c>
      <c r="FB284" s="66" t="str">
        <f t="shared" si="3786"/>
        <v/>
      </c>
      <c r="FC284" s="66" t="str">
        <f t="shared" si="3787"/>
        <v/>
      </c>
      <c r="FD284" s="66" t="str">
        <f t="shared" si="3788"/>
        <v/>
      </c>
      <c r="FE284" s="66" t="str">
        <f t="shared" si="3789"/>
        <v/>
      </c>
      <c r="FF284" s="66" t="str">
        <f t="shared" si="3790"/>
        <v/>
      </c>
      <c r="FG284" s="66" t="str">
        <f t="shared" si="3791"/>
        <v/>
      </c>
      <c r="FH284" s="66" t="str">
        <f t="shared" si="3792"/>
        <v/>
      </c>
      <c r="FI284" s="66" t="str">
        <f t="shared" si="3793"/>
        <v/>
      </c>
      <c r="FJ284" s="66" t="str">
        <f t="shared" si="3794"/>
        <v/>
      </c>
      <c r="FK284" s="66" t="str">
        <f t="shared" si="3795"/>
        <v/>
      </c>
      <c r="FL284" s="66" t="str">
        <f t="shared" si="3796"/>
        <v/>
      </c>
      <c r="FM284" s="66" t="str">
        <f t="shared" si="3797"/>
        <v/>
      </c>
      <c r="FN284" s="66" t="str">
        <f t="shared" si="3798"/>
        <v/>
      </c>
      <c r="FO284" s="66" t="str">
        <f t="shared" si="3799"/>
        <v/>
      </c>
      <c r="FP284" s="66" t="str">
        <f t="shared" si="3800"/>
        <v/>
      </c>
      <c r="FQ284" s="66" t="str">
        <f t="shared" si="3801"/>
        <v/>
      </c>
      <c r="FR284" s="66" t="str">
        <f t="shared" si="3802"/>
        <v/>
      </c>
      <c r="FS284" s="66" t="str">
        <f t="shared" si="3803"/>
        <v/>
      </c>
    </row>
    <row r="285" spans="1:175">
      <c r="CN285" s="36" t="str">
        <f t="shared" si="3728"/>
        <v>InitUnitState('',,,,,,,,,,)</v>
      </c>
      <c r="CO285" s="36" t="str">
        <f t="shared" si="3729"/>
        <v>InitUnitNormal('',,,,,,,,,,)</v>
      </c>
      <c r="CP285" s="36" t="str">
        <f t="shared" si="3730"/>
        <v>InitUnitMagic('',,,,,,,,,,)</v>
      </c>
      <c r="CQ285" s="36" t="str">
        <f t="shared" si="3731"/>
        <v>InitUnitAdd('',,,,,,,,,,)</v>
      </c>
      <c r="CR285" s="36" t="str">
        <f t="shared" si="3732"/>
        <v>InitEquipData('',,"",,,,,'','','','','','',"")</v>
      </c>
      <c r="CU285" s="19" t="str">
        <f t="shared" si="3733"/>
        <v>|n</v>
      </c>
      <c r="CW285" s="33"/>
      <c r="CX285" s="33"/>
      <c r="CY285" s="33"/>
      <c r="CZ285" s="33"/>
      <c r="DA285" s="33"/>
      <c r="DB285" s="66" t="str">
        <f t="shared" si="3734"/>
        <v/>
      </c>
      <c r="DC285" s="66" t="str">
        <f t="shared" si="3735"/>
        <v/>
      </c>
      <c r="DD285" s="66" t="str">
        <f t="shared" si="3736"/>
        <v/>
      </c>
      <c r="DE285" s="66" t="str">
        <f t="shared" si="3737"/>
        <v/>
      </c>
      <c r="DF285" s="66" t="str">
        <f t="shared" si="3738"/>
        <v/>
      </c>
      <c r="DG285" s="66" t="str">
        <f t="shared" si="3739"/>
        <v/>
      </c>
      <c r="DH285" s="66" t="str">
        <f t="shared" si="3740"/>
        <v/>
      </c>
      <c r="DI285" s="66" t="str">
        <f t="shared" si="3741"/>
        <v/>
      </c>
      <c r="DJ285" s="66" t="str">
        <f t="shared" si="3742"/>
        <v/>
      </c>
      <c r="DK285" s="66" t="str">
        <f t="shared" si="3743"/>
        <v/>
      </c>
      <c r="DL285" s="66" t="str">
        <f t="shared" si="3744"/>
        <v/>
      </c>
      <c r="DM285" s="66" t="str">
        <f t="shared" si="3745"/>
        <v/>
      </c>
      <c r="DN285" s="66" t="str">
        <f t="shared" si="3746"/>
        <v/>
      </c>
      <c r="DO285" s="66" t="str">
        <f t="shared" si="3747"/>
        <v/>
      </c>
      <c r="DP285" s="66" t="str">
        <f t="shared" si="3748"/>
        <v/>
      </c>
      <c r="DQ285" s="66" t="str">
        <f t="shared" si="3749"/>
        <v/>
      </c>
      <c r="DR285" s="66" t="str">
        <f t="shared" si="3750"/>
        <v/>
      </c>
      <c r="DS285" s="66" t="str">
        <f t="shared" si="3751"/>
        <v/>
      </c>
      <c r="DT285" s="66" t="str">
        <f t="shared" si="3752"/>
        <v/>
      </c>
      <c r="DU285" s="66" t="str">
        <f t="shared" si="3753"/>
        <v/>
      </c>
      <c r="DV285" s="66" t="str">
        <f t="shared" si="3754"/>
        <v/>
      </c>
      <c r="DW285" s="66" t="str">
        <f t="shared" si="3755"/>
        <v/>
      </c>
      <c r="DX285" s="66" t="str">
        <f t="shared" si="3756"/>
        <v/>
      </c>
      <c r="DY285" s="66" t="str">
        <f t="shared" si="3757"/>
        <v/>
      </c>
      <c r="DZ285" s="66" t="str">
        <f t="shared" si="3758"/>
        <v/>
      </c>
      <c r="EA285" s="66" t="str">
        <f t="shared" si="3759"/>
        <v/>
      </c>
      <c r="EB285" s="66" t="str">
        <f t="shared" si="3760"/>
        <v/>
      </c>
      <c r="EC285" s="66" t="str">
        <f t="shared" si="3761"/>
        <v/>
      </c>
      <c r="ED285" s="66" t="str">
        <f t="shared" si="3762"/>
        <v/>
      </c>
      <c r="EE285" s="66" t="str">
        <f t="shared" si="3763"/>
        <v/>
      </c>
      <c r="EF285" s="66" t="str">
        <f t="shared" si="3764"/>
        <v/>
      </c>
      <c r="EG285" s="66" t="str">
        <f t="shared" si="3765"/>
        <v/>
      </c>
      <c r="EH285" s="66" t="str">
        <f t="shared" si="3766"/>
        <v/>
      </c>
      <c r="EI285" s="66" t="str">
        <f t="shared" si="3767"/>
        <v/>
      </c>
      <c r="EJ285" s="66" t="str">
        <f t="shared" si="3768"/>
        <v/>
      </c>
      <c r="EK285" s="66" t="str">
        <f t="shared" si="3769"/>
        <v/>
      </c>
      <c r="EL285" s="66" t="str">
        <f t="shared" si="3770"/>
        <v/>
      </c>
      <c r="EM285" s="66" t="str">
        <f t="shared" si="3771"/>
        <v/>
      </c>
      <c r="EN285" s="66" t="str">
        <f t="shared" si="3772"/>
        <v/>
      </c>
      <c r="EO285" s="66" t="str">
        <f t="shared" si="3773"/>
        <v/>
      </c>
      <c r="EP285" s="66" t="str">
        <f t="shared" si="3774"/>
        <v/>
      </c>
      <c r="EQ285" s="66" t="str">
        <f t="shared" si="3775"/>
        <v/>
      </c>
      <c r="ER285" s="66" t="str">
        <f t="shared" si="3776"/>
        <v/>
      </c>
      <c r="ES285" s="66" t="str">
        <f t="shared" si="3777"/>
        <v/>
      </c>
      <c r="ET285" s="66" t="str">
        <f t="shared" si="3778"/>
        <v/>
      </c>
      <c r="EU285" s="66" t="str">
        <f t="shared" si="3779"/>
        <v/>
      </c>
      <c r="EV285" s="66" t="str">
        <f t="shared" si="3780"/>
        <v/>
      </c>
      <c r="EW285" s="66" t="str">
        <f t="shared" si="3781"/>
        <v/>
      </c>
      <c r="EX285" s="66" t="str">
        <f t="shared" si="3782"/>
        <v/>
      </c>
      <c r="EY285" s="66" t="str">
        <f t="shared" si="3783"/>
        <v/>
      </c>
      <c r="EZ285" s="66" t="str">
        <f t="shared" si="3784"/>
        <v/>
      </c>
      <c r="FA285" s="66" t="str">
        <f t="shared" si="3785"/>
        <v/>
      </c>
      <c r="FB285" s="66" t="str">
        <f t="shared" si="3786"/>
        <v/>
      </c>
      <c r="FC285" s="66" t="str">
        <f t="shared" si="3787"/>
        <v/>
      </c>
      <c r="FD285" s="66" t="str">
        <f t="shared" si="3788"/>
        <v/>
      </c>
      <c r="FE285" s="66" t="str">
        <f t="shared" si="3789"/>
        <v/>
      </c>
      <c r="FF285" s="66" t="str">
        <f t="shared" si="3790"/>
        <v/>
      </c>
      <c r="FG285" s="66" t="str">
        <f t="shared" si="3791"/>
        <v/>
      </c>
      <c r="FH285" s="66" t="str">
        <f t="shared" si="3792"/>
        <v/>
      </c>
      <c r="FI285" s="66" t="str">
        <f t="shared" si="3793"/>
        <v/>
      </c>
      <c r="FJ285" s="66" t="str">
        <f t="shared" si="3794"/>
        <v/>
      </c>
      <c r="FK285" s="66" t="str">
        <f t="shared" si="3795"/>
        <v/>
      </c>
      <c r="FL285" s="66" t="str">
        <f t="shared" si="3796"/>
        <v/>
      </c>
      <c r="FM285" s="66" t="str">
        <f t="shared" si="3797"/>
        <v/>
      </c>
      <c r="FN285" s="66" t="str">
        <f t="shared" si="3798"/>
        <v/>
      </c>
      <c r="FO285" s="66" t="str">
        <f t="shared" si="3799"/>
        <v/>
      </c>
      <c r="FP285" s="66" t="str">
        <f t="shared" si="3800"/>
        <v/>
      </c>
      <c r="FQ285" s="66" t="str">
        <f t="shared" si="3801"/>
        <v/>
      </c>
      <c r="FR285" s="66" t="str">
        <f t="shared" si="3802"/>
        <v/>
      </c>
      <c r="FS285" s="66" t="str">
        <f t="shared" si="3803"/>
        <v/>
      </c>
    </row>
    <row r="286" spans="1:175">
      <c r="CN286" s="36" t="str">
        <f t="shared" si="3728"/>
        <v>InitUnitState('',,,,,,,,,,)</v>
      </c>
      <c r="CO286" s="36" t="str">
        <f t="shared" si="3729"/>
        <v>InitUnitNormal('',,,,,,,,,,)</v>
      </c>
      <c r="CP286" s="36" t="str">
        <f t="shared" si="3730"/>
        <v>InitUnitMagic('',,,,,,,,,,)</v>
      </c>
      <c r="CQ286" s="36" t="str">
        <f t="shared" si="3731"/>
        <v>InitUnitAdd('',,,,,,,,,,)</v>
      </c>
      <c r="CR286" s="36" t="str">
        <f t="shared" si="3732"/>
        <v>InitEquipData('',,"",,,,,'','','','','','',"")</v>
      </c>
      <c r="CU286" s="19" t="str">
        <f t="shared" si="3733"/>
        <v>|n</v>
      </c>
      <c r="CW286" s="33"/>
      <c r="CX286" s="33"/>
      <c r="CY286" s="33"/>
      <c r="CZ286" s="33"/>
      <c r="DA286" s="33"/>
      <c r="DB286" s="66" t="str">
        <f t="shared" si="3734"/>
        <v/>
      </c>
      <c r="DC286" s="66" t="str">
        <f t="shared" si="3735"/>
        <v/>
      </c>
      <c r="DD286" s="66" t="str">
        <f t="shared" si="3736"/>
        <v/>
      </c>
      <c r="DE286" s="66" t="str">
        <f t="shared" si="3737"/>
        <v/>
      </c>
      <c r="DF286" s="66" t="str">
        <f t="shared" si="3738"/>
        <v/>
      </c>
      <c r="DG286" s="66" t="str">
        <f t="shared" si="3739"/>
        <v/>
      </c>
      <c r="DH286" s="66" t="str">
        <f t="shared" si="3740"/>
        <v/>
      </c>
      <c r="DI286" s="66" t="str">
        <f t="shared" si="3741"/>
        <v/>
      </c>
      <c r="DJ286" s="66" t="str">
        <f t="shared" si="3742"/>
        <v/>
      </c>
      <c r="DK286" s="66" t="str">
        <f t="shared" si="3743"/>
        <v/>
      </c>
      <c r="DL286" s="66" t="str">
        <f t="shared" si="3744"/>
        <v/>
      </c>
      <c r="DM286" s="66" t="str">
        <f t="shared" si="3745"/>
        <v/>
      </c>
      <c r="DN286" s="66" t="str">
        <f t="shared" si="3746"/>
        <v/>
      </c>
      <c r="DO286" s="66" t="str">
        <f t="shared" si="3747"/>
        <v/>
      </c>
      <c r="DP286" s="66" t="str">
        <f t="shared" si="3748"/>
        <v/>
      </c>
      <c r="DQ286" s="66" t="str">
        <f t="shared" si="3749"/>
        <v/>
      </c>
      <c r="DR286" s="66" t="str">
        <f t="shared" si="3750"/>
        <v/>
      </c>
      <c r="DS286" s="66" t="str">
        <f t="shared" si="3751"/>
        <v/>
      </c>
      <c r="DT286" s="66" t="str">
        <f t="shared" si="3752"/>
        <v/>
      </c>
      <c r="DU286" s="66" t="str">
        <f t="shared" si="3753"/>
        <v/>
      </c>
      <c r="DV286" s="66" t="str">
        <f t="shared" si="3754"/>
        <v/>
      </c>
      <c r="DW286" s="66" t="str">
        <f t="shared" si="3755"/>
        <v/>
      </c>
      <c r="DX286" s="66" t="str">
        <f t="shared" si="3756"/>
        <v/>
      </c>
      <c r="DY286" s="66" t="str">
        <f t="shared" si="3757"/>
        <v/>
      </c>
      <c r="DZ286" s="66" t="str">
        <f t="shared" si="3758"/>
        <v/>
      </c>
      <c r="EA286" s="66" t="str">
        <f t="shared" si="3759"/>
        <v/>
      </c>
      <c r="EB286" s="66" t="str">
        <f t="shared" si="3760"/>
        <v/>
      </c>
      <c r="EC286" s="66" t="str">
        <f t="shared" si="3761"/>
        <v/>
      </c>
      <c r="ED286" s="66" t="str">
        <f t="shared" si="3762"/>
        <v/>
      </c>
      <c r="EE286" s="66" t="str">
        <f t="shared" si="3763"/>
        <v/>
      </c>
      <c r="EF286" s="66" t="str">
        <f t="shared" si="3764"/>
        <v/>
      </c>
      <c r="EG286" s="66" t="str">
        <f t="shared" si="3765"/>
        <v/>
      </c>
      <c r="EH286" s="66" t="str">
        <f t="shared" si="3766"/>
        <v/>
      </c>
      <c r="EI286" s="66" t="str">
        <f t="shared" si="3767"/>
        <v/>
      </c>
      <c r="EJ286" s="66" t="str">
        <f t="shared" si="3768"/>
        <v/>
      </c>
      <c r="EK286" s="66" t="str">
        <f t="shared" si="3769"/>
        <v/>
      </c>
      <c r="EL286" s="66" t="str">
        <f t="shared" si="3770"/>
        <v/>
      </c>
      <c r="EM286" s="66" t="str">
        <f t="shared" si="3771"/>
        <v/>
      </c>
      <c r="EN286" s="66" t="str">
        <f t="shared" si="3772"/>
        <v/>
      </c>
      <c r="EO286" s="66" t="str">
        <f t="shared" si="3773"/>
        <v/>
      </c>
      <c r="EP286" s="66" t="str">
        <f t="shared" si="3774"/>
        <v/>
      </c>
      <c r="EQ286" s="66" t="str">
        <f t="shared" si="3775"/>
        <v/>
      </c>
      <c r="ER286" s="66" t="str">
        <f t="shared" si="3776"/>
        <v/>
      </c>
      <c r="ES286" s="66" t="str">
        <f t="shared" si="3777"/>
        <v/>
      </c>
      <c r="ET286" s="66" t="str">
        <f t="shared" si="3778"/>
        <v/>
      </c>
      <c r="EU286" s="66" t="str">
        <f t="shared" si="3779"/>
        <v/>
      </c>
      <c r="EV286" s="66" t="str">
        <f t="shared" si="3780"/>
        <v/>
      </c>
      <c r="EW286" s="66" t="str">
        <f t="shared" si="3781"/>
        <v/>
      </c>
      <c r="EX286" s="66" t="str">
        <f t="shared" si="3782"/>
        <v/>
      </c>
      <c r="EY286" s="66" t="str">
        <f t="shared" si="3783"/>
        <v/>
      </c>
      <c r="EZ286" s="66" t="str">
        <f t="shared" si="3784"/>
        <v/>
      </c>
      <c r="FA286" s="66" t="str">
        <f t="shared" si="3785"/>
        <v/>
      </c>
      <c r="FB286" s="66" t="str">
        <f t="shared" si="3786"/>
        <v/>
      </c>
      <c r="FC286" s="66" t="str">
        <f t="shared" si="3787"/>
        <v/>
      </c>
      <c r="FD286" s="66" t="str">
        <f t="shared" si="3788"/>
        <v/>
      </c>
      <c r="FE286" s="66" t="str">
        <f t="shared" si="3789"/>
        <v/>
      </c>
      <c r="FF286" s="66" t="str">
        <f t="shared" si="3790"/>
        <v/>
      </c>
      <c r="FG286" s="66" t="str">
        <f t="shared" si="3791"/>
        <v/>
      </c>
      <c r="FH286" s="66" t="str">
        <f t="shared" si="3792"/>
        <v/>
      </c>
      <c r="FI286" s="66" t="str">
        <f t="shared" si="3793"/>
        <v/>
      </c>
      <c r="FJ286" s="66" t="str">
        <f t="shared" si="3794"/>
        <v/>
      </c>
      <c r="FK286" s="66" t="str">
        <f t="shared" si="3795"/>
        <v/>
      </c>
      <c r="FL286" s="66" t="str">
        <f t="shared" si="3796"/>
        <v/>
      </c>
      <c r="FM286" s="66" t="str">
        <f t="shared" si="3797"/>
        <v/>
      </c>
      <c r="FN286" s="66" t="str">
        <f t="shared" si="3798"/>
        <v/>
      </c>
      <c r="FO286" s="66" t="str">
        <f t="shared" si="3799"/>
        <v/>
      </c>
      <c r="FP286" s="66" t="str">
        <f t="shared" si="3800"/>
        <v/>
      </c>
      <c r="FQ286" s="66" t="str">
        <f t="shared" si="3801"/>
        <v/>
      </c>
      <c r="FR286" s="66" t="str">
        <f t="shared" si="3802"/>
        <v/>
      </c>
      <c r="FS286" s="66" t="str">
        <f t="shared" si="3803"/>
        <v/>
      </c>
    </row>
    <row r="287" spans="1:175">
      <c r="CN287" s="36" t="str">
        <f t="shared" si="3728"/>
        <v>InitUnitState('',,,,,,,,,,)</v>
      </c>
      <c r="CO287" s="36" t="str">
        <f t="shared" si="3729"/>
        <v>InitUnitNormal('',,,,,,,,,,)</v>
      </c>
      <c r="CP287" s="36" t="str">
        <f t="shared" si="3730"/>
        <v>InitUnitMagic('',,,,,,,,,,)</v>
      </c>
      <c r="CQ287" s="36" t="str">
        <f t="shared" si="3731"/>
        <v>InitUnitAdd('',,,,,,,,,,)</v>
      </c>
      <c r="CR287" s="36" t="str">
        <f t="shared" si="3732"/>
        <v>InitEquipData('',,"",,,,,'','','','','','',"")</v>
      </c>
      <c r="CU287" s="19" t="str">
        <f t="shared" si="3733"/>
        <v>|n</v>
      </c>
      <c r="CW287" s="33"/>
      <c r="CX287" s="33"/>
      <c r="CY287" s="33"/>
      <c r="CZ287" s="33"/>
      <c r="DA287" s="33"/>
      <c r="DB287" s="66" t="str">
        <f t="shared" si="3734"/>
        <v/>
      </c>
      <c r="DC287" s="66" t="str">
        <f t="shared" si="3735"/>
        <v/>
      </c>
      <c r="DD287" s="66" t="str">
        <f t="shared" si="3736"/>
        <v/>
      </c>
      <c r="DE287" s="66" t="str">
        <f t="shared" si="3737"/>
        <v/>
      </c>
      <c r="DF287" s="66" t="str">
        <f t="shared" si="3738"/>
        <v/>
      </c>
      <c r="DG287" s="66" t="str">
        <f t="shared" si="3739"/>
        <v/>
      </c>
      <c r="DH287" s="66" t="str">
        <f t="shared" si="3740"/>
        <v/>
      </c>
      <c r="DI287" s="66" t="str">
        <f t="shared" si="3741"/>
        <v/>
      </c>
      <c r="DJ287" s="66" t="str">
        <f t="shared" si="3742"/>
        <v/>
      </c>
      <c r="DK287" s="66" t="str">
        <f t="shared" si="3743"/>
        <v/>
      </c>
      <c r="DL287" s="66" t="str">
        <f t="shared" si="3744"/>
        <v/>
      </c>
      <c r="DM287" s="66" t="str">
        <f t="shared" si="3745"/>
        <v/>
      </c>
      <c r="DN287" s="66" t="str">
        <f t="shared" si="3746"/>
        <v/>
      </c>
      <c r="DO287" s="66" t="str">
        <f t="shared" si="3747"/>
        <v/>
      </c>
      <c r="DP287" s="66" t="str">
        <f t="shared" si="3748"/>
        <v/>
      </c>
      <c r="DQ287" s="66" t="str">
        <f t="shared" si="3749"/>
        <v/>
      </c>
      <c r="DR287" s="66" t="str">
        <f t="shared" si="3750"/>
        <v/>
      </c>
      <c r="DS287" s="66" t="str">
        <f t="shared" si="3751"/>
        <v/>
      </c>
      <c r="DT287" s="66" t="str">
        <f t="shared" si="3752"/>
        <v/>
      </c>
      <c r="DU287" s="66" t="str">
        <f t="shared" si="3753"/>
        <v/>
      </c>
      <c r="DV287" s="66" t="str">
        <f t="shared" si="3754"/>
        <v/>
      </c>
      <c r="DW287" s="66" t="str">
        <f t="shared" si="3755"/>
        <v/>
      </c>
      <c r="DX287" s="66" t="str">
        <f t="shared" si="3756"/>
        <v/>
      </c>
      <c r="DY287" s="66" t="str">
        <f t="shared" si="3757"/>
        <v/>
      </c>
      <c r="DZ287" s="66" t="str">
        <f t="shared" si="3758"/>
        <v/>
      </c>
      <c r="EA287" s="66" t="str">
        <f t="shared" si="3759"/>
        <v/>
      </c>
      <c r="EB287" s="66" t="str">
        <f t="shared" si="3760"/>
        <v/>
      </c>
      <c r="EC287" s="66" t="str">
        <f t="shared" si="3761"/>
        <v/>
      </c>
      <c r="ED287" s="66" t="str">
        <f t="shared" si="3762"/>
        <v/>
      </c>
      <c r="EE287" s="66" t="str">
        <f t="shared" si="3763"/>
        <v/>
      </c>
      <c r="EF287" s="66" t="str">
        <f t="shared" si="3764"/>
        <v/>
      </c>
      <c r="EG287" s="66" t="str">
        <f t="shared" si="3765"/>
        <v/>
      </c>
      <c r="EH287" s="66" t="str">
        <f t="shared" si="3766"/>
        <v/>
      </c>
      <c r="EI287" s="66" t="str">
        <f t="shared" si="3767"/>
        <v/>
      </c>
      <c r="EJ287" s="66" t="str">
        <f t="shared" si="3768"/>
        <v/>
      </c>
      <c r="EK287" s="66" t="str">
        <f t="shared" si="3769"/>
        <v/>
      </c>
      <c r="EL287" s="66" t="str">
        <f t="shared" si="3770"/>
        <v/>
      </c>
      <c r="EM287" s="66" t="str">
        <f t="shared" si="3771"/>
        <v/>
      </c>
      <c r="EN287" s="66" t="str">
        <f t="shared" si="3772"/>
        <v/>
      </c>
      <c r="EO287" s="66" t="str">
        <f t="shared" si="3773"/>
        <v/>
      </c>
      <c r="EP287" s="66" t="str">
        <f t="shared" si="3774"/>
        <v/>
      </c>
      <c r="EQ287" s="66" t="str">
        <f t="shared" si="3775"/>
        <v/>
      </c>
      <c r="ER287" s="66" t="str">
        <f t="shared" si="3776"/>
        <v/>
      </c>
      <c r="ES287" s="66" t="str">
        <f t="shared" si="3777"/>
        <v/>
      </c>
      <c r="ET287" s="66" t="str">
        <f t="shared" si="3778"/>
        <v/>
      </c>
      <c r="EU287" s="66" t="str">
        <f t="shared" si="3779"/>
        <v/>
      </c>
      <c r="EV287" s="66" t="str">
        <f t="shared" si="3780"/>
        <v/>
      </c>
      <c r="EW287" s="66" t="str">
        <f t="shared" si="3781"/>
        <v/>
      </c>
      <c r="EX287" s="66" t="str">
        <f t="shared" si="3782"/>
        <v/>
      </c>
      <c r="EY287" s="66" t="str">
        <f t="shared" si="3783"/>
        <v/>
      </c>
      <c r="EZ287" s="66" t="str">
        <f t="shared" si="3784"/>
        <v/>
      </c>
      <c r="FA287" s="66" t="str">
        <f t="shared" si="3785"/>
        <v/>
      </c>
      <c r="FB287" s="66" t="str">
        <f t="shared" si="3786"/>
        <v/>
      </c>
      <c r="FC287" s="66" t="str">
        <f t="shared" si="3787"/>
        <v/>
      </c>
      <c r="FD287" s="66" t="str">
        <f t="shared" si="3788"/>
        <v/>
      </c>
      <c r="FE287" s="66" t="str">
        <f t="shared" si="3789"/>
        <v/>
      </c>
      <c r="FF287" s="66" t="str">
        <f t="shared" si="3790"/>
        <v/>
      </c>
      <c r="FG287" s="66" t="str">
        <f t="shared" si="3791"/>
        <v/>
      </c>
      <c r="FH287" s="66" t="str">
        <f t="shared" si="3792"/>
        <v/>
      </c>
      <c r="FI287" s="66" t="str">
        <f t="shared" si="3793"/>
        <v/>
      </c>
      <c r="FJ287" s="66" t="str">
        <f t="shared" si="3794"/>
        <v/>
      </c>
      <c r="FK287" s="66" t="str">
        <f t="shared" si="3795"/>
        <v/>
      </c>
      <c r="FL287" s="66" t="str">
        <f t="shared" si="3796"/>
        <v/>
      </c>
      <c r="FM287" s="66" t="str">
        <f t="shared" si="3797"/>
        <v/>
      </c>
      <c r="FN287" s="66" t="str">
        <f t="shared" si="3798"/>
        <v/>
      </c>
      <c r="FO287" s="66" t="str">
        <f t="shared" si="3799"/>
        <v/>
      </c>
      <c r="FP287" s="66" t="str">
        <f t="shared" si="3800"/>
        <v/>
      </c>
      <c r="FQ287" s="66" t="str">
        <f t="shared" si="3801"/>
        <v/>
      </c>
      <c r="FR287" s="66" t="str">
        <f t="shared" si="3802"/>
        <v/>
      </c>
      <c r="FS287" s="66" t="str">
        <f t="shared" si="3803"/>
        <v/>
      </c>
    </row>
    <row r="288" spans="1:175">
      <c r="CN288" s="36" t="str">
        <f t="shared" si="3728"/>
        <v>InitUnitState('',,,,,,,,,,)</v>
      </c>
      <c r="CO288" s="36" t="str">
        <f t="shared" si="3729"/>
        <v>InitUnitNormal('',,,,,,,,,,)</v>
      </c>
      <c r="CP288" s="36" t="str">
        <f t="shared" si="3730"/>
        <v>InitUnitMagic('',,,,,,,,,,)</v>
      </c>
      <c r="CQ288" s="36" t="str">
        <f t="shared" si="3731"/>
        <v>InitUnitAdd('',,,,,,,,,,)</v>
      </c>
      <c r="CR288" s="36" t="str">
        <f t="shared" si="3732"/>
        <v>InitEquipData('',,"",,,,,'','','','','','',"")</v>
      </c>
      <c r="CU288" s="19" t="str">
        <f t="shared" si="3733"/>
        <v>|n</v>
      </c>
      <c r="CW288" s="33"/>
      <c r="CX288" s="33"/>
      <c r="CY288" s="33"/>
      <c r="CZ288" s="33"/>
      <c r="DA288" s="33"/>
      <c r="DB288" s="66" t="str">
        <f t="shared" si="3734"/>
        <v/>
      </c>
      <c r="DC288" s="66" t="str">
        <f t="shared" si="3735"/>
        <v/>
      </c>
      <c r="DD288" s="66" t="str">
        <f t="shared" si="3736"/>
        <v/>
      </c>
      <c r="DE288" s="66" t="str">
        <f t="shared" si="3737"/>
        <v/>
      </c>
      <c r="DF288" s="66" t="str">
        <f t="shared" si="3738"/>
        <v/>
      </c>
      <c r="DG288" s="66" t="str">
        <f t="shared" si="3739"/>
        <v/>
      </c>
      <c r="DH288" s="66" t="str">
        <f t="shared" si="3740"/>
        <v/>
      </c>
      <c r="DI288" s="66" t="str">
        <f t="shared" si="3741"/>
        <v/>
      </c>
      <c r="DJ288" s="66" t="str">
        <f t="shared" si="3742"/>
        <v/>
      </c>
      <c r="DK288" s="66" t="str">
        <f t="shared" si="3743"/>
        <v/>
      </c>
      <c r="DL288" s="66" t="str">
        <f t="shared" si="3744"/>
        <v/>
      </c>
      <c r="DM288" s="66" t="str">
        <f t="shared" si="3745"/>
        <v/>
      </c>
      <c r="DN288" s="66" t="str">
        <f t="shared" si="3746"/>
        <v/>
      </c>
      <c r="DO288" s="66" t="str">
        <f t="shared" si="3747"/>
        <v/>
      </c>
      <c r="DP288" s="66" t="str">
        <f t="shared" si="3748"/>
        <v/>
      </c>
      <c r="DQ288" s="66" t="str">
        <f t="shared" si="3749"/>
        <v/>
      </c>
      <c r="DR288" s="66" t="str">
        <f t="shared" si="3750"/>
        <v/>
      </c>
      <c r="DS288" s="66" t="str">
        <f t="shared" si="3751"/>
        <v/>
      </c>
      <c r="DT288" s="66" t="str">
        <f t="shared" si="3752"/>
        <v/>
      </c>
      <c r="DU288" s="66" t="str">
        <f t="shared" si="3753"/>
        <v/>
      </c>
      <c r="DV288" s="66" t="str">
        <f t="shared" si="3754"/>
        <v/>
      </c>
      <c r="DW288" s="66" t="str">
        <f t="shared" si="3755"/>
        <v/>
      </c>
      <c r="DX288" s="66" t="str">
        <f t="shared" si="3756"/>
        <v/>
      </c>
      <c r="DY288" s="66" t="str">
        <f t="shared" si="3757"/>
        <v/>
      </c>
      <c r="DZ288" s="66" t="str">
        <f t="shared" si="3758"/>
        <v/>
      </c>
      <c r="EA288" s="66" t="str">
        <f t="shared" si="3759"/>
        <v/>
      </c>
      <c r="EB288" s="66" t="str">
        <f t="shared" si="3760"/>
        <v/>
      </c>
      <c r="EC288" s="66" t="str">
        <f t="shared" si="3761"/>
        <v/>
      </c>
      <c r="ED288" s="66" t="str">
        <f t="shared" si="3762"/>
        <v/>
      </c>
      <c r="EE288" s="66" t="str">
        <f t="shared" si="3763"/>
        <v/>
      </c>
      <c r="EF288" s="66" t="str">
        <f t="shared" si="3764"/>
        <v/>
      </c>
      <c r="EG288" s="66" t="str">
        <f t="shared" si="3765"/>
        <v/>
      </c>
      <c r="EH288" s="66" t="str">
        <f t="shared" si="3766"/>
        <v/>
      </c>
      <c r="EI288" s="66" t="str">
        <f t="shared" si="3767"/>
        <v/>
      </c>
      <c r="EJ288" s="66" t="str">
        <f t="shared" si="3768"/>
        <v/>
      </c>
      <c r="EK288" s="66" t="str">
        <f t="shared" si="3769"/>
        <v/>
      </c>
      <c r="EL288" s="66" t="str">
        <f t="shared" si="3770"/>
        <v/>
      </c>
      <c r="EM288" s="66" t="str">
        <f t="shared" si="3771"/>
        <v/>
      </c>
      <c r="EN288" s="66" t="str">
        <f t="shared" si="3772"/>
        <v/>
      </c>
      <c r="EO288" s="66" t="str">
        <f t="shared" si="3773"/>
        <v/>
      </c>
      <c r="EP288" s="66" t="str">
        <f t="shared" si="3774"/>
        <v/>
      </c>
      <c r="EQ288" s="66" t="str">
        <f t="shared" si="3775"/>
        <v/>
      </c>
      <c r="ER288" s="66" t="str">
        <f t="shared" si="3776"/>
        <v/>
      </c>
      <c r="ES288" s="66" t="str">
        <f t="shared" si="3777"/>
        <v/>
      </c>
      <c r="ET288" s="66" t="str">
        <f t="shared" si="3778"/>
        <v/>
      </c>
      <c r="EU288" s="66" t="str">
        <f t="shared" si="3779"/>
        <v/>
      </c>
      <c r="EV288" s="66" t="str">
        <f t="shared" si="3780"/>
        <v/>
      </c>
      <c r="EW288" s="66" t="str">
        <f t="shared" si="3781"/>
        <v/>
      </c>
      <c r="EX288" s="66" t="str">
        <f t="shared" si="3782"/>
        <v/>
      </c>
      <c r="EY288" s="66" t="str">
        <f t="shared" si="3783"/>
        <v/>
      </c>
      <c r="EZ288" s="66" t="str">
        <f t="shared" si="3784"/>
        <v/>
      </c>
      <c r="FA288" s="66" t="str">
        <f t="shared" si="3785"/>
        <v/>
      </c>
      <c r="FB288" s="66" t="str">
        <f t="shared" si="3786"/>
        <v/>
      </c>
      <c r="FC288" s="66" t="str">
        <f t="shared" si="3787"/>
        <v/>
      </c>
      <c r="FD288" s="66" t="str">
        <f t="shared" si="3788"/>
        <v/>
      </c>
      <c r="FE288" s="66" t="str">
        <f t="shared" si="3789"/>
        <v/>
      </c>
      <c r="FF288" s="66" t="str">
        <f t="shared" si="3790"/>
        <v/>
      </c>
      <c r="FG288" s="66" t="str">
        <f t="shared" si="3791"/>
        <v/>
      </c>
      <c r="FH288" s="66" t="str">
        <f t="shared" si="3792"/>
        <v/>
      </c>
      <c r="FI288" s="66" t="str">
        <f t="shared" si="3793"/>
        <v/>
      </c>
      <c r="FJ288" s="66" t="str">
        <f t="shared" si="3794"/>
        <v/>
      </c>
      <c r="FK288" s="66" t="str">
        <f t="shared" si="3795"/>
        <v/>
      </c>
      <c r="FL288" s="66" t="str">
        <f t="shared" si="3796"/>
        <v/>
      </c>
      <c r="FM288" s="66" t="str">
        <f t="shared" si="3797"/>
        <v/>
      </c>
      <c r="FN288" s="66" t="str">
        <f t="shared" si="3798"/>
        <v/>
      </c>
      <c r="FO288" s="66" t="str">
        <f t="shared" si="3799"/>
        <v/>
      </c>
      <c r="FP288" s="66" t="str">
        <f t="shared" si="3800"/>
        <v/>
      </c>
      <c r="FQ288" s="66" t="str">
        <f t="shared" si="3801"/>
        <v/>
      </c>
      <c r="FR288" s="66" t="str">
        <f t="shared" si="3802"/>
        <v/>
      </c>
      <c r="FS288" s="66" t="str">
        <f t="shared" si="3803"/>
        <v/>
      </c>
    </row>
    <row r="289" spans="92:175">
      <c r="CN289" s="36" t="str">
        <f t="shared" si="3728"/>
        <v>InitUnitState('',,,,,,,,,,)</v>
      </c>
      <c r="CO289" s="36" t="str">
        <f t="shared" si="3729"/>
        <v>InitUnitNormal('',,,,,,,,,,)</v>
      </c>
      <c r="CP289" s="36" t="str">
        <f t="shared" si="3730"/>
        <v>InitUnitMagic('',,,,,,,,,,)</v>
      </c>
      <c r="CQ289" s="36" t="str">
        <f t="shared" si="3731"/>
        <v>InitUnitAdd('',,,,,,,,,,)</v>
      </c>
      <c r="CR289" s="36" t="str">
        <f t="shared" si="3732"/>
        <v>InitEquipData('',,"",,,,,'','','','','','',"")</v>
      </c>
      <c r="CU289" s="19" t="str">
        <f t="shared" si="3733"/>
        <v>|n</v>
      </c>
      <c r="CW289" s="33"/>
      <c r="CX289" s="33"/>
      <c r="CY289" s="33"/>
      <c r="CZ289" s="33"/>
      <c r="DA289" s="33"/>
      <c r="DB289" s="66" t="str">
        <f t="shared" si="3734"/>
        <v/>
      </c>
      <c r="DC289" s="66" t="str">
        <f t="shared" si="3735"/>
        <v/>
      </c>
      <c r="DD289" s="66" t="str">
        <f t="shared" si="3736"/>
        <v/>
      </c>
      <c r="DE289" s="66" t="str">
        <f t="shared" si="3737"/>
        <v/>
      </c>
      <c r="DF289" s="66" t="str">
        <f t="shared" si="3738"/>
        <v/>
      </c>
      <c r="DG289" s="66" t="str">
        <f t="shared" si="3739"/>
        <v/>
      </c>
      <c r="DH289" s="66" t="str">
        <f t="shared" si="3740"/>
        <v/>
      </c>
      <c r="DI289" s="66" t="str">
        <f t="shared" si="3741"/>
        <v/>
      </c>
      <c r="DJ289" s="66" t="str">
        <f t="shared" si="3742"/>
        <v/>
      </c>
      <c r="DK289" s="66" t="str">
        <f t="shared" si="3743"/>
        <v/>
      </c>
      <c r="DL289" s="66" t="str">
        <f t="shared" si="3744"/>
        <v/>
      </c>
      <c r="DM289" s="66" t="str">
        <f t="shared" si="3745"/>
        <v/>
      </c>
      <c r="DN289" s="66" t="str">
        <f t="shared" si="3746"/>
        <v/>
      </c>
      <c r="DO289" s="66" t="str">
        <f t="shared" si="3747"/>
        <v/>
      </c>
      <c r="DP289" s="66" t="str">
        <f t="shared" si="3748"/>
        <v/>
      </c>
      <c r="DQ289" s="66" t="str">
        <f t="shared" si="3749"/>
        <v/>
      </c>
      <c r="DR289" s="66" t="str">
        <f t="shared" si="3750"/>
        <v/>
      </c>
      <c r="DS289" s="66" t="str">
        <f t="shared" si="3751"/>
        <v/>
      </c>
      <c r="DT289" s="66" t="str">
        <f t="shared" si="3752"/>
        <v/>
      </c>
      <c r="DU289" s="66" t="str">
        <f t="shared" si="3753"/>
        <v/>
      </c>
      <c r="DV289" s="66" t="str">
        <f t="shared" si="3754"/>
        <v/>
      </c>
      <c r="DW289" s="66" t="str">
        <f t="shared" si="3755"/>
        <v/>
      </c>
      <c r="DX289" s="66" t="str">
        <f t="shared" si="3756"/>
        <v/>
      </c>
      <c r="DY289" s="66" t="str">
        <f t="shared" si="3757"/>
        <v/>
      </c>
      <c r="DZ289" s="66" t="str">
        <f t="shared" si="3758"/>
        <v/>
      </c>
      <c r="EA289" s="66" t="str">
        <f t="shared" si="3759"/>
        <v/>
      </c>
      <c r="EB289" s="66" t="str">
        <f t="shared" si="3760"/>
        <v/>
      </c>
      <c r="EC289" s="66" t="str">
        <f t="shared" si="3761"/>
        <v/>
      </c>
      <c r="ED289" s="66" t="str">
        <f t="shared" si="3762"/>
        <v/>
      </c>
      <c r="EE289" s="66" t="str">
        <f t="shared" si="3763"/>
        <v/>
      </c>
      <c r="EF289" s="66" t="str">
        <f t="shared" si="3764"/>
        <v/>
      </c>
      <c r="EG289" s="66" t="str">
        <f t="shared" si="3765"/>
        <v/>
      </c>
      <c r="EH289" s="66" t="str">
        <f t="shared" si="3766"/>
        <v/>
      </c>
      <c r="EI289" s="66" t="str">
        <f t="shared" si="3767"/>
        <v/>
      </c>
      <c r="EJ289" s="66" t="str">
        <f t="shared" si="3768"/>
        <v/>
      </c>
      <c r="EK289" s="66" t="str">
        <f t="shared" si="3769"/>
        <v/>
      </c>
      <c r="EL289" s="66" t="str">
        <f t="shared" si="3770"/>
        <v/>
      </c>
      <c r="EM289" s="66" t="str">
        <f t="shared" si="3771"/>
        <v/>
      </c>
      <c r="EN289" s="66" t="str">
        <f t="shared" si="3772"/>
        <v/>
      </c>
      <c r="EO289" s="66" t="str">
        <f t="shared" si="3773"/>
        <v/>
      </c>
      <c r="EP289" s="66" t="str">
        <f t="shared" si="3774"/>
        <v/>
      </c>
      <c r="EQ289" s="66" t="str">
        <f t="shared" si="3775"/>
        <v/>
      </c>
      <c r="ER289" s="66" t="str">
        <f t="shared" si="3776"/>
        <v/>
      </c>
      <c r="ES289" s="66" t="str">
        <f t="shared" si="3777"/>
        <v/>
      </c>
      <c r="ET289" s="66" t="str">
        <f t="shared" si="3778"/>
        <v/>
      </c>
      <c r="EU289" s="66" t="str">
        <f t="shared" si="3779"/>
        <v/>
      </c>
      <c r="EV289" s="66" t="str">
        <f t="shared" si="3780"/>
        <v/>
      </c>
      <c r="EW289" s="66" t="str">
        <f t="shared" si="3781"/>
        <v/>
      </c>
      <c r="EX289" s="66" t="str">
        <f t="shared" si="3782"/>
        <v/>
      </c>
      <c r="EY289" s="66" t="str">
        <f t="shared" si="3783"/>
        <v/>
      </c>
      <c r="EZ289" s="66" t="str">
        <f t="shared" si="3784"/>
        <v/>
      </c>
      <c r="FA289" s="66" t="str">
        <f t="shared" si="3785"/>
        <v/>
      </c>
      <c r="FB289" s="66" t="str">
        <f t="shared" si="3786"/>
        <v/>
      </c>
      <c r="FC289" s="66" t="str">
        <f t="shared" si="3787"/>
        <v/>
      </c>
      <c r="FD289" s="66" t="str">
        <f t="shared" si="3788"/>
        <v/>
      </c>
      <c r="FE289" s="66" t="str">
        <f t="shared" si="3789"/>
        <v/>
      </c>
      <c r="FF289" s="66" t="str">
        <f t="shared" si="3790"/>
        <v/>
      </c>
      <c r="FG289" s="66" t="str">
        <f t="shared" si="3791"/>
        <v/>
      </c>
      <c r="FH289" s="66" t="str">
        <f t="shared" si="3792"/>
        <v/>
      </c>
      <c r="FI289" s="66" t="str">
        <f t="shared" si="3793"/>
        <v/>
      </c>
      <c r="FJ289" s="66" t="str">
        <f t="shared" si="3794"/>
        <v/>
      </c>
      <c r="FK289" s="66" t="str">
        <f t="shared" si="3795"/>
        <v/>
      </c>
      <c r="FL289" s="66" t="str">
        <f t="shared" si="3796"/>
        <v/>
      </c>
      <c r="FM289" s="66" t="str">
        <f t="shared" si="3797"/>
        <v/>
      </c>
      <c r="FN289" s="66" t="str">
        <f t="shared" si="3798"/>
        <v/>
      </c>
      <c r="FO289" s="66" t="str">
        <f t="shared" si="3799"/>
        <v/>
      </c>
      <c r="FP289" s="66" t="str">
        <f t="shared" si="3800"/>
        <v/>
      </c>
      <c r="FQ289" s="66" t="str">
        <f t="shared" si="3801"/>
        <v/>
      </c>
      <c r="FR289" s="66" t="str">
        <f t="shared" si="3802"/>
        <v/>
      </c>
      <c r="FS289" s="66" t="str">
        <f t="shared" si="3803"/>
        <v/>
      </c>
    </row>
    <row r="290" spans="92:175">
      <c r="CN290" s="36" t="str">
        <f t="shared" si="3728"/>
        <v>InitUnitState('',,,,,,,,,,)</v>
      </c>
      <c r="CO290" s="36" t="str">
        <f t="shared" si="3729"/>
        <v>InitUnitNormal('',,,,,,,,,,)</v>
      </c>
      <c r="CP290" s="36" t="str">
        <f t="shared" si="3730"/>
        <v>InitUnitMagic('',,,,,,,,,,)</v>
      </c>
      <c r="CQ290" s="36" t="str">
        <f t="shared" si="3731"/>
        <v>InitUnitAdd('',,,,,,,,,,)</v>
      </c>
      <c r="CR290" s="36" t="str">
        <f t="shared" si="3732"/>
        <v>InitEquipData('',,"",,,,,'','','','','','',"")</v>
      </c>
      <c r="CU290" s="19" t="str">
        <f t="shared" si="3733"/>
        <v>|n</v>
      </c>
      <c r="CW290" s="33"/>
      <c r="CX290" s="33"/>
      <c r="CY290" s="33"/>
      <c r="CZ290" s="33"/>
      <c r="DA290" s="33"/>
      <c r="DB290" s="66" t="str">
        <f t="shared" si="3734"/>
        <v/>
      </c>
      <c r="DC290" s="66" t="str">
        <f t="shared" si="3735"/>
        <v/>
      </c>
      <c r="DD290" s="66" t="str">
        <f t="shared" si="3736"/>
        <v/>
      </c>
      <c r="DE290" s="66" t="str">
        <f t="shared" si="3737"/>
        <v/>
      </c>
      <c r="DF290" s="66" t="str">
        <f t="shared" si="3738"/>
        <v/>
      </c>
      <c r="DG290" s="66" t="str">
        <f t="shared" si="3739"/>
        <v/>
      </c>
      <c r="DH290" s="66" t="str">
        <f t="shared" si="3740"/>
        <v/>
      </c>
      <c r="DI290" s="66" t="str">
        <f t="shared" si="3741"/>
        <v/>
      </c>
      <c r="DJ290" s="66" t="str">
        <f t="shared" si="3742"/>
        <v/>
      </c>
      <c r="DK290" s="66" t="str">
        <f t="shared" si="3743"/>
        <v/>
      </c>
      <c r="DL290" s="66" t="str">
        <f t="shared" si="3744"/>
        <v/>
      </c>
      <c r="DM290" s="66" t="str">
        <f t="shared" si="3745"/>
        <v/>
      </c>
      <c r="DN290" s="66" t="str">
        <f t="shared" si="3746"/>
        <v/>
      </c>
      <c r="DO290" s="66" t="str">
        <f t="shared" si="3747"/>
        <v/>
      </c>
      <c r="DP290" s="66" t="str">
        <f t="shared" si="3748"/>
        <v/>
      </c>
      <c r="DQ290" s="66" t="str">
        <f t="shared" si="3749"/>
        <v/>
      </c>
      <c r="DR290" s="66" t="str">
        <f t="shared" si="3750"/>
        <v/>
      </c>
      <c r="DS290" s="66" t="str">
        <f t="shared" si="3751"/>
        <v/>
      </c>
      <c r="DT290" s="66" t="str">
        <f t="shared" si="3752"/>
        <v/>
      </c>
      <c r="DU290" s="66" t="str">
        <f t="shared" si="3753"/>
        <v/>
      </c>
      <c r="DV290" s="66" t="str">
        <f t="shared" si="3754"/>
        <v/>
      </c>
      <c r="DW290" s="66" t="str">
        <f t="shared" si="3755"/>
        <v/>
      </c>
      <c r="DX290" s="66" t="str">
        <f t="shared" si="3756"/>
        <v/>
      </c>
      <c r="DY290" s="66" t="str">
        <f t="shared" si="3757"/>
        <v/>
      </c>
      <c r="DZ290" s="66" t="str">
        <f t="shared" si="3758"/>
        <v/>
      </c>
      <c r="EA290" s="66" t="str">
        <f t="shared" si="3759"/>
        <v/>
      </c>
      <c r="EB290" s="66" t="str">
        <f t="shared" si="3760"/>
        <v/>
      </c>
      <c r="EC290" s="66" t="str">
        <f t="shared" si="3761"/>
        <v/>
      </c>
      <c r="ED290" s="66" t="str">
        <f t="shared" si="3762"/>
        <v/>
      </c>
      <c r="EE290" s="66" t="str">
        <f t="shared" si="3763"/>
        <v/>
      </c>
      <c r="EF290" s="66" t="str">
        <f t="shared" si="3764"/>
        <v/>
      </c>
      <c r="EG290" s="66" t="str">
        <f t="shared" si="3765"/>
        <v/>
      </c>
      <c r="EH290" s="66" t="str">
        <f t="shared" si="3766"/>
        <v/>
      </c>
      <c r="EI290" s="66" t="str">
        <f t="shared" si="3767"/>
        <v/>
      </c>
      <c r="EJ290" s="66" t="str">
        <f t="shared" si="3768"/>
        <v/>
      </c>
      <c r="EK290" s="66" t="str">
        <f t="shared" si="3769"/>
        <v/>
      </c>
      <c r="EL290" s="66" t="str">
        <f t="shared" si="3770"/>
        <v/>
      </c>
      <c r="EM290" s="66" t="str">
        <f t="shared" si="3771"/>
        <v/>
      </c>
      <c r="EN290" s="66" t="str">
        <f t="shared" si="3772"/>
        <v/>
      </c>
      <c r="EO290" s="66" t="str">
        <f t="shared" si="3773"/>
        <v/>
      </c>
      <c r="EP290" s="66" t="str">
        <f t="shared" si="3774"/>
        <v/>
      </c>
      <c r="EQ290" s="66" t="str">
        <f t="shared" si="3775"/>
        <v/>
      </c>
      <c r="ER290" s="66" t="str">
        <f t="shared" si="3776"/>
        <v/>
      </c>
      <c r="ES290" s="66" t="str">
        <f t="shared" si="3777"/>
        <v/>
      </c>
      <c r="ET290" s="66" t="str">
        <f t="shared" si="3778"/>
        <v/>
      </c>
      <c r="EU290" s="66" t="str">
        <f t="shared" si="3779"/>
        <v/>
      </c>
      <c r="EV290" s="66" t="str">
        <f t="shared" si="3780"/>
        <v/>
      </c>
      <c r="EW290" s="66" t="str">
        <f t="shared" si="3781"/>
        <v/>
      </c>
      <c r="EX290" s="66" t="str">
        <f t="shared" si="3782"/>
        <v/>
      </c>
      <c r="EY290" s="66" t="str">
        <f t="shared" si="3783"/>
        <v/>
      </c>
      <c r="EZ290" s="66" t="str">
        <f t="shared" si="3784"/>
        <v/>
      </c>
      <c r="FA290" s="66" t="str">
        <f t="shared" si="3785"/>
        <v/>
      </c>
      <c r="FB290" s="66" t="str">
        <f t="shared" si="3786"/>
        <v/>
      </c>
      <c r="FC290" s="66" t="str">
        <f t="shared" si="3787"/>
        <v/>
      </c>
      <c r="FD290" s="66" t="str">
        <f t="shared" si="3788"/>
        <v/>
      </c>
      <c r="FE290" s="66" t="str">
        <f t="shared" si="3789"/>
        <v/>
      </c>
      <c r="FF290" s="66" t="str">
        <f t="shared" si="3790"/>
        <v/>
      </c>
      <c r="FG290" s="66" t="str">
        <f t="shared" si="3791"/>
        <v/>
      </c>
      <c r="FH290" s="66" t="str">
        <f t="shared" si="3792"/>
        <v/>
      </c>
      <c r="FI290" s="66" t="str">
        <f t="shared" si="3793"/>
        <v/>
      </c>
      <c r="FJ290" s="66" t="str">
        <f t="shared" si="3794"/>
        <v/>
      </c>
      <c r="FK290" s="66" t="str">
        <f t="shared" si="3795"/>
        <v/>
      </c>
      <c r="FL290" s="66" t="str">
        <f t="shared" si="3796"/>
        <v/>
      </c>
      <c r="FM290" s="66" t="str">
        <f t="shared" si="3797"/>
        <v/>
      </c>
      <c r="FN290" s="66" t="str">
        <f t="shared" si="3798"/>
        <v/>
      </c>
      <c r="FO290" s="66" t="str">
        <f t="shared" si="3799"/>
        <v/>
      </c>
      <c r="FP290" s="66" t="str">
        <f t="shared" si="3800"/>
        <v/>
      </c>
      <c r="FQ290" s="66" t="str">
        <f t="shared" si="3801"/>
        <v/>
      </c>
      <c r="FR290" s="66" t="str">
        <f t="shared" si="3802"/>
        <v/>
      </c>
      <c r="FS290" s="66" t="str">
        <f t="shared" si="3803"/>
        <v/>
      </c>
    </row>
    <row r="291" spans="92:175">
      <c r="CN291" s="36" t="str">
        <f t="shared" si="3728"/>
        <v>InitUnitState('',,,,,,,,,,)</v>
      </c>
      <c r="CO291" s="36" t="str">
        <f t="shared" si="3729"/>
        <v>InitUnitNormal('',,,,,,,,,,)</v>
      </c>
      <c r="CP291" s="36" t="str">
        <f t="shared" si="3730"/>
        <v>InitUnitMagic('',,,,,,,,,,)</v>
      </c>
      <c r="CQ291" s="36" t="str">
        <f t="shared" si="3731"/>
        <v>InitUnitAdd('',,,,,,,,,,)</v>
      </c>
      <c r="CR291" s="36" t="str">
        <f t="shared" si="3732"/>
        <v>InitEquipData('',,"",,,,,'','','','','','',"")</v>
      </c>
      <c r="CU291" s="19" t="str">
        <f t="shared" si="3733"/>
        <v>|n</v>
      </c>
      <c r="CW291" s="33"/>
      <c r="CX291" s="33"/>
      <c r="CY291" s="33"/>
      <c r="CZ291" s="33"/>
      <c r="DA291" s="33"/>
      <c r="DB291" s="66" t="str">
        <f t="shared" si="3734"/>
        <v/>
      </c>
      <c r="DC291" s="66" t="str">
        <f t="shared" si="3735"/>
        <v/>
      </c>
      <c r="DD291" s="66" t="str">
        <f t="shared" si="3736"/>
        <v/>
      </c>
      <c r="DE291" s="66" t="str">
        <f t="shared" si="3737"/>
        <v/>
      </c>
      <c r="DF291" s="66" t="str">
        <f t="shared" si="3738"/>
        <v/>
      </c>
      <c r="DG291" s="66" t="str">
        <f t="shared" si="3739"/>
        <v/>
      </c>
      <c r="DH291" s="66" t="str">
        <f t="shared" si="3740"/>
        <v/>
      </c>
      <c r="DI291" s="66" t="str">
        <f t="shared" si="3741"/>
        <v/>
      </c>
      <c r="DJ291" s="66" t="str">
        <f t="shared" si="3742"/>
        <v/>
      </c>
      <c r="DK291" s="66" t="str">
        <f t="shared" si="3743"/>
        <v/>
      </c>
      <c r="DL291" s="66" t="str">
        <f t="shared" si="3744"/>
        <v/>
      </c>
      <c r="DM291" s="66" t="str">
        <f t="shared" si="3745"/>
        <v/>
      </c>
      <c r="DN291" s="66" t="str">
        <f t="shared" si="3746"/>
        <v/>
      </c>
      <c r="DO291" s="66" t="str">
        <f t="shared" si="3747"/>
        <v/>
      </c>
      <c r="DP291" s="66" t="str">
        <f t="shared" si="3748"/>
        <v/>
      </c>
      <c r="DQ291" s="66" t="str">
        <f t="shared" si="3749"/>
        <v/>
      </c>
      <c r="DR291" s="66" t="str">
        <f t="shared" si="3750"/>
        <v/>
      </c>
      <c r="DS291" s="66" t="str">
        <f t="shared" si="3751"/>
        <v/>
      </c>
      <c r="DT291" s="66" t="str">
        <f t="shared" si="3752"/>
        <v/>
      </c>
      <c r="DU291" s="66" t="str">
        <f t="shared" si="3753"/>
        <v/>
      </c>
      <c r="DV291" s="66" t="str">
        <f t="shared" si="3754"/>
        <v/>
      </c>
      <c r="DW291" s="66" t="str">
        <f t="shared" si="3755"/>
        <v/>
      </c>
      <c r="DX291" s="66" t="str">
        <f t="shared" si="3756"/>
        <v/>
      </c>
      <c r="DY291" s="66" t="str">
        <f t="shared" si="3757"/>
        <v/>
      </c>
      <c r="DZ291" s="66" t="str">
        <f t="shared" si="3758"/>
        <v/>
      </c>
      <c r="EA291" s="66" t="str">
        <f t="shared" si="3759"/>
        <v/>
      </c>
      <c r="EB291" s="66" t="str">
        <f t="shared" si="3760"/>
        <v/>
      </c>
      <c r="EC291" s="66" t="str">
        <f t="shared" si="3761"/>
        <v/>
      </c>
      <c r="ED291" s="66" t="str">
        <f t="shared" si="3762"/>
        <v/>
      </c>
      <c r="EE291" s="66" t="str">
        <f t="shared" si="3763"/>
        <v/>
      </c>
      <c r="EF291" s="66" t="str">
        <f t="shared" si="3764"/>
        <v/>
      </c>
      <c r="EG291" s="66" t="str">
        <f t="shared" si="3765"/>
        <v/>
      </c>
      <c r="EH291" s="66" t="str">
        <f t="shared" si="3766"/>
        <v/>
      </c>
      <c r="EI291" s="66" t="str">
        <f t="shared" si="3767"/>
        <v/>
      </c>
      <c r="EJ291" s="66" t="str">
        <f t="shared" si="3768"/>
        <v/>
      </c>
      <c r="EK291" s="66" t="str">
        <f t="shared" si="3769"/>
        <v/>
      </c>
      <c r="EL291" s="66" t="str">
        <f t="shared" si="3770"/>
        <v/>
      </c>
      <c r="EM291" s="66" t="str">
        <f t="shared" si="3771"/>
        <v/>
      </c>
      <c r="EN291" s="66" t="str">
        <f t="shared" si="3772"/>
        <v/>
      </c>
      <c r="EO291" s="66" t="str">
        <f t="shared" si="3773"/>
        <v/>
      </c>
      <c r="EP291" s="66" t="str">
        <f t="shared" si="3774"/>
        <v/>
      </c>
      <c r="EQ291" s="66" t="str">
        <f t="shared" si="3775"/>
        <v/>
      </c>
      <c r="ER291" s="66" t="str">
        <f t="shared" si="3776"/>
        <v/>
      </c>
      <c r="ES291" s="66" t="str">
        <f t="shared" si="3777"/>
        <v/>
      </c>
      <c r="ET291" s="66" t="str">
        <f t="shared" si="3778"/>
        <v/>
      </c>
      <c r="EU291" s="66" t="str">
        <f t="shared" si="3779"/>
        <v/>
      </c>
      <c r="EV291" s="66" t="str">
        <f t="shared" si="3780"/>
        <v/>
      </c>
      <c r="EW291" s="66" t="str">
        <f t="shared" si="3781"/>
        <v/>
      </c>
      <c r="EX291" s="66" t="str">
        <f t="shared" si="3782"/>
        <v/>
      </c>
      <c r="EY291" s="66" t="str">
        <f t="shared" si="3783"/>
        <v/>
      </c>
      <c r="EZ291" s="66" t="str">
        <f t="shared" si="3784"/>
        <v/>
      </c>
      <c r="FA291" s="66" t="str">
        <f t="shared" si="3785"/>
        <v/>
      </c>
      <c r="FB291" s="66" t="str">
        <f t="shared" si="3786"/>
        <v/>
      </c>
      <c r="FC291" s="66" t="str">
        <f t="shared" si="3787"/>
        <v/>
      </c>
      <c r="FD291" s="66" t="str">
        <f t="shared" si="3788"/>
        <v/>
      </c>
      <c r="FE291" s="66" t="str">
        <f t="shared" si="3789"/>
        <v/>
      </c>
      <c r="FF291" s="66" t="str">
        <f t="shared" si="3790"/>
        <v/>
      </c>
      <c r="FG291" s="66" t="str">
        <f t="shared" si="3791"/>
        <v/>
      </c>
      <c r="FH291" s="66" t="str">
        <f t="shared" si="3792"/>
        <v/>
      </c>
      <c r="FI291" s="66" t="str">
        <f t="shared" si="3793"/>
        <v/>
      </c>
      <c r="FJ291" s="66" t="str">
        <f t="shared" si="3794"/>
        <v/>
      </c>
      <c r="FK291" s="66" t="str">
        <f t="shared" si="3795"/>
        <v/>
      </c>
      <c r="FL291" s="66" t="str">
        <f t="shared" si="3796"/>
        <v/>
      </c>
      <c r="FM291" s="66" t="str">
        <f t="shared" si="3797"/>
        <v/>
      </c>
      <c r="FN291" s="66" t="str">
        <f t="shared" si="3798"/>
        <v/>
      </c>
      <c r="FO291" s="66" t="str">
        <f t="shared" si="3799"/>
        <v/>
      </c>
      <c r="FP291" s="66" t="str">
        <f t="shared" si="3800"/>
        <v/>
      </c>
      <c r="FQ291" s="66" t="str">
        <f t="shared" si="3801"/>
        <v/>
      </c>
      <c r="FR291" s="66" t="str">
        <f t="shared" si="3802"/>
        <v/>
      </c>
      <c r="FS291" s="66" t="str">
        <f t="shared" si="3803"/>
        <v/>
      </c>
    </row>
    <row r="292" spans="92:175">
      <c r="CN292" s="36" t="str">
        <f t="shared" si="3728"/>
        <v>InitUnitState('',,,,,,,,,,)</v>
      </c>
      <c r="CO292" s="36" t="str">
        <f t="shared" si="3729"/>
        <v>InitUnitNormal('',,,,,,,,,,)</v>
      </c>
      <c r="CP292" s="36" t="str">
        <f t="shared" si="3730"/>
        <v>InitUnitMagic('',,,,,,,,,,)</v>
      </c>
      <c r="CQ292" s="36" t="str">
        <f t="shared" si="3731"/>
        <v>InitUnitAdd('',,,,,,,,,,)</v>
      </c>
      <c r="CR292" s="36" t="str">
        <f t="shared" si="3732"/>
        <v>InitEquipData('',,"",,,,,'','','','','','',"")</v>
      </c>
      <c r="CU292" s="19" t="str">
        <f t="shared" si="3733"/>
        <v>|n</v>
      </c>
      <c r="CW292" s="33"/>
      <c r="CX292" s="33"/>
      <c r="CY292" s="33"/>
      <c r="CZ292" s="33"/>
      <c r="DA292" s="33"/>
      <c r="DB292" s="66" t="str">
        <f t="shared" si="3734"/>
        <v/>
      </c>
      <c r="DC292" s="66" t="str">
        <f t="shared" si="3735"/>
        <v/>
      </c>
      <c r="DD292" s="66" t="str">
        <f t="shared" si="3736"/>
        <v/>
      </c>
      <c r="DE292" s="66" t="str">
        <f t="shared" si="3737"/>
        <v/>
      </c>
      <c r="DF292" s="66" t="str">
        <f t="shared" si="3738"/>
        <v/>
      </c>
      <c r="DG292" s="66" t="str">
        <f t="shared" si="3739"/>
        <v/>
      </c>
      <c r="DH292" s="66" t="str">
        <f t="shared" si="3740"/>
        <v/>
      </c>
      <c r="DI292" s="66" t="str">
        <f t="shared" si="3741"/>
        <v/>
      </c>
      <c r="DJ292" s="66" t="str">
        <f t="shared" si="3742"/>
        <v/>
      </c>
      <c r="DK292" s="66" t="str">
        <f t="shared" si="3743"/>
        <v/>
      </c>
      <c r="DL292" s="66" t="str">
        <f t="shared" si="3744"/>
        <v/>
      </c>
      <c r="DM292" s="66" t="str">
        <f t="shared" si="3745"/>
        <v/>
      </c>
      <c r="DN292" s="66" t="str">
        <f t="shared" si="3746"/>
        <v/>
      </c>
      <c r="DO292" s="66" t="str">
        <f t="shared" si="3747"/>
        <v/>
      </c>
      <c r="DP292" s="66" t="str">
        <f t="shared" si="3748"/>
        <v/>
      </c>
      <c r="DQ292" s="66" t="str">
        <f t="shared" si="3749"/>
        <v/>
      </c>
      <c r="DR292" s="66" t="str">
        <f t="shared" si="3750"/>
        <v/>
      </c>
      <c r="DS292" s="66" t="str">
        <f t="shared" si="3751"/>
        <v/>
      </c>
      <c r="DT292" s="66" t="str">
        <f t="shared" si="3752"/>
        <v/>
      </c>
      <c r="DU292" s="66" t="str">
        <f t="shared" si="3753"/>
        <v/>
      </c>
      <c r="DV292" s="66" t="str">
        <f t="shared" si="3754"/>
        <v/>
      </c>
      <c r="DW292" s="66" t="str">
        <f t="shared" si="3755"/>
        <v/>
      </c>
      <c r="DX292" s="66" t="str">
        <f t="shared" si="3756"/>
        <v/>
      </c>
      <c r="DY292" s="66" t="str">
        <f t="shared" si="3757"/>
        <v/>
      </c>
      <c r="DZ292" s="66" t="str">
        <f t="shared" si="3758"/>
        <v/>
      </c>
      <c r="EA292" s="66" t="str">
        <f t="shared" si="3759"/>
        <v/>
      </c>
      <c r="EB292" s="66" t="str">
        <f t="shared" si="3760"/>
        <v/>
      </c>
      <c r="EC292" s="66" t="str">
        <f t="shared" si="3761"/>
        <v/>
      </c>
      <c r="ED292" s="66" t="str">
        <f t="shared" si="3762"/>
        <v/>
      </c>
      <c r="EE292" s="66" t="str">
        <f t="shared" si="3763"/>
        <v/>
      </c>
      <c r="EF292" s="66" t="str">
        <f t="shared" si="3764"/>
        <v/>
      </c>
      <c r="EG292" s="66" t="str">
        <f t="shared" si="3765"/>
        <v/>
      </c>
      <c r="EH292" s="66" t="str">
        <f t="shared" si="3766"/>
        <v/>
      </c>
      <c r="EI292" s="66" t="str">
        <f t="shared" si="3767"/>
        <v/>
      </c>
      <c r="EJ292" s="66" t="str">
        <f t="shared" si="3768"/>
        <v/>
      </c>
      <c r="EK292" s="66" t="str">
        <f t="shared" si="3769"/>
        <v/>
      </c>
      <c r="EL292" s="66" t="str">
        <f t="shared" si="3770"/>
        <v/>
      </c>
      <c r="EM292" s="66" t="str">
        <f t="shared" si="3771"/>
        <v/>
      </c>
      <c r="EN292" s="66" t="str">
        <f t="shared" si="3772"/>
        <v/>
      </c>
      <c r="EO292" s="66" t="str">
        <f t="shared" si="3773"/>
        <v/>
      </c>
      <c r="EP292" s="66" t="str">
        <f t="shared" si="3774"/>
        <v/>
      </c>
      <c r="EQ292" s="66" t="str">
        <f t="shared" si="3775"/>
        <v/>
      </c>
      <c r="ER292" s="66" t="str">
        <f t="shared" si="3776"/>
        <v/>
      </c>
      <c r="ES292" s="66" t="str">
        <f t="shared" si="3777"/>
        <v/>
      </c>
      <c r="ET292" s="66" t="str">
        <f t="shared" si="3778"/>
        <v/>
      </c>
      <c r="EU292" s="66" t="str">
        <f t="shared" si="3779"/>
        <v/>
      </c>
      <c r="EV292" s="66" t="str">
        <f t="shared" si="3780"/>
        <v/>
      </c>
      <c r="EW292" s="66" t="str">
        <f t="shared" si="3781"/>
        <v/>
      </c>
      <c r="EX292" s="66" t="str">
        <f t="shared" si="3782"/>
        <v/>
      </c>
      <c r="EY292" s="66" t="str">
        <f t="shared" si="3783"/>
        <v/>
      </c>
      <c r="EZ292" s="66" t="str">
        <f t="shared" si="3784"/>
        <v/>
      </c>
      <c r="FA292" s="66" t="str">
        <f t="shared" si="3785"/>
        <v/>
      </c>
      <c r="FB292" s="66" t="str">
        <f t="shared" si="3786"/>
        <v/>
      </c>
      <c r="FC292" s="66" t="str">
        <f t="shared" si="3787"/>
        <v/>
      </c>
      <c r="FD292" s="66" t="str">
        <f t="shared" si="3788"/>
        <v/>
      </c>
      <c r="FE292" s="66" t="str">
        <f t="shared" si="3789"/>
        <v/>
      </c>
      <c r="FF292" s="66" t="str">
        <f t="shared" si="3790"/>
        <v/>
      </c>
      <c r="FG292" s="66" t="str">
        <f t="shared" si="3791"/>
        <v/>
      </c>
      <c r="FH292" s="66" t="str">
        <f t="shared" si="3792"/>
        <v/>
      </c>
      <c r="FI292" s="66" t="str">
        <f t="shared" si="3793"/>
        <v/>
      </c>
      <c r="FJ292" s="66" t="str">
        <f t="shared" si="3794"/>
        <v/>
      </c>
      <c r="FK292" s="66" t="str">
        <f t="shared" si="3795"/>
        <v/>
      </c>
      <c r="FL292" s="66" t="str">
        <f t="shared" si="3796"/>
        <v/>
      </c>
      <c r="FM292" s="66" t="str">
        <f t="shared" si="3797"/>
        <v/>
      </c>
      <c r="FN292" s="66" t="str">
        <f t="shared" si="3798"/>
        <v/>
      </c>
      <c r="FO292" s="66" t="str">
        <f t="shared" si="3799"/>
        <v/>
      </c>
      <c r="FP292" s="66" t="str">
        <f t="shared" si="3800"/>
        <v/>
      </c>
      <c r="FQ292" s="66" t="str">
        <f t="shared" si="3801"/>
        <v/>
      </c>
      <c r="FR292" s="66" t="str">
        <f t="shared" si="3802"/>
        <v/>
      </c>
      <c r="FS292" s="66" t="str">
        <f t="shared" si="3803"/>
        <v/>
      </c>
    </row>
    <row r="293" spans="92:175">
      <c r="CN293" s="36" t="str">
        <f t="shared" si="3728"/>
        <v>InitUnitState('',,,,,,,,,,)</v>
      </c>
      <c r="CO293" s="36" t="str">
        <f t="shared" si="3729"/>
        <v>InitUnitNormal('',,,,,,,,,,)</v>
      </c>
      <c r="CP293" s="36" t="str">
        <f t="shared" si="3730"/>
        <v>InitUnitMagic('',,,,,,,,,,)</v>
      </c>
      <c r="CQ293" s="36" t="str">
        <f t="shared" si="3731"/>
        <v>InitUnitAdd('',,,,,,,,,,)</v>
      </c>
      <c r="CR293" s="36" t="str">
        <f t="shared" si="3732"/>
        <v>InitEquipData('',,"",,,,,'','','','','','',"")</v>
      </c>
      <c r="CU293" s="19" t="str">
        <f t="shared" si="3733"/>
        <v>|n</v>
      </c>
      <c r="CW293" s="33"/>
      <c r="CX293" s="33"/>
      <c r="CY293" s="33"/>
      <c r="CZ293" s="33"/>
      <c r="DA293" s="33"/>
      <c r="DB293" s="66" t="str">
        <f t="shared" si="3734"/>
        <v/>
      </c>
      <c r="DC293" s="66" t="str">
        <f t="shared" si="3735"/>
        <v/>
      </c>
      <c r="DD293" s="66" t="str">
        <f t="shared" si="3736"/>
        <v/>
      </c>
      <c r="DE293" s="66" t="str">
        <f t="shared" si="3737"/>
        <v/>
      </c>
      <c r="DF293" s="66" t="str">
        <f t="shared" si="3738"/>
        <v/>
      </c>
      <c r="DG293" s="66" t="str">
        <f t="shared" si="3739"/>
        <v/>
      </c>
      <c r="DH293" s="66" t="str">
        <f t="shared" si="3740"/>
        <v/>
      </c>
      <c r="DI293" s="66" t="str">
        <f t="shared" si="3741"/>
        <v/>
      </c>
      <c r="DJ293" s="66" t="str">
        <f t="shared" si="3742"/>
        <v/>
      </c>
      <c r="DK293" s="66" t="str">
        <f t="shared" si="3743"/>
        <v/>
      </c>
      <c r="DL293" s="66" t="str">
        <f t="shared" si="3744"/>
        <v/>
      </c>
      <c r="DM293" s="66" t="str">
        <f t="shared" si="3745"/>
        <v/>
      </c>
      <c r="DN293" s="66" t="str">
        <f t="shared" si="3746"/>
        <v/>
      </c>
      <c r="DO293" s="66" t="str">
        <f t="shared" si="3747"/>
        <v/>
      </c>
      <c r="DP293" s="66" t="str">
        <f t="shared" si="3748"/>
        <v/>
      </c>
      <c r="DQ293" s="66" t="str">
        <f t="shared" si="3749"/>
        <v/>
      </c>
      <c r="DR293" s="66" t="str">
        <f t="shared" si="3750"/>
        <v/>
      </c>
      <c r="DS293" s="66" t="str">
        <f t="shared" si="3751"/>
        <v/>
      </c>
      <c r="DT293" s="66" t="str">
        <f t="shared" si="3752"/>
        <v/>
      </c>
      <c r="DU293" s="66" t="str">
        <f t="shared" si="3753"/>
        <v/>
      </c>
      <c r="DV293" s="66" t="str">
        <f t="shared" si="3754"/>
        <v/>
      </c>
      <c r="DW293" s="66" t="str">
        <f t="shared" si="3755"/>
        <v/>
      </c>
      <c r="DX293" s="66" t="str">
        <f t="shared" si="3756"/>
        <v/>
      </c>
      <c r="DY293" s="66" t="str">
        <f t="shared" si="3757"/>
        <v/>
      </c>
      <c r="DZ293" s="66" t="str">
        <f t="shared" si="3758"/>
        <v/>
      </c>
      <c r="EA293" s="66" t="str">
        <f t="shared" si="3759"/>
        <v/>
      </c>
      <c r="EB293" s="66" t="str">
        <f t="shared" si="3760"/>
        <v/>
      </c>
      <c r="EC293" s="66" t="str">
        <f t="shared" si="3761"/>
        <v/>
      </c>
      <c r="ED293" s="66" t="str">
        <f t="shared" si="3762"/>
        <v/>
      </c>
      <c r="EE293" s="66" t="str">
        <f t="shared" si="3763"/>
        <v/>
      </c>
      <c r="EF293" s="66" t="str">
        <f t="shared" si="3764"/>
        <v/>
      </c>
      <c r="EG293" s="66" t="str">
        <f t="shared" si="3765"/>
        <v/>
      </c>
      <c r="EH293" s="66" t="str">
        <f t="shared" si="3766"/>
        <v/>
      </c>
      <c r="EI293" s="66" t="str">
        <f t="shared" si="3767"/>
        <v/>
      </c>
      <c r="EJ293" s="66" t="str">
        <f t="shared" si="3768"/>
        <v/>
      </c>
      <c r="EK293" s="66" t="str">
        <f t="shared" si="3769"/>
        <v/>
      </c>
      <c r="EL293" s="66" t="str">
        <f t="shared" si="3770"/>
        <v/>
      </c>
      <c r="EM293" s="66" t="str">
        <f t="shared" si="3771"/>
        <v/>
      </c>
      <c r="EN293" s="66" t="str">
        <f t="shared" si="3772"/>
        <v/>
      </c>
      <c r="EO293" s="66" t="str">
        <f t="shared" si="3773"/>
        <v/>
      </c>
      <c r="EP293" s="66" t="str">
        <f t="shared" si="3774"/>
        <v/>
      </c>
      <c r="EQ293" s="66" t="str">
        <f t="shared" si="3775"/>
        <v/>
      </c>
      <c r="ER293" s="66" t="str">
        <f t="shared" si="3776"/>
        <v/>
      </c>
      <c r="ES293" s="66" t="str">
        <f t="shared" si="3777"/>
        <v/>
      </c>
      <c r="ET293" s="66" t="str">
        <f t="shared" si="3778"/>
        <v/>
      </c>
      <c r="EU293" s="66" t="str">
        <f t="shared" si="3779"/>
        <v/>
      </c>
      <c r="EV293" s="66" t="str">
        <f t="shared" si="3780"/>
        <v/>
      </c>
      <c r="EW293" s="66" t="str">
        <f t="shared" si="3781"/>
        <v/>
      </c>
      <c r="EX293" s="66" t="str">
        <f t="shared" si="3782"/>
        <v/>
      </c>
      <c r="EY293" s="66" t="str">
        <f t="shared" si="3783"/>
        <v/>
      </c>
      <c r="EZ293" s="66" t="str">
        <f t="shared" si="3784"/>
        <v/>
      </c>
      <c r="FA293" s="66" t="str">
        <f t="shared" si="3785"/>
        <v/>
      </c>
      <c r="FB293" s="66" t="str">
        <f t="shared" si="3786"/>
        <v/>
      </c>
      <c r="FC293" s="66" t="str">
        <f t="shared" si="3787"/>
        <v/>
      </c>
      <c r="FD293" s="66" t="str">
        <f t="shared" si="3788"/>
        <v/>
      </c>
      <c r="FE293" s="66" t="str">
        <f t="shared" si="3789"/>
        <v/>
      </c>
      <c r="FF293" s="66" t="str">
        <f t="shared" si="3790"/>
        <v/>
      </c>
      <c r="FG293" s="66" t="str">
        <f t="shared" si="3791"/>
        <v/>
      </c>
      <c r="FH293" s="66" t="str">
        <f t="shared" si="3792"/>
        <v/>
      </c>
      <c r="FI293" s="66" t="str">
        <f t="shared" si="3793"/>
        <v/>
      </c>
      <c r="FJ293" s="66" t="str">
        <f t="shared" si="3794"/>
        <v/>
      </c>
      <c r="FK293" s="66" t="str">
        <f t="shared" si="3795"/>
        <v/>
      </c>
      <c r="FL293" s="66" t="str">
        <f t="shared" si="3796"/>
        <v/>
      </c>
      <c r="FM293" s="66" t="str">
        <f t="shared" si="3797"/>
        <v/>
      </c>
      <c r="FN293" s="66" t="str">
        <f t="shared" si="3798"/>
        <v/>
      </c>
      <c r="FO293" s="66" t="str">
        <f t="shared" si="3799"/>
        <v/>
      </c>
      <c r="FP293" s="66" t="str">
        <f t="shared" si="3800"/>
        <v/>
      </c>
      <c r="FQ293" s="66" t="str">
        <f t="shared" si="3801"/>
        <v/>
      </c>
      <c r="FR293" s="66" t="str">
        <f t="shared" si="3802"/>
        <v/>
      </c>
      <c r="FS293" s="66" t="str">
        <f t="shared" si="3803"/>
        <v/>
      </c>
    </row>
    <row r="294" spans="92:175">
      <c r="CN294" s="36" t="str">
        <f t="shared" si="3728"/>
        <v>InitUnitState('',,,,,,,,,,)</v>
      </c>
      <c r="CO294" s="36" t="str">
        <f t="shared" si="3729"/>
        <v>InitUnitNormal('',,,,,,,,,,)</v>
      </c>
      <c r="CP294" s="36" t="str">
        <f t="shared" si="3730"/>
        <v>InitUnitMagic('',,,,,,,,,,)</v>
      </c>
      <c r="CQ294" s="36" t="str">
        <f t="shared" si="3731"/>
        <v>InitUnitAdd('',,,,,,,,,,)</v>
      </c>
      <c r="CR294" s="36" t="str">
        <f t="shared" si="3732"/>
        <v>InitEquipData('',,"",,,,,'','','','','','',"")</v>
      </c>
      <c r="CU294" s="19" t="str">
        <f t="shared" si="3733"/>
        <v>|n</v>
      </c>
      <c r="CW294" s="33"/>
      <c r="CX294" s="33"/>
      <c r="CY294" s="33"/>
      <c r="CZ294" s="33"/>
      <c r="DA294" s="33"/>
      <c r="DB294" s="66" t="str">
        <f t="shared" si="3734"/>
        <v/>
      </c>
      <c r="DC294" s="66" t="str">
        <f t="shared" si="3735"/>
        <v/>
      </c>
      <c r="DD294" s="66" t="str">
        <f t="shared" si="3736"/>
        <v/>
      </c>
      <c r="DE294" s="66" t="str">
        <f t="shared" si="3737"/>
        <v/>
      </c>
      <c r="DF294" s="66" t="str">
        <f t="shared" si="3738"/>
        <v/>
      </c>
      <c r="DG294" s="66" t="str">
        <f t="shared" si="3739"/>
        <v/>
      </c>
      <c r="DH294" s="66" t="str">
        <f t="shared" si="3740"/>
        <v/>
      </c>
      <c r="DI294" s="66" t="str">
        <f t="shared" si="3741"/>
        <v/>
      </c>
      <c r="DJ294" s="66" t="str">
        <f t="shared" si="3742"/>
        <v/>
      </c>
      <c r="DK294" s="66" t="str">
        <f t="shared" si="3743"/>
        <v/>
      </c>
      <c r="DL294" s="66" t="str">
        <f t="shared" si="3744"/>
        <v/>
      </c>
      <c r="DM294" s="66" t="str">
        <f t="shared" si="3745"/>
        <v/>
      </c>
      <c r="DN294" s="66" t="str">
        <f t="shared" si="3746"/>
        <v/>
      </c>
      <c r="DO294" s="66" t="str">
        <f t="shared" si="3747"/>
        <v/>
      </c>
      <c r="DP294" s="66" t="str">
        <f t="shared" si="3748"/>
        <v/>
      </c>
      <c r="DQ294" s="66" t="str">
        <f t="shared" si="3749"/>
        <v/>
      </c>
      <c r="DR294" s="66" t="str">
        <f t="shared" si="3750"/>
        <v/>
      </c>
      <c r="DS294" s="66" t="str">
        <f t="shared" si="3751"/>
        <v/>
      </c>
      <c r="DT294" s="66" t="str">
        <f t="shared" si="3752"/>
        <v/>
      </c>
      <c r="DU294" s="66" t="str">
        <f t="shared" si="3753"/>
        <v/>
      </c>
      <c r="DV294" s="66" t="str">
        <f t="shared" si="3754"/>
        <v/>
      </c>
      <c r="DW294" s="66" t="str">
        <f t="shared" si="3755"/>
        <v/>
      </c>
      <c r="DX294" s="66" t="str">
        <f t="shared" si="3756"/>
        <v/>
      </c>
      <c r="DY294" s="66" t="str">
        <f t="shared" si="3757"/>
        <v/>
      </c>
      <c r="DZ294" s="66" t="str">
        <f t="shared" si="3758"/>
        <v/>
      </c>
      <c r="EA294" s="66" t="str">
        <f t="shared" si="3759"/>
        <v/>
      </c>
      <c r="EB294" s="66" t="str">
        <f t="shared" si="3760"/>
        <v/>
      </c>
      <c r="EC294" s="66" t="str">
        <f t="shared" si="3761"/>
        <v/>
      </c>
      <c r="ED294" s="66" t="str">
        <f t="shared" si="3762"/>
        <v/>
      </c>
      <c r="EE294" s="66" t="str">
        <f t="shared" si="3763"/>
        <v/>
      </c>
      <c r="EF294" s="66" t="str">
        <f t="shared" si="3764"/>
        <v/>
      </c>
      <c r="EG294" s="66" t="str">
        <f t="shared" si="3765"/>
        <v/>
      </c>
      <c r="EH294" s="66" t="str">
        <f t="shared" si="3766"/>
        <v/>
      </c>
      <c r="EI294" s="66" t="str">
        <f t="shared" si="3767"/>
        <v/>
      </c>
      <c r="EJ294" s="66" t="str">
        <f t="shared" si="3768"/>
        <v/>
      </c>
      <c r="EK294" s="66" t="str">
        <f t="shared" si="3769"/>
        <v/>
      </c>
      <c r="EL294" s="66" t="str">
        <f t="shared" si="3770"/>
        <v/>
      </c>
      <c r="EM294" s="66" t="str">
        <f t="shared" si="3771"/>
        <v/>
      </c>
      <c r="EN294" s="66" t="str">
        <f t="shared" si="3772"/>
        <v/>
      </c>
      <c r="EO294" s="66" t="str">
        <f t="shared" si="3773"/>
        <v/>
      </c>
      <c r="EP294" s="66" t="str">
        <f t="shared" si="3774"/>
        <v/>
      </c>
      <c r="EQ294" s="66" t="str">
        <f t="shared" si="3775"/>
        <v/>
      </c>
      <c r="ER294" s="66" t="str">
        <f t="shared" si="3776"/>
        <v/>
      </c>
      <c r="ES294" s="66" t="str">
        <f t="shared" si="3777"/>
        <v/>
      </c>
      <c r="ET294" s="66" t="str">
        <f t="shared" si="3778"/>
        <v/>
      </c>
      <c r="EU294" s="66" t="str">
        <f t="shared" si="3779"/>
        <v/>
      </c>
      <c r="EV294" s="66" t="str">
        <f t="shared" si="3780"/>
        <v/>
      </c>
      <c r="EW294" s="66" t="str">
        <f t="shared" si="3781"/>
        <v/>
      </c>
      <c r="EX294" s="66" t="str">
        <f t="shared" si="3782"/>
        <v/>
      </c>
      <c r="EY294" s="66" t="str">
        <f t="shared" si="3783"/>
        <v/>
      </c>
      <c r="EZ294" s="66" t="str">
        <f t="shared" si="3784"/>
        <v/>
      </c>
      <c r="FA294" s="66" t="str">
        <f t="shared" si="3785"/>
        <v/>
      </c>
      <c r="FB294" s="66" t="str">
        <f t="shared" si="3786"/>
        <v/>
      </c>
      <c r="FC294" s="66" t="str">
        <f t="shared" si="3787"/>
        <v/>
      </c>
      <c r="FD294" s="66" t="str">
        <f t="shared" si="3788"/>
        <v/>
      </c>
      <c r="FE294" s="66" t="str">
        <f t="shared" si="3789"/>
        <v/>
      </c>
      <c r="FF294" s="66" t="str">
        <f t="shared" si="3790"/>
        <v/>
      </c>
      <c r="FG294" s="66" t="str">
        <f t="shared" si="3791"/>
        <v/>
      </c>
      <c r="FH294" s="66" t="str">
        <f t="shared" si="3792"/>
        <v/>
      </c>
      <c r="FI294" s="66" t="str">
        <f t="shared" si="3793"/>
        <v/>
      </c>
      <c r="FJ294" s="66" t="str">
        <f t="shared" si="3794"/>
        <v/>
      </c>
      <c r="FK294" s="66" t="str">
        <f t="shared" si="3795"/>
        <v/>
      </c>
      <c r="FL294" s="66" t="str">
        <f t="shared" si="3796"/>
        <v/>
      </c>
      <c r="FM294" s="66" t="str">
        <f t="shared" si="3797"/>
        <v/>
      </c>
      <c r="FN294" s="66" t="str">
        <f t="shared" si="3798"/>
        <v/>
      </c>
      <c r="FO294" s="66" t="str">
        <f t="shared" si="3799"/>
        <v/>
      </c>
      <c r="FP294" s="66" t="str">
        <f t="shared" si="3800"/>
        <v/>
      </c>
      <c r="FQ294" s="66" t="str">
        <f t="shared" si="3801"/>
        <v/>
      </c>
      <c r="FR294" s="66" t="str">
        <f t="shared" si="3802"/>
        <v/>
      </c>
      <c r="FS294" s="66" t="str">
        <f t="shared" si="3803"/>
        <v/>
      </c>
    </row>
    <row r="295" spans="92:175">
      <c r="CN295" s="36" t="str">
        <f t="shared" si="3728"/>
        <v>InitUnitState('',,,,,,,,,,)</v>
      </c>
      <c r="CO295" s="36" t="str">
        <f t="shared" si="3729"/>
        <v>InitUnitNormal('',,,,,,,,,,)</v>
      </c>
      <c r="CP295" s="36" t="str">
        <f t="shared" si="3730"/>
        <v>InitUnitMagic('',,,,,,,,,,)</v>
      </c>
      <c r="CQ295" s="36" t="str">
        <f t="shared" si="3731"/>
        <v>InitUnitAdd('',,,,,,,,,,)</v>
      </c>
      <c r="CR295" s="36" t="str">
        <f t="shared" si="3732"/>
        <v>InitEquipData('',,"",,,,,'','','','','','',"")</v>
      </c>
      <c r="CU295" s="19" t="str">
        <f t="shared" si="3733"/>
        <v>|n</v>
      </c>
      <c r="CW295" s="33"/>
      <c r="CX295" s="33"/>
      <c r="CY295" s="33"/>
      <c r="CZ295" s="33"/>
      <c r="DA295" s="33"/>
      <c r="DB295" s="66" t="str">
        <f t="shared" si="3734"/>
        <v/>
      </c>
      <c r="DC295" s="66" t="str">
        <f t="shared" si="3735"/>
        <v/>
      </c>
      <c r="DD295" s="66" t="str">
        <f t="shared" si="3736"/>
        <v/>
      </c>
      <c r="DE295" s="66" t="str">
        <f t="shared" si="3737"/>
        <v/>
      </c>
      <c r="DF295" s="66" t="str">
        <f t="shared" si="3738"/>
        <v/>
      </c>
      <c r="DG295" s="66" t="str">
        <f t="shared" si="3739"/>
        <v/>
      </c>
      <c r="DH295" s="66" t="str">
        <f t="shared" si="3740"/>
        <v/>
      </c>
      <c r="DI295" s="66" t="str">
        <f t="shared" si="3741"/>
        <v/>
      </c>
      <c r="DJ295" s="66" t="str">
        <f t="shared" si="3742"/>
        <v/>
      </c>
      <c r="DK295" s="66" t="str">
        <f t="shared" si="3743"/>
        <v/>
      </c>
      <c r="DL295" s="66" t="str">
        <f t="shared" si="3744"/>
        <v/>
      </c>
      <c r="DM295" s="66" t="str">
        <f t="shared" si="3745"/>
        <v/>
      </c>
      <c r="DN295" s="66" t="str">
        <f t="shared" si="3746"/>
        <v/>
      </c>
      <c r="DO295" s="66" t="str">
        <f t="shared" si="3747"/>
        <v/>
      </c>
      <c r="DP295" s="66" t="str">
        <f t="shared" si="3748"/>
        <v/>
      </c>
      <c r="DQ295" s="66" t="str">
        <f t="shared" si="3749"/>
        <v/>
      </c>
      <c r="DR295" s="66" t="str">
        <f t="shared" si="3750"/>
        <v/>
      </c>
      <c r="DS295" s="66" t="str">
        <f t="shared" si="3751"/>
        <v/>
      </c>
      <c r="DT295" s="66" t="str">
        <f t="shared" si="3752"/>
        <v/>
      </c>
      <c r="DU295" s="66" t="str">
        <f t="shared" si="3753"/>
        <v/>
      </c>
      <c r="DV295" s="66" t="str">
        <f t="shared" si="3754"/>
        <v/>
      </c>
      <c r="DW295" s="66" t="str">
        <f t="shared" si="3755"/>
        <v/>
      </c>
      <c r="DX295" s="66" t="str">
        <f t="shared" si="3756"/>
        <v/>
      </c>
      <c r="DY295" s="66" t="str">
        <f t="shared" si="3757"/>
        <v/>
      </c>
      <c r="DZ295" s="66" t="str">
        <f t="shared" si="3758"/>
        <v/>
      </c>
      <c r="EA295" s="66" t="str">
        <f t="shared" si="3759"/>
        <v/>
      </c>
      <c r="EB295" s="66" t="str">
        <f t="shared" si="3760"/>
        <v/>
      </c>
      <c r="EC295" s="66" t="str">
        <f t="shared" si="3761"/>
        <v/>
      </c>
      <c r="ED295" s="66" t="str">
        <f t="shared" si="3762"/>
        <v/>
      </c>
      <c r="EE295" s="66" t="str">
        <f t="shared" si="3763"/>
        <v/>
      </c>
      <c r="EF295" s="66" t="str">
        <f t="shared" si="3764"/>
        <v/>
      </c>
      <c r="EG295" s="66" t="str">
        <f t="shared" si="3765"/>
        <v/>
      </c>
      <c r="EH295" s="66" t="str">
        <f t="shared" si="3766"/>
        <v/>
      </c>
      <c r="EI295" s="66" t="str">
        <f t="shared" si="3767"/>
        <v/>
      </c>
      <c r="EJ295" s="66" t="str">
        <f t="shared" si="3768"/>
        <v/>
      </c>
      <c r="EK295" s="66" t="str">
        <f t="shared" si="3769"/>
        <v/>
      </c>
      <c r="EL295" s="66" t="str">
        <f t="shared" si="3770"/>
        <v/>
      </c>
      <c r="EM295" s="66" t="str">
        <f t="shared" si="3771"/>
        <v/>
      </c>
      <c r="EN295" s="66" t="str">
        <f t="shared" si="3772"/>
        <v/>
      </c>
      <c r="EO295" s="66" t="str">
        <f t="shared" si="3773"/>
        <v/>
      </c>
      <c r="EP295" s="66" t="str">
        <f t="shared" si="3774"/>
        <v/>
      </c>
      <c r="EQ295" s="66" t="str">
        <f t="shared" si="3775"/>
        <v/>
      </c>
      <c r="ER295" s="66" t="str">
        <f t="shared" si="3776"/>
        <v/>
      </c>
      <c r="ES295" s="66" t="str">
        <f t="shared" si="3777"/>
        <v/>
      </c>
      <c r="ET295" s="66" t="str">
        <f t="shared" si="3778"/>
        <v/>
      </c>
      <c r="EU295" s="66" t="str">
        <f t="shared" si="3779"/>
        <v/>
      </c>
      <c r="EV295" s="66" t="str">
        <f t="shared" si="3780"/>
        <v/>
      </c>
      <c r="EW295" s="66" t="str">
        <f t="shared" si="3781"/>
        <v/>
      </c>
      <c r="EX295" s="66" t="str">
        <f t="shared" si="3782"/>
        <v/>
      </c>
      <c r="EY295" s="66" t="str">
        <f t="shared" si="3783"/>
        <v/>
      </c>
      <c r="EZ295" s="66" t="str">
        <f t="shared" si="3784"/>
        <v/>
      </c>
      <c r="FA295" s="66" t="str">
        <f t="shared" si="3785"/>
        <v/>
      </c>
      <c r="FB295" s="66" t="str">
        <f t="shared" si="3786"/>
        <v/>
      </c>
      <c r="FC295" s="66" t="str">
        <f t="shared" si="3787"/>
        <v/>
      </c>
      <c r="FD295" s="66" t="str">
        <f t="shared" si="3788"/>
        <v/>
      </c>
      <c r="FE295" s="66" t="str">
        <f t="shared" si="3789"/>
        <v/>
      </c>
      <c r="FF295" s="66" t="str">
        <f t="shared" si="3790"/>
        <v/>
      </c>
      <c r="FG295" s="66" t="str">
        <f t="shared" si="3791"/>
        <v/>
      </c>
      <c r="FH295" s="66" t="str">
        <f t="shared" si="3792"/>
        <v/>
      </c>
      <c r="FI295" s="66" t="str">
        <f t="shared" si="3793"/>
        <v/>
      </c>
      <c r="FJ295" s="66" t="str">
        <f t="shared" si="3794"/>
        <v/>
      </c>
      <c r="FK295" s="66" t="str">
        <f t="shared" si="3795"/>
        <v/>
      </c>
      <c r="FL295" s="66" t="str">
        <f t="shared" si="3796"/>
        <v/>
      </c>
      <c r="FM295" s="66" t="str">
        <f t="shared" si="3797"/>
        <v/>
      </c>
      <c r="FN295" s="66" t="str">
        <f t="shared" si="3798"/>
        <v/>
      </c>
      <c r="FO295" s="66" t="str">
        <f t="shared" si="3799"/>
        <v/>
      </c>
      <c r="FP295" s="66" t="str">
        <f t="shared" si="3800"/>
        <v/>
      </c>
      <c r="FQ295" s="66" t="str">
        <f t="shared" si="3801"/>
        <v/>
      </c>
      <c r="FR295" s="66" t="str">
        <f t="shared" si="3802"/>
        <v/>
      </c>
      <c r="FS295" s="66" t="str">
        <f t="shared" si="3803"/>
        <v/>
      </c>
    </row>
    <row r="296" spans="92:175">
      <c r="CN296" s="36" t="str">
        <f t="shared" si="3728"/>
        <v>InitUnitState('',,,,,,,,,,)</v>
      </c>
      <c r="CO296" s="36" t="str">
        <f t="shared" si="3729"/>
        <v>InitUnitNormal('',,,,,,,,,,)</v>
      </c>
      <c r="CP296" s="36" t="str">
        <f t="shared" si="3730"/>
        <v>InitUnitMagic('',,,,,,,,,,)</v>
      </c>
      <c r="CQ296" s="36" t="str">
        <f t="shared" si="3731"/>
        <v>InitUnitAdd('',,,,,,,,,,)</v>
      </c>
      <c r="CR296" s="36" t="str">
        <f t="shared" si="3732"/>
        <v>InitEquipData('',,"",,,,,'','','','','','',"")</v>
      </c>
      <c r="CU296" s="19" t="str">
        <f t="shared" ref="CU296:CU334" si="3804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33"/>
      <c r="CX296" s="33"/>
      <c r="CY296" s="33"/>
      <c r="CZ296" s="33"/>
      <c r="DA296" s="33"/>
      <c r="DB296" s="66" t="str">
        <f t="shared" si="3734"/>
        <v/>
      </c>
      <c r="DC296" s="66" t="str">
        <f t="shared" si="3735"/>
        <v/>
      </c>
      <c r="DD296" s="66" t="str">
        <f t="shared" si="3736"/>
        <v/>
      </c>
      <c r="DE296" s="66" t="str">
        <f t="shared" si="3737"/>
        <v/>
      </c>
      <c r="DF296" s="66" t="str">
        <f t="shared" si="3738"/>
        <v/>
      </c>
      <c r="DG296" s="66" t="str">
        <f t="shared" si="3739"/>
        <v/>
      </c>
      <c r="DH296" s="66" t="str">
        <f t="shared" si="3740"/>
        <v/>
      </c>
      <c r="DI296" s="66" t="str">
        <f t="shared" si="3741"/>
        <v/>
      </c>
      <c r="DJ296" s="66" t="str">
        <f t="shared" si="3742"/>
        <v/>
      </c>
      <c r="DK296" s="66" t="str">
        <f t="shared" si="3743"/>
        <v/>
      </c>
      <c r="DL296" s="66" t="str">
        <f t="shared" si="3744"/>
        <v/>
      </c>
      <c r="DM296" s="66" t="str">
        <f t="shared" si="3745"/>
        <v/>
      </c>
      <c r="DN296" s="66" t="str">
        <f t="shared" si="3746"/>
        <v/>
      </c>
      <c r="DO296" s="66" t="str">
        <f t="shared" si="3747"/>
        <v/>
      </c>
      <c r="DP296" s="66" t="str">
        <f t="shared" si="3748"/>
        <v/>
      </c>
      <c r="DQ296" s="66" t="str">
        <f t="shared" si="3749"/>
        <v/>
      </c>
      <c r="DR296" s="66" t="str">
        <f t="shared" si="3750"/>
        <v/>
      </c>
      <c r="DS296" s="66" t="str">
        <f t="shared" si="3751"/>
        <v/>
      </c>
      <c r="DT296" s="66" t="str">
        <f t="shared" si="3752"/>
        <v/>
      </c>
      <c r="DU296" s="66" t="str">
        <f t="shared" si="3753"/>
        <v/>
      </c>
      <c r="DV296" s="66" t="str">
        <f t="shared" si="3754"/>
        <v/>
      </c>
      <c r="DW296" s="66" t="str">
        <f t="shared" si="3755"/>
        <v/>
      </c>
      <c r="DX296" s="66" t="str">
        <f t="shared" si="3756"/>
        <v/>
      </c>
      <c r="DY296" s="66" t="str">
        <f t="shared" si="3757"/>
        <v/>
      </c>
      <c r="DZ296" s="66" t="str">
        <f t="shared" si="3758"/>
        <v/>
      </c>
      <c r="EA296" s="66" t="str">
        <f t="shared" si="3759"/>
        <v/>
      </c>
      <c r="EB296" s="66" t="str">
        <f t="shared" si="3760"/>
        <v/>
      </c>
      <c r="EC296" s="66" t="str">
        <f t="shared" si="3761"/>
        <v/>
      </c>
      <c r="ED296" s="66" t="str">
        <f t="shared" si="3762"/>
        <v/>
      </c>
      <c r="EE296" s="66" t="str">
        <f t="shared" si="3763"/>
        <v/>
      </c>
      <c r="EF296" s="66" t="str">
        <f t="shared" si="3764"/>
        <v/>
      </c>
      <c r="EG296" s="66" t="str">
        <f t="shared" si="3765"/>
        <v/>
      </c>
      <c r="EH296" s="66" t="str">
        <f t="shared" si="3766"/>
        <v/>
      </c>
      <c r="EI296" s="66" t="str">
        <f t="shared" si="3767"/>
        <v/>
      </c>
      <c r="EJ296" s="66" t="str">
        <f t="shared" si="3768"/>
        <v/>
      </c>
      <c r="EK296" s="66" t="str">
        <f t="shared" si="3769"/>
        <v/>
      </c>
      <c r="EL296" s="66" t="str">
        <f t="shared" si="3770"/>
        <v/>
      </c>
      <c r="EM296" s="66" t="str">
        <f t="shared" si="3771"/>
        <v/>
      </c>
      <c r="EN296" s="66" t="str">
        <f t="shared" si="3772"/>
        <v/>
      </c>
      <c r="EO296" s="66" t="str">
        <f t="shared" si="3773"/>
        <v/>
      </c>
      <c r="EP296" s="66" t="str">
        <f t="shared" si="3774"/>
        <v/>
      </c>
      <c r="EQ296" s="66" t="str">
        <f t="shared" si="3775"/>
        <v/>
      </c>
      <c r="ER296" s="66" t="str">
        <f t="shared" si="3776"/>
        <v/>
      </c>
      <c r="ES296" s="66" t="str">
        <f t="shared" si="3777"/>
        <v/>
      </c>
      <c r="ET296" s="66" t="str">
        <f t="shared" si="3778"/>
        <v/>
      </c>
      <c r="EU296" s="66" t="str">
        <f t="shared" si="3779"/>
        <v/>
      </c>
      <c r="EV296" s="66" t="str">
        <f t="shared" si="3780"/>
        <v/>
      </c>
      <c r="EW296" s="66" t="str">
        <f t="shared" si="3781"/>
        <v/>
      </c>
      <c r="EX296" s="66" t="str">
        <f t="shared" si="3782"/>
        <v/>
      </c>
      <c r="EY296" s="66" t="str">
        <f t="shared" si="3783"/>
        <v/>
      </c>
      <c r="EZ296" s="66" t="str">
        <f t="shared" si="3784"/>
        <v/>
      </c>
      <c r="FA296" s="66" t="str">
        <f t="shared" si="3785"/>
        <v/>
      </c>
      <c r="FB296" s="66" t="str">
        <f t="shared" si="3786"/>
        <v/>
      </c>
      <c r="FC296" s="66" t="str">
        <f t="shared" si="3787"/>
        <v/>
      </c>
      <c r="FD296" s="66" t="str">
        <f t="shared" si="3788"/>
        <v/>
      </c>
      <c r="FE296" s="66" t="str">
        <f t="shared" si="3789"/>
        <v/>
      </c>
      <c r="FF296" s="66" t="str">
        <f t="shared" si="3790"/>
        <v/>
      </c>
      <c r="FG296" s="66" t="str">
        <f t="shared" si="3791"/>
        <v/>
      </c>
      <c r="FH296" s="66" t="str">
        <f t="shared" si="3792"/>
        <v/>
      </c>
      <c r="FI296" s="66" t="str">
        <f t="shared" si="3793"/>
        <v/>
      </c>
      <c r="FJ296" s="66" t="str">
        <f t="shared" si="3794"/>
        <v/>
      </c>
      <c r="FK296" s="66" t="str">
        <f t="shared" si="3795"/>
        <v/>
      </c>
      <c r="FL296" s="66" t="str">
        <f t="shared" si="3796"/>
        <v/>
      </c>
      <c r="FM296" s="66" t="str">
        <f t="shared" si="3797"/>
        <v/>
      </c>
      <c r="FN296" s="66" t="str">
        <f t="shared" si="3798"/>
        <v/>
      </c>
      <c r="FO296" s="66" t="str">
        <f t="shared" si="3799"/>
        <v/>
      </c>
      <c r="FP296" s="66" t="str">
        <f t="shared" si="3800"/>
        <v/>
      </c>
      <c r="FQ296" s="66" t="str">
        <f t="shared" si="3801"/>
        <v/>
      </c>
      <c r="FR296" s="66" t="str">
        <f t="shared" si="3802"/>
        <v/>
      </c>
      <c r="FS296" s="66" t="str">
        <f t="shared" si="3803"/>
        <v/>
      </c>
    </row>
    <row r="297" spans="92:175">
      <c r="CN297" s="36" t="str">
        <f t="shared" si="3728"/>
        <v>InitUnitState('',,,,,,,,,,)</v>
      </c>
      <c r="CO297" s="36" t="str">
        <f t="shared" si="3729"/>
        <v>InitUnitNormal('',,,,,,,,,,)</v>
      </c>
      <c r="CP297" s="36" t="str">
        <f t="shared" si="3730"/>
        <v>InitUnitMagic('',,,,,,,,,,)</v>
      </c>
      <c r="CQ297" s="36" t="str">
        <f t="shared" si="3731"/>
        <v>InitUnitAdd('',,,,,,,,,,)</v>
      </c>
      <c r="CR297" s="36" t="str">
        <f t="shared" si="3732"/>
        <v>InitEquipData('',,"",,,,,'','','','','','',"")</v>
      </c>
      <c r="CU297" s="19" t="str">
        <f t="shared" si="3804"/>
        <v>|n</v>
      </c>
      <c r="CW297" s="33"/>
      <c r="CX297" s="33"/>
      <c r="CY297" s="33"/>
      <c r="CZ297" s="33"/>
      <c r="DA297" s="33"/>
      <c r="DB297" s="66" t="str">
        <f t="shared" si="3734"/>
        <v/>
      </c>
      <c r="DC297" s="66" t="str">
        <f t="shared" si="3735"/>
        <v/>
      </c>
      <c r="DD297" s="66" t="str">
        <f t="shared" si="3736"/>
        <v/>
      </c>
      <c r="DE297" s="66" t="str">
        <f t="shared" si="3737"/>
        <v/>
      </c>
      <c r="DF297" s="66" t="str">
        <f t="shared" si="3738"/>
        <v/>
      </c>
      <c r="DG297" s="66" t="str">
        <f t="shared" si="3739"/>
        <v/>
      </c>
      <c r="DH297" s="66" t="str">
        <f t="shared" si="3740"/>
        <v/>
      </c>
      <c r="DI297" s="66" t="str">
        <f t="shared" si="3741"/>
        <v/>
      </c>
      <c r="DJ297" s="66" t="str">
        <f t="shared" si="3742"/>
        <v/>
      </c>
      <c r="DK297" s="66" t="str">
        <f t="shared" si="3743"/>
        <v/>
      </c>
      <c r="DL297" s="66" t="str">
        <f t="shared" si="3744"/>
        <v/>
      </c>
      <c r="DM297" s="66" t="str">
        <f t="shared" si="3745"/>
        <v/>
      </c>
      <c r="DN297" s="66" t="str">
        <f t="shared" si="3746"/>
        <v/>
      </c>
      <c r="DO297" s="66" t="str">
        <f t="shared" si="3747"/>
        <v/>
      </c>
      <c r="DP297" s="66" t="str">
        <f t="shared" si="3748"/>
        <v/>
      </c>
      <c r="DQ297" s="66" t="str">
        <f t="shared" si="3749"/>
        <v/>
      </c>
      <c r="DR297" s="66" t="str">
        <f t="shared" si="3750"/>
        <v/>
      </c>
      <c r="DS297" s="66" t="str">
        <f t="shared" si="3751"/>
        <v/>
      </c>
      <c r="DT297" s="66" t="str">
        <f t="shared" si="3752"/>
        <v/>
      </c>
      <c r="DU297" s="66" t="str">
        <f t="shared" si="3753"/>
        <v/>
      </c>
      <c r="DV297" s="66" t="str">
        <f t="shared" si="3754"/>
        <v/>
      </c>
      <c r="DW297" s="66" t="str">
        <f t="shared" si="3755"/>
        <v/>
      </c>
      <c r="DX297" s="66" t="str">
        <f t="shared" si="3756"/>
        <v/>
      </c>
      <c r="DY297" s="66" t="str">
        <f t="shared" si="3757"/>
        <v/>
      </c>
      <c r="DZ297" s="66" t="str">
        <f t="shared" si="3758"/>
        <v/>
      </c>
      <c r="EA297" s="66" t="str">
        <f t="shared" si="3759"/>
        <v/>
      </c>
      <c r="EB297" s="66" t="str">
        <f t="shared" si="3760"/>
        <v/>
      </c>
      <c r="EC297" s="66" t="str">
        <f t="shared" si="3761"/>
        <v/>
      </c>
      <c r="ED297" s="66" t="str">
        <f t="shared" si="3762"/>
        <v/>
      </c>
      <c r="EE297" s="66" t="str">
        <f t="shared" si="3763"/>
        <v/>
      </c>
      <c r="EF297" s="66" t="str">
        <f t="shared" si="3764"/>
        <v/>
      </c>
      <c r="EG297" s="66" t="str">
        <f t="shared" si="3765"/>
        <v/>
      </c>
      <c r="EH297" s="66" t="str">
        <f t="shared" si="3766"/>
        <v/>
      </c>
      <c r="EI297" s="66" t="str">
        <f t="shared" si="3767"/>
        <v/>
      </c>
      <c r="EJ297" s="66" t="str">
        <f t="shared" si="3768"/>
        <v/>
      </c>
      <c r="EK297" s="66" t="str">
        <f t="shared" si="3769"/>
        <v/>
      </c>
      <c r="EL297" s="66" t="str">
        <f t="shared" si="3770"/>
        <v/>
      </c>
      <c r="EM297" s="66" t="str">
        <f t="shared" si="3771"/>
        <v/>
      </c>
      <c r="EN297" s="66" t="str">
        <f t="shared" si="3772"/>
        <v/>
      </c>
      <c r="EO297" s="66" t="str">
        <f t="shared" si="3773"/>
        <v/>
      </c>
      <c r="EP297" s="66" t="str">
        <f t="shared" si="3774"/>
        <v/>
      </c>
      <c r="EQ297" s="66" t="str">
        <f t="shared" si="3775"/>
        <v/>
      </c>
      <c r="ER297" s="66" t="str">
        <f t="shared" si="3776"/>
        <v/>
      </c>
      <c r="ES297" s="66" t="str">
        <f t="shared" si="3777"/>
        <v/>
      </c>
      <c r="ET297" s="66" t="str">
        <f t="shared" si="3778"/>
        <v/>
      </c>
      <c r="EU297" s="66" t="str">
        <f t="shared" si="3779"/>
        <v/>
      </c>
      <c r="EV297" s="66" t="str">
        <f t="shared" si="3780"/>
        <v/>
      </c>
      <c r="EW297" s="66" t="str">
        <f t="shared" si="3781"/>
        <v/>
      </c>
      <c r="EX297" s="66" t="str">
        <f t="shared" si="3782"/>
        <v/>
      </c>
      <c r="EY297" s="66" t="str">
        <f t="shared" si="3783"/>
        <v/>
      </c>
      <c r="EZ297" s="66" t="str">
        <f t="shared" si="3784"/>
        <v/>
      </c>
      <c r="FA297" s="66" t="str">
        <f t="shared" si="3785"/>
        <v/>
      </c>
      <c r="FB297" s="66" t="str">
        <f t="shared" si="3786"/>
        <v/>
      </c>
      <c r="FC297" s="66" t="str">
        <f t="shared" si="3787"/>
        <v/>
      </c>
      <c r="FD297" s="66" t="str">
        <f t="shared" si="3788"/>
        <v/>
      </c>
      <c r="FE297" s="66" t="str">
        <f t="shared" si="3789"/>
        <v/>
      </c>
      <c r="FF297" s="66" t="str">
        <f t="shared" si="3790"/>
        <v/>
      </c>
      <c r="FG297" s="66" t="str">
        <f t="shared" si="3791"/>
        <v/>
      </c>
      <c r="FH297" s="66" t="str">
        <f t="shared" si="3792"/>
        <v/>
      </c>
      <c r="FI297" s="66" t="str">
        <f t="shared" si="3793"/>
        <v/>
      </c>
      <c r="FJ297" s="66" t="str">
        <f t="shared" si="3794"/>
        <v/>
      </c>
      <c r="FK297" s="66" t="str">
        <f t="shared" si="3795"/>
        <v/>
      </c>
      <c r="FL297" s="66" t="str">
        <f t="shared" si="3796"/>
        <v/>
      </c>
      <c r="FM297" s="66" t="str">
        <f t="shared" si="3797"/>
        <v/>
      </c>
      <c r="FN297" s="66" t="str">
        <f t="shared" si="3798"/>
        <v/>
      </c>
      <c r="FO297" s="66" t="str">
        <f t="shared" si="3799"/>
        <v/>
      </c>
      <c r="FP297" s="66" t="str">
        <f t="shared" si="3800"/>
        <v/>
      </c>
      <c r="FQ297" s="66" t="str">
        <f t="shared" si="3801"/>
        <v/>
      </c>
      <c r="FR297" s="66" t="str">
        <f t="shared" si="3802"/>
        <v/>
      </c>
      <c r="FS297" s="66" t="str">
        <f t="shared" si="3803"/>
        <v/>
      </c>
    </row>
    <row r="298" spans="92:175">
      <c r="CN298" s="36" t="str">
        <f t="shared" si="3728"/>
        <v>InitUnitState('',,,,,,,,,,)</v>
      </c>
      <c r="CO298" s="36" t="str">
        <f t="shared" si="3729"/>
        <v>InitUnitNormal('',,,,,,,,,,)</v>
      </c>
      <c r="CP298" s="36" t="str">
        <f t="shared" si="3730"/>
        <v>InitUnitMagic('',,,,,,,,,,)</v>
      </c>
      <c r="CQ298" s="36" t="str">
        <f t="shared" si="3731"/>
        <v>InitUnitAdd('',,,,,,,,,,)</v>
      </c>
      <c r="CR298" s="36" t="str">
        <f t="shared" si="3732"/>
        <v>InitEquipData('',,"",,,,,'','','','','','',"")</v>
      </c>
      <c r="CU298" s="19" t="str">
        <f t="shared" si="3804"/>
        <v>|n</v>
      </c>
      <c r="CW298" s="33"/>
      <c r="CX298" s="33"/>
      <c r="CY298" s="33"/>
      <c r="CZ298" s="33"/>
      <c r="DA298" s="33"/>
      <c r="DB298" s="66" t="str">
        <f t="shared" si="3734"/>
        <v/>
      </c>
      <c r="DC298" s="66" t="str">
        <f t="shared" si="3735"/>
        <v/>
      </c>
      <c r="DD298" s="66" t="str">
        <f t="shared" si="3736"/>
        <v/>
      </c>
      <c r="DE298" s="66" t="str">
        <f t="shared" si="3737"/>
        <v/>
      </c>
      <c r="DF298" s="66" t="str">
        <f t="shared" si="3738"/>
        <v/>
      </c>
      <c r="DG298" s="66" t="str">
        <f t="shared" si="3739"/>
        <v/>
      </c>
      <c r="DH298" s="66" t="str">
        <f t="shared" si="3740"/>
        <v/>
      </c>
      <c r="DI298" s="66" t="str">
        <f t="shared" si="3741"/>
        <v/>
      </c>
      <c r="DJ298" s="66" t="str">
        <f t="shared" si="3742"/>
        <v/>
      </c>
      <c r="DK298" s="66" t="str">
        <f t="shared" si="3743"/>
        <v/>
      </c>
      <c r="DL298" s="66" t="str">
        <f t="shared" si="3744"/>
        <v/>
      </c>
      <c r="DM298" s="66" t="str">
        <f t="shared" si="3745"/>
        <v/>
      </c>
      <c r="DN298" s="66" t="str">
        <f t="shared" si="3746"/>
        <v/>
      </c>
      <c r="DO298" s="66" t="str">
        <f t="shared" si="3747"/>
        <v/>
      </c>
      <c r="DP298" s="66" t="str">
        <f t="shared" si="3748"/>
        <v/>
      </c>
      <c r="DQ298" s="66" t="str">
        <f t="shared" si="3749"/>
        <v/>
      </c>
      <c r="DR298" s="66" t="str">
        <f t="shared" si="3750"/>
        <v/>
      </c>
      <c r="DS298" s="66" t="str">
        <f t="shared" si="3751"/>
        <v/>
      </c>
      <c r="DT298" s="66" t="str">
        <f t="shared" si="3752"/>
        <v/>
      </c>
      <c r="DU298" s="66" t="str">
        <f t="shared" si="3753"/>
        <v/>
      </c>
      <c r="DV298" s="66" t="str">
        <f t="shared" si="3754"/>
        <v/>
      </c>
      <c r="DW298" s="66" t="str">
        <f t="shared" si="3755"/>
        <v/>
      </c>
      <c r="DX298" s="66" t="str">
        <f t="shared" si="3756"/>
        <v/>
      </c>
      <c r="DY298" s="66" t="str">
        <f t="shared" si="3757"/>
        <v/>
      </c>
      <c r="DZ298" s="66" t="str">
        <f t="shared" si="3758"/>
        <v/>
      </c>
      <c r="EA298" s="66" t="str">
        <f t="shared" si="3759"/>
        <v/>
      </c>
      <c r="EB298" s="66" t="str">
        <f t="shared" si="3760"/>
        <v/>
      </c>
      <c r="EC298" s="66" t="str">
        <f t="shared" si="3761"/>
        <v/>
      </c>
      <c r="ED298" s="66" t="str">
        <f t="shared" si="3762"/>
        <v/>
      </c>
      <c r="EE298" s="66" t="str">
        <f t="shared" si="3763"/>
        <v/>
      </c>
      <c r="EF298" s="66" t="str">
        <f t="shared" si="3764"/>
        <v/>
      </c>
      <c r="EG298" s="66" t="str">
        <f t="shared" si="3765"/>
        <v/>
      </c>
      <c r="EH298" s="66" t="str">
        <f t="shared" si="3766"/>
        <v/>
      </c>
      <c r="EI298" s="66" t="str">
        <f t="shared" si="3767"/>
        <v/>
      </c>
      <c r="EJ298" s="66" t="str">
        <f t="shared" si="3768"/>
        <v/>
      </c>
      <c r="EK298" s="66" t="str">
        <f t="shared" si="3769"/>
        <v/>
      </c>
      <c r="EL298" s="66" t="str">
        <f t="shared" si="3770"/>
        <v/>
      </c>
      <c r="EM298" s="66" t="str">
        <f t="shared" si="3771"/>
        <v/>
      </c>
      <c r="EN298" s="66" t="str">
        <f t="shared" si="3772"/>
        <v/>
      </c>
      <c r="EO298" s="66" t="str">
        <f t="shared" si="3773"/>
        <v/>
      </c>
      <c r="EP298" s="66" t="str">
        <f t="shared" si="3774"/>
        <v/>
      </c>
      <c r="EQ298" s="66" t="str">
        <f t="shared" si="3775"/>
        <v/>
      </c>
      <c r="ER298" s="66" t="str">
        <f t="shared" si="3776"/>
        <v/>
      </c>
      <c r="ES298" s="66" t="str">
        <f t="shared" si="3777"/>
        <v/>
      </c>
      <c r="ET298" s="66" t="str">
        <f t="shared" si="3778"/>
        <v/>
      </c>
      <c r="EU298" s="66" t="str">
        <f t="shared" si="3779"/>
        <v/>
      </c>
      <c r="EV298" s="66" t="str">
        <f t="shared" si="3780"/>
        <v/>
      </c>
      <c r="EW298" s="66" t="str">
        <f t="shared" si="3781"/>
        <v/>
      </c>
      <c r="EX298" s="66" t="str">
        <f t="shared" si="3782"/>
        <v/>
      </c>
      <c r="EY298" s="66" t="str">
        <f t="shared" si="3783"/>
        <v/>
      </c>
      <c r="EZ298" s="66" t="str">
        <f t="shared" si="3784"/>
        <v/>
      </c>
      <c r="FA298" s="66" t="str">
        <f t="shared" si="3785"/>
        <v/>
      </c>
      <c r="FB298" s="66" t="str">
        <f t="shared" si="3786"/>
        <v/>
      </c>
      <c r="FC298" s="66" t="str">
        <f t="shared" si="3787"/>
        <v/>
      </c>
      <c r="FD298" s="66" t="str">
        <f t="shared" si="3788"/>
        <v/>
      </c>
      <c r="FE298" s="66" t="str">
        <f t="shared" si="3789"/>
        <v/>
      </c>
      <c r="FF298" s="66" t="str">
        <f t="shared" si="3790"/>
        <v/>
      </c>
      <c r="FG298" s="66" t="str">
        <f t="shared" si="3791"/>
        <v/>
      </c>
      <c r="FH298" s="66" t="str">
        <f t="shared" si="3792"/>
        <v/>
      </c>
      <c r="FI298" s="66" t="str">
        <f t="shared" si="3793"/>
        <v/>
      </c>
      <c r="FJ298" s="66" t="str">
        <f t="shared" si="3794"/>
        <v/>
      </c>
      <c r="FK298" s="66" t="str">
        <f t="shared" si="3795"/>
        <v/>
      </c>
      <c r="FL298" s="66" t="str">
        <f t="shared" si="3796"/>
        <v/>
      </c>
      <c r="FM298" s="66" t="str">
        <f t="shared" si="3797"/>
        <v/>
      </c>
      <c r="FN298" s="66" t="str">
        <f t="shared" si="3798"/>
        <v/>
      </c>
      <c r="FO298" s="66" t="str">
        <f t="shared" si="3799"/>
        <v/>
      </c>
      <c r="FP298" s="66" t="str">
        <f t="shared" si="3800"/>
        <v/>
      </c>
      <c r="FQ298" s="66" t="str">
        <f t="shared" si="3801"/>
        <v/>
      </c>
      <c r="FR298" s="66" t="str">
        <f t="shared" si="3802"/>
        <v/>
      </c>
      <c r="FS298" s="66" t="str">
        <f t="shared" si="3803"/>
        <v/>
      </c>
    </row>
    <row r="299" spans="92:175">
      <c r="CN299" s="36" t="str">
        <f t="shared" si="3728"/>
        <v>InitUnitState('',,,,,,,,,,)</v>
      </c>
      <c r="CO299" s="36" t="str">
        <f t="shared" si="3729"/>
        <v>InitUnitNormal('',,,,,,,,,,)</v>
      </c>
      <c r="CP299" s="36" t="str">
        <f t="shared" si="3730"/>
        <v>InitUnitMagic('',,,,,,,,,,)</v>
      </c>
      <c r="CQ299" s="36" t="str">
        <f t="shared" si="3731"/>
        <v>InitUnitAdd('',,,,,,,,,,)</v>
      </c>
      <c r="CR299" s="36" t="str">
        <f t="shared" si="3732"/>
        <v>InitEquipData('',,"",,,,,'','','','','','',"")</v>
      </c>
      <c r="CU299" s="19" t="str">
        <f t="shared" si="3804"/>
        <v>|n</v>
      </c>
      <c r="CW299" s="33"/>
      <c r="CX299" s="33"/>
      <c r="CY299" s="33"/>
      <c r="CZ299" s="33"/>
      <c r="DA299" s="33"/>
      <c r="DB299" s="66" t="str">
        <f t="shared" si="3734"/>
        <v/>
      </c>
      <c r="DC299" s="66" t="str">
        <f t="shared" si="3735"/>
        <v/>
      </c>
      <c r="DD299" s="66" t="str">
        <f t="shared" si="3736"/>
        <v/>
      </c>
      <c r="DE299" s="66" t="str">
        <f t="shared" si="3737"/>
        <v/>
      </c>
      <c r="DF299" s="66" t="str">
        <f t="shared" si="3738"/>
        <v/>
      </c>
      <c r="DG299" s="66" t="str">
        <f t="shared" si="3739"/>
        <v/>
      </c>
      <c r="DH299" s="66" t="str">
        <f t="shared" si="3740"/>
        <v/>
      </c>
      <c r="DI299" s="66" t="str">
        <f t="shared" si="3741"/>
        <v/>
      </c>
      <c r="DJ299" s="66" t="str">
        <f t="shared" si="3742"/>
        <v/>
      </c>
      <c r="DK299" s="66" t="str">
        <f t="shared" si="3743"/>
        <v/>
      </c>
      <c r="DL299" s="66" t="str">
        <f t="shared" si="3744"/>
        <v/>
      </c>
      <c r="DM299" s="66" t="str">
        <f t="shared" si="3745"/>
        <v/>
      </c>
      <c r="DN299" s="66" t="str">
        <f t="shared" si="3746"/>
        <v/>
      </c>
      <c r="DO299" s="66" t="str">
        <f t="shared" si="3747"/>
        <v/>
      </c>
      <c r="DP299" s="66" t="str">
        <f t="shared" si="3748"/>
        <v/>
      </c>
      <c r="DQ299" s="66" t="str">
        <f t="shared" si="3749"/>
        <v/>
      </c>
      <c r="DR299" s="66" t="str">
        <f t="shared" si="3750"/>
        <v/>
      </c>
      <c r="DS299" s="66" t="str">
        <f t="shared" si="3751"/>
        <v/>
      </c>
      <c r="DT299" s="66" t="str">
        <f t="shared" si="3752"/>
        <v/>
      </c>
      <c r="DU299" s="66" t="str">
        <f t="shared" si="3753"/>
        <v/>
      </c>
      <c r="DV299" s="66" t="str">
        <f t="shared" si="3754"/>
        <v/>
      </c>
      <c r="DW299" s="66" t="str">
        <f t="shared" si="3755"/>
        <v/>
      </c>
      <c r="DX299" s="66" t="str">
        <f t="shared" si="3756"/>
        <v/>
      </c>
      <c r="DY299" s="66" t="str">
        <f t="shared" si="3757"/>
        <v/>
      </c>
      <c r="DZ299" s="66" t="str">
        <f t="shared" si="3758"/>
        <v/>
      </c>
      <c r="EA299" s="66" t="str">
        <f t="shared" si="3759"/>
        <v/>
      </c>
      <c r="EB299" s="66" t="str">
        <f t="shared" si="3760"/>
        <v/>
      </c>
      <c r="EC299" s="66" t="str">
        <f t="shared" si="3761"/>
        <v/>
      </c>
      <c r="ED299" s="66" t="str">
        <f t="shared" si="3762"/>
        <v/>
      </c>
      <c r="EE299" s="66" t="str">
        <f t="shared" si="3763"/>
        <v/>
      </c>
      <c r="EF299" s="66" t="str">
        <f t="shared" si="3764"/>
        <v/>
      </c>
      <c r="EG299" s="66" t="str">
        <f t="shared" si="3765"/>
        <v/>
      </c>
      <c r="EH299" s="66" t="str">
        <f t="shared" si="3766"/>
        <v/>
      </c>
      <c r="EI299" s="66" t="str">
        <f t="shared" si="3767"/>
        <v/>
      </c>
      <c r="EJ299" s="66" t="str">
        <f t="shared" si="3768"/>
        <v/>
      </c>
      <c r="EK299" s="66" t="str">
        <f t="shared" si="3769"/>
        <v/>
      </c>
      <c r="EL299" s="66" t="str">
        <f t="shared" si="3770"/>
        <v/>
      </c>
      <c r="EM299" s="66" t="str">
        <f t="shared" si="3771"/>
        <v/>
      </c>
      <c r="EN299" s="66" t="str">
        <f t="shared" si="3772"/>
        <v/>
      </c>
      <c r="EO299" s="66" t="str">
        <f t="shared" si="3773"/>
        <v/>
      </c>
      <c r="EP299" s="66" t="str">
        <f t="shared" si="3774"/>
        <v/>
      </c>
      <c r="EQ299" s="66" t="str">
        <f t="shared" si="3775"/>
        <v/>
      </c>
      <c r="ER299" s="66" t="str">
        <f t="shared" si="3776"/>
        <v/>
      </c>
      <c r="ES299" s="66" t="str">
        <f t="shared" si="3777"/>
        <v/>
      </c>
      <c r="ET299" s="66" t="str">
        <f t="shared" si="3778"/>
        <v/>
      </c>
      <c r="EU299" s="66" t="str">
        <f t="shared" si="3779"/>
        <v/>
      </c>
      <c r="EV299" s="66" t="str">
        <f t="shared" si="3780"/>
        <v/>
      </c>
      <c r="EW299" s="66" t="str">
        <f t="shared" si="3781"/>
        <v/>
      </c>
      <c r="EX299" s="66" t="str">
        <f t="shared" si="3782"/>
        <v/>
      </c>
      <c r="EY299" s="66" t="str">
        <f t="shared" si="3783"/>
        <v/>
      </c>
      <c r="EZ299" s="66" t="str">
        <f t="shared" si="3784"/>
        <v/>
      </c>
      <c r="FA299" s="66" t="str">
        <f t="shared" si="3785"/>
        <v/>
      </c>
      <c r="FB299" s="66" t="str">
        <f t="shared" si="3786"/>
        <v/>
      </c>
      <c r="FC299" s="66" t="str">
        <f t="shared" si="3787"/>
        <v/>
      </c>
      <c r="FD299" s="66" t="str">
        <f t="shared" si="3788"/>
        <v/>
      </c>
      <c r="FE299" s="66" t="str">
        <f t="shared" si="3789"/>
        <v/>
      </c>
      <c r="FF299" s="66" t="str">
        <f t="shared" si="3790"/>
        <v/>
      </c>
      <c r="FG299" s="66" t="str">
        <f t="shared" si="3791"/>
        <v/>
      </c>
      <c r="FH299" s="66" t="str">
        <f t="shared" si="3792"/>
        <v/>
      </c>
      <c r="FI299" s="66" t="str">
        <f t="shared" si="3793"/>
        <v/>
      </c>
      <c r="FJ299" s="66" t="str">
        <f t="shared" si="3794"/>
        <v/>
      </c>
      <c r="FK299" s="66" t="str">
        <f t="shared" si="3795"/>
        <v/>
      </c>
      <c r="FL299" s="66" t="str">
        <f t="shared" si="3796"/>
        <v/>
      </c>
      <c r="FM299" s="66" t="str">
        <f t="shared" si="3797"/>
        <v/>
      </c>
      <c r="FN299" s="66" t="str">
        <f t="shared" si="3798"/>
        <v/>
      </c>
      <c r="FO299" s="66" t="str">
        <f t="shared" si="3799"/>
        <v/>
      </c>
      <c r="FP299" s="66" t="str">
        <f t="shared" si="3800"/>
        <v/>
      </c>
      <c r="FQ299" s="66" t="str">
        <f t="shared" si="3801"/>
        <v/>
      </c>
      <c r="FR299" s="66" t="str">
        <f t="shared" si="3802"/>
        <v/>
      </c>
      <c r="FS299" s="66" t="str">
        <f t="shared" si="3803"/>
        <v/>
      </c>
    </row>
    <row r="300" spans="92:175">
      <c r="CN300" s="36" t="str">
        <f t="shared" si="3728"/>
        <v>InitUnitState('',,,,,,,,,,)</v>
      </c>
      <c r="CO300" s="36" t="str">
        <f t="shared" si="3729"/>
        <v>InitUnitNormal('',,,,,,,,,,)</v>
      </c>
      <c r="CP300" s="36" t="str">
        <f t="shared" si="3730"/>
        <v>InitUnitMagic('',,,,,,,,,,)</v>
      </c>
      <c r="CQ300" s="36" t="str">
        <f t="shared" si="3731"/>
        <v>InitUnitAdd('',,,,,,,,,,)</v>
      </c>
      <c r="CR300" s="36" t="str">
        <f t="shared" si="3732"/>
        <v>InitEquipData('',,"",,,,,'','','','','','',"")</v>
      </c>
      <c r="CU300" s="19" t="str">
        <f t="shared" si="3804"/>
        <v>|n</v>
      </c>
      <c r="CW300" s="33"/>
      <c r="CX300" s="33"/>
      <c r="CY300" s="33"/>
      <c r="CZ300" s="33"/>
      <c r="DA300" s="33"/>
      <c r="DB300" s="66" t="str">
        <f t="shared" si="3734"/>
        <v/>
      </c>
      <c r="DC300" s="66" t="str">
        <f t="shared" si="3735"/>
        <v/>
      </c>
      <c r="DD300" s="66" t="str">
        <f t="shared" si="3736"/>
        <v/>
      </c>
      <c r="DE300" s="66" t="str">
        <f t="shared" si="3737"/>
        <v/>
      </c>
      <c r="DF300" s="66" t="str">
        <f t="shared" si="3738"/>
        <v/>
      </c>
      <c r="DG300" s="66" t="str">
        <f t="shared" si="3739"/>
        <v/>
      </c>
      <c r="DH300" s="66" t="str">
        <f t="shared" si="3740"/>
        <v/>
      </c>
      <c r="DI300" s="66" t="str">
        <f t="shared" si="3741"/>
        <v/>
      </c>
      <c r="DJ300" s="66" t="str">
        <f t="shared" si="3742"/>
        <v/>
      </c>
      <c r="DK300" s="66" t="str">
        <f t="shared" si="3743"/>
        <v/>
      </c>
      <c r="DL300" s="66" t="str">
        <f t="shared" si="3744"/>
        <v/>
      </c>
      <c r="DM300" s="66" t="str">
        <f t="shared" si="3745"/>
        <v/>
      </c>
      <c r="DN300" s="66" t="str">
        <f t="shared" si="3746"/>
        <v/>
      </c>
      <c r="DO300" s="66" t="str">
        <f t="shared" si="3747"/>
        <v/>
      </c>
      <c r="DP300" s="66" t="str">
        <f t="shared" si="3748"/>
        <v/>
      </c>
      <c r="DQ300" s="66" t="str">
        <f t="shared" si="3749"/>
        <v/>
      </c>
      <c r="DR300" s="66" t="str">
        <f t="shared" si="3750"/>
        <v/>
      </c>
      <c r="DS300" s="66" t="str">
        <f t="shared" si="3751"/>
        <v/>
      </c>
      <c r="DT300" s="66" t="str">
        <f t="shared" si="3752"/>
        <v/>
      </c>
      <c r="DU300" s="66" t="str">
        <f t="shared" si="3753"/>
        <v/>
      </c>
      <c r="DV300" s="66" t="str">
        <f t="shared" si="3754"/>
        <v/>
      </c>
      <c r="DW300" s="66" t="str">
        <f t="shared" si="3755"/>
        <v/>
      </c>
      <c r="DX300" s="66" t="str">
        <f t="shared" si="3756"/>
        <v/>
      </c>
      <c r="DY300" s="66" t="str">
        <f t="shared" si="3757"/>
        <v/>
      </c>
      <c r="DZ300" s="66" t="str">
        <f t="shared" si="3758"/>
        <v/>
      </c>
      <c r="EA300" s="66" t="str">
        <f t="shared" si="3759"/>
        <v/>
      </c>
      <c r="EB300" s="66" t="str">
        <f t="shared" si="3760"/>
        <v/>
      </c>
      <c r="EC300" s="66" t="str">
        <f t="shared" si="3761"/>
        <v/>
      </c>
      <c r="ED300" s="66" t="str">
        <f t="shared" si="3762"/>
        <v/>
      </c>
      <c r="EE300" s="66" t="str">
        <f t="shared" si="3763"/>
        <v/>
      </c>
      <c r="EF300" s="66" t="str">
        <f t="shared" si="3764"/>
        <v/>
      </c>
      <c r="EG300" s="66" t="str">
        <f t="shared" si="3765"/>
        <v/>
      </c>
      <c r="EH300" s="66" t="str">
        <f t="shared" si="3766"/>
        <v/>
      </c>
      <c r="EI300" s="66" t="str">
        <f t="shared" si="3767"/>
        <v/>
      </c>
      <c r="EJ300" s="66" t="str">
        <f t="shared" si="3768"/>
        <v/>
      </c>
      <c r="EK300" s="66" t="str">
        <f t="shared" si="3769"/>
        <v/>
      </c>
      <c r="EL300" s="66" t="str">
        <f t="shared" si="3770"/>
        <v/>
      </c>
      <c r="EM300" s="66" t="str">
        <f t="shared" si="3771"/>
        <v/>
      </c>
      <c r="EN300" s="66" t="str">
        <f t="shared" si="3772"/>
        <v/>
      </c>
      <c r="EO300" s="66" t="str">
        <f t="shared" si="3773"/>
        <v/>
      </c>
      <c r="EP300" s="66" t="str">
        <f t="shared" si="3774"/>
        <v/>
      </c>
      <c r="EQ300" s="66" t="str">
        <f t="shared" si="3775"/>
        <v/>
      </c>
      <c r="ER300" s="66" t="str">
        <f t="shared" si="3776"/>
        <v/>
      </c>
      <c r="ES300" s="66" t="str">
        <f t="shared" si="3777"/>
        <v/>
      </c>
      <c r="ET300" s="66" t="str">
        <f t="shared" si="3778"/>
        <v/>
      </c>
      <c r="EU300" s="66" t="str">
        <f t="shared" si="3779"/>
        <v/>
      </c>
      <c r="EV300" s="66" t="str">
        <f t="shared" si="3780"/>
        <v/>
      </c>
      <c r="EW300" s="66" t="str">
        <f t="shared" si="3781"/>
        <v/>
      </c>
      <c r="EX300" s="66" t="str">
        <f t="shared" si="3782"/>
        <v/>
      </c>
      <c r="EY300" s="66" t="str">
        <f t="shared" si="3783"/>
        <v/>
      </c>
      <c r="EZ300" s="66" t="str">
        <f t="shared" si="3784"/>
        <v/>
      </c>
      <c r="FA300" s="66" t="str">
        <f t="shared" si="3785"/>
        <v/>
      </c>
      <c r="FB300" s="66" t="str">
        <f t="shared" si="3786"/>
        <v/>
      </c>
      <c r="FC300" s="66" t="str">
        <f t="shared" si="3787"/>
        <v/>
      </c>
      <c r="FD300" s="66" t="str">
        <f t="shared" si="3788"/>
        <v/>
      </c>
      <c r="FE300" s="66" t="str">
        <f t="shared" si="3789"/>
        <v/>
      </c>
      <c r="FF300" s="66" t="str">
        <f t="shared" si="3790"/>
        <v/>
      </c>
      <c r="FG300" s="66" t="str">
        <f t="shared" si="3791"/>
        <v/>
      </c>
      <c r="FH300" s="66" t="str">
        <f t="shared" si="3792"/>
        <v/>
      </c>
      <c r="FI300" s="66" t="str">
        <f t="shared" si="3793"/>
        <v/>
      </c>
      <c r="FJ300" s="66" t="str">
        <f t="shared" si="3794"/>
        <v/>
      </c>
      <c r="FK300" s="66" t="str">
        <f t="shared" si="3795"/>
        <v/>
      </c>
      <c r="FL300" s="66" t="str">
        <f t="shared" si="3796"/>
        <v/>
      </c>
      <c r="FM300" s="66" t="str">
        <f t="shared" si="3797"/>
        <v/>
      </c>
      <c r="FN300" s="66" t="str">
        <f t="shared" si="3798"/>
        <v/>
      </c>
      <c r="FO300" s="66" t="str">
        <f t="shared" si="3799"/>
        <v/>
      </c>
      <c r="FP300" s="66" t="str">
        <f t="shared" si="3800"/>
        <v/>
      </c>
      <c r="FQ300" s="66" t="str">
        <f t="shared" si="3801"/>
        <v/>
      </c>
      <c r="FR300" s="66" t="str">
        <f t="shared" si="3802"/>
        <v/>
      </c>
      <c r="FS300" s="66" t="str">
        <f t="shared" si="3803"/>
        <v/>
      </c>
    </row>
    <row r="301" spans="92:175">
      <c r="CN301" s="36" t="str">
        <f t="shared" si="3728"/>
        <v>InitUnitState('',,,,,,,,,,)</v>
      </c>
      <c r="CO301" s="36" t="str">
        <f t="shared" si="3729"/>
        <v>InitUnitNormal('',,,,,,,,,,)</v>
      </c>
      <c r="CP301" s="36" t="str">
        <f t="shared" si="3730"/>
        <v>InitUnitMagic('',,,,,,,,,,)</v>
      </c>
      <c r="CQ301" s="36" t="str">
        <f t="shared" si="3731"/>
        <v>InitUnitAdd('',,,,,,,,,,)</v>
      </c>
      <c r="CR301" s="36" t="str">
        <f t="shared" si="3732"/>
        <v>InitEquipData('',,"",,,,,'','','','','','',"")</v>
      </c>
      <c r="CU301" s="19" t="str">
        <f t="shared" si="3804"/>
        <v>|n</v>
      </c>
      <c r="CW301" s="33"/>
      <c r="CX301" s="33"/>
      <c r="CY301" s="33"/>
      <c r="CZ301" s="33"/>
      <c r="DA301" s="33"/>
      <c r="DB301" s="66" t="str">
        <f t="shared" si="3734"/>
        <v/>
      </c>
      <c r="DC301" s="66" t="str">
        <f t="shared" si="3735"/>
        <v/>
      </c>
      <c r="DD301" s="66" t="str">
        <f t="shared" si="3736"/>
        <v/>
      </c>
      <c r="DE301" s="66" t="str">
        <f t="shared" si="3737"/>
        <v/>
      </c>
      <c r="DF301" s="66" t="str">
        <f t="shared" si="3738"/>
        <v/>
      </c>
      <c r="DG301" s="66" t="str">
        <f t="shared" si="3739"/>
        <v/>
      </c>
      <c r="DH301" s="66" t="str">
        <f t="shared" si="3740"/>
        <v/>
      </c>
      <c r="DI301" s="66" t="str">
        <f t="shared" si="3741"/>
        <v/>
      </c>
      <c r="DJ301" s="66" t="str">
        <f t="shared" si="3742"/>
        <v/>
      </c>
      <c r="DK301" s="66" t="str">
        <f t="shared" si="3743"/>
        <v/>
      </c>
      <c r="DL301" s="66" t="str">
        <f t="shared" si="3744"/>
        <v/>
      </c>
      <c r="DM301" s="66" t="str">
        <f t="shared" si="3745"/>
        <v/>
      </c>
      <c r="DN301" s="66" t="str">
        <f t="shared" si="3746"/>
        <v/>
      </c>
      <c r="DO301" s="66" t="str">
        <f t="shared" si="3747"/>
        <v/>
      </c>
      <c r="DP301" s="66" t="str">
        <f t="shared" si="3748"/>
        <v/>
      </c>
      <c r="DQ301" s="66" t="str">
        <f t="shared" si="3749"/>
        <v/>
      </c>
      <c r="DR301" s="66" t="str">
        <f t="shared" si="3750"/>
        <v/>
      </c>
      <c r="DS301" s="66" t="str">
        <f t="shared" si="3751"/>
        <v/>
      </c>
      <c r="DT301" s="66" t="str">
        <f t="shared" si="3752"/>
        <v/>
      </c>
      <c r="DU301" s="66" t="str">
        <f t="shared" si="3753"/>
        <v/>
      </c>
      <c r="DV301" s="66" t="str">
        <f t="shared" si="3754"/>
        <v/>
      </c>
      <c r="DW301" s="66" t="str">
        <f t="shared" si="3755"/>
        <v/>
      </c>
      <c r="DX301" s="66" t="str">
        <f t="shared" si="3756"/>
        <v/>
      </c>
      <c r="DY301" s="66" t="str">
        <f t="shared" si="3757"/>
        <v/>
      </c>
      <c r="DZ301" s="66" t="str">
        <f t="shared" si="3758"/>
        <v/>
      </c>
      <c r="EA301" s="66" t="str">
        <f t="shared" si="3759"/>
        <v/>
      </c>
      <c r="EB301" s="66" t="str">
        <f t="shared" si="3760"/>
        <v/>
      </c>
      <c r="EC301" s="66" t="str">
        <f t="shared" si="3761"/>
        <v/>
      </c>
      <c r="ED301" s="66" t="str">
        <f t="shared" si="3762"/>
        <v/>
      </c>
      <c r="EE301" s="66" t="str">
        <f t="shared" si="3763"/>
        <v/>
      </c>
      <c r="EF301" s="66" t="str">
        <f t="shared" si="3764"/>
        <v/>
      </c>
      <c r="EG301" s="66" t="str">
        <f t="shared" si="3765"/>
        <v/>
      </c>
      <c r="EH301" s="66" t="str">
        <f t="shared" si="3766"/>
        <v/>
      </c>
      <c r="EI301" s="66" t="str">
        <f t="shared" si="3767"/>
        <v/>
      </c>
      <c r="EJ301" s="66" t="str">
        <f t="shared" si="3768"/>
        <v/>
      </c>
      <c r="EK301" s="66" t="str">
        <f t="shared" si="3769"/>
        <v/>
      </c>
      <c r="EL301" s="66" t="str">
        <f t="shared" si="3770"/>
        <v/>
      </c>
      <c r="EM301" s="66" t="str">
        <f t="shared" si="3771"/>
        <v/>
      </c>
      <c r="EN301" s="66" t="str">
        <f t="shared" si="3772"/>
        <v/>
      </c>
      <c r="EO301" s="66" t="str">
        <f t="shared" si="3773"/>
        <v/>
      </c>
      <c r="EP301" s="66" t="str">
        <f t="shared" si="3774"/>
        <v/>
      </c>
      <c r="EQ301" s="66" t="str">
        <f t="shared" si="3775"/>
        <v/>
      </c>
      <c r="ER301" s="66" t="str">
        <f t="shared" si="3776"/>
        <v/>
      </c>
      <c r="ES301" s="66" t="str">
        <f t="shared" si="3777"/>
        <v/>
      </c>
      <c r="ET301" s="66" t="str">
        <f t="shared" si="3778"/>
        <v/>
      </c>
      <c r="EU301" s="66" t="str">
        <f t="shared" si="3779"/>
        <v/>
      </c>
      <c r="EV301" s="66" t="str">
        <f t="shared" si="3780"/>
        <v/>
      </c>
      <c r="EW301" s="66" t="str">
        <f t="shared" si="3781"/>
        <v/>
      </c>
      <c r="EX301" s="66" t="str">
        <f t="shared" si="3782"/>
        <v/>
      </c>
      <c r="EY301" s="66" t="str">
        <f t="shared" si="3783"/>
        <v/>
      </c>
      <c r="EZ301" s="66" t="str">
        <f t="shared" si="3784"/>
        <v/>
      </c>
      <c r="FA301" s="66" t="str">
        <f t="shared" si="3785"/>
        <v/>
      </c>
      <c r="FB301" s="66" t="str">
        <f t="shared" si="3786"/>
        <v/>
      </c>
      <c r="FC301" s="66" t="str">
        <f t="shared" si="3787"/>
        <v/>
      </c>
      <c r="FD301" s="66" t="str">
        <f t="shared" si="3788"/>
        <v/>
      </c>
      <c r="FE301" s="66" t="str">
        <f t="shared" si="3789"/>
        <v/>
      </c>
      <c r="FF301" s="66" t="str">
        <f t="shared" si="3790"/>
        <v/>
      </c>
      <c r="FG301" s="66" t="str">
        <f t="shared" si="3791"/>
        <v/>
      </c>
      <c r="FH301" s="66" t="str">
        <f t="shared" si="3792"/>
        <v/>
      </c>
      <c r="FI301" s="66" t="str">
        <f t="shared" si="3793"/>
        <v/>
      </c>
      <c r="FJ301" s="66" t="str">
        <f t="shared" si="3794"/>
        <v/>
      </c>
      <c r="FK301" s="66" t="str">
        <f t="shared" si="3795"/>
        <v/>
      </c>
      <c r="FL301" s="66" t="str">
        <f t="shared" si="3796"/>
        <v/>
      </c>
      <c r="FM301" s="66" t="str">
        <f t="shared" si="3797"/>
        <v/>
      </c>
      <c r="FN301" s="66" t="str">
        <f t="shared" si="3798"/>
        <v/>
      </c>
      <c r="FO301" s="66" t="str">
        <f t="shared" si="3799"/>
        <v/>
      </c>
      <c r="FP301" s="66" t="str">
        <f t="shared" si="3800"/>
        <v/>
      </c>
      <c r="FQ301" s="66" t="str">
        <f t="shared" si="3801"/>
        <v/>
      </c>
      <c r="FR301" s="66" t="str">
        <f t="shared" si="3802"/>
        <v/>
      </c>
      <c r="FS301" s="66" t="str">
        <f t="shared" si="3803"/>
        <v/>
      </c>
    </row>
    <row r="302" spans="92:175">
      <c r="CN302" s="36" t="str">
        <f t="shared" si="3728"/>
        <v>InitUnitState('',,,,,,,,,,)</v>
      </c>
      <c r="CO302" s="36" t="str">
        <f t="shared" si="3729"/>
        <v>InitUnitNormal('',,,,,,,,,,)</v>
      </c>
      <c r="CP302" s="36" t="str">
        <f t="shared" si="3730"/>
        <v>InitUnitMagic('',,,,,,,,,,)</v>
      </c>
      <c r="CQ302" s="36" t="str">
        <f t="shared" si="3731"/>
        <v>InitUnitAdd('',,,,,,,,,,)</v>
      </c>
      <c r="CR302" s="36" t="str">
        <f t="shared" si="3732"/>
        <v>InitEquipData('',,"",,,,,'','','','','','',"")</v>
      </c>
      <c r="CU302" s="19" t="str">
        <f t="shared" si="3804"/>
        <v>|n</v>
      </c>
      <c r="CW302" s="33"/>
      <c r="CX302" s="33"/>
      <c r="CY302" s="33"/>
      <c r="CZ302" s="33"/>
      <c r="DA302" s="33"/>
      <c r="DB302" s="66" t="str">
        <f t="shared" si="3734"/>
        <v/>
      </c>
      <c r="DC302" s="66" t="str">
        <f t="shared" si="3735"/>
        <v/>
      </c>
      <c r="DD302" s="66" t="str">
        <f t="shared" si="3736"/>
        <v/>
      </c>
      <c r="DE302" s="66" t="str">
        <f t="shared" si="3737"/>
        <v/>
      </c>
      <c r="DF302" s="66" t="str">
        <f t="shared" si="3738"/>
        <v/>
      </c>
      <c r="DG302" s="66" t="str">
        <f t="shared" si="3739"/>
        <v/>
      </c>
      <c r="DH302" s="66" t="str">
        <f t="shared" si="3740"/>
        <v/>
      </c>
      <c r="DI302" s="66" t="str">
        <f t="shared" si="3741"/>
        <v/>
      </c>
      <c r="DJ302" s="66" t="str">
        <f t="shared" si="3742"/>
        <v/>
      </c>
      <c r="DK302" s="66" t="str">
        <f t="shared" si="3743"/>
        <v/>
      </c>
      <c r="DL302" s="66" t="str">
        <f t="shared" si="3744"/>
        <v/>
      </c>
      <c r="DM302" s="66" t="str">
        <f t="shared" si="3745"/>
        <v/>
      </c>
      <c r="DN302" s="66" t="str">
        <f t="shared" si="3746"/>
        <v/>
      </c>
      <c r="DO302" s="66" t="str">
        <f t="shared" si="3747"/>
        <v/>
      </c>
      <c r="DP302" s="66" t="str">
        <f t="shared" si="3748"/>
        <v/>
      </c>
      <c r="DQ302" s="66" t="str">
        <f t="shared" si="3749"/>
        <v/>
      </c>
      <c r="DR302" s="66" t="str">
        <f t="shared" si="3750"/>
        <v/>
      </c>
      <c r="DS302" s="66" t="str">
        <f t="shared" si="3751"/>
        <v/>
      </c>
      <c r="DT302" s="66" t="str">
        <f t="shared" si="3752"/>
        <v/>
      </c>
      <c r="DU302" s="66" t="str">
        <f t="shared" si="3753"/>
        <v/>
      </c>
      <c r="DV302" s="66" t="str">
        <f t="shared" si="3754"/>
        <v/>
      </c>
      <c r="DW302" s="66" t="str">
        <f t="shared" si="3755"/>
        <v/>
      </c>
      <c r="DX302" s="66" t="str">
        <f t="shared" si="3756"/>
        <v/>
      </c>
      <c r="DY302" s="66" t="str">
        <f t="shared" si="3757"/>
        <v/>
      </c>
      <c r="DZ302" s="66" t="str">
        <f t="shared" si="3758"/>
        <v/>
      </c>
      <c r="EA302" s="66" t="str">
        <f t="shared" si="3759"/>
        <v/>
      </c>
      <c r="EB302" s="66" t="str">
        <f t="shared" si="3760"/>
        <v/>
      </c>
      <c r="EC302" s="66" t="str">
        <f t="shared" si="3761"/>
        <v/>
      </c>
      <c r="ED302" s="66" t="str">
        <f t="shared" si="3762"/>
        <v/>
      </c>
      <c r="EE302" s="66" t="str">
        <f t="shared" si="3763"/>
        <v/>
      </c>
      <c r="EF302" s="66" t="str">
        <f t="shared" si="3764"/>
        <v/>
      </c>
      <c r="EG302" s="66" t="str">
        <f t="shared" si="3765"/>
        <v/>
      </c>
      <c r="EH302" s="66" t="str">
        <f t="shared" si="3766"/>
        <v/>
      </c>
      <c r="EI302" s="66" t="str">
        <f t="shared" si="3767"/>
        <v/>
      </c>
      <c r="EJ302" s="66" t="str">
        <f t="shared" si="3768"/>
        <v/>
      </c>
      <c r="EK302" s="66" t="str">
        <f t="shared" si="3769"/>
        <v/>
      </c>
      <c r="EL302" s="66" t="str">
        <f t="shared" si="3770"/>
        <v/>
      </c>
      <c r="EM302" s="66" t="str">
        <f t="shared" si="3771"/>
        <v/>
      </c>
      <c r="EN302" s="66" t="str">
        <f t="shared" si="3772"/>
        <v/>
      </c>
      <c r="EO302" s="66" t="str">
        <f t="shared" si="3773"/>
        <v/>
      </c>
      <c r="EP302" s="66" t="str">
        <f t="shared" si="3774"/>
        <v/>
      </c>
      <c r="EQ302" s="66" t="str">
        <f t="shared" si="3775"/>
        <v/>
      </c>
      <c r="ER302" s="66" t="str">
        <f t="shared" si="3776"/>
        <v/>
      </c>
      <c r="ES302" s="66" t="str">
        <f t="shared" si="3777"/>
        <v/>
      </c>
      <c r="ET302" s="66" t="str">
        <f t="shared" si="3778"/>
        <v/>
      </c>
      <c r="EU302" s="66" t="str">
        <f t="shared" si="3779"/>
        <v/>
      </c>
      <c r="EV302" s="66" t="str">
        <f t="shared" si="3780"/>
        <v/>
      </c>
      <c r="EW302" s="66" t="str">
        <f t="shared" si="3781"/>
        <v/>
      </c>
      <c r="EX302" s="66" t="str">
        <f t="shared" si="3782"/>
        <v/>
      </c>
      <c r="EY302" s="66" t="str">
        <f t="shared" si="3783"/>
        <v/>
      </c>
      <c r="EZ302" s="66" t="str">
        <f t="shared" si="3784"/>
        <v/>
      </c>
      <c r="FA302" s="66" t="str">
        <f t="shared" si="3785"/>
        <v/>
      </c>
      <c r="FB302" s="66" t="str">
        <f t="shared" si="3786"/>
        <v/>
      </c>
      <c r="FC302" s="66" t="str">
        <f t="shared" si="3787"/>
        <v/>
      </c>
      <c r="FD302" s="66" t="str">
        <f t="shared" si="3788"/>
        <v/>
      </c>
      <c r="FE302" s="66" t="str">
        <f t="shared" si="3789"/>
        <v/>
      </c>
      <c r="FF302" s="66" t="str">
        <f t="shared" si="3790"/>
        <v/>
      </c>
      <c r="FG302" s="66" t="str">
        <f t="shared" si="3791"/>
        <v/>
      </c>
      <c r="FH302" s="66" t="str">
        <f t="shared" si="3792"/>
        <v/>
      </c>
      <c r="FI302" s="66" t="str">
        <f t="shared" si="3793"/>
        <v/>
      </c>
      <c r="FJ302" s="66" t="str">
        <f t="shared" si="3794"/>
        <v/>
      </c>
      <c r="FK302" s="66" t="str">
        <f t="shared" si="3795"/>
        <v/>
      </c>
      <c r="FL302" s="66" t="str">
        <f t="shared" si="3796"/>
        <v/>
      </c>
      <c r="FM302" s="66" t="str">
        <f t="shared" si="3797"/>
        <v/>
      </c>
      <c r="FN302" s="66" t="str">
        <f t="shared" si="3798"/>
        <v/>
      </c>
      <c r="FO302" s="66" t="str">
        <f t="shared" si="3799"/>
        <v/>
      </c>
      <c r="FP302" s="66" t="str">
        <f t="shared" si="3800"/>
        <v/>
      </c>
      <c r="FQ302" s="66" t="str">
        <f t="shared" si="3801"/>
        <v/>
      </c>
      <c r="FR302" s="66" t="str">
        <f t="shared" si="3802"/>
        <v/>
      </c>
      <c r="FS302" s="66" t="str">
        <f t="shared" si="3803"/>
        <v/>
      </c>
    </row>
    <row r="303" spans="92:175">
      <c r="CN303" s="36" t="str">
        <f t="shared" si="3728"/>
        <v>InitUnitState('',,,,,,,,,,)</v>
      </c>
      <c r="CO303" s="36" t="str">
        <f t="shared" si="3729"/>
        <v>InitUnitNormal('',,,,,,,,,,)</v>
      </c>
      <c r="CP303" s="36" t="str">
        <f t="shared" si="3730"/>
        <v>InitUnitMagic('',,,,,,,,,,)</v>
      </c>
      <c r="CQ303" s="36" t="str">
        <f t="shared" si="3731"/>
        <v>InitUnitAdd('',,,,,,,,,,)</v>
      </c>
      <c r="CR303" s="36" t="str">
        <f t="shared" si="3732"/>
        <v>InitEquipData('',,"",,,,,'','','','','','',"")</v>
      </c>
      <c r="CU303" s="19" t="str">
        <f t="shared" si="3804"/>
        <v>|n</v>
      </c>
      <c r="CW303" s="33"/>
      <c r="CX303" s="33"/>
      <c r="CY303" s="33"/>
      <c r="CZ303" s="33"/>
      <c r="DA303" s="33"/>
      <c r="DB303" s="66" t="str">
        <f t="shared" si="3734"/>
        <v/>
      </c>
      <c r="DC303" s="66" t="str">
        <f t="shared" si="3735"/>
        <v/>
      </c>
      <c r="DD303" s="66" t="str">
        <f t="shared" si="3736"/>
        <v/>
      </c>
      <c r="DE303" s="66" t="str">
        <f t="shared" si="3737"/>
        <v/>
      </c>
      <c r="DF303" s="66" t="str">
        <f t="shared" si="3738"/>
        <v/>
      </c>
      <c r="DG303" s="66" t="str">
        <f t="shared" si="3739"/>
        <v/>
      </c>
      <c r="DH303" s="66" t="str">
        <f t="shared" si="3740"/>
        <v/>
      </c>
      <c r="DI303" s="66" t="str">
        <f t="shared" si="3741"/>
        <v/>
      </c>
      <c r="DJ303" s="66" t="str">
        <f t="shared" si="3742"/>
        <v/>
      </c>
      <c r="DK303" s="66" t="str">
        <f t="shared" si="3743"/>
        <v/>
      </c>
      <c r="DL303" s="66" t="str">
        <f t="shared" si="3744"/>
        <v/>
      </c>
      <c r="DM303" s="66" t="str">
        <f t="shared" si="3745"/>
        <v/>
      </c>
      <c r="DN303" s="66" t="str">
        <f t="shared" si="3746"/>
        <v/>
      </c>
      <c r="DO303" s="66" t="str">
        <f t="shared" si="3747"/>
        <v/>
      </c>
      <c r="DP303" s="66" t="str">
        <f t="shared" si="3748"/>
        <v/>
      </c>
      <c r="DQ303" s="66" t="str">
        <f t="shared" si="3749"/>
        <v/>
      </c>
      <c r="DR303" s="66" t="str">
        <f t="shared" si="3750"/>
        <v/>
      </c>
      <c r="DS303" s="66" t="str">
        <f t="shared" si="3751"/>
        <v/>
      </c>
      <c r="DT303" s="66" t="str">
        <f t="shared" si="3752"/>
        <v/>
      </c>
      <c r="DU303" s="66" t="str">
        <f t="shared" si="3753"/>
        <v/>
      </c>
      <c r="DV303" s="66" t="str">
        <f t="shared" si="3754"/>
        <v/>
      </c>
      <c r="DW303" s="66" t="str">
        <f t="shared" si="3755"/>
        <v/>
      </c>
      <c r="DX303" s="66" t="str">
        <f t="shared" si="3756"/>
        <v/>
      </c>
      <c r="DY303" s="66" t="str">
        <f t="shared" si="3757"/>
        <v/>
      </c>
      <c r="DZ303" s="66" t="str">
        <f t="shared" si="3758"/>
        <v/>
      </c>
      <c r="EA303" s="66" t="str">
        <f t="shared" si="3759"/>
        <v/>
      </c>
      <c r="EB303" s="66" t="str">
        <f t="shared" si="3760"/>
        <v/>
      </c>
      <c r="EC303" s="66" t="str">
        <f t="shared" si="3761"/>
        <v/>
      </c>
      <c r="ED303" s="66" t="str">
        <f t="shared" si="3762"/>
        <v/>
      </c>
      <c r="EE303" s="66" t="str">
        <f t="shared" si="3763"/>
        <v/>
      </c>
      <c r="EF303" s="66" t="str">
        <f t="shared" si="3764"/>
        <v/>
      </c>
      <c r="EG303" s="66" t="str">
        <f t="shared" si="3765"/>
        <v/>
      </c>
      <c r="EH303" s="66" t="str">
        <f t="shared" si="3766"/>
        <v/>
      </c>
      <c r="EI303" s="66" t="str">
        <f t="shared" si="3767"/>
        <v/>
      </c>
      <c r="EJ303" s="66" t="str">
        <f t="shared" si="3768"/>
        <v/>
      </c>
      <c r="EK303" s="66" t="str">
        <f t="shared" si="3769"/>
        <v/>
      </c>
      <c r="EL303" s="66" t="str">
        <f t="shared" si="3770"/>
        <v/>
      </c>
      <c r="EM303" s="66" t="str">
        <f t="shared" si="3771"/>
        <v/>
      </c>
      <c r="EN303" s="66" t="str">
        <f t="shared" si="3772"/>
        <v/>
      </c>
      <c r="EO303" s="66" t="str">
        <f t="shared" si="3773"/>
        <v/>
      </c>
      <c r="EP303" s="66" t="str">
        <f t="shared" si="3774"/>
        <v/>
      </c>
      <c r="EQ303" s="66" t="str">
        <f t="shared" si="3775"/>
        <v/>
      </c>
      <c r="ER303" s="66" t="str">
        <f t="shared" si="3776"/>
        <v/>
      </c>
      <c r="ES303" s="66" t="str">
        <f t="shared" si="3777"/>
        <v/>
      </c>
      <c r="ET303" s="66" t="str">
        <f t="shared" si="3778"/>
        <v/>
      </c>
      <c r="EU303" s="66" t="str">
        <f t="shared" si="3779"/>
        <v/>
      </c>
      <c r="EV303" s="66" t="str">
        <f t="shared" si="3780"/>
        <v/>
      </c>
      <c r="EW303" s="66" t="str">
        <f t="shared" si="3781"/>
        <v/>
      </c>
      <c r="EX303" s="66" t="str">
        <f t="shared" si="3782"/>
        <v/>
      </c>
      <c r="EY303" s="66" t="str">
        <f t="shared" si="3783"/>
        <v/>
      </c>
      <c r="EZ303" s="66" t="str">
        <f t="shared" si="3784"/>
        <v/>
      </c>
      <c r="FA303" s="66" t="str">
        <f t="shared" si="3785"/>
        <v/>
      </c>
      <c r="FB303" s="66" t="str">
        <f t="shared" si="3786"/>
        <v/>
      </c>
      <c r="FC303" s="66" t="str">
        <f t="shared" si="3787"/>
        <v/>
      </c>
      <c r="FD303" s="66" t="str">
        <f t="shared" si="3788"/>
        <v/>
      </c>
      <c r="FE303" s="66" t="str">
        <f t="shared" si="3789"/>
        <v/>
      </c>
      <c r="FF303" s="66" t="str">
        <f t="shared" si="3790"/>
        <v/>
      </c>
      <c r="FG303" s="66" t="str">
        <f t="shared" si="3791"/>
        <v/>
      </c>
      <c r="FH303" s="66" t="str">
        <f t="shared" si="3792"/>
        <v/>
      </c>
      <c r="FI303" s="66" t="str">
        <f t="shared" si="3793"/>
        <v/>
      </c>
      <c r="FJ303" s="66" t="str">
        <f t="shared" si="3794"/>
        <v/>
      </c>
      <c r="FK303" s="66" t="str">
        <f t="shared" si="3795"/>
        <v/>
      </c>
      <c r="FL303" s="66" t="str">
        <f t="shared" si="3796"/>
        <v/>
      </c>
      <c r="FM303" s="66" t="str">
        <f t="shared" si="3797"/>
        <v/>
      </c>
      <c r="FN303" s="66" t="str">
        <f t="shared" si="3798"/>
        <v/>
      </c>
      <c r="FO303" s="66" t="str">
        <f t="shared" si="3799"/>
        <v/>
      </c>
      <c r="FP303" s="66" t="str">
        <f t="shared" si="3800"/>
        <v/>
      </c>
      <c r="FQ303" s="66" t="str">
        <f t="shared" si="3801"/>
        <v/>
      </c>
      <c r="FR303" s="66" t="str">
        <f t="shared" si="3802"/>
        <v/>
      </c>
      <c r="FS303" s="66" t="str">
        <f t="shared" si="3803"/>
        <v/>
      </c>
    </row>
    <row r="304" spans="92:175">
      <c r="CN304" s="36" t="str">
        <f t="shared" si="3728"/>
        <v>InitUnitState('',,,,,,,,,,)</v>
      </c>
      <c r="CO304" s="36" t="str">
        <f t="shared" si="3729"/>
        <v>InitUnitNormal('',,,,,,,,,,)</v>
      </c>
      <c r="CP304" s="36" t="str">
        <f t="shared" si="3730"/>
        <v>InitUnitMagic('',,,,,,,,,,)</v>
      </c>
      <c r="CQ304" s="36" t="str">
        <f t="shared" si="3731"/>
        <v>InitUnitAdd('',,,,,,,,,,)</v>
      </c>
      <c r="CR304" s="36" t="str">
        <f t="shared" si="3732"/>
        <v>InitEquipData('',,"",,,,,'','','','','','',"")</v>
      </c>
      <c r="CU304" s="19" t="str">
        <f t="shared" si="3804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8"/>
        <v>InitUnitState('',,,,,,,,,,)</v>
      </c>
      <c r="CO305" s="36" t="str">
        <f t="shared" si="3729"/>
        <v>InitUnitNormal('',,,,,,,,,,)</v>
      </c>
      <c r="CP305" s="36" t="str">
        <f t="shared" si="3730"/>
        <v>InitUnitMagic('',,,,,,,,,,)</v>
      </c>
      <c r="CQ305" s="36" t="str">
        <f t="shared" si="3731"/>
        <v>InitUnitAdd('',,,,,,,,,,)</v>
      </c>
      <c r="CR305" s="36" t="str">
        <f t="shared" si="3732"/>
        <v>InitEquipData('',,"",,,,,'','','','','','',"")</v>
      </c>
      <c r="CU305" s="19" t="str">
        <f t="shared" si="3804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8"/>
        <v>InitUnitState('',,,,,,,,,,)</v>
      </c>
      <c r="CO306" s="36" t="str">
        <f t="shared" si="3729"/>
        <v>InitUnitNormal('',,,,,,,,,,)</v>
      </c>
      <c r="CP306" s="36" t="str">
        <f t="shared" si="3730"/>
        <v>InitUnitMagic('',,,,,,,,,,)</v>
      </c>
      <c r="CQ306" s="36" t="str">
        <f t="shared" si="3731"/>
        <v>InitUnitAdd('',,,,,,,,,,)</v>
      </c>
      <c r="CR306" s="36" t="str">
        <f t="shared" si="3732"/>
        <v>InitEquipData('',,"",,,,,'','','','','','',"")</v>
      </c>
      <c r="CU306" s="19" t="str">
        <f t="shared" si="3804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8"/>
        <v>InitUnitState('',,,,,,,,,,)</v>
      </c>
      <c r="CO307" s="36" t="str">
        <f t="shared" si="3729"/>
        <v>InitUnitNormal('',,,,,,,,,,)</v>
      </c>
      <c r="CP307" s="36" t="str">
        <f t="shared" si="3730"/>
        <v>InitUnitMagic('',,,,,,,,,,)</v>
      </c>
      <c r="CQ307" s="36" t="str">
        <f t="shared" si="3731"/>
        <v>InitUnitAdd('',,,,,,,,,,)</v>
      </c>
      <c r="CR307" s="36" t="str">
        <f t="shared" si="3732"/>
        <v>InitEquipData('',,"",,,,,'','','','','','',"")</v>
      </c>
      <c r="CU307" s="19" t="str">
        <f t="shared" si="3804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8"/>
        <v>InitUnitState('',,,,,,,,,,)</v>
      </c>
      <c r="CO308" s="36" t="str">
        <f t="shared" si="3729"/>
        <v>InitUnitNormal('',,,,,,,,,,)</v>
      </c>
      <c r="CP308" s="36" t="str">
        <f t="shared" si="3730"/>
        <v>InitUnitMagic('',,,,,,,,,,)</v>
      </c>
      <c r="CQ308" s="36" t="str">
        <f t="shared" si="3731"/>
        <v>InitUnitAdd('',,,,,,,,,,)</v>
      </c>
      <c r="CR308" s="36" t="str">
        <f t="shared" si="3732"/>
        <v>InitEquipData('',,"",,,,,'','','','','','',"")</v>
      </c>
      <c r="CU308" s="19" t="str">
        <f t="shared" si="3804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8"/>
        <v>InitUnitState('',,,,,,,,,,)</v>
      </c>
      <c r="CO309" s="36" t="str">
        <f t="shared" si="3729"/>
        <v>InitUnitNormal('',,,,,,,,,,)</v>
      </c>
      <c r="CP309" s="36" t="str">
        <f t="shared" si="3730"/>
        <v>InitUnitMagic('',,,,,,,,,,)</v>
      </c>
      <c r="CQ309" s="36" t="str">
        <f t="shared" si="3731"/>
        <v>InitUnitAdd('',,,,,,,,,,)</v>
      </c>
      <c r="CR309" s="36" t="str">
        <f t="shared" si="3732"/>
        <v>InitEquipData('',,"",,,,,'','','','','','',"")</v>
      </c>
      <c r="CU309" s="19" t="str">
        <f t="shared" si="3804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8"/>
        <v>InitUnitState('',,,,,,,,,,)</v>
      </c>
      <c r="CO310" s="36" t="str">
        <f t="shared" si="3729"/>
        <v>InitUnitNormal('',,,,,,,,,,)</v>
      </c>
      <c r="CP310" s="36" t="str">
        <f t="shared" si="3730"/>
        <v>InitUnitMagic('',,,,,,,,,,)</v>
      </c>
      <c r="CQ310" s="36" t="str">
        <f t="shared" si="3731"/>
        <v>InitUnitAdd('',,,,,,,,,,)</v>
      </c>
      <c r="CR310" s="36" t="str">
        <f t="shared" si="3732"/>
        <v>InitEquipData('',,"",,,,,'','','','','','',"")</v>
      </c>
      <c r="CU310" s="19" t="str">
        <f t="shared" si="3804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8"/>
        <v>InitUnitState('',,,,,,,,,,)</v>
      </c>
      <c r="CO311" s="36" t="str">
        <f t="shared" si="3729"/>
        <v>InitUnitNormal('',,,,,,,,,,)</v>
      </c>
      <c r="CP311" s="36" t="str">
        <f t="shared" si="3730"/>
        <v>InitUnitMagic('',,,,,,,,,,)</v>
      </c>
      <c r="CQ311" s="36" t="str">
        <f t="shared" si="3731"/>
        <v>InitUnitAdd('',,,,,,,,,,)</v>
      </c>
      <c r="CR311" s="36" t="str">
        <f t="shared" si="3732"/>
        <v>InitEquipData('',,"",,,,,'','','','','','',"")</v>
      </c>
      <c r="CU311" s="19" t="str">
        <f t="shared" si="3804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8"/>
        <v>InitUnitState('',,,,,,,,,,)</v>
      </c>
      <c r="CO312" s="36" t="str">
        <f t="shared" si="3729"/>
        <v>InitUnitNormal('',,,,,,,,,,)</v>
      </c>
      <c r="CP312" s="36" t="str">
        <f t="shared" si="3730"/>
        <v>InitUnitMagic('',,,,,,,,,,)</v>
      </c>
      <c r="CQ312" s="36" t="str">
        <f t="shared" si="3731"/>
        <v>InitUnitAdd('',,,,,,,,,,)</v>
      </c>
      <c r="CR312" s="36" t="str">
        <f t="shared" si="3732"/>
        <v>InitEquipData('',,"",,,,,'','','','','','',"")</v>
      </c>
      <c r="CU312" s="19" t="str">
        <f t="shared" si="3804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8"/>
        <v>InitUnitState('',,,,,,,,,,)</v>
      </c>
      <c r="CO313" s="36" t="str">
        <f t="shared" si="3729"/>
        <v>InitUnitNormal('',,,,,,,,,,)</v>
      </c>
      <c r="CP313" s="36" t="str">
        <f t="shared" si="3730"/>
        <v>InitUnitMagic('',,,,,,,,,,)</v>
      </c>
      <c r="CQ313" s="36" t="str">
        <f t="shared" si="3731"/>
        <v>InitUnitAdd('',,,,,,,,,,)</v>
      </c>
      <c r="CR313" s="36" t="str">
        <f t="shared" si="3732"/>
        <v>InitEquipData('',,"",,,,,'','','','','','',"")</v>
      </c>
      <c r="CU313" s="19" t="str">
        <f t="shared" si="3804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728"/>
        <v>InitUnitState('',,,,,,,,,,)</v>
      </c>
      <c r="CO314" s="36" t="str">
        <f t="shared" si="3729"/>
        <v>InitUnitNormal('',,,,,,,,,,)</v>
      </c>
      <c r="CP314" s="36" t="str">
        <f t="shared" si="3730"/>
        <v>InitUnitMagic('',,,,,,,,,,)</v>
      </c>
      <c r="CQ314" s="36" t="str">
        <f t="shared" si="3731"/>
        <v>InitUnitAdd('',,,,,,,,,,)</v>
      </c>
      <c r="CR314" s="36" t="str">
        <f t="shared" si="3732"/>
        <v>InitEquipData('',,"",,,,,'','','','','','',"")</v>
      </c>
      <c r="CU314" s="19" t="str">
        <f t="shared" si="3804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ref="CN315:CN334" si="3805">"InitUnitState('"&amp;B315&amp;"',"&amp;V315&amp;","&amp;W315&amp;","&amp;X315&amp;","&amp;Y315&amp;","&amp;Z315&amp;","&amp;AA315&amp;","&amp;AB315&amp;","&amp;AC315&amp;","&amp;AD315&amp;","&amp;AE315&amp;")"</f>
        <v>InitUnitState('',,,,,,,,,,)</v>
      </c>
      <c r="CO315" s="36" t="str">
        <f t="shared" ref="CO315:CO334" si="3806">"InitUnitNormal('"&amp;B315&amp;"',"&amp;AF315&amp;","&amp;AG315&amp;","&amp;AH315&amp;","&amp;AI315&amp;","&amp;AJ315&amp;","&amp;AK315&amp;","&amp;AL315&amp;","&amp;AM315&amp;","&amp;AN315&amp;","&amp;AO315&amp;")"</f>
        <v>InitUnitNormal('',,,,,,,,,,)</v>
      </c>
      <c r="CP315" s="36" t="str">
        <f t="shared" ref="CP315:CP334" si="3807">"InitUnitMagic('"&amp;B315&amp;"',"&amp;AP315&amp;","&amp;AQ315&amp;","&amp;AR315&amp;","&amp;AS315&amp;","&amp;AT315&amp;","&amp;AU315&amp;","&amp;AV315&amp;","&amp;AW315&amp;","&amp;BI315&amp;","&amp;BJ315&amp;")"</f>
        <v>InitUnitMagic('',,,,,,,,,,)</v>
      </c>
      <c r="CQ315" s="36" t="str">
        <f t="shared" ref="CQ315:CQ334" si="3808">"InitUnitAdd('"&amp;B315&amp;"',"&amp;BK315&amp;","&amp;BL315&amp;","&amp;BM315&amp;","&amp;BN315&amp;","&amp;BO315&amp;","&amp;BP315&amp;","&amp;BQ315&amp;","&amp;BR315&amp;","&amp;BS315&amp;","&amp;BT315&amp;")"</f>
        <v>InitUnitAdd('',,,,,,,,,,)</v>
      </c>
      <c r="CR315" s="36" t="str">
        <f t="shared" ref="CR315:CR334" si="3809"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U315" s="19" t="str">
        <f t="shared" si="3804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5"/>
        <v>InitUnitState('',,,,,,,,,,)</v>
      </c>
      <c r="CO316" s="36" t="str">
        <f t="shared" si="3806"/>
        <v>InitUnitNormal('',,,,,,,,,,)</v>
      </c>
      <c r="CP316" s="36" t="str">
        <f t="shared" si="3807"/>
        <v>InitUnitMagic('',,,,,,,,,,)</v>
      </c>
      <c r="CQ316" s="36" t="str">
        <f t="shared" si="3808"/>
        <v>InitUnitAdd('',,,,,,,,,,)</v>
      </c>
      <c r="CR316" s="36" t="str">
        <f t="shared" si="3809"/>
        <v>InitEquipData('',,"",,,,,'','','','','','',"")</v>
      </c>
      <c r="CU316" s="19" t="str">
        <f t="shared" si="3804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5"/>
        <v>InitUnitState('',,,,,,,,,,)</v>
      </c>
      <c r="CO317" s="36" t="str">
        <f t="shared" si="3806"/>
        <v>InitUnitNormal('',,,,,,,,,,)</v>
      </c>
      <c r="CP317" s="36" t="str">
        <f t="shared" si="3807"/>
        <v>InitUnitMagic('',,,,,,,,,,)</v>
      </c>
      <c r="CQ317" s="36" t="str">
        <f t="shared" si="3808"/>
        <v>InitUnitAdd('',,,,,,,,,,)</v>
      </c>
      <c r="CR317" s="36" t="str">
        <f t="shared" si="3809"/>
        <v>InitEquipData('',,"",,,,,'','','','','','',"")</v>
      </c>
      <c r="CU317" s="19" t="str">
        <f t="shared" si="3804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5"/>
        <v>InitUnitState('',,,,,,,,,,)</v>
      </c>
      <c r="CO318" s="36" t="str">
        <f t="shared" si="3806"/>
        <v>InitUnitNormal('',,,,,,,,,,)</v>
      </c>
      <c r="CP318" s="36" t="str">
        <f t="shared" si="3807"/>
        <v>InitUnitMagic('',,,,,,,,,,)</v>
      </c>
      <c r="CQ318" s="36" t="str">
        <f t="shared" si="3808"/>
        <v>InitUnitAdd('',,,,,,,,,,)</v>
      </c>
      <c r="CR318" s="36" t="str">
        <f t="shared" si="3809"/>
        <v>InitEquipData('',,"",,,,,'','','','','','',"")</v>
      </c>
      <c r="CU318" s="19" t="str">
        <f t="shared" si="3804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5"/>
        <v>InitUnitState('',,,,,,,,,,)</v>
      </c>
      <c r="CO319" s="36" t="str">
        <f t="shared" si="3806"/>
        <v>InitUnitNormal('',,,,,,,,,,)</v>
      </c>
      <c r="CP319" s="36" t="str">
        <f t="shared" si="3807"/>
        <v>InitUnitMagic('',,,,,,,,,,)</v>
      </c>
      <c r="CQ319" s="36" t="str">
        <f t="shared" si="3808"/>
        <v>InitUnitAdd('',,,,,,,,,,)</v>
      </c>
      <c r="CR319" s="36" t="str">
        <f t="shared" si="3809"/>
        <v>InitEquipData('',,"",,,,,'','','','','','',"")</v>
      </c>
      <c r="CU319" s="19" t="str">
        <f t="shared" si="380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5"/>
        <v>InitUnitState('',,,,,,,,,,)</v>
      </c>
      <c r="CO320" s="36" t="str">
        <f t="shared" si="3806"/>
        <v>InitUnitNormal('',,,,,,,,,,)</v>
      </c>
      <c r="CP320" s="36" t="str">
        <f t="shared" si="3807"/>
        <v>InitUnitMagic('',,,,,,,,,,)</v>
      </c>
      <c r="CQ320" s="36" t="str">
        <f t="shared" si="3808"/>
        <v>InitUnitAdd('',,,,,,,,,,)</v>
      </c>
      <c r="CR320" s="36" t="str">
        <f t="shared" si="3809"/>
        <v>InitEquipData('',,"",,,,,'','','','','','',"")</v>
      </c>
      <c r="CU320" s="19" t="str">
        <f t="shared" si="380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5"/>
        <v>InitUnitState('',,,,,,,,,,)</v>
      </c>
      <c r="CO321" s="36" t="str">
        <f t="shared" si="3806"/>
        <v>InitUnitNormal('',,,,,,,,,,)</v>
      </c>
      <c r="CP321" s="36" t="str">
        <f t="shared" si="3807"/>
        <v>InitUnitMagic('',,,,,,,,,,)</v>
      </c>
      <c r="CQ321" s="36" t="str">
        <f t="shared" si="3808"/>
        <v>InitUnitAdd('',,,,,,,,,,)</v>
      </c>
      <c r="CR321" s="36" t="str">
        <f t="shared" si="3809"/>
        <v>InitEquipData('',,"",,,,,'','','','','','',"")</v>
      </c>
      <c r="CU321" s="19" t="str">
        <f t="shared" si="380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5"/>
        <v>InitUnitState('',,,,,,,,,,)</v>
      </c>
      <c r="CO322" s="36" t="str">
        <f t="shared" si="3806"/>
        <v>InitUnitNormal('',,,,,,,,,,)</v>
      </c>
      <c r="CP322" s="36" t="str">
        <f t="shared" si="3807"/>
        <v>InitUnitMagic('',,,,,,,,,,)</v>
      </c>
      <c r="CQ322" s="36" t="str">
        <f t="shared" si="3808"/>
        <v>InitUnitAdd('',,,,,,,,,,)</v>
      </c>
      <c r="CR322" s="36" t="str">
        <f t="shared" si="3809"/>
        <v>InitEquipData('',,"",,,,,'','','','','','',"")</v>
      </c>
      <c r="CU322" s="19" t="str">
        <f t="shared" si="380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5"/>
        <v>InitUnitState('',,,,,,,,,,)</v>
      </c>
      <c r="CO323" s="36" t="str">
        <f t="shared" si="3806"/>
        <v>InitUnitNormal('',,,,,,,,,,)</v>
      </c>
      <c r="CP323" s="36" t="str">
        <f t="shared" si="3807"/>
        <v>InitUnitMagic('',,,,,,,,,,)</v>
      </c>
      <c r="CQ323" s="36" t="str">
        <f t="shared" si="3808"/>
        <v>InitUnitAdd('',,,,,,,,,,)</v>
      </c>
      <c r="CR323" s="36" t="str">
        <f t="shared" si="3809"/>
        <v>InitEquipData('',,"",,,,,'','','','','','',"")</v>
      </c>
      <c r="CU323" s="19" t="str">
        <f t="shared" si="380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5"/>
        <v>InitUnitState('',,,,,,,,,,)</v>
      </c>
      <c r="CO324" s="36" t="str">
        <f t="shared" si="3806"/>
        <v>InitUnitNormal('',,,,,,,,,,)</v>
      </c>
      <c r="CP324" s="36" t="str">
        <f t="shared" si="3807"/>
        <v>InitUnitMagic('',,,,,,,,,,)</v>
      </c>
      <c r="CQ324" s="36" t="str">
        <f t="shared" si="3808"/>
        <v>InitUnitAdd('',,,,,,,,,,)</v>
      </c>
      <c r="CR324" s="36" t="str">
        <f t="shared" si="3809"/>
        <v>InitEquipData('',,"",,,,,'','','','','','',"")</v>
      </c>
      <c r="CU324" s="19" t="str">
        <f t="shared" si="380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5"/>
        <v>InitUnitState('',,,,,,,,,,)</v>
      </c>
      <c r="CO325" s="36" t="str">
        <f t="shared" si="3806"/>
        <v>InitUnitNormal('',,,,,,,,,,)</v>
      </c>
      <c r="CP325" s="36" t="str">
        <f t="shared" si="3807"/>
        <v>InitUnitMagic('',,,,,,,,,,)</v>
      </c>
      <c r="CQ325" s="36" t="str">
        <f t="shared" si="3808"/>
        <v>InitUnitAdd('',,,,,,,,,,)</v>
      </c>
      <c r="CR325" s="36" t="str">
        <f t="shared" si="3809"/>
        <v>InitEquipData('',,"",,,,,'','','','','','',"")</v>
      </c>
      <c r="CU325" s="19" t="str">
        <f t="shared" si="380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5"/>
        <v>InitUnitState('',,,,,,,,,,)</v>
      </c>
      <c r="CO326" s="36" t="str">
        <f t="shared" si="3806"/>
        <v>InitUnitNormal('',,,,,,,,,,)</v>
      </c>
      <c r="CP326" s="36" t="str">
        <f t="shared" si="3807"/>
        <v>InitUnitMagic('',,,,,,,,,,)</v>
      </c>
      <c r="CQ326" s="36" t="str">
        <f t="shared" si="3808"/>
        <v>InitUnitAdd('',,,,,,,,,,)</v>
      </c>
      <c r="CR326" s="36" t="str">
        <f t="shared" si="3809"/>
        <v>InitEquipData('',,"",,,,,'','','','','','',"")</v>
      </c>
      <c r="CU326" s="19" t="str">
        <f t="shared" si="380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5"/>
        <v>InitUnitState('',,,,,,,,,,)</v>
      </c>
      <c r="CO327" s="36" t="str">
        <f t="shared" si="3806"/>
        <v>InitUnitNormal('',,,,,,,,,,)</v>
      </c>
      <c r="CP327" s="36" t="str">
        <f t="shared" si="3807"/>
        <v>InitUnitMagic('',,,,,,,,,,)</v>
      </c>
      <c r="CQ327" s="36" t="str">
        <f t="shared" si="3808"/>
        <v>InitUnitAdd('',,,,,,,,,,)</v>
      </c>
      <c r="CR327" s="36" t="str">
        <f t="shared" si="3809"/>
        <v>InitEquipData('',,"",,,,,'','','','','','',"")</v>
      </c>
      <c r="CU327" s="19" t="str">
        <f t="shared" si="380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5"/>
        <v>InitUnitState('',,,,,,,,,,)</v>
      </c>
      <c r="CO328" s="36" t="str">
        <f t="shared" si="3806"/>
        <v>InitUnitNormal('',,,,,,,,,,)</v>
      </c>
      <c r="CP328" s="36" t="str">
        <f t="shared" si="3807"/>
        <v>InitUnitMagic('',,,,,,,,,,)</v>
      </c>
      <c r="CQ328" s="36" t="str">
        <f t="shared" si="3808"/>
        <v>InitUnitAdd('',,,,,,,,,,)</v>
      </c>
      <c r="CR328" s="36" t="str">
        <f t="shared" si="3809"/>
        <v>InitEquipData('',,"",,,,,'','','','','','',"")</v>
      </c>
      <c r="CU328" s="19" t="str">
        <f t="shared" si="380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5"/>
        <v>InitUnitState('',,,,,,,,,,)</v>
      </c>
      <c r="CO329" s="36" t="str">
        <f t="shared" si="3806"/>
        <v>InitUnitNormal('',,,,,,,,,,)</v>
      </c>
      <c r="CP329" s="36" t="str">
        <f t="shared" si="3807"/>
        <v>InitUnitMagic('',,,,,,,,,,)</v>
      </c>
      <c r="CQ329" s="36" t="str">
        <f t="shared" si="3808"/>
        <v>InitUnitAdd('',,,,,,,,,,)</v>
      </c>
      <c r="CR329" s="36" t="str">
        <f t="shared" si="3809"/>
        <v>InitEquipData('',,"",,,,,'','','','','','',"")</v>
      </c>
      <c r="CU329" s="19" t="str">
        <f t="shared" si="380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5"/>
        <v>InitUnitState('',,,,,,,,,,)</v>
      </c>
      <c r="CO330" s="36" t="str">
        <f t="shared" si="3806"/>
        <v>InitUnitNormal('',,,,,,,,,,)</v>
      </c>
      <c r="CP330" s="36" t="str">
        <f t="shared" si="3807"/>
        <v>InitUnitMagic('',,,,,,,,,,)</v>
      </c>
      <c r="CQ330" s="36" t="str">
        <f t="shared" si="3808"/>
        <v>InitUnitAdd('',,,,,,,,,,)</v>
      </c>
      <c r="CR330" s="36" t="str">
        <f t="shared" si="3809"/>
        <v>InitEquipData('',,"",,,,,'','','','','','',"")</v>
      </c>
      <c r="CU330" s="19" t="str">
        <f t="shared" si="380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5"/>
        <v>InitUnitState('',,,,,,,,,,)</v>
      </c>
      <c r="CO331" s="36" t="str">
        <f t="shared" si="3806"/>
        <v>InitUnitNormal('',,,,,,,,,,)</v>
      </c>
      <c r="CP331" s="36" t="str">
        <f t="shared" si="3807"/>
        <v>InitUnitMagic('',,,,,,,,,,)</v>
      </c>
      <c r="CQ331" s="36" t="str">
        <f t="shared" si="3808"/>
        <v>InitUnitAdd('',,,,,,,,,,)</v>
      </c>
      <c r="CR331" s="36" t="str">
        <f t="shared" si="3809"/>
        <v>InitEquipData('',,"",,,,,'','','','','','',"")</v>
      </c>
      <c r="CU331" s="19" t="str">
        <f t="shared" si="380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5"/>
        <v>InitUnitState('',,,,,,,,,,)</v>
      </c>
      <c r="CO332" s="36" t="str">
        <f t="shared" si="3806"/>
        <v>InitUnitNormal('',,,,,,,,,,)</v>
      </c>
      <c r="CP332" s="36" t="str">
        <f t="shared" si="3807"/>
        <v>InitUnitMagic('',,,,,,,,,,)</v>
      </c>
      <c r="CQ332" s="36" t="str">
        <f t="shared" si="3808"/>
        <v>InitUnitAdd('',,,,,,,,,,)</v>
      </c>
      <c r="CR332" s="36" t="str">
        <f t="shared" si="3809"/>
        <v>InitEquipData('',,"",,,,,'','','','','','',"")</v>
      </c>
      <c r="CU332" s="19" t="str">
        <f t="shared" si="380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5"/>
        <v>InitUnitState('',,,,,,,,,,)</v>
      </c>
      <c r="CO333" s="36" t="str">
        <f t="shared" si="3806"/>
        <v>InitUnitNormal('',,,,,,,,,,)</v>
      </c>
      <c r="CP333" s="36" t="str">
        <f t="shared" si="3807"/>
        <v>InitUnitMagic('',,,,,,,,,,)</v>
      </c>
      <c r="CQ333" s="36" t="str">
        <f t="shared" si="3808"/>
        <v>InitUnitAdd('',,,,,,,,,,)</v>
      </c>
      <c r="CR333" s="36" t="str">
        <f t="shared" si="3809"/>
        <v>InitEquipData('',,"",,,,,'','','','','','',"")</v>
      </c>
      <c r="CU333" s="19" t="str">
        <f t="shared" si="380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805"/>
        <v>InitUnitState('',,,,,,,,,,)</v>
      </c>
      <c r="CO334" s="36" t="str">
        <f t="shared" si="3806"/>
        <v>InitUnitNormal('',,,,,,,,,,)</v>
      </c>
      <c r="CP334" s="36" t="str">
        <f t="shared" si="3807"/>
        <v>InitUnitMagic('',,,,,,,,,,)</v>
      </c>
      <c r="CQ334" s="36" t="str">
        <f t="shared" si="3808"/>
        <v>InitUnitAdd('',,,,,,,,,,)</v>
      </c>
      <c r="CR334" s="36" t="str">
        <f t="shared" si="3809"/>
        <v>InitEquipData('',,"",,,,,'','','','','','',"")</v>
      </c>
      <c r="CU334" s="19" t="str">
        <f t="shared" si="380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803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804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物品!A179</f>
        <v>0</v>
      </c>
      <c r="B186" s="55" t="str">
        <f>"'"&amp;物品!B179&amp;"'"</f>
        <v>'IS02'</v>
      </c>
      <c r="C186" s="55">
        <f>物品!J179</f>
        <v>0</v>
      </c>
      <c r="D186" s="55">
        <f>物品!K179</f>
        <v>0</v>
      </c>
      <c r="E186" s="55">
        <f>物品!L179</f>
        <v>0</v>
      </c>
      <c r="F186" s="55">
        <f>物品!M179</f>
        <v>0</v>
      </c>
      <c r="G186" s="55">
        <f>物品!N179</f>
        <v>0</v>
      </c>
      <c r="H186" s="55">
        <f>物品!O179</f>
        <v>0</v>
      </c>
      <c r="I186" s="55">
        <f>IF(物品!J179=0,0,"'"&amp;物品!J179&amp;"'")</f>
        <v>0</v>
      </c>
      <c r="J186" s="55">
        <f>IF(物品!K179=0,0,"'"&amp;物品!K179&amp;"'")</f>
        <v>0</v>
      </c>
      <c r="K186" s="55">
        <f>IF(物品!L179=0,0,"'"&amp;物品!L179&amp;"'")</f>
        <v>0</v>
      </c>
      <c r="L186" s="55">
        <f>IF(物品!M179=0,0,"'"&amp;物品!M179&amp;"'")</f>
        <v>0</v>
      </c>
      <c r="M186" s="55">
        <f>IF(物品!N179=0,0,"'"&amp;物品!N179&amp;"'")</f>
        <v>0</v>
      </c>
      <c r="N186" s="55">
        <f>IF(物品!O179=0,0,"'"&amp;物品!O179&amp;"'")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物品!A180</f>
        <v>0</v>
      </c>
      <c r="B187" s="55" t="str">
        <f>"'"&amp;物品!B180&amp;"'"</f>
        <v>'IS03'</v>
      </c>
      <c r="C187" s="55">
        <f>物品!J180</f>
        <v>0</v>
      </c>
      <c r="D187" s="55">
        <f>物品!K180</f>
        <v>0</v>
      </c>
      <c r="E187" s="55">
        <f>物品!L180</f>
        <v>0</v>
      </c>
      <c r="F187" s="55">
        <f>物品!M180</f>
        <v>0</v>
      </c>
      <c r="G187" s="55">
        <f>物品!N180</f>
        <v>0</v>
      </c>
      <c r="H187" s="55">
        <f>物品!O180</f>
        <v>0</v>
      </c>
      <c r="I187" s="55">
        <f>IF(物品!J180=0,0,"'"&amp;物品!J180&amp;"'")</f>
        <v>0</v>
      </c>
      <c r="J187" s="55">
        <f>IF(物品!K180=0,0,"'"&amp;物品!K180&amp;"'")</f>
        <v>0</v>
      </c>
      <c r="K187" s="55">
        <f>IF(物品!L180=0,0,"'"&amp;物品!L180&amp;"'")</f>
        <v>0</v>
      </c>
      <c r="L187" s="55">
        <f>IF(物品!M180=0,0,"'"&amp;物品!M180&amp;"'")</f>
        <v>0</v>
      </c>
      <c r="M187" s="55">
        <f>IF(物品!N180=0,0,"'"&amp;物品!N180&amp;"'")</f>
        <v>0</v>
      </c>
      <c r="N187" s="55">
        <f>IF(物品!O180=0,0,"'"&amp;物品!O180&amp;"'")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物品!A188</f>
        <v>0</v>
      </c>
      <c r="B190" s="55" t="str">
        <f>"'"&amp;物品!B188&amp;"'"</f>
        <v>'IS12'</v>
      </c>
      <c r="C190" s="55">
        <f>物品!J188</f>
        <v>0</v>
      </c>
      <c r="D190" s="55">
        <f>物品!K188</f>
        <v>0</v>
      </c>
      <c r="E190" s="55">
        <f>物品!L188</f>
        <v>0</v>
      </c>
      <c r="F190" s="55">
        <f>物品!M188</f>
        <v>0</v>
      </c>
      <c r="G190" s="55">
        <f>物品!N188</f>
        <v>0</v>
      </c>
      <c r="H190" s="55">
        <f>物品!O188</f>
        <v>0</v>
      </c>
      <c r="I190" s="55">
        <f>IF(物品!J188=0,0,"'"&amp;物品!J188&amp;"'")</f>
        <v>0</v>
      </c>
      <c r="J190" s="55">
        <f>IF(物品!K188=0,0,"'"&amp;物品!K188&amp;"'")</f>
        <v>0</v>
      </c>
      <c r="K190" s="55">
        <f>IF(物品!L188=0,0,"'"&amp;物品!L188&amp;"'")</f>
        <v>0</v>
      </c>
      <c r="L190" s="55">
        <f>IF(物品!M188=0,0,"'"&amp;物品!M188&amp;"'")</f>
        <v>0</v>
      </c>
      <c r="M190" s="55">
        <f>IF(物品!N188=0,0,"'"&amp;物品!N188&amp;"'")</f>
        <v>0</v>
      </c>
      <c r="N190" s="55">
        <f>IF(物品!O188=0,0,"'"&amp;物品!O188&amp;"'")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物品!A212</f>
        <v>0</v>
      </c>
      <c r="B199" s="55" t="str">
        <f>"'"&amp;物品!B212&amp;"'"</f>
        <v>'IF01'</v>
      </c>
      <c r="C199" s="55">
        <f>物品!J212</f>
        <v>0</v>
      </c>
      <c r="D199" s="55">
        <f>物品!K212</f>
        <v>0</v>
      </c>
      <c r="E199" s="55">
        <f>物品!L212</f>
        <v>0</v>
      </c>
      <c r="F199" s="55">
        <f>物品!M212</f>
        <v>0</v>
      </c>
      <c r="G199" s="55">
        <f>物品!N212</f>
        <v>0</v>
      </c>
      <c r="H199" s="55">
        <f>物品!O212</f>
        <v>0</v>
      </c>
      <c r="I199" s="55">
        <f>IF(物品!J212=0,0,"'"&amp;物品!J212&amp;"'")</f>
        <v>0</v>
      </c>
      <c r="J199" s="55">
        <f>IF(物品!K212=0,0,"'"&amp;物品!K212&amp;"'")</f>
        <v>0</v>
      </c>
      <c r="K199" s="55">
        <f>IF(物品!L212=0,0,"'"&amp;物品!L212&amp;"'")</f>
        <v>0</v>
      </c>
      <c r="L199" s="55">
        <f>IF(物品!M212=0,0,"'"&amp;物品!M212&amp;"'")</f>
        <v>0</v>
      </c>
      <c r="M199" s="55">
        <f>IF(物品!N212=0,0,"'"&amp;物品!N212&amp;"'")</f>
        <v>0</v>
      </c>
      <c r="N199" s="55">
        <f>IF(物品!O212=0,0,"'"&amp;物品!O212&amp;"'")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物品!A213</f>
        <v>0</v>
      </c>
      <c r="B200" s="55" t="str">
        <f>"'"&amp;物品!B213&amp;"'"</f>
        <v>'IF02'</v>
      </c>
      <c r="C200" s="55">
        <f>物品!J213</f>
        <v>0</v>
      </c>
      <c r="D200" s="55">
        <f>物品!K213</f>
        <v>0</v>
      </c>
      <c r="E200" s="55">
        <f>物品!L213</f>
        <v>0</v>
      </c>
      <c r="F200" s="55">
        <f>物品!M213</f>
        <v>0</v>
      </c>
      <c r="G200" s="55">
        <f>物品!N213</f>
        <v>0</v>
      </c>
      <c r="H200" s="55">
        <f>物品!O213</f>
        <v>0</v>
      </c>
      <c r="I200" s="55">
        <f>IF(物品!J213=0,0,"'"&amp;物品!J213&amp;"'")</f>
        <v>0</v>
      </c>
      <c r="J200" s="55">
        <f>IF(物品!K213=0,0,"'"&amp;物品!K213&amp;"'")</f>
        <v>0</v>
      </c>
      <c r="K200" s="55">
        <f>IF(物品!L213=0,0,"'"&amp;物品!L213&amp;"'")</f>
        <v>0</v>
      </c>
      <c r="L200" s="55">
        <f>IF(物品!M213=0,0,"'"&amp;物品!M213&amp;"'")</f>
        <v>0</v>
      </c>
      <c r="M200" s="55">
        <f>IF(物品!N213=0,0,"'"&amp;物品!N213&amp;"'")</f>
        <v>0</v>
      </c>
      <c r="N200" s="55">
        <f>IF(物品!O213=0,0,"'"&amp;物品!O213&amp;"'")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物品!A214</f>
        <v>0</v>
      </c>
      <c r="B201" s="55" t="str">
        <f>"'"&amp;物品!B214&amp;"'"</f>
        <v>'IF03'</v>
      </c>
      <c r="C201" s="55">
        <f>物品!J214</f>
        <v>0</v>
      </c>
      <c r="D201" s="55">
        <f>物品!K214</f>
        <v>0</v>
      </c>
      <c r="E201" s="55">
        <f>物品!L214</f>
        <v>0</v>
      </c>
      <c r="F201" s="55">
        <f>物品!M214</f>
        <v>0</v>
      </c>
      <c r="G201" s="55">
        <f>物品!N214</f>
        <v>0</v>
      </c>
      <c r="H201" s="55">
        <f>物品!O214</f>
        <v>0</v>
      </c>
      <c r="I201" s="55">
        <f>IF(物品!J214=0,0,"'"&amp;物品!J214&amp;"'")</f>
        <v>0</v>
      </c>
      <c r="J201" s="55">
        <f>IF(物品!K214=0,0,"'"&amp;物品!K214&amp;"'")</f>
        <v>0</v>
      </c>
      <c r="K201" s="55">
        <f>IF(物品!L214=0,0,"'"&amp;物品!L214&amp;"'")</f>
        <v>0</v>
      </c>
      <c r="L201" s="55">
        <f>IF(物品!M214=0,0,"'"&amp;物品!M214&amp;"'")</f>
        <v>0</v>
      </c>
      <c r="M201" s="55">
        <f>IF(物品!N214=0,0,"'"&amp;物品!N214&amp;"'")</f>
        <v>0</v>
      </c>
      <c r="N201" s="55">
        <f>IF(物品!O214=0,0,"'"&amp;物品!O214&amp;"'")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物品!A215</f>
        <v>0</v>
      </c>
      <c r="B202" s="55" t="str">
        <f>"'"&amp;物品!B215&amp;"'"</f>
        <v>'IF04'</v>
      </c>
      <c r="C202" s="55">
        <f>物品!J215</f>
        <v>0</v>
      </c>
      <c r="D202" s="55">
        <f>物品!K215</f>
        <v>0</v>
      </c>
      <c r="E202" s="55">
        <f>物品!L215</f>
        <v>0</v>
      </c>
      <c r="F202" s="55">
        <f>物品!M215</f>
        <v>0</v>
      </c>
      <c r="G202" s="55">
        <f>物品!N215</f>
        <v>0</v>
      </c>
      <c r="H202" s="55">
        <f>物品!O215</f>
        <v>0</v>
      </c>
      <c r="I202" s="55">
        <f>IF(物品!J215=0,0,"'"&amp;物品!J215&amp;"'")</f>
        <v>0</v>
      </c>
      <c r="J202" s="55">
        <f>IF(物品!K215=0,0,"'"&amp;物品!K215&amp;"'")</f>
        <v>0</v>
      </c>
      <c r="K202" s="55">
        <f>IF(物品!L215=0,0,"'"&amp;物品!L215&amp;"'")</f>
        <v>0</v>
      </c>
      <c r="L202" s="55">
        <f>IF(物品!M215=0,0,"'"&amp;物品!M215&amp;"'")</f>
        <v>0</v>
      </c>
      <c r="M202" s="55">
        <f>IF(物品!N215=0,0,"'"&amp;物品!N215&amp;"'")</f>
        <v>0</v>
      </c>
      <c r="N202" s="55">
        <f>IF(物品!O215=0,0,"'"&amp;物品!O215&amp;"'")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物品!A216</f>
        <v>0</v>
      </c>
      <c r="B203" s="55" t="str">
        <f>"'"&amp;物品!B216&amp;"'"</f>
        <v>'IF05'</v>
      </c>
      <c r="C203" s="55">
        <f>物品!J216</f>
        <v>0</v>
      </c>
      <c r="D203" s="55">
        <f>物品!K216</f>
        <v>0</v>
      </c>
      <c r="E203" s="55">
        <f>物品!L216</f>
        <v>0</v>
      </c>
      <c r="F203" s="55">
        <f>物品!M216</f>
        <v>0</v>
      </c>
      <c r="G203" s="55">
        <f>物品!N216</f>
        <v>0</v>
      </c>
      <c r="H203" s="55">
        <f>物品!O216</f>
        <v>0</v>
      </c>
      <c r="I203" s="55">
        <f>IF(物品!J216=0,0,"'"&amp;物品!J216&amp;"'")</f>
        <v>0</v>
      </c>
      <c r="J203" s="55">
        <f>IF(物品!K216=0,0,"'"&amp;物品!K216&amp;"'")</f>
        <v>0</v>
      </c>
      <c r="K203" s="55">
        <f>IF(物品!L216=0,0,"'"&amp;物品!L216&amp;"'")</f>
        <v>0</v>
      </c>
      <c r="L203" s="55">
        <f>IF(物品!M216=0,0,"'"&amp;物品!M216&amp;"'")</f>
        <v>0</v>
      </c>
      <c r="M203" s="55">
        <f>IF(物品!N216=0,0,"'"&amp;物品!N216&amp;"'")</f>
        <v>0</v>
      </c>
      <c r="N203" s="55">
        <f>IF(物品!O216=0,0,"'"&amp;物品!O216&amp;"'")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物品!A217</f>
        <v>0</v>
      </c>
      <c r="B204" s="55" t="str">
        <f>"'"&amp;物品!B217&amp;"'"</f>
        <v>'IF06'</v>
      </c>
      <c r="C204" s="55">
        <f>物品!J217</f>
        <v>0</v>
      </c>
      <c r="D204" s="55">
        <f>物品!K217</f>
        <v>0</v>
      </c>
      <c r="E204" s="55">
        <f>物品!L217</f>
        <v>0</v>
      </c>
      <c r="F204" s="55">
        <f>物品!M217</f>
        <v>0</v>
      </c>
      <c r="G204" s="55">
        <f>物品!N217</f>
        <v>0</v>
      </c>
      <c r="H204" s="55">
        <f>物品!O217</f>
        <v>0</v>
      </c>
      <c r="I204" s="55">
        <f>IF(物品!J217=0,0,"'"&amp;物品!J217&amp;"'")</f>
        <v>0</v>
      </c>
      <c r="J204" s="55">
        <f>IF(物品!K217=0,0,"'"&amp;物品!K217&amp;"'")</f>
        <v>0</v>
      </c>
      <c r="K204" s="55">
        <f>IF(物品!L217=0,0,"'"&amp;物品!L217&amp;"'")</f>
        <v>0</v>
      </c>
      <c r="L204" s="55">
        <f>IF(物品!M217=0,0,"'"&amp;物品!M217&amp;"'")</f>
        <v>0</v>
      </c>
      <c r="M204" s="55">
        <f>IF(物品!N217=0,0,"'"&amp;物品!N217&amp;"'")</f>
        <v>0</v>
      </c>
      <c r="N204" s="55">
        <f>IF(物品!O217=0,0,"'"&amp;物品!O217&amp;"'")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物品!A218</f>
        <v>0</v>
      </c>
      <c r="B205" s="55" t="str">
        <f>"'"&amp;物品!B218&amp;"'"</f>
        <v>'IF07'</v>
      </c>
      <c r="C205" s="55">
        <f>物品!J218</f>
        <v>0</v>
      </c>
      <c r="D205" s="55">
        <f>物品!K218</f>
        <v>0</v>
      </c>
      <c r="E205" s="55">
        <f>物品!L218</f>
        <v>0</v>
      </c>
      <c r="F205" s="55">
        <f>物品!M218</f>
        <v>0</v>
      </c>
      <c r="G205" s="55">
        <f>物品!N218</f>
        <v>0</v>
      </c>
      <c r="H205" s="55">
        <f>物品!O218</f>
        <v>0</v>
      </c>
      <c r="I205" s="55">
        <f>IF(物品!J218=0,0,"'"&amp;物品!J218&amp;"'")</f>
        <v>0</v>
      </c>
      <c r="J205" s="55">
        <f>IF(物品!K218=0,0,"'"&amp;物品!K218&amp;"'")</f>
        <v>0</v>
      </c>
      <c r="K205" s="55">
        <f>IF(物品!L218=0,0,"'"&amp;物品!L218&amp;"'")</f>
        <v>0</v>
      </c>
      <c r="L205" s="55">
        <f>IF(物品!M218=0,0,"'"&amp;物品!M218&amp;"'")</f>
        <v>0</v>
      </c>
      <c r="M205" s="55">
        <f>IF(物品!N218=0,0,"'"&amp;物品!N218&amp;"'")</f>
        <v>0</v>
      </c>
      <c r="N205" s="55">
        <f>IF(物品!O218=0,0,"'"&amp;物品!O218&amp;"'")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物品!A219</f>
        <v>0</v>
      </c>
      <c r="B206" s="55" t="str">
        <f>"'"&amp;物品!B219&amp;"'"</f>
        <v>'IF08'</v>
      </c>
      <c r="C206" s="55">
        <f>物品!J219</f>
        <v>0</v>
      </c>
      <c r="D206" s="55">
        <f>物品!K219</f>
        <v>0</v>
      </c>
      <c r="E206" s="55">
        <f>物品!L219</f>
        <v>0</v>
      </c>
      <c r="F206" s="55">
        <f>物品!M219</f>
        <v>0</v>
      </c>
      <c r="G206" s="55">
        <f>物品!N219</f>
        <v>0</v>
      </c>
      <c r="H206" s="55">
        <f>物品!O219</f>
        <v>0</v>
      </c>
      <c r="I206" s="55">
        <f>IF(物品!J219=0,0,"'"&amp;物品!J219&amp;"'")</f>
        <v>0</v>
      </c>
      <c r="J206" s="55">
        <f>IF(物品!K219=0,0,"'"&amp;物品!K219&amp;"'")</f>
        <v>0</v>
      </c>
      <c r="K206" s="55">
        <f>IF(物品!L219=0,0,"'"&amp;物品!L219&amp;"'")</f>
        <v>0</v>
      </c>
      <c r="L206" s="55">
        <f>IF(物品!M219=0,0,"'"&amp;物品!M219&amp;"'")</f>
        <v>0</v>
      </c>
      <c r="M206" s="55">
        <f>IF(物品!N219=0,0,"'"&amp;物品!N219&amp;"'")</f>
        <v>0</v>
      </c>
      <c r="N206" s="55">
        <f>IF(物品!O219=0,0,"'"&amp;物品!O219&amp;"'")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物品!A220</f>
        <v>0</v>
      </c>
      <c r="B207" s="55" t="str">
        <f>"'"&amp;物品!B220&amp;"'"</f>
        <v>'IF09'</v>
      </c>
      <c r="C207" s="55">
        <f>物品!J220</f>
        <v>0</v>
      </c>
      <c r="D207" s="55">
        <f>物品!K220</f>
        <v>0</v>
      </c>
      <c r="E207" s="55">
        <f>物品!L220</f>
        <v>0</v>
      </c>
      <c r="F207" s="55">
        <f>物品!M220</f>
        <v>0</v>
      </c>
      <c r="G207" s="55">
        <f>物品!N220</f>
        <v>0</v>
      </c>
      <c r="H207" s="55">
        <f>物品!O220</f>
        <v>0</v>
      </c>
      <c r="I207" s="55">
        <f>IF(物品!J220=0,0,"'"&amp;物品!J220&amp;"'")</f>
        <v>0</v>
      </c>
      <c r="J207" s="55">
        <f>IF(物品!K220=0,0,"'"&amp;物品!K220&amp;"'")</f>
        <v>0</v>
      </c>
      <c r="K207" s="55">
        <f>IF(物品!L220=0,0,"'"&amp;物品!L220&amp;"'")</f>
        <v>0</v>
      </c>
      <c r="L207" s="55">
        <f>IF(物品!M220=0,0,"'"&amp;物品!M220&amp;"'")</f>
        <v>0</v>
      </c>
      <c r="M207" s="55">
        <f>IF(物品!N220=0,0,"'"&amp;物品!N220&amp;"'")</f>
        <v>0</v>
      </c>
      <c r="N207" s="55">
        <f>IF(物品!O220=0,0,"'"&amp;物品!O220&amp;"'")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物品!A221</f>
        <v>0</v>
      </c>
      <c r="B208" s="55" t="str">
        <f>"'"&amp;物品!B221&amp;"'"</f>
        <v>'IF10'</v>
      </c>
      <c r="C208" s="55">
        <f>物品!J221</f>
        <v>0</v>
      </c>
      <c r="D208" s="55">
        <f>物品!K221</f>
        <v>0</v>
      </c>
      <c r="E208" s="55">
        <f>物品!L221</f>
        <v>0</v>
      </c>
      <c r="F208" s="55">
        <f>物品!M221</f>
        <v>0</v>
      </c>
      <c r="G208" s="55">
        <f>物品!N221</f>
        <v>0</v>
      </c>
      <c r="H208" s="55">
        <f>物品!O221</f>
        <v>0</v>
      </c>
      <c r="I208" s="55">
        <f>IF(物品!J221=0,0,"'"&amp;物品!J221&amp;"'")</f>
        <v>0</v>
      </c>
      <c r="J208" s="55">
        <f>IF(物品!K221=0,0,"'"&amp;物品!K221&amp;"'")</f>
        <v>0</v>
      </c>
      <c r="K208" s="55">
        <f>IF(物品!L221=0,0,"'"&amp;物品!L221&amp;"'")</f>
        <v>0</v>
      </c>
      <c r="L208" s="55">
        <f>IF(物品!M221=0,0,"'"&amp;物品!M221&amp;"'")</f>
        <v>0</v>
      </c>
      <c r="M208" s="55">
        <f>IF(物品!N221=0,0,"'"&amp;物品!N221&amp;"'")</f>
        <v>0</v>
      </c>
      <c r="N208" s="55">
        <f>IF(物品!O221=0,0,"'"&amp;物品!O221&amp;"'")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物品!A222</f>
        <v>0</v>
      </c>
      <c r="B209" s="55" t="str">
        <f>"'"&amp;物品!B222&amp;"'"</f>
        <v>'IF11'</v>
      </c>
      <c r="C209" s="55">
        <f>物品!J222</f>
        <v>0</v>
      </c>
      <c r="D209" s="55">
        <f>物品!K222</f>
        <v>0</v>
      </c>
      <c r="E209" s="55">
        <f>物品!L222</f>
        <v>0</v>
      </c>
      <c r="F209" s="55">
        <f>物品!M222</f>
        <v>0</v>
      </c>
      <c r="G209" s="55">
        <f>物品!N222</f>
        <v>0</v>
      </c>
      <c r="H209" s="55">
        <f>物品!O222</f>
        <v>0</v>
      </c>
      <c r="I209" s="55">
        <f>IF(物品!J222=0,0,"'"&amp;物品!J222&amp;"'")</f>
        <v>0</v>
      </c>
      <c r="J209" s="55">
        <f>IF(物品!K222=0,0,"'"&amp;物品!K222&amp;"'")</f>
        <v>0</v>
      </c>
      <c r="K209" s="55">
        <f>IF(物品!L222=0,0,"'"&amp;物品!L222&amp;"'")</f>
        <v>0</v>
      </c>
      <c r="L209" s="55">
        <f>IF(物品!M222=0,0,"'"&amp;物品!M222&amp;"'")</f>
        <v>0</v>
      </c>
      <c r="M209" s="55">
        <f>IF(物品!N222=0,0,"'"&amp;物品!N222&amp;"'")</f>
        <v>0</v>
      </c>
      <c r="N209" s="55">
        <f>IF(物品!O222=0,0,"'"&amp;物品!O222&amp;"'")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物品!A223</f>
        <v>0</v>
      </c>
      <c r="B210" s="55" t="str">
        <f>"'"&amp;物品!B223&amp;"'"</f>
        <v>'IF12'</v>
      </c>
      <c r="C210" s="55">
        <f>物品!J223</f>
        <v>0</v>
      </c>
      <c r="D210" s="55">
        <f>物品!K223</f>
        <v>0</v>
      </c>
      <c r="E210" s="55">
        <f>物品!L223</f>
        <v>0</v>
      </c>
      <c r="F210" s="55">
        <f>物品!M223</f>
        <v>0</v>
      </c>
      <c r="G210" s="55">
        <f>物品!N223</f>
        <v>0</v>
      </c>
      <c r="H210" s="55">
        <f>物品!O223</f>
        <v>0</v>
      </c>
      <c r="I210" s="55">
        <f>IF(物品!J223=0,0,"'"&amp;物品!J223&amp;"'")</f>
        <v>0</v>
      </c>
      <c r="J210" s="55">
        <f>IF(物品!K223=0,0,"'"&amp;物品!K223&amp;"'")</f>
        <v>0</v>
      </c>
      <c r="K210" s="55">
        <f>IF(物品!L223=0,0,"'"&amp;物品!L223&amp;"'")</f>
        <v>0</v>
      </c>
      <c r="L210" s="55">
        <f>IF(物品!M223=0,0,"'"&amp;物品!M223&amp;"'")</f>
        <v>0</v>
      </c>
      <c r="M210" s="55">
        <f>IF(物品!N223=0,0,"'"&amp;物品!N223&amp;"'")</f>
        <v>0</v>
      </c>
      <c r="N210" s="55">
        <f>IF(物品!O223=0,0,"'"&amp;物品!O223&amp;"'")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物品!A224</f>
        <v>0</v>
      </c>
      <c r="B211" s="55" t="str">
        <f>"'"&amp;物品!B224&amp;"'"</f>
        <v>'IF13'</v>
      </c>
      <c r="C211" s="55">
        <f>物品!J224</f>
        <v>0</v>
      </c>
      <c r="D211" s="55">
        <f>物品!K224</f>
        <v>0</v>
      </c>
      <c r="E211" s="55">
        <f>物品!L224</f>
        <v>0</v>
      </c>
      <c r="F211" s="55">
        <f>物品!M224</f>
        <v>0</v>
      </c>
      <c r="G211" s="55">
        <f>物品!N224</f>
        <v>0</v>
      </c>
      <c r="H211" s="55">
        <f>物品!O224</f>
        <v>0</v>
      </c>
      <c r="I211" s="55">
        <f>IF(物品!J224=0,0,"'"&amp;物品!J224&amp;"'")</f>
        <v>0</v>
      </c>
      <c r="J211" s="55">
        <f>IF(物品!K224=0,0,"'"&amp;物品!K224&amp;"'")</f>
        <v>0</v>
      </c>
      <c r="K211" s="55">
        <f>IF(物品!L224=0,0,"'"&amp;物品!L224&amp;"'")</f>
        <v>0</v>
      </c>
      <c r="L211" s="55">
        <f>IF(物品!M224=0,0,"'"&amp;物品!M224&amp;"'")</f>
        <v>0</v>
      </c>
      <c r="M211" s="55">
        <f>IF(物品!N224=0,0,"'"&amp;物品!N224&amp;"'")</f>
        <v>0</v>
      </c>
      <c r="N211" s="55">
        <f>IF(物品!O224=0,0,"'"&amp;物品!O224&amp;"'")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物品!A225</f>
        <v>0</v>
      </c>
      <c r="B212" s="55" t="str">
        <f>"'"&amp;物品!B225&amp;"'"</f>
        <v>'IF14'</v>
      </c>
      <c r="C212" s="55">
        <f>物品!J225</f>
        <v>0</v>
      </c>
      <c r="D212" s="55">
        <f>物品!K225</f>
        <v>0</v>
      </c>
      <c r="E212" s="55">
        <f>物品!L225</f>
        <v>0</v>
      </c>
      <c r="F212" s="55">
        <f>物品!M225</f>
        <v>0</v>
      </c>
      <c r="G212" s="55">
        <f>物品!N225</f>
        <v>0</v>
      </c>
      <c r="H212" s="55">
        <f>物品!O225</f>
        <v>0</v>
      </c>
      <c r="I212" s="55">
        <f>IF(物品!J225=0,0,"'"&amp;物品!J225&amp;"'")</f>
        <v>0</v>
      </c>
      <c r="J212" s="55">
        <f>IF(物品!K225=0,0,"'"&amp;物品!K225&amp;"'")</f>
        <v>0</v>
      </c>
      <c r="K212" s="55">
        <f>IF(物品!L225=0,0,"'"&amp;物品!L225&amp;"'")</f>
        <v>0</v>
      </c>
      <c r="L212" s="55">
        <f>IF(物品!M225=0,0,"'"&amp;物品!M225&amp;"'")</f>
        <v>0</v>
      </c>
      <c r="M212" s="55">
        <f>IF(物品!N225=0,0,"'"&amp;物品!N225&amp;"'")</f>
        <v>0</v>
      </c>
      <c r="N212" s="55">
        <f>IF(物品!O225=0,0,"'"&amp;物品!O225&amp;"'")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物品!A226</f>
        <v>0</v>
      </c>
      <c r="B213" s="55" t="str">
        <f>"'"&amp;物品!B226&amp;"'"</f>
        <v>'IF15'</v>
      </c>
      <c r="C213" s="55">
        <f>物品!J226</f>
        <v>0</v>
      </c>
      <c r="D213" s="55">
        <f>物品!K226</f>
        <v>0</v>
      </c>
      <c r="E213" s="55">
        <f>物品!L226</f>
        <v>0</v>
      </c>
      <c r="F213" s="55">
        <f>物品!M226</f>
        <v>0</v>
      </c>
      <c r="G213" s="55">
        <f>物品!N226</f>
        <v>0</v>
      </c>
      <c r="H213" s="55">
        <f>物品!O226</f>
        <v>0</v>
      </c>
      <c r="I213" s="55">
        <f>IF(物品!J226=0,0,"'"&amp;物品!J226&amp;"'")</f>
        <v>0</v>
      </c>
      <c r="J213" s="55">
        <f>IF(物品!K226=0,0,"'"&amp;物品!K226&amp;"'")</f>
        <v>0</v>
      </c>
      <c r="K213" s="55">
        <f>IF(物品!L226=0,0,"'"&amp;物品!L226&amp;"'")</f>
        <v>0</v>
      </c>
      <c r="L213" s="55">
        <f>IF(物品!M226=0,0,"'"&amp;物品!M226&amp;"'")</f>
        <v>0</v>
      </c>
      <c r="M213" s="55">
        <f>IF(物品!N226=0,0,"'"&amp;物品!N226&amp;"'")</f>
        <v>0</v>
      </c>
      <c r="N213" s="55">
        <f>IF(物品!O226=0,0,"'"&amp;物品!O226&amp;"'")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物品!A227</f>
        <v>0</v>
      </c>
      <c r="B214" s="55" t="str">
        <f>"'"&amp;物品!B227&amp;"'"</f>
        <v>'IF16'</v>
      </c>
      <c r="C214" s="55">
        <f>物品!J227</f>
        <v>0</v>
      </c>
      <c r="D214" s="55">
        <f>物品!K227</f>
        <v>0</v>
      </c>
      <c r="E214" s="55">
        <f>物品!L227</f>
        <v>0</v>
      </c>
      <c r="F214" s="55">
        <f>物品!M227</f>
        <v>0</v>
      </c>
      <c r="G214" s="55">
        <f>物品!N227</f>
        <v>0</v>
      </c>
      <c r="H214" s="55">
        <f>物品!O227</f>
        <v>0</v>
      </c>
      <c r="I214" s="55">
        <f>IF(物品!J227=0,0,"'"&amp;物品!J227&amp;"'")</f>
        <v>0</v>
      </c>
      <c r="J214" s="55">
        <f>IF(物品!K227=0,0,"'"&amp;物品!K227&amp;"'")</f>
        <v>0</v>
      </c>
      <c r="K214" s="55">
        <f>IF(物品!L227=0,0,"'"&amp;物品!L227&amp;"'")</f>
        <v>0</v>
      </c>
      <c r="L214" s="55">
        <f>IF(物品!M227=0,0,"'"&amp;物品!M227&amp;"'")</f>
        <v>0</v>
      </c>
      <c r="M214" s="55">
        <f>IF(物品!N227=0,0,"'"&amp;物品!N227&amp;"'")</f>
        <v>0</v>
      </c>
      <c r="N214" s="55">
        <f>IF(物品!O227=0,0,"'"&amp;物品!O227&amp;"'")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物品!A228</f>
        <v>0</v>
      </c>
      <c r="B215" s="55" t="str">
        <f>"'"&amp;物品!B228&amp;"'"</f>
        <v>'IF17'</v>
      </c>
      <c r="C215" s="55">
        <f>物品!J228</f>
        <v>0</v>
      </c>
      <c r="D215" s="55">
        <f>物品!K228</f>
        <v>0</v>
      </c>
      <c r="E215" s="55">
        <f>物品!L228</f>
        <v>0</v>
      </c>
      <c r="F215" s="55">
        <f>物品!M228</f>
        <v>0</v>
      </c>
      <c r="G215" s="55">
        <f>物品!N228</f>
        <v>0</v>
      </c>
      <c r="H215" s="55">
        <f>物品!O228</f>
        <v>0</v>
      </c>
      <c r="I215" s="55">
        <f>IF(物品!J228=0,0,"'"&amp;物品!J228&amp;"'")</f>
        <v>0</v>
      </c>
      <c r="J215" s="55">
        <f>IF(物品!K228=0,0,"'"&amp;物品!K228&amp;"'")</f>
        <v>0</v>
      </c>
      <c r="K215" s="55">
        <f>IF(物品!L228=0,0,"'"&amp;物品!L228&amp;"'")</f>
        <v>0</v>
      </c>
      <c r="L215" s="55">
        <f>IF(物品!M228=0,0,"'"&amp;物品!M228&amp;"'")</f>
        <v>0</v>
      </c>
      <c r="M215" s="55">
        <f>IF(物品!N228=0,0,"'"&amp;物品!N228&amp;"'")</f>
        <v>0</v>
      </c>
      <c r="N215" s="55">
        <f>IF(物品!O228=0,0,"'"&amp;物品!O228&amp;"'")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物品!A229</f>
        <v>0</v>
      </c>
      <c r="B216" s="55" t="str">
        <f>"'"&amp;物品!B229&amp;"'"</f>
        <v>'IF18'</v>
      </c>
      <c r="C216" s="55">
        <f>物品!J229</f>
        <v>0</v>
      </c>
      <c r="D216" s="55">
        <f>物品!K229</f>
        <v>0</v>
      </c>
      <c r="E216" s="55">
        <f>物品!L229</f>
        <v>0</v>
      </c>
      <c r="F216" s="55">
        <f>物品!M229</f>
        <v>0</v>
      </c>
      <c r="G216" s="55">
        <f>物品!N229</f>
        <v>0</v>
      </c>
      <c r="H216" s="55">
        <f>物品!O229</f>
        <v>0</v>
      </c>
      <c r="I216" s="55">
        <f>IF(物品!J229=0,0,"'"&amp;物品!J229&amp;"'")</f>
        <v>0</v>
      </c>
      <c r="J216" s="55">
        <f>IF(物品!K229=0,0,"'"&amp;物品!K229&amp;"'")</f>
        <v>0</v>
      </c>
      <c r="K216" s="55">
        <f>IF(物品!L229=0,0,"'"&amp;物品!L229&amp;"'")</f>
        <v>0</v>
      </c>
      <c r="L216" s="55">
        <f>IF(物品!M229=0,0,"'"&amp;物品!M229&amp;"'")</f>
        <v>0</v>
      </c>
      <c r="M216" s="55">
        <f>IF(物品!N229=0,0,"'"&amp;物品!N229&amp;"'")</f>
        <v>0</v>
      </c>
      <c r="N216" s="55">
        <f>IF(物品!O229=0,0,"'"&amp;物品!O229&amp;"'")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物品!A230</f>
        <v>0</v>
      </c>
      <c r="B217" s="55" t="str">
        <f>"'"&amp;物品!B230&amp;"'"</f>
        <v>'IF19'</v>
      </c>
      <c r="C217" s="55">
        <f>物品!J230</f>
        <v>0</v>
      </c>
      <c r="D217" s="55">
        <f>物品!K230</f>
        <v>0</v>
      </c>
      <c r="E217" s="55">
        <f>物品!L230</f>
        <v>0</v>
      </c>
      <c r="F217" s="55">
        <f>物品!M230</f>
        <v>0</v>
      </c>
      <c r="G217" s="55">
        <f>物品!N230</f>
        <v>0</v>
      </c>
      <c r="H217" s="55">
        <f>物品!O230</f>
        <v>0</v>
      </c>
      <c r="I217" s="55">
        <f>IF(物品!J230=0,0,"'"&amp;物品!J230&amp;"'")</f>
        <v>0</v>
      </c>
      <c r="J217" s="55">
        <f>IF(物品!K230=0,0,"'"&amp;物品!K230&amp;"'")</f>
        <v>0</v>
      </c>
      <c r="K217" s="55">
        <f>IF(物品!L230=0,0,"'"&amp;物品!L230&amp;"'")</f>
        <v>0</v>
      </c>
      <c r="L217" s="55">
        <f>IF(物品!M230=0,0,"'"&amp;物品!M230&amp;"'")</f>
        <v>0</v>
      </c>
      <c r="M217" s="55">
        <f>IF(物品!N230=0,0,"'"&amp;物品!N230&amp;"'")</f>
        <v>0</v>
      </c>
      <c r="N217" s="55">
        <f>IF(物品!O230=0,0,"'"&amp;物品!O230&amp;"'")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物品!A231</f>
        <v>0</v>
      </c>
      <c r="B218" s="55" t="str">
        <f>"'"&amp;物品!B231&amp;"'"</f>
        <v>'IF20'</v>
      </c>
      <c r="C218" s="55">
        <f>物品!J231</f>
        <v>0</v>
      </c>
      <c r="D218" s="55">
        <f>物品!K231</f>
        <v>0</v>
      </c>
      <c r="E218" s="55">
        <f>物品!L231</f>
        <v>0</v>
      </c>
      <c r="F218" s="55">
        <f>物品!M231</f>
        <v>0</v>
      </c>
      <c r="G218" s="55">
        <f>物品!N231</f>
        <v>0</v>
      </c>
      <c r="H218" s="55">
        <f>物品!O231</f>
        <v>0</v>
      </c>
      <c r="I218" s="55">
        <f>IF(物品!J231=0,0,"'"&amp;物品!J231&amp;"'")</f>
        <v>0</v>
      </c>
      <c r="J218" s="55">
        <f>IF(物品!K231=0,0,"'"&amp;物品!K231&amp;"'")</f>
        <v>0</v>
      </c>
      <c r="K218" s="55">
        <f>IF(物品!L231=0,0,"'"&amp;物品!L231&amp;"'")</f>
        <v>0</v>
      </c>
      <c r="L218" s="55">
        <f>IF(物品!M231=0,0,"'"&amp;物品!M231&amp;"'")</f>
        <v>0</v>
      </c>
      <c r="M218" s="55">
        <f>IF(物品!N231=0,0,"'"&amp;物品!N231&amp;"'")</f>
        <v>0</v>
      </c>
      <c r="N218" s="55">
        <f>IF(物品!O231=0,0,"'"&amp;物品!O231&amp;"'")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物品!A232</f>
        <v>0</v>
      </c>
      <c r="B219" s="55" t="str">
        <f>"'"&amp;物品!B232&amp;"'"</f>
        <v>'IF21'</v>
      </c>
      <c r="C219" s="55">
        <f>物品!J232</f>
        <v>0</v>
      </c>
      <c r="D219" s="55">
        <f>物品!K232</f>
        <v>0</v>
      </c>
      <c r="E219" s="55">
        <f>物品!L232</f>
        <v>0</v>
      </c>
      <c r="F219" s="55">
        <f>物品!M232</f>
        <v>0</v>
      </c>
      <c r="G219" s="55">
        <f>物品!N232</f>
        <v>0</v>
      </c>
      <c r="H219" s="55">
        <f>物品!O232</f>
        <v>0</v>
      </c>
      <c r="I219" s="55">
        <f>IF(物品!J232=0,0,"'"&amp;物品!J232&amp;"'")</f>
        <v>0</v>
      </c>
      <c r="J219" s="55">
        <f>IF(物品!K232=0,0,"'"&amp;物品!K232&amp;"'")</f>
        <v>0</v>
      </c>
      <c r="K219" s="55">
        <f>IF(物品!L232=0,0,"'"&amp;物品!L232&amp;"'")</f>
        <v>0</v>
      </c>
      <c r="L219" s="55">
        <f>IF(物品!M232=0,0,"'"&amp;物品!M232&amp;"'")</f>
        <v>0</v>
      </c>
      <c r="M219" s="55">
        <f>IF(物品!N232=0,0,"'"&amp;物品!N232&amp;"'")</f>
        <v>0</v>
      </c>
      <c r="N219" s="55">
        <f>IF(物品!O232=0,0,"'"&amp;物品!O232&amp;"'")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物品!A233</f>
        <v>0</v>
      </c>
      <c r="B220" s="55" t="str">
        <f>"'"&amp;物品!B233&amp;"'"</f>
        <v>'IF22'</v>
      </c>
      <c r="C220" s="55">
        <f>物品!J233</f>
        <v>0</v>
      </c>
      <c r="D220" s="55">
        <f>物品!K233</f>
        <v>0</v>
      </c>
      <c r="E220" s="55">
        <f>物品!L233</f>
        <v>0</v>
      </c>
      <c r="F220" s="55">
        <f>物品!M233</f>
        <v>0</v>
      </c>
      <c r="G220" s="55">
        <f>物品!N233</f>
        <v>0</v>
      </c>
      <c r="H220" s="55">
        <f>物品!O233</f>
        <v>0</v>
      </c>
      <c r="I220" s="55">
        <f>IF(物品!J233=0,0,"'"&amp;物品!J233&amp;"'")</f>
        <v>0</v>
      </c>
      <c r="J220" s="55">
        <f>IF(物品!K233=0,0,"'"&amp;物品!K233&amp;"'")</f>
        <v>0</v>
      </c>
      <c r="K220" s="55">
        <f>IF(物品!L233=0,0,"'"&amp;物品!L233&amp;"'")</f>
        <v>0</v>
      </c>
      <c r="L220" s="55">
        <f>IF(物品!M233=0,0,"'"&amp;物品!M233&amp;"'")</f>
        <v>0</v>
      </c>
      <c r="M220" s="55">
        <f>IF(物品!N233=0,0,"'"&amp;物品!N233&amp;"'")</f>
        <v>0</v>
      </c>
      <c r="N220" s="55">
        <f>IF(物品!O233=0,0,"'"&amp;物品!O233&amp;"'")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物品!A234</f>
        <v>0</v>
      </c>
      <c r="B221" s="55" t="str">
        <f>"'"&amp;物品!B234&amp;"'"</f>
        <v>'IF23'</v>
      </c>
      <c r="C221" s="55">
        <f>物品!J234</f>
        <v>0</v>
      </c>
      <c r="D221" s="55">
        <f>物品!K234</f>
        <v>0</v>
      </c>
      <c r="E221" s="55">
        <f>物品!L234</f>
        <v>0</v>
      </c>
      <c r="F221" s="55">
        <f>物品!M234</f>
        <v>0</v>
      </c>
      <c r="G221" s="55">
        <f>物品!N234</f>
        <v>0</v>
      </c>
      <c r="H221" s="55">
        <f>物品!O234</f>
        <v>0</v>
      </c>
      <c r="I221" s="55">
        <f>IF(物品!J234=0,0,"'"&amp;物品!J234&amp;"'")</f>
        <v>0</v>
      </c>
      <c r="J221" s="55">
        <f>IF(物品!K234=0,0,"'"&amp;物品!K234&amp;"'")</f>
        <v>0</v>
      </c>
      <c r="K221" s="55">
        <f>IF(物品!L234=0,0,"'"&amp;物品!L234&amp;"'")</f>
        <v>0</v>
      </c>
      <c r="L221" s="55">
        <f>IF(物品!M234=0,0,"'"&amp;物品!M234&amp;"'")</f>
        <v>0</v>
      </c>
      <c r="M221" s="55">
        <f>IF(物品!N234=0,0,"'"&amp;物品!N234&amp;"'")</f>
        <v>0</v>
      </c>
      <c r="N221" s="55">
        <f>IF(物品!O234=0,0,"'"&amp;物品!O234&amp;"'")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物品!A235</f>
        <v>0</v>
      </c>
      <c r="B222" s="55" t="str">
        <f>"'"&amp;物品!B235&amp;"'"</f>
        <v>'IF24'</v>
      </c>
      <c r="C222" s="55">
        <f>物品!J235</f>
        <v>0</v>
      </c>
      <c r="D222" s="55">
        <f>物品!K235</f>
        <v>0</v>
      </c>
      <c r="E222" s="55">
        <f>物品!L235</f>
        <v>0</v>
      </c>
      <c r="F222" s="55">
        <f>物品!M235</f>
        <v>0</v>
      </c>
      <c r="G222" s="55">
        <f>物品!N235</f>
        <v>0</v>
      </c>
      <c r="H222" s="55">
        <f>物品!O235</f>
        <v>0</v>
      </c>
      <c r="I222" s="55">
        <f>IF(物品!J235=0,0,"'"&amp;物品!J235&amp;"'")</f>
        <v>0</v>
      </c>
      <c r="J222" s="55">
        <f>IF(物品!K235=0,0,"'"&amp;物品!K235&amp;"'")</f>
        <v>0</v>
      </c>
      <c r="K222" s="55">
        <f>IF(物品!L235=0,0,"'"&amp;物品!L235&amp;"'")</f>
        <v>0</v>
      </c>
      <c r="L222" s="55">
        <f>IF(物品!M235=0,0,"'"&amp;物品!M235&amp;"'")</f>
        <v>0</v>
      </c>
      <c r="M222" s="55">
        <f>IF(物品!N235=0,0,"'"&amp;物品!N235&amp;"'")</f>
        <v>0</v>
      </c>
      <c r="N222" s="55">
        <f>IF(物品!O235=0,0,"'"&amp;物品!O235&amp;"'")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物品!A236</f>
        <v>0</v>
      </c>
      <c r="B223" s="55" t="str">
        <f>"'"&amp;物品!B236&amp;"'"</f>
        <v>'IF25'</v>
      </c>
      <c r="C223" s="55">
        <f>物品!J236</f>
        <v>0</v>
      </c>
      <c r="D223" s="55">
        <f>物品!K236</f>
        <v>0</v>
      </c>
      <c r="E223" s="55">
        <f>物品!L236</f>
        <v>0</v>
      </c>
      <c r="F223" s="55">
        <f>物品!M236</f>
        <v>0</v>
      </c>
      <c r="G223" s="55">
        <f>物品!N236</f>
        <v>0</v>
      </c>
      <c r="H223" s="55">
        <f>物品!O236</f>
        <v>0</v>
      </c>
      <c r="I223" s="55">
        <f>IF(物品!J236=0,0,"'"&amp;物品!J236&amp;"'")</f>
        <v>0</v>
      </c>
      <c r="J223" s="55">
        <f>IF(物品!K236=0,0,"'"&amp;物品!K236&amp;"'")</f>
        <v>0</v>
      </c>
      <c r="K223" s="55">
        <f>IF(物品!L236=0,0,"'"&amp;物品!L236&amp;"'")</f>
        <v>0</v>
      </c>
      <c r="L223" s="55">
        <f>IF(物品!M236=0,0,"'"&amp;物品!M236&amp;"'")</f>
        <v>0</v>
      </c>
      <c r="M223" s="55">
        <f>IF(物品!N236=0,0,"'"&amp;物品!N236&amp;"'")</f>
        <v>0</v>
      </c>
      <c r="N223" s="55">
        <f>IF(物品!O236=0,0,"'"&amp;物品!O236&amp;"'")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物品!A237</f>
        <v>0</v>
      </c>
      <c r="B224" s="55" t="str">
        <f>"'"&amp;物品!B237&amp;"'"</f>
        <v>'IF26'</v>
      </c>
      <c r="C224" s="55">
        <f>物品!J237</f>
        <v>0</v>
      </c>
      <c r="D224" s="55">
        <f>物品!K237</f>
        <v>0</v>
      </c>
      <c r="E224" s="55">
        <f>物品!L237</f>
        <v>0</v>
      </c>
      <c r="F224" s="55">
        <f>物品!M237</f>
        <v>0</v>
      </c>
      <c r="G224" s="55">
        <f>物品!N237</f>
        <v>0</v>
      </c>
      <c r="H224" s="55">
        <f>物品!O237</f>
        <v>0</v>
      </c>
      <c r="I224" s="55">
        <f>IF(物品!J237=0,0,"'"&amp;物品!J237&amp;"'")</f>
        <v>0</v>
      </c>
      <c r="J224" s="55">
        <f>IF(物品!K237=0,0,"'"&amp;物品!K237&amp;"'")</f>
        <v>0</v>
      </c>
      <c r="K224" s="55">
        <f>IF(物品!L237=0,0,"'"&amp;物品!L237&amp;"'")</f>
        <v>0</v>
      </c>
      <c r="L224" s="55">
        <f>IF(物品!M237=0,0,"'"&amp;物品!M237&amp;"'")</f>
        <v>0</v>
      </c>
      <c r="M224" s="55">
        <f>IF(物品!N237=0,0,"'"&amp;物品!N237&amp;"'")</f>
        <v>0</v>
      </c>
      <c r="N224" s="55">
        <f>IF(物品!O237=0,0,"'"&amp;物品!O237&amp;"'")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物品!A238</f>
        <v>0</v>
      </c>
      <c r="B225" s="55" t="str">
        <f>"'"&amp;物品!B238&amp;"'"</f>
        <v>'IF27'</v>
      </c>
      <c r="C225" s="55">
        <f>物品!J238</f>
        <v>0</v>
      </c>
      <c r="D225" s="55">
        <f>物品!K238</f>
        <v>0</v>
      </c>
      <c r="E225" s="55">
        <f>物品!L238</f>
        <v>0</v>
      </c>
      <c r="F225" s="55">
        <f>物品!M238</f>
        <v>0</v>
      </c>
      <c r="G225" s="55">
        <f>物品!N238</f>
        <v>0</v>
      </c>
      <c r="H225" s="55">
        <f>物品!O238</f>
        <v>0</v>
      </c>
      <c r="I225" s="55">
        <f>IF(物品!J238=0,0,"'"&amp;物品!J238&amp;"'")</f>
        <v>0</v>
      </c>
      <c r="J225" s="55">
        <f>IF(物品!K238=0,0,"'"&amp;物品!K238&amp;"'")</f>
        <v>0</v>
      </c>
      <c r="K225" s="55">
        <f>IF(物品!L238=0,0,"'"&amp;物品!L238&amp;"'")</f>
        <v>0</v>
      </c>
      <c r="L225" s="55">
        <f>IF(物品!M238=0,0,"'"&amp;物品!M238&amp;"'")</f>
        <v>0</v>
      </c>
      <c r="M225" s="55">
        <f>IF(物品!N238=0,0,"'"&amp;物品!N238&amp;"'")</f>
        <v>0</v>
      </c>
      <c r="N225" s="55">
        <f>IF(物品!O238=0,0,"'"&amp;物品!O238&amp;"'")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物品!A245</f>
        <v>0</v>
      </c>
      <c r="B226" s="55" t="str">
        <f>"'"&amp;物品!B245&amp;"'"</f>
        <v>'IC01'</v>
      </c>
      <c r="C226" s="55">
        <f>物品!J245</f>
        <v>0</v>
      </c>
      <c r="D226" s="55">
        <f>物品!K245</f>
        <v>0</v>
      </c>
      <c r="E226" s="55">
        <f>物品!L245</f>
        <v>0</v>
      </c>
      <c r="F226" s="55">
        <f>物品!M245</f>
        <v>0</v>
      </c>
      <c r="G226" s="55">
        <f>物品!N245</f>
        <v>0</v>
      </c>
      <c r="H226" s="55">
        <f>物品!O245</f>
        <v>0</v>
      </c>
      <c r="I226" s="55">
        <f>IF(物品!J245=0,0,"'"&amp;物品!J245&amp;"'")</f>
        <v>0</v>
      </c>
      <c r="J226" s="55">
        <f>IF(物品!K245=0,0,"'"&amp;物品!K245&amp;"'")</f>
        <v>0</v>
      </c>
      <c r="K226" s="55">
        <f>IF(物品!L245=0,0,"'"&amp;物品!L245&amp;"'")</f>
        <v>0</v>
      </c>
      <c r="L226" s="55">
        <f>IF(物品!M245=0,0,"'"&amp;物品!M245&amp;"'")</f>
        <v>0</v>
      </c>
      <c r="M226" s="55">
        <f>IF(物品!N245=0,0,"'"&amp;物品!N245&amp;"'")</f>
        <v>0</v>
      </c>
      <c r="N226" s="55">
        <f>IF(物品!O245=0,0,"'"&amp;物品!O245&amp;"'")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物品!A246</f>
        <v>0</v>
      </c>
      <c r="B227" s="55" t="str">
        <f>"'"&amp;物品!B246&amp;"'"</f>
        <v>'IC02'</v>
      </c>
      <c r="C227" s="55">
        <f>物品!J246</f>
        <v>0</v>
      </c>
      <c r="D227" s="55">
        <f>物品!K246</f>
        <v>0</v>
      </c>
      <c r="E227" s="55">
        <f>物品!L246</f>
        <v>0</v>
      </c>
      <c r="F227" s="55">
        <f>物品!M246</f>
        <v>0</v>
      </c>
      <c r="G227" s="55">
        <f>物品!N246</f>
        <v>0</v>
      </c>
      <c r="H227" s="55">
        <f>物品!O246</f>
        <v>0</v>
      </c>
      <c r="I227" s="55">
        <f>IF(物品!J246=0,0,"'"&amp;物品!J246&amp;"'")</f>
        <v>0</v>
      </c>
      <c r="J227" s="55">
        <f>IF(物品!K246=0,0,"'"&amp;物品!K246&amp;"'")</f>
        <v>0</v>
      </c>
      <c r="K227" s="55">
        <f>IF(物品!L246=0,0,"'"&amp;物品!L246&amp;"'")</f>
        <v>0</v>
      </c>
      <c r="L227" s="55">
        <f>IF(物品!M246=0,0,"'"&amp;物品!M246&amp;"'")</f>
        <v>0</v>
      </c>
      <c r="M227" s="55">
        <f>IF(物品!N246=0,0,"'"&amp;物品!N246&amp;"'")</f>
        <v>0</v>
      </c>
      <c r="N227" s="55">
        <f>IF(物品!O246=0,0,"'"&amp;物品!O246&amp;"'")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物品!A247</f>
        <v>0</v>
      </c>
      <c r="B228" s="55" t="str">
        <f>"'"&amp;物品!B247&amp;"'"</f>
        <v>'IC03'</v>
      </c>
      <c r="C228" s="55">
        <f>物品!J247</f>
        <v>0</v>
      </c>
      <c r="D228" s="55">
        <f>物品!K247</f>
        <v>0</v>
      </c>
      <c r="E228" s="55">
        <f>物品!L247</f>
        <v>0</v>
      </c>
      <c r="F228" s="55">
        <f>物品!M247</f>
        <v>0</v>
      </c>
      <c r="G228" s="55">
        <f>物品!N247</f>
        <v>0</v>
      </c>
      <c r="H228" s="55">
        <f>物品!O247</f>
        <v>0</v>
      </c>
      <c r="I228" s="55">
        <f>IF(物品!J247=0,0,"'"&amp;物品!J247&amp;"'")</f>
        <v>0</v>
      </c>
      <c r="J228" s="55">
        <f>IF(物品!K247=0,0,"'"&amp;物品!K247&amp;"'")</f>
        <v>0</v>
      </c>
      <c r="K228" s="55">
        <f>IF(物品!L247=0,0,"'"&amp;物品!L247&amp;"'")</f>
        <v>0</v>
      </c>
      <c r="L228" s="55">
        <f>IF(物品!M247=0,0,"'"&amp;物品!M247&amp;"'")</f>
        <v>0</v>
      </c>
      <c r="M228" s="55">
        <f>IF(物品!N247=0,0,"'"&amp;物品!N247&amp;"'")</f>
        <v>0</v>
      </c>
      <c r="N228" s="55">
        <f>IF(物品!O247=0,0,"'"&amp;物品!O247&amp;"'")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物品!A248</f>
        <v>0</v>
      </c>
      <c r="B229" s="55" t="str">
        <f>"'"&amp;物品!B248&amp;"'"</f>
        <v>'IC04'</v>
      </c>
      <c r="C229" s="55">
        <f>物品!J248</f>
        <v>0</v>
      </c>
      <c r="D229" s="55">
        <f>物品!K248</f>
        <v>0</v>
      </c>
      <c r="E229" s="55">
        <f>物品!L248</f>
        <v>0</v>
      </c>
      <c r="F229" s="55">
        <f>物品!M248</f>
        <v>0</v>
      </c>
      <c r="G229" s="55">
        <f>物品!N248</f>
        <v>0</v>
      </c>
      <c r="H229" s="55">
        <f>物品!O248</f>
        <v>0</v>
      </c>
      <c r="I229" s="55">
        <f>IF(物品!J248=0,0,"'"&amp;物品!J248&amp;"'")</f>
        <v>0</v>
      </c>
      <c r="J229" s="55">
        <f>IF(物品!K248=0,0,"'"&amp;物品!K248&amp;"'")</f>
        <v>0</v>
      </c>
      <c r="K229" s="55">
        <f>IF(物品!L248=0,0,"'"&amp;物品!L248&amp;"'")</f>
        <v>0</v>
      </c>
      <c r="L229" s="55">
        <f>IF(物品!M248=0,0,"'"&amp;物品!M248&amp;"'")</f>
        <v>0</v>
      </c>
      <c r="M229" s="55">
        <f>IF(物品!N248=0,0,"'"&amp;物品!N248&amp;"'")</f>
        <v>0</v>
      </c>
      <c r="N229" s="55">
        <f>IF(物品!O248=0,0,"'"&amp;物品!O248&amp;"'")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物品!A249</f>
        <v>0</v>
      </c>
      <c r="B230" s="55" t="str">
        <f>"'"&amp;物品!B249&amp;"'"</f>
        <v>'IC05'</v>
      </c>
      <c r="C230" s="55">
        <f>物品!J249</f>
        <v>0</v>
      </c>
      <c r="D230" s="55">
        <f>物品!K249</f>
        <v>0</v>
      </c>
      <c r="E230" s="55">
        <f>物品!L249</f>
        <v>0</v>
      </c>
      <c r="F230" s="55">
        <f>物品!M249</f>
        <v>0</v>
      </c>
      <c r="G230" s="55">
        <f>物品!N249</f>
        <v>0</v>
      </c>
      <c r="H230" s="55">
        <f>物品!O249</f>
        <v>0</v>
      </c>
      <c r="I230" s="55">
        <f>IF(物品!J249=0,0,"'"&amp;物品!J249&amp;"'")</f>
        <v>0</v>
      </c>
      <c r="J230" s="55">
        <f>IF(物品!K249=0,0,"'"&amp;物品!K249&amp;"'")</f>
        <v>0</v>
      </c>
      <c r="K230" s="55">
        <f>IF(物品!L249=0,0,"'"&amp;物品!L249&amp;"'")</f>
        <v>0</v>
      </c>
      <c r="L230" s="55">
        <f>IF(物品!M249=0,0,"'"&amp;物品!M249&amp;"'")</f>
        <v>0</v>
      </c>
      <c r="M230" s="55">
        <f>IF(物品!N249=0,0,"'"&amp;物品!N249&amp;"'")</f>
        <v>0</v>
      </c>
      <c r="N230" s="55">
        <f>IF(物品!O249=0,0,"'"&amp;物品!O249&amp;"'")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物品!A250</f>
        <v>0</v>
      </c>
      <c r="B231" s="55" t="str">
        <f>"'"&amp;物品!B250&amp;"'"</f>
        <v>'IC06'</v>
      </c>
      <c r="C231" s="55">
        <f>物品!J250</f>
        <v>0</v>
      </c>
      <c r="D231" s="55">
        <f>物品!K250</f>
        <v>0</v>
      </c>
      <c r="E231" s="55">
        <f>物品!L250</f>
        <v>0</v>
      </c>
      <c r="F231" s="55">
        <f>物品!M250</f>
        <v>0</v>
      </c>
      <c r="G231" s="55">
        <f>物品!N250</f>
        <v>0</v>
      </c>
      <c r="H231" s="55">
        <f>物品!O250</f>
        <v>0</v>
      </c>
      <c r="I231" s="55">
        <f>IF(物品!J250=0,0,"'"&amp;物品!J250&amp;"'")</f>
        <v>0</v>
      </c>
      <c r="J231" s="55">
        <f>IF(物品!K250=0,0,"'"&amp;物品!K250&amp;"'")</f>
        <v>0</v>
      </c>
      <c r="K231" s="55">
        <f>IF(物品!L250=0,0,"'"&amp;物品!L250&amp;"'")</f>
        <v>0</v>
      </c>
      <c r="L231" s="55">
        <f>IF(物品!M250=0,0,"'"&amp;物品!M250&amp;"'")</f>
        <v>0</v>
      </c>
      <c r="M231" s="55">
        <f>IF(物品!N250=0,0,"'"&amp;物品!N250&amp;"'")</f>
        <v>0</v>
      </c>
      <c r="N231" s="55">
        <f>IF(物品!O250=0,0,"'"&amp;物品!O250&amp;"'")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物品!A251</f>
        <v>0</v>
      </c>
      <c r="B232" s="55" t="str">
        <f>"'"&amp;物品!B251&amp;"'"</f>
        <v>'IC07'</v>
      </c>
      <c r="C232" s="55">
        <f>物品!J251</f>
        <v>0</v>
      </c>
      <c r="D232" s="55">
        <f>物品!K251</f>
        <v>0</v>
      </c>
      <c r="E232" s="55">
        <f>物品!L251</f>
        <v>0</v>
      </c>
      <c r="F232" s="55">
        <f>物品!M251</f>
        <v>0</v>
      </c>
      <c r="G232" s="55">
        <f>物品!N251</f>
        <v>0</v>
      </c>
      <c r="H232" s="55">
        <f>物品!O251</f>
        <v>0</v>
      </c>
      <c r="I232" s="55">
        <f>IF(物品!J251=0,0,"'"&amp;物品!J251&amp;"'")</f>
        <v>0</v>
      </c>
      <c r="J232" s="55">
        <f>IF(物品!K251=0,0,"'"&amp;物品!K251&amp;"'")</f>
        <v>0</v>
      </c>
      <c r="K232" s="55">
        <f>IF(物品!L251=0,0,"'"&amp;物品!L251&amp;"'")</f>
        <v>0</v>
      </c>
      <c r="L232" s="55">
        <f>IF(物品!M251=0,0,"'"&amp;物品!M251&amp;"'")</f>
        <v>0</v>
      </c>
      <c r="M232" s="55">
        <f>IF(物品!N251=0,0,"'"&amp;物品!N251&amp;"'")</f>
        <v>0</v>
      </c>
      <c r="N232" s="55">
        <f>IF(物品!O251=0,0,"'"&amp;物品!O251&amp;"'")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物品!A252</f>
        <v>0</v>
      </c>
      <c r="B233" s="55" t="str">
        <f>"'"&amp;物品!B252&amp;"'"</f>
        <v>'IC08'</v>
      </c>
      <c r="C233" s="55">
        <f>物品!J252</f>
        <v>0</v>
      </c>
      <c r="D233" s="55">
        <f>物品!K252</f>
        <v>0</v>
      </c>
      <c r="E233" s="55">
        <f>物品!L252</f>
        <v>0</v>
      </c>
      <c r="F233" s="55">
        <f>物品!M252</f>
        <v>0</v>
      </c>
      <c r="G233" s="55">
        <f>物品!N252</f>
        <v>0</v>
      </c>
      <c r="H233" s="55">
        <f>物品!O252</f>
        <v>0</v>
      </c>
      <c r="I233" s="55">
        <f>IF(物品!J252=0,0,"'"&amp;物品!J252&amp;"'")</f>
        <v>0</v>
      </c>
      <c r="J233" s="55">
        <f>IF(物品!K252=0,0,"'"&amp;物品!K252&amp;"'")</f>
        <v>0</v>
      </c>
      <c r="K233" s="55">
        <f>IF(物品!L252=0,0,"'"&amp;物品!L252&amp;"'")</f>
        <v>0</v>
      </c>
      <c r="L233" s="55">
        <f>IF(物品!M252=0,0,"'"&amp;物品!M252&amp;"'")</f>
        <v>0</v>
      </c>
      <c r="M233" s="55">
        <f>IF(物品!N252=0,0,"'"&amp;物品!N252&amp;"'")</f>
        <v>0</v>
      </c>
      <c r="N233" s="55">
        <f>IF(物品!O252=0,0,"'"&amp;物品!O252&amp;"'")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物品!A253</f>
        <v>0</v>
      </c>
      <c r="B234" s="55" t="str">
        <f>"'"&amp;物品!B253&amp;"'"</f>
        <v>'IC09'</v>
      </c>
      <c r="C234" s="55">
        <f>物品!J253</f>
        <v>0</v>
      </c>
      <c r="D234" s="55">
        <f>物品!K253</f>
        <v>0</v>
      </c>
      <c r="E234" s="55">
        <f>物品!L253</f>
        <v>0</v>
      </c>
      <c r="F234" s="55">
        <f>物品!M253</f>
        <v>0</v>
      </c>
      <c r="G234" s="55">
        <f>物品!N253</f>
        <v>0</v>
      </c>
      <c r="H234" s="55">
        <f>物品!O253</f>
        <v>0</v>
      </c>
      <c r="I234" s="55">
        <f>IF(物品!J253=0,0,"'"&amp;物品!J253&amp;"'")</f>
        <v>0</v>
      </c>
      <c r="J234" s="55">
        <f>IF(物品!K253=0,0,"'"&amp;物品!K253&amp;"'")</f>
        <v>0</v>
      </c>
      <c r="K234" s="55">
        <f>IF(物品!L253=0,0,"'"&amp;物品!L253&amp;"'")</f>
        <v>0</v>
      </c>
      <c r="L234" s="55">
        <f>IF(物品!M253=0,0,"'"&amp;物品!M253&amp;"'")</f>
        <v>0</v>
      </c>
      <c r="M234" s="55">
        <f>IF(物品!N253=0,0,"'"&amp;物品!N253&amp;"'")</f>
        <v>0</v>
      </c>
      <c r="N234" s="55">
        <f>IF(物品!O253=0,0,"'"&amp;物品!O253&amp;"'")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物品!A254</f>
        <v>0</v>
      </c>
      <c r="B235" s="55" t="str">
        <f>"'"&amp;物品!B254&amp;"'"</f>
        <v>'IC10'</v>
      </c>
      <c r="C235" s="55">
        <f>物品!J254</f>
        <v>0</v>
      </c>
      <c r="D235" s="55">
        <f>物品!K254</f>
        <v>0</v>
      </c>
      <c r="E235" s="55">
        <f>物品!L254</f>
        <v>0</v>
      </c>
      <c r="F235" s="55">
        <f>物品!M254</f>
        <v>0</v>
      </c>
      <c r="G235" s="55">
        <f>物品!N254</f>
        <v>0</v>
      </c>
      <c r="H235" s="55">
        <f>物品!O254</f>
        <v>0</v>
      </c>
      <c r="I235" s="55">
        <f>IF(物品!J254=0,0,"'"&amp;物品!J254&amp;"'")</f>
        <v>0</v>
      </c>
      <c r="J235" s="55">
        <f>IF(物品!K254=0,0,"'"&amp;物品!K254&amp;"'")</f>
        <v>0</v>
      </c>
      <c r="K235" s="55">
        <f>IF(物品!L254=0,0,"'"&amp;物品!L254&amp;"'")</f>
        <v>0</v>
      </c>
      <c r="L235" s="55">
        <f>IF(物品!M254=0,0,"'"&amp;物品!M254&amp;"'")</f>
        <v>0</v>
      </c>
      <c r="M235" s="55">
        <f>IF(物品!N254=0,0,"'"&amp;物品!N254&amp;"'")</f>
        <v>0</v>
      </c>
      <c r="N235" s="55">
        <f>IF(物品!O254=0,0,"'"&amp;物品!O254&amp;"'")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物品!A255</f>
        <v>0</v>
      </c>
      <c r="B236" s="55" t="str">
        <f>"'"&amp;物品!B255&amp;"'"</f>
        <v>'IC11'</v>
      </c>
      <c r="C236" s="55">
        <f>物品!J255</f>
        <v>0</v>
      </c>
      <c r="D236" s="55">
        <f>物品!K255</f>
        <v>0</v>
      </c>
      <c r="E236" s="55">
        <f>物品!L255</f>
        <v>0</v>
      </c>
      <c r="F236" s="55">
        <f>物品!M255</f>
        <v>0</v>
      </c>
      <c r="G236" s="55">
        <f>物品!N255</f>
        <v>0</v>
      </c>
      <c r="H236" s="55">
        <f>物品!O255</f>
        <v>0</v>
      </c>
      <c r="I236" s="55">
        <f>IF(物品!J255=0,0,"'"&amp;物品!J255&amp;"'")</f>
        <v>0</v>
      </c>
      <c r="J236" s="55">
        <f>IF(物品!K255=0,0,"'"&amp;物品!K255&amp;"'")</f>
        <v>0</v>
      </c>
      <c r="K236" s="55">
        <f>IF(物品!L255=0,0,"'"&amp;物品!L255&amp;"'")</f>
        <v>0</v>
      </c>
      <c r="L236" s="55">
        <f>IF(物品!M255=0,0,"'"&amp;物品!M255&amp;"'")</f>
        <v>0</v>
      </c>
      <c r="M236" s="55">
        <f>IF(物品!N255=0,0,"'"&amp;物品!N255&amp;"'")</f>
        <v>0</v>
      </c>
      <c r="N236" s="55">
        <f>IF(物品!O255=0,0,"'"&amp;物品!O255&amp;"'")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物品!A256</f>
        <v>0</v>
      </c>
      <c r="B237" s="55" t="str">
        <f>"'"&amp;物品!B256&amp;"'"</f>
        <v>''</v>
      </c>
      <c r="C237" s="55">
        <f>物品!J256</f>
        <v>0</v>
      </c>
      <c r="D237" s="55">
        <f>物品!K256</f>
        <v>0</v>
      </c>
      <c r="E237" s="55">
        <f>物品!L256</f>
        <v>0</v>
      </c>
      <c r="F237" s="55">
        <f>物品!M256</f>
        <v>0</v>
      </c>
      <c r="G237" s="55">
        <f>物品!N256</f>
        <v>0</v>
      </c>
      <c r="H237" s="55">
        <f>物品!O256</f>
        <v>0</v>
      </c>
      <c r="I237" s="55">
        <f>IF(物品!J256=0,0,"'"&amp;物品!J256&amp;"'")</f>
        <v>0</v>
      </c>
      <c r="J237" s="55">
        <f>IF(物品!K256=0,0,"'"&amp;物品!K256&amp;"'")</f>
        <v>0</v>
      </c>
      <c r="K237" s="55">
        <f>IF(物品!L256=0,0,"'"&amp;物品!L256&amp;"'")</f>
        <v>0</v>
      </c>
      <c r="L237" s="55">
        <f>IF(物品!M256=0,0,"'"&amp;物品!M256&amp;"'")</f>
        <v>0</v>
      </c>
      <c r="M237" s="55">
        <f>IF(物品!N256=0,0,"'"&amp;物品!N256&amp;"'")</f>
        <v>0</v>
      </c>
      <c r="N237" s="55">
        <f>IF(物品!O256=0,0,"'"&amp;物品!O256&amp;"'")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物品!A257</f>
        <v>0</v>
      </c>
      <c r="B238" s="55" t="str">
        <f>"'"&amp;物品!B257&amp;"'"</f>
        <v>''</v>
      </c>
      <c r="C238" s="55">
        <f>物品!J257</f>
        <v>0</v>
      </c>
      <c r="D238" s="55">
        <f>物品!K257</f>
        <v>0</v>
      </c>
      <c r="E238" s="55">
        <f>物品!L257</f>
        <v>0</v>
      </c>
      <c r="F238" s="55">
        <f>物品!M257</f>
        <v>0</v>
      </c>
      <c r="G238" s="55">
        <f>物品!N257</f>
        <v>0</v>
      </c>
      <c r="H238" s="55">
        <f>物品!O257</f>
        <v>0</v>
      </c>
      <c r="I238" s="55">
        <f>IF(物品!J257=0,0,"'"&amp;物品!J257&amp;"'")</f>
        <v>0</v>
      </c>
      <c r="J238" s="55">
        <f>IF(物品!K257=0,0,"'"&amp;物品!K257&amp;"'")</f>
        <v>0</v>
      </c>
      <c r="K238" s="55">
        <f>IF(物品!L257=0,0,"'"&amp;物品!L257&amp;"'")</f>
        <v>0</v>
      </c>
      <c r="L238" s="55">
        <f>IF(物品!M257=0,0,"'"&amp;物品!M257&amp;"'")</f>
        <v>0</v>
      </c>
      <c r="M238" s="55">
        <f>IF(物品!N257=0,0,"'"&amp;物品!N257&amp;"'")</f>
        <v>0</v>
      </c>
      <c r="N238" s="55">
        <f>IF(物品!O257=0,0,"'"&amp;物品!O257&amp;"'")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物品!A258</f>
        <v>0</v>
      </c>
      <c r="B239" s="55" t="str">
        <f>"'"&amp;物品!B258&amp;"'"</f>
        <v>''</v>
      </c>
      <c r="C239" s="55">
        <f>物品!J258</f>
        <v>0</v>
      </c>
      <c r="D239" s="55">
        <f>物品!K258</f>
        <v>0</v>
      </c>
      <c r="E239" s="55">
        <f>物品!L258</f>
        <v>0</v>
      </c>
      <c r="F239" s="55">
        <f>物品!M258</f>
        <v>0</v>
      </c>
      <c r="G239" s="55">
        <f>物品!N258</f>
        <v>0</v>
      </c>
      <c r="H239" s="55">
        <f>物品!O258</f>
        <v>0</v>
      </c>
      <c r="I239" s="55">
        <f>IF(物品!J258=0,0,"'"&amp;物品!J258&amp;"'")</f>
        <v>0</v>
      </c>
      <c r="J239" s="55">
        <f>IF(物品!K258=0,0,"'"&amp;物品!K258&amp;"'")</f>
        <v>0</v>
      </c>
      <c r="K239" s="55">
        <f>IF(物品!L258=0,0,"'"&amp;物品!L258&amp;"'")</f>
        <v>0</v>
      </c>
      <c r="L239" s="55">
        <f>IF(物品!M258=0,0,"'"&amp;物品!M258&amp;"'")</f>
        <v>0</v>
      </c>
      <c r="M239" s="55">
        <f>IF(物品!N258=0,0,"'"&amp;物品!N258&amp;"'")</f>
        <v>0</v>
      </c>
      <c r="N239" s="55">
        <f>IF(物品!O258=0,0,"'"&amp;物品!O258&amp;"'")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物品!A259</f>
        <v>0</v>
      </c>
      <c r="B240" s="55" t="str">
        <f>"'"&amp;物品!B259&amp;"'"</f>
        <v>''</v>
      </c>
      <c r="C240" s="55">
        <f>物品!J259</f>
        <v>0</v>
      </c>
      <c r="D240" s="55">
        <f>物品!K259</f>
        <v>0</v>
      </c>
      <c r="E240" s="55">
        <f>物品!L259</f>
        <v>0</v>
      </c>
      <c r="F240" s="55">
        <f>物品!M259</f>
        <v>0</v>
      </c>
      <c r="G240" s="55">
        <f>物品!N259</f>
        <v>0</v>
      </c>
      <c r="H240" s="55">
        <f>物品!O259</f>
        <v>0</v>
      </c>
      <c r="I240" s="55">
        <f>IF(物品!J259=0,0,"'"&amp;物品!J259&amp;"'")</f>
        <v>0</v>
      </c>
      <c r="J240" s="55">
        <f>IF(物品!K259=0,0,"'"&amp;物品!K259&amp;"'")</f>
        <v>0</v>
      </c>
      <c r="K240" s="55">
        <f>IF(物品!L259=0,0,"'"&amp;物品!L259&amp;"'")</f>
        <v>0</v>
      </c>
      <c r="L240" s="55">
        <f>IF(物品!M259=0,0,"'"&amp;物品!M259&amp;"'")</f>
        <v>0</v>
      </c>
      <c r="M240" s="55">
        <f>IF(物品!N259=0,0,"'"&amp;物品!N259&amp;"'")</f>
        <v>0</v>
      </c>
      <c r="N240" s="55">
        <f>IF(物品!O259=0,0,"'"&amp;物品!O259&amp;"'")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物品!A260</f>
        <v>0</v>
      </c>
      <c r="B241" s="55" t="str">
        <f>"'"&amp;物品!B260&amp;"'"</f>
        <v>''</v>
      </c>
      <c r="C241" s="55">
        <f>物品!J260</f>
        <v>0</v>
      </c>
      <c r="D241" s="55">
        <f>物品!K260</f>
        <v>0</v>
      </c>
      <c r="E241" s="55">
        <f>物品!L260</f>
        <v>0</v>
      </c>
      <c r="F241" s="55">
        <f>物品!M260</f>
        <v>0</v>
      </c>
      <c r="G241" s="55">
        <f>物品!N260</f>
        <v>0</v>
      </c>
      <c r="H241" s="55">
        <f>物品!O260</f>
        <v>0</v>
      </c>
      <c r="I241" s="55">
        <f>IF(物品!J260=0,0,"'"&amp;物品!J260&amp;"'")</f>
        <v>0</v>
      </c>
      <c r="J241" s="55">
        <f>IF(物品!K260=0,0,"'"&amp;物品!K260&amp;"'")</f>
        <v>0</v>
      </c>
      <c r="K241" s="55">
        <f>IF(物品!L260=0,0,"'"&amp;物品!L260&amp;"'")</f>
        <v>0</v>
      </c>
      <c r="L241" s="55">
        <f>IF(物品!M260=0,0,"'"&amp;物品!M260&amp;"'")</f>
        <v>0</v>
      </c>
      <c r="M241" s="55">
        <f>IF(物品!N260=0,0,"'"&amp;物品!N260&amp;"'")</f>
        <v>0</v>
      </c>
      <c r="N241" s="55">
        <f>IF(物品!O260=0,0,"'"&amp;物品!O260&amp;"'")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物品!A261</f>
        <v>0</v>
      </c>
      <c r="B242" s="55" t="str">
        <f>"'"&amp;物品!B261&amp;"'"</f>
        <v>''</v>
      </c>
      <c r="C242" s="55">
        <f>物品!J261</f>
        <v>0</v>
      </c>
      <c r="D242" s="55">
        <f>物品!K261</f>
        <v>0</v>
      </c>
      <c r="E242" s="55">
        <f>物品!L261</f>
        <v>0</v>
      </c>
      <c r="F242" s="55">
        <f>物品!M261</f>
        <v>0</v>
      </c>
      <c r="G242" s="55">
        <f>物品!N261</f>
        <v>0</v>
      </c>
      <c r="H242" s="55">
        <f>物品!O261</f>
        <v>0</v>
      </c>
      <c r="I242" s="55">
        <f>IF(物品!J261=0,0,"'"&amp;物品!J261&amp;"'")</f>
        <v>0</v>
      </c>
      <c r="J242" s="55">
        <f>IF(物品!K261=0,0,"'"&amp;物品!K261&amp;"'")</f>
        <v>0</v>
      </c>
      <c r="K242" s="55">
        <f>IF(物品!L261=0,0,"'"&amp;物品!L261&amp;"'")</f>
        <v>0</v>
      </c>
      <c r="L242" s="55">
        <f>IF(物品!M261=0,0,"'"&amp;物品!M261&amp;"'")</f>
        <v>0</v>
      </c>
      <c r="M242" s="55">
        <f>IF(物品!N261=0,0,"'"&amp;物品!N261&amp;"'")</f>
        <v>0</v>
      </c>
      <c r="N242" s="55">
        <f>IF(物品!O261=0,0,"'"&amp;物品!O261&amp;"'")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物品!A262</f>
        <v>0</v>
      </c>
      <c r="B243" s="55" t="str">
        <f>"'"&amp;物品!B262&amp;"'"</f>
        <v>''</v>
      </c>
      <c r="C243" s="55">
        <f>物品!J262</f>
        <v>0</v>
      </c>
      <c r="D243" s="55">
        <f>物品!K262</f>
        <v>0</v>
      </c>
      <c r="E243" s="55">
        <f>物品!L262</f>
        <v>0</v>
      </c>
      <c r="F243" s="55">
        <f>物品!M262</f>
        <v>0</v>
      </c>
      <c r="G243" s="55">
        <f>物品!N262</f>
        <v>0</v>
      </c>
      <c r="H243" s="55">
        <f>物品!O262</f>
        <v>0</v>
      </c>
      <c r="I243" s="55">
        <f>IF(物品!J262=0,0,"'"&amp;物品!J262&amp;"'")</f>
        <v>0</v>
      </c>
      <c r="J243" s="55">
        <f>IF(物品!K262=0,0,"'"&amp;物品!K262&amp;"'")</f>
        <v>0</v>
      </c>
      <c r="K243" s="55">
        <f>IF(物品!L262=0,0,"'"&amp;物品!L262&amp;"'")</f>
        <v>0</v>
      </c>
      <c r="L243" s="55">
        <f>IF(物品!M262=0,0,"'"&amp;物品!M262&amp;"'")</f>
        <v>0</v>
      </c>
      <c r="M243" s="55">
        <f>IF(物品!N262=0,0,"'"&amp;物品!N262&amp;"'")</f>
        <v>0</v>
      </c>
      <c r="N243" s="55">
        <f>IF(物品!O262=0,0,"'"&amp;物品!O262&amp;"'")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物品!A263</f>
        <v>0</v>
      </c>
      <c r="B244" s="55" t="str">
        <f>"'"&amp;物品!B263&amp;"'"</f>
        <v>''</v>
      </c>
      <c r="C244" s="55">
        <f>物品!J263</f>
        <v>0</v>
      </c>
      <c r="D244" s="55">
        <f>物品!K263</f>
        <v>0</v>
      </c>
      <c r="E244" s="55">
        <f>物品!L263</f>
        <v>0</v>
      </c>
      <c r="F244" s="55">
        <f>物品!M263</f>
        <v>0</v>
      </c>
      <c r="G244" s="55">
        <f>物品!N263</f>
        <v>0</v>
      </c>
      <c r="H244" s="55">
        <f>物品!O263</f>
        <v>0</v>
      </c>
      <c r="I244" s="55">
        <f>IF(物品!J263=0,0,"'"&amp;物品!J263&amp;"'")</f>
        <v>0</v>
      </c>
      <c r="J244" s="55">
        <f>IF(物品!K263=0,0,"'"&amp;物品!K263&amp;"'")</f>
        <v>0</v>
      </c>
      <c r="K244" s="55">
        <f>IF(物品!L263=0,0,"'"&amp;物品!L263&amp;"'")</f>
        <v>0</v>
      </c>
      <c r="L244" s="55">
        <f>IF(物品!M263=0,0,"'"&amp;物品!M263&amp;"'")</f>
        <v>0</v>
      </c>
      <c r="M244" s="55">
        <f>IF(物品!N263=0,0,"'"&amp;物品!N263&amp;"'")</f>
        <v>0</v>
      </c>
      <c r="N244" s="55">
        <f>IF(物品!O263=0,0,"'"&amp;物品!O263&amp;"'")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物品!A264</f>
        <v>0</v>
      </c>
      <c r="B245" s="55" t="str">
        <f>"'"&amp;物品!B264&amp;"'"</f>
        <v>''</v>
      </c>
      <c r="C245" s="55">
        <f>物品!J264</f>
        <v>0</v>
      </c>
      <c r="D245" s="55">
        <f>物品!K264</f>
        <v>0</v>
      </c>
      <c r="E245" s="55">
        <f>物品!L264</f>
        <v>0</v>
      </c>
      <c r="F245" s="55">
        <f>物品!M264</f>
        <v>0</v>
      </c>
      <c r="G245" s="55">
        <f>物品!N264</f>
        <v>0</v>
      </c>
      <c r="H245" s="55">
        <f>物品!O264</f>
        <v>0</v>
      </c>
      <c r="I245" s="55">
        <f>IF(物品!J264=0,0,"'"&amp;物品!J264&amp;"'")</f>
        <v>0</v>
      </c>
      <c r="J245" s="55">
        <f>IF(物品!K264=0,0,"'"&amp;物品!K264&amp;"'")</f>
        <v>0</v>
      </c>
      <c r="K245" s="55">
        <f>IF(物品!L264=0,0,"'"&amp;物品!L264&amp;"'")</f>
        <v>0</v>
      </c>
      <c r="L245" s="55">
        <f>IF(物品!M264=0,0,"'"&amp;物品!M264&amp;"'")</f>
        <v>0</v>
      </c>
      <c r="M245" s="55">
        <f>IF(物品!N264=0,0,"'"&amp;物品!N264&amp;"'")</f>
        <v>0</v>
      </c>
      <c r="N245" s="55">
        <f>IF(物品!O264=0,0,"'"&amp;物品!O264&amp;"'")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物品!A265</f>
        <v>0</v>
      </c>
      <c r="B246" s="55" t="str">
        <f>"'"&amp;物品!B265&amp;"'"</f>
        <v>''</v>
      </c>
      <c r="C246" s="55">
        <f>物品!J265</f>
        <v>0</v>
      </c>
      <c r="D246" s="55">
        <f>物品!K265</f>
        <v>0</v>
      </c>
      <c r="E246" s="55">
        <f>物品!L265</f>
        <v>0</v>
      </c>
      <c r="F246" s="55">
        <f>物品!M265</f>
        <v>0</v>
      </c>
      <c r="G246" s="55">
        <f>物品!N265</f>
        <v>0</v>
      </c>
      <c r="H246" s="55">
        <f>物品!O265</f>
        <v>0</v>
      </c>
      <c r="I246" s="55">
        <f>IF(物品!J265=0,0,"'"&amp;物品!J265&amp;"'")</f>
        <v>0</v>
      </c>
      <c r="J246" s="55">
        <f>IF(物品!K265=0,0,"'"&amp;物品!K265&amp;"'")</f>
        <v>0</v>
      </c>
      <c r="K246" s="55">
        <f>IF(物品!L265=0,0,"'"&amp;物品!L265&amp;"'")</f>
        <v>0</v>
      </c>
      <c r="L246" s="55">
        <f>IF(物品!M265=0,0,"'"&amp;物品!M265&amp;"'")</f>
        <v>0</v>
      </c>
      <c r="M246" s="55">
        <f>IF(物品!N265=0,0,"'"&amp;物品!N265&amp;"'")</f>
        <v>0</v>
      </c>
      <c r="N246" s="55">
        <f>IF(物品!O265=0,0,"'"&amp;物品!O265&amp;"'")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物品!A266</f>
        <v>0</v>
      </c>
      <c r="B247" s="55" t="str">
        <f>"'"&amp;物品!B266&amp;"'"</f>
        <v>''</v>
      </c>
      <c r="C247" s="55">
        <f>物品!J266</f>
        <v>0</v>
      </c>
      <c r="D247" s="55">
        <f>物品!K266</f>
        <v>0</v>
      </c>
      <c r="E247" s="55">
        <f>物品!L266</f>
        <v>0</v>
      </c>
      <c r="F247" s="55">
        <f>物品!M266</f>
        <v>0</v>
      </c>
      <c r="G247" s="55">
        <f>物品!N266</f>
        <v>0</v>
      </c>
      <c r="H247" s="55">
        <f>物品!O266</f>
        <v>0</v>
      </c>
      <c r="I247" s="55">
        <f>IF(物品!J266=0,0,"'"&amp;物品!J266&amp;"'")</f>
        <v>0</v>
      </c>
      <c r="J247" s="55">
        <f>IF(物品!K266=0,0,"'"&amp;物品!K266&amp;"'")</f>
        <v>0</v>
      </c>
      <c r="K247" s="55">
        <f>IF(物品!L266=0,0,"'"&amp;物品!L266&amp;"'")</f>
        <v>0</v>
      </c>
      <c r="L247" s="55">
        <f>IF(物品!M266=0,0,"'"&amp;物品!M266&amp;"'")</f>
        <v>0</v>
      </c>
      <c r="M247" s="55">
        <f>IF(物品!N266=0,0,"'"&amp;物品!N266&amp;"'")</f>
        <v>0</v>
      </c>
      <c r="N247" s="55">
        <f>IF(物品!O266=0,0,"'"&amp;物品!O266&amp;"'")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物品!A267</f>
        <v>0</v>
      </c>
      <c r="B248" s="55" t="str">
        <f>"'"&amp;物品!B267&amp;"'"</f>
        <v>''</v>
      </c>
      <c r="C248" s="55">
        <f>物品!J267</f>
        <v>0</v>
      </c>
      <c r="D248" s="55">
        <f>物品!K267</f>
        <v>0</v>
      </c>
      <c r="E248" s="55">
        <f>物品!L267</f>
        <v>0</v>
      </c>
      <c r="F248" s="55">
        <f>物品!M267</f>
        <v>0</v>
      </c>
      <c r="G248" s="55">
        <f>物品!N267</f>
        <v>0</v>
      </c>
      <c r="H248" s="55">
        <f>物品!O267</f>
        <v>0</v>
      </c>
      <c r="I248" s="55">
        <f>IF(物品!J267=0,0,"'"&amp;物品!J267&amp;"'")</f>
        <v>0</v>
      </c>
      <c r="J248" s="55">
        <f>IF(物品!K267=0,0,"'"&amp;物品!K267&amp;"'")</f>
        <v>0</v>
      </c>
      <c r="K248" s="55">
        <f>IF(物品!L267=0,0,"'"&amp;物品!L267&amp;"'")</f>
        <v>0</v>
      </c>
      <c r="L248" s="55">
        <f>IF(物品!M267=0,0,"'"&amp;物品!M267&amp;"'")</f>
        <v>0</v>
      </c>
      <c r="M248" s="55">
        <f>IF(物品!N267=0,0,"'"&amp;物品!N267&amp;"'")</f>
        <v>0</v>
      </c>
      <c r="N248" s="55">
        <f>IF(物品!O267=0,0,"'"&amp;物品!O267&amp;"'")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物品!A268</f>
        <v>0</v>
      </c>
      <c r="B249" s="55" t="str">
        <f>"'"&amp;物品!B268&amp;"'"</f>
        <v>''</v>
      </c>
      <c r="C249" s="55">
        <f>物品!J268</f>
        <v>0</v>
      </c>
      <c r="D249" s="55">
        <f>物品!K268</f>
        <v>0</v>
      </c>
      <c r="E249" s="55">
        <f>物品!L268</f>
        <v>0</v>
      </c>
      <c r="F249" s="55">
        <f>物品!M268</f>
        <v>0</v>
      </c>
      <c r="G249" s="55">
        <f>物品!N268</f>
        <v>0</v>
      </c>
      <c r="H249" s="55">
        <f>物品!O268</f>
        <v>0</v>
      </c>
      <c r="I249" s="55">
        <f>IF(物品!J268=0,0,"'"&amp;物品!J268&amp;"'")</f>
        <v>0</v>
      </c>
      <c r="J249" s="55">
        <f>IF(物品!K268=0,0,"'"&amp;物品!K268&amp;"'")</f>
        <v>0</v>
      </c>
      <c r="K249" s="55">
        <f>IF(物品!L268=0,0,"'"&amp;物品!L268&amp;"'")</f>
        <v>0</v>
      </c>
      <c r="L249" s="55">
        <f>IF(物品!M268=0,0,"'"&amp;物品!M268&amp;"'")</f>
        <v>0</v>
      </c>
      <c r="M249" s="55">
        <f>IF(物品!N268=0,0,"'"&amp;物品!N268&amp;"'")</f>
        <v>0</v>
      </c>
      <c r="N249" s="55">
        <f>IF(物品!O268=0,0,"'"&amp;物品!O268&amp;"'")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物品!A269</f>
        <v>0</v>
      </c>
      <c r="B250" s="55" t="str">
        <f>"'"&amp;物品!B269&amp;"'"</f>
        <v>''</v>
      </c>
      <c r="C250" s="55">
        <f>物品!J269</f>
        <v>0</v>
      </c>
      <c r="D250" s="55">
        <f>物品!K269</f>
        <v>0</v>
      </c>
      <c r="E250" s="55">
        <f>物品!L269</f>
        <v>0</v>
      </c>
      <c r="F250" s="55">
        <f>物品!M269</f>
        <v>0</v>
      </c>
      <c r="G250" s="55">
        <f>物品!N269</f>
        <v>0</v>
      </c>
      <c r="H250" s="55">
        <f>物品!O269</f>
        <v>0</v>
      </c>
      <c r="I250" s="55">
        <f>IF(物品!J269=0,0,"'"&amp;物品!J269&amp;"'")</f>
        <v>0</v>
      </c>
      <c r="J250" s="55">
        <f>IF(物品!K269=0,0,"'"&amp;物品!K269&amp;"'")</f>
        <v>0</v>
      </c>
      <c r="K250" s="55">
        <f>IF(物品!L269=0,0,"'"&amp;物品!L269&amp;"'")</f>
        <v>0</v>
      </c>
      <c r="L250" s="55">
        <f>IF(物品!M269=0,0,"'"&amp;物品!M269&amp;"'")</f>
        <v>0</v>
      </c>
      <c r="M250" s="55">
        <f>IF(物品!N269=0,0,"'"&amp;物品!N269&amp;"'")</f>
        <v>0</v>
      </c>
      <c r="N250" s="55">
        <f>IF(物品!O269=0,0,"'"&amp;物品!O269&amp;"'")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物品!A270</f>
        <v>0</v>
      </c>
      <c r="B251" s="55" t="str">
        <f>"'"&amp;物品!B270&amp;"'"</f>
        <v>''</v>
      </c>
      <c r="C251" s="55">
        <f>物品!J270</f>
        <v>0</v>
      </c>
      <c r="D251" s="55">
        <f>物品!K270</f>
        <v>0</v>
      </c>
      <c r="E251" s="55">
        <f>物品!L270</f>
        <v>0</v>
      </c>
      <c r="F251" s="55">
        <f>物品!M270</f>
        <v>0</v>
      </c>
      <c r="G251" s="55">
        <f>物品!N270</f>
        <v>0</v>
      </c>
      <c r="H251" s="55">
        <f>物品!O270</f>
        <v>0</v>
      </c>
      <c r="I251" s="55">
        <f>IF(物品!J270=0,0,"'"&amp;物品!J270&amp;"'")</f>
        <v>0</v>
      </c>
      <c r="J251" s="55">
        <f>IF(物品!K270=0,0,"'"&amp;物品!K270&amp;"'")</f>
        <v>0</v>
      </c>
      <c r="K251" s="55">
        <f>IF(物品!L270=0,0,"'"&amp;物品!L270&amp;"'")</f>
        <v>0</v>
      </c>
      <c r="L251" s="55">
        <f>IF(物品!M270=0,0,"'"&amp;物品!M270&amp;"'")</f>
        <v>0</v>
      </c>
      <c r="M251" s="55">
        <f>IF(物品!N270=0,0,"'"&amp;物品!N270&amp;"'")</f>
        <v>0</v>
      </c>
      <c r="N251" s="55">
        <f>IF(物品!O270=0,0,"'"&amp;物品!O270&amp;"'")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物品!A271</f>
        <v>0</v>
      </c>
      <c r="B252" s="55" t="str">
        <f>"'"&amp;物品!B271&amp;"'"</f>
        <v>''</v>
      </c>
      <c r="C252" s="55">
        <f>物品!J271</f>
        <v>0</v>
      </c>
      <c r="D252" s="55">
        <f>物品!K271</f>
        <v>0</v>
      </c>
      <c r="E252" s="55">
        <f>物品!L271</f>
        <v>0</v>
      </c>
      <c r="F252" s="55">
        <f>物品!M271</f>
        <v>0</v>
      </c>
      <c r="G252" s="55">
        <f>物品!N271</f>
        <v>0</v>
      </c>
      <c r="H252" s="55">
        <f>物品!O271</f>
        <v>0</v>
      </c>
      <c r="I252" s="55">
        <f>IF(物品!J271=0,0,"'"&amp;物品!J271&amp;"'")</f>
        <v>0</v>
      </c>
      <c r="J252" s="55">
        <f>IF(物品!K271=0,0,"'"&amp;物品!K271&amp;"'")</f>
        <v>0</v>
      </c>
      <c r="K252" s="55">
        <f>IF(物品!L271=0,0,"'"&amp;物品!L271&amp;"'")</f>
        <v>0</v>
      </c>
      <c r="L252" s="55">
        <f>IF(物品!M271=0,0,"'"&amp;物品!M271&amp;"'")</f>
        <v>0</v>
      </c>
      <c r="M252" s="55">
        <f>IF(物品!N271=0,0,"'"&amp;物品!N271&amp;"'")</f>
        <v>0</v>
      </c>
      <c r="N252" s="55">
        <f>IF(物品!O271=0,0,"'"&amp;物品!O271&amp;"'")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物品!A272</f>
        <v>0</v>
      </c>
      <c r="B253" s="55" t="str">
        <f>"'"&amp;物品!B272&amp;"'"</f>
        <v>''</v>
      </c>
      <c r="C253" s="55">
        <f>物品!J272</f>
        <v>0</v>
      </c>
      <c r="D253" s="55">
        <f>物品!K272</f>
        <v>0</v>
      </c>
      <c r="E253" s="55">
        <f>物品!L272</f>
        <v>0</v>
      </c>
      <c r="F253" s="55">
        <f>物品!M272</f>
        <v>0</v>
      </c>
      <c r="G253" s="55">
        <f>物品!N272</f>
        <v>0</v>
      </c>
      <c r="H253" s="55">
        <f>物品!O272</f>
        <v>0</v>
      </c>
      <c r="I253" s="55">
        <f>IF(物品!J272=0,0,"'"&amp;物品!J272&amp;"'")</f>
        <v>0</v>
      </c>
      <c r="J253" s="55">
        <f>IF(物品!K272=0,0,"'"&amp;物品!K272&amp;"'")</f>
        <v>0</v>
      </c>
      <c r="K253" s="55">
        <f>IF(物品!L272=0,0,"'"&amp;物品!L272&amp;"'")</f>
        <v>0</v>
      </c>
      <c r="L253" s="55">
        <f>IF(物品!M272=0,0,"'"&amp;物品!M272&amp;"'")</f>
        <v>0</v>
      </c>
      <c r="M253" s="55">
        <f>IF(物品!N272=0,0,"'"&amp;物品!N272&amp;"'")</f>
        <v>0</v>
      </c>
      <c r="N253" s="55">
        <f>IF(物品!O272=0,0,"'"&amp;物品!O272&amp;"'")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物品!A273</f>
        <v>0</v>
      </c>
      <c r="B254" s="55" t="str">
        <f>"'"&amp;物品!B273&amp;"'"</f>
        <v>''</v>
      </c>
      <c r="C254" s="55">
        <f>物品!J273</f>
        <v>0</v>
      </c>
      <c r="D254" s="55">
        <f>物品!K273</f>
        <v>0</v>
      </c>
      <c r="E254" s="55">
        <f>物品!L273</f>
        <v>0</v>
      </c>
      <c r="F254" s="55">
        <f>物品!M273</f>
        <v>0</v>
      </c>
      <c r="G254" s="55">
        <f>物品!N273</f>
        <v>0</v>
      </c>
      <c r="H254" s="55">
        <f>物品!O273</f>
        <v>0</v>
      </c>
      <c r="I254" s="55">
        <f>IF(物品!J273=0,0,"'"&amp;物品!J273&amp;"'")</f>
        <v>0</v>
      </c>
      <c r="J254" s="55">
        <f>IF(物品!K273=0,0,"'"&amp;物品!K273&amp;"'")</f>
        <v>0</v>
      </c>
      <c r="K254" s="55">
        <f>IF(物品!L273=0,0,"'"&amp;物品!L273&amp;"'")</f>
        <v>0</v>
      </c>
      <c r="L254" s="55">
        <f>IF(物品!M273=0,0,"'"&amp;物品!M273&amp;"'")</f>
        <v>0</v>
      </c>
      <c r="M254" s="55">
        <f>IF(物品!N273=0,0,"'"&amp;物品!N273&amp;"'")</f>
        <v>0</v>
      </c>
      <c r="N254" s="55">
        <f>IF(物品!O273=0,0,"'"&amp;物品!O273&amp;"'")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物品!A274</f>
        <v>0</v>
      </c>
      <c r="B255" s="55" t="str">
        <f>"'"&amp;物品!B274&amp;"'"</f>
        <v>''</v>
      </c>
      <c r="C255" s="55">
        <f>物品!J274</f>
        <v>0</v>
      </c>
      <c r="D255" s="55">
        <f>物品!K274</f>
        <v>0</v>
      </c>
      <c r="E255" s="55">
        <f>物品!L274</f>
        <v>0</v>
      </c>
      <c r="F255" s="55">
        <f>物品!M274</f>
        <v>0</v>
      </c>
      <c r="G255" s="55">
        <f>物品!N274</f>
        <v>0</v>
      </c>
      <c r="H255" s="55">
        <f>物品!O274</f>
        <v>0</v>
      </c>
      <c r="I255" s="55">
        <f>IF(物品!J274=0,0,"'"&amp;物品!J274&amp;"'")</f>
        <v>0</v>
      </c>
      <c r="J255" s="55">
        <f>IF(物品!K274=0,0,"'"&amp;物品!K274&amp;"'")</f>
        <v>0</v>
      </c>
      <c r="K255" s="55">
        <f>IF(物品!L274=0,0,"'"&amp;物品!L274&amp;"'")</f>
        <v>0</v>
      </c>
      <c r="L255" s="55">
        <f>IF(物品!M274=0,0,"'"&amp;物品!M274&amp;"'")</f>
        <v>0</v>
      </c>
      <c r="M255" s="55">
        <f>IF(物品!N274=0,0,"'"&amp;物品!N274&amp;"'")</f>
        <v>0</v>
      </c>
      <c r="N255" s="55">
        <f>IF(物品!O274=0,0,"'"&amp;物品!O274&amp;"'")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物品!A275</f>
        <v>0</v>
      </c>
      <c r="B256" s="55" t="str">
        <f>"'"&amp;物品!B275&amp;"'"</f>
        <v>''</v>
      </c>
      <c r="C256" s="55">
        <f>物品!J275</f>
        <v>0</v>
      </c>
      <c r="D256" s="55">
        <f>物品!K275</f>
        <v>0</v>
      </c>
      <c r="E256" s="55">
        <f>物品!L275</f>
        <v>0</v>
      </c>
      <c r="F256" s="55">
        <f>物品!M275</f>
        <v>0</v>
      </c>
      <c r="G256" s="55">
        <f>物品!N275</f>
        <v>0</v>
      </c>
      <c r="H256" s="55">
        <f>物品!O275</f>
        <v>0</v>
      </c>
      <c r="I256" s="55">
        <f>IF(物品!J275=0,0,"'"&amp;物品!J275&amp;"'")</f>
        <v>0</v>
      </c>
      <c r="J256" s="55">
        <f>IF(物品!K275=0,0,"'"&amp;物品!K275&amp;"'")</f>
        <v>0</v>
      </c>
      <c r="K256" s="55">
        <f>IF(物品!L275=0,0,"'"&amp;物品!L275&amp;"'")</f>
        <v>0</v>
      </c>
      <c r="L256" s="55">
        <f>IF(物品!M275=0,0,"'"&amp;物品!M275&amp;"'")</f>
        <v>0</v>
      </c>
      <c r="M256" s="55">
        <f>IF(物品!N275=0,0,"'"&amp;物品!N275&amp;"'")</f>
        <v>0</v>
      </c>
      <c r="N256" s="55">
        <f>IF(物品!O275=0,0,"'"&amp;物品!O275&amp;"'")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物品!A276</f>
        <v>0</v>
      </c>
      <c r="B257" s="55" t="str">
        <f>"'"&amp;物品!B276&amp;"'"</f>
        <v>''</v>
      </c>
      <c r="C257" s="55">
        <f>物品!J276</f>
        <v>0</v>
      </c>
      <c r="D257" s="55">
        <f>物品!K276</f>
        <v>0</v>
      </c>
      <c r="E257" s="55">
        <f>物品!L276</f>
        <v>0</v>
      </c>
      <c r="F257" s="55">
        <f>物品!M276</f>
        <v>0</v>
      </c>
      <c r="G257" s="55">
        <f>物品!N276</f>
        <v>0</v>
      </c>
      <c r="H257" s="55">
        <f>物品!O276</f>
        <v>0</v>
      </c>
      <c r="I257" s="55">
        <f>IF(物品!J276=0,0,"'"&amp;物品!J276&amp;"'")</f>
        <v>0</v>
      </c>
      <c r="J257" s="55">
        <f>IF(物品!K276=0,0,"'"&amp;物品!K276&amp;"'")</f>
        <v>0</v>
      </c>
      <c r="K257" s="55">
        <f>IF(物品!L276=0,0,"'"&amp;物品!L276&amp;"'")</f>
        <v>0</v>
      </c>
      <c r="L257" s="55">
        <f>IF(物品!M276=0,0,"'"&amp;物品!M276&amp;"'")</f>
        <v>0</v>
      </c>
      <c r="M257" s="55">
        <f>IF(物品!N276=0,0,"'"&amp;物品!N276&amp;"'")</f>
        <v>0</v>
      </c>
      <c r="N257" s="55">
        <f>IF(物品!O276=0,0,"'"&amp;物品!O276&amp;"'")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物品!A277</f>
        <v>0</v>
      </c>
      <c r="B258" s="55" t="str">
        <f>"'"&amp;物品!B277&amp;"'"</f>
        <v>''</v>
      </c>
      <c r="C258" s="55">
        <f>物品!J277</f>
        <v>0</v>
      </c>
      <c r="D258" s="55">
        <f>物品!K277</f>
        <v>0</v>
      </c>
      <c r="E258" s="55">
        <f>物品!L277</f>
        <v>0</v>
      </c>
      <c r="F258" s="55">
        <f>物品!M277</f>
        <v>0</v>
      </c>
      <c r="G258" s="55">
        <f>物品!N277</f>
        <v>0</v>
      </c>
      <c r="H258" s="55">
        <f>物品!O277</f>
        <v>0</v>
      </c>
      <c r="I258" s="55">
        <f>IF(物品!J277=0,0,"'"&amp;物品!J277&amp;"'")</f>
        <v>0</v>
      </c>
      <c r="J258" s="55">
        <f>IF(物品!K277=0,0,"'"&amp;物品!K277&amp;"'")</f>
        <v>0</v>
      </c>
      <c r="K258" s="55">
        <f>IF(物品!L277=0,0,"'"&amp;物品!L277&amp;"'")</f>
        <v>0</v>
      </c>
      <c r="L258" s="55">
        <f>IF(物品!M277=0,0,"'"&amp;物品!M277&amp;"'")</f>
        <v>0</v>
      </c>
      <c r="M258" s="55">
        <f>IF(物品!N277=0,0,"'"&amp;物品!N277&amp;"'")</f>
        <v>0</v>
      </c>
      <c r="N258" s="55">
        <f>IF(物品!O277=0,0,"'"&amp;物品!O277&amp;"'")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物品!A278</f>
        <v>0</v>
      </c>
      <c r="B259" s="55" t="str">
        <f>"'"&amp;物品!B278&amp;"'"</f>
        <v>''</v>
      </c>
      <c r="C259" s="55">
        <f>物品!J278</f>
        <v>0</v>
      </c>
      <c r="D259" s="55">
        <f>物品!K278</f>
        <v>0</v>
      </c>
      <c r="E259" s="55">
        <f>物品!L278</f>
        <v>0</v>
      </c>
      <c r="F259" s="55">
        <f>物品!M278</f>
        <v>0</v>
      </c>
      <c r="G259" s="55">
        <f>物品!N278</f>
        <v>0</v>
      </c>
      <c r="H259" s="55">
        <f>物品!O278</f>
        <v>0</v>
      </c>
      <c r="I259" s="55">
        <f>IF(物品!J278=0,0,"'"&amp;物品!J278&amp;"'")</f>
        <v>0</v>
      </c>
      <c r="J259" s="55">
        <f>IF(物品!K278=0,0,"'"&amp;物品!K278&amp;"'")</f>
        <v>0</v>
      </c>
      <c r="K259" s="55">
        <f>IF(物品!L278=0,0,"'"&amp;物品!L278&amp;"'")</f>
        <v>0</v>
      </c>
      <c r="L259" s="55">
        <f>IF(物品!M278=0,0,"'"&amp;物品!M278&amp;"'")</f>
        <v>0</v>
      </c>
      <c r="M259" s="55">
        <f>IF(物品!N278=0,0,"'"&amp;物品!N278&amp;"'")</f>
        <v>0</v>
      </c>
      <c r="N259" s="55">
        <f>IF(物品!O278=0,0,"'"&amp;物品!O278&amp;"'")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物品!A279</f>
        <v>0</v>
      </c>
      <c r="B260" s="55" t="str">
        <f>"'"&amp;物品!B279&amp;"'"</f>
        <v>''</v>
      </c>
      <c r="C260" s="55">
        <f>物品!J279</f>
        <v>0</v>
      </c>
      <c r="D260" s="55">
        <f>物品!K279</f>
        <v>0</v>
      </c>
      <c r="E260" s="55">
        <f>物品!L279</f>
        <v>0</v>
      </c>
      <c r="F260" s="55">
        <f>物品!M279</f>
        <v>0</v>
      </c>
      <c r="G260" s="55">
        <f>物品!N279</f>
        <v>0</v>
      </c>
      <c r="H260" s="55">
        <f>物品!O279</f>
        <v>0</v>
      </c>
      <c r="I260" s="55">
        <f>IF(物品!J279=0,0,"'"&amp;物品!J279&amp;"'")</f>
        <v>0</v>
      </c>
      <c r="J260" s="55">
        <f>IF(物品!K279=0,0,"'"&amp;物品!K279&amp;"'")</f>
        <v>0</v>
      </c>
      <c r="K260" s="55">
        <f>IF(物品!L279=0,0,"'"&amp;物品!L279&amp;"'")</f>
        <v>0</v>
      </c>
      <c r="L260" s="55">
        <f>IF(物品!M279=0,0,"'"&amp;物品!M279&amp;"'")</f>
        <v>0</v>
      </c>
      <c r="M260" s="55">
        <f>IF(物品!N279=0,0,"'"&amp;物品!N279&amp;"'")</f>
        <v>0</v>
      </c>
      <c r="N260" s="55">
        <f>IF(物品!O279=0,0,"'"&amp;物品!O279&amp;"'")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物品!A280</f>
        <v>0</v>
      </c>
      <c r="B261" s="55" t="str">
        <f>"'"&amp;物品!B280&amp;"'"</f>
        <v>''</v>
      </c>
      <c r="C261" s="55">
        <f>物品!J280</f>
        <v>0</v>
      </c>
      <c r="D261" s="55">
        <f>物品!K280</f>
        <v>0</v>
      </c>
      <c r="E261" s="55">
        <f>物品!L280</f>
        <v>0</v>
      </c>
      <c r="F261" s="55">
        <f>物品!M280</f>
        <v>0</v>
      </c>
      <c r="G261" s="55">
        <f>物品!N280</f>
        <v>0</v>
      </c>
      <c r="H261" s="55">
        <f>物品!O280</f>
        <v>0</v>
      </c>
      <c r="I261" s="55">
        <f>IF(物品!J280=0,0,"'"&amp;物品!J280&amp;"'")</f>
        <v>0</v>
      </c>
      <c r="J261" s="55">
        <f>IF(物品!K280=0,0,"'"&amp;物品!K280&amp;"'")</f>
        <v>0</v>
      </c>
      <c r="K261" s="55">
        <f>IF(物品!L280=0,0,"'"&amp;物品!L280&amp;"'")</f>
        <v>0</v>
      </c>
      <c r="L261" s="55">
        <f>IF(物品!M280=0,0,"'"&amp;物品!M280&amp;"'")</f>
        <v>0</v>
      </c>
      <c r="M261" s="55">
        <f>IF(物品!N280=0,0,"'"&amp;物品!N280&amp;"'")</f>
        <v>0</v>
      </c>
      <c r="N261" s="55">
        <f>IF(物品!O280=0,0,"'"&amp;物品!O280&amp;"'")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物品!A281</f>
        <v>0</v>
      </c>
      <c r="B262" s="55" t="str">
        <f>"'"&amp;物品!B281&amp;"'"</f>
        <v>''</v>
      </c>
      <c r="C262" s="55">
        <f>物品!J281</f>
        <v>0</v>
      </c>
      <c r="D262" s="55">
        <f>物品!K281</f>
        <v>0</v>
      </c>
      <c r="E262" s="55">
        <f>物品!L281</f>
        <v>0</v>
      </c>
      <c r="F262" s="55">
        <f>物品!M281</f>
        <v>0</v>
      </c>
      <c r="G262" s="55">
        <f>物品!N281</f>
        <v>0</v>
      </c>
      <c r="H262" s="55">
        <f>物品!O281</f>
        <v>0</v>
      </c>
      <c r="I262" s="55">
        <f>IF(物品!J281=0,0,"'"&amp;物品!J281&amp;"'")</f>
        <v>0</v>
      </c>
      <c r="J262" s="55">
        <f>IF(物品!K281=0,0,"'"&amp;物品!K281&amp;"'")</f>
        <v>0</v>
      </c>
      <c r="K262" s="55">
        <f>IF(物品!L281=0,0,"'"&amp;物品!L281&amp;"'")</f>
        <v>0</v>
      </c>
      <c r="L262" s="55">
        <f>IF(物品!M281=0,0,"'"&amp;物品!M281&amp;"'")</f>
        <v>0</v>
      </c>
      <c r="M262" s="55">
        <f>IF(物品!N281=0,0,"'"&amp;物品!N281&amp;"'")</f>
        <v>0</v>
      </c>
      <c r="N262" s="55">
        <f>IF(物品!O281=0,0,"'"&amp;物品!O281&amp;"'")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物品!A282</f>
        <v>0</v>
      </c>
      <c r="B263" s="55" t="str">
        <f>"'"&amp;物品!B282&amp;"'"</f>
        <v>''</v>
      </c>
      <c r="C263" s="55">
        <f>物品!J282</f>
        <v>0</v>
      </c>
      <c r="D263" s="55">
        <f>物品!K282</f>
        <v>0</v>
      </c>
      <c r="E263" s="55">
        <f>物品!L282</f>
        <v>0</v>
      </c>
      <c r="F263" s="55">
        <f>物品!M282</f>
        <v>0</v>
      </c>
      <c r="G263" s="55">
        <f>物品!N282</f>
        <v>0</v>
      </c>
      <c r="H263" s="55">
        <f>物品!O282</f>
        <v>0</v>
      </c>
      <c r="I263" s="55">
        <f>IF(物品!J282=0,0,"'"&amp;物品!J282&amp;"'")</f>
        <v>0</v>
      </c>
      <c r="J263" s="55">
        <f>IF(物品!K282=0,0,"'"&amp;物品!K282&amp;"'")</f>
        <v>0</v>
      </c>
      <c r="K263" s="55">
        <f>IF(物品!L282=0,0,"'"&amp;物品!L282&amp;"'")</f>
        <v>0</v>
      </c>
      <c r="L263" s="55">
        <f>IF(物品!M282=0,0,"'"&amp;物品!M282&amp;"'")</f>
        <v>0</v>
      </c>
      <c r="M263" s="55">
        <f>IF(物品!N282=0,0,"'"&amp;物品!N282&amp;"'")</f>
        <v>0</v>
      </c>
      <c r="N263" s="55">
        <f>IF(物品!O282=0,0,"'"&amp;物品!O282&amp;"'")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805</v>
      </c>
      <c r="H1" s="39" t="s">
        <v>806</v>
      </c>
      <c r="I1" s="43" t="s">
        <v>807</v>
      </c>
      <c r="J1" s="44" t="s">
        <v>803</v>
      </c>
      <c r="K1" s="45" t="s">
        <v>125</v>
      </c>
      <c r="L1" s="46" t="s">
        <v>126</v>
      </c>
      <c r="M1" s="47" t="s">
        <v>808</v>
      </c>
      <c r="N1" s="48" t="s">
        <v>809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IF(物品!B179="",0,"'"&amp;物品!B179&amp;"'")</f>
        <v>'IS02'</v>
      </c>
      <c r="B110" t="e">
        <f>物品!#REF!</f>
        <v>#REF!</v>
      </c>
      <c r="C110">
        <f>物品!E179</f>
        <v>0</v>
      </c>
      <c r="D110">
        <f>物品!F179</f>
        <v>0</v>
      </c>
      <c r="E110">
        <f>IF(ISTEXT(物品!G179)=TRUE,"'"&amp;物品!G179&amp;"'",物品!G179)</f>
        <v>0</v>
      </c>
      <c r="F110">
        <f>IF(ISTEXT(物品!H179)=TRUE,"'"&amp;物品!H179&amp;"'",物品!H179)</f>
        <v>0</v>
      </c>
      <c r="G110">
        <f>IF(物品!I179="",0,"'"&amp;物品!I179&amp;"'")</f>
        <v>0</v>
      </c>
      <c r="H110">
        <f>IF(物品!R179="",0,物品!R179)</f>
        <v>0</v>
      </c>
      <c r="I110">
        <f>IF(物品!S179="",0,物品!S179)</f>
        <v>0</v>
      </c>
      <c r="J110" t="str">
        <f>IF(物品!C179="",0,""""&amp;物品!C179&amp;"""")</f>
        <v>"学习W技能"</v>
      </c>
      <c r="K110" t="str">
        <f>IF(物品!T179="","""""",""""&amp;物品!T179&amp;"""")</f>
        <v>"学习或重置当前|cffffd24dW技能|r。|n|cffffcc00抽取消耗：|r5000金币*次数|n|cffffcc00抽取次数：|r0/10|n|n|cff00ff7f单局最多抽取10次|r"</v>
      </c>
      <c r="L110" t="str">
        <f>IF(物品!U179="",0,""""&amp;物品!U179&amp;"""")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IF(物品!B180="",0,"'"&amp;物品!B180&amp;"'")</f>
        <v>'IS03'</v>
      </c>
      <c r="B111" t="e">
        <f>物品!#REF!</f>
        <v>#REF!</v>
      </c>
      <c r="C111">
        <f>物品!E180</f>
        <v>0</v>
      </c>
      <c r="D111">
        <f>物品!F180</f>
        <v>0</v>
      </c>
      <c r="E111">
        <f>IF(ISTEXT(物品!G180)=TRUE,"'"&amp;物品!G180&amp;"'",物品!G180)</f>
        <v>0</v>
      </c>
      <c r="F111">
        <f>IF(ISTEXT(物品!H180)=TRUE,"'"&amp;物品!H180&amp;"'",物品!H180)</f>
        <v>0</v>
      </c>
      <c r="G111">
        <f>IF(物品!I180="",0,"'"&amp;物品!I180&amp;"'")</f>
        <v>0</v>
      </c>
      <c r="H111">
        <f>IF(物品!R180="",0,物品!R180)</f>
        <v>0</v>
      </c>
      <c r="I111">
        <f>IF(物品!S180="",0,物品!S180)</f>
        <v>0</v>
      </c>
      <c r="J111" t="str">
        <f>IF(物品!C180="",0,""""&amp;物品!C180&amp;"""")</f>
        <v>"学习E技能"</v>
      </c>
      <c r="K111" t="str">
        <f>IF(物品!T180="","""""",""""&amp;物品!T180&amp;"""")</f>
        <v>"学习或重置当前|cffffd24dE技能|r。|n|cffffcc00抽取消耗：|r15000金币*次数|n|cffffcc00抽取次数：|r0/10|n|n|cff00ff7f单局最多抽取10次|r"</v>
      </c>
      <c r="L111" t="str">
        <f>IF(物品!U180="",0,""""&amp;物品!U180&amp;"""")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IF(物品!B188="",0,"'"&amp;物品!B188&amp;"'")</f>
        <v>'IS12'</v>
      </c>
      <c r="B114" t="e">
        <f>物品!#REF!</f>
        <v>#REF!</v>
      </c>
      <c r="C114">
        <f>物品!E188</f>
        <v>0</v>
      </c>
      <c r="D114">
        <f>物品!F188</f>
        <v>0</v>
      </c>
      <c r="E114">
        <f>IF(ISTEXT(物品!G188)=TRUE,"'"&amp;物品!G188&amp;"'",物品!G188)</f>
        <v>0</v>
      </c>
      <c r="F114">
        <f>IF(ISTEXT(物品!H188)=TRUE,"'"&amp;物品!H188&amp;"'",物品!H188)</f>
        <v>0</v>
      </c>
      <c r="G114">
        <f>IF(物品!I188="",0,"'"&amp;物品!I188&amp;"'")</f>
        <v>0</v>
      </c>
      <c r="H114">
        <f>IF(物品!R188="",0,物品!R188)</f>
        <v>0</v>
      </c>
      <c r="I114">
        <f>IF(物品!S188="",0,物品!S188)</f>
        <v>0</v>
      </c>
      <c r="J114" t="str">
        <f>IF(物品!C188="",0,""""&amp;物品!C188&amp;"""")</f>
        <v>"|CffFFD24D兽魂抽奖|r"</v>
      </c>
      <c r="K114" t="str">
        <f>IF(物品!T188="","""""",""""&amp;物品!T188&amp;"""")</f>
        <v>"|CffFFD24D兽魂抽奖|r"</v>
      </c>
      <c r="L114" t="str">
        <f>IF(物品!U188="",0,""""&amp;物品!U188&amp;"""")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IF(物品!B194="",0,"'"&amp;物品!B194&amp;"'")</f>
        <v>'IB01'</v>
      </c>
      <c r="B123" t="e">
        <f>物品!#REF!</f>
        <v>#REF!</v>
      </c>
      <c r="C123">
        <f>物品!E194</f>
        <v>0</v>
      </c>
      <c r="D123">
        <f>物品!F194</f>
        <v>0</v>
      </c>
      <c r="E123">
        <f>IF(ISTEXT(物品!G194)=TRUE,"'"&amp;物品!G194&amp;"'",物品!G194)</f>
        <v>0</v>
      </c>
      <c r="F123">
        <f>IF(ISTEXT(物品!H194)=TRUE,"'"&amp;物品!H194&amp;"'",物品!H194)</f>
        <v>0</v>
      </c>
      <c r="G123">
        <f>IF(物品!I194="",0,"'"&amp;物品!I194&amp;"'")</f>
        <v>0</v>
      </c>
      <c r="H123">
        <f>IF(物品!R194="",0,物品!R194)</f>
        <v>0</v>
      </c>
      <c r="I123">
        <f>IF(物品!S194="",0,物品!S194)</f>
        <v>0</v>
      </c>
      <c r="J123" t="str">
        <f>IF(物品!C194="",0,""""&amp;物品!C194&amp;"""")</f>
        <v>"公众号礼包"</v>
      </c>
      <c r="K123" t="str">
        <f>IF(物品!T194="","""""",""""&amp;物品!T194&amp;"""")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IF(物品!U194="",0,""""&amp;物品!U194&amp;"""")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IF(物品!B195="",0,"'"&amp;物品!B195&amp;"'")</f>
        <v>'IB02'</v>
      </c>
      <c r="B124" t="e">
        <f>物品!#REF!</f>
        <v>#REF!</v>
      </c>
      <c r="C124">
        <f>物品!E195</f>
        <v>0</v>
      </c>
      <c r="D124">
        <f>物品!F195</f>
        <v>0</v>
      </c>
      <c r="E124">
        <f>IF(ISTEXT(物品!G195)=TRUE,"'"&amp;物品!G195&amp;"'",物品!G195)</f>
        <v>0</v>
      </c>
      <c r="F124">
        <f>IF(ISTEXT(物品!H195)=TRUE,"'"&amp;物品!H195&amp;"'",物品!H195)</f>
        <v>0</v>
      </c>
      <c r="G124">
        <f>IF(物品!I195="",0,"'"&amp;物品!I195&amp;"'")</f>
        <v>0</v>
      </c>
      <c r="H124">
        <f>IF(物品!R195="",0,物品!R195)</f>
        <v>0</v>
      </c>
      <c r="I124">
        <f>IF(物品!S195="",0,物品!S195)</f>
        <v>0</v>
      </c>
      <c r="J124" t="str">
        <f>IF(物品!C195="",0,""""&amp;物品!C195&amp;"""")</f>
        <v>"入群礼包"</v>
      </c>
      <c r="K124" t="str">
        <f>IF(物品!T195="","""""",""""&amp;物品!T195&amp;"""")</f>
        <v>"加入《|cff00ffcc全民封神|r》官方QQ群，即可获得入群礼包码！|n|n输入礼包码即可获得：|n|cff00ff7f招魂幡Lv2|r"</v>
      </c>
      <c r="L124" t="str">
        <f>IF(物品!U195="",0,""""&amp;物品!U195&amp;"""")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IF(物品!B196="",0,"'"&amp;物品!B196&amp;"'")</f>
        <v>'IB03'</v>
      </c>
      <c r="B125" t="e">
        <f>物品!#REF!</f>
        <v>#REF!</v>
      </c>
      <c r="C125">
        <f>物品!E196</f>
        <v>0</v>
      </c>
      <c r="D125">
        <f>物品!F196</f>
        <v>0</v>
      </c>
      <c r="E125">
        <f>IF(ISTEXT(物品!G196)=TRUE,"'"&amp;物品!G196&amp;"'",物品!G196)</f>
        <v>0</v>
      </c>
      <c r="F125">
        <f>IF(ISTEXT(物品!H196)=TRUE,"'"&amp;物品!H196&amp;"'",物品!H196)</f>
        <v>0</v>
      </c>
      <c r="G125">
        <f>IF(物品!I196="",0,"'"&amp;物品!I196&amp;"'")</f>
        <v>0</v>
      </c>
      <c r="H125">
        <f>IF(物品!R196="",0,物品!R196)</f>
        <v>0</v>
      </c>
      <c r="I125">
        <f>IF(物品!S196="",0,物品!S196)</f>
        <v>0</v>
      </c>
      <c r="J125" t="str">
        <f>IF(物品!C196="",0,""""&amp;物品!C196&amp;"""")</f>
        <v>"拜年礼包"</v>
      </c>
      <c r="K125" t="str">
        <f>IF(物品!T196="","""""",""""&amp;物品!T196&amp;"""")</f>
        <v>"|cff99ccff给与地图有效评论建议|r即可领取：|n|cffffff00杀敌生命+5+3*通行证等级|n杀敌业力+1|n|n|r|cff808080地图等级达到3级可领取|r"</v>
      </c>
      <c r="L125" t="str">
        <f>IF(物品!U196="",0,""""&amp;物品!U196&amp;"""")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IF(物品!B197="",0,"'"&amp;物品!B197&amp;"'")</f>
        <v>'IB04'</v>
      </c>
      <c r="B126" t="e">
        <f>物品!#REF!</f>
        <v>#REF!</v>
      </c>
      <c r="C126">
        <f>物品!E197</f>
        <v>0</v>
      </c>
      <c r="D126">
        <f>物品!F197</f>
        <v>0</v>
      </c>
      <c r="E126">
        <f>IF(ISTEXT(物品!G197)=TRUE,"'"&amp;物品!G197&amp;"'",物品!G197)</f>
        <v>0</v>
      </c>
      <c r="F126">
        <f>IF(ISTEXT(物品!H197)=TRUE,"'"&amp;物品!H197&amp;"'",物品!H197)</f>
        <v>0</v>
      </c>
      <c r="G126">
        <f>IF(物品!I197="",0,"'"&amp;物品!I197&amp;"'")</f>
        <v>0</v>
      </c>
      <c r="H126">
        <f>IF(物品!R197="",0,物品!R197)</f>
        <v>0</v>
      </c>
      <c r="I126">
        <f>IF(物品!S197="",0,物品!S197)</f>
        <v>0</v>
      </c>
      <c r="J126" t="str">
        <f>IF(物品!C197="",0,""""&amp;物品!C197&amp;"""")</f>
        <v>"收藏礼包"</v>
      </c>
      <c r="K126" t="str">
        <f>IF(物品!T197="","""""",""""&amp;物品!T197&amp;"""")</f>
        <v>"|cff99ccff房间大厅界面点击右上角《|r|cffcc99ff收藏|r|cff99ccff》后可领取该礼包。|n|n|r属性：|n|cffffcc33物理伤害+5%|n法术伤害+5%|r"</v>
      </c>
      <c r="L126" t="str">
        <f>IF(物品!U197="",0,""""&amp;物品!U197&amp;"""")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IF(物品!B198="",0,"'"&amp;物品!B198&amp;"'")</f>
        <v>'IB05'</v>
      </c>
      <c r="B127" t="e">
        <f>物品!#REF!</f>
        <v>#REF!</v>
      </c>
      <c r="C127">
        <f>物品!E198</f>
        <v>0</v>
      </c>
      <c r="D127">
        <f>物品!F198</f>
        <v>0</v>
      </c>
      <c r="E127">
        <f>IF(ISTEXT(物品!G198)=TRUE,"'"&amp;物品!G198&amp;"'",物品!G198)</f>
        <v>0</v>
      </c>
      <c r="F127">
        <f>IF(ISTEXT(物品!H198)=TRUE,"'"&amp;物品!H198&amp;"'",物品!H198)</f>
        <v>0</v>
      </c>
      <c r="G127">
        <f>IF(物品!I198="",0,"'"&amp;物品!I198&amp;"'")</f>
        <v>0</v>
      </c>
      <c r="H127">
        <f>IF(物品!R198="",0,物品!R198)</f>
        <v>0</v>
      </c>
      <c r="I127">
        <f>IF(物品!S198="",0,物品!S198)</f>
        <v>0</v>
      </c>
      <c r="J127" t="str">
        <f>IF(物品!C198="",0,""""&amp;物品!C198&amp;"""")</f>
        <v>"重置版礼包"</v>
      </c>
      <c r="K127" t="str">
        <f>IF(物品!T198="","""""",""""&amp;物品!T198&amp;"""")</f>
        <v>"|cff33ff00购买魔兽重制版可领取该礼包！|n|n|r属性：|n|cffffcc33金币+1000|n每秒攻击+2|n每秒业力+1|r"</v>
      </c>
      <c r="L127" t="str">
        <f>IF(物品!U198="",0,""""&amp;物品!U198&amp;"""")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IF(物品!B212="",0,"'"&amp;物品!B212&amp;"'")</f>
        <v>'IF01'</v>
      </c>
      <c r="B128">
        <f>物品!D125</f>
        <v>0</v>
      </c>
      <c r="C128">
        <f>物品!E212</f>
        <v>0</v>
      </c>
      <c r="D128">
        <f>物品!F212</f>
        <v>0</v>
      </c>
      <c r="E128">
        <f>IF(ISTEXT(物品!G212)=TRUE,"'"&amp;物品!G212&amp;"'",物品!G212)</f>
        <v>0</v>
      </c>
      <c r="F128">
        <f>IF(ISTEXT(物品!H212)=TRUE,"'"&amp;物品!H212&amp;"'",物品!H212)</f>
        <v>0</v>
      </c>
      <c r="G128">
        <f>IF(物品!I212="",0,"'"&amp;物品!I212&amp;"'")</f>
        <v>0</v>
      </c>
      <c r="H128">
        <f>IF(物品!R212="",0,物品!R212)</f>
        <v>0</v>
      </c>
      <c r="I128">
        <f>IF(物品!S212="",0,物品!S212)</f>
        <v>0</v>
      </c>
      <c r="J128" t="str">
        <f>IF(物品!C212="",0,""""&amp;物品!C212&amp;"""")</f>
        <v>"附魔"</v>
      </c>
      <c r="K128" t="str">
        <f>IF(物品!T212="","""""",""""&amp;物品!T212&amp;"""")</f>
        <v>""</v>
      </c>
      <c r="L128">
        <f>IF(物品!U212="",0,""""&amp;物品!U212&amp;"""")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IF(物品!B213="",0,"'"&amp;物品!B213&amp;"'")</f>
        <v>'IF02'</v>
      </c>
      <c r="B129" t="e">
        <f>物品!#REF!</f>
        <v>#REF!</v>
      </c>
      <c r="C129">
        <f>物品!E213</f>
        <v>0</v>
      </c>
      <c r="D129">
        <f>物品!F213</f>
        <v>0</v>
      </c>
      <c r="E129">
        <f>IF(ISTEXT(物品!G213)=TRUE,"'"&amp;物品!G213&amp;"'",物品!G213)</f>
        <v>0</v>
      </c>
      <c r="F129">
        <f>IF(ISTEXT(物品!H213)=TRUE,"'"&amp;物品!H213&amp;"'",物品!H213)</f>
        <v>0</v>
      </c>
      <c r="G129">
        <f>IF(物品!I213="",0,"'"&amp;物品!I213&amp;"'")</f>
        <v>0</v>
      </c>
      <c r="H129">
        <f>IF(物品!R213="",0,物品!R213)</f>
        <v>0</v>
      </c>
      <c r="I129">
        <f>IF(物品!S213="",0,物品!S213)</f>
        <v>0</v>
      </c>
      <c r="J129" t="str">
        <f>IF(物品!C213="",0,""""&amp;物品!C213&amp;"""")</f>
        <v>"附魔"</v>
      </c>
      <c r="K129" t="str">
        <f>IF(物品!T213="","""""",""""&amp;物品!T213&amp;"""")</f>
        <v>""</v>
      </c>
      <c r="L129">
        <f>IF(物品!U213="",0,""""&amp;物品!U213&amp;"""")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IF(物品!B214="",0,"'"&amp;物品!B214&amp;"'")</f>
        <v>'IF03'</v>
      </c>
      <c r="B130" t="e">
        <f>物品!#REF!</f>
        <v>#REF!</v>
      </c>
      <c r="C130">
        <f>物品!E214</f>
        <v>0</v>
      </c>
      <c r="D130">
        <f>物品!F214</f>
        <v>0</v>
      </c>
      <c r="E130">
        <f>IF(ISTEXT(物品!G214)=TRUE,"'"&amp;物品!G214&amp;"'",物品!G214)</f>
        <v>0</v>
      </c>
      <c r="F130">
        <f>IF(ISTEXT(物品!H214)=TRUE,"'"&amp;物品!H214&amp;"'",物品!H214)</f>
        <v>0</v>
      </c>
      <c r="G130">
        <f>IF(物品!I214="",0,"'"&amp;物品!I214&amp;"'")</f>
        <v>0</v>
      </c>
      <c r="H130">
        <f>IF(物品!R214="",0,物品!R214)</f>
        <v>0</v>
      </c>
      <c r="I130">
        <f>IF(物品!S214="",0,物品!S214)</f>
        <v>0</v>
      </c>
      <c r="J130" t="str">
        <f>IF(物品!C214="",0,""""&amp;物品!C214&amp;"""")</f>
        <v>"附魔"</v>
      </c>
      <c r="K130" t="str">
        <f>IF(物品!T214="","""""",""""&amp;物品!T214&amp;"""")</f>
        <v>""</v>
      </c>
      <c r="L130">
        <f>IF(物品!U214="",0,""""&amp;物品!U214&amp;"""")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IF(物品!B215="",0,"'"&amp;物品!B215&amp;"'")</f>
        <v>'IF04'</v>
      </c>
      <c r="B131" t="e">
        <f>物品!#REF!</f>
        <v>#REF!</v>
      </c>
      <c r="C131">
        <f>物品!E215</f>
        <v>0</v>
      </c>
      <c r="D131">
        <f>物品!F215</f>
        <v>0</v>
      </c>
      <c r="E131">
        <f>IF(ISTEXT(物品!G215)=TRUE,"'"&amp;物品!G215&amp;"'",物品!G215)</f>
        <v>0</v>
      </c>
      <c r="F131">
        <f>IF(ISTEXT(物品!H215)=TRUE,"'"&amp;物品!H215&amp;"'",物品!H215)</f>
        <v>0</v>
      </c>
      <c r="G131">
        <f>IF(物品!I215="",0,"'"&amp;物品!I215&amp;"'")</f>
        <v>0</v>
      </c>
      <c r="H131">
        <f>IF(物品!R215="",0,物品!R215)</f>
        <v>0</v>
      </c>
      <c r="I131">
        <f>IF(物品!S215="",0,物品!S215)</f>
        <v>0</v>
      </c>
      <c r="J131" t="str">
        <f>IF(物品!C215="",0,""""&amp;物品!C215&amp;"""")</f>
        <v>"附魔"</v>
      </c>
      <c r="K131" t="str">
        <f>IF(物品!T215="","""""",""""&amp;物品!T215&amp;"""")</f>
        <v>""</v>
      </c>
      <c r="L131">
        <f>IF(物品!U215="",0,""""&amp;物品!U215&amp;"""")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IF(物品!B216="",0,"'"&amp;物品!B216&amp;"'")</f>
        <v>'IF05'</v>
      </c>
      <c r="B132" t="e">
        <f>物品!#REF!</f>
        <v>#REF!</v>
      </c>
      <c r="C132">
        <f>物品!E216</f>
        <v>0</v>
      </c>
      <c r="D132">
        <f>物品!F216</f>
        <v>0</v>
      </c>
      <c r="E132">
        <f>IF(ISTEXT(物品!G216)=TRUE,"'"&amp;物品!G216&amp;"'",物品!G216)</f>
        <v>0</v>
      </c>
      <c r="F132">
        <f>IF(ISTEXT(物品!H216)=TRUE,"'"&amp;物品!H216&amp;"'",物品!H216)</f>
        <v>0</v>
      </c>
      <c r="G132">
        <f>IF(物品!I216="",0,"'"&amp;物品!I216&amp;"'")</f>
        <v>0</v>
      </c>
      <c r="H132">
        <f>IF(物品!R216="",0,物品!R216)</f>
        <v>0</v>
      </c>
      <c r="I132">
        <f>IF(物品!S216="",0,物品!S216)</f>
        <v>0</v>
      </c>
      <c r="J132" t="str">
        <f>IF(物品!C216="",0,""""&amp;物品!C216&amp;"""")</f>
        <v>"附魔"</v>
      </c>
      <c r="K132" t="str">
        <f>IF(物品!T216="","""""",""""&amp;物品!T216&amp;"""")</f>
        <v>""</v>
      </c>
      <c r="L132">
        <f>IF(物品!U216="",0,""""&amp;物品!U216&amp;"""")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IF(物品!B217="",0,"'"&amp;物品!B217&amp;"'")</f>
        <v>'IF06'</v>
      </c>
      <c r="B133" t="e">
        <f>物品!#REF!</f>
        <v>#REF!</v>
      </c>
      <c r="C133">
        <f>物品!E217</f>
        <v>0</v>
      </c>
      <c r="D133">
        <f>物品!F217</f>
        <v>0</v>
      </c>
      <c r="E133">
        <f>IF(ISTEXT(物品!G217)=TRUE,"'"&amp;物品!G217&amp;"'",物品!G217)</f>
        <v>0</v>
      </c>
      <c r="F133">
        <f>IF(ISTEXT(物品!H217)=TRUE,"'"&amp;物品!H217&amp;"'",物品!H217)</f>
        <v>0</v>
      </c>
      <c r="G133">
        <f>IF(物品!I217="",0,"'"&amp;物品!I217&amp;"'")</f>
        <v>0</v>
      </c>
      <c r="H133">
        <f>IF(物品!R217="",0,物品!R217)</f>
        <v>0</v>
      </c>
      <c r="I133">
        <f>IF(物品!S217="",0,物品!S217)</f>
        <v>0</v>
      </c>
      <c r="J133" t="str">
        <f>IF(物品!C217="",0,""""&amp;物品!C217&amp;"""")</f>
        <v>"附魔"</v>
      </c>
      <c r="K133" t="str">
        <f>IF(物品!T217="","""""",""""&amp;物品!T217&amp;"""")</f>
        <v>""</v>
      </c>
      <c r="L133">
        <f>IF(物品!U217="",0,""""&amp;物品!U217&amp;"""")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IF(物品!B218="",0,"'"&amp;物品!B218&amp;"'")</f>
        <v>'IF07'</v>
      </c>
      <c r="B134" t="e">
        <f>物品!#REF!</f>
        <v>#REF!</v>
      </c>
      <c r="C134">
        <f>物品!E218</f>
        <v>0</v>
      </c>
      <c r="D134">
        <f>物品!F218</f>
        <v>0</v>
      </c>
      <c r="E134">
        <f>IF(ISTEXT(物品!G218)=TRUE,"'"&amp;物品!G218&amp;"'",物品!G218)</f>
        <v>0</v>
      </c>
      <c r="F134">
        <f>IF(ISTEXT(物品!H218)=TRUE,"'"&amp;物品!H218&amp;"'",物品!H218)</f>
        <v>0</v>
      </c>
      <c r="G134">
        <f>IF(物品!I218="",0,"'"&amp;物品!I218&amp;"'")</f>
        <v>0</v>
      </c>
      <c r="H134">
        <f>IF(物品!R218="",0,物品!R218)</f>
        <v>0</v>
      </c>
      <c r="I134">
        <f>IF(物品!S218="",0,物品!S218)</f>
        <v>0</v>
      </c>
      <c r="J134" t="str">
        <f>IF(物品!C218="",0,""""&amp;物品!C218&amp;"""")</f>
        <v>"附魔"</v>
      </c>
      <c r="K134" t="str">
        <f>IF(物品!T218="","""""",""""&amp;物品!T218&amp;"""")</f>
        <v>""</v>
      </c>
      <c r="L134">
        <f>IF(物品!U218="",0,""""&amp;物品!U218&amp;"""")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IF(物品!B219="",0,"'"&amp;物品!B219&amp;"'")</f>
        <v>'IF08'</v>
      </c>
      <c r="B135">
        <f>物品!D126</f>
        <v>0</v>
      </c>
      <c r="C135">
        <f>物品!E219</f>
        <v>0</v>
      </c>
      <c r="D135">
        <f>物品!F219</f>
        <v>0</v>
      </c>
      <c r="E135">
        <f>IF(ISTEXT(物品!G219)=TRUE,"'"&amp;物品!G219&amp;"'",物品!G219)</f>
        <v>0</v>
      </c>
      <c r="F135">
        <f>IF(ISTEXT(物品!H219)=TRUE,"'"&amp;物品!H219&amp;"'",物品!H219)</f>
        <v>0</v>
      </c>
      <c r="G135">
        <f>IF(物品!I219="",0,"'"&amp;物品!I219&amp;"'")</f>
        <v>0</v>
      </c>
      <c r="H135">
        <f>IF(物品!R219="",0,物品!R219)</f>
        <v>0</v>
      </c>
      <c r="I135">
        <f>IF(物品!S219="",0,物品!S219)</f>
        <v>0</v>
      </c>
      <c r="J135" t="str">
        <f>IF(物品!C219="",0,""""&amp;物品!C219&amp;"""")</f>
        <v>"附魔"</v>
      </c>
      <c r="K135" t="str">
        <f>IF(物品!T219="","""""",""""&amp;物品!T219&amp;"""")</f>
        <v>""</v>
      </c>
      <c r="L135">
        <f>IF(物品!U219="",0,""""&amp;物品!U219&amp;"""")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IF(物品!B220="",0,"'"&amp;物品!B220&amp;"'")</f>
        <v>'IF09'</v>
      </c>
      <c r="B136">
        <f>物品!D127</f>
        <v>0</v>
      </c>
      <c r="C136">
        <f>物品!E220</f>
        <v>0</v>
      </c>
      <c r="D136">
        <f>物品!F220</f>
        <v>0</v>
      </c>
      <c r="E136">
        <f>IF(ISTEXT(物品!G220)=TRUE,"'"&amp;物品!G220&amp;"'",物品!G220)</f>
        <v>0</v>
      </c>
      <c r="F136">
        <f>IF(ISTEXT(物品!H220)=TRUE,"'"&amp;物品!H220&amp;"'",物品!H220)</f>
        <v>0</v>
      </c>
      <c r="G136">
        <f>IF(物品!I220="",0,"'"&amp;物品!I220&amp;"'")</f>
        <v>0</v>
      </c>
      <c r="H136">
        <f>IF(物品!R220="",0,物品!R220)</f>
        <v>0</v>
      </c>
      <c r="I136">
        <f>IF(物品!S220="",0,物品!S220)</f>
        <v>0</v>
      </c>
      <c r="J136" t="str">
        <f>IF(物品!C220="",0,""""&amp;物品!C220&amp;"""")</f>
        <v>"附魔"</v>
      </c>
      <c r="K136" t="str">
        <f>IF(物品!T220="","""""",""""&amp;物品!T220&amp;"""")</f>
        <v>""</v>
      </c>
      <c r="L136">
        <f>IF(物品!U220="",0,""""&amp;物品!U220&amp;"""")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IF(物品!B221="",0,"'"&amp;物品!B221&amp;"'")</f>
        <v>'IF10'</v>
      </c>
      <c r="B137">
        <f>物品!D128</f>
        <v>0</v>
      </c>
      <c r="C137">
        <f>物品!E221</f>
        <v>0</v>
      </c>
      <c r="D137">
        <f>物品!F221</f>
        <v>0</v>
      </c>
      <c r="E137">
        <f>IF(ISTEXT(物品!G221)=TRUE,"'"&amp;物品!G221&amp;"'",物品!G221)</f>
        <v>0</v>
      </c>
      <c r="F137">
        <f>IF(ISTEXT(物品!H221)=TRUE,"'"&amp;物品!H221&amp;"'",物品!H221)</f>
        <v>0</v>
      </c>
      <c r="G137">
        <f>IF(物品!I221="",0,"'"&amp;物品!I221&amp;"'")</f>
        <v>0</v>
      </c>
      <c r="H137">
        <f>IF(物品!R221="",0,物品!R221)</f>
        <v>0</v>
      </c>
      <c r="I137">
        <f>IF(物品!S221="",0,物品!S221)</f>
        <v>0</v>
      </c>
      <c r="J137" t="str">
        <f>IF(物品!C221="",0,""""&amp;物品!C221&amp;"""")</f>
        <v>"附魔"</v>
      </c>
      <c r="K137" t="str">
        <f>IF(物品!T221="","""""",""""&amp;物品!T221&amp;"""")</f>
        <v>""</v>
      </c>
      <c r="L137">
        <f>IF(物品!U221="",0,""""&amp;物品!U221&amp;"""")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IF(物品!B222="",0,"'"&amp;物品!B222&amp;"'")</f>
        <v>'IF11'</v>
      </c>
      <c r="B138">
        <f>物品!D129</f>
        <v>0</v>
      </c>
      <c r="C138">
        <f>物品!E222</f>
        <v>0</v>
      </c>
      <c r="D138">
        <f>物品!F222</f>
        <v>0</v>
      </c>
      <c r="E138">
        <f>IF(ISTEXT(物品!G222)=TRUE,"'"&amp;物品!G222&amp;"'",物品!G222)</f>
        <v>0</v>
      </c>
      <c r="F138">
        <f>IF(ISTEXT(物品!H222)=TRUE,"'"&amp;物品!H222&amp;"'",物品!H222)</f>
        <v>0</v>
      </c>
      <c r="G138">
        <f>IF(物品!I222="",0,"'"&amp;物品!I222&amp;"'")</f>
        <v>0</v>
      </c>
      <c r="H138">
        <f>IF(物品!R222="",0,物品!R222)</f>
        <v>0</v>
      </c>
      <c r="I138">
        <f>IF(物品!S222="",0,物品!S222)</f>
        <v>0</v>
      </c>
      <c r="J138" t="str">
        <f>IF(物品!C222="",0,""""&amp;物品!C222&amp;"""")</f>
        <v>"附魔"</v>
      </c>
      <c r="K138" t="str">
        <f>IF(物品!T222="","""""",""""&amp;物品!T222&amp;"""")</f>
        <v>""</v>
      </c>
      <c r="L138">
        <f>IF(物品!U222="",0,""""&amp;物品!U222&amp;"""")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IF(物品!B223="",0,"'"&amp;物品!B223&amp;"'")</f>
        <v>'IF12'</v>
      </c>
      <c r="B139">
        <f>物品!D130</f>
        <v>0</v>
      </c>
      <c r="C139">
        <f>物品!E223</f>
        <v>0</v>
      </c>
      <c r="D139">
        <f>物品!F223</f>
        <v>0</v>
      </c>
      <c r="E139">
        <f>IF(ISTEXT(物品!G223)=TRUE,"'"&amp;物品!G223&amp;"'",物品!G223)</f>
        <v>0</v>
      </c>
      <c r="F139">
        <f>IF(ISTEXT(物品!H223)=TRUE,"'"&amp;物品!H223&amp;"'",物品!H223)</f>
        <v>0</v>
      </c>
      <c r="G139">
        <f>IF(物品!I223="",0,"'"&amp;物品!I223&amp;"'")</f>
        <v>0</v>
      </c>
      <c r="H139">
        <f>IF(物品!R223="",0,物品!R223)</f>
        <v>0</v>
      </c>
      <c r="I139">
        <f>IF(物品!S223="",0,物品!S223)</f>
        <v>0</v>
      </c>
      <c r="J139" t="str">
        <f>IF(物品!C223="",0,""""&amp;物品!C223&amp;"""")</f>
        <v>"附魔"</v>
      </c>
      <c r="K139" t="str">
        <f>IF(物品!T223="","""""",""""&amp;物品!T223&amp;"""")</f>
        <v>""</v>
      </c>
      <c r="L139">
        <f>IF(物品!U223="",0,""""&amp;物品!U223&amp;"""")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IF(物品!B224="",0,"'"&amp;物品!B224&amp;"'")</f>
        <v>'IF13'</v>
      </c>
      <c r="B140">
        <f>物品!D131</f>
        <v>0</v>
      </c>
      <c r="C140">
        <f>物品!E224</f>
        <v>0</v>
      </c>
      <c r="D140">
        <f>物品!F224</f>
        <v>0</v>
      </c>
      <c r="E140">
        <f>IF(ISTEXT(物品!G224)=TRUE,"'"&amp;物品!G224&amp;"'",物品!G224)</f>
        <v>0</v>
      </c>
      <c r="F140">
        <f>IF(ISTEXT(物品!H224)=TRUE,"'"&amp;物品!H224&amp;"'",物品!H224)</f>
        <v>0</v>
      </c>
      <c r="G140">
        <f>IF(物品!I224="",0,"'"&amp;物品!I224&amp;"'")</f>
        <v>0</v>
      </c>
      <c r="H140">
        <f>IF(物品!R224="",0,物品!R224)</f>
        <v>0</v>
      </c>
      <c r="I140">
        <f>IF(物品!S224="",0,物品!S224)</f>
        <v>0</v>
      </c>
      <c r="J140" t="str">
        <f>IF(物品!C224="",0,""""&amp;物品!C224&amp;"""")</f>
        <v>"附魔"</v>
      </c>
      <c r="K140" t="str">
        <f>IF(物品!T224="","""""",""""&amp;物品!T224&amp;"""")</f>
        <v>""</v>
      </c>
      <c r="L140">
        <f>IF(物品!U224="",0,""""&amp;物品!U224&amp;"""")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IF(物品!B225="",0,"'"&amp;物品!B225&amp;"'")</f>
        <v>'IF14'</v>
      </c>
      <c r="B141">
        <f>物品!D132</f>
        <v>0</v>
      </c>
      <c r="C141">
        <f>物品!E225</f>
        <v>0</v>
      </c>
      <c r="D141">
        <f>物品!F225</f>
        <v>0</v>
      </c>
      <c r="E141">
        <f>IF(ISTEXT(物品!G225)=TRUE,"'"&amp;物品!G225&amp;"'",物品!G225)</f>
        <v>0</v>
      </c>
      <c r="F141">
        <f>IF(ISTEXT(物品!H225)=TRUE,"'"&amp;物品!H225&amp;"'",物品!H225)</f>
        <v>0</v>
      </c>
      <c r="G141">
        <f>IF(物品!I225="",0,"'"&amp;物品!I225&amp;"'")</f>
        <v>0</v>
      </c>
      <c r="H141">
        <f>IF(物品!R225="",0,物品!R225)</f>
        <v>0</v>
      </c>
      <c r="I141">
        <f>IF(物品!S225="",0,物品!S225)</f>
        <v>0</v>
      </c>
      <c r="J141" t="str">
        <f>IF(物品!C225="",0,""""&amp;物品!C225&amp;"""")</f>
        <v>"附魔"</v>
      </c>
      <c r="K141" t="str">
        <f>IF(物品!T225="","""""",""""&amp;物品!T225&amp;"""")</f>
        <v>""</v>
      </c>
      <c r="L141">
        <f>IF(物品!U225="",0,""""&amp;物品!U225&amp;"""")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IF(物品!B226="",0,"'"&amp;物品!B226&amp;"'")</f>
        <v>'IF15'</v>
      </c>
      <c r="B142">
        <f>物品!D133</f>
        <v>0</v>
      </c>
      <c r="C142">
        <f>物品!E226</f>
        <v>0</v>
      </c>
      <c r="D142">
        <f>物品!F226</f>
        <v>0</v>
      </c>
      <c r="E142">
        <f>IF(ISTEXT(物品!G226)=TRUE,"'"&amp;物品!G226&amp;"'",物品!G226)</f>
        <v>0</v>
      </c>
      <c r="F142">
        <f>IF(ISTEXT(物品!H226)=TRUE,"'"&amp;物品!H226&amp;"'",物品!H226)</f>
        <v>0</v>
      </c>
      <c r="G142">
        <f>IF(物品!I226="",0,"'"&amp;物品!I226&amp;"'")</f>
        <v>0</v>
      </c>
      <c r="H142">
        <f>IF(物品!R226="",0,物品!R226)</f>
        <v>0</v>
      </c>
      <c r="I142">
        <f>IF(物品!S226="",0,物品!S226)</f>
        <v>0</v>
      </c>
      <c r="J142" t="str">
        <f>IF(物品!C226="",0,""""&amp;物品!C226&amp;"""")</f>
        <v>"附魔"</v>
      </c>
      <c r="K142" t="str">
        <f>IF(物品!T226="","""""",""""&amp;物品!T226&amp;"""")</f>
        <v>""</v>
      </c>
      <c r="L142">
        <f>IF(物品!U226="",0,""""&amp;物品!U226&amp;"""")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IF(物品!B227="",0,"'"&amp;物品!B227&amp;"'")</f>
        <v>'IF16'</v>
      </c>
      <c r="B143">
        <f>物品!D134</f>
        <v>0</v>
      </c>
      <c r="C143">
        <f>物品!E227</f>
        <v>0</v>
      </c>
      <c r="D143">
        <f>物品!F227</f>
        <v>0</v>
      </c>
      <c r="E143">
        <f>IF(ISTEXT(物品!G227)=TRUE,"'"&amp;物品!G227&amp;"'",物品!G227)</f>
        <v>0</v>
      </c>
      <c r="F143">
        <f>IF(ISTEXT(物品!H227)=TRUE,"'"&amp;物品!H227&amp;"'",物品!H227)</f>
        <v>0</v>
      </c>
      <c r="G143">
        <f>IF(物品!I227="",0,"'"&amp;物品!I227&amp;"'")</f>
        <v>0</v>
      </c>
      <c r="H143">
        <f>IF(物品!R227="",0,物品!R227)</f>
        <v>0</v>
      </c>
      <c r="I143">
        <f>IF(物品!S227="",0,物品!S227)</f>
        <v>0</v>
      </c>
      <c r="J143" t="str">
        <f>IF(物品!C227="",0,""""&amp;物品!C227&amp;"""")</f>
        <v>"附魔"</v>
      </c>
      <c r="K143" t="str">
        <f>IF(物品!T227="","""""",""""&amp;物品!T227&amp;"""")</f>
        <v>""</v>
      </c>
      <c r="L143">
        <f>IF(物品!U227="",0,""""&amp;物品!U227&amp;"""")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IF(物品!B228="",0,"'"&amp;物品!B228&amp;"'")</f>
        <v>'IF17'</v>
      </c>
      <c r="B144">
        <f>物品!D135</f>
        <v>0</v>
      </c>
      <c r="C144">
        <f>物品!E228</f>
        <v>0</v>
      </c>
      <c r="D144">
        <f>物品!F228</f>
        <v>0</v>
      </c>
      <c r="E144">
        <f>IF(ISTEXT(物品!G228)=TRUE,"'"&amp;物品!G228&amp;"'",物品!G228)</f>
        <v>0</v>
      </c>
      <c r="F144">
        <f>IF(ISTEXT(物品!H228)=TRUE,"'"&amp;物品!H228&amp;"'",物品!H228)</f>
        <v>0</v>
      </c>
      <c r="G144">
        <f>IF(物品!I228="",0,"'"&amp;物品!I228&amp;"'")</f>
        <v>0</v>
      </c>
      <c r="H144">
        <f>IF(物品!R228="",0,物品!R228)</f>
        <v>0</v>
      </c>
      <c r="I144">
        <f>IF(物品!S228="",0,物品!S228)</f>
        <v>0</v>
      </c>
      <c r="J144" t="str">
        <f>IF(物品!C228="",0,""""&amp;物品!C228&amp;"""")</f>
        <v>"附魔"</v>
      </c>
      <c r="K144" t="str">
        <f>IF(物品!T228="","""""",""""&amp;物品!T228&amp;"""")</f>
        <v>""</v>
      </c>
      <c r="L144">
        <f>IF(物品!U228="",0,""""&amp;物品!U228&amp;"""")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IF(物品!B229="",0,"'"&amp;物品!B229&amp;"'")</f>
        <v>'IF18'</v>
      </c>
      <c r="B145">
        <f>物品!D136</f>
        <v>0</v>
      </c>
      <c r="C145">
        <f>物品!E229</f>
        <v>0</v>
      </c>
      <c r="D145">
        <f>物品!F229</f>
        <v>0</v>
      </c>
      <c r="E145">
        <f>IF(ISTEXT(物品!G229)=TRUE,"'"&amp;物品!G229&amp;"'",物品!G229)</f>
        <v>0</v>
      </c>
      <c r="F145">
        <f>IF(ISTEXT(物品!H229)=TRUE,"'"&amp;物品!H229&amp;"'",物品!H229)</f>
        <v>0</v>
      </c>
      <c r="G145">
        <f>IF(物品!I229="",0,"'"&amp;物品!I229&amp;"'")</f>
        <v>0</v>
      </c>
      <c r="H145">
        <f>IF(物品!R229="",0,物品!R229)</f>
        <v>0</v>
      </c>
      <c r="I145">
        <f>IF(物品!S229="",0,物品!S229)</f>
        <v>0</v>
      </c>
      <c r="J145" t="str">
        <f>IF(物品!C229="",0,""""&amp;物品!C229&amp;"""")</f>
        <v>"附魔"</v>
      </c>
      <c r="K145" t="str">
        <f>IF(物品!T229="","""""",""""&amp;物品!T229&amp;"""")</f>
        <v>""</v>
      </c>
      <c r="L145">
        <f>IF(物品!U229="",0,""""&amp;物品!U229&amp;"""")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IF(物品!B230="",0,"'"&amp;物品!B230&amp;"'")</f>
        <v>'IF19'</v>
      </c>
      <c r="B146">
        <f>物品!D137</f>
        <v>0</v>
      </c>
      <c r="C146">
        <f>物品!E230</f>
        <v>0</v>
      </c>
      <c r="D146">
        <f>物品!F230</f>
        <v>0</v>
      </c>
      <c r="E146">
        <f>IF(ISTEXT(物品!G230)=TRUE,"'"&amp;物品!G230&amp;"'",物品!G230)</f>
        <v>0</v>
      </c>
      <c r="F146">
        <f>IF(ISTEXT(物品!H230)=TRUE,"'"&amp;物品!H230&amp;"'",物品!H230)</f>
        <v>0</v>
      </c>
      <c r="G146">
        <f>IF(物品!I230="",0,"'"&amp;物品!I230&amp;"'")</f>
        <v>0</v>
      </c>
      <c r="H146">
        <f>IF(物品!R230="",0,物品!R230)</f>
        <v>0</v>
      </c>
      <c r="I146">
        <f>IF(物品!S230="",0,物品!S230)</f>
        <v>0</v>
      </c>
      <c r="J146" t="str">
        <f>IF(物品!C230="",0,""""&amp;物品!C230&amp;"""")</f>
        <v>"附魔"</v>
      </c>
      <c r="K146" t="str">
        <f>IF(物品!T230="","""""",""""&amp;物品!T230&amp;"""")</f>
        <v>""</v>
      </c>
      <c r="L146">
        <f>IF(物品!U230="",0,""""&amp;物品!U230&amp;"""")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IF(物品!B231="",0,"'"&amp;物品!B231&amp;"'")</f>
        <v>'IF20'</v>
      </c>
      <c r="B147">
        <f>物品!D138</f>
        <v>0</v>
      </c>
      <c r="C147">
        <f>物品!E231</f>
        <v>0</v>
      </c>
      <c r="D147">
        <f>物品!F231</f>
        <v>0</v>
      </c>
      <c r="E147">
        <f>IF(ISTEXT(物品!G231)=TRUE,"'"&amp;物品!G231&amp;"'",物品!G231)</f>
        <v>0</v>
      </c>
      <c r="F147">
        <f>IF(ISTEXT(物品!H231)=TRUE,"'"&amp;物品!H231&amp;"'",物品!H231)</f>
        <v>0</v>
      </c>
      <c r="G147">
        <f>IF(物品!I231="",0,"'"&amp;物品!I231&amp;"'")</f>
        <v>0</v>
      </c>
      <c r="H147">
        <f>IF(物品!R231="",0,物品!R231)</f>
        <v>0</v>
      </c>
      <c r="I147">
        <f>IF(物品!S231="",0,物品!S231)</f>
        <v>0</v>
      </c>
      <c r="J147" t="str">
        <f>IF(物品!C231="",0,""""&amp;物品!C231&amp;"""")</f>
        <v>"附魔"</v>
      </c>
      <c r="K147" t="str">
        <f>IF(物品!T231="","""""",""""&amp;物品!T231&amp;"""")</f>
        <v>""</v>
      </c>
      <c r="L147">
        <f>IF(物品!U231="",0,""""&amp;物品!U231&amp;"""")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IF(物品!B232="",0,"'"&amp;物品!B232&amp;"'")</f>
        <v>'IF21'</v>
      </c>
      <c r="B148">
        <f>物品!D152</f>
        <v>0</v>
      </c>
      <c r="C148">
        <f>物品!E232</f>
        <v>0</v>
      </c>
      <c r="D148">
        <f>物品!F232</f>
        <v>0</v>
      </c>
      <c r="E148">
        <f>IF(ISTEXT(物品!G232)=TRUE,"'"&amp;物品!G232&amp;"'",物品!G232)</f>
        <v>0</v>
      </c>
      <c r="F148">
        <f>IF(ISTEXT(物品!H232)=TRUE,"'"&amp;物品!H232&amp;"'",物品!H232)</f>
        <v>0</v>
      </c>
      <c r="G148">
        <f>IF(物品!I232="",0,"'"&amp;物品!I232&amp;"'")</f>
        <v>0</v>
      </c>
      <c r="H148">
        <f>IF(物品!R232="",0,物品!R232)</f>
        <v>0</v>
      </c>
      <c r="I148">
        <f>IF(物品!S232="",0,物品!S232)</f>
        <v>0</v>
      </c>
      <c r="J148" t="str">
        <f>IF(物品!C232="",0,""""&amp;物品!C232&amp;"""")</f>
        <v>"附魔"</v>
      </c>
      <c r="K148" t="str">
        <f>IF(物品!T232="","""""",""""&amp;物品!T232&amp;"""")</f>
        <v>""</v>
      </c>
      <c r="L148">
        <f>IF(物品!U232="",0,""""&amp;物品!U232&amp;"""")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IF(物品!B233="",0,"'"&amp;物品!B233&amp;"'")</f>
        <v>'IF22'</v>
      </c>
      <c r="B149">
        <f>物品!D153</f>
        <v>0</v>
      </c>
      <c r="C149">
        <f>物品!E233</f>
        <v>0</v>
      </c>
      <c r="D149">
        <f>物品!F233</f>
        <v>0</v>
      </c>
      <c r="E149">
        <f>IF(ISTEXT(物品!G233)=TRUE,"'"&amp;物品!G233&amp;"'",物品!G233)</f>
        <v>0</v>
      </c>
      <c r="F149">
        <f>IF(ISTEXT(物品!H233)=TRUE,"'"&amp;物品!H233&amp;"'",物品!H233)</f>
        <v>0</v>
      </c>
      <c r="G149">
        <f>IF(物品!I233="",0,"'"&amp;物品!I233&amp;"'")</f>
        <v>0</v>
      </c>
      <c r="H149">
        <f>IF(物品!R233="",0,物品!R233)</f>
        <v>0</v>
      </c>
      <c r="I149">
        <f>IF(物品!S233="",0,物品!S233)</f>
        <v>0</v>
      </c>
      <c r="J149" t="str">
        <f>IF(物品!C233="",0,""""&amp;物品!C233&amp;"""")</f>
        <v>"附魔"</v>
      </c>
      <c r="K149" t="str">
        <f>IF(物品!T233="","""""",""""&amp;物品!T233&amp;"""")</f>
        <v>""</v>
      </c>
      <c r="L149">
        <f>IF(物品!U233="",0,""""&amp;物品!U233&amp;"""")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IF(物品!B234="",0,"'"&amp;物品!B234&amp;"'")</f>
        <v>'IF23'</v>
      </c>
      <c r="B150">
        <f>物品!D154</f>
        <v>0</v>
      </c>
      <c r="C150">
        <f>物品!E234</f>
        <v>0</v>
      </c>
      <c r="D150">
        <f>物品!F234</f>
        <v>0</v>
      </c>
      <c r="E150">
        <f>IF(ISTEXT(物品!G234)=TRUE,"'"&amp;物品!G234&amp;"'",物品!G234)</f>
        <v>0</v>
      </c>
      <c r="F150">
        <f>IF(ISTEXT(物品!H234)=TRUE,"'"&amp;物品!H234&amp;"'",物品!H234)</f>
        <v>0</v>
      </c>
      <c r="G150">
        <f>IF(物品!I234="",0,"'"&amp;物品!I234&amp;"'")</f>
        <v>0</v>
      </c>
      <c r="H150">
        <f>IF(物品!R234="",0,物品!R234)</f>
        <v>0</v>
      </c>
      <c r="I150">
        <f>IF(物品!S234="",0,物品!S234)</f>
        <v>0</v>
      </c>
      <c r="J150" t="str">
        <f>IF(物品!C234="",0,""""&amp;物品!C234&amp;"""")</f>
        <v>"附魔"</v>
      </c>
      <c r="K150" t="str">
        <f>IF(物品!T234="","""""",""""&amp;物品!T234&amp;"""")</f>
        <v>""</v>
      </c>
      <c r="L150">
        <f>IF(物品!U234="",0,""""&amp;物品!U234&amp;"""")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IF(物品!B235="",0,"'"&amp;物品!B235&amp;"'")</f>
        <v>'IF24'</v>
      </c>
      <c r="B151">
        <f>物品!D155</f>
        <v>0</v>
      </c>
      <c r="C151">
        <f>物品!E235</f>
        <v>0</v>
      </c>
      <c r="D151">
        <f>物品!F235</f>
        <v>0</v>
      </c>
      <c r="E151">
        <f>IF(ISTEXT(物品!G235)=TRUE,"'"&amp;物品!G235&amp;"'",物品!G235)</f>
        <v>0</v>
      </c>
      <c r="F151">
        <f>IF(ISTEXT(物品!H235)=TRUE,"'"&amp;物品!H235&amp;"'",物品!H235)</f>
        <v>0</v>
      </c>
      <c r="G151">
        <f>IF(物品!I235="",0,"'"&amp;物品!I235&amp;"'")</f>
        <v>0</v>
      </c>
      <c r="H151">
        <f>IF(物品!R235="",0,物品!R235)</f>
        <v>0</v>
      </c>
      <c r="I151">
        <f>IF(物品!S235="",0,物品!S235)</f>
        <v>0</v>
      </c>
      <c r="J151" t="str">
        <f>IF(物品!C235="",0,""""&amp;物品!C235&amp;"""")</f>
        <v>"附魔"</v>
      </c>
      <c r="K151" t="str">
        <f>IF(物品!T235="","""""",""""&amp;物品!T235&amp;"""")</f>
        <v>""</v>
      </c>
      <c r="L151">
        <f>IF(物品!U235="",0,""""&amp;物品!U235&amp;"""")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IF(物品!B236="",0,"'"&amp;物品!B236&amp;"'")</f>
        <v>'IF25'</v>
      </c>
      <c r="B152">
        <f>物品!D156</f>
        <v>0</v>
      </c>
      <c r="C152">
        <f>物品!E236</f>
        <v>0</v>
      </c>
      <c r="D152">
        <f>物品!F236</f>
        <v>0</v>
      </c>
      <c r="E152">
        <f>IF(ISTEXT(物品!G236)=TRUE,"'"&amp;物品!G236&amp;"'",物品!G236)</f>
        <v>0</v>
      </c>
      <c r="F152">
        <f>IF(ISTEXT(物品!H236)=TRUE,"'"&amp;物品!H236&amp;"'",物品!H236)</f>
        <v>0</v>
      </c>
      <c r="G152">
        <f>IF(物品!I236="",0,"'"&amp;物品!I236&amp;"'")</f>
        <v>0</v>
      </c>
      <c r="H152">
        <f>IF(物品!R236="",0,物品!R236)</f>
        <v>0</v>
      </c>
      <c r="I152">
        <f>IF(物品!S236="",0,物品!S236)</f>
        <v>0</v>
      </c>
      <c r="J152" t="str">
        <f>IF(物品!C236="",0,""""&amp;物品!C236&amp;"""")</f>
        <v>"附魔"</v>
      </c>
      <c r="K152" t="str">
        <f>IF(物品!T236="","""""",""""&amp;物品!T236&amp;"""")</f>
        <v>""</v>
      </c>
      <c r="L152">
        <f>IF(物品!U236="",0,""""&amp;物品!U236&amp;"""")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IF(物品!B237="",0,"'"&amp;物品!B237&amp;"'")</f>
        <v>'IF26'</v>
      </c>
      <c r="B153">
        <f>物品!D161</f>
        <v>0</v>
      </c>
      <c r="C153">
        <f>物品!E237</f>
        <v>0</v>
      </c>
      <c r="D153">
        <f>物品!F237</f>
        <v>0</v>
      </c>
      <c r="E153">
        <f>IF(ISTEXT(物品!G237)=TRUE,"'"&amp;物品!G237&amp;"'",物品!G237)</f>
        <v>0</v>
      </c>
      <c r="F153">
        <f>IF(ISTEXT(物品!H237)=TRUE,"'"&amp;物品!H237&amp;"'",物品!H237)</f>
        <v>0</v>
      </c>
      <c r="G153">
        <f>IF(物品!I237="",0,"'"&amp;物品!I237&amp;"'")</f>
        <v>0</v>
      </c>
      <c r="H153">
        <f>IF(物品!R237="",0,物品!R237)</f>
        <v>0</v>
      </c>
      <c r="I153">
        <f>IF(物品!S237="",0,物品!S237)</f>
        <v>0</v>
      </c>
      <c r="J153" t="str">
        <f>IF(物品!C237="",0,""""&amp;物品!C237&amp;"""")</f>
        <v>"附魔"</v>
      </c>
      <c r="K153" t="str">
        <f>IF(物品!T237="","""""",""""&amp;物品!T237&amp;"""")</f>
        <v>""</v>
      </c>
      <c r="L153">
        <f>IF(物品!U237="",0,""""&amp;物品!U237&amp;"""")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IF(物品!B238="",0,"'"&amp;物品!B238&amp;"'")</f>
        <v>'IF27'</v>
      </c>
      <c r="B154">
        <f>物品!D162</f>
        <v>0</v>
      </c>
      <c r="C154">
        <f>物品!E238</f>
        <v>0</v>
      </c>
      <c r="D154">
        <f>物品!F238</f>
        <v>0</v>
      </c>
      <c r="E154">
        <f>IF(ISTEXT(物品!G238)=TRUE,"'"&amp;物品!G238&amp;"'",物品!G238)</f>
        <v>0</v>
      </c>
      <c r="F154">
        <f>IF(ISTEXT(物品!H238)=TRUE,"'"&amp;物品!H238&amp;"'",物品!H238)</f>
        <v>0</v>
      </c>
      <c r="G154">
        <f>IF(物品!I238="",0,"'"&amp;物品!I238&amp;"'")</f>
        <v>0</v>
      </c>
      <c r="H154">
        <f>IF(物品!R238="",0,物品!R238)</f>
        <v>0</v>
      </c>
      <c r="I154">
        <f>IF(物品!S238="",0,物品!S238)</f>
        <v>0</v>
      </c>
      <c r="J154" t="str">
        <f>IF(物品!C238="",0,""""&amp;物品!C238&amp;"""")</f>
        <v>"附魔"</v>
      </c>
      <c r="K154" t="str">
        <f>IF(物品!T238="","""""",""""&amp;物品!T238&amp;"""")</f>
        <v>""</v>
      </c>
      <c r="L154">
        <f>IF(物品!U238="",0,""""&amp;物品!U238&amp;"""")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IF(物品!B245="",0,"'"&amp;物品!B245&amp;"'")</f>
        <v>'IC01'</v>
      </c>
      <c r="B155">
        <f>物品!D163</f>
        <v>0</v>
      </c>
      <c r="C155">
        <f>物品!E245</f>
        <v>0</v>
      </c>
      <c r="D155">
        <f>物品!F245</f>
        <v>0</v>
      </c>
      <c r="E155">
        <f>IF(ISTEXT(物品!G245)=TRUE,"'"&amp;物品!G245&amp;"'",物品!G245)</f>
        <v>0</v>
      </c>
      <c r="F155">
        <f>IF(ISTEXT(物品!H245)=TRUE,"'"&amp;物品!H245&amp;"'",物品!H245)</f>
        <v>0</v>
      </c>
      <c r="G155">
        <f>IF(物品!I245="",0,"'"&amp;物品!I245&amp;"'")</f>
        <v>0</v>
      </c>
      <c r="H155">
        <f>IF(物品!R245="",0,物品!R245)</f>
        <v>0</v>
      </c>
      <c r="I155">
        <f>IF(物品!S245="",0,物品!S245)</f>
        <v>0</v>
      </c>
      <c r="J155" t="str">
        <f>IF(物品!C245="",0,""""&amp;物品!C245&amp;"""")</f>
        <v>"玄铁"</v>
      </c>
      <c r="K155" t="str">
        <f>IF(物品!T245="","""""",""""&amp;物品!T245&amp;"""")</f>
        <v>""</v>
      </c>
      <c r="L155">
        <f>IF(物品!U245="",0,""""&amp;物品!U245&amp;"""")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IF(物品!B246="",0,"'"&amp;物品!B246&amp;"'")</f>
        <v>'IC02'</v>
      </c>
      <c r="B156">
        <f>物品!D164</f>
        <v>0</v>
      </c>
      <c r="C156">
        <f>物品!E246</f>
        <v>0</v>
      </c>
      <c r="D156">
        <f>物品!F246</f>
        <v>0</v>
      </c>
      <c r="E156">
        <f>IF(ISTEXT(物品!G246)=TRUE,"'"&amp;物品!G246&amp;"'",物品!G246)</f>
        <v>0</v>
      </c>
      <c r="F156">
        <f>IF(ISTEXT(物品!H246)=TRUE,"'"&amp;物品!H246&amp;"'",物品!H246)</f>
        <v>0</v>
      </c>
      <c r="G156">
        <f>IF(物品!I246="",0,"'"&amp;物品!I246&amp;"'")</f>
        <v>0</v>
      </c>
      <c r="H156">
        <f>IF(物品!R246="",0,物品!R246)</f>
        <v>0</v>
      </c>
      <c r="I156">
        <f>IF(物品!S246="",0,物品!S246)</f>
        <v>0</v>
      </c>
      <c r="J156" t="str">
        <f>IF(物品!C246="",0,""""&amp;物品!C246&amp;"""")</f>
        <v>"杀敌数"</v>
      </c>
      <c r="K156" t="str">
        <f>IF(物品!T246="","""""",""""&amp;物品!T246&amp;"""")</f>
        <v>""</v>
      </c>
      <c r="L156">
        <f>IF(物品!U246="",0,""""&amp;物品!U246&amp;"""")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IF(物品!B247="",0,"'"&amp;物品!B247&amp;"'")</f>
        <v>'IC03'</v>
      </c>
      <c r="B157">
        <f>物品!D165</f>
        <v>0</v>
      </c>
      <c r="C157">
        <f>物品!E247</f>
        <v>0</v>
      </c>
      <c r="D157">
        <f>物品!F247</f>
        <v>0</v>
      </c>
      <c r="E157">
        <f>IF(ISTEXT(物品!G247)=TRUE,"'"&amp;物品!G247&amp;"'",物品!G247)</f>
        <v>0</v>
      </c>
      <c r="F157">
        <f>IF(ISTEXT(物品!H247)=TRUE,"'"&amp;物品!H247&amp;"'",物品!H247)</f>
        <v>0</v>
      </c>
      <c r="G157">
        <f>IF(物品!I247="",0,"'"&amp;物品!I247&amp;"'")</f>
        <v>0</v>
      </c>
      <c r="H157">
        <f>IF(物品!R247="",0,物品!R247)</f>
        <v>0</v>
      </c>
      <c r="I157">
        <f>IF(物品!S247="",0,物品!S247)</f>
        <v>0</v>
      </c>
      <c r="J157" t="str">
        <f>IF(物品!C247="",0,""""&amp;物品!C247&amp;"""")</f>
        <v>"攻击力低"</v>
      </c>
      <c r="K157" t="str">
        <f>IF(物品!T247="","""""",""""&amp;物品!T247&amp;"""")</f>
        <v>""</v>
      </c>
      <c r="L157">
        <f>IF(物品!U247="",0,""""&amp;物品!U247&amp;"""")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IF(物品!B248="",0,"'"&amp;物品!B248&amp;"'")</f>
        <v>'IC04'</v>
      </c>
      <c r="B158">
        <f>物品!D166</f>
        <v>0</v>
      </c>
      <c r="C158">
        <f>物品!E248</f>
        <v>0</v>
      </c>
      <c r="D158">
        <f>物品!F248</f>
        <v>0</v>
      </c>
      <c r="E158">
        <f>IF(ISTEXT(物品!G248)=TRUE,"'"&amp;物品!G248&amp;"'",物品!G248)</f>
        <v>0</v>
      </c>
      <c r="F158">
        <f>IF(ISTEXT(物品!H248)=TRUE,"'"&amp;物品!H248&amp;"'",物品!H248)</f>
        <v>0</v>
      </c>
      <c r="G158">
        <f>IF(物品!I248="",0,"'"&amp;物品!I248&amp;"'")</f>
        <v>0</v>
      </c>
      <c r="H158">
        <f>IF(物品!R248="",0,物品!R248)</f>
        <v>0</v>
      </c>
      <c r="I158">
        <f>IF(物品!S248="",0,物品!S248)</f>
        <v>0</v>
      </c>
      <c r="J158" t="str">
        <f>IF(物品!C248="",0,""""&amp;物品!C248&amp;"""")</f>
        <v>"攻击力中"</v>
      </c>
      <c r="K158" t="str">
        <f>IF(物品!T248="","""""",""""&amp;物品!T248&amp;"""")</f>
        <v>""</v>
      </c>
      <c r="L158">
        <f>IF(物品!U248="",0,""""&amp;物品!U248&amp;"""")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IF(物品!B249="",0,"'"&amp;物品!B249&amp;"'")</f>
        <v>'IC05'</v>
      </c>
      <c r="B159">
        <f>物品!D167</f>
        <v>0</v>
      </c>
      <c r="C159">
        <f>物品!E249</f>
        <v>0</v>
      </c>
      <c r="D159">
        <f>物品!F249</f>
        <v>0</v>
      </c>
      <c r="E159">
        <f>IF(ISTEXT(物品!G249)=TRUE,"'"&amp;物品!G249&amp;"'",物品!G249)</f>
        <v>0</v>
      </c>
      <c r="F159">
        <f>IF(ISTEXT(物品!H249)=TRUE,"'"&amp;物品!H249&amp;"'",物品!H249)</f>
        <v>0</v>
      </c>
      <c r="G159">
        <f>IF(物品!I249="",0,"'"&amp;物品!I249&amp;"'")</f>
        <v>0</v>
      </c>
      <c r="H159">
        <f>IF(物品!R249="",0,物品!R249)</f>
        <v>0</v>
      </c>
      <c r="I159">
        <f>IF(物品!S249="",0,物品!S249)</f>
        <v>0</v>
      </c>
      <c r="J159" t="str">
        <f>IF(物品!C249="",0,""""&amp;物品!C249&amp;"""")</f>
        <v>"攻击力高"</v>
      </c>
      <c r="K159" t="str">
        <f>IF(物品!T249="","""""",""""&amp;物品!T249&amp;"""")</f>
        <v>""</v>
      </c>
      <c r="L159">
        <f>IF(物品!U249="",0,""""&amp;物品!U249&amp;"""")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IF(物品!B250="",0,"'"&amp;物品!B250&amp;"'")</f>
        <v>'IC06'</v>
      </c>
      <c r="B160">
        <f>物品!D168</f>
        <v>0</v>
      </c>
      <c r="C160">
        <f>物品!E250</f>
        <v>0</v>
      </c>
      <c r="D160">
        <f>物品!F250</f>
        <v>0</v>
      </c>
      <c r="E160">
        <f>IF(ISTEXT(物品!G250)=TRUE,"'"&amp;物品!G250&amp;"'",物品!G250)</f>
        <v>0</v>
      </c>
      <c r="F160">
        <f>IF(ISTEXT(物品!H250)=TRUE,"'"&amp;物品!H250&amp;"'",物品!H250)</f>
        <v>0</v>
      </c>
      <c r="G160">
        <f>IF(物品!I250="",0,"'"&amp;物品!I250&amp;"'")</f>
        <v>0</v>
      </c>
      <c r="H160">
        <f>IF(物品!R250="",0,物品!R250)</f>
        <v>0</v>
      </c>
      <c r="I160">
        <f>IF(物品!S250="",0,物品!S250)</f>
        <v>0</v>
      </c>
      <c r="J160" t="str">
        <f>IF(物品!C250="",0,""""&amp;物品!C250&amp;"""")</f>
        <v>"生命值低"</v>
      </c>
      <c r="K160" t="str">
        <f>IF(物品!T250="","""""",""""&amp;物品!T250&amp;"""")</f>
        <v>""</v>
      </c>
      <c r="L160">
        <f>IF(物品!U250="",0,""""&amp;物品!U250&amp;"""")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IF(物品!B251="",0,"'"&amp;物品!B251&amp;"'")</f>
        <v>'IC07'</v>
      </c>
      <c r="B161">
        <f>物品!D169</f>
        <v>0</v>
      </c>
      <c r="C161">
        <f>物品!E251</f>
        <v>0</v>
      </c>
      <c r="D161">
        <f>物品!F251</f>
        <v>0</v>
      </c>
      <c r="E161">
        <f>IF(ISTEXT(物品!G251)=TRUE,"'"&amp;物品!G251&amp;"'",物品!G251)</f>
        <v>0</v>
      </c>
      <c r="F161">
        <f>IF(ISTEXT(物品!H251)=TRUE,"'"&amp;物品!H251&amp;"'",物品!H251)</f>
        <v>0</v>
      </c>
      <c r="G161">
        <f>IF(物品!I251="",0,"'"&amp;物品!I251&amp;"'")</f>
        <v>0</v>
      </c>
      <c r="H161">
        <f>IF(物品!R251="",0,物品!R251)</f>
        <v>0</v>
      </c>
      <c r="I161">
        <f>IF(物品!S251="",0,物品!S251)</f>
        <v>0</v>
      </c>
      <c r="J161" t="str">
        <f>IF(物品!C251="",0,""""&amp;物品!C251&amp;"""")</f>
        <v>"生命值中"</v>
      </c>
      <c r="K161" t="str">
        <f>IF(物品!T251="","""""",""""&amp;物品!T251&amp;"""")</f>
        <v>""</v>
      </c>
      <c r="L161">
        <f>IF(物品!U251="",0,""""&amp;物品!U251&amp;"""")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IF(物品!B252="",0,"'"&amp;物品!B252&amp;"'")</f>
        <v>'IC08'</v>
      </c>
      <c r="B162">
        <f>物品!D170</f>
        <v>0</v>
      </c>
      <c r="C162">
        <f>物品!E252</f>
        <v>0</v>
      </c>
      <c r="D162">
        <f>物品!F252</f>
        <v>0</v>
      </c>
      <c r="E162">
        <f>IF(ISTEXT(物品!G252)=TRUE,"'"&amp;物品!G252&amp;"'",物品!G252)</f>
        <v>0</v>
      </c>
      <c r="F162">
        <f>IF(ISTEXT(物品!H252)=TRUE,"'"&amp;物品!H252&amp;"'",物品!H252)</f>
        <v>0</v>
      </c>
      <c r="G162">
        <f>IF(物品!I252="",0,"'"&amp;物品!I252&amp;"'")</f>
        <v>0</v>
      </c>
      <c r="H162">
        <f>IF(物品!R252="",0,物品!R252)</f>
        <v>0</v>
      </c>
      <c r="I162">
        <f>IF(物品!S252="",0,物品!S252)</f>
        <v>0</v>
      </c>
      <c r="J162" t="str">
        <f>IF(物品!C252="",0,""""&amp;物品!C252&amp;"""")</f>
        <v>"生命值高"</v>
      </c>
      <c r="K162" t="str">
        <f>IF(物品!T252="","""""",""""&amp;物品!T252&amp;"""")</f>
        <v>""</v>
      </c>
      <c r="L162">
        <f>IF(物品!U252="",0,""""&amp;物品!U252&amp;"""")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IF(物品!B253="",0,"'"&amp;物品!B253&amp;"'")</f>
        <v>'IC09'</v>
      </c>
      <c r="B163">
        <f>物品!D171</f>
        <v>0</v>
      </c>
      <c r="C163">
        <f>物品!E253</f>
        <v>0</v>
      </c>
      <c r="D163">
        <f>物品!F253</f>
        <v>0</v>
      </c>
      <c r="E163">
        <f>IF(ISTEXT(物品!G253)=TRUE,"'"&amp;物品!G253&amp;"'",物品!G253)</f>
        <v>0</v>
      </c>
      <c r="F163">
        <f>IF(ISTEXT(物品!H253)=TRUE,"'"&amp;物品!H253&amp;"'",物品!H253)</f>
        <v>0</v>
      </c>
      <c r="G163">
        <f>IF(物品!I253="",0,"'"&amp;物品!I253&amp;"'")</f>
        <v>0</v>
      </c>
      <c r="H163">
        <f>IF(物品!R253="",0,物品!R253)</f>
        <v>0</v>
      </c>
      <c r="I163">
        <f>IF(物品!S253="",0,物品!S253)</f>
        <v>0</v>
      </c>
      <c r="J163" t="str">
        <f>IF(物品!C253="",0,""""&amp;物品!C253&amp;"""")</f>
        <v>"业力低"</v>
      </c>
      <c r="K163" t="str">
        <f>IF(物品!T253="","""""",""""&amp;物品!T253&amp;"""")</f>
        <v>""</v>
      </c>
      <c r="L163">
        <f>IF(物品!U253="",0,""""&amp;物品!U253&amp;"""")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IF(物品!B254="",0,"'"&amp;物品!B254&amp;"'")</f>
        <v>'IC10'</v>
      </c>
      <c r="B164">
        <f>物品!D172</f>
        <v>0</v>
      </c>
      <c r="C164">
        <f>物品!E254</f>
        <v>0</v>
      </c>
      <c r="D164">
        <f>物品!F254</f>
        <v>0</v>
      </c>
      <c r="E164">
        <f>IF(ISTEXT(物品!G254)=TRUE,"'"&amp;物品!G254&amp;"'",物品!G254)</f>
        <v>0</v>
      </c>
      <c r="F164">
        <f>IF(ISTEXT(物品!H254)=TRUE,"'"&amp;物品!H254&amp;"'",物品!H254)</f>
        <v>0</v>
      </c>
      <c r="G164">
        <f>IF(物品!I254="",0,"'"&amp;物品!I254&amp;"'")</f>
        <v>0</v>
      </c>
      <c r="H164">
        <f>IF(物品!R254="",0,物品!R254)</f>
        <v>0</v>
      </c>
      <c r="I164">
        <f>IF(物品!S254="",0,物品!S254)</f>
        <v>0</v>
      </c>
      <c r="J164" t="str">
        <f>IF(物品!C254="",0,""""&amp;物品!C254&amp;"""")</f>
        <v>"业力中"</v>
      </c>
      <c r="K164" t="str">
        <f>IF(物品!T254="","""""",""""&amp;物品!T254&amp;"""")</f>
        <v>""</v>
      </c>
      <c r="L164">
        <f>IF(物品!U254="",0,""""&amp;物品!U254&amp;"""")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IF(物品!B255="",0,"'"&amp;物品!B255&amp;"'")</f>
        <v>'IC11'</v>
      </c>
      <c r="B165">
        <f>物品!D173</f>
        <v>0</v>
      </c>
      <c r="C165">
        <f>物品!E255</f>
        <v>0</v>
      </c>
      <c r="D165">
        <f>物品!F255</f>
        <v>0</v>
      </c>
      <c r="E165">
        <f>IF(ISTEXT(物品!G255)=TRUE,"'"&amp;物品!G255&amp;"'",物品!G255)</f>
        <v>0</v>
      </c>
      <c r="F165">
        <f>IF(ISTEXT(物品!H255)=TRUE,"'"&amp;物品!H255&amp;"'",物品!H255)</f>
        <v>0</v>
      </c>
      <c r="G165">
        <f>IF(物品!I255="",0,"'"&amp;物品!I255&amp;"'")</f>
        <v>0</v>
      </c>
      <c r="H165">
        <f>IF(物品!R255="",0,物品!R255)</f>
        <v>0</v>
      </c>
      <c r="I165">
        <f>IF(物品!S255="",0,物品!S255)</f>
        <v>0</v>
      </c>
      <c r="J165" t="str">
        <f>IF(物品!C255="",0,""""&amp;物品!C255&amp;"""")</f>
        <v>"业力高"</v>
      </c>
      <c r="K165" t="str">
        <f>IF(物品!T255="","""""",""""&amp;物品!T255&amp;"""")</f>
        <v>""</v>
      </c>
      <c r="L165">
        <f>IF(物品!U255="",0,""""&amp;物品!U255&amp;"""")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IF(物品!B256="",0,"'"&amp;物品!B256&amp;"'")</f>
        <v>0</v>
      </c>
      <c r="B166">
        <f>物品!D174</f>
        <v>0</v>
      </c>
      <c r="C166">
        <f>物品!E256</f>
        <v>0</v>
      </c>
      <c r="D166">
        <f>物品!F256</f>
        <v>0</v>
      </c>
      <c r="E166">
        <f>IF(ISTEXT(物品!G256)=TRUE,"'"&amp;物品!G256&amp;"'",物品!G256)</f>
        <v>0</v>
      </c>
      <c r="F166">
        <f>IF(ISTEXT(物品!H256)=TRUE,"'"&amp;物品!H256&amp;"'",物品!H256)</f>
        <v>0</v>
      </c>
      <c r="G166">
        <f>IF(物品!I256="",0,"'"&amp;物品!I256&amp;"'")</f>
        <v>0</v>
      </c>
      <c r="H166">
        <f>IF(物品!R256="",0,物品!R256)</f>
        <v>0</v>
      </c>
      <c r="I166">
        <f>IF(物品!S256="",0,物品!S256)</f>
        <v>0</v>
      </c>
      <c r="J166">
        <f>IF(物品!C256="",0,""""&amp;物品!C256&amp;"""")</f>
        <v>0</v>
      </c>
      <c r="K166" t="str">
        <f>IF(物品!T256="","""""",""""&amp;物品!T256&amp;"""")</f>
        <v>""</v>
      </c>
      <c r="L166">
        <f>IF(物品!U256="",0,""""&amp;物品!U256&amp;"""")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IF(物品!B257="",0,"'"&amp;物品!B257&amp;"'")</f>
        <v>0</v>
      </c>
      <c r="B167">
        <f>物品!D177</f>
        <v>0</v>
      </c>
      <c r="C167">
        <f>物品!E257</f>
        <v>0</v>
      </c>
      <c r="D167">
        <f>物品!F257</f>
        <v>0</v>
      </c>
      <c r="E167">
        <f>IF(ISTEXT(物品!G257)=TRUE,"'"&amp;物品!G257&amp;"'",物品!G257)</f>
        <v>0</v>
      </c>
      <c r="F167">
        <f>IF(ISTEXT(物品!H257)=TRUE,"'"&amp;物品!H257&amp;"'",物品!H257)</f>
        <v>0</v>
      </c>
      <c r="G167">
        <f>IF(物品!I257="",0,"'"&amp;物品!I257&amp;"'")</f>
        <v>0</v>
      </c>
      <c r="H167">
        <f>IF(物品!R257="",0,物品!R257)</f>
        <v>0</v>
      </c>
      <c r="I167">
        <f>IF(物品!S257="",0,物品!S257)</f>
        <v>0</v>
      </c>
      <c r="J167">
        <f>IF(物品!C257="",0,""""&amp;物品!C257&amp;"""")</f>
        <v>0</v>
      </c>
      <c r="K167" t="str">
        <f>IF(物品!T257="","""""",""""&amp;物品!T257&amp;"""")</f>
        <v>""</v>
      </c>
      <c r="L167">
        <f>IF(物品!U257="",0,""""&amp;物品!U257&amp;"""")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IF(物品!B258="",0,"'"&amp;物品!B258&amp;"'")</f>
        <v>0</v>
      </c>
      <c r="B168">
        <f>物品!D178</f>
        <v>0</v>
      </c>
      <c r="C168">
        <f>物品!E258</f>
        <v>0</v>
      </c>
      <c r="D168">
        <f>物品!F258</f>
        <v>0</v>
      </c>
      <c r="E168">
        <f>IF(ISTEXT(物品!G258)=TRUE,"'"&amp;物品!G258&amp;"'",物品!G258)</f>
        <v>0</v>
      </c>
      <c r="F168">
        <f>IF(ISTEXT(物品!H258)=TRUE,"'"&amp;物品!H258&amp;"'",物品!H258)</f>
        <v>0</v>
      </c>
      <c r="G168">
        <f>IF(物品!I258="",0,"'"&amp;物品!I258&amp;"'")</f>
        <v>0</v>
      </c>
      <c r="H168">
        <f>IF(物品!R258="",0,物品!R258)</f>
        <v>0</v>
      </c>
      <c r="I168">
        <f>IF(物品!S258="",0,物品!S258)</f>
        <v>0</v>
      </c>
      <c r="J168">
        <f>IF(物品!C258="",0,""""&amp;物品!C258&amp;"""")</f>
        <v>0</v>
      </c>
      <c r="K168" t="str">
        <f>IF(物品!T258="","""""",""""&amp;物品!T258&amp;"""")</f>
        <v>""</v>
      </c>
      <c r="L168">
        <f>IF(物品!U258="",0,""""&amp;物品!U258&amp;"""")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IF(物品!B259="",0,"'"&amp;物品!B259&amp;"'")</f>
        <v>0</v>
      </c>
      <c r="B169">
        <f>物品!D179</f>
        <v>0</v>
      </c>
      <c r="C169">
        <f>物品!E259</f>
        <v>0</v>
      </c>
      <c r="D169">
        <f>物品!F259</f>
        <v>0</v>
      </c>
      <c r="E169">
        <f>IF(ISTEXT(物品!G259)=TRUE,"'"&amp;物品!G259&amp;"'",物品!G259)</f>
        <v>0</v>
      </c>
      <c r="F169">
        <f>IF(ISTEXT(物品!H259)=TRUE,"'"&amp;物品!H259&amp;"'",物品!H259)</f>
        <v>0</v>
      </c>
      <c r="G169">
        <f>IF(物品!I259="",0,"'"&amp;物品!I259&amp;"'")</f>
        <v>0</v>
      </c>
      <c r="H169">
        <f>IF(物品!R259="",0,物品!R259)</f>
        <v>0</v>
      </c>
      <c r="I169">
        <f>IF(物品!S259="",0,物品!S259)</f>
        <v>0</v>
      </c>
      <c r="J169">
        <f>IF(物品!C259="",0,""""&amp;物品!C259&amp;"""")</f>
        <v>0</v>
      </c>
      <c r="K169" t="str">
        <f>IF(物品!T259="","""""",""""&amp;物品!T259&amp;"""")</f>
        <v>""</v>
      </c>
      <c r="L169">
        <f>IF(物品!U259="",0,""""&amp;物品!U259&amp;"""")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IF(物品!B260="",0,"'"&amp;物品!B260&amp;"'")</f>
        <v>0</v>
      </c>
      <c r="B170">
        <f>物品!D180</f>
        <v>0</v>
      </c>
      <c r="C170">
        <f>物品!E260</f>
        <v>0</v>
      </c>
      <c r="D170">
        <f>物品!F260</f>
        <v>0</v>
      </c>
      <c r="E170">
        <f>IF(ISTEXT(物品!G260)=TRUE,"'"&amp;物品!G260&amp;"'",物品!G260)</f>
        <v>0</v>
      </c>
      <c r="F170">
        <f>IF(ISTEXT(物品!H260)=TRUE,"'"&amp;物品!H260&amp;"'",物品!H260)</f>
        <v>0</v>
      </c>
      <c r="G170">
        <f>IF(物品!I260="",0,"'"&amp;物品!I260&amp;"'")</f>
        <v>0</v>
      </c>
      <c r="H170">
        <f>IF(物品!R260="",0,物品!R260)</f>
        <v>0</v>
      </c>
      <c r="I170">
        <f>IF(物品!S260="",0,物品!S260)</f>
        <v>0</v>
      </c>
      <c r="J170">
        <f>IF(物品!C260="",0,""""&amp;物品!C260&amp;"""")</f>
        <v>0</v>
      </c>
      <c r="K170" t="str">
        <f>IF(物品!T260="","""""",""""&amp;物品!T260&amp;"""")</f>
        <v>""</v>
      </c>
      <c r="L170">
        <f>IF(物品!U260="",0,""""&amp;物品!U260&amp;"""")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IF(物品!B261="",0,"'"&amp;物品!B261&amp;"'")</f>
        <v>0</v>
      </c>
      <c r="B171">
        <f>物品!D181</f>
        <v>0</v>
      </c>
      <c r="C171">
        <f>物品!E261</f>
        <v>0</v>
      </c>
      <c r="D171">
        <f>物品!F261</f>
        <v>0</v>
      </c>
      <c r="E171">
        <f>IF(ISTEXT(物品!G261)=TRUE,"'"&amp;物品!G261&amp;"'",物品!G261)</f>
        <v>0</v>
      </c>
      <c r="F171">
        <f>IF(ISTEXT(物品!H261)=TRUE,"'"&amp;物品!H261&amp;"'",物品!H261)</f>
        <v>0</v>
      </c>
      <c r="G171">
        <f>IF(物品!I261="",0,"'"&amp;物品!I261&amp;"'")</f>
        <v>0</v>
      </c>
      <c r="H171">
        <f>IF(物品!R261="",0,物品!R261)</f>
        <v>0</v>
      </c>
      <c r="I171">
        <f>IF(物品!S261="",0,物品!S261)</f>
        <v>0</v>
      </c>
      <c r="J171">
        <f>IF(物品!C261="",0,""""&amp;物品!C261&amp;"""")</f>
        <v>0</v>
      </c>
      <c r="K171" t="str">
        <f>IF(物品!T261="","""""",""""&amp;物品!T261&amp;"""")</f>
        <v>""</v>
      </c>
      <c r="L171">
        <f>IF(物品!U261="",0,""""&amp;物品!U261&amp;"""")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IF(物品!B262="",0,"'"&amp;物品!B262&amp;"'")</f>
        <v>0</v>
      </c>
      <c r="B172">
        <f>物品!D182</f>
        <v>0</v>
      </c>
      <c r="C172">
        <f>物品!E262</f>
        <v>0</v>
      </c>
      <c r="D172">
        <f>物品!F262</f>
        <v>0</v>
      </c>
      <c r="E172">
        <f>IF(ISTEXT(物品!G262)=TRUE,"'"&amp;物品!G262&amp;"'",物品!G262)</f>
        <v>0</v>
      </c>
      <c r="F172">
        <f>IF(ISTEXT(物品!H262)=TRUE,"'"&amp;物品!H262&amp;"'",物品!H262)</f>
        <v>0</v>
      </c>
      <c r="G172">
        <f>IF(物品!I262="",0,"'"&amp;物品!I262&amp;"'")</f>
        <v>0</v>
      </c>
      <c r="H172">
        <f>IF(物品!R262="",0,物品!R262)</f>
        <v>0</v>
      </c>
      <c r="I172">
        <f>IF(物品!S262="",0,物品!S262)</f>
        <v>0</v>
      </c>
      <c r="J172">
        <f>IF(物品!C262="",0,""""&amp;物品!C262&amp;"""")</f>
        <v>0</v>
      </c>
      <c r="K172" t="str">
        <f>IF(物品!T262="","""""",""""&amp;物品!T262&amp;"""")</f>
        <v>""</v>
      </c>
      <c r="L172">
        <f>IF(物品!U262="",0,""""&amp;物品!U262&amp;"""")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IF(物品!B263="",0,"'"&amp;物品!B263&amp;"'")</f>
        <v>0</v>
      </c>
      <c r="B173">
        <f>物品!D183</f>
        <v>0</v>
      </c>
      <c r="C173">
        <f>物品!E263</f>
        <v>0</v>
      </c>
      <c r="D173">
        <f>物品!F263</f>
        <v>0</v>
      </c>
      <c r="E173">
        <f>IF(ISTEXT(物品!G263)=TRUE,"'"&amp;物品!G263&amp;"'",物品!G263)</f>
        <v>0</v>
      </c>
      <c r="F173">
        <f>IF(ISTEXT(物品!H263)=TRUE,"'"&amp;物品!H263&amp;"'",物品!H263)</f>
        <v>0</v>
      </c>
      <c r="G173">
        <f>IF(物品!I263="",0,"'"&amp;物品!I263&amp;"'")</f>
        <v>0</v>
      </c>
      <c r="H173">
        <f>IF(物品!R263="",0,物品!R263)</f>
        <v>0</v>
      </c>
      <c r="I173">
        <f>IF(物品!S263="",0,物品!S263)</f>
        <v>0</v>
      </c>
      <c r="J173">
        <f>IF(物品!C263="",0,""""&amp;物品!C263&amp;"""")</f>
        <v>0</v>
      </c>
      <c r="K173" t="str">
        <f>IF(物品!T263="","""""",""""&amp;物品!T263&amp;"""")</f>
        <v>""</v>
      </c>
      <c r="L173">
        <f>IF(物品!U263="",0,""""&amp;物品!U263&amp;"""")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IF(物品!B264="",0,"'"&amp;物品!B264&amp;"'")</f>
        <v>0</v>
      </c>
      <c r="B174">
        <f>物品!D187</f>
        <v>0</v>
      </c>
      <c r="C174">
        <f>物品!E264</f>
        <v>0</v>
      </c>
      <c r="D174">
        <f>物品!F264</f>
        <v>0</v>
      </c>
      <c r="E174">
        <f>IF(ISTEXT(物品!G264)=TRUE,"'"&amp;物品!G264&amp;"'",物品!G264)</f>
        <v>0</v>
      </c>
      <c r="F174">
        <f>IF(ISTEXT(物品!H264)=TRUE,"'"&amp;物品!H264&amp;"'",物品!H264)</f>
        <v>0</v>
      </c>
      <c r="G174">
        <f>IF(物品!I264="",0,"'"&amp;物品!I264&amp;"'")</f>
        <v>0</v>
      </c>
      <c r="H174">
        <f>IF(物品!R264="",0,物品!R264)</f>
        <v>0</v>
      </c>
      <c r="I174">
        <f>IF(物品!S264="",0,物品!S264)</f>
        <v>0</v>
      </c>
      <c r="J174">
        <f>IF(物品!C264="",0,""""&amp;物品!C264&amp;"""")</f>
        <v>0</v>
      </c>
      <c r="K174" t="str">
        <f>IF(物品!T264="","""""",""""&amp;物品!T264&amp;"""")</f>
        <v>""</v>
      </c>
      <c r="L174">
        <f>IF(物品!U264="",0,""""&amp;物品!U264&amp;"""")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IF(物品!B265="",0,"'"&amp;物品!B265&amp;"'")</f>
        <v>0</v>
      </c>
      <c r="B175">
        <f>物品!D188</f>
        <v>0</v>
      </c>
      <c r="C175">
        <f>物品!E265</f>
        <v>0</v>
      </c>
      <c r="D175">
        <f>物品!F265</f>
        <v>0</v>
      </c>
      <c r="E175">
        <f>IF(ISTEXT(物品!G265)=TRUE,"'"&amp;物品!G265&amp;"'",物品!G265)</f>
        <v>0</v>
      </c>
      <c r="F175">
        <f>IF(ISTEXT(物品!H265)=TRUE,"'"&amp;物品!H265&amp;"'",物品!H265)</f>
        <v>0</v>
      </c>
      <c r="G175">
        <f>IF(物品!I265="",0,"'"&amp;物品!I265&amp;"'")</f>
        <v>0</v>
      </c>
      <c r="H175">
        <f>IF(物品!R265="",0,物品!R265)</f>
        <v>0</v>
      </c>
      <c r="I175">
        <f>IF(物品!S265="",0,物品!S265)</f>
        <v>0</v>
      </c>
      <c r="J175">
        <f>IF(物品!C265="",0,""""&amp;物品!C265&amp;"""")</f>
        <v>0</v>
      </c>
      <c r="K175" t="str">
        <f>IF(物品!T265="","""""",""""&amp;物品!T265&amp;"""")</f>
        <v>""</v>
      </c>
      <c r="L175">
        <f>IF(物品!U265="",0,""""&amp;物品!U265&amp;"""")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IF(物品!B266="",0,"'"&amp;物品!B266&amp;"'")</f>
        <v>0</v>
      </c>
      <c r="B176" t="e">
        <f>物品!#REF!</f>
        <v>#REF!</v>
      </c>
      <c r="C176">
        <f>物品!E266</f>
        <v>0</v>
      </c>
      <c r="D176">
        <f>物品!F266</f>
        <v>0</v>
      </c>
      <c r="E176">
        <f>IF(ISTEXT(物品!G266)=TRUE,"'"&amp;物品!G266&amp;"'",物品!G266)</f>
        <v>0</v>
      </c>
      <c r="F176">
        <f>IF(ISTEXT(物品!H266)=TRUE,"'"&amp;物品!H266&amp;"'",物品!H266)</f>
        <v>0</v>
      </c>
      <c r="G176">
        <f>IF(物品!I266="",0,"'"&amp;物品!I266&amp;"'")</f>
        <v>0</v>
      </c>
      <c r="H176">
        <f>IF(物品!R266="",0,物品!R266)</f>
        <v>0</v>
      </c>
      <c r="I176">
        <f>IF(物品!S266="",0,物品!S266)</f>
        <v>0</v>
      </c>
      <c r="J176">
        <f>IF(物品!C266="",0,""""&amp;物品!C266&amp;"""")</f>
        <v>0</v>
      </c>
      <c r="K176" t="str">
        <f>IF(物品!T266="","""""",""""&amp;物品!T266&amp;"""")</f>
        <v>""</v>
      </c>
      <c r="L176">
        <f>IF(物品!U266="",0,""""&amp;物品!U266&amp;"""")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IF(物品!B267="",0,"'"&amp;物品!B267&amp;"'")</f>
        <v>0</v>
      </c>
      <c r="B177" t="e">
        <f>物品!#REF!</f>
        <v>#REF!</v>
      </c>
      <c r="C177">
        <f>物品!E267</f>
        <v>0</v>
      </c>
      <c r="D177">
        <f>物品!F267</f>
        <v>0</v>
      </c>
      <c r="E177">
        <f>IF(ISTEXT(物品!G267)=TRUE,"'"&amp;物品!G267&amp;"'",物品!G267)</f>
        <v>0</v>
      </c>
      <c r="F177">
        <f>IF(ISTEXT(物品!H267)=TRUE,"'"&amp;物品!H267&amp;"'",物品!H267)</f>
        <v>0</v>
      </c>
      <c r="G177">
        <f>IF(物品!I267="",0,"'"&amp;物品!I267&amp;"'")</f>
        <v>0</v>
      </c>
      <c r="H177">
        <f>IF(物品!R267="",0,物品!R267)</f>
        <v>0</v>
      </c>
      <c r="I177">
        <f>IF(物品!S267="",0,物品!S267)</f>
        <v>0</v>
      </c>
      <c r="J177">
        <f>IF(物品!C267="",0,""""&amp;物品!C267&amp;"""")</f>
        <v>0</v>
      </c>
      <c r="K177" t="str">
        <f>IF(物品!T267="","""""",""""&amp;物品!T267&amp;"""")</f>
        <v>""</v>
      </c>
      <c r="L177">
        <f>IF(物品!U267="",0,""""&amp;物品!U267&amp;"""")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IF(物品!B268="",0,"'"&amp;物品!B268&amp;"'")</f>
        <v>0</v>
      </c>
      <c r="B178" t="e">
        <f>物品!#REF!</f>
        <v>#REF!</v>
      </c>
      <c r="C178">
        <f>物品!E268</f>
        <v>0</v>
      </c>
      <c r="D178">
        <f>物品!F268</f>
        <v>0</v>
      </c>
      <c r="E178">
        <f>IF(ISTEXT(物品!G268)=TRUE,"'"&amp;物品!G268&amp;"'",物品!G268)</f>
        <v>0</v>
      </c>
      <c r="F178">
        <f>IF(ISTEXT(物品!H268)=TRUE,"'"&amp;物品!H268&amp;"'",物品!H268)</f>
        <v>0</v>
      </c>
      <c r="G178">
        <f>IF(物品!I268="",0,"'"&amp;物品!I268&amp;"'")</f>
        <v>0</v>
      </c>
      <c r="H178">
        <f>IF(物品!R268="",0,物品!R268)</f>
        <v>0</v>
      </c>
      <c r="I178">
        <f>IF(物品!S268="",0,物品!S268)</f>
        <v>0</v>
      </c>
      <c r="J178">
        <f>IF(物品!C268="",0,""""&amp;物品!C268&amp;"""")</f>
        <v>0</v>
      </c>
      <c r="K178" t="str">
        <f>IF(物品!T268="","""""",""""&amp;物品!T268&amp;"""")</f>
        <v>""</v>
      </c>
      <c r="L178">
        <f>IF(物品!U268="",0,""""&amp;物品!U268&amp;"""")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IF(物品!B269="",0,"'"&amp;物品!B269&amp;"'")</f>
        <v>0</v>
      </c>
      <c r="B179" t="e">
        <f>物品!#REF!</f>
        <v>#REF!</v>
      </c>
      <c r="C179">
        <f>物品!E269</f>
        <v>0</v>
      </c>
      <c r="D179">
        <f>物品!F269</f>
        <v>0</v>
      </c>
      <c r="E179">
        <f>IF(ISTEXT(物品!G269)=TRUE,"'"&amp;物品!G269&amp;"'",物品!G269)</f>
        <v>0</v>
      </c>
      <c r="F179">
        <f>IF(ISTEXT(物品!H269)=TRUE,"'"&amp;物品!H269&amp;"'",物品!H269)</f>
        <v>0</v>
      </c>
      <c r="G179">
        <f>IF(物品!I269="",0,"'"&amp;物品!I269&amp;"'")</f>
        <v>0</v>
      </c>
      <c r="H179">
        <f>IF(物品!R269="",0,物品!R269)</f>
        <v>0</v>
      </c>
      <c r="I179">
        <f>IF(物品!S269="",0,物品!S269)</f>
        <v>0</v>
      </c>
      <c r="J179">
        <f>IF(物品!C269="",0,""""&amp;物品!C269&amp;"""")</f>
        <v>0</v>
      </c>
      <c r="K179" t="str">
        <f>IF(物品!T269="","""""",""""&amp;物品!T269&amp;"""")</f>
        <v>""</v>
      </c>
      <c r="L179">
        <f>IF(物品!U269="",0,""""&amp;物品!U269&amp;"""")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IF(物品!B270="",0,"'"&amp;物品!B270&amp;"'")</f>
        <v>0</v>
      </c>
      <c r="B180" t="e">
        <f>物品!#REF!</f>
        <v>#REF!</v>
      </c>
      <c r="C180">
        <f>物品!E270</f>
        <v>0</v>
      </c>
      <c r="D180">
        <f>物品!F270</f>
        <v>0</v>
      </c>
      <c r="E180">
        <f>IF(ISTEXT(物品!G270)=TRUE,"'"&amp;物品!G270&amp;"'",物品!G270)</f>
        <v>0</v>
      </c>
      <c r="F180">
        <f>IF(ISTEXT(物品!H270)=TRUE,"'"&amp;物品!H270&amp;"'",物品!H270)</f>
        <v>0</v>
      </c>
      <c r="G180">
        <f>IF(物品!I270="",0,"'"&amp;物品!I270&amp;"'")</f>
        <v>0</v>
      </c>
      <c r="H180">
        <f>IF(物品!R270="",0,物品!R270)</f>
        <v>0</v>
      </c>
      <c r="I180">
        <f>IF(物品!S270="",0,物品!S270)</f>
        <v>0</v>
      </c>
      <c r="J180">
        <f>IF(物品!C270="",0,""""&amp;物品!C270&amp;"""")</f>
        <v>0</v>
      </c>
      <c r="K180" t="str">
        <f>IF(物品!T270="","""""",""""&amp;物品!T270&amp;"""")</f>
        <v>""</v>
      </c>
      <c r="L180">
        <f>IF(物品!U270="",0,""""&amp;物品!U270&amp;"""")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IF(物品!B271="",0,"'"&amp;物品!B271&amp;"'")</f>
        <v>0</v>
      </c>
      <c r="B181" t="e">
        <f>物品!#REF!</f>
        <v>#REF!</v>
      </c>
      <c r="C181">
        <f>物品!E271</f>
        <v>0</v>
      </c>
      <c r="D181">
        <f>物品!F271</f>
        <v>0</v>
      </c>
      <c r="E181">
        <f>IF(ISTEXT(物品!G271)=TRUE,"'"&amp;物品!G271&amp;"'",物品!G271)</f>
        <v>0</v>
      </c>
      <c r="F181">
        <f>IF(ISTEXT(物品!H271)=TRUE,"'"&amp;物品!H271&amp;"'",物品!H271)</f>
        <v>0</v>
      </c>
      <c r="G181">
        <f>IF(物品!I271="",0,"'"&amp;物品!I271&amp;"'")</f>
        <v>0</v>
      </c>
      <c r="H181">
        <f>IF(物品!R271="",0,物品!R271)</f>
        <v>0</v>
      </c>
      <c r="I181">
        <f>IF(物品!S271="",0,物品!S271)</f>
        <v>0</v>
      </c>
      <c r="J181">
        <f>IF(物品!C271="",0,""""&amp;物品!C271&amp;"""")</f>
        <v>0</v>
      </c>
      <c r="K181" t="str">
        <f>IF(物品!T271="","""""",""""&amp;物品!T271&amp;"""")</f>
        <v>""</v>
      </c>
      <c r="L181">
        <f>IF(物品!U271="",0,""""&amp;物品!U271&amp;"""")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IF(物品!B272="",0,"'"&amp;物品!B272&amp;"'")</f>
        <v>0</v>
      </c>
      <c r="B182" t="e">
        <f>物品!#REF!</f>
        <v>#REF!</v>
      </c>
      <c r="C182">
        <f>物品!E272</f>
        <v>0</v>
      </c>
      <c r="D182">
        <f>物品!F272</f>
        <v>0</v>
      </c>
      <c r="E182">
        <f>IF(ISTEXT(物品!G272)=TRUE,"'"&amp;物品!G272&amp;"'",物品!G272)</f>
        <v>0</v>
      </c>
      <c r="F182">
        <f>IF(ISTEXT(物品!H272)=TRUE,"'"&amp;物品!H272&amp;"'",物品!H272)</f>
        <v>0</v>
      </c>
      <c r="G182">
        <f>IF(物品!I272="",0,"'"&amp;物品!I272&amp;"'")</f>
        <v>0</v>
      </c>
      <c r="H182">
        <f>IF(物品!R272="",0,物品!R272)</f>
        <v>0</v>
      </c>
      <c r="I182">
        <f>IF(物品!S272="",0,物品!S272)</f>
        <v>0</v>
      </c>
      <c r="J182">
        <f>IF(物品!C272="",0,""""&amp;物品!C272&amp;"""")</f>
        <v>0</v>
      </c>
      <c r="K182" t="str">
        <f>IF(物品!T272="","""""",""""&amp;物品!T272&amp;"""")</f>
        <v>""</v>
      </c>
      <c r="L182">
        <f>IF(物品!U272="",0,""""&amp;物品!U272&amp;"""")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IF(物品!B273="",0,"'"&amp;物品!B273&amp;"'")</f>
        <v>0</v>
      </c>
      <c r="B183" t="e">
        <f>物品!#REF!</f>
        <v>#REF!</v>
      </c>
      <c r="C183">
        <f>物品!E273</f>
        <v>0</v>
      </c>
      <c r="D183">
        <f>物品!F273</f>
        <v>0</v>
      </c>
      <c r="E183">
        <f>IF(ISTEXT(物品!G273)=TRUE,"'"&amp;物品!G273&amp;"'",物品!G273)</f>
        <v>0</v>
      </c>
      <c r="F183">
        <f>IF(ISTEXT(物品!H273)=TRUE,"'"&amp;物品!H273&amp;"'",物品!H273)</f>
        <v>0</v>
      </c>
      <c r="G183">
        <f>IF(物品!I273="",0,"'"&amp;物品!I273&amp;"'")</f>
        <v>0</v>
      </c>
      <c r="H183">
        <f>IF(物品!R273="",0,物品!R273)</f>
        <v>0</v>
      </c>
      <c r="I183">
        <f>IF(物品!S273="",0,物品!S273)</f>
        <v>0</v>
      </c>
      <c r="J183">
        <f>IF(物品!C273="",0,""""&amp;物品!C273&amp;"""")</f>
        <v>0</v>
      </c>
      <c r="K183" t="str">
        <f>IF(物品!T273="","""""",""""&amp;物品!T273&amp;"""")</f>
        <v>""</v>
      </c>
      <c r="L183">
        <f>IF(物品!U273="",0,""""&amp;物品!U273&amp;"""")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IF(物品!B274="",0,"'"&amp;物品!B274&amp;"'")</f>
        <v>0</v>
      </c>
      <c r="B184">
        <f>物品!D194</f>
        <v>0</v>
      </c>
      <c r="C184">
        <f>物品!E274</f>
        <v>0</v>
      </c>
      <c r="D184">
        <f>物品!F274</f>
        <v>0</v>
      </c>
      <c r="E184">
        <f>IF(ISTEXT(物品!G274)=TRUE,"'"&amp;物品!G274&amp;"'",物品!G274)</f>
        <v>0</v>
      </c>
      <c r="F184">
        <f>IF(ISTEXT(物品!H274)=TRUE,"'"&amp;物品!H274&amp;"'",物品!H274)</f>
        <v>0</v>
      </c>
      <c r="G184">
        <f>IF(物品!I274="",0,"'"&amp;物品!I274&amp;"'")</f>
        <v>0</v>
      </c>
      <c r="H184">
        <f>IF(物品!R274="",0,物品!R274)</f>
        <v>0</v>
      </c>
      <c r="I184">
        <f>IF(物品!S274="",0,物品!S274)</f>
        <v>0</v>
      </c>
      <c r="J184">
        <f>IF(物品!C274="",0,""""&amp;物品!C274&amp;"""")</f>
        <v>0</v>
      </c>
      <c r="K184" t="str">
        <f>IF(物品!T274="","""""",""""&amp;物品!T274&amp;"""")</f>
        <v>""</v>
      </c>
      <c r="L184">
        <f>IF(物品!U274="",0,""""&amp;物品!U274&amp;"""")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IF(物品!B284="",0,"'"&amp;物品!B284&amp;"'")</f>
        <v>0</v>
      </c>
      <c r="B185">
        <f>物品!D195</f>
        <v>0</v>
      </c>
      <c r="C185">
        <f>物品!E284</f>
        <v>0</v>
      </c>
      <c r="D185">
        <f>物品!F284</f>
        <v>0</v>
      </c>
      <c r="E185">
        <f>IF(ISTEXT(物品!G275)=TRUE,"'"&amp;物品!G275&amp;"'",物品!G275)</f>
        <v>0</v>
      </c>
      <c r="F185">
        <f>IF(ISTEXT(物品!H275)=TRUE,"'"&amp;物品!H275&amp;"'",物品!H275)</f>
        <v>0</v>
      </c>
      <c r="G185">
        <f>IF(物品!I284="",0,"'"&amp;物品!I284&amp;"'")</f>
        <v>0</v>
      </c>
      <c r="H185">
        <f>IF(物品!R275="",0,物品!R275)</f>
        <v>0</v>
      </c>
      <c r="I185">
        <f>IF(物品!S275="",0,物品!S275)</f>
        <v>0</v>
      </c>
      <c r="J185">
        <f>IF(物品!C284="",0,""""&amp;物品!C284&amp;"""")</f>
        <v>0</v>
      </c>
      <c r="K185" t="str">
        <f>IF(物品!T284="","""""",""""&amp;物品!T284&amp;"""")</f>
        <v>""</v>
      </c>
      <c r="L185">
        <f>IF(物品!U284="",0,""""&amp;物品!U284&amp;"""")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IF(物品!B285="",0,"'"&amp;物品!B285&amp;"'")</f>
        <v>0</v>
      </c>
      <c r="B186">
        <f>物品!D196</f>
        <v>0</v>
      </c>
      <c r="C186">
        <f>物品!E285</f>
        <v>0</v>
      </c>
      <c r="D186">
        <f>物品!F285</f>
        <v>0</v>
      </c>
      <c r="E186">
        <f>IF(ISTEXT(物品!G276)=TRUE,"'"&amp;物品!G276&amp;"'",物品!G276)</f>
        <v>0</v>
      </c>
      <c r="F186">
        <f>IF(ISTEXT(物品!H276)=TRUE,"'"&amp;物品!H276&amp;"'",物品!H276)</f>
        <v>0</v>
      </c>
      <c r="G186">
        <f>IF(物品!I285="",0,"'"&amp;物品!I285&amp;"'")</f>
        <v>0</v>
      </c>
      <c r="H186">
        <f>IF(物品!R276="",0,物品!R276)</f>
        <v>0</v>
      </c>
      <c r="I186">
        <f>IF(物品!S276="",0,物品!S276)</f>
        <v>0</v>
      </c>
      <c r="J186">
        <f>IF(物品!C285="",0,""""&amp;物品!C285&amp;"""")</f>
        <v>0</v>
      </c>
      <c r="K186" t="str">
        <f>IF(物品!T285="","""""",""""&amp;物品!T285&amp;"""")</f>
        <v>""</v>
      </c>
      <c r="L186">
        <f>IF(物品!U285="",0,""""&amp;物品!U285&amp;"""")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IF(物品!B286="",0,"'"&amp;物品!B286&amp;"'")</f>
        <v>0</v>
      </c>
      <c r="B187">
        <f>物品!D197</f>
        <v>0</v>
      </c>
      <c r="C187">
        <f>物品!E286</f>
        <v>0</v>
      </c>
      <c r="D187">
        <f>物品!F286</f>
        <v>0</v>
      </c>
      <c r="E187">
        <f>IF(ISTEXT(物品!G277)=TRUE,"'"&amp;物品!G277&amp;"'",物品!G277)</f>
        <v>0</v>
      </c>
      <c r="F187">
        <f>IF(ISTEXT(物品!H277)=TRUE,"'"&amp;物品!H277&amp;"'",物品!H277)</f>
        <v>0</v>
      </c>
      <c r="G187">
        <f>IF(物品!I286="",0,"'"&amp;物品!I286&amp;"'")</f>
        <v>0</v>
      </c>
      <c r="H187">
        <f>IF(物品!R277="",0,物品!R277)</f>
        <v>0</v>
      </c>
      <c r="I187">
        <f>IF(物品!S277="",0,物品!S277)</f>
        <v>0</v>
      </c>
      <c r="J187">
        <f>IF(物品!C286="",0,""""&amp;物品!C286&amp;"""")</f>
        <v>0</v>
      </c>
      <c r="K187" t="str">
        <f>IF(物品!T286="","""""",""""&amp;物品!T286&amp;"""")</f>
        <v>""</v>
      </c>
      <c r="L187">
        <f>IF(物品!U286="",0,""""&amp;物品!U286&amp;"""")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IF(物品!B287="",0,"'"&amp;物品!B287&amp;"'")</f>
        <v>0</v>
      </c>
      <c r="B188">
        <f>物品!D198</f>
        <v>0</v>
      </c>
      <c r="C188">
        <f>物品!E287</f>
        <v>0</v>
      </c>
      <c r="D188">
        <f>物品!F287</f>
        <v>0</v>
      </c>
      <c r="E188">
        <f>IF(ISTEXT(物品!G278)=TRUE,"'"&amp;物品!G278&amp;"'",物品!G278)</f>
        <v>0</v>
      </c>
      <c r="F188">
        <f>IF(ISTEXT(物品!H278)=TRUE,"'"&amp;物品!H278&amp;"'",物品!H278)</f>
        <v>0</v>
      </c>
      <c r="G188">
        <f>IF(物品!I287="",0,"'"&amp;物品!I287&amp;"'")</f>
        <v>0</v>
      </c>
      <c r="H188">
        <f>IF(物品!R278="",0,物品!R278)</f>
        <v>0</v>
      </c>
      <c r="I188">
        <f>IF(物品!S278="",0,物品!S278)</f>
        <v>0</v>
      </c>
      <c r="J188">
        <f>IF(物品!C287="",0,""""&amp;物品!C287&amp;"""")</f>
        <v>0</v>
      </c>
      <c r="K188" t="str">
        <f>IF(物品!T287="","""""",""""&amp;物品!T287&amp;"""")</f>
        <v>""</v>
      </c>
      <c r="L188">
        <f>IF(物品!U287="",0,""""&amp;物品!U287&amp;"""")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IF(物品!B288="",0,"'"&amp;物品!B288&amp;"'")</f>
        <v>0</v>
      </c>
      <c r="B189">
        <f>物品!D199</f>
        <v>0</v>
      </c>
      <c r="C189">
        <f>物品!E288</f>
        <v>0</v>
      </c>
      <c r="D189">
        <f>物品!F288</f>
        <v>0</v>
      </c>
      <c r="E189">
        <f>IF(ISTEXT(物品!G279)=TRUE,"'"&amp;物品!G279&amp;"'",物品!G279)</f>
        <v>0</v>
      </c>
      <c r="F189">
        <f>IF(ISTEXT(物品!H279)=TRUE,"'"&amp;物品!H279&amp;"'",物品!H279)</f>
        <v>0</v>
      </c>
      <c r="G189">
        <f>IF(物品!I288="",0,"'"&amp;物品!I288&amp;"'")</f>
        <v>0</v>
      </c>
      <c r="H189">
        <f>IF(物品!R279="",0,物品!R279)</f>
        <v>0</v>
      </c>
      <c r="I189">
        <f>IF(物品!S279="",0,物品!S279)</f>
        <v>0</v>
      </c>
      <c r="J189">
        <f>IF(物品!C288="",0,""""&amp;物品!C288&amp;"""")</f>
        <v>0</v>
      </c>
      <c r="K189" t="str">
        <f>IF(物品!T288="","""""",""""&amp;物品!T288&amp;"""")</f>
        <v>""</v>
      </c>
      <c r="L189">
        <f>IF(物品!U288="",0,""""&amp;物品!U288&amp;"""")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IF(物品!B289="",0,"'"&amp;物品!B289&amp;"'")</f>
        <v>0</v>
      </c>
      <c r="B190">
        <f>物品!D200</f>
        <v>0</v>
      </c>
      <c r="C190">
        <f>物品!E289</f>
        <v>0</v>
      </c>
      <c r="D190">
        <f>物品!F289</f>
        <v>0</v>
      </c>
      <c r="E190">
        <f>IF(ISTEXT(物品!G280)=TRUE,"'"&amp;物品!G280&amp;"'",物品!G280)</f>
        <v>0</v>
      </c>
      <c r="F190">
        <f>IF(ISTEXT(物品!H280)=TRUE,"'"&amp;物品!H280&amp;"'",物品!H280)</f>
        <v>0</v>
      </c>
      <c r="G190">
        <f>IF(物品!I289="",0,"'"&amp;物品!I289&amp;"'")</f>
        <v>0</v>
      </c>
      <c r="H190">
        <f>IF(物品!R280="",0,物品!R280)</f>
        <v>0</v>
      </c>
      <c r="I190">
        <f>IF(物品!S280="",0,物品!S280)</f>
        <v>0</v>
      </c>
      <c r="J190">
        <f>IF(物品!C289="",0,""""&amp;物品!C289&amp;"""")</f>
        <v>0</v>
      </c>
      <c r="K190" t="str">
        <f>IF(物品!T289="","""""",""""&amp;物品!T289&amp;"""")</f>
        <v>""</v>
      </c>
      <c r="L190">
        <f>IF(物品!U289="",0,""""&amp;物品!U289&amp;"""")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IF(物品!B290="",0,"'"&amp;物品!B290&amp;"'")</f>
        <v>0</v>
      </c>
      <c r="B191">
        <f>物品!D201</f>
        <v>0</v>
      </c>
      <c r="C191">
        <f>物品!E290</f>
        <v>0</v>
      </c>
      <c r="D191">
        <f>物品!F290</f>
        <v>0</v>
      </c>
      <c r="E191">
        <f>IF(ISTEXT(物品!G281)=TRUE,"'"&amp;物品!G281&amp;"'",物品!G281)</f>
        <v>0</v>
      </c>
      <c r="F191">
        <f>IF(ISTEXT(物品!H281)=TRUE,"'"&amp;物品!H281&amp;"'",物品!H281)</f>
        <v>0</v>
      </c>
      <c r="G191">
        <f>IF(物品!I290="",0,"'"&amp;物品!I290&amp;"'")</f>
        <v>0</v>
      </c>
      <c r="H191">
        <f>IF(物品!R281="",0,物品!R281)</f>
        <v>0</v>
      </c>
      <c r="I191">
        <f>IF(物品!S281="",0,物品!S281)</f>
        <v>0</v>
      </c>
      <c r="J191">
        <f>IF(物品!C290="",0,""""&amp;物品!C290&amp;"""")</f>
        <v>0</v>
      </c>
      <c r="K191" t="str">
        <f>IF(物品!T290="","""""",""""&amp;物品!T290&amp;"""")</f>
        <v>""</v>
      </c>
      <c r="L191">
        <f>IF(物品!U290="",0,""""&amp;物品!U290&amp;"""")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IF(物品!B291="",0,"'"&amp;物品!B291&amp;"'")</f>
        <v>0</v>
      </c>
      <c r="B192">
        <f>物品!D212</f>
        <v>0</v>
      </c>
      <c r="C192">
        <f>物品!E291</f>
        <v>0</v>
      </c>
      <c r="D192">
        <f>物品!F291</f>
        <v>0</v>
      </c>
      <c r="E192">
        <f>IF(ISTEXT(物品!G282)=TRUE,"'"&amp;物品!G282&amp;"'",物品!G282)</f>
        <v>0</v>
      </c>
      <c r="F192">
        <f>IF(ISTEXT(物品!H282)=TRUE,"'"&amp;物品!H282&amp;"'",物品!H282)</f>
        <v>0</v>
      </c>
      <c r="G192">
        <f>IF(物品!I291="",0,"'"&amp;物品!I291&amp;"'")</f>
        <v>0</v>
      </c>
      <c r="H192">
        <f>IF(物品!R282="",0,物品!R282)</f>
        <v>0</v>
      </c>
      <c r="I192">
        <f>IF(物品!S282="",0,物品!S282)</f>
        <v>0</v>
      </c>
      <c r="J192">
        <f>IF(物品!C291="",0,""""&amp;物品!C291&amp;"""")</f>
        <v>0</v>
      </c>
      <c r="K192" t="str">
        <f>IF(物品!T291="","""""",""""&amp;物品!T291&amp;"""")</f>
        <v>""</v>
      </c>
      <c r="L192">
        <f>IF(物品!U291="",0,""""&amp;物品!U291&amp;"""")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IF(物品!B292="",0,"'"&amp;物品!B292&amp;"'")</f>
        <v>0</v>
      </c>
      <c r="B193">
        <f>物品!D213</f>
        <v>0</v>
      </c>
      <c r="C193">
        <f>物品!E292</f>
        <v>0</v>
      </c>
      <c r="D193">
        <f>物品!F292</f>
        <v>0</v>
      </c>
      <c r="E193">
        <f>IF(ISTEXT(物品!G283)=TRUE,"'"&amp;物品!G283&amp;"'",物品!G283)</f>
        <v>0</v>
      </c>
      <c r="F193">
        <f>IF(ISTEXT(物品!H283)=TRUE,"'"&amp;物品!H283&amp;"'",物品!H283)</f>
        <v>0</v>
      </c>
      <c r="G193">
        <f>IF(物品!I292="",0,"'"&amp;物品!I292&amp;"'")</f>
        <v>0</v>
      </c>
      <c r="H193">
        <f>IF(物品!R283="",0,物品!R283)</f>
        <v>0</v>
      </c>
      <c r="I193">
        <f>IF(物品!S283="",0,物品!S283)</f>
        <v>0</v>
      </c>
      <c r="J193">
        <f>IF(物品!C292="",0,""""&amp;物品!C292&amp;"""")</f>
        <v>0</v>
      </c>
      <c r="K193" t="str">
        <f>IF(物品!T292="","""""",""""&amp;物品!T292&amp;"""")</f>
        <v>""</v>
      </c>
      <c r="L193">
        <f>IF(物品!U292="",0,""""&amp;物品!U292&amp;"""")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IF(物品!B293="",0,"'"&amp;物品!B293&amp;"'")</f>
        <v>0</v>
      </c>
      <c r="B194">
        <f>物品!D214</f>
        <v>0</v>
      </c>
      <c r="C194">
        <f>物品!E293</f>
        <v>0</v>
      </c>
      <c r="D194">
        <f>物品!F293</f>
        <v>0</v>
      </c>
      <c r="E194">
        <f>IF(ISTEXT(物品!G284)=TRUE,"'"&amp;物品!G284&amp;"'",物品!G284)</f>
        <v>0</v>
      </c>
      <c r="F194">
        <f>IF(ISTEXT(物品!H284)=TRUE,"'"&amp;物品!H284&amp;"'",物品!H284)</f>
        <v>0</v>
      </c>
      <c r="G194">
        <f>IF(物品!I293="",0,"'"&amp;物品!I293&amp;"'")</f>
        <v>0</v>
      </c>
      <c r="H194">
        <f>IF(物品!R284="",0,物品!R284)</f>
        <v>0</v>
      </c>
      <c r="I194">
        <f>IF(物品!S284="",0,物品!S284)</f>
        <v>0</v>
      </c>
      <c r="J194">
        <f>IF(物品!C293="",0,""""&amp;物品!C293&amp;"""")</f>
        <v>0</v>
      </c>
      <c r="K194" t="str">
        <f>IF(物品!T293="","""""",""""&amp;物品!T293&amp;"""")</f>
        <v>""</v>
      </c>
      <c r="L194">
        <f>IF(物品!U293="",0,""""&amp;物品!U293&amp;"""")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IF(物品!B294="",0,"'"&amp;物品!B294&amp;"'")</f>
        <v>0</v>
      </c>
      <c r="B195">
        <f>物品!D215</f>
        <v>0</v>
      </c>
      <c r="C195">
        <f>物品!E294</f>
        <v>0</v>
      </c>
      <c r="D195">
        <f>物品!F294</f>
        <v>0</v>
      </c>
      <c r="E195">
        <f>IF(ISTEXT(物品!G285)=TRUE,"'"&amp;物品!G285&amp;"'",物品!G285)</f>
        <v>0</v>
      </c>
      <c r="F195">
        <f>IF(ISTEXT(物品!H285)=TRUE,"'"&amp;物品!H285&amp;"'",物品!H285)</f>
        <v>0</v>
      </c>
      <c r="G195">
        <f>IF(物品!I294="",0,"'"&amp;物品!I294&amp;"'")</f>
        <v>0</v>
      </c>
      <c r="H195">
        <f>IF(物品!R285="",0,物品!R285)</f>
        <v>0</v>
      </c>
      <c r="I195">
        <f>IF(物品!S285="",0,物品!S285)</f>
        <v>0</v>
      </c>
      <c r="J195">
        <f>IF(物品!C294="",0,""""&amp;物品!C294&amp;"""")</f>
        <v>0</v>
      </c>
      <c r="K195" t="str">
        <f>IF(物品!T294="","""""",""""&amp;物品!T294&amp;"""")</f>
        <v>""</v>
      </c>
      <c r="L195">
        <f>IF(物品!U294="",0,""""&amp;物品!U294&amp;"""")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IF(物品!B295="",0,"'"&amp;物品!B295&amp;"'")</f>
        <v>0</v>
      </c>
      <c r="B196">
        <f>物品!D216</f>
        <v>0</v>
      </c>
      <c r="C196">
        <f>物品!E295</f>
        <v>0</v>
      </c>
      <c r="D196">
        <f>物品!F295</f>
        <v>0</v>
      </c>
      <c r="E196">
        <f>IF(ISTEXT(物品!G286)=TRUE,"'"&amp;物品!G286&amp;"'",物品!G286)</f>
        <v>0</v>
      </c>
      <c r="F196">
        <f>IF(ISTEXT(物品!H286)=TRUE,"'"&amp;物品!H286&amp;"'",物品!H286)</f>
        <v>0</v>
      </c>
      <c r="G196">
        <f>IF(物品!I295="",0,"'"&amp;物品!I295&amp;"'")</f>
        <v>0</v>
      </c>
      <c r="H196">
        <f>IF(物品!R286="",0,物品!R286)</f>
        <v>0</v>
      </c>
      <c r="I196">
        <f>IF(物品!S286="",0,物品!S286)</f>
        <v>0</v>
      </c>
      <c r="J196">
        <f>IF(物品!C295="",0,""""&amp;物品!C295&amp;"""")</f>
        <v>0</v>
      </c>
      <c r="K196" t="str">
        <f>IF(物品!T295="","""""",""""&amp;物品!T295&amp;"""")</f>
        <v>""</v>
      </c>
      <c r="L196">
        <f>IF(物品!U295="",0,""""&amp;物品!U295&amp;"""")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IF(物品!B296="",0,"'"&amp;物品!B296&amp;"'")</f>
        <v>0</v>
      </c>
      <c r="B197">
        <f>物品!D217</f>
        <v>0</v>
      </c>
      <c r="C197">
        <f>物品!E296</f>
        <v>0</v>
      </c>
      <c r="D197">
        <f>物品!F296</f>
        <v>0</v>
      </c>
      <c r="E197">
        <f>IF(ISTEXT(物品!G287)=TRUE,"'"&amp;物品!G287&amp;"'",物品!G287)</f>
        <v>0</v>
      </c>
      <c r="F197">
        <f>IF(ISTEXT(物品!H287)=TRUE,"'"&amp;物品!H287&amp;"'",物品!H287)</f>
        <v>0</v>
      </c>
      <c r="G197">
        <f>IF(物品!I296="",0,"'"&amp;物品!I296&amp;"'")</f>
        <v>0</v>
      </c>
      <c r="H197">
        <f>IF(物品!R287="",0,物品!R287)</f>
        <v>0</v>
      </c>
      <c r="I197">
        <f>IF(物品!S287="",0,物品!S287)</f>
        <v>0</v>
      </c>
      <c r="J197">
        <f>IF(物品!C296="",0,""""&amp;物品!C296&amp;"""")</f>
        <v>0</v>
      </c>
      <c r="K197" t="str">
        <f>IF(物品!T296="","""""",""""&amp;物品!T296&amp;"""")</f>
        <v>""</v>
      </c>
      <c r="L197">
        <f>IF(物品!U296="",0,""""&amp;物品!U296&amp;"""")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IF(物品!B297="",0,"'"&amp;物品!B297&amp;"'")</f>
        <v>0</v>
      </c>
      <c r="B198">
        <f>物品!D218</f>
        <v>0</v>
      </c>
      <c r="C198">
        <f>物品!E297</f>
        <v>0</v>
      </c>
      <c r="D198">
        <f>物品!F297</f>
        <v>0</v>
      </c>
      <c r="E198">
        <f>IF(ISTEXT(物品!G288)=TRUE,"'"&amp;物品!G288&amp;"'",物品!G288)</f>
        <v>0</v>
      </c>
      <c r="F198">
        <f>IF(ISTEXT(物品!H288)=TRUE,"'"&amp;物品!H288&amp;"'",物品!H288)</f>
        <v>0</v>
      </c>
      <c r="G198">
        <f>IF(物品!I297="",0,"'"&amp;物品!I297&amp;"'")</f>
        <v>0</v>
      </c>
      <c r="H198">
        <f>IF(物品!R288="",0,物品!R288)</f>
        <v>0</v>
      </c>
      <c r="I198">
        <f>IF(物品!S288="",0,物品!S288)</f>
        <v>0</v>
      </c>
      <c r="J198">
        <f>IF(物品!C297="",0,""""&amp;物品!C297&amp;"""")</f>
        <v>0</v>
      </c>
      <c r="K198" t="str">
        <f>IF(物品!T297="","""""",""""&amp;物品!T297&amp;"""")</f>
        <v>""</v>
      </c>
      <c r="L198">
        <f>IF(物品!U297="",0,""""&amp;物品!U297&amp;"""")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IF(物品!B298="",0,"'"&amp;物品!B298&amp;"'")</f>
        <v>0</v>
      </c>
      <c r="B199">
        <f>物品!D219</f>
        <v>0</v>
      </c>
      <c r="C199">
        <f>物品!E298</f>
        <v>0</v>
      </c>
      <c r="D199">
        <f>物品!F298</f>
        <v>0</v>
      </c>
      <c r="E199">
        <f>IF(ISTEXT(物品!G289)=TRUE,"'"&amp;物品!G289&amp;"'",物品!G289)</f>
        <v>0</v>
      </c>
      <c r="F199">
        <f>IF(ISTEXT(物品!H289)=TRUE,"'"&amp;物品!H289&amp;"'",物品!H289)</f>
        <v>0</v>
      </c>
      <c r="G199">
        <f>IF(物品!I298="",0,"'"&amp;物品!I298&amp;"'")</f>
        <v>0</v>
      </c>
      <c r="H199">
        <f>IF(物品!R289="",0,物品!R289)</f>
        <v>0</v>
      </c>
      <c r="I199">
        <f>IF(物品!S289="",0,物品!S289)</f>
        <v>0</v>
      </c>
      <c r="J199">
        <f>IF(物品!C298="",0,""""&amp;物品!C298&amp;"""")</f>
        <v>0</v>
      </c>
      <c r="K199" t="str">
        <f>IF(物品!T298="","""""",""""&amp;物品!T298&amp;"""")</f>
        <v>""</v>
      </c>
      <c r="L199">
        <f>IF(物品!U298="",0,""""&amp;物品!U298&amp;"""")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IF(物品!B299="",0,"'"&amp;物品!B299&amp;"'")</f>
        <v>0</v>
      </c>
      <c r="B200">
        <f>物品!D220</f>
        <v>0</v>
      </c>
      <c r="C200">
        <f>物品!E299</f>
        <v>0</v>
      </c>
      <c r="D200">
        <f>物品!F299</f>
        <v>0</v>
      </c>
      <c r="E200">
        <f>IF(ISTEXT(物品!G290)=TRUE,"'"&amp;物品!G290&amp;"'",物品!G290)</f>
        <v>0</v>
      </c>
      <c r="F200">
        <f>IF(ISTEXT(物品!H290)=TRUE,"'"&amp;物品!H290&amp;"'",物品!H290)</f>
        <v>0</v>
      </c>
      <c r="G200">
        <f>IF(物品!I299="",0,"'"&amp;物品!I299&amp;"'")</f>
        <v>0</v>
      </c>
      <c r="H200">
        <f>IF(物品!R290="",0,物品!R290)</f>
        <v>0</v>
      </c>
      <c r="I200">
        <f>IF(物品!S290="",0,物品!S290)</f>
        <v>0</v>
      </c>
      <c r="J200">
        <f>IF(物品!C299="",0,""""&amp;物品!C299&amp;"""")</f>
        <v>0</v>
      </c>
      <c r="K200" t="str">
        <f>IF(物品!T299="","""""",""""&amp;物品!T299&amp;"""")</f>
        <v>""</v>
      </c>
      <c r="L200">
        <f>IF(物品!U299="",0,""""&amp;物品!U299&amp;"""")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IF(物品!B300="",0,"'"&amp;物品!B300&amp;"'")</f>
        <v>0</v>
      </c>
      <c r="B201">
        <f>物品!D221</f>
        <v>0</v>
      </c>
      <c r="C201">
        <f>物品!E300</f>
        <v>0</v>
      </c>
      <c r="D201">
        <f>物品!F300</f>
        <v>0</v>
      </c>
      <c r="E201">
        <f>IF(ISTEXT(物品!G291)=TRUE,"'"&amp;物品!G291&amp;"'",物品!G291)</f>
        <v>0</v>
      </c>
      <c r="F201">
        <f>IF(ISTEXT(物品!H291)=TRUE,"'"&amp;物品!H291&amp;"'",物品!H291)</f>
        <v>0</v>
      </c>
      <c r="G201">
        <f>IF(物品!I300="",0,"'"&amp;物品!I300&amp;"'")</f>
        <v>0</v>
      </c>
      <c r="H201">
        <f>IF(物品!R291="",0,物品!R291)</f>
        <v>0</v>
      </c>
      <c r="I201">
        <f>IF(物品!S291="",0,物品!S291)</f>
        <v>0</v>
      </c>
      <c r="J201">
        <f>IF(物品!C300="",0,""""&amp;物品!C300&amp;"""")</f>
        <v>0</v>
      </c>
      <c r="K201" t="str">
        <f>IF(物品!T300="","""""",""""&amp;物品!T300&amp;"""")</f>
        <v>""</v>
      </c>
      <c r="L201">
        <f>IF(物品!U300="",0,""""&amp;物品!U300&amp;"""")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IF(物品!B301="",0,"'"&amp;物品!B301&amp;"'")</f>
        <v>0</v>
      </c>
      <c r="B202">
        <f>物品!D222</f>
        <v>0</v>
      </c>
      <c r="C202">
        <f>物品!E301</f>
        <v>0</v>
      </c>
      <c r="D202">
        <f>物品!F301</f>
        <v>0</v>
      </c>
      <c r="E202">
        <f>IF(ISTEXT(物品!G292)=TRUE,"'"&amp;物品!G292&amp;"'",物品!G292)</f>
        <v>0</v>
      </c>
      <c r="F202">
        <f>IF(ISTEXT(物品!H292)=TRUE,"'"&amp;物品!H292&amp;"'",物品!H292)</f>
        <v>0</v>
      </c>
      <c r="G202">
        <f>IF(物品!I301="",0,"'"&amp;物品!I301&amp;"'")</f>
        <v>0</v>
      </c>
      <c r="H202">
        <f>IF(物品!R292="",0,物品!R292)</f>
        <v>0</v>
      </c>
      <c r="I202">
        <f>IF(物品!S292="",0,物品!S292)</f>
        <v>0</v>
      </c>
      <c r="J202">
        <f>IF(物品!C301="",0,""""&amp;物品!C301&amp;"""")</f>
        <v>0</v>
      </c>
      <c r="K202" t="str">
        <f>IF(物品!T301="","""""",""""&amp;物品!T301&amp;"""")</f>
        <v>""</v>
      </c>
      <c r="L202">
        <f>IF(物品!U301="",0,""""&amp;物品!U301&amp;"""")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IF(物品!B302="",0,"'"&amp;物品!B302&amp;"'")</f>
        <v>0</v>
      </c>
      <c r="B203">
        <f>物品!D223</f>
        <v>0</v>
      </c>
      <c r="C203">
        <f>物品!E302</f>
        <v>0</v>
      </c>
      <c r="D203">
        <f>物品!F302</f>
        <v>0</v>
      </c>
      <c r="E203">
        <f>IF(ISTEXT(物品!G293)=TRUE,"'"&amp;物品!G293&amp;"'",物品!G293)</f>
        <v>0</v>
      </c>
      <c r="F203">
        <f>IF(ISTEXT(物品!H293)=TRUE,"'"&amp;物品!H293&amp;"'",物品!H293)</f>
        <v>0</v>
      </c>
      <c r="G203">
        <f>IF(物品!I302="",0,"'"&amp;物品!I302&amp;"'")</f>
        <v>0</v>
      </c>
      <c r="H203">
        <f>IF(物品!R293="",0,物品!R293)</f>
        <v>0</v>
      </c>
      <c r="I203">
        <f>IF(物品!S293="",0,物品!S293)</f>
        <v>0</v>
      </c>
      <c r="J203">
        <f>IF(物品!C302="",0,""""&amp;物品!C302&amp;"""")</f>
        <v>0</v>
      </c>
      <c r="K203" t="str">
        <f>IF(物品!T302="","""""",""""&amp;物品!T302&amp;"""")</f>
        <v>""</v>
      </c>
      <c r="L203">
        <f>IF(物品!U302="",0,""""&amp;物品!U302&amp;"""")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IF(物品!B303="",0,"'"&amp;物品!B303&amp;"'")</f>
        <v>0</v>
      </c>
      <c r="B204">
        <f>物品!D224</f>
        <v>0</v>
      </c>
      <c r="C204">
        <f>物品!E303</f>
        <v>0</v>
      </c>
      <c r="D204">
        <f>物品!F303</f>
        <v>0</v>
      </c>
      <c r="E204">
        <f>IF(ISTEXT(物品!G294)=TRUE,"'"&amp;物品!G294&amp;"'",物品!G294)</f>
        <v>0</v>
      </c>
      <c r="F204">
        <f>IF(ISTEXT(物品!H294)=TRUE,"'"&amp;物品!H294&amp;"'",物品!H294)</f>
        <v>0</v>
      </c>
      <c r="G204">
        <f>IF(物品!I303="",0,"'"&amp;物品!I303&amp;"'")</f>
        <v>0</v>
      </c>
      <c r="H204">
        <f>IF(物品!R294="",0,物品!R294)</f>
        <v>0</v>
      </c>
      <c r="I204">
        <f>IF(物品!S294="",0,物品!S294)</f>
        <v>0</v>
      </c>
      <c r="J204">
        <f>IF(物品!C303="",0,""""&amp;物品!C303&amp;"""")</f>
        <v>0</v>
      </c>
      <c r="K204" t="str">
        <f>IF(物品!T303="","""""",""""&amp;物品!T303&amp;"""")</f>
        <v>""</v>
      </c>
      <c r="L204">
        <f>IF(物品!U303="",0,""""&amp;物品!U303&amp;"""")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IF(物品!B304="",0,"'"&amp;物品!B304&amp;"'")</f>
        <v>0</v>
      </c>
      <c r="B205">
        <f>物品!D225</f>
        <v>0</v>
      </c>
      <c r="C205">
        <f>物品!E304</f>
        <v>0</v>
      </c>
      <c r="D205">
        <f>物品!F304</f>
        <v>0</v>
      </c>
      <c r="E205">
        <f>IF(ISTEXT(物品!G295)=TRUE,"'"&amp;物品!G295&amp;"'",物品!G295)</f>
        <v>0</v>
      </c>
      <c r="F205">
        <f>IF(ISTEXT(物品!H295)=TRUE,"'"&amp;物品!H295&amp;"'",物品!H295)</f>
        <v>0</v>
      </c>
      <c r="G205">
        <f>IF(物品!I304="",0,"'"&amp;物品!I304&amp;"'")</f>
        <v>0</v>
      </c>
      <c r="H205">
        <f>IF(物品!R295="",0,物品!R295)</f>
        <v>0</v>
      </c>
      <c r="I205">
        <f>IF(物品!S295="",0,物品!S295)</f>
        <v>0</v>
      </c>
      <c r="J205">
        <f>IF(物品!C304="",0,""""&amp;物品!C304&amp;"""")</f>
        <v>0</v>
      </c>
      <c r="K205" t="str">
        <f>IF(物品!T304="","""""",""""&amp;物品!T304&amp;"""")</f>
        <v>""</v>
      </c>
      <c r="L205">
        <f>IF(物品!U304="",0,""""&amp;物品!U304&amp;"""")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IF(物品!B305="",0,"'"&amp;物品!B305&amp;"'")</f>
        <v>0</v>
      </c>
      <c r="B206">
        <f>物品!D226</f>
        <v>0</v>
      </c>
      <c r="C206">
        <f>物品!E305</f>
        <v>0</v>
      </c>
      <c r="D206">
        <f>物品!F305</f>
        <v>0</v>
      </c>
      <c r="E206">
        <f>IF(ISTEXT(物品!G296)=TRUE,"'"&amp;物品!G296&amp;"'",物品!G296)</f>
        <v>0</v>
      </c>
      <c r="F206">
        <f>IF(ISTEXT(物品!H296)=TRUE,"'"&amp;物品!H296&amp;"'",物品!H296)</f>
        <v>0</v>
      </c>
      <c r="G206">
        <f>IF(物品!I305="",0,"'"&amp;物品!I305&amp;"'")</f>
        <v>0</v>
      </c>
      <c r="H206">
        <f>IF(物品!R296="",0,物品!R296)</f>
        <v>0</v>
      </c>
      <c r="I206">
        <f>IF(物品!S296="",0,物品!S296)</f>
        <v>0</v>
      </c>
      <c r="J206">
        <f>IF(物品!C305="",0,""""&amp;物品!C305&amp;"""")</f>
        <v>0</v>
      </c>
      <c r="K206" t="str">
        <f>IF(物品!T305="","""""",""""&amp;物品!T305&amp;"""")</f>
        <v>""</v>
      </c>
      <c r="L206">
        <f>IF(物品!U305="",0,""""&amp;物品!U305&amp;"""")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IF(物品!B306="",0,"'"&amp;物品!B306&amp;"'")</f>
        <v>0</v>
      </c>
      <c r="B207">
        <f>物品!D227</f>
        <v>0</v>
      </c>
      <c r="C207">
        <f>物品!E306</f>
        <v>0</v>
      </c>
      <c r="D207">
        <f>物品!F306</f>
        <v>0</v>
      </c>
      <c r="E207">
        <f>IF(ISTEXT(物品!G297)=TRUE,"'"&amp;物品!G297&amp;"'",物品!G297)</f>
        <v>0</v>
      </c>
      <c r="F207">
        <f>IF(ISTEXT(物品!H297)=TRUE,"'"&amp;物品!H297&amp;"'",物品!H297)</f>
        <v>0</v>
      </c>
      <c r="G207">
        <f>IF(物品!I306="",0,"'"&amp;物品!I306&amp;"'")</f>
        <v>0</v>
      </c>
      <c r="H207">
        <f>IF(物品!R297="",0,物品!R297)</f>
        <v>0</v>
      </c>
      <c r="I207">
        <f>IF(物品!S297="",0,物品!S297)</f>
        <v>0</v>
      </c>
      <c r="J207">
        <f>IF(物品!C306="",0,""""&amp;物品!C306&amp;"""")</f>
        <v>0</v>
      </c>
      <c r="K207" t="str">
        <f>IF(物品!T306="","""""",""""&amp;物品!T306&amp;"""")</f>
        <v>""</v>
      </c>
      <c r="L207">
        <f>IF(物品!U306="",0,""""&amp;物品!U306&amp;"""")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IF(物品!B307="",0,"'"&amp;物品!B307&amp;"'")</f>
        <v>0</v>
      </c>
      <c r="B208">
        <f>物品!D228</f>
        <v>0</v>
      </c>
      <c r="C208">
        <f>物品!E307</f>
        <v>0</v>
      </c>
      <c r="D208">
        <f>物品!F307</f>
        <v>0</v>
      </c>
      <c r="E208">
        <f>IF(ISTEXT(物品!G298)=TRUE,"'"&amp;物品!G298&amp;"'",物品!G298)</f>
        <v>0</v>
      </c>
      <c r="F208">
        <f>IF(ISTEXT(物品!H298)=TRUE,"'"&amp;物品!H298&amp;"'",物品!H298)</f>
        <v>0</v>
      </c>
      <c r="G208">
        <f>IF(物品!I307="",0,"'"&amp;物品!I307&amp;"'")</f>
        <v>0</v>
      </c>
      <c r="H208">
        <f>IF(物品!R298="",0,物品!R298)</f>
        <v>0</v>
      </c>
      <c r="I208">
        <f>IF(物品!S298="",0,物品!S298)</f>
        <v>0</v>
      </c>
      <c r="J208">
        <f>IF(物品!C307="",0,""""&amp;物品!C307&amp;"""")</f>
        <v>0</v>
      </c>
      <c r="K208" t="str">
        <f>IF(物品!T307="","""""",""""&amp;物品!T307&amp;"""")</f>
        <v>""</v>
      </c>
      <c r="L208">
        <f>IF(物品!U307="",0,""""&amp;物品!U307&amp;"""")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IF(物品!B308="",0,"'"&amp;物品!B308&amp;"'")</f>
        <v>0</v>
      </c>
      <c r="B209">
        <f>物品!D229</f>
        <v>0</v>
      </c>
      <c r="C209">
        <f>物品!E308</f>
        <v>0</v>
      </c>
      <c r="D209">
        <f>物品!F308</f>
        <v>0</v>
      </c>
      <c r="E209">
        <f>IF(ISTEXT(物品!G299)=TRUE,"'"&amp;物品!G299&amp;"'",物品!G299)</f>
        <v>0</v>
      </c>
      <c r="F209">
        <f>IF(ISTEXT(物品!H299)=TRUE,"'"&amp;物品!H299&amp;"'",物品!H299)</f>
        <v>0</v>
      </c>
      <c r="G209">
        <f>IF(物品!I308="",0,"'"&amp;物品!I308&amp;"'")</f>
        <v>0</v>
      </c>
      <c r="H209">
        <f>IF(物品!R299="",0,物品!R299)</f>
        <v>0</v>
      </c>
      <c r="I209">
        <f>IF(物品!S299="",0,物品!S299)</f>
        <v>0</v>
      </c>
      <c r="J209">
        <f>IF(物品!C308="",0,""""&amp;物品!C308&amp;"""")</f>
        <v>0</v>
      </c>
      <c r="K209" t="str">
        <f>IF(物品!T308="","""""",""""&amp;物品!T308&amp;"""")</f>
        <v>""</v>
      </c>
      <c r="L209">
        <f>IF(物品!U308="",0,""""&amp;物品!U308&amp;"""")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IF(物品!B309="",0,"'"&amp;物品!B309&amp;"'")</f>
        <v>0</v>
      </c>
      <c r="B210">
        <f>物品!D230</f>
        <v>0</v>
      </c>
      <c r="C210">
        <f>物品!E309</f>
        <v>0</v>
      </c>
      <c r="D210">
        <f>物品!F309</f>
        <v>0</v>
      </c>
      <c r="E210">
        <f>IF(ISTEXT(物品!G300)=TRUE,"'"&amp;物品!G300&amp;"'",物品!G300)</f>
        <v>0</v>
      </c>
      <c r="F210">
        <f>IF(ISTEXT(物品!H300)=TRUE,"'"&amp;物品!H300&amp;"'",物品!H300)</f>
        <v>0</v>
      </c>
      <c r="G210">
        <f>IF(物品!I309="",0,"'"&amp;物品!I309&amp;"'")</f>
        <v>0</v>
      </c>
      <c r="H210">
        <f>IF(物品!R300="",0,物品!R300)</f>
        <v>0</v>
      </c>
      <c r="I210">
        <f>IF(物品!S300="",0,物品!S300)</f>
        <v>0</v>
      </c>
      <c r="J210">
        <f>IF(物品!C309="",0,""""&amp;物品!C309&amp;"""")</f>
        <v>0</v>
      </c>
      <c r="K210" t="str">
        <f>IF(物品!T309="","""""",""""&amp;物品!T309&amp;"""")</f>
        <v>""</v>
      </c>
      <c r="L210">
        <f>IF(物品!U309="",0,""""&amp;物品!U309&amp;"""")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IF(物品!B310="",0,"'"&amp;物品!B310&amp;"'")</f>
        <v>0</v>
      </c>
      <c r="B211">
        <f>物品!D231</f>
        <v>0</v>
      </c>
      <c r="C211">
        <f>物品!E310</f>
        <v>0</v>
      </c>
      <c r="D211">
        <f>物品!F310</f>
        <v>0</v>
      </c>
      <c r="E211">
        <f>IF(ISTEXT(物品!G301)=TRUE,"'"&amp;物品!G301&amp;"'",物品!G301)</f>
        <v>0</v>
      </c>
      <c r="F211">
        <f>IF(ISTEXT(物品!H301)=TRUE,"'"&amp;物品!H301&amp;"'",物品!H301)</f>
        <v>0</v>
      </c>
      <c r="G211">
        <f>IF(物品!I310="",0,"'"&amp;物品!I310&amp;"'")</f>
        <v>0</v>
      </c>
      <c r="H211">
        <f>IF(物品!R301="",0,物品!R301)</f>
        <v>0</v>
      </c>
      <c r="I211">
        <f>IF(物品!S301="",0,物品!S301)</f>
        <v>0</v>
      </c>
      <c r="J211">
        <f>IF(物品!C310="",0,""""&amp;物品!C310&amp;"""")</f>
        <v>0</v>
      </c>
      <c r="K211" t="str">
        <f>IF(物品!T310="","""""",""""&amp;物品!T310&amp;"""")</f>
        <v>""</v>
      </c>
      <c r="L211">
        <f>IF(物品!U310="",0,""""&amp;物品!U310&amp;"""")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IF(物品!B311="",0,"'"&amp;物品!B311&amp;"'")</f>
        <v>0</v>
      </c>
      <c r="B212">
        <f>物品!D232</f>
        <v>0</v>
      </c>
      <c r="C212">
        <f>物品!E311</f>
        <v>0</v>
      </c>
      <c r="D212">
        <f>物品!F311</f>
        <v>0</v>
      </c>
      <c r="E212">
        <f>IF(ISTEXT(物品!G302)=TRUE,"'"&amp;物品!G302&amp;"'",物品!G302)</f>
        <v>0</v>
      </c>
      <c r="F212">
        <f>IF(ISTEXT(物品!H302)=TRUE,"'"&amp;物品!H302&amp;"'",物品!H302)</f>
        <v>0</v>
      </c>
      <c r="G212">
        <f>IF(物品!I311="",0,"'"&amp;物品!I311&amp;"'")</f>
        <v>0</v>
      </c>
      <c r="H212">
        <f>IF(物品!R302="",0,物品!R302)</f>
        <v>0</v>
      </c>
      <c r="I212">
        <f>IF(物品!S302="",0,物品!S302)</f>
        <v>0</v>
      </c>
      <c r="J212">
        <f>IF(物品!C311="",0,""""&amp;物品!C311&amp;"""")</f>
        <v>0</v>
      </c>
      <c r="K212" t="str">
        <f>IF(物品!T311="","""""",""""&amp;物品!T311&amp;"""")</f>
        <v>""</v>
      </c>
      <c r="L212">
        <f>IF(物品!U311="",0,""""&amp;物品!U311&amp;"""")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IF(物品!B312="",0,"'"&amp;物品!B312&amp;"'")</f>
        <v>0</v>
      </c>
      <c r="B213">
        <f>物品!D233</f>
        <v>0</v>
      </c>
      <c r="C213">
        <f>物品!E312</f>
        <v>0</v>
      </c>
      <c r="D213">
        <f>物品!F312</f>
        <v>0</v>
      </c>
      <c r="E213">
        <f>IF(ISTEXT(物品!G303)=TRUE,"'"&amp;物品!G303&amp;"'",物品!G303)</f>
        <v>0</v>
      </c>
      <c r="F213">
        <f>IF(ISTEXT(物品!H303)=TRUE,"'"&amp;物品!H303&amp;"'",物品!H303)</f>
        <v>0</v>
      </c>
      <c r="G213">
        <f>IF(物品!I312="",0,"'"&amp;物品!I312&amp;"'")</f>
        <v>0</v>
      </c>
      <c r="H213">
        <f>IF(物品!R303="",0,物品!R303)</f>
        <v>0</v>
      </c>
      <c r="I213">
        <f>IF(物品!S303="",0,物品!S303)</f>
        <v>0</v>
      </c>
      <c r="J213">
        <f>IF(物品!C312="",0,""""&amp;物品!C312&amp;"""")</f>
        <v>0</v>
      </c>
      <c r="K213" t="str">
        <f>IF(物品!T312="","""""",""""&amp;物品!T312&amp;"""")</f>
        <v>""</v>
      </c>
      <c r="L213">
        <f>IF(物品!U312="",0,""""&amp;物品!U312&amp;"""")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IF(物品!B313="",0,"'"&amp;物品!B313&amp;"'")</f>
        <v>0</v>
      </c>
      <c r="B214">
        <f>物品!D234</f>
        <v>0</v>
      </c>
      <c r="C214">
        <f>物品!E313</f>
        <v>0</v>
      </c>
      <c r="D214">
        <f>物品!F313</f>
        <v>0</v>
      </c>
      <c r="E214">
        <f>IF(ISTEXT(物品!G304)=TRUE,"'"&amp;物品!G304&amp;"'",物品!G304)</f>
        <v>0</v>
      </c>
      <c r="F214">
        <f>IF(ISTEXT(物品!H304)=TRUE,"'"&amp;物品!H304&amp;"'",物品!H304)</f>
        <v>0</v>
      </c>
      <c r="G214">
        <f>IF(物品!I313="",0,"'"&amp;物品!I313&amp;"'")</f>
        <v>0</v>
      </c>
      <c r="H214">
        <f>IF(物品!R304="",0,物品!R304)</f>
        <v>0</v>
      </c>
      <c r="I214">
        <f>IF(物品!S304="",0,物品!S304)</f>
        <v>0</v>
      </c>
      <c r="J214">
        <f>IF(物品!C313="",0,""""&amp;物品!C313&amp;"""")</f>
        <v>0</v>
      </c>
      <c r="K214" t="str">
        <f>IF(物品!T313="","""""",""""&amp;物品!T313&amp;"""")</f>
        <v>""</v>
      </c>
      <c r="L214">
        <f>IF(物品!U313="",0,""""&amp;物品!U313&amp;"""")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IF(物品!B314="",0,"'"&amp;物品!B314&amp;"'")</f>
        <v>0</v>
      </c>
      <c r="B215">
        <f>物品!D235</f>
        <v>0</v>
      </c>
      <c r="C215">
        <f>物品!E314</f>
        <v>0</v>
      </c>
      <c r="D215">
        <f>物品!F314</f>
        <v>0</v>
      </c>
      <c r="E215">
        <f>IF(ISTEXT(物品!G305)=TRUE,"'"&amp;物品!G305&amp;"'",物品!G305)</f>
        <v>0</v>
      </c>
      <c r="F215">
        <f>IF(ISTEXT(物品!H305)=TRUE,"'"&amp;物品!H305&amp;"'",物品!H305)</f>
        <v>0</v>
      </c>
      <c r="G215">
        <f>IF(物品!I314="",0,"'"&amp;物品!I314&amp;"'")</f>
        <v>0</v>
      </c>
      <c r="H215">
        <f>IF(物品!R305="",0,物品!R305)</f>
        <v>0</v>
      </c>
      <c r="I215">
        <f>IF(物品!S305="",0,物品!S305)</f>
        <v>0</v>
      </c>
      <c r="J215">
        <f>IF(物品!C314="",0,""""&amp;物品!C314&amp;"""")</f>
        <v>0</v>
      </c>
      <c r="K215" t="str">
        <f>IF(物品!T314="","""""",""""&amp;物品!T314&amp;"""")</f>
        <v>""</v>
      </c>
      <c r="L215">
        <f>IF(物品!U314="",0,""""&amp;物品!U314&amp;"""")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IF(物品!B315="",0,"'"&amp;物品!B315&amp;"'")</f>
        <v>0</v>
      </c>
      <c r="B216">
        <f>物品!D236</f>
        <v>0</v>
      </c>
      <c r="C216">
        <f>物品!E315</f>
        <v>0</v>
      </c>
      <c r="D216">
        <f>物品!F315</f>
        <v>0</v>
      </c>
      <c r="E216">
        <f>IF(ISTEXT(物品!G306)=TRUE,"'"&amp;物品!G306&amp;"'",物品!G306)</f>
        <v>0</v>
      </c>
      <c r="F216">
        <f>IF(ISTEXT(物品!H306)=TRUE,"'"&amp;物品!H306&amp;"'",物品!H306)</f>
        <v>0</v>
      </c>
      <c r="G216">
        <f>IF(物品!I315="",0,"'"&amp;物品!I315&amp;"'")</f>
        <v>0</v>
      </c>
      <c r="H216">
        <f>IF(物品!R306="",0,物品!R306)</f>
        <v>0</v>
      </c>
      <c r="I216">
        <f>IF(物品!S306="",0,物品!S306)</f>
        <v>0</v>
      </c>
      <c r="J216">
        <f>IF(物品!C315="",0,""""&amp;物品!C315&amp;"""")</f>
        <v>0</v>
      </c>
      <c r="K216" t="str">
        <f>IF(物品!T315="","""""",""""&amp;物品!T315&amp;"""")</f>
        <v>""</v>
      </c>
      <c r="L216">
        <f>IF(物品!U315="",0,""""&amp;物品!U315&amp;"""")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IF(物品!B316="",0,"'"&amp;物品!B316&amp;"'")</f>
        <v>0</v>
      </c>
      <c r="B217">
        <f>物品!D237</f>
        <v>0</v>
      </c>
      <c r="C217">
        <f>物品!E316</f>
        <v>0</v>
      </c>
      <c r="D217">
        <f>物品!F316</f>
        <v>0</v>
      </c>
      <c r="E217">
        <f>IF(ISTEXT(物品!G307)=TRUE,"'"&amp;物品!G307&amp;"'",物品!G307)</f>
        <v>0</v>
      </c>
      <c r="F217">
        <f>IF(ISTEXT(物品!H307)=TRUE,"'"&amp;物品!H307&amp;"'",物品!H307)</f>
        <v>0</v>
      </c>
      <c r="G217">
        <f>IF(物品!I316="",0,"'"&amp;物品!I316&amp;"'")</f>
        <v>0</v>
      </c>
      <c r="H217">
        <f>IF(物品!R307="",0,物品!R307)</f>
        <v>0</v>
      </c>
      <c r="I217">
        <f>IF(物品!S307="",0,物品!S307)</f>
        <v>0</v>
      </c>
      <c r="J217">
        <f>IF(物品!C316="",0,""""&amp;物品!C316&amp;"""")</f>
        <v>0</v>
      </c>
      <c r="K217" t="str">
        <f>IF(物品!T316="","""""",""""&amp;物品!T316&amp;"""")</f>
        <v>""</v>
      </c>
      <c r="L217">
        <f>IF(物品!U316="",0,""""&amp;物品!U316&amp;"""")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IF(物品!B317="",0,"'"&amp;物品!B317&amp;"'")</f>
        <v>0</v>
      </c>
      <c r="B218">
        <f>物品!D238</f>
        <v>0</v>
      </c>
      <c r="C218">
        <f>物品!E317</f>
        <v>0</v>
      </c>
      <c r="D218">
        <f>物品!F317</f>
        <v>0</v>
      </c>
      <c r="E218">
        <f>IF(ISTEXT(物品!G308)=TRUE,"'"&amp;物品!G308&amp;"'",物品!G308)</f>
        <v>0</v>
      </c>
      <c r="F218">
        <f>IF(ISTEXT(物品!H308)=TRUE,"'"&amp;物品!H308&amp;"'",物品!H308)</f>
        <v>0</v>
      </c>
      <c r="G218">
        <f>IF(物品!I317="",0,"'"&amp;物品!I317&amp;"'")</f>
        <v>0</v>
      </c>
      <c r="H218">
        <f>IF(物品!R308="",0,物品!R308)</f>
        <v>0</v>
      </c>
      <c r="I218">
        <f>IF(物品!S308="",0,物品!S308)</f>
        <v>0</v>
      </c>
      <c r="J218">
        <f>IF(物品!C317="",0,""""&amp;物品!C317&amp;"""")</f>
        <v>0</v>
      </c>
      <c r="K218" t="str">
        <f>IF(物品!T317="","""""",""""&amp;物品!T317&amp;"""")</f>
        <v>""</v>
      </c>
      <c r="L218">
        <f>IF(物品!U317="",0,""""&amp;物品!U317&amp;"""")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IF(物品!B318="",0,"'"&amp;物品!B318&amp;"'")</f>
        <v>0</v>
      </c>
      <c r="B219">
        <f>物品!D245</f>
        <v>0</v>
      </c>
      <c r="C219">
        <f>物品!E318</f>
        <v>0</v>
      </c>
      <c r="D219">
        <f>物品!F318</f>
        <v>0</v>
      </c>
      <c r="E219">
        <f>IF(ISTEXT(物品!G309)=TRUE,"'"&amp;物品!G309&amp;"'",物品!G309)</f>
        <v>0</v>
      </c>
      <c r="F219">
        <f>IF(ISTEXT(物品!H309)=TRUE,"'"&amp;物品!H309&amp;"'",物品!H309)</f>
        <v>0</v>
      </c>
      <c r="G219">
        <f>IF(物品!I318="",0,"'"&amp;物品!I318&amp;"'")</f>
        <v>0</v>
      </c>
      <c r="H219">
        <f>IF(物品!R309="",0,物品!R309)</f>
        <v>0</v>
      </c>
      <c r="I219">
        <f>IF(物品!S309="",0,物品!S309)</f>
        <v>0</v>
      </c>
      <c r="J219">
        <f>IF(物品!C318="",0,""""&amp;物品!C318&amp;"""")</f>
        <v>0</v>
      </c>
      <c r="K219" t="str">
        <f>IF(物品!T318="","""""",""""&amp;物品!T318&amp;"""")</f>
        <v>""</v>
      </c>
      <c r="L219">
        <f>IF(物品!U318="",0,""""&amp;物品!U318&amp;"""")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IF(物品!B319="",0,"'"&amp;物品!B319&amp;"'")</f>
        <v>0</v>
      </c>
      <c r="B220">
        <f>物品!D246</f>
        <v>0</v>
      </c>
      <c r="C220">
        <f>物品!E319</f>
        <v>0</v>
      </c>
      <c r="D220">
        <f>物品!F319</f>
        <v>0</v>
      </c>
      <c r="E220">
        <f>IF(ISTEXT(物品!G310)=TRUE,"'"&amp;物品!G310&amp;"'",物品!G310)</f>
        <v>0</v>
      </c>
      <c r="F220">
        <f>IF(ISTEXT(物品!H310)=TRUE,"'"&amp;物品!H310&amp;"'",物品!H310)</f>
        <v>0</v>
      </c>
      <c r="G220">
        <f>IF(物品!I319="",0,"'"&amp;物品!I319&amp;"'")</f>
        <v>0</v>
      </c>
      <c r="H220">
        <f>IF(物品!R310="",0,物品!R310)</f>
        <v>0</v>
      </c>
      <c r="I220">
        <f>IF(物品!S310="",0,物品!S310)</f>
        <v>0</v>
      </c>
      <c r="J220">
        <f>IF(物品!C319="",0,""""&amp;物品!C319&amp;"""")</f>
        <v>0</v>
      </c>
      <c r="K220" t="str">
        <f>IF(物品!T319="","""""",""""&amp;物品!T319&amp;"""")</f>
        <v>""</v>
      </c>
      <c r="L220">
        <f>IF(物品!U319="",0,""""&amp;物品!U319&amp;"""")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IF(物品!B320="",0,"'"&amp;物品!B320&amp;"'")</f>
        <v>0</v>
      </c>
      <c r="B221">
        <f>物品!D247</f>
        <v>0</v>
      </c>
      <c r="C221">
        <f>物品!E320</f>
        <v>0</v>
      </c>
      <c r="D221">
        <f>物品!F320</f>
        <v>0</v>
      </c>
      <c r="E221">
        <f>IF(ISTEXT(物品!G311)=TRUE,"'"&amp;物品!G311&amp;"'",物品!G311)</f>
        <v>0</v>
      </c>
      <c r="F221">
        <f>IF(ISTEXT(物品!H311)=TRUE,"'"&amp;物品!H311&amp;"'",物品!H311)</f>
        <v>0</v>
      </c>
      <c r="G221">
        <f>IF(物品!I320="",0,"'"&amp;物品!I320&amp;"'")</f>
        <v>0</v>
      </c>
      <c r="H221">
        <f>IF(物品!R311="",0,物品!R311)</f>
        <v>0</v>
      </c>
      <c r="I221">
        <f>IF(物品!S311="",0,物品!S311)</f>
        <v>0</v>
      </c>
      <c r="J221">
        <f>IF(物品!C320="",0,""""&amp;物品!C320&amp;"""")</f>
        <v>0</v>
      </c>
      <c r="K221" t="str">
        <f>IF(物品!T320="","""""",""""&amp;物品!T320&amp;"""")</f>
        <v>""</v>
      </c>
      <c r="L221">
        <f>IF(物品!U320="",0,""""&amp;物品!U320&amp;"""")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IF(物品!B321="",0,"'"&amp;物品!B321&amp;"'")</f>
        <v>0</v>
      </c>
      <c r="B222">
        <f>物品!D248</f>
        <v>0</v>
      </c>
      <c r="C222">
        <f>物品!E321</f>
        <v>0</v>
      </c>
      <c r="D222">
        <f>物品!F321</f>
        <v>0</v>
      </c>
      <c r="E222">
        <f>IF(ISTEXT(物品!G312)=TRUE,"'"&amp;物品!G312&amp;"'",物品!G312)</f>
        <v>0</v>
      </c>
      <c r="F222">
        <f>IF(ISTEXT(物品!H312)=TRUE,"'"&amp;物品!H312&amp;"'",物品!H312)</f>
        <v>0</v>
      </c>
      <c r="G222">
        <f>IF(物品!I321="",0,"'"&amp;物品!I321&amp;"'")</f>
        <v>0</v>
      </c>
      <c r="H222">
        <f>IF(物品!R312="",0,物品!R312)</f>
        <v>0</v>
      </c>
      <c r="I222">
        <f>IF(物品!S312="",0,物品!S312)</f>
        <v>0</v>
      </c>
      <c r="J222">
        <f>IF(物品!C321="",0,""""&amp;物品!C321&amp;"""")</f>
        <v>0</v>
      </c>
      <c r="K222" t="str">
        <f>IF(物品!T321="","""""",""""&amp;物品!T321&amp;"""")</f>
        <v>""</v>
      </c>
      <c r="L222">
        <f>IF(物品!U321="",0,""""&amp;物品!U321&amp;"""")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IF(物品!B322="",0,"'"&amp;物品!B322&amp;"'")</f>
        <v>0</v>
      </c>
      <c r="B223">
        <f>物品!D249</f>
        <v>0</v>
      </c>
      <c r="C223">
        <f>物品!E322</f>
        <v>0</v>
      </c>
      <c r="D223">
        <f>物品!F322</f>
        <v>0</v>
      </c>
      <c r="E223">
        <f>IF(ISTEXT(物品!G313)=TRUE,"'"&amp;物品!G313&amp;"'",物品!G313)</f>
        <v>0</v>
      </c>
      <c r="F223">
        <f>IF(ISTEXT(物品!H313)=TRUE,"'"&amp;物品!H313&amp;"'",物品!H313)</f>
        <v>0</v>
      </c>
      <c r="G223">
        <f>IF(物品!I322="",0,"'"&amp;物品!I322&amp;"'")</f>
        <v>0</v>
      </c>
      <c r="H223">
        <f>IF(物品!R313="",0,物品!R313)</f>
        <v>0</v>
      </c>
      <c r="I223">
        <f>IF(物品!S313="",0,物品!S313)</f>
        <v>0</v>
      </c>
      <c r="J223">
        <f>IF(物品!C322="",0,""""&amp;物品!C322&amp;"""")</f>
        <v>0</v>
      </c>
      <c r="K223" t="str">
        <f>IF(物品!T322="","""""",""""&amp;物品!T322&amp;"""")</f>
        <v>""</v>
      </c>
      <c r="L223">
        <f>IF(物品!U322="",0,""""&amp;物品!U322&amp;"""")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IF(物品!B323="",0,"'"&amp;物品!B323&amp;"'")</f>
        <v>0</v>
      </c>
      <c r="B224">
        <f>物品!D250</f>
        <v>0</v>
      </c>
      <c r="C224">
        <f>物品!E323</f>
        <v>0</v>
      </c>
      <c r="D224">
        <f>物品!F323</f>
        <v>0</v>
      </c>
      <c r="E224">
        <f>IF(ISTEXT(物品!G314)=TRUE,"'"&amp;物品!G314&amp;"'",物品!G314)</f>
        <v>0</v>
      </c>
      <c r="F224">
        <f>IF(ISTEXT(物品!H314)=TRUE,"'"&amp;物品!H314&amp;"'",物品!H314)</f>
        <v>0</v>
      </c>
      <c r="G224">
        <f>IF(物品!I323="",0,"'"&amp;物品!I323&amp;"'")</f>
        <v>0</v>
      </c>
      <c r="H224">
        <f>IF(物品!R314="",0,物品!R314)</f>
        <v>0</v>
      </c>
      <c r="I224">
        <f>IF(物品!S314="",0,物品!S314)</f>
        <v>0</v>
      </c>
      <c r="J224">
        <f>IF(物品!C323="",0,""""&amp;物品!C323&amp;"""")</f>
        <v>0</v>
      </c>
      <c r="K224" t="str">
        <f>IF(物品!T323="","""""",""""&amp;物品!T323&amp;"""")</f>
        <v>""</v>
      </c>
      <c r="L224">
        <f>IF(物品!U323="",0,""""&amp;物品!U323&amp;"""")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IF(物品!B324="",0,"'"&amp;物品!B324&amp;"'")</f>
        <v>0</v>
      </c>
      <c r="B225">
        <f>物品!D251</f>
        <v>0</v>
      </c>
      <c r="C225">
        <f>物品!E324</f>
        <v>0</v>
      </c>
      <c r="D225">
        <f>物品!F324</f>
        <v>0</v>
      </c>
      <c r="E225">
        <f>IF(ISTEXT(物品!G315)=TRUE,"'"&amp;物品!G315&amp;"'",物品!G315)</f>
        <v>0</v>
      </c>
      <c r="F225">
        <f>IF(ISTEXT(物品!H315)=TRUE,"'"&amp;物品!H315&amp;"'",物品!H315)</f>
        <v>0</v>
      </c>
      <c r="G225">
        <f>IF(物品!I324="",0,"'"&amp;物品!I324&amp;"'")</f>
        <v>0</v>
      </c>
      <c r="H225">
        <f>IF(物品!R315="",0,物品!R315)</f>
        <v>0</v>
      </c>
      <c r="I225">
        <f>IF(物品!S315="",0,物品!S315)</f>
        <v>0</v>
      </c>
      <c r="J225">
        <f>IF(物品!C324="",0,""""&amp;物品!C324&amp;"""")</f>
        <v>0</v>
      </c>
      <c r="K225" t="str">
        <f>IF(物品!T324="","""""",""""&amp;物品!T324&amp;"""")</f>
        <v>""</v>
      </c>
      <c r="L225">
        <f>IF(物品!U324="",0,""""&amp;物品!U324&amp;"""")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810</v>
      </c>
      <c r="CD1" s="10" t="s">
        <v>810</v>
      </c>
      <c r="CE1" s="10" t="s">
        <v>810</v>
      </c>
      <c r="CF1" s="10" t="s">
        <v>810</v>
      </c>
      <c r="CH1" s="10" t="s">
        <v>810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811</v>
      </c>
      <c r="CC2" s="10" t="s">
        <v>812</v>
      </c>
      <c r="CD2" s="10" t="s">
        <v>813</v>
      </c>
      <c r="CE2" s="10" t="s">
        <v>814</v>
      </c>
      <c r="CF2" s="10" t="s">
        <v>815</v>
      </c>
      <c r="CG2" s="10" t="s">
        <v>816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817</v>
      </c>
      <c r="B1" s="10" t="s">
        <v>818</v>
      </c>
      <c r="C1" s="10" t="s">
        <v>819</v>
      </c>
      <c r="D1" s="10" t="s">
        <v>820</v>
      </c>
      <c r="E1" s="10" t="s">
        <v>821</v>
      </c>
    </row>
    <row r="2" spans="1:11" ht="16.5">
      <c r="A2" s="9">
        <v>1</v>
      </c>
      <c r="B2" s="9" t="s">
        <v>822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827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501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504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507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510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513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516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519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522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531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534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747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749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757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758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759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767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768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769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828</v>
      </c>
      <c r="G1" t="s">
        <v>829</v>
      </c>
      <c r="I1" t="s">
        <v>830</v>
      </c>
      <c r="J1">
        <v>11</v>
      </c>
      <c r="P1" t="s">
        <v>831</v>
      </c>
      <c r="U1" t="s">
        <v>832</v>
      </c>
      <c r="V1" t="s">
        <v>833</v>
      </c>
      <c r="X1" s="10" t="s">
        <v>834</v>
      </c>
    </row>
    <row r="2" spans="1:25">
      <c r="A2" t="s">
        <v>835</v>
      </c>
      <c r="D2">
        <v>800</v>
      </c>
      <c r="E2" s="30">
        <v>1</v>
      </c>
      <c r="F2" s="31">
        <f>D2/E2</f>
        <v>800</v>
      </c>
      <c r="I2" t="s">
        <v>836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837</v>
      </c>
      <c r="D3">
        <v>800</v>
      </c>
      <c r="E3" s="30">
        <v>1</v>
      </c>
      <c r="F3" s="31">
        <f t="shared" ref="F3:F25" si="1">D3/E3</f>
        <v>800</v>
      </c>
      <c r="I3" t="s">
        <v>838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839</v>
      </c>
      <c r="D4">
        <v>800</v>
      </c>
      <c r="E4" s="30">
        <v>1</v>
      </c>
      <c r="F4" s="31">
        <f t="shared" si="1"/>
        <v>800</v>
      </c>
      <c r="I4" t="s">
        <v>840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841</v>
      </c>
      <c r="D5">
        <v>800</v>
      </c>
      <c r="E5" s="30">
        <v>1</v>
      </c>
      <c r="F5" s="31">
        <f t="shared" si="1"/>
        <v>800</v>
      </c>
      <c r="I5" t="s">
        <v>842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844</v>
      </c>
      <c r="D7">
        <v>2500</v>
      </c>
      <c r="E7" s="30">
        <v>0.85</v>
      </c>
      <c r="F7" s="31">
        <f t="shared" si="1"/>
        <v>2941.1764705882401</v>
      </c>
      <c r="J7" t="s">
        <v>845</v>
      </c>
      <c r="K7" s="10" t="s">
        <v>846</v>
      </c>
      <c r="L7" s="10" t="s">
        <v>847</v>
      </c>
      <c r="M7" t="s">
        <v>848</v>
      </c>
      <c r="N7" t="s">
        <v>849</v>
      </c>
      <c r="P7">
        <f t="shared" si="0"/>
        <v>85</v>
      </c>
    </row>
    <row r="8" spans="1:25">
      <c r="A8" t="s">
        <v>850</v>
      </c>
      <c r="D8">
        <v>2500</v>
      </c>
      <c r="E8" s="30">
        <v>0.85</v>
      </c>
      <c r="F8" s="31">
        <f t="shared" si="1"/>
        <v>2941.1764705882401</v>
      </c>
      <c r="I8" t="s">
        <v>851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852</v>
      </c>
      <c r="D9">
        <v>2500</v>
      </c>
      <c r="E9" s="30">
        <v>0.85</v>
      </c>
      <c r="F9" s="31">
        <f t="shared" si="1"/>
        <v>2941.1764705882401</v>
      </c>
      <c r="I9" t="s">
        <v>853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854</v>
      </c>
      <c r="D10">
        <v>2500</v>
      </c>
      <c r="E10" s="30">
        <v>0.85</v>
      </c>
      <c r="F10" s="31">
        <f t="shared" si="1"/>
        <v>2941.1764705882401</v>
      </c>
      <c r="I10" t="s">
        <v>855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857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858</v>
      </c>
      <c r="D12">
        <v>8000</v>
      </c>
      <c r="E12" s="30">
        <v>0.7</v>
      </c>
      <c r="F12" s="31">
        <f t="shared" si="1"/>
        <v>11428.5714285714</v>
      </c>
      <c r="I12" t="s">
        <v>859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861</v>
      </c>
      <c r="N13">
        <f>SUM(N8:N12)</f>
        <v>1061280</v>
      </c>
      <c r="P13">
        <f t="shared" si="0"/>
        <v>70</v>
      </c>
    </row>
    <row r="14" spans="1:25">
      <c r="A14" t="s">
        <v>862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867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868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869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874</v>
      </c>
      <c r="E26" t="s">
        <v>875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877</v>
      </c>
      <c r="B31" s="10" t="s">
        <v>112</v>
      </c>
      <c r="C31" s="10" t="s">
        <v>122</v>
      </c>
      <c r="F31" s="10" t="s">
        <v>878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879</v>
      </c>
      <c r="G32" s="10" t="s">
        <v>880</v>
      </c>
      <c r="H32" s="10" t="s">
        <v>828</v>
      </c>
      <c r="J32" s="10" t="s">
        <v>881</v>
      </c>
      <c r="K32" s="10" t="s">
        <v>882</v>
      </c>
      <c r="L32" s="10" t="s">
        <v>1</v>
      </c>
      <c r="M32" s="10" t="s">
        <v>828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875</v>
      </c>
      <c r="N41">
        <f>SUM(N33:N40)</f>
        <v>28860</v>
      </c>
      <c r="O41">
        <f>SUM(O33:O40)</f>
        <v>9600</v>
      </c>
    </row>
    <row r="42" spans="1:15">
      <c r="A42" s="10" t="s">
        <v>875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883</v>
      </c>
      <c r="B45" s="10" t="s">
        <v>884</v>
      </c>
      <c r="C45" s="10" t="s">
        <v>885</v>
      </c>
      <c r="F45" s="10" t="s">
        <v>886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887</v>
      </c>
      <c r="G46" s="32" t="s">
        <v>888</v>
      </c>
      <c r="H46" s="32" t="s">
        <v>164</v>
      </c>
      <c r="I46" s="10" t="s">
        <v>889</v>
      </c>
      <c r="K46" s="10"/>
    </row>
    <row r="47" spans="1:15">
      <c r="A47">
        <v>2</v>
      </c>
      <c r="B47">
        <f t="shared" si="11"/>
        <v>200</v>
      </c>
      <c r="C47" s="10" t="s">
        <v>890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495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559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785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787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791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793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797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799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567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583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598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605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609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892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537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780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893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592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586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589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787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789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793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795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799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801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495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892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583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598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605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780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605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609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605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609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574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782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784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785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787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789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791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793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795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797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799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801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602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780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498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501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504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507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510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513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516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519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522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525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528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531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534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540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543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546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549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552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785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791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797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485</v>
      </c>
      <c r="B118" s="16" t="s">
        <v>486</v>
      </c>
      <c r="G118" s="8" t="s">
        <v>537</v>
      </c>
      <c r="H118" t="str">
        <f t="shared" si="1"/>
        <v>附魔宝箱</v>
      </c>
    </row>
    <row r="119" spans="1:8" ht="16.5">
      <c r="A119" s="9" t="s">
        <v>489</v>
      </c>
      <c r="B119" s="16" t="s">
        <v>490</v>
      </c>
      <c r="G119" s="9" t="s">
        <v>665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669</v>
      </c>
      <c r="H120" t="str">
        <f t="shared" si="1"/>
        <v>W技能附魔卷</v>
      </c>
    </row>
    <row r="121" spans="1:8" ht="16.5">
      <c r="A121" s="9" t="s">
        <v>495</v>
      </c>
      <c r="B121" s="16" t="s">
        <v>496</v>
      </c>
      <c r="G121" s="9" t="s">
        <v>673</v>
      </c>
      <c r="H121" t="str">
        <f t="shared" si="1"/>
        <v>E技能附魔卷</v>
      </c>
    </row>
    <row r="122" spans="1:8" ht="16.5">
      <c r="A122" s="9" t="s">
        <v>498</v>
      </c>
      <c r="B122" s="9" t="s">
        <v>894</v>
      </c>
      <c r="G122" s="9" t="s">
        <v>677</v>
      </c>
      <c r="H122" t="str">
        <f t="shared" si="1"/>
        <v>|CffFFD24DQ强力附魔卷|r</v>
      </c>
    </row>
    <row r="123" spans="1:8" ht="16.5">
      <c r="A123" s="17" t="s">
        <v>501</v>
      </c>
      <c r="B123" s="18" t="s">
        <v>502</v>
      </c>
      <c r="G123" s="9" t="s">
        <v>680</v>
      </c>
      <c r="H123" t="str">
        <f t="shared" si="1"/>
        <v>|CffFFD24DW强力附魔卷|r</v>
      </c>
    </row>
    <row r="124" spans="1:8" ht="16.5">
      <c r="A124" s="9" t="s">
        <v>504</v>
      </c>
      <c r="B124" s="19" t="s">
        <v>505</v>
      </c>
      <c r="G124" s="9" t="s">
        <v>683</v>
      </c>
      <c r="H124" t="str">
        <f t="shared" si="1"/>
        <v>|CffFFD24DE强力附魔卷|r</v>
      </c>
    </row>
    <row r="125" spans="1:8" ht="16.5">
      <c r="A125" s="17" t="s">
        <v>507</v>
      </c>
      <c r="B125" s="18" t="s">
        <v>508</v>
      </c>
      <c r="G125" s="11"/>
      <c r="H125" t="str">
        <f t="shared" si="1"/>
        <v/>
      </c>
    </row>
    <row r="126" spans="1:8" ht="16.5">
      <c r="A126" s="17" t="s">
        <v>510</v>
      </c>
      <c r="B126" s="18" t="s">
        <v>511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513</v>
      </c>
      <c r="B127" s="18" t="s">
        <v>514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516</v>
      </c>
      <c r="B128" s="18" t="s">
        <v>517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519</v>
      </c>
      <c r="B129" s="18" t="s">
        <v>520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522</v>
      </c>
      <c r="B130" s="18" t="s">
        <v>523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526</v>
      </c>
      <c r="G131" s="11"/>
      <c r="H131" t="str">
        <f t="shared" si="2"/>
        <v/>
      </c>
    </row>
    <row r="132" spans="1:8" ht="16.5">
      <c r="A132" s="17" t="s">
        <v>528</v>
      </c>
      <c r="B132" s="17" t="s">
        <v>529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531</v>
      </c>
      <c r="B133" s="18" t="s">
        <v>532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534</v>
      </c>
      <c r="B134" s="18" t="s">
        <v>535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537</v>
      </c>
      <c r="B135" s="20" t="s">
        <v>538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541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544</v>
      </c>
      <c r="G137" s="9" t="s">
        <v>665</v>
      </c>
      <c r="H137" t="str">
        <f t="shared" si="2"/>
        <v>Q技能附魔卷</v>
      </c>
    </row>
    <row r="138" spans="1:8" ht="16.5">
      <c r="A138" s="9" t="s">
        <v>546</v>
      </c>
      <c r="B138" s="23" t="s">
        <v>547</v>
      </c>
      <c r="G138" s="9" t="s">
        <v>677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550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553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747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749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750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751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752</v>
      </c>
      <c r="H145" t="str">
        <f t="shared" si="2"/>
        <v>附魔</v>
      </c>
    </row>
    <row r="146" spans="1:8" ht="16.5">
      <c r="A146" s="24" t="s">
        <v>574</v>
      </c>
      <c r="B146" s="20" t="s">
        <v>895</v>
      </c>
      <c r="G146" s="9" t="s">
        <v>753</v>
      </c>
      <c r="H146" t="str">
        <f t="shared" si="2"/>
        <v>附魔</v>
      </c>
    </row>
    <row r="147" spans="1:8" ht="16.5">
      <c r="A147" s="24" t="s">
        <v>578</v>
      </c>
      <c r="B147" s="20" t="s">
        <v>896</v>
      </c>
      <c r="G147" s="9" t="s">
        <v>754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755</v>
      </c>
      <c r="H148" t="str">
        <f t="shared" si="2"/>
        <v>附魔</v>
      </c>
    </row>
    <row r="149" spans="1:8" ht="16.5">
      <c r="A149" s="9" t="s">
        <v>583</v>
      </c>
      <c r="B149" s="9" t="s">
        <v>897</v>
      </c>
      <c r="G149" s="9" t="s">
        <v>756</v>
      </c>
      <c r="H149" t="str">
        <f t="shared" si="2"/>
        <v>附魔</v>
      </c>
    </row>
    <row r="150" spans="1:8" ht="16.5">
      <c r="A150" s="9" t="s">
        <v>586</v>
      </c>
      <c r="B150" s="15" t="s">
        <v>587</v>
      </c>
      <c r="G150" s="9" t="s">
        <v>757</v>
      </c>
      <c r="H150" t="str">
        <f t="shared" si="2"/>
        <v>附魔</v>
      </c>
    </row>
    <row r="151" spans="1:8" ht="16.5">
      <c r="A151" s="9" t="s">
        <v>589</v>
      </c>
      <c r="B151" s="15" t="s">
        <v>590</v>
      </c>
      <c r="G151" s="9" t="s">
        <v>758</v>
      </c>
      <c r="H151" t="str">
        <f t="shared" si="2"/>
        <v>附魔</v>
      </c>
    </row>
    <row r="152" spans="1:8" ht="16.5">
      <c r="A152" s="9" t="s">
        <v>592</v>
      </c>
      <c r="B152" s="15" t="s">
        <v>593</v>
      </c>
      <c r="G152" s="9" t="s">
        <v>759</v>
      </c>
      <c r="H152" t="str">
        <f t="shared" si="2"/>
        <v>附魔</v>
      </c>
    </row>
    <row r="153" spans="1:8" ht="16.5">
      <c r="A153" s="9" t="s">
        <v>595</v>
      </c>
      <c r="B153" s="15" t="s">
        <v>596</v>
      </c>
      <c r="G153" s="9" t="s">
        <v>760</v>
      </c>
      <c r="H153" t="str">
        <f t="shared" si="2"/>
        <v>附魔</v>
      </c>
    </row>
    <row r="154" spans="1:8" ht="16.5">
      <c r="A154" s="9" t="s">
        <v>598</v>
      </c>
      <c r="B154" s="25" t="s">
        <v>599</v>
      </c>
      <c r="G154" s="9" t="s">
        <v>761</v>
      </c>
      <c r="H154" t="str">
        <f t="shared" si="2"/>
        <v>附魔</v>
      </c>
    </row>
    <row r="155" spans="1:8" ht="16.5">
      <c r="A155" s="9" t="s">
        <v>602</v>
      </c>
      <c r="B155" s="25" t="s">
        <v>603</v>
      </c>
      <c r="G155" s="9" t="s">
        <v>762</v>
      </c>
      <c r="H155" t="str">
        <f t="shared" si="2"/>
        <v>附魔</v>
      </c>
    </row>
    <row r="156" spans="1:8" ht="16.5">
      <c r="A156" s="9" t="s">
        <v>605</v>
      </c>
      <c r="B156" s="25" t="s">
        <v>606</v>
      </c>
      <c r="G156" s="9" t="s">
        <v>763</v>
      </c>
      <c r="H156" t="str">
        <f t="shared" si="2"/>
        <v>附魔</v>
      </c>
    </row>
    <row r="157" spans="1:8" ht="16.5">
      <c r="A157" s="9" t="s">
        <v>609</v>
      </c>
      <c r="B157" s="25" t="s">
        <v>610</v>
      </c>
      <c r="G157" s="11"/>
      <c r="H157" t="str">
        <f t="shared" si="2"/>
        <v/>
      </c>
    </row>
    <row r="158" spans="1:8" ht="16.5">
      <c r="A158" s="9" t="s">
        <v>613</v>
      </c>
      <c r="B158" s="15" t="s">
        <v>614</v>
      </c>
      <c r="G158" s="8"/>
      <c r="H158" t="str">
        <f t="shared" si="2"/>
        <v/>
      </c>
    </row>
    <row r="159" spans="1:8" ht="16.5">
      <c r="A159" s="9" t="s">
        <v>615</v>
      </c>
      <c r="B159" s="15" t="s">
        <v>616</v>
      </c>
      <c r="G159" s="9" t="s">
        <v>764</v>
      </c>
      <c r="H159" t="str">
        <f t="shared" si="2"/>
        <v>附魔</v>
      </c>
    </row>
    <row r="160" spans="1:8" ht="16.5">
      <c r="A160" s="9" t="s">
        <v>617</v>
      </c>
      <c r="B160" s="15" t="s">
        <v>618</v>
      </c>
      <c r="G160" s="9" t="s">
        <v>765</v>
      </c>
      <c r="H160" t="str">
        <f t="shared" si="2"/>
        <v>附魔</v>
      </c>
    </row>
    <row r="161" spans="1:8" ht="16.5">
      <c r="A161" s="9" t="s">
        <v>619</v>
      </c>
      <c r="B161" s="15" t="s">
        <v>620</v>
      </c>
      <c r="G161" s="9" t="s">
        <v>766</v>
      </c>
      <c r="H161" t="str">
        <f t="shared" si="2"/>
        <v>附魔</v>
      </c>
    </row>
    <row r="162" spans="1:8" ht="16.5">
      <c r="A162" s="9" t="s">
        <v>621</v>
      </c>
      <c r="B162" s="15" t="s">
        <v>622</v>
      </c>
      <c r="G162" s="9" t="s">
        <v>767</v>
      </c>
      <c r="H162" t="str">
        <f t="shared" si="2"/>
        <v>附魔</v>
      </c>
    </row>
    <row r="163" spans="1:8" ht="16.5">
      <c r="A163" s="9" t="s">
        <v>623</v>
      </c>
      <c r="B163" s="15" t="s">
        <v>624</v>
      </c>
      <c r="G163" s="9" t="s">
        <v>768</v>
      </c>
      <c r="H163" t="str">
        <f t="shared" si="2"/>
        <v>附魔</v>
      </c>
    </row>
    <row r="164" spans="1:8" ht="16.5">
      <c r="A164" s="9" t="s">
        <v>625</v>
      </c>
      <c r="B164" s="15" t="s">
        <v>626</v>
      </c>
      <c r="G164" s="9" t="s">
        <v>769</v>
      </c>
      <c r="H164" t="str">
        <f t="shared" si="2"/>
        <v>附魔</v>
      </c>
    </row>
    <row r="165" spans="1:8" ht="16.5">
      <c r="A165" s="9" t="s">
        <v>628</v>
      </c>
      <c r="B165" s="15" t="s">
        <v>629</v>
      </c>
      <c r="G165" s="9" t="s">
        <v>770</v>
      </c>
      <c r="H165" t="str">
        <f t="shared" si="2"/>
        <v>附魔</v>
      </c>
    </row>
    <row r="166" spans="1:8" ht="16.5">
      <c r="A166" s="9" t="s">
        <v>630</v>
      </c>
      <c r="B166" s="15" t="s">
        <v>631</v>
      </c>
      <c r="G166" s="9" t="s">
        <v>771</v>
      </c>
      <c r="H166" t="str">
        <f t="shared" si="2"/>
        <v>附魔</v>
      </c>
    </row>
    <row r="167" spans="1:8" ht="16.5">
      <c r="A167" s="9" t="s">
        <v>632</v>
      </c>
      <c r="B167" s="15" t="s">
        <v>633</v>
      </c>
      <c r="G167" s="9" t="s">
        <v>772</v>
      </c>
      <c r="H167" t="str">
        <f t="shared" si="2"/>
        <v>附魔</v>
      </c>
    </row>
    <row r="168" spans="1:8" ht="16.5">
      <c r="A168" s="9" t="s">
        <v>634</v>
      </c>
      <c r="B168" s="15" t="s">
        <v>635</v>
      </c>
      <c r="G168" s="9" t="s">
        <v>773</v>
      </c>
      <c r="H168" t="str">
        <f t="shared" si="2"/>
        <v>附魔</v>
      </c>
    </row>
    <row r="169" spans="1:8" ht="16.5">
      <c r="A169" s="9" t="s">
        <v>637</v>
      </c>
      <c r="B169" s="15" t="s">
        <v>638</v>
      </c>
      <c r="G169" s="9" t="s">
        <v>774</v>
      </c>
      <c r="H169" t="str">
        <f t="shared" si="2"/>
        <v>附魔</v>
      </c>
    </row>
    <row r="170" spans="1:8" ht="16.5">
      <c r="A170" s="9" t="s">
        <v>640</v>
      </c>
      <c r="B170" s="15" t="s">
        <v>641</v>
      </c>
      <c r="G170" s="9" t="s">
        <v>775</v>
      </c>
      <c r="H170" t="str">
        <f t="shared" si="2"/>
        <v>附魔</v>
      </c>
    </row>
    <row r="171" spans="1:8" ht="16.5">
      <c r="A171" s="9" t="s">
        <v>643</v>
      </c>
      <c r="B171" s="15" t="s">
        <v>644</v>
      </c>
      <c r="G171" s="9" t="s">
        <v>776</v>
      </c>
      <c r="H171" t="str">
        <f t="shared" si="2"/>
        <v>附魔</v>
      </c>
    </row>
    <row r="172" spans="1:8" ht="16.5">
      <c r="A172" s="9" t="s">
        <v>645</v>
      </c>
      <c r="B172" s="15" t="s">
        <v>646</v>
      </c>
      <c r="G172" s="9" t="s">
        <v>777</v>
      </c>
      <c r="H172" t="str">
        <f t="shared" si="2"/>
        <v>附魔</v>
      </c>
    </row>
    <row r="173" spans="1:8" ht="16.5">
      <c r="A173" s="9" t="s">
        <v>648</v>
      </c>
      <c r="B173" s="15" t="s">
        <v>649</v>
      </c>
      <c r="G173" s="9" t="s">
        <v>778</v>
      </c>
      <c r="H173" t="str">
        <f t="shared" si="2"/>
        <v>附魔</v>
      </c>
    </row>
    <row r="174" spans="1:8" ht="16.5">
      <c r="A174" s="9" t="s">
        <v>651</v>
      </c>
      <c r="B174" s="15" t="s">
        <v>652</v>
      </c>
      <c r="G174" s="9" t="s">
        <v>779</v>
      </c>
      <c r="H174" t="e">
        <f t="shared" si="2"/>
        <v>#N/A</v>
      </c>
    </row>
    <row r="175" spans="1:8" ht="16.5">
      <c r="A175" s="9" t="s">
        <v>654</v>
      </c>
      <c r="B175" s="15" t="s">
        <v>655</v>
      </c>
    </row>
    <row r="176" spans="1:8" ht="16.5">
      <c r="A176" s="9" t="s">
        <v>657</v>
      </c>
      <c r="B176" s="15" t="s">
        <v>658</v>
      </c>
    </row>
    <row r="177" spans="1:2" ht="16.5">
      <c r="A177" s="9" t="s">
        <v>661</v>
      </c>
      <c r="B177" s="15" t="s">
        <v>662</v>
      </c>
    </row>
    <row r="178" spans="1:2" ht="16.5">
      <c r="A178" s="9" t="s">
        <v>665</v>
      </c>
      <c r="B178" s="15" t="s">
        <v>666</v>
      </c>
    </row>
    <row r="179" spans="1:2" ht="16.5">
      <c r="A179" s="9" t="s">
        <v>669</v>
      </c>
      <c r="B179" s="15" t="s">
        <v>670</v>
      </c>
    </row>
    <row r="180" spans="1:2" ht="16.5">
      <c r="A180" s="9" t="s">
        <v>673</v>
      </c>
      <c r="B180" s="15" t="s">
        <v>674</v>
      </c>
    </row>
    <row r="181" spans="1:2" ht="16.5">
      <c r="A181" s="9" t="s">
        <v>677</v>
      </c>
      <c r="B181" s="25" t="s">
        <v>678</v>
      </c>
    </row>
    <row r="182" spans="1:2" ht="16.5">
      <c r="A182" s="9" t="s">
        <v>680</v>
      </c>
      <c r="B182" s="26" t="s">
        <v>681</v>
      </c>
    </row>
    <row r="183" spans="1:2" ht="16.5">
      <c r="A183" s="9" t="s">
        <v>683</v>
      </c>
      <c r="B183" s="26" t="s">
        <v>684</v>
      </c>
    </row>
    <row r="184" spans="1:2" ht="16.5">
      <c r="A184" s="9" t="s">
        <v>686</v>
      </c>
      <c r="B184" s="15" t="s">
        <v>687</v>
      </c>
    </row>
    <row r="185" spans="1:2" ht="16.5">
      <c r="A185" s="9" t="s">
        <v>688</v>
      </c>
      <c r="B185" s="15" t="s">
        <v>689</v>
      </c>
    </row>
    <row r="186" spans="1:2" ht="16.5">
      <c r="A186" s="9" t="s">
        <v>698</v>
      </c>
      <c r="B186" s="15" t="s">
        <v>699</v>
      </c>
    </row>
    <row r="187" spans="1:2" ht="16.5">
      <c r="A187" s="9" t="s">
        <v>701</v>
      </c>
      <c r="B187" s="15" t="s">
        <v>702</v>
      </c>
    </row>
    <row r="188" spans="1:2">
      <c r="A188" s="27" t="s">
        <v>705</v>
      </c>
      <c r="B188" s="28" t="s">
        <v>706</v>
      </c>
    </row>
    <row r="189" spans="1:2">
      <c r="A189" s="27" t="s">
        <v>708</v>
      </c>
      <c r="B189" s="28" t="s">
        <v>709</v>
      </c>
    </row>
    <row r="190" spans="1:2">
      <c r="A190" s="27" t="s">
        <v>711</v>
      </c>
      <c r="B190" s="28" t="s">
        <v>712</v>
      </c>
    </row>
    <row r="191" spans="1:2">
      <c r="A191" s="27" t="s">
        <v>714</v>
      </c>
      <c r="B191" s="28" t="s">
        <v>715</v>
      </c>
    </row>
    <row r="192" spans="1:2">
      <c r="A192" s="27" t="s">
        <v>717</v>
      </c>
      <c r="B192" s="28" t="s">
        <v>718</v>
      </c>
    </row>
    <row r="193" spans="1:2">
      <c r="A193" s="27" t="s">
        <v>719</v>
      </c>
      <c r="B193" s="28" t="s">
        <v>720</v>
      </c>
    </row>
    <row r="194" spans="1:2">
      <c r="A194" s="27" t="s">
        <v>722</v>
      </c>
      <c r="B194" s="28" t="s">
        <v>723</v>
      </c>
    </row>
    <row r="195" spans="1:2">
      <c r="A195" s="27" t="s">
        <v>725</v>
      </c>
      <c r="B195" s="28" t="s">
        <v>726</v>
      </c>
    </row>
    <row r="196" spans="1:2">
      <c r="A196" s="27" t="s">
        <v>728</v>
      </c>
      <c r="B196" s="28" t="s">
        <v>729</v>
      </c>
    </row>
    <row r="197" spans="1:2">
      <c r="A197" s="27" t="s">
        <v>730</v>
      </c>
      <c r="B197" s="28" t="str">
        <f>"已领取"&amp;B188</f>
        <v>已领取公众号礼包</v>
      </c>
    </row>
    <row r="198" spans="1:2">
      <c r="A198" s="27" t="s">
        <v>733</v>
      </c>
      <c r="B198" s="28" t="str">
        <f t="shared" ref="B198:B205" si="3">"已领取"&amp;B189</f>
        <v>已领取入群礼包</v>
      </c>
    </row>
    <row r="199" spans="1:2">
      <c r="A199" s="27" t="s">
        <v>735</v>
      </c>
      <c r="B199" s="28" t="str">
        <f t="shared" si="3"/>
        <v>已领取拜年礼包</v>
      </c>
    </row>
    <row r="200" spans="1:2">
      <c r="A200" s="27" t="s">
        <v>737</v>
      </c>
      <c r="B200" s="28" t="str">
        <f t="shared" si="3"/>
        <v>已领取收藏礼包</v>
      </c>
    </row>
    <row r="201" spans="1:2">
      <c r="A201" s="27" t="s">
        <v>739</v>
      </c>
      <c r="B201" s="28" t="str">
        <f t="shared" si="3"/>
        <v>已领取重置版礼包</v>
      </c>
    </row>
    <row r="202" spans="1:2">
      <c r="A202" s="27" t="s">
        <v>740</v>
      </c>
      <c r="B202" s="28" t="str">
        <f t="shared" si="3"/>
        <v>已领取公会福利</v>
      </c>
    </row>
    <row r="203" spans="1:2">
      <c r="A203" s="27" t="s">
        <v>741</v>
      </c>
      <c r="B203" s="28" t="str">
        <f t="shared" si="3"/>
        <v>已领取星耀礼包</v>
      </c>
    </row>
    <row r="204" spans="1:2">
      <c r="A204" s="27" t="s">
        <v>743</v>
      </c>
      <c r="B204" s="28" t="str">
        <f t="shared" si="3"/>
        <v>已领取魔芝RPG礼包</v>
      </c>
    </row>
    <row r="205" spans="1:2">
      <c r="A205" s="27" t="s">
        <v>745</v>
      </c>
      <c r="B205" s="28" t="str">
        <f t="shared" si="3"/>
        <v>已领取老铁礼包</v>
      </c>
    </row>
    <row r="206" spans="1:2">
      <c r="A206" s="27" t="s">
        <v>747</v>
      </c>
      <c r="B206" s="29" t="s">
        <v>748</v>
      </c>
    </row>
    <row r="207" spans="1:2">
      <c r="A207" s="27" t="s">
        <v>749</v>
      </c>
      <c r="B207" s="29" t="s">
        <v>748</v>
      </c>
    </row>
    <row r="208" spans="1:2">
      <c r="A208" s="27" t="s">
        <v>750</v>
      </c>
      <c r="B208" s="29" t="s">
        <v>748</v>
      </c>
    </row>
    <row r="209" spans="1:2">
      <c r="A209" s="27" t="s">
        <v>751</v>
      </c>
      <c r="B209" s="29" t="s">
        <v>748</v>
      </c>
    </row>
    <row r="210" spans="1:2">
      <c r="A210" s="27" t="s">
        <v>752</v>
      </c>
      <c r="B210" s="29" t="s">
        <v>748</v>
      </c>
    </row>
    <row r="211" spans="1:2">
      <c r="A211" s="27" t="s">
        <v>753</v>
      </c>
      <c r="B211" s="29" t="s">
        <v>748</v>
      </c>
    </row>
    <row r="212" spans="1:2">
      <c r="A212" s="27" t="s">
        <v>754</v>
      </c>
      <c r="B212" s="29" t="s">
        <v>748</v>
      </c>
    </row>
    <row r="213" spans="1:2">
      <c r="A213" s="27" t="s">
        <v>755</v>
      </c>
      <c r="B213" s="29" t="s">
        <v>748</v>
      </c>
    </row>
    <row r="214" spans="1:2">
      <c r="A214" s="27" t="s">
        <v>756</v>
      </c>
      <c r="B214" s="29" t="s">
        <v>748</v>
      </c>
    </row>
    <row r="215" spans="1:2">
      <c r="A215" s="27" t="s">
        <v>757</v>
      </c>
      <c r="B215" s="29" t="s">
        <v>748</v>
      </c>
    </row>
    <row r="216" spans="1:2">
      <c r="A216" s="27" t="s">
        <v>758</v>
      </c>
      <c r="B216" s="29" t="s">
        <v>748</v>
      </c>
    </row>
    <row r="217" spans="1:2">
      <c r="A217" s="27" t="s">
        <v>759</v>
      </c>
      <c r="B217" s="29" t="s">
        <v>748</v>
      </c>
    </row>
    <row r="218" spans="1:2">
      <c r="A218" s="27" t="s">
        <v>760</v>
      </c>
      <c r="B218" s="29" t="s">
        <v>748</v>
      </c>
    </row>
    <row r="219" spans="1:2">
      <c r="A219" s="27" t="s">
        <v>761</v>
      </c>
      <c r="B219" s="29" t="s">
        <v>748</v>
      </c>
    </row>
    <row r="220" spans="1:2">
      <c r="A220" s="27" t="s">
        <v>762</v>
      </c>
      <c r="B220" s="29" t="s">
        <v>748</v>
      </c>
    </row>
    <row r="221" spans="1:2">
      <c r="A221" s="27" t="s">
        <v>763</v>
      </c>
      <c r="B221" s="29" t="s">
        <v>748</v>
      </c>
    </row>
    <row r="222" spans="1:2">
      <c r="A222" s="27" t="s">
        <v>764</v>
      </c>
      <c r="B222" s="29" t="s">
        <v>748</v>
      </c>
    </row>
    <row r="223" spans="1:2">
      <c r="A223" s="27" t="s">
        <v>765</v>
      </c>
      <c r="B223" s="29" t="s">
        <v>748</v>
      </c>
    </row>
    <row r="224" spans="1:2">
      <c r="A224" s="27" t="s">
        <v>766</v>
      </c>
      <c r="B224" s="29" t="s">
        <v>748</v>
      </c>
    </row>
    <row r="225" spans="1:2">
      <c r="A225" s="27" t="s">
        <v>767</v>
      </c>
      <c r="B225" s="29" t="s">
        <v>748</v>
      </c>
    </row>
    <row r="226" spans="1:2">
      <c r="A226" s="27" t="s">
        <v>768</v>
      </c>
      <c r="B226" s="29" t="s">
        <v>748</v>
      </c>
    </row>
    <row r="227" spans="1:2">
      <c r="A227" s="27" t="s">
        <v>769</v>
      </c>
      <c r="B227" s="29" t="s">
        <v>748</v>
      </c>
    </row>
    <row r="228" spans="1:2">
      <c r="A228" s="27" t="s">
        <v>770</v>
      </c>
      <c r="B228" s="29" t="s">
        <v>748</v>
      </c>
    </row>
    <row r="229" spans="1:2">
      <c r="A229" s="27" t="s">
        <v>771</v>
      </c>
      <c r="B229" s="29" t="s">
        <v>748</v>
      </c>
    </row>
    <row r="230" spans="1:2">
      <c r="A230" s="27" t="s">
        <v>772</v>
      </c>
      <c r="B230" s="29" t="s">
        <v>748</v>
      </c>
    </row>
    <row r="231" spans="1:2">
      <c r="A231" s="27" t="s">
        <v>773</v>
      </c>
      <c r="B231" s="29" t="s">
        <v>748</v>
      </c>
    </row>
    <row r="232" spans="1:2">
      <c r="A232" s="27" t="s">
        <v>774</v>
      </c>
      <c r="B232" s="29" t="s">
        <v>748</v>
      </c>
    </row>
    <row r="233" spans="1:2">
      <c r="A233" s="27" t="s">
        <v>775</v>
      </c>
      <c r="B233" s="29" t="s">
        <v>748</v>
      </c>
    </row>
    <row r="234" spans="1:2">
      <c r="A234" s="27" t="s">
        <v>776</v>
      </c>
      <c r="B234" s="29" t="s">
        <v>748</v>
      </c>
    </row>
    <row r="235" spans="1:2">
      <c r="A235" s="27" t="s">
        <v>777</v>
      </c>
      <c r="B235" s="29" t="s">
        <v>748</v>
      </c>
    </row>
    <row r="236" spans="1:2">
      <c r="A236" s="27" t="s">
        <v>778</v>
      </c>
      <c r="B236" s="29" t="s">
        <v>748</v>
      </c>
    </row>
    <row r="237" spans="1:2" ht="16.5">
      <c r="A237" s="9" t="s">
        <v>780</v>
      </c>
      <c r="B237" s="9" t="s">
        <v>781</v>
      </c>
    </row>
    <row r="238" spans="1:2" ht="16.5">
      <c r="A238" s="9" t="s">
        <v>782</v>
      </c>
      <c r="B238" s="9" t="s">
        <v>783</v>
      </c>
    </row>
    <row r="239" spans="1:2" ht="16.5">
      <c r="A239" s="9" t="s">
        <v>784</v>
      </c>
      <c r="B239" s="9" t="s">
        <v>114</v>
      </c>
    </row>
    <row r="240" spans="1:2" ht="16.5">
      <c r="A240" s="9" t="s">
        <v>785</v>
      </c>
      <c r="B240" s="9" t="s">
        <v>786</v>
      </c>
    </row>
    <row r="241" spans="1:2" ht="16.5">
      <c r="A241" s="9" t="s">
        <v>787</v>
      </c>
      <c r="B241" s="9" t="s">
        <v>788</v>
      </c>
    </row>
    <row r="242" spans="1:2" ht="16.5">
      <c r="A242" s="9" t="s">
        <v>789</v>
      </c>
      <c r="B242" s="9" t="s">
        <v>790</v>
      </c>
    </row>
    <row r="243" spans="1:2" ht="16.5">
      <c r="A243" s="9" t="s">
        <v>791</v>
      </c>
      <c r="B243" s="9" t="s">
        <v>792</v>
      </c>
    </row>
    <row r="244" spans="1:2" ht="16.5">
      <c r="A244" s="9" t="s">
        <v>793</v>
      </c>
      <c r="B244" s="9" t="s">
        <v>794</v>
      </c>
    </row>
    <row r="245" spans="1:2" ht="16.5">
      <c r="A245" s="9" t="s">
        <v>795</v>
      </c>
      <c r="B245" s="9" t="s">
        <v>796</v>
      </c>
    </row>
    <row r="246" spans="1:2" ht="16.5">
      <c r="A246" s="9" t="s">
        <v>797</v>
      </c>
      <c r="B246" s="9" t="s">
        <v>798</v>
      </c>
    </row>
    <row r="247" spans="1:2" ht="16.5">
      <c r="A247" s="9" t="s">
        <v>799</v>
      </c>
      <c r="B247" s="9" t="s">
        <v>800</v>
      </c>
    </row>
    <row r="248" spans="1:2" ht="16.5">
      <c r="A248" s="9" t="s">
        <v>801</v>
      </c>
      <c r="B248" s="9" t="s">
        <v>802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2020-01-31T12:41:35Z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