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P000!$A$1:$AP$621</definedName>
  </definedNames>
  <calcPr calcId="125725"/>
</workbook>
</file>

<file path=xl/calcChain.xml><?xml version="1.0" encoding="utf-8"?>
<calcChain xmlns="http://schemas.openxmlformats.org/spreadsheetml/2006/main">
  <c r="M101" i="1"/>
  <c r="H101"/>
  <c r="J101" s="1"/>
  <c r="B101"/>
  <c r="I101" s="1"/>
  <c r="K101" s="1"/>
  <c r="B100"/>
  <c r="H100" s="1"/>
  <c r="J100" s="1"/>
  <c r="I99"/>
  <c r="K99" s="1"/>
  <c r="B99"/>
  <c r="H99" s="1"/>
  <c r="J99" s="1"/>
  <c r="FS101" i="2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CU101" s="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 s="1"/>
  <c r="CV99"/>
  <c r="CR99"/>
  <c r="CQ99"/>
  <c r="CP99"/>
  <c r="CO99"/>
  <c r="CN99"/>
  <c r="B123" i="1"/>
  <c r="I123" s="1"/>
  <c r="K123" s="1"/>
  <c r="B98"/>
  <c r="H98" s="1"/>
  <c r="J98" s="1"/>
  <c r="B97"/>
  <c r="M97" s="1"/>
  <c r="B96"/>
  <c r="H96" s="1"/>
  <c r="J96" s="1"/>
  <c r="B95"/>
  <c r="I95" s="1"/>
  <c r="K95" s="1"/>
  <c r="B94"/>
  <c r="H94" s="1"/>
  <c r="J94" s="1"/>
  <c r="B93"/>
  <c r="I93" s="1"/>
  <c r="K93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 s="1"/>
  <c r="CV97"/>
  <c r="CR97"/>
  <c r="CQ97"/>
  <c r="CP97"/>
  <c r="CO97"/>
  <c r="CN97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CU95" s="1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18" i="1"/>
  <c r="H118" s="1"/>
  <c r="J118" s="1"/>
  <c r="B117"/>
  <c r="H117" s="1"/>
  <c r="J117" s="1"/>
  <c r="B116"/>
  <c r="H116" s="1"/>
  <c r="J116" s="1"/>
  <c r="B115"/>
  <c r="H115" s="1"/>
  <c r="J11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18" i="2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B137" i="1"/>
  <c r="B136"/>
  <c r="M136" s="1"/>
  <c r="B135"/>
  <c r="B134"/>
  <c r="M134" s="1"/>
  <c r="B133"/>
  <c r="B132"/>
  <c r="M132" s="1"/>
  <c r="B131"/>
  <c r="B130"/>
  <c r="M130" s="1"/>
  <c r="B129"/>
  <c r="B128"/>
  <c r="M128" s="1"/>
  <c r="B127"/>
  <c r="H127" s="1"/>
  <c r="J127" s="1"/>
  <c r="B126"/>
  <c r="M126" s="1"/>
  <c r="B125"/>
  <c r="B124"/>
  <c r="M124" s="1"/>
  <c r="B122"/>
  <c r="B121"/>
  <c r="M121" s="1"/>
  <c r="B120"/>
  <c r="B119"/>
  <c r="M119" s="1"/>
  <c r="B114"/>
  <c r="B113"/>
  <c r="M113" s="1"/>
  <c r="B112"/>
  <c r="B111"/>
  <c r="M111" s="1"/>
  <c r="B110"/>
  <c r="B109"/>
  <c r="M109" s="1"/>
  <c r="B108"/>
  <c r="B107"/>
  <c r="M107" s="1"/>
  <c r="B106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M100" i="1" l="1"/>
  <c r="I100"/>
  <c r="K100" s="1"/>
  <c r="M99"/>
  <c r="H123"/>
  <c r="J123" s="1"/>
  <c r="M123"/>
  <c r="I97"/>
  <c r="K97" s="1"/>
  <c r="H97"/>
  <c r="J97" s="1"/>
  <c r="H95"/>
  <c r="J95" s="1"/>
  <c r="M96"/>
  <c r="M98"/>
  <c r="I98"/>
  <c r="K98" s="1"/>
  <c r="M94"/>
  <c r="H93"/>
  <c r="J93" s="1"/>
  <c r="I94"/>
  <c r="K94" s="1"/>
  <c r="I96"/>
  <c r="K96" s="1"/>
  <c r="M93"/>
  <c r="M95"/>
  <c r="I135"/>
  <c r="K135" s="1"/>
  <c r="CU136" i="2"/>
  <c r="CU93"/>
  <c r="CU96"/>
  <c r="I133" i="1"/>
  <c r="K133" s="1"/>
  <c r="CU115" i="2"/>
  <c r="CU118"/>
  <c r="CU133"/>
  <c r="CU135"/>
  <c r="CU123"/>
  <c r="CU117"/>
  <c r="CU98"/>
  <c r="CU134"/>
  <c r="CU137"/>
  <c r="I137" i="1"/>
  <c r="CU94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30" i="1"/>
  <c r="J130" s="1"/>
  <c r="M116"/>
  <c r="M118"/>
  <c r="I116"/>
  <c r="K116" s="1"/>
  <c r="I118"/>
  <c r="K118" s="1"/>
  <c r="I136"/>
  <c r="K136" s="1"/>
  <c r="M115"/>
  <c r="M117"/>
  <c r="I115"/>
  <c r="K115" s="1"/>
  <c r="I117"/>
  <c r="K117" s="1"/>
  <c r="H120"/>
  <c r="J120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21" i="1"/>
  <c r="J121" s="1"/>
  <c r="H132"/>
  <c r="J132" s="1"/>
  <c r="H119"/>
  <c r="J119" s="1"/>
  <c r="H126"/>
  <c r="J126" s="1"/>
  <c r="H125"/>
  <c r="J125" s="1"/>
  <c r="H133"/>
  <c r="J133" s="1"/>
  <c r="H112"/>
  <c r="J112" s="1"/>
  <c r="H122"/>
  <c r="J122" s="1"/>
  <c r="H110"/>
  <c r="J110" s="1"/>
  <c r="H128"/>
  <c r="J128" s="1"/>
  <c r="H109"/>
  <c r="J109" s="1"/>
  <c r="I134"/>
  <c r="K134" s="1"/>
  <c r="K137"/>
  <c r="H108"/>
  <c r="J108" s="1"/>
  <c r="H113"/>
  <c r="J113" s="1"/>
  <c r="H137"/>
  <c r="J137" s="1"/>
  <c r="H107"/>
  <c r="J107" s="1"/>
  <c r="H131"/>
  <c r="J131" s="1"/>
  <c r="H136"/>
  <c r="J136" s="1"/>
  <c r="H106"/>
  <c r="J106" s="1"/>
  <c r="H111"/>
  <c r="J111" s="1"/>
  <c r="H135"/>
  <c r="J135" s="1"/>
  <c r="H129"/>
  <c r="J129" s="1"/>
  <c r="H134"/>
  <c r="J134" s="1"/>
  <c r="H114"/>
  <c r="J114" s="1"/>
  <c r="H124"/>
  <c r="J124" s="1"/>
  <c r="M106"/>
  <c r="M108"/>
  <c r="M110"/>
  <c r="M112"/>
  <c r="M114"/>
  <c r="M120"/>
  <c r="M122"/>
  <c r="M125"/>
  <c r="M127"/>
  <c r="M129"/>
  <c r="M131"/>
  <c r="M133"/>
  <c r="M135"/>
  <c r="M137"/>
  <c r="CN126" i="2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I125" i="1" s="1"/>
  <c r="K125" s="1"/>
  <c r="CR125" i="2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I124" i="1" s="1"/>
  <c r="K124" s="1"/>
  <c r="CR124" i="2"/>
  <c r="CQ124"/>
  <c r="CP124"/>
  <c r="CO124"/>
  <c r="CN124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I122" i="1" s="1"/>
  <c r="K122" s="1"/>
  <c r="CR122" i="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I120" i="1" s="1"/>
  <c r="K120" s="1"/>
  <c r="CR120" i="2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CN106"/>
  <c r="CO106"/>
  <c r="CP106"/>
  <c r="CQ106"/>
  <c r="CR106"/>
  <c r="CV106"/>
  <c r="I106" i="1" s="1"/>
  <c r="K106" s="1"/>
  <c r="DB106" i="2"/>
  <c r="DC106"/>
  <c r="DD106"/>
  <c r="DE106"/>
  <c r="DF106"/>
  <c r="DG106"/>
  <c r="DH106"/>
  <c r="DI106"/>
  <c r="DJ106"/>
  <c r="DK106"/>
  <c r="DL106"/>
  <c r="DM106"/>
  <c r="DN106"/>
  <c r="DO106"/>
  <c r="DP106"/>
  <c r="DQ106"/>
  <c r="DR106"/>
  <c r="DS106"/>
  <c r="DT106"/>
  <c r="DU106"/>
  <c r="DV106"/>
  <c r="DW106"/>
  <c r="DX106"/>
  <c r="DY106"/>
  <c r="DZ106"/>
  <c r="EA106"/>
  <c r="EB106"/>
  <c r="EC106"/>
  <c r="ED106"/>
  <c r="EE106"/>
  <c r="EF106"/>
  <c r="EG106"/>
  <c r="EH106"/>
  <c r="EI106"/>
  <c r="EJ106"/>
  <c r="EK106"/>
  <c r="EL106"/>
  <c r="EM106"/>
  <c r="EN106"/>
  <c r="EO106"/>
  <c r="EP106"/>
  <c r="EQ106"/>
  <c r="ER106"/>
  <c r="ES106"/>
  <c r="ET106"/>
  <c r="EU106"/>
  <c r="EV106"/>
  <c r="EW106"/>
  <c r="EX106"/>
  <c r="EY106"/>
  <c r="EZ106"/>
  <c r="FA106"/>
  <c r="FB106"/>
  <c r="FC106"/>
  <c r="FD106"/>
  <c r="FE106"/>
  <c r="FF106"/>
  <c r="FG106"/>
  <c r="FH106"/>
  <c r="FI106"/>
  <c r="FJ106"/>
  <c r="FK106"/>
  <c r="FL106"/>
  <c r="FM106"/>
  <c r="FN106"/>
  <c r="FO106"/>
  <c r="FP106"/>
  <c r="FQ106"/>
  <c r="FR106"/>
  <c r="FS106"/>
  <c r="CN107"/>
  <c r="CO107"/>
  <c r="CP107"/>
  <c r="CQ107"/>
  <c r="CR107"/>
  <c r="CV107"/>
  <c r="I107" i="1" s="1"/>
  <c r="K107" s="1"/>
  <c r="DB107" i="2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FH107"/>
  <c r="FI107"/>
  <c r="FJ107"/>
  <c r="FK107"/>
  <c r="FL107"/>
  <c r="FM107"/>
  <c r="FN107"/>
  <c r="FO107"/>
  <c r="FP107"/>
  <c r="FQ107"/>
  <c r="FR107"/>
  <c r="FS107"/>
  <c r="CN108"/>
  <c r="CO108"/>
  <c r="CP108"/>
  <c r="CQ108"/>
  <c r="CR108"/>
  <c r="CV108"/>
  <c r="I108" i="1" s="1"/>
  <c r="K108" s="1"/>
  <c r="DB108" i="2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FH108"/>
  <c r="FI108"/>
  <c r="FJ108"/>
  <c r="FK108"/>
  <c r="FL108"/>
  <c r="FM108"/>
  <c r="FN108"/>
  <c r="FO108"/>
  <c r="FP108"/>
  <c r="FQ108"/>
  <c r="FR108"/>
  <c r="FS108"/>
  <c r="CN109"/>
  <c r="CO109"/>
  <c r="CP109"/>
  <c r="CQ109"/>
  <c r="CR109"/>
  <c r="CV109"/>
  <c r="I109" i="1" s="1"/>
  <c r="K109" s="1"/>
  <c r="DB109" i="2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FH109"/>
  <c r="FI109"/>
  <c r="FJ109"/>
  <c r="FK109"/>
  <c r="FL109"/>
  <c r="FM109"/>
  <c r="FN109"/>
  <c r="FO109"/>
  <c r="FP109"/>
  <c r="FQ109"/>
  <c r="FR109"/>
  <c r="FS109"/>
  <c r="CN110"/>
  <c r="CO110"/>
  <c r="CP110"/>
  <c r="CQ110"/>
  <c r="CR110"/>
  <c r="CV110"/>
  <c r="I110" i="1" s="1"/>
  <c r="K110" s="1"/>
  <c r="DB110" i="2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FH110"/>
  <c r="FI110"/>
  <c r="FJ110"/>
  <c r="FK110"/>
  <c r="FL110"/>
  <c r="FM110"/>
  <c r="FN110"/>
  <c r="FO110"/>
  <c r="FP110"/>
  <c r="FQ110"/>
  <c r="FR110"/>
  <c r="FS110"/>
  <c r="CN111"/>
  <c r="CO111"/>
  <c r="CP111"/>
  <c r="CQ111"/>
  <c r="CR111"/>
  <c r="CV111"/>
  <c r="I111" i="1" s="1"/>
  <c r="K111" s="1"/>
  <c r="DB111" i="2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FH111"/>
  <c r="FI111"/>
  <c r="FJ111"/>
  <c r="FK111"/>
  <c r="FL111"/>
  <c r="FM111"/>
  <c r="FN111"/>
  <c r="FO111"/>
  <c r="FP111"/>
  <c r="FQ111"/>
  <c r="FR111"/>
  <c r="FS111"/>
  <c r="CN112"/>
  <c r="CO112"/>
  <c r="CP112"/>
  <c r="CQ112"/>
  <c r="CR112"/>
  <c r="CV112"/>
  <c r="I112" i="1" s="1"/>
  <c r="K112" s="1"/>
  <c r="DB112" i="2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I113" i="1" s="1"/>
  <c r="K113" s="1"/>
  <c r="DB113" i="2"/>
  <c r="DC113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I114" i="1" s="1"/>
  <c r="K114" s="1"/>
  <c r="DB114" i="2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CU132" l="1"/>
  <c r="CU129"/>
  <c r="CU128"/>
  <c r="CU126"/>
  <c r="CU108"/>
  <c r="CU119"/>
  <c r="CU120"/>
  <c r="CU114"/>
  <c r="CU122"/>
  <c r="CU112"/>
  <c r="CU106"/>
  <c r="CU111"/>
  <c r="CU125"/>
  <c r="CU127"/>
  <c r="CU105"/>
  <c r="CU109"/>
  <c r="CU121"/>
  <c r="CU113"/>
  <c r="CU107"/>
  <c r="CU131"/>
  <c r="CU130"/>
  <c r="CU110"/>
  <c r="CU124"/>
  <c r="B10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22"/>
  <c r="G23"/>
  <c r="G24"/>
  <c r="G27"/>
  <c r="G42"/>
  <c r="G52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104" i="1"/>
  <c r="B103"/>
  <c r="FS104" i="2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02" i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8" i="1"/>
  <c r="J88" s="1"/>
  <c r="I88"/>
  <c r="H105"/>
  <c r="J105" s="1"/>
  <c r="I105"/>
  <c r="K105" s="1"/>
  <c r="M86"/>
  <c r="M85"/>
  <c r="M84"/>
  <c r="M83"/>
  <c r="M102"/>
  <c r="I102"/>
  <c r="M82"/>
  <c r="M81"/>
  <c r="M104"/>
  <c r="I104"/>
  <c r="K104" s="1"/>
  <c r="M80"/>
  <c r="M103"/>
  <c r="I103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102"/>
  <c r="J102" s="1"/>
  <c r="H81"/>
  <c r="J81" s="1"/>
  <c r="M89"/>
  <c r="H103"/>
  <c r="J103" s="1"/>
  <c r="H82"/>
  <c r="J82" s="1"/>
  <c r="M90"/>
  <c r="M78"/>
  <c r="H104"/>
  <c r="J104" s="1"/>
  <c r="H83"/>
  <c r="J83" s="1"/>
  <c r="H84"/>
  <c r="J84" s="1"/>
  <c r="H85"/>
  <c r="J85" s="1"/>
  <c r="H86"/>
  <c r="J86" s="1"/>
  <c r="H87"/>
  <c r="J87" s="1"/>
  <c r="M10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0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103"/>
  <c r="CU102"/>
  <c r="CU92"/>
  <c r="K102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103"/>
  <c r="K92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41"/>
  <c r="J53"/>
  <c r="J10"/>
  <c r="J52"/>
  <c r="J9"/>
  <c r="J27"/>
  <c r="J8"/>
  <c r="J38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81"/>
  <c r="CU157"/>
  <c r="CU145"/>
  <c r="CU139"/>
  <c r="CU199"/>
  <c r="CU193"/>
  <c r="CU187"/>
  <c r="CU175"/>
  <c r="CU169"/>
  <c r="CU163"/>
  <c r="CU151"/>
  <c r="CU83"/>
  <c r="CU198"/>
  <c r="CU192"/>
  <c r="CU186"/>
  <c r="CU180"/>
  <c r="CU174"/>
  <c r="CU168"/>
  <c r="CU162"/>
  <c r="CU156"/>
  <c r="CU150"/>
  <c r="CU144"/>
  <c r="CU138"/>
  <c r="CU82"/>
  <c r="CU197"/>
  <c r="CU191"/>
  <c r="CU185"/>
  <c r="CU179"/>
  <c r="CU173"/>
  <c r="CU167"/>
  <c r="CU161"/>
  <c r="CU155"/>
  <c r="CU149"/>
  <c r="CU143"/>
  <c r="CU202"/>
  <c r="CU196"/>
  <c r="CU190"/>
  <c r="CU184"/>
  <c r="CU178"/>
  <c r="CU172"/>
  <c r="CU166"/>
  <c r="CU160"/>
  <c r="CU154"/>
  <c r="CU148"/>
  <c r="CU142"/>
  <c r="CU201"/>
  <c r="CU195"/>
  <c r="CU189"/>
  <c r="CU183"/>
  <c r="CU177"/>
  <c r="CU171"/>
  <c r="CU165"/>
  <c r="CU159"/>
  <c r="CU153"/>
  <c r="CU147"/>
  <c r="CU141"/>
  <c r="CU85"/>
  <c r="CU79"/>
  <c r="CU3"/>
  <c r="CU200"/>
  <c r="CU194"/>
  <c r="CU188"/>
  <c r="CU182"/>
  <c r="CU176"/>
  <c r="CU170"/>
  <c r="CU164"/>
  <c r="CU158"/>
  <c r="CU152"/>
  <c r="CU146"/>
  <c r="CU140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88" i="2"/>
  <c r="CO188"/>
  <c r="CP188"/>
  <c r="CQ188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88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85" i="2"/>
  <c r="CO185"/>
  <c r="CP185"/>
  <c r="CQ185"/>
  <c r="CN186"/>
  <c r="CO186"/>
  <c r="CP186"/>
  <c r="CQ186"/>
  <c r="CN187"/>
  <c r="CO187"/>
  <c r="CP187"/>
  <c r="CQ187"/>
  <c r="CR187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CR185" l="1"/>
  <c r="CR186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68" i="2"/>
  <c r="CO168"/>
  <c r="CP168"/>
  <c r="CQ168"/>
  <c r="CN169"/>
  <c r="CO169"/>
  <c r="CP169"/>
  <c r="CQ169"/>
  <c r="CN170"/>
  <c r="CO170"/>
  <c r="CP170"/>
  <c r="CQ170"/>
  <c r="CN171"/>
  <c r="CO171"/>
  <c r="CP171"/>
  <c r="CQ171"/>
  <c r="CR171"/>
  <c r="CN172"/>
  <c r="CO172"/>
  <c r="CP172"/>
  <c r="CQ172"/>
  <c r="CN173"/>
  <c r="CO173"/>
  <c r="CP173"/>
  <c r="CQ173"/>
  <c r="CN174"/>
  <c r="CO174"/>
  <c r="CP174"/>
  <c r="CQ174"/>
  <c r="CR174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67" i="2"/>
  <c r="CQ167"/>
  <c r="CP167"/>
  <c r="CO167"/>
  <c r="CN167"/>
  <c r="CR173" l="1"/>
  <c r="CR168"/>
  <c r="CR170"/>
  <c r="CR172"/>
  <c r="CR169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80" i="2" l="1"/>
  <c r="I80" i="1" s="1"/>
  <c r="K80" s="1"/>
  <c r="CV63" i="2"/>
  <c r="I63" i="1" s="1"/>
  <c r="I82"/>
  <c r="K82" s="1"/>
  <c r="I79"/>
  <c r="K79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54" i="2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CR223"/>
  <c r="CQ223"/>
  <c r="CP223"/>
  <c r="CO223"/>
  <c r="CN223"/>
  <c r="CR222"/>
  <c r="CQ222"/>
  <c r="CP222"/>
  <c r="CO222"/>
  <c r="CN222"/>
  <c r="CR221"/>
  <c r="CQ221"/>
  <c r="CP221"/>
  <c r="CO221"/>
  <c r="CN221"/>
  <c r="CR220"/>
  <c r="CQ220"/>
  <c r="CP220"/>
  <c r="CO220"/>
  <c r="CN220"/>
  <c r="CR219"/>
  <c r="CQ219"/>
  <c r="CP219"/>
  <c r="CO219"/>
  <c r="CN219"/>
  <c r="CR218"/>
  <c r="CQ218"/>
  <c r="CP218"/>
  <c r="CO218"/>
  <c r="CN218"/>
  <c r="CR217"/>
  <c r="CQ217"/>
  <c r="CP217"/>
  <c r="CO217"/>
  <c r="CN217"/>
  <c r="CR216"/>
  <c r="CQ216"/>
  <c r="CP216"/>
  <c r="CO216"/>
  <c r="CN216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U209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R158"/>
  <c r="CQ158"/>
  <c r="CP158"/>
  <c r="CO158"/>
  <c r="CN158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41" i="2"/>
  <c r="CU249"/>
  <c r="CU250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05" i="2"/>
  <c r="CU206"/>
  <c r="CU207"/>
  <c r="CU208"/>
  <c r="CU225"/>
  <c r="CU213"/>
  <c r="CU221"/>
  <c r="CU223"/>
  <c r="CU224"/>
  <c r="CU217"/>
  <c r="CU218"/>
  <c r="CU229"/>
  <c r="CU237"/>
  <c r="CU239"/>
  <c r="CU240"/>
  <c r="CU233"/>
  <c r="CU234"/>
  <c r="CU245"/>
  <c r="CU253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03" i="2"/>
  <c r="CU204"/>
  <c r="CU214"/>
  <c r="CU219"/>
  <c r="CU220"/>
  <c r="CU230"/>
  <c r="CU235"/>
  <c r="CU236"/>
  <c r="CU246"/>
  <c r="CU251"/>
  <c r="CU252"/>
  <c r="G59" i="5"/>
  <c r="M59" s="1"/>
  <c r="CB59" s="1"/>
  <c r="CR3" i="2"/>
  <c r="CU211"/>
  <c r="CU212"/>
  <c r="CU222"/>
  <c r="CU227"/>
  <c r="CU228"/>
  <c r="CU238"/>
  <c r="CU243"/>
  <c r="CU244"/>
  <c r="CU254"/>
  <c r="CU210"/>
  <c r="CU215"/>
  <c r="CU216"/>
  <c r="CU226"/>
  <c r="CU231"/>
  <c r="CU232"/>
  <c r="CU242"/>
  <c r="CU247"/>
  <c r="CU248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<sst xmlns="http://schemas.openxmlformats.org/spreadsheetml/2006/main" count="3991" uniqueCount="967">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</sst>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23"/>
  <sheetViews>
    <sheetView zoomScaleNormal="100" workbookViewId="0">
      <pane xSplit="8" ySplit="2" topLeftCell="S69" activePane="bottomRight" state="frozen"/>
      <selection pane="topRight"/>
      <selection pane="bottomLeft"/>
      <selection pane="bottomRight" activeCell="H98" sqref="H98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137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 ht="15" customHeight="1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I001</v>
      </c>
      <c r="C93" s="63" t="s">
        <v>36</v>
      </c>
      <c r="D93" s="63" t="s">
        <v>76</v>
      </c>
      <c r="E93" s="66" t="s">
        <v>670</v>
      </c>
      <c r="F93" s="63"/>
      <c r="G93" s="63"/>
      <c r="H93" s="63" t="str">
        <f>VLOOKUP(LEFT(RIGHT(B93,5),4),装备!B:CU,2,FALSE)</f>
        <v>蛋黄月饼</v>
      </c>
      <c r="I93" s="63" t="str">
        <f>VLOOKUP(B93,装备!B:CV,99,FALSE)</f>
        <v>回复80%生命，解除异常状态</v>
      </c>
      <c r="J93" s="56" t="str">
        <f t="shared" ref="J93:J96" si="26">H93</f>
        <v>蛋黄月饼</v>
      </c>
      <c r="K93" s="56" t="str">
        <f t="shared" ref="K93:K96" si="27">I93</f>
        <v>回复80%生命，解除异常状态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823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843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/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I002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豆沙月饼</v>
      </c>
      <c r="I94" s="63" t="str">
        <f>VLOOKUP(B94,装备!B:CV,99,FALSE)</f>
        <v>回复70%蓝量</v>
      </c>
      <c r="J94" s="56" t="str">
        <f t="shared" si="26"/>
        <v>豆沙月饼</v>
      </c>
      <c r="K94" s="56" t="str">
        <f t="shared" si="27"/>
        <v>回复70%蓝量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843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I003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冰皮月饼</v>
      </c>
      <c r="I95" s="63" t="str">
        <f>VLOOKUP(B95,装备!B:CV,99,FALSE)</f>
        <v>攻击速度+60%，持续15秒。</v>
      </c>
      <c r="J95" s="56" t="str">
        <f t="shared" si="26"/>
        <v>冰皮月饼</v>
      </c>
      <c r="K95" s="56" t="str">
        <f t="shared" si="27"/>
        <v>攻击速度+60%，持续15秒。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843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I004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果蔬月饼</v>
      </c>
      <c r="I96" s="63" t="str">
        <f>VLOOKUP(B96,装备!B:CV,99,FALSE)</f>
        <v>法术伤害提高40%，持续15秒。</v>
      </c>
      <c r="J96" s="56" t="str">
        <f t="shared" si="26"/>
        <v>果蔬月饼</v>
      </c>
      <c r="K96" s="56" t="str">
        <f t="shared" si="27"/>
        <v>法术伤害提高40%，持续15秒。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843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I005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鲜肉月饼</v>
      </c>
      <c r="I97" s="63" t="str">
        <f>VLOOKUP(B97,装备!B:CV,99,FALSE)</f>
        <v>物理伤害提高40%，持续15秒。</v>
      </c>
      <c r="J97" s="56" t="str">
        <f t="shared" ref="J97:J98" si="28">H97</f>
        <v>鲜肉月饼</v>
      </c>
      <c r="K97" s="56" t="str">
        <f t="shared" ref="K97:K98" si="29">I97</f>
        <v>物理伤害提高40%，持续15秒。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843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I011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聚宝盆lv1</v>
      </c>
      <c r="I98" s="63" t="str">
        <f>VLOOKUP(B98,装备!B:CV,99,FALSE)</f>
        <v>聚宝盆</v>
      </c>
      <c r="J98" s="56" t="str">
        <f t="shared" si="28"/>
        <v>聚宝盆lv1</v>
      </c>
      <c r="K98" s="56" t="str">
        <f t="shared" si="29"/>
        <v>聚宝盆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843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I012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聚宝盆lv2</v>
      </c>
      <c r="I99" s="63" t="str">
        <f>VLOOKUP(B99,装备!B:CV,99,FALSE)</f>
        <v>聚宝盆</v>
      </c>
      <c r="J99" s="56" t="str">
        <f t="shared" ref="J99:J100" si="30">H99</f>
        <v>聚宝盆lv2</v>
      </c>
      <c r="K99" s="56" t="str">
        <f t="shared" ref="K99:K100" si="31">I99</f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843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I013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聚宝盆lv3</v>
      </c>
      <c r="I100" s="63" t="str">
        <f>VLOOKUP(B100,装备!B:CV,99,FALSE)</f>
        <v>聚宝盆</v>
      </c>
      <c r="J100" s="56" t="str">
        <f t="shared" si="30"/>
        <v>聚宝盆lv3</v>
      </c>
      <c r="K100" s="56" t="str">
        <f t="shared" si="31"/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843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I014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聚宝盆lv4</v>
      </c>
      <c r="I101" s="63" t="str">
        <f>VLOOKUP(B101,装备!B:CV,99,FALSE)</f>
        <v>聚宝盆</v>
      </c>
      <c r="J101" s="56" t="str">
        <f t="shared" ref="J101" si="32">H101</f>
        <v>聚宝盆lv4</v>
      </c>
      <c r="K101" s="56" t="str">
        <f t="shared" ref="K101" si="33">I101</f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843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IP01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时渊碎片</v>
      </c>
      <c r="I102" s="63" t="str">
        <f>VLOOKUP(B102,装备!B:CV,99,FALSE)</f>
        <v>进入时渊副本消耗时渊碎片</v>
      </c>
      <c r="J102" s="56" t="str">
        <f t="shared" ref="J102" si="34">H102</f>
        <v>时渊碎片</v>
      </c>
      <c r="K102" s="56" t="str">
        <f t="shared" ref="K102" si="35">I102</f>
        <v>进入时渊副本消耗时渊碎片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IP02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补天石</v>
      </c>
      <c r="I103" s="63" t="str">
        <f>VLOOKUP(B103,装备!B:CV,99,FALSE)</f>
        <v>消耗补天石，可重铸指定法宝</v>
      </c>
      <c r="J103" s="56" t="str">
        <f t="shared" ref="J103:J105" si="36">H103</f>
        <v>补天石</v>
      </c>
      <c r="K103" s="56" t="str">
        <f t="shared" ref="K103:K105" si="37">I103</f>
        <v>消耗补天石，可重铸指定法宝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IP03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鸿蒙结晶</v>
      </c>
      <c r="I104" s="63" t="str">
        <f>VLOOKUP(B104,装备!B:CV,99,FALSE)</f>
        <v>消耗鸿蒙结晶，可将指定法宝锻造为高一品阶的随机法宝。</v>
      </c>
      <c r="J104" s="56" t="str">
        <f t="shared" si="36"/>
        <v>鸿蒙结晶</v>
      </c>
      <c r="K104" s="56" t="str">
        <f t="shared" si="37"/>
        <v>消耗鸿蒙结晶，可将指定法宝锻造为高一品阶的随机法宝。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IT01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</v>
      </c>
      <c r="I105" s="63" t="str">
        <f>VLOOKUP(B105,装备!B:CV,99,FALSE)</f>
        <v>境界挑战1</v>
      </c>
      <c r="J105" s="56" t="str">
        <f t="shared" si="36"/>
        <v>境界挑战1</v>
      </c>
      <c r="K105" s="56" t="str">
        <f t="shared" si="37"/>
        <v>境界挑战1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IT02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境界挑战2</v>
      </c>
      <c r="I106" s="63" t="str">
        <f>VLOOKUP(B106,装备!B:CV,99,FALSE)</f>
        <v>境界挑战2</v>
      </c>
      <c r="J106" s="56" t="str">
        <f t="shared" ref="J106:J137" si="38">H106</f>
        <v>境界挑战2</v>
      </c>
      <c r="K106" s="56" t="str">
        <f t="shared" ref="K106:K137" si="39">I106</f>
        <v>境界挑战2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1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2000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IT03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境界挑战3</v>
      </c>
      <c r="I107" s="63" t="str">
        <f>VLOOKUP(B107,装备!B:CV,99,FALSE)</f>
        <v>境界挑战3</v>
      </c>
      <c r="J107" s="56" t="str">
        <f t="shared" si="38"/>
        <v>境界挑战3</v>
      </c>
      <c r="K107" s="56" t="str">
        <f t="shared" si="39"/>
        <v>境界挑战3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2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3000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IT04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境界挑战4</v>
      </c>
      <c r="I108" s="63" t="str">
        <f>VLOOKUP(B108,装备!B:CV,99,FALSE)</f>
        <v>境界挑战4</v>
      </c>
      <c r="J108" s="56" t="str">
        <f t="shared" si="38"/>
        <v>境界挑战4</v>
      </c>
      <c r="K108" s="56" t="str">
        <f t="shared" si="39"/>
        <v>境界挑战4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3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4000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IT05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境界挑战5</v>
      </c>
      <c r="I109" s="63" t="str">
        <f>VLOOKUP(B109,装备!B:CV,99,FALSE)</f>
        <v>境界挑战5</v>
      </c>
      <c r="J109" s="56" t="str">
        <f t="shared" si="38"/>
        <v>境界挑战5</v>
      </c>
      <c r="K109" s="56" t="str">
        <f t="shared" si="39"/>
        <v>境界挑战5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0</v>
      </c>
      <c r="Q109" s="63">
        <v>1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5000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IT06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境界挑战6</v>
      </c>
      <c r="I110" s="63" t="str">
        <f>VLOOKUP(B110,装备!B:CV,99,FALSE)</f>
        <v>境界挑战6</v>
      </c>
      <c r="J110" s="56" t="str">
        <f t="shared" si="38"/>
        <v>境界挑战6</v>
      </c>
      <c r="K110" s="56" t="str">
        <f t="shared" si="39"/>
        <v>境界挑战6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1</v>
      </c>
      <c r="Q110" s="63">
        <v>1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6000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IT07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境界挑战7</v>
      </c>
      <c r="I111" s="63" t="str">
        <f>VLOOKUP(B111,装备!B:CV,99,FALSE)</f>
        <v>境界挑战7</v>
      </c>
      <c r="J111" s="56" t="str">
        <f t="shared" si="38"/>
        <v>境界挑战7</v>
      </c>
      <c r="K111" s="56" t="str">
        <f t="shared" si="39"/>
        <v>境界挑战7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2</v>
      </c>
      <c r="Q111" s="63">
        <v>1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7000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IT08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境界挑战8</v>
      </c>
      <c r="I112" s="63" t="str">
        <f>VLOOKUP(B112,装备!B:CV,99,FALSE)</f>
        <v>境界挑战8</v>
      </c>
      <c r="J112" s="56" t="str">
        <f t="shared" si="38"/>
        <v>境界挑战8</v>
      </c>
      <c r="K112" s="56" t="str">
        <f t="shared" si="39"/>
        <v>境界挑战8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3</v>
      </c>
      <c r="Q112" s="63">
        <v>1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8000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IT09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境界挑战9</v>
      </c>
      <c r="I113" s="63" t="str">
        <f>VLOOKUP(B113,装备!B:CV,99,FALSE)</f>
        <v>境界挑战9</v>
      </c>
      <c r="J113" s="56" t="str">
        <f t="shared" si="38"/>
        <v>境界挑战9</v>
      </c>
      <c r="K113" s="56" t="str">
        <f t="shared" si="39"/>
        <v>境界挑战9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0</v>
      </c>
      <c r="Q113" s="63">
        <v>2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9000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IT10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境界挑战10</v>
      </c>
      <c r="I114" s="63" t="str">
        <f>VLOOKUP(B114,装备!B:CV,99,FALSE)</f>
        <v>境界挑战10</v>
      </c>
      <c r="J114" s="56" t="str">
        <f t="shared" si="38"/>
        <v>境界挑战10</v>
      </c>
      <c r="K114" s="56" t="str">
        <f t="shared" si="39"/>
        <v>境界挑战10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1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10000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IT11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境界挑战11</v>
      </c>
      <c r="I115" s="63" t="str">
        <f>VLOOKUP(B115,装备!B:CV,99,FALSE)</f>
        <v>境界挑战11</v>
      </c>
      <c r="J115" s="56" t="str">
        <f t="shared" ref="J115:J118" si="40">H115</f>
        <v>境界挑战11</v>
      </c>
      <c r="K115" s="56" t="str">
        <f t="shared" ref="K115:K118" si="41">I115</f>
        <v>境界挑战11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2</v>
      </c>
      <c r="Q115" s="63">
        <v>1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11000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IT12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境界挑战12</v>
      </c>
      <c r="I116" s="63" t="str">
        <f>VLOOKUP(B116,装备!B:CV,99,FALSE)</f>
        <v>境界挑战12</v>
      </c>
      <c r="J116" s="56" t="str">
        <f t="shared" si="40"/>
        <v>境界挑战12</v>
      </c>
      <c r="K116" s="56" t="str">
        <f t="shared" si="41"/>
        <v>境界挑战12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3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12000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IT13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境界挑战13</v>
      </c>
      <c r="I117" s="63" t="str">
        <f>VLOOKUP(B117,装备!B:CV,99,FALSE)</f>
        <v>境界挑战13</v>
      </c>
      <c r="J117" s="56" t="str">
        <f t="shared" si="40"/>
        <v>境界挑战13</v>
      </c>
      <c r="K117" s="56" t="str">
        <f t="shared" si="41"/>
        <v>境界挑战13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0</v>
      </c>
      <c r="Q117" s="63">
        <v>2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13000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IT14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境界挑战14</v>
      </c>
      <c r="I118" s="63" t="str">
        <f>VLOOKUP(B118,装备!B:CV,99,FALSE)</f>
        <v>境界挑战14</v>
      </c>
      <c r="J118" s="56" t="str">
        <f t="shared" si="40"/>
        <v>境界挑战14</v>
      </c>
      <c r="K118" s="56" t="str">
        <f t="shared" si="41"/>
        <v>境界挑战14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1</v>
      </c>
      <c r="Q118" s="63">
        <v>2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14000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IS01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抽技能DC</v>
      </c>
      <c r="I119" s="63" t="str">
        <f>VLOOKUP(B119,装备!B:CV,99,FALSE)</f>
        <v>抽技能DC</v>
      </c>
      <c r="J119" s="56" t="str">
        <f t="shared" si="38"/>
        <v>抽技能DC</v>
      </c>
      <c r="K119" s="56" t="str">
        <f t="shared" si="39"/>
        <v>抽技能DC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IS02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抽技能B</v>
      </c>
      <c r="I120" s="63" t="str">
        <f>VLOOKUP(B120,装备!B:CV,99,FALSE)</f>
        <v>抽技能B</v>
      </c>
      <c r="J120" s="56" t="str">
        <f t="shared" si="38"/>
        <v>抽技能B</v>
      </c>
      <c r="K120" s="56" t="str">
        <f t="shared" si="39"/>
        <v>抽技能B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IS03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抽技能A</v>
      </c>
      <c r="I121" s="63" t="str">
        <f>VLOOKUP(B121,装备!B:CV,99,FALSE)</f>
        <v>抽技能A</v>
      </c>
      <c r="J121" s="56" t="str">
        <f t="shared" si="38"/>
        <v>抽技能A</v>
      </c>
      <c r="K121" s="56" t="str">
        <f t="shared" si="39"/>
        <v>抽技能A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IS04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抽技能S</v>
      </c>
      <c r="I122" s="63" t="str">
        <f>VLOOKUP(B122,装备!B:CV,99,FALSE)</f>
        <v>抽技能S</v>
      </c>
      <c r="J122" s="56" t="str">
        <f t="shared" si="38"/>
        <v>抽技能S</v>
      </c>
      <c r="K122" s="56" t="str">
        <f t="shared" si="39"/>
        <v>抽技能S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IS11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占星</v>
      </c>
      <c r="I123" s="63" t="str">
        <f>VLOOKUP(B123,装备!B:CV,99,FALSE)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23" s="56" t="str">
        <f t="shared" ref="J123" si="42">H123</f>
        <v>占星</v>
      </c>
      <c r="K123" s="56" t="str">
        <f t="shared" ref="K123" si="43">I123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3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IH00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觉醒兽魂</v>
      </c>
      <c r="I124" s="63" t="str">
        <f>VLOOKUP(B124,装备!B:CV,99,FALSE)</f>
        <v>觉醒兽魂</v>
      </c>
      <c r="J124" s="56" t="str">
        <f t="shared" si="38"/>
        <v>觉醒兽魂</v>
      </c>
      <c r="K124" s="56" t="str">
        <f t="shared" si="39"/>
        <v>觉醒兽魂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3</v>
      </c>
      <c r="Q124" s="63">
        <v>2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IH01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兽魂1</v>
      </c>
      <c r="I125" s="63" t="str">
        <f>VLOOKUP(B125,装备!B:CV,99,FALSE)</f>
        <v>觉醒兽魂</v>
      </c>
      <c r="J125" s="56" t="str">
        <f t="shared" si="38"/>
        <v>兽魂1</v>
      </c>
      <c r="K125" s="56" t="str">
        <f t="shared" si="39"/>
        <v>觉醒兽魂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IH02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兽魂2</v>
      </c>
      <c r="I126" s="63" t="str">
        <f>VLOOKUP(B126,装备!B:CV,99,FALSE)</f>
        <v>觉醒兽魂</v>
      </c>
      <c r="J126" s="56" t="str">
        <f t="shared" si="38"/>
        <v>兽魂2</v>
      </c>
      <c r="K126" s="56" t="str">
        <f t="shared" si="39"/>
        <v>觉醒兽魂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IH03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兽魂3</v>
      </c>
      <c r="I127" s="63" t="str">
        <f>VLOOKUP(B127,装备!B:CV,99,FALSE)</f>
        <v>觉醒兽魂</v>
      </c>
      <c r="J127" s="56" t="str">
        <f t="shared" si="38"/>
        <v>兽魂3</v>
      </c>
      <c r="K127" s="56" t="str">
        <f t="shared" si="39"/>
        <v>觉醒兽魂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IH04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兽魂4</v>
      </c>
      <c r="I128" s="63" t="str">
        <f>VLOOKUP(B128,装备!B:CV,99,FALSE)</f>
        <v>觉醒兽魂</v>
      </c>
      <c r="J128" s="56" t="str">
        <f t="shared" si="38"/>
        <v>兽魂4</v>
      </c>
      <c r="K128" s="56" t="str">
        <f t="shared" si="39"/>
        <v>觉醒兽魂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836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835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IH05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兽魂5</v>
      </c>
      <c r="I129" s="63" t="str">
        <f>VLOOKUP(B129,装备!B:CV,99,FALSE)</f>
        <v>觉醒兽魂</v>
      </c>
      <c r="J129" s="56" t="str">
        <f t="shared" si="38"/>
        <v>兽魂5</v>
      </c>
      <c r="K129" s="56" t="str">
        <f t="shared" si="39"/>
        <v>觉醒兽魂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836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835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IH06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兽魂6</v>
      </c>
      <c r="I130" s="63" t="str">
        <f>VLOOKUP(B130,装备!B:CV,99,FALSE)</f>
        <v>觉醒兽魂</v>
      </c>
      <c r="J130" s="56" t="str">
        <f t="shared" si="38"/>
        <v>兽魂6</v>
      </c>
      <c r="K130" s="56" t="str">
        <f t="shared" si="39"/>
        <v>觉醒兽魂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836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835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IH07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兽魂7</v>
      </c>
      <c r="I131" s="63" t="str">
        <f>VLOOKUP(B131,装备!B:CV,99,FALSE)</f>
        <v>觉醒兽魂</v>
      </c>
      <c r="J131" s="56" t="str">
        <f t="shared" si="38"/>
        <v>兽魂7</v>
      </c>
      <c r="K131" s="56" t="str">
        <f t="shared" si="39"/>
        <v>觉醒兽魂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836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835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IH08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兽魂8</v>
      </c>
      <c r="I132" s="63" t="str">
        <f>VLOOKUP(B132,装备!B:CV,99,FALSE)</f>
        <v>觉醒兽魂</v>
      </c>
      <c r="J132" s="56" t="str">
        <f t="shared" si="38"/>
        <v>兽魂8</v>
      </c>
      <c r="K132" s="56" t="str">
        <f t="shared" si="39"/>
        <v>觉醒兽魂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836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835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IB01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入群礼包</v>
      </c>
      <c r="I133" s="63" t="str">
        <f>VLOOKUP(B133,装备!B:CV,99,FALSE)</f>
        <v>入群礼包</v>
      </c>
      <c r="J133" s="56" t="str">
        <f t="shared" si="38"/>
        <v>入群礼包</v>
      </c>
      <c r="K133" s="56" t="str">
        <f t="shared" si="39"/>
        <v>入群礼包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835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IB02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公众号礼包</v>
      </c>
      <c r="I134" s="63" t="str">
        <f>VLOOKUP(B134,装备!B:CV,99,FALSE)</f>
        <v>公众号礼包</v>
      </c>
      <c r="J134" s="56" t="str">
        <f t="shared" si="38"/>
        <v>公众号礼包</v>
      </c>
      <c r="K134" s="56" t="str">
        <f t="shared" si="39"/>
        <v>公众号礼包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835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IB03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好评礼包</v>
      </c>
      <c r="I135" s="63" t="str">
        <f>VLOOKUP(B135,装备!B:CV,99,FALSE)</f>
        <v>好评礼包</v>
      </c>
      <c r="J135" s="56" t="str">
        <f t="shared" si="38"/>
        <v>好评礼包</v>
      </c>
      <c r="K135" s="56" t="str">
        <f t="shared" si="39"/>
        <v>好评礼包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835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IB04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老铁礼包</v>
      </c>
      <c r="I136" s="63" t="str">
        <f>VLOOKUP(B136,装备!B:CV,99,FALSE)</f>
        <v>老铁礼包</v>
      </c>
      <c r="J136" s="56" t="str">
        <f t="shared" si="38"/>
        <v>老铁礼包</v>
      </c>
      <c r="K136" s="56" t="str">
        <f t="shared" si="39"/>
        <v>老铁礼包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835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IB05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工会礼包</v>
      </c>
      <c r="I137" s="63" t="str">
        <f>VLOOKUP(B137,装备!B:CV,99,FALSE)</f>
        <v>工会礼包</v>
      </c>
      <c r="J137" s="56" t="str">
        <f t="shared" si="38"/>
        <v>工会礼包</v>
      </c>
      <c r="K137" s="56" t="str">
        <f t="shared" si="39"/>
        <v>工会礼包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835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66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66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66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66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66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66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83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83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83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83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83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83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83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1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1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1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1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1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1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1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1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1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1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1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O266" s="65"/>
      <c r="P266" s="63"/>
      <c r="Q266" s="63"/>
      <c r="W266" s="63"/>
      <c r="X266" s="63"/>
      <c r="Z266" s="63"/>
      <c r="AA266" s="63"/>
      <c r="AB266" s="58"/>
      <c r="AC266" s="63"/>
      <c r="AD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56"/>
      <c r="K267" s="63"/>
      <c r="L267" s="63"/>
      <c r="M267" s="68"/>
      <c r="O267" s="65"/>
      <c r="P267" s="63"/>
      <c r="Q267" s="63"/>
      <c r="W267" s="63"/>
      <c r="X267" s="63"/>
      <c r="Z267" s="63"/>
      <c r="AA267" s="63"/>
      <c r="AB267" s="58"/>
      <c r="AC267" s="63"/>
      <c r="AD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56"/>
      <c r="K268" s="63"/>
      <c r="L268" s="63"/>
      <c r="M268" s="68"/>
      <c r="O268" s="65"/>
      <c r="P268" s="63"/>
      <c r="Q268" s="63"/>
      <c r="W268" s="63"/>
      <c r="X268" s="63"/>
      <c r="Z268" s="63"/>
      <c r="AA268" s="63"/>
      <c r="AB268" s="58"/>
      <c r="AC268" s="63"/>
      <c r="AD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56"/>
      <c r="K269" s="63"/>
      <c r="L269" s="63"/>
      <c r="M269" s="68"/>
      <c r="O269" s="65"/>
      <c r="P269" s="63"/>
      <c r="Q269" s="63"/>
      <c r="W269" s="63"/>
      <c r="X269" s="63"/>
      <c r="Z269" s="63"/>
      <c r="AA269" s="63"/>
      <c r="AB269" s="58"/>
      <c r="AC269" s="63"/>
      <c r="AD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56"/>
      <c r="K270" s="63"/>
      <c r="L270" s="63"/>
      <c r="M270" s="68"/>
      <c r="O270" s="65"/>
      <c r="P270" s="63"/>
      <c r="Q270" s="63"/>
      <c r="W270" s="63"/>
      <c r="X270" s="63"/>
      <c r="Z270" s="63"/>
      <c r="AA270" s="63"/>
      <c r="AB270" s="58"/>
      <c r="AC270" s="63"/>
      <c r="AD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56"/>
      <c r="K271" s="63"/>
      <c r="L271" s="63"/>
      <c r="M271" s="68"/>
      <c r="O271" s="65"/>
      <c r="P271" s="63"/>
      <c r="Q271" s="63"/>
      <c r="W271" s="63"/>
      <c r="X271" s="63"/>
      <c r="Z271" s="63"/>
      <c r="AA271" s="63"/>
      <c r="AB271" s="58"/>
      <c r="AC271" s="63"/>
      <c r="AD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56"/>
      <c r="K272" s="63"/>
      <c r="L272" s="63"/>
      <c r="M272" s="68"/>
      <c r="P272" s="63"/>
      <c r="Q272" s="63"/>
      <c r="W272" s="63"/>
      <c r="X272" s="63"/>
      <c r="Z272" s="63"/>
      <c r="AA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56"/>
      <c r="K273" s="63"/>
      <c r="L273" s="63"/>
      <c r="M273" s="68"/>
      <c r="P273" s="63"/>
      <c r="Q273" s="63"/>
      <c r="W273" s="63"/>
      <c r="X273" s="63"/>
      <c r="Z273" s="63"/>
      <c r="AA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56"/>
      <c r="K274" s="63"/>
      <c r="L274" s="63"/>
      <c r="M274" s="68"/>
      <c r="P274" s="63"/>
      <c r="Q274" s="63"/>
      <c r="W274" s="63"/>
      <c r="X274" s="63"/>
      <c r="Z274" s="63"/>
      <c r="AA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56"/>
      <c r="K275" s="63"/>
      <c r="L275" s="63"/>
      <c r="M275" s="68"/>
      <c r="P275" s="63"/>
      <c r="Q275" s="63"/>
      <c r="W275" s="63"/>
      <c r="X275" s="63"/>
      <c r="Z275" s="63"/>
      <c r="AA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56"/>
      <c r="K276" s="63"/>
      <c r="L276" s="63"/>
      <c r="M276" s="68"/>
      <c r="P276" s="63"/>
      <c r="Q276" s="63"/>
      <c r="W276" s="63"/>
      <c r="X276" s="63"/>
      <c r="Z276" s="63"/>
      <c r="AA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58"/>
      <c r="S283" s="58"/>
      <c r="T283" s="58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58"/>
      <c r="S284" s="58"/>
      <c r="T284" s="58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69"/>
      <c r="K285" s="58"/>
      <c r="L285" s="63"/>
      <c r="M285" s="68"/>
      <c r="O285" s="65"/>
      <c r="P285" s="63"/>
      <c r="Q285" s="63"/>
      <c r="R285" s="58"/>
      <c r="S285" s="58"/>
      <c r="T285" s="58"/>
      <c r="W285" s="58"/>
      <c r="X285" s="63"/>
      <c r="Z285" s="63"/>
      <c r="AA285" s="63"/>
      <c r="AB285" s="63"/>
      <c r="AC285" s="63"/>
      <c r="AD285" s="63"/>
      <c r="AI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69"/>
      <c r="K286" s="58"/>
      <c r="L286" s="63"/>
      <c r="M286" s="68"/>
      <c r="O286" s="65"/>
      <c r="P286" s="63"/>
      <c r="Q286" s="63"/>
      <c r="R286" s="58"/>
      <c r="S286" s="58"/>
      <c r="T286" s="58"/>
      <c r="W286" s="58"/>
      <c r="X286" s="63"/>
      <c r="Z286" s="63"/>
      <c r="AA286" s="63"/>
      <c r="AB286" s="63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69"/>
      <c r="K287" s="58"/>
      <c r="L287" s="63"/>
      <c r="M287" s="68"/>
      <c r="O287" s="65"/>
      <c r="P287" s="63"/>
      <c r="Q287" s="63"/>
      <c r="R287" s="58"/>
      <c r="S287" s="58"/>
      <c r="T287" s="58"/>
      <c r="W287" s="58"/>
      <c r="X287" s="63"/>
      <c r="Z287" s="63"/>
      <c r="AA287" s="63"/>
      <c r="AB287" s="63"/>
      <c r="AC287" s="63"/>
      <c r="AD287" s="63"/>
      <c r="AI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69"/>
      <c r="K288" s="58"/>
      <c r="L288" s="63"/>
      <c r="M288" s="68"/>
      <c r="O288" s="65"/>
      <c r="P288" s="63"/>
      <c r="Q288" s="63"/>
      <c r="R288" s="58"/>
      <c r="S288" s="58"/>
      <c r="T288" s="58"/>
      <c r="W288" s="58"/>
      <c r="X288" s="63"/>
      <c r="Z288" s="63"/>
      <c r="AA288" s="63"/>
      <c r="AB288" s="63"/>
      <c r="AC288" s="63"/>
      <c r="AD288" s="63"/>
      <c r="AI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69"/>
      <c r="K289" s="58"/>
      <c r="L289" s="63"/>
      <c r="M289" s="68"/>
      <c r="O289" s="65"/>
      <c r="P289" s="63"/>
      <c r="Q289" s="63"/>
      <c r="R289" s="58"/>
      <c r="S289" s="58"/>
      <c r="T289" s="58"/>
      <c r="W289" s="58"/>
      <c r="X289" s="63"/>
      <c r="Z289" s="63"/>
      <c r="AA289" s="63"/>
      <c r="AB289" s="63"/>
      <c r="AC289" s="63"/>
      <c r="AD289" s="63"/>
      <c r="AI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69"/>
      <c r="K290" s="58"/>
      <c r="L290" s="63"/>
      <c r="M290" s="68"/>
      <c r="O290" s="65"/>
      <c r="P290" s="63"/>
      <c r="Q290" s="63"/>
      <c r="R290" s="58"/>
      <c r="S290" s="58"/>
      <c r="T290" s="58"/>
      <c r="W290" s="58"/>
      <c r="X290" s="63"/>
      <c r="Z290" s="63"/>
      <c r="AA290" s="63"/>
      <c r="AB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69"/>
      <c r="K291" s="58"/>
      <c r="L291" s="63"/>
      <c r="M291" s="68"/>
      <c r="O291" s="65"/>
      <c r="P291" s="63"/>
      <c r="Q291" s="63"/>
      <c r="R291" s="58"/>
      <c r="S291" s="58"/>
      <c r="T291" s="58"/>
      <c r="W291" s="58"/>
      <c r="X291" s="63"/>
      <c r="Z291" s="63"/>
      <c r="AA291" s="63"/>
      <c r="AB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69"/>
      <c r="K292" s="58"/>
      <c r="L292" s="63"/>
      <c r="M292" s="68"/>
      <c r="O292" s="65"/>
      <c r="P292" s="63"/>
      <c r="Q292" s="63"/>
      <c r="R292" s="58"/>
      <c r="S292" s="58"/>
      <c r="T292" s="58"/>
      <c r="W292" s="58"/>
      <c r="X292" s="63"/>
      <c r="Z292" s="63"/>
      <c r="AA292" s="63"/>
      <c r="AB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69"/>
      <c r="K293" s="58"/>
      <c r="L293" s="63"/>
      <c r="M293" s="68"/>
      <c r="O293" s="65"/>
      <c r="P293" s="63"/>
      <c r="Q293" s="63"/>
      <c r="R293" s="63"/>
      <c r="S293" s="63"/>
      <c r="T293" s="63"/>
      <c r="W293" s="58"/>
      <c r="X293" s="63"/>
      <c r="Z293" s="63"/>
      <c r="AA293" s="63"/>
      <c r="AB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69"/>
      <c r="K294" s="58"/>
      <c r="L294" s="63"/>
      <c r="M294" s="68"/>
      <c r="O294" s="65"/>
      <c r="P294" s="63"/>
      <c r="Q294" s="63"/>
      <c r="R294" s="63"/>
      <c r="S294" s="63"/>
      <c r="T294" s="63"/>
      <c r="W294" s="58"/>
      <c r="X294" s="63"/>
      <c r="Z294" s="63"/>
      <c r="AA294" s="63"/>
      <c r="AB294" s="63"/>
      <c r="AC294" s="63"/>
      <c r="AD294" s="63"/>
      <c r="AI294" s="63"/>
      <c r="AJ294" s="63"/>
      <c r="AK294" s="63"/>
      <c r="AO294" s="63"/>
      <c r="AP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 s="57" customFormat="1">
      <c r="E303" s="66"/>
      <c r="H303" s="63"/>
      <c r="J303" s="56"/>
      <c r="AB303" s="63"/>
    </row>
    <row r="304" spans="2:42" s="57" customFormat="1">
      <c r="E304" s="66"/>
      <c r="H304" s="63"/>
      <c r="J304" s="56"/>
      <c r="AB304" s="63"/>
    </row>
    <row r="305" spans="2:42" s="57" customFormat="1">
      <c r="E305" s="66"/>
      <c r="H305" s="63"/>
      <c r="J305" s="56"/>
      <c r="AB305" s="63"/>
    </row>
    <row r="306" spans="2:42" s="57" customFormat="1">
      <c r="E306" s="66"/>
      <c r="H306" s="63"/>
      <c r="J306" s="56"/>
      <c r="AB306" s="63"/>
    </row>
    <row r="307" spans="2:42" s="57" customFormat="1">
      <c r="E307" s="66"/>
      <c r="H307" s="63"/>
      <c r="J307" s="56"/>
      <c r="AB307" s="63"/>
    </row>
    <row r="308" spans="2:42" s="57" customFormat="1">
      <c r="E308" s="66"/>
      <c r="H308" s="63"/>
      <c r="J308" s="56"/>
      <c r="AB308" s="63"/>
    </row>
    <row r="309" spans="2:42" s="57" customFormat="1">
      <c r="E309" s="66"/>
      <c r="H309" s="63"/>
      <c r="J309" s="56"/>
      <c r="AB309" s="63"/>
    </row>
    <row r="310" spans="2:42" s="57" customFormat="1">
      <c r="E310" s="66"/>
      <c r="H310" s="63"/>
      <c r="J310" s="56"/>
      <c r="AB310" s="63"/>
    </row>
    <row r="311" spans="2:42" s="57" customFormat="1">
      <c r="E311" s="66"/>
      <c r="H311" s="63"/>
      <c r="J311" s="56"/>
      <c r="AB311" s="63"/>
    </row>
    <row r="312" spans="2:42" s="57" customFormat="1">
      <c r="E312" s="66"/>
      <c r="H312" s="63"/>
      <c r="J312" s="56"/>
      <c r="AB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O313" s="65"/>
      <c r="P313" s="63"/>
      <c r="Q313" s="63"/>
      <c r="W313" s="63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I314" s="57"/>
      <c r="J314" s="56"/>
      <c r="K314" s="63"/>
      <c r="L314" s="63"/>
      <c r="M314" s="57"/>
      <c r="O314" s="65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I315" s="57"/>
      <c r="J315" s="56"/>
      <c r="K315" s="63"/>
      <c r="L315" s="63"/>
      <c r="M315" s="57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I316" s="57"/>
      <c r="J316" s="56"/>
      <c r="K316" s="63"/>
      <c r="L316" s="63"/>
      <c r="M316" s="57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I317" s="57"/>
      <c r="J317" s="57"/>
      <c r="K317" s="63"/>
      <c r="L317" s="63"/>
      <c r="M317" s="57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I318" s="57"/>
      <c r="J318" s="57"/>
      <c r="K318" s="63"/>
      <c r="L318" s="63"/>
      <c r="M318" s="57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I319" s="57"/>
      <c r="J319" s="57"/>
      <c r="K319" s="63"/>
      <c r="L319" s="63"/>
      <c r="M319" s="57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I320" s="57"/>
      <c r="J320" s="58"/>
      <c r="K320" s="63"/>
      <c r="L320" s="63"/>
      <c r="M320" s="57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I321" s="57"/>
      <c r="J321" s="58"/>
      <c r="K321" s="63"/>
      <c r="L321" s="63"/>
      <c r="M321" s="57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68"/>
      <c r="O322" s="65"/>
      <c r="P322" s="63"/>
      <c r="Q322" s="63"/>
      <c r="W322" s="58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68"/>
      <c r="O323" s="65"/>
      <c r="P323" s="63"/>
      <c r="Q323" s="63"/>
      <c r="W323" s="58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M327" s="70"/>
      <c r="O327" s="65"/>
      <c r="P327" s="63"/>
      <c r="Q327" s="63"/>
      <c r="W327" s="63"/>
      <c r="X327" s="63"/>
      <c r="Z327" s="63"/>
      <c r="AA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70"/>
      <c r="O328" s="65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70"/>
      <c r="O329" s="65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70"/>
      <c r="O330" s="65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M331" s="70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M332" s="70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M333" s="70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7"/>
      <c r="C334" s="63"/>
      <c r="D334" s="63"/>
      <c r="E334" s="66"/>
      <c r="H334" s="63"/>
      <c r="J334" s="56"/>
      <c r="K334" s="63"/>
      <c r="L334" s="63"/>
      <c r="M334" s="70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7"/>
      <c r="C335" s="63"/>
      <c r="D335" s="63"/>
      <c r="E335" s="66"/>
      <c r="H335" s="63"/>
      <c r="J335" s="56"/>
      <c r="K335" s="63"/>
      <c r="L335" s="63"/>
      <c r="M335" s="70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7"/>
      <c r="C336" s="63"/>
      <c r="D336" s="63"/>
      <c r="E336" s="66"/>
      <c r="H336" s="63"/>
      <c r="J336" s="56"/>
      <c r="K336" s="63"/>
      <c r="L336" s="63"/>
      <c r="M336" s="70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68"/>
      <c r="O337" s="65"/>
      <c r="P337" s="63"/>
      <c r="Q337" s="63"/>
      <c r="W337" s="58"/>
      <c r="X337" s="63"/>
      <c r="Z337" s="63"/>
      <c r="AA337" s="63"/>
      <c r="AC337" s="63"/>
      <c r="AD337" s="63"/>
      <c r="AJ337" s="63"/>
      <c r="AK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M338" s="68"/>
      <c r="O338" s="65"/>
      <c r="P338" s="63"/>
      <c r="Q338" s="63"/>
      <c r="W338" s="58"/>
      <c r="X338" s="63"/>
      <c r="Z338" s="63"/>
      <c r="AA338" s="63"/>
      <c r="AC338" s="63"/>
      <c r="AD338" s="63"/>
      <c r="AJ338" s="63"/>
      <c r="AK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M339" s="68"/>
      <c r="O339" s="65"/>
      <c r="P339" s="63"/>
      <c r="Q339" s="63"/>
      <c r="W339" s="58"/>
      <c r="X339" s="63"/>
      <c r="Z339" s="63"/>
      <c r="AA339" s="63"/>
      <c r="AC339" s="63"/>
      <c r="AD339" s="63"/>
      <c r="AJ339" s="63"/>
      <c r="AK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J340" s="63"/>
      <c r="AK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P341" s="63"/>
      <c r="Q341" s="63"/>
      <c r="W341" s="58"/>
      <c r="X341" s="63"/>
      <c r="Z341" s="63"/>
      <c r="AA341" s="63"/>
      <c r="AC341" s="63"/>
      <c r="AD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/>
      <c r="O368" s="65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/>
      <c r="O369" s="65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/>
      <c r="O370" s="65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/>
      <c r="O371" s="65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58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58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58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M388" s="71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M389" s="71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M390" s="71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M391" s="71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M392" s="71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M393" s="71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M394" s="71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M395" s="71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7"/>
      <c r="C407" s="63"/>
      <c r="D407" s="63"/>
      <c r="E407" s="66"/>
      <c r="H407" s="63"/>
      <c r="I407" s="57"/>
      <c r="J407" s="56"/>
      <c r="K407" s="63"/>
      <c r="L407" s="63"/>
      <c r="M407" s="71"/>
      <c r="O407" s="65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7"/>
      <c r="C408" s="63"/>
      <c r="D408" s="63"/>
      <c r="E408" s="66"/>
      <c r="H408" s="63"/>
      <c r="I408" s="57"/>
      <c r="J408" s="56"/>
      <c r="K408" s="63"/>
      <c r="L408" s="63"/>
      <c r="M408" s="71"/>
      <c r="O408" s="65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7"/>
      <c r="C409" s="63"/>
      <c r="D409" s="63"/>
      <c r="E409" s="66"/>
      <c r="H409" s="63"/>
      <c r="I409" s="57"/>
      <c r="J409" s="56"/>
      <c r="K409" s="63"/>
      <c r="L409" s="63"/>
      <c r="M409" s="71"/>
      <c r="O409" s="65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7"/>
      <c r="C410" s="63"/>
      <c r="D410" s="63"/>
      <c r="E410" s="66"/>
      <c r="H410" s="63"/>
      <c r="I410" s="57"/>
      <c r="J410" s="56"/>
      <c r="K410" s="63"/>
      <c r="L410" s="63"/>
      <c r="M410" s="71"/>
      <c r="O410" s="65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7"/>
      <c r="C411" s="63"/>
      <c r="D411" s="63"/>
      <c r="E411" s="66"/>
      <c r="H411" s="63"/>
      <c r="I411" s="57"/>
      <c r="J411" s="56"/>
      <c r="K411" s="63"/>
      <c r="L411" s="63"/>
      <c r="M411" s="71"/>
      <c r="O411" s="65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7"/>
      <c r="C412" s="63"/>
      <c r="D412" s="63"/>
      <c r="E412" s="66"/>
      <c r="H412" s="63"/>
      <c r="I412" s="57"/>
      <c r="J412" s="56"/>
      <c r="K412" s="63"/>
      <c r="L412" s="63"/>
      <c r="M412" s="71"/>
      <c r="O412" s="65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7"/>
      <c r="C413" s="63"/>
      <c r="D413" s="63"/>
      <c r="E413" s="66"/>
      <c r="H413" s="63"/>
      <c r="I413" s="57"/>
      <c r="J413" s="56"/>
      <c r="K413" s="63"/>
      <c r="L413" s="63"/>
      <c r="M413" s="71"/>
      <c r="O413" s="65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7"/>
      <c r="C414" s="63"/>
      <c r="D414" s="63"/>
      <c r="E414" s="66"/>
      <c r="H414" s="63"/>
      <c r="I414" s="57"/>
      <c r="J414" s="56"/>
      <c r="K414" s="63"/>
      <c r="L414" s="63"/>
      <c r="M414" s="71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7"/>
      <c r="C415" s="63"/>
      <c r="D415" s="63"/>
      <c r="E415" s="66"/>
      <c r="H415" s="63"/>
      <c r="I415" s="57"/>
      <c r="J415" s="56"/>
      <c r="K415" s="63"/>
      <c r="L415" s="63"/>
      <c r="M415" s="71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O418" s="65"/>
      <c r="P418" s="63"/>
      <c r="Q418" s="63"/>
      <c r="W418" s="58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O419" s="65"/>
      <c r="P419" s="63"/>
      <c r="Q419" s="63"/>
      <c r="W419" s="58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O420" s="65"/>
      <c r="P420" s="63"/>
      <c r="Q420" s="63"/>
      <c r="W420" s="58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L421" s="63"/>
      <c r="O421" s="65"/>
      <c r="P421" s="63"/>
      <c r="Q421" s="63"/>
      <c r="W421" s="58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L422" s="63"/>
      <c r="O422" s="65"/>
      <c r="P422" s="63"/>
      <c r="Q422" s="63"/>
      <c r="W422" s="58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L423" s="63"/>
      <c r="O423" s="65"/>
      <c r="P423" s="63"/>
      <c r="Q423" s="63"/>
      <c r="W423" s="58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L424" s="63"/>
      <c r="O424" s="65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L425" s="63"/>
      <c r="O425" s="65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L426" s="63"/>
      <c r="O426" s="65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L427" s="63"/>
      <c r="O427" s="65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N428" s="58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N429" s="58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N430" s="58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N431" s="58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 s="59" customFormat="1">
      <c r="B432" s="72"/>
      <c r="C432" s="73"/>
      <c r="D432" s="73"/>
      <c r="E432" s="66"/>
      <c r="H432" s="63"/>
      <c r="I432" s="73"/>
      <c r="J432" s="74"/>
      <c r="K432" s="73"/>
      <c r="L432" s="73"/>
      <c r="M432" s="68"/>
      <c r="P432" s="73"/>
      <c r="Q432" s="73"/>
      <c r="W432" s="73"/>
      <c r="X432" s="73"/>
      <c r="Z432" s="73"/>
      <c r="AA432" s="63"/>
      <c r="AC432" s="73"/>
      <c r="AD432" s="73"/>
      <c r="AI432" s="73"/>
      <c r="AJ432" s="73"/>
      <c r="AK432" s="73"/>
      <c r="AN432" s="72"/>
      <c r="AO432" s="73"/>
      <c r="AP432" s="73"/>
    </row>
    <row r="433" spans="2:42" s="59" customFormat="1">
      <c r="B433" s="72"/>
      <c r="C433" s="73"/>
      <c r="D433" s="73"/>
      <c r="E433" s="66"/>
      <c r="H433" s="63"/>
      <c r="I433" s="73"/>
      <c r="J433" s="74"/>
      <c r="K433" s="73"/>
      <c r="L433" s="73"/>
      <c r="M433" s="68"/>
      <c r="P433" s="73"/>
      <c r="Q433" s="73"/>
      <c r="W433" s="73"/>
      <c r="X433" s="73"/>
      <c r="Z433" s="73"/>
      <c r="AA433" s="63"/>
      <c r="AC433" s="73"/>
      <c r="AD433" s="73"/>
      <c r="AI433" s="73"/>
      <c r="AJ433" s="73"/>
      <c r="AK433" s="73"/>
      <c r="AN433" s="72"/>
      <c r="AO433" s="73"/>
      <c r="AP433" s="7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63"/>
      <c r="J443" s="56"/>
      <c r="K443" s="63"/>
      <c r="L443" s="63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63"/>
      <c r="J444" s="56"/>
      <c r="K444" s="63"/>
      <c r="L444" s="63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63"/>
      <c r="J445" s="56"/>
      <c r="K445" s="63"/>
      <c r="L445" s="63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57"/>
      <c r="J453" s="56"/>
      <c r="K453" s="63"/>
      <c r="L453" s="63"/>
      <c r="P453" s="63"/>
      <c r="Q453" s="63"/>
      <c r="V453" s="63"/>
      <c r="W453" s="58"/>
      <c r="X453" s="63"/>
      <c r="Z453" s="63"/>
      <c r="AA453" s="63"/>
      <c r="AB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56"/>
      <c r="J454" s="56"/>
      <c r="K454" s="63"/>
      <c r="L454" s="63"/>
      <c r="P454" s="63"/>
      <c r="Q454" s="63"/>
      <c r="V454" s="63"/>
      <c r="W454" s="58"/>
      <c r="X454" s="63"/>
      <c r="Z454" s="63"/>
      <c r="AA454" s="63"/>
      <c r="AB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56"/>
      <c r="J455" s="56"/>
      <c r="K455" s="63"/>
      <c r="L455" s="63"/>
      <c r="P455" s="63"/>
      <c r="Q455" s="63"/>
      <c r="V455" s="63"/>
      <c r="W455" s="58"/>
      <c r="X455" s="63"/>
      <c r="Z455" s="63"/>
      <c r="AA455" s="63"/>
      <c r="AB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56"/>
      <c r="J456" s="56"/>
      <c r="K456" s="63"/>
      <c r="L456" s="63"/>
      <c r="P456" s="63"/>
      <c r="Q456" s="63"/>
      <c r="V456" s="63"/>
      <c r="W456" s="58"/>
      <c r="X456" s="63"/>
      <c r="Z456" s="63"/>
      <c r="AA456" s="63"/>
      <c r="AB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56"/>
      <c r="J457" s="56"/>
      <c r="K457" s="63"/>
      <c r="L457" s="63"/>
      <c r="P457" s="63"/>
      <c r="Q457" s="63"/>
      <c r="V457" s="63"/>
      <c r="W457" s="58"/>
      <c r="X457" s="63"/>
      <c r="Z457" s="63"/>
      <c r="AA457" s="63"/>
      <c r="AB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56"/>
      <c r="J458" s="56"/>
      <c r="K458" s="63"/>
      <c r="L458" s="63"/>
      <c r="P458" s="63"/>
      <c r="Q458" s="63"/>
      <c r="V458" s="63"/>
      <c r="W458" s="58"/>
      <c r="X458" s="63"/>
      <c r="Z458" s="63"/>
      <c r="AA458" s="63"/>
      <c r="AB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56"/>
      <c r="J459" s="56"/>
      <c r="K459" s="63"/>
      <c r="L459" s="63"/>
      <c r="P459" s="63"/>
      <c r="Q459" s="63"/>
      <c r="V459" s="63"/>
      <c r="W459" s="58"/>
      <c r="X459" s="63"/>
      <c r="Z459" s="63"/>
      <c r="AA459" s="63"/>
      <c r="AB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56"/>
      <c r="J460" s="56"/>
      <c r="K460" s="63"/>
      <c r="L460" s="63"/>
      <c r="P460" s="63"/>
      <c r="Q460" s="63"/>
      <c r="V460" s="63"/>
      <c r="W460" s="58"/>
      <c r="X460" s="63"/>
      <c r="Z460" s="63"/>
      <c r="AA460" s="63"/>
      <c r="AB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56"/>
      <c r="J461" s="56"/>
      <c r="K461" s="63"/>
      <c r="L461" s="63"/>
      <c r="P461" s="63"/>
      <c r="Q461" s="63"/>
      <c r="V461" s="63"/>
      <c r="W461" s="58"/>
      <c r="X461" s="63"/>
      <c r="Z461" s="63"/>
      <c r="AA461" s="63"/>
      <c r="AB461" s="63"/>
      <c r="AC461" s="63"/>
      <c r="AD461" s="63"/>
      <c r="AI461" s="63"/>
      <c r="AJ461" s="63"/>
      <c r="AK461" s="63"/>
      <c r="AO461" s="63"/>
      <c r="AP461" s="63"/>
    </row>
    <row r="462" spans="2:42">
      <c r="B462" s="63"/>
      <c r="C462" s="63"/>
      <c r="D462" s="63"/>
      <c r="E462" s="66"/>
      <c r="F462" s="63"/>
      <c r="G462" s="63"/>
      <c r="H462" s="63"/>
      <c r="I462" s="63"/>
      <c r="J462" s="56"/>
      <c r="K462" s="56"/>
      <c r="L462" s="63"/>
      <c r="M462" s="65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</row>
    <row r="463" spans="2:42">
      <c r="B463" s="63"/>
      <c r="C463" s="63"/>
      <c r="D463" s="63"/>
      <c r="E463" s="66"/>
      <c r="F463" s="63"/>
      <c r="G463" s="63"/>
      <c r="H463" s="63"/>
      <c r="I463" s="63"/>
      <c r="J463" s="56"/>
      <c r="K463" s="56"/>
      <c r="L463" s="63"/>
      <c r="M463" s="65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</row>
    <row r="464" spans="2:42">
      <c r="B464" s="63"/>
      <c r="C464" s="63"/>
      <c r="D464" s="63"/>
      <c r="E464" s="66"/>
      <c r="F464" s="63"/>
      <c r="G464" s="63"/>
      <c r="H464" s="63"/>
      <c r="I464" s="63"/>
      <c r="J464" s="56"/>
      <c r="K464" s="56"/>
      <c r="L464" s="63"/>
      <c r="M464" s="65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</row>
    <row r="465" spans="2:42">
      <c r="B465" s="63"/>
      <c r="C465" s="63"/>
      <c r="D465" s="63"/>
      <c r="E465" s="66"/>
      <c r="F465" s="63"/>
      <c r="G465" s="63"/>
      <c r="H465" s="63"/>
      <c r="I465" s="63"/>
      <c r="J465" s="56"/>
      <c r="K465" s="56"/>
      <c r="L465" s="63"/>
      <c r="M465" s="65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</row>
    <row r="466" spans="2:42">
      <c r="B466" s="63"/>
      <c r="C466" s="63"/>
      <c r="D466" s="63"/>
      <c r="E466" s="66"/>
      <c r="F466" s="63"/>
      <c r="G466" s="63"/>
      <c r="H466" s="63"/>
      <c r="I466" s="63"/>
      <c r="J466" s="56"/>
      <c r="K466" s="56"/>
      <c r="L466" s="63"/>
      <c r="M466" s="65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</row>
    <row r="467" spans="2:42">
      <c r="B467" s="63"/>
      <c r="C467" s="63"/>
      <c r="D467" s="63"/>
      <c r="E467" s="66"/>
      <c r="F467" s="63"/>
      <c r="G467" s="63"/>
      <c r="H467" s="63"/>
      <c r="I467" s="63"/>
      <c r="J467" s="56"/>
      <c r="K467" s="56"/>
      <c r="L467" s="63"/>
      <c r="M467" s="65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</row>
    <row r="468" spans="2:42">
      <c r="B468" s="63"/>
      <c r="C468" s="63"/>
      <c r="D468" s="63"/>
      <c r="E468" s="66"/>
      <c r="F468" s="63"/>
      <c r="G468" s="63"/>
      <c r="H468" s="63"/>
      <c r="I468" s="63"/>
      <c r="J468" s="56"/>
      <c r="K468" s="56"/>
      <c r="L468" s="63"/>
      <c r="M468" s="65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</row>
    <row r="469" spans="2:42">
      <c r="B469" s="63"/>
      <c r="C469" s="63"/>
      <c r="D469" s="63"/>
      <c r="E469" s="66"/>
      <c r="H469" s="63"/>
      <c r="I469" s="56"/>
      <c r="J469" s="56"/>
      <c r="K469" s="63"/>
      <c r="L469" s="63"/>
      <c r="M469" s="75"/>
      <c r="O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56"/>
      <c r="J470" s="56"/>
      <c r="K470" s="63"/>
      <c r="L470" s="63"/>
      <c r="M470" s="75"/>
      <c r="O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56"/>
      <c r="J471" s="56"/>
      <c r="K471" s="63"/>
      <c r="L471" s="63"/>
      <c r="M471" s="76"/>
      <c r="O471" s="63"/>
      <c r="P471" s="63"/>
      <c r="Q471" s="63"/>
      <c r="W471" s="63"/>
      <c r="X471" s="63"/>
      <c r="Z471" s="63"/>
      <c r="AA471" s="63"/>
      <c r="AC471" s="63"/>
      <c r="AD471" s="63"/>
      <c r="AI471" s="58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56"/>
      <c r="J472" s="56"/>
      <c r="K472" s="63"/>
      <c r="L472" s="63"/>
      <c r="M472" s="75"/>
      <c r="O472" s="63"/>
      <c r="P472" s="63"/>
      <c r="Q472" s="63"/>
      <c r="W472" s="63"/>
      <c r="X472" s="63"/>
      <c r="Z472" s="63"/>
      <c r="AA472" s="63"/>
      <c r="AC472" s="63"/>
      <c r="AD472" s="63"/>
      <c r="AI472" s="58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56"/>
      <c r="J473" s="56"/>
      <c r="K473" s="63"/>
      <c r="L473" s="63"/>
      <c r="M473" s="75"/>
      <c r="O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5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5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5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5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5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5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6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6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6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6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6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6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6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6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6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6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M515" s="75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V524" s="63"/>
      <c r="W524" s="58"/>
      <c r="X524" s="63"/>
      <c r="Z524" s="63"/>
      <c r="AA524" s="63"/>
      <c r="AC524" s="63"/>
      <c r="AD524" s="63"/>
      <c r="AJ524" s="63"/>
      <c r="AK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V525" s="63"/>
      <c r="W525" s="58"/>
      <c r="X525" s="63"/>
      <c r="Z525" s="63"/>
      <c r="AA525" s="63"/>
      <c r="AB525" s="63"/>
      <c r="AC525" s="63"/>
      <c r="AD525" s="63"/>
      <c r="AJ525" s="63"/>
      <c r="AK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7"/>
      <c r="O526" s="62"/>
      <c r="P526" s="63"/>
      <c r="Q526" s="63"/>
      <c r="V526" s="63"/>
      <c r="W526" s="58"/>
      <c r="X526" s="63"/>
      <c r="Z526" s="63"/>
      <c r="AA526" s="63"/>
      <c r="AB526" s="63"/>
      <c r="AC526" s="63"/>
      <c r="AD526" s="63"/>
      <c r="AJ526" s="63"/>
      <c r="AK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7"/>
      <c r="O527" s="62"/>
      <c r="P527" s="63"/>
      <c r="Q527" s="63"/>
      <c r="V527" s="63"/>
      <c r="W527" s="58"/>
      <c r="X527" s="63"/>
      <c r="Z527" s="63"/>
      <c r="AA527" s="63"/>
      <c r="AB527" s="63"/>
      <c r="AC527" s="63"/>
      <c r="AD527" s="63"/>
      <c r="AJ527" s="63"/>
      <c r="AK527" s="63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V528" s="78"/>
      <c r="W528" s="82"/>
      <c r="X528" s="78"/>
      <c r="Z528" s="78"/>
      <c r="AA528" s="78"/>
      <c r="AC528" s="78"/>
      <c r="AD528" s="78"/>
      <c r="AJ528" s="78"/>
      <c r="AK528" s="78"/>
      <c r="AN528" s="82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V529" s="78"/>
      <c r="W529" s="82"/>
      <c r="X529" s="78"/>
      <c r="Z529" s="78"/>
      <c r="AA529" s="78"/>
      <c r="AC529" s="78"/>
      <c r="AD529" s="78"/>
      <c r="AJ529" s="78"/>
      <c r="AK529" s="78"/>
      <c r="AN529" s="82"/>
    </row>
    <row r="530" spans="2:42" s="60" customFormat="1">
      <c r="B530" s="78"/>
      <c r="C530" s="78"/>
      <c r="D530" s="78"/>
      <c r="E530" s="66"/>
      <c r="H530" s="63"/>
      <c r="I530" s="78"/>
      <c r="J530" s="79"/>
      <c r="K530" s="78"/>
      <c r="L530" s="78"/>
      <c r="M530" s="80"/>
      <c r="O530" s="81"/>
      <c r="P530" s="78"/>
      <c r="Q530" s="78"/>
      <c r="V530" s="78"/>
      <c r="W530" s="82"/>
      <c r="X530" s="78"/>
      <c r="Z530" s="78"/>
      <c r="AA530" s="78"/>
      <c r="AC530" s="78"/>
      <c r="AD530" s="78"/>
      <c r="AJ530" s="78"/>
      <c r="AK530" s="78"/>
      <c r="AN530" s="82"/>
    </row>
    <row r="531" spans="2:42" s="60" customFormat="1">
      <c r="B531" s="78"/>
      <c r="C531" s="78"/>
      <c r="D531" s="78"/>
      <c r="E531" s="66"/>
      <c r="H531" s="63"/>
      <c r="I531" s="78"/>
      <c r="J531" s="79"/>
      <c r="K531" s="78"/>
      <c r="L531" s="78"/>
      <c r="M531" s="80"/>
      <c r="O531" s="81"/>
      <c r="P531" s="78"/>
      <c r="Q531" s="78"/>
      <c r="V531" s="78"/>
      <c r="W531" s="82"/>
      <c r="X531" s="78"/>
      <c r="Z531" s="78"/>
      <c r="AA531" s="78"/>
      <c r="AC531" s="78"/>
      <c r="AD531" s="78"/>
      <c r="AJ531" s="78"/>
      <c r="AK531" s="78"/>
      <c r="AN531" s="82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7"/>
      <c r="O532" s="62"/>
      <c r="P532" s="63"/>
      <c r="Q532" s="63"/>
      <c r="W532" s="63"/>
      <c r="X532" s="63"/>
      <c r="Z532" s="63"/>
      <c r="AA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7"/>
      <c r="O533" s="62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7"/>
      <c r="O534" s="62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7"/>
      <c r="O535" s="62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 s="60" customFormat="1">
      <c r="B536" s="78"/>
      <c r="C536" s="78"/>
      <c r="D536" s="78"/>
      <c r="E536" s="66"/>
      <c r="H536" s="63"/>
      <c r="I536" s="78"/>
      <c r="J536" s="79"/>
      <c r="K536" s="78"/>
      <c r="L536" s="78"/>
      <c r="M536" s="80"/>
      <c r="O536" s="81"/>
      <c r="P536" s="78"/>
      <c r="Q536" s="78"/>
      <c r="W536" s="78"/>
      <c r="X536" s="78"/>
      <c r="Z536" s="78"/>
      <c r="AA536" s="78"/>
      <c r="AC536" s="78"/>
      <c r="AD536" s="78"/>
      <c r="AJ536" s="78"/>
      <c r="AK536" s="78"/>
      <c r="AN536" s="82"/>
      <c r="AO536" s="78"/>
      <c r="AP536" s="78"/>
    </row>
    <row r="537" spans="2:42" s="60" customFormat="1">
      <c r="B537" s="78"/>
      <c r="C537" s="78"/>
      <c r="D537" s="78"/>
      <c r="E537" s="66"/>
      <c r="H537" s="63"/>
      <c r="I537" s="78"/>
      <c r="J537" s="79"/>
      <c r="K537" s="78"/>
      <c r="L537" s="78"/>
      <c r="M537" s="80"/>
      <c r="O537" s="81"/>
      <c r="P537" s="78"/>
      <c r="Q537" s="78"/>
      <c r="W537" s="78"/>
      <c r="X537" s="78"/>
      <c r="Z537" s="78"/>
      <c r="AA537" s="78"/>
      <c r="AC537" s="78"/>
      <c r="AD537" s="78"/>
      <c r="AJ537" s="78"/>
      <c r="AK537" s="78"/>
      <c r="AN537" s="82"/>
      <c r="AO537" s="78"/>
      <c r="AP537" s="78"/>
    </row>
    <row r="538" spans="2:42" s="60" customFormat="1">
      <c r="B538" s="78"/>
      <c r="C538" s="78"/>
      <c r="D538" s="78"/>
      <c r="E538" s="66"/>
      <c r="H538" s="63"/>
      <c r="I538" s="78"/>
      <c r="J538" s="79"/>
      <c r="K538" s="78"/>
      <c r="L538" s="78"/>
      <c r="M538" s="80"/>
      <c r="O538" s="81"/>
      <c r="P538" s="78"/>
      <c r="Q538" s="78"/>
      <c r="W538" s="78"/>
      <c r="X538" s="78"/>
      <c r="Z538" s="78"/>
      <c r="AA538" s="78"/>
      <c r="AC538" s="78"/>
      <c r="AD538" s="78"/>
      <c r="AJ538" s="78"/>
      <c r="AK538" s="78"/>
      <c r="AN538" s="82"/>
      <c r="AO538" s="78"/>
      <c r="AP538" s="78"/>
    </row>
    <row r="539" spans="2:42" s="60" customFormat="1">
      <c r="B539" s="78"/>
      <c r="C539" s="78"/>
      <c r="D539" s="78"/>
      <c r="E539" s="66"/>
      <c r="H539" s="63"/>
      <c r="I539" s="78"/>
      <c r="J539" s="79"/>
      <c r="K539" s="78"/>
      <c r="L539" s="78"/>
      <c r="M539" s="80"/>
      <c r="O539" s="81"/>
      <c r="P539" s="78"/>
      <c r="Q539" s="78"/>
      <c r="W539" s="78"/>
      <c r="X539" s="78"/>
      <c r="Z539" s="78"/>
      <c r="AA539" s="78"/>
      <c r="AC539" s="78"/>
      <c r="AD539" s="78"/>
      <c r="AJ539" s="78"/>
      <c r="AK539" s="78"/>
      <c r="AN539" s="82"/>
      <c r="AO539" s="78"/>
      <c r="AP539" s="78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65"/>
      <c r="O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65"/>
      <c r="O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65"/>
      <c r="O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65"/>
      <c r="O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65"/>
      <c r="O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65"/>
      <c r="O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65"/>
      <c r="O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65"/>
      <c r="O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65"/>
      <c r="O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56"/>
      <c r="C554" s="63"/>
      <c r="D554" s="63"/>
      <c r="E554" s="66"/>
      <c r="H554" s="63"/>
      <c r="I554" s="56"/>
      <c r="J554" s="56"/>
      <c r="K554" s="63"/>
      <c r="L554" s="63"/>
      <c r="M554" s="65"/>
      <c r="O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O555" s="62"/>
      <c r="P555" s="63"/>
      <c r="Q555" s="63"/>
      <c r="V555" s="63"/>
      <c r="W555" s="58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W556" s="63"/>
      <c r="X556" s="63"/>
      <c r="Z556" s="63"/>
      <c r="AA556" s="63"/>
      <c r="AC556" s="63"/>
      <c r="AD556" s="63"/>
      <c r="AI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W557" s="63"/>
      <c r="X557" s="63"/>
      <c r="Z557" s="63"/>
      <c r="AA557" s="63"/>
      <c r="AC557" s="63"/>
      <c r="AD557" s="63"/>
      <c r="AI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P565" s="63"/>
      <c r="Q565" s="63"/>
      <c r="R565" s="58"/>
      <c r="S565" s="58"/>
      <c r="T565" s="58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P566" s="63"/>
      <c r="Q566" s="63"/>
      <c r="R566" s="58"/>
      <c r="S566" s="58"/>
      <c r="T566" s="58"/>
      <c r="W566" s="63"/>
      <c r="X566" s="63"/>
      <c r="Z566" s="63"/>
      <c r="AA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P567" s="63"/>
      <c r="Q567" s="63"/>
      <c r="R567" s="58"/>
      <c r="S567" s="58"/>
      <c r="T567" s="58"/>
      <c r="W567" s="63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P568" s="63"/>
      <c r="Q568" s="63"/>
      <c r="R568" s="58"/>
      <c r="S568" s="58"/>
      <c r="T568" s="58"/>
      <c r="W568" s="63"/>
      <c r="X568" s="63"/>
      <c r="Z568" s="63"/>
      <c r="AA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P569" s="63"/>
      <c r="Q569" s="63"/>
      <c r="R569" s="58"/>
      <c r="S569" s="58"/>
      <c r="T569" s="58"/>
      <c r="W569" s="63"/>
      <c r="X569" s="63"/>
      <c r="Z569" s="63"/>
      <c r="AA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P570" s="63"/>
      <c r="Q570" s="63"/>
      <c r="R570" s="58"/>
      <c r="S570" s="58"/>
      <c r="T570" s="58"/>
      <c r="W570" s="63"/>
      <c r="X570" s="63"/>
      <c r="Z570" s="63"/>
      <c r="AA570" s="63"/>
      <c r="AC570" s="63"/>
      <c r="AD570" s="63"/>
      <c r="AJ570" s="63"/>
      <c r="AK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P571" s="63"/>
      <c r="Q571" s="63"/>
      <c r="R571" s="58"/>
      <c r="S571" s="58"/>
      <c r="T571" s="58"/>
      <c r="W571" s="63"/>
      <c r="X571" s="63"/>
      <c r="Z571" s="63"/>
      <c r="AA571" s="63"/>
      <c r="AC571" s="63"/>
      <c r="AD571" s="63"/>
      <c r="AJ571" s="63"/>
      <c r="AK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P572" s="63"/>
      <c r="Q572" s="63"/>
      <c r="R572" s="58"/>
      <c r="S572" s="58"/>
      <c r="T572" s="58"/>
      <c r="W572" s="63"/>
      <c r="X572" s="63"/>
      <c r="Z572" s="63"/>
      <c r="AA572" s="63"/>
      <c r="AC572" s="63"/>
      <c r="AD572" s="63"/>
      <c r="AJ572" s="63"/>
      <c r="AK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P573" s="63"/>
      <c r="Q573" s="63"/>
      <c r="R573" s="58"/>
      <c r="S573" s="58"/>
      <c r="T573" s="58"/>
      <c r="W573" s="63"/>
      <c r="X573" s="63"/>
      <c r="Z573" s="63"/>
      <c r="AA573" s="63"/>
      <c r="AC573" s="63"/>
      <c r="AD573" s="63"/>
      <c r="AJ573" s="63"/>
      <c r="AK573" s="63"/>
    </row>
    <row r="574" spans="2:42">
      <c r="B574" s="63"/>
      <c r="C574" s="63"/>
      <c r="D574" s="63"/>
      <c r="E574" s="66"/>
      <c r="H574" s="63"/>
      <c r="I574" s="62"/>
      <c r="J574" s="56"/>
      <c r="K574" s="63"/>
      <c r="M574" s="71"/>
      <c r="W574" s="63"/>
      <c r="Z574" s="63"/>
      <c r="AA574" s="63"/>
      <c r="AC574" s="63"/>
      <c r="AD574" s="63"/>
      <c r="AI574" s="63"/>
      <c r="AO574" s="63"/>
    </row>
    <row r="575" spans="2:42">
      <c r="B575" s="63"/>
      <c r="C575" s="63"/>
      <c r="D575" s="63"/>
      <c r="E575" s="66"/>
      <c r="H575" s="63"/>
      <c r="I575" s="62"/>
      <c r="J575" s="56"/>
      <c r="K575" s="63"/>
      <c r="M575" s="71"/>
      <c r="W575" s="63"/>
      <c r="Z575" s="63"/>
      <c r="AA575" s="63"/>
      <c r="AC575" s="63"/>
      <c r="AD575" s="63"/>
      <c r="AI575" s="63"/>
      <c r="AO575" s="63"/>
    </row>
    <row r="576" spans="2:42">
      <c r="B576" s="63"/>
      <c r="C576" s="63"/>
      <c r="D576" s="63"/>
      <c r="E576" s="66"/>
      <c r="H576" s="63"/>
      <c r="I576" s="62"/>
      <c r="J576" s="56"/>
      <c r="K576" s="63"/>
      <c r="M576" s="71"/>
      <c r="W576" s="63"/>
      <c r="Z576" s="63"/>
      <c r="AA576" s="63"/>
      <c r="AC576" s="63"/>
      <c r="AD576" s="63"/>
      <c r="AI576" s="63"/>
      <c r="AO576" s="63"/>
    </row>
    <row r="577" spans="2:41">
      <c r="B577" s="63"/>
      <c r="C577" s="63"/>
      <c r="D577" s="63"/>
      <c r="E577" s="66"/>
      <c r="H577" s="63"/>
      <c r="I577" s="62"/>
      <c r="J577" s="56"/>
      <c r="K577" s="63"/>
      <c r="M577" s="71"/>
      <c r="W577" s="63"/>
      <c r="Z577" s="63"/>
      <c r="AA577" s="63"/>
      <c r="AC577" s="63"/>
      <c r="AD577" s="63"/>
      <c r="AI577" s="63"/>
      <c r="AO577" s="63"/>
    </row>
    <row r="578" spans="2:41">
      <c r="B578" s="63"/>
      <c r="C578" s="63"/>
      <c r="D578" s="63"/>
      <c r="E578" s="66"/>
      <c r="H578" s="63"/>
      <c r="I578" s="62"/>
      <c r="J578" s="56"/>
      <c r="K578" s="63"/>
      <c r="M578" s="71"/>
      <c r="W578" s="63"/>
      <c r="Z578" s="63"/>
      <c r="AA578" s="63"/>
      <c r="AC578" s="63"/>
      <c r="AD578" s="63"/>
      <c r="AI578" s="63"/>
      <c r="AO578" s="63"/>
    </row>
    <row r="579" spans="2:41">
      <c r="B579" s="63"/>
      <c r="C579" s="63"/>
      <c r="D579" s="63"/>
      <c r="E579" s="66"/>
      <c r="H579" s="63"/>
      <c r="I579" s="62"/>
      <c r="J579" s="56"/>
      <c r="K579" s="63"/>
      <c r="M579" s="71"/>
      <c r="W579" s="63"/>
      <c r="Z579" s="63"/>
      <c r="AA579" s="63"/>
      <c r="AC579" s="63"/>
      <c r="AD579" s="63"/>
      <c r="AI579" s="63"/>
      <c r="AO579" s="63"/>
    </row>
    <row r="580" spans="2:41">
      <c r="B580" s="63"/>
      <c r="C580" s="63"/>
      <c r="D580" s="63"/>
      <c r="E580" s="66"/>
      <c r="H580" s="63"/>
      <c r="I580" s="62"/>
      <c r="J580" s="56"/>
      <c r="K580" s="63"/>
      <c r="M580" s="71"/>
      <c r="W580" s="63"/>
      <c r="Z580" s="63"/>
      <c r="AA580" s="63"/>
      <c r="AC580" s="63"/>
      <c r="AD580" s="63"/>
      <c r="AI580" s="63"/>
      <c r="AO580" s="63"/>
    </row>
    <row r="581" spans="2:41">
      <c r="B581" s="63"/>
      <c r="C581" s="63"/>
      <c r="D581" s="63"/>
      <c r="E581" s="66"/>
      <c r="H581" s="63"/>
      <c r="I581" s="62"/>
      <c r="J581" s="56"/>
      <c r="K581" s="63"/>
      <c r="M581" s="71"/>
      <c r="W581" s="63"/>
      <c r="Z581" s="63"/>
      <c r="AA581" s="63"/>
      <c r="AC581" s="63"/>
      <c r="AD581" s="63"/>
      <c r="AI581" s="63"/>
      <c r="AO581" s="63"/>
    </row>
    <row r="582" spans="2:41">
      <c r="B582" s="63"/>
      <c r="C582" s="63"/>
      <c r="D582" s="63"/>
      <c r="E582" s="66"/>
      <c r="H582" s="63"/>
      <c r="J582" s="56"/>
      <c r="K582" s="63"/>
    </row>
    <row r="583" spans="2:41">
      <c r="B583" s="63"/>
      <c r="C583" s="63"/>
      <c r="D583" s="63"/>
      <c r="E583" s="66"/>
      <c r="H583" s="63"/>
      <c r="J583" s="56"/>
      <c r="K583" s="58"/>
    </row>
    <row r="584" spans="2:41">
      <c r="E584" s="66"/>
      <c r="J584" s="56"/>
    </row>
    <row r="585" spans="2:41">
      <c r="E585" s="66"/>
      <c r="J585" s="56"/>
    </row>
    <row r="586" spans="2:41">
      <c r="E586" s="66"/>
      <c r="J586" s="56"/>
    </row>
    <row r="587" spans="2:41">
      <c r="E587" s="66"/>
      <c r="J587" s="56"/>
    </row>
    <row r="588" spans="2:41">
      <c r="E588" s="66"/>
      <c r="J588" s="56"/>
    </row>
    <row r="589" spans="2:41">
      <c r="E589" s="66"/>
      <c r="J589" s="56"/>
    </row>
    <row r="590" spans="2:41">
      <c r="E590" s="66"/>
      <c r="J590" s="56"/>
    </row>
    <row r="591" spans="2:41">
      <c r="E591" s="66"/>
      <c r="J591" s="56"/>
    </row>
    <row r="592" spans="2:41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</row>
    <row r="623" spans="5:10">
      <c r="E623" s="66"/>
    </row>
  </sheetData>
  <autoFilter ref="A1:AP62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54"/>
  <sheetViews>
    <sheetView tabSelected="1" zoomScaleNormal="100" workbookViewId="0">
      <pane xSplit="5" ySplit="2" topLeftCell="F87" activePane="bottomRight" state="frozen"/>
      <selection pane="topRight"/>
      <selection pane="bottomLeft"/>
      <selection pane="bottomRight" activeCell="C98" sqref="C98:C101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3" t="s">
        <v>79</v>
      </c>
      <c r="G1" s="123"/>
      <c r="H1" s="123"/>
      <c r="I1" s="123"/>
      <c r="J1" s="123"/>
      <c r="K1" s="123"/>
      <c r="L1" s="123"/>
      <c r="M1" s="123"/>
      <c r="N1" s="123"/>
      <c r="O1" s="123"/>
      <c r="P1" s="124" t="s">
        <v>80</v>
      </c>
      <c r="Q1" s="125"/>
      <c r="R1" s="125"/>
      <c r="S1" s="126"/>
      <c r="T1" s="127" t="s">
        <v>7</v>
      </c>
      <c r="U1" s="12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121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121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121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121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121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121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121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121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121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121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121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121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104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104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104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104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102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103&amp;CR$1&amp;")"</f>
        <v>InitEquipData('CS04',,"",,,,,'','','','','','',"ReplaceableTextures\\CommandButtons\\BTNTome.blp")</v>
      </c>
      <c r="CU91" s="45" t="str">
        <f t="shared" ref="CU91:CU93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3" si="1105">T91</f>
        <v>随机技能</v>
      </c>
      <c r="CW91" s="24"/>
      <c r="CX91" s="24"/>
      <c r="CY91" s="24"/>
      <c r="CZ91" s="24"/>
      <c r="DA91" s="24"/>
      <c r="DB91" s="30" t="str">
        <f t="shared" ref="DB91:DB93" si="1106">IF(V91="","","|n"&amp;DB$2&amp;"+"&amp;V91&amp;DB$1)</f>
        <v/>
      </c>
      <c r="DC91" s="30" t="str">
        <f t="shared" ref="DC91:DC93" si="1107">IF(W91="","","|n"&amp;DC$2&amp;"+"&amp;W91&amp;DC$1)</f>
        <v/>
      </c>
      <c r="DD91" s="30" t="str">
        <f t="shared" ref="DD91:DD93" si="1108">IF(X91="","","|n"&amp;DD$2&amp;"+"&amp;X91&amp;DD$1)</f>
        <v/>
      </c>
      <c r="DE91" s="30" t="str">
        <f t="shared" ref="DE91:DE93" si="1109">IF(Y91="","","|n"&amp;DE$2&amp;"+"&amp;Y91&amp;DE$1)</f>
        <v/>
      </c>
      <c r="DF91" s="30" t="str">
        <f t="shared" ref="DF91:DF93" si="1110">IF(Z91="","","|n"&amp;DF$2&amp;"+"&amp;Z91&amp;DF$1)</f>
        <v/>
      </c>
      <c r="DG91" s="30" t="str">
        <f t="shared" ref="DG91:DG93" si="1111">IF(AA91="","","|n"&amp;DG$2&amp;"+"&amp;AA91&amp;DG$1)</f>
        <v/>
      </c>
      <c r="DH91" s="30" t="str">
        <f t="shared" ref="DH91:DH93" si="1112">IF(AB91="","","|n"&amp;DH$2&amp;"+"&amp;AB91&amp;DH$1)</f>
        <v/>
      </c>
      <c r="DI91" s="30" t="str">
        <f t="shared" ref="DI91:DI93" si="1113">IF(AC91="","","|n"&amp;DI$2&amp;"+"&amp;AC91&amp;DI$1)</f>
        <v/>
      </c>
      <c r="DJ91" s="30" t="str">
        <f t="shared" ref="DJ91:DJ93" si="1114">IF(AD91="","","|n"&amp;DJ$2&amp;"+"&amp;AD91&amp;DJ$1)</f>
        <v/>
      </c>
      <c r="DK91" s="30" t="str">
        <f t="shared" ref="DK91:DK93" si="1115">IF(AE91="","","|n"&amp;DK$2&amp;"+"&amp;AE91&amp;DK$1)</f>
        <v/>
      </c>
      <c r="DL91" s="30" t="str">
        <f t="shared" ref="DL91:DL93" si="1116">IF(AF91="","","|n"&amp;DL$2&amp;"+"&amp;AF91&amp;DL$1)</f>
        <v/>
      </c>
      <c r="DM91" s="30" t="str">
        <f t="shared" ref="DM91:DM93" si="1117">IF(AG91="","","|n"&amp;DM$2&amp;"+"&amp;AG91&amp;DM$1)</f>
        <v/>
      </c>
      <c r="DN91" s="30" t="str">
        <f t="shared" ref="DN91:DN93" si="1118">IF(AH91="","","|n"&amp;DN$2&amp;"+"&amp;AH91&amp;DN$1)</f>
        <v/>
      </c>
      <c r="DO91" s="30" t="str">
        <f t="shared" ref="DO91:DO93" si="1119">IF(AI91="","","|n"&amp;DO$2&amp;"+"&amp;AI91&amp;DO$1)</f>
        <v/>
      </c>
      <c r="DP91" s="30" t="str">
        <f t="shared" ref="DP91:DP93" si="1120">IF(AJ91="","","|n"&amp;DP$2&amp;"+"&amp;AJ91&amp;DP$1)</f>
        <v/>
      </c>
      <c r="DQ91" s="30" t="str">
        <f t="shared" ref="DQ91:DQ93" si="1121">IF(AK91="","","|n"&amp;DQ$2&amp;"+"&amp;AK91&amp;DQ$1)</f>
        <v/>
      </c>
      <c r="DR91" s="30" t="str">
        <f t="shared" ref="DR91:DR93" si="1122">IF(AL91="","","|n"&amp;DR$2&amp;"+"&amp;AL91&amp;DR$1)</f>
        <v/>
      </c>
      <c r="DS91" s="30" t="str">
        <f t="shared" ref="DS91:DS93" si="1123">IF(AM91="","","|n"&amp;DS$2&amp;"+"&amp;AM91&amp;DS$1)</f>
        <v/>
      </c>
      <c r="DT91" s="30" t="str">
        <f t="shared" ref="DT91:DT93" si="1124">IF(AN91="","","|n"&amp;DT$2&amp;"+"&amp;AN91&amp;DT$1)</f>
        <v/>
      </c>
      <c r="DU91" s="30" t="str">
        <f t="shared" ref="DU91:DU93" si="1125">IF(AO91="","","|n"&amp;DU$2&amp;"+"&amp;AO91&amp;DU$1)</f>
        <v/>
      </c>
      <c r="DV91" s="30" t="str">
        <f t="shared" ref="DV91:DV93" si="1126">IF(AP91="","","|n"&amp;DV$2&amp;"+"&amp;AP91&amp;DV$1)</f>
        <v/>
      </c>
      <c r="DW91" s="30" t="str">
        <f t="shared" ref="DW91:DW93" si="1127">IF(AQ91="","","|n"&amp;DW$2&amp;"+"&amp;AQ91&amp;DW$1)</f>
        <v/>
      </c>
      <c r="DX91" s="30" t="str">
        <f t="shared" ref="DX91:DX93" si="1128">IF(AR91="","","|n"&amp;DX$2&amp;"+"&amp;AR91&amp;DX$1)</f>
        <v/>
      </c>
      <c r="DY91" s="30" t="str">
        <f t="shared" ref="DY91:DY93" si="1129">IF(AS91="","","|n"&amp;DY$2&amp;"+"&amp;AS91&amp;DY$1)</f>
        <v/>
      </c>
      <c r="DZ91" s="30" t="str">
        <f t="shared" ref="DZ91:DZ93" si="1130">IF(AT91="","","|n"&amp;DZ$2&amp;"+"&amp;AT91&amp;DZ$1)</f>
        <v/>
      </c>
      <c r="EA91" s="30" t="str">
        <f t="shared" ref="EA91:EA93" si="1131">IF(AU91="","","|n"&amp;EA$2&amp;"+"&amp;AU91&amp;EA$1)</f>
        <v/>
      </c>
      <c r="EB91" s="30" t="str">
        <f t="shared" ref="EB91:EB93" si="1132">IF(AV91="","","|n"&amp;EB$2&amp;"+"&amp;AV91&amp;EB$1)</f>
        <v/>
      </c>
      <c r="EC91" s="30" t="str">
        <f t="shared" ref="EC91:EC93" si="1133">IF(AW91="","","|n"&amp;EC$2&amp;"+"&amp;AW91&amp;EC$1)</f>
        <v/>
      </c>
      <c r="ED91" s="30" t="str">
        <f t="shared" ref="ED91:ED93" si="1134">IF(AX91="","","|n"&amp;ED$2&amp;"+"&amp;AX91&amp;ED$1)</f>
        <v/>
      </c>
      <c r="EE91" s="30" t="str">
        <f t="shared" ref="EE91:EE93" si="1135">IF(AY91="","","|n"&amp;EE$2&amp;"+"&amp;AY91&amp;EE$1)</f>
        <v/>
      </c>
      <c r="EF91" s="30" t="str">
        <f t="shared" ref="EF91:EF93" si="1136">IF(AZ91="","","|n"&amp;EF$2&amp;"+"&amp;AZ91&amp;EF$1)</f>
        <v/>
      </c>
      <c r="EG91" s="30" t="str">
        <f t="shared" ref="EG91:EG93" si="1137">IF(BA91="","","|n"&amp;EG$2&amp;"+"&amp;BA91&amp;EG$1)</f>
        <v/>
      </c>
      <c r="EH91" s="30" t="str">
        <f t="shared" ref="EH91:EH93" si="1138">IF(BB91="","","|n"&amp;EH$2&amp;"+"&amp;BB91&amp;EH$1)</f>
        <v/>
      </c>
      <c r="EI91" s="30" t="str">
        <f t="shared" ref="EI91:EI93" si="1139">IF(BC91="","","|n"&amp;EI$2&amp;"+"&amp;BC91&amp;EI$1)</f>
        <v/>
      </c>
      <c r="EJ91" s="30" t="str">
        <f t="shared" ref="EJ91:EJ93" si="1140">IF(BD91="","","|n"&amp;EJ$2&amp;"+"&amp;BD91&amp;EJ$1)</f>
        <v/>
      </c>
      <c r="EK91" s="30" t="str">
        <f t="shared" ref="EK91:EK93" si="1141">IF(BE91="","","|n"&amp;EK$2&amp;"+"&amp;BE91&amp;EK$1)</f>
        <v/>
      </c>
      <c r="EL91" s="30" t="str">
        <f t="shared" ref="EL91:EL93" si="1142">IF(BF91="","","|n"&amp;EL$2&amp;"+"&amp;BF91&amp;EL$1)</f>
        <v/>
      </c>
      <c r="EM91" s="30" t="str">
        <f t="shared" ref="EM91:EM93" si="1143">IF(BG91="","","|n"&amp;EM$2&amp;"+"&amp;BG91&amp;EM$1)</f>
        <v/>
      </c>
      <c r="EN91" s="30" t="str">
        <f t="shared" ref="EN91:EN93" si="1144">IF(BH91="","","|n"&amp;EN$2&amp;"+"&amp;BH91&amp;EN$1)</f>
        <v/>
      </c>
      <c r="EO91" s="30" t="str">
        <f t="shared" ref="EO91:EO93" si="1145">IF(BI91="","","|n"&amp;EO$2&amp;"+"&amp;BI91&amp;EO$1)</f>
        <v/>
      </c>
      <c r="EP91" s="30" t="str">
        <f t="shared" ref="EP91:EP93" si="1146">IF(BJ91="","","|n"&amp;EP$2&amp;"+"&amp;BJ91&amp;EP$1)</f>
        <v/>
      </c>
      <c r="EQ91" s="30" t="str">
        <f t="shared" ref="EQ91:EQ93" si="1147">IF(BK91="","","|n"&amp;EQ$2&amp;"+"&amp;BK91&amp;EQ$1)</f>
        <v/>
      </c>
      <c r="ER91" s="30" t="str">
        <f t="shared" ref="ER91:ER93" si="1148">IF(BL91="","","|n"&amp;ER$2&amp;"+"&amp;BL91&amp;ER$1)</f>
        <v/>
      </c>
      <c r="ES91" s="30" t="str">
        <f t="shared" ref="ES91:ES93" si="1149">IF(BM91="","","|n"&amp;ES$2&amp;"+"&amp;BM91&amp;ES$1)</f>
        <v/>
      </c>
      <c r="ET91" s="30" t="str">
        <f t="shared" ref="ET91:ET93" si="1150">IF(BN91="","","|n"&amp;ET$2&amp;"+"&amp;BN91&amp;ET$1)</f>
        <v/>
      </c>
      <c r="EU91" s="30" t="str">
        <f t="shared" ref="EU91:EU93" si="1151">IF(BO91="","","|n"&amp;EU$2&amp;"+"&amp;BO91&amp;EU$1)</f>
        <v/>
      </c>
      <c r="EV91" s="30" t="str">
        <f t="shared" ref="EV91:EV93" si="1152">IF(BP91="","","|n"&amp;EV$2&amp;"+"&amp;BP91&amp;EV$1)</f>
        <v/>
      </c>
      <c r="EW91" s="30" t="str">
        <f t="shared" ref="EW91:EW93" si="1153">IF(BQ91="","","|n"&amp;EW$2&amp;"+"&amp;BQ91&amp;EW$1)</f>
        <v/>
      </c>
      <c r="EX91" s="30" t="str">
        <f t="shared" ref="EX91:EX93" si="1154">IF(BR91="","","|n"&amp;EX$2&amp;"+"&amp;BR91&amp;EX$1)</f>
        <v/>
      </c>
      <c r="EY91" s="30" t="str">
        <f t="shared" ref="EY91:EY93" si="1155">IF(BS91="","","|n"&amp;EY$2&amp;"+"&amp;BS91&amp;EY$1)</f>
        <v/>
      </c>
      <c r="EZ91" s="30" t="str">
        <f t="shared" ref="EZ91:EZ93" si="1156">IF(BT91="","","|n"&amp;EZ$2&amp;"+"&amp;BT91&amp;EZ$1)</f>
        <v/>
      </c>
      <c r="FA91" s="30" t="str">
        <f t="shared" ref="FA91:FA93" si="1157">IF(BU91="","","|n"&amp;FA$2&amp;"+"&amp;BU91&amp;FA$1)</f>
        <v/>
      </c>
      <c r="FB91" s="30" t="str">
        <f t="shared" ref="FB91:FB93" si="1158">IF(BV91="","","|n"&amp;FB$2&amp;"+"&amp;BV91&amp;FB$1)</f>
        <v/>
      </c>
      <c r="FC91" s="30" t="str">
        <f t="shared" ref="FC91:FC93" si="1159">IF(BW91="","","|n"&amp;FC$2&amp;"+"&amp;BW91&amp;FC$1)</f>
        <v/>
      </c>
      <c r="FD91" s="30" t="str">
        <f t="shared" ref="FD91:FD93" si="1160">IF(BX91="","","|n"&amp;FD$2&amp;"+"&amp;BX91&amp;FD$1)</f>
        <v/>
      </c>
      <c r="FE91" s="30" t="str">
        <f t="shared" ref="FE91:FE93" si="1161">IF(BY91="","","|n"&amp;FE$2&amp;"+"&amp;BY91&amp;FE$1)</f>
        <v/>
      </c>
      <c r="FF91" s="30" t="str">
        <f t="shared" ref="FF91:FF93" si="1162">IF(BZ91="","","|n"&amp;FF$2&amp;"+"&amp;BZ91&amp;FF$1)</f>
        <v/>
      </c>
      <c r="FG91" s="30" t="str">
        <f t="shared" ref="FG91:FG93" si="1163">IF(CA91="","","|n"&amp;FG$2&amp;"+"&amp;CA91&amp;FG$1)</f>
        <v/>
      </c>
      <c r="FH91" s="30" t="str">
        <f t="shared" ref="FH91:FH93" si="1164">IF(CB91="","","|n"&amp;FH$2&amp;"+"&amp;CB91&amp;FH$1)</f>
        <v/>
      </c>
      <c r="FI91" s="30" t="str">
        <f t="shared" ref="FI91:FI93" si="1165">IF(CC91="","","|n"&amp;FI$2&amp;"+"&amp;CC91&amp;FI$1)</f>
        <v/>
      </c>
      <c r="FJ91" s="30" t="str">
        <f t="shared" ref="FJ91:FJ93" si="1166">IF(CD91="","","|n"&amp;FJ$2&amp;"+"&amp;CD91&amp;FJ$1)</f>
        <v/>
      </c>
      <c r="FK91" s="30" t="str">
        <f t="shared" ref="FK91:FK93" si="1167">IF(CE91="","","|n"&amp;FK$2&amp;"+"&amp;CE91&amp;FK$1)</f>
        <v/>
      </c>
      <c r="FL91" s="30" t="str">
        <f t="shared" ref="FL91:FL93" si="1168">IF(CF91="","","|n"&amp;FL$2&amp;"+"&amp;CF91&amp;FL$1)</f>
        <v/>
      </c>
      <c r="FM91" s="30" t="str">
        <f t="shared" ref="FM91:FM93" si="1169">IF(CG91="","","|n"&amp;FM$2&amp;"+"&amp;CG91&amp;FM$1)</f>
        <v/>
      </c>
      <c r="FN91" s="30" t="str">
        <f t="shared" ref="FN91:FN93" si="1170">IF(CH91="","","|n"&amp;FN$2&amp;"+"&amp;CH91&amp;FN$1)</f>
        <v/>
      </c>
      <c r="FO91" s="30" t="str">
        <f t="shared" ref="FO91:FO93" si="1171">IF(CI91="","","|n"&amp;FO$2&amp;"+"&amp;CI91&amp;FO$1)</f>
        <v/>
      </c>
      <c r="FP91" s="30" t="str">
        <f t="shared" ref="FP91:FP93" si="1172">IF(CJ91="","","|n"&amp;FP$2&amp;"+"&amp;CJ91&amp;FP$1)</f>
        <v/>
      </c>
      <c r="FQ91" s="30" t="str">
        <f t="shared" ref="FQ91:FQ93" si="1173">IF(CK91="","","|n"&amp;FQ$2&amp;"+"&amp;CK91&amp;FQ$1)</f>
        <v/>
      </c>
      <c r="FR91" s="30" t="str">
        <f t="shared" ref="FR91:FR93" si="1174">IF(CL91="","","|n"&amp;FR$2&amp;"+"&amp;CL91&amp;FR$1)</f>
        <v/>
      </c>
      <c r="FS91" s="30" t="str">
        <f t="shared" ref="FS91:FS93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943</v>
      </c>
      <c r="C93" s="111" t="s">
        <v>948</v>
      </c>
      <c r="T93" s="122" t="s">
        <v>953</v>
      </c>
      <c r="U93" s="37" t="s">
        <v>822</v>
      </c>
      <c r="CN93" s="7" t="str">
        <f t="shared" ref="CN93" si="1176">"InitUnitState('"&amp;B93&amp;"',"&amp;V93&amp;","&amp;W93&amp;","&amp;X93&amp;","&amp;Y93&amp;","&amp;Z93&amp;","&amp;AA93&amp;","&amp;AB93&amp;","&amp;AC93&amp;","&amp;AD93&amp;","&amp;AE93&amp;")"</f>
        <v>InitUnitState('I001',,,,,,,,,,)</v>
      </c>
      <c r="CO93" s="7" t="str">
        <f t="shared" ref="CO93" si="1177">"InitUnitNormal('"&amp;B93&amp;"',"&amp;AF93&amp;","&amp;AG93&amp;","&amp;AH93&amp;","&amp;AI93&amp;","&amp;AJ93&amp;","&amp;AK93&amp;","&amp;AL93&amp;","&amp;AM93&amp;","&amp;AN93&amp;","&amp;AO93&amp;")"</f>
        <v>InitUnitNormal('I001',,,,,,,,,,)</v>
      </c>
      <c r="CP93" s="7" t="str">
        <f t="shared" ref="CP93" si="1178">"InitUnitMagic('"&amp;B93&amp;"',"&amp;AP93&amp;","&amp;AQ93&amp;","&amp;AR93&amp;","&amp;AS93&amp;","&amp;AT93&amp;","&amp;AU93&amp;","&amp;AV93&amp;","&amp;AW93&amp;","&amp;BI93&amp;","&amp;BJ93&amp;")"</f>
        <v>InitUnitMagic('I001',,,,,,,,,,)</v>
      </c>
      <c r="CQ93" s="7" t="str">
        <f t="shared" ref="CQ93" si="1179">"InitUnitAdd('"&amp;B93&amp;"',"&amp;BK93&amp;","&amp;BL93&amp;","&amp;BM93&amp;","&amp;BN93&amp;","&amp;BO93&amp;","&amp;BP93&amp;","&amp;BQ93&amp;","&amp;BR93&amp;","&amp;BS93&amp;","&amp;BT93&amp;")"</f>
        <v>InitUnitAdd('I001',,,,,,,,,,)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102&amp;CR$1&amp;")"</f>
        <v>InitEquipData('I001',,"",,,,,'','','','','','',"ReplaceableTextures\\CommandButtons\\BTNTome.blp")</v>
      </c>
      <c r="CU93" s="45" t="str">
        <f t="shared" si="1104"/>
        <v>|n</v>
      </c>
      <c r="CV93" s="29" t="str">
        <f t="shared" si="1105"/>
        <v>回复80%生命，解除异常状态</v>
      </c>
      <c r="CW93" s="24"/>
      <c r="CX93" s="24"/>
      <c r="CY93" s="24"/>
      <c r="CZ93" s="24"/>
      <c r="DA93" s="24"/>
      <c r="DB93" s="30" t="str">
        <f t="shared" si="1106"/>
        <v/>
      </c>
      <c r="DC93" s="30" t="str">
        <f t="shared" si="1107"/>
        <v/>
      </c>
      <c r="DD93" s="30" t="str">
        <f t="shared" si="1108"/>
        <v/>
      </c>
      <c r="DE93" s="30" t="str">
        <f t="shared" si="1109"/>
        <v/>
      </c>
      <c r="DF93" s="30" t="str">
        <f t="shared" si="1110"/>
        <v/>
      </c>
      <c r="DG93" s="30" t="str">
        <f t="shared" si="1111"/>
        <v/>
      </c>
      <c r="DH93" s="30" t="str">
        <f t="shared" si="1112"/>
        <v/>
      </c>
      <c r="DI93" s="30" t="str">
        <f t="shared" si="1113"/>
        <v/>
      </c>
      <c r="DJ93" s="30" t="str">
        <f t="shared" si="1114"/>
        <v/>
      </c>
      <c r="DK93" s="30" t="str">
        <f t="shared" si="1115"/>
        <v/>
      </c>
      <c r="DL93" s="30" t="str">
        <f t="shared" si="1116"/>
        <v/>
      </c>
      <c r="DM93" s="30" t="str">
        <f t="shared" si="1117"/>
        <v/>
      </c>
      <c r="DN93" s="30" t="str">
        <f t="shared" si="1118"/>
        <v/>
      </c>
      <c r="DO93" s="30" t="str">
        <f t="shared" si="1119"/>
        <v/>
      </c>
      <c r="DP93" s="30" t="str">
        <f t="shared" si="1120"/>
        <v/>
      </c>
      <c r="DQ93" s="30" t="str">
        <f t="shared" si="1121"/>
        <v/>
      </c>
      <c r="DR93" s="30" t="str">
        <f t="shared" si="1122"/>
        <v/>
      </c>
      <c r="DS93" s="30" t="str">
        <f t="shared" si="1123"/>
        <v/>
      </c>
      <c r="DT93" s="30" t="str">
        <f t="shared" si="1124"/>
        <v/>
      </c>
      <c r="DU93" s="30" t="str">
        <f t="shared" si="1125"/>
        <v/>
      </c>
      <c r="DV93" s="30" t="str">
        <f t="shared" si="1126"/>
        <v/>
      </c>
      <c r="DW93" s="30" t="str">
        <f t="shared" si="1127"/>
        <v/>
      </c>
      <c r="DX93" s="30" t="str">
        <f t="shared" si="1128"/>
        <v/>
      </c>
      <c r="DY93" s="30" t="str">
        <f t="shared" si="1129"/>
        <v/>
      </c>
      <c r="DZ93" s="30" t="str">
        <f t="shared" si="1130"/>
        <v/>
      </c>
      <c r="EA93" s="30" t="str">
        <f t="shared" si="1131"/>
        <v/>
      </c>
      <c r="EB93" s="30" t="str">
        <f t="shared" si="1132"/>
        <v/>
      </c>
      <c r="EC93" s="30" t="str">
        <f t="shared" si="1133"/>
        <v/>
      </c>
      <c r="ED93" s="30" t="str">
        <f t="shared" si="1134"/>
        <v/>
      </c>
      <c r="EE93" s="30" t="str">
        <f t="shared" si="1135"/>
        <v/>
      </c>
      <c r="EF93" s="30" t="str">
        <f t="shared" si="1136"/>
        <v/>
      </c>
      <c r="EG93" s="30" t="str">
        <f t="shared" si="1137"/>
        <v/>
      </c>
      <c r="EH93" s="30" t="str">
        <f t="shared" si="1138"/>
        <v/>
      </c>
      <c r="EI93" s="30" t="str">
        <f t="shared" si="1139"/>
        <v/>
      </c>
      <c r="EJ93" s="30" t="str">
        <f t="shared" si="1140"/>
        <v/>
      </c>
      <c r="EK93" s="30" t="str">
        <f t="shared" si="1141"/>
        <v/>
      </c>
      <c r="EL93" s="30" t="str">
        <f t="shared" si="1142"/>
        <v/>
      </c>
      <c r="EM93" s="30" t="str">
        <f t="shared" si="1143"/>
        <v/>
      </c>
      <c r="EN93" s="30" t="str">
        <f t="shared" si="1144"/>
        <v/>
      </c>
      <c r="EO93" s="30" t="str">
        <f t="shared" si="1145"/>
        <v/>
      </c>
      <c r="EP93" s="30" t="str">
        <f t="shared" si="1146"/>
        <v/>
      </c>
      <c r="EQ93" s="30" t="str">
        <f t="shared" si="1147"/>
        <v/>
      </c>
      <c r="ER93" s="30" t="str">
        <f t="shared" si="1148"/>
        <v/>
      </c>
      <c r="ES93" s="30" t="str">
        <f t="shared" si="1149"/>
        <v/>
      </c>
      <c r="ET93" s="30" t="str">
        <f t="shared" si="1150"/>
        <v/>
      </c>
      <c r="EU93" s="30" t="str">
        <f t="shared" si="1151"/>
        <v/>
      </c>
      <c r="EV93" s="30" t="str">
        <f t="shared" si="1152"/>
        <v/>
      </c>
      <c r="EW93" s="30" t="str">
        <f t="shared" si="1153"/>
        <v/>
      </c>
      <c r="EX93" s="30" t="str">
        <f t="shared" si="1154"/>
        <v/>
      </c>
      <c r="EY93" s="30" t="str">
        <f t="shared" si="1155"/>
        <v/>
      </c>
      <c r="EZ93" s="30" t="str">
        <f t="shared" si="1156"/>
        <v/>
      </c>
      <c r="FA93" s="30" t="str">
        <f t="shared" si="1157"/>
        <v/>
      </c>
      <c r="FB93" s="30" t="str">
        <f t="shared" si="1158"/>
        <v/>
      </c>
      <c r="FC93" s="30" t="str">
        <f t="shared" si="1159"/>
        <v/>
      </c>
      <c r="FD93" s="30" t="str">
        <f t="shared" si="1160"/>
        <v/>
      </c>
      <c r="FE93" s="30" t="str">
        <f t="shared" si="1161"/>
        <v/>
      </c>
      <c r="FF93" s="30" t="str">
        <f t="shared" si="1162"/>
        <v/>
      </c>
      <c r="FG93" s="30" t="str">
        <f t="shared" si="1163"/>
        <v/>
      </c>
      <c r="FH93" s="30" t="str">
        <f t="shared" si="1164"/>
        <v/>
      </c>
      <c r="FI93" s="30" t="str">
        <f t="shared" si="1165"/>
        <v/>
      </c>
      <c r="FJ93" s="30" t="str">
        <f t="shared" si="1166"/>
        <v/>
      </c>
      <c r="FK93" s="30" t="str">
        <f t="shared" si="1167"/>
        <v/>
      </c>
      <c r="FL93" s="30" t="str">
        <f t="shared" si="1168"/>
        <v/>
      </c>
      <c r="FM93" s="30" t="str">
        <f t="shared" si="1169"/>
        <v/>
      </c>
      <c r="FN93" s="30" t="str">
        <f t="shared" si="1170"/>
        <v/>
      </c>
      <c r="FO93" s="30" t="str">
        <f t="shared" si="1171"/>
        <v/>
      </c>
      <c r="FP93" s="30" t="str">
        <f t="shared" si="1172"/>
        <v/>
      </c>
      <c r="FQ93" s="30" t="str">
        <f t="shared" si="1173"/>
        <v/>
      </c>
      <c r="FR93" s="30" t="str">
        <f t="shared" si="1174"/>
        <v/>
      </c>
      <c r="FS93" s="30" t="str">
        <f t="shared" si="1175"/>
        <v/>
      </c>
    </row>
    <row r="94" spans="1:175" ht="16.5">
      <c r="A94" s="111"/>
      <c r="B94" s="111" t="s">
        <v>944</v>
      </c>
      <c r="C94" s="111" t="s">
        <v>949</v>
      </c>
      <c r="T94" s="122" t="s">
        <v>954</v>
      </c>
      <c r="U94" s="37" t="s">
        <v>822</v>
      </c>
      <c r="CN94" s="7" t="str">
        <f t="shared" ref="CN94:CN95" si="1180">"InitUnitState('"&amp;B94&amp;"',"&amp;V94&amp;","&amp;W94&amp;","&amp;X94&amp;","&amp;Y94&amp;","&amp;Z94&amp;","&amp;AA94&amp;","&amp;AB94&amp;","&amp;AC94&amp;","&amp;AD94&amp;","&amp;AE94&amp;")"</f>
        <v>InitUnitState('I002',,,,,,,,,,)</v>
      </c>
      <c r="CO94" s="7" t="str">
        <f t="shared" ref="CO94:CO95" si="1181">"InitUnitNormal('"&amp;B94&amp;"',"&amp;AF94&amp;","&amp;AG94&amp;","&amp;AH94&amp;","&amp;AI94&amp;","&amp;AJ94&amp;","&amp;AK94&amp;","&amp;AL94&amp;","&amp;AM94&amp;","&amp;AN94&amp;","&amp;AO94&amp;")"</f>
        <v>InitUnitNormal('I002',,,,,,,,,,)</v>
      </c>
      <c r="CP94" s="7" t="str">
        <f t="shared" ref="CP94:CP95" si="1182">"InitUnitMagic('"&amp;B94&amp;"',"&amp;AP94&amp;","&amp;AQ94&amp;","&amp;AR94&amp;","&amp;AS94&amp;","&amp;AT94&amp;","&amp;AU94&amp;","&amp;AV94&amp;","&amp;AW94&amp;","&amp;BI94&amp;","&amp;BJ94&amp;")"</f>
        <v>InitUnitMagic('I002',,,,,,,,,,)</v>
      </c>
      <c r="CQ94" s="7" t="str">
        <f t="shared" ref="CQ94:CQ95" si="1183">"InitUnitAdd('"&amp;B94&amp;"',"&amp;BK94&amp;","&amp;BL94&amp;","&amp;BM94&amp;","&amp;BN94&amp;","&amp;BO94&amp;","&amp;BP94&amp;","&amp;BQ94&amp;","&amp;BR94&amp;","&amp;BS94&amp;","&amp;BT94&amp;")"</f>
        <v>InitUnitAdd('I002',,,,,,,,,,)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103&amp;CR$1&amp;")"</f>
        <v>InitEquipData('I002',,"",,,,,'','','','','','',"ReplaceableTextures\\CommandButtons\\BTNTome.blp")</v>
      </c>
      <c r="CU94" s="45" t="str">
        <f t="shared" ref="CU94:CU95" si="1184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185">T94</f>
        <v>回复70%蓝量</v>
      </c>
      <c r="CW94" s="24"/>
      <c r="CX94" s="24"/>
      <c r="CY94" s="24"/>
      <c r="CZ94" s="24"/>
      <c r="DA94" s="24"/>
      <c r="DB94" s="30" t="str">
        <f t="shared" ref="DB94:DB95" si="1186">IF(V94="","","|n"&amp;DB$2&amp;"+"&amp;V94&amp;DB$1)</f>
        <v/>
      </c>
      <c r="DC94" s="30" t="str">
        <f t="shared" ref="DC94:DC95" si="1187">IF(W94="","","|n"&amp;DC$2&amp;"+"&amp;W94&amp;DC$1)</f>
        <v/>
      </c>
      <c r="DD94" s="30" t="str">
        <f t="shared" ref="DD94:DD95" si="1188">IF(X94="","","|n"&amp;DD$2&amp;"+"&amp;X94&amp;DD$1)</f>
        <v/>
      </c>
      <c r="DE94" s="30" t="str">
        <f t="shared" ref="DE94:DE95" si="1189">IF(Y94="","","|n"&amp;DE$2&amp;"+"&amp;Y94&amp;DE$1)</f>
        <v/>
      </c>
      <c r="DF94" s="30" t="str">
        <f t="shared" ref="DF94:DF95" si="1190">IF(Z94="","","|n"&amp;DF$2&amp;"+"&amp;Z94&amp;DF$1)</f>
        <v/>
      </c>
      <c r="DG94" s="30" t="str">
        <f t="shared" ref="DG94:DG95" si="1191">IF(AA94="","","|n"&amp;DG$2&amp;"+"&amp;AA94&amp;DG$1)</f>
        <v/>
      </c>
      <c r="DH94" s="30" t="str">
        <f t="shared" ref="DH94:DH95" si="1192">IF(AB94="","","|n"&amp;DH$2&amp;"+"&amp;AB94&amp;DH$1)</f>
        <v/>
      </c>
      <c r="DI94" s="30" t="str">
        <f t="shared" ref="DI94:DI95" si="1193">IF(AC94="","","|n"&amp;DI$2&amp;"+"&amp;AC94&amp;DI$1)</f>
        <v/>
      </c>
      <c r="DJ94" s="30" t="str">
        <f t="shared" ref="DJ94:DJ95" si="1194">IF(AD94="","","|n"&amp;DJ$2&amp;"+"&amp;AD94&amp;DJ$1)</f>
        <v/>
      </c>
      <c r="DK94" s="30" t="str">
        <f t="shared" ref="DK94:DK95" si="1195">IF(AE94="","","|n"&amp;DK$2&amp;"+"&amp;AE94&amp;DK$1)</f>
        <v/>
      </c>
      <c r="DL94" s="30" t="str">
        <f t="shared" ref="DL94:DL95" si="1196">IF(AF94="","","|n"&amp;DL$2&amp;"+"&amp;AF94&amp;DL$1)</f>
        <v/>
      </c>
      <c r="DM94" s="30" t="str">
        <f t="shared" ref="DM94:DM95" si="1197">IF(AG94="","","|n"&amp;DM$2&amp;"+"&amp;AG94&amp;DM$1)</f>
        <v/>
      </c>
      <c r="DN94" s="30" t="str">
        <f t="shared" ref="DN94:DN95" si="1198">IF(AH94="","","|n"&amp;DN$2&amp;"+"&amp;AH94&amp;DN$1)</f>
        <v/>
      </c>
      <c r="DO94" s="30" t="str">
        <f t="shared" ref="DO94:DO95" si="1199">IF(AI94="","","|n"&amp;DO$2&amp;"+"&amp;AI94&amp;DO$1)</f>
        <v/>
      </c>
      <c r="DP94" s="30" t="str">
        <f t="shared" ref="DP94:DP95" si="1200">IF(AJ94="","","|n"&amp;DP$2&amp;"+"&amp;AJ94&amp;DP$1)</f>
        <v/>
      </c>
      <c r="DQ94" s="30" t="str">
        <f t="shared" ref="DQ94:DQ95" si="1201">IF(AK94="","","|n"&amp;DQ$2&amp;"+"&amp;AK94&amp;DQ$1)</f>
        <v/>
      </c>
      <c r="DR94" s="30" t="str">
        <f t="shared" ref="DR94:DR95" si="1202">IF(AL94="","","|n"&amp;DR$2&amp;"+"&amp;AL94&amp;DR$1)</f>
        <v/>
      </c>
      <c r="DS94" s="30" t="str">
        <f t="shared" ref="DS94:DS95" si="1203">IF(AM94="","","|n"&amp;DS$2&amp;"+"&amp;AM94&amp;DS$1)</f>
        <v/>
      </c>
      <c r="DT94" s="30" t="str">
        <f t="shared" ref="DT94:DT95" si="1204">IF(AN94="","","|n"&amp;DT$2&amp;"+"&amp;AN94&amp;DT$1)</f>
        <v/>
      </c>
      <c r="DU94" s="30" t="str">
        <f t="shared" ref="DU94:DU95" si="1205">IF(AO94="","","|n"&amp;DU$2&amp;"+"&amp;AO94&amp;DU$1)</f>
        <v/>
      </c>
      <c r="DV94" s="30" t="str">
        <f t="shared" ref="DV94:DV95" si="1206">IF(AP94="","","|n"&amp;DV$2&amp;"+"&amp;AP94&amp;DV$1)</f>
        <v/>
      </c>
      <c r="DW94" s="30" t="str">
        <f t="shared" ref="DW94:DW95" si="1207">IF(AQ94="","","|n"&amp;DW$2&amp;"+"&amp;AQ94&amp;DW$1)</f>
        <v/>
      </c>
      <c r="DX94" s="30" t="str">
        <f t="shared" ref="DX94:DX95" si="1208">IF(AR94="","","|n"&amp;DX$2&amp;"+"&amp;AR94&amp;DX$1)</f>
        <v/>
      </c>
      <c r="DY94" s="30" t="str">
        <f t="shared" ref="DY94:DY95" si="1209">IF(AS94="","","|n"&amp;DY$2&amp;"+"&amp;AS94&amp;DY$1)</f>
        <v/>
      </c>
      <c r="DZ94" s="30" t="str">
        <f t="shared" ref="DZ94:DZ95" si="1210">IF(AT94="","","|n"&amp;DZ$2&amp;"+"&amp;AT94&amp;DZ$1)</f>
        <v/>
      </c>
      <c r="EA94" s="30" t="str">
        <f t="shared" ref="EA94:EA95" si="1211">IF(AU94="","","|n"&amp;EA$2&amp;"+"&amp;AU94&amp;EA$1)</f>
        <v/>
      </c>
      <c r="EB94" s="30" t="str">
        <f t="shared" ref="EB94:EB95" si="1212">IF(AV94="","","|n"&amp;EB$2&amp;"+"&amp;AV94&amp;EB$1)</f>
        <v/>
      </c>
      <c r="EC94" s="30" t="str">
        <f t="shared" ref="EC94:EC95" si="1213">IF(AW94="","","|n"&amp;EC$2&amp;"+"&amp;AW94&amp;EC$1)</f>
        <v/>
      </c>
      <c r="ED94" s="30" t="str">
        <f t="shared" ref="ED94:ED95" si="1214">IF(AX94="","","|n"&amp;ED$2&amp;"+"&amp;AX94&amp;ED$1)</f>
        <v/>
      </c>
      <c r="EE94" s="30" t="str">
        <f t="shared" ref="EE94:EE95" si="1215">IF(AY94="","","|n"&amp;EE$2&amp;"+"&amp;AY94&amp;EE$1)</f>
        <v/>
      </c>
      <c r="EF94" s="30" t="str">
        <f t="shared" ref="EF94:EF95" si="1216">IF(AZ94="","","|n"&amp;EF$2&amp;"+"&amp;AZ94&amp;EF$1)</f>
        <v/>
      </c>
      <c r="EG94" s="30" t="str">
        <f t="shared" ref="EG94:EG95" si="1217">IF(BA94="","","|n"&amp;EG$2&amp;"+"&amp;BA94&amp;EG$1)</f>
        <v/>
      </c>
      <c r="EH94" s="30" t="str">
        <f t="shared" ref="EH94:EH95" si="1218">IF(BB94="","","|n"&amp;EH$2&amp;"+"&amp;BB94&amp;EH$1)</f>
        <v/>
      </c>
      <c r="EI94" s="30" t="str">
        <f t="shared" ref="EI94:EI95" si="1219">IF(BC94="","","|n"&amp;EI$2&amp;"+"&amp;BC94&amp;EI$1)</f>
        <v/>
      </c>
      <c r="EJ94" s="30" t="str">
        <f t="shared" ref="EJ94:EJ95" si="1220">IF(BD94="","","|n"&amp;EJ$2&amp;"+"&amp;BD94&amp;EJ$1)</f>
        <v/>
      </c>
      <c r="EK94" s="30" t="str">
        <f t="shared" ref="EK94:EK95" si="1221">IF(BE94="","","|n"&amp;EK$2&amp;"+"&amp;BE94&amp;EK$1)</f>
        <v/>
      </c>
      <c r="EL94" s="30" t="str">
        <f t="shared" ref="EL94:EL95" si="1222">IF(BF94="","","|n"&amp;EL$2&amp;"+"&amp;BF94&amp;EL$1)</f>
        <v/>
      </c>
      <c r="EM94" s="30" t="str">
        <f t="shared" ref="EM94:EM95" si="1223">IF(BG94="","","|n"&amp;EM$2&amp;"+"&amp;BG94&amp;EM$1)</f>
        <v/>
      </c>
      <c r="EN94" s="30" t="str">
        <f t="shared" ref="EN94:EN95" si="1224">IF(BH94="","","|n"&amp;EN$2&amp;"+"&amp;BH94&amp;EN$1)</f>
        <v/>
      </c>
      <c r="EO94" s="30" t="str">
        <f t="shared" ref="EO94:EO95" si="1225">IF(BI94="","","|n"&amp;EO$2&amp;"+"&amp;BI94&amp;EO$1)</f>
        <v/>
      </c>
      <c r="EP94" s="30" t="str">
        <f t="shared" ref="EP94:EP95" si="1226">IF(BJ94="","","|n"&amp;EP$2&amp;"+"&amp;BJ94&amp;EP$1)</f>
        <v/>
      </c>
      <c r="EQ94" s="30" t="str">
        <f t="shared" ref="EQ94:EQ95" si="1227">IF(BK94="","","|n"&amp;EQ$2&amp;"+"&amp;BK94&amp;EQ$1)</f>
        <v/>
      </c>
      <c r="ER94" s="30" t="str">
        <f t="shared" ref="ER94:ER95" si="1228">IF(BL94="","","|n"&amp;ER$2&amp;"+"&amp;BL94&amp;ER$1)</f>
        <v/>
      </c>
      <c r="ES94" s="30" t="str">
        <f t="shared" ref="ES94:ES95" si="1229">IF(BM94="","","|n"&amp;ES$2&amp;"+"&amp;BM94&amp;ES$1)</f>
        <v/>
      </c>
      <c r="ET94" s="30" t="str">
        <f t="shared" ref="ET94:ET95" si="1230">IF(BN94="","","|n"&amp;ET$2&amp;"+"&amp;BN94&amp;ET$1)</f>
        <v/>
      </c>
      <c r="EU94" s="30" t="str">
        <f t="shared" ref="EU94:EU95" si="1231">IF(BO94="","","|n"&amp;EU$2&amp;"+"&amp;BO94&amp;EU$1)</f>
        <v/>
      </c>
      <c r="EV94" s="30" t="str">
        <f t="shared" ref="EV94:EV95" si="1232">IF(BP94="","","|n"&amp;EV$2&amp;"+"&amp;BP94&amp;EV$1)</f>
        <v/>
      </c>
      <c r="EW94" s="30" t="str">
        <f t="shared" ref="EW94:EW95" si="1233">IF(BQ94="","","|n"&amp;EW$2&amp;"+"&amp;BQ94&amp;EW$1)</f>
        <v/>
      </c>
      <c r="EX94" s="30" t="str">
        <f t="shared" ref="EX94:EX95" si="1234">IF(BR94="","","|n"&amp;EX$2&amp;"+"&amp;BR94&amp;EX$1)</f>
        <v/>
      </c>
      <c r="EY94" s="30" t="str">
        <f t="shared" ref="EY94:EY95" si="1235">IF(BS94="","","|n"&amp;EY$2&amp;"+"&amp;BS94&amp;EY$1)</f>
        <v/>
      </c>
      <c r="EZ94" s="30" t="str">
        <f t="shared" ref="EZ94:EZ95" si="1236">IF(BT94="","","|n"&amp;EZ$2&amp;"+"&amp;BT94&amp;EZ$1)</f>
        <v/>
      </c>
      <c r="FA94" s="30" t="str">
        <f t="shared" ref="FA94:FA95" si="1237">IF(BU94="","","|n"&amp;FA$2&amp;"+"&amp;BU94&amp;FA$1)</f>
        <v/>
      </c>
      <c r="FB94" s="30" t="str">
        <f t="shared" ref="FB94:FB95" si="1238">IF(BV94="","","|n"&amp;FB$2&amp;"+"&amp;BV94&amp;FB$1)</f>
        <v/>
      </c>
      <c r="FC94" s="30" t="str">
        <f t="shared" ref="FC94:FC95" si="1239">IF(BW94="","","|n"&amp;FC$2&amp;"+"&amp;BW94&amp;FC$1)</f>
        <v/>
      </c>
      <c r="FD94" s="30" t="str">
        <f t="shared" ref="FD94:FD95" si="1240">IF(BX94="","","|n"&amp;FD$2&amp;"+"&amp;BX94&amp;FD$1)</f>
        <v/>
      </c>
      <c r="FE94" s="30" t="str">
        <f t="shared" ref="FE94:FE95" si="1241">IF(BY94="","","|n"&amp;FE$2&amp;"+"&amp;BY94&amp;FE$1)</f>
        <v/>
      </c>
      <c r="FF94" s="30" t="str">
        <f t="shared" ref="FF94:FF95" si="1242">IF(BZ94="","","|n"&amp;FF$2&amp;"+"&amp;BZ94&amp;FF$1)</f>
        <v/>
      </c>
      <c r="FG94" s="30" t="str">
        <f t="shared" ref="FG94:FG95" si="1243">IF(CA94="","","|n"&amp;FG$2&amp;"+"&amp;CA94&amp;FG$1)</f>
        <v/>
      </c>
      <c r="FH94" s="30" t="str">
        <f t="shared" ref="FH94:FH95" si="1244">IF(CB94="","","|n"&amp;FH$2&amp;"+"&amp;CB94&amp;FH$1)</f>
        <v/>
      </c>
      <c r="FI94" s="30" t="str">
        <f t="shared" ref="FI94:FI95" si="1245">IF(CC94="","","|n"&amp;FI$2&amp;"+"&amp;CC94&amp;FI$1)</f>
        <v/>
      </c>
      <c r="FJ94" s="30" t="str">
        <f t="shared" ref="FJ94:FJ95" si="1246">IF(CD94="","","|n"&amp;FJ$2&amp;"+"&amp;CD94&amp;FJ$1)</f>
        <v/>
      </c>
      <c r="FK94" s="30" t="str">
        <f t="shared" ref="FK94:FK95" si="1247">IF(CE94="","","|n"&amp;FK$2&amp;"+"&amp;CE94&amp;FK$1)</f>
        <v/>
      </c>
      <c r="FL94" s="30" t="str">
        <f t="shared" ref="FL94:FL95" si="1248">IF(CF94="","","|n"&amp;FL$2&amp;"+"&amp;CF94&amp;FL$1)</f>
        <v/>
      </c>
      <c r="FM94" s="30" t="str">
        <f t="shared" ref="FM94:FM95" si="1249">IF(CG94="","","|n"&amp;FM$2&amp;"+"&amp;CG94&amp;FM$1)</f>
        <v/>
      </c>
      <c r="FN94" s="30" t="str">
        <f t="shared" ref="FN94:FN95" si="1250">IF(CH94="","","|n"&amp;FN$2&amp;"+"&amp;CH94&amp;FN$1)</f>
        <v/>
      </c>
      <c r="FO94" s="30" t="str">
        <f t="shared" ref="FO94:FO95" si="1251">IF(CI94="","","|n"&amp;FO$2&amp;"+"&amp;CI94&amp;FO$1)</f>
        <v/>
      </c>
      <c r="FP94" s="30" t="str">
        <f t="shared" ref="FP94:FP95" si="1252">IF(CJ94="","","|n"&amp;FP$2&amp;"+"&amp;CJ94&amp;FP$1)</f>
        <v/>
      </c>
      <c r="FQ94" s="30" t="str">
        <f t="shared" ref="FQ94:FQ95" si="1253">IF(CK94="","","|n"&amp;FQ$2&amp;"+"&amp;CK94&amp;FQ$1)</f>
        <v/>
      </c>
      <c r="FR94" s="30" t="str">
        <f t="shared" ref="FR94:FR95" si="1254">IF(CL94="","","|n"&amp;FR$2&amp;"+"&amp;CL94&amp;FR$1)</f>
        <v/>
      </c>
      <c r="FS94" s="30" t="str">
        <f t="shared" ref="FS94:FS95" si="1255">IF(CM94="","","|n"&amp;FS$2&amp;"+"&amp;CM94&amp;FS$1)</f>
        <v/>
      </c>
    </row>
    <row r="95" spans="1:175" ht="16.5">
      <c r="A95" s="111"/>
      <c r="B95" s="111" t="s">
        <v>945</v>
      </c>
      <c r="C95" s="111" t="s">
        <v>955</v>
      </c>
      <c r="T95" s="122" t="s">
        <v>956</v>
      </c>
      <c r="U95" s="37" t="s">
        <v>822</v>
      </c>
      <c r="CN95" s="7" t="str">
        <f t="shared" si="1180"/>
        <v>InitUnitState('I003',,,,,,,,,,)</v>
      </c>
      <c r="CO95" s="7" t="str">
        <f t="shared" si="1181"/>
        <v>InitUnitNormal('I003',,,,,,,,,,)</v>
      </c>
      <c r="CP95" s="7" t="str">
        <f t="shared" si="1182"/>
        <v>InitUnitMagic('I003',,,,,,,,,,)</v>
      </c>
      <c r="CQ95" s="7" t="str">
        <f t="shared" si="1183"/>
        <v>InitUnitAdd('I003',,,,,,,,,,)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104&amp;CR$1&amp;")"</f>
        <v>InitEquipData('I003',,"",,,,,'','','','','','',"ReplaceableTextures\\CommandButtons\\BTNTome.blp")</v>
      </c>
      <c r="CU95" s="45" t="str">
        <f t="shared" si="1184"/>
        <v>|n</v>
      </c>
      <c r="CV95" s="29" t="str">
        <f t="shared" si="1185"/>
        <v>攻击速度+60%，持续15秒。</v>
      </c>
      <c r="CW95" s="24"/>
      <c r="CX95" s="24"/>
      <c r="CY95" s="24"/>
      <c r="CZ95" s="24"/>
      <c r="DA95" s="24"/>
      <c r="DB95" s="30" t="str">
        <f t="shared" si="1186"/>
        <v/>
      </c>
      <c r="DC95" s="30" t="str">
        <f t="shared" si="1187"/>
        <v/>
      </c>
      <c r="DD95" s="30" t="str">
        <f t="shared" si="1188"/>
        <v/>
      </c>
      <c r="DE95" s="30" t="str">
        <f t="shared" si="1189"/>
        <v/>
      </c>
      <c r="DF95" s="30" t="str">
        <f t="shared" si="1190"/>
        <v/>
      </c>
      <c r="DG95" s="30" t="str">
        <f t="shared" si="1191"/>
        <v/>
      </c>
      <c r="DH95" s="30" t="str">
        <f t="shared" si="1192"/>
        <v/>
      </c>
      <c r="DI95" s="30" t="str">
        <f t="shared" si="1193"/>
        <v/>
      </c>
      <c r="DJ95" s="30" t="str">
        <f t="shared" si="1194"/>
        <v/>
      </c>
      <c r="DK95" s="30" t="str">
        <f t="shared" si="1195"/>
        <v/>
      </c>
      <c r="DL95" s="30" t="str">
        <f t="shared" si="1196"/>
        <v/>
      </c>
      <c r="DM95" s="30" t="str">
        <f t="shared" si="1197"/>
        <v/>
      </c>
      <c r="DN95" s="30" t="str">
        <f t="shared" si="1198"/>
        <v/>
      </c>
      <c r="DO95" s="30" t="str">
        <f t="shared" si="1199"/>
        <v/>
      </c>
      <c r="DP95" s="30" t="str">
        <f t="shared" si="1200"/>
        <v/>
      </c>
      <c r="DQ95" s="30" t="str">
        <f t="shared" si="1201"/>
        <v/>
      </c>
      <c r="DR95" s="30" t="str">
        <f t="shared" si="1202"/>
        <v/>
      </c>
      <c r="DS95" s="30" t="str">
        <f t="shared" si="1203"/>
        <v/>
      </c>
      <c r="DT95" s="30" t="str">
        <f t="shared" si="1204"/>
        <v/>
      </c>
      <c r="DU95" s="30" t="str">
        <f t="shared" si="1205"/>
        <v/>
      </c>
      <c r="DV95" s="30" t="str">
        <f t="shared" si="1206"/>
        <v/>
      </c>
      <c r="DW95" s="30" t="str">
        <f t="shared" si="1207"/>
        <v/>
      </c>
      <c r="DX95" s="30" t="str">
        <f t="shared" si="1208"/>
        <v/>
      </c>
      <c r="DY95" s="30" t="str">
        <f t="shared" si="1209"/>
        <v/>
      </c>
      <c r="DZ95" s="30" t="str">
        <f t="shared" si="1210"/>
        <v/>
      </c>
      <c r="EA95" s="30" t="str">
        <f t="shared" si="1211"/>
        <v/>
      </c>
      <c r="EB95" s="30" t="str">
        <f t="shared" si="1212"/>
        <v/>
      </c>
      <c r="EC95" s="30" t="str">
        <f t="shared" si="1213"/>
        <v/>
      </c>
      <c r="ED95" s="30" t="str">
        <f t="shared" si="1214"/>
        <v/>
      </c>
      <c r="EE95" s="30" t="str">
        <f t="shared" si="1215"/>
        <v/>
      </c>
      <c r="EF95" s="30" t="str">
        <f t="shared" si="1216"/>
        <v/>
      </c>
      <c r="EG95" s="30" t="str">
        <f t="shared" si="1217"/>
        <v/>
      </c>
      <c r="EH95" s="30" t="str">
        <f t="shared" si="1218"/>
        <v/>
      </c>
      <c r="EI95" s="30" t="str">
        <f t="shared" si="1219"/>
        <v/>
      </c>
      <c r="EJ95" s="30" t="str">
        <f t="shared" si="1220"/>
        <v/>
      </c>
      <c r="EK95" s="30" t="str">
        <f t="shared" si="1221"/>
        <v/>
      </c>
      <c r="EL95" s="30" t="str">
        <f t="shared" si="1222"/>
        <v/>
      </c>
      <c r="EM95" s="30" t="str">
        <f t="shared" si="1223"/>
        <v/>
      </c>
      <c r="EN95" s="30" t="str">
        <f t="shared" si="1224"/>
        <v/>
      </c>
      <c r="EO95" s="30" t="str">
        <f t="shared" si="1225"/>
        <v/>
      </c>
      <c r="EP95" s="30" t="str">
        <f t="shared" si="1226"/>
        <v/>
      </c>
      <c r="EQ95" s="30" t="str">
        <f t="shared" si="1227"/>
        <v/>
      </c>
      <c r="ER95" s="30" t="str">
        <f t="shared" si="1228"/>
        <v/>
      </c>
      <c r="ES95" s="30" t="str">
        <f t="shared" si="1229"/>
        <v/>
      </c>
      <c r="ET95" s="30" t="str">
        <f t="shared" si="1230"/>
        <v/>
      </c>
      <c r="EU95" s="30" t="str">
        <f t="shared" si="1231"/>
        <v/>
      </c>
      <c r="EV95" s="30" t="str">
        <f t="shared" si="1232"/>
        <v/>
      </c>
      <c r="EW95" s="30" t="str">
        <f t="shared" si="1233"/>
        <v/>
      </c>
      <c r="EX95" s="30" t="str">
        <f t="shared" si="1234"/>
        <v/>
      </c>
      <c r="EY95" s="30" t="str">
        <f t="shared" si="1235"/>
        <v/>
      </c>
      <c r="EZ95" s="30" t="str">
        <f t="shared" si="1236"/>
        <v/>
      </c>
      <c r="FA95" s="30" t="str">
        <f t="shared" si="1237"/>
        <v/>
      </c>
      <c r="FB95" s="30" t="str">
        <f t="shared" si="1238"/>
        <v/>
      </c>
      <c r="FC95" s="30" t="str">
        <f t="shared" si="1239"/>
        <v/>
      </c>
      <c r="FD95" s="30" t="str">
        <f t="shared" si="1240"/>
        <v/>
      </c>
      <c r="FE95" s="30" t="str">
        <f t="shared" si="1241"/>
        <v/>
      </c>
      <c r="FF95" s="30" t="str">
        <f t="shared" si="1242"/>
        <v/>
      </c>
      <c r="FG95" s="30" t="str">
        <f t="shared" si="1243"/>
        <v/>
      </c>
      <c r="FH95" s="30" t="str">
        <f t="shared" si="1244"/>
        <v/>
      </c>
      <c r="FI95" s="30" t="str">
        <f t="shared" si="1245"/>
        <v/>
      </c>
      <c r="FJ95" s="30" t="str">
        <f t="shared" si="1246"/>
        <v/>
      </c>
      <c r="FK95" s="30" t="str">
        <f t="shared" si="1247"/>
        <v/>
      </c>
      <c r="FL95" s="30" t="str">
        <f t="shared" si="1248"/>
        <v/>
      </c>
      <c r="FM95" s="30" t="str">
        <f t="shared" si="1249"/>
        <v/>
      </c>
      <c r="FN95" s="30" t="str">
        <f t="shared" si="1250"/>
        <v/>
      </c>
      <c r="FO95" s="30" t="str">
        <f t="shared" si="1251"/>
        <v/>
      </c>
      <c r="FP95" s="30" t="str">
        <f t="shared" si="1252"/>
        <v/>
      </c>
      <c r="FQ95" s="30" t="str">
        <f t="shared" si="1253"/>
        <v/>
      </c>
      <c r="FR95" s="30" t="str">
        <f t="shared" si="1254"/>
        <v/>
      </c>
      <c r="FS95" s="30" t="str">
        <f t="shared" si="1255"/>
        <v/>
      </c>
    </row>
    <row r="96" spans="1:175" ht="16.5">
      <c r="A96" s="111"/>
      <c r="B96" s="111" t="s">
        <v>946</v>
      </c>
      <c r="C96" s="111" t="s">
        <v>950</v>
      </c>
      <c r="T96" s="122" t="s">
        <v>957</v>
      </c>
      <c r="U96" s="37" t="s">
        <v>822</v>
      </c>
      <c r="CN96" s="7" t="str">
        <f t="shared" ref="CN96:CN98" si="1256">"InitUnitState('"&amp;B96&amp;"',"&amp;V96&amp;","&amp;W96&amp;","&amp;X96&amp;","&amp;Y96&amp;","&amp;Z96&amp;","&amp;AA96&amp;","&amp;AB96&amp;","&amp;AC96&amp;","&amp;AD96&amp;","&amp;AE96&amp;")"</f>
        <v>InitUnitState('I004',,,,,,,,,,)</v>
      </c>
      <c r="CO96" s="7" t="str">
        <f t="shared" ref="CO96:CO98" si="1257">"InitUnitNormal('"&amp;B96&amp;"',"&amp;AF96&amp;","&amp;AG96&amp;","&amp;AH96&amp;","&amp;AI96&amp;","&amp;AJ96&amp;","&amp;AK96&amp;","&amp;AL96&amp;","&amp;AM96&amp;","&amp;AN96&amp;","&amp;AO96&amp;")"</f>
        <v>InitUnitNormal('I004',,,,,,,,,,)</v>
      </c>
      <c r="CP96" s="7" t="str">
        <f t="shared" ref="CP96:CP98" si="1258">"InitUnitMagic('"&amp;B96&amp;"',"&amp;AP96&amp;","&amp;AQ96&amp;","&amp;AR96&amp;","&amp;AS96&amp;","&amp;AT96&amp;","&amp;AU96&amp;","&amp;AV96&amp;","&amp;AW96&amp;","&amp;BI96&amp;","&amp;BJ96&amp;")"</f>
        <v>InitUnitMagic('I004',,,,,,,,,,)</v>
      </c>
      <c r="CQ96" s="7" t="str">
        <f t="shared" ref="CQ96:CQ98" si="1259">"InitUnitAdd('"&amp;B96&amp;"',"&amp;BK96&amp;","&amp;BL96&amp;","&amp;BM96&amp;","&amp;BN96&amp;","&amp;BO96&amp;","&amp;BP96&amp;","&amp;BQ96&amp;","&amp;BR96&amp;","&amp;BS96&amp;","&amp;BT96&amp;")"</f>
        <v>InitUnitAdd('I004',,,,,,,,,,)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105&amp;CR$1&amp;")"</f>
        <v>InitEquipData('I004',,"",,,,,'','','','','','',"ReplaceableTextures\\CommandButtons\\BTNTome.blp")</v>
      </c>
      <c r="CU96" s="45" t="str">
        <f t="shared" ref="CU96:CU98" si="1260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:CV98" si="1261">T96</f>
        <v>法术伤害提高40%，持续15秒。</v>
      </c>
      <c r="CW96" s="24"/>
      <c r="CX96" s="24"/>
      <c r="CY96" s="24"/>
      <c r="CZ96" s="24"/>
      <c r="DA96" s="24"/>
      <c r="DB96" s="30" t="str">
        <f t="shared" ref="DB96:DB98" si="1262">IF(V96="","","|n"&amp;DB$2&amp;"+"&amp;V96&amp;DB$1)</f>
        <v/>
      </c>
      <c r="DC96" s="30" t="str">
        <f t="shared" ref="DC96:DC98" si="1263">IF(W96="","","|n"&amp;DC$2&amp;"+"&amp;W96&amp;DC$1)</f>
        <v/>
      </c>
      <c r="DD96" s="30" t="str">
        <f t="shared" ref="DD96:DD98" si="1264">IF(X96="","","|n"&amp;DD$2&amp;"+"&amp;X96&amp;DD$1)</f>
        <v/>
      </c>
      <c r="DE96" s="30" t="str">
        <f t="shared" ref="DE96:DE98" si="1265">IF(Y96="","","|n"&amp;DE$2&amp;"+"&amp;Y96&amp;DE$1)</f>
        <v/>
      </c>
      <c r="DF96" s="30" t="str">
        <f t="shared" ref="DF96:DF98" si="1266">IF(Z96="","","|n"&amp;DF$2&amp;"+"&amp;Z96&amp;DF$1)</f>
        <v/>
      </c>
      <c r="DG96" s="30" t="str">
        <f t="shared" ref="DG96:DG98" si="1267">IF(AA96="","","|n"&amp;DG$2&amp;"+"&amp;AA96&amp;DG$1)</f>
        <v/>
      </c>
      <c r="DH96" s="30" t="str">
        <f t="shared" ref="DH96:DH98" si="1268">IF(AB96="","","|n"&amp;DH$2&amp;"+"&amp;AB96&amp;DH$1)</f>
        <v/>
      </c>
      <c r="DI96" s="30" t="str">
        <f t="shared" ref="DI96:DI98" si="1269">IF(AC96="","","|n"&amp;DI$2&amp;"+"&amp;AC96&amp;DI$1)</f>
        <v/>
      </c>
      <c r="DJ96" s="30" t="str">
        <f t="shared" ref="DJ96:DJ98" si="1270">IF(AD96="","","|n"&amp;DJ$2&amp;"+"&amp;AD96&amp;DJ$1)</f>
        <v/>
      </c>
      <c r="DK96" s="30" t="str">
        <f t="shared" ref="DK96:DK98" si="1271">IF(AE96="","","|n"&amp;DK$2&amp;"+"&amp;AE96&amp;DK$1)</f>
        <v/>
      </c>
      <c r="DL96" s="30" t="str">
        <f t="shared" ref="DL96:DL98" si="1272">IF(AF96="","","|n"&amp;DL$2&amp;"+"&amp;AF96&amp;DL$1)</f>
        <v/>
      </c>
      <c r="DM96" s="30" t="str">
        <f t="shared" ref="DM96:DM98" si="1273">IF(AG96="","","|n"&amp;DM$2&amp;"+"&amp;AG96&amp;DM$1)</f>
        <v/>
      </c>
      <c r="DN96" s="30" t="str">
        <f t="shared" ref="DN96:DN98" si="1274">IF(AH96="","","|n"&amp;DN$2&amp;"+"&amp;AH96&amp;DN$1)</f>
        <v/>
      </c>
      <c r="DO96" s="30" t="str">
        <f t="shared" ref="DO96:DO98" si="1275">IF(AI96="","","|n"&amp;DO$2&amp;"+"&amp;AI96&amp;DO$1)</f>
        <v/>
      </c>
      <c r="DP96" s="30" t="str">
        <f t="shared" ref="DP96:DP98" si="1276">IF(AJ96="","","|n"&amp;DP$2&amp;"+"&amp;AJ96&amp;DP$1)</f>
        <v/>
      </c>
      <c r="DQ96" s="30" t="str">
        <f t="shared" ref="DQ96:DQ98" si="1277">IF(AK96="","","|n"&amp;DQ$2&amp;"+"&amp;AK96&amp;DQ$1)</f>
        <v/>
      </c>
      <c r="DR96" s="30" t="str">
        <f t="shared" ref="DR96:DR98" si="1278">IF(AL96="","","|n"&amp;DR$2&amp;"+"&amp;AL96&amp;DR$1)</f>
        <v/>
      </c>
      <c r="DS96" s="30" t="str">
        <f t="shared" ref="DS96:DS98" si="1279">IF(AM96="","","|n"&amp;DS$2&amp;"+"&amp;AM96&amp;DS$1)</f>
        <v/>
      </c>
      <c r="DT96" s="30" t="str">
        <f t="shared" ref="DT96:DT98" si="1280">IF(AN96="","","|n"&amp;DT$2&amp;"+"&amp;AN96&amp;DT$1)</f>
        <v/>
      </c>
      <c r="DU96" s="30" t="str">
        <f t="shared" ref="DU96:DU98" si="1281">IF(AO96="","","|n"&amp;DU$2&amp;"+"&amp;AO96&amp;DU$1)</f>
        <v/>
      </c>
      <c r="DV96" s="30" t="str">
        <f t="shared" ref="DV96:DV98" si="1282">IF(AP96="","","|n"&amp;DV$2&amp;"+"&amp;AP96&amp;DV$1)</f>
        <v/>
      </c>
      <c r="DW96" s="30" t="str">
        <f t="shared" ref="DW96:DW98" si="1283">IF(AQ96="","","|n"&amp;DW$2&amp;"+"&amp;AQ96&amp;DW$1)</f>
        <v/>
      </c>
      <c r="DX96" s="30" t="str">
        <f t="shared" ref="DX96:DX98" si="1284">IF(AR96="","","|n"&amp;DX$2&amp;"+"&amp;AR96&amp;DX$1)</f>
        <v/>
      </c>
      <c r="DY96" s="30" t="str">
        <f t="shared" ref="DY96:DY98" si="1285">IF(AS96="","","|n"&amp;DY$2&amp;"+"&amp;AS96&amp;DY$1)</f>
        <v/>
      </c>
      <c r="DZ96" s="30" t="str">
        <f t="shared" ref="DZ96:DZ98" si="1286">IF(AT96="","","|n"&amp;DZ$2&amp;"+"&amp;AT96&amp;DZ$1)</f>
        <v/>
      </c>
      <c r="EA96" s="30" t="str">
        <f t="shared" ref="EA96:EA98" si="1287">IF(AU96="","","|n"&amp;EA$2&amp;"+"&amp;AU96&amp;EA$1)</f>
        <v/>
      </c>
      <c r="EB96" s="30" t="str">
        <f t="shared" ref="EB96:EB98" si="1288">IF(AV96="","","|n"&amp;EB$2&amp;"+"&amp;AV96&amp;EB$1)</f>
        <v/>
      </c>
      <c r="EC96" s="30" t="str">
        <f t="shared" ref="EC96:EC98" si="1289">IF(AW96="","","|n"&amp;EC$2&amp;"+"&amp;AW96&amp;EC$1)</f>
        <v/>
      </c>
      <c r="ED96" s="30" t="str">
        <f t="shared" ref="ED96:ED98" si="1290">IF(AX96="","","|n"&amp;ED$2&amp;"+"&amp;AX96&amp;ED$1)</f>
        <v/>
      </c>
      <c r="EE96" s="30" t="str">
        <f t="shared" ref="EE96:EE98" si="1291">IF(AY96="","","|n"&amp;EE$2&amp;"+"&amp;AY96&amp;EE$1)</f>
        <v/>
      </c>
      <c r="EF96" s="30" t="str">
        <f t="shared" ref="EF96:EF98" si="1292">IF(AZ96="","","|n"&amp;EF$2&amp;"+"&amp;AZ96&amp;EF$1)</f>
        <v/>
      </c>
      <c r="EG96" s="30" t="str">
        <f t="shared" ref="EG96:EG98" si="1293">IF(BA96="","","|n"&amp;EG$2&amp;"+"&amp;BA96&amp;EG$1)</f>
        <v/>
      </c>
      <c r="EH96" s="30" t="str">
        <f t="shared" ref="EH96:EH98" si="1294">IF(BB96="","","|n"&amp;EH$2&amp;"+"&amp;BB96&amp;EH$1)</f>
        <v/>
      </c>
      <c r="EI96" s="30" t="str">
        <f t="shared" ref="EI96:EI98" si="1295">IF(BC96="","","|n"&amp;EI$2&amp;"+"&amp;BC96&amp;EI$1)</f>
        <v/>
      </c>
      <c r="EJ96" s="30" t="str">
        <f t="shared" ref="EJ96:EJ98" si="1296">IF(BD96="","","|n"&amp;EJ$2&amp;"+"&amp;BD96&amp;EJ$1)</f>
        <v/>
      </c>
      <c r="EK96" s="30" t="str">
        <f t="shared" ref="EK96:EK98" si="1297">IF(BE96="","","|n"&amp;EK$2&amp;"+"&amp;BE96&amp;EK$1)</f>
        <v/>
      </c>
      <c r="EL96" s="30" t="str">
        <f t="shared" ref="EL96:EL98" si="1298">IF(BF96="","","|n"&amp;EL$2&amp;"+"&amp;BF96&amp;EL$1)</f>
        <v/>
      </c>
      <c r="EM96" s="30" t="str">
        <f t="shared" ref="EM96:EM98" si="1299">IF(BG96="","","|n"&amp;EM$2&amp;"+"&amp;BG96&amp;EM$1)</f>
        <v/>
      </c>
      <c r="EN96" s="30" t="str">
        <f t="shared" ref="EN96:EN98" si="1300">IF(BH96="","","|n"&amp;EN$2&amp;"+"&amp;BH96&amp;EN$1)</f>
        <v/>
      </c>
      <c r="EO96" s="30" t="str">
        <f t="shared" ref="EO96:EO98" si="1301">IF(BI96="","","|n"&amp;EO$2&amp;"+"&amp;BI96&amp;EO$1)</f>
        <v/>
      </c>
      <c r="EP96" s="30" t="str">
        <f t="shared" ref="EP96:EP98" si="1302">IF(BJ96="","","|n"&amp;EP$2&amp;"+"&amp;BJ96&amp;EP$1)</f>
        <v/>
      </c>
      <c r="EQ96" s="30" t="str">
        <f t="shared" ref="EQ96:EQ98" si="1303">IF(BK96="","","|n"&amp;EQ$2&amp;"+"&amp;BK96&amp;EQ$1)</f>
        <v/>
      </c>
      <c r="ER96" s="30" t="str">
        <f t="shared" ref="ER96:ER98" si="1304">IF(BL96="","","|n"&amp;ER$2&amp;"+"&amp;BL96&amp;ER$1)</f>
        <v/>
      </c>
      <c r="ES96" s="30" t="str">
        <f t="shared" ref="ES96:ES98" si="1305">IF(BM96="","","|n"&amp;ES$2&amp;"+"&amp;BM96&amp;ES$1)</f>
        <v/>
      </c>
      <c r="ET96" s="30" t="str">
        <f t="shared" ref="ET96:ET98" si="1306">IF(BN96="","","|n"&amp;ET$2&amp;"+"&amp;BN96&amp;ET$1)</f>
        <v/>
      </c>
      <c r="EU96" s="30" t="str">
        <f t="shared" ref="EU96:EU98" si="1307">IF(BO96="","","|n"&amp;EU$2&amp;"+"&amp;BO96&amp;EU$1)</f>
        <v/>
      </c>
      <c r="EV96" s="30" t="str">
        <f t="shared" ref="EV96:EV98" si="1308">IF(BP96="","","|n"&amp;EV$2&amp;"+"&amp;BP96&amp;EV$1)</f>
        <v/>
      </c>
      <c r="EW96" s="30" t="str">
        <f t="shared" ref="EW96:EW98" si="1309">IF(BQ96="","","|n"&amp;EW$2&amp;"+"&amp;BQ96&amp;EW$1)</f>
        <v/>
      </c>
      <c r="EX96" s="30" t="str">
        <f t="shared" ref="EX96:EX98" si="1310">IF(BR96="","","|n"&amp;EX$2&amp;"+"&amp;BR96&amp;EX$1)</f>
        <v/>
      </c>
      <c r="EY96" s="30" t="str">
        <f t="shared" ref="EY96:EY98" si="1311">IF(BS96="","","|n"&amp;EY$2&amp;"+"&amp;BS96&amp;EY$1)</f>
        <v/>
      </c>
      <c r="EZ96" s="30" t="str">
        <f t="shared" ref="EZ96:EZ98" si="1312">IF(BT96="","","|n"&amp;EZ$2&amp;"+"&amp;BT96&amp;EZ$1)</f>
        <v/>
      </c>
      <c r="FA96" s="30" t="str">
        <f t="shared" ref="FA96:FA98" si="1313">IF(BU96="","","|n"&amp;FA$2&amp;"+"&amp;BU96&amp;FA$1)</f>
        <v/>
      </c>
      <c r="FB96" s="30" t="str">
        <f t="shared" ref="FB96:FB98" si="1314">IF(BV96="","","|n"&amp;FB$2&amp;"+"&amp;BV96&amp;FB$1)</f>
        <v/>
      </c>
      <c r="FC96" s="30" t="str">
        <f t="shared" ref="FC96:FC98" si="1315">IF(BW96="","","|n"&amp;FC$2&amp;"+"&amp;BW96&amp;FC$1)</f>
        <v/>
      </c>
      <c r="FD96" s="30" t="str">
        <f t="shared" ref="FD96:FD98" si="1316">IF(BX96="","","|n"&amp;FD$2&amp;"+"&amp;BX96&amp;FD$1)</f>
        <v/>
      </c>
      <c r="FE96" s="30" t="str">
        <f t="shared" ref="FE96:FE98" si="1317">IF(BY96="","","|n"&amp;FE$2&amp;"+"&amp;BY96&amp;FE$1)</f>
        <v/>
      </c>
      <c r="FF96" s="30" t="str">
        <f t="shared" ref="FF96:FF98" si="1318">IF(BZ96="","","|n"&amp;FF$2&amp;"+"&amp;BZ96&amp;FF$1)</f>
        <v/>
      </c>
      <c r="FG96" s="30" t="str">
        <f t="shared" ref="FG96:FG98" si="1319">IF(CA96="","","|n"&amp;FG$2&amp;"+"&amp;CA96&amp;FG$1)</f>
        <v/>
      </c>
      <c r="FH96" s="30" t="str">
        <f t="shared" ref="FH96:FH98" si="1320">IF(CB96="","","|n"&amp;FH$2&amp;"+"&amp;CB96&amp;FH$1)</f>
        <v/>
      </c>
      <c r="FI96" s="30" t="str">
        <f t="shared" ref="FI96:FI98" si="1321">IF(CC96="","","|n"&amp;FI$2&amp;"+"&amp;CC96&amp;FI$1)</f>
        <v/>
      </c>
      <c r="FJ96" s="30" t="str">
        <f t="shared" ref="FJ96:FJ98" si="1322">IF(CD96="","","|n"&amp;FJ$2&amp;"+"&amp;CD96&amp;FJ$1)</f>
        <v/>
      </c>
      <c r="FK96" s="30" t="str">
        <f t="shared" ref="FK96:FK98" si="1323">IF(CE96="","","|n"&amp;FK$2&amp;"+"&amp;CE96&amp;FK$1)</f>
        <v/>
      </c>
      <c r="FL96" s="30" t="str">
        <f t="shared" ref="FL96:FL98" si="1324">IF(CF96="","","|n"&amp;FL$2&amp;"+"&amp;CF96&amp;FL$1)</f>
        <v/>
      </c>
      <c r="FM96" s="30" t="str">
        <f t="shared" ref="FM96:FM98" si="1325">IF(CG96="","","|n"&amp;FM$2&amp;"+"&amp;CG96&amp;FM$1)</f>
        <v/>
      </c>
      <c r="FN96" s="30" t="str">
        <f t="shared" ref="FN96:FN98" si="1326">IF(CH96="","","|n"&amp;FN$2&amp;"+"&amp;CH96&amp;FN$1)</f>
        <v/>
      </c>
      <c r="FO96" s="30" t="str">
        <f t="shared" ref="FO96:FO98" si="1327">IF(CI96="","","|n"&amp;FO$2&amp;"+"&amp;CI96&amp;FO$1)</f>
        <v/>
      </c>
      <c r="FP96" s="30" t="str">
        <f t="shared" ref="FP96:FP98" si="1328">IF(CJ96="","","|n"&amp;FP$2&amp;"+"&amp;CJ96&amp;FP$1)</f>
        <v/>
      </c>
      <c r="FQ96" s="30" t="str">
        <f t="shared" ref="FQ96:FQ98" si="1329">IF(CK96="","","|n"&amp;FQ$2&amp;"+"&amp;CK96&amp;FQ$1)</f>
        <v/>
      </c>
      <c r="FR96" s="30" t="str">
        <f t="shared" ref="FR96:FR98" si="1330">IF(CL96="","","|n"&amp;FR$2&amp;"+"&amp;CL96&amp;FR$1)</f>
        <v/>
      </c>
      <c r="FS96" s="30" t="str">
        <f t="shared" ref="FS96:FS98" si="1331">IF(CM96="","","|n"&amp;FS$2&amp;"+"&amp;CM96&amp;FS$1)</f>
        <v/>
      </c>
    </row>
    <row r="97" spans="1:175" ht="16.5">
      <c r="A97" s="111"/>
      <c r="B97" s="111" t="s">
        <v>947</v>
      </c>
      <c r="C97" s="111" t="s">
        <v>951</v>
      </c>
      <c r="T97" s="122" t="s">
        <v>958</v>
      </c>
      <c r="U97" s="37" t="s">
        <v>822</v>
      </c>
      <c r="CN97" s="7" t="str">
        <f t="shared" ref="CN97" si="1332">"InitUnitState('"&amp;B97&amp;"',"&amp;V97&amp;","&amp;W97&amp;","&amp;X97&amp;","&amp;Y97&amp;","&amp;Z97&amp;","&amp;AA97&amp;","&amp;AB97&amp;","&amp;AC97&amp;","&amp;AD97&amp;","&amp;AE97&amp;")"</f>
        <v>InitUnitState('I005',,,,,,,,,,)</v>
      </c>
      <c r="CO97" s="7" t="str">
        <f t="shared" ref="CO97" si="1333">"InitUnitNormal('"&amp;B97&amp;"',"&amp;AF97&amp;","&amp;AG97&amp;","&amp;AH97&amp;","&amp;AI97&amp;","&amp;AJ97&amp;","&amp;AK97&amp;","&amp;AL97&amp;","&amp;AM97&amp;","&amp;AN97&amp;","&amp;AO97&amp;")"</f>
        <v>InitUnitNormal('I005',,,,,,,,,,)</v>
      </c>
      <c r="CP97" s="7" t="str">
        <f t="shared" ref="CP97" si="1334">"InitUnitMagic('"&amp;B97&amp;"',"&amp;AP97&amp;","&amp;AQ97&amp;","&amp;AR97&amp;","&amp;AS97&amp;","&amp;AT97&amp;","&amp;AU97&amp;","&amp;AV97&amp;","&amp;AW97&amp;","&amp;BI97&amp;","&amp;BJ97&amp;")"</f>
        <v>InitUnitMagic('I005',,,,,,,,,,)</v>
      </c>
      <c r="CQ97" s="7" t="str">
        <f t="shared" ref="CQ97" si="1335">"InitUnitAdd('"&amp;B97&amp;"',"&amp;BK97&amp;","&amp;BL97&amp;","&amp;BM97&amp;","&amp;BN97&amp;","&amp;BO97&amp;","&amp;BP97&amp;","&amp;BQ97&amp;","&amp;BR97&amp;","&amp;BS97&amp;","&amp;BT97&amp;")"</f>
        <v>InitUnitAdd('I005',,,,,,,,,,)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106&amp;CR$1&amp;")"</f>
        <v>InitEquipData('I005',,"",,,,,'','','','','','',"ReplaceableTextures\\CommandButtons\\BTNTome.blp")</v>
      </c>
      <c r="CU97" s="45" t="str">
        <f t="shared" ref="CU97" si="133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" si="1337">T97</f>
        <v>物理伤害提高40%，持续15秒。</v>
      </c>
      <c r="CW97" s="24"/>
      <c r="CX97" s="24"/>
      <c r="CY97" s="24"/>
      <c r="CZ97" s="24"/>
      <c r="DA97" s="24"/>
      <c r="DB97" s="30" t="str">
        <f t="shared" ref="DB97" si="1338">IF(V97="","","|n"&amp;DB$2&amp;"+"&amp;V97&amp;DB$1)</f>
        <v/>
      </c>
      <c r="DC97" s="30" t="str">
        <f t="shared" ref="DC97" si="1339">IF(W97="","","|n"&amp;DC$2&amp;"+"&amp;W97&amp;DC$1)</f>
        <v/>
      </c>
      <c r="DD97" s="30" t="str">
        <f t="shared" ref="DD97" si="1340">IF(X97="","","|n"&amp;DD$2&amp;"+"&amp;X97&amp;DD$1)</f>
        <v/>
      </c>
      <c r="DE97" s="30" t="str">
        <f t="shared" ref="DE97" si="1341">IF(Y97="","","|n"&amp;DE$2&amp;"+"&amp;Y97&amp;DE$1)</f>
        <v/>
      </c>
      <c r="DF97" s="30" t="str">
        <f t="shared" ref="DF97" si="1342">IF(Z97="","","|n"&amp;DF$2&amp;"+"&amp;Z97&amp;DF$1)</f>
        <v/>
      </c>
      <c r="DG97" s="30" t="str">
        <f t="shared" ref="DG97" si="1343">IF(AA97="","","|n"&amp;DG$2&amp;"+"&amp;AA97&amp;DG$1)</f>
        <v/>
      </c>
      <c r="DH97" s="30" t="str">
        <f t="shared" ref="DH97" si="1344">IF(AB97="","","|n"&amp;DH$2&amp;"+"&amp;AB97&amp;DH$1)</f>
        <v/>
      </c>
      <c r="DI97" s="30" t="str">
        <f t="shared" ref="DI97" si="1345">IF(AC97="","","|n"&amp;DI$2&amp;"+"&amp;AC97&amp;DI$1)</f>
        <v/>
      </c>
      <c r="DJ97" s="30" t="str">
        <f t="shared" ref="DJ97" si="1346">IF(AD97="","","|n"&amp;DJ$2&amp;"+"&amp;AD97&amp;DJ$1)</f>
        <v/>
      </c>
      <c r="DK97" s="30" t="str">
        <f t="shared" ref="DK97" si="1347">IF(AE97="","","|n"&amp;DK$2&amp;"+"&amp;AE97&amp;DK$1)</f>
        <v/>
      </c>
      <c r="DL97" s="30" t="str">
        <f t="shared" ref="DL97" si="1348">IF(AF97="","","|n"&amp;DL$2&amp;"+"&amp;AF97&amp;DL$1)</f>
        <v/>
      </c>
      <c r="DM97" s="30" t="str">
        <f t="shared" ref="DM97" si="1349">IF(AG97="","","|n"&amp;DM$2&amp;"+"&amp;AG97&amp;DM$1)</f>
        <v/>
      </c>
      <c r="DN97" s="30" t="str">
        <f t="shared" ref="DN97" si="1350">IF(AH97="","","|n"&amp;DN$2&amp;"+"&amp;AH97&amp;DN$1)</f>
        <v/>
      </c>
      <c r="DO97" s="30" t="str">
        <f t="shared" ref="DO97" si="1351">IF(AI97="","","|n"&amp;DO$2&amp;"+"&amp;AI97&amp;DO$1)</f>
        <v/>
      </c>
      <c r="DP97" s="30" t="str">
        <f t="shared" ref="DP97" si="1352">IF(AJ97="","","|n"&amp;DP$2&amp;"+"&amp;AJ97&amp;DP$1)</f>
        <v/>
      </c>
      <c r="DQ97" s="30" t="str">
        <f t="shared" ref="DQ97" si="1353">IF(AK97="","","|n"&amp;DQ$2&amp;"+"&amp;AK97&amp;DQ$1)</f>
        <v/>
      </c>
      <c r="DR97" s="30" t="str">
        <f t="shared" ref="DR97" si="1354">IF(AL97="","","|n"&amp;DR$2&amp;"+"&amp;AL97&amp;DR$1)</f>
        <v/>
      </c>
      <c r="DS97" s="30" t="str">
        <f t="shared" ref="DS97" si="1355">IF(AM97="","","|n"&amp;DS$2&amp;"+"&amp;AM97&amp;DS$1)</f>
        <v/>
      </c>
      <c r="DT97" s="30" t="str">
        <f t="shared" ref="DT97" si="1356">IF(AN97="","","|n"&amp;DT$2&amp;"+"&amp;AN97&amp;DT$1)</f>
        <v/>
      </c>
      <c r="DU97" s="30" t="str">
        <f t="shared" ref="DU97" si="1357">IF(AO97="","","|n"&amp;DU$2&amp;"+"&amp;AO97&amp;DU$1)</f>
        <v/>
      </c>
      <c r="DV97" s="30" t="str">
        <f t="shared" ref="DV97" si="1358">IF(AP97="","","|n"&amp;DV$2&amp;"+"&amp;AP97&amp;DV$1)</f>
        <v/>
      </c>
      <c r="DW97" s="30" t="str">
        <f t="shared" ref="DW97" si="1359">IF(AQ97="","","|n"&amp;DW$2&amp;"+"&amp;AQ97&amp;DW$1)</f>
        <v/>
      </c>
      <c r="DX97" s="30" t="str">
        <f t="shared" ref="DX97" si="1360">IF(AR97="","","|n"&amp;DX$2&amp;"+"&amp;AR97&amp;DX$1)</f>
        <v/>
      </c>
      <c r="DY97" s="30" t="str">
        <f t="shared" ref="DY97" si="1361">IF(AS97="","","|n"&amp;DY$2&amp;"+"&amp;AS97&amp;DY$1)</f>
        <v/>
      </c>
      <c r="DZ97" s="30" t="str">
        <f t="shared" ref="DZ97" si="1362">IF(AT97="","","|n"&amp;DZ$2&amp;"+"&amp;AT97&amp;DZ$1)</f>
        <v/>
      </c>
      <c r="EA97" s="30" t="str">
        <f t="shared" ref="EA97" si="1363">IF(AU97="","","|n"&amp;EA$2&amp;"+"&amp;AU97&amp;EA$1)</f>
        <v/>
      </c>
      <c r="EB97" s="30" t="str">
        <f t="shared" ref="EB97" si="1364">IF(AV97="","","|n"&amp;EB$2&amp;"+"&amp;AV97&amp;EB$1)</f>
        <v/>
      </c>
      <c r="EC97" s="30" t="str">
        <f t="shared" ref="EC97" si="1365">IF(AW97="","","|n"&amp;EC$2&amp;"+"&amp;AW97&amp;EC$1)</f>
        <v/>
      </c>
      <c r="ED97" s="30" t="str">
        <f t="shared" ref="ED97" si="1366">IF(AX97="","","|n"&amp;ED$2&amp;"+"&amp;AX97&amp;ED$1)</f>
        <v/>
      </c>
      <c r="EE97" s="30" t="str">
        <f t="shared" ref="EE97" si="1367">IF(AY97="","","|n"&amp;EE$2&amp;"+"&amp;AY97&amp;EE$1)</f>
        <v/>
      </c>
      <c r="EF97" s="30" t="str">
        <f t="shared" ref="EF97" si="1368">IF(AZ97="","","|n"&amp;EF$2&amp;"+"&amp;AZ97&amp;EF$1)</f>
        <v/>
      </c>
      <c r="EG97" s="30" t="str">
        <f t="shared" ref="EG97" si="1369">IF(BA97="","","|n"&amp;EG$2&amp;"+"&amp;BA97&amp;EG$1)</f>
        <v/>
      </c>
      <c r="EH97" s="30" t="str">
        <f t="shared" ref="EH97" si="1370">IF(BB97="","","|n"&amp;EH$2&amp;"+"&amp;BB97&amp;EH$1)</f>
        <v/>
      </c>
      <c r="EI97" s="30" t="str">
        <f t="shared" ref="EI97" si="1371">IF(BC97="","","|n"&amp;EI$2&amp;"+"&amp;BC97&amp;EI$1)</f>
        <v/>
      </c>
      <c r="EJ97" s="30" t="str">
        <f t="shared" ref="EJ97" si="1372">IF(BD97="","","|n"&amp;EJ$2&amp;"+"&amp;BD97&amp;EJ$1)</f>
        <v/>
      </c>
      <c r="EK97" s="30" t="str">
        <f t="shared" ref="EK97" si="1373">IF(BE97="","","|n"&amp;EK$2&amp;"+"&amp;BE97&amp;EK$1)</f>
        <v/>
      </c>
      <c r="EL97" s="30" t="str">
        <f t="shared" ref="EL97" si="1374">IF(BF97="","","|n"&amp;EL$2&amp;"+"&amp;BF97&amp;EL$1)</f>
        <v/>
      </c>
      <c r="EM97" s="30" t="str">
        <f t="shared" ref="EM97" si="1375">IF(BG97="","","|n"&amp;EM$2&amp;"+"&amp;BG97&amp;EM$1)</f>
        <v/>
      </c>
      <c r="EN97" s="30" t="str">
        <f t="shared" ref="EN97" si="1376">IF(BH97="","","|n"&amp;EN$2&amp;"+"&amp;BH97&amp;EN$1)</f>
        <v/>
      </c>
      <c r="EO97" s="30" t="str">
        <f t="shared" ref="EO97" si="1377">IF(BI97="","","|n"&amp;EO$2&amp;"+"&amp;BI97&amp;EO$1)</f>
        <v/>
      </c>
      <c r="EP97" s="30" t="str">
        <f t="shared" ref="EP97" si="1378">IF(BJ97="","","|n"&amp;EP$2&amp;"+"&amp;BJ97&amp;EP$1)</f>
        <v/>
      </c>
      <c r="EQ97" s="30" t="str">
        <f t="shared" ref="EQ97" si="1379">IF(BK97="","","|n"&amp;EQ$2&amp;"+"&amp;BK97&amp;EQ$1)</f>
        <v/>
      </c>
      <c r="ER97" s="30" t="str">
        <f t="shared" ref="ER97" si="1380">IF(BL97="","","|n"&amp;ER$2&amp;"+"&amp;BL97&amp;ER$1)</f>
        <v/>
      </c>
      <c r="ES97" s="30" t="str">
        <f t="shared" ref="ES97" si="1381">IF(BM97="","","|n"&amp;ES$2&amp;"+"&amp;BM97&amp;ES$1)</f>
        <v/>
      </c>
      <c r="ET97" s="30" t="str">
        <f t="shared" ref="ET97" si="1382">IF(BN97="","","|n"&amp;ET$2&amp;"+"&amp;BN97&amp;ET$1)</f>
        <v/>
      </c>
      <c r="EU97" s="30" t="str">
        <f t="shared" ref="EU97" si="1383">IF(BO97="","","|n"&amp;EU$2&amp;"+"&amp;BO97&amp;EU$1)</f>
        <v/>
      </c>
      <c r="EV97" s="30" t="str">
        <f t="shared" ref="EV97" si="1384">IF(BP97="","","|n"&amp;EV$2&amp;"+"&amp;BP97&amp;EV$1)</f>
        <v/>
      </c>
      <c r="EW97" s="30" t="str">
        <f t="shared" ref="EW97" si="1385">IF(BQ97="","","|n"&amp;EW$2&amp;"+"&amp;BQ97&amp;EW$1)</f>
        <v/>
      </c>
      <c r="EX97" s="30" t="str">
        <f t="shared" ref="EX97" si="1386">IF(BR97="","","|n"&amp;EX$2&amp;"+"&amp;BR97&amp;EX$1)</f>
        <v/>
      </c>
      <c r="EY97" s="30" t="str">
        <f t="shared" ref="EY97" si="1387">IF(BS97="","","|n"&amp;EY$2&amp;"+"&amp;BS97&amp;EY$1)</f>
        <v/>
      </c>
      <c r="EZ97" s="30" t="str">
        <f t="shared" ref="EZ97" si="1388">IF(BT97="","","|n"&amp;EZ$2&amp;"+"&amp;BT97&amp;EZ$1)</f>
        <v/>
      </c>
      <c r="FA97" s="30" t="str">
        <f t="shared" ref="FA97" si="1389">IF(BU97="","","|n"&amp;FA$2&amp;"+"&amp;BU97&amp;FA$1)</f>
        <v/>
      </c>
      <c r="FB97" s="30" t="str">
        <f t="shared" ref="FB97" si="1390">IF(BV97="","","|n"&amp;FB$2&amp;"+"&amp;BV97&amp;FB$1)</f>
        <v/>
      </c>
      <c r="FC97" s="30" t="str">
        <f t="shared" ref="FC97" si="1391">IF(BW97="","","|n"&amp;FC$2&amp;"+"&amp;BW97&amp;FC$1)</f>
        <v/>
      </c>
      <c r="FD97" s="30" t="str">
        <f t="shared" ref="FD97" si="1392">IF(BX97="","","|n"&amp;FD$2&amp;"+"&amp;BX97&amp;FD$1)</f>
        <v/>
      </c>
      <c r="FE97" s="30" t="str">
        <f t="shared" ref="FE97" si="1393">IF(BY97="","","|n"&amp;FE$2&amp;"+"&amp;BY97&amp;FE$1)</f>
        <v/>
      </c>
      <c r="FF97" s="30" t="str">
        <f t="shared" ref="FF97" si="1394">IF(BZ97="","","|n"&amp;FF$2&amp;"+"&amp;BZ97&amp;FF$1)</f>
        <v/>
      </c>
      <c r="FG97" s="30" t="str">
        <f t="shared" ref="FG97" si="1395">IF(CA97="","","|n"&amp;FG$2&amp;"+"&amp;CA97&amp;FG$1)</f>
        <v/>
      </c>
      <c r="FH97" s="30" t="str">
        <f t="shared" ref="FH97" si="1396">IF(CB97="","","|n"&amp;FH$2&amp;"+"&amp;CB97&amp;FH$1)</f>
        <v/>
      </c>
      <c r="FI97" s="30" t="str">
        <f t="shared" ref="FI97" si="1397">IF(CC97="","","|n"&amp;FI$2&amp;"+"&amp;CC97&amp;FI$1)</f>
        <v/>
      </c>
      <c r="FJ97" s="30" t="str">
        <f t="shared" ref="FJ97" si="1398">IF(CD97="","","|n"&amp;FJ$2&amp;"+"&amp;CD97&amp;FJ$1)</f>
        <v/>
      </c>
      <c r="FK97" s="30" t="str">
        <f t="shared" ref="FK97" si="1399">IF(CE97="","","|n"&amp;FK$2&amp;"+"&amp;CE97&amp;FK$1)</f>
        <v/>
      </c>
      <c r="FL97" s="30" t="str">
        <f t="shared" ref="FL97" si="1400">IF(CF97="","","|n"&amp;FL$2&amp;"+"&amp;CF97&amp;FL$1)</f>
        <v/>
      </c>
      <c r="FM97" s="30" t="str">
        <f t="shared" ref="FM97" si="1401">IF(CG97="","","|n"&amp;FM$2&amp;"+"&amp;CG97&amp;FM$1)</f>
        <v/>
      </c>
      <c r="FN97" s="30" t="str">
        <f t="shared" ref="FN97" si="1402">IF(CH97="","","|n"&amp;FN$2&amp;"+"&amp;CH97&amp;FN$1)</f>
        <v/>
      </c>
      <c r="FO97" s="30" t="str">
        <f t="shared" ref="FO97" si="1403">IF(CI97="","","|n"&amp;FO$2&amp;"+"&amp;CI97&amp;FO$1)</f>
        <v/>
      </c>
      <c r="FP97" s="30" t="str">
        <f t="shared" ref="FP97" si="1404">IF(CJ97="","","|n"&amp;FP$2&amp;"+"&amp;CJ97&amp;FP$1)</f>
        <v/>
      </c>
      <c r="FQ97" s="30" t="str">
        <f t="shared" ref="FQ97" si="1405">IF(CK97="","","|n"&amp;FQ$2&amp;"+"&amp;CK97&amp;FQ$1)</f>
        <v/>
      </c>
      <c r="FR97" s="30" t="str">
        <f t="shared" ref="FR97" si="1406">IF(CL97="","","|n"&amp;FR$2&amp;"+"&amp;CL97&amp;FR$1)</f>
        <v/>
      </c>
      <c r="FS97" s="30" t="str">
        <f t="shared" ref="FS97" si="1407">IF(CM97="","","|n"&amp;FS$2&amp;"+"&amp;CM97&amp;FS$1)</f>
        <v/>
      </c>
    </row>
    <row r="98" spans="1:175" ht="16.5">
      <c r="A98" s="111"/>
      <c r="B98" s="111" t="s">
        <v>959</v>
      </c>
      <c r="C98" s="111" t="s">
        <v>963</v>
      </c>
      <c r="T98" s="114" t="s">
        <v>952</v>
      </c>
      <c r="U98" s="37" t="s">
        <v>822</v>
      </c>
      <c r="CN98" s="7" t="str">
        <f t="shared" si="1256"/>
        <v>InitUnitState('I011',,,,,,,,,,)</v>
      </c>
      <c r="CO98" s="7" t="str">
        <f t="shared" si="1257"/>
        <v>InitUnitNormal('I011',,,,,,,,,,)</v>
      </c>
      <c r="CP98" s="7" t="str">
        <f t="shared" si="1258"/>
        <v>InitUnitMagic('I011',,,,,,,,,,)</v>
      </c>
      <c r="CQ98" s="7" t="str">
        <f t="shared" si="1259"/>
        <v>InitUnitAdd('I011',,,,,,,,,,)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106&amp;CR$1&amp;")"</f>
        <v>InitEquipData('I011',,"",,,,,'','','','','','',"ReplaceableTextures\\CommandButtons\\BTNTome.blp")</v>
      </c>
      <c r="CU98" s="45" t="str">
        <f t="shared" si="1260"/>
        <v>|n</v>
      </c>
      <c r="CV98" s="29" t="str">
        <f t="shared" si="1261"/>
        <v>聚宝盆</v>
      </c>
      <c r="CW98" s="24"/>
      <c r="CX98" s="24"/>
      <c r="CY98" s="24"/>
      <c r="CZ98" s="24"/>
      <c r="DA98" s="24"/>
      <c r="DB98" s="30" t="str">
        <f t="shared" si="1262"/>
        <v/>
      </c>
      <c r="DC98" s="30" t="str">
        <f t="shared" si="1263"/>
        <v/>
      </c>
      <c r="DD98" s="30" t="str">
        <f t="shared" si="1264"/>
        <v/>
      </c>
      <c r="DE98" s="30" t="str">
        <f t="shared" si="1265"/>
        <v/>
      </c>
      <c r="DF98" s="30" t="str">
        <f t="shared" si="1266"/>
        <v/>
      </c>
      <c r="DG98" s="30" t="str">
        <f t="shared" si="1267"/>
        <v/>
      </c>
      <c r="DH98" s="30" t="str">
        <f t="shared" si="1268"/>
        <v/>
      </c>
      <c r="DI98" s="30" t="str">
        <f t="shared" si="1269"/>
        <v/>
      </c>
      <c r="DJ98" s="30" t="str">
        <f t="shared" si="1270"/>
        <v/>
      </c>
      <c r="DK98" s="30" t="str">
        <f t="shared" si="1271"/>
        <v/>
      </c>
      <c r="DL98" s="30" t="str">
        <f t="shared" si="1272"/>
        <v/>
      </c>
      <c r="DM98" s="30" t="str">
        <f t="shared" si="1273"/>
        <v/>
      </c>
      <c r="DN98" s="30" t="str">
        <f t="shared" si="1274"/>
        <v/>
      </c>
      <c r="DO98" s="30" t="str">
        <f t="shared" si="1275"/>
        <v/>
      </c>
      <c r="DP98" s="30" t="str">
        <f t="shared" si="1276"/>
        <v/>
      </c>
      <c r="DQ98" s="30" t="str">
        <f t="shared" si="1277"/>
        <v/>
      </c>
      <c r="DR98" s="30" t="str">
        <f t="shared" si="1278"/>
        <v/>
      </c>
      <c r="DS98" s="30" t="str">
        <f t="shared" si="1279"/>
        <v/>
      </c>
      <c r="DT98" s="30" t="str">
        <f t="shared" si="1280"/>
        <v/>
      </c>
      <c r="DU98" s="30" t="str">
        <f t="shared" si="1281"/>
        <v/>
      </c>
      <c r="DV98" s="30" t="str">
        <f t="shared" si="1282"/>
        <v/>
      </c>
      <c r="DW98" s="30" t="str">
        <f t="shared" si="1283"/>
        <v/>
      </c>
      <c r="DX98" s="30" t="str">
        <f t="shared" si="1284"/>
        <v/>
      </c>
      <c r="DY98" s="30" t="str">
        <f t="shared" si="1285"/>
        <v/>
      </c>
      <c r="DZ98" s="30" t="str">
        <f t="shared" si="1286"/>
        <v/>
      </c>
      <c r="EA98" s="30" t="str">
        <f t="shared" si="1287"/>
        <v/>
      </c>
      <c r="EB98" s="30" t="str">
        <f t="shared" si="1288"/>
        <v/>
      </c>
      <c r="EC98" s="30" t="str">
        <f t="shared" si="1289"/>
        <v/>
      </c>
      <c r="ED98" s="30" t="str">
        <f t="shared" si="1290"/>
        <v/>
      </c>
      <c r="EE98" s="30" t="str">
        <f t="shared" si="1291"/>
        <v/>
      </c>
      <c r="EF98" s="30" t="str">
        <f t="shared" si="1292"/>
        <v/>
      </c>
      <c r="EG98" s="30" t="str">
        <f t="shared" si="1293"/>
        <v/>
      </c>
      <c r="EH98" s="30" t="str">
        <f t="shared" si="1294"/>
        <v/>
      </c>
      <c r="EI98" s="30" t="str">
        <f t="shared" si="1295"/>
        <v/>
      </c>
      <c r="EJ98" s="30" t="str">
        <f t="shared" si="1296"/>
        <v/>
      </c>
      <c r="EK98" s="30" t="str">
        <f t="shared" si="1297"/>
        <v/>
      </c>
      <c r="EL98" s="30" t="str">
        <f t="shared" si="1298"/>
        <v/>
      </c>
      <c r="EM98" s="30" t="str">
        <f t="shared" si="1299"/>
        <v/>
      </c>
      <c r="EN98" s="30" t="str">
        <f t="shared" si="1300"/>
        <v/>
      </c>
      <c r="EO98" s="30" t="str">
        <f t="shared" si="1301"/>
        <v/>
      </c>
      <c r="EP98" s="30" t="str">
        <f t="shared" si="1302"/>
        <v/>
      </c>
      <c r="EQ98" s="30" t="str">
        <f t="shared" si="1303"/>
        <v/>
      </c>
      <c r="ER98" s="30" t="str">
        <f t="shared" si="1304"/>
        <v/>
      </c>
      <c r="ES98" s="30" t="str">
        <f t="shared" si="1305"/>
        <v/>
      </c>
      <c r="ET98" s="30" t="str">
        <f t="shared" si="1306"/>
        <v/>
      </c>
      <c r="EU98" s="30" t="str">
        <f t="shared" si="1307"/>
        <v/>
      </c>
      <c r="EV98" s="30" t="str">
        <f t="shared" si="1308"/>
        <v/>
      </c>
      <c r="EW98" s="30" t="str">
        <f t="shared" si="1309"/>
        <v/>
      </c>
      <c r="EX98" s="30" t="str">
        <f t="shared" si="1310"/>
        <v/>
      </c>
      <c r="EY98" s="30" t="str">
        <f t="shared" si="1311"/>
        <v/>
      </c>
      <c r="EZ98" s="30" t="str">
        <f t="shared" si="1312"/>
        <v/>
      </c>
      <c r="FA98" s="30" t="str">
        <f t="shared" si="1313"/>
        <v/>
      </c>
      <c r="FB98" s="30" t="str">
        <f t="shared" si="1314"/>
        <v/>
      </c>
      <c r="FC98" s="30" t="str">
        <f t="shared" si="1315"/>
        <v/>
      </c>
      <c r="FD98" s="30" t="str">
        <f t="shared" si="1316"/>
        <v/>
      </c>
      <c r="FE98" s="30" t="str">
        <f t="shared" si="1317"/>
        <v/>
      </c>
      <c r="FF98" s="30" t="str">
        <f t="shared" si="1318"/>
        <v/>
      </c>
      <c r="FG98" s="30" t="str">
        <f t="shared" si="1319"/>
        <v/>
      </c>
      <c r="FH98" s="30" t="str">
        <f t="shared" si="1320"/>
        <v/>
      </c>
      <c r="FI98" s="30" t="str">
        <f t="shared" si="1321"/>
        <v/>
      </c>
      <c r="FJ98" s="30" t="str">
        <f t="shared" si="1322"/>
        <v/>
      </c>
      <c r="FK98" s="30" t="str">
        <f t="shared" si="1323"/>
        <v/>
      </c>
      <c r="FL98" s="30" t="str">
        <f t="shared" si="1324"/>
        <v/>
      </c>
      <c r="FM98" s="30" t="str">
        <f t="shared" si="1325"/>
        <v/>
      </c>
      <c r="FN98" s="30" t="str">
        <f t="shared" si="1326"/>
        <v/>
      </c>
      <c r="FO98" s="30" t="str">
        <f t="shared" si="1327"/>
        <v/>
      </c>
      <c r="FP98" s="30" t="str">
        <f t="shared" si="1328"/>
        <v/>
      </c>
      <c r="FQ98" s="30" t="str">
        <f t="shared" si="1329"/>
        <v/>
      </c>
      <c r="FR98" s="30" t="str">
        <f t="shared" si="1330"/>
        <v/>
      </c>
      <c r="FS98" s="30" t="str">
        <f t="shared" si="1331"/>
        <v/>
      </c>
    </row>
    <row r="99" spans="1:175" ht="16.5">
      <c r="A99" s="111"/>
      <c r="B99" s="111" t="s">
        <v>960</v>
      </c>
      <c r="C99" s="111" t="s">
        <v>964</v>
      </c>
      <c r="T99" s="114" t="s">
        <v>952</v>
      </c>
      <c r="U99" s="37" t="s">
        <v>822</v>
      </c>
      <c r="CN99" s="7" t="str">
        <f t="shared" ref="CN99:CN100" si="1408">"InitUnitState('"&amp;B99&amp;"',"&amp;V99&amp;","&amp;W99&amp;","&amp;X99&amp;","&amp;Y99&amp;","&amp;Z99&amp;","&amp;AA99&amp;","&amp;AB99&amp;","&amp;AC99&amp;","&amp;AD99&amp;","&amp;AE99&amp;")"</f>
        <v>InitUnitState('I012',,,,,,,,,,)</v>
      </c>
      <c r="CO99" s="7" t="str">
        <f t="shared" ref="CO99:CO100" si="1409">"InitUnitNormal('"&amp;B99&amp;"',"&amp;AF99&amp;","&amp;AG99&amp;","&amp;AH99&amp;","&amp;AI99&amp;","&amp;AJ99&amp;","&amp;AK99&amp;","&amp;AL99&amp;","&amp;AM99&amp;","&amp;AN99&amp;","&amp;AO99&amp;")"</f>
        <v>InitUnitNormal('I012',,,,,,,,,,)</v>
      </c>
      <c r="CP99" s="7" t="str">
        <f t="shared" ref="CP99:CP100" si="1410">"InitUnitMagic('"&amp;B99&amp;"',"&amp;AP99&amp;","&amp;AQ99&amp;","&amp;AR99&amp;","&amp;AS99&amp;","&amp;AT99&amp;","&amp;AU99&amp;","&amp;AV99&amp;","&amp;AW99&amp;","&amp;BI99&amp;","&amp;BJ99&amp;")"</f>
        <v>InitUnitMagic('I012',,,,,,,,,,)</v>
      </c>
      <c r="CQ99" s="7" t="str">
        <f t="shared" ref="CQ99:CQ100" si="1411">"InitUnitAdd('"&amp;B99&amp;"',"&amp;BK99&amp;","&amp;BL99&amp;","&amp;BM99&amp;","&amp;BN99&amp;","&amp;BO99&amp;","&amp;BP99&amp;","&amp;BQ99&amp;","&amp;BR99&amp;","&amp;BS99&amp;","&amp;BT99&amp;")"</f>
        <v>InitUnitAdd('I012',,,,,,,,,,)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107&amp;CR$1&amp;")"</f>
        <v>InitEquipData('I012',,"",,,,,'','','','','','',"ReplaceableTextures\\CommandButtons\\BTNTome.blp")</v>
      </c>
      <c r="CU99" s="45" t="str">
        <f t="shared" ref="CU99:CU100" si="1412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29" t="str">
        <f t="shared" ref="CV99:CV100" si="1413">T99</f>
        <v>聚宝盆</v>
      </c>
      <c r="CW99" s="24"/>
      <c r="CX99" s="24"/>
      <c r="CY99" s="24"/>
      <c r="CZ99" s="24"/>
      <c r="DA99" s="24"/>
      <c r="DB99" s="30" t="str">
        <f t="shared" ref="DB99:DB100" si="1414">IF(V99="","","|n"&amp;DB$2&amp;"+"&amp;V99&amp;DB$1)</f>
        <v/>
      </c>
      <c r="DC99" s="30" t="str">
        <f t="shared" ref="DC99:DC100" si="1415">IF(W99="","","|n"&amp;DC$2&amp;"+"&amp;W99&amp;DC$1)</f>
        <v/>
      </c>
      <c r="DD99" s="30" t="str">
        <f t="shared" ref="DD99:DD100" si="1416">IF(X99="","","|n"&amp;DD$2&amp;"+"&amp;X99&amp;DD$1)</f>
        <v/>
      </c>
      <c r="DE99" s="30" t="str">
        <f t="shared" ref="DE99:DE100" si="1417">IF(Y99="","","|n"&amp;DE$2&amp;"+"&amp;Y99&amp;DE$1)</f>
        <v/>
      </c>
      <c r="DF99" s="30" t="str">
        <f t="shared" ref="DF99:DF100" si="1418">IF(Z99="","","|n"&amp;DF$2&amp;"+"&amp;Z99&amp;DF$1)</f>
        <v/>
      </c>
      <c r="DG99" s="30" t="str">
        <f t="shared" ref="DG99:DG100" si="1419">IF(AA99="","","|n"&amp;DG$2&amp;"+"&amp;AA99&amp;DG$1)</f>
        <v/>
      </c>
      <c r="DH99" s="30" t="str">
        <f t="shared" ref="DH99:DH100" si="1420">IF(AB99="","","|n"&amp;DH$2&amp;"+"&amp;AB99&amp;DH$1)</f>
        <v/>
      </c>
      <c r="DI99" s="30" t="str">
        <f t="shared" ref="DI99:DI100" si="1421">IF(AC99="","","|n"&amp;DI$2&amp;"+"&amp;AC99&amp;DI$1)</f>
        <v/>
      </c>
      <c r="DJ99" s="30" t="str">
        <f t="shared" ref="DJ99:DJ100" si="1422">IF(AD99="","","|n"&amp;DJ$2&amp;"+"&amp;AD99&amp;DJ$1)</f>
        <v/>
      </c>
      <c r="DK99" s="30" t="str">
        <f t="shared" ref="DK99:DK100" si="1423">IF(AE99="","","|n"&amp;DK$2&amp;"+"&amp;AE99&amp;DK$1)</f>
        <v/>
      </c>
      <c r="DL99" s="30" t="str">
        <f t="shared" ref="DL99:DL100" si="1424">IF(AF99="","","|n"&amp;DL$2&amp;"+"&amp;AF99&amp;DL$1)</f>
        <v/>
      </c>
      <c r="DM99" s="30" t="str">
        <f t="shared" ref="DM99:DM100" si="1425">IF(AG99="","","|n"&amp;DM$2&amp;"+"&amp;AG99&amp;DM$1)</f>
        <v/>
      </c>
      <c r="DN99" s="30" t="str">
        <f t="shared" ref="DN99:DN100" si="1426">IF(AH99="","","|n"&amp;DN$2&amp;"+"&amp;AH99&amp;DN$1)</f>
        <v/>
      </c>
      <c r="DO99" s="30" t="str">
        <f t="shared" ref="DO99:DO100" si="1427">IF(AI99="","","|n"&amp;DO$2&amp;"+"&amp;AI99&amp;DO$1)</f>
        <v/>
      </c>
      <c r="DP99" s="30" t="str">
        <f t="shared" ref="DP99:DP100" si="1428">IF(AJ99="","","|n"&amp;DP$2&amp;"+"&amp;AJ99&amp;DP$1)</f>
        <v/>
      </c>
      <c r="DQ99" s="30" t="str">
        <f t="shared" ref="DQ99:DQ100" si="1429">IF(AK99="","","|n"&amp;DQ$2&amp;"+"&amp;AK99&amp;DQ$1)</f>
        <v/>
      </c>
      <c r="DR99" s="30" t="str">
        <f t="shared" ref="DR99:DR100" si="1430">IF(AL99="","","|n"&amp;DR$2&amp;"+"&amp;AL99&amp;DR$1)</f>
        <v/>
      </c>
      <c r="DS99" s="30" t="str">
        <f t="shared" ref="DS99:DS100" si="1431">IF(AM99="","","|n"&amp;DS$2&amp;"+"&amp;AM99&amp;DS$1)</f>
        <v/>
      </c>
      <c r="DT99" s="30" t="str">
        <f t="shared" ref="DT99:DT100" si="1432">IF(AN99="","","|n"&amp;DT$2&amp;"+"&amp;AN99&amp;DT$1)</f>
        <v/>
      </c>
      <c r="DU99" s="30" t="str">
        <f t="shared" ref="DU99:DU100" si="1433">IF(AO99="","","|n"&amp;DU$2&amp;"+"&amp;AO99&amp;DU$1)</f>
        <v/>
      </c>
      <c r="DV99" s="30" t="str">
        <f t="shared" ref="DV99:DV100" si="1434">IF(AP99="","","|n"&amp;DV$2&amp;"+"&amp;AP99&amp;DV$1)</f>
        <v/>
      </c>
      <c r="DW99" s="30" t="str">
        <f t="shared" ref="DW99:DW100" si="1435">IF(AQ99="","","|n"&amp;DW$2&amp;"+"&amp;AQ99&amp;DW$1)</f>
        <v/>
      </c>
      <c r="DX99" s="30" t="str">
        <f t="shared" ref="DX99:DX100" si="1436">IF(AR99="","","|n"&amp;DX$2&amp;"+"&amp;AR99&amp;DX$1)</f>
        <v/>
      </c>
      <c r="DY99" s="30" t="str">
        <f t="shared" ref="DY99:DY100" si="1437">IF(AS99="","","|n"&amp;DY$2&amp;"+"&amp;AS99&amp;DY$1)</f>
        <v/>
      </c>
      <c r="DZ99" s="30" t="str">
        <f t="shared" ref="DZ99:DZ100" si="1438">IF(AT99="","","|n"&amp;DZ$2&amp;"+"&amp;AT99&amp;DZ$1)</f>
        <v/>
      </c>
      <c r="EA99" s="30" t="str">
        <f t="shared" ref="EA99:EA100" si="1439">IF(AU99="","","|n"&amp;EA$2&amp;"+"&amp;AU99&amp;EA$1)</f>
        <v/>
      </c>
      <c r="EB99" s="30" t="str">
        <f t="shared" ref="EB99:EB100" si="1440">IF(AV99="","","|n"&amp;EB$2&amp;"+"&amp;AV99&amp;EB$1)</f>
        <v/>
      </c>
      <c r="EC99" s="30" t="str">
        <f t="shared" ref="EC99:EC100" si="1441">IF(AW99="","","|n"&amp;EC$2&amp;"+"&amp;AW99&amp;EC$1)</f>
        <v/>
      </c>
      <c r="ED99" s="30" t="str">
        <f t="shared" ref="ED99:ED100" si="1442">IF(AX99="","","|n"&amp;ED$2&amp;"+"&amp;AX99&amp;ED$1)</f>
        <v/>
      </c>
      <c r="EE99" s="30" t="str">
        <f t="shared" ref="EE99:EE100" si="1443">IF(AY99="","","|n"&amp;EE$2&amp;"+"&amp;AY99&amp;EE$1)</f>
        <v/>
      </c>
      <c r="EF99" s="30" t="str">
        <f t="shared" ref="EF99:EF100" si="1444">IF(AZ99="","","|n"&amp;EF$2&amp;"+"&amp;AZ99&amp;EF$1)</f>
        <v/>
      </c>
      <c r="EG99" s="30" t="str">
        <f t="shared" ref="EG99:EG100" si="1445">IF(BA99="","","|n"&amp;EG$2&amp;"+"&amp;BA99&amp;EG$1)</f>
        <v/>
      </c>
      <c r="EH99" s="30" t="str">
        <f t="shared" ref="EH99:EH100" si="1446">IF(BB99="","","|n"&amp;EH$2&amp;"+"&amp;BB99&amp;EH$1)</f>
        <v/>
      </c>
      <c r="EI99" s="30" t="str">
        <f t="shared" ref="EI99:EI100" si="1447">IF(BC99="","","|n"&amp;EI$2&amp;"+"&amp;BC99&amp;EI$1)</f>
        <v/>
      </c>
      <c r="EJ99" s="30" t="str">
        <f t="shared" ref="EJ99:EJ100" si="1448">IF(BD99="","","|n"&amp;EJ$2&amp;"+"&amp;BD99&amp;EJ$1)</f>
        <v/>
      </c>
      <c r="EK99" s="30" t="str">
        <f t="shared" ref="EK99:EK100" si="1449">IF(BE99="","","|n"&amp;EK$2&amp;"+"&amp;BE99&amp;EK$1)</f>
        <v/>
      </c>
      <c r="EL99" s="30" t="str">
        <f t="shared" ref="EL99:EL100" si="1450">IF(BF99="","","|n"&amp;EL$2&amp;"+"&amp;BF99&amp;EL$1)</f>
        <v/>
      </c>
      <c r="EM99" s="30" t="str">
        <f t="shared" ref="EM99:EM100" si="1451">IF(BG99="","","|n"&amp;EM$2&amp;"+"&amp;BG99&amp;EM$1)</f>
        <v/>
      </c>
      <c r="EN99" s="30" t="str">
        <f t="shared" ref="EN99:EN100" si="1452">IF(BH99="","","|n"&amp;EN$2&amp;"+"&amp;BH99&amp;EN$1)</f>
        <v/>
      </c>
      <c r="EO99" s="30" t="str">
        <f t="shared" ref="EO99:EO100" si="1453">IF(BI99="","","|n"&amp;EO$2&amp;"+"&amp;BI99&amp;EO$1)</f>
        <v/>
      </c>
      <c r="EP99" s="30" t="str">
        <f t="shared" ref="EP99:EP100" si="1454">IF(BJ99="","","|n"&amp;EP$2&amp;"+"&amp;BJ99&amp;EP$1)</f>
        <v/>
      </c>
      <c r="EQ99" s="30" t="str">
        <f t="shared" ref="EQ99:EQ100" si="1455">IF(BK99="","","|n"&amp;EQ$2&amp;"+"&amp;BK99&amp;EQ$1)</f>
        <v/>
      </c>
      <c r="ER99" s="30" t="str">
        <f t="shared" ref="ER99:ER100" si="1456">IF(BL99="","","|n"&amp;ER$2&amp;"+"&amp;BL99&amp;ER$1)</f>
        <v/>
      </c>
      <c r="ES99" s="30" t="str">
        <f t="shared" ref="ES99:ES100" si="1457">IF(BM99="","","|n"&amp;ES$2&amp;"+"&amp;BM99&amp;ES$1)</f>
        <v/>
      </c>
      <c r="ET99" s="30" t="str">
        <f t="shared" ref="ET99:ET100" si="1458">IF(BN99="","","|n"&amp;ET$2&amp;"+"&amp;BN99&amp;ET$1)</f>
        <v/>
      </c>
      <c r="EU99" s="30" t="str">
        <f t="shared" ref="EU99:EU100" si="1459">IF(BO99="","","|n"&amp;EU$2&amp;"+"&amp;BO99&amp;EU$1)</f>
        <v/>
      </c>
      <c r="EV99" s="30" t="str">
        <f t="shared" ref="EV99:EV100" si="1460">IF(BP99="","","|n"&amp;EV$2&amp;"+"&amp;BP99&amp;EV$1)</f>
        <v/>
      </c>
      <c r="EW99" s="30" t="str">
        <f t="shared" ref="EW99:EW100" si="1461">IF(BQ99="","","|n"&amp;EW$2&amp;"+"&amp;BQ99&amp;EW$1)</f>
        <v/>
      </c>
      <c r="EX99" s="30" t="str">
        <f t="shared" ref="EX99:EX100" si="1462">IF(BR99="","","|n"&amp;EX$2&amp;"+"&amp;BR99&amp;EX$1)</f>
        <v/>
      </c>
      <c r="EY99" s="30" t="str">
        <f t="shared" ref="EY99:EY100" si="1463">IF(BS99="","","|n"&amp;EY$2&amp;"+"&amp;BS99&amp;EY$1)</f>
        <v/>
      </c>
      <c r="EZ99" s="30" t="str">
        <f t="shared" ref="EZ99:EZ100" si="1464">IF(BT99="","","|n"&amp;EZ$2&amp;"+"&amp;BT99&amp;EZ$1)</f>
        <v/>
      </c>
      <c r="FA99" s="30" t="str">
        <f t="shared" ref="FA99:FA100" si="1465">IF(BU99="","","|n"&amp;FA$2&amp;"+"&amp;BU99&amp;FA$1)</f>
        <v/>
      </c>
      <c r="FB99" s="30" t="str">
        <f t="shared" ref="FB99:FB100" si="1466">IF(BV99="","","|n"&amp;FB$2&amp;"+"&amp;BV99&amp;FB$1)</f>
        <v/>
      </c>
      <c r="FC99" s="30" t="str">
        <f t="shared" ref="FC99:FC100" si="1467">IF(BW99="","","|n"&amp;FC$2&amp;"+"&amp;BW99&amp;FC$1)</f>
        <v/>
      </c>
      <c r="FD99" s="30" t="str">
        <f t="shared" ref="FD99:FD100" si="1468">IF(BX99="","","|n"&amp;FD$2&amp;"+"&amp;BX99&amp;FD$1)</f>
        <v/>
      </c>
      <c r="FE99" s="30" t="str">
        <f t="shared" ref="FE99:FE100" si="1469">IF(BY99="","","|n"&amp;FE$2&amp;"+"&amp;BY99&amp;FE$1)</f>
        <v/>
      </c>
      <c r="FF99" s="30" t="str">
        <f t="shared" ref="FF99:FF100" si="1470">IF(BZ99="","","|n"&amp;FF$2&amp;"+"&amp;BZ99&amp;FF$1)</f>
        <v/>
      </c>
      <c r="FG99" s="30" t="str">
        <f t="shared" ref="FG99:FG100" si="1471">IF(CA99="","","|n"&amp;FG$2&amp;"+"&amp;CA99&amp;FG$1)</f>
        <v/>
      </c>
      <c r="FH99" s="30" t="str">
        <f t="shared" ref="FH99:FH100" si="1472">IF(CB99="","","|n"&amp;FH$2&amp;"+"&amp;CB99&amp;FH$1)</f>
        <v/>
      </c>
      <c r="FI99" s="30" t="str">
        <f t="shared" ref="FI99:FI100" si="1473">IF(CC99="","","|n"&amp;FI$2&amp;"+"&amp;CC99&amp;FI$1)</f>
        <v/>
      </c>
      <c r="FJ99" s="30" t="str">
        <f t="shared" ref="FJ99:FJ100" si="1474">IF(CD99="","","|n"&amp;FJ$2&amp;"+"&amp;CD99&amp;FJ$1)</f>
        <v/>
      </c>
      <c r="FK99" s="30" t="str">
        <f t="shared" ref="FK99:FK100" si="1475">IF(CE99="","","|n"&amp;FK$2&amp;"+"&amp;CE99&amp;FK$1)</f>
        <v/>
      </c>
      <c r="FL99" s="30" t="str">
        <f t="shared" ref="FL99:FL100" si="1476">IF(CF99="","","|n"&amp;FL$2&amp;"+"&amp;CF99&amp;FL$1)</f>
        <v/>
      </c>
      <c r="FM99" s="30" t="str">
        <f t="shared" ref="FM99:FM100" si="1477">IF(CG99="","","|n"&amp;FM$2&amp;"+"&amp;CG99&amp;FM$1)</f>
        <v/>
      </c>
      <c r="FN99" s="30" t="str">
        <f t="shared" ref="FN99:FN100" si="1478">IF(CH99="","","|n"&amp;FN$2&amp;"+"&amp;CH99&amp;FN$1)</f>
        <v/>
      </c>
      <c r="FO99" s="30" t="str">
        <f t="shared" ref="FO99:FO100" si="1479">IF(CI99="","","|n"&amp;FO$2&amp;"+"&amp;CI99&amp;FO$1)</f>
        <v/>
      </c>
      <c r="FP99" s="30" t="str">
        <f t="shared" ref="FP99:FP100" si="1480">IF(CJ99="","","|n"&amp;FP$2&amp;"+"&amp;CJ99&amp;FP$1)</f>
        <v/>
      </c>
      <c r="FQ99" s="30" t="str">
        <f t="shared" ref="FQ99:FQ100" si="1481">IF(CK99="","","|n"&amp;FQ$2&amp;"+"&amp;CK99&amp;FQ$1)</f>
        <v/>
      </c>
      <c r="FR99" s="30" t="str">
        <f t="shared" ref="FR99:FR100" si="1482">IF(CL99="","","|n"&amp;FR$2&amp;"+"&amp;CL99&amp;FR$1)</f>
        <v/>
      </c>
      <c r="FS99" s="30" t="str">
        <f t="shared" ref="FS99:FS100" si="1483">IF(CM99="","","|n"&amp;FS$2&amp;"+"&amp;CM99&amp;FS$1)</f>
        <v/>
      </c>
    </row>
    <row r="100" spans="1:175" ht="16.5">
      <c r="A100" s="111"/>
      <c r="B100" s="111" t="s">
        <v>961</v>
      </c>
      <c r="C100" s="111" t="s">
        <v>965</v>
      </c>
      <c r="T100" s="114" t="s">
        <v>952</v>
      </c>
      <c r="U100" s="37" t="s">
        <v>822</v>
      </c>
      <c r="CN100" s="7" t="str">
        <f t="shared" si="1408"/>
        <v>InitUnitState('I013',,,,,,,,,,)</v>
      </c>
      <c r="CO100" s="7" t="str">
        <f t="shared" si="1409"/>
        <v>InitUnitNormal('I013',,,,,,,,,,)</v>
      </c>
      <c r="CP100" s="7" t="str">
        <f t="shared" si="1410"/>
        <v>InitUnitMagic('I013',,,,,,,,,,)</v>
      </c>
      <c r="CQ100" s="7" t="str">
        <f t="shared" si="1411"/>
        <v>InitUnitAdd('I013',,,,,,,,,,)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108&amp;CR$1&amp;")"</f>
        <v>InitEquipData('I013',,"",,,,,'','','','','','',"ReplaceableTextures\\CommandButtons\\BTNTome.blp")</v>
      </c>
      <c r="CU100" s="45" t="str">
        <f t="shared" si="1412"/>
        <v>|n</v>
      </c>
      <c r="CV100" s="29" t="str">
        <f t="shared" si="1413"/>
        <v>聚宝盆</v>
      </c>
      <c r="CW100" s="24"/>
      <c r="CX100" s="24"/>
      <c r="CY100" s="24"/>
      <c r="CZ100" s="24"/>
      <c r="DA100" s="24"/>
      <c r="DB100" s="30" t="str">
        <f t="shared" si="1414"/>
        <v/>
      </c>
      <c r="DC100" s="30" t="str">
        <f t="shared" si="1415"/>
        <v/>
      </c>
      <c r="DD100" s="30" t="str">
        <f t="shared" si="1416"/>
        <v/>
      </c>
      <c r="DE100" s="30" t="str">
        <f t="shared" si="1417"/>
        <v/>
      </c>
      <c r="DF100" s="30" t="str">
        <f t="shared" si="1418"/>
        <v/>
      </c>
      <c r="DG100" s="30" t="str">
        <f t="shared" si="1419"/>
        <v/>
      </c>
      <c r="DH100" s="30" t="str">
        <f t="shared" si="1420"/>
        <v/>
      </c>
      <c r="DI100" s="30" t="str">
        <f t="shared" si="1421"/>
        <v/>
      </c>
      <c r="DJ100" s="30" t="str">
        <f t="shared" si="1422"/>
        <v/>
      </c>
      <c r="DK100" s="30" t="str">
        <f t="shared" si="1423"/>
        <v/>
      </c>
      <c r="DL100" s="30" t="str">
        <f t="shared" si="1424"/>
        <v/>
      </c>
      <c r="DM100" s="30" t="str">
        <f t="shared" si="1425"/>
        <v/>
      </c>
      <c r="DN100" s="30" t="str">
        <f t="shared" si="1426"/>
        <v/>
      </c>
      <c r="DO100" s="30" t="str">
        <f t="shared" si="1427"/>
        <v/>
      </c>
      <c r="DP100" s="30" t="str">
        <f t="shared" si="1428"/>
        <v/>
      </c>
      <c r="DQ100" s="30" t="str">
        <f t="shared" si="1429"/>
        <v/>
      </c>
      <c r="DR100" s="30" t="str">
        <f t="shared" si="1430"/>
        <v/>
      </c>
      <c r="DS100" s="30" t="str">
        <f t="shared" si="1431"/>
        <v/>
      </c>
      <c r="DT100" s="30" t="str">
        <f t="shared" si="1432"/>
        <v/>
      </c>
      <c r="DU100" s="30" t="str">
        <f t="shared" si="1433"/>
        <v/>
      </c>
      <c r="DV100" s="30" t="str">
        <f t="shared" si="1434"/>
        <v/>
      </c>
      <c r="DW100" s="30" t="str">
        <f t="shared" si="1435"/>
        <v/>
      </c>
      <c r="DX100" s="30" t="str">
        <f t="shared" si="1436"/>
        <v/>
      </c>
      <c r="DY100" s="30" t="str">
        <f t="shared" si="1437"/>
        <v/>
      </c>
      <c r="DZ100" s="30" t="str">
        <f t="shared" si="1438"/>
        <v/>
      </c>
      <c r="EA100" s="30" t="str">
        <f t="shared" si="1439"/>
        <v/>
      </c>
      <c r="EB100" s="30" t="str">
        <f t="shared" si="1440"/>
        <v/>
      </c>
      <c r="EC100" s="30" t="str">
        <f t="shared" si="1441"/>
        <v/>
      </c>
      <c r="ED100" s="30" t="str">
        <f t="shared" si="1442"/>
        <v/>
      </c>
      <c r="EE100" s="30" t="str">
        <f t="shared" si="1443"/>
        <v/>
      </c>
      <c r="EF100" s="30" t="str">
        <f t="shared" si="1444"/>
        <v/>
      </c>
      <c r="EG100" s="30" t="str">
        <f t="shared" si="1445"/>
        <v/>
      </c>
      <c r="EH100" s="30" t="str">
        <f t="shared" si="1446"/>
        <v/>
      </c>
      <c r="EI100" s="30" t="str">
        <f t="shared" si="1447"/>
        <v/>
      </c>
      <c r="EJ100" s="30" t="str">
        <f t="shared" si="1448"/>
        <v/>
      </c>
      <c r="EK100" s="30" t="str">
        <f t="shared" si="1449"/>
        <v/>
      </c>
      <c r="EL100" s="30" t="str">
        <f t="shared" si="1450"/>
        <v/>
      </c>
      <c r="EM100" s="30" t="str">
        <f t="shared" si="1451"/>
        <v/>
      </c>
      <c r="EN100" s="30" t="str">
        <f t="shared" si="1452"/>
        <v/>
      </c>
      <c r="EO100" s="30" t="str">
        <f t="shared" si="1453"/>
        <v/>
      </c>
      <c r="EP100" s="30" t="str">
        <f t="shared" si="1454"/>
        <v/>
      </c>
      <c r="EQ100" s="30" t="str">
        <f t="shared" si="1455"/>
        <v/>
      </c>
      <c r="ER100" s="30" t="str">
        <f t="shared" si="1456"/>
        <v/>
      </c>
      <c r="ES100" s="30" t="str">
        <f t="shared" si="1457"/>
        <v/>
      </c>
      <c r="ET100" s="30" t="str">
        <f t="shared" si="1458"/>
        <v/>
      </c>
      <c r="EU100" s="30" t="str">
        <f t="shared" si="1459"/>
        <v/>
      </c>
      <c r="EV100" s="30" t="str">
        <f t="shared" si="1460"/>
        <v/>
      </c>
      <c r="EW100" s="30" t="str">
        <f t="shared" si="1461"/>
        <v/>
      </c>
      <c r="EX100" s="30" t="str">
        <f t="shared" si="1462"/>
        <v/>
      </c>
      <c r="EY100" s="30" t="str">
        <f t="shared" si="1463"/>
        <v/>
      </c>
      <c r="EZ100" s="30" t="str">
        <f t="shared" si="1464"/>
        <v/>
      </c>
      <c r="FA100" s="30" t="str">
        <f t="shared" si="1465"/>
        <v/>
      </c>
      <c r="FB100" s="30" t="str">
        <f t="shared" si="1466"/>
        <v/>
      </c>
      <c r="FC100" s="30" t="str">
        <f t="shared" si="1467"/>
        <v/>
      </c>
      <c r="FD100" s="30" t="str">
        <f t="shared" si="1468"/>
        <v/>
      </c>
      <c r="FE100" s="30" t="str">
        <f t="shared" si="1469"/>
        <v/>
      </c>
      <c r="FF100" s="30" t="str">
        <f t="shared" si="1470"/>
        <v/>
      </c>
      <c r="FG100" s="30" t="str">
        <f t="shared" si="1471"/>
        <v/>
      </c>
      <c r="FH100" s="30" t="str">
        <f t="shared" si="1472"/>
        <v/>
      </c>
      <c r="FI100" s="30" t="str">
        <f t="shared" si="1473"/>
        <v/>
      </c>
      <c r="FJ100" s="30" t="str">
        <f t="shared" si="1474"/>
        <v/>
      </c>
      <c r="FK100" s="30" t="str">
        <f t="shared" si="1475"/>
        <v/>
      </c>
      <c r="FL100" s="30" t="str">
        <f t="shared" si="1476"/>
        <v/>
      </c>
      <c r="FM100" s="30" t="str">
        <f t="shared" si="1477"/>
        <v/>
      </c>
      <c r="FN100" s="30" t="str">
        <f t="shared" si="1478"/>
        <v/>
      </c>
      <c r="FO100" s="30" t="str">
        <f t="shared" si="1479"/>
        <v/>
      </c>
      <c r="FP100" s="30" t="str">
        <f t="shared" si="1480"/>
        <v/>
      </c>
      <c r="FQ100" s="30" t="str">
        <f t="shared" si="1481"/>
        <v/>
      </c>
      <c r="FR100" s="30" t="str">
        <f t="shared" si="1482"/>
        <v/>
      </c>
      <c r="FS100" s="30" t="str">
        <f t="shared" si="1483"/>
        <v/>
      </c>
    </row>
    <row r="101" spans="1:175" ht="16.5">
      <c r="A101" s="111"/>
      <c r="B101" s="111" t="s">
        <v>962</v>
      </c>
      <c r="C101" s="111" t="s">
        <v>966</v>
      </c>
      <c r="T101" s="114" t="s">
        <v>952</v>
      </c>
      <c r="U101" s="37" t="s">
        <v>822</v>
      </c>
      <c r="CN101" s="7" t="str">
        <f t="shared" ref="CN101" si="1484">"InitUnitState('"&amp;B101&amp;"',"&amp;V101&amp;","&amp;W101&amp;","&amp;X101&amp;","&amp;Y101&amp;","&amp;Z101&amp;","&amp;AA101&amp;","&amp;AB101&amp;","&amp;AC101&amp;","&amp;AD101&amp;","&amp;AE101&amp;")"</f>
        <v>InitUnitState('I014',,,,,,,,,,)</v>
      </c>
      <c r="CO101" s="7" t="str">
        <f t="shared" ref="CO101" si="1485">"InitUnitNormal('"&amp;B101&amp;"',"&amp;AF101&amp;","&amp;AG101&amp;","&amp;AH101&amp;","&amp;AI101&amp;","&amp;AJ101&amp;","&amp;AK101&amp;","&amp;AL101&amp;","&amp;AM101&amp;","&amp;AN101&amp;","&amp;AO101&amp;")"</f>
        <v>InitUnitNormal('I014',,,,,,,,,,)</v>
      </c>
      <c r="CP101" s="7" t="str">
        <f t="shared" ref="CP101" si="1486">"InitUnitMagic('"&amp;B101&amp;"',"&amp;AP101&amp;","&amp;AQ101&amp;","&amp;AR101&amp;","&amp;AS101&amp;","&amp;AT101&amp;","&amp;AU101&amp;","&amp;AV101&amp;","&amp;AW101&amp;","&amp;BI101&amp;","&amp;BJ101&amp;")"</f>
        <v>InitUnitMagic('I014',,,,,,,,,,)</v>
      </c>
      <c r="CQ101" s="7" t="str">
        <f t="shared" ref="CQ101" si="1487">"InitUnitAdd('"&amp;B101&amp;"',"&amp;BK101&amp;","&amp;BL101&amp;","&amp;BM101&amp;","&amp;BN101&amp;","&amp;BO101&amp;","&amp;BP101&amp;","&amp;BQ101&amp;","&amp;BR101&amp;","&amp;BS101&amp;","&amp;BT101&amp;")"</f>
        <v>InitUnitAdd('I014',,,,,,,,,,)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109&amp;CR$1&amp;")"</f>
        <v>InitEquipData('I014',,"",,,,,'','','','','','',"ReplaceableTextures\\CommandButtons\\BTNTome.blp")</v>
      </c>
      <c r="CU101" s="45" t="str">
        <f t="shared" ref="CU101" si="1488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29" t="str">
        <f t="shared" ref="CV101" si="1489">T101</f>
        <v>聚宝盆</v>
      </c>
      <c r="CW101" s="24"/>
      <c r="CX101" s="24"/>
      <c r="CY101" s="24"/>
      <c r="CZ101" s="24"/>
      <c r="DA101" s="24"/>
      <c r="DB101" s="30" t="str">
        <f t="shared" ref="DB101" si="1490">IF(V101="","","|n"&amp;DB$2&amp;"+"&amp;V101&amp;DB$1)</f>
        <v/>
      </c>
      <c r="DC101" s="30" t="str">
        <f t="shared" ref="DC101" si="1491">IF(W101="","","|n"&amp;DC$2&amp;"+"&amp;W101&amp;DC$1)</f>
        <v/>
      </c>
      <c r="DD101" s="30" t="str">
        <f t="shared" ref="DD101" si="1492">IF(X101="","","|n"&amp;DD$2&amp;"+"&amp;X101&amp;DD$1)</f>
        <v/>
      </c>
      <c r="DE101" s="30" t="str">
        <f t="shared" ref="DE101" si="1493">IF(Y101="","","|n"&amp;DE$2&amp;"+"&amp;Y101&amp;DE$1)</f>
        <v/>
      </c>
      <c r="DF101" s="30" t="str">
        <f t="shared" ref="DF101" si="1494">IF(Z101="","","|n"&amp;DF$2&amp;"+"&amp;Z101&amp;DF$1)</f>
        <v/>
      </c>
      <c r="DG101" s="30" t="str">
        <f t="shared" ref="DG101" si="1495">IF(AA101="","","|n"&amp;DG$2&amp;"+"&amp;AA101&amp;DG$1)</f>
        <v/>
      </c>
      <c r="DH101" s="30" t="str">
        <f t="shared" ref="DH101" si="1496">IF(AB101="","","|n"&amp;DH$2&amp;"+"&amp;AB101&amp;DH$1)</f>
        <v/>
      </c>
      <c r="DI101" s="30" t="str">
        <f t="shared" ref="DI101" si="1497">IF(AC101="","","|n"&amp;DI$2&amp;"+"&amp;AC101&amp;DI$1)</f>
        <v/>
      </c>
      <c r="DJ101" s="30" t="str">
        <f t="shared" ref="DJ101" si="1498">IF(AD101="","","|n"&amp;DJ$2&amp;"+"&amp;AD101&amp;DJ$1)</f>
        <v/>
      </c>
      <c r="DK101" s="30" t="str">
        <f t="shared" ref="DK101" si="1499">IF(AE101="","","|n"&amp;DK$2&amp;"+"&amp;AE101&amp;DK$1)</f>
        <v/>
      </c>
      <c r="DL101" s="30" t="str">
        <f t="shared" ref="DL101" si="1500">IF(AF101="","","|n"&amp;DL$2&amp;"+"&amp;AF101&amp;DL$1)</f>
        <v/>
      </c>
      <c r="DM101" s="30" t="str">
        <f t="shared" ref="DM101" si="1501">IF(AG101="","","|n"&amp;DM$2&amp;"+"&amp;AG101&amp;DM$1)</f>
        <v/>
      </c>
      <c r="DN101" s="30" t="str">
        <f t="shared" ref="DN101" si="1502">IF(AH101="","","|n"&amp;DN$2&amp;"+"&amp;AH101&amp;DN$1)</f>
        <v/>
      </c>
      <c r="DO101" s="30" t="str">
        <f t="shared" ref="DO101" si="1503">IF(AI101="","","|n"&amp;DO$2&amp;"+"&amp;AI101&amp;DO$1)</f>
        <v/>
      </c>
      <c r="DP101" s="30" t="str">
        <f t="shared" ref="DP101" si="1504">IF(AJ101="","","|n"&amp;DP$2&amp;"+"&amp;AJ101&amp;DP$1)</f>
        <v/>
      </c>
      <c r="DQ101" s="30" t="str">
        <f t="shared" ref="DQ101" si="1505">IF(AK101="","","|n"&amp;DQ$2&amp;"+"&amp;AK101&amp;DQ$1)</f>
        <v/>
      </c>
      <c r="DR101" s="30" t="str">
        <f t="shared" ref="DR101" si="1506">IF(AL101="","","|n"&amp;DR$2&amp;"+"&amp;AL101&amp;DR$1)</f>
        <v/>
      </c>
      <c r="DS101" s="30" t="str">
        <f t="shared" ref="DS101" si="1507">IF(AM101="","","|n"&amp;DS$2&amp;"+"&amp;AM101&amp;DS$1)</f>
        <v/>
      </c>
      <c r="DT101" s="30" t="str">
        <f t="shared" ref="DT101" si="1508">IF(AN101="","","|n"&amp;DT$2&amp;"+"&amp;AN101&amp;DT$1)</f>
        <v/>
      </c>
      <c r="DU101" s="30" t="str">
        <f t="shared" ref="DU101" si="1509">IF(AO101="","","|n"&amp;DU$2&amp;"+"&amp;AO101&amp;DU$1)</f>
        <v/>
      </c>
      <c r="DV101" s="30" t="str">
        <f t="shared" ref="DV101" si="1510">IF(AP101="","","|n"&amp;DV$2&amp;"+"&amp;AP101&amp;DV$1)</f>
        <v/>
      </c>
      <c r="DW101" s="30" t="str">
        <f t="shared" ref="DW101" si="1511">IF(AQ101="","","|n"&amp;DW$2&amp;"+"&amp;AQ101&amp;DW$1)</f>
        <v/>
      </c>
      <c r="DX101" s="30" t="str">
        <f t="shared" ref="DX101" si="1512">IF(AR101="","","|n"&amp;DX$2&amp;"+"&amp;AR101&amp;DX$1)</f>
        <v/>
      </c>
      <c r="DY101" s="30" t="str">
        <f t="shared" ref="DY101" si="1513">IF(AS101="","","|n"&amp;DY$2&amp;"+"&amp;AS101&amp;DY$1)</f>
        <v/>
      </c>
      <c r="DZ101" s="30" t="str">
        <f t="shared" ref="DZ101" si="1514">IF(AT101="","","|n"&amp;DZ$2&amp;"+"&amp;AT101&amp;DZ$1)</f>
        <v/>
      </c>
      <c r="EA101" s="30" t="str">
        <f t="shared" ref="EA101" si="1515">IF(AU101="","","|n"&amp;EA$2&amp;"+"&amp;AU101&amp;EA$1)</f>
        <v/>
      </c>
      <c r="EB101" s="30" t="str">
        <f t="shared" ref="EB101" si="1516">IF(AV101="","","|n"&amp;EB$2&amp;"+"&amp;AV101&amp;EB$1)</f>
        <v/>
      </c>
      <c r="EC101" s="30" t="str">
        <f t="shared" ref="EC101" si="1517">IF(AW101="","","|n"&amp;EC$2&amp;"+"&amp;AW101&amp;EC$1)</f>
        <v/>
      </c>
      <c r="ED101" s="30" t="str">
        <f t="shared" ref="ED101" si="1518">IF(AX101="","","|n"&amp;ED$2&amp;"+"&amp;AX101&amp;ED$1)</f>
        <v/>
      </c>
      <c r="EE101" s="30" t="str">
        <f t="shared" ref="EE101" si="1519">IF(AY101="","","|n"&amp;EE$2&amp;"+"&amp;AY101&amp;EE$1)</f>
        <v/>
      </c>
      <c r="EF101" s="30" t="str">
        <f t="shared" ref="EF101" si="1520">IF(AZ101="","","|n"&amp;EF$2&amp;"+"&amp;AZ101&amp;EF$1)</f>
        <v/>
      </c>
      <c r="EG101" s="30" t="str">
        <f t="shared" ref="EG101" si="1521">IF(BA101="","","|n"&amp;EG$2&amp;"+"&amp;BA101&amp;EG$1)</f>
        <v/>
      </c>
      <c r="EH101" s="30" t="str">
        <f t="shared" ref="EH101" si="1522">IF(BB101="","","|n"&amp;EH$2&amp;"+"&amp;BB101&amp;EH$1)</f>
        <v/>
      </c>
      <c r="EI101" s="30" t="str">
        <f t="shared" ref="EI101" si="1523">IF(BC101="","","|n"&amp;EI$2&amp;"+"&amp;BC101&amp;EI$1)</f>
        <v/>
      </c>
      <c r="EJ101" s="30" t="str">
        <f t="shared" ref="EJ101" si="1524">IF(BD101="","","|n"&amp;EJ$2&amp;"+"&amp;BD101&amp;EJ$1)</f>
        <v/>
      </c>
      <c r="EK101" s="30" t="str">
        <f t="shared" ref="EK101" si="1525">IF(BE101="","","|n"&amp;EK$2&amp;"+"&amp;BE101&amp;EK$1)</f>
        <v/>
      </c>
      <c r="EL101" s="30" t="str">
        <f t="shared" ref="EL101" si="1526">IF(BF101="","","|n"&amp;EL$2&amp;"+"&amp;BF101&amp;EL$1)</f>
        <v/>
      </c>
      <c r="EM101" s="30" t="str">
        <f t="shared" ref="EM101" si="1527">IF(BG101="","","|n"&amp;EM$2&amp;"+"&amp;BG101&amp;EM$1)</f>
        <v/>
      </c>
      <c r="EN101" s="30" t="str">
        <f t="shared" ref="EN101" si="1528">IF(BH101="","","|n"&amp;EN$2&amp;"+"&amp;BH101&amp;EN$1)</f>
        <v/>
      </c>
      <c r="EO101" s="30" t="str">
        <f t="shared" ref="EO101" si="1529">IF(BI101="","","|n"&amp;EO$2&amp;"+"&amp;BI101&amp;EO$1)</f>
        <v/>
      </c>
      <c r="EP101" s="30" t="str">
        <f t="shared" ref="EP101" si="1530">IF(BJ101="","","|n"&amp;EP$2&amp;"+"&amp;BJ101&amp;EP$1)</f>
        <v/>
      </c>
      <c r="EQ101" s="30" t="str">
        <f t="shared" ref="EQ101" si="1531">IF(BK101="","","|n"&amp;EQ$2&amp;"+"&amp;BK101&amp;EQ$1)</f>
        <v/>
      </c>
      <c r="ER101" s="30" t="str">
        <f t="shared" ref="ER101" si="1532">IF(BL101="","","|n"&amp;ER$2&amp;"+"&amp;BL101&amp;ER$1)</f>
        <v/>
      </c>
      <c r="ES101" s="30" t="str">
        <f t="shared" ref="ES101" si="1533">IF(BM101="","","|n"&amp;ES$2&amp;"+"&amp;BM101&amp;ES$1)</f>
        <v/>
      </c>
      <c r="ET101" s="30" t="str">
        <f t="shared" ref="ET101" si="1534">IF(BN101="","","|n"&amp;ET$2&amp;"+"&amp;BN101&amp;ET$1)</f>
        <v/>
      </c>
      <c r="EU101" s="30" t="str">
        <f t="shared" ref="EU101" si="1535">IF(BO101="","","|n"&amp;EU$2&amp;"+"&amp;BO101&amp;EU$1)</f>
        <v/>
      </c>
      <c r="EV101" s="30" t="str">
        <f t="shared" ref="EV101" si="1536">IF(BP101="","","|n"&amp;EV$2&amp;"+"&amp;BP101&amp;EV$1)</f>
        <v/>
      </c>
      <c r="EW101" s="30" t="str">
        <f t="shared" ref="EW101" si="1537">IF(BQ101="","","|n"&amp;EW$2&amp;"+"&amp;BQ101&amp;EW$1)</f>
        <v/>
      </c>
      <c r="EX101" s="30" t="str">
        <f t="shared" ref="EX101" si="1538">IF(BR101="","","|n"&amp;EX$2&amp;"+"&amp;BR101&amp;EX$1)</f>
        <v/>
      </c>
      <c r="EY101" s="30" t="str">
        <f t="shared" ref="EY101" si="1539">IF(BS101="","","|n"&amp;EY$2&amp;"+"&amp;BS101&amp;EY$1)</f>
        <v/>
      </c>
      <c r="EZ101" s="30" t="str">
        <f t="shared" ref="EZ101" si="1540">IF(BT101="","","|n"&amp;EZ$2&amp;"+"&amp;BT101&amp;EZ$1)</f>
        <v/>
      </c>
      <c r="FA101" s="30" t="str">
        <f t="shared" ref="FA101" si="1541">IF(BU101="","","|n"&amp;FA$2&amp;"+"&amp;BU101&amp;FA$1)</f>
        <v/>
      </c>
      <c r="FB101" s="30" t="str">
        <f t="shared" ref="FB101" si="1542">IF(BV101="","","|n"&amp;FB$2&amp;"+"&amp;BV101&amp;FB$1)</f>
        <v/>
      </c>
      <c r="FC101" s="30" t="str">
        <f t="shared" ref="FC101" si="1543">IF(BW101="","","|n"&amp;FC$2&amp;"+"&amp;BW101&amp;FC$1)</f>
        <v/>
      </c>
      <c r="FD101" s="30" t="str">
        <f t="shared" ref="FD101" si="1544">IF(BX101="","","|n"&amp;FD$2&amp;"+"&amp;BX101&amp;FD$1)</f>
        <v/>
      </c>
      <c r="FE101" s="30" t="str">
        <f t="shared" ref="FE101" si="1545">IF(BY101="","","|n"&amp;FE$2&amp;"+"&amp;BY101&amp;FE$1)</f>
        <v/>
      </c>
      <c r="FF101" s="30" t="str">
        <f t="shared" ref="FF101" si="1546">IF(BZ101="","","|n"&amp;FF$2&amp;"+"&amp;BZ101&amp;FF$1)</f>
        <v/>
      </c>
      <c r="FG101" s="30" t="str">
        <f t="shared" ref="FG101" si="1547">IF(CA101="","","|n"&amp;FG$2&amp;"+"&amp;CA101&amp;FG$1)</f>
        <v/>
      </c>
      <c r="FH101" s="30" t="str">
        <f t="shared" ref="FH101" si="1548">IF(CB101="","","|n"&amp;FH$2&amp;"+"&amp;CB101&amp;FH$1)</f>
        <v/>
      </c>
      <c r="FI101" s="30" t="str">
        <f t="shared" ref="FI101" si="1549">IF(CC101="","","|n"&amp;FI$2&amp;"+"&amp;CC101&amp;FI$1)</f>
        <v/>
      </c>
      <c r="FJ101" s="30" t="str">
        <f t="shared" ref="FJ101" si="1550">IF(CD101="","","|n"&amp;FJ$2&amp;"+"&amp;CD101&amp;FJ$1)</f>
        <v/>
      </c>
      <c r="FK101" s="30" t="str">
        <f t="shared" ref="FK101" si="1551">IF(CE101="","","|n"&amp;FK$2&amp;"+"&amp;CE101&amp;FK$1)</f>
        <v/>
      </c>
      <c r="FL101" s="30" t="str">
        <f t="shared" ref="FL101" si="1552">IF(CF101="","","|n"&amp;FL$2&amp;"+"&amp;CF101&amp;FL$1)</f>
        <v/>
      </c>
      <c r="FM101" s="30" t="str">
        <f t="shared" ref="FM101" si="1553">IF(CG101="","","|n"&amp;FM$2&amp;"+"&amp;CG101&amp;FM$1)</f>
        <v/>
      </c>
      <c r="FN101" s="30" t="str">
        <f t="shared" ref="FN101" si="1554">IF(CH101="","","|n"&amp;FN$2&amp;"+"&amp;CH101&amp;FN$1)</f>
        <v/>
      </c>
      <c r="FO101" s="30" t="str">
        <f t="shared" ref="FO101" si="1555">IF(CI101="","","|n"&amp;FO$2&amp;"+"&amp;CI101&amp;FO$1)</f>
        <v/>
      </c>
      <c r="FP101" s="30" t="str">
        <f t="shared" ref="FP101" si="1556">IF(CJ101="","","|n"&amp;FP$2&amp;"+"&amp;CJ101&amp;FP$1)</f>
        <v/>
      </c>
      <c r="FQ101" s="30" t="str">
        <f t="shared" ref="FQ101" si="1557">IF(CK101="","","|n"&amp;FQ$2&amp;"+"&amp;CK101&amp;FQ$1)</f>
        <v/>
      </c>
      <c r="FR101" s="30" t="str">
        <f t="shared" ref="FR101" si="1558">IF(CL101="","","|n"&amp;FR$2&amp;"+"&amp;CL101&amp;FR$1)</f>
        <v/>
      </c>
      <c r="FS101" s="30" t="str">
        <f t="shared" ref="FS101" si="1559">IF(CM101="","","|n"&amp;FS$2&amp;"+"&amp;CM101&amp;FS$1)</f>
        <v/>
      </c>
    </row>
    <row r="102" spans="1:175" ht="16.5">
      <c r="A102" s="111"/>
      <c r="B102" s="111" t="s">
        <v>832</v>
      </c>
      <c r="C102" s="111" t="s">
        <v>833</v>
      </c>
      <c r="T102" s="116" t="s">
        <v>834</v>
      </c>
      <c r="U102" s="37" t="s">
        <v>822</v>
      </c>
      <c r="CN102" s="7" t="str">
        <f t="shared" si="956"/>
        <v>InitUnitState('IP01',,,,,,,,,,)</v>
      </c>
      <c r="CO102" s="7" t="str">
        <f t="shared" si="957"/>
        <v>InitUnitNormal('IP01',,,,,,,,,,)</v>
      </c>
      <c r="CP102" s="7" t="str">
        <f t="shared" si="958"/>
        <v>InitUnitMagic('IP01',,,,,,,,,,)</v>
      </c>
      <c r="CQ102" s="7" t="str">
        <f t="shared" si="959"/>
        <v>InitUnitAdd('IP01',,,,,,,,,,)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103&amp;CR$1&amp;")"</f>
        <v>InitEquipData('IP01',,"",,,,,'','','','','','',"ReplaceableTextures\\CommandButtons\\BTNTome.blp")</v>
      </c>
      <c r="CU102" s="45" t="str">
        <f t="shared" ref="CU102" si="1560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" si="1561">T102</f>
        <v>进入时渊副本消耗时渊碎片</v>
      </c>
      <c r="CW102" s="24"/>
      <c r="CX102" s="24"/>
      <c r="CY102" s="24"/>
      <c r="CZ102" s="24"/>
      <c r="DA102" s="24"/>
      <c r="DB102" s="30" t="str">
        <f t="shared" ref="DB102" si="1562">IF(V102="","","|n"&amp;DB$2&amp;"+"&amp;V102&amp;DB$1)</f>
        <v/>
      </c>
      <c r="DC102" s="30" t="str">
        <f t="shared" ref="DC102" si="1563">IF(W102="","","|n"&amp;DC$2&amp;"+"&amp;W102&amp;DC$1)</f>
        <v/>
      </c>
      <c r="DD102" s="30" t="str">
        <f t="shared" ref="DD102" si="1564">IF(X102="","","|n"&amp;DD$2&amp;"+"&amp;X102&amp;DD$1)</f>
        <v/>
      </c>
      <c r="DE102" s="30" t="str">
        <f t="shared" ref="DE102" si="1565">IF(Y102="","","|n"&amp;DE$2&amp;"+"&amp;Y102&amp;DE$1)</f>
        <v/>
      </c>
      <c r="DF102" s="30" t="str">
        <f t="shared" ref="DF102" si="1566">IF(Z102="","","|n"&amp;DF$2&amp;"+"&amp;Z102&amp;DF$1)</f>
        <v/>
      </c>
      <c r="DG102" s="30" t="str">
        <f t="shared" ref="DG102" si="1567">IF(AA102="","","|n"&amp;DG$2&amp;"+"&amp;AA102&amp;DG$1)</f>
        <v/>
      </c>
      <c r="DH102" s="30" t="str">
        <f t="shared" ref="DH102" si="1568">IF(AB102="","","|n"&amp;DH$2&amp;"+"&amp;AB102&amp;DH$1)</f>
        <v/>
      </c>
      <c r="DI102" s="30" t="str">
        <f t="shared" ref="DI102" si="1569">IF(AC102="","","|n"&amp;DI$2&amp;"+"&amp;AC102&amp;DI$1)</f>
        <v/>
      </c>
      <c r="DJ102" s="30" t="str">
        <f t="shared" ref="DJ102" si="1570">IF(AD102="","","|n"&amp;DJ$2&amp;"+"&amp;AD102&amp;DJ$1)</f>
        <v/>
      </c>
      <c r="DK102" s="30" t="str">
        <f t="shared" ref="DK102" si="1571">IF(AE102="","","|n"&amp;DK$2&amp;"+"&amp;AE102&amp;DK$1)</f>
        <v/>
      </c>
      <c r="DL102" s="30" t="str">
        <f t="shared" ref="DL102" si="1572">IF(AF102="","","|n"&amp;DL$2&amp;"+"&amp;AF102&amp;DL$1)</f>
        <v/>
      </c>
      <c r="DM102" s="30" t="str">
        <f t="shared" ref="DM102" si="1573">IF(AG102="","","|n"&amp;DM$2&amp;"+"&amp;AG102&amp;DM$1)</f>
        <v/>
      </c>
      <c r="DN102" s="30" t="str">
        <f t="shared" ref="DN102" si="1574">IF(AH102="","","|n"&amp;DN$2&amp;"+"&amp;AH102&amp;DN$1)</f>
        <v/>
      </c>
      <c r="DO102" s="30" t="str">
        <f t="shared" ref="DO102" si="1575">IF(AI102="","","|n"&amp;DO$2&amp;"+"&amp;AI102&amp;DO$1)</f>
        <v/>
      </c>
      <c r="DP102" s="30" t="str">
        <f t="shared" ref="DP102" si="1576">IF(AJ102="","","|n"&amp;DP$2&amp;"+"&amp;AJ102&amp;DP$1)</f>
        <v/>
      </c>
      <c r="DQ102" s="30" t="str">
        <f t="shared" ref="DQ102" si="1577">IF(AK102="","","|n"&amp;DQ$2&amp;"+"&amp;AK102&amp;DQ$1)</f>
        <v/>
      </c>
      <c r="DR102" s="30" t="str">
        <f t="shared" ref="DR102" si="1578">IF(AL102="","","|n"&amp;DR$2&amp;"+"&amp;AL102&amp;DR$1)</f>
        <v/>
      </c>
      <c r="DS102" s="30" t="str">
        <f t="shared" ref="DS102" si="1579">IF(AM102="","","|n"&amp;DS$2&amp;"+"&amp;AM102&amp;DS$1)</f>
        <v/>
      </c>
      <c r="DT102" s="30" t="str">
        <f t="shared" ref="DT102" si="1580">IF(AN102="","","|n"&amp;DT$2&amp;"+"&amp;AN102&amp;DT$1)</f>
        <v/>
      </c>
      <c r="DU102" s="30" t="str">
        <f t="shared" ref="DU102" si="1581">IF(AO102="","","|n"&amp;DU$2&amp;"+"&amp;AO102&amp;DU$1)</f>
        <v/>
      </c>
      <c r="DV102" s="30" t="str">
        <f t="shared" ref="DV102" si="1582">IF(AP102="","","|n"&amp;DV$2&amp;"+"&amp;AP102&amp;DV$1)</f>
        <v/>
      </c>
      <c r="DW102" s="30" t="str">
        <f t="shared" ref="DW102" si="1583">IF(AQ102="","","|n"&amp;DW$2&amp;"+"&amp;AQ102&amp;DW$1)</f>
        <v/>
      </c>
      <c r="DX102" s="30" t="str">
        <f t="shared" ref="DX102" si="1584">IF(AR102="","","|n"&amp;DX$2&amp;"+"&amp;AR102&amp;DX$1)</f>
        <v/>
      </c>
      <c r="DY102" s="30" t="str">
        <f t="shared" ref="DY102" si="1585">IF(AS102="","","|n"&amp;DY$2&amp;"+"&amp;AS102&amp;DY$1)</f>
        <v/>
      </c>
      <c r="DZ102" s="30" t="str">
        <f t="shared" ref="DZ102" si="1586">IF(AT102="","","|n"&amp;DZ$2&amp;"+"&amp;AT102&amp;DZ$1)</f>
        <v/>
      </c>
      <c r="EA102" s="30" t="str">
        <f t="shared" ref="EA102" si="1587">IF(AU102="","","|n"&amp;EA$2&amp;"+"&amp;AU102&amp;EA$1)</f>
        <v/>
      </c>
      <c r="EB102" s="30" t="str">
        <f t="shared" ref="EB102" si="1588">IF(AV102="","","|n"&amp;EB$2&amp;"+"&amp;AV102&amp;EB$1)</f>
        <v/>
      </c>
      <c r="EC102" s="30" t="str">
        <f t="shared" ref="EC102" si="1589">IF(AW102="","","|n"&amp;EC$2&amp;"+"&amp;AW102&amp;EC$1)</f>
        <v/>
      </c>
      <c r="ED102" s="30" t="str">
        <f t="shared" ref="ED102" si="1590">IF(AX102="","","|n"&amp;ED$2&amp;"+"&amp;AX102&amp;ED$1)</f>
        <v/>
      </c>
      <c r="EE102" s="30" t="str">
        <f t="shared" ref="EE102" si="1591">IF(AY102="","","|n"&amp;EE$2&amp;"+"&amp;AY102&amp;EE$1)</f>
        <v/>
      </c>
      <c r="EF102" s="30" t="str">
        <f t="shared" ref="EF102" si="1592">IF(AZ102="","","|n"&amp;EF$2&amp;"+"&amp;AZ102&amp;EF$1)</f>
        <v/>
      </c>
      <c r="EG102" s="30" t="str">
        <f t="shared" ref="EG102" si="1593">IF(BA102="","","|n"&amp;EG$2&amp;"+"&amp;BA102&amp;EG$1)</f>
        <v/>
      </c>
      <c r="EH102" s="30" t="str">
        <f t="shared" ref="EH102" si="1594">IF(BB102="","","|n"&amp;EH$2&amp;"+"&amp;BB102&amp;EH$1)</f>
        <v/>
      </c>
      <c r="EI102" s="30" t="str">
        <f t="shared" ref="EI102" si="1595">IF(BC102="","","|n"&amp;EI$2&amp;"+"&amp;BC102&amp;EI$1)</f>
        <v/>
      </c>
      <c r="EJ102" s="30" t="str">
        <f t="shared" ref="EJ102" si="1596">IF(BD102="","","|n"&amp;EJ$2&amp;"+"&amp;BD102&amp;EJ$1)</f>
        <v/>
      </c>
      <c r="EK102" s="30" t="str">
        <f t="shared" ref="EK102" si="1597">IF(BE102="","","|n"&amp;EK$2&amp;"+"&amp;BE102&amp;EK$1)</f>
        <v/>
      </c>
      <c r="EL102" s="30" t="str">
        <f t="shared" ref="EL102" si="1598">IF(BF102="","","|n"&amp;EL$2&amp;"+"&amp;BF102&amp;EL$1)</f>
        <v/>
      </c>
      <c r="EM102" s="30" t="str">
        <f t="shared" ref="EM102" si="1599">IF(BG102="","","|n"&amp;EM$2&amp;"+"&amp;BG102&amp;EM$1)</f>
        <v/>
      </c>
      <c r="EN102" s="30" t="str">
        <f t="shared" ref="EN102" si="1600">IF(BH102="","","|n"&amp;EN$2&amp;"+"&amp;BH102&amp;EN$1)</f>
        <v/>
      </c>
      <c r="EO102" s="30" t="str">
        <f t="shared" ref="EO102" si="1601">IF(BI102="","","|n"&amp;EO$2&amp;"+"&amp;BI102&amp;EO$1)</f>
        <v/>
      </c>
      <c r="EP102" s="30" t="str">
        <f t="shared" ref="EP102" si="1602">IF(BJ102="","","|n"&amp;EP$2&amp;"+"&amp;BJ102&amp;EP$1)</f>
        <v/>
      </c>
      <c r="EQ102" s="30" t="str">
        <f t="shared" ref="EQ102" si="1603">IF(BK102="","","|n"&amp;EQ$2&amp;"+"&amp;BK102&amp;EQ$1)</f>
        <v/>
      </c>
      <c r="ER102" s="30" t="str">
        <f t="shared" ref="ER102" si="1604">IF(BL102="","","|n"&amp;ER$2&amp;"+"&amp;BL102&amp;ER$1)</f>
        <v/>
      </c>
      <c r="ES102" s="30" t="str">
        <f t="shared" ref="ES102" si="1605">IF(BM102="","","|n"&amp;ES$2&amp;"+"&amp;BM102&amp;ES$1)</f>
        <v/>
      </c>
      <c r="ET102" s="30" t="str">
        <f t="shared" ref="ET102" si="1606">IF(BN102="","","|n"&amp;ET$2&amp;"+"&amp;BN102&amp;ET$1)</f>
        <v/>
      </c>
      <c r="EU102" s="30" t="str">
        <f t="shared" ref="EU102" si="1607">IF(BO102="","","|n"&amp;EU$2&amp;"+"&amp;BO102&amp;EU$1)</f>
        <v/>
      </c>
      <c r="EV102" s="30" t="str">
        <f t="shared" ref="EV102" si="1608">IF(BP102="","","|n"&amp;EV$2&amp;"+"&amp;BP102&amp;EV$1)</f>
        <v/>
      </c>
      <c r="EW102" s="30" t="str">
        <f t="shared" ref="EW102" si="1609">IF(BQ102="","","|n"&amp;EW$2&amp;"+"&amp;BQ102&amp;EW$1)</f>
        <v/>
      </c>
      <c r="EX102" s="30" t="str">
        <f t="shared" ref="EX102" si="1610">IF(BR102="","","|n"&amp;EX$2&amp;"+"&amp;BR102&amp;EX$1)</f>
        <v/>
      </c>
      <c r="EY102" s="30" t="str">
        <f t="shared" ref="EY102" si="1611">IF(BS102="","","|n"&amp;EY$2&amp;"+"&amp;BS102&amp;EY$1)</f>
        <v/>
      </c>
      <c r="EZ102" s="30" t="str">
        <f t="shared" ref="EZ102" si="1612">IF(BT102="","","|n"&amp;EZ$2&amp;"+"&amp;BT102&amp;EZ$1)</f>
        <v/>
      </c>
      <c r="FA102" s="30" t="str">
        <f t="shared" ref="FA102" si="1613">IF(BU102="","","|n"&amp;FA$2&amp;"+"&amp;BU102&amp;FA$1)</f>
        <v/>
      </c>
      <c r="FB102" s="30" t="str">
        <f t="shared" ref="FB102" si="1614">IF(BV102="","","|n"&amp;FB$2&amp;"+"&amp;BV102&amp;FB$1)</f>
        <v/>
      </c>
      <c r="FC102" s="30" t="str">
        <f t="shared" ref="FC102" si="1615">IF(BW102="","","|n"&amp;FC$2&amp;"+"&amp;BW102&amp;FC$1)</f>
        <v/>
      </c>
      <c r="FD102" s="30" t="str">
        <f t="shared" ref="FD102" si="1616">IF(BX102="","","|n"&amp;FD$2&amp;"+"&amp;BX102&amp;FD$1)</f>
        <v/>
      </c>
      <c r="FE102" s="30" t="str">
        <f t="shared" ref="FE102" si="1617">IF(BY102="","","|n"&amp;FE$2&amp;"+"&amp;BY102&amp;FE$1)</f>
        <v/>
      </c>
      <c r="FF102" s="30" t="str">
        <f t="shared" ref="FF102" si="1618">IF(BZ102="","","|n"&amp;FF$2&amp;"+"&amp;BZ102&amp;FF$1)</f>
        <v/>
      </c>
      <c r="FG102" s="30" t="str">
        <f t="shared" ref="FG102" si="1619">IF(CA102="","","|n"&amp;FG$2&amp;"+"&amp;CA102&amp;FG$1)</f>
        <v/>
      </c>
      <c r="FH102" s="30" t="str">
        <f t="shared" ref="FH102" si="1620">IF(CB102="","","|n"&amp;FH$2&amp;"+"&amp;CB102&amp;FH$1)</f>
        <v/>
      </c>
      <c r="FI102" s="30" t="str">
        <f t="shared" ref="FI102" si="1621">IF(CC102="","","|n"&amp;FI$2&amp;"+"&amp;CC102&amp;FI$1)</f>
        <v/>
      </c>
      <c r="FJ102" s="30" t="str">
        <f t="shared" ref="FJ102" si="1622">IF(CD102="","","|n"&amp;FJ$2&amp;"+"&amp;CD102&amp;FJ$1)</f>
        <v/>
      </c>
      <c r="FK102" s="30" t="str">
        <f t="shared" ref="FK102" si="1623">IF(CE102="","","|n"&amp;FK$2&amp;"+"&amp;CE102&amp;FK$1)</f>
        <v/>
      </c>
      <c r="FL102" s="30" t="str">
        <f t="shared" ref="FL102" si="1624">IF(CF102="","","|n"&amp;FL$2&amp;"+"&amp;CF102&amp;FL$1)</f>
        <v/>
      </c>
      <c r="FM102" s="30" t="str">
        <f t="shared" ref="FM102" si="1625">IF(CG102="","","|n"&amp;FM$2&amp;"+"&amp;CG102&amp;FM$1)</f>
        <v/>
      </c>
      <c r="FN102" s="30" t="str">
        <f t="shared" ref="FN102" si="1626">IF(CH102="","","|n"&amp;FN$2&amp;"+"&amp;CH102&amp;FN$1)</f>
        <v/>
      </c>
      <c r="FO102" s="30" t="str">
        <f t="shared" ref="FO102" si="1627">IF(CI102="","","|n"&amp;FO$2&amp;"+"&amp;CI102&amp;FO$1)</f>
        <v/>
      </c>
      <c r="FP102" s="30" t="str">
        <f t="shared" ref="FP102" si="1628">IF(CJ102="","","|n"&amp;FP$2&amp;"+"&amp;CJ102&amp;FP$1)</f>
        <v/>
      </c>
      <c r="FQ102" s="30" t="str">
        <f t="shared" ref="FQ102" si="1629">IF(CK102="","","|n"&amp;FQ$2&amp;"+"&amp;CK102&amp;FQ$1)</f>
        <v/>
      </c>
      <c r="FR102" s="30" t="str">
        <f t="shared" ref="FR102" si="1630">IF(CL102="","","|n"&amp;FR$2&amp;"+"&amp;CL102&amp;FR$1)</f>
        <v/>
      </c>
      <c r="FS102" s="30" t="str">
        <f t="shared" ref="FS102" si="1631">IF(CM102="","","|n"&amp;FS$2&amp;"+"&amp;CM102&amp;FS$1)</f>
        <v/>
      </c>
    </row>
    <row r="103" spans="1:175" ht="16.5">
      <c r="A103" s="117"/>
      <c r="B103" s="111" t="s">
        <v>837</v>
      </c>
      <c r="C103" s="117" t="s">
        <v>839</v>
      </c>
      <c r="T103" s="118" t="s">
        <v>841</v>
      </c>
      <c r="U103" s="37" t="s">
        <v>822</v>
      </c>
      <c r="CN103" s="7" t="str">
        <f t="shared" si="956"/>
        <v>InitUnitState('IP02',,,,,,,,,,)</v>
      </c>
      <c r="CO103" s="7" t="str">
        <f t="shared" si="957"/>
        <v>InitUnitNormal('IP02',,,,,,,,,,)</v>
      </c>
      <c r="CP103" s="7" t="str">
        <f t="shared" si="958"/>
        <v>InitUnitMagic('IP02',,,,,,,,,,)</v>
      </c>
      <c r="CQ103" s="7" t="str">
        <f t="shared" si="959"/>
        <v>InitUnitAdd('IP02',,,,,,,,,,)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InitEquipData('IP02',,"",,,,,'','','','','','',"ReplaceableTextures\\CommandButtons\\BTNTome.blp")</v>
      </c>
      <c r="CU103" s="45" t="str">
        <f t="shared" ref="CU103:CU104" si="1632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29" t="str">
        <f t="shared" ref="CV103:CV104" si="1633">T103</f>
        <v>消耗补天石，可重铸指定法宝</v>
      </c>
      <c r="CW103" s="24"/>
      <c r="CX103" s="24"/>
      <c r="CY103" s="24"/>
      <c r="CZ103" s="24"/>
      <c r="DA103" s="24"/>
      <c r="DB103" s="30" t="str">
        <f t="shared" ref="DB103:DB104" si="1634">IF(V103="","","|n"&amp;DB$2&amp;"+"&amp;V103&amp;DB$1)</f>
        <v/>
      </c>
      <c r="DC103" s="30" t="str">
        <f t="shared" ref="DC103:DC104" si="1635">IF(W103="","","|n"&amp;DC$2&amp;"+"&amp;W103&amp;DC$1)</f>
        <v/>
      </c>
      <c r="DD103" s="30" t="str">
        <f t="shared" ref="DD103:DD104" si="1636">IF(X103="","","|n"&amp;DD$2&amp;"+"&amp;X103&amp;DD$1)</f>
        <v/>
      </c>
      <c r="DE103" s="30" t="str">
        <f t="shared" ref="DE103:DE104" si="1637">IF(Y103="","","|n"&amp;DE$2&amp;"+"&amp;Y103&amp;DE$1)</f>
        <v/>
      </c>
      <c r="DF103" s="30" t="str">
        <f t="shared" ref="DF103:DF104" si="1638">IF(Z103="","","|n"&amp;DF$2&amp;"+"&amp;Z103&amp;DF$1)</f>
        <v/>
      </c>
      <c r="DG103" s="30" t="str">
        <f t="shared" ref="DG103:DG104" si="1639">IF(AA103="","","|n"&amp;DG$2&amp;"+"&amp;AA103&amp;DG$1)</f>
        <v/>
      </c>
      <c r="DH103" s="30" t="str">
        <f t="shared" ref="DH103:DH104" si="1640">IF(AB103="","","|n"&amp;DH$2&amp;"+"&amp;AB103&amp;DH$1)</f>
        <v/>
      </c>
      <c r="DI103" s="30" t="str">
        <f t="shared" ref="DI103:DI104" si="1641">IF(AC103="","","|n"&amp;DI$2&amp;"+"&amp;AC103&amp;DI$1)</f>
        <v/>
      </c>
      <c r="DJ103" s="30" t="str">
        <f t="shared" ref="DJ103:DJ104" si="1642">IF(AD103="","","|n"&amp;DJ$2&amp;"+"&amp;AD103&amp;DJ$1)</f>
        <v/>
      </c>
      <c r="DK103" s="30" t="str">
        <f t="shared" ref="DK103:DK104" si="1643">IF(AE103="","","|n"&amp;DK$2&amp;"+"&amp;AE103&amp;DK$1)</f>
        <v/>
      </c>
      <c r="DL103" s="30" t="str">
        <f t="shared" ref="DL103:DL104" si="1644">IF(AF103="","","|n"&amp;DL$2&amp;"+"&amp;AF103&amp;DL$1)</f>
        <v/>
      </c>
      <c r="DM103" s="30" t="str">
        <f t="shared" ref="DM103:DM104" si="1645">IF(AG103="","","|n"&amp;DM$2&amp;"+"&amp;AG103&amp;DM$1)</f>
        <v/>
      </c>
      <c r="DN103" s="30" t="str">
        <f t="shared" ref="DN103:DN104" si="1646">IF(AH103="","","|n"&amp;DN$2&amp;"+"&amp;AH103&amp;DN$1)</f>
        <v/>
      </c>
      <c r="DO103" s="30" t="str">
        <f t="shared" ref="DO103:DO104" si="1647">IF(AI103="","","|n"&amp;DO$2&amp;"+"&amp;AI103&amp;DO$1)</f>
        <v/>
      </c>
      <c r="DP103" s="30" t="str">
        <f t="shared" ref="DP103:DP104" si="1648">IF(AJ103="","","|n"&amp;DP$2&amp;"+"&amp;AJ103&amp;DP$1)</f>
        <v/>
      </c>
      <c r="DQ103" s="30" t="str">
        <f t="shared" ref="DQ103:DQ104" si="1649">IF(AK103="","","|n"&amp;DQ$2&amp;"+"&amp;AK103&amp;DQ$1)</f>
        <v/>
      </c>
      <c r="DR103" s="30" t="str">
        <f t="shared" ref="DR103:DR104" si="1650">IF(AL103="","","|n"&amp;DR$2&amp;"+"&amp;AL103&amp;DR$1)</f>
        <v/>
      </c>
      <c r="DS103" s="30" t="str">
        <f t="shared" ref="DS103:DS104" si="1651">IF(AM103="","","|n"&amp;DS$2&amp;"+"&amp;AM103&amp;DS$1)</f>
        <v/>
      </c>
      <c r="DT103" s="30" t="str">
        <f t="shared" ref="DT103:DT104" si="1652">IF(AN103="","","|n"&amp;DT$2&amp;"+"&amp;AN103&amp;DT$1)</f>
        <v/>
      </c>
      <c r="DU103" s="30" t="str">
        <f t="shared" ref="DU103:DU104" si="1653">IF(AO103="","","|n"&amp;DU$2&amp;"+"&amp;AO103&amp;DU$1)</f>
        <v/>
      </c>
      <c r="DV103" s="30" t="str">
        <f t="shared" ref="DV103:DV104" si="1654">IF(AP103="","","|n"&amp;DV$2&amp;"+"&amp;AP103&amp;DV$1)</f>
        <v/>
      </c>
      <c r="DW103" s="30" t="str">
        <f t="shared" ref="DW103:DW104" si="1655">IF(AQ103="","","|n"&amp;DW$2&amp;"+"&amp;AQ103&amp;DW$1)</f>
        <v/>
      </c>
      <c r="DX103" s="30" t="str">
        <f t="shared" ref="DX103:DX104" si="1656">IF(AR103="","","|n"&amp;DX$2&amp;"+"&amp;AR103&amp;DX$1)</f>
        <v/>
      </c>
      <c r="DY103" s="30" t="str">
        <f t="shared" ref="DY103:DY104" si="1657">IF(AS103="","","|n"&amp;DY$2&amp;"+"&amp;AS103&amp;DY$1)</f>
        <v/>
      </c>
      <c r="DZ103" s="30" t="str">
        <f t="shared" ref="DZ103:DZ104" si="1658">IF(AT103="","","|n"&amp;DZ$2&amp;"+"&amp;AT103&amp;DZ$1)</f>
        <v/>
      </c>
      <c r="EA103" s="30" t="str">
        <f t="shared" ref="EA103:EA104" si="1659">IF(AU103="","","|n"&amp;EA$2&amp;"+"&amp;AU103&amp;EA$1)</f>
        <v/>
      </c>
      <c r="EB103" s="30" t="str">
        <f t="shared" ref="EB103:EB104" si="1660">IF(AV103="","","|n"&amp;EB$2&amp;"+"&amp;AV103&amp;EB$1)</f>
        <v/>
      </c>
      <c r="EC103" s="30" t="str">
        <f t="shared" ref="EC103:EC104" si="1661">IF(AW103="","","|n"&amp;EC$2&amp;"+"&amp;AW103&amp;EC$1)</f>
        <v/>
      </c>
      <c r="ED103" s="30" t="str">
        <f t="shared" ref="ED103:ED104" si="1662">IF(AX103="","","|n"&amp;ED$2&amp;"+"&amp;AX103&amp;ED$1)</f>
        <v/>
      </c>
      <c r="EE103" s="30" t="str">
        <f t="shared" ref="EE103:EE104" si="1663">IF(AY103="","","|n"&amp;EE$2&amp;"+"&amp;AY103&amp;EE$1)</f>
        <v/>
      </c>
      <c r="EF103" s="30" t="str">
        <f t="shared" ref="EF103:EF104" si="1664">IF(AZ103="","","|n"&amp;EF$2&amp;"+"&amp;AZ103&amp;EF$1)</f>
        <v/>
      </c>
      <c r="EG103" s="30" t="str">
        <f t="shared" ref="EG103:EG104" si="1665">IF(BA103="","","|n"&amp;EG$2&amp;"+"&amp;BA103&amp;EG$1)</f>
        <v/>
      </c>
      <c r="EH103" s="30" t="str">
        <f t="shared" ref="EH103:EH104" si="1666">IF(BB103="","","|n"&amp;EH$2&amp;"+"&amp;BB103&amp;EH$1)</f>
        <v/>
      </c>
      <c r="EI103" s="30" t="str">
        <f t="shared" ref="EI103:EI104" si="1667">IF(BC103="","","|n"&amp;EI$2&amp;"+"&amp;BC103&amp;EI$1)</f>
        <v/>
      </c>
      <c r="EJ103" s="30" t="str">
        <f t="shared" ref="EJ103:EJ104" si="1668">IF(BD103="","","|n"&amp;EJ$2&amp;"+"&amp;BD103&amp;EJ$1)</f>
        <v/>
      </c>
      <c r="EK103" s="30" t="str">
        <f t="shared" ref="EK103:EK104" si="1669">IF(BE103="","","|n"&amp;EK$2&amp;"+"&amp;BE103&amp;EK$1)</f>
        <v/>
      </c>
      <c r="EL103" s="30" t="str">
        <f t="shared" ref="EL103:EL104" si="1670">IF(BF103="","","|n"&amp;EL$2&amp;"+"&amp;BF103&amp;EL$1)</f>
        <v/>
      </c>
      <c r="EM103" s="30" t="str">
        <f t="shared" ref="EM103:EM104" si="1671">IF(BG103="","","|n"&amp;EM$2&amp;"+"&amp;BG103&amp;EM$1)</f>
        <v/>
      </c>
      <c r="EN103" s="30" t="str">
        <f t="shared" ref="EN103:EN104" si="1672">IF(BH103="","","|n"&amp;EN$2&amp;"+"&amp;BH103&amp;EN$1)</f>
        <v/>
      </c>
      <c r="EO103" s="30" t="str">
        <f t="shared" ref="EO103:EO104" si="1673">IF(BI103="","","|n"&amp;EO$2&amp;"+"&amp;BI103&amp;EO$1)</f>
        <v/>
      </c>
      <c r="EP103" s="30" t="str">
        <f t="shared" ref="EP103:EP104" si="1674">IF(BJ103="","","|n"&amp;EP$2&amp;"+"&amp;BJ103&amp;EP$1)</f>
        <v/>
      </c>
      <c r="EQ103" s="30" t="str">
        <f t="shared" ref="EQ103:EQ104" si="1675">IF(BK103="","","|n"&amp;EQ$2&amp;"+"&amp;BK103&amp;EQ$1)</f>
        <v/>
      </c>
      <c r="ER103" s="30" t="str">
        <f t="shared" ref="ER103:ER104" si="1676">IF(BL103="","","|n"&amp;ER$2&amp;"+"&amp;BL103&amp;ER$1)</f>
        <v/>
      </c>
      <c r="ES103" s="30" t="str">
        <f t="shared" ref="ES103:ES104" si="1677">IF(BM103="","","|n"&amp;ES$2&amp;"+"&amp;BM103&amp;ES$1)</f>
        <v/>
      </c>
      <c r="ET103" s="30" t="str">
        <f t="shared" ref="ET103:ET104" si="1678">IF(BN103="","","|n"&amp;ET$2&amp;"+"&amp;BN103&amp;ET$1)</f>
        <v/>
      </c>
      <c r="EU103" s="30" t="str">
        <f t="shared" ref="EU103:EU104" si="1679">IF(BO103="","","|n"&amp;EU$2&amp;"+"&amp;BO103&amp;EU$1)</f>
        <v/>
      </c>
      <c r="EV103" s="30" t="str">
        <f t="shared" ref="EV103:EV104" si="1680">IF(BP103="","","|n"&amp;EV$2&amp;"+"&amp;BP103&amp;EV$1)</f>
        <v/>
      </c>
      <c r="EW103" s="30" t="str">
        <f t="shared" ref="EW103:EW104" si="1681">IF(BQ103="","","|n"&amp;EW$2&amp;"+"&amp;BQ103&amp;EW$1)</f>
        <v/>
      </c>
      <c r="EX103" s="30" t="str">
        <f t="shared" ref="EX103:EX104" si="1682">IF(BR103="","","|n"&amp;EX$2&amp;"+"&amp;BR103&amp;EX$1)</f>
        <v/>
      </c>
      <c r="EY103" s="30" t="str">
        <f t="shared" ref="EY103:EY104" si="1683">IF(BS103="","","|n"&amp;EY$2&amp;"+"&amp;BS103&amp;EY$1)</f>
        <v/>
      </c>
      <c r="EZ103" s="30" t="str">
        <f t="shared" ref="EZ103:EZ104" si="1684">IF(BT103="","","|n"&amp;EZ$2&amp;"+"&amp;BT103&amp;EZ$1)</f>
        <v/>
      </c>
      <c r="FA103" s="30" t="str">
        <f t="shared" ref="FA103:FA104" si="1685">IF(BU103="","","|n"&amp;FA$2&amp;"+"&amp;BU103&amp;FA$1)</f>
        <v/>
      </c>
      <c r="FB103" s="30" t="str">
        <f t="shared" ref="FB103:FB104" si="1686">IF(BV103="","","|n"&amp;FB$2&amp;"+"&amp;BV103&amp;FB$1)</f>
        <v/>
      </c>
      <c r="FC103" s="30" t="str">
        <f t="shared" ref="FC103:FC104" si="1687">IF(BW103="","","|n"&amp;FC$2&amp;"+"&amp;BW103&amp;FC$1)</f>
        <v/>
      </c>
      <c r="FD103" s="30" t="str">
        <f t="shared" ref="FD103:FD104" si="1688">IF(BX103="","","|n"&amp;FD$2&amp;"+"&amp;BX103&amp;FD$1)</f>
        <v/>
      </c>
      <c r="FE103" s="30" t="str">
        <f t="shared" ref="FE103:FE104" si="1689">IF(BY103="","","|n"&amp;FE$2&amp;"+"&amp;BY103&amp;FE$1)</f>
        <v/>
      </c>
      <c r="FF103" s="30" t="str">
        <f t="shared" ref="FF103:FF104" si="1690">IF(BZ103="","","|n"&amp;FF$2&amp;"+"&amp;BZ103&amp;FF$1)</f>
        <v/>
      </c>
      <c r="FG103" s="30" t="str">
        <f t="shared" ref="FG103:FG104" si="1691">IF(CA103="","","|n"&amp;FG$2&amp;"+"&amp;CA103&amp;FG$1)</f>
        <v/>
      </c>
      <c r="FH103" s="30" t="str">
        <f t="shared" ref="FH103:FH104" si="1692">IF(CB103="","","|n"&amp;FH$2&amp;"+"&amp;CB103&amp;FH$1)</f>
        <v/>
      </c>
      <c r="FI103" s="30" t="str">
        <f t="shared" ref="FI103:FI104" si="1693">IF(CC103="","","|n"&amp;FI$2&amp;"+"&amp;CC103&amp;FI$1)</f>
        <v/>
      </c>
      <c r="FJ103" s="30" t="str">
        <f t="shared" ref="FJ103:FJ104" si="1694">IF(CD103="","","|n"&amp;FJ$2&amp;"+"&amp;CD103&amp;FJ$1)</f>
        <v/>
      </c>
      <c r="FK103" s="30" t="str">
        <f t="shared" ref="FK103:FK104" si="1695">IF(CE103="","","|n"&amp;FK$2&amp;"+"&amp;CE103&amp;FK$1)</f>
        <v/>
      </c>
      <c r="FL103" s="30" t="str">
        <f t="shared" ref="FL103:FL104" si="1696">IF(CF103="","","|n"&amp;FL$2&amp;"+"&amp;CF103&amp;FL$1)</f>
        <v/>
      </c>
      <c r="FM103" s="30" t="str">
        <f t="shared" ref="FM103:FM104" si="1697">IF(CG103="","","|n"&amp;FM$2&amp;"+"&amp;CG103&amp;FM$1)</f>
        <v/>
      </c>
      <c r="FN103" s="30" t="str">
        <f t="shared" ref="FN103:FN104" si="1698">IF(CH103="","","|n"&amp;FN$2&amp;"+"&amp;CH103&amp;FN$1)</f>
        <v/>
      </c>
      <c r="FO103" s="30" t="str">
        <f t="shared" ref="FO103:FO104" si="1699">IF(CI103="","","|n"&amp;FO$2&amp;"+"&amp;CI103&amp;FO$1)</f>
        <v/>
      </c>
      <c r="FP103" s="30" t="str">
        <f t="shared" ref="FP103:FP104" si="1700">IF(CJ103="","","|n"&amp;FP$2&amp;"+"&amp;CJ103&amp;FP$1)</f>
        <v/>
      </c>
      <c r="FQ103" s="30" t="str">
        <f t="shared" ref="FQ103:FQ104" si="1701">IF(CK103="","","|n"&amp;FQ$2&amp;"+"&amp;CK103&amp;FQ$1)</f>
        <v/>
      </c>
      <c r="FR103" s="30" t="str">
        <f t="shared" ref="FR103:FR104" si="1702">IF(CL103="","","|n"&amp;FR$2&amp;"+"&amp;CL103&amp;FR$1)</f>
        <v/>
      </c>
      <c r="FS103" s="30" t="str">
        <f t="shared" ref="FS103:FS104" si="1703">IF(CM103="","","|n"&amp;FS$2&amp;"+"&amp;CM103&amp;FS$1)</f>
        <v/>
      </c>
    </row>
    <row r="104" spans="1:175" ht="16.5">
      <c r="A104" s="117"/>
      <c r="B104" s="111" t="s">
        <v>838</v>
      </c>
      <c r="C104" s="117" t="s">
        <v>840</v>
      </c>
      <c r="T104" s="117" t="s">
        <v>842</v>
      </c>
      <c r="U104" s="37" t="s">
        <v>822</v>
      </c>
      <c r="CN104" s="7" t="str">
        <f t="shared" si="956"/>
        <v>InitUnitState('IP03',,,,,,,,,,)</v>
      </c>
      <c r="CO104" s="7" t="str">
        <f t="shared" si="957"/>
        <v>InitUnitNormal('IP03',,,,,,,,,,)</v>
      </c>
      <c r="CP104" s="7" t="str">
        <f t="shared" si="958"/>
        <v>InitUnitMagic('IP03',,,,,,,,,,)</v>
      </c>
      <c r="CQ104" s="7" t="str">
        <f t="shared" si="959"/>
        <v>InitUnitAdd('IP03',,,,,,,,,,)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InitEquipData('IP03',,"",,,,,'','','','','','',"ReplaceableTextures\\CommandButtons\\BTNTome.blp")</v>
      </c>
      <c r="CU104" s="45" t="str">
        <f t="shared" si="1632"/>
        <v>|n</v>
      </c>
      <c r="CV104" s="29" t="str">
        <f t="shared" si="1633"/>
        <v>消耗鸿蒙结晶，可将指定法宝锻造为高一品阶的随机法宝。</v>
      </c>
      <c r="CW104" s="24"/>
      <c r="CX104" s="24"/>
      <c r="CY104" s="24"/>
      <c r="CZ104" s="24"/>
      <c r="DA104" s="24"/>
      <c r="DB104" s="30" t="str">
        <f t="shared" si="1634"/>
        <v/>
      </c>
      <c r="DC104" s="30" t="str">
        <f t="shared" si="1635"/>
        <v/>
      </c>
      <c r="DD104" s="30" t="str">
        <f t="shared" si="1636"/>
        <v/>
      </c>
      <c r="DE104" s="30" t="str">
        <f t="shared" si="1637"/>
        <v/>
      </c>
      <c r="DF104" s="30" t="str">
        <f t="shared" si="1638"/>
        <v/>
      </c>
      <c r="DG104" s="30" t="str">
        <f t="shared" si="1639"/>
        <v/>
      </c>
      <c r="DH104" s="30" t="str">
        <f t="shared" si="1640"/>
        <v/>
      </c>
      <c r="DI104" s="30" t="str">
        <f t="shared" si="1641"/>
        <v/>
      </c>
      <c r="DJ104" s="30" t="str">
        <f t="shared" si="1642"/>
        <v/>
      </c>
      <c r="DK104" s="30" t="str">
        <f t="shared" si="1643"/>
        <v/>
      </c>
      <c r="DL104" s="30" t="str">
        <f t="shared" si="1644"/>
        <v/>
      </c>
      <c r="DM104" s="30" t="str">
        <f t="shared" si="1645"/>
        <v/>
      </c>
      <c r="DN104" s="30" t="str">
        <f t="shared" si="1646"/>
        <v/>
      </c>
      <c r="DO104" s="30" t="str">
        <f t="shared" si="1647"/>
        <v/>
      </c>
      <c r="DP104" s="30" t="str">
        <f t="shared" si="1648"/>
        <v/>
      </c>
      <c r="DQ104" s="30" t="str">
        <f t="shared" si="1649"/>
        <v/>
      </c>
      <c r="DR104" s="30" t="str">
        <f t="shared" si="1650"/>
        <v/>
      </c>
      <c r="DS104" s="30" t="str">
        <f t="shared" si="1651"/>
        <v/>
      </c>
      <c r="DT104" s="30" t="str">
        <f t="shared" si="1652"/>
        <v/>
      </c>
      <c r="DU104" s="30" t="str">
        <f t="shared" si="1653"/>
        <v/>
      </c>
      <c r="DV104" s="30" t="str">
        <f t="shared" si="1654"/>
        <v/>
      </c>
      <c r="DW104" s="30" t="str">
        <f t="shared" si="1655"/>
        <v/>
      </c>
      <c r="DX104" s="30" t="str">
        <f t="shared" si="1656"/>
        <v/>
      </c>
      <c r="DY104" s="30" t="str">
        <f t="shared" si="1657"/>
        <v/>
      </c>
      <c r="DZ104" s="30" t="str">
        <f t="shared" si="1658"/>
        <v/>
      </c>
      <c r="EA104" s="30" t="str">
        <f t="shared" si="1659"/>
        <v/>
      </c>
      <c r="EB104" s="30" t="str">
        <f t="shared" si="1660"/>
        <v/>
      </c>
      <c r="EC104" s="30" t="str">
        <f t="shared" si="1661"/>
        <v/>
      </c>
      <c r="ED104" s="30" t="str">
        <f t="shared" si="1662"/>
        <v/>
      </c>
      <c r="EE104" s="30" t="str">
        <f t="shared" si="1663"/>
        <v/>
      </c>
      <c r="EF104" s="30" t="str">
        <f t="shared" si="1664"/>
        <v/>
      </c>
      <c r="EG104" s="30" t="str">
        <f t="shared" si="1665"/>
        <v/>
      </c>
      <c r="EH104" s="30" t="str">
        <f t="shared" si="1666"/>
        <v/>
      </c>
      <c r="EI104" s="30" t="str">
        <f t="shared" si="1667"/>
        <v/>
      </c>
      <c r="EJ104" s="30" t="str">
        <f t="shared" si="1668"/>
        <v/>
      </c>
      <c r="EK104" s="30" t="str">
        <f t="shared" si="1669"/>
        <v/>
      </c>
      <c r="EL104" s="30" t="str">
        <f t="shared" si="1670"/>
        <v/>
      </c>
      <c r="EM104" s="30" t="str">
        <f t="shared" si="1671"/>
        <v/>
      </c>
      <c r="EN104" s="30" t="str">
        <f t="shared" si="1672"/>
        <v/>
      </c>
      <c r="EO104" s="30" t="str">
        <f t="shared" si="1673"/>
        <v/>
      </c>
      <c r="EP104" s="30" t="str">
        <f t="shared" si="1674"/>
        <v/>
      </c>
      <c r="EQ104" s="30" t="str">
        <f t="shared" si="1675"/>
        <v/>
      </c>
      <c r="ER104" s="30" t="str">
        <f t="shared" si="1676"/>
        <v/>
      </c>
      <c r="ES104" s="30" t="str">
        <f t="shared" si="1677"/>
        <v/>
      </c>
      <c r="ET104" s="30" t="str">
        <f t="shared" si="1678"/>
        <v/>
      </c>
      <c r="EU104" s="30" t="str">
        <f t="shared" si="1679"/>
        <v/>
      </c>
      <c r="EV104" s="30" t="str">
        <f t="shared" si="1680"/>
        <v/>
      </c>
      <c r="EW104" s="30" t="str">
        <f t="shared" si="1681"/>
        <v/>
      </c>
      <c r="EX104" s="30" t="str">
        <f t="shared" si="1682"/>
        <v/>
      </c>
      <c r="EY104" s="30" t="str">
        <f t="shared" si="1683"/>
        <v/>
      </c>
      <c r="EZ104" s="30" t="str">
        <f t="shared" si="1684"/>
        <v/>
      </c>
      <c r="FA104" s="30" t="str">
        <f t="shared" si="1685"/>
        <v/>
      </c>
      <c r="FB104" s="30" t="str">
        <f t="shared" si="1686"/>
        <v/>
      </c>
      <c r="FC104" s="30" t="str">
        <f t="shared" si="1687"/>
        <v/>
      </c>
      <c r="FD104" s="30" t="str">
        <f t="shared" si="1688"/>
        <v/>
      </c>
      <c r="FE104" s="30" t="str">
        <f t="shared" si="1689"/>
        <v/>
      </c>
      <c r="FF104" s="30" t="str">
        <f t="shared" si="1690"/>
        <v/>
      </c>
      <c r="FG104" s="30" t="str">
        <f t="shared" si="1691"/>
        <v/>
      </c>
      <c r="FH104" s="30" t="str">
        <f t="shared" si="1692"/>
        <v/>
      </c>
      <c r="FI104" s="30" t="str">
        <f t="shared" si="1693"/>
        <v/>
      </c>
      <c r="FJ104" s="30" t="str">
        <f t="shared" si="1694"/>
        <v/>
      </c>
      <c r="FK104" s="30" t="str">
        <f t="shared" si="1695"/>
        <v/>
      </c>
      <c r="FL104" s="30" t="str">
        <f t="shared" si="1696"/>
        <v/>
      </c>
      <c r="FM104" s="30" t="str">
        <f t="shared" si="1697"/>
        <v/>
      </c>
      <c r="FN104" s="30" t="str">
        <f t="shared" si="1698"/>
        <v/>
      </c>
      <c r="FO104" s="30" t="str">
        <f t="shared" si="1699"/>
        <v/>
      </c>
      <c r="FP104" s="30" t="str">
        <f t="shared" si="1700"/>
        <v/>
      </c>
      <c r="FQ104" s="30" t="str">
        <f t="shared" si="1701"/>
        <v/>
      </c>
      <c r="FR104" s="30" t="str">
        <f t="shared" si="1702"/>
        <v/>
      </c>
      <c r="FS104" s="30" t="str">
        <f t="shared" si="1703"/>
        <v/>
      </c>
    </row>
    <row r="105" spans="1:175" ht="16.5">
      <c r="A105" s="117"/>
      <c r="B105" s="111" t="s">
        <v>863</v>
      </c>
      <c r="C105" s="117" t="s">
        <v>864</v>
      </c>
      <c r="R105" s="25">
        <v>-7657</v>
      </c>
      <c r="S105" s="25">
        <v>-4635</v>
      </c>
      <c r="T105" s="117" t="s">
        <v>864</v>
      </c>
      <c r="U105" s="37" t="s">
        <v>822</v>
      </c>
      <c r="CN105" s="7" t="str">
        <f t="shared" ref="CN105" si="1704">"InitUnitState('"&amp;B105&amp;"',"&amp;V105&amp;","&amp;W105&amp;","&amp;X105&amp;","&amp;Y105&amp;","&amp;Z105&amp;","&amp;AA105&amp;","&amp;AB105&amp;","&amp;AC105&amp;","&amp;AD105&amp;","&amp;AE105&amp;")"</f>
        <v>InitUnitState('IT01',,,,,,,,,,)</v>
      </c>
      <c r="CO105" s="7" t="str">
        <f t="shared" ref="CO105" si="1705">"InitUnitNormal('"&amp;B105&amp;"',"&amp;AF105&amp;","&amp;AG105&amp;","&amp;AH105&amp;","&amp;AI105&amp;","&amp;AJ105&amp;","&amp;AK105&amp;","&amp;AL105&amp;","&amp;AM105&amp;","&amp;AN105&amp;","&amp;AO105&amp;")"</f>
        <v>InitUnitNormal('IT01',,,,,,,,,,)</v>
      </c>
      <c r="CP105" s="7" t="str">
        <f t="shared" ref="CP105" si="1706">"InitUnitMagic('"&amp;B105&amp;"',"&amp;AP105&amp;","&amp;AQ105&amp;","&amp;AR105&amp;","&amp;AS105&amp;","&amp;AT105&amp;","&amp;AU105&amp;","&amp;AV105&amp;","&amp;AW105&amp;","&amp;BI105&amp;","&amp;BJ105&amp;")"</f>
        <v>InitUnitMagic('IT01',,,,,,,,,,)</v>
      </c>
      <c r="CQ105" s="7" t="str">
        <f t="shared" ref="CQ105" si="1707">"InitUnitAdd('"&amp;B105&amp;"',"&amp;BK105&amp;","&amp;BL105&amp;","&amp;BM105&amp;","&amp;BN105&amp;","&amp;BO105&amp;","&amp;BP105&amp;","&amp;BQ105&amp;","&amp;BR105&amp;","&amp;BS105&amp;","&amp;BT105&amp;")"</f>
        <v>InitUnitAdd('IT01',,,,,,,,,,)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InitEquipData('IT01',,"",,,,,'','','','','','',"ReplaceableTextures\\CommandButtons\\BTNTome.blp")</v>
      </c>
      <c r="CU105" s="45" t="str">
        <f t="shared" ref="CU105" si="1708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29" t="str">
        <f t="shared" ref="CV105" si="1709">T105</f>
        <v>境界挑战1</v>
      </c>
      <c r="CW105" s="24"/>
      <c r="CX105" s="24"/>
      <c r="CY105" s="24"/>
      <c r="CZ105" s="24"/>
      <c r="DA105" s="24"/>
      <c r="DB105" s="30" t="str">
        <f t="shared" ref="DB105" si="1710">IF(V105="","","|n"&amp;DB$2&amp;"+"&amp;V105&amp;DB$1)</f>
        <v/>
      </c>
      <c r="DC105" s="30" t="str">
        <f t="shared" ref="DC105" si="1711">IF(W105="","","|n"&amp;DC$2&amp;"+"&amp;W105&amp;DC$1)</f>
        <v/>
      </c>
      <c r="DD105" s="30" t="str">
        <f t="shared" ref="DD105" si="1712">IF(X105="","","|n"&amp;DD$2&amp;"+"&amp;X105&amp;DD$1)</f>
        <v/>
      </c>
      <c r="DE105" s="30" t="str">
        <f t="shared" ref="DE105" si="1713">IF(Y105="","","|n"&amp;DE$2&amp;"+"&amp;Y105&amp;DE$1)</f>
        <v/>
      </c>
      <c r="DF105" s="30" t="str">
        <f t="shared" ref="DF105" si="1714">IF(Z105="","","|n"&amp;DF$2&amp;"+"&amp;Z105&amp;DF$1)</f>
        <v/>
      </c>
      <c r="DG105" s="30" t="str">
        <f t="shared" ref="DG105" si="1715">IF(AA105="","","|n"&amp;DG$2&amp;"+"&amp;AA105&amp;DG$1)</f>
        <v/>
      </c>
      <c r="DH105" s="30" t="str">
        <f t="shared" ref="DH105" si="1716">IF(AB105="","","|n"&amp;DH$2&amp;"+"&amp;AB105&amp;DH$1)</f>
        <v/>
      </c>
      <c r="DI105" s="30" t="str">
        <f t="shared" ref="DI105" si="1717">IF(AC105="","","|n"&amp;DI$2&amp;"+"&amp;AC105&amp;DI$1)</f>
        <v/>
      </c>
      <c r="DJ105" s="30" t="str">
        <f t="shared" ref="DJ105" si="1718">IF(AD105="","","|n"&amp;DJ$2&amp;"+"&amp;AD105&amp;DJ$1)</f>
        <v/>
      </c>
      <c r="DK105" s="30" t="str">
        <f t="shared" ref="DK105" si="1719">IF(AE105="","","|n"&amp;DK$2&amp;"+"&amp;AE105&amp;DK$1)</f>
        <v/>
      </c>
      <c r="DL105" s="30" t="str">
        <f t="shared" ref="DL105" si="1720">IF(AF105="","","|n"&amp;DL$2&amp;"+"&amp;AF105&amp;DL$1)</f>
        <v/>
      </c>
      <c r="DM105" s="30" t="str">
        <f t="shared" ref="DM105" si="1721">IF(AG105="","","|n"&amp;DM$2&amp;"+"&amp;AG105&amp;DM$1)</f>
        <v/>
      </c>
      <c r="DN105" s="30" t="str">
        <f t="shared" ref="DN105" si="1722">IF(AH105="","","|n"&amp;DN$2&amp;"+"&amp;AH105&amp;DN$1)</f>
        <v/>
      </c>
      <c r="DO105" s="30" t="str">
        <f t="shared" ref="DO105" si="1723">IF(AI105="","","|n"&amp;DO$2&amp;"+"&amp;AI105&amp;DO$1)</f>
        <v/>
      </c>
      <c r="DP105" s="30" t="str">
        <f t="shared" ref="DP105" si="1724">IF(AJ105="","","|n"&amp;DP$2&amp;"+"&amp;AJ105&amp;DP$1)</f>
        <v/>
      </c>
      <c r="DQ105" s="30" t="str">
        <f t="shared" ref="DQ105" si="1725">IF(AK105="","","|n"&amp;DQ$2&amp;"+"&amp;AK105&amp;DQ$1)</f>
        <v/>
      </c>
      <c r="DR105" s="30" t="str">
        <f t="shared" ref="DR105" si="1726">IF(AL105="","","|n"&amp;DR$2&amp;"+"&amp;AL105&amp;DR$1)</f>
        <v/>
      </c>
      <c r="DS105" s="30" t="str">
        <f t="shared" ref="DS105" si="1727">IF(AM105="","","|n"&amp;DS$2&amp;"+"&amp;AM105&amp;DS$1)</f>
        <v/>
      </c>
      <c r="DT105" s="30" t="str">
        <f t="shared" ref="DT105" si="1728">IF(AN105="","","|n"&amp;DT$2&amp;"+"&amp;AN105&amp;DT$1)</f>
        <v/>
      </c>
      <c r="DU105" s="30" t="str">
        <f t="shared" ref="DU105" si="1729">IF(AO105="","","|n"&amp;DU$2&amp;"+"&amp;AO105&amp;DU$1)</f>
        <v/>
      </c>
      <c r="DV105" s="30" t="str">
        <f t="shared" ref="DV105" si="1730">IF(AP105="","","|n"&amp;DV$2&amp;"+"&amp;AP105&amp;DV$1)</f>
        <v/>
      </c>
      <c r="DW105" s="30" t="str">
        <f t="shared" ref="DW105" si="1731">IF(AQ105="","","|n"&amp;DW$2&amp;"+"&amp;AQ105&amp;DW$1)</f>
        <v/>
      </c>
      <c r="DX105" s="30" t="str">
        <f t="shared" ref="DX105" si="1732">IF(AR105="","","|n"&amp;DX$2&amp;"+"&amp;AR105&amp;DX$1)</f>
        <v/>
      </c>
      <c r="DY105" s="30" t="str">
        <f t="shared" ref="DY105" si="1733">IF(AS105="","","|n"&amp;DY$2&amp;"+"&amp;AS105&amp;DY$1)</f>
        <v/>
      </c>
      <c r="DZ105" s="30" t="str">
        <f t="shared" ref="DZ105" si="1734">IF(AT105="","","|n"&amp;DZ$2&amp;"+"&amp;AT105&amp;DZ$1)</f>
        <v/>
      </c>
      <c r="EA105" s="30" t="str">
        <f t="shared" ref="EA105" si="1735">IF(AU105="","","|n"&amp;EA$2&amp;"+"&amp;AU105&amp;EA$1)</f>
        <v/>
      </c>
      <c r="EB105" s="30" t="str">
        <f t="shared" ref="EB105" si="1736">IF(AV105="","","|n"&amp;EB$2&amp;"+"&amp;AV105&amp;EB$1)</f>
        <v/>
      </c>
      <c r="EC105" s="30" t="str">
        <f t="shared" ref="EC105" si="1737">IF(AW105="","","|n"&amp;EC$2&amp;"+"&amp;AW105&amp;EC$1)</f>
        <v/>
      </c>
      <c r="ED105" s="30" t="str">
        <f t="shared" ref="ED105" si="1738">IF(AX105="","","|n"&amp;ED$2&amp;"+"&amp;AX105&amp;ED$1)</f>
        <v/>
      </c>
      <c r="EE105" s="30" t="str">
        <f t="shared" ref="EE105" si="1739">IF(AY105="","","|n"&amp;EE$2&amp;"+"&amp;AY105&amp;EE$1)</f>
        <v/>
      </c>
      <c r="EF105" s="30" t="str">
        <f t="shared" ref="EF105" si="1740">IF(AZ105="","","|n"&amp;EF$2&amp;"+"&amp;AZ105&amp;EF$1)</f>
        <v/>
      </c>
      <c r="EG105" s="30" t="str">
        <f t="shared" ref="EG105" si="1741">IF(BA105="","","|n"&amp;EG$2&amp;"+"&amp;BA105&amp;EG$1)</f>
        <v/>
      </c>
      <c r="EH105" s="30" t="str">
        <f t="shared" ref="EH105" si="1742">IF(BB105="","","|n"&amp;EH$2&amp;"+"&amp;BB105&amp;EH$1)</f>
        <v/>
      </c>
      <c r="EI105" s="30" t="str">
        <f t="shared" ref="EI105" si="1743">IF(BC105="","","|n"&amp;EI$2&amp;"+"&amp;BC105&amp;EI$1)</f>
        <v/>
      </c>
      <c r="EJ105" s="30" t="str">
        <f t="shared" ref="EJ105" si="1744">IF(BD105="","","|n"&amp;EJ$2&amp;"+"&amp;BD105&amp;EJ$1)</f>
        <v/>
      </c>
      <c r="EK105" s="30" t="str">
        <f t="shared" ref="EK105" si="1745">IF(BE105="","","|n"&amp;EK$2&amp;"+"&amp;BE105&amp;EK$1)</f>
        <v/>
      </c>
      <c r="EL105" s="30" t="str">
        <f t="shared" ref="EL105" si="1746">IF(BF105="","","|n"&amp;EL$2&amp;"+"&amp;BF105&amp;EL$1)</f>
        <v/>
      </c>
      <c r="EM105" s="30" t="str">
        <f t="shared" ref="EM105" si="1747">IF(BG105="","","|n"&amp;EM$2&amp;"+"&amp;BG105&amp;EM$1)</f>
        <v/>
      </c>
      <c r="EN105" s="30" t="str">
        <f t="shared" ref="EN105" si="1748">IF(BH105="","","|n"&amp;EN$2&amp;"+"&amp;BH105&amp;EN$1)</f>
        <v/>
      </c>
      <c r="EO105" s="30" t="str">
        <f t="shared" ref="EO105" si="1749">IF(BI105="","","|n"&amp;EO$2&amp;"+"&amp;BI105&amp;EO$1)</f>
        <v/>
      </c>
      <c r="EP105" s="30" t="str">
        <f t="shared" ref="EP105" si="1750">IF(BJ105="","","|n"&amp;EP$2&amp;"+"&amp;BJ105&amp;EP$1)</f>
        <v/>
      </c>
      <c r="EQ105" s="30" t="str">
        <f t="shared" ref="EQ105" si="1751">IF(BK105="","","|n"&amp;EQ$2&amp;"+"&amp;BK105&amp;EQ$1)</f>
        <v/>
      </c>
      <c r="ER105" s="30" t="str">
        <f t="shared" ref="ER105" si="1752">IF(BL105="","","|n"&amp;ER$2&amp;"+"&amp;BL105&amp;ER$1)</f>
        <v/>
      </c>
      <c r="ES105" s="30" t="str">
        <f t="shared" ref="ES105" si="1753">IF(BM105="","","|n"&amp;ES$2&amp;"+"&amp;BM105&amp;ES$1)</f>
        <v/>
      </c>
      <c r="ET105" s="30" t="str">
        <f t="shared" ref="ET105" si="1754">IF(BN105="","","|n"&amp;ET$2&amp;"+"&amp;BN105&amp;ET$1)</f>
        <v/>
      </c>
      <c r="EU105" s="30" t="str">
        <f t="shared" ref="EU105" si="1755">IF(BO105="","","|n"&amp;EU$2&amp;"+"&amp;BO105&amp;EU$1)</f>
        <v/>
      </c>
      <c r="EV105" s="30" t="str">
        <f t="shared" ref="EV105" si="1756">IF(BP105="","","|n"&amp;EV$2&amp;"+"&amp;BP105&amp;EV$1)</f>
        <v/>
      </c>
      <c r="EW105" s="30" t="str">
        <f t="shared" ref="EW105" si="1757">IF(BQ105="","","|n"&amp;EW$2&amp;"+"&amp;BQ105&amp;EW$1)</f>
        <v/>
      </c>
      <c r="EX105" s="30" t="str">
        <f t="shared" ref="EX105" si="1758">IF(BR105="","","|n"&amp;EX$2&amp;"+"&amp;BR105&amp;EX$1)</f>
        <v/>
      </c>
      <c r="EY105" s="30" t="str">
        <f t="shared" ref="EY105" si="1759">IF(BS105="","","|n"&amp;EY$2&amp;"+"&amp;BS105&amp;EY$1)</f>
        <v/>
      </c>
      <c r="EZ105" s="30" t="str">
        <f t="shared" ref="EZ105" si="1760">IF(BT105="","","|n"&amp;EZ$2&amp;"+"&amp;BT105&amp;EZ$1)</f>
        <v/>
      </c>
      <c r="FA105" s="30" t="str">
        <f t="shared" ref="FA105" si="1761">IF(BU105="","","|n"&amp;FA$2&amp;"+"&amp;BU105&amp;FA$1)</f>
        <v/>
      </c>
      <c r="FB105" s="30" t="str">
        <f t="shared" ref="FB105" si="1762">IF(BV105="","","|n"&amp;FB$2&amp;"+"&amp;BV105&amp;FB$1)</f>
        <v/>
      </c>
      <c r="FC105" s="30" t="str">
        <f t="shared" ref="FC105" si="1763">IF(BW105="","","|n"&amp;FC$2&amp;"+"&amp;BW105&amp;FC$1)</f>
        <v/>
      </c>
      <c r="FD105" s="30" t="str">
        <f t="shared" ref="FD105" si="1764">IF(BX105="","","|n"&amp;FD$2&amp;"+"&amp;BX105&amp;FD$1)</f>
        <v/>
      </c>
      <c r="FE105" s="30" t="str">
        <f t="shared" ref="FE105" si="1765">IF(BY105="","","|n"&amp;FE$2&amp;"+"&amp;BY105&amp;FE$1)</f>
        <v/>
      </c>
      <c r="FF105" s="30" t="str">
        <f t="shared" ref="FF105" si="1766">IF(BZ105="","","|n"&amp;FF$2&amp;"+"&amp;BZ105&amp;FF$1)</f>
        <v/>
      </c>
      <c r="FG105" s="30" t="str">
        <f t="shared" ref="FG105" si="1767">IF(CA105="","","|n"&amp;FG$2&amp;"+"&amp;CA105&amp;FG$1)</f>
        <v/>
      </c>
      <c r="FH105" s="30" t="str">
        <f t="shared" ref="FH105" si="1768">IF(CB105="","","|n"&amp;FH$2&amp;"+"&amp;CB105&amp;FH$1)</f>
        <v/>
      </c>
      <c r="FI105" s="30" t="str">
        <f t="shared" ref="FI105" si="1769">IF(CC105="","","|n"&amp;FI$2&amp;"+"&amp;CC105&amp;FI$1)</f>
        <v/>
      </c>
      <c r="FJ105" s="30" t="str">
        <f t="shared" ref="FJ105" si="1770">IF(CD105="","","|n"&amp;FJ$2&amp;"+"&amp;CD105&amp;FJ$1)</f>
        <v/>
      </c>
      <c r="FK105" s="30" t="str">
        <f t="shared" ref="FK105" si="1771">IF(CE105="","","|n"&amp;FK$2&amp;"+"&amp;CE105&amp;FK$1)</f>
        <v/>
      </c>
      <c r="FL105" s="30" t="str">
        <f t="shared" ref="FL105" si="1772">IF(CF105="","","|n"&amp;FL$2&amp;"+"&amp;CF105&amp;FL$1)</f>
        <v/>
      </c>
      <c r="FM105" s="30" t="str">
        <f t="shared" ref="FM105" si="1773">IF(CG105="","","|n"&amp;FM$2&amp;"+"&amp;CG105&amp;FM$1)</f>
        <v/>
      </c>
      <c r="FN105" s="30" t="str">
        <f t="shared" ref="FN105" si="1774">IF(CH105="","","|n"&amp;FN$2&amp;"+"&amp;CH105&amp;FN$1)</f>
        <v/>
      </c>
      <c r="FO105" s="30" t="str">
        <f t="shared" ref="FO105" si="1775">IF(CI105="","","|n"&amp;FO$2&amp;"+"&amp;CI105&amp;FO$1)</f>
        <v/>
      </c>
      <c r="FP105" s="30" t="str">
        <f t="shared" ref="FP105" si="1776">IF(CJ105="","","|n"&amp;FP$2&amp;"+"&amp;CJ105&amp;FP$1)</f>
        <v/>
      </c>
      <c r="FQ105" s="30" t="str">
        <f t="shared" ref="FQ105" si="1777">IF(CK105="","","|n"&amp;FQ$2&amp;"+"&amp;CK105&amp;FQ$1)</f>
        <v/>
      </c>
      <c r="FR105" s="30" t="str">
        <f t="shared" ref="FR105" si="1778">IF(CL105="","","|n"&amp;FR$2&amp;"+"&amp;CL105&amp;FR$1)</f>
        <v/>
      </c>
      <c r="FS105" s="30" t="str">
        <f t="shared" ref="FS105" si="1779">IF(CM105="","","|n"&amp;FS$2&amp;"+"&amp;CM105&amp;FS$1)</f>
        <v/>
      </c>
    </row>
    <row r="106" spans="1:175" ht="16.5">
      <c r="A106" s="117"/>
      <c r="B106" s="111" t="s">
        <v>865</v>
      </c>
      <c r="C106" s="117" t="s">
        <v>866</v>
      </c>
      <c r="R106" s="25">
        <v>-7872</v>
      </c>
      <c r="S106" s="25">
        <v>-2816</v>
      </c>
      <c r="T106" s="117" t="s">
        <v>866</v>
      </c>
      <c r="U106" s="37" t="s">
        <v>822</v>
      </c>
      <c r="CN106" s="7" t="str">
        <f t="shared" ref="CN106:CN119" si="1780">"InitUnitState('"&amp;B106&amp;"',"&amp;V106&amp;","&amp;W106&amp;","&amp;X106&amp;","&amp;Y106&amp;","&amp;Z106&amp;","&amp;AA106&amp;","&amp;AB106&amp;","&amp;AC106&amp;","&amp;AD106&amp;","&amp;AE106&amp;")"</f>
        <v>InitUnitState('IT02',,,,,,,,,,)</v>
      </c>
      <c r="CO106" s="7" t="str">
        <f t="shared" ref="CO106:CO119" si="1781">"InitUnitNormal('"&amp;B106&amp;"',"&amp;AF106&amp;","&amp;AG106&amp;","&amp;AH106&amp;","&amp;AI106&amp;","&amp;AJ106&amp;","&amp;AK106&amp;","&amp;AL106&amp;","&amp;AM106&amp;","&amp;AN106&amp;","&amp;AO106&amp;")"</f>
        <v>InitUnitNormal('IT02',,,,,,,,,,)</v>
      </c>
      <c r="CP106" s="7" t="str">
        <f t="shared" ref="CP106:CP119" si="1782">"InitUnitMagic('"&amp;B106&amp;"',"&amp;AP106&amp;","&amp;AQ106&amp;","&amp;AR106&amp;","&amp;AS106&amp;","&amp;AT106&amp;","&amp;AU106&amp;","&amp;AV106&amp;","&amp;AW106&amp;","&amp;BI106&amp;","&amp;BJ106&amp;")"</f>
        <v>InitUnitMagic('IT02',,,,,,,,,,)</v>
      </c>
      <c r="CQ106" s="7" t="str">
        <f t="shared" ref="CQ106:CQ119" si="1783">"InitUnitAdd('"&amp;B106&amp;"',"&amp;BK106&amp;","&amp;BL106&amp;","&amp;BM106&amp;","&amp;BN106&amp;","&amp;BO106&amp;","&amp;BP106&amp;","&amp;BQ106&amp;","&amp;BR106&amp;","&amp;BS106&amp;","&amp;BT106&amp;")"</f>
        <v>InitUnitAdd('IT02',,,,,,,,,,)</v>
      </c>
      <c r="CR106" s="7" t="str">
        <f t="shared" ref="CR106:CR113" si="1784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InitEquipData('IT02',,"",,,,,'','','','','','',"ReplaceableTextures\\CommandButtons\\BTNTome.blp")</v>
      </c>
      <c r="CU106" s="45" t="str">
        <f t="shared" ref="CU106:CU119" si="1785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19" si="1786">T106</f>
        <v>境界挑战2</v>
      </c>
      <c r="CW106" s="24"/>
      <c r="CX106" s="24"/>
      <c r="CY106" s="24"/>
      <c r="CZ106" s="24"/>
      <c r="DA106" s="24"/>
      <c r="DB106" s="30" t="str">
        <f t="shared" ref="DB106:DB119" si="1787">IF(V106="","","|n"&amp;DB$2&amp;"+"&amp;V106&amp;DB$1)</f>
        <v/>
      </c>
      <c r="DC106" s="30" t="str">
        <f t="shared" ref="DC106:DC119" si="1788">IF(W106="","","|n"&amp;DC$2&amp;"+"&amp;W106&amp;DC$1)</f>
        <v/>
      </c>
      <c r="DD106" s="30" t="str">
        <f t="shared" ref="DD106:DD119" si="1789">IF(X106="","","|n"&amp;DD$2&amp;"+"&amp;X106&amp;DD$1)</f>
        <v/>
      </c>
      <c r="DE106" s="30" t="str">
        <f t="shared" ref="DE106:DE119" si="1790">IF(Y106="","","|n"&amp;DE$2&amp;"+"&amp;Y106&amp;DE$1)</f>
        <v/>
      </c>
      <c r="DF106" s="30" t="str">
        <f t="shared" ref="DF106:DF119" si="1791">IF(Z106="","","|n"&amp;DF$2&amp;"+"&amp;Z106&amp;DF$1)</f>
        <v/>
      </c>
      <c r="DG106" s="30" t="str">
        <f t="shared" ref="DG106:DG119" si="1792">IF(AA106="","","|n"&amp;DG$2&amp;"+"&amp;AA106&amp;DG$1)</f>
        <v/>
      </c>
      <c r="DH106" s="30" t="str">
        <f t="shared" ref="DH106:DH119" si="1793">IF(AB106="","","|n"&amp;DH$2&amp;"+"&amp;AB106&amp;DH$1)</f>
        <v/>
      </c>
      <c r="DI106" s="30" t="str">
        <f t="shared" ref="DI106:DI119" si="1794">IF(AC106="","","|n"&amp;DI$2&amp;"+"&amp;AC106&amp;DI$1)</f>
        <v/>
      </c>
      <c r="DJ106" s="30" t="str">
        <f t="shared" ref="DJ106:DJ119" si="1795">IF(AD106="","","|n"&amp;DJ$2&amp;"+"&amp;AD106&amp;DJ$1)</f>
        <v/>
      </c>
      <c r="DK106" s="30" t="str">
        <f t="shared" ref="DK106:DK119" si="1796">IF(AE106="","","|n"&amp;DK$2&amp;"+"&amp;AE106&amp;DK$1)</f>
        <v/>
      </c>
      <c r="DL106" s="30" t="str">
        <f t="shared" ref="DL106:DL119" si="1797">IF(AF106="","","|n"&amp;DL$2&amp;"+"&amp;AF106&amp;DL$1)</f>
        <v/>
      </c>
      <c r="DM106" s="30" t="str">
        <f t="shared" ref="DM106:DM119" si="1798">IF(AG106="","","|n"&amp;DM$2&amp;"+"&amp;AG106&amp;DM$1)</f>
        <v/>
      </c>
      <c r="DN106" s="30" t="str">
        <f t="shared" ref="DN106:DN119" si="1799">IF(AH106="","","|n"&amp;DN$2&amp;"+"&amp;AH106&amp;DN$1)</f>
        <v/>
      </c>
      <c r="DO106" s="30" t="str">
        <f t="shared" ref="DO106:DO119" si="1800">IF(AI106="","","|n"&amp;DO$2&amp;"+"&amp;AI106&amp;DO$1)</f>
        <v/>
      </c>
      <c r="DP106" s="30" t="str">
        <f t="shared" ref="DP106:DP119" si="1801">IF(AJ106="","","|n"&amp;DP$2&amp;"+"&amp;AJ106&amp;DP$1)</f>
        <v/>
      </c>
      <c r="DQ106" s="30" t="str">
        <f t="shared" ref="DQ106:DQ119" si="1802">IF(AK106="","","|n"&amp;DQ$2&amp;"+"&amp;AK106&amp;DQ$1)</f>
        <v/>
      </c>
      <c r="DR106" s="30" t="str">
        <f t="shared" ref="DR106:DR119" si="1803">IF(AL106="","","|n"&amp;DR$2&amp;"+"&amp;AL106&amp;DR$1)</f>
        <v/>
      </c>
      <c r="DS106" s="30" t="str">
        <f t="shared" ref="DS106:DS119" si="1804">IF(AM106="","","|n"&amp;DS$2&amp;"+"&amp;AM106&amp;DS$1)</f>
        <v/>
      </c>
      <c r="DT106" s="30" t="str">
        <f t="shared" ref="DT106:DT119" si="1805">IF(AN106="","","|n"&amp;DT$2&amp;"+"&amp;AN106&amp;DT$1)</f>
        <v/>
      </c>
      <c r="DU106" s="30" t="str">
        <f t="shared" ref="DU106:DU119" si="1806">IF(AO106="","","|n"&amp;DU$2&amp;"+"&amp;AO106&amp;DU$1)</f>
        <v/>
      </c>
      <c r="DV106" s="30" t="str">
        <f t="shared" ref="DV106:DV119" si="1807">IF(AP106="","","|n"&amp;DV$2&amp;"+"&amp;AP106&amp;DV$1)</f>
        <v/>
      </c>
      <c r="DW106" s="30" t="str">
        <f t="shared" ref="DW106:DW119" si="1808">IF(AQ106="","","|n"&amp;DW$2&amp;"+"&amp;AQ106&amp;DW$1)</f>
        <v/>
      </c>
      <c r="DX106" s="30" t="str">
        <f t="shared" ref="DX106:DX119" si="1809">IF(AR106="","","|n"&amp;DX$2&amp;"+"&amp;AR106&amp;DX$1)</f>
        <v/>
      </c>
      <c r="DY106" s="30" t="str">
        <f t="shared" ref="DY106:DY119" si="1810">IF(AS106="","","|n"&amp;DY$2&amp;"+"&amp;AS106&amp;DY$1)</f>
        <v/>
      </c>
      <c r="DZ106" s="30" t="str">
        <f t="shared" ref="DZ106:DZ119" si="1811">IF(AT106="","","|n"&amp;DZ$2&amp;"+"&amp;AT106&amp;DZ$1)</f>
        <v/>
      </c>
      <c r="EA106" s="30" t="str">
        <f t="shared" ref="EA106:EA119" si="1812">IF(AU106="","","|n"&amp;EA$2&amp;"+"&amp;AU106&amp;EA$1)</f>
        <v/>
      </c>
      <c r="EB106" s="30" t="str">
        <f t="shared" ref="EB106:EB119" si="1813">IF(AV106="","","|n"&amp;EB$2&amp;"+"&amp;AV106&amp;EB$1)</f>
        <v/>
      </c>
      <c r="EC106" s="30" t="str">
        <f t="shared" ref="EC106:EC119" si="1814">IF(AW106="","","|n"&amp;EC$2&amp;"+"&amp;AW106&amp;EC$1)</f>
        <v/>
      </c>
      <c r="ED106" s="30" t="str">
        <f t="shared" ref="ED106:ED119" si="1815">IF(AX106="","","|n"&amp;ED$2&amp;"+"&amp;AX106&amp;ED$1)</f>
        <v/>
      </c>
      <c r="EE106" s="30" t="str">
        <f t="shared" ref="EE106:EE119" si="1816">IF(AY106="","","|n"&amp;EE$2&amp;"+"&amp;AY106&amp;EE$1)</f>
        <v/>
      </c>
      <c r="EF106" s="30" t="str">
        <f t="shared" ref="EF106:EF119" si="1817">IF(AZ106="","","|n"&amp;EF$2&amp;"+"&amp;AZ106&amp;EF$1)</f>
        <v/>
      </c>
      <c r="EG106" s="30" t="str">
        <f t="shared" ref="EG106:EG119" si="1818">IF(BA106="","","|n"&amp;EG$2&amp;"+"&amp;BA106&amp;EG$1)</f>
        <v/>
      </c>
      <c r="EH106" s="30" t="str">
        <f t="shared" ref="EH106:EH119" si="1819">IF(BB106="","","|n"&amp;EH$2&amp;"+"&amp;BB106&amp;EH$1)</f>
        <v/>
      </c>
      <c r="EI106" s="30" t="str">
        <f t="shared" ref="EI106:EI119" si="1820">IF(BC106="","","|n"&amp;EI$2&amp;"+"&amp;BC106&amp;EI$1)</f>
        <v/>
      </c>
      <c r="EJ106" s="30" t="str">
        <f t="shared" ref="EJ106:EJ119" si="1821">IF(BD106="","","|n"&amp;EJ$2&amp;"+"&amp;BD106&amp;EJ$1)</f>
        <v/>
      </c>
      <c r="EK106" s="30" t="str">
        <f t="shared" ref="EK106:EK119" si="1822">IF(BE106="","","|n"&amp;EK$2&amp;"+"&amp;BE106&amp;EK$1)</f>
        <v/>
      </c>
      <c r="EL106" s="30" t="str">
        <f t="shared" ref="EL106:EL119" si="1823">IF(BF106="","","|n"&amp;EL$2&amp;"+"&amp;BF106&amp;EL$1)</f>
        <v/>
      </c>
      <c r="EM106" s="30" t="str">
        <f t="shared" ref="EM106:EM119" si="1824">IF(BG106="","","|n"&amp;EM$2&amp;"+"&amp;BG106&amp;EM$1)</f>
        <v/>
      </c>
      <c r="EN106" s="30" t="str">
        <f t="shared" ref="EN106:EN119" si="1825">IF(BH106="","","|n"&amp;EN$2&amp;"+"&amp;BH106&amp;EN$1)</f>
        <v/>
      </c>
      <c r="EO106" s="30" t="str">
        <f t="shared" ref="EO106:EO119" si="1826">IF(BI106="","","|n"&amp;EO$2&amp;"+"&amp;BI106&amp;EO$1)</f>
        <v/>
      </c>
      <c r="EP106" s="30" t="str">
        <f t="shared" ref="EP106:EP119" si="1827">IF(BJ106="","","|n"&amp;EP$2&amp;"+"&amp;BJ106&amp;EP$1)</f>
        <v/>
      </c>
      <c r="EQ106" s="30" t="str">
        <f t="shared" ref="EQ106:EQ119" si="1828">IF(BK106="","","|n"&amp;EQ$2&amp;"+"&amp;BK106&amp;EQ$1)</f>
        <v/>
      </c>
      <c r="ER106" s="30" t="str">
        <f t="shared" ref="ER106:ER119" si="1829">IF(BL106="","","|n"&amp;ER$2&amp;"+"&amp;BL106&amp;ER$1)</f>
        <v/>
      </c>
      <c r="ES106" s="30" t="str">
        <f t="shared" ref="ES106:ES119" si="1830">IF(BM106="","","|n"&amp;ES$2&amp;"+"&amp;BM106&amp;ES$1)</f>
        <v/>
      </c>
      <c r="ET106" s="30" t="str">
        <f t="shared" ref="ET106:ET119" si="1831">IF(BN106="","","|n"&amp;ET$2&amp;"+"&amp;BN106&amp;ET$1)</f>
        <v/>
      </c>
      <c r="EU106" s="30" t="str">
        <f t="shared" ref="EU106:EU119" si="1832">IF(BO106="","","|n"&amp;EU$2&amp;"+"&amp;BO106&amp;EU$1)</f>
        <v/>
      </c>
      <c r="EV106" s="30" t="str">
        <f t="shared" ref="EV106:EV119" si="1833">IF(BP106="","","|n"&amp;EV$2&amp;"+"&amp;BP106&amp;EV$1)</f>
        <v/>
      </c>
      <c r="EW106" s="30" t="str">
        <f t="shared" ref="EW106:EW119" si="1834">IF(BQ106="","","|n"&amp;EW$2&amp;"+"&amp;BQ106&amp;EW$1)</f>
        <v/>
      </c>
      <c r="EX106" s="30" t="str">
        <f t="shared" ref="EX106:EX119" si="1835">IF(BR106="","","|n"&amp;EX$2&amp;"+"&amp;BR106&amp;EX$1)</f>
        <v/>
      </c>
      <c r="EY106" s="30" t="str">
        <f t="shared" ref="EY106:EY119" si="1836">IF(BS106="","","|n"&amp;EY$2&amp;"+"&amp;BS106&amp;EY$1)</f>
        <v/>
      </c>
      <c r="EZ106" s="30" t="str">
        <f t="shared" ref="EZ106:EZ119" si="1837">IF(BT106="","","|n"&amp;EZ$2&amp;"+"&amp;BT106&amp;EZ$1)</f>
        <v/>
      </c>
      <c r="FA106" s="30" t="str">
        <f t="shared" ref="FA106:FA119" si="1838">IF(BU106="","","|n"&amp;FA$2&amp;"+"&amp;BU106&amp;FA$1)</f>
        <v/>
      </c>
      <c r="FB106" s="30" t="str">
        <f t="shared" ref="FB106:FB119" si="1839">IF(BV106="","","|n"&amp;FB$2&amp;"+"&amp;BV106&amp;FB$1)</f>
        <v/>
      </c>
      <c r="FC106" s="30" t="str">
        <f t="shared" ref="FC106:FC119" si="1840">IF(BW106="","","|n"&amp;FC$2&amp;"+"&amp;BW106&amp;FC$1)</f>
        <v/>
      </c>
      <c r="FD106" s="30" t="str">
        <f t="shared" ref="FD106:FD119" si="1841">IF(BX106="","","|n"&amp;FD$2&amp;"+"&amp;BX106&amp;FD$1)</f>
        <v/>
      </c>
      <c r="FE106" s="30" t="str">
        <f t="shared" ref="FE106:FE119" si="1842">IF(BY106="","","|n"&amp;FE$2&amp;"+"&amp;BY106&amp;FE$1)</f>
        <v/>
      </c>
      <c r="FF106" s="30" t="str">
        <f t="shared" ref="FF106:FF119" si="1843">IF(BZ106="","","|n"&amp;FF$2&amp;"+"&amp;BZ106&amp;FF$1)</f>
        <v/>
      </c>
      <c r="FG106" s="30" t="str">
        <f t="shared" ref="FG106:FG119" si="1844">IF(CA106="","","|n"&amp;FG$2&amp;"+"&amp;CA106&amp;FG$1)</f>
        <v/>
      </c>
      <c r="FH106" s="30" t="str">
        <f t="shared" ref="FH106:FH119" si="1845">IF(CB106="","","|n"&amp;FH$2&amp;"+"&amp;CB106&amp;FH$1)</f>
        <v/>
      </c>
      <c r="FI106" s="30" t="str">
        <f t="shared" ref="FI106:FI119" si="1846">IF(CC106="","","|n"&amp;FI$2&amp;"+"&amp;CC106&amp;FI$1)</f>
        <v/>
      </c>
      <c r="FJ106" s="30" t="str">
        <f t="shared" ref="FJ106:FJ119" si="1847">IF(CD106="","","|n"&amp;FJ$2&amp;"+"&amp;CD106&amp;FJ$1)</f>
        <v/>
      </c>
      <c r="FK106" s="30" t="str">
        <f t="shared" ref="FK106:FK119" si="1848">IF(CE106="","","|n"&amp;FK$2&amp;"+"&amp;CE106&amp;FK$1)</f>
        <v/>
      </c>
      <c r="FL106" s="30" t="str">
        <f t="shared" ref="FL106:FL119" si="1849">IF(CF106="","","|n"&amp;FL$2&amp;"+"&amp;CF106&amp;FL$1)</f>
        <v/>
      </c>
      <c r="FM106" s="30" t="str">
        <f t="shared" ref="FM106:FM119" si="1850">IF(CG106="","","|n"&amp;FM$2&amp;"+"&amp;CG106&amp;FM$1)</f>
        <v/>
      </c>
      <c r="FN106" s="30" t="str">
        <f t="shared" ref="FN106:FN119" si="1851">IF(CH106="","","|n"&amp;FN$2&amp;"+"&amp;CH106&amp;FN$1)</f>
        <v/>
      </c>
      <c r="FO106" s="30" t="str">
        <f t="shared" ref="FO106:FO119" si="1852">IF(CI106="","","|n"&amp;FO$2&amp;"+"&amp;CI106&amp;FO$1)</f>
        <v/>
      </c>
      <c r="FP106" s="30" t="str">
        <f t="shared" ref="FP106:FP119" si="1853">IF(CJ106="","","|n"&amp;FP$2&amp;"+"&amp;CJ106&amp;FP$1)</f>
        <v/>
      </c>
      <c r="FQ106" s="30" t="str">
        <f t="shared" ref="FQ106:FQ119" si="1854">IF(CK106="","","|n"&amp;FQ$2&amp;"+"&amp;CK106&amp;FQ$1)</f>
        <v/>
      </c>
      <c r="FR106" s="30" t="str">
        <f t="shared" ref="FR106:FR119" si="1855">IF(CL106="","","|n"&amp;FR$2&amp;"+"&amp;CL106&amp;FR$1)</f>
        <v/>
      </c>
      <c r="FS106" s="30" t="str">
        <f t="shared" ref="FS106:FS119" si="1856">IF(CM106="","","|n"&amp;FS$2&amp;"+"&amp;CM106&amp;FS$1)</f>
        <v/>
      </c>
    </row>
    <row r="107" spans="1:175" ht="16.5">
      <c r="A107" s="117"/>
      <c r="B107" s="111" t="s">
        <v>867</v>
      </c>
      <c r="C107" s="117" t="s">
        <v>868</v>
      </c>
      <c r="R107" s="25">
        <v>-8048</v>
      </c>
      <c r="S107" s="25">
        <v>-1563</v>
      </c>
      <c r="T107" s="117" t="s">
        <v>868</v>
      </c>
      <c r="U107" s="37" t="s">
        <v>822</v>
      </c>
      <c r="CN107" s="7" t="str">
        <f t="shared" si="1780"/>
        <v>InitUnitState('IT03',,,,,,,,,,)</v>
      </c>
      <c r="CO107" s="7" t="str">
        <f t="shared" si="1781"/>
        <v>InitUnitNormal('IT03',,,,,,,,,,)</v>
      </c>
      <c r="CP107" s="7" t="str">
        <f t="shared" si="1782"/>
        <v>InitUnitMagic('IT03',,,,,,,,,,)</v>
      </c>
      <c r="CQ107" s="7" t="str">
        <f t="shared" si="1783"/>
        <v>InitUnitAdd('IT03',,,,,,,,,,)</v>
      </c>
      <c r="CR107" s="7" t="str">
        <f t="shared" si="1784"/>
        <v>InitEquipData('IT03',,"",,,,,'','','','','','',"ReplaceableTextures\\CommandButtons\\BTNTome.blp")</v>
      </c>
      <c r="CU107" s="45" t="str">
        <f t="shared" si="1785"/>
        <v>|n</v>
      </c>
      <c r="CV107" s="29" t="str">
        <f t="shared" si="1786"/>
        <v>境界挑战3</v>
      </c>
      <c r="CW107" s="24"/>
      <c r="CX107" s="24"/>
      <c r="CY107" s="24"/>
      <c r="CZ107" s="24"/>
      <c r="DA107" s="24"/>
      <c r="DB107" s="30" t="str">
        <f t="shared" si="1787"/>
        <v/>
      </c>
      <c r="DC107" s="30" t="str">
        <f t="shared" si="1788"/>
        <v/>
      </c>
      <c r="DD107" s="30" t="str">
        <f t="shared" si="1789"/>
        <v/>
      </c>
      <c r="DE107" s="30" t="str">
        <f t="shared" si="1790"/>
        <v/>
      </c>
      <c r="DF107" s="30" t="str">
        <f t="shared" si="1791"/>
        <v/>
      </c>
      <c r="DG107" s="30" t="str">
        <f t="shared" si="1792"/>
        <v/>
      </c>
      <c r="DH107" s="30" t="str">
        <f t="shared" si="1793"/>
        <v/>
      </c>
      <c r="DI107" s="30" t="str">
        <f t="shared" si="1794"/>
        <v/>
      </c>
      <c r="DJ107" s="30" t="str">
        <f t="shared" si="1795"/>
        <v/>
      </c>
      <c r="DK107" s="30" t="str">
        <f t="shared" si="1796"/>
        <v/>
      </c>
      <c r="DL107" s="30" t="str">
        <f t="shared" si="1797"/>
        <v/>
      </c>
      <c r="DM107" s="30" t="str">
        <f t="shared" si="1798"/>
        <v/>
      </c>
      <c r="DN107" s="30" t="str">
        <f t="shared" si="1799"/>
        <v/>
      </c>
      <c r="DO107" s="30" t="str">
        <f t="shared" si="1800"/>
        <v/>
      </c>
      <c r="DP107" s="30" t="str">
        <f t="shared" si="1801"/>
        <v/>
      </c>
      <c r="DQ107" s="30" t="str">
        <f t="shared" si="1802"/>
        <v/>
      </c>
      <c r="DR107" s="30" t="str">
        <f t="shared" si="1803"/>
        <v/>
      </c>
      <c r="DS107" s="30" t="str">
        <f t="shared" si="1804"/>
        <v/>
      </c>
      <c r="DT107" s="30" t="str">
        <f t="shared" si="1805"/>
        <v/>
      </c>
      <c r="DU107" s="30" t="str">
        <f t="shared" si="1806"/>
        <v/>
      </c>
      <c r="DV107" s="30" t="str">
        <f t="shared" si="1807"/>
        <v/>
      </c>
      <c r="DW107" s="30" t="str">
        <f t="shared" si="1808"/>
        <v/>
      </c>
      <c r="DX107" s="30" t="str">
        <f t="shared" si="1809"/>
        <v/>
      </c>
      <c r="DY107" s="30" t="str">
        <f t="shared" si="1810"/>
        <v/>
      </c>
      <c r="DZ107" s="30" t="str">
        <f t="shared" si="1811"/>
        <v/>
      </c>
      <c r="EA107" s="30" t="str">
        <f t="shared" si="1812"/>
        <v/>
      </c>
      <c r="EB107" s="30" t="str">
        <f t="shared" si="1813"/>
        <v/>
      </c>
      <c r="EC107" s="30" t="str">
        <f t="shared" si="1814"/>
        <v/>
      </c>
      <c r="ED107" s="30" t="str">
        <f t="shared" si="1815"/>
        <v/>
      </c>
      <c r="EE107" s="30" t="str">
        <f t="shared" si="1816"/>
        <v/>
      </c>
      <c r="EF107" s="30" t="str">
        <f t="shared" si="1817"/>
        <v/>
      </c>
      <c r="EG107" s="30" t="str">
        <f t="shared" si="1818"/>
        <v/>
      </c>
      <c r="EH107" s="30" t="str">
        <f t="shared" si="1819"/>
        <v/>
      </c>
      <c r="EI107" s="30" t="str">
        <f t="shared" si="1820"/>
        <v/>
      </c>
      <c r="EJ107" s="30" t="str">
        <f t="shared" si="1821"/>
        <v/>
      </c>
      <c r="EK107" s="30" t="str">
        <f t="shared" si="1822"/>
        <v/>
      </c>
      <c r="EL107" s="30" t="str">
        <f t="shared" si="1823"/>
        <v/>
      </c>
      <c r="EM107" s="30" t="str">
        <f t="shared" si="1824"/>
        <v/>
      </c>
      <c r="EN107" s="30" t="str">
        <f t="shared" si="1825"/>
        <v/>
      </c>
      <c r="EO107" s="30" t="str">
        <f t="shared" si="1826"/>
        <v/>
      </c>
      <c r="EP107" s="30" t="str">
        <f t="shared" si="1827"/>
        <v/>
      </c>
      <c r="EQ107" s="30" t="str">
        <f t="shared" si="1828"/>
        <v/>
      </c>
      <c r="ER107" s="30" t="str">
        <f t="shared" si="1829"/>
        <v/>
      </c>
      <c r="ES107" s="30" t="str">
        <f t="shared" si="1830"/>
        <v/>
      </c>
      <c r="ET107" s="30" t="str">
        <f t="shared" si="1831"/>
        <v/>
      </c>
      <c r="EU107" s="30" t="str">
        <f t="shared" si="1832"/>
        <v/>
      </c>
      <c r="EV107" s="30" t="str">
        <f t="shared" si="1833"/>
        <v/>
      </c>
      <c r="EW107" s="30" t="str">
        <f t="shared" si="1834"/>
        <v/>
      </c>
      <c r="EX107" s="30" t="str">
        <f t="shared" si="1835"/>
        <v/>
      </c>
      <c r="EY107" s="30" t="str">
        <f t="shared" si="1836"/>
        <v/>
      </c>
      <c r="EZ107" s="30" t="str">
        <f t="shared" si="1837"/>
        <v/>
      </c>
      <c r="FA107" s="30" t="str">
        <f t="shared" si="1838"/>
        <v/>
      </c>
      <c r="FB107" s="30" t="str">
        <f t="shared" si="1839"/>
        <v/>
      </c>
      <c r="FC107" s="30" t="str">
        <f t="shared" si="1840"/>
        <v/>
      </c>
      <c r="FD107" s="30" t="str">
        <f t="shared" si="1841"/>
        <v/>
      </c>
      <c r="FE107" s="30" t="str">
        <f t="shared" si="1842"/>
        <v/>
      </c>
      <c r="FF107" s="30" t="str">
        <f t="shared" si="1843"/>
        <v/>
      </c>
      <c r="FG107" s="30" t="str">
        <f t="shared" si="1844"/>
        <v/>
      </c>
      <c r="FH107" s="30" t="str">
        <f t="shared" si="1845"/>
        <v/>
      </c>
      <c r="FI107" s="30" t="str">
        <f t="shared" si="1846"/>
        <v/>
      </c>
      <c r="FJ107" s="30" t="str">
        <f t="shared" si="1847"/>
        <v/>
      </c>
      <c r="FK107" s="30" t="str">
        <f t="shared" si="1848"/>
        <v/>
      </c>
      <c r="FL107" s="30" t="str">
        <f t="shared" si="1849"/>
        <v/>
      </c>
      <c r="FM107" s="30" t="str">
        <f t="shared" si="1850"/>
        <v/>
      </c>
      <c r="FN107" s="30" t="str">
        <f t="shared" si="1851"/>
        <v/>
      </c>
      <c r="FO107" s="30" t="str">
        <f t="shared" si="1852"/>
        <v/>
      </c>
      <c r="FP107" s="30" t="str">
        <f t="shared" si="1853"/>
        <v/>
      </c>
      <c r="FQ107" s="30" t="str">
        <f t="shared" si="1854"/>
        <v/>
      </c>
      <c r="FR107" s="30" t="str">
        <f t="shared" si="1855"/>
        <v/>
      </c>
      <c r="FS107" s="30" t="str">
        <f t="shared" si="1856"/>
        <v/>
      </c>
    </row>
    <row r="108" spans="1:175" ht="16.5">
      <c r="A108" s="117"/>
      <c r="B108" s="111" t="s">
        <v>869</v>
      </c>
      <c r="C108" s="117" t="s">
        <v>870</v>
      </c>
      <c r="R108" s="25">
        <v>-7794</v>
      </c>
      <c r="S108" s="25">
        <v>195</v>
      </c>
      <c r="T108" s="117" t="s">
        <v>870</v>
      </c>
      <c r="U108" s="37" t="s">
        <v>822</v>
      </c>
      <c r="CN108" s="7" t="str">
        <f t="shared" si="1780"/>
        <v>InitUnitState('IT04',,,,,,,,,,)</v>
      </c>
      <c r="CO108" s="7" t="str">
        <f t="shared" si="1781"/>
        <v>InitUnitNormal('IT04',,,,,,,,,,)</v>
      </c>
      <c r="CP108" s="7" t="str">
        <f t="shared" si="1782"/>
        <v>InitUnitMagic('IT04',,,,,,,,,,)</v>
      </c>
      <c r="CQ108" s="7" t="str">
        <f t="shared" si="1783"/>
        <v>InitUnitAdd('IT04',,,,,,,,,,)</v>
      </c>
      <c r="CR108" s="7" t="str">
        <f t="shared" si="1784"/>
        <v>InitEquipData('IT04',,"",,,,,'','','','','','',"ReplaceableTextures\\CommandButtons\\BTNTome.blp")</v>
      </c>
      <c r="CU108" s="45" t="str">
        <f t="shared" si="1785"/>
        <v>|n</v>
      </c>
      <c r="CV108" s="29" t="str">
        <f t="shared" si="1786"/>
        <v>境界挑战4</v>
      </c>
      <c r="CW108" s="24"/>
      <c r="CX108" s="24"/>
      <c r="CY108" s="24"/>
      <c r="CZ108" s="24"/>
      <c r="DA108" s="24"/>
      <c r="DB108" s="30" t="str">
        <f t="shared" si="1787"/>
        <v/>
      </c>
      <c r="DC108" s="30" t="str">
        <f t="shared" si="1788"/>
        <v/>
      </c>
      <c r="DD108" s="30" t="str">
        <f t="shared" si="1789"/>
        <v/>
      </c>
      <c r="DE108" s="30" t="str">
        <f t="shared" si="1790"/>
        <v/>
      </c>
      <c r="DF108" s="30" t="str">
        <f t="shared" si="1791"/>
        <v/>
      </c>
      <c r="DG108" s="30" t="str">
        <f t="shared" si="1792"/>
        <v/>
      </c>
      <c r="DH108" s="30" t="str">
        <f t="shared" si="1793"/>
        <v/>
      </c>
      <c r="DI108" s="30" t="str">
        <f t="shared" si="1794"/>
        <v/>
      </c>
      <c r="DJ108" s="30" t="str">
        <f t="shared" si="1795"/>
        <v/>
      </c>
      <c r="DK108" s="30" t="str">
        <f t="shared" si="1796"/>
        <v/>
      </c>
      <c r="DL108" s="30" t="str">
        <f t="shared" si="1797"/>
        <v/>
      </c>
      <c r="DM108" s="30" t="str">
        <f t="shared" si="1798"/>
        <v/>
      </c>
      <c r="DN108" s="30" t="str">
        <f t="shared" si="1799"/>
        <v/>
      </c>
      <c r="DO108" s="30" t="str">
        <f t="shared" si="1800"/>
        <v/>
      </c>
      <c r="DP108" s="30" t="str">
        <f t="shared" si="1801"/>
        <v/>
      </c>
      <c r="DQ108" s="30" t="str">
        <f t="shared" si="1802"/>
        <v/>
      </c>
      <c r="DR108" s="30" t="str">
        <f t="shared" si="1803"/>
        <v/>
      </c>
      <c r="DS108" s="30" t="str">
        <f t="shared" si="1804"/>
        <v/>
      </c>
      <c r="DT108" s="30" t="str">
        <f t="shared" si="1805"/>
        <v/>
      </c>
      <c r="DU108" s="30" t="str">
        <f t="shared" si="1806"/>
        <v/>
      </c>
      <c r="DV108" s="30" t="str">
        <f t="shared" si="1807"/>
        <v/>
      </c>
      <c r="DW108" s="30" t="str">
        <f t="shared" si="1808"/>
        <v/>
      </c>
      <c r="DX108" s="30" t="str">
        <f t="shared" si="1809"/>
        <v/>
      </c>
      <c r="DY108" s="30" t="str">
        <f t="shared" si="1810"/>
        <v/>
      </c>
      <c r="DZ108" s="30" t="str">
        <f t="shared" si="1811"/>
        <v/>
      </c>
      <c r="EA108" s="30" t="str">
        <f t="shared" si="1812"/>
        <v/>
      </c>
      <c r="EB108" s="30" t="str">
        <f t="shared" si="1813"/>
        <v/>
      </c>
      <c r="EC108" s="30" t="str">
        <f t="shared" si="1814"/>
        <v/>
      </c>
      <c r="ED108" s="30" t="str">
        <f t="shared" si="1815"/>
        <v/>
      </c>
      <c r="EE108" s="30" t="str">
        <f t="shared" si="1816"/>
        <v/>
      </c>
      <c r="EF108" s="30" t="str">
        <f t="shared" si="1817"/>
        <v/>
      </c>
      <c r="EG108" s="30" t="str">
        <f t="shared" si="1818"/>
        <v/>
      </c>
      <c r="EH108" s="30" t="str">
        <f t="shared" si="1819"/>
        <v/>
      </c>
      <c r="EI108" s="30" t="str">
        <f t="shared" si="1820"/>
        <v/>
      </c>
      <c r="EJ108" s="30" t="str">
        <f t="shared" si="1821"/>
        <v/>
      </c>
      <c r="EK108" s="30" t="str">
        <f t="shared" si="1822"/>
        <v/>
      </c>
      <c r="EL108" s="30" t="str">
        <f t="shared" si="1823"/>
        <v/>
      </c>
      <c r="EM108" s="30" t="str">
        <f t="shared" si="1824"/>
        <v/>
      </c>
      <c r="EN108" s="30" t="str">
        <f t="shared" si="1825"/>
        <v/>
      </c>
      <c r="EO108" s="30" t="str">
        <f t="shared" si="1826"/>
        <v/>
      </c>
      <c r="EP108" s="30" t="str">
        <f t="shared" si="1827"/>
        <v/>
      </c>
      <c r="EQ108" s="30" t="str">
        <f t="shared" si="1828"/>
        <v/>
      </c>
      <c r="ER108" s="30" t="str">
        <f t="shared" si="1829"/>
        <v/>
      </c>
      <c r="ES108" s="30" t="str">
        <f t="shared" si="1830"/>
        <v/>
      </c>
      <c r="ET108" s="30" t="str">
        <f t="shared" si="1831"/>
        <v/>
      </c>
      <c r="EU108" s="30" t="str">
        <f t="shared" si="1832"/>
        <v/>
      </c>
      <c r="EV108" s="30" t="str">
        <f t="shared" si="1833"/>
        <v/>
      </c>
      <c r="EW108" s="30" t="str">
        <f t="shared" si="1834"/>
        <v/>
      </c>
      <c r="EX108" s="30" t="str">
        <f t="shared" si="1835"/>
        <v/>
      </c>
      <c r="EY108" s="30" t="str">
        <f t="shared" si="1836"/>
        <v/>
      </c>
      <c r="EZ108" s="30" t="str">
        <f t="shared" si="1837"/>
        <v/>
      </c>
      <c r="FA108" s="30" t="str">
        <f t="shared" si="1838"/>
        <v/>
      </c>
      <c r="FB108" s="30" t="str">
        <f t="shared" si="1839"/>
        <v/>
      </c>
      <c r="FC108" s="30" t="str">
        <f t="shared" si="1840"/>
        <v/>
      </c>
      <c r="FD108" s="30" t="str">
        <f t="shared" si="1841"/>
        <v/>
      </c>
      <c r="FE108" s="30" t="str">
        <f t="shared" si="1842"/>
        <v/>
      </c>
      <c r="FF108" s="30" t="str">
        <f t="shared" si="1843"/>
        <v/>
      </c>
      <c r="FG108" s="30" t="str">
        <f t="shared" si="1844"/>
        <v/>
      </c>
      <c r="FH108" s="30" t="str">
        <f t="shared" si="1845"/>
        <v/>
      </c>
      <c r="FI108" s="30" t="str">
        <f t="shared" si="1846"/>
        <v/>
      </c>
      <c r="FJ108" s="30" t="str">
        <f t="shared" si="1847"/>
        <v/>
      </c>
      <c r="FK108" s="30" t="str">
        <f t="shared" si="1848"/>
        <v/>
      </c>
      <c r="FL108" s="30" t="str">
        <f t="shared" si="1849"/>
        <v/>
      </c>
      <c r="FM108" s="30" t="str">
        <f t="shared" si="1850"/>
        <v/>
      </c>
      <c r="FN108" s="30" t="str">
        <f t="shared" si="1851"/>
        <v/>
      </c>
      <c r="FO108" s="30" t="str">
        <f t="shared" si="1852"/>
        <v/>
      </c>
      <c r="FP108" s="30" t="str">
        <f t="shared" si="1853"/>
        <v/>
      </c>
      <c r="FQ108" s="30" t="str">
        <f t="shared" si="1854"/>
        <v/>
      </c>
      <c r="FR108" s="30" t="str">
        <f t="shared" si="1855"/>
        <v/>
      </c>
      <c r="FS108" s="30" t="str">
        <f t="shared" si="1856"/>
        <v/>
      </c>
    </row>
    <row r="109" spans="1:175" ht="16.5">
      <c r="A109" s="117"/>
      <c r="B109" s="111" t="s">
        <v>871</v>
      </c>
      <c r="C109" s="117" t="s">
        <v>872</v>
      </c>
      <c r="R109" s="25">
        <v>-8110</v>
      </c>
      <c r="S109" s="25">
        <v>1810</v>
      </c>
      <c r="T109" s="117" t="s">
        <v>872</v>
      </c>
      <c r="U109" s="37" t="s">
        <v>822</v>
      </c>
      <c r="CN109" s="7" t="str">
        <f t="shared" si="1780"/>
        <v>InitUnitState('IT05',,,,,,,,,,)</v>
      </c>
      <c r="CO109" s="7" t="str">
        <f t="shared" si="1781"/>
        <v>InitUnitNormal('IT05',,,,,,,,,,)</v>
      </c>
      <c r="CP109" s="7" t="str">
        <f t="shared" si="1782"/>
        <v>InitUnitMagic('IT05',,,,,,,,,,)</v>
      </c>
      <c r="CQ109" s="7" t="str">
        <f t="shared" si="1783"/>
        <v>InitUnitAdd('IT05',,,,,,,,,,)</v>
      </c>
      <c r="CR109" s="7" t="str">
        <f t="shared" si="1784"/>
        <v>InitEquipData('IT05',,"",,,,,'','','','','','',"ReplaceableTextures\\CommandButtons\\BTNTome.blp")</v>
      </c>
      <c r="CU109" s="45" t="str">
        <f t="shared" si="1785"/>
        <v>|n</v>
      </c>
      <c r="CV109" s="29" t="str">
        <f t="shared" si="1786"/>
        <v>境界挑战5</v>
      </c>
      <c r="CW109" s="24"/>
      <c r="CX109" s="24"/>
      <c r="CY109" s="24"/>
      <c r="CZ109" s="24"/>
      <c r="DA109" s="24"/>
      <c r="DB109" s="30" t="str">
        <f t="shared" si="1787"/>
        <v/>
      </c>
      <c r="DC109" s="30" t="str">
        <f t="shared" si="1788"/>
        <v/>
      </c>
      <c r="DD109" s="30" t="str">
        <f t="shared" si="1789"/>
        <v/>
      </c>
      <c r="DE109" s="30" t="str">
        <f t="shared" si="1790"/>
        <v/>
      </c>
      <c r="DF109" s="30" t="str">
        <f t="shared" si="1791"/>
        <v/>
      </c>
      <c r="DG109" s="30" t="str">
        <f t="shared" si="1792"/>
        <v/>
      </c>
      <c r="DH109" s="30" t="str">
        <f t="shared" si="1793"/>
        <v/>
      </c>
      <c r="DI109" s="30" t="str">
        <f t="shared" si="1794"/>
        <v/>
      </c>
      <c r="DJ109" s="30" t="str">
        <f t="shared" si="1795"/>
        <v/>
      </c>
      <c r="DK109" s="30" t="str">
        <f t="shared" si="1796"/>
        <v/>
      </c>
      <c r="DL109" s="30" t="str">
        <f t="shared" si="1797"/>
        <v/>
      </c>
      <c r="DM109" s="30" t="str">
        <f t="shared" si="1798"/>
        <v/>
      </c>
      <c r="DN109" s="30" t="str">
        <f t="shared" si="1799"/>
        <v/>
      </c>
      <c r="DO109" s="30" t="str">
        <f t="shared" si="1800"/>
        <v/>
      </c>
      <c r="DP109" s="30" t="str">
        <f t="shared" si="1801"/>
        <v/>
      </c>
      <c r="DQ109" s="30" t="str">
        <f t="shared" si="1802"/>
        <v/>
      </c>
      <c r="DR109" s="30" t="str">
        <f t="shared" si="1803"/>
        <v/>
      </c>
      <c r="DS109" s="30" t="str">
        <f t="shared" si="1804"/>
        <v/>
      </c>
      <c r="DT109" s="30" t="str">
        <f t="shared" si="1805"/>
        <v/>
      </c>
      <c r="DU109" s="30" t="str">
        <f t="shared" si="1806"/>
        <v/>
      </c>
      <c r="DV109" s="30" t="str">
        <f t="shared" si="1807"/>
        <v/>
      </c>
      <c r="DW109" s="30" t="str">
        <f t="shared" si="1808"/>
        <v/>
      </c>
      <c r="DX109" s="30" t="str">
        <f t="shared" si="1809"/>
        <v/>
      </c>
      <c r="DY109" s="30" t="str">
        <f t="shared" si="1810"/>
        <v/>
      </c>
      <c r="DZ109" s="30" t="str">
        <f t="shared" si="1811"/>
        <v/>
      </c>
      <c r="EA109" s="30" t="str">
        <f t="shared" si="1812"/>
        <v/>
      </c>
      <c r="EB109" s="30" t="str">
        <f t="shared" si="1813"/>
        <v/>
      </c>
      <c r="EC109" s="30" t="str">
        <f t="shared" si="1814"/>
        <v/>
      </c>
      <c r="ED109" s="30" t="str">
        <f t="shared" si="1815"/>
        <v/>
      </c>
      <c r="EE109" s="30" t="str">
        <f t="shared" si="1816"/>
        <v/>
      </c>
      <c r="EF109" s="30" t="str">
        <f t="shared" si="1817"/>
        <v/>
      </c>
      <c r="EG109" s="30" t="str">
        <f t="shared" si="1818"/>
        <v/>
      </c>
      <c r="EH109" s="30" t="str">
        <f t="shared" si="1819"/>
        <v/>
      </c>
      <c r="EI109" s="30" t="str">
        <f t="shared" si="1820"/>
        <v/>
      </c>
      <c r="EJ109" s="30" t="str">
        <f t="shared" si="1821"/>
        <v/>
      </c>
      <c r="EK109" s="30" t="str">
        <f t="shared" si="1822"/>
        <v/>
      </c>
      <c r="EL109" s="30" t="str">
        <f t="shared" si="1823"/>
        <v/>
      </c>
      <c r="EM109" s="30" t="str">
        <f t="shared" si="1824"/>
        <v/>
      </c>
      <c r="EN109" s="30" t="str">
        <f t="shared" si="1825"/>
        <v/>
      </c>
      <c r="EO109" s="30" t="str">
        <f t="shared" si="1826"/>
        <v/>
      </c>
      <c r="EP109" s="30" t="str">
        <f t="shared" si="1827"/>
        <v/>
      </c>
      <c r="EQ109" s="30" t="str">
        <f t="shared" si="1828"/>
        <v/>
      </c>
      <c r="ER109" s="30" t="str">
        <f t="shared" si="1829"/>
        <v/>
      </c>
      <c r="ES109" s="30" t="str">
        <f t="shared" si="1830"/>
        <v/>
      </c>
      <c r="ET109" s="30" t="str">
        <f t="shared" si="1831"/>
        <v/>
      </c>
      <c r="EU109" s="30" t="str">
        <f t="shared" si="1832"/>
        <v/>
      </c>
      <c r="EV109" s="30" t="str">
        <f t="shared" si="1833"/>
        <v/>
      </c>
      <c r="EW109" s="30" t="str">
        <f t="shared" si="1834"/>
        <v/>
      </c>
      <c r="EX109" s="30" t="str">
        <f t="shared" si="1835"/>
        <v/>
      </c>
      <c r="EY109" s="30" t="str">
        <f t="shared" si="1836"/>
        <v/>
      </c>
      <c r="EZ109" s="30" t="str">
        <f t="shared" si="1837"/>
        <v/>
      </c>
      <c r="FA109" s="30" t="str">
        <f t="shared" si="1838"/>
        <v/>
      </c>
      <c r="FB109" s="30" t="str">
        <f t="shared" si="1839"/>
        <v/>
      </c>
      <c r="FC109" s="30" t="str">
        <f t="shared" si="1840"/>
        <v/>
      </c>
      <c r="FD109" s="30" t="str">
        <f t="shared" si="1841"/>
        <v/>
      </c>
      <c r="FE109" s="30" t="str">
        <f t="shared" si="1842"/>
        <v/>
      </c>
      <c r="FF109" s="30" t="str">
        <f t="shared" si="1843"/>
        <v/>
      </c>
      <c r="FG109" s="30" t="str">
        <f t="shared" si="1844"/>
        <v/>
      </c>
      <c r="FH109" s="30" t="str">
        <f t="shared" si="1845"/>
        <v/>
      </c>
      <c r="FI109" s="30" t="str">
        <f t="shared" si="1846"/>
        <v/>
      </c>
      <c r="FJ109" s="30" t="str">
        <f t="shared" si="1847"/>
        <v/>
      </c>
      <c r="FK109" s="30" t="str">
        <f t="shared" si="1848"/>
        <v/>
      </c>
      <c r="FL109" s="30" t="str">
        <f t="shared" si="1849"/>
        <v/>
      </c>
      <c r="FM109" s="30" t="str">
        <f t="shared" si="1850"/>
        <v/>
      </c>
      <c r="FN109" s="30" t="str">
        <f t="shared" si="1851"/>
        <v/>
      </c>
      <c r="FO109" s="30" t="str">
        <f t="shared" si="1852"/>
        <v/>
      </c>
      <c r="FP109" s="30" t="str">
        <f t="shared" si="1853"/>
        <v/>
      </c>
      <c r="FQ109" s="30" t="str">
        <f t="shared" si="1854"/>
        <v/>
      </c>
      <c r="FR109" s="30" t="str">
        <f t="shared" si="1855"/>
        <v/>
      </c>
      <c r="FS109" s="30" t="str">
        <f t="shared" si="1856"/>
        <v/>
      </c>
    </row>
    <row r="110" spans="1:175" ht="16.5">
      <c r="A110" s="117"/>
      <c r="B110" s="111" t="s">
        <v>873</v>
      </c>
      <c r="C110" s="117" t="s">
        <v>874</v>
      </c>
      <c r="R110" s="25">
        <v>-7896</v>
      </c>
      <c r="S110" s="25">
        <v>3839</v>
      </c>
      <c r="T110" s="117" t="s">
        <v>874</v>
      </c>
      <c r="U110" s="37" t="s">
        <v>822</v>
      </c>
      <c r="CN110" s="7" t="str">
        <f t="shared" si="1780"/>
        <v>InitUnitState('IT06',,,,,,,,,,)</v>
      </c>
      <c r="CO110" s="7" t="str">
        <f t="shared" si="1781"/>
        <v>InitUnitNormal('IT06',,,,,,,,,,)</v>
      </c>
      <c r="CP110" s="7" t="str">
        <f t="shared" si="1782"/>
        <v>InitUnitMagic('IT06',,,,,,,,,,)</v>
      </c>
      <c r="CQ110" s="7" t="str">
        <f t="shared" si="1783"/>
        <v>InitUnitAdd('IT06',,,,,,,,,,)</v>
      </c>
      <c r="CR110" s="7" t="str">
        <f t="shared" si="1784"/>
        <v>InitEquipData('IT06',,"",,,,,'','','','','','',"ReplaceableTextures\\CommandButtons\\BTNTome.blp")</v>
      </c>
      <c r="CU110" s="45" t="str">
        <f t="shared" si="1785"/>
        <v>|n</v>
      </c>
      <c r="CV110" s="29" t="str">
        <f t="shared" si="1786"/>
        <v>境界挑战6</v>
      </c>
      <c r="CW110" s="24"/>
      <c r="CX110" s="24"/>
      <c r="CY110" s="24"/>
      <c r="CZ110" s="24"/>
      <c r="DA110" s="24"/>
      <c r="DB110" s="30" t="str">
        <f t="shared" si="1787"/>
        <v/>
      </c>
      <c r="DC110" s="30" t="str">
        <f t="shared" si="1788"/>
        <v/>
      </c>
      <c r="DD110" s="30" t="str">
        <f t="shared" si="1789"/>
        <v/>
      </c>
      <c r="DE110" s="30" t="str">
        <f t="shared" si="1790"/>
        <v/>
      </c>
      <c r="DF110" s="30" t="str">
        <f t="shared" si="1791"/>
        <v/>
      </c>
      <c r="DG110" s="30" t="str">
        <f t="shared" si="1792"/>
        <v/>
      </c>
      <c r="DH110" s="30" t="str">
        <f t="shared" si="1793"/>
        <v/>
      </c>
      <c r="DI110" s="30" t="str">
        <f t="shared" si="1794"/>
        <v/>
      </c>
      <c r="DJ110" s="30" t="str">
        <f t="shared" si="1795"/>
        <v/>
      </c>
      <c r="DK110" s="30" t="str">
        <f t="shared" si="1796"/>
        <v/>
      </c>
      <c r="DL110" s="30" t="str">
        <f t="shared" si="1797"/>
        <v/>
      </c>
      <c r="DM110" s="30" t="str">
        <f t="shared" si="1798"/>
        <v/>
      </c>
      <c r="DN110" s="30" t="str">
        <f t="shared" si="1799"/>
        <v/>
      </c>
      <c r="DO110" s="30" t="str">
        <f t="shared" si="1800"/>
        <v/>
      </c>
      <c r="DP110" s="30" t="str">
        <f t="shared" si="1801"/>
        <v/>
      </c>
      <c r="DQ110" s="30" t="str">
        <f t="shared" si="1802"/>
        <v/>
      </c>
      <c r="DR110" s="30" t="str">
        <f t="shared" si="1803"/>
        <v/>
      </c>
      <c r="DS110" s="30" t="str">
        <f t="shared" si="1804"/>
        <v/>
      </c>
      <c r="DT110" s="30" t="str">
        <f t="shared" si="1805"/>
        <v/>
      </c>
      <c r="DU110" s="30" t="str">
        <f t="shared" si="1806"/>
        <v/>
      </c>
      <c r="DV110" s="30" t="str">
        <f t="shared" si="1807"/>
        <v/>
      </c>
      <c r="DW110" s="30" t="str">
        <f t="shared" si="1808"/>
        <v/>
      </c>
      <c r="DX110" s="30" t="str">
        <f t="shared" si="1809"/>
        <v/>
      </c>
      <c r="DY110" s="30" t="str">
        <f t="shared" si="1810"/>
        <v/>
      </c>
      <c r="DZ110" s="30" t="str">
        <f t="shared" si="1811"/>
        <v/>
      </c>
      <c r="EA110" s="30" t="str">
        <f t="shared" si="1812"/>
        <v/>
      </c>
      <c r="EB110" s="30" t="str">
        <f t="shared" si="1813"/>
        <v/>
      </c>
      <c r="EC110" s="30" t="str">
        <f t="shared" si="1814"/>
        <v/>
      </c>
      <c r="ED110" s="30" t="str">
        <f t="shared" si="1815"/>
        <v/>
      </c>
      <c r="EE110" s="30" t="str">
        <f t="shared" si="1816"/>
        <v/>
      </c>
      <c r="EF110" s="30" t="str">
        <f t="shared" si="1817"/>
        <v/>
      </c>
      <c r="EG110" s="30" t="str">
        <f t="shared" si="1818"/>
        <v/>
      </c>
      <c r="EH110" s="30" t="str">
        <f t="shared" si="1819"/>
        <v/>
      </c>
      <c r="EI110" s="30" t="str">
        <f t="shared" si="1820"/>
        <v/>
      </c>
      <c r="EJ110" s="30" t="str">
        <f t="shared" si="1821"/>
        <v/>
      </c>
      <c r="EK110" s="30" t="str">
        <f t="shared" si="1822"/>
        <v/>
      </c>
      <c r="EL110" s="30" t="str">
        <f t="shared" si="1823"/>
        <v/>
      </c>
      <c r="EM110" s="30" t="str">
        <f t="shared" si="1824"/>
        <v/>
      </c>
      <c r="EN110" s="30" t="str">
        <f t="shared" si="1825"/>
        <v/>
      </c>
      <c r="EO110" s="30" t="str">
        <f t="shared" si="1826"/>
        <v/>
      </c>
      <c r="EP110" s="30" t="str">
        <f t="shared" si="1827"/>
        <v/>
      </c>
      <c r="EQ110" s="30" t="str">
        <f t="shared" si="1828"/>
        <v/>
      </c>
      <c r="ER110" s="30" t="str">
        <f t="shared" si="1829"/>
        <v/>
      </c>
      <c r="ES110" s="30" t="str">
        <f t="shared" si="1830"/>
        <v/>
      </c>
      <c r="ET110" s="30" t="str">
        <f t="shared" si="1831"/>
        <v/>
      </c>
      <c r="EU110" s="30" t="str">
        <f t="shared" si="1832"/>
        <v/>
      </c>
      <c r="EV110" s="30" t="str">
        <f t="shared" si="1833"/>
        <v/>
      </c>
      <c r="EW110" s="30" t="str">
        <f t="shared" si="1834"/>
        <v/>
      </c>
      <c r="EX110" s="30" t="str">
        <f t="shared" si="1835"/>
        <v/>
      </c>
      <c r="EY110" s="30" t="str">
        <f t="shared" si="1836"/>
        <v/>
      </c>
      <c r="EZ110" s="30" t="str">
        <f t="shared" si="1837"/>
        <v/>
      </c>
      <c r="FA110" s="30" t="str">
        <f t="shared" si="1838"/>
        <v/>
      </c>
      <c r="FB110" s="30" t="str">
        <f t="shared" si="1839"/>
        <v/>
      </c>
      <c r="FC110" s="30" t="str">
        <f t="shared" si="1840"/>
        <v/>
      </c>
      <c r="FD110" s="30" t="str">
        <f t="shared" si="1841"/>
        <v/>
      </c>
      <c r="FE110" s="30" t="str">
        <f t="shared" si="1842"/>
        <v/>
      </c>
      <c r="FF110" s="30" t="str">
        <f t="shared" si="1843"/>
        <v/>
      </c>
      <c r="FG110" s="30" t="str">
        <f t="shared" si="1844"/>
        <v/>
      </c>
      <c r="FH110" s="30" t="str">
        <f t="shared" si="1845"/>
        <v/>
      </c>
      <c r="FI110" s="30" t="str">
        <f t="shared" si="1846"/>
        <v/>
      </c>
      <c r="FJ110" s="30" t="str">
        <f t="shared" si="1847"/>
        <v/>
      </c>
      <c r="FK110" s="30" t="str">
        <f t="shared" si="1848"/>
        <v/>
      </c>
      <c r="FL110" s="30" t="str">
        <f t="shared" si="1849"/>
        <v/>
      </c>
      <c r="FM110" s="30" t="str">
        <f t="shared" si="1850"/>
        <v/>
      </c>
      <c r="FN110" s="30" t="str">
        <f t="shared" si="1851"/>
        <v/>
      </c>
      <c r="FO110" s="30" t="str">
        <f t="shared" si="1852"/>
        <v/>
      </c>
      <c r="FP110" s="30" t="str">
        <f t="shared" si="1853"/>
        <v/>
      </c>
      <c r="FQ110" s="30" t="str">
        <f t="shared" si="1854"/>
        <v/>
      </c>
      <c r="FR110" s="30" t="str">
        <f t="shared" si="1855"/>
        <v/>
      </c>
      <c r="FS110" s="30" t="str">
        <f t="shared" si="1856"/>
        <v/>
      </c>
    </row>
    <row r="111" spans="1:175" ht="16.5">
      <c r="A111" s="117"/>
      <c r="B111" s="111" t="s">
        <v>875</v>
      </c>
      <c r="C111" s="117" t="s">
        <v>876</v>
      </c>
      <c r="R111" s="25">
        <v>-7896</v>
      </c>
      <c r="S111" s="25">
        <v>5906</v>
      </c>
      <c r="T111" s="117" t="s">
        <v>876</v>
      </c>
      <c r="U111" s="37" t="s">
        <v>822</v>
      </c>
      <c r="CN111" s="7" t="str">
        <f t="shared" si="1780"/>
        <v>InitUnitState('IT07',,,,,,,,,,)</v>
      </c>
      <c r="CO111" s="7" t="str">
        <f t="shared" si="1781"/>
        <v>InitUnitNormal('IT07',,,,,,,,,,)</v>
      </c>
      <c r="CP111" s="7" t="str">
        <f t="shared" si="1782"/>
        <v>InitUnitMagic('IT07',,,,,,,,,,)</v>
      </c>
      <c r="CQ111" s="7" t="str">
        <f t="shared" si="1783"/>
        <v>InitUnitAdd('IT07',,,,,,,,,,)</v>
      </c>
      <c r="CR111" s="7" t="str">
        <f t="shared" si="1784"/>
        <v>InitEquipData('IT07',,"",,,,,'','','','','','',"ReplaceableTextures\\CommandButtons\\BTNTome.blp")</v>
      </c>
      <c r="CU111" s="45" t="str">
        <f t="shared" si="1785"/>
        <v>|n</v>
      </c>
      <c r="CV111" s="29" t="str">
        <f t="shared" si="1786"/>
        <v>境界挑战7</v>
      </c>
      <c r="CW111" s="24"/>
      <c r="CX111" s="24"/>
      <c r="CY111" s="24"/>
      <c r="CZ111" s="24"/>
      <c r="DA111" s="24"/>
      <c r="DB111" s="30" t="str">
        <f t="shared" si="1787"/>
        <v/>
      </c>
      <c r="DC111" s="30" t="str">
        <f t="shared" si="1788"/>
        <v/>
      </c>
      <c r="DD111" s="30" t="str">
        <f t="shared" si="1789"/>
        <v/>
      </c>
      <c r="DE111" s="30" t="str">
        <f t="shared" si="1790"/>
        <v/>
      </c>
      <c r="DF111" s="30" t="str">
        <f t="shared" si="1791"/>
        <v/>
      </c>
      <c r="DG111" s="30" t="str">
        <f t="shared" si="1792"/>
        <v/>
      </c>
      <c r="DH111" s="30" t="str">
        <f t="shared" si="1793"/>
        <v/>
      </c>
      <c r="DI111" s="30" t="str">
        <f t="shared" si="1794"/>
        <v/>
      </c>
      <c r="DJ111" s="30" t="str">
        <f t="shared" si="1795"/>
        <v/>
      </c>
      <c r="DK111" s="30" t="str">
        <f t="shared" si="1796"/>
        <v/>
      </c>
      <c r="DL111" s="30" t="str">
        <f t="shared" si="1797"/>
        <v/>
      </c>
      <c r="DM111" s="30" t="str">
        <f t="shared" si="1798"/>
        <v/>
      </c>
      <c r="DN111" s="30" t="str">
        <f t="shared" si="1799"/>
        <v/>
      </c>
      <c r="DO111" s="30" t="str">
        <f t="shared" si="1800"/>
        <v/>
      </c>
      <c r="DP111" s="30" t="str">
        <f t="shared" si="1801"/>
        <v/>
      </c>
      <c r="DQ111" s="30" t="str">
        <f t="shared" si="1802"/>
        <v/>
      </c>
      <c r="DR111" s="30" t="str">
        <f t="shared" si="1803"/>
        <v/>
      </c>
      <c r="DS111" s="30" t="str">
        <f t="shared" si="1804"/>
        <v/>
      </c>
      <c r="DT111" s="30" t="str">
        <f t="shared" si="1805"/>
        <v/>
      </c>
      <c r="DU111" s="30" t="str">
        <f t="shared" si="1806"/>
        <v/>
      </c>
      <c r="DV111" s="30" t="str">
        <f t="shared" si="1807"/>
        <v/>
      </c>
      <c r="DW111" s="30" t="str">
        <f t="shared" si="1808"/>
        <v/>
      </c>
      <c r="DX111" s="30" t="str">
        <f t="shared" si="1809"/>
        <v/>
      </c>
      <c r="DY111" s="30" t="str">
        <f t="shared" si="1810"/>
        <v/>
      </c>
      <c r="DZ111" s="30" t="str">
        <f t="shared" si="1811"/>
        <v/>
      </c>
      <c r="EA111" s="30" t="str">
        <f t="shared" si="1812"/>
        <v/>
      </c>
      <c r="EB111" s="30" t="str">
        <f t="shared" si="1813"/>
        <v/>
      </c>
      <c r="EC111" s="30" t="str">
        <f t="shared" si="1814"/>
        <v/>
      </c>
      <c r="ED111" s="30" t="str">
        <f t="shared" si="1815"/>
        <v/>
      </c>
      <c r="EE111" s="30" t="str">
        <f t="shared" si="1816"/>
        <v/>
      </c>
      <c r="EF111" s="30" t="str">
        <f t="shared" si="1817"/>
        <v/>
      </c>
      <c r="EG111" s="30" t="str">
        <f t="shared" si="1818"/>
        <v/>
      </c>
      <c r="EH111" s="30" t="str">
        <f t="shared" si="1819"/>
        <v/>
      </c>
      <c r="EI111" s="30" t="str">
        <f t="shared" si="1820"/>
        <v/>
      </c>
      <c r="EJ111" s="30" t="str">
        <f t="shared" si="1821"/>
        <v/>
      </c>
      <c r="EK111" s="30" t="str">
        <f t="shared" si="1822"/>
        <v/>
      </c>
      <c r="EL111" s="30" t="str">
        <f t="shared" si="1823"/>
        <v/>
      </c>
      <c r="EM111" s="30" t="str">
        <f t="shared" si="1824"/>
        <v/>
      </c>
      <c r="EN111" s="30" t="str">
        <f t="shared" si="1825"/>
        <v/>
      </c>
      <c r="EO111" s="30" t="str">
        <f t="shared" si="1826"/>
        <v/>
      </c>
      <c r="EP111" s="30" t="str">
        <f t="shared" si="1827"/>
        <v/>
      </c>
      <c r="EQ111" s="30" t="str">
        <f t="shared" si="1828"/>
        <v/>
      </c>
      <c r="ER111" s="30" t="str">
        <f t="shared" si="1829"/>
        <v/>
      </c>
      <c r="ES111" s="30" t="str">
        <f t="shared" si="1830"/>
        <v/>
      </c>
      <c r="ET111" s="30" t="str">
        <f t="shared" si="1831"/>
        <v/>
      </c>
      <c r="EU111" s="30" t="str">
        <f t="shared" si="1832"/>
        <v/>
      </c>
      <c r="EV111" s="30" t="str">
        <f t="shared" si="1833"/>
        <v/>
      </c>
      <c r="EW111" s="30" t="str">
        <f t="shared" si="1834"/>
        <v/>
      </c>
      <c r="EX111" s="30" t="str">
        <f t="shared" si="1835"/>
        <v/>
      </c>
      <c r="EY111" s="30" t="str">
        <f t="shared" si="1836"/>
        <v/>
      </c>
      <c r="EZ111" s="30" t="str">
        <f t="shared" si="1837"/>
        <v/>
      </c>
      <c r="FA111" s="30" t="str">
        <f t="shared" si="1838"/>
        <v/>
      </c>
      <c r="FB111" s="30" t="str">
        <f t="shared" si="1839"/>
        <v/>
      </c>
      <c r="FC111" s="30" t="str">
        <f t="shared" si="1840"/>
        <v/>
      </c>
      <c r="FD111" s="30" t="str">
        <f t="shared" si="1841"/>
        <v/>
      </c>
      <c r="FE111" s="30" t="str">
        <f t="shared" si="1842"/>
        <v/>
      </c>
      <c r="FF111" s="30" t="str">
        <f t="shared" si="1843"/>
        <v/>
      </c>
      <c r="FG111" s="30" t="str">
        <f t="shared" si="1844"/>
        <v/>
      </c>
      <c r="FH111" s="30" t="str">
        <f t="shared" si="1845"/>
        <v/>
      </c>
      <c r="FI111" s="30" t="str">
        <f t="shared" si="1846"/>
        <v/>
      </c>
      <c r="FJ111" s="30" t="str">
        <f t="shared" si="1847"/>
        <v/>
      </c>
      <c r="FK111" s="30" t="str">
        <f t="shared" si="1848"/>
        <v/>
      </c>
      <c r="FL111" s="30" t="str">
        <f t="shared" si="1849"/>
        <v/>
      </c>
      <c r="FM111" s="30" t="str">
        <f t="shared" si="1850"/>
        <v/>
      </c>
      <c r="FN111" s="30" t="str">
        <f t="shared" si="1851"/>
        <v/>
      </c>
      <c r="FO111" s="30" t="str">
        <f t="shared" si="1852"/>
        <v/>
      </c>
      <c r="FP111" s="30" t="str">
        <f t="shared" si="1853"/>
        <v/>
      </c>
      <c r="FQ111" s="30" t="str">
        <f t="shared" si="1854"/>
        <v/>
      </c>
      <c r="FR111" s="30" t="str">
        <f t="shared" si="1855"/>
        <v/>
      </c>
      <c r="FS111" s="30" t="str">
        <f t="shared" si="1856"/>
        <v/>
      </c>
    </row>
    <row r="112" spans="1:175" ht="16.5">
      <c r="A112" s="117" t="s">
        <v>919</v>
      </c>
      <c r="B112" s="111" t="s">
        <v>877</v>
      </c>
      <c r="C112" s="117" t="s">
        <v>878</v>
      </c>
      <c r="R112" s="25">
        <v>-7970</v>
      </c>
      <c r="S112" s="25">
        <v>7965</v>
      </c>
      <c r="T112" s="117" t="s">
        <v>878</v>
      </c>
      <c r="U112" s="37" t="s">
        <v>822</v>
      </c>
      <c r="CN112" s="7" t="str">
        <f t="shared" si="1780"/>
        <v>InitUnitState('IT08',,,,,,,,,,)</v>
      </c>
      <c r="CO112" s="7" t="str">
        <f t="shared" si="1781"/>
        <v>InitUnitNormal('IT08',,,,,,,,,,)</v>
      </c>
      <c r="CP112" s="7" t="str">
        <f t="shared" si="1782"/>
        <v>InitUnitMagic('IT08',,,,,,,,,,)</v>
      </c>
      <c r="CQ112" s="7" t="str">
        <f t="shared" si="1783"/>
        <v>InitUnitAdd('IT08',,,,,,,,,,)</v>
      </c>
      <c r="CR112" s="7" t="str">
        <f t="shared" si="1784"/>
        <v>InitEquipData('IT08',,".",,,,,'','','','','','',"ReplaceableTextures\\CommandButtons\\BTNTome.blp")</v>
      </c>
      <c r="CU112" s="45" t="str">
        <f t="shared" si="1785"/>
        <v>|n</v>
      </c>
      <c r="CV112" s="29" t="str">
        <f t="shared" si="1786"/>
        <v>境界挑战8</v>
      </c>
      <c r="CW112" s="24"/>
      <c r="CX112" s="24"/>
      <c r="CY112" s="24"/>
      <c r="CZ112" s="24"/>
      <c r="DA112" s="24"/>
      <c r="DB112" s="30" t="str">
        <f t="shared" si="1787"/>
        <v/>
      </c>
      <c r="DC112" s="30" t="str">
        <f t="shared" si="1788"/>
        <v/>
      </c>
      <c r="DD112" s="30" t="str">
        <f t="shared" si="1789"/>
        <v/>
      </c>
      <c r="DE112" s="30" t="str">
        <f t="shared" si="1790"/>
        <v/>
      </c>
      <c r="DF112" s="30" t="str">
        <f t="shared" si="1791"/>
        <v/>
      </c>
      <c r="DG112" s="30" t="str">
        <f t="shared" si="1792"/>
        <v/>
      </c>
      <c r="DH112" s="30" t="str">
        <f t="shared" si="1793"/>
        <v/>
      </c>
      <c r="DI112" s="30" t="str">
        <f t="shared" si="1794"/>
        <v/>
      </c>
      <c r="DJ112" s="30" t="str">
        <f t="shared" si="1795"/>
        <v/>
      </c>
      <c r="DK112" s="30" t="str">
        <f t="shared" si="1796"/>
        <v/>
      </c>
      <c r="DL112" s="30" t="str">
        <f t="shared" si="1797"/>
        <v/>
      </c>
      <c r="DM112" s="30" t="str">
        <f t="shared" si="1798"/>
        <v/>
      </c>
      <c r="DN112" s="30" t="str">
        <f t="shared" si="1799"/>
        <v/>
      </c>
      <c r="DO112" s="30" t="str">
        <f t="shared" si="1800"/>
        <v/>
      </c>
      <c r="DP112" s="30" t="str">
        <f t="shared" si="1801"/>
        <v/>
      </c>
      <c r="DQ112" s="30" t="str">
        <f t="shared" si="1802"/>
        <v/>
      </c>
      <c r="DR112" s="30" t="str">
        <f t="shared" si="1803"/>
        <v/>
      </c>
      <c r="DS112" s="30" t="str">
        <f t="shared" si="1804"/>
        <v/>
      </c>
      <c r="DT112" s="30" t="str">
        <f t="shared" si="1805"/>
        <v/>
      </c>
      <c r="DU112" s="30" t="str">
        <f t="shared" si="1806"/>
        <v/>
      </c>
      <c r="DV112" s="30" t="str">
        <f t="shared" si="1807"/>
        <v/>
      </c>
      <c r="DW112" s="30" t="str">
        <f t="shared" si="1808"/>
        <v/>
      </c>
      <c r="DX112" s="30" t="str">
        <f t="shared" si="1809"/>
        <v/>
      </c>
      <c r="DY112" s="30" t="str">
        <f t="shared" si="1810"/>
        <v/>
      </c>
      <c r="DZ112" s="30" t="str">
        <f t="shared" si="1811"/>
        <v/>
      </c>
      <c r="EA112" s="30" t="str">
        <f t="shared" si="1812"/>
        <v/>
      </c>
      <c r="EB112" s="30" t="str">
        <f t="shared" si="1813"/>
        <v/>
      </c>
      <c r="EC112" s="30" t="str">
        <f t="shared" si="1814"/>
        <v/>
      </c>
      <c r="ED112" s="30" t="str">
        <f t="shared" si="1815"/>
        <v/>
      </c>
      <c r="EE112" s="30" t="str">
        <f t="shared" si="1816"/>
        <v/>
      </c>
      <c r="EF112" s="30" t="str">
        <f t="shared" si="1817"/>
        <v/>
      </c>
      <c r="EG112" s="30" t="str">
        <f t="shared" si="1818"/>
        <v/>
      </c>
      <c r="EH112" s="30" t="str">
        <f t="shared" si="1819"/>
        <v/>
      </c>
      <c r="EI112" s="30" t="str">
        <f t="shared" si="1820"/>
        <v/>
      </c>
      <c r="EJ112" s="30" t="str">
        <f t="shared" si="1821"/>
        <v/>
      </c>
      <c r="EK112" s="30" t="str">
        <f t="shared" si="1822"/>
        <v/>
      </c>
      <c r="EL112" s="30" t="str">
        <f t="shared" si="1823"/>
        <v/>
      </c>
      <c r="EM112" s="30" t="str">
        <f t="shared" si="1824"/>
        <v/>
      </c>
      <c r="EN112" s="30" t="str">
        <f t="shared" si="1825"/>
        <v/>
      </c>
      <c r="EO112" s="30" t="str">
        <f t="shared" si="1826"/>
        <v/>
      </c>
      <c r="EP112" s="30" t="str">
        <f t="shared" si="1827"/>
        <v/>
      </c>
      <c r="EQ112" s="30" t="str">
        <f t="shared" si="1828"/>
        <v/>
      </c>
      <c r="ER112" s="30" t="str">
        <f t="shared" si="1829"/>
        <v/>
      </c>
      <c r="ES112" s="30" t="str">
        <f t="shared" si="1830"/>
        <v/>
      </c>
      <c r="ET112" s="30" t="str">
        <f t="shared" si="1831"/>
        <v/>
      </c>
      <c r="EU112" s="30" t="str">
        <f t="shared" si="1832"/>
        <v/>
      </c>
      <c r="EV112" s="30" t="str">
        <f t="shared" si="1833"/>
        <v/>
      </c>
      <c r="EW112" s="30" t="str">
        <f t="shared" si="1834"/>
        <v/>
      </c>
      <c r="EX112" s="30" t="str">
        <f t="shared" si="1835"/>
        <v/>
      </c>
      <c r="EY112" s="30" t="str">
        <f t="shared" si="1836"/>
        <v/>
      </c>
      <c r="EZ112" s="30" t="str">
        <f t="shared" si="1837"/>
        <v/>
      </c>
      <c r="FA112" s="30" t="str">
        <f t="shared" si="1838"/>
        <v/>
      </c>
      <c r="FB112" s="30" t="str">
        <f t="shared" si="1839"/>
        <v/>
      </c>
      <c r="FC112" s="30" t="str">
        <f t="shared" si="1840"/>
        <v/>
      </c>
      <c r="FD112" s="30" t="str">
        <f t="shared" si="1841"/>
        <v/>
      </c>
      <c r="FE112" s="30" t="str">
        <f t="shared" si="1842"/>
        <v/>
      </c>
      <c r="FF112" s="30" t="str">
        <f t="shared" si="1843"/>
        <v/>
      </c>
      <c r="FG112" s="30" t="str">
        <f t="shared" si="1844"/>
        <v/>
      </c>
      <c r="FH112" s="30" t="str">
        <f t="shared" si="1845"/>
        <v/>
      </c>
      <c r="FI112" s="30" t="str">
        <f t="shared" si="1846"/>
        <v/>
      </c>
      <c r="FJ112" s="30" t="str">
        <f t="shared" si="1847"/>
        <v/>
      </c>
      <c r="FK112" s="30" t="str">
        <f t="shared" si="1848"/>
        <v/>
      </c>
      <c r="FL112" s="30" t="str">
        <f t="shared" si="1849"/>
        <v/>
      </c>
      <c r="FM112" s="30" t="str">
        <f t="shared" si="1850"/>
        <v/>
      </c>
      <c r="FN112" s="30" t="str">
        <f t="shared" si="1851"/>
        <v/>
      </c>
      <c r="FO112" s="30" t="str">
        <f t="shared" si="1852"/>
        <v/>
      </c>
      <c r="FP112" s="30" t="str">
        <f t="shared" si="1853"/>
        <v/>
      </c>
      <c r="FQ112" s="30" t="str">
        <f t="shared" si="1854"/>
        <v/>
      </c>
      <c r="FR112" s="30" t="str">
        <f t="shared" si="1855"/>
        <v/>
      </c>
      <c r="FS112" s="30" t="str">
        <f t="shared" si="1856"/>
        <v/>
      </c>
    </row>
    <row r="113" spans="1:175" ht="16.5">
      <c r="A113" s="117"/>
      <c r="B113" s="111" t="s">
        <v>879</v>
      </c>
      <c r="C113" s="117" t="s">
        <v>880</v>
      </c>
      <c r="R113" s="25">
        <v>1891</v>
      </c>
      <c r="S113" s="25">
        <v>-8026</v>
      </c>
      <c r="T113" s="117" t="s">
        <v>880</v>
      </c>
      <c r="U113" s="37" t="s">
        <v>822</v>
      </c>
      <c r="CN113" s="7" t="str">
        <f t="shared" si="1780"/>
        <v>InitUnitState('IT09',,,,,,,,,,)</v>
      </c>
      <c r="CO113" s="7" t="str">
        <f t="shared" si="1781"/>
        <v>InitUnitNormal('IT09',,,,,,,,,,)</v>
      </c>
      <c r="CP113" s="7" t="str">
        <f t="shared" si="1782"/>
        <v>InitUnitMagic('IT09',,,,,,,,,,)</v>
      </c>
      <c r="CQ113" s="7" t="str">
        <f t="shared" si="1783"/>
        <v>InitUnitAdd('IT09',,,,,,,,,,)</v>
      </c>
      <c r="CR113" s="7" t="str">
        <f t="shared" si="1784"/>
        <v>InitEquipData('IT09',,"",,,,,'','','','','','',"ReplaceableTextures\\CommandButtons\\BTNTome.blp")</v>
      </c>
      <c r="CU113" s="45" t="str">
        <f t="shared" si="1785"/>
        <v>|n</v>
      </c>
      <c r="CV113" s="29" t="str">
        <f t="shared" si="1786"/>
        <v>境界挑战9</v>
      </c>
      <c r="CW113" s="24"/>
      <c r="CX113" s="24"/>
      <c r="CY113" s="24"/>
      <c r="CZ113" s="24"/>
      <c r="DA113" s="24"/>
      <c r="DB113" s="30" t="str">
        <f t="shared" si="1787"/>
        <v/>
      </c>
      <c r="DC113" s="30" t="str">
        <f t="shared" si="1788"/>
        <v/>
      </c>
      <c r="DD113" s="30" t="str">
        <f t="shared" si="1789"/>
        <v/>
      </c>
      <c r="DE113" s="30" t="str">
        <f t="shared" si="1790"/>
        <v/>
      </c>
      <c r="DF113" s="30" t="str">
        <f t="shared" si="1791"/>
        <v/>
      </c>
      <c r="DG113" s="30" t="str">
        <f t="shared" si="1792"/>
        <v/>
      </c>
      <c r="DH113" s="30" t="str">
        <f t="shared" si="1793"/>
        <v/>
      </c>
      <c r="DI113" s="30" t="str">
        <f t="shared" si="1794"/>
        <v/>
      </c>
      <c r="DJ113" s="30" t="str">
        <f t="shared" si="1795"/>
        <v/>
      </c>
      <c r="DK113" s="30" t="str">
        <f t="shared" si="1796"/>
        <v/>
      </c>
      <c r="DL113" s="30" t="str">
        <f t="shared" si="1797"/>
        <v/>
      </c>
      <c r="DM113" s="30" t="str">
        <f t="shared" si="1798"/>
        <v/>
      </c>
      <c r="DN113" s="30" t="str">
        <f t="shared" si="1799"/>
        <v/>
      </c>
      <c r="DO113" s="30" t="str">
        <f t="shared" si="1800"/>
        <v/>
      </c>
      <c r="DP113" s="30" t="str">
        <f t="shared" si="1801"/>
        <v/>
      </c>
      <c r="DQ113" s="30" t="str">
        <f t="shared" si="1802"/>
        <v/>
      </c>
      <c r="DR113" s="30" t="str">
        <f t="shared" si="1803"/>
        <v/>
      </c>
      <c r="DS113" s="30" t="str">
        <f t="shared" si="1804"/>
        <v/>
      </c>
      <c r="DT113" s="30" t="str">
        <f t="shared" si="1805"/>
        <v/>
      </c>
      <c r="DU113" s="30" t="str">
        <f t="shared" si="1806"/>
        <v/>
      </c>
      <c r="DV113" s="30" t="str">
        <f t="shared" si="1807"/>
        <v/>
      </c>
      <c r="DW113" s="30" t="str">
        <f t="shared" si="1808"/>
        <v/>
      </c>
      <c r="DX113" s="30" t="str">
        <f t="shared" si="1809"/>
        <v/>
      </c>
      <c r="DY113" s="30" t="str">
        <f t="shared" si="1810"/>
        <v/>
      </c>
      <c r="DZ113" s="30" t="str">
        <f t="shared" si="1811"/>
        <v/>
      </c>
      <c r="EA113" s="30" t="str">
        <f t="shared" si="1812"/>
        <v/>
      </c>
      <c r="EB113" s="30" t="str">
        <f t="shared" si="1813"/>
        <v/>
      </c>
      <c r="EC113" s="30" t="str">
        <f t="shared" si="1814"/>
        <v/>
      </c>
      <c r="ED113" s="30" t="str">
        <f t="shared" si="1815"/>
        <v/>
      </c>
      <c r="EE113" s="30" t="str">
        <f t="shared" si="1816"/>
        <v/>
      </c>
      <c r="EF113" s="30" t="str">
        <f t="shared" si="1817"/>
        <v/>
      </c>
      <c r="EG113" s="30" t="str">
        <f t="shared" si="1818"/>
        <v/>
      </c>
      <c r="EH113" s="30" t="str">
        <f t="shared" si="1819"/>
        <v/>
      </c>
      <c r="EI113" s="30" t="str">
        <f t="shared" si="1820"/>
        <v/>
      </c>
      <c r="EJ113" s="30" t="str">
        <f t="shared" si="1821"/>
        <v/>
      </c>
      <c r="EK113" s="30" t="str">
        <f t="shared" si="1822"/>
        <v/>
      </c>
      <c r="EL113" s="30" t="str">
        <f t="shared" si="1823"/>
        <v/>
      </c>
      <c r="EM113" s="30" t="str">
        <f t="shared" si="1824"/>
        <v/>
      </c>
      <c r="EN113" s="30" t="str">
        <f t="shared" si="1825"/>
        <v/>
      </c>
      <c r="EO113" s="30" t="str">
        <f t="shared" si="1826"/>
        <v/>
      </c>
      <c r="EP113" s="30" t="str">
        <f t="shared" si="1827"/>
        <v/>
      </c>
      <c r="EQ113" s="30" t="str">
        <f t="shared" si="1828"/>
        <v/>
      </c>
      <c r="ER113" s="30" t="str">
        <f t="shared" si="1829"/>
        <v/>
      </c>
      <c r="ES113" s="30" t="str">
        <f t="shared" si="1830"/>
        <v/>
      </c>
      <c r="ET113" s="30" t="str">
        <f t="shared" si="1831"/>
        <v/>
      </c>
      <c r="EU113" s="30" t="str">
        <f t="shared" si="1832"/>
        <v/>
      </c>
      <c r="EV113" s="30" t="str">
        <f t="shared" si="1833"/>
        <v/>
      </c>
      <c r="EW113" s="30" t="str">
        <f t="shared" si="1834"/>
        <v/>
      </c>
      <c r="EX113" s="30" t="str">
        <f t="shared" si="1835"/>
        <v/>
      </c>
      <c r="EY113" s="30" t="str">
        <f t="shared" si="1836"/>
        <v/>
      </c>
      <c r="EZ113" s="30" t="str">
        <f t="shared" si="1837"/>
        <v/>
      </c>
      <c r="FA113" s="30" t="str">
        <f t="shared" si="1838"/>
        <v/>
      </c>
      <c r="FB113" s="30" t="str">
        <f t="shared" si="1839"/>
        <v/>
      </c>
      <c r="FC113" s="30" t="str">
        <f t="shared" si="1840"/>
        <v/>
      </c>
      <c r="FD113" s="30" t="str">
        <f t="shared" si="1841"/>
        <v/>
      </c>
      <c r="FE113" s="30" t="str">
        <f t="shared" si="1842"/>
        <v/>
      </c>
      <c r="FF113" s="30" t="str">
        <f t="shared" si="1843"/>
        <v/>
      </c>
      <c r="FG113" s="30" t="str">
        <f t="shared" si="1844"/>
        <v/>
      </c>
      <c r="FH113" s="30" t="str">
        <f t="shared" si="1845"/>
        <v/>
      </c>
      <c r="FI113" s="30" t="str">
        <f t="shared" si="1846"/>
        <v/>
      </c>
      <c r="FJ113" s="30" t="str">
        <f t="shared" si="1847"/>
        <v/>
      </c>
      <c r="FK113" s="30" t="str">
        <f t="shared" si="1848"/>
        <v/>
      </c>
      <c r="FL113" s="30" t="str">
        <f t="shared" si="1849"/>
        <v/>
      </c>
      <c r="FM113" s="30" t="str">
        <f t="shared" si="1850"/>
        <v/>
      </c>
      <c r="FN113" s="30" t="str">
        <f t="shared" si="1851"/>
        <v/>
      </c>
      <c r="FO113" s="30" t="str">
        <f t="shared" si="1852"/>
        <v/>
      </c>
      <c r="FP113" s="30" t="str">
        <f t="shared" si="1853"/>
        <v/>
      </c>
      <c r="FQ113" s="30" t="str">
        <f t="shared" si="1854"/>
        <v/>
      </c>
      <c r="FR113" s="30" t="str">
        <f t="shared" si="1855"/>
        <v/>
      </c>
      <c r="FS113" s="30" t="str">
        <f t="shared" si="1856"/>
        <v/>
      </c>
    </row>
    <row r="114" spans="1:175" ht="16.5">
      <c r="A114" s="117"/>
      <c r="B114" s="111" t="s">
        <v>881</v>
      </c>
      <c r="C114" s="117" t="s">
        <v>882</v>
      </c>
      <c r="R114" s="25">
        <v>4814</v>
      </c>
      <c r="S114" s="25">
        <v>-8830</v>
      </c>
      <c r="T114" s="117" t="s">
        <v>882</v>
      </c>
      <c r="U114" s="37" t="s">
        <v>822</v>
      </c>
      <c r="CN114" s="7" t="str">
        <f t="shared" si="1780"/>
        <v>InitUnitState('IT10',,,,,,,,,,)</v>
      </c>
      <c r="CO114" s="7" t="str">
        <f t="shared" si="1781"/>
        <v>InitUnitNormal('IT10',,,,,,,,,,)</v>
      </c>
      <c r="CP114" s="7" t="str">
        <f t="shared" si="1782"/>
        <v>InitUnitMagic('IT10',,,,,,,,,,)</v>
      </c>
      <c r="CQ114" s="7" t="str">
        <f t="shared" si="1783"/>
        <v>InitUnitAdd('IT10',,,,,,,,,,)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119&amp;CR$1&amp;")"</f>
        <v>InitEquipData('IT10',,"",,,,,'','','','','','',"ReplaceableTextures\\CommandButtons\\BTNTome.blp")</v>
      </c>
      <c r="CU114" s="45" t="str">
        <f t="shared" si="1785"/>
        <v>|n</v>
      </c>
      <c r="CV114" s="29" t="str">
        <f t="shared" si="1786"/>
        <v>境界挑战10</v>
      </c>
      <c r="CW114" s="24"/>
      <c r="CX114" s="24"/>
      <c r="CY114" s="24"/>
      <c r="CZ114" s="24"/>
      <c r="DA114" s="24"/>
      <c r="DB114" s="30" t="str">
        <f t="shared" si="1787"/>
        <v/>
      </c>
      <c r="DC114" s="30" t="str">
        <f t="shared" si="1788"/>
        <v/>
      </c>
      <c r="DD114" s="30" t="str">
        <f t="shared" si="1789"/>
        <v/>
      </c>
      <c r="DE114" s="30" t="str">
        <f t="shared" si="1790"/>
        <v/>
      </c>
      <c r="DF114" s="30" t="str">
        <f t="shared" si="1791"/>
        <v/>
      </c>
      <c r="DG114" s="30" t="str">
        <f t="shared" si="1792"/>
        <v/>
      </c>
      <c r="DH114" s="30" t="str">
        <f t="shared" si="1793"/>
        <v/>
      </c>
      <c r="DI114" s="30" t="str">
        <f t="shared" si="1794"/>
        <v/>
      </c>
      <c r="DJ114" s="30" t="str">
        <f t="shared" si="1795"/>
        <v/>
      </c>
      <c r="DK114" s="30" t="str">
        <f t="shared" si="1796"/>
        <v/>
      </c>
      <c r="DL114" s="30" t="str">
        <f t="shared" si="1797"/>
        <v/>
      </c>
      <c r="DM114" s="30" t="str">
        <f t="shared" si="1798"/>
        <v/>
      </c>
      <c r="DN114" s="30" t="str">
        <f t="shared" si="1799"/>
        <v/>
      </c>
      <c r="DO114" s="30" t="str">
        <f t="shared" si="1800"/>
        <v/>
      </c>
      <c r="DP114" s="30" t="str">
        <f t="shared" si="1801"/>
        <v/>
      </c>
      <c r="DQ114" s="30" t="str">
        <f t="shared" si="1802"/>
        <v/>
      </c>
      <c r="DR114" s="30" t="str">
        <f t="shared" si="1803"/>
        <v/>
      </c>
      <c r="DS114" s="30" t="str">
        <f t="shared" si="1804"/>
        <v/>
      </c>
      <c r="DT114" s="30" t="str">
        <f t="shared" si="1805"/>
        <v/>
      </c>
      <c r="DU114" s="30" t="str">
        <f t="shared" si="1806"/>
        <v/>
      </c>
      <c r="DV114" s="30" t="str">
        <f t="shared" si="1807"/>
        <v/>
      </c>
      <c r="DW114" s="30" t="str">
        <f t="shared" si="1808"/>
        <v/>
      </c>
      <c r="DX114" s="30" t="str">
        <f t="shared" si="1809"/>
        <v/>
      </c>
      <c r="DY114" s="30" t="str">
        <f t="shared" si="1810"/>
        <v/>
      </c>
      <c r="DZ114" s="30" t="str">
        <f t="shared" si="1811"/>
        <v/>
      </c>
      <c r="EA114" s="30" t="str">
        <f t="shared" si="1812"/>
        <v/>
      </c>
      <c r="EB114" s="30" t="str">
        <f t="shared" si="1813"/>
        <v/>
      </c>
      <c r="EC114" s="30" t="str">
        <f t="shared" si="1814"/>
        <v/>
      </c>
      <c r="ED114" s="30" t="str">
        <f t="shared" si="1815"/>
        <v/>
      </c>
      <c r="EE114" s="30" t="str">
        <f t="shared" si="1816"/>
        <v/>
      </c>
      <c r="EF114" s="30" t="str">
        <f t="shared" si="1817"/>
        <v/>
      </c>
      <c r="EG114" s="30" t="str">
        <f t="shared" si="1818"/>
        <v/>
      </c>
      <c r="EH114" s="30" t="str">
        <f t="shared" si="1819"/>
        <v/>
      </c>
      <c r="EI114" s="30" t="str">
        <f t="shared" si="1820"/>
        <v/>
      </c>
      <c r="EJ114" s="30" t="str">
        <f t="shared" si="1821"/>
        <v/>
      </c>
      <c r="EK114" s="30" t="str">
        <f t="shared" si="1822"/>
        <v/>
      </c>
      <c r="EL114" s="30" t="str">
        <f t="shared" si="1823"/>
        <v/>
      </c>
      <c r="EM114" s="30" t="str">
        <f t="shared" si="1824"/>
        <v/>
      </c>
      <c r="EN114" s="30" t="str">
        <f t="shared" si="1825"/>
        <v/>
      </c>
      <c r="EO114" s="30" t="str">
        <f t="shared" si="1826"/>
        <v/>
      </c>
      <c r="EP114" s="30" t="str">
        <f t="shared" si="1827"/>
        <v/>
      </c>
      <c r="EQ114" s="30" t="str">
        <f t="shared" si="1828"/>
        <v/>
      </c>
      <c r="ER114" s="30" t="str">
        <f t="shared" si="1829"/>
        <v/>
      </c>
      <c r="ES114" s="30" t="str">
        <f t="shared" si="1830"/>
        <v/>
      </c>
      <c r="ET114" s="30" t="str">
        <f t="shared" si="1831"/>
        <v/>
      </c>
      <c r="EU114" s="30" t="str">
        <f t="shared" si="1832"/>
        <v/>
      </c>
      <c r="EV114" s="30" t="str">
        <f t="shared" si="1833"/>
        <v/>
      </c>
      <c r="EW114" s="30" t="str">
        <f t="shared" si="1834"/>
        <v/>
      </c>
      <c r="EX114" s="30" t="str">
        <f t="shared" si="1835"/>
        <v/>
      </c>
      <c r="EY114" s="30" t="str">
        <f t="shared" si="1836"/>
        <v/>
      </c>
      <c r="EZ114" s="30" t="str">
        <f t="shared" si="1837"/>
        <v/>
      </c>
      <c r="FA114" s="30" t="str">
        <f t="shared" si="1838"/>
        <v/>
      </c>
      <c r="FB114" s="30" t="str">
        <f t="shared" si="1839"/>
        <v/>
      </c>
      <c r="FC114" s="30" t="str">
        <f t="shared" si="1840"/>
        <v/>
      </c>
      <c r="FD114" s="30" t="str">
        <f t="shared" si="1841"/>
        <v/>
      </c>
      <c r="FE114" s="30" t="str">
        <f t="shared" si="1842"/>
        <v/>
      </c>
      <c r="FF114" s="30" t="str">
        <f t="shared" si="1843"/>
        <v/>
      </c>
      <c r="FG114" s="30" t="str">
        <f t="shared" si="1844"/>
        <v/>
      </c>
      <c r="FH114" s="30" t="str">
        <f t="shared" si="1845"/>
        <v/>
      </c>
      <c r="FI114" s="30" t="str">
        <f t="shared" si="1846"/>
        <v/>
      </c>
      <c r="FJ114" s="30" t="str">
        <f t="shared" si="1847"/>
        <v/>
      </c>
      <c r="FK114" s="30" t="str">
        <f t="shared" si="1848"/>
        <v/>
      </c>
      <c r="FL114" s="30" t="str">
        <f t="shared" si="1849"/>
        <v/>
      </c>
      <c r="FM114" s="30" t="str">
        <f t="shared" si="1850"/>
        <v/>
      </c>
      <c r="FN114" s="30" t="str">
        <f t="shared" si="1851"/>
        <v/>
      </c>
      <c r="FO114" s="30" t="str">
        <f t="shared" si="1852"/>
        <v/>
      </c>
      <c r="FP114" s="30" t="str">
        <f t="shared" si="1853"/>
        <v/>
      </c>
      <c r="FQ114" s="30" t="str">
        <f t="shared" si="1854"/>
        <v/>
      </c>
      <c r="FR114" s="30" t="str">
        <f t="shared" si="1855"/>
        <v/>
      </c>
      <c r="FS114" s="30" t="str">
        <f t="shared" si="1856"/>
        <v/>
      </c>
    </row>
    <row r="115" spans="1:175" ht="16.5">
      <c r="A115" s="117" t="s">
        <v>919</v>
      </c>
      <c r="B115" s="111" t="s">
        <v>920</v>
      </c>
      <c r="C115" s="117" t="s">
        <v>924</v>
      </c>
      <c r="R115" s="25">
        <v>7429</v>
      </c>
      <c r="S115" s="25">
        <v>-8773</v>
      </c>
      <c r="T115" s="117" t="s">
        <v>924</v>
      </c>
      <c r="U115" s="37" t="s">
        <v>822</v>
      </c>
      <c r="CN115" s="7" t="str">
        <f t="shared" ref="CN115:CN117" si="1857">"InitUnitState('"&amp;B115&amp;"',"&amp;V115&amp;","&amp;W115&amp;","&amp;X115&amp;","&amp;Y115&amp;","&amp;Z115&amp;","&amp;AA115&amp;","&amp;AB115&amp;","&amp;AC115&amp;","&amp;AD115&amp;","&amp;AE115&amp;")"</f>
        <v>InitUnitState('IT11',,,,,,,,,,)</v>
      </c>
      <c r="CO115" s="7" t="str">
        <f t="shared" ref="CO115:CO117" si="1858">"InitUnitNormal('"&amp;B115&amp;"',"&amp;AF115&amp;","&amp;AG115&amp;","&amp;AH115&amp;","&amp;AI115&amp;","&amp;AJ115&amp;","&amp;AK115&amp;","&amp;AL115&amp;","&amp;AM115&amp;","&amp;AN115&amp;","&amp;AO115&amp;")"</f>
        <v>InitUnitNormal('IT11',,,,,,,,,,)</v>
      </c>
      <c r="CP115" s="7" t="str">
        <f t="shared" ref="CP115:CP117" si="1859">"InitUnitMagic('"&amp;B115&amp;"',"&amp;AP115&amp;","&amp;AQ115&amp;","&amp;AR115&amp;","&amp;AS115&amp;","&amp;AT115&amp;","&amp;AU115&amp;","&amp;AV115&amp;","&amp;AW115&amp;","&amp;BI115&amp;","&amp;BJ115&amp;")"</f>
        <v>InitUnitMagic('IT11',,,,,,,,,,)</v>
      </c>
      <c r="CQ115" s="7" t="str">
        <f t="shared" ref="CQ115:CQ117" si="1860">"InitUnitAdd('"&amp;B115&amp;"',"&amp;BK115&amp;","&amp;BL115&amp;","&amp;BM115&amp;","&amp;BN115&amp;","&amp;BO115&amp;","&amp;BP115&amp;","&amp;BQ115&amp;","&amp;BR115&amp;","&amp;BS115&amp;","&amp;BT115&amp;")"</f>
        <v>InitUnitAdd('IT11',,,,,,,,,,)</v>
      </c>
      <c r="CR115" s="7" t="str">
        <f t="shared" ref="CR115:CR116" si="1861"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InitEquipData('IT11',,".",,,,,'','','','','','',"ReplaceableTextures\\CommandButtons\\BTNTome.blp")</v>
      </c>
      <c r="CU115" s="45" t="str">
        <f t="shared" ref="CU115:CU117" si="1862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:CV117" si="1863">T115</f>
        <v>境界挑战11</v>
      </c>
      <c r="CW115" s="24"/>
      <c r="CX115" s="24"/>
      <c r="CY115" s="24"/>
      <c r="CZ115" s="24"/>
      <c r="DA115" s="24"/>
      <c r="DB115" s="30" t="str">
        <f t="shared" ref="DB115:DB117" si="1864">IF(V115="","","|n"&amp;DB$2&amp;"+"&amp;V115&amp;DB$1)</f>
        <v/>
      </c>
      <c r="DC115" s="30" t="str">
        <f t="shared" ref="DC115:DC117" si="1865">IF(W115="","","|n"&amp;DC$2&amp;"+"&amp;W115&amp;DC$1)</f>
        <v/>
      </c>
      <c r="DD115" s="30" t="str">
        <f t="shared" ref="DD115:DD117" si="1866">IF(X115="","","|n"&amp;DD$2&amp;"+"&amp;X115&amp;DD$1)</f>
        <v/>
      </c>
      <c r="DE115" s="30" t="str">
        <f t="shared" ref="DE115:DE117" si="1867">IF(Y115="","","|n"&amp;DE$2&amp;"+"&amp;Y115&amp;DE$1)</f>
        <v/>
      </c>
      <c r="DF115" s="30" t="str">
        <f t="shared" ref="DF115:DF117" si="1868">IF(Z115="","","|n"&amp;DF$2&amp;"+"&amp;Z115&amp;DF$1)</f>
        <v/>
      </c>
      <c r="DG115" s="30" t="str">
        <f t="shared" ref="DG115:DG117" si="1869">IF(AA115="","","|n"&amp;DG$2&amp;"+"&amp;AA115&amp;DG$1)</f>
        <v/>
      </c>
      <c r="DH115" s="30" t="str">
        <f t="shared" ref="DH115:DH117" si="1870">IF(AB115="","","|n"&amp;DH$2&amp;"+"&amp;AB115&amp;DH$1)</f>
        <v/>
      </c>
      <c r="DI115" s="30" t="str">
        <f t="shared" ref="DI115:DI117" si="1871">IF(AC115="","","|n"&amp;DI$2&amp;"+"&amp;AC115&amp;DI$1)</f>
        <v/>
      </c>
      <c r="DJ115" s="30" t="str">
        <f t="shared" ref="DJ115:DJ117" si="1872">IF(AD115="","","|n"&amp;DJ$2&amp;"+"&amp;AD115&amp;DJ$1)</f>
        <v/>
      </c>
      <c r="DK115" s="30" t="str">
        <f t="shared" ref="DK115:DK117" si="1873">IF(AE115="","","|n"&amp;DK$2&amp;"+"&amp;AE115&amp;DK$1)</f>
        <v/>
      </c>
      <c r="DL115" s="30" t="str">
        <f t="shared" ref="DL115:DL117" si="1874">IF(AF115="","","|n"&amp;DL$2&amp;"+"&amp;AF115&amp;DL$1)</f>
        <v/>
      </c>
      <c r="DM115" s="30" t="str">
        <f t="shared" ref="DM115:DM117" si="1875">IF(AG115="","","|n"&amp;DM$2&amp;"+"&amp;AG115&amp;DM$1)</f>
        <v/>
      </c>
      <c r="DN115" s="30" t="str">
        <f t="shared" ref="DN115:DN117" si="1876">IF(AH115="","","|n"&amp;DN$2&amp;"+"&amp;AH115&amp;DN$1)</f>
        <v/>
      </c>
      <c r="DO115" s="30" t="str">
        <f t="shared" ref="DO115:DO117" si="1877">IF(AI115="","","|n"&amp;DO$2&amp;"+"&amp;AI115&amp;DO$1)</f>
        <v/>
      </c>
      <c r="DP115" s="30" t="str">
        <f t="shared" ref="DP115:DP117" si="1878">IF(AJ115="","","|n"&amp;DP$2&amp;"+"&amp;AJ115&amp;DP$1)</f>
        <v/>
      </c>
      <c r="DQ115" s="30" t="str">
        <f t="shared" ref="DQ115:DQ117" si="1879">IF(AK115="","","|n"&amp;DQ$2&amp;"+"&amp;AK115&amp;DQ$1)</f>
        <v/>
      </c>
      <c r="DR115" s="30" t="str">
        <f t="shared" ref="DR115:DR117" si="1880">IF(AL115="","","|n"&amp;DR$2&amp;"+"&amp;AL115&amp;DR$1)</f>
        <v/>
      </c>
      <c r="DS115" s="30" t="str">
        <f t="shared" ref="DS115:DS117" si="1881">IF(AM115="","","|n"&amp;DS$2&amp;"+"&amp;AM115&amp;DS$1)</f>
        <v/>
      </c>
      <c r="DT115" s="30" t="str">
        <f t="shared" ref="DT115:DT117" si="1882">IF(AN115="","","|n"&amp;DT$2&amp;"+"&amp;AN115&amp;DT$1)</f>
        <v/>
      </c>
      <c r="DU115" s="30" t="str">
        <f t="shared" ref="DU115:DU117" si="1883">IF(AO115="","","|n"&amp;DU$2&amp;"+"&amp;AO115&amp;DU$1)</f>
        <v/>
      </c>
      <c r="DV115" s="30" t="str">
        <f t="shared" ref="DV115:DV117" si="1884">IF(AP115="","","|n"&amp;DV$2&amp;"+"&amp;AP115&amp;DV$1)</f>
        <v/>
      </c>
      <c r="DW115" s="30" t="str">
        <f t="shared" ref="DW115:DW117" si="1885">IF(AQ115="","","|n"&amp;DW$2&amp;"+"&amp;AQ115&amp;DW$1)</f>
        <v/>
      </c>
      <c r="DX115" s="30" t="str">
        <f t="shared" ref="DX115:DX117" si="1886">IF(AR115="","","|n"&amp;DX$2&amp;"+"&amp;AR115&amp;DX$1)</f>
        <v/>
      </c>
      <c r="DY115" s="30" t="str">
        <f t="shared" ref="DY115:DY117" si="1887">IF(AS115="","","|n"&amp;DY$2&amp;"+"&amp;AS115&amp;DY$1)</f>
        <v/>
      </c>
      <c r="DZ115" s="30" t="str">
        <f t="shared" ref="DZ115:DZ117" si="1888">IF(AT115="","","|n"&amp;DZ$2&amp;"+"&amp;AT115&amp;DZ$1)</f>
        <v/>
      </c>
      <c r="EA115" s="30" t="str">
        <f t="shared" ref="EA115:EA117" si="1889">IF(AU115="","","|n"&amp;EA$2&amp;"+"&amp;AU115&amp;EA$1)</f>
        <v/>
      </c>
      <c r="EB115" s="30" t="str">
        <f t="shared" ref="EB115:EB117" si="1890">IF(AV115="","","|n"&amp;EB$2&amp;"+"&amp;AV115&amp;EB$1)</f>
        <v/>
      </c>
      <c r="EC115" s="30" t="str">
        <f t="shared" ref="EC115:EC117" si="1891">IF(AW115="","","|n"&amp;EC$2&amp;"+"&amp;AW115&amp;EC$1)</f>
        <v/>
      </c>
      <c r="ED115" s="30" t="str">
        <f t="shared" ref="ED115:ED117" si="1892">IF(AX115="","","|n"&amp;ED$2&amp;"+"&amp;AX115&amp;ED$1)</f>
        <v/>
      </c>
      <c r="EE115" s="30" t="str">
        <f t="shared" ref="EE115:EE117" si="1893">IF(AY115="","","|n"&amp;EE$2&amp;"+"&amp;AY115&amp;EE$1)</f>
        <v/>
      </c>
      <c r="EF115" s="30" t="str">
        <f t="shared" ref="EF115:EF117" si="1894">IF(AZ115="","","|n"&amp;EF$2&amp;"+"&amp;AZ115&amp;EF$1)</f>
        <v/>
      </c>
      <c r="EG115" s="30" t="str">
        <f t="shared" ref="EG115:EG117" si="1895">IF(BA115="","","|n"&amp;EG$2&amp;"+"&amp;BA115&amp;EG$1)</f>
        <v/>
      </c>
      <c r="EH115" s="30" t="str">
        <f t="shared" ref="EH115:EH117" si="1896">IF(BB115="","","|n"&amp;EH$2&amp;"+"&amp;BB115&amp;EH$1)</f>
        <v/>
      </c>
      <c r="EI115" s="30" t="str">
        <f t="shared" ref="EI115:EI117" si="1897">IF(BC115="","","|n"&amp;EI$2&amp;"+"&amp;BC115&amp;EI$1)</f>
        <v/>
      </c>
      <c r="EJ115" s="30" t="str">
        <f t="shared" ref="EJ115:EJ117" si="1898">IF(BD115="","","|n"&amp;EJ$2&amp;"+"&amp;BD115&amp;EJ$1)</f>
        <v/>
      </c>
      <c r="EK115" s="30" t="str">
        <f t="shared" ref="EK115:EK117" si="1899">IF(BE115="","","|n"&amp;EK$2&amp;"+"&amp;BE115&amp;EK$1)</f>
        <v/>
      </c>
      <c r="EL115" s="30" t="str">
        <f t="shared" ref="EL115:EL117" si="1900">IF(BF115="","","|n"&amp;EL$2&amp;"+"&amp;BF115&amp;EL$1)</f>
        <v/>
      </c>
      <c r="EM115" s="30" t="str">
        <f t="shared" ref="EM115:EM117" si="1901">IF(BG115="","","|n"&amp;EM$2&amp;"+"&amp;BG115&amp;EM$1)</f>
        <v/>
      </c>
      <c r="EN115" s="30" t="str">
        <f t="shared" ref="EN115:EN117" si="1902">IF(BH115="","","|n"&amp;EN$2&amp;"+"&amp;BH115&amp;EN$1)</f>
        <v/>
      </c>
      <c r="EO115" s="30" t="str">
        <f t="shared" ref="EO115:EO117" si="1903">IF(BI115="","","|n"&amp;EO$2&amp;"+"&amp;BI115&amp;EO$1)</f>
        <v/>
      </c>
      <c r="EP115" s="30" t="str">
        <f t="shared" ref="EP115:EP117" si="1904">IF(BJ115="","","|n"&amp;EP$2&amp;"+"&amp;BJ115&amp;EP$1)</f>
        <v/>
      </c>
      <c r="EQ115" s="30" t="str">
        <f t="shared" ref="EQ115:EQ117" si="1905">IF(BK115="","","|n"&amp;EQ$2&amp;"+"&amp;BK115&amp;EQ$1)</f>
        <v/>
      </c>
      <c r="ER115" s="30" t="str">
        <f t="shared" ref="ER115:ER117" si="1906">IF(BL115="","","|n"&amp;ER$2&amp;"+"&amp;BL115&amp;ER$1)</f>
        <v/>
      </c>
      <c r="ES115" s="30" t="str">
        <f t="shared" ref="ES115:ES117" si="1907">IF(BM115="","","|n"&amp;ES$2&amp;"+"&amp;BM115&amp;ES$1)</f>
        <v/>
      </c>
      <c r="ET115" s="30" t="str">
        <f t="shared" ref="ET115:ET117" si="1908">IF(BN115="","","|n"&amp;ET$2&amp;"+"&amp;BN115&amp;ET$1)</f>
        <v/>
      </c>
      <c r="EU115" s="30" t="str">
        <f t="shared" ref="EU115:EU117" si="1909">IF(BO115="","","|n"&amp;EU$2&amp;"+"&amp;BO115&amp;EU$1)</f>
        <v/>
      </c>
      <c r="EV115" s="30" t="str">
        <f t="shared" ref="EV115:EV117" si="1910">IF(BP115="","","|n"&amp;EV$2&amp;"+"&amp;BP115&amp;EV$1)</f>
        <v/>
      </c>
      <c r="EW115" s="30" t="str">
        <f t="shared" ref="EW115:EW117" si="1911">IF(BQ115="","","|n"&amp;EW$2&amp;"+"&amp;BQ115&amp;EW$1)</f>
        <v/>
      </c>
      <c r="EX115" s="30" t="str">
        <f t="shared" ref="EX115:EX117" si="1912">IF(BR115="","","|n"&amp;EX$2&amp;"+"&amp;BR115&amp;EX$1)</f>
        <v/>
      </c>
      <c r="EY115" s="30" t="str">
        <f t="shared" ref="EY115:EY117" si="1913">IF(BS115="","","|n"&amp;EY$2&amp;"+"&amp;BS115&amp;EY$1)</f>
        <v/>
      </c>
      <c r="EZ115" s="30" t="str">
        <f t="shared" ref="EZ115:EZ117" si="1914">IF(BT115="","","|n"&amp;EZ$2&amp;"+"&amp;BT115&amp;EZ$1)</f>
        <v/>
      </c>
      <c r="FA115" s="30" t="str">
        <f t="shared" ref="FA115:FA117" si="1915">IF(BU115="","","|n"&amp;FA$2&amp;"+"&amp;BU115&amp;FA$1)</f>
        <v/>
      </c>
      <c r="FB115" s="30" t="str">
        <f t="shared" ref="FB115:FB117" si="1916">IF(BV115="","","|n"&amp;FB$2&amp;"+"&amp;BV115&amp;FB$1)</f>
        <v/>
      </c>
      <c r="FC115" s="30" t="str">
        <f t="shared" ref="FC115:FC117" si="1917">IF(BW115="","","|n"&amp;FC$2&amp;"+"&amp;BW115&amp;FC$1)</f>
        <v/>
      </c>
      <c r="FD115" s="30" t="str">
        <f t="shared" ref="FD115:FD117" si="1918">IF(BX115="","","|n"&amp;FD$2&amp;"+"&amp;BX115&amp;FD$1)</f>
        <v/>
      </c>
      <c r="FE115" s="30" t="str">
        <f t="shared" ref="FE115:FE117" si="1919">IF(BY115="","","|n"&amp;FE$2&amp;"+"&amp;BY115&amp;FE$1)</f>
        <v/>
      </c>
      <c r="FF115" s="30" t="str">
        <f t="shared" ref="FF115:FF117" si="1920">IF(BZ115="","","|n"&amp;FF$2&amp;"+"&amp;BZ115&amp;FF$1)</f>
        <v/>
      </c>
      <c r="FG115" s="30" t="str">
        <f t="shared" ref="FG115:FG117" si="1921">IF(CA115="","","|n"&amp;FG$2&amp;"+"&amp;CA115&amp;FG$1)</f>
        <v/>
      </c>
      <c r="FH115" s="30" t="str">
        <f t="shared" ref="FH115:FH117" si="1922">IF(CB115="","","|n"&amp;FH$2&amp;"+"&amp;CB115&amp;FH$1)</f>
        <v/>
      </c>
      <c r="FI115" s="30" t="str">
        <f t="shared" ref="FI115:FI117" si="1923">IF(CC115="","","|n"&amp;FI$2&amp;"+"&amp;CC115&amp;FI$1)</f>
        <v/>
      </c>
      <c r="FJ115" s="30" t="str">
        <f t="shared" ref="FJ115:FJ117" si="1924">IF(CD115="","","|n"&amp;FJ$2&amp;"+"&amp;CD115&amp;FJ$1)</f>
        <v/>
      </c>
      <c r="FK115" s="30" t="str">
        <f t="shared" ref="FK115:FK117" si="1925">IF(CE115="","","|n"&amp;FK$2&amp;"+"&amp;CE115&amp;FK$1)</f>
        <v/>
      </c>
      <c r="FL115" s="30" t="str">
        <f t="shared" ref="FL115:FL117" si="1926">IF(CF115="","","|n"&amp;FL$2&amp;"+"&amp;CF115&amp;FL$1)</f>
        <v/>
      </c>
      <c r="FM115" s="30" t="str">
        <f t="shared" ref="FM115:FM117" si="1927">IF(CG115="","","|n"&amp;FM$2&amp;"+"&amp;CG115&amp;FM$1)</f>
        <v/>
      </c>
      <c r="FN115" s="30" t="str">
        <f t="shared" ref="FN115:FN117" si="1928">IF(CH115="","","|n"&amp;FN$2&amp;"+"&amp;CH115&amp;FN$1)</f>
        <v/>
      </c>
      <c r="FO115" s="30" t="str">
        <f t="shared" ref="FO115:FO117" si="1929">IF(CI115="","","|n"&amp;FO$2&amp;"+"&amp;CI115&amp;FO$1)</f>
        <v/>
      </c>
      <c r="FP115" s="30" t="str">
        <f t="shared" ref="FP115:FP117" si="1930">IF(CJ115="","","|n"&amp;FP$2&amp;"+"&amp;CJ115&amp;FP$1)</f>
        <v/>
      </c>
      <c r="FQ115" s="30" t="str">
        <f t="shared" ref="FQ115:FQ117" si="1931">IF(CK115="","","|n"&amp;FQ$2&amp;"+"&amp;CK115&amp;FQ$1)</f>
        <v/>
      </c>
      <c r="FR115" s="30" t="str">
        <f t="shared" ref="FR115:FR117" si="1932">IF(CL115="","","|n"&amp;FR$2&amp;"+"&amp;CL115&amp;FR$1)</f>
        <v/>
      </c>
      <c r="FS115" s="30" t="str">
        <f t="shared" ref="FS115:FS117" si="1933">IF(CM115="","","|n"&amp;FS$2&amp;"+"&amp;CM115&amp;FS$1)</f>
        <v/>
      </c>
    </row>
    <row r="116" spans="1:175" ht="16.5">
      <c r="A116" s="117"/>
      <c r="B116" s="111" t="s">
        <v>921</v>
      </c>
      <c r="C116" s="117" t="s">
        <v>925</v>
      </c>
      <c r="R116" s="25">
        <v>1840</v>
      </c>
      <c r="S116" s="25">
        <v>-5224</v>
      </c>
      <c r="T116" s="117" t="s">
        <v>925</v>
      </c>
      <c r="U116" s="37" t="s">
        <v>822</v>
      </c>
      <c r="CN116" s="7" t="str">
        <f t="shared" si="1857"/>
        <v>InitUnitState('IT12',,,,,,,,,,)</v>
      </c>
      <c r="CO116" s="7" t="str">
        <f t="shared" si="1858"/>
        <v>InitUnitNormal('IT12',,,,,,,,,,)</v>
      </c>
      <c r="CP116" s="7" t="str">
        <f t="shared" si="1859"/>
        <v>InitUnitMagic('IT12',,,,,,,,,,)</v>
      </c>
      <c r="CQ116" s="7" t="str">
        <f t="shared" si="1860"/>
        <v>InitUnitAdd('IT12',,,,,,,,,,)</v>
      </c>
      <c r="CR116" s="7" t="str">
        <f t="shared" si="1861"/>
        <v>InitEquipData('IT12',,"",,,,,'','','','','','',"ReplaceableTextures\\CommandButtons\\BTNTome.blp")</v>
      </c>
      <c r="CU116" s="45" t="str">
        <f t="shared" si="1862"/>
        <v>|n</v>
      </c>
      <c r="CV116" s="29" t="str">
        <f t="shared" si="1863"/>
        <v>境界挑战12</v>
      </c>
      <c r="CW116" s="24"/>
      <c r="CX116" s="24"/>
      <c r="CY116" s="24"/>
      <c r="CZ116" s="24"/>
      <c r="DA116" s="24"/>
      <c r="DB116" s="30" t="str">
        <f t="shared" si="1864"/>
        <v/>
      </c>
      <c r="DC116" s="30" t="str">
        <f t="shared" si="1865"/>
        <v/>
      </c>
      <c r="DD116" s="30" t="str">
        <f t="shared" si="1866"/>
        <v/>
      </c>
      <c r="DE116" s="30" t="str">
        <f t="shared" si="1867"/>
        <v/>
      </c>
      <c r="DF116" s="30" t="str">
        <f t="shared" si="1868"/>
        <v/>
      </c>
      <c r="DG116" s="30" t="str">
        <f t="shared" si="1869"/>
        <v/>
      </c>
      <c r="DH116" s="30" t="str">
        <f t="shared" si="1870"/>
        <v/>
      </c>
      <c r="DI116" s="30" t="str">
        <f t="shared" si="1871"/>
        <v/>
      </c>
      <c r="DJ116" s="30" t="str">
        <f t="shared" si="1872"/>
        <v/>
      </c>
      <c r="DK116" s="30" t="str">
        <f t="shared" si="1873"/>
        <v/>
      </c>
      <c r="DL116" s="30" t="str">
        <f t="shared" si="1874"/>
        <v/>
      </c>
      <c r="DM116" s="30" t="str">
        <f t="shared" si="1875"/>
        <v/>
      </c>
      <c r="DN116" s="30" t="str">
        <f t="shared" si="1876"/>
        <v/>
      </c>
      <c r="DO116" s="30" t="str">
        <f t="shared" si="1877"/>
        <v/>
      </c>
      <c r="DP116" s="30" t="str">
        <f t="shared" si="1878"/>
        <v/>
      </c>
      <c r="DQ116" s="30" t="str">
        <f t="shared" si="1879"/>
        <v/>
      </c>
      <c r="DR116" s="30" t="str">
        <f t="shared" si="1880"/>
        <v/>
      </c>
      <c r="DS116" s="30" t="str">
        <f t="shared" si="1881"/>
        <v/>
      </c>
      <c r="DT116" s="30" t="str">
        <f t="shared" si="1882"/>
        <v/>
      </c>
      <c r="DU116" s="30" t="str">
        <f t="shared" si="1883"/>
        <v/>
      </c>
      <c r="DV116" s="30" t="str">
        <f t="shared" si="1884"/>
        <v/>
      </c>
      <c r="DW116" s="30" t="str">
        <f t="shared" si="1885"/>
        <v/>
      </c>
      <c r="DX116" s="30" t="str">
        <f t="shared" si="1886"/>
        <v/>
      </c>
      <c r="DY116" s="30" t="str">
        <f t="shared" si="1887"/>
        <v/>
      </c>
      <c r="DZ116" s="30" t="str">
        <f t="shared" si="1888"/>
        <v/>
      </c>
      <c r="EA116" s="30" t="str">
        <f t="shared" si="1889"/>
        <v/>
      </c>
      <c r="EB116" s="30" t="str">
        <f t="shared" si="1890"/>
        <v/>
      </c>
      <c r="EC116" s="30" t="str">
        <f t="shared" si="1891"/>
        <v/>
      </c>
      <c r="ED116" s="30" t="str">
        <f t="shared" si="1892"/>
        <v/>
      </c>
      <c r="EE116" s="30" t="str">
        <f t="shared" si="1893"/>
        <v/>
      </c>
      <c r="EF116" s="30" t="str">
        <f t="shared" si="1894"/>
        <v/>
      </c>
      <c r="EG116" s="30" t="str">
        <f t="shared" si="1895"/>
        <v/>
      </c>
      <c r="EH116" s="30" t="str">
        <f t="shared" si="1896"/>
        <v/>
      </c>
      <c r="EI116" s="30" t="str">
        <f t="shared" si="1897"/>
        <v/>
      </c>
      <c r="EJ116" s="30" t="str">
        <f t="shared" si="1898"/>
        <v/>
      </c>
      <c r="EK116" s="30" t="str">
        <f t="shared" si="1899"/>
        <v/>
      </c>
      <c r="EL116" s="30" t="str">
        <f t="shared" si="1900"/>
        <v/>
      </c>
      <c r="EM116" s="30" t="str">
        <f t="shared" si="1901"/>
        <v/>
      </c>
      <c r="EN116" s="30" t="str">
        <f t="shared" si="1902"/>
        <v/>
      </c>
      <c r="EO116" s="30" t="str">
        <f t="shared" si="1903"/>
        <v/>
      </c>
      <c r="EP116" s="30" t="str">
        <f t="shared" si="1904"/>
        <v/>
      </c>
      <c r="EQ116" s="30" t="str">
        <f t="shared" si="1905"/>
        <v/>
      </c>
      <c r="ER116" s="30" t="str">
        <f t="shared" si="1906"/>
        <v/>
      </c>
      <c r="ES116" s="30" t="str">
        <f t="shared" si="1907"/>
        <v/>
      </c>
      <c r="ET116" s="30" t="str">
        <f t="shared" si="1908"/>
        <v/>
      </c>
      <c r="EU116" s="30" t="str">
        <f t="shared" si="1909"/>
        <v/>
      </c>
      <c r="EV116" s="30" t="str">
        <f t="shared" si="1910"/>
        <v/>
      </c>
      <c r="EW116" s="30" t="str">
        <f t="shared" si="1911"/>
        <v/>
      </c>
      <c r="EX116" s="30" t="str">
        <f t="shared" si="1912"/>
        <v/>
      </c>
      <c r="EY116" s="30" t="str">
        <f t="shared" si="1913"/>
        <v/>
      </c>
      <c r="EZ116" s="30" t="str">
        <f t="shared" si="1914"/>
        <v/>
      </c>
      <c r="FA116" s="30" t="str">
        <f t="shared" si="1915"/>
        <v/>
      </c>
      <c r="FB116" s="30" t="str">
        <f t="shared" si="1916"/>
        <v/>
      </c>
      <c r="FC116" s="30" t="str">
        <f t="shared" si="1917"/>
        <v/>
      </c>
      <c r="FD116" s="30" t="str">
        <f t="shared" si="1918"/>
        <v/>
      </c>
      <c r="FE116" s="30" t="str">
        <f t="shared" si="1919"/>
        <v/>
      </c>
      <c r="FF116" s="30" t="str">
        <f t="shared" si="1920"/>
        <v/>
      </c>
      <c r="FG116" s="30" t="str">
        <f t="shared" si="1921"/>
        <v/>
      </c>
      <c r="FH116" s="30" t="str">
        <f t="shared" si="1922"/>
        <v/>
      </c>
      <c r="FI116" s="30" t="str">
        <f t="shared" si="1923"/>
        <v/>
      </c>
      <c r="FJ116" s="30" t="str">
        <f t="shared" si="1924"/>
        <v/>
      </c>
      <c r="FK116" s="30" t="str">
        <f t="shared" si="1925"/>
        <v/>
      </c>
      <c r="FL116" s="30" t="str">
        <f t="shared" si="1926"/>
        <v/>
      </c>
      <c r="FM116" s="30" t="str">
        <f t="shared" si="1927"/>
        <v/>
      </c>
      <c r="FN116" s="30" t="str">
        <f t="shared" si="1928"/>
        <v/>
      </c>
      <c r="FO116" s="30" t="str">
        <f t="shared" si="1929"/>
        <v/>
      </c>
      <c r="FP116" s="30" t="str">
        <f t="shared" si="1930"/>
        <v/>
      </c>
      <c r="FQ116" s="30" t="str">
        <f t="shared" si="1931"/>
        <v/>
      </c>
      <c r="FR116" s="30" t="str">
        <f t="shared" si="1932"/>
        <v/>
      </c>
      <c r="FS116" s="30" t="str">
        <f t="shared" si="1933"/>
        <v/>
      </c>
    </row>
    <row r="117" spans="1:175" ht="16.5">
      <c r="A117" s="117"/>
      <c r="B117" s="111" t="s">
        <v>922</v>
      </c>
      <c r="C117" s="117" t="s">
        <v>926</v>
      </c>
      <c r="R117" s="25">
        <v>4398</v>
      </c>
      <c r="S117" s="25">
        <v>-5206</v>
      </c>
      <c r="T117" s="117" t="s">
        <v>926</v>
      </c>
      <c r="U117" s="37" t="s">
        <v>822</v>
      </c>
      <c r="CN117" s="7" t="str">
        <f t="shared" si="1857"/>
        <v>InitUnitState('IT13',,,,,,,,,,)</v>
      </c>
      <c r="CO117" s="7" t="str">
        <f t="shared" si="1858"/>
        <v>InitUnitNormal('IT13',,,,,,,,,,)</v>
      </c>
      <c r="CP117" s="7" t="str">
        <f t="shared" si="1859"/>
        <v>InitUnitMagic('IT13',,,,,,,,,,)</v>
      </c>
      <c r="CQ117" s="7" t="str">
        <f t="shared" si="1860"/>
        <v>InitUnitAdd('IT13',,,,,,,,,,)</v>
      </c>
      <c r="CR117" s="7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122&amp;CR$1&amp;")"</f>
        <v>InitEquipData('IT13',,"",,,,,'','','','','','',"ReplaceableTextures\\CommandButtons\\BTNTome.blp")</v>
      </c>
      <c r="CU117" s="45" t="str">
        <f t="shared" si="1862"/>
        <v>|n</v>
      </c>
      <c r="CV117" s="29" t="str">
        <f t="shared" si="1863"/>
        <v>境界挑战13</v>
      </c>
      <c r="CW117" s="24"/>
      <c r="CX117" s="24"/>
      <c r="CY117" s="24"/>
      <c r="CZ117" s="24"/>
      <c r="DA117" s="24"/>
      <c r="DB117" s="30" t="str">
        <f t="shared" si="1864"/>
        <v/>
      </c>
      <c r="DC117" s="30" t="str">
        <f t="shared" si="1865"/>
        <v/>
      </c>
      <c r="DD117" s="30" t="str">
        <f t="shared" si="1866"/>
        <v/>
      </c>
      <c r="DE117" s="30" t="str">
        <f t="shared" si="1867"/>
        <v/>
      </c>
      <c r="DF117" s="30" t="str">
        <f t="shared" si="1868"/>
        <v/>
      </c>
      <c r="DG117" s="30" t="str">
        <f t="shared" si="1869"/>
        <v/>
      </c>
      <c r="DH117" s="30" t="str">
        <f t="shared" si="1870"/>
        <v/>
      </c>
      <c r="DI117" s="30" t="str">
        <f t="shared" si="1871"/>
        <v/>
      </c>
      <c r="DJ117" s="30" t="str">
        <f t="shared" si="1872"/>
        <v/>
      </c>
      <c r="DK117" s="30" t="str">
        <f t="shared" si="1873"/>
        <v/>
      </c>
      <c r="DL117" s="30" t="str">
        <f t="shared" si="1874"/>
        <v/>
      </c>
      <c r="DM117" s="30" t="str">
        <f t="shared" si="1875"/>
        <v/>
      </c>
      <c r="DN117" s="30" t="str">
        <f t="shared" si="1876"/>
        <v/>
      </c>
      <c r="DO117" s="30" t="str">
        <f t="shared" si="1877"/>
        <v/>
      </c>
      <c r="DP117" s="30" t="str">
        <f t="shared" si="1878"/>
        <v/>
      </c>
      <c r="DQ117" s="30" t="str">
        <f t="shared" si="1879"/>
        <v/>
      </c>
      <c r="DR117" s="30" t="str">
        <f t="shared" si="1880"/>
        <v/>
      </c>
      <c r="DS117" s="30" t="str">
        <f t="shared" si="1881"/>
        <v/>
      </c>
      <c r="DT117" s="30" t="str">
        <f t="shared" si="1882"/>
        <v/>
      </c>
      <c r="DU117" s="30" t="str">
        <f t="shared" si="1883"/>
        <v/>
      </c>
      <c r="DV117" s="30" t="str">
        <f t="shared" si="1884"/>
        <v/>
      </c>
      <c r="DW117" s="30" t="str">
        <f t="shared" si="1885"/>
        <v/>
      </c>
      <c r="DX117" s="30" t="str">
        <f t="shared" si="1886"/>
        <v/>
      </c>
      <c r="DY117" s="30" t="str">
        <f t="shared" si="1887"/>
        <v/>
      </c>
      <c r="DZ117" s="30" t="str">
        <f t="shared" si="1888"/>
        <v/>
      </c>
      <c r="EA117" s="30" t="str">
        <f t="shared" si="1889"/>
        <v/>
      </c>
      <c r="EB117" s="30" t="str">
        <f t="shared" si="1890"/>
        <v/>
      </c>
      <c r="EC117" s="30" t="str">
        <f t="shared" si="1891"/>
        <v/>
      </c>
      <c r="ED117" s="30" t="str">
        <f t="shared" si="1892"/>
        <v/>
      </c>
      <c r="EE117" s="30" t="str">
        <f t="shared" si="1893"/>
        <v/>
      </c>
      <c r="EF117" s="30" t="str">
        <f t="shared" si="1894"/>
        <v/>
      </c>
      <c r="EG117" s="30" t="str">
        <f t="shared" si="1895"/>
        <v/>
      </c>
      <c r="EH117" s="30" t="str">
        <f t="shared" si="1896"/>
        <v/>
      </c>
      <c r="EI117" s="30" t="str">
        <f t="shared" si="1897"/>
        <v/>
      </c>
      <c r="EJ117" s="30" t="str">
        <f t="shared" si="1898"/>
        <v/>
      </c>
      <c r="EK117" s="30" t="str">
        <f t="shared" si="1899"/>
        <v/>
      </c>
      <c r="EL117" s="30" t="str">
        <f t="shared" si="1900"/>
        <v/>
      </c>
      <c r="EM117" s="30" t="str">
        <f t="shared" si="1901"/>
        <v/>
      </c>
      <c r="EN117" s="30" t="str">
        <f t="shared" si="1902"/>
        <v/>
      </c>
      <c r="EO117" s="30" t="str">
        <f t="shared" si="1903"/>
        <v/>
      </c>
      <c r="EP117" s="30" t="str">
        <f t="shared" si="1904"/>
        <v/>
      </c>
      <c r="EQ117" s="30" t="str">
        <f t="shared" si="1905"/>
        <v/>
      </c>
      <c r="ER117" s="30" t="str">
        <f t="shared" si="1906"/>
        <v/>
      </c>
      <c r="ES117" s="30" t="str">
        <f t="shared" si="1907"/>
        <v/>
      </c>
      <c r="ET117" s="30" t="str">
        <f t="shared" si="1908"/>
        <v/>
      </c>
      <c r="EU117" s="30" t="str">
        <f t="shared" si="1909"/>
        <v/>
      </c>
      <c r="EV117" s="30" t="str">
        <f t="shared" si="1910"/>
        <v/>
      </c>
      <c r="EW117" s="30" t="str">
        <f t="shared" si="1911"/>
        <v/>
      </c>
      <c r="EX117" s="30" t="str">
        <f t="shared" si="1912"/>
        <v/>
      </c>
      <c r="EY117" s="30" t="str">
        <f t="shared" si="1913"/>
        <v/>
      </c>
      <c r="EZ117" s="30" t="str">
        <f t="shared" si="1914"/>
        <v/>
      </c>
      <c r="FA117" s="30" t="str">
        <f t="shared" si="1915"/>
        <v/>
      </c>
      <c r="FB117" s="30" t="str">
        <f t="shared" si="1916"/>
        <v/>
      </c>
      <c r="FC117" s="30" t="str">
        <f t="shared" si="1917"/>
        <v/>
      </c>
      <c r="FD117" s="30" t="str">
        <f t="shared" si="1918"/>
        <v/>
      </c>
      <c r="FE117" s="30" t="str">
        <f t="shared" si="1919"/>
        <v/>
      </c>
      <c r="FF117" s="30" t="str">
        <f t="shared" si="1920"/>
        <v/>
      </c>
      <c r="FG117" s="30" t="str">
        <f t="shared" si="1921"/>
        <v/>
      </c>
      <c r="FH117" s="30" t="str">
        <f t="shared" si="1922"/>
        <v/>
      </c>
      <c r="FI117" s="30" t="str">
        <f t="shared" si="1923"/>
        <v/>
      </c>
      <c r="FJ117" s="30" t="str">
        <f t="shared" si="1924"/>
        <v/>
      </c>
      <c r="FK117" s="30" t="str">
        <f t="shared" si="1925"/>
        <v/>
      </c>
      <c r="FL117" s="30" t="str">
        <f t="shared" si="1926"/>
        <v/>
      </c>
      <c r="FM117" s="30" t="str">
        <f t="shared" si="1927"/>
        <v/>
      </c>
      <c r="FN117" s="30" t="str">
        <f t="shared" si="1928"/>
        <v/>
      </c>
      <c r="FO117" s="30" t="str">
        <f t="shared" si="1929"/>
        <v/>
      </c>
      <c r="FP117" s="30" t="str">
        <f t="shared" si="1930"/>
        <v/>
      </c>
      <c r="FQ117" s="30" t="str">
        <f t="shared" si="1931"/>
        <v/>
      </c>
      <c r="FR117" s="30" t="str">
        <f t="shared" si="1932"/>
        <v/>
      </c>
      <c r="FS117" s="30" t="str">
        <f t="shared" si="1933"/>
        <v/>
      </c>
    </row>
    <row r="118" spans="1:175" ht="16.5">
      <c r="A118" s="117"/>
      <c r="B118" s="111" t="s">
        <v>923</v>
      </c>
      <c r="C118" s="117" t="s">
        <v>927</v>
      </c>
      <c r="R118" s="25">
        <v>7548</v>
      </c>
      <c r="S118" s="25">
        <v>-6605</v>
      </c>
      <c r="T118" s="117" t="s">
        <v>927</v>
      </c>
      <c r="U118" s="37" t="s">
        <v>822</v>
      </c>
      <c r="CN118" s="7" t="str">
        <f t="shared" ref="CN118" si="1934">"InitUnitState('"&amp;B118&amp;"',"&amp;V118&amp;","&amp;W118&amp;","&amp;X118&amp;","&amp;Y118&amp;","&amp;Z118&amp;","&amp;AA118&amp;","&amp;AB118&amp;","&amp;AC118&amp;","&amp;AD118&amp;","&amp;AE118&amp;")"</f>
        <v>InitUnitState('IT14',,,,,,,,,,)</v>
      </c>
      <c r="CO118" s="7" t="str">
        <f t="shared" ref="CO118" si="1935">"InitUnitNormal('"&amp;B118&amp;"',"&amp;AF118&amp;","&amp;AG118&amp;","&amp;AH118&amp;","&amp;AI118&amp;","&amp;AJ118&amp;","&amp;AK118&amp;","&amp;AL118&amp;","&amp;AM118&amp;","&amp;AN118&amp;","&amp;AO118&amp;")"</f>
        <v>InitUnitNormal('IT14',,,,,,,,,,)</v>
      </c>
      <c r="CP118" s="7" t="str">
        <f t="shared" ref="CP118" si="1936">"InitUnitMagic('"&amp;B118&amp;"',"&amp;AP118&amp;","&amp;AQ118&amp;","&amp;AR118&amp;","&amp;AS118&amp;","&amp;AT118&amp;","&amp;AU118&amp;","&amp;AV118&amp;","&amp;AW118&amp;","&amp;BI118&amp;","&amp;BJ118&amp;")"</f>
        <v>InitUnitMagic('IT14',,,,,,,,,,)</v>
      </c>
      <c r="CQ118" s="7" t="str">
        <f t="shared" ref="CQ118" si="1937">"InitUnitAdd('"&amp;B118&amp;"',"&amp;BK118&amp;","&amp;BL118&amp;","&amp;BM118&amp;","&amp;BN118&amp;","&amp;BO118&amp;","&amp;BP118&amp;","&amp;BQ118&amp;","&amp;BR118&amp;","&amp;BS118&amp;","&amp;BT118&amp;")"</f>
        <v>InitUnitAdd('IT14',,,,,,,,,,)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InitEquipData('IT14',,"",,,,,'','','','','','',"ReplaceableTextures\\CommandButtons\\BTNTome.blp")</v>
      </c>
      <c r="CU118" s="45" t="str">
        <f t="shared" ref="CU118" si="1938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" si="1939">T118</f>
        <v>境界挑战14</v>
      </c>
      <c r="CW118" s="24"/>
      <c r="CX118" s="24"/>
      <c r="CY118" s="24"/>
      <c r="CZ118" s="24"/>
      <c r="DA118" s="24"/>
      <c r="DB118" s="30" t="str">
        <f t="shared" ref="DB118" si="1940">IF(V118="","","|n"&amp;DB$2&amp;"+"&amp;V118&amp;DB$1)</f>
        <v/>
      </c>
      <c r="DC118" s="30" t="str">
        <f t="shared" ref="DC118" si="1941">IF(W118="","","|n"&amp;DC$2&amp;"+"&amp;W118&amp;DC$1)</f>
        <v/>
      </c>
      <c r="DD118" s="30" t="str">
        <f t="shared" ref="DD118" si="1942">IF(X118="","","|n"&amp;DD$2&amp;"+"&amp;X118&amp;DD$1)</f>
        <v/>
      </c>
      <c r="DE118" s="30" t="str">
        <f t="shared" ref="DE118" si="1943">IF(Y118="","","|n"&amp;DE$2&amp;"+"&amp;Y118&amp;DE$1)</f>
        <v/>
      </c>
      <c r="DF118" s="30" t="str">
        <f t="shared" ref="DF118" si="1944">IF(Z118="","","|n"&amp;DF$2&amp;"+"&amp;Z118&amp;DF$1)</f>
        <v/>
      </c>
      <c r="DG118" s="30" t="str">
        <f t="shared" ref="DG118" si="1945">IF(AA118="","","|n"&amp;DG$2&amp;"+"&amp;AA118&amp;DG$1)</f>
        <v/>
      </c>
      <c r="DH118" s="30" t="str">
        <f t="shared" ref="DH118" si="1946">IF(AB118="","","|n"&amp;DH$2&amp;"+"&amp;AB118&amp;DH$1)</f>
        <v/>
      </c>
      <c r="DI118" s="30" t="str">
        <f t="shared" ref="DI118" si="1947">IF(AC118="","","|n"&amp;DI$2&amp;"+"&amp;AC118&amp;DI$1)</f>
        <v/>
      </c>
      <c r="DJ118" s="30" t="str">
        <f t="shared" ref="DJ118" si="1948">IF(AD118="","","|n"&amp;DJ$2&amp;"+"&amp;AD118&amp;DJ$1)</f>
        <v/>
      </c>
      <c r="DK118" s="30" t="str">
        <f t="shared" ref="DK118" si="1949">IF(AE118="","","|n"&amp;DK$2&amp;"+"&amp;AE118&amp;DK$1)</f>
        <v/>
      </c>
      <c r="DL118" s="30" t="str">
        <f t="shared" ref="DL118" si="1950">IF(AF118="","","|n"&amp;DL$2&amp;"+"&amp;AF118&amp;DL$1)</f>
        <v/>
      </c>
      <c r="DM118" s="30" t="str">
        <f t="shared" ref="DM118" si="1951">IF(AG118="","","|n"&amp;DM$2&amp;"+"&amp;AG118&amp;DM$1)</f>
        <v/>
      </c>
      <c r="DN118" s="30" t="str">
        <f t="shared" ref="DN118" si="1952">IF(AH118="","","|n"&amp;DN$2&amp;"+"&amp;AH118&amp;DN$1)</f>
        <v/>
      </c>
      <c r="DO118" s="30" t="str">
        <f t="shared" ref="DO118" si="1953">IF(AI118="","","|n"&amp;DO$2&amp;"+"&amp;AI118&amp;DO$1)</f>
        <v/>
      </c>
      <c r="DP118" s="30" t="str">
        <f t="shared" ref="DP118" si="1954">IF(AJ118="","","|n"&amp;DP$2&amp;"+"&amp;AJ118&amp;DP$1)</f>
        <v/>
      </c>
      <c r="DQ118" s="30" t="str">
        <f t="shared" ref="DQ118" si="1955">IF(AK118="","","|n"&amp;DQ$2&amp;"+"&amp;AK118&amp;DQ$1)</f>
        <v/>
      </c>
      <c r="DR118" s="30" t="str">
        <f t="shared" ref="DR118" si="1956">IF(AL118="","","|n"&amp;DR$2&amp;"+"&amp;AL118&amp;DR$1)</f>
        <v/>
      </c>
      <c r="DS118" s="30" t="str">
        <f t="shared" ref="DS118" si="1957">IF(AM118="","","|n"&amp;DS$2&amp;"+"&amp;AM118&amp;DS$1)</f>
        <v/>
      </c>
      <c r="DT118" s="30" t="str">
        <f t="shared" ref="DT118" si="1958">IF(AN118="","","|n"&amp;DT$2&amp;"+"&amp;AN118&amp;DT$1)</f>
        <v/>
      </c>
      <c r="DU118" s="30" t="str">
        <f t="shared" ref="DU118" si="1959">IF(AO118="","","|n"&amp;DU$2&amp;"+"&amp;AO118&amp;DU$1)</f>
        <v/>
      </c>
      <c r="DV118" s="30" t="str">
        <f t="shared" ref="DV118" si="1960">IF(AP118="","","|n"&amp;DV$2&amp;"+"&amp;AP118&amp;DV$1)</f>
        <v/>
      </c>
      <c r="DW118" s="30" t="str">
        <f t="shared" ref="DW118" si="1961">IF(AQ118="","","|n"&amp;DW$2&amp;"+"&amp;AQ118&amp;DW$1)</f>
        <v/>
      </c>
      <c r="DX118" s="30" t="str">
        <f t="shared" ref="DX118" si="1962">IF(AR118="","","|n"&amp;DX$2&amp;"+"&amp;AR118&amp;DX$1)</f>
        <v/>
      </c>
      <c r="DY118" s="30" t="str">
        <f t="shared" ref="DY118" si="1963">IF(AS118="","","|n"&amp;DY$2&amp;"+"&amp;AS118&amp;DY$1)</f>
        <v/>
      </c>
      <c r="DZ118" s="30" t="str">
        <f t="shared" ref="DZ118" si="1964">IF(AT118="","","|n"&amp;DZ$2&amp;"+"&amp;AT118&amp;DZ$1)</f>
        <v/>
      </c>
      <c r="EA118" s="30" t="str">
        <f t="shared" ref="EA118" si="1965">IF(AU118="","","|n"&amp;EA$2&amp;"+"&amp;AU118&amp;EA$1)</f>
        <v/>
      </c>
      <c r="EB118" s="30" t="str">
        <f t="shared" ref="EB118" si="1966">IF(AV118="","","|n"&amp;EB$2&amp;"+"&amp;AV118&amp;EB$1)</f>
        <v/>
      </c>
      <c r="EC118" s="30" t="str">
        <f t="shared" ref="EC118" si="1967">IF(AW118="","","|n"&amp;EC$2&amp;"+"&amp;AW118&amp;EC$1)</f>
        <v/>
      </c>
      <c r="ED118" s="30" t="str">
        <f t="shared" ref="ED118" si="1968">IF(AX118="","","|n"&amp;ED$2&amp;"+"&amp;AX118&amp;ED$1)</f>
        <v/>
      </c>
      <c r="EE118" s="30" t="str">
        <f t="shared" ref="EE118" si="1969">IF(AY118="","","|n"&amp;EE$2&amp;"+"&amp;AY118&amp;EE$1)</f>
        <v/>
      </c>
      <c r="EF118" s="30" t="str">
        <f t="shared" ref="EF118" si="1970">IF(AZ118="","","|n"&amp;EF$2&amp;"+"&amp;AZ118&amp;EF$1)</f>
        <v/>
      </c>
      <c r="EG118" s="30" t="str">
        <f t="shared" ref="EG118" si="1971">IF(BA118="","","|n"&amp;EG$2&amp;"+"&amp;BA118&amp;EG$1)</f>
        <v/>
      </c>
      <c r="EH118" s="30" t="str">
        <f t="shared" ref="EH118" si="1972">IF(BB118="","","|n"&amp;EH$2&amp;"+"&amp;BB118&amp;EH$1)</f>
        <v/>
      </c>
      <c r="EI118" s="30" t="str">
        <f t="shared" ref="EI118" si="1973">IF(BC118="","","|n"&amp;EI$2&amp;"+"&amp;BC118&amp;EI$1)</f>
        <v/>
      </c>
      <c r="EJ118" s="30" t="str">
        <f t="shared" ref="EJ118" si="1974">IF(BD118="","","|n"&amp;EJ$2&amp;"+"&amp;BD118&amp;EJ$1)</f>
        <v/>
      </c>
      <c r="EK118" s="30" t="str">
        <f t="shared" ref="EK118" si="1975">IF(BE118="","","|n"&amp;EK$2&amp;"+"&amp;BE118&amp;EK$1)</f>
        <v/>
      </c>
      <c r="EL118" s="30" t="str">
        <f t="shared" ref="EL118" si="1976">IF(BF118="","","|n"&amp;EL$2&amp;"+"&amp;BF118&amp;EL$1)</f>
        <v/>
      </c>
      <c r="EM118" s="30" t="str">
        <f t="shared" ref="EM118" si="1977">IF(BG118="","","|n"&amp;EM$2&amp;"+"&amp;BG118&amp;EM$1)</f>
        <v/>
      </c>
      <c r="EN118" s="30" t="str">
        <f t="shared" ref="EN118" si="1978">IF(BH118="","","|n"&amp;EN$2&amp;"+"&amp;BH118&amp;EN$1)</f>
        <v/>
      </c>
      <c r="EO118" s="30" t="str">
        <f t="shared" ref="EO118" si="1979">IF(BI118="","","|n"&amp;EO$2&amp;"+"&amp;BI118&amp;EO$1)</f>
        <v/>
      </c>
      <c r="EP118" s="30" t="str">
        <f t="shared" ref="EP118" si="1980">IF(BJ118="","","|n"&amp;EP$2&amp;"+"&amp;BJ118&amp;EP$1)</f>
        <v/>
      </c>
      <c r="EQ118" s="30" t="str">
        <f t="shared" ref="EQ118" si="1981">IF(BK118="","","|n"&amp;EQ$2&amp;"+"&amp;BK118&amp;EQ$1)</f>
        <v/>
      </c>
      <c r="ER118" s="30" t="str">
        <f t="shared" ref="ER118" si="1982">IF(BL118="","","|n"&amp;ER$2&amp;"+"&amp;BL118&amp;ER$1)</f>
        <v/>
      </c>
      <c r="ES118" s="30" t="str">
        <f t="shared" ref="ES118" si="1983">IF(BM118="","","|n"&amp;ES$2&amp;"+"&amp;BM118&amp;ES$1)</f>
        <v/>
      </c>
      <c r="ET118" s="30" t="str">
        <f t="shared" ref="ET118" si="1984">IF(BN118="","","|n"&amp;ET$2&amp;"+"&amp;BN118&amp;ET$1)</f>
        <v/>
      </c>
      <c r="EU118" s="30" t="str">
        <f t="shared" ref="EU118" si="1985">IF(BO118="","","|n"&amp;EU$2&amp;"+"&amp;BO118&amp;EU$1)</f>
        <v/>
      </c>
      <c r="EV118" s="30" t="str">
        <f t="shared" ref="EV118" si="1986">IF(BP118="","","|n"&amp;EV$2&amp;"+"&amp;BP118&amp;EV$1)</f>
        <v/>
      </c>
      <c r="EW118" s="30" t="str">
        <f t="shared" ref="EW118" si="1987">IF(BQ118="","","|n"&amp;EW$2&amp;"+"&amp;BQ118&amp;EW$1)</f>
        <v/>
      </c>
      <c r="EX118" s="30" t="str">
        <f t="shared" ref="EX118" si="1988">IF(BR118="","","|n"&amp;EX$2&amp;"+"&amp;BR118&amp;EX$1)</f>
        <v/>
      </c>
      <c r="EY118" s="30" t="str">
        <f t="shared" ref="EY118" si="1989">IF(BS118="","","|n"&amp;EY$2&amp;"+"&amp;BS118&amp;EY$1)</f>
        <v/>
      </c>
      <c r="EZ118" s="30" t="str">
        <f t="shared" ref="EZ118" si="1990">IF(BT118="","","|n"&amp;EZ$2&amp;"+"&amp;BT118&amp;EZ$1)</f>
        <v/>
      </c>
      <c r="FA118" s="30" t="str">
        <f t="shared" ref="FA118" si="1991">IF(BU118="","","|n"&amp;FA$2&amp;"+"&amp;BU118&amp;FA$1)</f>
        <v/>
      </c>
      <c r="FB118" s="30" t="str">
        <f t="shared" ref="FB118" si="1992">IF(BV118="","","|n"&amp;FB$2&amp;"+"&amp;BV118&amp;FB$1)</f>
        <v/>
      </c>
      <c r="FC118" s="30" t="str">
        <f t="shared" ref="FC118" si="1993">IF(BW118="","","|n"&amp;FC$2&amp;"+"&amp;BW118&amp;FC$1)</f>
        <v/>
      </c>
      <c r="FD118" s="30" t="str">
        <f t="shared" ref="FD118" si="1994">IF(BX118="","","|n"&amp;FD$2&amp;"+"&amp;BX118&amp;FD$1)</f>
        <v/>
      </c>
      <c r="FE118" s="30" t="str">
        <f t="shared" ref="FE118" si="1995">IF(BY118="","","|n"&amp;FE$2&amp;"+"&amp;BY118&amp;FE$1)</f>
        <v/>
      </c>
      <c r="FF118" s="30" t="str">
        <f t="shared" ref="FF118" si="1996">IF(BZ118="","","|n"&amp;FF$2&amp;"+"&amp;BZ118&amp;FF$1)</f>
        <v/>
      </c>
      <c r="FG118" s="30" t="str">
        <f t="shared" ref="FG118" si="1997">IF(CA118="","","|n"&amp;FG$2&amp;"+"&amp;CA118&amp;FG$1)</f>
        <v/>
      </c>
      <c r="FH118" s="30" t="str">
        <f t="shared" ref="FH118" si="1998">IF(CB118="","","|n"&amp;FH$2&amp;"+"&amp;CB118&amp;FH$1)</f>
        <v/>
      </c>
      <c r="FI118" s="30" t="str">
        <f t="shared" ref="FI118" si="1999">IF(CC118="","","|n"&amp;FI$2&amp;"+"&amp;CC118&amp;FI$1)</f>
        <v/>
      </c>
      <c r="FJ118" s="30" t="str">
        <f t="shared" ref="FJ118" si="2000">IF(CD118="","","|n"&amp;FJ$2&amp;"+"&amp;CD118&amp;FJ$1)</f>
        <v/>
      </c>
      <c r="FK118" s="30" t="str">
        <f t="shared" ref="FK118" si="2001">IF(CE118="","","|n"&amp;FK$2&amp;"+"&amp;CE118&amp;FK$1)</f>
        <v/>
      </c>
      <c r="FL118" s="30" t="str">
        <f t="shared" ref="FL118" si="2002">IF(CF118="","","|n"&amp;FL$2&amp;"+"&amp;CF118&amp;FL$1)</f>
        <v/>
      </c>
      <c r="FM118" s="30" t="str">
        <f t="shared" ref="FM118" si="2003">IF(CG118="","","|n"&amp;FM$2&amp;"+"&amp;CG118&amp;FM$1)</f>
        <v/>
      </c>
      <c r="FN118" s="30" t="str">
        <f t="shared" ref="FN118" si="2004">IF(CH118="","","|n"&amp;FN$2&amp;"+"&amp;CH118&amp;FN$1)</f>
        <v/>
      </c>
      <c r="FO118" s="30" t="str">
        <f t="shared" ref="FO118" si="2005">IF(CI118="","","|n"&amp;FO$2&amp;"+"&amp;CI118&amp;FO$1)</f>
        <v/>
      </c>
      <c r="FP118" s="30" t="str">
        <f t="shared" ref="FP118" si="2006">IF(CJ118="","","|n"&amp;FP$2&amp;"+"&amp;CJ118&amp;FP$1)</f>
        <v/>
      </c>
      <c r="FQ118" s="30" t="str">
        <f t="shared" ref="FQ118" si="2007">IF(CK118="","","|n"&amp;FQ$2&amp;"+"&amp;CK118&amp;FQ$1)</f>
        <v/>
      </c>
      <c r="FR118" s="30" t="str">
        <f t="shared" ref="FR118" si="2008">IF(CL118="","","|n"&amp;FR$2&amp;"+"&amp;CL118&amp;FR$1)</f>
        <v/>
      </c>
      <c r="FS118" s="30" t="str">
        <f t="shared" ref="FS118" si="2009">IF(CM118="","","|n"&amp;FS$2&amp;"+"&amp;CM118&amp;FS$1)</f>
        <v/>
      </c>
    </row>
    <row r="119" spans="1:175" ht="16.5">
      <c r="A119" s="117"/>
      <c r="B119" s="111" t="s">
        <v>883</v>
      </c>
      <c r="C119" s="117" t="s">
        <v>887</v>
      </c>
      <c r="T119" s="117" t="s">
        <v>887</v>
      </c>
      <c r="U119" s="37" t="s">
        <v>822</v>
      </c>
      <c r="CN119" s="7" t="str">
        <f t="shared" si="1780"/>
        <v>InitUnitState('IS01',,,,,,,,,,)</v>
      </c>
      <c r="CO119" s="7" t="str">
        <f t="shared" si="1781"/>
        <v>InitUnitNormal('IS01',,,,,,,,,,)</v>
      </c>
      <c r="CP119" s="7" t="str">
        <f t="shared" si="1782"/>
        <v>InitUnitMagic('IS01',,,,,,,,,,)</v>
      </c>
      <c r="CQ119" s="7" t="str">
        <f t="shared" si="1783"/>
        <v>InitUnitAdd('IS01',,,,,,,,,,)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InitEquipData('IS01',,"",,,,,'','','','','','',"ReplaceableTextures\\CommandButtons\\BTNTome.blp")</v>
      </c>
      <c r="CU119" s="45" t="str">
        <f t="shared" si="1785"/>
        <v>|n</v>
      </c>
      <c r="CV119" s="29" t="str">
        <f t="shared" si="1786"/>
        <v>抽技能DC</v>
      </c>
      <c r="CW119" s="24"/>
      <c r="CX119" s="24"/>
      <c r="CY119" s="24"/>
      <c r="CZ119" s="24"/>
      <c r="DA119" s="24"/>
      <c r="DB119" s="30" t="str">
        <f t="shared" si="1787"/>
        <v/>
      </c>
      <c r="DC119" s="30" t="str">
        <f t="shared" si="1788"/>
        <v/>
      </c>
      <c r="DD119" s="30" t="str">
        <f t="shared" si="1789"/>
        <v/>
      </c>
      <c r="DE119" s="30" t="str">
        <f t="shared" si="1790"/>
        <v/>
      </c>
      <c r="DF119" s="30" t="str">
        <f t="shared" si="1791"/>
        <v/>
      </c>
      <c r="DG119" s="30" t="str">
        <f t="shared" si="1792"/>
        <v/>
      </c>
      <c r="DH119" s="30" t="str">
        <f t="shared" si="1793"/>
        <v/>
      </c>
      <c r="DI119" s="30" t="str">
        <f t="shared" si="1794"/>
        <v/>
      </c>
      <c r="DJ119" s="30" t="str">
        <f t="shared" si="1795"/>
        <v/>
      </c>
      <c r="DK119" s="30" t="str">
        <f t="shared" si="1796"/>
        <v/>
      </c>
      <c r="DL119" s="30" t="str">
        <f t="shared" si="1797"/>
        <v/>
      </c>
      <c r="DM119" s="30" t="str">
        <f t="shared" si="1798"/>
        <v/>
      </c>
      <c r="DN119" s="30" t="str">
        <f t="shared" si="1799"/>
        <v/>
      </c>
      <c r="DO119" s="30" t="str">
        <f t="shared" si="1800"/>
        <v/>
      </c>
      <c r="DP119" s="30" t="str">
        <f t="shared" si="1801"/>
        <v/>
      </c>
      <c r="DQ119" s="30" t="str">
        <f t="shared" si="1802"/>
        <v/>
      </c>
      <c r="DR119" s="30" t="str">
        <f t="shared" si="1803"/>
        <v/>
      </c>
      <c r="DS119" s="30" t="str">
        <f t="shared" si="1804"/>
        <v/>
      </c>
      <c r="DT119" s="30" t="str">
        <f t="shared" si="1805"/>
        <v/>
      </c>
      <c r="DU119" s="30" t="str">
        <f t="shared" si="1806"/>
        <v/>
      </c>
      <c r="DV119" s="30" t="str">
        <f t="shared" si="1807"/>
        <v/>
      </c>
      <c r="DW119" s="30" t="str">
        <f t="shared" si="1808"/>
        <v/>
      </c>
      <c r="DX119" s="30" t="str">
        <f t="shared" si="1809"/>
        <v/>
      </c>
      <c r="DY119" s="30" t="str">
        <f t="shared" si="1810"/>
        <v/>
      </c>
      <c r="DZ119" s="30" t="str">
        <f t="shared" si="1811"/>
        <v/>
      </c>
      <c r="EA119" s="30" t="str">
        <f t="shared" si="1812"/>
        <v/>
      </c>
      <c r="EB119" s="30" t="str">
        <f t="shared" si="1813"/>
        <v/>
      </c>
      <c r="EC119" s="30" t="str">
        <f t="shared" si="1814"/>
        <v/>
      </c>
      <c r="ED119" s="30" t="str">
        <f t="shared" si="1815"/>
        <v/>
      </c>
      <c r="EE119" s="30" t="str">
        <f t="shared" si="1816"/>
        <v/>
      </c>
      <c r="EF119" s="30" t="str">
        <f t="shared" si="1817"/>
        <v/>
      </c>
      <c r="EG119" s="30" t="str">
        <f t="shared" si="1818"/>
        <v/>
      </c>
      <c r="EH119" s="30" t="str">
        <f t="shared" si="1819"/>
        <v/>
      </c>
      <c r="EI119" s="30" t="str">
        <f t="shared" si="1820"/>
        <v/>
      </c>
      <c r="EJ119" s="30" t="str">
        <f t="shared" si="1821"/>
        <v/>
      </c>
      <c r="EK119" s="30" t="str">
        <f t="shared" si="1822"/>
        <v/>
      </c>
      <c r="EL119" s="30" t="str">
        <f t="shared" si="1823"/>
        <v/>
      </c>
      <c r="EM119" s="30" t="str">
        <f t="shared" si="1824"/>
        <v/>
      </c>
      <c r="EN119" s="30" t="str">
        <f t="shared" si="1825"/>
        <v/>
      </c>
      <c r="EO119" s="30" t="str">
        <f t="shared" si="1826"/>
        <v/>
      </c>
      <c r="EP119" s="30" t="str">
        <f t="shared" si="1827"/>
        <v/>
      </c>
      <c r="EQ119" s="30" t="str">
        <f t="shared" si="1828"/>
        <v/>
      </c>
      <c r="ER119" s="30" t="str">
        <f t="shared" si="1829"/>
        <v/>
      </c>
      <c r="ES119" s="30" t="str">
        <f t="shared" si="1830"/>
        <v/>
      </c>
      <c r="ET119" s="30" t="str">
        <f t="shared" si="1831"/>
        <v/>
      </c>
      <c r="EU119" s="30" t="str">
        <f t="shared" si="1832"/>
        <v/>
      </c>
      <c r="EV119" s="30" t="str">
        <f t="shared" si="1833"/>
        <v/>
      </c>
      <c r="EW119" s="30" t="str">
        <f t="shared" si="1834"/>
        <v/>
      </c>
      <c r="EX119" s="30" t="str">
        <f t="shared" si="1835"/>
        <v/>
      </c>
      <c r="EY119" s="30" t="str">
        <f t="shared" si="1836"/>
        <v/>
      </c>
      <c r="EZ119" s="30" t="str">
        <f t="shared" si="1837"/>
        <v/>
      </c>
      <c r="FA119" s="30" t="str">
        <f t="shared" si="1838"/>
        <v/>
      </c>
      <c r="FB119" s="30" t="str">
        <f t="shared" si="1839"/>
        <v/>
      </c>
      <c r="FC119" s="30" t="str">
        <f t="shared" si="1840"/>
        <v/>
      </c>
      <c r="FD119" s="30" t="str">
        <f t="shared" si="1841"/>
        <v/>
      </c>
      <c r="FE119" s="30" t="str">
        <f t="shared" si="1842"/>
        <v/>
      </c>
      <c r="FF119" s="30" t="str">
        <f t="shared" si="1843"/>
        <v/>
      </c>
      <c r="FG119" s="30" t="str">
        <f t="shared" si="1844"/>
        <v/>
      </c>
      <c r="FH119" s="30" t="str">
        <f t="shared" si="1845"/>
        <v/>
      </c>
      <c r="FI119" s="30" t="str">
        <f t="shared" si="1846"/>
        <v/>
      </c>
      <c r="FJ119" s="30" t="str">
        <f t="shared" si="1847"/>
        <v/>
      </c>
      <c r="FK119" s="30" t="str">
        <f t="shared" si="1848"/>
        <v/>
      </c>
      <c r="FL119" s="30" t="str">
        <f t="shared" si="1849"/>
        <v/>
      </c>
      <c r="FM119" s="30" t="str">
        <f t="shared" si="1850"/>
        <v/>
      </c>
      <c r="FN119" s="30" t="str">
        <f t="shared" si="1851"/>
        <v/>
      </c>
      <c r="FO119" s="30" t="str">
        <f t="shared" si="1852"/>
        <v/>
      </c>
      <c r="FP119" s="30" t="str">
        <f t="shared" si="1853"/>
        <v/>
      </c>
      <c r="FQ119" s="30" t="str">
        <f t="shared" si="1854"/>
        <v/>
      </c>
      <c r="FR119" s="30" t="str">
        <f t="shared" si="1855"/>
        <v/>
      </c>
      <c r="FS119" s="30" t="str">
        <f t="shared" si="1856"/>
        <v/>
      </c>
    </row>
    <row r="120" spans="1:175" ht="16.5">
      <c r="A120" s="117"/>
      <c r="B120" s="111" t="s">
        <v>884</v>
      </c>
      <c r="C120" s="117" t="s">
        <v>888</v>
      </c>
      <c r="T120" s="117" t="s">
        <v>888</v>
      </c>
      <c r="U120" s="37" t="s">
        <v>822</v>
      </c>
      <c r="CN120" s="7" t="str">
        <f t="shared" ref="CN120:CN124" si="2010">"InitUnitState('"&amp;B120&amp;"',"&amp;V120&amp;","&amp;W120&amp;","&amp;X120&amp;","&amp;Y120&amp;","&amp;Z120&amp;","&amp;AA120&amp;","&amp;AB120&amp;","&amp;AC120&amp;","&amp;AD120&amp;","&amp;AE120&amp;")"</f>
        <v>InitUnitState('IS02',,,,,,,,,,)</v>
      </c>
      <c r="CO120" s="7" t="str">
        <f t="shared" ref="CO120:CO124" si="2011">"InitUnitNormal('"&amp;B120&amp;"',"&amp;AF120&amp;","&amp;AG120&amp;","&amp;AH120&amp;","&amp;AI120&amp;","&amp;AJ120&amp;","&amp;AK120&amp;","&amp;AL120&amp;","&amp;AM120&amp;","&amp;AN120&amp;","&amp;AO120&amp;")"</f>
        <v>InitUnitNormal('IS02',,,,,,,,,,)</v>
      </c>
      <c r="CP120" s="7" t="str">
        <f t="shared" ref="CP120:CP124" si="2012">"InitUnitMagic('"&amp;B120&amp;"',"&amp;AP120&amp;","&amp;AQ120&amp;","&amp;AR120&amp;","&amp;AS120&amp;","&amp;AT120&amp;","&amp;AU120&amp;","&amp;AV120&amp;","&amp;AW120&amp;","&amp;BI120&amp;","&amp;BJ120&amp;")"</f>
        <v>InitUnitMagic('IS02',,,,,,,,,,)</v>
      </c>
      <c r="CQ120" s="7" t="str">
        <f t="shared" ref="CQ120:CQ124" si="2013">"InitUnitAdd('"&amp;B120&amp;"',"&amp;BK120&amp;","&amp;BL120&amp;","&amp;BM120&amp;","&amp;BN120&amp;","&amp;BO120&amp;","&amp;BP120&amp;","&amp;BQ120&amp;","&amp;BR120&amp;","&amp;BS120&amp;","&amp;BT120&amp;")"</f>
        <v>InitUnitAdd('IS02',,,,,,,,,,)</v>
      </c>
      <c r="CR120" s="7" t="str">
        <f t="shared" ref="CR120:CR121" si="2014"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InitEquipData('IS02',,"",,,,,'','','','','','',"ReplaceableTextures\\CommandButtons\\BTNTome.blp")</v>
      </c>
      <c r="CU120" s="45" t="str">
        <f t="shared" ref="CU120:CU124" si="2015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29" t="str">
        <f t="shared" ref="CV120:CV124" si="2016">T120</f>
        <v>抽技能B</v>
      </c>
      <c r="CW120" s="24"/>
      <c r="CX120" s="24"/>
      <c r="CY120" s="24"/>
      <c r="CZ120" s="24"/>
      <c r="DA120" s="24"/>
      <c r="DB120" s="30" t="str">
        <f t="shared" ref="DB120:DB124" si="2017">IF(V120="","","|n"&amp;DB$2&amp;"+"&amp;V120&amp;DB$1)</f>
        <v/>
      </c>
      <c r="DC120" s="30" t="str">
        <f t="shared" ref="DC120:DC124" si="2018">IF(W120="","","|n"&amp;DC$2&amp;"+"&amp;W120&amp;DC$1)</f>
        <v/>
      </c>
      <c r="DD120" s="30" t="str">
        <f t="shared" ref="DD120:DD124" si="2019">IF(X120="","","|n"&amp;DD$2&amp;"+"&amp;X120&amp;DD$1)</f>
        <v/>
      </c>
      <c r="DE120" s="30" t="str">
        <f t="shared" ref="DE120:DE124" si="2020">IF(Y120="","","|n"&amp;DE$2&amp;"+"&amp;Y120&amp;DE$1)</f>
        <v/>
      </c>
      <c r="DF120" s="30" t="str">
        <f t="shared" ref="DF120:DF124" si="2021">IF(Z120="","","|n"&amp;DF$2&amp;"+"&amp;Z120&amp;DF$1)</f>
        <v/>
      </c>
      <c r="DG120" s="30" t="str">
        <f t="shared" ref="DG120:DG124" si="2022">IF(AA120="","","|n"&amp;DG$2&amp;"+"&amp;AA120&amp;DG$1)</f>
        <v/>
      </c>
      <c r="DH120" s="30" t="str">
        <f t="shared" ref="DH120:DH124" si="2023">IF(AB120="","","|n"&amp;DH$2&amp;"+"&amp;AB120&amp;DH$1)</f>
        <v/>
      </c>
      <c r="DI120" s="30" t="str">
        <f t="shared" ref="DI120:DI124" si="2024">IF(AC120="","","|n"&amp;DI$2&amp;"+"&amp;AC120&amp;DI$1)</f>
        <v/>
      </c>
      <c r="DJ120" s="30" t="str">
        <f t="shared" ref="DJ120:DJ124" si="2025">IF(AD120="","","|n"&amp;DJ$2&amp;"+"&amp;AD120&amp;DJ$1)</f>
        <v/>
      </c>
      <c r="DK120" s="30" t="str">
        <f t="shared" ref="DK120:DK124" si="2026">IF(AE120="","","|n"&amp;DK$2&amp;"+"&amp;AE120&amp;DK$1)</f>
        <v/>
      </c>
      <c r="DL120" s="30" t="str">
        <f t="shared" ref="DL120:DL124" si="2027">IF(AF120="","","|n"&amp;DL$2&amp;"+"&amp;AF120&amp;DL$1)</f>
        <v/>
      </c>
      <c r="DM120" s="30" t="str">
        <f t="shared" ref="DM120:DM124" si="2028">IF(AG120="","","|n"&amp;DM$2&amp;"+"&amp;AG120&amp;DM$1)</f>
        <v/>
      </c>
      <c r="DN120" s="30" t="str">
        <f t="shared" ref="DN120:DN124" si="2029">IF(AH120="","","|n"&amp;DN$2&amp;"+"&amp;AH120&amp;DN$1)</f>
        <v/>
      </c>
      <c r="DO120" s="30" t="str">
        <f t="shared" ref="DO120:DO124" si="2030">IF(AI120="","","|n"&amp;DO$2&amp;"+"&amp;AI120&amp;DO$1)</f>
        <v/>
      </c>
      <c r="DP120" s="30" t="str">
        <f t="shared" ref="DP120:DP124" si="2031">IF(AJ120="","","|n"&amp;DP$2&amp;"+"&amp;AJ120&amp;DP$1)</f>
        <v/>
      </c>
      <c r="DQ120" s="30" t="str">
        <f t="shared" ref="DQ120:DQ124" si="2032">IF(AK120="","","|n"&amp;DQ$2&amp;"+"&amp;AK120&amp;DQ$1)</f>
        <v/>
      </c>
      <c r="DR120" s="30" t="str">
        <f t="shared" ref="DR120:DR124" si="2033">IF(AL120="","","|n"&amp;DR$2&amp;"+"&amp;AL120&amp;DR$1)</f>
        <v/>
      </c>
      <c r="DS120" s="30" t="str">
        <f t="shared" ref="DS120:DS124" si="2034">IF(AM120="","","|n"&amp;DS$2&amp;"+"&amp;AM120&amp;DS$1)</f>
        <v/>
      </c>
      <c r="DT120" s="30" t="str">
        <f t="shared" ref="DT120:DT124" si="2035">IF(AN120="","","|n"&amp;DT$2&amp;"+"&amp;AN120&amp;DT$1)</f>
        <v/>
      </c>
      <c r="DU120" s="30" t="str">
        <f t="shared" ref="DU120:DU124" si="2036">IF(AO120="","","|n"&amp;DU$2&amp;"+"&amp;AO120&amp;DU$1)</f>
        <v/>
      </c>
      <c r="DV120" s="30" t="str">
        <f t="shared" ref="DV120:DV124" si="2037">IF(AP120="","","|n"&amp;DV$2&amp;"+"&amp;AP120&amp;DV$1)</f>
        <v/>
      </c>
      <c r="DW120" s="30" t="str">
        <f t="shared" ref="DW120:DW124" si="2038">IF(AQ120="","","|n"&amp;DW$2&amp;"+"&amp;AQ120&amp;DW$1)</f>
        <v/>
      </c>
      <c r="DX120" s="30" t="str">
        <f t="shared" ref="DX120:DX124" si="2039">IF(AR120="","","|n"&amp;DX$2&amp;"+"&amp;AR120&amp;DX$1)</f>
        <v/>
      </c>
      <c r="DY120" s="30" t="str">
        <f t="shared" ref="DY120:DY124" si="2040">IF(AS120="","","|n"&amp;DY$2&amp;"+"&amp;AS120&amp;DY$1)</f>
        <v/>
      </c>
      <c r="DZ120" s="30" t="str">
        <f t="shared" ref="DZ120:DZ124" si="2041">IF(AT120="","","|n"&amp;DZ$2&amp;"+"&amp;AT120&amp;DZ$1)</f>
        <v/>
      </c>
      <c r="EA120" s="30" t="str">
        <f t="shared" ref="EA120:EA124" si="2042">IF(AU120="","","|n"&amp;EA$2&amp;"+"&amp;AU120&amp;EA$1)</f>
        <v/>
      </c>
      <c r="EB120" s="30" t="str">
        <f t="shared" ref="EB120:EB124" si="2043">IF(AV120="","","|n"&amp;EB$2&amp;"+"&amp;AV120&amp;EB$1)</f>
        <v/>
      </c>
      <c r="EC120" s="30" t="str">
        <f t="shared" ref="EC120:EC124" si="2044">IF(AW120="","","|n"&amp;EC$2&amp;"+"&amp;AW120&amp;EC$1)</f>
        <v/>
      </c>
      <c r="ED120" s="30" t="str">
        <f t="shared" ref="ED120:ED124" si="2045">IF(AX120="","","|n"&amp;ED$2&amp;"+"&amp;AX120&amp;ED$1)</f>
        <v/>
      </c>
      <c r="EE120" s="30" t="str">
        <f t="shared" ref="EE120:EE124" si="2046">IF(AY120="","","|n"&amp;EE$2&amp;"+"&amp;AY120&amp;EE$1)</f>
        <v/>
      </c>
      <c r="EF120" s="30" t="str">
        <f t="shared" ref="EF120:EF124" si="2047">IF(AZ120="","","|n"&amp;EF$2&amp;"+"&amp;AZ120&amp;EF$1)</f>
        <v/>
      </c>
      <c r="EG120" s="30" t="str">
        <f t="shared" ref="EG120:EG124" si="2048">IF(BA120="","","|n"&amp;EG$2&amp;"+"&amp;BA120&amp;EG$1)</f>
        <v/>
      </c>
      <c r="EH120" s="30" t="str">
        <f t="shared" ref="EH120:EH124" si="2049">IF(BB120="","","|n"&amp;EH$2&amp;"+"&amp;BB120&amp;EH$1)</f>
        <v/>
      </c>
      <c r="EI120" s="30" t="str">
        <f t="shared" ref="EI120:EI124" si="2050">IF(BC120="","","|n"&amp;EI$2&amp;"+"&amp;BC120&amp;EI$1)</f>
        <v/>
      </c>
      <c r="EJ120" s="30" t="str">
        <f t="shared" ref="EJ120:EJ124" si="2051">IF(BD120="","","|n"&amp;EJ$2&amp;"+"&amp;BD120&amp;EJ$1)</f>
        <v/>
      </c>
      <c r="EK120" s="30" t="str">
        <f t="shared" ref="EK120:EK124" si="2052">IF(BE120="","","|n"&amp;EK$2&amp;"+"&amp;BE120&amp;EK$1)</f>
        <v/>
      </c>
      <c r="EL120" s="30" t="str">
        <f t="shared" ref="EL120:EL124" si="2053">IF(BF120="","","|n"&amp;EL$2&amp;"+"&amp;BF120&amp;EL$1)</f>
        <v/>
      </c>
      <c r="EM120" s="30" t="str">
        <f t="shared" ref="EM120:EM124" si="2054">IF(BG120="","","|n"&amp;EM$2&amp;"+"&amp;BG120&amp;EM$1)</f>
        <v/>
      </c>
      <c r="EN120" s="30" t="str">
        <f t="shared" ref="EN120:EN124" si="2055">IF(BH120="","","|n"&amp;EN$2&amp;"+"&amp;BH120&amp;EN$1)</f>
        <v/>
      </c>
      <c r="EO120" s="30" t="str">
        <f t="shared" ref="EO120:EO124" si="2056">IF(BI120="","","|n"&amp;EO$2&amp;"+"&amp;BI120&amp;EO$1)</f>
        <v/>
      </c>
      <c r="EP120" s="30" t="str">
        <f t="shared" ref="EP120:EP124" si="2057">IF(BJ120="","","|n"&amp;EP$2&amp;"+"&amp;BJ120&amp;EP$1)</f>
        <v/>
      </c>
      <c r="EQ120" s="30" t="str">
        <f t="shared" ref="EQ120:EQ124" si="2058">IF(BK120="","","|n"&amp;EQ$2&amp;"+"&amp;BK120&amp;EQ$1)</f>
        <v/>
      </c>
      <c r="ER120" s="30" t="str">
        <f t="shared" ref="ER120:ER124" si="2059">IF(BL120="","","|n"&amp;ER$2&amp;"+"&amp;BL120&amp;ER$1)</f>
        <v/>
      </c>
      <c r="ES120" s="30" t="str">
        <f t="shared" ref="ES120:ES124" si="2060">IF(BM120="","","|n"&amp;ES$2&amp;"+"&amp;BM120&amp;ES$1)</f>
        <v/>
      </c>
      <c r="ET120" s="30" t="str">
        <f t="shared" ref="ET120:ET124" si="2061">IF(BN120="","","|n"&amp;ET$2&amp;"+"&amp;BN120&amp;ET$1)</f>
        <v/>
      </c>
      <c r="EU120" s="30" t="str">
        <f t="shared" ref="EU120:EU124" si="2062">IF(BO120="","","|n"&amp;EU$2&amp;"+"&amp;BO120&amp;EU$1)</f>
        <v/>
      </c>
      <c r="EV120" s="30" t="str">
        <f t="shared" ref="EV120:EV124" si="2063">IF(BP120="","","|n"&amp;EV$2&amp;"+"&amp;BP120&amp;EV$1)</f>
        <v/>
      </c>
      <c r="EW120" s="30" t="str">
        <f t="shared" ref="EW120:EW124" si="2064">IF(BQ120="","","|n"&amp;EW$2&amp;"+"&amp;BQ120&amp;EW$1)</f>
        <v/>
      </c>
      <c r="EX120" s="30" t="str">
        <f t="shared" ref="EX120:EX124" si="2065">IF(BR120="","","|n"&amp;EX$2&amp;"+"&amp;BR120&amp;EX$1)</f>
        <v/>
      </c>
      <c r="EY120" s="30" t="str">
        <f t="shared" ref="EY120:EY124" si="2066">IF(BS120="","","|n"&amp;EY$2&amp;"+"&amp;BS120&amp;EY$1)</f>
        <v/>
      </c>
      <c r="EZ120" s="30" t="str">
        <f t="shared" ref="EZ120:EZ124" si="2067">IF(BT120="","","|n"&amp;EZ$2&amp;"+"&amp;BT120&amp;EZ$1)</f>
        <v/>
      </c>
      <c r="FA120" s="30" t="str">
        <f t="shared" ref="FA120:FA124" si="2068">IF(BU120="","","|n"&amp;FA$2&amp;"+"&amp;BU120&amp;FA$1)</f>
        <v/>
      </c>
      <c r="FB120" s="30" t="str">
        <f t="shared" ref="FB120:FB124" si="2069">IF(BV120="","","|n"&amp;FB$2&amp;"+"&amp;BV120&amp;FB$1)</f>
        <v/>
      </c>
      <c r="FC120" s="30" t="str">
        <f t="shared" ref="FC120:FC124" si="2070">IF(BW120="","","|n"&amp;FC$2&amp;"+"&amp;BW120&amp;FC$1)</f>
        <v/>
      </c>
      <c r="FD120" s="30" t="str">
        <f t="shared" ref="FD120:FD124" si="2071">IF(BX120="","","|n"&amp;FD$2&amp;"+"&amp;BX120&amp;FD$1)</f>
        <v/>
      </c>
      <c r="FE120" s="30" t="str">
        <f t="shared" ref="FE120:FE124" si="2072">IF(BY120="","","|n"&amp;FE$2&amp;"+"&amp;BY120&amp;FE$1)</f>
        <v/>
      </c>
      <c r="FF120" s="30" t="str">
        <f t="shared" ref="FF120:FF124" si="2073">IF(BZ120="","","|n"&amp;FF$2&amp;"+"&amp;BZ120&amp;FF$1)</f>
        <v/>
      </c>
      <c r="FG120" s="30" t="str">
        <f t="shared" ref="FG120:FG124" si="2074">IF(CA120="","","|n"&amp;FG$2&amp;"+"&amp;CA120&amp;FG$1)</f>
        <v/>
      </c>
      <c r="FH120" s="30" t="str">
        <f t="shared" ref="FH120:FH124" si="2075">IF(CB120="","","|n"&amp;FH$2&amp;"+"&amp;CB120&amp;FH$1)</f>
        <v/>
      </c>
      <c r="FI120" s="30" t="str">
        <f t="shared" ref="FI120:FI124" si="2076">IF(CC120="","","|n"&amp;FI$2&amp;"+"&amp;CC120&amp;FI$1)</f>
        <v/>
      </c>
      <c r="FJ120" s="30" t="str">
        <f t="shared" ref="FJ120:FJ124" si="2077">IF(CD120="","","|n"&amp;FJ$2&amp;"+"&amp;CD120&amp;FJ$1)</f>
        <v/>
      </c>
      <c r="FK120" s="30" t="str">
        <f t="shared" ref="FK120:FK124" si="2078">IF(CE120="","","|n"&amp;FK$2&amp;"+"&amp;CE120&amp;FK$1)</f>
        <v/>
      </c>
      <c r="FL120" s="30" t="str">
        <f t="shared" ref="FL120:FL124" si="2079">IF(CF120="","","|n"&amp;FL$2&amp;"+"&amp;CF120&amp;FL$1)</f>
        <v/>
      </c>
      <c r="FM120" s="30" t="str">
        <f t="shared" ref="FM120:FM124" si="2080">IF(CG120="","","|n"&amp;FM$2&amp;"+"&amp;CG120&amp;FM$1)</f>
        <v/>
      </c>
      <c r="FN120" s="30" t="str">
        <f t="shared" ref="FN120:FN124" si="2081">IF(CH120="","","|n"&amp;FN$2&amp;"+"&amp;CH120&amp;FN$1)</f>
        <v/>
      </c>
      <c r="FO120" s="30" t="str">
        <f t="shared" ref="FO120:FO124" si="2082">IF(CI120="","","|n"&amp;FO$2&amp;"+"&amp;CI120&amp;FO$1)</f>
        <v/>
      </c>
      <c r="FP120" s="30" t="str">
        <f t="shared" ref="FP120:FP124" si="2083">IF(CJ120="","","|n"&amp;FP$2&amp;"+"&amp;CJ120&amp;FP$1)</f>
        <v/>
      </c>
      <c r="FQ120" s="30" t="str">
        <f t="shared" ref="FQ120:FQ124" si="2084">IF(CK120="","","|n"&amp;FQ$2&amp;"+"&amp;CK120&amp;FQ$1)</f>
        <v/>
      </c>
      <c r="FR120" s="30" t="str">
        <f t="shared" ref="FR120:FR124" si="2085">IF(CL120="","","|n"&amp;FR$2&amp;"+"&amp;CL120&amp;FR$1)</f>
        <v/>
      </c>
      <c r="FS120" s="30" t="str">
        <f t="shared" ref="FS120:FS124" si="2086">IF(CM120="","","|n"&amp;FS$2&amp;"+"&amp;CM120&amp;FS$1)</f>
        <v/>
      </c>
    </row>
    <row r="121" spans="1:175" ht="16.5">
      <c r="A121" s="117"/>
      <c r="B121" s="111" t="s">
        <v>885</v>
      </c>
      <c r="C121" s="117" t="s">
        <v>889</v>
      </c>
      <c r="T121" s="117" t="s">
        <v>889</v>
      </c>
      <c r="U121" s="37" t="s">
        <v>822</v>
      </c>
      <c r="CN121" s="7" t="str">
        <f t="shared" si="2010"/>
        <v>InitUnitState('IS03',,,,,,,,,,)</v>
      </c>
      <c r="CO121" s="7" t="str">
        <f t="shared" si="2011"/>
        <v>InitUnitNormal('IS03',,,,,,,,,,)</v>
      </c>
      <c r="CP121" s="7" t="str">
        <f t="shared" si="2012"/>
        <v>InitUnitMagic('IS03',,,,,,,,,,)</v>
      </c>
      <c r="CQ121" s="7" t="str">
        <f t="shared" si="2013"/>
        <v>InitUnitAdd('IS03',,,,,,,,,,)</v>
      </c>
      <c r="CR121" s="7" t="str">
        <f t="shared" si="2014"/>
        <v>InitEquipData('IS03',,"",,,,,'','','','','','',"ReplaceableTextures\\CommandButtons\\BTNTome.blp")</v>
      </c>
      <c r="CU121" s="45" t="str">
        <f t="shared" si="2015"/>
        <v>|n</v>
      </c>
      <c r="CV121" s="29" t="str">
        <f t="shared" si="2016"/>
        <v>抽技能A</v>
      </c>
      <c r="CW121" s="24"/>
      <c r="CX121" s="24"/>
      <c r="CY121" s="24"/>
      <c r="CZ121" s="24"/>
      <c r="DA121" s="24"/>
      <c r="DB121" s="30" t="str">
        <f t="shared" si="2017"/>
        <v/>
      </c>
      <c r="DC121" s="30" t="str">
        <f t="shared" si="2018"/>
        <v/>
      </c>
      <c r="DD121" s="30" t="str">
        <f t="shared" si="2019"/>
        <v/>
      </c>
      <c r="DE121" s="30" t="str">
        <f t="shared" si="2020"/>
        <v/>
      </c>
      <c r="DF121" s="30" t="str">
        <f t="shared" si="2021"/>
        <v/>
      </c>
      <c r="DG121" s="30" t="str">
        <f t="shared" si="2022"/>
        <v/>
      </c>
      <c r="DH121" s="30" t="str">
        <f t="shared" si="2023"/>
        <v/>
      </c>
      <c r="DI121" s="30" t="str">
        <f t="shared" si="2024"/>
        <v/>
      </c>
      <c r="DJ121" s="30" t="str">
        <f t="shared" si="2025"/>
        <v/>
      </c>
      <c r="DK121" s="30" t="str">
        <f t="shared" si="2026"/>
        <v/>
      </c>
      <c r="DL121" s="30" t="str">
        <f t="shared" si="2027"/>
        <v/>
      </c>
      <c r="DM121" s="30" t="str">
        <f t="shared" si="2028"/>
        <v/>
      </c>
      <c r="DN121" s="30" t="str">
        <f t="shared" si="2029"/>
        <v/>
      </c>
      <c r="DO121" s="30" t="str">
        <f t="shared" si="2030"/>
        <v/>
      </c>
      <c r="DP121" s="30" t="str">
        <f t="shared" si="2031"/>
        <v/>
      </c>
      <c r="DQ121" s="30" t="str">
        <f t="shared" si="2032"/>
        <v/>
      </c>
      <c r="DR121" s="30" t="str">
        <f t="shared" si="2033"/>
        <v/>
      </c>
      <c r="DS121" s="30" t="str">
        <f t="shared" si="2034"/>
        <v/>
      </c>
      <c r="DT121" s="30" t="str">
        <f t="shared" si="2035"/>
        <v/>
      </c>
      <c r="DU121" s="30" t="str">
        <f t="shared" si="2036"/>
        <v/>
      </c>
      <c r="DV121" s="30" t="str">
        <f t="shared" si="2037"/>
        <v/>
      </c>
      <c r="DW121" s="30" t="str">
        <f t="shared" si="2038"/>
        <v/>
      </c>
      <c r="DX121" s="30" t="str">
        <f t="shared" si="2039"/>
        <v/>
      </c>
      <c r="DY121" s="30" t="str">
        <f t="shared" si="2040"/>
        <v/>
      </c>
      <c r="DZ121" s="30" t="str">
        <f t="shared" si="2041"/>
        <v/>
      </c>
      <c r="EA121" s="30" t="str">
        <f t="shared" si="2042"/>
        <v/>
      </c>
      <c r="EB121" s="30" t="str">
        <f t="shared" si="2043"/>
        <v/>
      </c>
      <c r="EC121" s="30" t="str">
        <f t="shared" si="2044"/>
        <v/>
      </c>
      <c r="ED121" s="30" t="str">
        <f t="shared" si="2045"/>
        <v/>
      </c>
      <c r="EE121" s="30" t="str">
        <f t="shared" si="2046"/>
        <v/>
      </c>
      <c r="EF121" s="30" t="str">
        <f t="shared" si="2047"/>
        <v/>
      </c>
      <c r="EG121" s="30" t="str">
        <f t="shared" si="2048"/>
        <v/>
      </c>
      <c r="EH121" s="30" t="str">
        <f t="shared" si="2049"/>
        <v/>
      </c>
      <c r="EI121" s="30" t="str">
        <f t="shared" si="2050"/>
        <v/>
      </c>
      <c r="EJ121" s="30" t="str">
        <f t="shared" si="2051"/>
        <v/>
      </c>
      <c r="EK121" s="30" t="str">
        <f t="shared" si="2052"/>
        <v/>
      </c>
      <c r="EL121" s="30" t="str">
        <f t="shared" si="2053"/>
        <v/>
      </c>
      <c r="EM121" s="30" t="str">
        <f t="shared" si="2054"/>
        <v/>
      </c>
      <c r="EN121" s="30" t="str">
        <f t="shared" si="2055"/>
        <v/>
      </c>
      <c r="EO121" s="30" t="str">
        <f t="shared" si="2056"/>
        <v/>
      </c>
      <c r="EP121" s="30" t="str">
        <f t="shared" si="2057"/>
        <v/>
      </c>
      <c r="EQ121" s="30" t="str">
        <f t="shared" si="2058"/>
        <v/>
      </c>
      <c r="ER121" s="30" t="str">
        <f t="shared" si="2059"/>
        <v/>
      </c>
      <c r="ES121" s="30" t="str">
        <f t="shared" si="2060"/>
        <v/>
      </c>
      <c r="ET121" s="30" t="str">
        <f t="shared" si="2061"/>
        <v/>
      </c>
      <c r="EU121" s="30" t="str">
        <f t="shared" si="2062"/>
        <v/>
      </c>
      <c r="EV121" s="30" t="str">
        <f t="shared" si="2063"/>
        <v/>
      </c>
      <c r="EW121" s="30" t="str">
        <f t="shared" si="2064"/>
        <v/>
      </c>
      <c r="EX121" s="30" t="str">
        <f t="shared" si="2065"/>
        <v/>
      </c>
      <c r="EY121" s="30" t="str">
        <f t="shared" si="2066"/>
        <v/>
      </c>
      <c r="EZ121" s="30" t="str">
        <f t="shared" si="2067"/>
        <v/>
      </c>
      <c r="FA121" s="30" t="str">
        <f t="shared" si="2068"/>
        <v/>
      </c>
      <c r="FB121" s="30" t="str">
        <f t="shared" si="2069"/>
        <v/>
      </c>
      <c r="FC121" s="30" t="str">
        <f t="shared" si="2070"/>
        <v/>
      </c>
      <c r="FD121" s="30" t="str">
        <f t="shared" si="2071"/>
        <v/>
      </c>
      <c r="FE121" s="30" t="str">
        <f t="shared" si="2072"/>
        <v/>
      </c>
      <c r="FF121" s="30" t="str">
        <f t="shared" si="2073"/>
        <v/>
      </c>
      <c r="FG121" s="30" t="str">
        <f t="shared" si="2074"/>
        <v/>
      </c>
      <c r="FH121" s="30" t="str">
        <f t="shared" si="2075"/>
        <v/>
      </c>
      <c r="FI121" s="30" t="str">
        <f t="shared" si="2076"/>
        <v/>
      </c>
      <c r="FJ121" s="30" t="str">
        <f t="shared" si="2077"/>
        <v/>
      </c>
      <c r="FK121" s="30" t="str">
        <f t="shared" si="2078"/>
        <v/>
      </c>
      <c r="FL121" s="30" t="str">
        <f t="shared" si="2079"/>
        <v/>
      </c>
      <c r="FM121" s="30" t="str">
        <f t="shared" si="2080"/>
        <v/>
      </c>
      <c r="FN121" s="30" t="str">
        <f t="shared" si="2081"/>
        <v/>
      </c>
      <c r="FO121" s="30" t="str">
        <f t="shared" si="2082"/>
        <v/>
      </c>
      <c r="FP121" s="30" t="str">
        <f t="shared" si="2083"/>
        <v/>
      </c>
      <c r="FQ121" s="30" t="str">
        <f t="shared" si="2084"/>
        <v/>
      </c>
      <c r="FR121" s="30" t="str">
        <f t="shared" si="2085"/>
        <v/>
      </c>
      <c r="FS121" s="30" t="str">
        <f t="shared" si="2086"/>
        <v/>
      </c>
    </row>
    <row r="122" spans="1:175" ht="16.5">
      <c r="A122" s="117"/>
      <c r="B122" s="111" t="s">
        <v>886</v>
      </c>
      <c r="C122" s="117" t="s">
        <v>890</v>
      </c>
      <c r="T122" s="117" t="s">
        <v>890</v>
      </c>
      <c r="U122" s="37" t="s">
        <v>822</v>
      </c>
      <c r="CN122" s="7" t="str">
        <f t="shared" si="2010"/>
        <v>InitUnitState('IS04',,,,,,,,,,)</v>
      </c>
      <c r="CO122" s="7" t="str">
        <f t="shared" si="2011"/>
        <v>InitUnitNormal('IS04',,,,,,,,,,)</v>
      </c>
      <c r="CP122" s="7" t="str">
        <f t="shared" si="2012"/>
        <v>InitUnitMagic('IS04',,,,,,,,,,)</v>
      </c>
      <c r="CQ122" s="7" t="str">
        <f t="shared" si="2013"/>
        <v>InitUnitAdd('IS04',,,,,,,,,,)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124&amp;CR$1&amp;")"</f>
        <v>InitEquipData('IS04',,"",,,,,'','','','','','',"ReplaceableTextures\\CommandButtons\\BTNTome.blp")</v>
      </c>
      <c r="CU122" s="45" t="str">
        <f t="shared" si="2015"/>
        <v>|n</v>
      </c>
      <c r="CV122" s="29" t="str">
        <f t="shared" si="2016"/>
        <v>抽技能S</v>
      </c>
      <c r="CW122" s="24"/>
      <c r="CX122" s="24"/>
      <c r="CY122" s="24"/>
      <c r="CZ122" s="24"/>
      <c r="DA122" s="24"/>
      <c r="DB122" s="30" t="str">
        <f t="shared" si="2017"/>
        <v/>
      </c>
      <c r="DC122" s="30" t="str">
        <f t="shared" si="2018"/>
        <v/>
      </c>
      <c r="DD122" s="30" t="str">
        <f t="shared" si="2019"/>
        <v/>
      </c>
      <c r="DE122" s="30" t="str">
        <f t="shared" si="2020"/>
        <v/>
      </c>
      <c r="DF122" s="30" t="str">
        <f t="shared" si="2021"/>
        <v/>
      </c>
      <c r="DG122" s="30" t="str">
        <f t="shared" si="2022"/>
        <v/>
      </c>
      <c r="DH122" s="30" t="str">
        <f t="shared" si="2023"/>
        <v/>
      </c>
      <c r="DI122" s="30" t="str">
        <f t="shared" si="2024"/>
        <v/>
      </c>
      <c r="DJ122" s="30" t="str">
        <f t="shared" si="2025"/>
        <v/>
      </c>
      <c r="DK122" s="30" t="str">
        <f t="shared" si="2026"/>
        <v/>
      </c>
      <c r="DL122" s="30" t="str">
        <f t="shared" si="2027"/>
        <v/>
      </c>
      <c r="DM122" s="30" t="str">
        <f t="shared" si="2028"/>
        <v/>
      </c>
      <c r="DN122" s="30" t="str">
        <f t="shared" si="2029"/>
        <v/>
      </c>
      <c r="DO122" s="30" t="str">
        <f t="shared" si="2030"/>
        <v/>
      </c>
      <c r="DP122" s="30" t="str">
        <f t="shared" si="2031"/>
        <v/>
      </c>
      <c r="DQ122" s="30" t="str">
        <f t="shared" si="2032"/>
        <v/>
      </c>
      <c r="DR122" s="30" t="str">
        <f t="shared" si="2033"/>
        <v/>
      </c>
      <c r="DS122" s="30" t="str">
        <f t="shared" si="2034"/>
        <v/>
      </c>
      <c r="DT122" s="30" t="str">
        <f t="shared" si="2035"/>
        <v/>
      </c>
      <c r="DU122" s="30" t="str">
        <f t="shared" si="2036"/>
        <v/>
      </c>
      <c r="DV122" s="30" t="str">
        <f t="shared" si="2037"/>
        <v/>
      </c>
      <c r="DW122" s="30" t="str">
        <f t="shared" si="2038"/>
        <v/>
      </c>
      <c r="DX122" s="30" t="str">
        <f t="shared" si="2039"/>
        <v/>
      </c>
      <c r="DY122" s="30" t="str">
        <f t="shared" si="2040"/>
        <v/>
      </c>
      <c r="DZ122" s="30" t="str">
        <f t="shared" si="2041"/>
        <v/>
      </c>
      <c r="EA122" s="30" t="str">
        <f t="shared" si="2042"/>
        <v/>
      </c>
      <c r="EB122" s="30" t="str">
        <f t="shared" si="2043"/>
        <v/>
      </c>
      <c r="EC122" s="30" t="str">
        <f t="shared" si="2044"/>
        <v/>
      </c>
      <c r="ED122" s="30" t="str">
        <f t="shared" si="2045"/>
        <v/>
      </c>
      <c r="EE122" s="30" t="str">
        <f t="shared" si="2046"/>
        <v/>
      </c>
      <c r="EF122" s="30" t="str">
        <f t="shared" si="2047"/>
        <v/>
      </c>
      <c r="EG122" s="30" t="str">
        <f t="shared" si="2048"/>
        <v/>
      </c>
      <c r="EH122" s="30" t="str">
        <f t="shared" si="2049"/>
        <v/>
      </c>
      <c r="EI122" s="30" t="str">
        <f t="shared" si="2050"/>
        <v/>
      </c>
      <c r="EJ122" s="30" t="str">
        <f t="shared" si="2051"/>
        <v/>
      </c>
      <c r="EK122" s="30" t="str">
        <f t="shared" si="2052"/>
        <v/>
      </c>
      <c r="EL122" s="30" t="str">
        <f t="shared" si="2053"/>
        <v/>
      </c>
      <c r="EM122" s="30" t="str">
        <f t="shared" si="2054"/>
        <v/>
      </c>
      <c r="EN122" s="30" t="str">
        <f t="shared" si="2055"/>
        <v/>
      </c>
      <c r="EO122" s="30" t="str">
        <f t="shared" si="2056"/>
        <v/>
      </c>
      <c r="EP122" s="30" t="str">
        <f t="shared" si="2057"/>
        <v/>
      </c>
      <c r="EQ122" s="30" t="str">
        <f t="shared" si="2058"/>
        <v/>
      </c>
      <c r="ER122" s="30" t="str">
        <f t="shared" si="2059"/>
        <v/>
      </c>
      <c r="ES122" s="30" t="str">
        <f t="shared" si="2060"/>
        <v/>
      </c>
      <c r="ET122" s="30" t="str">
        <f t="shared" si="2061"/>
        <v/>
      </c>
      <c r="EU122" s="30" t="str">
        <f t="shared" si="2062"/>
        <v/>
      </c>
      <c r="EV122" s="30" t="str">
        <f t="shared" si="2063"/>
        <v/>
      </c>
      <c r="EW122" s="30" t="str">
        <f t="shared" si="2064"/>
        <v/>
      </c>
      <c r="EX122" s="30" t="str">
        <f t="shared" si="2065"/>
        <v/>
      </c>
      <c r="EY122" s="30" t="str">
        <f t="shared" si="2066"/>
        <v/>
      </c>
      <c r="EZ122" s="30" t="str">
        <f t="shared" si="2067"/>
        <v/>
      </c>
      <c r="FA122" s="30" t="str">
        <f t="shared" si="2068"/>
        <v/>
      </c>
      <c r="FB122" s="30" t="str">
        <f t="shared" si="2069"/>
        <v/>
      </c>
      <c r="FC122" s="30" t="str">
        <f t="shared" si="2070"/>
        <v/>
      </c>
      <c r="FD122" s="30" t="str">
        <f t="shared" si="2071"/>
        <v/>
      </c>
      <c r="FE122" s="30" t="str">
        <f t="shared" si="2072"/>
        <v/>
      </c>
      <c r="FF122" s="30" t="str">
        <f t="shared" si="2073"/>
        <v/>
      </c>
      <c r="FG122" s="30" t="str">
        <f t="shared" si="2074"/>
        <v/>
      </c>
      <c r="FH122" s="30" t="str">
        <f t="shared" si="2075"/>
        <v/>
      </c>
      <c r="FI122" s="30" t="str">
        <f t="shared" si="2076"/>
        <v/>
      </c>
      <c r="FJ122" s="30" t="str">
        <f t="shared" si="2077"/>
        <v/>
      </c>
      <c r="FK122" s="30" t="str">
        <f t="shared" si="2078"/>
        <v/>
      </c>
      <c r="FL122" s="30" t="str">
        <f t="shared" si="2079"/>
        <v/>
      </c>
      <c r="FM122" s="30" t="str">
        <f t="shared" si="2080"/>
        <v/>
      </c>
      <c r="FN122" s="30" t="str">
        <f t="shared" si="2081"/>
        <v/>
      </c>
      <c r="FO122" s="30" t="str">
        <f t="shared" si="2082"/>
        <v/>
      </c>
      <c r="FP122" s="30" t="str">
        <f t="shared" si="2083"/>
        <v/>
      </c>
      <c r="FQ122" s="30" t="str">
        <f t="shared" si="2084"/>
        <v/>
      </c>
      <c r="FR122" s="30" t="str">
        <f t="shared" si="2085"/>
        <v/>
      </c>
      <c r="FS122" s="30" t="str">
        <f t="shared" si="2086"/>
        <v/>
      </c>
    </row>
    <row r="123" spans="1:175" ht="16.5">
      <c r="A123" s="117"/>
      <c r="B123" s="111" t="s">
        <v>940</v>
      </c>
      <c r="C123" s="117" t="s">
        <v>941</v>
      </c>
      <c r="T123" s="117" t="s">
        <v>942</v>
      </c>
      <c r="U123" s="37" t="s">
        <v>822</v>
      </c>
      <c r="CN123" s="7" t="str">
        <f t="shared" ref="CN123" si="2087">"InitUnitState('"&amp;B123&amp;"',"&amp;V123&amp;","&amp;W123&amp;","&amp;X123&amp;","&amp;Y123&amp;","&amp;Z123&amp;","&amp;AA123&amp;","&amp;AB123&amp;","&amp;AC123&amp;","&amp;AD123&amp;","&amp;AE123&amp;")"</f>
        <v>InitUnitState('IS11',,,,,,,,,,)</v>
      </c>
      <c r="CO123" s="7" t="str">
        <f t="shared" ref="CO123" si="2088">"InitUnitNormal('"&amp;B123&amp;"',"&amp;AF123&amp;","&amp;AG123&amp;","&amp;AH123&amp;","&amp;AI123&amp;","&amp;AJ123&amp;","&amp;AK123&amp;","&amp;AL123&amp;","&amp;AM123&amp;","&amp;AN123&amp;","&amp;AO123&amp;")"</f>
        <v>InitUnitNormal('IS11',,,,,,,,,,)</v>
      </c>
      <c r="CP123" s="7" t="str">
        <f t="shared" ref="CP123" si="2089">"InitUnitMagic('"&amp;B123&amp;"',"&amp;AP123&amp;","&amp;AQ123&amp;","&amp;AR123&amp;","&amp;AS123&amp;","&amp;AT123&amp;","&amp;AU123&amp;","&amp;AV123&amp;","&amp;AW123&amp;","&amp;BI123&amp;","&amp;BJ123&amp;")"</f>
        <v>InitUnitMagic('IS11',,,,,,,,,,)</v>
      </c>
      <c r="CQ123" s="7" t="str">
        <f t="shared" ref="CQ123" si="2090">"InitUnitAdd('"&amp;B123&amp;"',"&amp;BK123&amp;","&amp;BL123&amp;","&amp;BM123&amp;","&amp;BN123&amp;","&amp;BO123&amp;","&amp;BP123&amp;","&amp;BQ123&amp;","&amp;BR123&amp;","&amp;BS123&amp;","&amp;BT123&amp;")"</f>
        <v>InitUnitAdd('IS11',,,,,,,,,,)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125&amp;CR$1&amp;")"</f>
        <v>InitEquipData('IS11',,"",,,,,'','','','','','',"ReplaceableTextures\\CommandButtons\\BTNTome.blp")</v>
      </c>
      <c r="CU123" s="45" t="str">
        <f t="shared" ref="CU123" si="20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" si="2092">T123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23" s="24"/>
      <c r="CX123" s="24"/>
      <c r="CY123" s="24"/>
      <c r="CZ123" s="24"/>
      <c r="DA123" s="24"/>
      <c r="DB123" s="30" t="str">
        <f t="shared" ref="DB123" si="2093">IF(V123="","","|n"&amp;DB$2&amp;"+"&amp;V123&amp;DB$1)</f>
        <v/>
      </c>
      <c r="DC123" s="30" t="str">
        <f t="shared" ref="DC123" si="2094">IF(W123="","","|n"&amp;DC$2&amp;"+"&amp;W123&amp;DC$1)</f>
        <v/>
      </c>
      <c r="DD123" s="30" t="str">
        <f t="shared" ref="DD123" si="2095">IF(X123="","","|n"&amp;DD$2&amp;"+"&amp;X123&amp;DD$1)</f>
        <v/>
      </c>
      <c r="DE123" s="30" t="str">
        <f t="shared" ref="DE123" si="2096">IF(Y123="","","|n"&amp;DE$2&amp;"+"&amp;Y123&amp;DE$1)</f>
        <v/>
      </c>
      <c r="DF123" s="30" t="str">
        <f t="shared" ref="DF123" si="2097">IF(Z123="","","|n"&amp;DF$2&amp;"+"&amp;Z123&amp;DF$1)</f>
        <v/>
      </c>
      <c r="DG123" s="30" t="str">
        <f t="shared" ref="DG123" si="2098">IF(AA123="","","|n"&amp;DG$2&amp;"+"&amp;AA123&amp;DG$1)</f>
        <v/>
      </c>
      <c r="DH123" s="30" t="str">
        <f t="shared" ref="DH123" si="2099">IF(AB123="","","|n"&amp;DH$2&amp;"+"&amp;AB123&amp;DH$1)</f>
        <v/>
      </c>
      <c r="DI123" s="30" t="str">
        <f t="shared" ref="DI123" si="2100">IF(AC123="","","|n"&amp;DI$2&amp;"+"&amp;AC123&amp;DI$1)</f>
        <v/>
      </c>
      <c r="DJ123" s="30" t="str">
        <f t="shared" ref="DJ123" si="2101">IF(AD123="","","|n"&amp;DJ$2&amp;"+"&amp;AD123&amp;DJ$1)</f>
        <v/>
      </c>
      <c r="DK123" s="30" t="str">
        <f t="shared" ref="DK123" si="2102">IF(AE123="","","|n"&amp;DK$2&amp;"+"&amp;AE123&amp;DK$1)</f>
        <v/>
      </c>
      <c r="DL123" s="30" t="str">
        <f t="shared" ref="DL123" si="2103">IF(AF123="","","|n"&amp;DL$2&amp;"+"&amp;AF123&amp;DL$1)</f>
        <v/>
      </c>
      <c r="DM123" s="30" t="str">
        <f t="shared" ref="DM123" si="2104">IF(AG123="","","|n"&amp;DM$2&amp;"+"&amp;AG123&amp;DM$1)</f>
        <v/>
      </c>
      <c r="DN123" s="30" t="str">
        <f t="shared" ref="DN123" si="2105">IF(AH123="","","|n"&amp;DN$2&amp;"+"&amp;AH123&amp;DN$1)</f>
        <v/>
      </c>
      <c r="DO123" s="30" t="str">
        <f t="shared" ref="DO123" si="2106">IF(AI123="","","|n"&amp;DO$2&amp;"+"&amp;AI123&amp;DO$1)</f>
        <v/>
      </c>
      <c r="DP123" s="30" t="str">
        <f t="shared" ref="DP123" si="2107">IF(AJ123="","","|n"&amp;DP$2&amp;"+"&amp;AJ123&amp;DP$1)</f>
        <v/>
      </c>
      <c r="DQ123" s="30" t="str">
        <f t="shared" ref="DQ123" si="2108">IF(AK123="","","|n"&amp;DQ$2&amp;"+"&amp;AK123&amp;DQ$1)</f>
        <v/>
      </c>
      <c r="DR123" s="30" t="str">
        <f t="shared" ref="DR123" si="2109">IF(AL123="","","|n"&amp;DR$2&amp;"+"&amp;AL123&amp;DR$1)</f>
        <v/>
      </c>
      <c r="DS123" s="30" t="str">
        <f t="shared" ref="DS123" si="2110">IF(AM123="","","|n"&amp;DS$2&amp;"+"&amp;AM123&amp;DS$1)</f>
        <v/>
      </c>
      <c r="DT123" s="30" t="str">
        <f t="shared" ref="DT123" si="2111">IF(AN123="","","|n"&amp;DT$2&amp;"+"&amp;AN123&amp;DT$1)</f>
        <v/>
      </c>
      <c r="DU123" s="30" t="str">
        <f t="shared" ref="DU123" si="2112">IF(AO123="","","|n"&amp;DU$2&amp;"+"&amp;AO123&amp;DU$1)</f>
        <v/>
      </c>
      <c r="DV123" s="30" t="str">
        <f t="shared" ref="DV123" si="2113">IF(AP123="","","|n"&amp;DV$2&amp;"+"&amp;AP123&amp;DV$1)</f>
        <v/>
      </c>
      <c r="DW123" s="30" t="str">
        <f t="shared" ref="DW123" si="2114">IF(AQ123="","","|n"&amp;DW$2&amp;"+"&amp;AQ123&amp;DW$1)</f>
        <v/>
      </c>
      <c r="DX123" s="30" t="str">
        <f t="shared" ref="DX123" si="2115">IF(AR123="","","|n"&amp;DX$2&amp;"+"&amp;AR123&amp;DX$1)</f>
        <v/>
      </c>
      <c r="DY123" s="30" t="str">
        <f t="shared" ref="DY123" si="2116">IF(AS123="","","|n"&amp;DY$2&amp;"+"&amp;AS123&amp;DY$1)</f>
        <v/>
      </c>
      <c r="DZ123" s="30" t="str">
        <f t="shared" ref="DZ123" si="2117">IF(AT123="","","|n"&amp;DZ$2&amp;"+"&amp;AT123&amp;DZ$1)</f>
        <v/>
      </c>
      <c r="EA123" s="30" t="str">
        <f t="shared" ref="EA123" si="2118">IF(AU123="","","|n"&amp;EA$2&amp;"+"&amp;AU123&amp;EA$1)</f>
        <v/>
      </c>
      <c r="EB123" s="30" t="str">
        <f t="shared" ref="EB123" si="2119">IF(AV123="","","|n"&amp;EB$2&amp;"+"&amp;AV123&amp;EB$1)</f>
        <v/>
      </c>
      <c r="EC123" s="30" t="str">
        <f t="shared" ref="EC123" si="2120">IF(AW123="","","|n"&amp;EC$2&amp;"+"&amp;AW123&amp;EC$1)</f>
        <v/>
      </c>
      <c r="ED123" s="30" t="str">
        <f t="shared" ref="ED123" si="2121">IF(AX123="","","|n"&amp;ED$2&amp;"+"&amp;AX123&amp;ED$1)</f>
        <v/>
      </c>
      <c r="EE123" s="30" t="str">
        <f t="shared" ref="EE123" si="2122">IF(AY123="","","|n"&amp;EE$2&amp;"+"&amp;AY123&amp;EE$1)</f>
        <v/>
      </c>
      <c r="EF123" s="30" t="str">
        <f t="shared" ref="EF123" si="2123">IF(AZ123="","","|n"&amp;EF$2&amp;"+"&amp;AZ123&amp;EF$1)</f>
        <v/>
      </c>
      <c r="EG123" s="30" t="str">
        <f t="shared" ref="EG123" si="2124">IF(BA123="","","|n"&amp;EG$2&amp;"+"&amp;BA123&amp;EG$1)</f>
        <v/>
      </c>
      <c r="EH123" s="30" t="str">
        <f t="shared" ref="EH123" si="2125">IF(BB123="","","|n"&amp;EH$2&amp;"+"&amp;BB123&amp;EH$1)</f>
        <v/>
      </c>
      <c r="EI123" s="30" t="str">
        <f t="shared" ref="EI123" si="2126">IF(BC123="","","|n"&amp;EI$2&amp;"+"&amp;BC123&amp;EI$1)</f>
        <v/>
      </c>
      <c r="EJ123" s="30" t="str">
        <f t="shared" ref="EJ123" si="2127">IF(BD123="","","|n"&amp;EJ$2&amp;"+"&amp;BD123&amp;EJ$1)</f>
        <v/>
      </c>
      <c r="EK123" s="30" t="str">
        <f t="shared" ref="EK123" si="2128">IF(BE123="","","|n"&amp;EK$2&amp;"+"&amp;BE123&amp;EK$1)</f>
        <v/>
      </c>
      <c r="EL123" s="30" t="str">
        <f t="shared" ref="EL123" si="2129">IF(BF123="","","|n"&amp;EL$2&amp;"+"&amp;BF123&amp;EL$1)</f>
        <v/>
      </c>
      <c r="EM123" s="30" t="str">
        <f t="shared" ref="EM123" si="2130">IF(BG123="","","|n"&amp;EM$2&amp;"+"&amp;BG123&amp;EM$1)</f>
        <v/>
      </c>
      <c r="EN123" s="30" t="str">
        <f t="shared" ref="EN123" si="2131">IF(BH123="","","|n"&amp;EN$2&amp;"+"&amp;BH123&amp;EN$1)</f>
        <v/>
      </c>
      <c r="EO123" s="30" t="str">
        <f t="shared" ref="EO123" si="2132">IF(BI123="","","|n"&amp;EO$2&amp;"+"&amp;BI123&amp;EO$1)</f>
        <v/>
      </c>
      <c r="EP123" s="30" t="str">
        <f t="shared" ref="EP123" si="2133">IF(BJ123="","","|n"&amp;EP$2&amp;"+"&amp;BJ123&amp;EP$1)</f>
        <v/>
      </c>
      <c r="EQ123" s="30" t="str">
        <f t="shared" ref="EQ123" si="2134">IF(BK123="","","|n"&amp;EQ$2&amp;"+"&amp;BK123&amp;EQ$1)</f>
        <v/>
      </c>
      <c r="ER123" s="30" t="str">
        <f t="shared" ref="ER123" si="2135">IF(BL123="","","|n"&amp;ER$2&amp;"+"&amp;BL123&amp;ER$1)</f>
        <v/>
      </c>
      <c r="ES123" s="30" t="str">
        <f t="shared" ref="ES123" si="2136">IF(BM123="","","|n"&amp;ES$2&amp;"+"&amp;BM123&amp;ES$1)</f>
        <v/>
      </c>
      <c r="ET123" s="30" t="str">
        <f t="shared" ref="ET123" si="2137">IF(BN123="","","|n"&amp;ET$2&amp;"+"&amp;BN123&amp;ET$1)</f>
        <v/>
      </c>
      <c r="EU123" s="30" t="str">
        <f t="shared" ref="EU123" si="2138">IF(BO123="","","|n"&amp;EU$2&amp;"+"&amp;BO123&amp;EU$1)</f>
        <v/>
      </c>
      <c r="EV123" s="30" t="str">
        <f t="shared" ref="EV123" si="2139">IF(BP123="","","|n"&amp;EV$2&amp;"+"&amp;BP123&amp;EV$1)</f>
        <v/>
      </c>
      <c r="EW123" s="30" t="str">
        <f t="shared" ref="EW123" si="2140">IF(BQ123="","","|n"&amp;EW$2&amp;"+"&amp;BQ123&amp;EW$1)</f>
        <v/>
      </c>
      <c r="EX123" s="30" t="str">
        <f t="shared" ref="EX123" si="2141">IF(BR123="","","|n"&amp;EX$2&amp;"+"&amp;BR123&amp;EX$1)</f>
        <v/>
      </c>
      <c r="EY123" s="30" t="str">
        <f t="shared" ref="EY123" si="2142">IF(BS123="","","|n"&amp;EY$2&amp;"+"&amp;BS123&amp;EY$1)</f>
        <v/>
      </c>
      <c r="EZ123" s="30" t="str">
        <f t="shared" ref="EZ123" si="2143">IF(BT123="","","|n"&amp;EZ$2&amp;"+"&amp;BT123&amp;EZ$1)</f>
        <v/>
      </c>
      <c r="FA123" s="30" t="str">
        <f t="shared" ref="FA123" si="2144">IF(BU123="","","|n"&amp;FA$2&amp;"+"&amp;BU123&amp;FA$1)</f>
        <v/>
      </c>
      <c r="FB123" s="30" t="str">
        <f t="shared" ref="FB123" si="2145">IF(BV123="","","|n"&amp;FB$2&amp;"+"&amp;BV123&amp;FB$1)</f>
        <v/>
      </c>
      <c r="FC123" s="30" t="str">
        <f t="shared" ref="FC123" si="2146">IF(BW123="","","|n"&amp;FC$2&amp;"+"&amp;BW123&amp;FC$1)</f>
        <v/>
      </c>
      <c r="FD123" s="30" t="str">
        <f t="shared" ref="FD123" si="2147">IF(BX123="","","|n"&amp;FD$2&amp;"+"&amp;BX123&amp;FD$1)</f>
        <v/>
      </c>
      <c r="FE123" s="30" t="str">
        <f t="shared" ref="FE123" si="2148">IF(BY123="","","|n"&amp;FE$2&amp;"+"&amp;BY123&amp;FE$1)</f>
        <v/>
      </c>
      <c r="FF123" s="30" t="str">
        <f t="shared" ref="FF123" si="2149">IF(BZ123="","","|n"&amp;FF$2&amp;"+"&amp;BZ123&amp;FF$1)</f>
        <v/>
      </c>
      <c r="FG123" s="30" t="str">
        <f t="shared" ref="FG123" si="2150">IF(CA123="","","|n"&amp;FG$2&amp;"+"&amp;CA123&amp;FG$1)</f>
        <v/>
      </c>
      <c r="FH123" s="30" t="str">
        <f t="shared" ref="FH123" si="2151">IF(CB123="","","|n"&amp;FH$2&amp;"+"&amp;CB123&amp;FH$1)</f>
        <v/>
      </c>
      <c r="FI123" s="30" t="str">
        <f t="shared" ref="FI123" si="2152">IF(CC123="","","|n"&amp;FI$2&amp;"+"&amp;CC123&amp;FI$1)</f>
        <v/>
      </c>
      <c r="FJ123" s="30" t="str">
        <f t="shared" ref="FJ123" si="2153">IF(CD123="","","|n"&amp;FJ$2&amp;"+"&amp;CD123&amp;FJ$1)</f>
        <v/>
      </c>
      <c r="FK123" s="30" t="str">
        <f t="shared" ref="FK123" si="2154">IF(CE123="","","|n"&amp;FK$2&amp;"+"&amp;CE123&amp;FK$1)</f>
        <v/>
      </c>
      <c r="FL123" s="30" t="str">
        <f t="shared" ref="FL123" si="2155">IF(CF123="","","|n"&amp;FL$2&amp;"+"&amp;CF123&amp;FL$1)</f>
        <v/>
      </c>
      <c r="FM123" s="30" t="str">
        <f t="shared" ref="FM123" si="2156">IF(CG123="","","|n"&amp;FM$2&amp;"+"&amp;CG123&amp;FM$1)</f>
        <v/>
      </c>
      <c r="FN123" s="30" t="str">
        <f t="shared" ref="FN123" si="2157">IF(CH123="","","|n"&amp;FN$2&amp;"+"&amp;CH123&amp;FN$1)</f>
        <v/>
      </c>
      <c r="FO123" s="30" t="str">
        <f t="shared" ref="FO123" si="2158">IF(CI123="","","|n"&amp;FO$2&amp;"+"&amp;CI123&amp;FO$1)</f>
        <v/>
      </c>
      <c r="FP123" s="30" t="str">
        <f t="shared" ref="FP123" si="2159">IF(CJ123="","","|n"&amp;FP$2&amp;"+"&amp;CJ123&amp;FP$1)</f>
        <v/>
      </c>
      <c r="FQ123" s="30" t="str">
        <f t="shared" ref="FQ123" si="2160">IF(CK123="","","|n"&amp;FQ$2&amp;"+"&amp;CK123&amp;FQ$1)</f>
        <v/>
      </c>
      <c r="FR123" s="30" t="str">
        <f t="shared" ref="FR123" si="2161">IF(CL123="","","|n"&amp;FR$2&amp;"+"&amp;CL123&amp;FR$1)</f>
        <v/>
      </c>
      <c r="FS123" s="30" t="str">
        <f t="shared" ref="FS123" si="2162">IF(CM123="","","|n"&amp;FS$2&amp;"+"&amp;CM123&amp;FS$1)</f>
        <v/>
      </c>
    </row>
    <row r="124" spans="1:175" ht="16.5">
      <c r="A124" s="117"/>
      <c r="B124" s="111" t="s">
        <v>891</v>
      </c>
      <c r="C124" s="117" t="s">
        <v>892</v>
      </c>
      <c r="T124" s="117" t="s">
        <v>892</v>
      </c>
      <c r="U124" s="37" t="s">
        <v>822</v>
      </c>
      <c r="CN124" s="7" t="str">
        <f t="shared" si="2010"/>
        <v>InitUnitState('IH00',,,,,,,,,,)</v>
      </c>
      <c r="CO124" s="7" t="str">
        <f t="shared" si="2011"/>
        <v>InitUnitNormal('IH00',,,,,,,,,,)</v>
      </c>
      <c r="CP124" s="7" t="str">
        <f t="shared" si="2012"/>
        <v>InitUnitMagic('IH00',,,,,,,,,,)</v>
      </c>
      <c r="CQ124" s="7" t="str">
        <f t="shared" si="2013"/>
        <v>InitUnitAdd('IH00',,,,,,,,,,)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InitEquipData('IH00',,"",,,,,'','','','','','',"ReplaceableTextures\\CommandButtons\\BTNTome.blp")</v>
      </c>
      <c r="CU124" s="45" t="str">
        <f t="shared" si="2015"/>
        <v>|n</v>
      </c>
      <c r="CV124" s="29" t="str">
        <f t="shared" si="2016"/>
        <v>觉醒兽魂</v>
      </c>
      <c r="CW124" s="24"/>
      <c r="CX124" s="24"/>
      <c r="CY124" s="24"/>
      <c r="CZ124" s="24"/>
      <c r="DA124" s="24"/>
      <c r="DB124" s="30" t="str">
        <f t="shared" si="2017"/>
        <v/>
      </c>
      <c r="DC124" s="30" t="str">
        <f t="shared" si="2018"/>
        <v/>
      </c>
      <c r="DD124" s="30" t="str">
        <f t="shared" si="2019"/>
        <v/>
      </c>
      <c r="DE124" s="30" t="str">
        <f t="shared" si="2020"/>
        <v/>
      </c>
      <c r="DF124" s="30" t="str">
        <f t="shared" si="2021"/>
        <v/>
      </c>
      <c r="DG124" s="30" t="str">
        <f t="shared" si="2022"/>
        <v/>
      </c>
      <c r="DH124" s="30" t="str">
        <f t="shared" si="2023"/>
        <v/>
      </c>
      <c r="DI124" s="30" t="str">
        <f t="shared" si="2024"/>
        <v/>
      </c>
      <c r="DJ124" s="30" t="str">
        <f t="shared" si="2025"/>
        <v/>
      </c>
      <c r="DK124" s="30" t="str">
        <f t="shared" si="2026"/>
        <v/>
      </c>
      <c r="DL124" s="30" t="str">
        <f t="shared" si="2027"/>
        <v/>
      </c>
      <c r="DM124" s="30" t="str">
        <f t="shared" si="2028"/>
        <v/>
      </c>
      <c r="DN124" s="30" t="str">
        <f t="shared" si="2029"/>
        <v/>
      </c>
      <c r="DO124" s="30" t="str">
        <f t="shared" si="2030"/>
        <v/>
      </c>
      <c r="DP124" s="30" t="str">
        <f t="shared" si="2031"/>
        <v/>
      </c>
      <c r="DQ124" s="30" t="str">
        <f t="shared" si="2032"/>
        <v/>
      </c>
      <c r="DR124" s="30" t="str">
        <f t="shared" si="2033"/>
        <v/>
      </c>
      <c r="DS124" s="30" t="str">
        <f t="shared" si="2034"/>
        <v/>
      </c>
      <c r="DT124" s="30" t="str">
        <f t="shared" si="2035"/>
        <v/>
      </c>
      <c r="DU124" s="30" t="str">
        <f t="shared" si="2036"/>
        <v/>
      </c>
      <c r="DV124" s="30" t="str">
        <f t="shared" si="2037"/>
        <v/>
      </c>
      <c r="DW124" s="30" t="str">
        <f t="shared" si="2038"/>
        <v/>
      </c>
      <c r="DX124" s="30" t="str">
        <f t="shared" si="2039"/>
        <v/>
      </c>
      <c r="DY124" s="30" t="str">
        <f t="shared" si="2040"/>
        <v/>
      </c>
      <c r="DZ124" s="30" t="str">
        <f t="shared" si="2041"/>
        <v/>
      </c>
      <c r="EA124" s="30" t="str">
        <f t="shared" si="2042"/>
        <v/>
      </c>
      <c r="EB124" s="30" t="str">
        <f t="shared" si="2043"/>
        <v/>
      </c>
      <c r="EC124" s="30" t="str">
        <f t="shared" si="2044"/>
        <v/>
      </c>
      <c r="ED124" s="30" t="str">
        <f t="shared" si="2045"/>
        <v/>
      </c>
      <c r="EE124" s="30" t="str">
        <f t="shared" si="2046"/>
        <v/>
      </c>
      <c r="EF124" s="30" t="str">
        <f t="shared" si="2047"/>
        <v/>
      </c>
      <c r="EG124" s="30" t="str">
        <f t="shared" si="2048"/>
        <v/>
      </c>
      <c r="EH124" s="30" t="str">
        <f t="shared" si="2049"/>
        <v/>
      </c>
      <c r="EI124" s="30" t="str">
        <f t="shared" si="2050"/>
        <v/>
      </c>
      <c r="EJ124" s="30" t="str">
        <f t="shared" si="2051"/>
        <v/>
      </c>
      <c r="EK124" s="30" t="str">
        <f t="shared" si="2052"/>
        <v/>
      </c>
      <c r="EL124" s="30" t="str">
        <f t="shared" si="2053"/>
        <v/>
      </c>
      <c r="EM124" s="30" t="str">
        <f t="shared" si="2054"/>
        <v/>
      </c>
      <c r="EN124" s="30" t="str">
        <f t="shared" si="2055"/>
        <v/>
      </c>
      <c r="EO124" s="30" t="str">
        <f t="shared" si="2056"/>
        <v/>
      </c>
      <c r="EP124" s="30" t="str">
        <f t="shared" si="2057"/>
        <v/>
      </c>
      <c r="EQ124" s="30" t="str">
        <f t="shared" si="2058"/>
        <v/>
      </c>
      <c r="ER124" s="30" t="str">
        <f t="shared" si="2059"/>
        <v/>
      </c>
      <c r="ES124" s="30" t="str">
        <f t="shared" si="2060"/>
        <v/>
      </c>
      <c r="ET124" s="30" t="str">
        <f t="shared" si="2061"/>
        <v/>
      </c>
      <c r="EU124" s="30" t="str">
        <f t="shared" si="2062"/>
        <v/>
      </c>
      <c r="EV124" s="30" t="str">
        <f t="shared" si="2063"/>
        <v/>
      </c>
      <c r="EW124" s="30" t="str">
        <f t="shared" si="2064"/>
        <v/>
      </c>
      <c r="EX124" s="30" t="str">
        <f t="shared" si="2065"/>
        <v/>
      </c>
      <c r="EY124" s="30" t="str">
        <f t="shared" si="2066"/>
        <v/>
      </c>
      <c r="EZ124" s="30" t="str">
        <f t="shared" si="2067"/>
        <v/>
      </c>
      <c r="FA124" s="30" t="str">
        <f t="shared" si="2068"/>
        <v/>
      </c>
      <c r="FB124" s="30" t="str">
        <f t="shared" si="2069"/>
        <v/>
      </c>
      <c r="FC124" s="30" t="str">
        <f t="shared" si="2070"/>
        <v/>
      </c>
      <c r="FD124" s="30" t="str">
        <f t="shared" si="2071"/>
        <v/>
      </c>
      <c r="FE124" s="30" t="str">
        <f t="shared" si="2072"/>
        <v/>
      </c>
      <c r="FF124" s="30" t="str">
        <f t="shared" si="2073"/>
        <v/>
      </c>
      <c r="FG124" s="30" t="str">
        <f t="shared" si="2074"/>
        <v/>
      </c>
      <c r="FH124" s="30" t="str">
        <f t="shared" si="2075"/>
        <v/>
      </c>
      <c r="FI124" s="30" t="str">
        <f t="shared" si="2076"/>
        <v/>
      </c>
      <c r="FJ124" s="30" t="str">
        <f t="shared" si="2077"/>
        <v/>
      </c>
      <c r="FK124" s="30" t="str">
        <f t="shared" si="2078"/>
        <v/>
      </c>
      <c r="FL124" s="30" t="str">
        <f t="shared" si="2079"/>
        <v/>
      </c>
      <c r="FM124" s="30" t="str">
        <f t="shared" si="2080"/>
        <v/>
      </c>
      <c r="FN124" s="30" t="str">
        <f t="shared" si="2081"/>
        <v/>
      </c>
      <c r="FO124" s="30" t="str">
        <f t="shared" si="2082"/>
        <v/>
      </c>
      <c r="FP124" s="30" t="str">
        <f t="shared" si="2083"/>
        <v/>
      </c>
      <c r="FQ124" s="30" t="str">
        <f t="shared" si="2084"/>
        <v/>
      </c>
      <c r="FR124" s="30" t="str">
        <f t="shared" si="2085"/>
        <v/>
      </c>
      <c r="FS124" s="30" t="str">
        <f t="shared" si="2086"/>
        <v/>
      </c>
    </row>
    <row r="125" spans="1:175" ht="16.5">
      <c r="A125" s="117"/>
      <c r="B125" s="111" t="s">
        <v>893</v>
      </c>
      <c r="C125" s="117" t="s">
        <v>894</v>
      </c>
      <c r="T125" s="117" t="s">
        <v>892</v>
      </c>
      <c r="U125" s="37" t="s">
        <v>822</v>
      </c>
      <c r="CN125" s="7" t="str">
        <f t="shared" ref="CN125" si="2163">"InitUnitState('"&amp;B125&amp;"',"&amp;V125&amp;","&amp;W125&amp;","&amp;X125&amp;","&amp;Y125&amp;","&amp;Z125&amp;","&amp;AA125&amp;","&amp;AB125&amp;","&amp;AC125&amp;","&amp;AD125&amp;","&amp;AE125&amp;")"</f>
        <v>InitUnitState('IH01',,,,,,,,,,)</v>
      </c>
      <c r="CO125" s="7" t="str">
        <f t="shared" ref="CO125" si="2164">"InitUnitNormal('"&amp;B125&amp;"',"&amp;AF125&amp;","&amp;AG125&amp;","&amp;AH125&amp;","&amp;AI125&amp;","&amp;AJ125&amp;","&amp;AK125&amp;","&amp;AL125&amp;","&amp;AM125&amp;","&amp;AN125&amp;","&amp;AO125&amp;")"</f>
        <v>InitUnitNormal('IH01',,,,,,,,,,)</v>
      </c>
      <c r="CP125" s="7" t="str">
        <f t="shared" ref="CP125" si="2165">"InitUnitMagic('"&amp;B125&amp;"',"&amp;AP125&amp;","&amp;AQ125&amp;","&amp;AR125&amp;","&amp;AS125&amp;","&amp;AT125&amp;","&amp;AU125&amp;","&amp;AV125&amp;","&amp;AW125&amp;","&amp;BI125&amp;","&amp;BJ125&amp;")"</f>
        <v>InitUnitMagic('IH01',,,,,,,,,,)</v>
      </c>
      <c r="CQ125" s="7" t="str">
        <f t="shared" ref="CQ125" si="2166">"InitUnitAdd('"&amp;B125&amp;"',"&amp;BK125&amp;","&amp;BL125&amp;","&amp;BM125&amp;","&amp;BN125&amp;","&amp;BO125&amp;","&amp;BP125&amp;","&amp;BQ125&amp;","&amp;BR125&amp;","&amp;BS125&amp;","&amp;BT125&amp;")"</f>
        <v>InitUnitAdd('IH01',,,,,,,,,,)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InitEquipData('IH01',,"",,,,,'','','','','','',"ReplaceableTextures\\CommandButtons\\BTNTome.blp")</v>
      </c>
      <c r="CU125" s="45" t="str">
        <f t="shared" ref="CU125" si="21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2168">T125</f>
        <v>觉醒兽魂</v>
      </c>
      <c r="CW125" s="24"/>
      <c r="CX125" s="24"/>
      <c r="CY125" s="24"/>
      <c r="CZ125" s="24"/>
      <c r="DA125" s="24"/>
      <c r="DB125" s="30" t="str">
        <f t="shared" ref="DB125" si="2169">IF(V125="","","|n"&amp;DB$2&amp;"+"&amp;V125&amp;DB$1)</f>
        <v/>
      </c>
      <c r="DC125" s="30" t="str">
        <f t="shared" ref="DC125" si="2170">IF(W125="","","|n"&amp;DC$2&amp;"+"&amp;W125&amp;DC$1)</f>
        <v/>
      </c>
      <c r="DD125" s="30" t="str">
        <f t="shared" ref="DD125" si="2171">IF(X125="","","|n"&amp;DD$2&amp;"+"&amp;X125&amp;DD$1)</f>
        <v/>
      </c>
      <c r="DE125" s="30" t="str">
        <f t="shared" ref="DE125" si="2172">IF(Y125="","","|n"&amp;DE$2&amp;"+"&amp;Y125&amp;DE$1)</f>
        <v/>
      </c>
      <c r="DF125" s="30" t="str">
        <f t="shared" ref="DF125" si="2173">IF(Z125="","","|n"&amp;DF$2&amp;"+"&amp;Z125&amp;DF$1)</f>
        <v/>
      </c>
      <c r="DG125" s="30" t="str">
        <f t="shared" ref="DG125" si="2174">IF(AA125="","","|n"&amp;DG$2&amp;"+"&amp;AA125&amp;DG$1)</f>
        <v/>
      </c>
      <c r="DH125" s="30" t="str">
        <f t="shared" ref="DH125" si="2175">IF(AB125="","","|n"&amp;DH$2&amp;"+"&amp;AB125&amp;DH$1)</f>
        <v/>
      </c>
      <c r="DI125" s="30" t="str">
        <f t="shared" ref="DI125" si="2176">IF(AC125="","","|n"&amp;DI$2&amp;"+"&amp;AC125&amp;DI$1)</f>
        <v/>
      </c>
      <c r="DJ125" s="30" t="str">
        <f t="shared" ref="DJ125" si="2177">IF(AD125="","","|n"&amp;DJ$2&amp;"+"&amp;AD125&amp;DJ$1)</f>
        <v/>
      </c>
      <c r="DK125" s="30" t="str">
        <f t="shared" ref="DK125" si="2178">IF(AE125="","","|n"&amp;DK$2&amp;"+"&amp;AE125&amp;DK$1)</f>
        <v/>
      </c>
      <c r="DL125" s="30" t="str">
        <f t="shared" ref="DL125" si="2179">IF(AF125="","","|n"&amp;DL$2&amp;"+"&amp;AF125&amp;DL$1)</f>
        <v/>
      </c>
      <c r="DM125" s="30" t="str">
        <f t="shared" ref="DM125" si="2180">IF(AG125="","","|n"&amp;DM$2&amp;"+"&amp;AG125&amp;DM$1)</f>
        <v/>
      </c>
      <c r="DN125" s="30" t="str">
        <f t="shared" ref="DN125" si="2181">IF(AH125="","","|n"&amp;DN$2&amp;"+"&amp;AH125&amp;DN$1)</f>
        <v/>
      </c>
      <c r="DO125" s="30" t="str">
        <f t="shared" ref="DO125" si="2182">IF(AI125="","","|n"&amp;DO$2&amp;"+"&amp;AI125&amp;DO$1)</f>
        <v/>
      </c>
      <c r="DP125" s="30" t="str">
        <f t="shared" ref="DP125" si="2183">IF(AJ125="","","|n"&amp;DP$2&amp;"+"&amp;AJ125&amp;DP$1)</f>
        <v/>
      </c>
      <c r="DQ125" s="30" t="str">
        <f t="shared" ref="DQ125" si="2184">IF(AK125="","","|n"&amp;DQ$2&amp;"+"&amp;AK125&amp;DQ$1)</f>
        <v/>
      </c>
      <c r="DR125" s="30" t="str">
        <f t="shared" ref="DR125" si="2185">IF(AL125="","","|n"&amp;DR$2&amp;"+"&amp;AL125&amp;DR$1)</f>
        <v/>
      </c>
      <c r="DS125" s="30" t="str">
        <f t="shared" ref="DS125" si="2186">IF(AM125="","","|n"&amp;DS$2&amp;"+"&amp;AM125&amp;DS$1)</f>
        <v/>
      </c>
      <c r="DT125" s="30" t="str">
        <f t="shared" ref="DT125" si="2187">IF(AN125="","","|n"&amp;DT$2&amp;"+"&amp;AN125&amp;DT$1)</f>
        <v/>
      </c>
      <c r="DU125" s="30" t="str">
        <f t="shared" ref="DU125" si="2188">IF(AO125="","","|n"&amp;DU$2&amp;"+"&amp;AO125&amp;DU$1)</f>
        <v/>
      </c>
      <c r="DV125" s="30" t="str">
        <f t="shared" ref="DV125" si="2189">IF(AP125="","","|n"&amp;DV$2&amp;"+"&amp;AP125&amp;DV$1)</f>
        <v/>
      </c>
      <c r="DW125" s="30" t="str">
        <f t="shared" ref="DW125" si="2190">IF(AQ125="","","|n"&amp;DW$2&amp;"+"&amp;AQ125&amp;DW$1)</f>
        <v/>
      </c>
      <c r="DX125" s="30" t="str">
        <f t="shared" ref="DX125" si="2191">IF(AR125="","","|n"&amp;DX$2&amp;"+"&amp;AR125&amp;DX$1)</f>
        <v/>
      </c>
      <c r="DY125" s="30" t="str">
        <f t="shared" ref="DY125" si="2192">IF(AS125="","","|n"&amp;DY$2&amp;"+"&amp;AS125&amp;DY$1)</f>
        <v/>
      </c>
      <c r="DZ125" s="30" t="str">
        <f t="shared" ref="DZ125" si="2193">IF(AT125="","","|n"&amp;DZ$2&amp;"+"&amp;AT125&amp;DZ$1)</f>
        <v/>
      </c>
      <c r="EA125" s="30" t="str">
        <f t="shared" ref="EA125" si="2194">IF(AU125="","","|n"&amp;EA$2&amp;"+"&amp;AU125&amp;EA$1)</f>
        <v/>
      </c>
      <c r="EB125" s="30" t="str">
        <f t="shared" ref="EB125" si="2195">IF(AV125="","","|n"&amp;EB$2&amp;"+"&amp;AV125&amp;EB$1)</f>
        <v/>
      </c>
      <c r="EC125" s="30" t="str">
        <f t="shared" ref="EC125" si="2196">IF(AW125="","","|n"&amp;EC$2&amp;"+"&amp;AW125&amp;EC$1)</f>
        <v/>
      </c>
      <c r="ED125" s="30" t="str">
        <f t="shared" ref="ED125" si="2197">IF(AX125="","","|n"&amp;ED$2&amp;"+"&amp;AX125&amp;ED$1)</f>
        <v/>
      </c>
      <c r="EE125" s="30" t="str">
        <f t="shared" ref="EE125" si="2198">IF(AY125="","","|n"&amp;EE$2&amp;"+"&amp;AY125&amp;EE$1)</f>
        <v/>
      </c>
      <c r="EF125" s="30" t="str">
        <f t="shared" ref="EF125" si="2199">IF(AZ125="","","|n"&amp;EF$2&amp;"+"&amp;AZ125&amp;EF$1)</f>
        <v/>
      </c>
      <c r="EG125" s="30" t="str">
        <f t="shared" ref="EG125" si="2200">IF(BA125="","","|n"&amp;EG$2&amp;"+"&amp;BA125&amp;EG$1)</f>
        <v/>
      </c>
      <c r="EH125" s="30" t="str">
        <f t="shared" ref="EH125" si="2201">IF(BB125="","","|n"&amp;EH$2&amp;"+"&amp;BB125&amp;EH$1)</f>
        <v/>
      </c>
      <c r="EI125" s="30" t="str">
        <f t="shared" ref="EI125" si="2202">IF(BC125="","","|n"&amp;EI$2&amp;"+"&amp;BC125&amp;EI$1)</f>
        <v/>
      </c>
      <c r="EJ125" s="30" t="str">
        <f t="shared" ref="EJ125" si="2203">IF(BD125="","","|n"&amp;EJ$2&amp;"+"&amp;BD125&amp;EJ$1)</f>
        <v/>
      </c>
      <c r="EK125" s="30" t="str">
        <f t="shared" ref="EK125" si="2204">IF(BE125="","","|n"&amp;EK$2&amp;"+"&amp;BE125&amp;EK$1)</f>
        <v/>
      </c>
      <c r="EL125" s="30" t="str">
        <f t="shared" ref="EL125" si="2205">IF(BF125="","","|n"&amp;EL$2&amp;"+"&amp;BF125&amp;EL$1)</f>
        <v/>
      </c>
      <c r="EM125" s="30" t="str">
        <f t="shared" ref="EM125" si="2206">IF(BG125="","","|n"&amp;EM$2&amp;"+"&amp;BG125&amp;EM$1)</f>
        <v/>
      </c>
      <c r="EN125" s="30" t="str">
        <f t="shared" ref="EN125" si="2207">IF(BH125="","","|n"&amp;EN$2&amp;"+"&amp;BH125&amp;EN$1)</f>
        <v/>
      </c>
      <c r="EO125" s="30" t="str">
        <f t="shared" ref="EO125" si="2208">IF(BI125="","","|n"&amp;EO$2&amp;"+"&amp;BI125&amp;EO$1)</f>
        <v/>
      </c>
      <c r="EP125" s="30" t="str">
        <f t="shared" ref="EP125" si="2209">IF(BJ125="","","|n"&amp;EP$2&amp;"+"&amp;BJ125&amp;EP$1)</f>
        <v/>
      </c>
      <c r="EQ125" s="30" t="str">
        <f t="shared" ref="EQ125" si="2210">IF(BK125="","","|n"&amp;EQ$2&amp;"+"&amp;BK125&amp;EQ$1)</f>
        <v/>
      </c>
      <c r="ER125" s="30" t="str">
        <f t="shared" ref="ER125" si="2211">IF(BL125="","","|n"&amp;ER$2&amp;"+"&amp;BL125&amp;ER$1)</f>
        <v/>
      </c>
      <c r="ES125" s="30" t="str">
        <f t="shared" ref="ES125" si="2212">IF(BM125="","","|n"&amp;ES$2&amp;"+"&amp;BM125&amp;ES$1)</f>
        <v/>
      </c>
      <c r="ET125" s="30" t="str">
        <f t="shared" ref="ET125" si="2213">IF(BN125="","","|n"&amp;ET$2&amp;"+"&amp;BN125&amp;ET$1)</f>
        <v/>
      </c>
      <c r="EU125" s="30" t="str">
        <f t="shared" ref="EU125" si="2214">IF(BO125="","","|n"&amp;EU$2&amp;"+"&amp;BO125&amp;EU$1)</f>
        <v/>
      </c>
      <c r="EV125" s="30" t="str">
        <f t="shared" ref="EV125" si="2215">IF(BP125="","","|n"&amp;EV$2&amp;"+"&amp;BP125&amp;EV$1)</f>
        <v/>
      </c>
      <c r="EW125" s="30" t="str">
        <f t="shared" ref="EW125" si="2216">IF(BQ125="","","|n"&amp;EW$2&amp;"+"&amp;BQ125&amp;EW$1)</f>
        <v/>
      </c>
      <c r="EX125" s="30" t="str">
        <f t="shared" ref="EX125" si="2217">IF(BR125="","","|n"&amp;EX$2&amp;"+"&amp;BR125&amp;EX$1)</f>
        <v/>
      </c>
      <c r="EY125" s="30" t="str">
        <f t="shared" ref="EY125" si="2218">IF(BS125="","","|n"&amp;EY$2&amp;"+"&amp;BS125&amp;EY$1)</f>
        <v/>
      </c>
      <c r="EZ125" s="30" t="str">
        <f t="shared" ref="EZ125" si="2219">IF(BT125="","","|n"&amp;EZ$2&amp;"+"&amp;BT125&amp;EZ$1)</f>
        <v/>
      </c>
      <c r="FA125" s="30" t="str">
        <f t="shared" ref="FA125" si="2220">IF(BU125="","","|n"&amp;FA$2&amp;"+"&amp;BU125&amp;FA$1)</f>
        <v/>
      </c>
      <c r="FB125" s="30" t="str">
        <f t="shared" ref="FB125" si="2221">IF(BV125="","","|n"&amp;FB$2&amp;"+"&amp;BV125&amp;FB$1)</f>
        <v/>
      </c>
      <c r="FC125" s="30" t="str">
        <f t="shared" ref="FC125" si="2222">IF(BW125="","","|n"&amp;FC$2&amp;"+"&amp;BW125&amp;FC$1)</f>
        <v/>
      </c>
      <c r="FD125" s="30" t="str">
        <f t="shared" ref="FD125" si="2223">IF(BX125="","","|n"&amp;FD$2&amp;"+"&amp;BX125&amp;FD$1)</f>
        <v/>
      </c>
      <c r="FE125" s="30" t="str">
        <f t="shared" ref="FE125" si="2224">IF(BY125="","","|n"&amp;FE$2&amp;"+"&amp;BY125&amp;FE$1)</f>
        <v/>
      </c>
      <c r="FF125" s="30" t="str">
        <f t="shared" ref="FF125" si="2225">IF(BZ125="","","|n"&amp;FF$2&amp;"+"&amp;BZ125&amp;FF$1)</f>
        <v/>
      </c>
      <c r="FG125" s="30" t="str">
        <f t="shared" ref="FG125" si="2226">IF(CA125="","","|n"&amp;FG$2&amp;"+"&amp;CA125&amp;FG$1)</f>
        <v/>
      </c>
      <c r="FH125" s="30" t="str">
        <f t="shared" ref="FH125" si="2227">IF(CB125="","","|n"&amp;FH$2&amp;"+"&amp;CB125&amp;FH$1)</f>
        <v/>
      </c>
      <c r="FI125" s="30" t="str">
        <f t="shared" ref="FI125" si="2228">IF(CC125="","","|n"&amp;FI$2&amp;"+"&amp;CC125&amp;FI$1)</f>
        <v/>
      </c>
      <c r="FJ125" s="30" t="str">
        <f t="shared" ref="FJ125" si="2229">IF(CD125="","","|n"&amp;FJ$2&amp;"+"&amp;CD125&amp;FJ$1)</f>
        <v/>
      </c>
      <c r="FK125" s="30" t="str">
        <f t="shared" ref="FK125" si="2230">IF(CE125="","","|n"&amp;FK$2&amp;"+"&amp;CE125&amp;FK$1)</f>
        <v/>
      </c>
      <c r="FL125" s="30" t="str">
        <f t="shared" ref="FL125" si="2231">IF(CF125="","","|n"&amp;FL$2&amp;"+"&amp;CF125&amp;FL$1)</f>
        <v/>
      </c>
      <c r="FM125" s="30" t="str">
        <f t="shared" ref="FM125" si="2232">IF(CG125="","","|n"&amp;FM$2&amp;"+"&amp;CG125&amp;FM$1)</f>
        <v/>
      </c>
      <c r="FN125" s="30" t="str">
        <f t="shared" ref="FN125" si="2233">IF(CH125="","","|n"&amp;FN$2&amp;"+"&amp;CH125&amp;FN$1)</f>
        <v/>
      </c>
      <c r="FO125" s="30" t="str">
        <f t="shared" ref="FO125" si="2234">IF(CI125="","","|n"&amp;FO$2&amp;"+"&amp;CI125&amp;FO$1)</f>
        <v/>
      </c>
      <c r="FP125" s="30" t="str">
        <f t="shared" ref="FP125" si="2235">IF(CJ125="","","|n"&amp;FP$2&amp;"+"&amp;CJ125&amp;FP$1)</f>
        <v/>
      </c>
      <c r="FQ125" s="30" t="str">
        <f t="shared" ref="FQ125" si="2236">IF(CK125="","","|n"&amp;FQ$2&amp;"+"&amp;CK125&amp;FQ$1)</f>
        <v/>
      </c>
      <c r="FR125" s="30" t="str">
        <f t="shared" ref="FR125" si="2237">IF(CL125="","","|n"&amp;FR$2&amp;"+"&amp;CL125&amp;FR$1)</f>
        <v/>
      </c>
      <c r="FS125" s="30" t="str">
        <f t="shared" ref="FS125" si="2238">IF(CM125="","","|n"&amp;FS$2&amp;"+"&amp;CM125&amp;FS$1)</f>
        <v/>
      </c>
    </row>
    <row r="126" spans="1:175" ht="16.5">
      <c r="A126" s="117"/>
      <c r="B126" s="111" t="s">
        <v>895</v>
      </c>
      <c r="C126" s="117" t="s">
        <v>896</v>
      </c>
      <c r="T126" s="117" t="s">
        <v>892</v>
      </c>
      <c r="U126" s="37" t="s">
        <v>822</v>
      </c>
      <c r="CN126" s="7" t="str">
        <f t="shared" ref="CN126:CN132" si="2239">"InitUnitState('"&amp;B126&amp;"',"&amp;V126&amp;","&amp;W126&amp;","&amp;X126&amp;","&amp;Y126&amp;","&amp;Z126&amp;","&amp;AA126&amp;","&amp;AB126&amp;","&amp;AC126&amp;","&amp;AD126&amp;","&amp;AE126&amp;")"</f>
        <v>InitUnitState('IH02',,,,,,,,,,)</v>
      </c>
      <c r="CO126" s="7" t="str">
        <f t="shared" ref="CO126:CO132" si="2240">"InitUnitNormal('"&amp;B126&amp;"',"&amp;AF126&amp;","&amp;AG126&amp;","&amp;AH126&amp;","&amp;AI126&amp;","&amp;AJ126&amp;","&amp;AK126&amp;","&amp;AL126&amp;","&amp;AM126&amp;","&amp;AN126&amp;","&amp;AO126&amp;")"</f>
        <v>InitUnitNormal('IH02',,,,,,,,,,)</v>
      </c>
      <c r="CP126" s="7" t="str">
        <f t="shared" ref="CP126:CP132" si="2241">"InitUnitMagic('"&amp;B126&amp;"',"&amp;AP126&amp;","&amp;AQ126&amp;","&amp;AR126&amp;","&amp;AS126&amp;","&amp;AT126&amp;","&amp;AU126&amp;","&amp;AV126&amp;","&amp;AW126&amp;","&amp;BI126&amp;","&amp;BJ126&amp;")"</f>
        <v>InitUnitMagic('IH02',,,,,,,,,,)</v>
      </c>
      <c r="CQ126" s="7" t="str">
        <f t="shared" ref="CQ126:CQ132" si="2242">"InitUnitAdd('"&amp;B126&amp;"',"&amp;BK126&amp;","&amp;BL126&amp;","&amp;BM126&amp;","&amp;BN126&amp;","&amp;BO126&amp;","&amp;BP126&amp;","&amp;BQ126&amp;","&amp;BR126&amp;","&amp;BS126&amp;","&amp;BT126&amp;")"</f>
        <v>InitUnitAdd('IH02',,,,,,,,,,)</v>
      </c>
      <c r="CR126" s="7" t="str">
        <f t="shared" ref="CR126:CR131" si="2243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InitEquipData('IH02',,"",,,,,'','','','','','',"ReplaceableTextures\\CommandButtons\\BTNTome.blp")</v>
      </c>
      <c r="CU126" s="45" t="str">
        <f t="shared" ref="CU126:CU132" si="2244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32" si="2245">T126</f>
        <v>觉醒兽魂</v>
      </c>
      <c r="CW126" s="24"/>
      <c r="CX126" s="24"/>
      <c r="CY126" s="24"/>
      <c r="CZ126" s="24"/>
      <c r="DA126" s="24"/>
      <c r="DB126" s="30" t="str">
        <f t="shared" ref="DB126:DB132" si="2246">IF(V126="","","|n"&amp;DB$2&amp;"+"&amp;V126&amp;DB$1)</f>
        <v/>
      </c>
      <c r="DC126" s="30" t="str">
        <f t="shared" ref="DC126:DC132" si="2247">IF(W126="","","|n"&amp;DC$2&amp;"+"&amp;W126&amp;DC$1)</f>
        <v/>
      </c>
      <c r="DD126" s="30" t="str">
        <f t="shared" ref="DD126:DD132" si="2248">IF(X126="","","|n"&amp;DD$2&amp;"+"&amp;X126&amp;DD$1)</f>
        <v/>
      </c>
      <c r="DE126" s="30" t="str">
        <f t="shared" ref="DE126:DE132" si="2249">IF(Y126="","","|n"&amp;DE$2&amp;"+"&amp;Y126&amp;DE$1)</f>
        <v/>
      </c>
      <c r="DF126" s="30" t="str">
        <f t="shared" ref="DF126:DF132" si="2250">IF(Z126="","","|n"&amp;DF$2&amp;"+"&amp;Z126&amp;DF$1)</f>
        <v/>
      </c>
      <c r="DG126" s="30" t="str">
        <f t="shared" ref="DG126:DG132" si="2251">IF(AA126="","","|n"&amp;DG$2&amp;"+"&amp;AA126&amp;DG$1)</f>
        <v/>
      </c>
      <c r="DH126" s="30" t="str">
        <f t="shared" ref="DH126:DH132" si="2252">IF(AB126="","","|n"&amp;DH$2&amp;"+"&amp;AB126&amp;DH$1)</f>
        <v/>
      </c>
      <c r="DI126" s="30" t="str">
        <f t="shared" ref="DI126:DI132" si="2253">IF(AC126="","","|n"&amp;DI$2&amp;"+"&amp;AC126&amp;DI$1)</f>
        <v/>
      </c>
      <c r="DJ126" s="30" t="str">
        <f t="shared" ref="DJ126:DJ132" si="2254">IF(AD126="","","|n"&amp;DJ$2&amp;"+"&amp;AD126&amp;DJ$1)</f>
        <v/>
      </c>
      <c r="DK126" s="30" t="str">
        <f t="shared" ref="DK126:DK132" si="2255">IF(AE126="","","|n"&amp;DK$2&amp;"+"&amp;AE126&amp;DK$1)</f>
        <v/>
      </c>
      <c r="DL126" s="30" t="str">
        <f t="shared" ref="DL126:DL132" si="2256">IF(AF126="","","|n"&amp;DL$2&amp;"+"&amp;AF126&amp;DL$1)</f>
        <v/>
      </c>
      <c r="DM126" s="30" t="str">
        <f t="shared" ref="DM126:DM132" si="2257">IF(AG126="","","|n"&amp;DM$2&amp;"+"&amp;AG126&amp;DM$1)</f>
        <v/>
      </c>
      <c r="DN126" s="30" t="str">
        <f t="shared" ref="DN126:DN132" si="2258">IF(AH126="","","|n"&amp;DN$2&amp;"+"&amp;AH126&amp;DN$1)</f>
        <v/>
      </c>
      <c r="DO126" s="30" t="str">
        <f t="shared" ref="DO126:DO132" si="2259">IF(AI126="","","|n"&amp;DO$2&amp;"+"&amp;AI126&amp;DO$1)</f>
        <v/>
      </c>
      <c r="DP126" s="30" t="str">
        <f t="shared" ref="DP126:DP132" si="2260">IF(AJ126="","","|n"&amp;DP$2&amp;"+"&amp;AJ126&amp;DP$1)</f>
        <v/>
      </c>
      <c r="DQ126" s="30" t="str">
        <f t="shared" ref="DQ126:DQ132" si="2261">IF(AK126="","","|n"&amp;DQ$2&amp;"+"&amp;AK126&amp;DQ$1)</f>
        <v/>
      </c>
      <c r="DR126" s="30" t="str">
        <f t="shared" ref="DR126:DR132" si="2262">IF(AL126="","","|n"&amp;DR$2&amp;"+"&amp;AL126&amp;DR$1)</f>
        <v/>
      </c>
      <c r="DS126" s="30" t="str">
        <f t="shared" ref="DS126:DS132" si="2263">IF(AM126="","","|n"&amp;DS$2&amp;"+"&amp;AM126&amp;DS$1)</f>
        <v/>
      </c>
      <c r="DT126" s="30" t="str">
        <f t="shared" ref="DT126:DT132" si="2264">IF(AN126="","","|n"&amp;DT$2&amp;"+"&amp;AN126&amp;DT$1)</f>
        <v/>
      </c>
      <c r="DU126" s="30" t="str">
        <f t="shared" ref="DU126:DU132" si="2265">IF(AO126="","","|n"&amp;DU$2&amp;"+"&amp;AO126&amp;DU$1)</f>
        <v/>
      </c>
      <c r="DV126" s="30" t="str">
        <f t="shared" ref="DV126:DV132" si="2266">IF(AP126="","","|n"&amp;DV$2&amp;"+"&amp;AP126&amp;DV$1)</f>
        <v/>
      </c>
      <c r="DW126" s="30" t="str">
        <f t="shared" ref="DW126:DW132" si="2267">IF(AQ126="","","|n"&amp;DW$2&amp;"+"&amp;AQ126&amp;DW$1)</f>
        <v/>
      </c>
      <c r="DX126" s="30" t="str">
        <f t="shared" ref="DX126:DX132" si="2268">IF(AR126="","","|n"&amp;DX$2&amp;"+"&amp;AR126&amp;DX$1)</f>
        <v/>
      </c>
      <c r="DY126" s="30" t="str">
        <f t="shared" ref="DY126:DY132" si="2269">IF(AS126="","","|n"&amp;DY$2&amp;"+"&amp;AS126&amp;DY$1)</f>
        <v/>
      </c>
      <c r="DZ126" s="30" t="str">
        <f t="shared" ref="DZ126:DZ132" si="2270">IF(AT126="","","|n"&amp;DZ$2&amp;"+"&amp;AT126&amp;DZ$1)</f>
        <v/>
      </c>
      <c r="EA126" s="30" t="str">
        <f t="shared" ref="EA126:EA132" si="2271">IF(AU126="","","|n"&amp;EA$2&amp;"+"&amp;AU126&amp;EA$1)</f>
        <v/>
      </c>
      <c r="EB126" s="30" t="str">
        <f t="shared" ref="EB126:EB132" si="2272">IF(AV126="","","|n"&amp;EB$2&amp;"+"&amp;AV126&amp;EB$1)</f>
        <v/>
      </c>
      <c r="EC126" s="30" t="str">
        <f t="shared" ref="EC126:EC132" si="2273">IF(AW126="","","|n"&amp;EC$2&amp;"+"&amp;AW126&amp;EC$1)</f>
        <v/>
      </c>
      <c r="ED126" s="30" t="str">
        <f t="shared" ref="ED126:ED132" si="2274">IF(AX126="","","|n"&amp;ED$2&amp;"+"&amp;AX126&amp;ED$1)</f>
        <v/>
      </c>
      <c r="EE126" s="30" t="str">
        <f t="shared" ref="EE126:EE132" si="2275">IF(AY126="","","|n"&amp;EE$2&amp;"+"&amp;AY126&amp;EE$1)</f>
        <v/>
      </c>
      <c r="EF126" s="30" t="str">
        <f t="shared" ref="EF126:EF132" si="2276">IF(AZ126="","","|n"&amp;EF$2&amp;"+"&amp;AZ126&amp;EF$1)</f>
        <v/>
      </c>
      <c r="EG126" s="30" t="str">
        <f t="shared" ref="EG126:EG132" si="2277">IF(BA126="","","|n"&amp;EG$2&amp;"+"&amp;BA126&amp;EG$1)</f>
        <v/>
      </c>
      <c r="EH126" s="30" t="str">
        <f t="shared" ref="EH126:EH132" si="2278">IF(BB126="","","|n"&amp;EH$2&amp;"+"&amp;BB126&amp;EH$1)</f>
        <v/>
      </c>
      <c r="EI126" s="30" t="str">
        <f t="shared" ref="EI126:EI132" si="2279">IF(BC126="","","|n"&amp;EI$2&amp;"+"&amp;BC126&amp;EI$1)</f>
        <v/>
      </c>
      <c r="EJ126" s="30" t="str">
        <f t="shared" ref="EJ126:EJ132" si="2280">IF(BD126="","","|n"&amp;EJ$2&amp;"+"&amp;BD126&amp;EJ$1)</f>
        <v/>
      </c>
      <c r="EK126" s="30" t="str">
        <f t="shared" ref="EK126:EK132" si="2281">IF(BE126="","","|n"&amp;EK$2&amp;"+"&amp;BE126&amp;EK$1)</f>
        <v/>
      </c>
      <c r="EL126" s="30" t="str">
        <f t="shared" ref="EL126:EL132" si="2282">IF(BF126="","","|n"&amp;EL$2&amp;"+"&amp;BF126&amp;EL$1)</f>
        <v/>
      </c>
      <c r="EM126" s="30" t="str">
        <f t="shared" ref="EM126:EM132" si="2283">IF(BG126="","","|n"&amp;EM$2&amp;"+"&amp;BG126&amp;EM$1)</f>
        <v/>
      </c>
      <c r="EN126" s="30" t="str">
        <f t="shared" ref="EN126:EN132" si="2284">IF(BH126="","","|n"&amp;EN$2&amp;"+"&amp;BH126&amp;EN$1)</f>
        <v/>
      </c>
      <c r="EO126" s="30" t="str">
        <f t="shared" ref="EO126:EO132" si="2285">IF(BI126="","","|n"&amp;EO$2&amp;"+"&amp;BI126&amp;EO$1)</f>
        <v/>
      </c>
      <c r="EP126" s="30" t="str">
        <f t="shared" ref="EP126:EP132" si="2286">IF(BJ126="","","|n"&amp;EP$2&amp;"+"&amp;BJ126&amp;EP$1)</f>
        <v/>
      </c>
      <c r="EQ126" s="30" t="str">
        <f t="shared" ref="EQ126:EQ132" si="2287">IF(BK126="","","|n"&amp;EQ$2&amp;"+"&amp;BK126&amp;EQ$1)</f>
        <v/>
      </c>
      <c r="ER126" s="30" t="str">
        <f t="shared" ref="ER126:ER132" si="2288">IF(BL126="","","|n"&amp;ER$2&amp;"+"&amp;BL126&amp;ER$1)</f>
        <v/>
      </c>
      <c r="ES126" s="30" t="str">
        <f t="shared" ref="ES126:ES132" si="2289">IF(BM126="","","|n"&amp;ES$2&amp;"+"&amp;BM126&amp;ES$1)</f>
        <v/>
      </c>
      <c r="ET126" s="30" t="str">
        <f t="shared" ref="ET126:ET132" si="2290">IF(BN126="","","|n"&amp;ET$2&amp;"+"&amp;BN126&amp;ET$1)</f>
        <v/>
      </c>
      <c r="EU126" s="30" t="str">
        <f t="shared" ref="EU126:EU132" si="2291">IF(BO126="","","|n"&amp;EU$2&amp;"+"&amp;BO126&amp;EU$1)</f>
        <v/>
      </c>
      <c r="EV126" s="30" t="str">
        <f t="shared" ref="EV126:EV132" si="2292">IF(BP126="","","|n"&amp;EV$2&amp;"+"&amp;BP126&amp;EV$1)</f>
        <v/>
      </c>
      <c r="EW126" s="30" t="str">
        <f t="shared" ref="EW126:EW132" si="2293">IF(BQ126="","","|n"&amp;EW$2&amp;"+"&amp;BQ126&amp;EW$1)</f>
        <v/>
      </c>
      <c r="EX126" s="30" t="str">
        <f t="shared" ref="EX126:EX132" si="2294">IF(BR126="","","|n"&amp;EX$2&amp;"+"&amp;BR126&amp;EX$1)</f>
        <v/>
      </c>
      <c r="EY126" s="30" t="str">
        <f t="shared" ref="EY126:EY132" si="2295">IF(BS126="","","|n"&amp;EY$2&amp;"+"&amp;BS126&amp;EY$1)</f>
        <v/>
      </c>
      <c r="EZ126" s="30" t="str">
        <f t="shared" ref="EZ126:EZ132" si="2296">IF(BT126="","","|n"&amp;EZ$2&amp;"+"&amp;BT126&amp;EZ$1)</f>
        <v/>
      </c>
      <c r="FA126" s="30" t="str">
        <f t="shared" ref="FA126:FA132" si="2297">IF(BU126="","","|n"&amp;FA$2&amp;"+"&amp;BU126&amp;FA$1)</f>
        <v/>
      </c>
      <c r="FB126" s="30" t="str">
        <f t="shared" ref="FB126:FB132" si="2298">IF(BV126="","","|n"&amp;FB$2&amp;"+"&amp;BV126&amp;FB$1)</f>
        <v/>
      </c>
      <c r="FC126" s="30" t="str">
        <f t="shared" ref="FC126:FC132" si="2299">IF(BW126="","","|n"&amp;FC$2&amp;"+"&amp;BW126&amp;FC$1)</f>
        <v/>
      </c>
      <c r="FD126" s="30" t="str">
        <f t="shared" ref="FD126:FD132" si="2300">IF(BX126="","","|n"&amp;FD$2&amp;"+"&amp;BX126&amp;FD$1)</f>
        <v/>
      </c>
      <c r="FE126" s="30" t="str">
        <f t="shared" ref="FE126:FE132" si="2301">IF(BY126="","","|n"&amp;FE$2&amp;"+"&amp;BY126&amp;FE$1)</f>
        <v/>
      </c>
      <c r="FF126" s="30" t="str">
        <f t="shared" ref="FF126:FF132" si="2302">IF(BZ126="","","|n"&amp;FF$2&amp;"+"&amp;BZ126&amp;FF$1)</f>
        <v/>
      </c>
      <c r="FG126" s="30" t="str">
        <f t="shared" ref="FG126:FG132" si="2303">IF(CA126="","","|n"&amp;FG$2&amp;"+"&amp;CA126&amp;FG$1)</f>
        <v/>
      </c>
      <c r="FH126" s="30" t="str">
        <f t="shared" ref="FH126:FH132" si="2304">IF(CB126="","","|n"&amp;FH$2&amp;"+"&amp;CB126&amp;FH$1)</f>
        <v/>
      </c>
      <c r="FI126" s="30" t="str">
        <f t="shared" ref="FI126:FI132" si="2305">IF(CC126="","","|n"&amp;FI$2&amp;"+"&amp;CC126&amp;FI$1)</f>
        <v/>
      </c>
      <c r="FJ126" s="30" t="str">
        <f t="shared" ref="FJ126:FJ132" si="2306">IF(CD126="","","|n"&amp;FJ$2&amp;"+"&amp;CD126&amp;FJ$1)</f>
        <v/>
      </c>
      <c r="FK126" s="30" t="str">
        <f t="shared" ref="FK126:FK132" si="2307">IF(CE126="","","|n"&amp;FK$2&amp;"+"&amp;CE126&amp;FK$1)</f>
        <v/>
      </c>
      <c r="FL126" s="30" t="str">
        <f t="shared" ref="FL126:FL132" si="2308">IF(CF126="","","|n"&amp;FL$2&amp;"+"&amp;CF126&amp;FL$1)</f>
        <v/>
      </c>
      <c r="FM126" s="30" t="str">
        <f t="shared" ref="FM126:FM132" si="2309">IF(CG126="","","|n"&amp;FM$2&amp;"+"&amp;CG126&amp;FM$1)</f>
        <v/>
      </c>
      <c r="FN126" s="30" t="str">
        <f t="shared" ref="FN126:FN132" si="2310">IF(CH126="","","|n"&amp;FN$2&amp;"+"&amp;CH126&amp;FN$1)</f>
        <v/>
      </c>
      <c r="FO126" s="30" t="str">
        <f t="shared" ref="FO126:FO132" si="2311">IF(CI126="","","|n"&amp;FO$2&amp;"+"&amp;CI126&amp;FO$1)</f>
        <v/>
      </c>
      <c r="FP126" s="30" t="str">
        <f t="shared" ref="FP126:FP132" si="2312">IF(CJ126="","","|n"&amp;FP$2&amp;"+"&amp;CJ126&amp;FP$1)</f>
        <v/>
      </c>
      <c r="FQ126" s="30" t="str">
        <f t="shared" ref="FQ126:FQ132" si="2313">IF(CK126="","","|n"&amp;FQ$2&amp;"+"&amp;CK126&amp;FQ$1)</f>
        <v/>
      </c>
      <c r="FR126" s="30" t="str">
        <f t="shared" ref="FR126:FR132" si="2314">IF(CL126="","","|n"&amp;FR$2&amp;"+"&amp;CL126&amp;FR$1)</f>
        <v/>
      </c>
      <c r="FS126" s="30" t="str">
        <f t="shared" ref="FS126:FS132" si="2315">IF(CM126="","","|n"&amp;FS$2&amp;"+"&amp;CM126&amp;FS$1)</f>
        <v/>
      </c>
    </row>
    <row r="127" spans="1:175" ht="16.5">
      <c r="A127" s="117"/>
      <c r="B127" s="111" t="s">
        <v>897</v>
      </c>
      <c r="C127" s="117" t="s">
        <v>898</v>
      </c>
      <c r="T127" s="117" t="s">
        <v>892</v>
      </c>
      <c r="U127" s="37" t="s">
        <v>822</v>
      </c>
      <c r="CN127" s="7" t="str">
        <f t="shared" si="2239"/>
        <v>InitUnitState('IH03',,,,,,,,,,)</v>
      </c>
      <c r="CO127" s="7" t="str">
        <f t="shared" si="2240"/>
        <v>InitUnitNormal('IH03',,,,,,,,,,)</v>
      </c>
      <c r="CP127" s="7" t="str">
        <f t="shared" si="2241"/>
        <v>InitUnitMagic('IH03',,,,,,,,,,)</v>
      </c>
      <c r="CQ127" s="7" t="str">
        <f t="shared" si="2242"/>
        <v>InitUnitAdd('IH03',,,,,,,,,,)</v>
      </c>
      <c r="CR127" s="7" t="str">
        <f t="shared" si="2243"/>
        <v>InitEquipData('IH03',,"",,,,,'','','','','','',"ReplaceableTextures\\CommandButtons\\BTNTome.blp")</v>
      </c>
      <c r="CU127" s="45" t="str">
        <f t="shared" si="2244"/>
        <v>|n</v>
      </c>
      <c r="CV127" s="29" t="str">
        <f t="shared" si="2245"/>
        <v>觉醒兽魂</v>
      </c>
      <c r="CW127" s="24"/>
      <c r="CX127" s="24"/>
      <c r="CY127" s="24"/>
      <c r="CZ127" s="24"/>
      <c r="DA127" s="24"/>
      <c r="DB127" s="30" t="str">
        <f t="shared" si="2246"/>
        <v/>
      </c>
      <c r="DC127" s="30" t="str">
        <f t="shared" si="2247"/>
        <v/>
      </c>
      <c r="DD127" s="30" t="str">
        <f t="shared" si="2248"/>
        <v/>
      </c>
      <c r="DE127" s="30" t="str">
        <f t="shared" si="2249"/>
        <v/>
      </c>
      <c r="DF127" s="30" t="str">
        <f t="shared" si="2250"/>
        <v/>
      </c>
      <c r="DG127" s="30" t="str">
        <f t="shared" si="2251"/>
        <v/>
      </c>
      <c r="DH127" s="30" t="str">
        <f t="shared" si="2252"/>
        <v/>
      </c>
      <c r="DI127" s="30" t="str">
        <f t="shared" si="2253"/>
        <v/>
      </c>
      <c r="DJ127" s="30" t="str">
        <f t="shared" si="2254"/>
        <v/>
      </c>
      <c r="DK127" s="30" t="str">
        <f t="shared" si="2255"/>
        <v/>
      </c>
      <c r="DL127" s="30" t="str">
        <f t="shared" si="2256"/>
        <v/>
      </c>
      <c r="DM127" s="30" t="str">
        <f t="shared" si="2257"/>
        <v/>
      </c>
      <c r="DN127" s="30" t="str">
        <f t="shared" si="2258"/>
        <v/>
      </c>
      <c r="DO127" s="30" t="str">
        <f t="shared" si="2259"/>
        <v/>
      </c>
      <c r="DP127" s="30" t="str">
        <f t="shared" si="2260"/>
        <v/>
      </c>
      <c r="DQ127" s="30" t="str">
        <f t="shared" si="2261"/>
        <v/>
      </c>
      <c r="DR127" s="30" t="str">
        <f t="shared" si="2262"/>
        <v/>
      </c>
      <c r="DS127" s="30" t="str">
        <f t="shared" si="2263"/>
        <v/>
      </c>
      <c r="DT127" s="30" t="str">
        <f t="shared" si="2264"/>
        <v/>
      </c>
      <c r="DU127" s="30" t="str">
        <f t="shared" si="2265"/>
        <v/>
      </c>
      <c r="DV127" s="30" t="str">
        <f t="shared" si="2266"/>
        <v/>
      </c>
      <c r="DW127" s="30" t="str">
        <f t="shared" si="2267"/>
        <v/>
      </c>
      <c r="DX127" s="30" t="str">
        <f t="shared" si="2268"/>
        <v/>
      </c>
      <c r="DY127" s="30" t="str">
        <f t="shared" si="2269"/>
        <v/>
      </c>
      <c r="DZ127" s="30" t="str">
        <f t="shared" si="2270"/>
        <v/>
      </c>
      <c r="EA127" s="30" t="str">
        <f t="shared" si="2271"/>
        <v/>
      </c>
      <c r="EB127" s="30" t="str">
        <f t="shared" si="2272"/>
        <v/>
      </c>
      <c r="EC127" s="30" t="str">
        <f t="shared" si="2273"/>
        <v/>
      </c>
      <c r="ED127" s="30" t="str">
        <f t="shared" si="2274"/>
        <v/>
      </c>
      <c r="EE127" s="30" t="str">
        <f t="shared" si="2275"/>
        <v/>
      </c>
      <c r="EF127" s="30" t="str">
        <f t="shared" si="2276"/>
        <v/>
      </c>
      <c r="EG127" s="30" t="str">
        <f t="shared" si="2277"/>
        <v/>
      </c>
      <c r="EH127" s="30" t="str">
        <f t="shared" si="2278"/>
        <v/>
      </c>
      <c r="EI127" s="30" t="str">
        <f t="shared" si="2279"/>
        <v/>
      </c>
      <c r="EJ127" s="30" t="str">
        <f t="shared" si="2280"/>
        <v/>
      </c>
      <c r="EK127" s="30" t="str">
        <f t="shared" si="2281"/>
        <v/>
      </c>
      <c r="EL127" s="30" t="str">
        <f t="shared" si="2282"/>
        <v/>
      </c>
      <c r="EM127" s="30" t="str">
        <f t="shared" si="2283"/>
        <v/>
      </c>
      <c r="EN127" s="30" t="str">
        <f t="shared" si="2284"/>
        <v/>
      </c>
      <c r="EO127" s="30" t="str">
        <f t="shared" si="2285"/>
        <v/>
      </c>
      <c r="EP127" s="30" t="str">
        <f t="shared" si="2286"/>
        <v/>
      </c>
      <c r="EQ127" s="30" t="str">
        <f t="shared" si="2287"/>
        <v/>
      </c>
      <c r="ER127" s="30" t="str">
        <f t="shared" si="2288"/>
        <v/>
      </c>
      <c r="ES127" s="30" t="str">
        <f t="shared" si="2289"/>
        <v/>
      </c>
      <c r="ET127" s="30" t="str">
        <f t="shared" si="2290"/>
        <v/>
      </c>
      <c r="EU127" s="30" t="str">
        <f t="shared" si="2291"/>
        <v/>
      </c>
      <c r="EV127" s="30" t="str">
        <f t="shared" si="2292"/>
        <v/>
      </c>
      <c r="EW127" s="30" t="str">
        <f t="shared" si="2293"/>
        <v/>
      </c>
      <c r="EX127" s="30" t="str">
        <f t="shared" si="2294"/>
        <v/>
      </c>
      <c r="EY127" s="30" t="str">
        <f t="shared" si="2295"/>
        <v/>
      </c>
      <c r="EZ127" s="30" t="str">
        <f t="shared" si="2296"/>
        <v/>
      </c>
      <c r="FA127" s="30" t="str">
        <f t="shared" si="2297"/>
        <v/>
      </c>
      <c r="FB127" s="30" t="str">
        <f t="shared" si="2298"/>
        <v/>
      </c>
      <c r="FC127" s="30" t="str">
        <f t="shared" si="2299"/>
        <v/>
      </c>
      <c r="FD127" s="30" t="str">
        <f t="shared" si="2300"/>
        <v/>
      </c>
      <c r="FE127" s="30" t="str">
        <f t="shared" si="2301"/>
        <v/>
      </c>
      <c r="FF127" s="30" t="str">
        <f t="shared" si="2302"/>
        <v/>
      </c>
      <c r="FG127" s="30" t="str">
        <f t="shared" si="2303"/>
        <v/>
      </c>
      <c r="FH127" s="30" t="str">
        <f t="shared" si="2304"/>
        <v/>
      </c>
      <c r="FI127" s="30" t="str">
        <f t="shared" si="2305"/>
        <v/>
      </c>
      <c r="FJ127" s="30" t="str">
        <f t="shared" si="2306"/>
        <v/>
      </c>
      <c r="FK127" s="30" t="str">
        <f t="shared" si="2307"/>
        <v/>
      </c>
      <c r="FL127" s="30" t="str">
        <f t="shared" si="2308"/>
        <v/>
      </c>
      <c r="FM127" s="30" t="str">
        <f t="shared" si="2309"/>
        <v/>
      </c>
      <c r="FN127" s="30" t="str">
        <f t="shared" si="2310"/>
        <v/>
      </c>
      <c r="FO127" s="30" t="str">
        <f t="shared" si="2311"/>
        <v/>
      </c>
      <c r="FP127" s="30" t="str">
        <f t="shared" si="2312"/>
        <v/>
      </c>
      <c r="FQ127" s="30" t="str">
        <f t="shared" si="2313"/>
        <v/>
      </c>
      <c r="FR127" s="30" t="str">
        <f t="shared" si="2314"/>
        <v/>
      </c>
      <c r="FS127" s="30" t="str">
        <f t="shared" si="2315"/>
        <v/>
      </c>
    </row>
    <row r="128" spans="1:175" ht="16.5">
      <c r="A128" s="117"/>
      <c r="B128" s="111" t="s">
        <v>899</v>
      </c>
      <c r="C128" s="117" t="s">
        <v>900</v>
      </c>
      <c r="T128" s="117" t="s">
        <v>892</v>
      </c>
      <c r="U128" s="37" t="s">
        <v>822</v>
      </c>
      <c r="CN128" s="7" t="str">
        <f t="shared" si="2239"/>
        <v>InitUnitState('IH04',,,,,,,,,,)</v>
      </c>
      <c r="CO128" s="7" t="str">
        <f t="shared" si="2240"/>
        <v>InitUnitNormal('IH04',,,,,,,,,,)</v>
      </c>
      <c r="CP128" s="7" t="str">
        <f t="shared" si="2241"/>
        <v>InitUnitMagic('IH04',,,,,,,,,,)</v>
      </c>
      <c r="CQ128" s="7" t="str">
        <f t="shared" si="2242"/>
        <v>InitUnitAdd('IH04',,,,,,,,,,)</v>
      </c>
      <c r="CR128" s="7" t="str">
        <f t="shared" si="2243"/>
        <v>InitEquipData('IH04',,"",,,,,'','','','','','',"ReplaceableTextures\\CommandButtons\\BTNTome.blp")</v>
      </c>
      <c r="CU128" s="45" t="str">
        <f t="shared" si="2244"/>
        <v>|n</v>
      </c>
      <c r="CV128" s="29" t="str">
        <f t="shared" si="2245"/>
        <v>觉醒兽魂</v>
      </c>
      <c r="CW128" s="24"/>
      <c r="CX128" s="24"/>
      <c r="CY128" s="24"/>
      <c r="CZ128" s="24"/>
      <c r="DA128" s="24"/>
      <c r="DB128" s="30" t="str">
        <f t="shared" si="2246"/>
        <v/>
      </c>
      <c r="DC128" s="30" t="str">
        <f t="shared" si="2247"/>
        <v/>
      </c>
      <c r="DD128" s="30" t="str">
        <f t="shared" si="2248"/>
        <v/>
      </c>
      <c r="DE128" s="30" t="str">
        <f t="shared" si="2249"/>
        <v/>
      </c>
      <c r="DF128" s="30" t="str">
        <f t="shared" si="2250"/>
        <v/>
      </c>
      <c r="DG128" s="30" t="str">
        <f t="shared" si="2251"/>
        <v/>
      </c>
      <c r="DH128" s="30" t="str">
        <f t="shared" si="2252"/>
        <v/>
      </c>
      <c r="DI128" s="30" t="str">
        <f t="shared" si="2253"/>
        <v/>
      </c>
      <c r="DJ128" s="30" t="str">
        <f t="shared" si="2254"/>
        <v/>
      </c>
      <c r="DK128" s="30" t="str">
        <f t="shared" si="2255"/>
        <v/>
      </c>
      <c r="DL128" s="30" t="str">
        <f t="shared" si="2256"/>
        <v/>
      </c>
      <c r="DM128" s="30" t="str">
        <f t="shared" si="2257"/>
        <v/>
      </c>
      <c r="DN128" s="30" t="str">
        <f t="shared" si="2258"/>
        <v/>
      </c>
      <c r="DO128" s="30" t="str">
        <f t="shared" si="2259"/>
        <v/>
      </c>
      <c r="DP128" s="30" t="str">
        <f t="shared" si="2260"/>
        <v/>
      </c>
      <c r="DQ128" s="30" t="str">
        <f t="shared" si="2261"/>
        <v/>
      </c>
      <c r="DR128" s="30" t="str">
        <f t="shared" si="2262"/>
        <v/>
      </c>
      <c r="DS128" s="30" t="str">
        <f t="shared" si="2263"/>
        <v/>
      </c>
      <c r="DT128" s="30" t="str">
        <f t="shared" si="2264"/>
        <v/>
      </c>
      <c r="DU128" s="30" t="str">
        <f t="shared" si="2265"/>
        <v/>
      </c>
      <c r="DV128" s="30" t="str">
        <f t="shared" si="2266"/>
        <v/>
      </c>
      <c r="DW128" s="30" t="str">
        <f t="shared" si="2267"/>
        <v/>
      </c>
      <c r="DX128" s="30" t="str">
        <f t="shared" si="2268"/>
        <v/>
      </c>
      <c r="DY128" s="30" t="str">
        <f t="shared" si="2269"/>
        <v/>
      </c>
      <c r="DZ128" s="30" t="str">
        <f t="shared" si="2270"/>
        <v/>
      </c>
      <c r="EA128" s="30" t="str">
        <f t="shared" si="2271"/>
        <v/>
      </c>
      <c r="EB128" s="30" t="str">
        <f t="shared" si="2272"/>
        <v/>
      </c>
      <c r="EC128" s="30" t="str">
        <f t="shared" si="2273"/>
        <v/>
      </c>
      <c r="ED128" s="30" t="str">
        <f t="shared" si="2274"/>
        <v/>
      </c>
      <c r="EE128" s="30" t="str">
        <f t="shared" si="2275"/>
        <v/>
      </c>
      <c r="EF128" s="30" t="str">
        <f t="shared" si="2276"/>
        <v/>
      </c>
      <c r="EG128" s="30" t="str">
        <f t="shared" si="2277"/>
        <v/>
      </c>
      <c r="EH128" s="30" t="str">
        <f t="shared" si="2278"/>
        <v/>
      </c>
      <c r="EI128" s="30" t="str">
        <f t="shared" si="2279"/>
        <v/>
      </c>
      <c r="EJ128" s="30" t="str">
        <f t="shared" si="2280"/>
        <v/>
      </c>
      <c r="EK128" s="30" t="str">
        <f t="shared" si="2281"/>
        <v/>
      </c>
      <c r="EL128" s="30" t="str">
        <f t="shared" si="2282"/>
        <v/>
      </c>
      <c r="EM128" s="30" t="str">
        <f t="shared" si="2283"/>
        <v/>
      </c>
      <c r="EN128" s="30" t="str">
        <f t="shared" si="2284"/>
        <v/>
      </c>
      <c r="EO128" s="30" t="str">
        <f t="shared" si="2285"/>
        <v/>
      </c>
      <c r="EP128" s="30" t="str">
        <f t="shared" si="2286"/>
        <v/>
      </c>
      <c r="EQ128" s="30" t="str">
        <f t="shared" si="2287"/>
        <v/>
      </c>
      <c r="ER128" s="30" t="str">
        <f t="shared" si="2288"/>
        <v/>
      </c>
      <c r="ES128" s="30" t="str">
        <f t="shared" si="2289"/>
        <v/>
      </c>
      <c r="ET128" s="30" t="str">
        <f t="shared" si="2290"/>
        <v/>
      </c>
      <c r="EU128" s="30" t="str">
        <f t="shared" si="2291"/>
        <v/>
      </c>
      <c r="EV128" s="30" t="str">
        <f t="shared" si="2292"/>
        <v/>
      </c>
      <c r="EW128" s="30" t="str">
        <f t="shared" si="2293"/>
        <v/>
      </c>
      <c r="EX128" s="30" t="str">
        <f t="shared" si="2294"/>
        <v/>
      </c>
      <c r="EY128" s="30" t="str">
        <f t="shared" si="2295"/>
        <v/>
      </c>
      <c r="EZ128" s="30" t="str">
        <f t="shared" si="2296"/>
        <v/>
      </c>
      <c r="FA128" s="30" t="str">
        <f t="shared" si="2297"/>
        <v/>
      </c>
      <c r="FB128" s="30" t="str">
        <f t="shared" si="2298"/>
        <v/>
      </c>
      <c r="FC128" s="30" t="str">
        <f t="shared" si="2299"/>
        <v/>
      </c>
      <c r="FD128" s="30" t="str">
        <f t="shared" si="2300"/>
        <v/>
      </c>
      <c r="FE128" s="30" t="str">
        <f t="shared" si="2301"/>
        <v/>
      </c>
      <c r="FF128" s="30" t="str">
        <f t="shared" si="2302"/>
        <v/>
      </c>
      <c r="FG128" s="30" t="str">
        <f t="shared" si="2303"/>
        <v/>
      </c>
      <c r="FH128" s="30" t="str">
        <f t="shared" si="2304"/>
        <v/>
      </c>
      <c r="FI128" s="30" t="str">
        <f t="shared" si="2305"/>
        <v/>
      </c>
      <c r="FJ128" s="30" t="str">
        <f t="shared" si="2306"/>
        <v/>
      </c>
      <c r="FK128" s="30" t="str">
        <f t="shared" si="2307"/>
        <v/>
      </c>
      <c r="FL128" s="30" t="str">
        <f t="shared" si="2308"/>
        <v/>
      </c>
      <c r="FM128" s="30" t="str">
        <f t="shared" si="2309"/>
        <v/>
      </c>
      <c r="FN128" s="30" t="str">
        <f t="shared" si="2310"/>
        <v/>
      </c>
      <c r="FO128" s="30" t="str">
        <f t="shared" si="2311"/>
        <v/>
      </c>
      <c r="FP128" s="30" t="str">
        <f t="shared" si="2312"/>
        <v/>
      </c>
      <c r="FQ128" s="30" t="str">
        <f t="shared" si="2313"/>
        <v/>
      </c>
      <c r="FR128" s="30" t="str">
        <f t="shared" si="2314"/>
        <v/>
      </c>
      <c r="FS128" s="30" t="str">
        <f t="shared" si="2315"/>
        <v/>
      </c>
    </row>
    <row r="129" spans="1:175" ht="16.5">
      <c r="A129" s="117"/>
      <c r="B129" s="111" t="s">
        <v>901</v>
      </c>
      <c r="C129" s="117" t="s">
        <v>902</v>
      </c>
      <c r="T129" s="117" t="s">
        <v>892</v>
      </c>
      <c r="U129" s="37" t="s">
        <v>822</v>
      </c>
      <c r="CN129" s="7" t="str">
        <f t="shared" si="2239"/>
        <v>InitUnitState('IH05',,,,,,,,,,)</v>
      </c>
      <c r="CO129" s="7" t="str">
        <f t="shared" si="2240"/>
        <v>InitUnitNormal('IH05',,,,,,,,,,)</v>
      </c>
      <c r="CP129" s="7" t="str">
        <f t="shared" si="2241"/>
        <v>InitUnitMagic('IH05',,,,,,,,,,)</v>
      </c>
      <c r="CQ129" s="7" t="str">
        <f t="shared" si="2242"/>
        <v>InitUnitAdd('IH05',,,,,,,,,,)</v>
      </c>
      <c r="CR129" s="7" t="str">
        <f t="shared" si="2243"/>
        <v>InitEquipData('IH05',,"",,,,,'','','','','','',"ReplaceableTextures\\CommandButtons\\BTNTome.blp")</v>
      </c>
      <c r="CU129" s="45" t="str">
        <f t="shared" si="2244"/>
        <v>|n</v>
      </c>
      <c r="CV129" s="29" t="str">
        <f t="shared" si="2245"/>
        <v>觉醒兽魂</v>
      </c>
      <c r="CW129" s="24"/>
      <c r="CX129" s="24"/>
      <c r="CY129" s="24"/>
      <c r="CZ129" s="24"/>
      <c r="DA129" s="24"/>
      <c r="DB129" s="30" t="str">
        <f t="shared" si="2246"/>
        <v/>
      </c>
      <c r="DC129" s="30" t="str">
        <f t="shared" si="2247"/>
        <v/>
      </c>
      <c r="DD129" s="30" t="str">
        <f t="shared" si="2248"/>
        <v/>
      </c>
      <c r="DE129" s="30" t="str">
        <f t="shared" si="2249"/>
        <v/>
      </c>
      <c r="DF129" s="30" t="str">
        <f t="shared" si="2250"/>
        <v/>
      </c>
      <c r="DG129" s="30" t="str">
        <f t="shared" si="2251"/>
        <v/>
      </c>
      <c r="DH129" s="30" t="str">
        <f t="shared" si="2252"/>
        <v/>
      </c>
      <c r="DI129" s="30" t="str">
        <f t="shared" si="2253"/>
        <v/>
      </c>
      <c r="DJ129" s="30" t="str">
        <f t="shared" si="2254"/>
        <v/>
      </c>
      <c r="DK129" s="30" t="str">
        <f t="shared" si="2255"/>
        <v/>
      </c>
      <c r="DL129" s="30" t="str">
        <f t="shared" si="2256"/>
        <v/>
      </c>
      <c r="DM129" s="30" t="str">
        <f t="shared" si="2257"/>
        <v/>
      </c>
      <c r="DN129" s="30" t="str">
        <f t="shared" si="2258"/>
        <v/>
      </c>
      <c r="DO129" s="30" t="str">
        <f t="shared" si="2259"/>
        <v/>
      </c>
      <c r="DP129" s="30" t="str">
        <f t="shared" si="2260"/>
        <v/>
      </c>
      <c r="DQ129" s="30" t="str">
        <f t="shared" si="2261"/>
        <v/>
      </c>
      <c r="DR129" s="30" t="str">
        <f t="shared" si="2262"/>
        <v/>
      </c>
      <c r="DS129" s="30" t="str">
        <f t="shared" si="2263"/>
        <v/>
      </c>
      <c r="DT129" s="30" t="str">
        <f t="shared" si="2264"/>
        <v/>
      </c>
      <c r="DU129" s="30" t="str">
        <f t="shared" si="2265"/>
        <v/>
      </c>
      <c r="DV129" s="30" t="str">
        <f t="shared" si="2266"/>
        <v/>
      </c>
      <c r="DW129" s="30" t="str">
        <f t="shared" si="2267"/>
        <v/>
      </c>
      <c r="DX129" s="30" t="str">
        <f t="shared" si="2268"/>
        <v/>
      </c>
      <c r="DY129" s="30" t="str">
        <f t="shared" si="2269"/>
        <v/>
      </c>
      <c r="DZ129" s="30" t="str">
        <f t="shared" si="2270"/>
        <v/>
      </c>
      <c r="EA129" s="30" t="str">
        <f t="shared" si="2271"/>
        <v/>
      </c>
      <c r="EB129" s="30" t="str">
        <f t="shared" si="2272"/>
        <v/>
      </c>
      <c r="EC129" s="30" t="str">
        <f t="shared" si="2273"/>
        <v/>
      </c>
      <c r="ED129" s="30" t="str">
        <f t="shared" si="2274"/>
        <v/>
      </c>
      <c r="EE129" s="30" t="str">
        <f t="shared" si="2275"/>
        <v/>
      </c>
      <c r="EF129" s="30" t="str">
        <f t="shared" si="2276"/>
        <v/>
      </c>
      <c r="EG129" s="30" t="str">
        <f t="shared" si="2277"/>
        <v/>
      </c>
      <c r="EH129" s="30" t="str">
        <f t="shared" si="2278"/>
        <v/>
      </c>
      <c r="EI129" s="30" t="str">
        <f t="shared" si="2279"/>
        <v/>
      </c>
      <c r="EJ129" s="30" t="str">
        <f t="shared" si="2280"/>
        <v/>
      </c>
      <c r="EK129" s="30" t="str">
        <f t="shared" si="2281"/>
        <v/>
      </c>
      <c r="EL129" s="30" t="str">
        <f t="shared" si="2282"/>
        <v/>
      </c>
      <c r="EM129" s="30" t="str">
        <f t="shared" si="2283"/>
        <v/>
      </c>
      <c r="EN129" s="30" t="str">
        <f t="shared" si="2284"/>
        <v/>
      </c>
      <c r="EO129" s="30" t="str">
        <f t="shared" si="2285"/>
        <v/>
      </c>
      <c r="EP129" s="30" t="str">
        <f t="shared" si="2286"/>
        <v/>
      </c>
      <c r="EQ129" s="30" t="str">
        <f t="shared" si="2287"/>
        <v/>
      </c>
      <c r="ER129" s="30" t="str">
        <f t="shared" si="2288"/>
        <v/>
      </c>
      <c r="ES129" s="30" t="str">
        <f t="shared" si="2289"/>
        <v/>
      </c>
      <c r="ET129" s="30" t="str">
        <f t="shared" si="2290"/>
        <v/>
      </c>
      <c r="EU129" s="30" t="str">
        <f t="shared" si="2291"/>
        <v/>
      </c>
      <c r="EV129" s="30" t="str">
        <f t="shared" si="2292"/>
        <v/>
      </c>
      <c r="EW129" s="30" t="str">
        <f t="shared" si="2293"/>
        <v/>
      </c>
      <c r="EX129" s="30" t="str">
        <f t="shared" si="2294"/>
        <v/>
      </c>
      <c r="EY129" s="30" t="str">
        <f t="shared" si="2295"/>
        <v/>
      </c>
      <c r="EZ129" s="30" t="str">
        <f t="shared" si="2296"/>
        <v/>
      </c>
      <c r="FA129" s="30" t="str">
        <f t="shared" si="2297"/>
        <v/>
      </c>
      <c r="FB129" s="30" t="str">
        <f t="shared" si="2298"/>
        <v/>
      </c>
      <c r="FC129" s="30" t="str">
        <f t="shared" si="2299"/>
        <v/>
      </c>
      <c r="FD129" s="30" t="str">
        <f t="shared" si="2300"/>
        <v/>
      </c>
      <c r="FE129" s="30" t="str">
        <f t="shared" si="2301"/>
        <v/>
      </c>
      <c r="FF129" s="30" t="str">
        <f t="shared" si="2302"/>
        <v/>
      </c>
      <c r="FG129" s="30" t="str">
        <f t="shared" si="2303"/>
        <v/>
      </c>
      <c r="FH129" s="30" t="str">
        <f t="shared" si="2304"/>
        <v/>
      </c>
      <c r="FI129" s="30" t="str">
        <f t="shared" si="2305"/>
        <v/>
      </c>
      <c r="FJ129" s="30" t="str">
        <f t="shared" si="2306"/>
        <v/>
      </c>
      <c r="FK129" s="30" t="str">
        <f t="shared" si="2307"/>
        <v/>
      </c>
      <c r="FL129" s="30" t="str">
        <f t="shared" si="2308"/>
        <v/>
      </c>
      <c r="FM129" s="30" t="str">
        <f t="shared" si="2309"/>
        <v/>
      </c>
      <c r="FN129" s="30" t="str">
        <f t="shared" si="2310"/>
        <v/>
      </c>
      <c r="FO129" s="30" t="str">
        <f t="shared" si="2311"/>
        <v/>
      </c>
      <c r="FP129" s="30" t="str">
        <f t="shared" si="2312"/>
        <v/>
      </c>
      <c r="FQ129" s="30" t="str">
        <f t="shared" si="2313"/>
        <v/>
      </c>
      <c r="FR129" s="30" t="str">
        <f t="shared" si="2314"/>
        <v/>
      </c>
      <c r="FS129" s="30" t="str">
        <f t="shared" si="2315"/>
        <v/>
      </c>
    </row>
    <row r="130" spans="1:175" ht="16.5">
      <c r="A130" s="117"/>
      <c r="B130" s="111" t="s">
        <v>903</v>
      </c>
      <c r="C130" s="117" t="s">
        <v>904</v>
      </c>
      <c r="T130" s="117" t="s">
        <v>892</v>
      </c>
      <c r="U130" s="37" t="s">
        <v>822</v>
      </c>
      <c r="CN130" s="7" t="str">
        <f t="shared" si="2239"/>
        <v>InitUnitState('IH06',,,,,,,,,,)</v>
      </c>
      <c r="CO130" s="7" t="str">
        <f t="shared" si="2240"/>
        <v>InitUnitNormal('IH06',,,,,,,,,,)</v>
      </c>
      <c r="CP130" s="7" t="str">
        <f t="shared" si="2241"/>
        <v>InitUnitMagic('IH06',,,,,,,,,,)</v>
      </c>
      <c r="CQ130" s="7" t="str">
        <f t="shared" si="2242"/>
        <v>InitUnitAdd('IH06',,,,,,,,,,)</v>
      </c>
      <c r="CR130" s="7" t="str">
        <f t="shared" si="2243"/>
        <v>InitEquipData('IH06',,"",,,,,'','','','','','',"ReplaceableTextures\\CommandButtons\\BTNTome.blp")</v>
      </c>
      <c r="CU130" s="45" t="str">
        <f t="shared" si="2244"/>
        <v>|n</v>
      </c>
      <c r="CV130" s="29" t="str">
        <f t="shared" si="2245"/>
        <v>觉醒兽魂</v>
      </c>
      <c r="CW130" s="24"/>
      <c r="CX130" s="24"/>
      <c r="CY130" s="24"/>
      <c r="CZ130" s="24"/>
      <c r="DA130" s="24"/>
      <c r="DB130" s="30" t="str">
        <f t="shared" si="2246"/>
        <v/>
      </c>
      <c r="DC130" s="30" t="str">
        <f t="shared" si="2247"/>
        <v/>
      </c>
      <c r="DD130" s="30" t="str">
        <f t="shared" si="2248"/>
        <v/>
      </c>
      <c r="DE130" s="30" t="str">
        <f t="shared" si="2249"/>
        <v/>
      </c>
      <c r="DF130" s="30" t="str">
        <f t="shared" si="2250"/>
        <v/>
      </c>
      <c r="DG130" s="30" t="str">
        <f t="shared" si="2251"/>
        <v/>
      </c>
      <c r="DH130" s="30" t="str">
        <f t="shared" si="2252"/>
        <v/>
      </c>
      <c r="DI130" s="30" t="str">
        <f t="shared" si="2253"/>
        <v/>
      </c>
      <c r="DJ130" s="30" t="str">
        <f t="shared" si="2254"/>
        <v/>
      </c>
      <c r="DK130" s="30" t="str">
        <f t="shared" si="2255"/>
        <v/>
      </c>
      <c r="DL130" s="30" t="str">
        <f t="shared" si="2256"/>
        <v/>
      </c>
      <c r="DM130" s="30" t="str">
        <f t="shared" si="2257"/>
        <v/>
      </c>
      <c r="DN130" s="30" t="str">
        <f t="shared" si="2258"/>
        <v/>
      </c>
      <c r="DO130" s="30" t="str">
        <f t="shared" si="2259"/>
        <v/>
      </c>
      <c r="DP130" s="30" t="str">
        <f t="shared" si="2260"/>
        <v/>
      </c>
      <c r="DQ130" s="30" t="str">
        <f t="shared" si="2261"/>
        <v/>
      </c>
      <c r="DR130" s="30" t="str">
        <f t="shared" si="2262"/>
        <v/>
      </c>
      <c r="DS130" s="30" t="str">
        <f t="shared" si="2263"/>
        <v/>
      </c>
      <c r="DT130" s="30" t="str">
        <f t="shared" si="2264"/>
        <v/>
      </c>
      <c r="DU130" s="30" t="str">
        <f t="shared" si="2265"/>
        <v/>
      </c>
      <c r="DV130" s="30" t="str">
        <f t="shared" si="2266"/>
        <v/>
      </c>
      <c r="DW130" s="30" t="str">
        <f t="shared" si="2267"/>
        <v/>
      </c>
      <c r="DX130" s="30" t="str">
        <f t="shared" si="2268"/>
        <v/>
      </c>
      <c r="DY130" s="30" t="str">
        <f t="shared" si="2269"/>
        <v/>
      </c>
      <c r="DZ130" s="30" t="str">
        <f t="shared" si="2270"/>
        <v/>
      </c>
      <c r="EA130" s="30" t="str">
        <f t="shared" si="2271"/>
        <v/>
      </c>
      <c r="EB130" s="30" t="str">
        <f t="shared" si="2272"/>
        <v/>
      </c>
      <c r="EC130" s="30" t="str">
        <f t="shared" si="2273"/>
        <v/>
      </c>
      <c r="ED130" s="30" t="str">
        <f t="shared" si="2274"/>
        <v/>
      </c>
      <c r="EE130" s="30" t="str">
        <f t="shared" si="2275"/>
        <v/>
      </c>
      <c r="EF130" s="30" t="str">
        <f t="shared" si="2276"/>
        <v/>
      </c>
      <c r="EG130" s="30" t="str">
        <f t="shared" si="2277"/>
        <v/>
      </c>
      <c r="EH130" s="30" t="str">
        <f t="shared" si="2278"/>
        <v/>
      </c>
      <c r="EI130" s="30" t="str">
        <f t="shared" si="2279"/>
        <v/>
      </c>
      <c r="EJ130" s="30" t="str">
        <f t="shared" si="2280"/>
        <v/>
      </c>
      <c r="EK130" s="30" t="str">
        <f t="shared" si="2281"/>
        <v/>
      </c>
      <c r="EL130" s="30" t="str">
        <f t="shared" si="2282"/>
        <v/>
      </c>
      <c r="EM130" s="30" t="str">
        <f t="shared" si="2283"/>
        <v/>
      </c>
      <c r="EN130" s="30" t="str">
        <f t="shared" si="2284"/>
        <v/>
      </c>
      <c r="EO130" s="30" t="str">
        <f t="shared" si="2285"/>
        <v/>
      </c>
      <c r="EP130" s="30" t="str">
        <f t="shared" si="2286"/>
        <v/>
      </c>
      <c r="EQ130" s="30" t="str">
        <f t="shared" si="2287"/>
        <v/>
      </c>
      <c r="ER130" s="30" t="str">
        <f t="shared" si="2288"/>
        <v/>
      </c>
      <c r="ES130" s="30" t="str">
        <f t="shared" si="2289"/>
        <v/>
      </c>
      <c r="ET130" s="30" t="str">
        <f t="shared" si="2290"/>
        <v/>
      </c>
      <c r="EU130" s="30" t="str">
        <f t="shared" si="2291"/>
        <v/>
      </c>
      <c r="EV130" s="30" t="str">
        <f t="shared" si="2292"/>
        <v/>
      </c>
      <c r="EW130" s="30" t="str">
        <f t="shared" si="2293"/>
        <v/>
      </c>
      <c r="EX130" s="30" t="str">
        <f t="shared" si="2294"/>
        <v/>
      </c>
      <c r="EY130" s="30" t="str">
        <f t="shared" si="2295"/>
        <v/>
      </c>
      <c r="EZ130" s="30" t="str">
        <f t="shared" si="2296"/>
        <v/>
      </c>
      <c r="FA130" s="30" t="str">
        <f t="shared" si="2297"/>
        <v/>
      </c>
      <c r="FB130" s="30" t="str">
        <f t="shared" si="2298"/>
        <v/>
      </c>
      <c r="FC130" s="30" t="str">
        <f t="shared" si="2299"/>
        <v/>
      </c>
      <c r="FD130" s="30" t="str">
        <f t="shared" si="2300"/>
        <v/>
      </c>
      <c r="FE130" s="30" t="str">
        <f t="shared" si="2301"/>
        <v/>
      </c>
      <c r="FF130" s="30" t="str">
        <f t="shared" si="2302"/>
        <v/>
      </c>
      <c r="FG130" s="30" t="str">
        <f t="shared" si="2303"/>
        <v/>
      </c>
      <c r="FH130" s="30" t="str">
        <f t="shared" si="2304"/>
        <v/>
      </c>
      <c r="FI130" s="30" t="str">
        <f t="shared" si="2305"/>
        <v/>
      </c>
      <c r="FJ130" s="30" t="str">
        <f t="shared" si="2306"/>
        <v/>
      </c>
      <c r="FK130" s="30" t="str">
        <f t="shared" si="2307"/>
        <v/>
      </c>
      <c r="FL130" s="30" t="str">
        <f t="shared" si="2308"/>
        <v/>
      </c>
      <c r="FM130" s="30" t="str">
        <f t="shared" si="2309"/>
        <v/>
      </c>
      <c r="FN130" s="30" t="str">
        <f t="shared" si="2310"/>
        <v/>
      </c>
      <c r="FO130" s="30" t="str">
        <f t="shared" si="2311"/>
        <v/>
      </c>
      <c r="FP130" s="30" t="str">
        <f t="shared" si="2312"/>
        <v/>
      </c>
      <c r="FQ130" s="30" t="str">
        <f t="shared" si="2313"/>
        <v/>
      </c>
      <c r="FR130" s="30" t="str">
        <f t="shared" si="2314"/>
        <v/>
      </c>
      <c r="FS130" s="30" t="str">
        <f t="shared" si="2315"/>
        <v/>
      </c>
    </row>
    <row r="131" spans="1:175" ht="16.5">
      <c r="A131" s="117"/>
      <c r="B131" s="111" t="s">
        <v>905</v>
      </c>
      <c r="C131" s="117" t="s">
        <v>906</v>
      </c>
      <c r="T131" s="117" t="s">
        <v>892</v>
      </c>
      <c r="U131" s="37" t="s">
        <v>822</v>
      </c>
      <c r="CN131" s="7" t="str">
        <f t="shared" si="2239"/>
        <v>InitUnitState('IH07',,,,,,,,,,)</v>
      </c>
      <c r="CO131" s="7" t="str">
        <f t="shared" si="2240"/>
        <v>InitUnitNormal('IH07',,,,,,,,,,)</v>
      </c>
      <c r="CP131" s="7" t="str">
        <f t="shared" si="2241"/>
        <v>InitUnitMagic('IH07',,,,,,,,,,)</v>
      </c>
      <c r="CQ131" s="7" t="str">
        <f t="shared" si="2242"/>
        <v>InitUnitAdd('IH07',,,,,,,,,,)</v>
      </c>
      <c r="CR131" s="7" t="str">
        <f t="shared" si="2243"/>
        <v>InitEquipData('IH07',,"",,,,,'','','','','','',"ReplaceableTextures\\CommandButtons\\BTNTome.blp")</v>
      </c>
      <c r="CU131" s="45" t="str">
        <f t="shared" si="2244"/>
        <v>|n</v>
      </c>
      <c r="CV131" s="29" t="str">
        <f t="shared" si="2245"/>
        <v>觉醒兽魂</v>
      </c>
      <c r="CW131" s="24"/>
      <c r="CX131" s="24"/>
      <c r="CY131" s="24"/>
      <c r="CZ131" s="24"/>
      <c r="DA131" s="24"/>
      <c r="DB131" s="30" t="str">
        <f t="shared" si="2246"/>
        <v/>
      </c>
      <c r="DC131" s="30" t="str">
        <f t="shared" si="2247"/>
        <v/>
      </c>
      <c r="DD131" s="30" t="str">
        <f t="shared" si="2248"/>
        <v/>
      </c>
      <c r="DE131" s="30" t="str">
        <f t="shared" si="2249"/>
        <v/>
      </c>
      <c r="DF131" s="30" t="str">
        <f t="shared" si="2250"/>
        <v/>
      </c>
      <c r="DG131" s="30" t="str">
        <f t="shared" si="2251"/>
        <v/>
      </c>
      <c r="DH131" s="30" t="str">
        <f t="shared" si="2252"/>
        <v/>
      </c>
      <c r="DI131" s="30" t="str">
        <f t="shared" si="2253"/>
        <v/>
      </c>
      <c r="DJ131" s="30" t="str">
        <f t="shared" si="2254"/>
        <v/>
      </c>
      <c r="DK131" s="30" t="str">
        <f t="shared" si="2255"/>
        <v/>
      </c>
      <c r="DL131" s="30" t="str">
        <f t="shared" si="2256"/>
        <v/>
      </c>
      <c r="DM131" s="30" t="str">
        <f t="shared" si="2257"/>
        <v/>
      </c>
      <c r="DN131" s="30" t="str">
        <f t="shared" si="2258"/>
        <v/>
      </c>
      <c r="DO131" s="30" t="str">
        <f t="shared" si="2259"/>
        <v/>
      </c>
      <c r="DP131" s="30" t="str">
        <f t="shared" si="2260"/>
        <v/>
      </c>
      <c r="DQ131" s="30" t="str">
        <f t="shared" si="2261"/>
        <v/>
      </c>
      <c r="DR131" s="30" t="str">
        <f t="shared" si="2262"/>
        <v/>
      </c>
      <c r="DS131" s="30" t="str">
        <f t="shared" si="2263"/>
        <v/>
      </c>
      <c r="DT131" s="30" t="str">
        <f t="shared" si="2264"/>
        <v/>
      </c>
      <c r="DU131" s="30" t="str">
        <f t="shared" si="2265"/>
        <v/>
      </c>
      <c r="DV131" s="30" t="str">
        <f t="shared" si="2266"/>
        <v/>
      </c>
      <c r="DW131" s="30" t="str">
        <f t="shared" si="2267"/>
        <v/>
      </c>
      <c r="DX131" s="30" t="str">
        <f t="shared" si="2268"/>
        <v/>
      </c>
      <c r="DY131" s="30" t="str">
        <f t="shared" si="2269"/>
        <v/>
      </c>
      <c r="DZ131" s="30" t="str">
        <f t="shared" si="2270"/>
        <v/>
      </c>
      <c r="EA131" s="30" t="str">
        <f t="shared" si="2271"/>
        <v/>
      </c>
      <c r="EB131" s="30" t="str">
        <f t="shared" si="2272"/>
        <v/>
      </c>
      <c r="EC131" s="30" t="str">
        <f t="shared" si="2273"/>
        <v/>
      </c>
      <c r="ED131" s="30" t="str">
        <f t="shared" si="2274"/>
        <v/>
      </c>
      <c r="EE131" s="30" t="str">
        <f t="shared" si="2275"/>
        <v/>
      </c>
      <c r="EF131" s="30" t="str">
        <f t="shared" si="2276"/>
        <v/>
      </c>
      <c r="EG131" s="30" t="str">
        <f t="shared" si="2277"/>
        <v/>
      </c>
      <c r="EH131" s="30" t="str">
        <f t="shared" si="2278"/>
        <v/>
      </c>
      <c r="EI131" s="30" t="str">
        <f t="shared" si="2279"/>
        <v/>
      </c>
      <c r="EJ131" s="30" t="str">
        <f t="shared" si="2280"/>
        <v/>
      </c>
      <c r="EK131" s="30" t="str">
        <f t="shared" si="2281"/>
        <v/>
      </c>
      <c r="EL131" s="30" t="str">
        <f t="shared" si="2282"/>
        <v/>
      </c>
      <c r="EM131" s="30" t="str">
        <f t="shared" si="2283"/>
        <v/>
      </c>
      <c r="EN131" s="30" t="str">
        <f t="shared" si="2284"/>
        <v/>
      </c>
      <c r="EO131" s="30" t="str">
        <f t="shared" si="2285"/>
        <v/>
      </c>
      <c r="EP131" s="30" t="str">
        <f t="shared" si="2286"/>
        <v/>
      </c>
      <c r="EQ131" s="30" t="str">
        <f t="shared" si="2287"/>
        <v/>
      </c>
      <c r="ER131" s="30" t="str">
        <f t="shared" si="2288"/>
        <v/>
      </c>
      <c r="ES131" s="30" t="str">
        <f t="shared" si="2289"/>
        <v/>
      </c>
      <c r="ET131" s="30" t="str">
        <f t="shared" si="2290"/>
        <v/>
      </c>
      <c r="EU131" s="30" t="str">
        <f t="shared" si="2291"/>
        <v/>
      </c>
      <c r="EV131" s="30" t="str">
        <f t="shared" si="2292"/>
        <v/>
      </c>
      <c r="EW131" s="30" t="str">
        <f t="shared" si="2293"/>
        <v/>
      </c>
      <c r="EX131" s="30" t="str">
        <f t="shared" si="2294"/>
        <v/>
      </c>
      <c r="EY131" s="30" t="str">
        <f t="shared" si="2295"/>
        <v/>
      </c>
      <c r="EZ131" s="30" t="str">
        <f t="shared" si="2296"/>
        <v/>
      </c>
      <c r="FA131" s="30" t="str">
        <f t="shared" si="2297"/>
        <v/>
      </c>
      <c r="FB131" s="30" t="str">
        <f t="shared" si="2298"/>
        <v/>
      </c>
      <c r="FC131" s="30" t="str">
        <f t="shared" si="2299"/>
        <v/>
      </c>
      <c r="FD131" s="30" t="str">
        <f t="shared" si="2300"/>
        <v/>
      </c>
      <c r="FE131" s="30" t="str">
        <f t="shared" si="2301"/>
        <v/>
      </c>
      <c r="FF131" s="30" t="str">
        <f t="shared" si="2302"/>
        <v/>
      </c>
      <c r="FG131" s="30" t="str">
        <f t="shared" si="2303"/>
        <v/>
      </c>
      <c r="FH131" s="30" t="str">
        <f t="shared" si="2304"/>
        <v/>
      </c>
      <c r="FI131" s="30" t="str">
        <f t="shared" si="2305"/>
        <v/>
      </c>
      <c r="FJ131" s="30" t="str">
        <f t="shared" si="2306"/>
        <v/>
      </c>
      <c r="FK131" s="30" t="str">
        <f t="shared" si="2307"/>
        <v/>
      </c>
      <c r="FL131" s="30" t="str">
        <f t="shared" si="2308"/>
        <v/>
      </c>
      <c r="FM131" s="30" t="str">
        <f t="shared" si="2309"/>
        <v/>
      </c>
      <c r="FN131" s="30" t="str">
        <f t="shared" si="2310"/>
        <v/>
      </c>
      <c r="FO131" s="30" t="str">
        <f t="shared" si="2311"/>
        <v/>
      </c>
      <c r="FP131" s="30" t="str">
        <f t="shared" si="2312"/>
        <v/>
      </c>
      <c r="FQ131" s="30" t="str">
        <f t="shared" si="2313"/>
        <v/>
      </c>
      <c r="FR131" s="30" t="str">
        <f t="shared" si="2314"/>
        <v/>
      </c>
      <c r="FS131" s="30" t="str">
        <f t="shared" si="2315"/>
        <v/>
      </c>
    </row>
    <row r="132" spans="1:175" ht="16.5">
      <c r="A132" s="117"/>
      <c r="B132" s="111" t="s">
        <v>907</v>
      </c>
      <c r="C132" s="117" t="s">
        <v>908</v>
      </c>
      <c r="T132" s="117" t="s">
        <v>892</v>
      </c>
      <c r="U132" s="37" t="s">
        <v>822</v>
      </c>
      <c r="CN132" s="7" t="str">
        <f t="shared" si="2239"/>
        <v>InitUnitState('IH08',,,,,,,,,,)</v>
      </c>
      <c r="CO132" s="7" t="str">
        <f t="shared" si="2240"/>
        <v>InitUnitNormal('IH08',,,,,,,,,,)</v>
      </c>
      <c r="CP132" s="7" t="str">
        <f t="shared" si="2241"/>
        <v>InitUnitMagic('IH08',,,,,,,,,,)</v>
      </c>
      <c r="CQ132" s="7" t="str">
        <f t="shared" si="2242"/>
        <v>InitUnitAdd('IH08',,,,,,,,,,)</v>
      </c>
      <c r="CR132" s="7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138&amp;CR$1&amp;")"</f>
        <v>InitEquipData('IH08',,"",,,,,'','','','','','',"")</v>
      </c>
      <c r="CU132" s="45" t="str">
        <f t="shared" si="2244"/>
        <v>|n</v>
      </c>
      <c r="CV132" s="29" t="str">
        <f t="shared" si="2245"/>
        <v>觉醒兽魂</v>
      </c>
      <c r="CW132" s="24"/>
      <c r="CX132" s="24"/>
      <c r="CY132" s="24"/>
      <c r="CZ132" s="24"/>
      <c r="DA132" s="24"/>
      <c r="DB132" s="30" t="str">
        <f t="shared" si="2246"/>
        <v/>
      </c>
      <c r="DC132" s="30" t="str">
        <f t="shared" si="2247"/>
        <v/>
      </c>
      <c r="DD132" s="30" t="str">
        <f t="shared" si="2248"/>
        <v/>
      </c>
      <c r="DE132" s="30" t="str">
        <f t="shared" si="2249"/>
        <v/>
      </c>
      <c r="DF132" s="30" t="str">
        <f t="shared" si="2250"/>
        <v/>
      </c>
      <c r="DG132" s="30" t="str">
        <f t="shared" si="2251"/>
        <v/>
      </c>
      <c r="DH132" s="30" t="str">
        <f t="shared" si="2252"/>
        <v/>
      </c>
      <c r="DI132" s="30" t="str">
        <f t="shared" si="2253"/>
        <v/>
      </c>
      <c r="DJ132" s="30" t="str">
        <f t="shared" si="2254"/>
        <v/>
      </c>
      <c r="DK132" s="30" t="str">
        <f t="shared" si="2255"/>
        <v/>
      </c>
      <c r="DL132" s="30" t="str">
        <f t="shared" si="2256"/>
        <v/>
      </c>
      <c r="DM132" s="30" t="str">
        <f t="shared" si="2257"/>
        <v/>
      </c>
      <c r="DN132" s="30" t="str">
        <f t="shared" si="2258"/>
        <v/>
      </c>
      <c r="DO132" s="30" t="str">
        <f t="shared" si="2259"/>
        <v/>
      </c>
      <c r="DP132" s="30" t="str">
        <f t="shared" si="2260"/>
        <v/>
      </c>
      <c r="DQ132" s="30" t="str">
        <f t="shared" si="2261"/>
        <v/>
      </c>
      <c r="DR132" s="30" t="str">
        <f t="shared" si="2262"/>
        <v/>
      </c>
      <c r="DS132" s="30" t="str">
        <f t="shared" si="2263"/>
        <v/>
      </c>
      <c r="DT132" s="30" t="str">
        <f t="shared" si="2264"/>
        <v/>
      </c>
      <c r="DU132" s="30" t="str">
        <f t="shared" si="2265"/>
        <v/>
      </c>
      <c r="DV132" s="30" t="str">
        <f t="shared" si="2266"/>
        <v/>
      </c>
      <c r="DW132" s="30" t="str">
        <f t="shared" si="2267"/>
        <v/>
      </c>
      <c r="DX132" s="30" t="str">
        <f t="shared" si="2268"/>
        <v/>
      </c>
      <c r="DY132" s="30" t="str">
        <f t="shared" si="2269"/>
        <v/>
      </c>
      <c r="DZ132" s="30" t="str">
        <f t="shared" si="2270"/>
        <v/>
      </c>
      <c r="EA132" s="30" t="str">
        <f t="shared" si="2271"/>
        <v/>
      </c>
      <c r="EB132" s="30" t="str">
        <f t="shared" si="2272"/>
        <v/>
      </c>
      <c r="EC132" s="30" t="str">
        <f t="shared" si="2273"/>
        <v/>
      </c>
      <c r="ED132" s="30" t="str">
        <f t="shared" si="2274"/>
        <v/>
      </c>
      <c r="EE132" s="30" t="str">
        <f t="shared" si="2275"/>
        <v/>
      </c>
      <c r="EF132" s="30" t="str">
        <f t="shared" si="2276"/>
        <v/>
      </c>
      <c r="EG132" s="30" t="str">
        <f t="shared" si="2277"/>
        <v/>
      </c>
      <c r="EH132" s="30" t="str">
        <f t="shared" si="2278"/>
        <v/>
      </c>
      <c r="EI132" s="30" t="str">
        <f t="shared" si="2279"/>
        <v/>
      </c>
      <c r="EJ132" s="30" t="str">
        <f t="shared" si="2280"/>
        <v/>
      </c>
      <c r="EK132" s="30" t="str">
        <f t="shared" si="2281"/>
        <v/>
      </c>
      <c r="EL132" s="30" t="str">
        <f t="shared" si="2282"/>
        <v/>
      </c>
      <c r="EM132" s="30" t="str">
        <f t="shared" si="2283"/>
        <v/>
      </c>
      <c r="EN132" s="30" t="str">
        <f t="shared" si="2284"/>
        <v/>
      </c>
      <c r="EO132" s="30" t="str">
        <f t="shared" si="2285"/>
        <v/>
      </c>
      <c r="EP132" s="30" t="str">
        <f t="shared" si="2286"/>
        <v/>
      </c>
      <c r="EQ132" s="30" t="str">
        <f t="shared" si="2287"/>
        <v/>
      </c>
      <c r="ER132" s="30" t="str">
        <f t="shared" si="2288"/>
        <v/>
      </c>
      <c r="ES132" s="30" t="str">
        <f t="shared" si="2289"/>
        <v/>
      </c>
      <c r="ET132" s="30" t="str">
        <f t="shared" si="2290"/>
        <v/>
      </c>
      <c r="EU132" s="30" t="str">
        <f t="shared" si="2291"/>
        <v/>
      </c>
      <c r="EV132" s="30" t="str">
        <f t="shared" si="2292"/>
        <v/>
      </c>
      <c r="EW132" s="30" t="str">
        <f t="shared" si="2293"/>
        <v/>
      </c>
      <c r="EX132" s="30" t="str">
        <f t="shared" si="2294"/>
        <v/>
      </c>
      <c r="EY132" s="30" t="str">
        <f t="shared" si="2295"/>
        <v/>
      </c>
      <c r="EZ132" s="30" t="str">
        <f t="shared" si="2296"/>
        <v/>
      </c>
      <c r="FA132" s="30" t="str">
        <f t="shared" si="2297"/>
        <v/>
      </c>
      <c r="FB132" s="30" t="str">
        <f t="shared" si="2298"/>
        <v/>
      </c>
      <c r="FC132" s="30" t="str">
        <f t="shared" si="2299"/>
        <v/>
      </c>
      <c r="FD132" s="30" t="str">
        <f t="shared" si="2300"/>
        <v/>
      </c>
      <c r="FE132" s="30" t="str">
        <f t="shared" si="2301"/>
        <v/>
      </c>
      <c r="FF132" s="30" t="str">
        <f t="shared" si="2302"/>
        <v/>
      </c>
      <c r="FG132" s="30" t="str">
        <f t="shared" si="2303"/>
        <v/>
      </c>
      <c r="FH132" s="30" t="str">
        <f t="shared" si="2304"/>
        <v/>
      </c>
      <c r="FI132" s="30" t="str">
        <f t="shared" si="2305"/>
        <v/>
      </c>
      <c r="FJ132" s="30" t="str">
        <f t="shared" si="2306"/>
        <v/>
      </c>
      <c r="FK132" s="30" t="str">
        <f t="shared" si="2307"/>
        <v/>
      </c>
      <c r="FL132" s="30" t="str">
        <f t="shared" si="2308"/>
        <v/>
      </c>
      <c r="FM132" s="30" t="str">
        <f t="shared" si="2309"/>
        <v/>
      </c>
      <c r="FN132" s="30" t="str">
        <f t="shared" si="2310"/>
        <v/>
      </c>
      <c r="FO132" s="30" t="str">
        <f t="shared" si="2311"/>
        <v/>
      </c>
      <c r="FP132" s="30" t="str">
        <f t="shared" si="2312"/>
        <v/>
      </c>
      <c r="FQ132" s="30" t="str">
        <f t="shared" si="2313"/>
        <v/>
      </c>
      <c r="FR132" s="30" t="str">
        <f t="shared" si="2314"/>
        <v/>
      </c>
      <c r="FS132" s="30" t="str">
        <f t="shared" si="2315"/>
        <v/>
      </c>
    </row>
    <row r="133" spans="1:175" ht="16.5">
      <c r="A133" s="117"/>
      <c r="B133" s="66" t="s">
        <v>909</v>
      </c>
      <c r="C133" s="88" t="s">
        <v>910</v>
      </c>
      <c r="T133" s="88" t="s">
        <v>910</v>
      </c>
      <c r="U133" s="37" t="s">
        <v>822</v>
      </c>
      <c r="CN133" s="7" t="str">
        <f t="shared" ref="CN133:CN137" si="2316">"InitUnitState('"&amp;B133&amp;"',"&amp;V133&amp;","&amp;W133&amp;","&amp;X133&amp;","&amp;Y133&amp;","&amp;Z133&amp;","&amp;AA133&amp;","&amp;AB133&amp;","&amp;AC133&amp;","&amp;AD133&amp;","&amp;AE133&amp;")"</f>
        <v>InitUnitState('IB01',,,,,,,,,,)</v>
      </c>
      <c r="CO133" s="7" t="str">
        <f t="shared" ref="CO133:CO137" si="2317">"InitUnitNormal('"&amp;B133&amp;"',"&amp;AF133&amp;","&amp;AG133&amp;","&amp;AH133&amp;","&amp;AI133&amp;","&amp;AJ133&amp;","&amp;AK133&amp;","&amp;AL133&amp;","&amp;AM133&amp;","&amp;AN133&amp;","&amp;AO133&amp;")"</f>
        <v>InitUnitNormal('IB01',,,,,,,,,,)</v>
      </c>
      <c r="CP133" s="7" t="str">
        <f t="shared" ref="CP133:CP137" si="2318">"InitUnitMagic('"&amp;B133&amp;"',"&amp;AP133&amp;","&amp;AQ133&amp;","&amp;AR133&amp;","&amp;AS133&amp;","&amp;AT133&amp;","&amp;AU133&amp;","&amp;AV133&amp;","&amp;AW133&amp;","&amp;BI133&amp;","&amp;BJ133&amp;")"</f>
        <v>InitUnitMagic('IB01',,,,,,,,,,)</v>
      </c>
      <c r="CQ133" s="7" t="str">
        <f t="shared" ref="CQ133:CQ137" si="2319">"InitUnitAdd('"&amp;B133&amp;"',"&amp;BK133&amp;","&amp;BL133&amp;","&amp;BM133&amp;","&amp;BN133&amp;","&amp;BO133&amp;","&amp;BP133&amp;","&amp;BQ133&amp;","&amp;BR133&amp;","&amp;BS133&amp;","&amp;BT133&amp;")"</f>
        <v>InitUnitAdd('IB01',,,,,,,,,,)</v>
      </c>
      <c r="CR133" s="7" t="str">
        <f t="shared" ref="CR133:CR136" si="2320"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InitEquipData('IB01',,"",,,,,'','','','','','',"ReplaceableTextures\\CommandButtons\\BTNTome.blp")</v>
      </c>
      <c r="CU133" s="45" t="str">
        <f t="shared" ref="CU133:CU137" si="2321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29" t="str">
        <f t="shared" ref="CV133:CV137" si="2322">T133</f>
        <v>入群礼包</v>
      </c>
      <c r="CW133" s="24"/>
      <c r="CX133" s="24"/>
      <c r="CY133" s="24"/>
      <c r="CZ133" s="24"/>
      <c r="DA133" s="24"/>
      <c r="DB133" s="30" t="str">
        <f t="shared" ref="DB133:DB137" si="2323">IF(V133="","","|n"&amp;DB$2&amp;"+"&amp;V133&amp;DB$1)</f>
        <v/>
      </c>
      <c r="DC133" s="30" t="str">
        <f t="shared" ref="DC133:DC137" si="2324">IF(W133="","","|n"&amp;DC$2&amp;"+"&amp;W133&amp;DC$1)</f>
        <v/>
      </c>
      <c r="DD133" s="30" t="str">
        <f t="shared" ref="DD133:DD137" si="2325">IF(X133="","","|n"&amp;DD$2&amp;"+"&amp;X133&amp;DD$1)</f>
        <v/>
      </c>
      <c r="DE133" s="30" t="str">
        <f t="shared" ref="DE133:DE137" si="2326">IF(Y133="","","|n"&amp;DE$2&amp;"+"&amp;Y133&amp;DE$1)</f>
        <v/>
      </c>
      <c r="DF133" s="30" t="str">
        <f t="shared" ref="DF133:DF137" si="2327">IF(Z133="","","|n"&amp;DF$2&amp;"+"&amp;Z133&amp;DF$1)</f>
        <v/>
      </c>
      <c r="DG133" s="30" t="str">
        <f t="shared" ref="DG133:DG137" si="2328">IF(AA133="","","|n"&amp;DG$2&amp;"+"&amp;AA133&amp;DG$1)</f>
        <v/>
      </c>
      <c r="DH133" s="30" t="str">
        <f t="shared" ref="DH133:DH137" si="2329">IF(AB133="","","|n"&amp;DH$2&amp;"+"&amp;AB133&amp;DH$1)</f>
        <v/>
      </c>
      <c r="DI133" s="30" t="str">
        <f t="shared" ref="DI133:DI137" si="2330">IF(AC133="","","|n"&amp;DI$2&amp;"+"&amp;AC133&amp;DI$1)</f>
        <v/>
      </c>
      <c r="DJ133" s="30" t="str">
        <f t="shared" ref="DJ133:DJ137" si="2331">IF(AD133="","","|n"&amp;DJ$2&amp;"+"&amp;AD133&amp;DJ$1)</f>
        <v/>
      </c>
      <c r="DK133" s="30" t="str">
        <f t="shared" ref="DK133:DK137" si="2332">IF(AE133="","","|n"&amp;DK$2&amp;"+"&amp;AE133&amp;DK$1)</f>
        <v/>
      </c>
      <c r="DL133" s="30" t="str">
        <f t="shared" ref="DL133:DL137" si="2333">IF(AF133="","","|n"&amp;DL$2&amp;"+"&amp;AF133&amp;DL$1)</f>
        <v/>
      </c>
      <c r="DM133" s="30" t="str">
        <f t="shared" ref="DM133:DM137" si="2334">IF(AG133="","","|n"&amp;DM$2&amp;"+"&amp;AG133&amp;DM$1)</f>
        <v/>
      </c>
      <c r="DN133" s="30" t="str">
        <f t="shared" ref="DN133:DN137" si="2335">IF(AH133="","","|n"&amp;DN$2&amp;"+"&amp;AH133&amp;DN$1)</f>
        <v/>
      </c>
      <c r="DO133" s="30" t="str">
        <f t="shared" ref="DO133:DO137" si="2336">IF(AI133="","","|n"&amp;DO$2&amp;"+"&amp;AI133&amp;DO$1)</f>
        <v/>
      </c>
      <c r="DP133" s="30" t="str">
        <f t="shared" ref="DP133:DP137" si="2337">IF(AJ133="","","|n"&amp;DP$2&amp;"+"&amp;AJ133&amp;DP$1)</f>
        <v/>
      </c>
      <c r="DQ133" s="30" t="str">
        <f t="shared" ref="DQ133:DQ137" si="2338">IF(AK133="","","|n"&amp;DQ$2&amp;"+"&amp;AK133&amp;DQ$1)</f>
        <v/>
      </c>
      <c r="DR133" s="30" t="str">
        <f t="shared" ref="DR133:DR137" si="2339">IF(AL133="","","|n"&amp;DR$2&amp;"+"&amp;AL133&amp;DR$1)</f>
        <v/>
      </c>
      <c r="DS133" s="30" t="str">
        <f t="shared" ref="DS133:DS137" si="2340">IF(AM133="","","|n"&amp;DS$2&amp;"+"&amp;AM133&amp;DS$1)</f>
        <v/>
      </c>
      <c r="DT133" s="30" t="str">
        <f t="shared" ref="DT133:DT137" si="2341">IF(AN133="","","|n"&amp;DT$2&amp;"+"&amp;AN133&amp;DT$1)</f>
        <v/>
      </c>
      <c r="DU133" s="30" t="str">
        <f t="shared" ref="DU133:DU137" si="2342">IF(AO133="","","|n"&amp;DU$2&amp;"+"&amp;AO133&amp;DU$1)</f>
        <v/>
      </c>
      <c r="DV133" s="30" t="str">
        <f t="shared" ref="DV133:DV137" si="2343">IF(AP133="","","|n"&amp;DV$2&amp;"+"&amp;AP133&amp;DV$1)</f>
        <v/>
      </c>
      <c r="DW133" s="30" t="str">
        <f t="shared" ref="DW133:DW137" si="2344">IF(AQ133="","","|n"&amp;DW$2&amp;"+"&amp;AQ133&amp;DW$1)</f>
        <v/>
      </c>
      <c r="DX133" s="30" t="str">
        <f t="shared" ref="DX133:DX137" si="2345">IF(AR133="","","|n"&amp;DX$2&amp;"+"&amp;AR133&amp;DX$1)</f>
        <v/>
      </c>
      <c r="DY133" s="30" t="str">
        <f t="shared" ref="DY133:DY137" si="2346">IF(AS133="","","|n"&amp;DY$2&amp;"+"&amp;AS133&amp;DY$1)</f>
        <v/>
      </c>
      <c r="DZ133" s="30" t="str">
        <f t="shared" ref="DZ133:DZ137" si="2347">IF(AT133="","","|n"&amp;DZ$2&amp;"+"&amp;AT133&amp;DZ$1)</f>
        <v/>
      </c>
      <c r="EA133" s="30" t="str">
        <f t="shared" ref="EA133:EA137" si="2348">IF(AU133="","","|n"&amp;EA$2&amp;"+"&amp;AU133&amp;EA$1)</f>
        <v/>
      </c>
      <c r="EB133" s="30" t="str">
        <f t="shared" ref="EB133:EB137" si="2349">IF(AV133="","","|n"&amp;EB$2&amp;"+"&amp;AV133&amp;EB$1)</f>
        <v/>
      </c>
      <c r="EC133" s="30" t="str">
        <f t="shared" ref="EC133:EC137" si="2350">IF(AW133="","","|n"&amp;EC$2&amp;"+"&amp;AW133&amp;EC$1)</f>
        <v/>
      </c>
      <c r="ED133" s="30" t="str">
        <f t="shared" ref="ED133:ED137" si="2351">IF(AX133="","","|n"&amp;ED$2&amp;"+"&amp;AX133&amp;ED$1)</f>
        <v/>
      </c>
      <c r="EE133" s="30" t="str">
        <f t="shared" ref="EE133:EE137" si="2352">IF(AY133="","","|n"&amp;EE$2&amp;"+"&amp;AY133&amp;EE$1)</f>
        <v/>
      </c>
      <c r="EF133" s="30" t="str">
        <f t="shared" ref="EF133:EF137" si="2353">IF(AZ133="","","|n"&amp;EF$2&amp;"+"&amp;AZ133&amp;EF$1)</f>
        <v/>
      </c>
      <c r="EG133" s="30" t="str">
        <f t="shared" ref="EG133:EG137" si="2354">IF(BA133="","","|n"&amp;EG$2&amp;"+"&amp;BA133&amp;EG$1)</f>
        <v/>
      </c>
      <c r="EH133" s="30" t="str">
        <f t="shared" ref="EH133:EH137" si="2355">IF(BB133="","","|n"&amp;EH$2&amp;"+"&amp;BB133&amp;EH$1)</f>
        <v/>
      </c>
      <c r="EI133" s="30" t="str">
        <f t="shared" ref="EI133:EI137" si="2356">IF(BC133="","","|n"&amp;EI$2&amp;"+"&amp;BC133&amp;EI$1)</f>
        <v/>
      </c>
      <c r="EJ133" s="30" t="str">
        <f t="shared" ref="EJ133:EJ137" si="2357">IF(BD133="","","|n"&amp;EJ$2&amp;"+"&amp;BD133&amp;EJ$1)</f>
        <v/>
      </c>
      <c r="EK133" s="30" t="str">
        <f t="shared" ref="EK133:EK137" si="2358">IF(BE133="","","|n"&amp;EK$2&amp;"+"&amp;BE133&amp;EK$1)</f>
        <v/>
      </c>
      <c r="EL133" s="30" t="str">
        <f t="shared" ref="EL133:EL137" si="2359">IF(BF133="","","|n"&amp;EL$2&amp;"+"&amp;BF133&amp;EL$1)</f>
        <v/>
      </c>
      <c r="EM133" s="30" t="str">
        <f t="shared" ref="EM133:EM137" si="2360">IF(BG133="","","|n"&amp;EM$2&amp;"+"&amp;BG133&amp;EM$1)</f>
        <v/>
      </c>
      <c r="EN133" s="30" t="str">
        <f t="shared" ref="EN133:EN137" si="2361">IF(BH133="","","|n"&amp;EN$2&amp;"+"&amp;BH133&amp;EN$1)</f>
        <v/>
      </c>
      <c r="EO133" s="30" t="str">
        <f t="shared" ref="EO133:EO137" si="2362">IF(BI133="","","|n"&amp;EO$2&amp;"+"&amp;BI133&amp;EO$1)</f>
        <v/>
      </c>
      <c r="EP133" s="30" t="str">
        <f t="shared" ref="EP133:EP137" si="2363">IF(BJ133="","","|n"&amp;EP$2&amp;"+"&amp;BJ133&amp;EP$1)</f>
        <v/>
      </c>
      <c r="EQ133" s="30" t="str">
        <f t="shared" ref="EQ133:EQ137" si="2364">IF(BK133="","","|n"&amp;EQ$2&amp;"+"&amp;BK133&amp;EQ$1)</f>
        <v/>
      </c>
      <c r="ER133" s="30" t="str">
        <f t="shared" ref="ER133:ER137" si="2365">IF(BL133="","","|n"&amp;ER$2&amp;"+"&amp;BL133&amp;ER$1)</f>
        <v/>
      </c>
      <c r="ES133" s="30" t="str">
        <f t="shared" ref="ES133:ES137" si="2366">IF(BM133="","","|n"&amp;ES$2&amp;"+"&amp;BM133&amp;ES$1)</f>
        <v/>
      </c>
      <c r="ET133" s="30" t="str">
        <f t="shared" ref="ET133:ET137" si="2367">IF(BN133="","","|n"&amp;ET$2&amp;"+"&amp;BN133&amp;ET$1)</f>
        <v/>
      </c>
      <c r="EU133" s="30" t="str">
        <f t="shared" ref="EU133:EU137" si="2368">IF(BO133="","","|n"&amp;EU$2&amp;"+"&amp;BO133&amp;EU$1)</f>
        <v/>
      </c>
      <c r="EV133" s="30" t="str">
        <f t="shared" ref="EV133:EV137" si="2369">IF(BP133="","","|n"&amp;EV$2&amp;"+"&amp;BP133&amp;EV$1)</f>
        <v/>
      </c>
      <c r="EW133" s="30" t="str">
        <f t="shared" ref="EW133:EW137" si="2370">IF(BQ133="","","|n"&amp;EW$2&amp;"+"&amp;BQ133&amp;EW$1)</f>
        <v/>
      </c>
      <c r="EX133" s="30" t="str">
        <f t="shared" ref="EX133:EX137" si="2371">IF(BR133="","","|n"&amp;EX$2&amp;"+"&amp;BR133&amp;EX$1)</f>
        <v/>
      </c>
      <c r="EY133" s="30" t="str">
        <f t="shared" ref="EY133:EY137" si="2372">IF(BS133="","","|n"&amp;EY$2&amp;"+"&amp;BS133&amp;EY$1)</f>
        <v/>
      </c>
      <c r="EZ133" s="30" t="str">
        <f t="shared" ref="EZ133:EZ137" si="2373">IF(BT133="","","|n"&amp;EZ$2&amp;"+"&amp;BT133&amp;EZ$1)</f>
        <v/>
      </c>
      <c r="FA133" s="30" t="str">
        <f t="shared" ref="FA133:FA137" si="2374">IF(BU133="","","|n"&amp;FA$2&amp;"+"&amp;BU133&amp;FA$1)</f>
        <v/>
      </c>
      <c r="FB133" s="30" t="str">
        <f t="shared" ref="FB133:FB137" si="2375">IF(BV133="","","|n"&amp;FB$2&amp;"+"&amp;BV133&amp;FB$1)</f>
        <v/>
      </c>
      <c r="FC133" s="30" t="str">
        <f t="shared" ref="FC133:FC137" si="2376">IF(BW133="","","|n"&amp;FC$2&amp;"+"&amp;BW133&amp;FC$1)</f>
        <v/>
      </c>
      <c r="FD133" s="30" t="str">
        <f t="shared" ref="FD133:FD137" si="2377">IF(BX133="","","|n"&amp;FD$2&amp;"+"&amp;BX133&amp;FD$1)</f>
        <v/>
      </c>
      <c r="FE133" s="30" t="str">
        <f t="shared" ref="FE133:FE137" si="2378">IF(BY133="","","|n"&amp;FE$2&amp;"+"&amp;BY133&amp;FE$1)</f>
        <v/>
      </c>
      <c r="FF133" s="30" t="str">
        <f t="shared" ref="FF133:FF137" si="2379">IF(BZ133="","","|n"&amp;FF$2&amp;"+"&amp;BZ133&amp;FF$1)</f>
        <v/>
      </c>
      <c r="FG133" s="30" t="str">
        <f t="shared" ref="FG133:FG137" si="2380">IF(CA133="","","|n"&amp;FG$2&amp;"+"&amp;CA133&amp;FG$1)</f>
        <v/>
      </c>
      <c r="FH133" s="30" t="str">
        <f t="shared" ref="FH133:FH137" si="2381">IF(CB133="","","|n"&amp;FH$2&amp;"+"&amp;CB133&amp;FH$1)</f>
        <v/>
      </c>
      <c r="FI133" s="30" t="str">
        <f t="shared" ref="FI133:FI137" si="2382">IF(CC133="","","|n"&amp;FI$2&amp;"+"&amp;CC133&amp;FI$1)</f>
        <v/>
      </c>
      <c r="FJ133" s="30" t="str">
        <f t="shared" ref="FJ133:FJ137" si="2383">IF(CD133="","","|n"&amp;FJ$2&amp;"+"&amp;CD133&amp;FJ$1)</f>
        <v/>
      </c>
      <c r="FK133" s="30" t="str">
        <f t="shared" ref="FK133:FK137" si="2384">IF(CE133="","","|n"&amp;FK$2&amp;"+"&amp;CE133&amp;FK$1)</f>
        <v/>
      </c>
      <c r="FL133" s="30" t="str">
        <f t="shared" ref="FL133:FL137" si="2385">IF(CF133="","","|n"&amp;FL$2&amp;"+"&amp;CF133&amp;FL$1)</f>
        <v/>
      </c>
      <c r="FM133" s="30" t="str">
        <f t="shared" ref="FM133:FM137" si="2386">IF(CG133="","","|n"&amp;FM$2&amp;"+"&amp;CG133&amp;FM$1)</f>
        <v/>
      </c>
      <c r="FN133" s="30" t="str">
        <f t="shared" ref="FN133:FN137" si="2387">IF(CH133="","","|n"&amp;FN$2&amp;"+"&amp;CH133&amp;FN$1)</f>
        <v/>
      </c>
      <c r="FO133" s="30" t="str">
        <f t="shared" ref="FO133:FO137" si="2388">IF(CI133="","","|n"&amp;FO$2&amp;"+"&amp;CI133&amp;FO$1)</f>
        <v/>
      </c>
      <c r="FP133" s="30" t="str">
        <f t="shared" ref="FP133:FP137" si="2389">IF(CJ133="","","|n"&amp;FP$2&amp;"+"&amp;CJ133&amp;FP$1)</f>
        <v/>
      </c>
      <c r="FQ133" s="30" t="str">
        <f t="shared" ref="FQ133:FQ137" si="2390">IF(CK133="","","|n"&amp;FQ$2&amp;"+"&amp;CK133&amp;FQ$1)</f>
        <v/>
      </c>
      <c r="FR133" s="30" t="str">
        <f t="shared" ref="FR133:FR137" si="2391">IF(CL133="","","|n"&amp;FR$2&amp;"+"&amp;CL133&amp;FR$1)</f>
        <v/>
      </c>
      <c r="FS133" s="30" t="str">
        <f t="shared" ref="FS133:FS137" si="2392">IF(CM133="","","|n"&amp;FS$2&amp;"+"&amp;CM133&amp;FS$1)</f>
        <v/>
      </c>
    </row>
    <row r="134" spans="1:175" ht="16.5">
      <c r="A134" s="117"/>
      <c r="B134" s="66" t="s">
        <v>915</v>
      </c>
      <c r="C134" s="88" t="s">
        <v>911</v>
      </c>
      <c r="T134" s="88" t="s">
        <v>911</v>
      </c>
      <c r="U134" s="37" t="s">
        <v>822</v>
      </c>
      <c r="CN134" s="7" t="str">
        <f t="shared" si="2316"/>
        <v>InitUnitState('IB02',,,,,,,,,,)</v>
      </c>
      <c r="CO134" s="7" t="str">
        <f t="shared" si="2317"/>
        <v>InitUnitNormal('IB02',,,,,,,,,,)</v>
      </c>
      <c r="CP134" s="7" t="str">
        <f t="shared" si="2318"/>
        <v>InitUnitMagic('IB02',,,,,,,,,,)</v>
      </c>
      <c r="CQ134" s="7" t="str">
        <f t="shared" si="2319"/>
        <v>InitUnitAdd('IB02',,,,,,,,,,)</v>
      </c>
      <c r="CR134" s="7" t="str">
        <f t="shared" si="2320"/>
        <v>InitEquipData('IB02',,"",,,,,'','','','','','',"ReplaceableTextures\\CommandButtons\\BTNTome.blp")</v>
      </c>
      <c r="CU134" s="45" t="str">
        <f t="shared" si="2321"/>
        <v>|n</v>
      </c>
      <c r="CV134" s="29" t="str">
        <f t="shared" si="2322"/>
        <v>公众号礼包</v>
      </c>
      <c r="CW134" s="24"/>
      <c r="CX134" s="24"/>
      <c r="CY134" s="24"/>
      <c r="CZ134" s="24"/>
      <c r="DA134" s="24"/>
      <c r="DB134" s="30" t="str">
        <f t="shared" si="2323"/>
        <v/>
      </c>
      <c r="DC134" s="30" t="str">
        <f t="shared" si="2324"/>
        <v/>
      </c>
      <c r="DD134" s="30" t="str">
        <f t="shared" si="2325"/>
        <v/>
      </c>
      <c r="DE134" s="30" t="str">
        <f t="shared" si="2326"/>
        <v/>
      </c>
      <c r="DF134" s="30" t="str">
        <f t="shared" si="2327"/>
        <v/>
      </c>
      <c r="DG134" s="30" t="str">
        <f t="shared" si="2328"/>
        <v/>
      </c>
      <c r="DH134" s="30" t="str">
        <f t="shared" si="2329"/>
        <v/>
      </c>
      <c r="DI134" s="30" t="str">
        <f t="shared" si="2330"/>
        <v/>
      </c>
      <c r="DJ134" s="30" t="str">
        <f t="shared" si="2331"/>
        <v/>
      </c>
      <c r="DK134" s="30" t="str">
        <f t="shared" si="2332"/>
        <v/>
      </c>
      <c r="DL134" s="30" t="str">
        <f t="shared" si="2333"/>
        <v/>
      </c>
      <c r="DM134" s="30" t="str">
        <f t="shared" si="2334"/>
        <v/>
      </c>
      <c r="DN134" s="30" t="str">
        <f t="shared" si="2335"/>
        <v/>
      </c>
      <c r="DO134" s="30" t="str">
        <f t="shared" si="2336"/>
        <v/>
      </c>
      <c r="DP134" s="30" t="str">
        <f t="shared" si="2337"/>
        <v/>
      </c>
      <c r="DQ134" s="30" t="str">
        <f t="shared" si="2338"/>
        <v/>
      </c>
      <c r="DR134" s="30" t="str">
        <f t="shared" si="2339"/>
        <v/>
      </c>
      <c r="DS134" s="30" t="str">
        <f t="shared" si="2340"/>
        <v/>
      </c>
      <c r="DT134" s="30" t="str">
        <f t="shared" si="2341"/>
        <v/>
      </c>
      <c r="DU134" s="30" t="str">
        <f t="shared" si="2342"/>
        <v/>
      </c>
      <c r="DV134" s="30" t="str">
        <f t="shared" si="2343"/>
        <v/>
      </c>
      <c r="DW134" s="30" t="str">
        <f t="shared" si="2344"/>
        <v/>
      </c>
      <c r="DX134" s="30" t="str">
        <f t="shared" si="2345"/>
        <v/>
      </c>
      <c r="DY134" s="30" t="str">
        <f t="shared" si="2346"/>
        <v/>
      </c>
      <c r="DZ134" s="30" t="str">
        <f t="shared" si="2347"/>
        <v/>
      </c>
      <c r="EA134" s="30" t="str">
        <f t="shared" si="2348"/>
        <v/>
      </c>
      <c r="EB134" s="30" t="str">
        <f t="shared" si="2349"/>
        <v/>
      </c>
      <c r="EC134" s="30" t="str">
        <f t="shared" si="2350"/>
        <v/>
      </c>
      <c r="ED134" s="30" t="str">
        <f t="shared" si="2351"/>
        <v/>
      </c>
      <c r="EE134" s="30" t="str">
        <f t="shared" si="2352"/>
        <v/>
      </c>
      <c r="EF134" s="30" t="str">
        <f t="shared" si="2353"/>
        <v/>
      </c>
      <c r="EG134" s="30" t="str">
        <f t="shared" si="2354"/>
        <v/>
      </c>
      <c r="EH134" s="30" t="str">
        <f t="shared" si="2355"/>
        <v/>
      </c>
      <c r="EI134" s="30" t="str">
        <f t="shared" si="2356"/>
        <v/>
      </c>
      <c r="EJ134" s="30" t="str">
        <f t="shared" si="2357"/>
        <v/>
      </c>
      <c r="EK134" s="30" t="str">
        <f t="shared" si="2358"/>
        <v/>
      </c>
      <c r="EL134" s="30" t="str">
        <f t="shared" si="2359"/>
        <v/>
      </c>
      <c r="EM134" s="30" t="str">
        <f t="shared" si="2360"/>
        <v/>
      </c>
      <c r="EN134" s="30" t="str">
        <f t="shared" si="2361"/>
        <v/>
      </c>
      <c r="EO134" s="30" t="str">
        <f t="shared" si="2362"/>
        <v/>
      </c>
      <c r="EP134" s="30" t="str">
        <f t="shared" si="2363"/>
        <v/>
      </c>
      <c r="EQ134" s="30" t="str">
        <f t="shared" si="2364"/>
        <v/>
      </c>
      <c r="ER134" s="30" t="str">
        <f t="shared" si="2365"/>
        <v/>
      </c>
      <c r="ES134" s="30" t="str">
        <f t="shared" si="2366"/>
        <v/>
      </c>
      <c r="ET134" s="30" t="str">
        <f t="shared" si="2367"/>
        <v/>
      </c>
      <c r="EU134" s="30" t="str">
        <f t="shared" si="2368"/>
        <v/>
      </c>
      <c r="EV134" s="30" t="str">
        <f t="shared" si="2369"/>
        <v/>
      </c>
      <c r="EW134" s="30" t="str">
        <f t="shared" si="2370"/>
        <v/>
      </c>
      <c r="EX134" s="30" t="str">
        <f t="shared" si="2371"/>
        <v/>
      </c>
      <c r="EY134" s="30" t="str">
        <f t="shared" si="2372"/>
        <v/>
      </c>
      <c r="EZ134" s="30" t="str">
        <f t="shared" si="2373"/>
        <v/>
      </c>
      <c r="FA134" s="30" t="str">
        <f t="shared" si="2374"/>
        <v/>
      </c>
      <c r="FB134" s="30" t="str">
        <f t="shared" si="2375"/>
        <v/>
      </c>
      <c r="FC134" s="30" t="str">
        <f t="shared" si="2376"/>
        <v/>
      </c>
      <c r="FD134" s="30" t="str">
        <f t="shared" si="2377"/>
        <v/>
      </c>
      <c r="FE134" s="30" t="str">
        <f t="shared" si="2378"/>
        <v/>
      </c>
      <c r="FF134" s="30" t="str">
        <f t="shared" si="2379"/>
        <v/>
      </c>
      <c r="FG134" s="30" t="str">
        <f t="shared" si="2380"/>
        <v/>
      </c>
      <c r="FH134" s="30" t="str">
        <f t="shared" si="2381"/>
        <v/>
      </c>
      <c r="FI134" s="30" t="str">
        <f t="shared" si="2382"/>
        <v/>
      </c>
      <c r="FJ134" s="30" t="str">
        <f t="shared" si="2383"/>
        <v/>
      </c>
      <c r="FK134" s="30" t="str">
        <f t="shared" si="2384"/>
        <v/>
      </c>
      <c r="FL134" s="30" t="str">
        <f t="shared" si="2385"/>
        <v/>
      </c>
      <c r="FM134" s="30" t="str">
        <f t="shared" si="2386"/>
        <v/>
      </c>
      <c r="FN134" s="30" t="str">
        <f t="shared" si="2387"/>
        <v/>
      </c>
      <c r="FO134" s="30" t="str">
        <f t="shared" si="2388"/>
        <v/>
      </c>
      <c r="FP134" s="30" t="str">
        <f t="shared" si="2389"/>
        <v/>
      </c>
      <c r="FQ134" s="30" t="str">
        <f t="shared" si="2390"/>
        <v/>
      </c>
      <c r="FR134" s="30" t="str">
        <f t="shared" si="2391"/>
        <v/>
      </c>
      <c r="FS134" s="30" t="str">
        <f t="shared" si="2392"/>
        <v/>
      </c>
    </row>
    <row r="135" spans="1:175" ht="16.5">
      <c r="A135" s="117"/>
      <c r="B135" s="66" t="s">
        <v>916</v>
      </c>
      <c r="C135" s="87" t="s">
        <v>912</v>
      </c>
      <c r="T135" s="87" t="s">
        <v>912</v>
      </c>
      <c r="U135" s="37" t="s">
        <v>822</v>
      </c>
      <c r="CN135" s="7" t="str">
        <f t="shared" si="2316"/>
        <v>InitUnitState('IB03',,,,,,,,,,)</v>
      </c>
      <c r="CO135" s="7" t="str">
        <f t="shared" si="2317"/>
        <v>InitUnitNormal('IB03',,,,,,,,,,)</v>
      </c>
      <c r="CP135" s="7" t="str">
        <f t="shared" si="2318"/>
        <v>InitUnitMagic('IB03',,,,,,,,,,)</v>
      </c>
      <c r="CQ135" s="7" t="str">
        <f t="shared" si="2319"/>
        <v>InitUnitAdd('IB03',,,,,,,,,,)</v>
      </c>
      <c r="CR135" s="7" t="str">
        <f t="shared" si="2320"/>
        <v>InitEquipData('IB03',,"",,,,,'','','','','','',"ReplaceableTextures\\CommandButtons\\BTNTome.blp")</v>
      </c>
      <c r="CU135" s="45" t="str">
        <f t="shared" si="2321"/>
        <v>|n</v>
      </c>
      <c r="CV135" s="29" t="str">
        <f t="shared" si="2322"/>
        <v>好评礼包</v>
      </c>
      <c r="CW135" s="24"/>
      <c r="CX135" s="24"/>
      <c r="CY135" s="24"/>
      <c r="CZ135" s="24"/>
      <c r="DA135" s="24"/>
      <c r="DB135" s="30" t="str">
        <f t="shared" si="2323"/>
        <v/>
      </c>
      <c r="DC135" s="30" t="str">
        <f t="shared" si="2324"/>
        <v/>
      </c>
      <c r="DD135" s="30" t="str">
        <f t="shared" si="2325"/>
        <v/>
      </c>
      <c r="DE135" s="30" t="str">
        <f t="shared" si="2326"/>
        <v/>
      </c>
      <c r="DF135" s="30" t="str">
        <f t="shared" si="2327"/>
        <v/>
      </c>
      <c r="DG135" s="30" t="str">
        <f t="shared" si="2328"/>
        <v/>
      </c>
      <c r="DH135" s="30" t="str">
        <f t="shared" si="2329"/>
        <v/>
      </c>
      <c r="DI135" s="30" t="str">
        <f t="shared" si="2330"/>
        <v/>
      </c>
      <c r="DJ135" s="30" t="str">
        <f t="shared" si="2331"/>
        <v/>
      </c>
      <c r="DK135" s="30" t="str">
        <f t="shared" si="2332"/>
        <v/>
      </c>
      <c r="DL135" s="30" t="str">
        <f t="shared" si="2333"/>
        <v/>
      </c>
      <c r="DM135" s="30" t="str">
        <f t="shared" si="2334"/>
        <v/>
      </c>
      <c r="DN135" s="30" t="str">
        <f t="shared" si="2335"/>
        <v/>
      </c>
      <c r="DO135" s="30" t="str">
        <f t="shared" si="2336"/>
        <v/>
      </c>
      <c r="DP135" s="30" t="str">
        <f t="shared" si="2337"/>
        <v/>
      </c>
      <c r="DQ135" s="30" t="str">
        <f t="shared" si="2338"/>
        <v/>
      </c>
      <c r="DR135" s="30" t="str">
        <f t="shared" si="2339"/>
        <v/>
      </c>
      <c r="DS135" s="30" t="str">
        <f t="shared" si="2340"/>
        <v/>
      </c>
      <c r="DT135" s="30" t="str">
        <f t="shared" si="2341"/>
        <v/>
      </c>
      <c r="DU135" s="30" t="str">
        <f t="shared" si="2342"/>
        <v/>
      </c>
      <c r="DV135" s="30" t="str">
        <f t="shared" si="2343"/>
        <v/>
      </c>
      <c r="DW135" s="30" t="str">
        <f t="shared" si="2344"/>
        <v/>
      </c>
      <c r="DX135" s="30" t="str">
        <f t="shared" si="2345"/>
        <v/>
      </c>
      <c r="DY135" s="30" t="str">
        <f t="shared" si="2346"/>
        <v/>
      </c>
      <c r="DZ135" s="30" t="str">
        <f t="shared" si="2347"/>
        <v/>
      </c>
      <c r="EA135" s="30" t="str">
        <f t="shared" si="2348"/>
        <v/>
      </c>
      <c r="EB135" s="30" t="str">
        <f t="shared" si="2349"/>
        <v/>
      </c>
      <c r="EC135" s="30" t="str">
        <f t="shared" si="2350"/>
        <v/>
      </c>
      <c r="ED135" s="30" t="str">
        <f t="shared" si="2351"/>
        <v/>
      </c>
      <c r="EE135" s="30" t="str">
        <f t="shared" si="2352"/>
        <v/>
      </c>
      <c r="EF135" s="30" t="str">
        <f t="shared" si="2353"/>
        <v/>
      </c>
      <c r="EG135" s="30" t="str">
        <f t="shared" si="2354"/>
        <v/>
      </c>
      <c r="EH135" s="30" t="str">
        <f t="shared" si="2355"/>
        <v/>
      </c>
      <c r="EI135" s="30" t="str">
        <f t="shared" si="2356"/>
        <v/>
      </c>
      <c r="EJ135" s="30" t="str">
        <f t="shared" si="2357"/>
        <v/>
      </c>
      <c r="EK135" s="30" t="str">
        <f t="shared" si="2358"/>
        <v/>
      </c>
      <c r="EL135" s="30" t="str">
        <f t="shared" si="2359"/>
        <v/>
      </c>
      <c r="EM135" s="30" t="str">
        <f t="shared" si="2360"/>
        <v/>
      </c>
      <c r="EN135" s="30" t="str">
        <f t="shared" si="2361"/>
        <v/>
      </c>
      <c r="EO135" s="30" t="str">
        <f t="shared" si="2362"/>
        <v/>
      </c>
      <c r="EP135" s="30" t="str">
        <f t="shared" si="2363"/>
        <v/>
      </c>
      <c r="EQ135" s="30" t="str">
        <f t="shared" si="2364"/>
        <v/>
      </c>
      <c r="ER135" s="30" t="str">
        <f t="shared" si="2365"/>
        <v/>
      </c>
      <c r="ES135" s="30" t="str">
        <f t="shared" si="2366"/>
        <v/>
      </c>
      <c r="ET135" s="30" t="str">
        <f t="shared" si="2367"/>
        <v/>
      </c>
      <c r="EU135" s="30" t="str">
        <f t="shared" si="2368"/>
        <v/>
      </c>
      <c r="EV135" s="30" t="str">
        <f t="shared" si="2369"/>
        <v/>
      </c>
      <c r="EW135" s="30" t="str">
        <f t="shared" si="2370"/>
        <v/>
      </c>
      <c r="EX135" s="30" t="str">
        <f t="shared" si="2371"/>
        <v/>
      </c>
      <c r="EY135" s="30" t="str">
        <f t="shared" si="2372"/>
        <v/>
      </c>
      <c r="EZ135" s="30" t="str">
        <f t="shared" si="2373"/>
        <v/>
      </c>
      <c r="FA135" s="30" t="str">
        <f t="shared" si="2374"/>
        <v/>
      </c>
      <c r="FB135" s="30" t="str">
        <f t="shared" si="2375"/>
        <v/>
      </c>
      <c r="FC135" s="30" t="str">
        <f t="shared" si="2376"/>
        <v/>
      </c>
      <c r="FD135" s="30" t="str">
        <f t="shared" si="2377"/>
        <v/>
      </c>
      <c r="FE135" s="30" t="str">
        <f t="shared" si="2378"/>
        <v/>
      </c>
      <c r="FF135" s="30" t="str">
        <f t="shared" si="2379"/>
        <v/>
      </c>
      <c r="FG135" s="30" t="str">
        <f t="shared" si="2380"/>
        <v/>
      </c>
      <c r="FH135" s="30" t="str">
        <f t="shared" si="2381"/>
        <v/>
      </c>
      <c r="FI135" s="30" t="str">
        <f t="shared" si="2382"/>
        <v/>
      </c>
      <c r="FJ135" s="30" t="str">
        <f t="shared" si="2383"/>
        <v/>
      </c>
      <c r="FK135" s="30" t="str">
        <f t="shared" si="2384"/>
        <v/>
      </c>
      <c r="FL135" s="30" t="str">
        <f t="shared" si="2385"/>
        <v/>
      </c>
      <c r="FM135" s="30" t="str">
        <f t="shared" si="2386"/>
        <v/>
      </c>
      <c r="FN135" s="30" t="str">
        <f t="shared" si="2387"/>
        <v/>
      </c>
      <c r="FO135" s="30" t="str">
        <f t="shared" si="2388"/>
        <v/>
      </c>
      <c r="FP135" s="30" t="str">
        <f t="shared" si="2389"/>
        <v/>
      </c>
      <c r="FQ135" s="30" t="str">
        <f t="shared" si="2390"/>
        <v/>
      </c>
      <c r="FR135" s="30" t="str">
        <f t="shared" si="2391"/>
        <v/>
      </c>
      <c r="FS135" s="30" t="str">
        <f t="shared" si="2392"/>
        <v/>
      </c>
    </row>
    <row r="136" spans="1:175" ht="16.5">
      <c r="A136" s="117"/>
      <c r="B136" s="66" t="s">
        <v>917</v>
      </c>
      <c r="C136" s="87" t="s">
        <v>913</v>
      </c>
      <c r="T136" s="87" t="s">
        <v>913</v>
      </c>
      <c r="U136" s="37" t="s">
        <v>822</v>
      </c>
      <c r="CN136" s="7" t="str">
        <f t="shared" si="2316"/>
        <v>InitUnitState('IB04',,,,,,,,,,)</v>
      </c>
      <c r="CO136" s="7" t="str">
        <f t="shared" si="2317"/>
        <v>InitUnitNormal('IB04',,,,,,,,,,)</v>
      </c>
      <c r="CP136" s="7" t="str">
        <f t="shared" si="2318"/>
        <v>InitUnitMagic('IB04',,,,,,,,,,)</v>
      </c>
      <c r="CQ136" s="7" t="str">
        <f t="shared" si="2319"/>
        <v>InitUnitAdd('IB04',,,,,,,,,,)</v>
      </c>
      <c r="CR136" s="7" t="str">
        <f t="shared" si="2320"/>
        <v>InitEquipData('IB04',,"",,,,,'','','','','','',"ReplaceableTextures\\CommandButtons\\BTNTome.blp")</v>
      </c>
      <c r="CU136" s="45" t="str">
        <f t="shared" si="2321"/>
        <v>|n</v>
      </c>
      <c r="CV136" s="29" t="str">
        <f t="shared" si="2322"/>
        <v>老铁礼包</v>
      </c>
      <c r="CW136" s="24"/>
      <c r="CX136" s="24"/>
      <c r="CY136" s="24"/>
      <c r="CZ136" s="24"/>
      <c r="DA136" s="24"/>
      <c r="DB136" s="30" t="str">
        <f t="shared" si="2323"/>
        <v/>
      </c>
      <c r="DC136" s="30" t="str">
        <f t="shared" si="2324"/>
        <v/>
      </c>
      <c r="DD136" s="30" t="str">
        <f t="shared" si="2325"/>
        <v/>
      </c>
      <c r="DE136" s="30" t="str">
        <f t="shared" si="2326"/>
        <v/>
      </c>
      <c r="DF136" s="30" t="str">
        <f t="shared" si="2327"/>
        <v/>
      </c>
      <c r="DG136" s="30" t="str">
        <f t="shared" si="2328"/>
        <v/>
      </c>
      <c r="DH136" s="30" t="str">
        <f t="shared" si="2329"/>
        <v/>
      </c>
      <c r="DI136" s="30" t="str">
        <f t="shared" si="2330"/>
        <v/>
      </c>
      <c r="DJ136" s="30" t="str">
        <f t="shared" si="2331"/>
        <v/>
      </c>
      <c r="DK136" s="30" t="str">
        <f t="shared" si="2332"/>
        <v/>
      </c>
      <c r="DL136" s="30" t="str">
        <f t="shared" si="2333"/>
        <v/>
      </c>
      <c r="DM136" s="30" t="str">
        <f t="shared" si="2334"/>
        <v/>
      </c>
      <c r="DN136" s="30" t="str">
        <f t="shared" si="2335"/>
        <v/>
      </c>
      <c r="DO136" s="30" t="str">
        <f t="shared" si="2336"/>
        <v/>
      </c>
      <c r="DP136" s="30" t="str">
        <f t="shared" si="2337"/>
        <v/>
      </c>
      <c r="DQ136" s="30" t="str">
        <f t="shared" si="2338"/>
        <v/>
      </c>
      <c r="DR136" s="30" t="str">
        <f t="shared" si="2339"/>
        <v/>
      </c>
      <c r="DS136" s="30" t="str">
        <f t="shared" si="2340"/>
        <v/>
      </c>
      <c r="DT136" s="30" t="str">
        <f t="shared" si="2341"/>
        <v/>
      </c>
      <c r="DU136" s="30" t="str">
        <f t="shared" si="2342"/>
        <v/>
      </c>
      <c r="DV136" s="30" t="str">
        <f t="shared" si="2343"/>
        <v/>
      </c>
      <c r="DW136" s="30" t="str">
        <f t="shared" si="2344"/>
        <v/>
      </c>
      <c r="DX136" s="30" t="str">
        <f t="shared" si="2345"/>
        <v/>
      </c>
      <c r="DY136" s="30" t="str">
        <f t="shared" si="2346"/>
        <v/>
      </c>
      <c r="DZ136" s="30" t="str">
        <f t="shared" si="2347"/>
        <v/>
      </c>
      <c r="EA136" s="30" t="str">
        <f t="shared" si="2348"/>
        <v/>
      </c>
      <c r="EB136" s="30" t="str">
        <f t="shared" si="2349"/>
        <v/>
      </c>
      <c r="EC136" s="30" t="str">
        <f t="shared" si="2350"/>
        <v/>
      </c>
      <c r="ED136" s="30" t="str">
        <f t="shared" si="2351"/>
        <v/>
      </c>
      <c r="EE136" s="30" t="str">
        <f t="shared" si="2352"/>
        <v/>
      </c>
      <c r="EF136" s="30" t="str">
        <f t="shared" si="2353"/>
        <v/>
      </c>
      <c r="EG136" s="30" t="str">
        <f t="shared" si="2354"/>
        <v/>
      </c>
      <c r="EH136" s="30" t="str">
        <f t="shared" si="2355"/>
        <v/>
      </c>
      <c r="EI136" s="30" t="str">
        <f t="shared" si="2356"/>
        <v/>
      </c>
      <c r="EJ136" s="30" t="str">
        <f t="shared" si="2357"/>
        <v/>
      </c>
      <c r="EK136" s="30" t="str">
        <f t="shared" si="2358"/>
        <v/>
      </c>
      <c r="EL136" s="30" t="str">
        <f t="shared" si="2359"/>
        <v/>
      </c>
      <c r="EM136" s="30" t="str">
        <f t="shared" si="2360"/>
        <v/>
      </c>
      <c r="EN136" s="30" t="str">
        <f t="shared" si="2361"/>
        <v/>
      </c>
      <c r="EO136" s="30" t="str">
        <f t="shared" si="2362"/>
        <v/>
      </c>
      <c r="EP136" s="30" t="str">
        <f t="shared" si="2363"/>
        <v/>
      </c>
      <c r="EQ136" s="30" t="str">
        <f t="shared" si="2364"/>
        <v/>
      </c>
      <c r="ER136" s="30" t="str">
        <f t="shared" si="2365"/>
        <v/>
      </c>
      <c r="ES136" s="30" t="str">
        <f t="shared" si="2366"/>
        <v/>
      </c>
      <c r="ET136" s="30" t="str">
        <f t="shared" si="2367"/>
        <v/>
      </c>
      <c r="EU136" s="30" t="str">
        <f t="shared" si="2368"/>
        <v/>
      </c>
      <c r="EV136" s="30" t="str">
        <f t="shared" si="2369"/>
        <v/>
      </c>
      <c r="EW136" s="30" t="str">
        <f t="shared" si="2370"/>
        <v/>
      </c>
      <c r="EX136" s="30" t="str">
        <f t="shared" si="2371"/>
        <v/>
      </c>
      <c r="EY136" s="30" t="str">
        <f t="shared" si="2372"/>
        <v/>
      </c>
      <c r="EZ136" s="30" t="str">
        <f t="shared" si="2373"/>
        <v/>
      </c>
      <c r="FA136" s="30" t="str">
        <f t="shared" si="2374"/>
        <v/>
      </c>
      <c r="FB136" s="30" t="str">
        <f t="shared" si="2375"/>
        <v/>
      </c>
      <c r="FC136" s="30" t="str">
        <f t="shared" si="2376"/>
        <v/>
      </c>
      <c r="FD136" s="30" t="str">
        <f t="shared" si="2377"/>
        <v/>
      </c>
      <c r="FE136" s="30" t="str">
        <f t="shared" si="2378"/>
        <v/>
      </c>
      <c r="FF136" s="30" t="str">
        <f t="shared" si="2379"/>
        <v/>
      </c>
      <c r="FG136" s="30" t="str">
        <f t="shared" si="2380"/>
        <v/>
      </c>
      <c r="FH136" s="30" t="str">
        <f t="shared" si="2381"/>
        <v/>
      </c>
      <c r="FI136" s="30" t="str">
        <f t="shared" si="2382"/>
        <v/>
      </c>
      <c r="FJ136" s="30" t="str">
        <f t="shared" si="2383"/>
        <v/>
      </c>
      <c r="FK136" s="30" t="str">
        <f t="shared" si="2384"/>
        <v/>
      </c>
      <c r="FL136" s="30" t="str">
        <f t="shared" si="2385"/>
        <v/>
      </c>
      <c r="FM136" s="30" t="str">
        <f t="shared" si="2386"/>
        <v/>
      </c>
      <c r="FN136" s="30" t="str">
        <f t="shared" si="2387"/>
        <v/>
      </c>
      <c r="FO136" s="30" t="str">
        <f t="shared" si="2388"/>
        <v/>
      </c>
      <c r="FP136" s="30" t="str">
        <f t="shared" si="2389"/>
        <v/>
      </c>
      <c r="FQ136" s="30" t="str">
        <f t="shared" si="2390"/>
        <v/>
      </c>
      <c r="FR136" s="30" t="str">
        <f t="shared" si="2391"/>
        <v/>
      </c>
      <c r="FS136" s="30" t="str">
        <f t="shared" si="2392"/>
        <v/>
      </c>
    </row>
    <row r="137" spans="1:175" ht="16.5">
      <c r="A137" s="117"/>
      <c r="B137" s="66" t="s">
        <v>918</v>
      </c>
      <c r="C137" s="87" t="s">
        <v>914</v>
      </c>
      <c r="T137" s="87" t="s">
        <v>914</v>
      </c>
      <c r="U137" s="37" t="s">
        <v>822</v>
      </c>
      <c r="CN137" s="7" t="str">
        <f t="shared" si="2316"/>
        <v>InitUnitState('IB05',,,,,,,,,,)</v>
      </c>
      <c r="CO137" s="7" t="str">
        <f t="shared" si="2317"/>
        <v>InitUnitNormal('IB05',,,,,,,,,,)</v>
      </c>
      <c r="CP137" s="7" t="str">
        <f t="shared" si="2318"/>
        <v>InitUnitMagic('IB05',,,,,,,,,,)</v>
      </c>
      <c r="CQ137" s="7" t="str">
        <f t="shared" si="2319"/>
        <v>InitUnitAdd('IB05',,,,,,,,,,)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InitEquipData('IB05',,"",,,,,'','','','','','',"")</v>
      </c>
      <c r="CU137" s="45" t="str">
        <f t="shared" si="2321"/>
        <v>|n</v>
      </c>
      <c r="CV137" s="29" t="str">
        <f t="shared" si="2322"/>
        <v>工会礼包</v>
      </c>
      <c r="CW137" s="24"/>
      <c r="CX137" s="24"/>
      <c r="CY137" s="24"/>
      <c r="CZ137" s="24"/>
      <c r="DA137" s="24"/>
      <c r="DB137" s="30" t="str">
        <f t="shared" si="2323"/>
        <v/>
      </c>
      <c r="DC137" s="30" t="str">
        <f t="shared" si="2324"/>
        <v/>
      </c>
      <c r="DD137" s="30" t="str">
        <f t="shared" si="2325"/>
        <v/>
      </c>
      <c r="DE137" s="30" t="str">
        <f t="shared" si="2326"/>
        <v/>
      </c>
      <c r="DF137" s="30" t="str">
        <f t="shared" si="2327"/>
        <v/>
      </c>
      <c r="DG137" s="30" t="str">
        <f t="shared" si="2328"/>
        <v/>
      </c>
      <c r="DH137" s="30" t="str">
        <f t="shared" si="2329"/>
        <v/>
      </c>
      <c r="DI137" s="30" t="str">
        <f t="shared" si="2330"/>
        <v/>
      </c>
      <c r="DJ137" s="30" t="str">
        <f t="shared" si="2331"/>
        <v/>
      </c>
      <c r="DK137" s="30" t="str">
        <f t="shared" si="2332"/>
        <v/>
      </c>
      <c r="DL137" s="30" t="str">
        <f t="shared" si="2333"/>
        <v/>
      </c>
      <c r="DM137" s="30" t="str">
        <f t="shared" si="2334"/>
        <v/>
      </c>
      <c r="DN137" s="30" t="str">
        <f t="shared" si="2335"/>
        <v/>
      </c>
      <c r="DO137" s="30" t="str">
        <f t="shared" si="2336"/>
        <v/>
      </c>
      <c r="DP137" s="30" t="str">
        <f t="shared" si="2337"/>
        <v/>
      </c>
      <c r="DQ137" s="30" t="str">
        <f t="shared" si="2338"/>
        <v/>
      </c>
      <c r="DR137" s="30" t="str">
        <f t="shared" si="2339"/>
        <v/>
      </c>
      <c r="DS137" s="30" t="str">
        <f t="shared" si="2340"/>
        <v/>
      </c>
      <c r="DT137" s="30" t="str">
        <f t="shared" si="2341"/>
        <v/>
      </c>
      <c r="DU137" s="30" t="str">
        <f t="shared" si="2342"/>
        <v/>
      </c>
      <c r="DV137" s="30" t="str">
        <f t="shared" si="2343"/>
        <v/>
      </c>
      <c r="DW137" s="30" t="str">
        <f t="shared" si="2344"/>
        <v/>
      </c>
      <c r="DX137" s="30" t="str">
        <f t="shared" si="2345"/>
        <v/>
      </c>
      <c r="DY137" s="30" t="str">
        <f t="shared" si="2346"/>
        <v/>
      </c>
      <c r="DZ137" s="30" t="str">
        <f t="shared" si="2347"/>
        <v/>
      </c>
      <c r="EA137" s="30" t="str">
        <f t="shared" si="2348"/>
        <v/>
      </c>
      <c r="EB137" s="30" t="str">
        <f t="shared" si="2349"/>
        <v/>
      </c>
      <c r="EC137" s="30" t="str">
        <f t="shared" si="2350"/>
        <v/>
      </c>
      <c r="ED137" s="30" t="str">
        <f t="shared" si="2351"/>
        <v/>
      </c>
      <c r="EE137" s="30" t="str">
        <f t="shared" si="2352"/>
        <v/>
      </c>
      <c r="EF137" s="30" t="str">
        <f t="shared" si="2353"/>
        <v/>
      </c>
      <c r="EG137" s="30" t="str">
        <f t="shared" si="2354"/>
        <v/>
      </c>
      <c r="EH137" s="30" t="str">
        <f t="shared" si="2355"/>
        <v/>
      </c>
      <c r="EI137" s="30" t="str">
        <f t="shared" si="2356"/>
        <v/>
      </c>
      <c r="EJ137" s="30" t="str">
        <f t="shared" si="2357"/>
        <v/>
      </c>
      <c r="EK137" s="30" t="str">
        <f t="shared" si="2358"/>
        <v/>
      </c>
      <c r="EL137" s="30" t="str">
        <f t="shared" si="2359"/>
        <v/>
      </c>
      <c r="EM137" s="30" t="str">
        <f t="shared" si="2360"/>
        <v/>
      </c>
      <c r="EN137" s="30" t="str">
        <f t="shared" si="2361"/>
        <v/>
      </c>
      <c r="EO137" s="30" t="str">
        <f t="shared" si="2362"/>
        <v/>
      </c>
      <c r="EP137" s="30" t="str">
        <f t="shared" si="2363"/>
        <v/>
      </c>
      <c r="EQ137" s="30" t="str">
        <f t="shared" si="2364"/>
        <v/>
      </c>
      <c r="ER137" s="30" t="str">
        <f t="shared" si="2365"/>
        <v/>
      </c>
      <c r="ES137" s="30" t="str">
        <f t="shared" si="2366"/>
        <v/>
      </c>
      <c r="ET137" s="30" t="str">
        <f t="shared" si="2367"/>
        <v/>
      </c>
      <c r="EU137" s="30" t="str">
        <f t="shared" si="2368"/>
        <v/>
      </c>
      <c r="EV137" s="30" t="str">
        <f t="shared" si="2369"/>
        <v/>
      </c>
      <c r="EW137" s="30" t="str">
        <f t="shared" si="2370"/>
        <v/>
      </c>
      <c r="EX137" s="30" t="str">
        <f t="shared" si="2371"/>
        <v/>
      </c>
      <c r="EY137" s="30" t="str">
        <f t="shared" si="2372"/>
        <v/>
      </c>
      <c r="EZ137" s="30" t="str">
        <f t="shared" si="2373"/>
        <v/>
      </c>
      <c r="FA137" s="30" t="str">
        <f t="shared" si="2374"/>
        <v/>
      </c>
      <c r="FB137" s="30" t="str">
        <f t="shared" si="2375"/>
        <v/>
      </c>
      <c r="FC137" s="30" t="str">
        <f t="shared" si="2376"/>
        <v/>
      </c>
      <c r="FD137" s="30" t="str">
        <f t="shared" si="2377"/>
        <v/>
      </c>
      <c r="FE137" s="30" t="str">
        <f t="shared" si="2378"/>
        <v/>
      </c>
      <c r="FF137" s="30" t="str">
        <f t="shared" si="2379"/>
        <v/>
      </c>
      <c r="FG137" s="30" t="str">
        <f t="shared" si="2380"/>
        <v/>
      </c>
      <c r="FH137" s="30" t="str">
        <f t="shared" si="2381"/>
        <v/>
      </c>
      <c r="FI137" s="30" t="str">
        <f t="shared" si="2382"/>
        <v/>
      </c>
      <c r="FJ137" s="30" t="str">
        <f t="shared" si="2383"/>
        <v/>
      </c>
      <c r="FK137" s="30" t="str">
        <f t="shared" si="2384"/>
        <v/>
      </c>
      <c r="FL137" s="30" t="str">
        <f t="shared" si="2385"/>
        <v/>
      </c>
      <c r="FM137" s="30" t="str">
        <f t="shared" si="2386"/>
        <v/>
      </c>
      <c r="FN137" s="30" t="str">
        <f t="shared" si="2387"/>
        <v/>
      </c>
      <c r="FO137" s="30" t="str">
        <f t="shared" si="2388"/>
        <v/>
      </c>
      <c r="FP137" s="30" t="str">
        <f t="shared" si="2389"/>
        <v/>
      </c>
      <c r="FQ137" s="30" t="str">
        <f t="shared" si="2390"/>
        <v/>
      </c>
      <c r="FR137" s="30" t="str">
        <f t="shared" si="2391"/>
        <v/>
      </c>
      <c r="FS137" s="30" t="str">
        <f t="shared" si="2392"/>
        <v/>
      </c>
    </row>
    <row r="138" spans="1:175" ht="16.5">
      <c r="A138" s="88"/>
      <c r="B138" s="66"/>
      <c r="C138" s="87"/>
      <c r="T138" s="107"/>
      <c r="U138" s="32"/>
      <c r="CN138" s="7" t="str">
        <f t="shared" ref="CN138:CN154" si="2393">"InitUnitState('"&amp;B138&amp;"',"&amp;V138&amp;","&amp;W138&amp;","&amp;X138&amp;","&amp;Y138&amp;","&amp;Z138&amp;","&amp;AA138&amp;","&amp;AB138&amp;","&amp;AC138&amp;","&amp;AD138&amp;","&amp;AE138&amp;")"</f>
        <v>InitUnitState('',,,,,,,,,,)</v>
      </c>
      <c r="CO138" s="7" t="str">
        <f t="shared" ref="CO138:CO154" si="2394">"InitUnitNormal('"&amp;B138&amp;"',"&amp;AF138&amp;","&amp;AG138&amp;","&amp;AH138&amp;","&amp;AI138&amp;","&amp;AJ138&amp;","&amp;AK138&amp;","&amp;AL138&amp;","&amp;AM138&amp;","&amp;AN138&amp;","&amp;AO138&amp;")"</f>
        <v>InitUnitNormal('',,,,,,,,,,)</v>
      </c>
      <c r="CP138" s="7" t="str">
        <f t="shared" ref="CP138:CP154" si="2395">"InitUnitMagic('"&amp;B138&amp;"',"&amp;AP138&amp;","&amp;AQ138&amp;","&amp;AR138&amp;","&amp;AS138&amp;","&amp;AT138&amp;","&amp;AU138&amp;","&amp;AV138&amp;","&amp;AW138&amp;","&amp;BI138&amp;","&amp;BJ138&amp;")"</f>
        <v>InitUnitMagic('',,,,,,,,,,)</v>
      </c>
      <c r="CQ138" s="7" t="str">
        <f t="shared" ref="CQ138:CQ154" si="2396">"InitUnitAdd('"&amp;B138&amp;"',"&amp;BK138&amp;","&amp;BL138&amp;","&amp;BM138&amp;","&amp;BN138&amp;","&amp;BO138&amp;","&amp;BP138&amp;","&amp;BQ138&amp;","&amp;BR138&amp;","&amp;BS138&amp;","&amp;BT138&amp;")"</f>
        <v>InitUnitAdd('',,,,,,,,,,)</v>
      </c>
      <c r="CR138" s="7" t="str">
        <f t="shared" ref="CR138:CR154" si="2397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InitEquipData('',,"",,,,,'','','','','','',"")</v>
      </c>
      <c r="CU138" s="45" t="str">
        <f t="shared" ref="CU138:CU160" si="23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W138" s="24"/>
      <c r="CX138" s="24"/>
      <c r="CY138" s="24"/>
      <c r="CZ138" s="24"/>
      <c r="DA138" s="24"/>
      <c r="DB138" s="30" t="str">
        <f t="shared" ref="DB138:DB160" si="2399">IF(V138="","","|n"&amp;DB$2&amp;"+"&amp;V138&amp;DB$1)</f>
        <v/>
      </c>
      <c r="DC138" s="30" t="str">
        <f t="shared" ref="DC138:DC160" si="2400">IF(W138="","","|n"&amp;DC$2&amp;"+"&amp;W138&amp;DC$1)</f>
        <v/>
      </c>
      <c r="DD138" s="30" t="str">
        <f t="shared" ref="DD138:DD160" si="2401">IF(X138="","","|n"&amp;DD$2&amp;"+"&amp;X138&amp;DD$1)</f>
        <v/>
      </c>
      <c r="DE138" s="30" t="str">
        <f t="shared" ref="DE138:DE160" si="2402">IF(Y138="","","|n"&amp;DE$2&amp;"+"&amp;Y138&amp;DE$1)</f>
        <v/>
      </c>
      <c r="DF138" s="30" t="str">
        <f t="shared" ref="DF138:DF160" si="2403">IF(Z138="","","|n"&amp;DF$2&amp;"+"&amp;Z138&amp;DF$1)</f>
        <v/>
      </c>
      <c r="DG138" s="30" t="str">
        <f t="shared" ref="DG138:DG160" si="2404">IF(AA138="","","|n"&amp;DG$2&amp;"+"&amp;AA138&amp;DG$1)</f>
        <v/>
      </c>
      <c r="DH138" s="30" t="str">
        <f t="shared" ref="DH138:DH160" si="2405">IF(AB138="","","|n"&amp;DH$2&amp;"+"&amp;AB138&amp;DH$1)</f>
        <v/>
      </c>
      <c r="DI138" s="30" t="str">
        <f t="shared" ref="DI138:DI160" si="2406">IF(AC138="","","|n"&amp;DI$2&amp;"+"&amp;AC138&amp;DI$1)</f>
        <v/>
      </c>
      <c r="DJ138" s="30" t="str">
        <f t="shared" ref="DJ138:DJ160" si="2407">IF(AD138="","","|n"&amp;DJ$2&amp;"+"&amp;AD138&amp;DJ$1)</f>
        <v/>
      </c>
      <c r="DK138" s="30" t="str">
        <f t="shared" ref="DK138:DK160" si="2408">IF(AE138="","","|n"&amp;DK$2&amp;"+"&amp;AE138&amp;DK$1)</f>
        <v/>
      </c>
      <c r="DL138" s="30" t="str">
        <f t="shared" ref="DL138:DL160" si="2409">IF(AF138="","","|n"&amp;DL$2&amp;"+"&amp;AF138&amp;DL$1)</f>
        <v/>
      </c>
      <c r="DM138" s="30" t="str">
        <f t="shared" ref="DM138:DM160" si="2410">IF(AG138="","","|n"&amp;DM$2&amp;"+"&amp;AG138&amp;DM$1)</f>
        <v/>
      </c>
      <c r="DN138" s="30" t="str">
        <f t="shared" ref="DN138:DN160" si="2411">IF(AH138="","","|n"&amp;DN$2&amp;"+"&amp;AH138&amp;DN$1)</f>
        <v/>
      </c>
      <c r="DO138" s="30" t="str">
        <f t="shared" ref="DO138:DO160" si="2412">IF(AI138="","","|n"&amp;DO$2&amp;"+"&amp;AI138&amp;DO$1)</f>
        <v/>
      </c>
      <c r="DP138" s="30" t="str">
        <f t="shared" ref="DP138:DP160" si="2413">IF(AJ138="","","|n"&amp;DP$2&amp;"+"&amp;AJ138&amp;DP$1)</f>
        <v/>
      </c>
      <c r="DQ138" s="30" t="str">
        <f t="shared" ref="DQ138:DQ160" si="2414">IF(AK138="","","|n"&amp;DQ$2&amp;"+"&amp;AK138&amp;DQ$1)</f>
        <v/>
      </c>
      <c r="DR138" s="30" t="str">
        <f t="shared" ref="DR138:DR160" si="2415">IF(AL138="","","|n"&amp;DR$2&amp;"+"&amp;AL138&amp;DR$1)</f>
        <v/>
      </c>
      <c r="DS138" s="30" t="str">
        <f t="shared" ref="DS138:DS160" si="2416">IF(AM138="","","|n"&amp;DS$2&amp;"+"&amp;AM138&amp;DS$1)</f>
        <v/>
      </c>
      <c r="DT138" s="30" t="str">
        <f t="shared" ref="DT138:DT160" si="2417">IF(AN138="","","|n"&amp;DT$2&amp;"+"&amp;AN138&amp;DT$1)</f>
        <v/>
      </c>
      <c r="DU138" s="30" t="str">
        <f t="shared" ref="DU138:DU160" si="2418">IF(AO138="","","|n"&amp;DU$2&amp;"+"&amp;AO138&amp;DU$1)</f>
        <v/>
      </c>
      <c r="DV138" s="30" t="str">
        <f t="shared" ref="DV138:DV160" si="2419">IF(AP138="","","|n"&amp;DV$2&amp;"+"&amp;AP138&amp;DV$1)</f>
        <v/>
      </c>
      <c r="DW138" s="30" t="str">
        <f t="shared" ref="DW138:DW160" si="2420">IF(AQ138="","","|n"&amp;DW$2&amp;"+"&amp;AQ138&amp;DW$1)</f>
        <v/>
      </c>
      <c r="DX138" s="30" t="str">
        <f t="shared" ref="DX138:DX160" si="2421">IF(AR138="","","|n"&amp;DX$2&amp;"+"&amp;AR138&amp;DX$1)</f>
        <v/>
      </c>
      <c r="DY138" s="30" t="str">
        <f t="shared" ref="DY138:DY160" si="2422">IF(AS138="","","|n"&amp;DY$2&amp;"+"&amp;AS138&amp;DY$1)</f>
        <v/>
      </c>
      <c r="DZ138" s="30" t="str">
        <f t="shared" ref="DZ138:DZ160" si="2423">IF(AT138="","","|n"&amp;DZ$2&amp;"+"&amp;AT138&amp;DZ$1)</f>
        <v/>
      </c>
      <c r="EA138" s="30" t="str">
        <f t="shared" ref="EA138:EA160" si="2424">IF(AU138="","","|n"&amp;EA$2&amp;"+"&amp;AU138&amp;EA$1)</f>
        <v/>
      </c>
      <c r="EB138" s="30" t="str">
        <f t="shared" ref="EB138:EB160" si="2425">IF(AV138="","","|n"&amp;EB$2&amp;"+"&amp;AV138&amp;EB$1)</f>
        <v/>
      </c>
      <c r="EC138" s="30" t="str">
        <f t="shared" ref="EC138:EC160" si="2426">IF(AW138="","","|n"&amp;EC$2&amp;"+"&amp;AW138&amp;EC$1)</f>
        <v/>
      </c>
      <c r="ED138" s="30" t="str">
        <f t="shared" ref="ED138:ED160" si="2427">IF(AX138="","","|n"&amp;ED$2&amp;"+"&amp;AX138&amp;ED$1)</f>
        <v/>
      </c>
      <c r="EE138" s="30" t="str">
        <f t="shared" ref="EE138:EE160" si="2428">IF(AY138="","","|n"&amp;EE$2&amp;"+"&amp;AY138&amp;EE$1)</f>
        <v/>
      </c>
      <c r="EF138" s="30" t="str">
        <f t="shared" ref="EF138:EF160" si="2429">IF(AZ138="","","|n"&amp;EF$2&amp;"+"&amp;AZ138&amp;EF$1)</f>
        <v/>
      </c>
      <c r="EG138" s="30" t="str">
        <f t="shared" ref="EG138:EG160" si="2430">IF(BA138="","","|n"&amp;EG$2&amp;"+"&amp;BA138&amp;EG$1)</f>
        <v/>
      </c>
      <c r="EH138" s="30" t="str">
        <f t="shared" ref="EH138:EH160" si="2431">IF(BB138="","","|n"&amp;EH$2&amp;"+"&amp;BB138&amp;EH$1)</f>
        <v/>
      </c>
      <c r="EI138" s="30" t="str">
        <f t="shared" ref="EI138:EI160" si="2432">IF(BC138="","","|n"&amp;EI$2&amp;"+"&amp;BC138&amp;EI$1)</f>
        <v/>
      </c>
      <c r="EJ138" s="30" t="str">
        <f t="shared" ref="EJ138:EJ160" si="2433">IF(BD138="","","|n"&amp;EJ$2&amp;"+"&amp;BD138&amp;EJ$1)</f>
        <v/>
      </c>
      <c r="EK138" s="30" t="str">
        <f t="shared" ref="EK138:EK160" si="2434">IF(BE138="","","|n"&amp;EK$2&amp;"+"&amp;BE138&amp;EK$1)</f>
        <v/>
      </c>
      <c r="EL138" s="30" t="str">
        <f t="shared" ref="EL138:EL160" si="2435">IF(BF138="","","|n"&amp;EL$2&amp;"+"&amp;BF138&amp;EL$1)</f>
        <v/>
      </c>
      <c r="EM138" s="30" t="str">
        <f t="shared" ref="EM138:EM160" si="2436">IF(BG138="","","|n"&amp;EM$2&amp;"+"&amp;BG138&amp;EM$1)</f>
        <v/>
      </c>
      <c r="EN138" s="30" t="str">
        <f t="shared" ref="EN138:EN160" si="2437">IF(BH138="","","|n"&amp;EN$2&amp;"+"&amp;BH138&amp;EN$1)</f>
        <v/>
      </c>
      <c r="EO138" s="30" t="str">
        <f t="shared" ref="EO138:EO160" si="2438">IF(BI138="","","|n"&amp;EO$2&amp;"+"&amp;BI138&amp;EO$1)</f>
        <v/>
      </c>
      <c r="EP138" s="30" t="str">
        <f t="shared" ref="EP138:EP160" si="2439">IF(BJ138="","","|n"&amp;EP$2&amp;"+"&amp;BJ138&amp;EP$1)</f>
        <v/>
      </c>
      <c r="EQ138" s="30" t="str">
        <f t="shared" ref="EQ138:EQ160" si="2440">IF(BK138="","","|n"&amp;EQ$2&amp;"+"&amp;BK138&amp;EQ$1)</f>
        <v/>
      </c>
      <c r="ER138" s="30" t="str">
        <f t="shared" ref="ER138:ER160" si="2441">IF(BL138="","","|n"&amp;ER$2&amp;"+"&amp;BL138&amp;ER$1)</f>
        <v/>
      </c>
      <c r="ES138" s="30" t="str">
        <f t="shared" ref="ES138:ES160" si="2442">IF(BM138="","","|n"&amp;ES$2&amp;"+"&amp;BM138&amp;ES$1)</f>
        <v/>
      </c>
      <c r="ET138" s="30" t="str">
        <f t="shared" ref="ET138:ET160" si="2443">IF(BN138="","","|n"&amp;ET$2&amp;"+"&amp;BN138&amp;ET$1)</f>
        <v/>
      </c>
      <c r="EU138" s="30" t="str">
        <f t="shared" ref="EU138:EU160" si="2444">IF(BO138="","","|n"&amp;EU$2&amp;"+"&amp;BO138&amp;EU$1)</f>
        <v/>
      </c>
      <c r="EV138" s="30" t="str">
        <f t="shared" ref="EV138:EV160" si="2445">IF(BP138="","","|n"&amp;EV$2&amp;"+"&amp;BP138&amp;EV$1)</f>
        <v/>
      </c>
      <c r="EW138" s="30" t="str">
        <f t="shared" ref="EW138:EW160" si="2446">IF(BQ138="","","|n"&amp;EW$2&amp;"+"&amp;BQ138&amp;EW$1)</f>
        <v/>
      </c>
      <c r="EX138" s="30" t="str">
        <f t="shared" ref="EX138:EX160" si="2447">IF(BR138="","","|n"&amp;EX$2&amp;"+"&amp;BR138&amp;EX$1)</f>
        <v/>
      </c>
      <c r="EY138" s="30" t="str">
        <f t="shared" ref="EY138:EY160" si="2448">IF(BS138="","","|n"&amp;EY$2&amp;"+"&amp;BS138&amp;EY$1)</f>
        <v/>
      </c>
      <c r="EZ138" s="30" t="str">
        <f t="shared" ref="EZ138:EZ160" si="2449">IF(BT138="","","|n"&amp;EZ$2&amp;"+"&amp;BT138&amp;EZ$1)</f>
        <v/>
      </c>
      <c r="FA138" s="30" t="str">
        <f t="shared" ref="FA138:FA160" si="2450">IF(BU138="","","|n"&amp;FA$2&amp;"+"&amp;BU138&amp;FA$1)</f>
        <v/>
      </c>
      <c r="FB138" s="30" t="str">
        <f t="shared" ref="FB138:FB160" si="2451">IF(BV138="","","|n"&amp;FB$2&amp;"+"&amp;BV138&amp;FB$1)</f>
        <v/>
      </c>
      <c r="FC138" s="30" t="str">
        <f t="shared" ref="FC138:FC160" si="2452">IF(BW138="","","|n"&amp;FC$2&amp;"+"&amp;BW138&amp;FC$1)</f>
        <v/>
      </c>
      <c r="FD138" s="30" t="str">
        <f t="shared" ref="FD138:FD160" si="2453">IF(BX138="","","|n"&amp;FD$2&amp;"+"&amp;BX138&amp;FD$1)</f>
        <v/>
      </c>
      <c r="FE138" s="30" t="str">
        <f t="shared" ref="FE138:FE160" si="2454">IF(BY138="","","|n"&amp;FE$2&amp;"+"&amp;BY138&amp;FE$1)</f>
        <v/>
      </c>
      <c r="FF138" s="30" t="str">
        <f t="shared" ref="FF138:FF160" si="2455">IF(BZ138="","","|n"&amp;FF$2&amp;"+"&amp;BZ138&amp;FF$1)</f>
        <v/>
      </c>
      <c r="FG138" s="30" t="str">
        <f t="shared" ref="FG138:FG160" si="2456">IF(CA138="","","|n"&amp;FG$2&amp;"+"&amp;CA138&amp;FG$1)</f>
        <v/>
      </c>
      <c r="FH138" s="30" t="str">
        <f t="shared" ref="FH138:FH160" si="2457">IF(CB138="","","|n"&amp;FH$2&amp;"+"&amp;CB138&amp;FH$1)</f>
        <v/>
      </c>
      <c r="FI138" s="30" t="str">
        <f t="shared" ref="FI138:FI160" si="2458">IF(CC138="","","|n"&amp;FI$2&amp;"+"&amp;CC138&amp;FI$1)</f>
        <v/>
      </c>
      <c r="FJ138" s="30" t="str">
        <f t="shared" ref="FJ138:FJ160" si="2459">IF(CD138="","","|n"&amp;FJ$2&amp;"+"&amp;CD138&amp;FJ$1)</f>
        <v/>
      </c>
      <c r="FK138" s="30" t="str">
        <f t="shared" ref="FK138:FK160" si="2460">IF(CE138="","","|n"&amp;FK$2&amp;"+"&amp;CE138&amp;FK$1)</f>
        <v/>
      </c>
      <c r="FL138" s="30" t="str">
        <f t="shared" ref="FL138:FL160" si="2461">IF(CF138="","","|n"&amp;FL$2&amp;"+"&amp;CF138&amp;FL$1)</f>
        <v/>
      </c>
      <c r="FM138" s="30" t="str">
        <f t="shared" ref="FM138:FM160" si="2462">IF(CG138="","","|n"&amp;FM$2&amp;"+"&amp;CG138&amp;FM$1)</f>
        <v/>
      </c>
      <c r="FN138" s="30" t="str">
        <f t="shared" ref="FN138:FN160" si="2463">IF(CH138="","","|n"&amp;FN$2&amp;"+"&amp;CH138&amp;FN$1)</f>
        <v/>
      </c>
      <c r="FO138" s="30" t="str">
        <f t="shared" ref="FO138:FO160" si="2464">IF(CI138="","","|n"&amp;FO$2&amp;"+"&amp;CI138&amp;FO$1)</f>
        <v/>
      </c>
      <c r="FP138" s="30" t="str">
        <f t="shared" ref="FP138:FP160" si="2465">IF(CJ138="","","|n"&amp;FP$2&amp;"+"&amp;CJ138&amp;FP$1)</f>
        <v/>
      </c>
      <c r="FQ138" s="30" t="str">
        <f t="shared" ref="FQ138:FQ160" si="2466">IF(CK138="","","|n"&amp;FQ$2&amp;"+"&amp;CK138&amp;FQ$1)</f>
        <v/>
      </c>
      <c r="FR138" s="30" t="str">
        <f t="shared" ref="FR138:FR160" si="2467">IF(CL138="","","|n"&amp;FR$2&amp;"+"&amp;CL138&amp;FR$1)</f>
        <v/>
      </c>
      <c r="FS138" s="30" t="str">
        <f t="shared" ref="FS138:FS160" si="2468">IF(CM138="","","|n"&amp;FS$2&amp;"+"&amp;CM138&amp;FS$1)</f>
        <v/>
      </c>
    </row>
    <row r="139" spans="1:175" ht="16.5">
      <c r="A139" s="88"/>
      <c r="B139" s="66"/>
      <c r="C139" s="87"/>
      <c r="T139" s="107"/>
      <c r="U139" s="32"/>
      <c r="CN139" s="7" t="str">
        <f t="shared" si="2393"/>
        <v>InitUnitState('',,,,,,,,,,)</v>
      </c>
      <c r="CO139" s="7" t="str">
        <f t="shared" si="2394"/>
        <v>InitUnitNormal('',,,,,,,,,,)</v>
      </c>
      <c r="CP139" s="7" t="str">
        <f t="shared" si="2395"/>
        <v>InitUnitMagic('',,,,,,,,,,)</v>
      </c>
      <c r="CQ139" s="7" t="str">
        <f t="shared" si="2396"/>
        <v>InitUnitAdd('',,,,,,,,,,)</v>
      </c>
      <c r="CR139" s="7" t="str">
        <f t="shared" si="2397"/>
        <v>InitEquipData('',,"",,,,,'','','','','','',"")</v>
      </c>
      <c r="CU139" s="45" t="str">
        <f t="shared" si="2398"/>
        <v>|n</v>
      </c>
      <c r="CW139" s="24"/>
      <c r="CX139" s="24"/>
      <c r="CY139" s="24"/>
      <c r="CZ139" s="24"/>
      <c r="DA139" s="24"/>
      <c r="DB139" s="30" t="str">
        <f t="shared" si="2399"/>
        <v/>
      </c>
      <c r="DC139" s="30" t="str">
        <f t="shared" si="2400"/>
        <v/>
      </c>
      <c r="DD139" s="30" t="str">
        <f t="shared" si="2401"/>
        <v/>
      </c>
      <c r="DE139" s="30" t="str">
        <f t="shared" si="2402"/>
        <v/>
      </c>
      <c r="DF139" s="30" t="str">
        <f t="shared" si="2403"/>
        <v/>
      </c>
      <c r="DG139" s="30" t="str">
        <f t="shared" si="2404"/>
        <v/>
      </c>
      <c r="DH139" s="30" t="str">
        <f t="shared" si="2405"/>
        <v/>
      </c>
      <c r="DI139" s="30" t="str">
        <f t="shared" si="2406"/>
        <v/>
      </c>
      <c r="DJ139" s="30" t="str">
        <f t="shared" si="2407"/>
        <v/>
      </c>
      <c r="DK139" s="30" t="str">
        <f t="shared" si="2408"/>
        <v/>
      </c>
      <c r="DL139" s="30" t="str">
        <f t="shared" si="2409"/>
        <v/>
      </c>
      <c r="DM139" s="30" t="str">
        <f t="shared" si="2410"/>
        <v/>
      </c>
      <c r="DN139" s="30" t="str">
        <f t="shared" si="2411"/>
        <v/>
      </c>
      <c r="DO139" s="30" t="str">
        <f t="shared" si="2412"/>
        <v/>
      </c>
      <c r="DP139" s="30" t="str">
        <f t="shared" si="2413"/>
        <v/>
      </c>
      <c r="DQ139" s="30" t="str">
        <f t="shared" si="2414"/>
        <v/>
      </c>
      <c r="DR139" s="30" t="str">
        <f t="shared" si="2415"/>
        <v/>
      </c>
      <c r="DS139" s="30" t="str">
        <f t="shared" si="2416"/>
        <v/>
      </c>
      <c r="DT139" s="30" t="str">
        <f t="shared" si="2417"/>
        <v/>
      </c>
      <c r="DU139" s="30" t="str">
        <f t="shared" si="2418"/>
        <v/>
      </c>
      <c r="DV139" s="30" t="str">
        <f t="shared" si="2419"/>
        <v/>
      </c>
      <c r="DW139" s="30" t="str">
        <f t="shared" si="2420"/>
        <v/>
      </c>
      <c r="DX139" s="30" t="str">
        <f t="shared" si="2421"/>
        <v/>
      </c>
      <c r="DY139" s="30" t="str">
        <f t="shared" si="2422"/>
        <v/>
      </c>
      <c r="DZ139" s="30" t="str">
        <f t="shared" si="2423"/>
        <v/>
      </c>
      <c r="EA139" s="30" t="str">
        <f t="shared" si="2424"/>
        <v/>
      </c>
      <c r="EB139" s="30" t="str">
        <f t="shared" si="2425"/>
        <v/>
      </c>
      <c r="EC139" s="30" t="str">
        <f t="shared" si="2426"/>
        <v/>
      </c>
      <c r="ED139" s="30" t="str">
        <f t="shared" si="2427"/>
        <v/>
      </c>
      <c r="EE139" s="30" t="str">
        <f t="shared" si="2428"/>
        <v/>
      </c>
      <c r="EF139" s="30" t="str">
        <f t="shared" si="2429"/>
        <v/>
      </c>
      <c r="EG139" s="30" t="str">
        <f t="shared" si="2430"/>
        <v/>
      </c>
      <c r="EH139" s="30" t="str">
        <f t="shared" si="2431"/>
        <v/>
      </c>
      <c r="EI139" s="30" t="str">
        <f t="shared" si="2432"/>
        <v/>
      </c>
      <c r="EJ139" s="30" t="str">
        <f t="shared" si="2433"/>
        <v/>
      </c>
      <c r="EK139" s="30" t="str">
        <f t="shared" si="2434"/>
        <v/>
      </c>
      <c r="EL139" s="30" t="str">
        <f t="shared" si="2435"/>
        <v/>
      </c>
      <c r="EM139" s="30" t="str">
        <f t="shared" si="2436"/>
        <v/>
      </c>
      <c r="EN139" s="30" t="str">
        <f t="shared" si="2437"/>
        <v/>
      </c>
      <c r="EO139" s="30" t="str">
        <f t="shared" si="2438"/>
        <v/>
      </c>
      <c r="EP139" s="30" t="str">
        <f t="shared" si="2439"/>
        <v/>
      </c>
      <c r="EQ139" s="30" t="str">
        <f t="shared" si="2440"/>
        <v/>
      </c>
      <c r="ER139" s="30" t="str">
        <f t="shared" si="2441"/>
        <v/>
      </c>
      <c r="ES139" s="30" t="str">
        <f t="shared" si="2442"/>
        <v/>
      </c>
      <c r="ET139" s="30" t="str">
        <f t="shared" si="2443"/>
        <v/>
      </c>
      <c r="EU139" s="30" t="str">
        <f t="shared" si="2444"/>
        <v/>
      </c>
      <c r="EV139" s="30" t="str">
        <f t="shared" si="2445"/>
        <v/>
      </c>
      <c r="EW139" s="30" t="str">
        <f t="shared" si="2446"/>
        <v/>
      </c>
      <c r="EX139" s="30" t="str">
        <f t="shared" si="2447"/>
        <v/>
      </c>
      <c r="EY139" s="30" t="str">
        <f t="shared" si="2448"/>
        <v/>
      </c>
      <c r="EZ139" s="30" t="str">
        <f t="shared" si="2449"/>
        <v/>
      </c>
      <c r="FA139" s="30" t="str">
        <f t="shared" si="2450"/>
        <v/>
      </c>
      <c r="FB139" s="30" t="str">
        <f t="shared" si="2451"/>
        <v/>
      </c>
      <c r="FC139" s="30" t="str">
        <f t="shared" si="2452"/>
        <v/>
      </c>
      <c r="FD139" s="30" t="str">
        <f t="shared" si="2453"/>
        <v/>
      </c>
      <c r="FE139" s="30" t="str">
        <f t="shared" si="2454"/>
        <v/>
      </c>
      <c r="FF139" s="30" t="str">
        <f t="shared" si="2455"/>
        <v/>
      </c>
      <c r="FG139" s="30" t="str">
        <f t="shared" si="2456"/>
        <v/>
      </c>
      <c r="FH139" s="30" t="str">
        <f t="shared" si="2457"/>
        <v/>
      </c>
      <c r="FI139" s="30" t="str">
        <f t="shared" si="2458"/>
        <v/>
      </c>
      <c r="FJ139" s="30" t="str">
        <f t="shared" si="2459"/>
        <v/>
      </c>
      <c r="FK139" s="30" t="str">
        <f t="shared" si="2460"/>
        <v/>
      </c>
      <c r="FL139" s="30" t="str">
        <f t="shared" si="2461"/>
        <v/>
      </c>
      <c r="FM139" s="30" t="str">
        <f t="shared" si="2462"/>
        <v/>
      </c>
      <c r="FN139" s="30" t="str">
        <f t="shared" si="2463"/>
        <v/>
      </c>
      <c r="FO139" s="30" t="str">
        <f t="shared" si="2464"/>
        <v/>
      </c>
      <c r="FP139" s="30" t="str">
        <f t="shared" si="2465"/>
        <v/>
      </c>
      <c r="FQ139" s="30" t="str">
        <f t="shared" si="2466"/>
        <v/>
      </c>
      <c r="FR139" s="30" t="str">
        <f t="shared" si="2467"/>
        <v/>
      </c>
      <c r="FS139" s="30" t="str">
        <f t="shared" si="2468"/>
        <v/>
      </c>
    </row>
    <row r="140" spans="1:175" ht="16.5">
      <c r="A140" s="87"/>
      <c r="B140" s="66"/>
      <c r="C140" s="87"/>
      <c r="T140" s="106"/>
      <c r="U140" s="32"/>
      <c r="CN140" s="7" t="str">
        <f t="shared" si="2393"/>
        <v>InitUnitState('',,,,,,,,,,)</v>
      </c>
      <c r="CO140" s="7" t="str">
        <f t="shared" si="2394"/>
        <v>InitUnitNormal('',,,,,,,,,,)</v>
      </c>
      <c r="CP140" s="7" t="str">
        <f t="shared" si="2395"/>
        <v>InitUnitMagic('',,,,,,,,,,)</v>
      </c>
      <c r="CQ140" s="7" t="str">
        <f t="shared" si="2396"/>
        <v>InitUnitAdd('',,,,,,,,,,)</v>
      </c>
      <c r="CR140" s="7" t="str">
        <f t="shared" si="2397"/>
        <v>InitEquipData('',,"",,,,,'','','','','','',"")</v>
      </c>
      <c r="CU140" s="45" t="str">
        <f t="shared" si="2398"/>
        <v>|n</v>
      </c>
      <c r="CW140" s="24"/>
      <c r="CX140" s="24"/>
      <c r="CY140" s="24"/>
      <c r="CZ140" s="24"/>
      <c r="DA140" s="24"/>
      <c r="DB140" s="30" t="str">
        <f t="shared" si="2399"/>
        <v/>
      </c>
      <c r="DC140" s="30" t="str">
        <f t="shared" si="2400"/>
        <v/>
      </c>
      <c r="DD140" s="30" t="str">
        <f t="shared" si="2401"/>
        <v/>
      </c>
      <c r="DE140" s="30" t="str">
        <f t="shared" si="2402"/>
        <v/>
      </c>
      <c r="DF140" s="30" t="str">
        <f t="shared" si="2403"/>
        <v/>
      </c>
      <c r="DG140" s="30" t="str">
        <f t="shared" si="2404"/>
        <v/>
      </c>
      <c r="DH140" s="30" t="str">
        <f t="shared" si="2405"/>
        <v/>
      </c>
      <c r="DI140" s="30" t="str">
        <f t="shared" si="2406"/>
        <v/>
      </c>
      <c r="DJ140" s="30" t="str">
        <f t="shared" si="2407"/>
        <v/>
      </c>
      <c r="DK140" s="30" t="str">
        <f t="shared" si="2408"/>
        <v/>
      </c>
      <c r="DL140" s="30" t="str">
        <f t="shared" si="2409"/>
        <v/>
      </c>
      <c r="DM140" s="30" t="str">
        <f t="shared" si="2410"/>
        <v/>
      </c>
      <c r="DN140" s="30" t="str">
        <f t="shared" si="2411"/>
        <v/>
      </c>
      <c r="DO140" s="30" t="str">
        <f t="shared" si="2412"/>
        <v/>
      </c>
      <c r="DP140" s="30" t="str">
        <f t="shared" si="2413"/>
        <v/>
      </c>
      <c r="DQ140" s="30" t="str">
        <f t="shared" si="2414"/>
        <v/>
      </c>
      <c r="DR140" s="30" t="str">
        <f t="shared" si="2415"/>
        <v/>
      </c>
      <c r="DS140" s="30" t="str">
        <f t="shared" si="2416"/>
        <v/>
      </c>
      <c r="DT140" s="30" t="str">
        <f t="shared" si="2417"/>
        <v/>
      </c>
      <c r="DU140" s="30" t="str">
        <f t="shared" si="2418"/>
        <v/>
      </c>
      <c r="DV140" s="30" t="str">
        <f t="shared" si="2419"/>
        <v/>
      </c>
      <c r="DW140" s="30" t="str">
        <f t="shared" si="2420"/>
        <v/>
      </c>
      <c r="DX140" s="30" t="str">
        <f t="shared" si="2421"/>
        <v/>
      </c>
      <c r="DY140" s="30" t="str">
        <f t="shared" si="2422"/>
        <v/>
      </c>
      <c r="DZ140" s="30" t="str">
        <f t="shared" si="2423"/>
        <v/>
      </c>
      <c r="EA140" s="30" t="str">
        <f t="shared" si="2424"/>
        <v/>
      </c>
      <c r="EB140" s="30" t="str">
        <f t="shared" si="2425"/>
        <v/>
      </c>
      <c r="EC140" s="30" t="str">
        <f t="shared" si="2426"/>
        <v/>
      </c>
      <c r="ED140" s="30" t="str">
        <f t="shared" si="2427"/>
        <v/>
      </c>
      <c r="EE140" s="30" t="str">
        <f t="shared" si="2428"/>
        <v/>
      </c>
      <c r="EF140" s="30" t="str">
        <f t="shared" si="2429"/>
        <v/>
      </c>
      <c r="EG140" s="30" t="str">
        <f t="shared" si="2430"/>
        <v/>
      </c>
      <c r="EH140" s="30" t="str">
        <f t="shared" si="2431"/>
        <v/>
      </c>
      <c r="EI140" s="30" t="str">
        <f t="shared" si="2432"/>
        <v/>
      </c>
      <c r="EJ140" s="30" t="str">
        <f t="shared" si="2433"/>
        <v/>
      </c>
      <c r="EK140" s="30" t="str">
        <f t="shared" si="2434"/>
        <v/>
      </c>
      <c r="EL140" s="30" t="str">
        <f t="shared" si="2435"/>
        <v/>
      </c>
      <c r="EM140" s="30" t="str">
        <f t="shared" si="2436"/>
        <v/>
      </c>
      <c r="EN140" s="30" t="str">
        <f t="shared" si="2437"/>
        <v/>
      </c>
      <c r="EO140" s="30" t="str">
        <f t="shared" si="2438"/>
        <v/>
      </c>
      <c r="EP140" s="30" t="str">
        <f t="shared" si="2439"/>
        <v/>
      </c>
      <c r="EQ140" s="30" t="str">
        <f t="shared" si="2440"/>
        <v/>
      </c>
      <c r="ER140" s="30" t="str">
        <f t="shared" si="2441"/>
        <v/>
      </c>
      <c r="ES140" s="30" t="str">
        <f t="shared" si="2442"/>
        <v/>
      </c>
      <c r="ET140" s="30" t="str">
        <f t="shared" si="2443"/>
        <v/>
      </c>
      <c r="EU140" s="30" t="str">
        <f t="shared" si="2444"/>
        <v/>
      </c>
      <c r="EV140" s="30" t="str">
        <f t="shared" si="2445"/>
        <v/>
      </c>
      <c r="EW140" s="30" t="str">
        <f t="shared" si="2446"/>
        <v/>
      </c>
      <c r="EX140" s="30" t="str">
        <f t="shared" si="2447"/>
        <v/>
      </c>
      <c r="EY140" s="30" t="str">
        <f t="shared" si="2448"/>
        <v/>
      </c>
      <c r="EZ140" s="30" t="str">
        <f t="shared" si="2449"/>
        <v/>
      </c>
      <c r="FA140" s="30" t="str">
        <f t="shared" si="2450"/>
        <v/>
      </c>
      <c r="FB140" s="30" t="str">
        <f t="shared" si="2451"/>
        <v/>
      </c>
      <c r="FC140" s="30" t="str">
        <f t="shared" si="2452"/>
        <v/>
      </c>
      <c r="FD140" s="30" t="str">
        <f t="shared" si="2453"/>
        <v/>
      </c>
      <c r="FE140" s="30" t="str">
        <f t="shared" si="2454"/>
        <v/>
      </c>
      <c r="FF140" s="30" t="str">
        <f t="shared" si="2455"/>
        <v/>
      </c>
      <c r="FG140" s="30" t="str">
        <f t="shared" si="2456"/>
        <v/>
      </c>
      <c r="FH140" s="30" t="str">
        <f t="shared" si="2457"/>
        <v/>
      </c>
      <c r="FI140" s="30" t="str">
        <f t="shared" si="2458"/>
        <v/>
      </c>
      <c r="FJ140" s="30" t="str">
        <f t="shared" si="2459"/>
        <v/>
      </c>
      <c r="FK140" s="30" t="str">
        <f t="shared" si="2460"/>
        <v/>
      </c>
      <c r="FL140" s="30" t="str">
        <f t="shared" si="2461"/>
        <v/>
      </c>
      <c r="FM140" s="30" t="str">
        <f t="shared" si="2462"/>
        <v/>
      </c>
      <c r="FN140" s="30" t="str">
        <f t="shared" si="2463"/>
        <v/>
      </c>
      <c r="FO140" s="30" t="str">
        <f t="shared" si="2464"/>
        <v/>
      </c>
      <c r="FP140" s="30" t="str">
        <f t="shared" si="2465"/>
        <v/>
      </c>
      <c r="FQ140" s="30" t="str">
        <f t="shared" si="2466"/>
        <v/>
      </c>
      <c r="FR140" s="30" t="str">
        <f t="shared" si="2467"/>
        <v/>
      </c>
      <c r="FS140" s="30" t="str">
        <f t="shared" si="2468"/>
        <v/>
      </c>
    </row>
    <row r="141" spans="1:175" ht="16.5">
      <c r="A141" s="87"/>
      <c r="B141" s="66"/>
      <c r="C141" s="87"/>
      <c r="T141" s="106"/>
      <c r="U141" s="32"/>
      <c r="CN141" s="7" t="str">
        <f t="shared" si="2393"/>
        <v>InitUnitState('',,,,,,,,,,)</v>
      </c>
      <c r="CO141" s="7" t="str">
        <f t="shared" si="2394"/>
        <v>InitUnitNormal('',,,,,,,,,,)</v>
      </c>
      <c r="CP141" s="7" t="str">
        <f t="shared" si="2395"/>
        <v>InitUnitMagic('',,,,,,,,,,)</v>
      </c>
      <c r="CQ141" s="7" t="str">
        <f t="shared" si="2396"/>
        <v>InitUnitAdd('',,,,,,,,,,)</v>
      </c>
      <c r="CR141" s="7" t="str">
        <f t="shared" si="2397"/>
        <v>InitEquipData('',,"",,,,,'','','','','','',"")</v>
      </c>
      <c r="CU141" s="45" t="str">
        <f t="shared" si="2398"/>
        <v>|n</v>
      </c>
      <c r="CW141" s="24"/>
      <c r="CX141" s="24"/>
      <c r="CY141" s="24"/>
      <c r="CZ141" s="24"/>
      <c r="DA141" s="24"/>
      <c r="DB141" s="30" t="str">
        <f t="shared" si="2399"/>
        <v/>
      </c>
      <c r="DC141" s="30" t="str">
        <f t="shared" si="2400"/>
        <v/>
      </c>
      <c r="DD141" s="30" t="str">
        <f t="shared" si="2401"/>
        <v/>
      </c>
      <c r="DE141" s="30" t="str">
        <f t="shared" si="2402"/>
        <v/>
      </c>
      <c r="DF141" s="30" t="str">
        <f t="shared" si="2403"/>
        <v/>
      </c>
      <c r="DG141" s="30" t="str">
        <f t="shared" si="2404"/>
        <v/>
      </c>
      <c r="DH141" s="30" t="str">
        <f t="shared" si="2405"/>
        <v/>
      </c>
      <c r="DI141" s="30" t="str">
        <f t="shared" si="2406"/>
        <v/>
      </c>
      <c r="DJ141" s="30" t="str">
        <f t="shared" si="2407"/>
        <v/>
      </c>
      <c r="DK141" s="30" t="str">
        <f t="shared" si="2408"/>
        <v/>
      </c>
      <c r="DL141" s="30" t="str">
        <f t="shared" si="2409"/>
        <v/>
      </c>
      <c r="DM141" s="30" t="str">
        <f t="shared" si="2410"/>
        <v/>
      </c>
      <c r="DN141" s="30" t="str">
        <f t="shared" si="2411"/>
        <v/>
      </c>
      <c r="DO141" s="30" t="str">
        <f t="shared" si="2412"/>
        <v/>
      </c>
      <c r="DP141" s="30" t="str">
        <f t="shared" si="2413"/>
        <v/>
      </c>
      <c r="DQ141" s="30" t="str">
        <f t="shared" si="2414"/>
        <v/>
      </c>
      <c r="DR141" s="30" t="str">
        <f t="shared" si="2415"/>
        <v/>
      </c>
      <c r="DS141" s="30" t="str">
        <f t="shared" si="2416"/>
        <v/>
      </c>
      <c r="DT141" s="30" t="str">
        <f t="shared" si="2417"/>
        <v/>
      </c>
      <c r="DU141" s="30" t="str">
        <f t="shared" si="2418"/>
        <v/>
      </c>
      <c r="DV141" s="30" t="str">
        <f t="shared" si="2419"/>
        <v/>
      </c>
      <c r="DW141" s="30" t="str">
        <f t="shared" si="2420"/>
        <v/>
      </c>
      <c r="DX141" s="30" t="str">
        <f t="shared" si="2421"/>
        <v/>
      </c>
      <c r="DY141" s="30" t="str">
        <f t="shared" si="2422"/>
        <v/>
      </c>
      <c r="DZ141" s="30" t="str">
        <f t="shared" si="2423"/>
        <v/>
      </c>
      <c r="EA141" s="30" t="str">
        <f t="shared" si="2424"/>
        <v/>
      </c>
      <c r="EB141" s="30" t="str">
        <f t="shared" si="2425"/>
        <v/>
      </c>
      <c r="EC141" s="30" t="str">
        <f t="shared" si="2426"/>
        <v/>
      </c>
      <c r="ED141" s="30" t="str">
        <f t="shared" si="2427"/>
        <v/>
      </c>
      <c r="EE141" s="30" t="str">
        <f t="shared" si="2428"/>
        <v/>
      </c>
      <c r="EF141" s="30" t="str">
        <f t="shared" si="2429"/>
        <v/>
      </c>
      <c r="EG141" s="30" t="str">
        <f t="shared" si="2430"/>
        <v/>
      </c>
      <c r="EH141" s="30" t="str">
        <f t="shared" si="2431"/>
        <v/>
      </c>
      <c r="EI141" s="30" t="str">
        <f t="shared" si="2432"/>
        <v/>
      </c>
      <c r="EJ141" s="30" t="str">
        <f t="shared" si="2433"/>
        <v/>
      </c>
      <c r="EK141" s="30" t="str">
        <f t="shared" si="2434"/>
        <v/>
      </c>
      <c r="EL141" s="30" t="str">
        <f t="shared" si="2435"/>
        <v/>
      </c>
      <c r="EM141" s="30" t="str">
        <f t="shared" si="2436"/>
        <v/>
      </c>
      <c r="EN141" s="30" t="str">
        <f t="shared" si="2437"/>
        <v/>
      </c>
      <c r="EO141" s="30" t="str">
        <f t="shared" si="2438"/>
        <v/>
      </c>
      <c r="EP141" s="30" t="str">
        <f t="shared" si="2439"/>
        <v/>
      </c>
      <c r="EQ141" s="30" t="str">
        <f t="shared" si="2440"/>
        <v/>
      </c>
      <c r="ER141" s="30" t="str">
        <f t="shared" si="2441"/>
        <v/>
      </c>
      <c r="ES141" s="30" t="str">
        <f t="shared" si="2442"/>
        <v/>
      </c>
      <c r="ET141" s="30" t="str">
        <f t="shared" si="2443"/>
        <v/>
      </c>
      <c r="EU141" s="30" t="str">
        <f t="shared" si="2444"/>
        <v/>
      </c>
      <c r="EV141" s="30" t="str">
        <f t="shared" si="2445"/>
        <v/>
      </c>
      <c r="EW141" s="30" t="str">
        <f t="shared" si="2446"/>
        <v/>
      </c>
      <c r="EX141" s="30" t="str">
        <f t="shared" si="2447"/>
        <v/>
      </c>
      <c r="EY141" s="30" t="str">
        <f t="shared" si="2448"/>
        <v/>
      </c>
      <c r="EZ141" s="30" t="str">
        <f t="shared" si="2449"/>
        <v/>
      </c>
      <c r="FA141" s="30" t="str">
        <f t="shared" si="2450"/>
        <v/>
      </c>
      <c r="FB141" s="30" t="str">
        <f t="shared" si="2451"/>
        <v/>
      </c>
      <c r="FC141" s="30" t="str">
        <f t="shared" si="2452"/>
        <v/>
      </c>
      <c r="FD141" s="30" t="str">
        <f t="shared" si="2453"/>
        <v/>
      </c>
      <c r="FE141" s="30" t="str">
        <f t="shared" si="2454"/>
        <v/>
      </c>
      <c r="FF141" s="30" t="str">
        <f t="shared" si="2455"/>
        <v/>
      </c>
      <c r="FG141" s="30" t="str">
        <f t="shared" si="2456"/>
        <v/>
      </c>
      <c r="FH141" s="30" t="str">
        <f t="shared" si="2457"/>
        <v/>
      </c>
      <c r="FI141" s="30" t="str">
        <f t="shared" si="2458"/>
        <v/>
      </c>
      <c r="FJ141" s="30" t="str">
        <f t="shared" si="2459"/>
        <v/>
      </c>
      <c r="FK141" s="30" t="str">
        <f t="shared" si="2460"/>
        <v/>
      </c>
      <c r="FL141" s="30" t="str">
        <f t="shared" si="2461"/>
        <v/>
      </c>
      <c r="FM141" s="30" t="str">
        <f t="shared" si="2462"/>
        <v/>
      </c>
      <c r="FN141" s="30" t="str">
        <f t="shared" si="2463"/>
        <v/>
      </c>
      <c r="FO141" s="30" t="str">
        <f t="shared" si="2464"/>
        <v/>
      </c>
      <c r="FP141" s="30" t="str">
        <f t="shared" si="2465"/>
        <v/>
      </c>
      <c r="FQ141" s="30" t="str">
        <f t="shared" si="2466"/>
        <v/>
      </c>
      <c r="FR141" s="30" t="str">
        <f t="shared" si="2467"/>
        <v/>
      </c>
      <c r="FS141" s="30" t="str">
        <f t="shared" si="2468"/>
        <v/>
      </c>
    </row>
    <row r="142" spans="1:175" ht="16.5">
      <c r="A142" s="87"/>
      <c r="B142" s="66"/>
      <c r="C142" s="87"/>
      <c r="T142" s="106"/>
      <c r="U142" s="32"/>
      <c r="CN142" s="7" t="str">
        <f t="shared" si="2393"/>
        <v>InitUnitState('',,,,,,,,,,)</v>
      </c>
      <c r="CO142" s="7" t="str">
        <f t="shared" si="2394"/>
        <v>InitUnitNormal('',,,,,,,,,,)</v>
      </c>
      <c r="CP142" s="7" t="str">
        <f t="shared" si="2395"/>
        <v>InitUnitMagic('',,,,,,,,,,)</v>
      </c>
      <c r="CQ142" s="7" t="str">
        <f t="shared" si="2396"/>
        <v>InitUnitAdd('',,,,,,,,,,)</v>
      </c>
      <c r="CR142" s="7" t="str">
        <f t="shared" si="2397"/>
        <v>InitEquipData('',,"",,,,,'','','','','','',"")</v>
      </c>
      <c r="CU142" s="45" t="str">
        <f t="shared" si="2398"/>
        <v>|n</v>
      </c>
      <c r="CW142" s="24"/>
      <c r="CX142" s="24"/>
      <c r="CY142" s="24"/>
      <c r="CZ142" s="24"/>
      <c r="DA142" s="24"/>
      <c r="DB142" s="30" t="str">
        <f t="shared" si="2399"/>
        <v/>
      </c>
      <c r="DC142" s="30" t="str">
        <f t="shared" si="2400"/>
        <v/>
      </c>
      <c r="DD142" s="30" t="str">
        <f t="shared" si="2401"/>
        <v/>
      </c>
      <c r="DE142" s="30" t="str">
        <f t="shared" si="2402"/>
        <v/>
      </c>
      <c r="DF142" s="30" t="str">
        <f t="shared" si="2403"/>
        <v/>
      </c>
      <c r="DG142" s="30" t="str">
        <f t="shared" si="2404"/>
        <v/>
      </c>
      <c r="DH142" s="30" t="str">
        <f t="shared" si="2405"/>
        <v/>
      </c>
      <c r="DI142" s="30" t="str">
        <f t="shared" si="2406"/>
        <v/>
      </c>
      <c r="DJ142" s="30" t="str">
        <f t="shared" si="2407"/>
        <v/>
      </c>
      <c r="DK142" s="30" t="str">
        <f t="shared" si="2408"/>
        <v/>
      </c>
      <c r="DL142" s="30" t="str">
        <f t="shared" si="2409"/>
        <v/>
      </c>
      <c r="DM142" s="30" t="str">
        <f t="shared" si="2410"/>
        <v/>
      </c>
      <c r="DN142" s="30" t="str">
        <f t="shared" si="2411"/>
        <v/>
      </c>
      <c r="DO142" s="30" t="str">
        <f t="shared" si="2412"/>
        <v/>
      </c>
      <c r="DP142" s="30" t="str">
        <f t="shared" si="2413"/>
        <v/>
      </c>
      <c r="DQ142" s="30" t="str">
        <f t="shared" si="2414"/>
        <v/>
      </c>
      <c r="DR142" s="30" t="str">
        <f t="shared" si="2415"/>
        <v/>
      </c>
      <c r="DS142" s="30" t="str">
        <f t="shared" si="2416"/>
        <v/>
      </c>
      <c r="DT142" s="30" t="str">
        <f t="shared" si="2417"/>
        <v/>
      </c>
      <c r="DU142" s="30" t="str">
        <f t="shared" si="2418"/>
        <v/>
      </c>
      <c r="DV142" s="30" t="str">
        <f t="shared" si="2419"/>
        <v/>
      </c>
      <c r="DW142" s="30" t="str">
        <f t="shared" si="2420"/>
        <v/>
      </c>
      <c r="DX142" s="30" t="str">
        <f t="shared" si="2421"/>
        <v/>
      </c>
      <c r="DY142" s="30" t="str">
        <f t="shared" si="2422"/>
        <v/>
      </c>
      <c r="DZ142" s="30" t="str">
        <f t="shared" si="2423"/>
        <v/>
      </c>
      <c r="EA142" s="30" t="str">
        <f t="shared" si="2424"/>
        <v/>
      </c>
      <c r="EB142" s="30" t="str">
        <f t="shared" si="2425"/>
        <v/>
      </c>
      <c r="EC142" s="30" t="str">
        <f t="shared" si="2426"/>
        <v/>
      </c>
      <c r="ED142" s="30" t="str">
        <f t="shared" si="2427"/>
        <v/>
      </c>
      <c r="EE142" s="30" t="str">
        <f t="shared" si="2428"/>
        <v/>
      </c>
      <c r="EF142" s="30" t="str">
        <f t="shared" si="2429"/>
        <v/>
      </c>
      <c r="EG142" s="30" t="str">
        <f t="shared" si="2430"/>
        <v/>
      </c>
      <c r="EH142" s="30" t="str">
        <f t="shared" si="2431"/>
        <v/>
      </c>
      <c r="EI142" s="30" t="str">
        <f t="shared" si="2432"/>
        <v/>
      </c>
      <c r="EJ142" s="30" t="str">
        <f t="shared" si="2433"/>
        <v/>
      </c>
      <c r="EK142" s="30" t="str">
        <f t="shared" si="2434"/>
        <v/>
      </c>
      <c r="EL142" s="30" t="str">
        <f t="shared" si="2435"/>
        <v/>
      </c>
      <c r="EM142" s="30" t="str">
        <f t="shared" si="2436"/>
        <v/>
      </c>
      <c r="EN142" s="30" t="str">
        <f t="shared" si="2437"/>
        <v/>
      </c>
      <c r="EO142" s="30" t="str">
        <f t="shared" si="2438"/>
        <v/>
      </c>
      <c r="EP142" s="30" t="str">
        <f t="shared" si="2439"/>
        <v/>
      </c>
      <c r="EQ142" s="30" t="str">
        <f t="shared" si="2440"/>
        <v/>
      </c>
      <c r="ER142" s="30" t="str">
        <f t="shared" si="2441"/>
        <v/>
      </c>
      <c r="ES142" s="30" t="str">
        <f t="shared" si="2442"/>
        <v/>
      </c>
      <c r="ET142" s="30" t="str">
        <f t="shared" si="2443"/>
        <v/>
      </c>
      <c r="EU142" s="30" t="str">
        <f t="shared" si="2444"/>
        <v/>
      </c>
      <c r="EV142" s="30" t="str">
        <f t="shared" si="2445"/>
        <v/>
      </c>
      <c r="EW142" s="30" t="str">
        <f t="shared" si="2446"/>
        <v/>
      </c>
      <c r="EX142" s="30" t="str">
        <f t="shared" si="2447"/>
        <v/>
      </c>
      <c r="EY142" s="30" t="str">
        <f t="shared" si="2448"/>
        <v/>
      </c>
      <c r="EZ142" s="30" t="str">
        <f t="shared" si="2449"/>
        <v/>
      </c>
      <c r="FA142" s="30" t="str">
        <f t="shared" si="2450"/>
        <v/>
      </c>
      <c r="FB142" s="30" t="str">
        <f t="shared" si="2451"/>
        <v/>
      </c>
      <c r="FC142" s="30" t="str">
        <f t="shared" si="2452"/>
        <v/>
      </c>
      <c r="FD142" s="30" t="str">
        <f t="shared" si="2453"/>
        <v/>
      </c>
      <c r="FE142" s="30" t="str">
        <f t="shared" si="2454"/>
        <v/>
      </c>
      <c r="FF142" s="30" t="str">
        <f t="shared" si="2455"/>
        <v/>
      </c>
      <c r="FG142" s="30" t="str">
        <f t="shared" si="2456"/>
        <v/>
      </c>
      <c r="FH142" s="30" t="str">
        <f t="shared" si="2457"/>
        <v/>
      </c>
      <c r="FI142" s="30" t="str">
        <f t="shared" si="2458"/>
        <v/>
      </c>
      <c r="FJ142" s="30" t="str">
        <f t="shared" si="2459"/>
        <v/>
      </c>
      <c r="FK142" s="30" t="str">
        <f t="shared" si="2460"/>
        <v/>
      </c>
      <c r="FL142" s="30" t="str">
        <f t="shared" si="2461"/>
        <v/>
      </c>
      <c r="FM142" s="30" t="str">
        <f t="shared" si="2462"/>
        <v/>
      </c>
      <c r="FN142" s="30" t="str">
        <f t="shared" si="2463"/>
        <v/>
      </c>
      <c r="FO142" s="30" t="str">
        <f t="shared" si="2464"/>
        <v/>
      </c>
      <c r="FP142" s="30" t="str">
        <f t="shared" si="2465"/>
        <v/>
      </c>
      <c r="FQ142" s="30" t="str">
        <f t="shared" si="2466"/>
        <v/>
      </c>
      <c r="FR142" s="30" t="str">
        <f t="shared" si="2467"/>
        <v/>
      </c>
      <c r="FS142" s="30" t="str">
        <f t="shared" si="2468"/>
        <v/>
      </c>
    </row>
    <row r="143" spans="1:175" ht="16.5">
      <c r="A143" s="87"/>
      <c r="B143" s="66"/>
      <c r="C143" s="87"/>
      <c r="T143" s="106"/>
      <c r="U143" s="32"/>
      <c r="CN143" s="7" t="str">
        <f t="shared" si="2393"/>
        <v>InitUnitState('',,,,,,,,,,)</v>
      </c>
      <c r="CO143" s="7" t="str">
        <f t="shared" si="2394"/>
        <v>InitUnitNormal('',,,,,,,,,,)</v>
      </c>
      <c r="CP143" s="7" t="str">
        <f t="shared" si="2395"/>
        <v>InitUnitMagic('',,,,,,,,,,)</v>
      </c>
      <c r="CQ143" s="7" t="str">
        <f t="shared" si="2396"/>
        <v>InitUnitAdd('',,,,,,,,,,)</v>
      </c>
      <c r="CR143" s="7" t="str">
        <f t="shared" si="2397"/>
        <v>InitEquipData('',,"",,,,,'','','','','','',"")</v>
      </c>
      <c r="CU143" s="45" t="str">
        <f t="shared" si="2398"/>
        <v>|n</v>
      </c>
      <c r="CW143" s="24"/>
      <c r="CX143" s="24"/>
      <c r="CY143" s="24"/>
      <c r="CZ143" s="24"/>
      <c r="DA143" s="24"/>
      <c r="DB143" s="30" t="str">
        <f t="shared" si="2399"/>
        <v/>
      </c>
      <c r="DC143" s="30" t="str">
        <f t="shared" si="2400"/>
        <v/>
      </c>
      <c r="DD143" s="30" t="str">
        <f t="shared" si="2401"/>
        <v/>
      </c>
      <c r="DE143" s="30" t="str">
        <f t="shared" si="2402"/>
        <v/>
      </c>
      <c r="DF143" s="30" t="str">
        <f t="shared" si="2403"/>
        <v/>
      </c>
      <c r="DG143" s="30" t="str">
        <f t="shared" si="2404"/>
        <v/>
      </c>
      <c r="DH143" s="30" t="str">
        <f t="shared" si="2405"/>
        <v/>
      </c>
      <c r="DI143" s="30" t="str">
        <f t="shared" si="2406"/>
        <v/>
      </c>
      <c r="DJ143" s="30" t="str">
        <f t="shared" si="2407"/>
        <v/>
      </c>
      <c r="DK143" s="30" t="str">
        <f t="shared" si="2408"/>
        <v/>
      </c>
      <c r="DL143" s="30" t="str">
        <f t="shared" si="2409"/>
        <v/>
      </c>
      <c r="DM143" s="30" t="str">
        <f t="shared" si="2410"/>
        <v/>
      </c>
      <c r="DN143" s="30" t="str">
        <f t="shared" si="2411"/>
        <v/>
      </c>
      <c r="DO143" s="30" t="str">
        <f t="shared" si="2412"/>
        <v/>
      </c>
      <c r="DP143" s="30" t="str">
        <f t="shared" si="2413"/>
        <v/>
      </c>
      <c r="DQ143" s="30" t="str">
        <f t="shared" si="2414"/>
        <v/>
      </c>
      <c r="DR143" s="30" t="str">
        <f t="shared" si="2415"/>
        <v/>
      </c>
      <c r="DS143" s="30" t="str">
        <f t="shared" si="2416"/>
        <v/>
      </c>
      <c r="DT143" s="30" t="str">
        <f t="shared" si="2417"/>
        <v/>
      </c>
      <c r="DU143" s="30" t="str">
        <f t="shared" si="2418"/>
        <v/>
      </c>
      <c r="DV143" s="30" t="str">
        <f t="shared" si="2419"/>
        <v/>
      </c>
      <c r="DW143" s="30" t="str">
        <f t="shared" si="2420"/>
        <v/>
      </c>
      <c r="DX143" s="30" t="str">
        <f t="shared" si="2421"/>
        <v/>
      </c>
      <c r="DY143" s="30" t="str">
        <f t="shared" si="2422"/>
        <v/>
      </c>
      <c r="DZ143" s="30" t="str">
        <f t="shared" si="2423"/>
        <v/>
      </c>
      <c r="EA143" s="30" t="str">
        <f t="shared" si="2424"/>
        <v/>
      </c>
      <c r="EB143" s="30" t="str">
        <f t="shared" si="2425"/>
        <v/>
      </c>
      <c r="EC143" s="30" t="str">
        <f t="shared" si="2426"/>
        <v/>
      </c>
      <c r="ED143" s="30" t="str">
        <f t="shared" si="2427"/>
        <v/>
      </c>
      <c r="EE143" s="30" t="str">
        <f t="shared" si="2428"/>
        <v/>
      </c>
      <c r="EF143" s="30" t="str">
        <f t="shared" si="2429"/>
        <v/>
      </c>
      <c r="EG143" s="30" t="str">
        <f t="shared" si="2430"/>
        <v/>
      </c>
      <c r="EH143" s="30" t="str">
        <f t="shared" si="2431"/>
        <v/>
      </c>
      <c r="EI143" s="30" t="str">
        <f t="shared" si="2432"/>
        <v/>
      </c>
      <c r="EJ143" s="30" t="str">
        <f t="shared" si="2433"/>
        <v/>
      </c>
      <c r="EK143" s="30" t="str">
        <f t="shared" si="2434"/>
        <v/>
      </c>
      <c r="EL143" s="30" t="str">
        <f t="shared" si="2435"/>
        <v/>
      </c>
      <c r="EM143" s="30" t="str">
        <f t="shared" si="2436"/>
        <v/>
      </c>
      <c r="EN143" s="30" t="str">
        <f t="shared" si="2437"/>
        <v/>
      </c>
      <c r="EO143" s="30" t="str">
        <f t="shared" si="2438"/>
        <v/>
      </c>
      <c r="EP143" s="30" t="str">
        <f t="shared" si="2439"/>
        <v/>
      </c>
      <c r="EQ143" s="30" t="str">
        <f t="shared" si="2440"/>
        <v/>
      </c>
      <c r="ER143" s="30" t="str">
        <f t="shared" si="2441"/>
        <v/>
      </c>
      <c r="ES143" s="30" t="str">
        <f t="shared" si="2442"/>
        <v/>
      </c>
      <c r="ET143" s="30" t="str">
        <f t="shared" si="2443"/>
        <v/>
      </c>
      <c r="EU143" s="30" t="str">
        <f t="shared" si="2444"/>
        <v/>
      </c>
      <c r="EV143" s="30" t="str">
        <f t="shared" si="2445"/>
        <v/>
      </c>
      <c r="EW143" s="30" t="str">
        <f t="shared" si="2446"/>
        <v/>
      </c>
      <c r="EX143" s="30" t="str">
        <f t="shared" si="2447"/>
        <v/>
      </c>
      <c r="EY143" s="30" t="str">
        <f t="shared" si="2448"/>
        <v/>
      </c>
      <c r="EZ143" s="30" t="str">
        <f t="shared" si="2449"/>
        <v/>
      </c>
      <c r="FA143" s="30" t="str">
        <f t="shared" si="2450"/>
        <v/>
      </c>
      <c r="FB143" s="30" t="str">
        <f t="shared" si="2451"/>
        <v/>
      </c>
      <c r="FC143" s="30" t="str">
        <f t="shared" si="2452"/>
        <v/>
      </c>
      <c r="FD143" s="30" t="str">
        <f t="shared" si="2453"/>
        <v/>
      </c>
      <c r="FE143" s="30" t="str">
        <f t="shared" si="2454"/>
        <v/>
      </c>
      <c r="FF143" s="30" t="str">
        <f t="shared" si="2455"/>
        <v/>
      </c>
      <c r="FG143" s="30" t="str">
        <f t="shared" si="2456"/>
        <v/>
      </c>
      <c r="FH143" s="30" t="str">
        <f t="shared" si="2457"/>
        <v/>
      </c>
      <c r="FI143" s="30" t="str">
        <f t="shared" si="2458"/>
        <v/>
      </c>
      <c r="FJ143" s="30" t="str">
        <f t="shared" si="2459"/>
        <v/>
      </c>
      <c r="FK143" s="30" t="str">
        <f t="shared" si="2460"/>
        <v/>
      </c>
      <c r="FL143" s="30" t="str">
        <f t="shared" si="2461"/>
        <v/>
      </c>
      <c r="FM143" s="30" t="str">
        <f t="shared" si="2462"/>
        <v/>
      </c>
      <c r="FN143" s="30" t="str">
        <f t="shared" si="2463"/>
        <v/>
      </c>
      <c r="FO143" s="30" t="str">
        <f t="shared" si="2464"/>
        <v/>
      </c>
      <c r="FP143" s="30" t="str">
        <f t="shared" si="2465"/>
        <v/>
      </c>
      <c r="FQ143" s="30" t="str">
        <f t="shared" si="2466"/>
        <v/>
      </c>
      <c r="FR143" s="30" t="str">
        <f t="shared" si="2467"/>
        <v/>
      </c>
      <c r="FS143" s="30" t="str">
        <f t="shared" si="2468"/>
        <v/>
      </c>
    </row>
    <row r="144" spans="1:175" ht="16.5">
      <c r="A144" s="87"/>
      <c r="B144" s="66"/>
      <c r="C144" s="87"/>
      <c r="T144" s="106"/>
      <c r="U144" s="32"/>
      <c r="CN144" s="7" t="str">
        <f t="shared" si="2393"/>
        <v>InitUnitState('',,,,,,,,,,)</v>
      </c>
      <c r="CO144" s="7" t="str">
        <f t="shared" si="2394"/>
        <v>InitUnitNormal('',,,,,,,,,,)</v>
      </c>
      <c r="CP144" s="7" t="str">
        <f t="shared" si="2395"/>
        <v>InitUnitMagic('',,,,,,,,,,)</v>
      </c>
      <c r="CQ144" s="7" t="str">
        <f t="shared" si="2396"/>
        <v>InitUnitAdd('',,,,,,,,,,)</v>
      </c>
      <c r="CR144" s="7" t="str">
        <f t="shared" si="2397"/>
        <v>InitEquipData('',,"",,,,,'','','','','','',"")</v>
      </c>
      <c r="CU144" s="45" t="str">
        <f t="shared" si="2398"/>
        <v>|n</v>
      </c>
      <c r="CW144" s="24"/>
      <c r="CX144" s="24"/>
      <c r="CY144" s="24"/>
      <c r="CZ144" s="24"/>
      <c r="DA144" s="24"/>
      <c r="DB144" s="30" t="str">
        <f t="shared" si="2399"/>
        <v/>
      </c>
      <c r="DC144" s="30" t="str">
        <f t="shared" si="2400"/>
        <v/>
      </c>
      <c r="DD144" s="30" t="str">
        <f t="shared" si="2401"/>
        <v/>
      </c>
      <c r="DE144" s="30" t="str">
        <f t="shared" si="2402"/>
        <v/>
      </c>
      <c r="DF144" s="30" t="str">
        <f t="shared" si="2403"/>
        <v/>
      </c>
      <c r="DG144" s="30" t="str">
        <f t="shared" si="2404"/>
        <v/>
      </c>
      <c r="DH144" s="30" t="str">
        <f t="shared" si="2405"/>
        <v/>
      </c>
      <c r="DI144" s="30" t="str">
        <f t="shared" si="2406"/>
        <v/>
      </c>
      <c r="DJ144" s="30" t="str">
        <f t="shared" si="2407"/>
        <v/>
      </c>
      <c r="DK144" s="30" t="str">
        <f t="shared" si="2408"/>
        <v/>
      </c>
      <c r="DL144" s="30" t="str">
        <f t="shared" si="2409"/>
        <v/>
      </c>
      <c r="DM144" s="30" t="str">
        <f t="shared" si="2410"/>
        <v/>
      </c>
      <c r="DN144" s="30" t="str">
        <f t="shared" si="2411"/>
        <v/>
      </c>
      <c r="DO144" s="30" t="str">
        <f t="shared" si="2412"/>
        <v/>
      </c>
      <c r="DP144" s="30" t="str">
        <f t="shared" si="2413"/>
        <v/>
      </c>
      <c r="DQ144" s="30" t="str">
        <f t="shared" si="2414"/>
        <v/>
      </c>
      <c r="DR144" s="30" t="str">
        <f t="shared" si="2415"/>
        <v/>
      </c>
      <c r="DS144" s="30" t="str">
        <f t="shared" si="2416"/>
        <v/>
      </c>
      <c r="DT144" s="30" t="str">
        <f t="shared" si="2417"/>
        <v/>
      </c>
      <c r="DU144" s="30" t="str">
        <f t="shared" si="2418"/>
        <v/>
      </c>
      <c r="DV144" s="30" t="str">
        <f t="shared" si="2419"/>
        <v/>
      </c>
      <c r="DW144" s="30" t="str">
        <f t="shared" si="2420"/>
        <v/>
      </c>
      <c r="DX144" s="30" t="str">
        <f t="shared" si="2421"/>
        <v/>
      </c>
      <c r="DY144" s="30" t="str">
        <f t="shared" si="2422"/>
        <v/>
      </c>
      <c r="DZ144" s="30" t="str">
        <f t="shared" si="2423"/>
        <v/>
      </c>
      <c r="EA144" s="30" t="str">
        <f t="shared" si="2424"/>
        <v/>
      </c>
      <c r="EB144" s="30" t="str">
        <f t="shared" si="2425"/>
        <v/>
      </c>
      <c r="EC144" s="30" t="str">
        <f t="shared" si="2426"/>
        <v/>
      </c>
      <c r="ED144" s="30" t="str">
        <f t="shared" si="2427"/>
        <v/>
      </c>
      <c r="EE144" s="30" t="str">
        <f t="shared" si="2428"/>
        <v/>
      </c>
      <c r="EF144" s="30" t="str">
        <f t="shared" si="2429"/>
        <v/>
      </c>
      <c r="EG144" s="30" t="str">
        <f t="shared" si="2430"/>
        <v/>
      </c>
      <c r="EH144" s="30" t="str">
        <f t="shared" si="2431"/>
        <v/>
      </c>
      <c r="EI144" s="30" t="str">
        <f t="shared" si="2432"/>
        <v/>
      </c>
      <c r="EJ144" s="30" t="str">
        <f t="shared" si="2433"/>
        <v/>
      </c>
      <c r="EK144" s="30" t="str">
        <f t="shared" si="2434"/>
        <v/>
      </c>
      <c r="EL144" s="30" t="str">
        <f t="shared" si="2435"/>
        <v/>
      </c>
      <c r="EM144" s="30" t="str">
        <f t="shared" si="2436"/>
        <v/>
      </c>
      <c r="EN144" s="30" t="str">
        <f t="shared" si="2437"/>
        <v/>
      </c>
      <c r="EO144" s="30" t="str">
        <f t="shared" si="2438"/>
        <v/>
      </c>
      <c r="EP144" s="30" t="str">
        <f t="shared" si="2439"/>
        <v/>
      </c>
      <c r="EQ144" s="30" t="str">
        <f t="shared" si="2440"/>
        <v/>
      </c>
      <c r="ER144" s="30" t="str">
        <f t="shared" si="2441"/>
        <v/>
      </c>
      <c r="ES144" s="30" t="str">
        <f t="shared" si="2442"/>
        <v/>
      </c>
      <c r="ET144" s="30" t="str">
        <f t="shared" si="2443"/>
        <v/>
      </c>
      <c r="EU144" s="30" t="str">
        <f t="shared" si="2444"/>
        <v/>
      </c>
      <c r="EV144" s="30" t="str">
        <f t="shared" si="2445"/>
        <v/>
      </c>
      <c r="EW144" s="30" t="str">
        <f t="shared" si="2446"/>
        <v/>
      </c>
      <c r="EX144" s="30" t="str">
        <f t="shared" si="2447"/>
        <v/>
      </c>
      <c r="EY144" s="30" t="str">
        <f t="shared" si="2448"/>
        <v/>
      </c>
      <c r="EZ144" s="30" t="str">
        <f t="shared" si="2449"/>
        <v/>
      </c>
      <c r="FA144" s="30" t="str">
        <f t="shared" si="2450"/>
        <v/>
      </c>
      <c r="FB144" s="30" t="str">
        <f t="shared" si="2451"/>
        <v/>
      </c>
      <c r="FC144" s="30" t="str">
        <f t="shared" si="2452"/>
        <v/>
      </c>
      <c r="FD144" s="30" t="str">
        <f t="shared" si="2453"/>
        <v/>
      </c>
      <c r="FE144" s="30" t="str">
        <f t="shared" si="2454"/>
        <v/>
      </c>
      <c r="FF144" s="30" t="str">
        <f t="shared" si="2455"/>
        <v/>
      </c>
      <c r="FG144" s="30" t="str">
        <f t="shared" si="2456"/>
        <v/>
      </c>
      <c r="FH144" s="30" t="str">
        <f t="shared" si="2457"/>
        <v/>
      </c>
      <c r="FI144" s="30" t="str">
        <f t="shared" si="2458"/>
        <v/>
      </c>
      <c r="FJ144" s="30" t="str">
        <f t="shared" si="2459"/>
        <v/>
      </c>
      <c r="FK144" s="30" t="str">
        <f t="shared" si="2460"/>
        <v/>
      </c>
      <c r="FL144" s="30" t="str">
        <f t="shared" si="2461"/>
        <v/>
      </c>
      <c r="FM144" s="30" t="str">
        <f t="shared" si="2462"/>
        <v/>
      </c>
      <c r="FN144" s="30" t="str">
        <f t="shared" si="2463"/>
        <v/>
      </c>
      <c r="FO144" s="30" t="str">
        <f t="shared" si="2464"/>
        <v/>
      </c>
      <c r="FP144" s="30" t="str">
        <f t="shared" si="2465"/>
        <v/>
      </c>
      <c r="FQ144" s="30" t="str">
        <f t="shared" si="2466"/>
        <v/>
      </c>
      <c r="FR144" s="30" t="str">
        <f t="shared" si="2467"/>
        <v/>
      </c>
      <c r="FS144" s="30" t="str">
        <f t="shared" si="2468"/>
        <v/>
      </c>
    </row>
    <row r="145" spans="1:175" ht="16.5">
      <c r="A145" s="87"/>
      <c r="B145" s="66"/>
      <c r="C145" s="87"/>
      <c r="T145" s="106"/>
      <c r="U145" s="32"/>
      <c r="CN145" s="7" t="str">
        <f t="shared" si="2393"/>
        <v>InitUnitState('',,,,,,,,,,)</v>
      </c>
      <c r="CO145" s="7" t="str">
        <f t="shared" si="2394"/>
        <v>InitUnitNormal('',,,,,,,,,,)</v>
      </c>
      <c r="CP145" s="7" t="str">
        <f t="shared" si="2395"/>
        <v>InitUnitMagic('',,,,,,,,,,)</v>
      </c>
      <c r="CQ145" s="7" t="str">
        <f t="shared" si="2396"/>
        <v>InitUnitAdd('',,,,,,,,,,)</v>
      </c>
      <c r="CR145" s="7" t="str">
        <f t="shared" si="2397"/>
        <v>InitEquipData('',,"",,,,,'','','','','','',"")</v>
      </c>
      <c r="CU145" s="45" t="str">
        <f t="shared" si="2398"/>
        <v>|n</v>
      </c>
      <c r="CW145" s="24"/>
      <c r="CX145" s="24"/>
      <c r="CY145" s="24"/>
      <c r="CZ145" s="24"/>
      <c r="DA145" s="24"/>
      <c r="DB145" s="30" t="str">
        <f t="shared" si="2399"/>
        <v/>
      </c>
      <c r="DC145" s="30" t="str">
        <f t="shared" si="2400"/>
        <v/>
      </c>
      <c r="DD145" s="30" t="str">
        <f t="shared" si="2401"/>
        <v/>
      </c>
      <c r="DE145" s="30" t="str">
        <f t="shared" si="2402"/>
        <v/>
      </c>
      <c r="DF145" s="30" t="str">
        <f t="shared" si="2403"/>
        <v/>
      </c>
      <c r="DG145" s="30" t="str">
        <f t="shared" si="2404"/>
        <v/>
      </c>
      <c r="DH145" s="30" t="str">
        <f t="shared" si="2405"/>
        <v/>
      </c>
      <c r="DI145" s="30" t="str">
        <f t="shared" si="2406"/>
        <v/>
      </c>
      <c r="DJ145" s="30" t="str">
        <f t="shared" si="2407"/>
        <v/>
      </c>
      <c r="DK145" s="30" t="str">
        <f t="shared" si="2408"/>
        <v/>
      </c>
      <c r="DL145" s="30" t="str">
        <f t="shared" si="2409"/>
        <v/>
      </c>
      <c r="DM145" s="30" t="str">
        <f t="shared" si="2410"/>
        <v/>
      </c>
      <c r="DN145" s="30" t="str">
        <f t="shared" si="2411"/>
        <v/>
      </c>
      <c r="DO145" s="30" t="str">
        <f t="shared" si="2412"/>
        <v/>
      </c>
      <c r="DP145" s="30" t="str">
        <f t="shared" si="2413"/>
        <v/>
      </c>
      <c r="DQ145" s="30" t="str">
        <f t="shared" si="2414"/>
        <v/>
      </c>
      <c r="DR145" s="30" t="str">
        <f t="shared" si="2415"/>
        <v/>
      </c>
      <c r="DS145" s="30" t="str">
        <f t="shared" si="2416"/>
        <v/>
      </c>
      <c r="DT145" s="30" t="str">
        <f t="shared" si="2417"/>
        <v/>
      </c>
      <c r="DU145" s="30" t="str">
        <f t="shared" si="2418"/>
        <v/>
      </c>
      <c r="DV145" s="30" t="str">
        <f t="shared" si="2419"/>
        <v/>
      </c>
      <c r="DW145" s="30" t="str">
        <f t="shared" si="2420"/>
        <v/>
      </c>
      <c r="DX145" s="30" t="str">
        <f t="shared" si="2421"/>
        <v/>
      </c>
      <c r="DY145" s="30" t="str">
        <f t="shared" si="2422"/>
        <v/>
      </c>
      <c r="DZ145" s="30" t="str">
        <f t="shared" si="2423"/>
        <v/>
      </c>
      <c r="EA145" s="30" t="str">
        <f t="shared" si="2424"/>
        <v/>
      </c>
      <c r="EB145" s="30" t="str">
        <f t="shared" si="2425"/>
        <v/>
      </c>
      <c r="EC145" s="30" t="str">
        <f t="shared" si="2426"/>
        <v/>
      </c>
      <c r="ED145" s="30" t="str">
        <f t="shared" si="2427"/>
        <v/>
      </c>
      <c r="EE145" s="30" t="str">
        <f t="shared" si="2428"/>
        <v/>
      </c>
      <c r="EF145" s="30" t="str">
        <f t="shared" si="2429"/>
        <v/>
      </c>
      <c r="EG145" s="30" t="str">
        <f t="shared" si="2430"/>
        <v/>
      </c>
      <c r="EH145" s="30" t="str">
        <f t="shared" si="2431"/>
        <v/>
      </c>
      <c r="EI145" s="30" t="str">
        <f t="shared" si="2432"/>
        <v/>
      </c>
      <c r="EJ145" s="30" t="str">
        <f t="shared" si="2433"/>
        <v/>
      </c>
      <c r="EK145" s="30" t="str">
        <f t="shared" si="2434"/>
        <v/>
      </c>
      <c r="EL145" s="30" t="str">
        <f t="shared" si="2435"/>
        <v/>
      </c>
      <c r="EM145" s="30" t="str">
        <f t="shared" si="2436"/>
        <v/>
      </c>
      <c r="EN145" s="30" t="str">
        <f t="shared" si="2437"/>
        <v/>
      </c>
      <c r="EO145" s="30" t="str">
        <f t="shared" si="2438"/>
        <v/>
      </c>
      <c r="EP145" s="30" t="str">
        <f t="shared" si="2439"/>
        <v/>
      </c>
      <c r="EQ145" s="30" t="str">
        <f t="shared" si="2440"/>
        <v/>
      </c>
      <c r="ER145" s="30" t="str">
        <f t="shared" si="2441"/>
        <v/>
      </c>
      <c r="ES145" s="30" t="str">
        <f t="shared" si="2442"/>
        <v/>
      </c>
      <c r="ET145" s="30" t="str">
        <f t="shared" si="2443"/>
        <v/>
      </c>
      <c r="EU145" s="30" t="str">
        <f t="shared" si="2444"/>
        <v/>
      </c>
      <c r="EV145" s="30" t="str">
        <f t="shared" si="2445"/>
        <v/>
      </c>
      <c r="EW145" s="30" t="str">
        <f t="shared" si="2446"/>
        <v/>
      </c>
      <c r="EX145" s="30" t="str">
        <f t="shared" si="2447"/>
        <v/>
      </c>
      <c r="EY145" s="30" t="str">
        <f t="shared" si="2448"/>
        <v/>
      </c>
      <c r="EZ145" s="30" t="str">
        <f t="shared" si="2449"/>
        <v/>
      </c>
      <c r="FA145" s="30" t="str">
        <f t="shared" si="2450"/>
        <v/>
      </c>
      <c r="FB145" s="30" t="str">
        <f t="shared" si="2451"/>
        <v/>
      </c>
      <c r="FC145" s="30" t="str">
        <f t="shared" si="2452"/>
        <v/>
      </c>
      <c r="FD145" s="30" t="str">
        <f t="shared" si="2453"/>
        <v/>
      </c>
      <c r="FE145" s="30" t="str">
        <f t="shared" si="2454"/>
        <v/>
      </c>
      <c r="FF145" s="30" t="str">
        <f t="shared" si="2455"/>
        <v/>
      </c>
      <c r="FG145" s="30" t="str">
        <f t="shared" si="2456"/>
        <v/>
      </c>
      <c r="FH145" s="30" t="str">
        <f t="shared" si="2457"/>
        <v/>
      </c>
      <c r="FI145" s="30" t="str">
        <f t="shared" si="2458"/>
        <v/>
      </c>
      <c r="FJ145" s="30" t="str">
        <f t="shared" si="2459"/>
        <v/>
      </c>
      <c r="FK145" s="30" t="str">
        <f t="shared" si="2460"/>
        <v/>
      </c>
      <c r="FL145" s="30" t="str">
        <f t="shared" si="2461"/>
        <v/>
      </c>
      <c r="FM145" s="30" t="str">
        <f t="shared" si="2462"/>
        <v/>
      </c>
      <c r="FN145" s="30" t="str">
        <f t="shared" si="2463"/>
        <v/>
      </c>
      <c r="FO145" s="30" t="str">
        <f t="shared" si="2464"/>
        <v/>
      </c>
      <c r="FP145" s="30" t="str">
        <f t="shared" si="2465"/>
        <v/>
      </c>
      <c r="FQ145" s="30" t="str">
        <f t="shared" si="2466"/>
        <v/>
      </c>
      <c r="FR145" s="30" t="str">
        <f t="shared" si="2467"/>
        <v/>
      </c>
      <c r="FS145" s="30" t="str">
        <f t="shared" si="2468"/>
        <v/>
      </c>
    </row>
    <row r="146" spans="1:175" ht="16.5">
      <c r="A146" s="87"/>
      <c r="B146" s="66"/>
      <c r="C146" s="87"/>
      <c r="T146" s="106"/>
      <c r="U146" s="32"/>
      <c r="CN146" s="7" t="str">
        <f t="shared" si="2393"/>
        <v>InitUnitState('',,,,,,,,,,)</v>
      </c>
      <c r="CO146" s="7" t="str">
        <f t="shared" si="2394"/>
        <v>InitUnitNormal('',,,,,,,,,,)</v>
      </c>
      <c r="CP146" s="7" t="str">
        <f t="shared" si="2395"/>
        <v>InitUnitMagic('',,,,,,,,,,)</v>
      </c>
      <c r="CQ146" s="7" t="str">
        <f t="shared" si="2396"/>
        <v>InitUnitAdd('',,,,,,,,,,)</v>
      </c>
      <c r="CR146" s="7" t="str">
        <f t="shared" si="2397"/>
        <v>InitEquipData('',,"",,,,,'','','','','','',"")</v>
      </c>
      <c r="CU146" s="45" t="str">
        <f t="shared" si="2398"/>
        <v>|n</v>
      </c>
      <c r="CW146" s="24"/>
      <c r="CX146" s="24"/>
      <c r="CY146" s="24"/>
      <c r="CZ146" s="24"/>
      <c r="DA146" s="24"/>
      <c r="DB146" s="30" t="str">
        <f t="shared" si="2399"/>
        <v/>
      </c>
      <c r="DC146" s="30" t="str">
        <f t="shared" si="2400"/>
        <v/>
      </c>
      <c r="DD146" s="30" t="str">
        <f t="shared" si="2401"/>
        <v/>
      </c>
      <c r="DE146" s="30" t="str">
        <f t="shared" si="2402"/>
        <v/>
      </c>
      <c r="DF146" s="30" t="str">
        <f t="shared" si="2403"/>
        <v/>
      </c>
      <c r="DG146" s="30" t="str">
        <f t="shared" si="2404"/>
        <v/>
      </c>
      <c r="DH146" s="30" t="str">
        <f t="shared" si="2405"/>
        <v/>
      </c>
      <c r="DI146" s="30" t="str">
        <f t="shared" si="2406"/>
        <v/>
      </c>
      <c r="DJ146" s="30" t="str">
        <f t="shared" si="2407"/>
        <v/>
      </c>
      <c r="DK146" s="30" t="str">
        <f t="shared" si="2408"/>
        <v/>
      </c>
      <c r="DL146" s="30" t="str">
        <f t="shared" si="2409"/>
        <v/>
      </c>
      <c r="DM146" s="30" t="str">
        <f t="shared" si="2410"/>
        <v/>
      </c>
      <c r="DN146" s="30" t="str">
        <f t="shared" si="2411"/>
        <v/>
      </c>
      <c r="DO146" s="30" t="str">
        <f t="shared" si="2412"/>
        <v/>
      </c>
      <c r="DP146" s="30" t="str">
        <f t="shared" si="2413"/>
        <v/>
      </c>
      <c r="DQ146" s="30" t="str">
        <f t="shared" si="2414"/>
        <v/>
      </c>
      <c r="DR146" s="30" t="str">
        <f t="shared" si="2415"/>
        <v/>
      </c>
      <c r="DS146" s="30" t="str">
        <f t="shared" si="2416"/>
        <v/>
      </c>
      <c r="DT146" s="30" t="str">
        <f t="shared" si="2417"/>
        <v/>
      </c>
      <c r="DU146" s="30" t="str">
        <f t="shared" si="2418"/>
        <v/>
      </c>
      <c r="DV146" s="30" t="str">
        <f t="shared" si="2419"/>
        <v/>
      </c>
      <c r="DW146" s="30" t="str">
        <f t="shared" si="2420"/>
        <v/>
      </c>
      <c r="DX146" s="30" t="str">
        <f t="shared" si="2421"/>
        <v/>
      </c>
      <c r="DY146" s="30" t="str">
        <f t="shared" si="2422"/>
        <v/>
      </c>
      <c r="DZ146" s="30" t="str">
        <f t="shared" si="2423"/>
        <v/>
      </c>
      <c r="EA146" s="30" t="str">
        <f t="shared" si="2424"/>
        <v/>
      </c>
      <c r="EB146" s="30" t="str">
        <f t="shared" si="2425"/>
        <v/>
      </c>
      <c r="EC146" s="30" t="str">
        <f t="shared" si="2426"/>
        <v/>
      </c>
      <c r="ED146" s="30" t="str">
        <f t="shared" si="2427"/>
        <v/>
      </c>
      <c r="EE146" s="30" t="str">
        <f t="shared" si="2428"/>
        <v/>
      </c>
      <c r="EF146" s="30" t="str">
        <f t="shared" si="2429"/>
        <v/>
      </c>
      <c r="EG146" s="30" t="str">
        <f t="shared" si="2430"/>
        <v/>
      </c>
      <c r="EH146" s="30" t="str">
        <f t="shared" si="2431"/>
        <v/>
      </c>
      <c r="EI146" s="30" t="str">
        <f t="shared" si="2432"/>
        <v/>
      </c>
      <c r="EJ146" s="30" t="str">
        <f t="shared" si="2433"/>
        <v/>
      </c>
      <c r="EK146" s="30" t="str">
        <f t="shared" si="2434"/>
        <v/>
      </c>
      <c r="EL146" s="30" t="str">
        <f t="shared" si="2435"/>
        <v/>
      </c>
      <c r="EM146" s="30" t="str">
        <f t="shared" si="2436"/>
        <v/>
      </c>
      <c r="EN146" s="30" t="str">
        <f t="shared" si="2437"/>
        <v/>
      </c>
      <c r="EO146" s="30" t="str">
        <f t="shared" si="2438"/>
        <v/>
      </c>
      <c r="EP146" s="30" t="str">
        <f t="shared" si="2439"/>
        <v/>
      </c>
      <c r="EQ146" s="30" t="str">
        <f t="shared" si="2440"/>
        <v/>
      </c>
      <c r="ER146" s="30" t="str">
        <f t="shared" si="2441"/>
        <v/>
      </c>
      <c r="ES146" s="30" t="str">
        <f t="shared" si="2442"/>
        <v/>
      </c>
      <c r="ET146" s="30" t="str">
        <f t="shared" si="2443"/>
        <v/>
      </c>
      <c r="EU146" s="30" t="str">
        <f t="shared" si="2444"/>
        <v/>
      </c>
      <c r="EV146" s="30" t="str">
        <f t="shared" si="2445"/>
        <v/>
      </c>
      <c r="EW146" s="30" t="str">
        <f t="shared" si="2446"/>
        <v/>
      </c>
      <c r="EX146" s="30" t="str">
        <f t="shared" si="2447"/>
        <v/>
      </c>
      <c r="EY146" s="30" t="str">
        <f t="shared" si="2448"/>
        <v/>
      </c>
      <c r="EZ146" s="30" t="str">
        <f t="shared" si="2449"/>
        <v/>
      </c>
      <c r="FA146" s="30" t="str">
        <f t="shared" si="2450"/>
        <v/>
      </c>
      <c r="FB146" s="30" t="str">
        <f t="shared" si="2451"/>
        <v/>
      </c>
      <c r="FC146" s="30" t="str">
        <f t="shared" si="2452"/>
        <v/>
      </c>
      <c r="FD146" s="30" t="str">
        <f t="shared" si="2453"/>
        <v/>
      </c>
      <c r="FE146" s="30" t="str">
        <f t="shared" si="2454"/>
        <v/>
      </c>
      <c r="FF146" s="30" t="str">
        <f t="shared" si="2455"/>
        <v/>
      </c>
      <c r="FG146" s="30" t="str">
        <f t="shared" si="2456"/>
        <v/>
      </c>
      <c r="FH146" s="30" t="str">
        <f t="shared" si="2457"/>
        <v/>
      </c>
      <c r="FI146" s="30" t="str">
        <f t="shared" si="2458"/>
        <v/>
      </c>
      <c r="FJ146" s="30" t="str">
        <f t="shared" si="2459"/>
        <v/>
      </c>
      <c r="FK146" s="30" t="str">
        <f t="shared" si="2460"/>
        <v/>
      </c>
      <c r="FL146" s="30" t="str">
        <f t="shared" si="2461"/>
        <v/>
      </c>
      <c r="FM146" s="30" t="str">
        <f t="shared" si="2462"/>
        <v/>
      </c>
      <c r="FN146" s="30" t="str">
        <f t="shared" si="2463"/>
        <v/>
      </c>
      <c r="FO146" s="30" t="str">
        <f t="shared" si="2464"/>
        <v/>
      </c>
      <c r="FP146" s="30" t="str">
        <f t="shared" si="2465"/>
        <v/>
      </c>
      <c r="FQ146" s="30" t="str">
        <f t="shared" si="2466"/>
        <v/>
      </c>
      <c r="FR146" s="30" t="str">
        <f t="shared" si="2467"/>
        <v/>
      </c>
      <c r="FS146" s="30" t="str">
        <f t="shared" si="2468"/>
        <v/>
      </c>
    </row>
    <row r="147" spans="1:175" ht="16.5">
      <c r="A147" s="87"/>
      <c r="B147" s="66"/>
      <c r="C147" s="87"/>
      <c r="T147" s="106"/>
      <c r="U147" s="32"/>
      <c r="CN147" s="7" t="str">
        <f t="shared" si="2393"/>
        <v>InitUnitState('',,,,,,,,,,)</v>
      </c>
      <c r="CO147" s="7" t="str">
        <f t="shared" si="2394"/>
        <v>InitUnitNormal('',,,,,,,,,,)</v>
      </c>
      <c r="CP147" s="7" t="str">
        <f t="shared" si="2395"/>
        <v>InitUnitMagic('',,,,,,,,,,)</v>
      </c>
      <c r="CQ147" s="7" t="str">
        <f t="shared" si="2396"/>
        <v>InitUnitAdd('',,,,,,,,,,)</v>
      </c>
      <c r="CR147" s="7" t="str">
        <f t="shared" si="2397"/>
        <v>InitEquipData('',,"",,,,,'','','','','','',"")</v>
      </c>
      <c r="CU147" s="45" t="str">
        <f t="shared" si="2398"/>
        <v>|n</v>
      </c>
      <c r="CW147" s="24"/>
      <c r="CX147" s="24"/>
      <c r="CY147" s="24"/>
      <c r="CZ147" s="24"/>
      <c r="DA147" s="24"/>
      <c r="DB147" s="30" t="str">
        <f t="shared" si="2399"/>
        <v/>
      </c>
      <c r="DC147" s="30" t="str">
        <f t="shared" si="2400"/>
        <v/>
      </c>
      <c r="DD147" s="30" t="str">
        <f t="shared" si="2401"/>
        <v/>
      </c>
      <c r="DE147" s="30" t="str">
        <f t="shared" si="2402"/>
        <v/>
      </c>
      <c r="DF147" s="30" t="str">
        <f t="shared" si="2403"/>
        <v/>
      </c>
      <c r="DG147" s="30" t="str">
        <f t="shared" si="2404"/>
        <v/>
      </c>
      <c r="DH147" s="30" t="str">
        <f t="shared" si="2405"/>
        <v/>
      </c>
      <c r="DI147" s="30" t="str">
        <f t="shared" si="2406"/>
        <v/>
      </c>
      <c r="DJ147" s="30" t="str">
        <f t="shared" si="2407"/>
        <v/>
      </c>
      <c r="DK147" s="30" t="str">
        <f t="shared" si="2408"/>
        <v/>
      </c>
      <c r="DL147" s="30" t="str">
        <f t="shared" si="2409"/>
        <v/>
      </c>
      <c r="DM147" s="30" t="str">
        <f t="shared" si="2410"/>
        <v/>
      </c>
      <c r="DN147" s="30" t="str">
        <f t="shared" si="2411"/>
        <v/>
      </c>
      <c r="DO147" s="30" t="str">
        <f t="shared" si="2412"/>
        <v/>
      </c>
      <c r="DP147" s="30" t="str">
        <f t="shared" si="2413"/>
        <v/>
      </c>
      <c r="DQ147" s="30" t="str">
        <f t="shared" si="2414"/>
        <v/>
      </c>
      <c r="DR147" s="30" t="str">
        <f t="shared" si="2415"/>
        <v/>
      </c>
      <c r="DS147" s="30" t="str">
        <f t="shared" si="2416"/>
        <v/>
      </c>
      <c r="DT147" s="30" t="str">
        <f t="shared" si="2417"/>
        <v/>
      </c>
      <c r="DU147" s="30" t="str">
        <f t="shared" si="2418"/>
        <v/>
      </c>
      <c r="DV147" s="30" t="str">
        <f t="shared" si="2419"/>
        <v/>
      </c>
      <c r="DW147" s="30" t="str">
        <f t="shared" si="2420"/>
        <v/>
      </c>
      <c r="DX147" s="30" t="str">
        <f t="shared" si="2421"/>
        <v/>
      </c>
      <c r="DY147" s="30" t="str">
        <f t="shared" si="2422"/>
        <v/>
      </c>
      <c r="DZ147" s="30" t="str">
        <f t="shared" si="2423"/>
        <v/>
      </c>
      <c r="EA147" s="30" t="str">
        <f t="shared" si="2424"/>
        <v/>
      </c>
      <c r="EB147" s="30" t="str">
        <f t="shared" si="2425"/>
        <v/>
      </c>
      <c r="EC147" s="30" t="str">
        <f t="shared" si="2426"/>
        <v/>
      </c>
      <c r="ED147" s="30" t="str">
        <f t="shared" si="2427"/>
        <v/>
      </c>
      <c r="EE147" s="30" t="str">
        <f t="shared" si="2428"/>
        <v/>
      </c>
      <c r="EF147" s="30" t="str">
        <f t="shared" si="2429"/>
        <v/>
      </c>
      <c r="EG147" s="30" t="str">
        <f t="shared" si="2430"/>
        <v/>
      </c>
      <c r="EH147" s="30" t="str">
        <f t="shared" si="2431"/>
        <v/>
      </c>
      <c r="EI147" s="30" t="str">
        <f t="shared" si="2432"/>
        <v/>
      </c>
      <c r="EJ147" s="30" t="str">
        <f t="shared" si="2433"/>
        <v/>
      </c>
      <c r="EK147" s="30" t="str">
        <f t="shared" si="2434"/>
        <v/>
      </c>
      <c r="EL147" s="30" t="str">
        <f t="shared" si="2435"/>
        <v/>
      </c>
      <c r="EM147" s="30" t="str">
        <f t="shared" si="2436"/>
        <v/>
      </c>
      <c r="EN147" s="30" t="str">
        <f t="shared" si="2437"/>
        <v/>
      </c>
      <c r="EO147" s="30" t="str">
        <f t="shared" si="2438"/>
        <v/>
      </c>
      <c r="EP147" s="30" t="str">
        <f t="shared" si="2439"/>
        <v/>
      </c>
      <c r="EQ147" s="30" t="str">
        <f t="shared" si="2440"/>
        <v/>
      </c>
      <c r="ER147" s="30" t="str">
        <f t="shared" si="2441"/>
        <v/>
      </c>
      <c r="ES147" s="30" t="str">
        <f t="shared" si="2442"/>
        <v/>
      </c>
      <c r="ET147" s="30" t="str">
        <f t="shared" si="2443"/>
        <v/>
      </c>
      <c r="EU147" s="30" t="str">
        <f t="shared" si="2444"/>
        <v/>
      </c>
      <c r="EV147" s="30" t="str">
        <f t="shared" si="2445"/>
        <v/>
      </c>
      <c r="EW147" s="30" t="str">
        <f t="shared" si="2446"/>
        <v/>
      </c>
      <c r="EX147" s="30" t="str">
        <f t="shared" si="2447"/>
        <v/>
      </c>
      <c r="EY147" s="30" t="str">
        <f t="shared" si="2448"/>
        <v/>
      </c>
      <c r="EZ147" s="30" t="str">
        <f t="shared" si="2449"/>
        <v/>
      </c>
      <c r="FA147" s="30" t="str">
        <f t="shared" si="2450"/>
        <v/>
      </c>
      <c r="FB147" s="30" t="str">
        <f t="shared" si="2451"/>
        <v/>
      </c>
      <c r="FC147" s="30" t="str">
        <f t="shared" si="2452"/>
        <v/>
      </c>
      <c r="FD147" s="30" t="str">
        <f t="shared" si="2453"/>
        <v/>
      </c>
      <c r="FE147" s="30" t="str">
        <f t="shared" si="2454"/>
        <v/>
      </c>
      <c r="FF147" s="30" t="str">
        <f t="shared" si="2455"/>
        <v/>
      </c>
      <c r="FG147" s="30" t="str">
        <f t="shared" si="2456"/>
        <v/>
      </c>
      <c r="FH147" s="30" t="str">
        <f t="shared" si="2457"/>
        <v/>
      </c>
      <c r="FI147" s="30" t="str">
        <f t="shared" si="2458"/>
        <v/>
      </c>
      <c r="FJ147" s="30" t="str">
        <f t="shared" si="2459"/>
        <v/>
      </c>
      <c r="FK147" s="30" t="str">
        <f t="shared" si="2460"/>
        <v/>
      </c>
      <c r="FL147" s="30" t="str">
        <f t="shared" si="2461"/>
        <v/>
      </c>
      <c r="FM147" s="30" t="str">
        <f t="shared" si="2462"/>
        <v/>
      </c>
      <c r="FN147" s="30" t="str">
        <f t="shared" si="2463"/>
        <v/>
      </c>
      <c r="FO147" s="30" t="str">
        <f t="shared" si="2464"/>
        <v/>
      </c>
      <c r="FP147" s="30" t="str">
        <f t="shared" si="2465"/>
        <v/>
      </c>
      <c r="FQ147" s="30" t="str">
        <f t="shared" si="2466"/>
        <v/>
      </c>
      <c r="FR147" s="30" t="str">
        <f t="shared" si="2467"/>
        <v/>
      </c>
      <c r="FS147" s="30" t="str">
        <f t="shared" si="2468"/>
        <v/>
      </c>
    </row>
    <row r="148" spans="1:175" ht="16.5">
      <c r="A148" s="87"/>
      <c r="B148" s="66"/>
      <c r="C148" s="87"/>
      <c r="T148" s="106"/>
      <c r="U148" s="32"/>
      <c r="CN148" s="7" t="str">
        <f t="shared" si="2393"/>
        <v>InitUnitState('',,,,,,,,,,)</v>
      </c>
      <c r="CO148" s="7" t="str">
        <f t="shared" si="2394"/>
        <v>InitUnitNormal('',,,,,,,,,,)</v>
      </c>
      <c r="CP148" s="7" t="str">
        <f t="shared" si="2395"/>
        <v>InitUnitMagic('',,,,,,,,,,)</v>
      </c>
      <c r="CQ148" s="7" t="str">
        <f t="shared" si="2396"/>
        <v>InitUnitAdd('',,,,,,,,,,)</v>
      </c>
      <c r="CR148" s="7" t="str">
        <f t="shared" si="2397"/>
        <v>InitEquipData('',,"",,,,,'','','','','','',"")</v>
      </c>
      <c r="CU148" s="45" t="str">
        <f t="shared" si="2398"/>
        <v>|n</v>
      </c>
      <c r="CW148" s="24"/>
      <c r="CX148" s="24"/>
      <c r="CY148" s="24"/>
      <c r="CZ148" s="24"/>
      <c r="DA148" s="24"/>
      <c r="DB148" s="30" t="str">
        <f t="shared" si="2399"/>
        <v/>
      </c>
      <c r="DC148" s="30" t="str">
        <f t="shared" si="2400"/>
        <v/>
      </c>
      <c r="DD148" s="30" t="str">
        <f t="shared" si="2401"/>
        <v/>
      </c>
      <c r="DE148" s="30" t="str">
        <f t="shared" si="2402"/>
        <v/>
      </c>
      <c r="DF148" s="30" t="str">
        <f t="shared" si="2403"/>
        <v/>
      </c>
      <c r="DG148" s="30" t="str">
        <f t="shared" si="2404"/>
        <v/>
      </c>
      <c r="DH148" s="30" t="str">
        <f t="shared" si="2405"/>
        <v/>
      </c>
      <c r="DI148" s="30" t="str">
        <f t="shared" si="2406"/>
        <v/>
      </c>
      <c r="DJ148" s="30" t="str">
        <f t="shared" si="2407"/>
        <v/>
      </c>
      <c r="DK148" s="30" t="str">
        <f t="shared" si="2408"/>
        <v/>
      </c>
      <c r="DL148" s="30" t="str">
        <f t="shared" si="2409"/>
        <v/>
      </c>
      <c r="DM148" s="30" t="str">
        <f t="shared" si="2410"/>
        <v/>
      </c>
      <c r="DN148" s="30" t="str">
        <f t="shared" si="2411"/>
        <v/>
      </c>
      <c r="DO148" s="30" t="str">
        <f t="shared" si="2412"/>
        <v/>
      </c>
      <c r="DP148" s="30" t="str">
        <f t="shared" si="2413"/>
        <v/>
      </c>
      <c r="DQ148" s="30" t="str">
        <f t="shared" si="2414"/>
        <v/>
      </c>
      <c r="DR148" s="30" t="str">
        <f t="shared" si="2415"/>
        <v/>
      </c>
      <c r="DS148" s="30" t="str">
        <f t="shared" si="2416"/>
        <v/>
      </c>
      <c r="DT148" s="30" t="str">
        <f t="shared" si="2417"/>
        <v/>
      </c>
      <c r="DU148" s="30" t="str">
        <f t="shared" si="2418"/>
        <v/>
      </c>
      <c r="DV148" s="30" t="str">
        <f t="shared" si="2419"/>
        <v/>
      </c>
      <c r="DW148" s="30" t="str">
        <f t="shared" si="2420"/>
        <v/>
      </c>
      <c r="DX148" s="30" t="str">
        <f t="shared" si="2421"/>
        <v/>
      </c>
      <c r="DY148" s="30" t="str">
        <f t="shared" si="2422"/>
        <v/>
      </c>
      <c r="DZ148" s="30" t="str">
        <f t="shared" si="2423"/>
        <v/>
      </c>
      <c r="EA148" s="30" t="str">
        <f t="shared" si="2424"/>
        <v/>
      </c>
      <c r="EB148" s="30" t="str">
        <f t="shared" si="2425"/>
        <v/>
      </c>
      <c r="EC148" s="30" t="str">
        <f t="shared" si="2426"/>
        <v/>
      </c>
      <c r="ED148" s="30" t="str">
        <f t="shared" si="2427"/>
        <v/>
      </c>
      <c r="EE148" s="30" t="str">
        <f t="shared" si="2428"/>
        <v/>
      </c>
      <c r="EF148" s="30" t="str">
        <f t="shared" si="2429"/>
        <v/>
      </c>
      <c r="EG148" s="30" t="str">
        <f t="shared" si="2430"/>
        <v/>
      </c>
      <c r="EH148" s="30" t="str">
        <f t="shared" si="2431"/>
        <v/>
      </c>
      <c r="EI148" s="30" t="str">
        <f t="shared" si="2432"/>
        <v/>
      </c>
      <c r="EJ148" s="30" t="str">
        <f t="shared" si="2433"/>
        <v/>
      </c>
      <c r="EK148" s="30" t="str">
        <f t="shared" si="2434"/>
        <v/>
      </c>
      <c r="EL148" s="30" t="str">
        <f t="shared" si="2435"/>
        <v/>
      </c>
      <c r="EM148" s="30" t="str">
        <f t="shared" si="2436"/>
        <v/>
      </c>
      <c r="EN148" s="30" t="str">
        <f t="shared" si="2437"/>
        <v/>
      </c>
      <c r="EO148" s="30" t="str">
        <f t="shared" si="2438"/>
        <v/>
      </c>
      <c r="EP148" s="30" t="str">
        <f t="shared" si="2439"/>
        <v/>
      </c>
      <c r="EQ148" s="30" t="str">
        <f t="shared" si="2440"/>
        <v/>
      </c>
      <c r="ER148" s="30" t="str">
        <f t="shared" si="2441"/>
        <v/>
      </c>
      <c r="ES148" s="30" t="str">
        <f t="shared" si="2442"/>
        <v/>
      </c>
      <c r="ET148" s="30" t="str">
        <f t="shared" si="2443"/>
        <v/>
      </c>
      <c r="EU148" s="30" t="str">
        <f t="shared" si="2444"/>
        <v/>
      </c>
      <c r="EV148" s="30" t="str">
        <f t="shared" si="2445"/>
        <v/>
      </c>
      <c r="EW148" s="30" t="str">
        <f t="shared" si="2446"/>
        <v/>
      </c>
      <c r="EX148" s="30" t="str">
        <f t="shared" si="2447"/>
        <v/>
      </c>
      <c r="EY148" s="30" t="str">
        <f t="shared" si="2448"/>
        <v/>
      </c>
      <c r="EZ148" s="30" t="str">
        <f t="shared" si="2449"/>
        <v/>
      </c>
      <c r="FA148" s="30" t="str">
        <f t="shared" si="2450"/>
        <v/>
      </c>
      <c r="FB148" s="30" t="str">
        <f t="shared" si="2451"/>
        <v/>
      </c>
      <c r="FC148" s="30" t="str">
        <f t="shared" si="2452"/>
        <v/>
      </c>
      <c r="FD148" s="30" t="str">
        <f t="shared" si="2453"/>
        <v/>
      </c>
      <c r="FE148" s="30" t="str">
        <f t="shared" si="2454"/>
        <v/>
      </c>
      <c r="FF148" s="30" t="str">
        <f t="shared" si="2455"/>
        <v/>
      </c>
      <c r="FG148" s="30" t="str">
        <f t="shared" si="2456"/>
        <v/>
      </c>
      <c r="FH148" s="30" t="str">
        <f t="shared" si="2457"/>
        <v/>
      </c>
      <c r="FI148" s="30" t="str">
        <f t="shared" si="2458"/>
        <v/>
      </c>
      <c r="FJ148" s="30" t="str">
        <f t="shared" si="2459"/>
        <v/>
      </c>
      <c r="FK148" s="30" t="str">
        <f t="shared" si="2460"/>
        <v/>
      </c>
      <c r="FL148" s="30" t="str">
        <f t="shared" si="2461"/>
        <v/>
      </c>
      <c r="FM148" s="30" t="str">
        <f t="shared" si="2462"/>
        <v/>
      </c>
      <c r="FN148" s="30" t="str">
        <f t="shared" si="2463"/>
        <v/>
      </c>
      <c r="FO148" s="30" t="str">
        <f t="shared" si="2464"/>
        <v/>
      </c>
      <c r="FP148" s="30" t="str">
        <f t="shared" si="2465"/>
        <v/>
      </c>
      <c r="FQ148" s="30" t="str">
        <f t="shared" si="2466"/>
        <v/>
      </c>
      <c r="FR148" s="30" t="str">
        <f t="shared" si="2467"/>
        <v/>
      </c>
      <c r="FS148" s="30" t="str">
        <f t="shared" si="2468"/>
        <v/>
      </c>
    </row>
    <row r="149" spans="1:175" ht="16.5">
      <c r="A149" s="88"/>
      <c r="B149" s="66"/>
      <c r="C149" s="88"/>
      <c r="T149" s="108"/>
      <c r="U149" s="32"/>
      <c r="CN149" s="7" t="str">
        <f t="shared" si="2393"/>
        <v>InitUnitState('',,,,,,,,,,)</v>
      </c>
      <c r="CO149" s="7" t="str">
        <f t="shared" si="2394"/>
        <v>InitUnitNormal('',,,,,,,,,,)</v>
      </c>
      <c r="CP149" s="7" t="str">
        <f t="shared" si="2395"/>
        <v>InitUnitMagic('',,,,,,,,,,)</v>
      </c>
      <c r="CQ149" s="7" t="str">
        <f t="shared" si="2396"/>
        <v>InitUnitAdd('',,,,,,,,,,)</v>
      </c>
      <c r="CR149" s="7" t="str">
        <f t="shared" si="2397"/>
        <v>InitEquipData('',,"",,,,,'','','','','','',"")</v>
      </c>
      <c r="CU149" s="45" t="str">
        <f t="shared" si="2398"/>
        <v>|n</v>
      </c>
      <c r="CW149" s="24"/>
      <c r="CX149" s="24"/>
      <c r="CY149" s="24"/>
      <c r="CZ149" s="24"/>
      <c r="DA149" s="24"/>
      <c r="DB149" s="30" t="str">
        <f t="shared" si="2399"/>
        <v/>
      </c>
      <c r="DC149" s="30" t="str">
        <f t="shared" si="2400"/>
        <v/>
      </c>
      <c r="DD149" s="30" t="str">
        <f t="shared" si="2401"/>
        <v/>
      </c>
      <c r="DE149" s="30" t="str">
        <f t="shared" si="2402"/>
        <v/>
      </c>
      <c r="DF149" s="30" t="str">
        <f t="shared" si="2403"/>
        <v/>
      </c>
      <c r="DG149" s="30" t="str">
        <f t="shared" si="2404"/>
        <v/>
      </c>
      <c r="DH149" s="30" t="str">
        <f t="shared" si="2405"/>
        <v/>
      </c>
      <c r="DI149" s="30" t="str">
        <f t="shared" si="2406"/>
        <v/>
      </c>
      <c r="DJ149" s="30" t="str">
        <f t="shared" si="2407"/>
        <v/>
      </c>
      <c r="DK149" s="30" t="str">
        <f t="shared" si="2408"/>
        <v/>
      </c>
      <c r="DL149" s="30" t="str">
        <f t="shared" si="2409"/>
        <v/>
      </c>
      <c r="DM149" s="30" t="str">
        <f t="shared" si="2410"/>
        <v/>
      </c>
      <c r="DN149" s="30" t="str">
        <f t="shared" si="2411"/>
        <v/>
      </c>
      <c r="DO149" s="30" t="str">
        <f t="shared" si="2412"/>
        <v/>
      </c>
      <c r="DP149" s="30" t="str">
        <f t="shared" si="2413"/>
        <v/>
      </c>
      <c r="DQ149" s="30" t="str">
        <f t="shared" si="2414"/>
        <v/>
      </c>
      <c r="DR149" s="30" t="str">
        <f t="shared" si="2415"/>
        <v/>
      </c>
      <c r="DS149" s="30" t="str">
        <f t="shared" si="2416"/>
        <v/>
      </c>
      <c r="DT149" s="30" t="str">
        <f t="shared" si="2417"/>
        <v/>
      </c>
      <c r="DU149" s="30" t="str">
        <f t="shared" si="2418"/>
        <v/>
      </c>
      <c r="DV149" s="30" t="str">
        <f t="shared" si="2419"/>
        <v/>
      </c>
      <c r="DW149" s="30" t="str">
        <f t="shared" si="2420"/>
        <v/>
      </c>
      <c r="DX149" s="30" t="str">
        <f t="shared" si="2421"/>
        <v/>
      </c>
      <c r="DY149" s="30" t="str">
        <f t="shared" si="2422"/>
        <v/>
      </c>
      <c r="DZ149" s="30" t="str">
        <f t="shared" si="2423"/>
        <v/>
      </c>
      <c r="EA149" s="30" t="str">
        <f t="shared" si="2424"/>
        <v/>
      </c>
      <c r="EB149" s="30" t="str">
        <f t="shared" si="2425"/>
        <v/>
      </c>
      <c r="EC149" s="30" t="str">
        <f t="shared" si="2426"/>
        <v/>
      </c>
      <c r="ED149" s="30" t="str">
        <f t="shared" si="2427"/>
        <v/>
      </c>
      <c r="EE149" s="30" t="str">
        <f t="shared" si="2428"/>
        <v/>
      </c>
      <c r="EF149" s="30" t="str">
        <f t="shared" si="2429"/>
        <v/>
      </c>
      <c r="EG149" s="30" t="str">
        <f t="shared" si="2430"/>
        <v/>
      </c>
      <c r="EH149" s="30" t="str">
        <f t="shared" si="2431"/>
        <v/>
      </c>
      <c r="EI149" s="30" t="str">
        <f t="shared" si="2432"/>
        <v/>
      </c>
      <c r="EJ149" s="30" t="str">
        <f t="shared" si="2433"/>
        <v/>
      </c>
      <c r="EK149" s="30" t="str">
        <f t="shared" si="2434"/>
        <v/>
      </c>
      <c r="EL149" s="30" t="str">
        <f t="shared" si="2435"/>
        <v/>
      </c>
      <c r="EM149" s="30" t="str">
        <f t="shared" si="2436"/>
        <v/>
      </c>
      <c r="EN149" s="30" t="str">
        <f t="shared" si="2437"/>
        <v/>
      </c>
      <c r="EO149" s="30" t="str">
        <f t="shared" si="2438"/>
        <v/>
      </c>
      <c r="EP149" s="30" t="str">
        <f t="shared" si="2439"/>
        <v/>
      </c>
      <c r="EQ149" s="30" t="str">
        <f t="shared" si="2440"/>
        <v/>
      </c>
      <c r="ER149" s="30" t="str">
        <f t="shared" si="2441"/>
        <v/>
      </c>
      <c r="ES149" s="30" t="str">
        <f t="shared" si="2442"/>
        <v/>
      </c>
      <c r="ET149" s="30" t="str">
        <f t="shared" si="2443"/>
        <v/>
      </c>
      <c r="EU149" s="30" t="str">
        <f t="shared" si="2444"/>
        <v/>
      </c>
      <c r="EV149" s="30" t="str">
        <f t="shared" si="2445"/>
        <v/>
      </c>
      <c r="EW149" s="30" t="str">
        <f t="shared" si="2446"/>
        <v/>
      </c>
      <c r="EX149" s="30" t="str">
        <f t="shared" si="2447"/>
        <v/>
      </c>
      <c r="EY149" s="30" t="str">
        <f t="shared" si="2448"/>
        <v/>
      </c>
      <c r="EZ149" s="30" t="str">
        <f t="shared" si="2449"/>
        <v/>
      </c>
      <c r="FA149" s="30" t="str">
        <f t="shared" si="2450"/>
        <v/>
      </c>
      <c r="FB149" s="30" t="str">
        <f t="shared" si="2451"/>
        <v/>
      </c>
      <c r="FC149" s="30" t="str">
        <f t="shared" si="2452"/>
        <v/>
      </c>
      <c r="FD149" s="30" t="str">
        <f t="shared" si="2453"/>
        <v/>
      </c>
      <c r="FE149" s="30" t="str">
        <f t="shared" si="2454"/>
        <v/>
      </c>
      <c r="FF149" s="30" t="str">
        <f t="shared" si="2455"/>
        <v/>
      </c>
      <c r="FG149" s="30" t="str">
        <f t="shared" si="2456"/>
        <v/>
      </c>
      <c r="FH149" s="30" t="str">
        <f t="shared" si="2457"/>
        <v/>
      </c>
      <c r="FI149" s="30" t="str">
        <f t="shared" si="2458"/>
        <v/>
      </c>
      <c r="FJ149" s="30" t="str">
        <f t="shared" si="2459"/>
        <v/>
      </c>
      <c r="FK149" s="30" t="str">
        <f t="shared" si="2460"/>
        <v/>
      </c>
      <c r="FL149" s="30" t="str">
        <f t="shared" si="2461"/>
        <v/>
      </c>
      <c r="FM149" s="30" t="str">
        <f t="shared" si="2462"/>
        <v/>
      </c>
      <c r="FN149" s="30" t="str">
        <f t="shared" si="2463"/>
        <v/>
      </c>
      <c r="FO149" s="30" t="str">
        <f t="shared" si="2464"/>
        <v/>
      </c>
      <c r="FP149" s="30" t="str">
        <f t="shared" si="2465"/>
        <v/>
      </c>
      <c r="FQ149" s="30" t="str">
        <f t="shared" si="2466"/>
        <v/>
      </c>
      <c r="FR149" s="30" t="str">
        <f t="shared" si="2467"/>
        <v/>
      </c>
      <c r="FS149" s="30" t="str">
        <f t="shared" si="2468"/>
        <v/>
      </c>
    </row>
    <row r="150" spans="1:175" ht="16.5">
      <c r="A150" s="88"/>
      <c r="B150" s="66"/>
      <c r="C150" s="88"/>
      <c r="T150" s="108"/>
      <c r="U150" s="32"/>
      <c r="CN150" s="7" t="str">
        <f t="shared" si="2393"/>
        <v>InitUnitState('',,,,,,,,,,)</v>
      </c>
      <c r="CO150" s="7" t="str">
        <f t="shared" si="2394"/>
        <v>InitUnitNormal('',,,,,,,,,,)</v>
      </c>
      <c r="CP150" s="7" t="str">
        <f t="shared" si="2395"/>
        <v>InitUnitMagic('',,,,,,,,,,)</v>
      </c>
      <c r="CQ150" s="7" t="str">
        <f t="shared" si="2396"/>
        <v>InitUnitAdd('',,,,,,,,,,)</v>
      </c>
      <c r="CR150" s="7" t="str">
        <f t="shared" si="2397"/>
        <v>InitEquipData('',,"",,,,,'','','','','','',"")</v>
      </c>
      <c r="CU150" s="45" t="str">
        <f t="shared" si="2398"/>
        <v>|n</v>
      </c>
      <c r="CW150" s="24"/>
      <c r="CX150" s="24"/>
      <c r="CY150" s="24"/>
      <c r="CZ150" s="24"/>
      <c r="DA150" s="24"/>
      <c r="DB150" s="30" t="str">
        <f t="shared" si="2399"/>
        <v/>
      </c>
      <c r="DC150" s="30" t="str">
        <f t="shared" si="2400"/>
        <v/>
      </c>
      <c r="DD150" s="30" t="str">
        <f t="shared" si="2401"/>
        <v/>
      </c>
      <c r="DE150" s="30" t="str">
        <f t="shared" si="2402"/>
        <v/>
      </c>
      <c r="DF150" s="30" t="str">
        <f t="shared" si="2403"/>
        <v/>
      </c>
      <c r="DG150" s="30" t="str">
        <f t="shared" si="2404"/>
        <v/>
      </c>
      <c r="DH150" s="30" t="str">
        <f t="shared" si="2405"/>
        <v/>
      </c>
      <c r="DI150" s="30" t="str">
        <f t="shared" si="2406"/>
        <v/>
      </c>
      <c r="DJ150" s="30" t="str">
        <f t="shared" si="2407"/>
        <v/>
      </c>
      <c r="DK150" s="30" t="str">
        <f t="shared" si="2408"/>
        <v/>
      </c>
      <c r="DL150" s="30" t="str">
        <f t="shared" si="2409"/>
        <v/>
      </c>
      <c r="DM150" s="30" t="str">
        <f t="shared" si="2410"/>
        <v/>
      </c>
      <c r="DN150" s="30" t="str">
        <f t="shared" si="2411"/>
        <v/>
      </c>
      <c r="DO150" s="30" t="str">
        <f t="shared" si="2412"/>
        <v/>
      </c>
      <c r="DP150" s="30" t="str">
        <f t="shared" si="2413"/>
        <v/>
      </c>
      <c r="DQ150" s="30" t="str">
        <f t="shared" si="2414"/>
        <v/>
      </c>
      <c r="DR150" s="30" t="str">
        <f t="shared" si="2415"/>
        <v/>
      </c>
      <c r="DS150" s="30" t="str">
        <f t="shared" si="2416"/>
        <v/>
      </c>
      <c r="DT150" s="30" t="str">
        <f t="shared" si="2417"/>
        <v/>
      </c>
      <c r="DU150" s="30" t="str">
        <f t="shared" si="2418"/>
        <v/>
      </c>
      <c r="DV150" s="30" t="str">
        <f t="shared" si="2419"/>
        <v/>
      </c>
      <c r="DW150" s="30" t="str">
        <f t="shared" si="2420"/>
        <v/>
      </c>
      <c r="DX150" s="30" t="str">
        <f t="shared" si="2421"/>
        <v/>
      </c>
      <c r="DY150" s="30" t="str">
        <f t="shared" si="2422"/>
        <v/>
      </c>
      <c r="DZ150" s="30" t="str">
        <f t="shared" si="2423"/>
        <v/>
      </c>
      <c r="EA150" s="30" t="str">
        <f t="shared" si="2424"/>
        <v/>
      </c>
      <c r="EB150" s="30" t="str">
        <f t="shared" si="2425"/>
        <v/>
      </c>
      <c r="EC150" s="30" t="str">
        <f t="shared" si="2426"/>
        <v/>
      </c>
      <c r="ED150" s="30" t="str">
        <f t="shared" si="2427"/>
        <v/>
      </c>
      <c r="EE150" s="30" t="str">
        <f t="shared" si="2428"/>
        <v/>
      </c>
      <c r="EF150" s="30" t="str">
        <f t="shared" si="2429"/>
        <v/>
      </c>
      <c r="EG150" s="30" t="str">
        <f t="shared" si="2430"/>
        <v/>
      </c>
      <c r="EH150" s="30" t="str">
        <f t="shared" si="2431"/>
        <v/>
      </c>
      <c r="EI150" s="30" t="str">
        <f t="shared" si="2432"/>
        <v/>
      </c>
      <c r="EJ150" s="30" t="str">
        <f t="shared" si="2433"/>
        <v/>
      </c>
      <c r="EK150" s="30" t="str">
        <f t="shared" si="2434"/>
        <v/>
      </c>
      <c r="EL150" s="30" t="str">
        <f t="shared" si="2435"/>
        <v/>
      </c>
      <c r="EM150" s="30" t="str">
        <f t="shared" si="2436"/>
        <v/>
      </c>
      <c r="EN150" s="30" t="str">
        <f t="shared" si="2437"/>
        <v/>
      </c>
      <c r="EO150" s="30" t="str">
        <f t="shared" si="2438"/>
        <v/>
      </c>
      <c r="EP150" s="30" t="str">
        <f t="shared" si="2439"/>
        <v/>
      </c>
      <c r="EQ150" s="30" t="str">
        <f t="shared" si="2440"/>
        <v/>
      </c>
      <c r="ER150" s="30" t="str">
        <f t="shared" si="2441"/>
        <v/>
      </c>
      <c r="ES150" s="30" t="str">
        <f t="shared" si="2442"/>
        <v/>
      </c>
      <c r="ET150" s="30" t="str">
        <f t="shared" si="2443"/>
        <v/>
      </c>
      <c r="EU150" s="30" t="str">
        <f t="shared" si="2444"/>
        <v/>
      </c>
      <c r="EV150" s="30" t="str">
        <f t="shared" si="2445"/>
        <v/>
      </c>
      <c r="EW150" s="30" t="str">
        <f t="shared" si="2446"/>
        <v/>
      </c>
      <c r="EX150" s="30" t="str">
        <f t="shared" si="2447"/>
        <v/>
      </c>
      <c r="EY150" s="30" t="str">
        <f t="shared" si="2448"/>
        <v/>
      </c>
      <c r="EZ150" s="30" t="str">
        <f t="shared" si="2449"/>
        <v/>
      </c>
      <c r="FA150" s="30" t="str">
        <f t="shared" si="2450"/>
        <v/>
      </c>
      <c r="FB150" s="30" t="str">
        <f t="shared" si="2451"/>
        <v/>
      </c>
      <c r="FC150" s="30" t="str">
        <f t="shared" si="2452"/>
        <v/>
      </c>
      <c r="FD150" s="30" t="str">
        <f t="shared" si="2453"/>
        <v/>
      </c>
      <c r="FE150" s="30" t="str">
        <f t="shared" si="2454"/>
        <v/>
      </c>
      <c r="FF150" s="30" t="str">
        <f t="shared" si="2455"/>
        <v/>
      </c>
      <c r="FG150" s="30" t="str">
        <f t="shared" si="2456"/>
        <v/>
      </c>
      <c r="FH150" s="30" t="str">
        <f t="shared" si="2457"/>
        <v/>
      </c>
      <c r="FI150" s="30" t="str">
        <f t="shared" si="2458"/>
        <v/>
      </c>
      <c r="FJ150" s="30" t="str">
        <f t="shared" si="2459"/>
        <v/>
      </c>
      <c r="FK150" s="30" t="str">
        <f t="shared" si="2460"/>
        <v/>
      </c>
      <c r="FL150" s="30" t="str">
        <f t="shared" si="2461"/>
        <v/>
      </c>
      <c r="FM150" s="30" t="str">
        <f t="shared" si="2462"/>
        <v/>
      </c>
      <c r="FN150" s="30" t="str">
        <f t="shared" si="2463"/>
        <v/>
      </c>
      <c r="FO150" s="30" t="str">
        <f t="shared" si="2464"/>
        <v/>
      </c>
      <c r="FP150" s="30" t="str">
        <f t="shared" si="2465"/>
        <v/>
      </c>
      <c r="FQ150" s="30" t="str">
        <f t="shared" si="2466"/>
        <v/>
      </c>
      <c r="FR150" s="30" t="str">
        <f t="shared" si="2467"/>
        <v/>
      </c>
      <c r="FS150" s="30" t="str">
        <f t="shared" si="2468"/>
        <v/>
      </c>
    </row>
    <row r="151" spans="1:175" ht="16.5">
      <c r="A151" s="88"/>
      <c r="B151" s="66"/>
      <c r="C151" s="88"/>
      <c r="T151" s="108"/>
      <c r="U151" s="32"/>
      <c r="CN151" s="7" t="str">
        <f t="shared" si="2393"/>
        <v>InitUnitState('',,,,,,,,,,)</v>
      </c>
      <c r="CO151" s="7" t="str">
        <f t="shared" si="2394"/>
        <v>InitUnitNormal('',,,,,,,,,,)</v>
      </c>
      <c r="CP151" s="7" t="str">
        <f t="shared" si="2395"/>
        <v>InitUnitMagic('',,,,,,,,,,)</v>
      </c>
      <c r="CQ151" s="7" t="str">
        <f t="shared" si="2396"/>
        <v>InitUnitAdd('',,,,,,,,,,)</v>
      </c>
      <c r="CR151" s="7" t="str">
        <f t="shared" si="2397"/>
        <v>InitEquipData('',,"",,,,,'','','','','','',"")</v>
      </c>
      <c r="CU151" s="45" t="str">
        <f t="shared" si="2398"/>
        <v>|n</v>
      </c>
      <c r="CW151" s="24"/>
      <c r="CX151" s="24"/>
      <c r="CY151" s="24"/>
      <c r="CZ151" s="24"/>
      <c r="DA151" s="24"/>
      <c r="DB151" s="30" t="str">
        <f t="shared" si="2399"/>
        <v/>
      </c>
      <c r="DC151" s="30" t="str">
        <f t="shared" si="2400"/>
        <v/>
      </c>
      <c r="DD151" s="30" t="str">
        <f t="shared" si="2401"/>
        <v/>
      </c>
      <c r="DE151" s="30" t="str">
        <f t="shared" si="2402"/>
        <v/>
      </c>
      <c r="DF151" s="30" t="str">
        <f t="shared" si="2403"/>
        <v/>
      </c>
      <c r="DG151" s="30" t="str">
        <f t="shared" si="2404"/>
        <v/>
      </c>
      <c r="DH151" s="30" t="str">
        <f t="shared" si="2405"/>
        <v/>
      </c>
      <c r="DI151" s="30" t="str">
        <f t="shared" si="2406"/>
        <v/>
      </c>
      <c r="DJ151" s="30" t="str">
        <f t="shared" si="2407"/>
        <v/>
      </c>
      <c r="DK151" s="30" t="str">
        <f t="shared" si="2408"/>
        <v/>
      </c>
      <c r="DL151" s="30" t="str">
        <f t="shared" si="2409"/>
        <v/>
      </c>
      <c r="DM151" s="30" t="str">
        <f t="shared" si="2410"/>
        <v/>
      </c>
      <c r="DN151" s="30" t="str">
        <f t="shared" si="2411"/>
        <v/>
      </c>
      <c r="DO151" s="30" t="str">
        <f t="shared" si="2412"/>
        <v/>
      </c>
      <c r="DP151" s="30" t="str">
        <f t="shared" si="2413"/>
        <v/>
      </c>
      <c r="DQ151" s="30" t="str">
        <f t="shared" si="2414"/>
        <v/>
      </c>
      <c r="DR151" s="30" t="str">
        <f t="shared" si="2415"/>
        <v/>
      </c>
      <c r="DS151" s="30" t="str">
        <f t="shared" si="2416"/>
        <v/>
      </c>
      <c r="DT151" s="30" t="str">
        <f t="shared" si="2417"/>
        <v/>
      </c>
      <c r="DU151" s="30" t="str">
        <f t="shared" si="2418"/>
        <v/>
      </c>
      <c r="DV151" s="30" t="str">
        <f t="shared" si="2419"/>
        <v/>
      </c>
      <c r="DW151" s="30" t="str">
        <f t="shared" si="2420"/>
        <v/>
      </c>
      <c r="DX151" s="30" t="str">
        <f t="shared" si="2421"/>
        <v/>
      </c>
      <c r="DY151" s="30" t="str">
        <f t="shared" si="2422"/>
        <v/>
      </c>
      <c r="DZ151" s="30" t="str">
        <f t="shared" si="2423"/>
        <v/>
      </c>
      <c r="EA151" s="30" t="str">
        <f t="shared" si="2424"/>
        <v/>
      </c>
      <c r="EB151" s="30" t="str">
        <f t="shared" si="2425"/>
        <v/>
      </c>
      <c r="EC151" s="30" t="str">
        <f t="shared" si="2426"/>
        <v/>
      </c>
      <c r="ED151" s="30" t="str">
        <f t="shared" si="2427"/>
        <v/>
      </c>
      <c r="EE151" s="30" t="str">
        <f t="shared" si="2428"/>
        <v/>
      </c>
      <c r="EF151" s="30" t="str">
        <f t="shared" si="2429"/>
        <v/>
      </c>
      <c r="EG151" s="30" t="str">
        <f t="shared" si="2430"/>
        <v/>
      </c>
      <c r="EH151" s="30" t="str">
        <f t="shared" si="2431"/>
        <v/>
      </c>
      <c r="EI151" s="30" t="str">
        <f t="shared" si="2432"/>
        <v/>
      </c>
      <c r="EJ151" s="30" t="str">
        <f t="shared" si="2433"/>
        <v/>
      </c>
      <c r="EK151" s="30" t="str">
        <f t="shared" si="2434"/>
        <v/>
      </c>
      <c r="EL151" s="30" t="str">
        <f t="shared" si="2435"/>
        <v/>
      </c>
      <c r="EM151" s="30" t="str">
        <f t="shared" si="2436"/>
        <v/>
      </c>
      <c r="EN151" s="30" t="str">
        <f t="shared" si="2437"/>
        <v/>
      </c>
      <c r="EO151" s="30" t="str">
        <f t="shared" si="2438"/>
        <v/>
      </c>
      <c r="EP151" s="30" t="str">
        <f t="shared" si="2439"/>
        <v/>
      </c>
      <c r="EQ151" s="30" t="str">
        <f t="shared" si="2440"/>
        <v/>
      </c>
      <c r="ER151" s="30" t="str">
        <f t="shared" si="2441"/>
        <v/>
      </c>
      <c r="ES151" s="30" t="str">
        <f t="shared" si="2442"/>
        <v/>
      </c>
      <c r="ET151" s="30" t="str">
        <f t="shared" si="2443"/>
        <v/>
      </c>
      <c r="EU151" s="30" t="str">
        <f t="shared" si="2444"/>
        <v/>
      </c>
      <c r="EV151" s="30" t="str">
        <f t="shared" si="2445"/>
        <v/>
      </c>
      <c r="EW151" s="30" t="str">
        <f t="shared" si="2446"/>
        <v/>
      </c>
      <c r="EX151" s="30" t="str">
        <f t="shared" si="2447"/>
        <v/>
      </c>
      <c r="EY151" s="30" t="str">
        <f t="shared" si="2448"/>
        <v/>
      </c>
      <c r="EZ151" s="30" t="str">
        <f t="shared" si="2449"/>
        <v/>
      </c>
      <c r="FA151" s="30" t="str">
        <f t="shared" si="2450"/>
        <v/>
      </c>
      <c r="FB151" s="30" t="str">
        <f t="shared" si="2451"/>
        <v/>
      </c>
      <c r="FC151" s="30" t="str">
        <f t="shared" si="2452"/>
        <v/>
      </c>
      <c r="FD151" s="30" t="str">
        <f t="shared" si="2453"/>
        <v/>
      </c>
      <c r="FE151" s="30" t="str">
        <f t="shared" si="2454"/>
        <v/>
      </c>
      <c r="FF151" s="30" t="str">
        <f t="shared" si="2455"/>
        <v/>
      </c>
      <c r="FG151" s="30" t="str">
        <f t="shared" si="2456"/>
        <v/>
      </c>
      <c r="FH151" s="30" t="str">
        <f t="shared" si="2457"/>
        <v/>
      </c>
      <c r="FI151" s="30" t="str">
        <f t="shared" si="2458"/>
        <v/>
      </c>
      <c r="FJ151" s="30" t="str">
        <f t="shared" si="2459"/>
        <v/>
      </c>
      <c r="FK151" s="30" t="str">
        <f t="shared" si="2460"/>
        <v/>
      </c>
      <c r="FL151" s="30" t="str">
        <f t="shared" si="2461"/>
        <v/>
      </c>
      <c r="FM151" s="30" t="str">
        <f t="shared" si="2462"/>
        <v/>
      </c>
      <c r="FN151" s="30" t="str">
        <f t="shared" si="2463"/>
        <v/>
      </c>
      <c r="FO151" s="30" t="str">
        <f t="shared" si="2464"/>
        <v/>
      </c>
      <c r="FP151" s="30" t="str">
        <f t="shared" si="2465"/>
        <v/>
      </c>
      <c r="FQ151" s="30" t="str">
        <f t="shared" si="2466"/>
        <v/>
      </c>
      <c r="FR151" s="30" t="str">
        <f t="shared" si="2467"/>
        <v/>
      </c>
      <c r="FS151" s="30" t="str">
        <f t="shared" si="2468"/>
        <v/>
      </c>
    </row>
    <row r="152" spans="1:175" ht="16.5">
      <c r="A152" s="88"/>
      <c r="B152" s="66"/>
      <c r="C152" s="88"/>
      <c r="T152" s="108"/>
      <c r="U152" s="32"/>
      <c r="CN152" s="7" t="str">
        <f t="shared" si="2393"/>
        <v>InitUnitState('',,,,,,,,,,)</v>
      </c>
      <c r="CO152" s="7" t="str">
        <f t="shared" si="2394"/>
        <v>InitUnitNormal('',,,,,,,,,,)</v>
      </c>
      <c r="CP152" s="7" t="str">
        <f t="shared" si="2395"/>
        <v>InitUnitMagic('',,,,,,,,,,)</v>
      </c>
      <c r="CQ152" s="7" t="str">
        <f t="shared" si="2396"/>
        <v>InitUnitAdd('',,,,,,,,,,)</v>
      </c>
      <c r="CR152" s="7" t="str">
        <f t="shared" si="2397"/>
        <v>InitEquipData('',,"",,,,,'','','','','','',"")</v>
      </c>
      <c r="CU152" s="45" t="str">
        <f t="shared" si="2398"/>
        <v>|n</v>
      </c>
      <c r="CW152" s="24"/>
      <c r="CX152" s="24"/>
      <c r="CY152" s="24"/>
      <c r="CZ152" s="24"/>
      <c r="DA152" s="24"/>
      <c r="DB152" s="30" t="str">
        <f t="shared" si="2399"/>
        <v/>
      </c>
      <c r="DC152" s="30" t="str">
        <f t="shared" si="2400"/>
        <v/>
      </c>
      <c r="DD152" s="30" t="str">
        <f t="shared" si="2401"/>
        <v/>
      </c>
      <c r="DE152" s="30" t="str">
        <f t="shared" si="2402"/>
        <v/>
      </c>
      <c r="DF152" s="30" t="str">
        <f t="shared" si="2403"/>
        <v/>
      </c>
      <c r="DG152" s="30" t="str">
        <f t="shared" si="2404"/>
        <v/>
      </c>
      <c r="DH152" s="30" t="str">
        <f t="shared" si="2405"/>
        <v/>
      </c>
      <c r="DI152" s="30" t="str">
        <f t="shared" si="2406"/>
        <v/>
      </c>
      <c r="DJ152" s="30" t="str">
        <f t="shared" si="2407"/>
        <v/>
      </c>
      <c r="DK152" s="30" t="str">
        <f t="shared" si="2408"/>
        <v/>
      </c>
      <c r="DL152" s="30" t="str">
        <f t="shared" si="2409"/>
        <v/>
      </c>
      <c r="DM152" s="30" t="str">
        <f t="shared" si="2410"/>
        <v/>
      </c>
      <c r="DN152" s="30" t="str">
        <f t="shared" si="2411"/>
        <v/>
      </c>
      <c r="DO152" s="30" t="str">
        <f t="shared" si="2412"/>
        <v/>
      </c>
      <c r="DP152" s="30" t="str">
        <f t="shared" si="2413"/>
        <v/>
      </c>
      <c r="DQ152" s="30" t="str">
        <f t="shared" si="2414"/>
        <v/>
      </c>
      <c r="DR152" s="30" t="str">
        <f t="shared" si="2415"/>
        <v/>
      </c>
      <c r="DS152" s="30" t="str">
        <f t="shared" si="2416"/>
        <v/>
      </c>
      <c r="DT152" s="30" t="str">
        <f t="shared" si="2417"/>
        <v/>
      </c>
      <c r="DU152" s="30" t="str">
        <f t="shared" si="2418"/>
        <v/>
      </c>
      <c r="DV152" s="30" t="str">
        <f t="shared" si="2419"/>
        <v/>
      </c>
      <c r="DW152" s="30" t="str">
        <f t="shared" si="2420"/>
        <v/>
      </c>
      <c r="DX152" s="30" t="str">
        <f t="shared" si="2421"/>
        <v/>
      </c>
      <c r="DY152" s="30" t="str">
        <f t="shared" si="2422"/>
        <v/>
      </c>
      <c r="DZ152" s="30" t="str">
        <f t="shared" si="2423"/>
        <v/>
      </c>
      <c r="EA152" s="30" t="str">
        <f t="shared" si="2424"/>
        <v/>
      </c>
      <c r="EB152" s="30" t="str">
        <f t="shared" si="2425"/>
        <v/>
      </c>
      <c r="EC152" s="30" t="str">
        <f t="shared" si="2426"/>
        <v/>
      </c>
      <c r="ED152" s="30" t="str">
        <f t="shared" si="2427"/>
        <v/>
      </c>
      <c r="EE152" s="30" t="str">
        <f t="shared" si="2428"/>
        <v/>
      </c>
      <c r="EF152" s="30" t="str">
        <f t="shared" si="2429"/>
        <v/>
      </c>
      <c r="EG152" s="30" t="str">
        <f t="shared" si="2430"/>
        <v/>
      </c>
      <c r="EH152" s="30" t="str">
        <f t="shared" si="2431"/>
        <v/>
      </c>
      <c r="EI152" s="30" t="str">
        <f t="shared" si="2432"/>
        <v/>
      </c>
      <c r="EJ152" s="30" t="str">
        <f t="shared" si="2433"/>
        <v/>
      </c>
      <c r="EK152" s="30" t="str">
        <f t="shared" si="2434"/>
        <v/>
      </c>
      <c r="EL152" s="30" t="str">
        <f t="shared" si="2435"/>
        <v/>
      </c>
      <c r="EM152" s="30" t="str">
        <f t="shared" si="2436"/>
        <v/>
      </c>
      <c r="EN152" s="30" t="str">
        <f t="shared" si="2437"/>
        <v/>
      </c>
      <c r="EO152" s="30" t="str">
        <f t="shared" si="2438"/>
        <v/>
      </c>
      <c r="EP152" s="30" t="str">
        <f t="shared" si="2439"/>
        <v/>
      </c>
      <c r="EQ152" s="30" t="str">
        <f t="shared" si="2440"/>
        <v/>
      </c>
      <c r="ER152" s="30" t="str">
        <f t="shared" si="2441"/>
        <v/>
      </c>
      <c r="ES152" s="30" t="str">
        <f t="shared" si="2442"/>
        <v/>
      </c>
      <c r="ET152" s="30" t="str">
        <f t="shared" si="2443"/>
        <v/>
      </c>
      <c r="EU152" s="30" t="str">
        <f t="shared" si="2444"/>
        <v/>
      </c>
      <c r="EV152" s="30" t="str">
        <f t="shared" si="2445"/>
        <v/>
      </c>
      <c r="EW152" s="30" t="str">
        <f t="shared" si="2446"/>
        <v/>
      </c>
      <c r="EX152" s="30" t="str">
        <f t="shared" si="2447"/>
        <v/>
      </c>
      <c r="EY152" s="30" t="str">
        <f t="shared" si="2448"/>
        <v/>
      </c>
      <c r="EZ152" s="30" t="str">
        <f t="shared" si="2449"/>
        <v/>
      </c>
      <c r="FA152" s="30" t="str">
        <f t="shared" si="2450"/>
        <v/>
      </c>
      <c r="FB152" s="30" t="str">
        <f t="shared" si="2451"/>
        <v/>
      </c>
      <c r="FC152" s="30" t="str">
        <f t="shared" si="2452"/>
        <v/>
      </c>
      <c r="FD152" s="30" t="str">
        <f t="shared" si="2453"/>
        <v/>
      </c>
      <c r="FE152" s="30" t="str">
        <f t="shared" si="2454"/>
        <v/>
      </c>
      <c r="FF152" s="30" t="str">
        <f t="shared" si="2455"/>
        <v/>
      </c>
      <c r="FG152" s="30" t="str">
        <f t="shared" si="2456"/>
        <v/>
      </c>
      <c r="FH152" s="30" t="str">
        <f t="shared" si="2457"/>
        <v/>
      </c>
      <c r="FI152" s="30" t="str">
        <f t="shared" si="2458"/>
        <v/>
      </c>
      <c r="FJ152" s="30" t="str">
        <f t="shared" si="2459"/>
        <v/>
      </c>
      <c r="FK152" s="30" t="str">
        <f t="shared" si="2460"/>
        <v/>
      </c>
      <c r="FL152" s="30" t="str">
        <f t="shared" si="2461"/>
        <v/>
      </c>
      <c r="FM152" s="30" t="str">
        <f t="shared" si="2462"/>
        <v/>
      </c>
      <c r="FN152" s="30" t="str">
        <f t="shared" si="2463"/>
        <v/>
      </c>
      <c r="FO152" s="30" t="str">
        <f t="shared" si="2464"/>
        <v/>
      </c>
      <c r="FP152" s="30" t="str">
        <f t="shared" si="2465"/>
        <v/>
      </c>
      <c r="FQ152" s="30" t="str">
        <f t="shared" si="2466"/>
        <v/>
      </c>
      <c r="FR152" s="30" t="str">
        <f t="shared" si="2467"/>
        <v/>
      </c>
      <c r="FS152" s="30" t="str">
        <f t="shared" si="2468"/>
        <v/>
      </c>
    </row>
    <row r="153" spans="1:175" ht="16.5">
      <c r="A153" s="88"/>
      <c r="B153" s="66"/>
      <c r="C153" s="88"/>
      <c r="T153" s="108"/>
      <c r="U153" s="32"/>
      <c r="CN153" s="7" t="str">
        <f t="shared" si="2393"/>
        <v>InitUnitState('',,,,,,,,,,)</v>
      </c>
      <c r="CO153" s="7" t="str">
        <f t="shared" si="2394"/>
        <v>InitUnitNormal('',,,,,,,,,,)</v>
      </c>
      <c r="CP153" s="7" t="str">
        <f t="shared" si="2395"/>
        <v>InitUnitMagic('',,,,,,,,,,)</v>
      </c>
      <c r="CQ153" s="7" t="str">
        <f t="shared" si="2396"/>
        <v>InitUnitAdd('',,,,,,,,,,)</v>
      </c>
      <c r="CR153" s="7" t="str">
        <f t="shared" si="2397"/>
        <v>InitEquipData('',,"",,,,,'','','','','','',"")</v>
      </c>
      <c r="CU153" s="45" t="str">
        <f t="shared" si="2398"/>
        <v>|n</v>
      </c>
      <c r="CW153" s="24"/>
      <c r="CX153" s="24"/>
      <c r="CY153" s="24"/>
      <c r="CZ153" s="24"/>
      <c r="DA153" s="24"/>
      <c r="DB153" s="30" t="str">
        <f t="shared" si="2399"/>
        <v/>
      </c>
      <c r="DC153" s="30" t="str">
        <f t="shared" si="2400"/>
        <v/>
      </c>
      <c r="DD153" s="30" t="str">
        <f t="shared" si="2401"/>
        <v/>
      </c>
      <c r="DE153" s="30" t="str">
        <f t="shared" si="2402"/>
        <v/>
      </c>
      <c r="DF153" s="30" t="str">
        <f t="shared" si="2403"/>
        <v/>
      </c>
      <c r="DG153" s="30" t="str">
        <f t="shared" si="2404"/>
        <v/>
      </c>
      <c r="DH153" s="30" t="str">
        <f t="shared" si="2405"/>
        <v/>
      </c>
      <c r="DI153" s="30" t="str">
        <f t="shared" si="2406"/>
        <v/>
      </c>
      <c r="DJ153" s="30" t="str">
        <f t="shared" si="2407"/>
        <v/>
      </c>
      <c r="DK153" s="30" t="str">
        <f t="shared" si="2408"/>
        <v/>
      </c>
      <c r="DL153" s="30" t="str">
        <f t="shared" si="2409"/>
        <v/>
      </c>
      <c r="DM153" s="30" t="str">
        <f t="shared" si="2410"/>
        <v/>
      </c>
      <c r="DN153" s="30" t="str">
        <f t="shared" si="2411"/>
        <v/>
      </c>
      <c r="DO153" s="30" t="str">
        <f t="shared" si="2412"/>
        <v/>
      </c>
      <c r="DP153" s="30" t="str">
        <f t="shared" si="2413"/>
        <v/>
      </c>
      <c r="DQ153" s="30" t="str">
        <f t="shared" si="2414"/>
        <v/>
      </c>
      <c r="DR153" s="30" t="str">
        <f t="shared" si="2415"/>
        <v/>
      </c>
      <c r="DS153" s="30" t="str">
        <f t="shared" si="2416"/>
        <v/>
      </c>
      <c r="DT153" s="30" t="str">
        <f t="shared" si="2417"/>
        <v/>
      </c>
      <c r="DU153" s="30" t="str">
        <f t="shared" si="2418"/>
        <v/>
      </c>
      <c r="DV153" s="30" t="str">
        <f t="shared" si="2419"/>
        <v/>
      </c>
      <c r="DW153" s="30" t="str">
        <f t="shared" si="2420"/>
        <v/>
      </c>
      <c r="DX153" s="30" t="str">
        <f t="shared" si="2421"/>
        <v/>
      </c>
      <c r="DY153" s="30" t="str">
        <f t="shared" si="2422"/>
        <v/>
      </c>
      <c r="DZ153" s="30" t="str">
        <f t="shared" si="2423"/>
        <v/>
      </c>
      <c r="EA153" s="30" t="str">
        <f t="shared" si="2424"/>
        <v/>
      </c>
      <c r="EB153" s="30" t="str">
        <f t="shared" si="2425"/>
        <v/>
      </c>
      <c r="EC153" s="30" t="str">
        <f t="shared" si="2426"/>
        <v/>
      </c>
      <c r="ED153" s="30" t="str">
        <f t="shared" si="2427"/>
        <v/>
      </c>
      <c r="EE153" s="30" t="str">
        <f t="shared" si="2428"/>
        <v/>
      </c>
      <c r="EF153" s="30" t="str">
        <f t="shared" si="2429"/>
        <v/>
      </c>
      <c r="EG153" s="30" t="str">
        <f t="shared" si="2430"/>
        <v/>
      </c>
      <c r="EH153" s="30" t="str">
        <f t="shared" si="2431"/>
        <v/>
      </c>
      <c r="EI153" s="30" t="str">
        <f t="shared" si="2432"/>
        <v/>
      </c>
      <c r="EJ153" s="30" t="str">
        <f t="shared" si="2433"/>
        <v/>
      </c>
      <c r="EK153" s="30" t="str">
        <f t="shared" si="2434"/>
        <v/>
      </c>
      <c r="EL153" s="30" t="str">
        <f t="shared" si="2435"/>
        <v/>
      </c>
      <c r="EM153" s="30" t="str">
        <f t="shared" si="2436"/>
        <v/>
      </c>
      <c r="EN153" s="30" t="str">
        <f t="shared" si="2437"/>
        <v/>
      </c>
      <c r="EO153" s="30" t="str">
        <f t="shared" si="2438"/>
        <v/>
      </c>
      <c r="EP153" s="30" t="str">
        <f t="shared" si="2439"/>
        <v/>
      </c>
      <c r="EQ153" s="30" t="str">
        <f t="shared" si="2440"/>
        <v/>
      </c>
      <c r="ER153" s="30" t="str">
        <f t="shared" si="2441"/>
        <v/>
      </c>
      <c r="ES153" s="30" t="str">
        <f t="shared" si="2442"/>
        <v/>
      </c>
      <c r="ET153" s="30" t="str">
        <f t="shared" si="2443"/>
        <v/>
      </c>
      <c r="EU153" s="30" t="str">
        <f t="shared" si="2444"/>
        <v/>
      </c>
      <c r="EV153" s="30" t="str">
        <f t="shared" si="2445"/>
        <v/>
      </c>
      <c r="EW153" s="30" t="str">
        <f t="shared" si="2446"/>
        <v/>
      </c>
      <c r="EX153" s="30" t="str">
        <f t="shared" si="2447"/>
        <v/>
      </c>
      <c r="EY153" s="30" t="str">
        <f t="shared" si="2448"/>
        <v/>
      </c>
      <c r="EZ153" s="30" t="str">
        <f t="shared" si="2449"/>
        <v/>
      </c>
      <c r="FA153" s="30" t="str">
        <f t="shared" si="2450"/>
        <v/>
      </c>
      <c r="FB153" s="30" t="str">
        <f t="shared" si="2451"/>
        <v/>
      </c>
      <c r="FC153" s="30" t="str">
        <f t="shared" si="2452"/>
        <v/>
      </c>
      <c r="FD153" s="30" t="str">
        <f t="shared" si="2453"/>
        <v/>
      </c>
      <c r="FE153" s="30" t="str">
        <f t="shared" si="2454"/>
        <v/>
      </c>
      <c r="FF153" s="30" t="str">
        <f t="shared" si="2455"/>
        <v/>
      </c>
      <c r="FG153" s="30" t="str">
        <f t="shared" si="2456"/>
        <v/>
      </c>
      <c r="FH153" s="30" t="str">
        <f t="shared" si="2457"/>
        <v/>
      </c>
      <c r="FI153" s="30" t="str">
        <f t="shared" si="2458"/>
        <v/>
      </c>
      <c r="FJ153" s="30" t="str">
        <f t="shared" si="2459"/>
        <v/>
      </c>
      <c r="FK153" s="30" t="str">
        <f t="shared" si="2460"/>
        <v/>
      </c>
      <c r="FL153" s="30" t="str">
        <f t="shared" si="2461"/>
        <v/>
      </c>
      <c r="FM153" s="30" t="str">
        <f t="shared" si="2462"/>
        <v/>
      </c>
      <c r="FN153" s="30" t="str">
        <f t="shared" si="2463"/>
        <v/>
      </c>
      <c r="FO153" s="30" t="str">
        <f t="shared" si="2464"/>
        <v/>
      </c>
      <c r="FP153" s="30" t="str">
        <f t="shared" si="2465"/>
        <v/>
      </c>
      <c r="FQ153" s="30" t="str">
        <f t="shared" si="2466"/>
        <v/>
      </c>
      <c r="FR153" s="30" t="str">
        <f t="shared" si="2467"/>
        <v/>
      </c>
      <c r="FS153" s="30" t="str">
        <f t="shared" si="2468"/>
        <v/>
      </c>
    </row>
    <row r="154" spans="1:175" ht="16.5">
      <c r="A154" s="88"/>
      <c r="B154" s="66"/>
      <c r="C154" s="88"/>
      <c r="T154" s="108"/>
      <c r="U154" s="32"/>
      <c r="CN154" s="7" t="str">
        <f t="shared" si="2393"/>
        <v>InitUnitState('',,,,,,,,,,)</v>
      </c>
      <c r="CO154" s="7" t="str">
        <f t="shared" si="2394"/>
        <v>InitUnitNormal('',,,,,,,,,,)</v>
      </c>
      <c r="CP154" s="7" t="str">
        <f t="shared" si="2395"/>
        <v>InitUnitMagic('',,,,,,,,,,)</v>
      </c>
      <c r="CQ154" s="7" t="str">
        <f t="shared" si="2396"/>
        <v>InitUnitAdd('',,,,,,,,,,)</v>
      </c>
      <c r="CR154" s="7" t="str">
        <f t="shared" si="2397"/>
        <v>InitEquipData('',,"",,,,,'','','','','','',"")</v>
      </c>
      <c r="CU154" s="45" t="str">
        <f t="shared" si="2398"/>
        <v>|n</v>
      </c>
      <c r="CW154" s="24"/>
      <c r="CX154" s="24"/>
      <c r="CY154" s="24"/>
      <c r="CZ154" s="24"/>
      <c r="DA154" s="24"/>
      <c r="DB154" s="30" t="str">
        <f t="shared" si="2399"/>
        <v/>
      </c>
      <c r="DC154" s="30" t="str">
        <f t="shared" si="2400"/>
        <v/>
      </c>
      <c r="DD154" s="30" t="str">
        <f t="shared" si="2401"/>
        <v/>
      </c>
      <c r="DE154" s="30" t="str">
        <f t="shared" si="2402"/>
        <v/>
      </c>
      <c r="DF154" s="30" t="str">
        <f t="shared" si="2403"/>
        <v/>
      </c>
      <c r="DG154" s="30" t="str">
        <f t="shared" si="2404"/>
        <v/>
      </c>
      <c r="DH154" s="30" t="str">
        <f t="shared" si="2405"/>
        <v/>
      </c>
      <c r="DI154" s="30" t="str">
        <f t="shared" si="2406"/>
        <v/>
      </c>
      <c r="DJ154" s="30" t="str">
        <f t="shared" si="2407"/>
        <v/>
      </c>
      <c r="DK154" s="30" t="str">
        <f t="shared" si="2408"/>
        <v/>
      </c>
      <c r="DL154" s="30" t="str">
        <f t="shared" si="2409"/>
        <v/>
      </c>
      <c r="DM154" s="30" t="str">
        <f t="shared" si="2410"/>
        <v/>
      </c>
      <c r="DN154" s="30" t="str">
        <f t="shared" si="2411"/>
        <v/>
      </c>
      <c r="DO154" s="30" t="str">
        <f t="shared" si="2412"/>
        <v/>
      </c>
      <c r="DP154" s="30" t="str">
        <f t="shared" si="2413"/>
        <v/>
      </c>
      <c r="DQ154" s="30" t="str">
        <f t="shared" si="2414"/>
        <v/>
      </c>
      <c r="DR154" s="30" t="str">
        <f t="shared" si="2415"/>
        <v/>
      </c>
      <c r="DS154" s="30" t="str">
        <f t="shared" si="2416"/>
        <v/>
      </c>
      <c r="DT154" s="30" t="str">
        <f t="shared" si="2417"/>
        <v/>
      </c>
      <c r="DU154" s="30" t="str">
        <f t="shared" si="2418"/>
        <v/>
      </c>
      <c r="DV154" s="30" t="str">
        <f t="shared" si="2419"/>
        <v/>
      </c>
      <c r="DW154" s="30" t="str">
        <f t="shared" si="2420"/>
        <v/>
      </c>
      <c r="DX154" s="30" t="str">
        <f t="shared" si="2421"/>
        <v/>
      </c>
      <c r="DY154" s="30" t="str">
        <f t="shared" si="2422"/>
        <v/>
      </c>
      <c r="DZ154" s="30" t="str">
        <f t="shared" si="2423"/>
        <v/>
      </c>
      <c r="EA154" s="30" t="str">
        <f t="shared" si="2424"/>
        <v/>
      </c>
      <c r="EB154" s="30" t="str">
        <f t="shared" si="2425"/>
        <v/>
      </c>
      <c r="EC154" s="30" t="str">
        <f t="shared" si="2426"/>
        <v/>
      </c>
      <c r="ED154" s="30" t="str">
        <f t="shared" si="2427"/>
        <v/>
      </c>
      <c r="EE154" s="30" t="str">
        <f t="shared" si="2428"/>
        <v/>
      </c>
      <c r="EF154" s="30" t="str">
        <f t="shared" si="2429"/>
        <v/>
      </c>
      <c r="EG154" s="30" t="str">
        <f t="shared" si="2430"/>
        <v/>
      </c>
      <c r="EH154" s="30" t="str">
        <f t="shared" si="2431"/>
        <v/>
      </c>
      <c r="EI154" s="30" t="str">
        <f t="shared" si="2432"/>
        <v/>
      </c>
      <c r="EJ154" s="30" t="str">
        <f t="shared" si="2433"/>
        <v/>
      </c>
      <c r="EK154" s="30" t="str">
        <f t="shared" si="2434"/>
        <v/>
      </c>
      <c r="EL154" s="30" t="str">
        <f t="shared" si="2435"/>
        <v/>
      </c>
      <c r="EM154" s="30" t="str">
        <f t="shared" si="2436"/>
        <v/>
      </c>
      <c r="EN154" s="30" t="str">
        <f t="shared" si="2437"/>
        <v/>
      </c>
      <c r="EO154" s="30" t="str">
        <f t="shared" si="2438"/>
        <v/>
      </c>
      <c r="EP154" s="30" t="str">
        <f t="shared" si="2439"/>
        <v/>
      </c>
      <c r="EQ154" s="30" t="str">
        <f t="shared" si="2440"/>
        <v/>
      </c>
      <c r="ER154" s="30" t="str">
        <f t="shared" si="2441"/>
        <v/>
      </c>
      <c r="ES154" s="30" t="str">
        <f t="shared" si="2442"/>
        <v/>
      </c>
      <c r="ET154" s="30" t="str">
        <f t="shared" si="2443"/>
        <v/>
      </c>
      <c r="EU154" s="30" t="str">
        <f t="shared" si="2444"/>
        <v/>
      </c>
      <c r="EV154" s="30" t="str">
        <f t="shared" si="2445"/>
        <v/>
      </c>
      <c r="EW154" s="30" t="str">
        <f t="shared" si="2446"/>
        <v/>
      </c>
      <c r="EX154" s="30" t="str">
        <f t="shared" si="2447"/>
        <v/>
      </c>
      <c r="EY154" s="30" t="str">
        <f t="shared" si="2448"/>
        <v/>
      </c>
      <c r="EZ154" s="30" t="str">
        <f t="shared" si="2449"/>
        <v/>
      </c>
      <c r="FA154" s="30" t="str">
        <f t="shared" si="2450"/>
        <v/>
      </c>
      <c r="FB154" s="30" t="str">
        <f t="shared" si="2451"/>
        <v/>
      </c>
      <c r="FC154" s="30" t="str">
        <f t="shared" si="2452"/>
        <v/>
      </c>
      <c r="FD154" s="30" t="str">
        <f t="shared" si="2453"/>
        <v/>
      </c>
      <c r="FE154" s="30" t="str">
        <f t="shared" si="2454"/>
        <v/>
      </c>
      <c r="FF154" s="30" t="str">
        <f t="shared" si="2455"/>
        <v/>
      </c>
      <c r="FG154" s="30" t="str">
        <f t="shared" si="2456"/>
        <v/>
      </c>
      <c r="FH154" s="30" t="str">
        <f t="shared" si="2457"/>
        <v/>
      </c>
      <c r="FI154" s="30" t="str">
        <f t="shared" si="2458"/>
        <v/>
      </c>
      <c r="FJ154" s="30" t="str">
        <f t="shared" si="2459"/>
        <v/>
      </c>
      <c r="FK154" s="30" t="str">
        <f t="shared" si="2460"/>
        <v/>
      </c>
      <c r="FL154" s="30" t="str">
        <f t="shared" si="2461"/>
        <v/>
      </c>
      <c r="FM154" s="30" t="str">
        <f t="shared" si="2462"/>
        <v/>
      </c>
      <c r="FN154" s="30" t="str">
        <f t="shared" si="2463"/>
        <v/>
      </c>
      <c r="FO154" s="30" t="str">
        <f t="shared" si="2464"/>
        <v/>
      </c>
      <c r="FP154" s="30" t="str">
        <f t="shared" si="2465"/>
        <v/>
      </c>
      <c r="FQ154" s="30" t="str">
        <f t="shared" si="2466"/>
        <v/>
      </c>
      <c r="FR154" s="30" t="str">
        <f t="shared" si="2467"/>
        <v/>
      </c>
      <c r="FS154" s="30" t="str">
        <f t="shared" si="2468"/>
        <v/>
      </c>
    </row>
    <row r="155" spans="1:175" ht="16.5">
      <c r="A155" s="88"/>
      <c r="B155" s="66"/>
      <c r="C155" s="88"/>
      <c r="T155" s="109"/>
      <c r="U155" s="32"/>
      <c r="CN155" s="7" t="str">
        <f t="shared" ref="CN155:CN174" si="2469">"InitUnitState('"&amp;B155&amp;"',"&amp;V155&amp;","&amp;W155&amp;","&amp;X155&amp;","&amp;Y155&amp;","&amp;Z155&amp;","&amp;AA155&amp;","&amp;AB155&amp;","&amp;AC155&amp;","&amp;AD155&amp;","&amp;AE155&amp;")"</f>
        <v>InitUnitState('',,,,,,,,,,)</v>
      </c>
      <c r="CO155" s="7" t="str">
        <f t="shared" ref="CO155:CO174" si="2470">"InitUnitNormal('"&amp;B155&amp;"',"&amp;AF155&amp;","&amp;AG155&amp;","&amp;AH155&amp;","&amp;AI155&amp;","&amp;AJ155&amp;","&amp;AK155&amp;","&amp;AL155&amp;","&amp;AM155&amp;","&amp;AN155&amp;","&amp;AO155&amp;")"</f>
        <v>InitUnitNormal('',,,,,,,,,,)</v>
      </c>
      <c r="CP155" s="7" t="str">
        <f t="shared" ref="CP155:CP174" si="2471">"InitUnitMagic('"&amp;B155&amp;"',"&amp;AP155&amp;","&amp;AQ155&amp;","&amp;AR155&amp;","&amp;AS155&amp;","&amp;AT155&amp;","&amp;AU155&amp;","&amp;AV155&amp;","&amp;AW155&amp;","&amp;BI155&amp;","&amp;BJ155&amp;")"</f>
        <v>InitUnitMagic('',,,,,,,,,,)</v>
      </c>
      <c r="CQ155" s="7" t="str">
        <f t="shared" ref="CQ155:CQ174" si="2472">"InitUnitAdd('"&amp;B155&amp;"',"&amp;BK155&amp;","&amp;BL155&amp;","&amp;BM155&amp;","&amp;BN155&amp;","&amp;BO155&amp;","&amp;BP155&amp;","&amp;BQ155&amp;","&amp;BR155&amp;","&amp;BS155&amp;","&amp;BT155&amp;")"</f>
        <v>InitUnitAdd('',,,,,,,,,,)</v>
      </c>
      <c r="CR155" s="7" t="str">
        <f t="shared" ref="CR155:CR174" si="2473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InitEquipData('',,"",,,,,'','','','','','',"")</v>
      </c>
      <c r="CU155" s="45" t="str">
        <f t="shared" si="2398"/>
        <v>|n</v>
      </c>
      <c r="CW155" s="24"/>
      <c r="CX155" s="24"/>
      <c r="CY155" s="24"/>
      <c r="CZ155" s="24"/>
      <c r="DA155" s="24"/>
      <c r="DB155" s="30" t="str">
        <f t="shared" si="2399"/>
        <v/>
      </c>
      <c r="DC155" s="30" t="str">
        <f t="shared" si="2400"/>
        <v/>
      </c>
      <c r="DD155" s="30" t="str">
        <f t="shared" si="2401"/>
        <v/>
      </c>
      <c r="DE155" s="30" t="str">
        <f t="shared" si="2402"/>
        <v/>
      </c>
      <c r="DF155" s="30" t="str">
        <f t="shared" si="2403"/>
        <v/>
      </c>
      <c r="DG155" s="30" t="str">
        <f t="shared" si="2404"/>
        <v/>
      </c>
      <c r="DH155" s="30" t="str">
        <f t="shared" si="2405"/>
        <v/>
      </c>
      <c r="DI155" s="30" t="str">
        <f t="shared" si="2406"/>
        <v/>
      </c>
      <c r="DJ155" s="30" t="str">
        <f t="shared" si="2407"/>
        <v/>
      </c>
      <c r="DK155" s="30" t="str">
        <f t="shared" si="2408"/>
        <v/>
      </c>
      <c r="DL155" s="30" t="str">
        <f t="shared" si="2409"/>
        <v/>
      </c>
      <c r="DM155" s="30" t="str">
        <f t="shared" si="2410"/>
        <v/>
      </c>
      <c r="DN155" s="30" t="str">
        <f t="shared" si="2411"/>
        <v/>
      </c>
      <c r="DO155" s="30" t="str">
        <f t="shared" si="2412"/>
        <v/>
      </c>
      <c r="DP155" s="30" t="str">
        <f t="shared" si="2413"/>
        <v/>
      </c>
      <c r="DQ155" s="30" t="str">
        <f t="shared" si="2414"/>
        <v/>
      </c>
      <c r="DR155" s="30" t="str">
        <f t="shared" si="2415"/>
        <v/>
      </c>
      <c r="DS155" s="30" t="str">
        <f t="shared" si="2416"/>
        <v/>
      </c>
      <c r="DT155" s="30" t="str">
        <f t="shared" si="2417"/>
        <v/>
      </c>
      <c r="DU155" s="30" t="str">
        <f t="shared" si="2418"/>
        <v/>
      </c>
      <c r="DV155" s="30" t="str">
        <f t="shared" si="2419"/>
        <v/>
      </c>
      <c r="DW155" s="30" t="str">
        <f t="shared" si="2420"/>
        <v/>
      </c>
      <c r="DX155" s="30" t="str">
        <f t="shared" si="2421"/>
        <v/>
      </c>
      <c r="DY155" s="30" t="str">
        <f t="shared" si="2422"/>
        <v/>
      </c>
      <c r="DZ155" s="30" t="str">
        <f t="shared" si="2423"/>
        <v/>
      </c>
      <c r="EA155" s="30" t="str">
        <f t="shared" si="2424"/>
        <v/>
      </c>
      <c r="EB155" s="30" t="str">
        <f t="shared" si="2425"/>
        <v/>
      </c>
      <c r="EC155" s="30" t="str">
        <f t="shared" si="2426"/>
        <v/>
      </c>
      <c r="ED155" s="30" t="str">
        <f t="shared" si="2427"/>
        <v/>
      </c>
      <c r="EE155" s="30" t="str">
        <f t="shared" si="2428"/>
        <v/>
      </c>
      <c r="EF155" s="30" t="str">
        <f t="shared" si="2429"/>
        <v/>
      </c>
      <c r="EG155" s="30" t="str">
        <f t="shared" si="2430"/>
        <v/>
      </c>
      <c r="EH155" s="30" t="str">
        <f t="shared" si="2431"/>
        <v/>
      </c>
      <c r="EI155" s="30" t="str">
        <f t="shared" si="2432"/>
        <v/>
      </c>
      <c r="EJ155" s="30" t="str">
        <f t="shared" si="2433"/>
        <v/>
      </c>
      <c r="EK155" s="30" t="str">
        <f t="shared" si="2434"/>
        <v/>
      </c>
      <c r="EL155" s="30" t="str">
        <f t="shared" si="2435"/>
        <v/>
      </c>
      <c r="EM155" s="30" t="str">
        <f t="shared" si="2436"/>
        <v/>
      </c>
      <c r="EN155" s="30" t="str">
        <f t="shared" si="2437"/>
        <v/>
      </c>
      <c r="EO155" s="30" t="str">
        <f t="shared" si="2438"/>
        <v/>
      </c>
      <c r="EP155" s="30" t="str">
        <f t="shared" si="2439"/>
        <v/>
      </c>
      <c r="EQ155" s="30" t="str">
        <f t="shared" si="2440"/>
        <v/>
      </c>
      <c r="ER155" s="30" t="str">
        <f t="shared" si="2441"/>
        <v/>
      </c>
      <c r="ES155" s="30" t="str">
        <f t="shared" si="2442"/>
        <v/>
      </c>
      <c r="ET155" s="30" t="str">
        <f t="shared" si="2443"/>
        <v/>
      </c>
      <c r="EU155" s="30" t="str">
        <f t="shared" si="2444"/>
        <v/>
      </c>
      <c r="EV155" s="30" t="str">
        <f t="shared" si="2445"/>
        <v/>
      </c>
      <c r="EW155" s="30" t="str">
        <f t="shared" si="2446"/>
        <v/>
      </c>
      <c r="EX155" s="30" t="str">
        <f t="shared" si="2447"/>
        <v/>
      </c>
      <c r="EY155" s="30" t="str">
        <f t="shared" si="2448"/>
        <v/>
      </c>
      <c r="EZ155" s="30" t="str">
        <f t="shared" si="2449"/>
        <v/>
      </c>
      <c r="FA155" s="30" t="str">
        <f t="shared" si="2450"/>
        <v/>
      </c>
      <c r="FB155" s="30" t="str">
        <f t="shared" si="2451"/>
        <v/>
      </c>
      <c r="FC155" s="30" t="str">
        <f t="shared" si="2452"/>
        <v/>
      </c>
      <c r="FD155" s="30" t="str">
        <f t="shared" si="2453"/>
        <v/>
      </c>
      <c r="FE155" s="30" t="str">
        <f t="shared" si="2454"/>
        <v/>
      </c>
      <c r="FF155" s="30" t="str">
        <f t="shared" si="2455"/>
        <v/>
      </c>
      <c r="FG155" s="30" t="str">
        <f t="shared" si="2456"/>
        <v/>
      </c>
      <c r="FH155" s="30" t="str">
        <f t="shared" si="2457"/>
        <v/>
      </c>
      <c r="FI155" s="30" t="str">
        <f t="shared" si="2458"/>
        <v/>
      </c>
      <c r="FJ155" s="30" t="str">
        <f t="shared" si="2459"/>
        <v/>
      </c>
      <c r="FK155" s="30" t="str">
        <f t="shared" si="2460"/>
        <v/>
      </c>
      <c r="FL155" s="30" t="str">
        <f t="shared" si="2461"/>
        <v/>
      </c>
      <c r="FM155" s="30" t="str">
        <f t="shared" si="2462"/>
        <v/>
      </c>
      <c r="FN155" s="30" t="str">
        <f t="shared" si="2463"/>
        <v/>
      </c>
      <c r="FO155" s="30" t="str">
        <f t="shared" si="2464"/>
        <v/>
      </c>
      <c r="FP155" s="30" t="str">
        <f t="shared" si="2465"/>
        <v/>
      </c>
      <c r="FQ155" s="30" t="str">
        <f t="shared" si="2466"/>
        <v/>
      </c>
      <c r="FR155" s="30" t="str">
        <f t="shared" si="2467"/>
        <v/>
      </c>
      <c r="FS155" s="30" t="str">
        <f t="shared" si="2468"/>
        <v/>
      </c>
    </row>
    <row r="156" spans="1:175" ht="16.5">
      <c r="A156" s="88"/>
      <c r="B156" s="66"/>
      <c r="C156" s="88"/>
      <c r="T156" s="109"/>
      <c r="U156" s="32"/>
      <c r="CN156" s="7" t="str">
        <f t="shared" si="2469"/>
        <v>InitUnitState('',,,,,,,,,,)</v>
      </c>
      <c r="CO156" s="7" t="str">
        <f t="shared" si="2470"/>
        <v>InitUnitNormal('',,,,,,,,,,)</v>
      </c>
      <c r="CP156" s="7" t="str">
        <f t="shared" si="2471"/>
        <v>InitUnitMagic('',,,,,,,,,,)</v>
      </c>
      <c r="CQ156" s="7" t="str">
        <f t="shared" si="2472"/>
        <v>InitUnitAdd('',,,,,,,,,,)</v>
      </c>
      <c r="CR156" s="7" t="str">
        <f t="shared" si="2473"/>
        <v>InitEquipData('',,"",,,,,'','','','','','',"")</v>
      </c>
      <c r="CU156" s="45" t="str">
        <f t="shared" si="2398"/>
        <v>|n</v>
      </c>
      <c r="CW156" s="24"/>
      <c r="CX156" s="24"/>
      <c r="CY156" s="24"/>
      <c r="CZ156" s="24"/>
      <c r="DA156" s="24"/>
      <c r="DB156" s="30" t="str">
        <f t="shared" si="2399"/>
        <v/>
      </c>
      <c r="DC156" s="30" t="str">
        <f t="shared" si="2400"/>
        <v/>
      </c>
      <c r="DD156" s="30" t="str">
        <f t="shared" si="2401"/>
        <v/>
      </c>
      <c r="DE156" s="30" t="str">
        <f t="shared" si="2402"/>
        <v/>
      </c>
      <c r="DF156" s="30" t="str">
        <f t="shared" si="2403"/>
        <v/>
      </c>
      <c r="DG156" s="30" t="str">
        <f t="shared" si="2404"/>
        <v/>
      </c>
      <c r="DH156" s="30" t="str">
        <f t="shared" si="2405"/>
        <v/>
      </c>
      <c r="DI156" s="30" t="str">
        <f t="shared" si="2406"/>
        <v/>
      </c>
      <c r="DJ156" s="30" t="str">
        <f t="shared" si="2407"/>
        <v/>
      </c>
      <c r="DK156" s="30" t="str">
        <f t="shared" si="2408"/>
        <v/>
      </c>
      <c r="DL156" s="30" t="str">
        <f t="shared" si="2409"/>
        <v/>
      </c>
      <c r="DM156" s="30" t="str">
        <f t="shared" si="2410"/>
        <v/>
      </c>
      <c r="DN156" s="30" t="str">
        <f t="shared" si="2411"/>
        <v/>
      </c>
      <c r="DO156" s="30" t="str">
        <f t="shared" si="2412"/>
        <v/>
      </c>
      <c r="DP156" s="30" t="str">
        <f t="shared" si="2413"/>
        <v/>
      </c>
      <c r="DQ156" s="30" t="str">
        <f t="shared" si="2414"/>
        <v/>
      </c>
      <c r="DR156" s="30" t="str">
        <f t="shared" si="2415"/>
        <v/>
      </c>
      <c r="DS156" s="30" t="str">
        <f t="shared" si="2416"/>
        <v/>
      </c>
      <c r="DT156" s="30" t="str">
        <f t="shared" si="2417"/>
        <v/>
      </c>
      <c r="DU156" s="30" t="str">
        <f t="shared" si="2418"/>
        <v/>
      </c>
      <c r="DV156" s="30" t="str">
        <f t="shared" si="2419"/>
        <v/>
      </c>
      <c r="DW156" s="30" t="str">
        <f t="shared" si="2420"/>
        <v/>
      </c>
      <c r="DX156" s="30" t="str">
        <f t="shared" si="2421"/>
        <v/>
      </c>
      <c r="DY156" s="30" t="str">
        <f t="shared" si="2422"/>
        <v/>
      </c>
      <c r="DZ156" s="30" t="str">
        <f t="shared" si="2423"/>
        <v/>
      </c>
      <c r="EA156" s="30" t="str">
        <f t="shared" si="2424"/>
        <v/>
      </c>
      <c r="EB156" s="30" t="str">
        <f t="shared" si="2425"/>
        <v/>
      </c>
      <c r="EC156" s="30" t="str">
        <f t="shared" si="2426"/>
        <v/>
      </c>
      <c r="ED156" s="30" t="str">
        <f t="shared" si="2427"/>
        <v/>
      </c>
      <c r="EE156" s="30" t="str">
        <f t="shared" si="2428"/>
        <v/>
      </c>
      <c r="EF156" s="30" t="str">
        <f t="shared" si="2429"/>
        <v/>
      </c>
      <c r="EG156" s="30" t="str">
        <f t="shared" si="2430"/>
        <v/>
      </c>
      <c r="EH156" s="30" t="str">
        <f t="shared" si="2431"/>
        <v/>
      </c>
      <c r="EI156" s="30" t="str">
        <f t="shared" si="2432"/>
        <v/>
      </c>
      <c r="EJ156" s="30" t="str">
        <f t="shared" si="2433"/>
        <v/>
      </c>
      <c r="EK156" s="30" t="str">
        <f t="shared" si="2434"/>
        <v/>
      </c>
      <c r="EL156" s="30" t="str">
        <f t="shared" si="2435"/>
        <v/>
      </c>
      <c r="EM156" s="30" t="str">
        <f t="shared" si="2436"/>
        <v/>
      </c>
      <c r="EN156" s="30" t="str">
        <f t="shared" si="2437"/>
        <v/>
      </c>
      <c r="EO156" s="30" t="str">
        <f t="shared" si="2438"/>
        <v/>
      </c>
      <c r="EP156" s="30" t="str">
        <f t="shared" si="2439"/>
        <v/>
      </c>
      <c r="EQ156" s="30" t="str">
        <f t="shared" si="2440"/>
        <v/>
      </c>
      <c r="ER156" s="30" t="str">
        <f t="shared" si="2441"/>
        <v/>
      </c>
      <c r="ES156" s="30" t="str">
        <f t="shared" si="2442"/>
        <v/>
      </c>
      <c r="ET156" s="30" t="str">
        <f t="shared" si="2443"/>
        <v/>
      </c>
      <c r="EU156" s="30" t="str">
        <f t="shared" si="2444"/>
        <v/>
      </c>
      <c r="EV156" s="30" t="str">
        <f t="shared" si="2445"/>
        <v/>
      </c>
      <c r="EW156" s="30" t="str">
        <f t="shared" si="2446"/>
        <v/>
      </c>
      <c r="EX156" s="30" t="str">
        <f t="shared" si="2447"/>
        <v/>
      </c>
      <c r="EY156" s="30" t="str">
        <f t="shared" si="2448"/>
        <v/>
      </c>
      <c r="EZ156" s="30" t="str">
        <f t="shared" si="2449"/>
        <v/>
      </c>
      <c r="FA156" s="30" t="str">
        <f t="shared" si="2450"/>
        <v/>
      </c>
      <c r="FB156" s="30" t="str">
        <f t="shared" si="2451"/>
        <v/>
      </c>
      <c r="FC156" s="30" t="str">
        <f t="shared" si="2452"/>
        <v/>
      </c>
      <c r="FD156" s="30" t="str">
        <f t="shared" si="2453"/>
        <v/>
      </c>
      <c r="FE156" s="30" t="str">
        <f t="shared" si="2454"/>
        <v/>
      </c>
      <c r="FF156" s="30" t="str">
        <f t="shared" si="2455"/>
        <v/>
      </c>
      <c r="FG156" s="30" t="str">
        <f t="shared" si="2456"/>
        <v/>
      </c>
      <c r="FH156" s="30" t="str">
        <f t="shared" si="2457"/>
        <v/>
      </c>
      <c r="FI156" s="30" t="str">
        <f t="shared" si="2458"/>
        <v/>
      </c>
      <c r="FJ156" s="30" t="str">
        <f t="shared" si="2459"/>
        <v/>
      </c>
      <c r="FK156" s="30" t="str">
        <f t="shared" si="2460"/>
        <v/>
      </c>
      <c r="FL156" s="30" t="str">
        <f t="shared" si="2461"/>
        <v/>
      </c>
      <c r="FM156" s="30" t="str">
        <f t="shared" si="2462"/>
        <v/>
      </c>
      <c r="FN156" s="30" t="str">
        <f t="shared" si="2463"/>
        <v/>
      </c>
      <c r="FO156" s="30" t="str">
        <f t="shared" si="2464"/>
        <v/>
      </c>
      <c r="FP156" s="30" t="str">
        <f t="shared" si="2465"/>
        <v/>
      </c>
      <c r="FQ156" s="30" t="str">
        <f t="shared" si="2466"/>
        <v/>
      </c>
      <c r="FR156" s="30" t="str">
        <f t="shared" si="2467"/>
        <v/>
      </c>
      <c r="FS156" s="30" t="str">
        <f t="shared" si="2468"/>
        <v/>
      </c>
    </row>
    <row r="157" spans="1:175" ht="16.5">
      <c r="A157" s="88"/>
      <c r="B157" s="66"/>
      <c r="C157" s="88"/>
      <c r="T157" s="109"/>
      <c r="U157" s="32"/>
      <c r="CN157" s="7" t="str">
        <f t="shared" si="2469"/>
        <v>InitUnitState('',,,,,,,,,,)</v>
      </c>
      <c r="CO157" s="7" t="str">
        <f t="shared" si="2470"/>
        <v>InitUnitNormal('',,,,,,,,,,)</v>
      </c>
      <c r="CP157" s="7" t="str">
        <f t="shared" si="2471"/>
        <v>InitUnitMagic('',,,,,,,,,,)</v>
      </c>
      <c r="CQ157" s="7" t="str">
        <f t="shared" si="2472"/>
        <v>InitUnitAdd('',,,,,,,,,,)</v>
      </c>
      <c r="CR157" s="7" t="str">
        <f t="shared" si="2473"/>
        <v>InitEquipData('',,"",,,,,'','','','','','',"")</v>
      </c>
      <c r="CU157" s="45" t="str">
        <f t="shared" si="2398"/>
        <v>|n</v>
      </c>
      <c r="CW157" s="24"/>
      <c r="CX157" s="24"/>
      <c r="CY157" s="24"/>
      <c r="CZ157" s="24"/>
      <c r="DA157" s="24"/>
      <c r="DB157" s="30" t="str">
        <f t="shared" si="2399"/>
        <v/>
      </c>
      <c r="DC157" s="30" t="str">
        <f t="shared" si="2400"/>
        <v/>
      </c>
      <c r="DD157" s="30" t="str">
        <f t="shared" si="2401"/>
        <v/>
      </c>
      <c r="DE157" s="30" t="str">
        <f t="shared" si="2402"/>
        <v/>
      </c>
      <c r="DF157" s="30" t="str">
        <f t="shared" si="2403"/>
        <v/>
      </c>
      <c r="DG157" s="30" t="str">
        <f t="shared" si="2404"/>
        <v/>
      </c>
      <c r="DH157" s="30" t="str">
        <f t="shared" si="2405"/>
        <v/>
      </c>
      <c r="DI157" s="30" t="str">
        <f t="shared" si="2406"/>
        <v/>
      </c>
      <c r="DJ157" s="30" t="str">
        <f t="shared" si="2407"/>
        <v/>
      </c>
      <c r="DK157" s="30" t="str">
        <f t="shared" si="2408"/>
        <v/>
      </c>
      <c r="DL157" s="30" t="str">
        <f t="shared" si="2409"/>
        <v/>
      </c>
      <c r="DM157" s="30" t="str">
        <f t="shared" si="2410"/>
        <v/>
      </c>
      <c r="DN157" s="30" t="str">
        <f t="shared" si="2411"/>
        <v/>
      </c>
      <c r="DO157" s="30" t="str">
        <f t="shared" si="2412"/>
        <v/>
      </c>
      <c r="DP157" s="30" t="str">
        <f t="shared" si="2413"/>
        <v/>
      </c>
      <c r="DQ157" s="30" t="str">
        <f t="shared" si="2414"/>
        <v/>
      </c>
      <c r="DR157" s="30" t="str">
        <f t="shared" si="2415"/>
        <v/>
      </c>
      <c r="DS157" s="30" t="str">
        <f t="shared" si="2416"/>
        <v/>
      </c>
      <c r="DT157" s="30" t="str">
        <f t="shared" si="2417"/>
        <v/>
      </c>
      <c r="DU157" s="30" t="str">
        <f t="shared" si="2418"/>
        <v/>
      </c>
      <c r="DV157" s="30" t="str">
        <f t="shared" si="2419"/>
        <v/>
      </c>
      <c r="DW157" s="30" t="str">
        <f t="shared" si="2420"/>
        <v/>
      </c>
      <c r="DX157" s="30" t="str">
        <f t="shared" si="2421"/>
        <v/>
      </c>
      <c r="DY157" s="30" t="str">
        <f t="shared" si="2422"/>
        <v/>
      </c>
      <c r="DZ157" s="30" t="str">
        <f t="shared" si="2423"/>
        <v/>
      </c>
      <c r="EA157" s="30" t="str">
        <f t="shared" si="2424"/>
        <v/>
      </c>
      <c r="EB157" s="30" t="str">
        <f t="shared" si="2425"/>
        <v/>
      </c>
      <c r="EC157" s="30" t="str">
        <f t="shared" si="2426"/>
        <v/>
      </c>
      <c r="ED157" s="30" t="str">
        <f t="shared" si="2427"/>
        <v/>
      </c>
      <c r="EE157" s="30" t="str">
        <f t="shared" si="2428"/>
        <v/>
      </c>
      <c r="EF157" s="30" t="str">
        <f t="shared" si="2429"/>
        <v/>
      </c>
      <c r="EG157" s="30" t="str">
        <f t="shared" si="2430"/>
        <v/>
      </c>
      <c r="EH157" s="30" t="str">
        <f t="shared" si="2431"/>
        <v/>
      </c>
      <c r="EI157" s="30" t="str">
        <f t="shared" si="2432"/>
        <v/>
      </c>
      <c r="EJ157" s="30" t="str">
        <f t="shared" si="2433"/>
        <v/>
      </c>
      <c r="EK157" s="30" t="str">
        <f t="shared" si="2434"/>
        <v/>
      </c>
      <c r="EL157" s="30" t="str">
        <f t="shared" si="2435"/>
        <v/>
      </c>
      <c r="EM157" s="30" t="str">
        <f t="shared" si="2436"/>
        <v/>
      </c>
      <c r="EN157" s="30" t="str">
        <f t="shared" si="2437"/>
        <v/>
      </c>
      <c r="EO157" s="30" t="str">
        <f t="shared" si="2438"/>
        <v/>
      </c>
      <c r="EP157" s="30" t="str">
        <f t="shared" si="2439"/>
        <v/>
      </c>
      <c r="EQ157" s="30" t="str">
        <f t="shared" si="2440"/>
        <v/>
      </c>
      <c r="ER157" s="30" t="str">
        <f t="shared" si="2441"/>
        <v/>
      </c>
      <c r="ES157" s="30" t="str">
        <f t="shared" si="2442"/>
        <v/>
      </c>
      <c r="ET157" s="30" t="str">
        <f t="shared" si="2443"/>
        <v/>
      </c>
      <c r="EU157" s="30" t="str">
        <f t="shared" si="2444"/>
        <v/>
      </c>
      <c r="EV157" s="30" t="str">
        <f t="shared" si="2445"/>
        <v/>
      </c>
      <c r="EW157" s="30" t="str">
        <f t="shared" si="2446"/>
        <v/>
      </c>
      <c r="EX157" s="30" t="str">
        <f t="shared" si="2447"/>
        <v/>
      </c>
      <c r="EY157" s="30" t="str">
        <f t="shared" si="2448"/>
        <v/>
      </c>
      <c r="EZ157" s="30" t="str">
        <f t="shared" si="2449"/>
        <v/>
      </c>
      <c r="FA157" s="30" t="str">
        <f t="shared" si="2450"/>
        <v/>
      </c>
      <c r="FB157" s="30" t="str">
        <f t="shared" si="2451"/>
        <v/>
      </c>
      <c r="FC157" s="30" t="str">
        <f t="shared" si="2452"/>
        <v/>
      </c>
      <c r="FD157" s="30" t="str">
        <f t="shared" si="2453"/>
        <v/>
      </c>
      <c r="FE157" s="30" t="str">
        <f t="shared" si="2454"/>
        <v/>
      </c>
      <c r="FF157" s="30" t="str">
        <f t="shared" si="2455"/>
        <v/>
      </c>
      <c r="FG157" s="30" t="str">
        <f t="shared" si="2456"/>
        <v/>
      </c>
      <c r="FH157" s="30" t="str">
        <f t="shared" si="2457"/>
        <v/>
      </c>
      <c r="FI157" s="30" t="str">
        <f t="shared" si="2458"/>
        <v/>
      </c>
      <c r="FJ157" s="30" t="str">
        <f t="shared" si="2459"/>
        <v/>
      </c>
      <c r="FK157" s="30" t="str">
        <f t="shared" si="2460"/>
        <v/>
      </c>
      <c r="FL157" s="30" t="str">
        <f t="shared" si="2461"/>
        <v/>
      </c>
      <c r="FM157" s="30" t="str">
        <f t="shared" si="2462"/>
        <v/>
      </c>
      <c r="FN157" s="30" t="str">
        <f t="shared" si="2463"/>
        <v/>
      </c>
      <c r="FO157" s="30" t="str">
        <f t="shared" si="2464"/>
        <v/>
      </c>
      <c r="FP157" s="30" t="str">
        <f t="shared" si="2465"/>
        <v/>
      </c>
      <c r="FQ157" s="30" t="str">
        <f t="shared" si="2466"/>
        <v/>
      </c>
      <c r="FR157" s="30" t="str">
        <f t="shared" si="2467"/>
        <v/>
      </c>
      <c r="FS157" s="30" t="str">
        <f t="shared" si="2468"/>
        <v/>
      </c>
    </row>
    <row r="158" spans="1:175">
      <c r="A158" s="66"/>
      <c r="B158" s="66"/>
      <c r="C158" s="66"/>
      <c r="T158" s="100"/>
      <c r="U158" s="32"/>
      <c r="CN158" s="7" t="str">
        <f t="shared" si="2469"/>
        <v>InitUnitState('',,,,,,,,,,)</v>
      </c>
      <c r="CO158" s="7" t="str">
        <f t="shared" si="2470"/>
        <v>InitUnitNormal('',,,,,,,,,,)</v>
      </c>
      <c r="CP158" s="7" t="str">
        <f t="shared" si="2471"/>
        <v>InitUnitMagic('',,,,,,,,,,)</v>
      </c>
      <c r="CQ158" s="7" t="str">
        <f t="shared" si="2472"/>
        <v>InitUnitAdd('',,,,,,,,,,)</v>
      </c>
      <c r="CR158" s="7" t="str">
        <f t="shared" si="2473"/>
        <v>InitEquipData('',,"",,,,,'','','','','','',"")</v>
      </c>
      <c r="CU158" s="45" t="str">
        <f t="shared" si="2398"/>
        <v>|n</v>
      </c>
      <c r="CW158" s="24"/>
      <c r="CX158" s="24"/>
      <c r="CY158" s="24"/>
      <c r="CZ158" s="24"/>
      <c r="DA158" s="24"/>
      <c r="DB158" s="30" t="str">
        <f t="shared" si="2399"/>
        <v/>
      </c>
      <c r="DC158" s="30" t="str">
        <f t="shared" si="2400"/>
        <v/>
      </c>
      <c r="DD158" s="30" t="str">
        <f t="shared" si="2401"/>
        <v/>
      </c>
      <c r="DE158" s="30" t="str">
        <f t="shared" si="2402"/>
        <v/>
      </c>
      <c r="DF158" s="30" t="str">
        <f t="shared" si="2403"/>
        <v/>
      </c>
      <c r="DG158" s="30" t="str">
        <f t="shared" si="2404"/>
        <v/>
      </c>
      <c r="DH158" s="30" t="str">
        <f t="shared" si="2405"/>
        <v/>
      </c>
      <c r="DI158" s="30" t="str">
        <f t="shared" si="2406"/>
        <v/>
      </c>
      <c r="DJ158" s="30" t="str">
        <f t="shared" si="2407"/>
        <v/>
      </c>
      <c r="DK158" s="30" t="str">
        <f t="shared" si="2408"/>
        <v/>
      </c>
      <c r="DL158" s="30" t="str">
        <f t="shared" si="2409"/>
        <v/>
      </c>
      <c r="DM158" s="30" t="str">
        <f t="shared" si="2410"/>
        <v/>
      </c>
      <c r="DN158" s="30" t="str">
        <f t="shared" si="2411"/>
        <v/>
      </c>
      <c r="DO158" s="30" t="str">
        <f t="shared" si="2412"/>
        <v/>
      </c>
      <c r="DP158" s="30" t="str">
        <f t="shared" si="2413"/>
        <v/>
      </c>
      <c r="DQ158" s="30" t="str">
        <f t="shared" si="2414"/>
        <v/>
      </c>
      <c r="DR158" s="30" t="str">
        <f t="shared" si="2415"/>
        <v/>
      </c>
      <c r="DS158" s="30" t="str">
        <f t="shared" si="2416"/>
        <v/>
      </c>
      <c r="DT158" s="30" t="str">
        <f t="shared" si="2417"/>
        <v/>
      </c>
      <c r="DU158" s="30" t="str">
        <f t="shared" si="2418"/>
        <v/>
      </c>
      <c r="DV158" s="30" t="str">
        <f t="shared" si="2419"/>
        <v/>
      </c>
      <c r="DW158" s="30" t="str">
        <f t="shared" si="2420"/>
        <v/>
      </c>
      <c r="DX158" s="30" t="str">
        <f t="shared" si="2421"/>
        <v/>
      </c>
      <c r="DY158" s="30" t="str">
        <f t="shared" si="2422"/>
        <v/>
      </c>
      <c r="DZ158" s="30" t="str">
        <f t="shared" si="2423"/>
        <v/>
      </c>
      <c r="EA158" s="30" t="str">
        <f t="shared" si="2424"/>
        <v/>
      </c>
      <c r="EB158" s="30" t="str">
        <f t="shared" si="2425"/>
        <v/>
      </c>
      <c r="EC158" s="30" t="str">
        <f t="shared" si="2426"/>
        <v/>
      </c>
      <c r="ED158" s="30" t="str">
        <f t="shared" si="2427"/>
        <v/>
      </c>
      <c r="EE158" s="30" t="str">
        <f t="shared" si="2428"/>
        <v/>
      </c>
      <c r="EF158" s="30" t="str">
        <f t="shared" si="2429"/>
        <v/>
      </c>
      <c r="EG158" s="30" t="str">
        <f t="shared" si="2430"/>
        <v/>
      </c>
      <c r="EH158" s="30" t="str">
        <f t="shared" si="2431"/>
        <v/>
      </c>
      <c r="EI158" s="30" t="str">
        <f t="shared" si="2432"/>
        <v/>
      </c>
      <c r="EJ158" s="30" t="str">
        <f t="shared" si="2433"/>
        <v/>
      </c>
      <c r="EK158" s="30" t="str">
        <f t="shared" si="2434"/>
        <v/>
      </c>
      <c r="EL158" s="30" t="str">
        <f t="shared" si="2435"/>
        <v/>
      </c>
      <c r="EM158" s="30" t="str">
        <f t="shared" si="2436"/>
        <v/>
      </c>
      <c r="EN158" s="30" t="str">
        <f t="shared" si="2437"/>
        <v/>
      </c>
      <c r="EO158" s="30" t="str">
        <f t="shared" si="2438"/>
        <v/>
      </c>
      <c r="EP158" s="30" t="str">
        <f t="shared" si="2439"/>
        <v/>
      </c>
      <c r="EQ158" s="30" t="str">
        <f t="shared" si="2440"/>
        <v/>
      </c>
      <c r="ER158" s="30" t="str">
        <f t="shared" si="2441"/>
        <v/>
      </c>
      <c r="ES158" s="30" t="str">
        <f t="shared" si="2442"/>
        <v/>
      </c>
      <c r="ET158" s="30" t="str">
        <f t="shared" si="2443"/>
        <v/>
      </c>
      <c r="EU158" s="30" t="str">
        <f t="shared" si="2444"/>
        <v/>
      </c>
      <c r="EV158" s="30" t="str">
        <f t="shared" si="2445"/>
        <v/>
      </c>
      <c r="EW158" s="30" t="str">
        <f t="shared" si="2446"/>
        <v/>
      </c>
      <c r="EX158" s="30" t="str">
        <f t="shared" si="2447"/>
        <v/>
      </c>
      <c r="EY158" s="30" t="str">
        <f t="shared" si="2448"/>
        <v/>
      </c>
      <c r="EZ158" s="30" t="str">
        <f t="shared" si="2449"/>
        <v/>
      </c>
      <c r="FA158" s="30" t="str">
        <f t="shared" si="2450"/>
        <v/>
      </c>
      <c r="FB158" s="30" t="str">
        <f t="shared" si="2451"/>
        <v/>
      </c>
      <c r="FC158" s="30" t="str">
        <f t="shared" si="2452"/>
        <v/>
      </c>
      <c r="FD158" s="30" t="str">
        <f t="shared" si="2453"/>
        <v/>
      </c>
      <c r="FE158" s="30" t="str">
        <f t="shared" si="2454"/>
        <v/>
      </c>
      <c r="FF158" s="30" t="str">
        <f t="shared" si="2455"/>
        <v/>
      </c>
      <c r="FG158" s="30" t="str">
        <f t="shared" si="2456"/>
        <v/>
      </c>
      <c r="FH158" s="30" t="str">
        <f t="shared" si="2457"/>
        <v/>
      </c>
      <c r="FI158" s="30" t="str">
        <f t="shared" si="2458"/>
        <v/>
      </c>
      <c r="FJ158" s="30" t="str">
        <f t="shared" si="2459"/>
        <v/>
      </c>
      <c r="FK158" s="30" t="str">
        <f t="shared" si="2460"/>
        <v/>
      </c>
      <c r="FL158" s="30" t="str">
        <f t="shared" si="2461"/>
        <v/>
      </c>
      <c r="FM158" s="30" t="str">
        <f t="shared" si="2462"/>
        <v/>
      </c>
      <c r="FN158" s="30" t="str">
        <f t="shared" si="2463"/>
        <v/>
      </c>
      <c r="FO158" s="30" t="str">
        <f t="shared" si="2464"/>
        <v/>
      </c>
      <c r="FP158" s="30" t="str">
        <f t="shared" si="2465"/>
        <v/>
      </c>
      <c r="FQ158" s="30" t="str">
        <f t="shared" si="2466"/>
        <v/>
      </c>
      <c r="FR158" s="30" t="str">
        <f t="shared" si="2467"/>
        <v/>
      </c>
      <c r="FS158" s="30" t="str">
        <f t="shared" si="2468"/>
        <v/>
      </c>
    </row>
    <row r="159" spans="1:175">
      <c r="A159" s="66"/>
      <c r="B159" s="66"/>
      <c r="C159" s="66"/>
      <c r="T159" s="100"/>
      <c r="U159" s="32"/>
      <c r="CN159" s="7" t="str">
        <f t="shared" si="2469"/>
        <v>InitUnitState('',,,,,,,,,,)</v>
      </c>
      <c r="CO159" s="7" t="str">
        <f t="shared" si="2470"/>
        <v>InitUnitNormal('',,,,,,,,,,)</v>
      </c>
      <c r="CP159" s="7" t="str">
        <f t="shared" si="2471"/>
        <v>InitUnitMagic('',,,,,,,,,,)</v>
      </c>
      <c r="CQ159" s="7" t="str">
        <f t="shared" si="2472"/>
        <v>InitUnitAdd('',,,,,,,,,,)</v>
      </c>
      <c r="CR159" s="7" t="str">
        <f t="shared" si="2473"/>
        <v>InitEquipData('',,"",,,,,'','','','','','',"")</v>
      </c>
      <c r="CU159" s="45" t="str">
        <f t="shared" si="2398"/>
        <v>|n</v>
      </c>
      <c r="CW159" s="24"/>
      <c r="CX159" s="24"/>
      <c r="CY159" s="24"/>
      <c r="CZ159" s="24"/>
      <c r="DA159" s="24"/>
      <c r="DB159" s="30" t="str">
        <f t="shared" si="2399"/>
        <v/>
      </c>
      <c r="DC159" s="30" t="str">
        <f t="shared" si="2400"/>
        <v/>
      </c>
      <c r="DD159" s="30" t="str">
        <f t="shared" si="2401"/>
        <v/>
      </c>
      <c r="DE159" s="30" t="str">
        <f t="shared" si="2402"/>
        <v/>
      </c>
      <c r="DF159" s="30" t="str">
        <f t="shared" si="2403"/>
        <v/>
      </c>
      <c r="DG159" s="30" t="str">
        <f t="shared" si="2404"/>
        <v/>
      </c>
      <c r="DH159" s="30" t="str">
        <f t="shared" si="2405"/>
        <v/>
      </c>
      <c r="DI159" s="30" t="str">
        <f t="shared" si="2406"/>
        <v/>
      </c>
      <c r="DJ159" s="30" t="str">
        <f t="shared" si="2407"/>
        <v/>
      </c>
      <c r="DK159" s="30" t="str">
        <f t="shared" si="2408"/>
        <v/>
      </c>
      <c r="DL159" s="30" t="str">
        <f t="shared" si="2409"/>
        <v/>
      </c>
      <c r="DM159" s="30" t="str">
        <f t="shared" si="2410"/>
        <v/>
      </c>
      <c r="DN159" s="30" t="str">
        <f t="shared" si="2411"/>
        <v/>
      </c>
      <c r="DO159" s="30" t="str">
        <f t="shared" si="2412"/>
        <v/>
      </c>
      <c r="DP159" s="30" t="str">
        <f t="shared" si="2413"/>
        <v/>
      </c>
      <c r="DQ159" s="30" t="str">
        <f t="shared" si="2414"/>
        <v/>
      </c>
      <c r="DR159" s="30" t="str">
        <f t="shared" si="2415"/>
        <v/>
      </c>
      <c r="DS159" s="30" t="str">
        <f t="shared" si="2416"/>
        <v/>
      </c>
      <c r="DT159" s="30" t="str">
        <f t="shared" si="2417"/>
        <v/>
      </c>
      <c r="DU159" s="30" t="str">
        <f t="shared" si="2418"/>
        <v/>
      </c>
      <c r="DV159" s="30" t="str">
        <f t="shared" si="2419"/>
        <v/>
      </c>
      <c r="DW159" s="30" t="str">
        <f t="shared" si="2420"/>
        <v/>
      </c>
      <c r="DX159" s="30" t="str">
        <f t="shared" si="2421"/>
        <v/>
      </c>
      <c r="DY159" s="30" t="str">
        <f t="shared" si="2422"/>
        <v/>
      </c>
      <c r="DZ159" s="30" t="str">
        <f t="shared" si="2423"/>
        <v/>
      </c>
      <c r="EA159" s="30" t="str">
        <f t="shared" si="2424"/>
        <v/>
      </c>
      <c r="EB159" s="30" t="str">
        <f t="shared" si="2425"/>
        <v/>
      </c>
      <c r="EC159" s="30" t="str">
        <f t="shared" si="2426"/>
        <v/>
      </c>
      <c r="ED159" s="30" t="str">
        <f t="shared" si="2427"/>
        <v/>
      </c>
      <c r="EE159" s="30" t="str">
        <f t="shared" si="2428"/>
        <v/>
      </c>
      <c r="EF159" s="30" t="str">
        <f t="shared" si="2429"/>
        <v/>
      </c>
      <c r="EG159" s="30" t="str">
        <f t="shared" si="2430"/>
        <v/>
      </c>
      <c r="EH159" s="30" t="str">
        <f t="shared" si="2431"/>
        <v/>
      </c>
      <c r="EI159" s="30" t="str">
        <f t="shared" si="2432"/>
        <v/>
      </c>
      <c r="EJ159" s="30" t="str">
        <f t="shared" si="2433"/>
        <v/>
      </c>
      <c r="EK159" s="30" t="str">
        <f t="shared" si="2434"/>
        <v/>
      </c>
      <c r="EL159" s="30" t="str">
        <f t="shared" si="2435"/>
        <v/>
      </c>
      <c r="EM159" s="30" t="str">
        <f t="shared" si="2436"/>
        <v/>
      </c>
      <c r="EN159" s="30" t="str">
        <f t="shared" si="2437"/>
        <v/>
      </c>
      <c r="EO159" s="30" t="str">
        <f t="shared" si="2438"/>
        <v/>
      </c>
      <c r="EP159" s="30" t="str">
        <f t="shared" si="2439"/>
        <v/>
      </c>
      <c r="EQ159" s="30" t="str">
        <f t="shared" si="2440"/>
        <v/>
      </c>
      <c r="ER159" s="30" t="str">
        <f t="shared" si="2441"/>
        <v/>
      </c>
      <c r="ES159" s="30" t="str">
        <f t="shared" si="2442"/>
        <v/>
      </c>
      <c r="ET159" s="30" t="str">
        <f t="shared" si="2443"/>
        <v/>
      </c>
      <c r="EU159" s="30" t="str">
        <f t="shared" si="2444"/>
        <v/>
      </c>
      <c r="EV159" s="30" t="str">
        <f t="shared" si="2445"/>
        <v/>
      </c>
      <c r="EW159" s="30" t="str">
        <f t="shared" si="2446"/>
        <v/>
      </c>
      <c r="EX159" s="30" t="str">
        <f t="shared" si="2447"/>
        <v/>
      </c>
      <c r="EY159" s="30" t="str">
        <f t="shared" si="2448"/>
        <v/>
      </c>
      <c r="EZ159" s="30" t="str">
        <f t="shared" si="2449"/>
        <v/>
      </c>
      <c r="FA159" s="30" t="str">
        <f t="shared" si="2450"/>
        <v/>
      </c>
      <c r="FB159" s="30" t="str">
        <f t="shared" si="2451"/>
        <v/>
      </c>
      <c r="FC159" s="30" t="str">
        <f t="shared" si="2452"/>
        <v/>
      </c>
      <c r="FD159" s="30" t="str">
        <f t="shared" si="2453"/>
        <v/>
      </c>
      <c r="FE159" s="30" t="str">
        <f t="shared" si="2454"/>
        <v/>
      </c>
      <c r="FF159" s="30" t="str">
        <f t="shared" si="2455"/>
        <v/>
      </c>
      <c r="FG159" s="30" t="str">
        <f t="shared" si="2456"/>
        <v/>
      </c>
      <c r="FH159" s="30" t="str">
        <f t="shared" si="2457"/>
        <v/>
      </c>
      <c r="FI159" s="30" t="str">
        <f t="shared" si="2458"/>
        <v/>
      </c>
      <c r="FJ159" s="30" t="str">
        <f t="shared" si="2459"/>
        <v/>
      </c>
      <c r="FK159" s="30" t="str">
        <f t="shared" si="2460"/>
        <v/>
      </c>
      <c r="FL159" s="30" t="str">
        <f t="shared" si="2461"/>
        <v/>
      </c>
      <c r="FM159" s="30" t="str">
        <f t="shared" si="2462"/>
        <v/>
      </c>
      <c r="FN159" s="30" t="str">
        <f t="shared" si="2463"/>
        <v/>
      </c>
      <c r="FO159" s="30" t="str">
        <f t="shared" si="2464"/>
        <v/>
      </c>
      <c r="FP159" s="30" t="str">
        <f t="shared" si="2465"/>
        <v/>
      </c>
      <c r="FQ159" s="30" t="str">
        <f t="shared" si="2466"/>
        <v/>
      </c>
      <c r="FR159" s="30" t="str">
        <f t="shared" si="2467"/>
        <v/>
      </c>
      <c r="FS159" s="30" t="str">
        <f t="shared" si="2468"/>
        <v/>
      </c>
    </row>
    <row r="160" spans="1:175">
      <c r="A160" s="66"/>
      <c r="B160" s="66"/>
      <c r="C160" s="66"/>
      <c r="T160" s="100"/>
      <c r="U160" s="32"/>
      <c r="CN160" s="7" t="str">
        <f t="shared" si="2469"/>
        <v>InitUnitState('',,,,,,,,,,)</v>
      </c>
      <c r="CO160" s="7" t="str">
        <f t="shared" si="2470"/>
        <v>InitUnitNormal('',,,,,,,,,,)</v>
      </c>
      <c r="CP160" s="7" t="str">
        <f t="shared" si="2471"/>
        <v>InitUnitMagic('',,,,,,,,,,)</v>
      </c>
      <c r="CQ160" s="7" t="str">
        <f t="shared" si="2472"/>
        <v>InitUnitAdd('',,,,,,,,,,)</v>
      </c>
      <c r="CR160" s="7" t="str">
        <f t="shared" si="2473"/>
        <v>InitEquipData('',,"",,,,,'','','','','','',"")</v>
      </c>
      <c r="CU160" s="45" t="str">
        <f t="shared" si="2398"/>
        <v>|n</v>
      </c>
      <c r="CW160" s="24"/>
      <c r="CX160" s="24"/>
      <c r="CY160" s="24"/>
      <c r="CZ160" s="24"/>
      <c r="DA160" s="24"/>
      <c r="DB160" s="30" t="str">
        <f t="shared" si="2399"/>
        <v/>
      </c>
      <c r="DC160" s="30" t="str">
        <f t="shared" si="2400"/>
        <v/>
      </c>
      <c r="DD160" s="30" t="str">
        <f t="shared" si="2401"/>
        <v/>
      </c>
      <c r="DE160" s="30" t="str">
        <f t="shared" si="2402"/>
        <v/>
      </c>
      <c r="DF160" s="30" t="str">
        <f t="shared" si="2403"/>
        <v/>
      </c>
      <c r="DG160" s="30" t="str">
        <f t="shared" si="2404"/>
        <v/>
      </c>
      <c r="DH160" s="30" t="str">
        <f t="shared" si="2405"/>
        <v/>
      </c>
      <c r="DI160" s="30" t="str">
        <f t="shared" si="2406"/>
        <v/>
      </c>
      <c r="DJ160" s="30" t="str">
        <f t="shared" si="2407"/>
        <v/>
      </c>
      <c r="DK160" s="30" t="str">
        <f t="shared" si="2408"/>
        <v/>
      </c>
      <c r="DL160" s="30" t="str">
        <f t="shared" si="2409"/>
        <v/>
      </c>
      <c r="DM160" s="30" t="str">
        <f t="shared" si="2410"/>
        <v/>
      </c>
      <c r="DN160" s="30" t="str">
        <f t="shared" si="2411"/>
        <v/>
      </c>
      <c r="DO160" s="30" t="str">
        <f t="shared" si="2412"/>
        <v/>
      </c>
      <c r="DP160" s="30" t="str">
        <f t="shared" si="2413"/>
        <v/>
      </c>
      <c r="DQ160" s="30" t="str">
        <f t="shared" si="2414"/>
        <v/>
      </c>
      <c r="DR160" s="30" t="str">
        <f t="shared" si="2415"/>
        <v/>
      </c>
      <c r="DS160" s="30" t="str">
        <f t="shared" si="2416"/>
        <v/>
      </c>
      <c r="DT160" s="30" t="str">
        <f t="shared" si="2417"/>
        <v/>
      </c>
      <c r="DU160" s="30" t="str">
        <f t="shared" si="2418"/>
        <v/>
      </c>
      <c r="DV160" s="30" t="str">
        <f t="shared" si="2419"/>
        <v/>
      </c>
      <c r="DW160" s="30" t="str">
        <f t="shared" si="2420"/>
        <v/>
      </c>
      <c r="DX160" s="30" t="str">
        <f t="shared" si="2421"/>
        <v/>
      </c>
      <c r="DY160" s="30" t="str">
        <f t="shared" si="2422"/>
        <v/>
      </c>
      <c r="DZ160" s="30" t="str">
        <f t="shared" si="2423"/>
        <v/>
      </c>
      <c r="EA160" s="30" t="str">
        <f t="shared" si="2424"/>
        <v/>
      </c>
      <c r="EB160" s="30" t="str">
        <f t="shared" si="2425"/>
        <v/>
      </c>
      <c r="EC160" s="30" t="str">
        <f t="shared" si="2426"/>
        <v/>
      </c>
      <c r="ED160" s="30" t="str">
        <f t="shared" si="2427"/>
        <v/>
      </c>
      <c r="EE160" s="30" t="str">
        <f t="shared" si="2428"/>
        <v/>
      </c>
      <c r="EF160" s="30" t="str">
        <f t="shared" si="2429"/>
        <v/>
      </c>
      <c r="EG160" s="30" t="str">
        <f t="shared" si="2430"/>
        <v/>
      </c>
      <c r="EH160" s="30" t="str">
        <f t="shared" si="2431"/>
        <v/>
      </c>
      <c r="EI160" s="30" t="str">
        <f t="shared" si="2432"/>
        <v/>
      </c>
      <c r="EJ160" s="30" t="str">
        <f t="shared" si="2433"/>
        <v/>
      </c>
      <c r="EK160" s="30" t="str">
        <f t="shared" si="2434"/>
        <v/>
      </c>
      <c r="EL160" s="30" t="str">
        <f t="shared" si="2435"/>
        <v/>
      </c>
      <c r="EM160" s="30" t="str">
        <f t="shared" si="2436"/>
        <v/>
      </c>
      <c r="EN160" s="30" t="str">
        <f t="shared" si="2437"/>
        <v/>
      </c>
      <c r="EO160" s="30" t="str">
        <f t="shared" si="2438"/>
        <v/>
      </c>
      <c r="EP160" s="30" t="str">
        <f t="shared" si="2439"/>
        <v/>
      </c>
      <c r="EQ160" s="30" t="str">
        <f t="shared" si="2440"/>
        <v/>
      </c>
      <c r="ER160" s="30" t="str">
        <f t="shared" si="2441"/>
        <v/>
      </c>
      <c r="ES160" s="30" t="str">
        <f t="shared" si="2442"/>
        <v/>
      </c>
      <c r="ET160" s="30" t="str">
        <f t="shared" si="2443"/>
        <v/>
      </c>
      <c r="EU160" s="30" t="str">
        <f t="shared" si="2444"/>
        <v/>
      </c>
      <c r="EV160" s="30" t="str">
        <f t="shared" si="2445"/>
        <v/>
      </c>
      <c r="EW160" s="30" t="str">
        <f t="shared" si="2446"/>
        <v/>
      </c>
      <c r="EX160" s="30" t="str">
        <f t="shared" si="2447"/>
        <v/>
      </c>
      <c r="EY160" s="30" t="str">
        <f t="shared" si="2448"/>
        <v/>
      </c>
      <c r="EZ160" s="30" t="str">
        <f t="shared" si="2449"/>
        <v/>
      </c>
      <c r="FA160" s="30" t="str">
        <f t="shared" si="2450"/>
        <v/>
      </c>
      <c r="FB160" s="30" t="str">
        <f t="shared" si="2451"/>
        <v/>
      </c>
      <c r="FC160" s="30" t="str">
        <f t="shared" si="2452"/>
        <v/>
      </c>
      <c r="FD160" s="30" t="str">
        <f t="shared" si="2453"/>
        <v/>
      </c>
      <c r="FE160" s="30" t="str">
        <f t="shared" si="2454"/>
        <v/>
      </c>
      <c r="FF160" s="30" t="str">
        <f t="shared" si="2455"/>
        <v/>
      </c>
      <c r="FG160" s="30" t="str">
        <f t="shared" si="2456"/>
        <v/>
      </c>
      <c r="FH160" s="30" t="str">
        <f t="shared" si="2457"/>
        <v/>
      </c>
      <c r="FI160" s="30" t="str">
        <f t="shared" si="2458"/>
        <v/>
      </c>
      <c r="FJ160" s="30" t="str">
        <f t="shared" si="2459"/>
        <v/>
      </c>
      <c r="FK160" s="30" t="str">
        <f t="shared" si="2460"/>
        <v/>
      </c>
      <c r="FL160" s="30" t="str">
        <f t="shared" si="2461"/>
        <v/>
      </c>
      <c r="FM160" s="30" t="str">
        <f t="shared" si="2462"/>
        <v/>
      </c>
      <c r="FN160" s="30" t="str">
        <f t="shared" si="2463"/>
        <v/>
      </c>
      <c r="FO160" s="30" t="str">
        <f t="shared" si="2464"/>
        <v/>
      </c>
      <c r="FP160" s="30" t="str">
        <f t="shared" si="2465"/>
        <v/>
      </c>
      <c r="FQ160" s="30" t="str">
        <f t="shared" si="2466"/>
        <v/>
      </c>
      <c r="FR160" s="30" t="str">
        <f t="shared" si="2467"/>
        <v/>
      </c>
      <c r="FS160" s="30" t="str">
        <f t="shared" si="2468"/>
        <v/>
      </c>
    </row>
    <row r="161" spans="1:175">
      <c r="A161" s="66"/>
      <c r="B161" s="66"/>
      <c r="C161" s="66"/>
      <c r="T161" s="100"/>
      <c r="U161" s="32"/>
      <c r="CN161" s="7" t="str">
        <f t="shared" si="2469"/>
        <v>InitUnitState('',,,,,,,,,,)</v>
      </c>
      <c r="CO161" s="7" t="str">
        <f t="shared" si="2470"/>
        <v>InitUnitNormal('',,,,,,,,,,)</v>
      </c>
      <c r="CP161" s="7" t="str">
        <f t="shared" si="2471"/>
        <v>InitUnitMagic('',,,,,,,,,,)</v>
      </c>
      <c r="CQ161" s="7" t="str">
        <f t="shared" si="2472"/>
        <v>InitUnitAdd('',,,,,,,,,,)</v>
      </c>
      <c r="CR161" s="7" t="str">
        <f t="shared" si="2473"/>
        <v>InitEquipData('',,"",,,,,'','','','','','',"")</v>
      </c>
      <c r="CU161" s="45" t="str">
        <f t="shared" ref="CU161:CU202" si="2474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W161" s="24"/>
      <c r="CX161" s="24"/>
      <c r="CY161" s="24"/>
      <c r="CZ161" s="24"/>
      <c r="DA161" s="24"/>
      <c r="DB161" s="30" t="str">
        <f t="shared" ref="DB161:DB202" si="2475">IF(V161="","","|n"&amp;DB$2&amp;"+"&amp;V161&amp;DB$1)</f>
        <v/>
      </c>
      <c r="DC161" s="30" t="str">
        <f t="shared" ref="DC161:DC202" si="2476">IF(W161="","","|n"&amp;DC$2&amp;"+"&amp;W161&amp;DC$1)</f>
        <v/>
      </c>
      <c r="DD161" s="30" t="str">
        <f t="shared" ref="DD161:DD202" si="2477">IF(X161="","","|n"&amp;DD$2&amp;"+"&amp;X161&amp;DD$1)</f>
        <v/>
      </c>
      <c r="DE161" s="30" t="str">
        <f t="shared" ref="DE161:DE202" si="2478">IF(Y161="","","|n"&amp;DE$2&amp;"+"&amp;Y161&amp;DE$1)</f>
        <v/>
      </c>
      <c r="DF161" s="30" t="str">
        <f t="shared" ref="DF161:DF202" si="2479">IF(Z161="","","|n"&amp;DF$2&amp;"+"&amp;Z161&amp;DF$1)</f>
        <v/>
      </c>
      <c r="DG161" s="30" t="str">
        <f t="shared" ref="DG161:DG202" si="2480">IF(AA161="","","|n"&amp;DG$2&amp;"+"&amp;AA161&amp;DG$1)</f>
        <v/>
      </c>
      <c r="DH161" s="30" t="str">
        <f t="shared" ref="DH161:DH202" si="2481">IF(AB161="","","|n"&amp;DH$2&amp;"+"&amp;AB161&amp;DH$1)</f>
        <v/>
      </c>
      <c r="DI161" s="30" t="str">
        <f t="shared" ref="DI161:DI202" si="2482">IF(AC161="","","|n"&amp;DI$2&amp;"+"&amp;AC161&amp;DI$1)</f>
        <v/>
      </c>
      <c r="DJ161" s="30" t="str">
        <f t="shared" ref="DJ161:DJ202" si="2483">IF(AD161="","","|n"&amp;DJ$2&amp;"+"&amp;AD161&amp;DJ$1)</f>
        <v/>
      </c>
      <c r="DK161" s="30" t="str">
        <f t="shared" ref="DK161:DK202" si="2484">IF(AE161="","","|n"&amp;DK$2&amp;"+"&amp;AE161&amp;DK$1)</f>
        <v/>
      </c>
      <c r="DL161" s="30" t="str">
        <f t="shared" ref="DL161:DL202" si="2485">IF(AF161="","","|n"&amp;DL$2&amp;"+"&amp;AF161&amp;DL$1)</f>
        <v/>
      </c>
      <c r="DM161" s="30" t="str">
        <f t="shared" ref="DM161:DM202" si="2486">IF(AG161="","","|n"&amp;DM$2&amp;"+"&amp;AG161&amp;DM$1)</f>
        <v/>
      </c>
      <c r="DN161" s="30" t="str">
        <f t="shared" ref="DN161:DN202" si="2487">IF(AH161="","","|n"&amp;DN$2&amp;"+"&amp;AH161&amp;DN$1)</f>
        <v/>
      </c>
      <c r="DO161" s="30" t="str">
        <f t="shared" ref="DO161:DO202" si="2488">IF(AI161="","","|n"&amp;DO$2&amp;"+"&amp;AI161&amp;DO$1)</f>
        <v/>
      </c>
      <c r="DP161" s="30" t="str">
        <f t="shared" ref="DP161:DP202" si="2489">IF(AJ161="","","|n"&amp;DP$2&amp;"+"&amp;AJ161&amp;DP$1)</f>
        <v/>
      </c>
      <c r="DQ161" s="30" t="str">
        <f t="shared" ref="DQ161:DQ202" si="2490">IF(AK161="","","|n"&amp;DQ$2&amp;"+"&amp;AK161&amp;DQ$1)</f>
        <v/>
      </c>
      <c r="DR161" s="30" t="str">
        <f t="shared" ref="DR161:DR202" si="2491">IF(AL161="","","|n"&amp;DR$2&amp;"+"&amp;AL161&amp;DR$1)</f>
        <v/>
      </c>
      <c r="DS161" s="30" t="str">
        <f t="shared" ref="DS161:DS202" si="2492">IF(AM161="","","|n"&amp;DS$2&amp;"+"&amp;AM161&amp;DS$1)</f>
        <v/>
      </c>
      <c r="DT161" s="30" t="str">
        <f t="shared" ref="DT161:DT202" si="2493">IF(AN161="","","|n"&amp;DT$2&amp;"+"&amp;AN161&amp;DT$1)</f>
        <v/>
      </c>
      <c r="DU161" s="30" t="str">
        <f t="shared" ref="DU161:DU202" si="2494">IF(AO161="","","|n"&amp;DU$2&amp;"+"&amp;AO161&amp;DU$1)</f>
        <v/>
      </c>
      <c r="DV161" s="30" t="str">
        <f t="shared" ref="DV161:DV202" si="2495">IF(AP161="","","|n"&amp;DV$2&amp;"+"&amp;AP161&amp;DV$1)</f>
        <v/>
      </c>
      <c r="DW161" s="30" t="str">
        <f t="shared" ref="DW161:DW202" si="2496">IF(AQ161="","","|n"&amp;DW$2&amp;"+"&amp;AQ161&amp;DW$1)</f>
        <v/>
      </c>
      <c r="DX161" s="30" t="str">
        <f t="shared" ref="DX161:DX202" si="2497">IF(AR161="","","|n"&amp;DX$2&amp;"+"&amp;AR161&amp;DX$1)</f>
        <v/>
      </c>
      <c r="DY161" s="30" t="str">
        <f t="shared" ref="DY161:DY202" si="2498">IF(AS161="","","|n"&amp;DY$2&amp;"+"&amp;AS161&amp;DY$1)</f>
        <v/>
      </c>
      <c r="DZ161" s="30" t="str">
        <f t="shared" ref="DZ161:DZ202" si="2499">IF(AT161="","","|n"&amp;DZ$2&amp;"+"&amp;AT161&amp;DZ$1)</f>
        <v/>
      </c>
      <c r="EA161" s="30" t="str">
        <f t="shared" ref="EA161:EA202" si="2500">IF(AU161="","","|n"&amp;EA$2&amp;"+"&amp;AU161&amp;EA$1)</f>
        <v/>
      </c>
      <c r="EB161" s="30" t="str">
        <f t="shared" ref="EB161:EB202" si="2501">IF(AV161="","","|n"&amp;EB$2&amp;"+"&amp;AV161&amp;EB$1)</f>
        <v/>
      </c>
      <c r="EC161" s="30" t="str">
        <f t="shared" ref="EC161:EC202" si="2502">IF(AW161="","","|n"&amp;EC$2&amp;"+"&amp;AW161&amp;EC$1)</f>
        <v/>
      </c>
      <c r="ED161" s="30" t="str">
        <f t="shared" ref="ED161:ED202" si="2503">IF(AX161="","","|n"&amp;ED$2&amp;"+"&amp;AX161&amp;ED$1)</f>
        <v/>
      </c>
      <c r="EE161" s="30" t="str">
        <f t="shared" ref="EE161:EE202" si="2504">IF(AY161="","","|n"&amp;EE$2&amp;"+"&amp;AY161&amp;EE$1)</f>
        <v/>
      </c>
      <c r="EF161" s="30" t="str">
        <f t="shared" ref="EF161:EF202" si="2505">IF(AZ161="","","|n"&amp;EF$2&amp;"+"&amp;AZ161&amp;EF$1)</f>
        <v/>
      </c>
      <c r="EG161" s="30" t="str">
        <f t="shared" ref="EG161:EG202" si="2506">IF(BA161="","","|n"&amp;EG$2&amp;"+"&amp;BA161&amp;EG$1)</f>
        <v/>
      </c>
      <c r="EH161" s="30" t="str">
        <f t="shared" ref="EH161:EH202" si="2507">IF(BB161="","","|n"&amp;EH$2&amp;"+"&amp;BB161&amp;EH$1)</f>
        <v/>
      </c>
      <c r="EI161" s="30" t="str">
        <f t="shared" ref="EI161:EI202" si="2508">IF(BC161="","","|n"&amp;EI$2&amp;"+"&amp;BC161&amp;EI$1)</f>
        <v/>
      </c>
      <c r="EJ161" s="30" t="str">
        <f t="shared" ref="EJ161:EJ202" si="2509">IF(BD161="","","|n"&amp;EJ$2&amp;"+"&amp;BD161&amp;EJ$1)</f>
        <v/>
      </c>
      <c r="EK161" s="30" t="str">
        <f t="shared" ref="EK161:EK202" si="2510">IF(BE161="","","|n"&amp;EK$2&amp;"+"&amp;BE161&amp;EK$1)</f>
        <v/>
      </c>
      <c r="EL161" s="30" t="str">
        <f t="shared" ref="EL161:EL202" si="2511">IF(BF161="","","|n"&amp;EL$2&amp;"+"&amp;BF161&amp;EL$1)</f>
        <v/>
      </c>
      <c r="EM161" s="30" t="str">
        <f t="shared" ref="EM161:EM202" si="2512">IF(BG161="","","|n"&amp;EM$2&amp;"+"&amp;BG161&amp;EM$1)</f>
        <v/>
      </c>
      <c r="EN161" s="30" t="str">
        <f t="shared" ref="EN161:EN202" si="2513">IF(BH161="","","|n"&amp;EN$2&amp;"+"&amp;BH161&amp;EN$1)</f>
        <v/>
      </c>
      <c r="EO161" s="30" t="str">
        <f t="shared" ref="EO161:EO202" si="2514">IF(BI161="","","|n"&amp;EO$2&amp;"+"&amp;BI161&amp;EO$1)</f>
        <v/>
      </c>
      <c r="EP161" s="30" t="str">
        <f t="shared" ref="EP161:EP202" si="2515">IF(BJ161="","","|n"&amp;EP$2&amp;"+"&amp;BJ161&amp;EP$1)</f>
        <v/>
      </c>
      <c r="EQ161" s="30" t="str">
        <f t="shared" ref="EQ161:EQ202" si="2516">IF(BK161="","","|n"&amp;EQ$2&amp;"+"&amp;BK161&amp;EQ$1)</f>
        <v/>
      </c>
      <c r="ER161" s="30" t="str">
        <f t="shared" ref="ER161:ER202" si="2517">IF(BL161="","","|n"&amp;ER$2&amp;"+"&amp;BL161&amp;ER$1)</f>
        <v/>
      </c>
      <c r="ES161" s="30" t="str">
        <f t="shared" ref="ES161:ES202" si="2518">IF(BM161="","","|n"&amp;ES$2&amp;"+"&amp;BM161&amp;ES$1)</f>
        <v/>
      </c>
      <c r="ET161" s="30" t="str">
        <f t="shared" ref="ET161:ET202" si="2519">IF(BN161="","","|n"&amp;ET$2&amp;"+"&amp;BN161&amp;ET$1)</f>
        <v/>
      </c>
      <c r="EU161" s="30" t="str">
        <f t="shared" ref="EU161:EU202" si="2520">IF(BO161="","","|n"&amp;EU$2&amp;"+"&amp;BO161&amp;EU$1)</f>
        <v/>
      </c>
      <c r="EV161" s="30" t="str">
        <f t="shared" ref="EV161:EV202" si="2521">IF(BP161="","","|n"&amp;EV$2&amp;"+"&amp;BP161&amp;EV$1)</f>
        <v/>
      </c>
      <c r="EW161" s="30" t="str">
        <f t="shared" ref="EW161:EW202" si="2522">IF(BQ161="","","|n"&amp;EW$2&amp;"+"&amp;BQ161&amp;EW$1)</f>
        <v/>
      </c>
      <c r="EX161" s="30" t="str">
        <f t="shared" ref="EX161:EX202" si="2523">IF(BR161="","","|n"&amp;EX$2&amp;"+"&amp;BR161&amp;EX$1)</f>
        <v/>
      </c>
      <c r="EY161" s="30" t="str">
        <f t="shared" ref="EY161:EY202" si="2524">IF(BS161="","","|n"&amp;EY$2&amp;"+"&amp;BS161&amp;EY$1)</f>
        <v/>
      </c>
      <c r="EZ161" s="30" t="str">
        <f t="shared" ref="EZ161:EZ202" si="2525">IF(BT161="","","|n"&amp;EZ$2&amp;"+"&amp;BT161&amp;EZ$1)</f>
        <v/>
      </c>
      <c r="FA161" s="30" t="str">
        <f t="shared" ref="FA161:FA202" si="2526">IF(BU161="","","|n"&amp;FA$2&amp;"+"&amp;BU161&amp;FA$1)</f>
        <v/>
      </c>
      <c r="FB161" s="30" t="str">
        <f t="shared" ref="FB161:FB202" si="2527">IF(BV161="","","|n"&amp;FB$2&amp;"+"&amp;BV161&amp;FB$1)</f>
        <v/>
      </c>
      <c r="FC161" s="30" t="str">
        <f t="shared" ref="FC161:FC202" si="2528">IF(BW161="","","|n"&amp;FC$2&amp;"+"&amp;BW161&amp;FC$1)</f>
        <v/>
      </c>
      <c r="FD161" s="30" t="str">
        <f t="shared" ref="FD161:FD202" si="2529">IF(BX161="","","|n"&amp;FD$2&amp;"+"&amp;BX161&amp;FD$1)</f>
        <v/>
      </c>
      <c r="FE161" s="30" t="str">
        <f t="shared" ref="FE161:FE202" si="2530">IF(BY161="","","|n"&amp;FE$2&amp;"+"&amp;BY161&amp;FE$1)</f>
        <v/>
      </c>
      <c r="FF161" s="30" t="str">
        <f t="shared" ref="FF161:FF202" si="2531">IF(BZ161="","","|n"&amp;FF$2&amp;"+"&amp;BZ161&amp;FF$1)</f>
        <v/>
      </c>
      <c r="FG161" s="30" t="str">
        <f t="shared" ref="FG161:FG202" si="2532">IF(CA161="","","|n"&amp;FG$2&amp;"+"&amp;CA161&amp;FG$1)</f>
        <v/>
      </c>
      <c r="FH161" s="30" t="str">
        <f t="shared" ref="FH161:FH202" si="2533">IF(CB161="","","|n"&amp;FH$2&amp;"+"&amp;CB161&amp;FH$1)</f>
        <v/>
      </c>
      <c r="FI161" s="30" t="str">
        <f t="shared" ref="FI161:FI202" si="2534">IF(CC161="","","|n"&amp;FI$2&amp;"+"&amp;CC161&amp;FI$1)</f>
        <v/>
      </c>
      <c r="FJ161" s="30" t="str">
        <f t="shared" ref="FJ161:FJ202" si="2535">IF(CD161="","","|n"&amp;FJ$2&amp;"+"&amp;CD161&amp;FJ$1)</f>
        <v/>
      </c>
      <c r="FK161" s="30" t="str">
        <f t="shared" ref="FK161:FK202" si="2536">IF(CE161="","","|n"&amp;FK$2&amp;"+"&amp;CE161&amp;FK$1)</f>
        <v/>
      </c>
      <c r="FL161" s="30" t="str">
        <f t="shared" ref="FL161:FL202" si="2537">IF(CF161="","","|n"&amp;FL$2&amp;"+"&amp;CF161&amp;FL$1)</f>
        <v/>
      </c>
      <c r="FM161" s="30" t="str">
        <f t="shared" ref="FM161:FM202" si="2538">IF(CG161="","","|n"&amp;FM$2&amp;"+"&amp;CG161&amp;FM$1)</f>
        <v/>
      </c>
      <c r="FN161" s="30" t="str">
        <f t="shared" ref="FN161:FN202" si="2539">IF(CH161="","","|n"&amp;FN$2&amp;"+"&amp;CH161&amp;FN$1)</f>
        <v/>
      </c>
      <c r="FO161" s="30" t="str">
        <f t="shared" ref="FO161:FO202" si="2540">IF(CI161="","","|n"&amp;FO$2&amp;"+"&amp;CI161&amp;FO$1)</f>
        <v/>
      </c>
      <c r="FP161" s="30" t="str">
        <f t="shared" ref="FP161:FP202" si="2541">IF(CJ161="","","|n"&amp;FP$2&amp;"+"&amp;CJ161&amp;FP$1)</f>
        <v/>
      </c>
      <c r="FQ161" s="30" t="str">
        <f t="shared" ref="FQ161:FQ202" si="2542">IF(CK161="","","|n"&amp;FQ$2&amp;"+"&amp;CK161&amp;FQ$1)</f>
        <v/>
      </c>
      <c r="FR161" s="30" t="str">
        <f t="shared" ref="FR161:FR202" si="2543">IF(CL161="","","|n"&amp;FR$2&amp;"+"&amp;CL161&amp;FR$1)</f>
        <v/>
      </c>
      <c r="FS161" s="30" t="str">
        <f t="shared" ref="FS161:FS202" si="2544">IF(CM161="","","|n"&amp;FS$2&amp;"+"&amp;CM161&amp;FS$1)</f>
        <v/>
      </c>
    </row>
    <row r="162" spans="1:175">
      <c r="A162" s="66"/>
      <c r="B162" s="66"/>
      <c r="C162" s="66"/>
      <c r="T162" s="100"/>
      <c r="U162" s="32"/>
      <c r="CN162" s="7" t="str">
        <f t="shared" si="2469"/>
        <v>InitUnitState('',,,,,,,,,,)</v>
      </c>
      <c r="CO162" s="7" t="str">
        <f t="shared" si="2470"/>
        <v>InitUnitNormal('',,,,,,,,,,)</v>
      </c>
      <c r="CP162" s="7" t="str">
        <f t="shared" si="2471"/>
        <v>InitUnitMagic('',,,,,,,,,,)</v>
      </c>
      <c r="CQ162" s="7" t="str">
        <f t="shared" si="2472"/>
        <v>InitUnitAdd('',,,,,,,,,,)</v>
      </c>
      <c r="CR162" s="7" t="str">
        <f t="shared" si="2473"/>
        <v>InitEquipData('',,"",,,,,'','','','','','',"")</v>
      </c>
      <c r="CU162" s="45" t="str">
        <f t="shared" si="2474"/>
        <v>|n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>
      <c r="A163" s="66"/>
      <c r="B163" s="66"/>
      <c r="C163" s="66"/>
      <c r="T163" s="100"/>
      <c r="U163" s="32"/>
      <c r="CN163" s="7" t="str">
        <f t="shared" si="2469"/>
        <v>InitUnitState('',,,,,,,,,,)</v>
      </c>
      <c r="CO163" s="7" t="str">
        <f t="shared" si="2470"/>
        <v>InitUnitNormal('',,,,,,,,,,)</v>
      </c>
      <c r="CP163" s="7" t="str">
        <f t="shared" si="2471"/>
        <v>InitUnitMagic('',,,,,,,,,,)</v>
      </c>
      <c r="CQ163" s="7" t="str">
        <f t="shared" si="2472"/>
        <v>InitUnitAdd('',,,,,,,,,,)</v>
      </c>
      <c r="CR163" s="7" t="str">
        <f t="shared" si="2473"/>
        <v>InitEquipData('',,"",,,,,'','','','','','',"")</v>
      </c>
      <c r="CU163" s="45" t="str">
        <f t="shared" si="2474"/>
        <v>|n</v>
      </c>
      <c r="CW163" s="24"/>
      <c r="CX163" s="24"/>
      <c r="CY163" s="24"/>
      <c r="CZ163" s="24"/>
      <c r="DA163" s="24"/>
      <c r="DB163" s="30" t="str">
        <f t="shared" si="2475"/>
        <v/>
      </c>
      <c r="DC163" s="30" t="str">
        <f t="shared" si="2476"/>
        <v/>
      </c>
      <c r="DD163" s="30" t="str">
        <f t="shared" si="2477"/>
        <v/>
      </c>
      <c r="DE163" s="30" t="str">
        <f t="shared" si="2478"/>
        <v/>
      </c>
      <c r="DF163" s="30" t="str">
        <f t="shared" si="2479"/>
        <v/>
      </c>
      <c r="DG163" s="30" t="str">
        <f t="shared" si="2480"/>
        <v/>
      </c>
      <c r="DH163" s="30" t="str">
        <f t="shared" si="2481"/>
        <v/>
      </c>
      <c r="DI163" s="30" t="str">
        <f t="shared" si="2482"/>
        <v/>
      </c>
      <c r="DJ163" s="30" t="str">
        <f t="shared" si="2483"/>
        <v/>
      </c>
      <c r="DK163" s="30" t="str">
        <f t="shared" si="2484"/>
        <v/>
      </c>
      <c r="DL163" s="30" t="str">
        <f t="shared" si="2485"/>
        <v/>
      </c>
      <c r="DM163" s="30" t="str">
        <f t="shared" si="2486"/>
        <v/>
      </c>
      <c r="DN163" s="30" t="str">
        <f t="shared" si="2487"/>
        <v/>
      </c>
      <c r="DO163" s="30" t="str">
        <f t="shared" si="2488"/>
        <v/>
      </c>
      <c r="DP163" s="30" t="str">
        <f t="shared" si="2489"/>
        <v/>
      </c>
      <c r="DQ163" s="30" t="str">
        <f t="shared" si="2490"/>
        <v/>
      </c>
      <c r="DR163" s="30" t="str">
        <f t="shared" si="2491"/>
        <v/>
      </c>
      <c r="DS163" s="30" t="str">
        <f t="shared" si="2492"/>
        <v/>
      </c>
      <c r="DT163" s="30" t="str">
        <f t="shared" si="2493"/>
        <v/>
      </c>
      <c r="DU163" s="30" t="str">
        <f t="shared" si="2494"/>
        <v/>
      </c>
      <c r="DV163" s="30" t="str">
        <f t="shared" si="2495"/>
        <v/>
      </c>
      <c r="DW163" s="30" t="str">
        <f t="shared" si="2496"/>
        <v/>
      </c>
      <c r="DX163" s="30" t="str">
        <f t="shared" si="2497"/>
        <v/>
      </c>
      <c r="DY163" s="30" t="str">
        <f t="shared" si="2498"/>
        <v/>
      </c>
      <c r="DZ163" s="30" t="str">
        <f t="shared" si="2499"/>
        <v/>
      </c>
      <c r="EA163" s="30" t="str">
        <f t="shared" si="2500"/>
        <v/>
      </c>
      <c r="EB163" s="30" t="str">
        <f t="shared" si="2501"/>
        <v/>
      </c>
      <c r="EC163" s="30" t="str">
        <f t="shared" si="2502"/>
        <v/>
      </c>
      <c r="ED163" s="30" t="str">
        <f t="shared" si="2503"/>
        <v/>
      </c>
      <c r="EE163" s="30" t="str">
        <f t="shared" si="2504"/>
        <v/>
      </c>
      <c r="EF163" s="30" t="str">
        <f t="shared" si="2505"/>
        <v/>
      </c>
      <c r="EG163" s="30" t="str">
        <f t="shared" si="2506"/>
        <v/>
      </c>
      <c r="EH163" s="30" t="str">
        <f t="shared" si="2507"/>
        <v/>
      </c>
      <c r="EI163" s="30" t="str">
        <f t="shared" si="2508"/>
        <v/>
      </c>
      <c r="EJ163" s="30" t="str">
        <f t="shared" si="2509"/>
        <v/>
      </c>
      <c r="EK163" s="30" t="str">
        <f t="shared" si="2510"/>
        <v/>
      </c>
      <c r="EL163" s="30" t="str">
        <f t="shared" si="2511"/>
        <v/>
      </c>
      <c r="EM163" s="30" t="str">
        <f t="shared" si="2512"/>
        <v/>
      </c>
      <c r="EN163" s="30" t="str">
        <f t="shared" si="2513"/>
        <v/>
      </c>
      <c r="EO163" s="30" t="str">
        <f t="shared" si="2514"/>
        <v/>
      </c>
      <c r="EP163" s="30" t="str">
        <f t="shared" si="2515"/>
        <v/>
      </c>
      <c r="EQ163" s="30" t="str">
        <f t="shared" si="2516"/>
        <v/>
      </c>
      <c r="ER163" s="30" t="str">
        <f t="shared" si="2517"/>
        <v/>
      </c>
      <c r="ES163" s="30" t="str">
        <f t="shared" si="2518"/>
        <v/>
      </c>
      <c r="ET163" s="30" t="str">
        <f t="shared" si="2519"/>
        <v/>
      </c>
      <c r="EU163" s="30" t="str">
        <f t="shared" si="2520"/>
        <v/>
      </c>
      <c r="EV163" s="30" t="str">
        <f t="shared" si="2521"/>
        <v/>
      </c>
      <c r="EW163" s="30" t="str">
        <f t="shared" si="2522"/>
        <v/>
      </c>
      <c r="EX163" s="30" t="str">
        <f t="shared" si="2523"/>
        <v/>
      </c>
      <c r="EY163" s="30" t="str">
        <f t="shared" si="2524"/>
        <v/>
      </c>
      <c r="EZ163" s="30" t="str">
        <f t="shared" si="2525"/>
        <v/>
      </c>
      <c r="FA163" s="30" t="str">
        <f t="shared" si="2526"/>
        <v/>
      </c>
      <c r="FB163" s="30" t="str">
        <f t="shared" si="2527"/>
        <v/>
      </c>
      <c r="FC163" s="30" t="str">
        <f t="shared" si="2528"/>
        <v/>
      </c>
      <c r="FD163" s="30" t="str">
        <f t="shared" si="2529"/>
        <v/>
      </c>
      <c r="FE163" s="30" t="str">
        <f t="shared" si="2530"/>
        <v/>
      </c>
      <c r="FF163" s="30" t="str">
        <f t="shared" si="2531"/>
        <v/>
      </c>
      <c r="FG163" s="30" t="str">
        <f t="shared" si="2532"/>
        <v/>
      </c>
      <c r="FH163" s="30" t="str">
        <f t="shared" si="2533"/>
        <v/>
      </c>
      <c r="FI163" s="30" t="str">
        <f t="shared" si="2534"/>
        <v/>
      </c>
      <c r="FJ163" s="30" t="str">
        <f t="shared" si="2535"/>
        <v/>
      </c>
      <c r="FK163" s="30" t="str">
        <f t="shared" si="2536"/>
        <v/>
      </c>
      <c r="FL163" s="30" t="str">
        <f t="shared" si="2537"/>
        <v/>
      </c>
      <c r="FM163" s="30" t="str">
        <f t="shared" si="2538"/>
        <v/>
      </c>
      <c r="FN163" s="30" t="str">
        <f t="shared" si="2539"/>
        <v/>
      </c>
      <c r="FO163" s="30" t="str">
        <f t="shared" si="2540"/>
        <v/>
      </c>
      <c r="FP163" s="30" t="str">
        <f t="shared" si="2541"/>
        <v/>
      </c>
      <c r="FQ163" s="30" t="str">
        <f t="shared" si="2542"/>
        <v/>
      </c>
      <c r="FR163" s="30" t="str">
        <f t="shared" si="2543"/>
        <v/>
      </c>
      <c r="FS163" s="30" t="str">
        <f t="shared" si="2544"/>
        <v/>
      </c>
    </row>
    <row r="164" spans="1:175">
      <c r="A164" s="66"/>
      <c r="B164" s="66"/>
      <c r="C164" s="66"/>
      <c r="T164" s="100"/>
      <c r="U164" s="32"/>
      <c r="CN164" s="7" t="str">
        <f t="shared" si="2469"/>
        <v>InitUnitState('',,,,,,,,,,)</v>
      </c>
      <c r="CO164" s="7" t="str">
        <f t="shared" si="2470"/>
        <v>InitUnitNormal('',,,,,,,,,,)</v>
      </c>
      <c r="CP164" s="7" t="str">
        <f t="shared" si="2471"/>
        <v>InitUnitMagic('',,,,,,,,,,)</v>
      </c>
      <c r="CQ164" s="7" t="str">
        <f t="shared" si="2472"/>
        <v>InitUnitAdd('',,,,,,,,,,)</v>
      </c>
      <c r="CR164" s="7" t="str">
        <f t="shared" si="2473"/>
        <v>InitEquipData('',,"",,,,,'','','','','','',"")</v>
      </c>
      <c r="CU164" s="45" t="str">
        <f t="shared" si="2474"/>
        <v>|n</v>
      </c>
      <c r="CW164" s="24"/>
      <c r="CX164" s="24"/>
      <c r="CY164" s="24"/>
      <c r="CZ164" s="24"/>
      <c r="DA164" s="24"/>
      <c r="DB164" s="30" t="str">
        <f t="shared" si="2475"/>
        <v/>
      </c>
      <c r="DC164" s="30" t="str">
        <f t="shared" si="2476"/>
        <v/>
      </c>
      <c r="DD164" s="30" t="str">
        <f t="shared" si="2477"/>
        <v/>
      </c>
      <c r="DE164" s="30" t="str">
        <f t="shared" si="2478"/>
        <v/>
      </c>
      <c r="DF164" s="30" t="str">
        <f t="shared" si="2479"/>
        <v/>
      </c>
      <c r="DG164" s="30" t="str">
        <f t="shared" si="2480"/>
        <v/>
      </c>
      <c r="DH164" s="30" t="str">
        <f t="shared" si="2481"/>
        <v/>
      </c>
      <c r="DI164" s="30" t="str">
        <f t="shared" si="2482"/>
        <v/>
      </c>
      <c r="DJ164" s="30" t="str">
        <f t="shared" si="2483"/>
        <v/>
      </c>
      <c r="DK164" s="30" t="str">
        <f t="shared" si="2484"/>
        <v/>
      </c>
      <c r="DL164" s="30" t="str">
        <f t="shared" si="2485"/>
        <v/>
      </c>
      <c r="DM164" s="30" t="str">
        <f t="shared" si="2486"/>
        <v/>
      </c>
      <c r="DN164" s="30" t="str">
        <f t="shared" si="2487"/>
        <v/>
      </c>
      <c r="DO164" s="30" t="str">
        <f t="shared" si="2488"/>
        <v/>
      </c>
      <c r="DP164" s="30" t="str">
        <f t="shared" si="2489"/>
        <v/>
      </c>
      <c r="DQ164" s="30" t="str">
        <f t="shared" si="2490"/>
        <v/>
      </c>
      <c r="DR164" s="30" t="str">
        <f t="shared" si="2491"/>
        <v/>
      </c>
      <c r="DS164" s="30" t="str">
        <f t="shared" si="2492"/>
        <v/>
      </c>
      <c r="DT164" s="30" t="str">
        <f t="shared" si="2493"/>
        <v/>
      </c>
      <c r="DU164" s="30" t="str">
        <f t="shared" si="2494"/>
        <v/>
      </c>
      <c r="DV164" s="30" t="str">
        <f t="shared" si="2495"/>
        <v/>
      </c>
      <c r="DW164" s="30" t="str">
        <f t="shared" si="2496"/>
        <v/>
      </c>
      <c r="DX164" s="30" t="str">
        <f t="shared" si="2497"/>
        <v/>
      </c>
      <c r="DY164" s="30" t="str">
        <f t="shared" si="2498"/>
        <v/>
      </c>
      <c r="DZ164" s="30" t="str">
        <f t="shared" si="2499"/>
        <v/>
      </c>
      <c r="EA164" s="30" t="str">
        <f t="shared" si="2500"/>
        <v/>
      </c>
      <c r="EB164" s="30" t="str">
        <f t="shared" si="2501"/>
        <v/>
      </c>
      <c r="EC164" s="30" t="str">
        <f t="shared" si="2502"/>
        <v/>
      </c>
      <c r="ED164" s="30" t="str">
        <f t="shared" si="2503"/>
        <v/>
      </c>
      <c r="EE164" s="30" t="str">
        <f t="shared" si="2504"/>
        <v/>
      </c>
      <c r="EF164" s="30" t="str">
        <f t="shared" si="2505"/>
        <v/>
      </c>
      <c r="EG164" s="30" t="str">
        <f t="shared" si="2506"/>
        <v/>
      </c>
      <c r="EH164" s="30" t="str">
        <f t="shared" si="2507"/>
        <v/>
      </c>
      <c r="EI164" s="30" t="str">
        <f t="shared" si="2508"/>
        <v/>
      </c>
      <c r="EJ164" s="30" t="str">
        <f t="shared" si="2509"/>
        <v/>
      </c>
      <c r="EK164" s="30" t="str">
        <f t="shared" si="2510"/>
        <v/>
      </c>
      <c r="EL164" s="30" t="str">
        <f t="shared" si="2511"/>
        <v/>
      </c>
      <c r="EM164" s="30" t="str">
        <f t="shared" si="2512"/>
        <v/>
      </c>
      <c r="EN164" s="30" t="str">
        <f t="shared" si="2513"/>
        <v/>
      </c>
      <c r="EO164" s="30" t="str">
        <f t="shared" si="2514"/>
        <v/>
      </c>
      <c r="EP164" s="30" t="str">
        <f t="shared" si="2515"/>
        <v/>
      </c>
      <c r="EQ164" s="30" t="str">
        <f t="shared" si="2516"/>
        <v/>
      </c>
      <c r="ER164" s="30" t="str">
        <f t="shared" si="2517"/>
        <v/>
      </c>
      <c r="ES164" s="30" t="str">
        <f t="shared" si="2518"/>
        <v/>
      </c>
      <c r="ET164" s="30" t="str">
        <f t="shared" si="2519"/>
        <v/>
      </c>
      <c r="EU164" s="30" t="str">
        <f t="shared" si="2520"/>
        <v/>
      </c>
      <c r="EV164" s="30" t="str">
        <f t="shared" si="2521"/>
        <v/>
      </c>
      <c r="EW164" s="30" t="str">
        <f t="shared" si="2522"/>
        <v/>
      </c>
      <c r="EX164" s="30" t="str">
        <f t="shared" si="2523"/>
        <v/>
      </c>
      <c r="EY164" s="30" t="str">
        <f t="shared" si="2524"/>
        <v/>
      </c>
      <c r="EZ164" s="30" t="str">
        <f t="shared" si="2525"/>
        <v/>
      </c>
      <c r="FA164" s="30" t="str">
        <f t="shared" si="2526"/>
        <v/>
      </c>
      <c r="FB164" s="30" t="str">
        <f t="shared" si="2527"/>
        <v/>
      </c>
      <c r="FC164" s="30" t="str">
        <f t="shared" si="2528"/>
        <v/>
      </c>
      <c r="FD164" s="30" t="str">
        <f t="shared" si="2529"/>
        <v/>
      </c>
      <c r="FE164" s="30" t="str">
        <f t="shared" si="2530"/>
        <v/>
      </c>
      <c r="FF164" s="30" t="str">
        <f t="shared" si="2531"/>
        <v/>
      </c>
      <c r="FG164" s="30" t="str">
        <f t="shared" si="2532"/>
        <v/>
      </c>
      <c r="FH164" s="30" t="str">
        <f t="shared" si="2533"/>
        <v/>
      </c>
      <c r="FI164" s="30" t="str">
        <f t="shared" si="2534"/>
        <v/>
      </c>
      <c r="FJ164" s="30" t="str">
        <f t="shared" si="2535"/>
        <v/>
      </c>
      <c r="FK164" s="30" t="str">
        <f t="shared" si="2536"/>
        <v/>
      </c>
      <c r="FL164" s="30" t="str">
        <f t="shared" si="2537"/>
        <v/>
      </c>
      <c r="FM164" s="30" t="str">
        <f t="shared" si="2538"/>
        <v/>
      </c>
      <c r="FN164" s="30" t="str">
        <f t="shared" si="2539"/>
        <v/>
      </c>
      <c r="FO164" s="30" t="str">
        <f t="shared" si="2540"/>
        <v/>
      </c>
      <c r="FP164" s="30" t="str">
        <f t="shared" si="2541"/>
        <v/>
      </c>
      <c r="FQ164" s="30" t="str">
        <f t="shared" si="2542"/>
        <v/>
      </c>
      <c r="FR164" s="30" t="str">
        <f t="shared" si="2543"/>
        <v/>
      </c>
      <c r="FS164" s="30" t="str">
        <f t="shared" si="2544"/>
        <v/>
      </c>
    </row>
    <row r="165" spans="1:175">
      <c r="A165" s="66"/>
      <c r="B165" s="66"/>
      <c r="C165" s="66"/>
      <c r="T165" s="100"/>
      <c r="U165" s="32"/>
      <c r="CN165" s="7" t="str">
        <f t="shared" si="2469"/>
        <v>InitUnitState('',,,,,,,,,,)</v>
      </c>
      <c r="CO165" s="7" t="str">
        <f t="shared" si="2470"/>
        <v>InitUnitNormal('',,,,,,,,,,)</v>
      </c>
      <c r="CP165" s="7" t="str">
        <f t="shared" si="2471"/>
        <v>InitUnitMagic('',,,,,,,,,,)</v>
      </c>
      <c r="CQ165" s="7" t="str">
        <f t="shared" si="2472"/>
        <v>InitUnitAdd('',,,,,,,,,,)</v>
      </c>
      <c r="CR165" s="7" t="str">
        <f t="shared" si="2473"/>
        <v>InitEquipData('',,"",,,,,'','','','','','',"")</v>
      </c>
      <c r="CU165" s="45" t="str">
        <f t="shared" si="2474"/>
        <v>|n</v>
      </c>
      <c r="CW165" s="24"/>
      <c r="CX165" s="24"/>
      <c r="CY165" s="24"/>
      <c r="CZ165" s="24"/>
      <c r="DA165" s="24"/>
      <c r="DB165" s="30" t="str">
        <f t="shared" si="2475"/>
        <v/>
      </c>
      <c r="DC165" s="30" t="str">
        <f t="shared" si="2476"/>
        <v/>
      </c>
      <c r="DD165" s="30" t="str">
        <f t="shared" si="2477"/>
        <v/>
      </c>
      <c r="DE165" s="30" t="str">
        <f t="shared" si="2478"/>
        <v/>
      </c>
      <c r="DF165" s="30" t="str">
        <f t="shared" si="2479"/>
        <v/>
      </c>
      <c r="DG165" s="30" t="str">
        <f t="shared" si="2480"/>
        <v/>
      </c>
      <c r="DH165" s="30" t="str">
        <f t="shared" si="2481"/>
        <v/>
      </c>
      <c r="DI165" s="30" t="str">
        <f t="shared" si="2482"/>
        <v/>
      </c>
      <c r="DJ165" s="30" t="str">
        <f t="shared" si="2483"/>
        <v/>
      </c>
      <c r="DK165" s="30" t="str">
        <f t="shared" si="2484"/>
        <v/>
      </c>
      <c r="DL165" s="30" t="str">
        <f t="shared" si="2485"/>
        <v/>
      </c>
      <c r="DM165" s="30" t="str">
        <f t="shared" si="2486"/>
        <v/>
      </c>
      <c r="DN165" s="30" t="str">
        <f t="shared" si="2487"/>
        <v/>
      </c>
      <c r="DO165" s="30" t="str">
        <f t="shared" si="2488"/>
        <v/>
      </c>
      <c r="DP165" s="30" t="str">
        <f t="shared" si="2489"/>
        <v/>
      </c>
      <c r="DQ165" s="30" t="str">
        <f t="shared" si="2490"/>
        <v/>
      </c>
      <c r="DR165" s="30" t="str">
        <f t="shared" si="2491"/>
        <v/>
      </c>
      <c r="DS165" s="30" t="str">
        <f t="shared" si="2492"/>
        <v/>
      </c>
      <c r="DT165" s="30" t="str">
        <f t="shared" si="2493"/>
        <v/>
      </c>
      <c r="DU165" s="30" t="str">
        <f t="shared" si="2494"/>
        <v/>
      </c>
      <c r="DV165" s="30" t="str">
        <f t="shared" si="2495"/>
        <v/>
      </c>
      <c r="DW165" s="30" t="str">
        <f t="shared" si="2496"/>
        <v/>
      </c>
      <c r="DX165" s="30" t="str">
        <f t="shared" si="2497"/>
        <v/>
      </c>
      <c r="DY165" s="30" t="str">
        <f t="shared" si="2498"/>
        <v/>
      </c>
      <c r="DZ165" s="30" t="str">
        <f t="shared" si="2499"/>
        <v/>
      </c>
      <c r="EA165" s="30" t="str">
        <f t="shared" si="2500"/>
        <v/>
      </c>
      <c r="EB165" s="30" t="str">
        <f t="shared" si="2501"/>
        <v/>
      </c>
      <c r="EC165" s="30" t="str">
        <f t="shared" si="2502"/>
        <v/>
      </c>
      <c r="ED165" s="30" t="str">
        <f t="shared" si="2503"/>
        <v/>
      </c>
      <c r="EE165" s="30" t="str">
        <f t="shared" si="2504"/>
        <v/>
      </c>
      <c r="EF165" s="30" t="str">
        <f t="shared" si="2505"/>
        <v/>
      </c>
      <c r="EG165" s="30" t="str">
        <f t="shared" si="2506"/>
        <v/>
      </c>
      <c r="EH165" s="30" t="str">
        <f t="shared" si="2507"/>
        <v/>
      </c>
      <c r="EI165" s="30" t="str">
        <f t="shared" si="2508"/>
        <v/>
      </c>
      <c r="EJ165" s="30" t="str">
        <f t="shared" si="2509"/>
        <v/>
      </c>
      <c r="EK165" s="30" t="str">
        <f t="shared" si="2510"/>
        <v/>
      </c>
      <c r="EL165" s="30" t="str">
        <f t="shared" si="2511"/>
        <v/>
      </c>
      <c r="EM165" s="30" t="str">
        <f t="shared" si="2512"/>
        <v/>
      </c>
      <c r="EN165" s="30" t="str">
        <f t="shared" si="2513"/>
        <v/>
      </c>
      <c r="EO165" s="30" t="str">
        <f t="shared" si="2514"/>
        <v/>
      </c>
      <c r="EP165" s="30" t="str">
        <f t="shared" si="2515"/>
        <v/>
      </c>
      <c r="EQ165" s="30" t="str">
        <f t="shared" si="2516"/>
        <v/>
      </c>
      <c r="ER165" s="30" t="str">
        <f t="shared" si="2517"/>
        <v/>
      </c>
      <c r="ES165" s="30" t="str">
        <f t="shared" si="2518"/>
        <v/>
      </c>
      <c r="ET165" s="30" t="str">
        <f t="shared" si="2519"/>
        <v/>
      </c>
      <c r="EU165" s="30" t="str">
        <f t="shared" si="2520"/>
        <v/>
      </c>
      <c r="EV165" s="30" t="str">
        <f t="shared" si="2521"/>
        <v/>
      </c>
      <c r="EW165" s="30" t="str">
        <f t="shared" si="2522"/>
        <v/>
      </c>
      <c r="EX165" s="30" t="str">
        <f t="shared" si="2523"/>
        <v/>
      </c>
      <c r="EY165" s="30" t="str">
        <f t="shared" si="2524"/>
        <v/>
      </c>
      <c r="EZ165" s="30" t="str">
        <f t="shared" si="2525"/>
        <v/>
      </c>
      <c r="FA165" s="30" t="str">
        <f t="shared" si="2526"/>
        <v/>
      </c>
      <c r="FB165" s="30" t="str">
        <f t="shared" si="2527"/>
        <v/>
      </c>
      <c r="FC165" s="30" t="str">
        <f t="shared" si="2528"/>
        <v/>
      </c>
      <c r="FD165" s="30" t="str">
        <f t="shared" si="2529"/>
        <v/>
      </c>
      <c r="FE165" s="30" t="str">
        <f t="shared" si="2530"/>
        <v/>
      </c>
      <c r="FF165" s="30" t="str">
        <f t="shared" si="2531"/>
        <v/>
      </c>
      <c r="FG165" s="30" t="str">
        <f t="shared" si="2532"/>
        <v/>
      </c>
      <c r="FH165" s="30" t="str">
        <f t="shared" si="2533"/>
        <v/>
      </c>
      <c r="FI165" s="30" t="str">
        <f t="shared" si="2534"/>
        <v/>
      </c>
      <c r="FJ165" s="30" t="str">
        <f t="shared" si="2535"/>
        <v/>
      </c>
      <c r="FK165" s="30" t="str">
        <f t="shared" si="2536"/>
        <v/>
      </c>
      <c r="FL165" s="30" t="str">
        <f t="shared" si="2537"/>
        <v/>
      </c>
      <c r="FM165" s="30" t="str">
        <f t="shared" si="2538"/>
        <v/>
      </c>
      <c r="FN165" s="30" t="str">
        <f t="shared" si="2539"/>
        <v/>
      </c>
      <c r="FO165" s="30" t="str">
        <f t="shared" si="2540"/>
        <v/>
      </c>
      <c r="FP165" s="30" t="str">
        <f t="shared" si="2541"/>
        <v/>
      </c>
      <c r="FQ165" s="30" t="str">
        <f t="shared" si="2542"/>
        <v/>
      </c>
      <c r="FR165" s="30" t="str">
        <f t="shared" si="2543"/>
        <v/>
      </c>
      <c r="FS165" s="30" t="str">
        <f t="shared" si="2544"/>
        <v/>
      </c>
    </row>
    <row r="166" spans="1:175">
      <c r="A166" s="66"/>
      <c r="B166" s="66"/>
      <c r="C166" s="66"/>
      <c r="T166" s="100"/>
      <c r="U166" s="32"/>
      <c r="CN166" s="7" t="str">
        <f t="shared" si="2469"/>
        <v>InitUnitState('',,,,,,,,,,)</v>
      </c>
      <c r="CO166" s="7" t="str">
        <f t="shared" si="2470"/>
        <v>InitUnitNormal('',,,,,,,,,,)</v>
      </c>
      <c r="CP166" s="7" t="str">
        <f t="shared" si="2471"/>
        <v>InitUnitMagic('',,,,,,,,,,)</v>
      </c>
      <c r="CQ166" s="7" t="str">
        <f t="shared" si="2472"/>
        <v>InitUnitAdd('',,,,,,,,,,)</v>
      </c>
      <c r="CR166" s="7" t="str">
        <f t="shared" si="2473"/>
        <v>InitEquipData('',,"",,,,,'','','','','','',"")</v>
      </c>
      <c r="CU166" s="45" t="str">
        <f t="shared" si="2474"/>
        <v>|n</v>
      </c>
      <c r="CW166" s="24"/>
      <c r="CX166" s="24"/>
      <c r="CY166" s="24"/>
      <c r="CZ166" s="24"/>
      <c r="DA166" s="24"/>
      <c r="DB166" s="30" t="str">
        <f t="shared" si="2475"/>
        <v/>
      </c>
      <c r="DC166" s="30" t="str">
        <f t="shared" si="2476"/>
        <v/>
      </c>
      <c r="DD166" s="30" t="str">
        <f t="shared" si="2477"/>
        <v/>
      </c>
      <c r="DE166" s="30" t="str">
        <f t="shared" si="2478"/>
        <v/>
      </c>
      <c r="DF166" s="30" t="str">
        <f t="shared" si="2479"/>
        <v/>
      </c>
      <c r="DG166" s="30" t="str">
        <f t="shared" si="2480"/>
        <v/>
      </c>
      <c r="DH166" s="30" t="str">
        <f t="shared" si="2481"/>
        <v/>
      </c>
      <c r="DI166" s="30" t="str">
        <f t="shared" si="2482"/>
        <v/>
      </c>
      <c r="DJ166" s="30" t="str">
        <f t="shared" si="2483"/>
        <v/>
      </c>
      <c r="DK166" s="30" t="str">
        <f t="shared" si="2484"/>
        <v/>
      </c>
      <c r="DL166" s="30" t="str">
        <f t="shared" si="2485"/>
        <v/>
      </c>
      <c r="DM166" s="30" t="str">
        <f t="shared" si="2486"/>
        <v/>
      </c>
      <c r="DN166" s="30" t="str">
        <f t="shared" si="2487"/>
        <v/>
      </c>
      <c r="DO166" s="30" t="str">
        <f t="shared" si="2488"/>
        <v/>
      </c>
      <c r="DP166" s="30" t="str">
        <f t="shared" si="2489"/>
        <v/>
      </c>
      <c r="DQ166" s="30" t="str">
        <f t="shared" si="2490"/>
        <v/>
      </c>
      <c r="DR166" s="30" t="str">
        <f t="shared" si="2491"/>
        <v/>
      </c>
      <c r="DS166" s="30" t="str">
        <f t="shared" si="2492"/>
        <v/>
      </c>
      <c r="DT166" s="30" t="str">
        <f t="shared" si="2493"/>
        <v/>
      </c>
      <c r="DU166" s="30" t="str">
        <f t="shared" si="2494"/>
        <v/>
      </c>
      <c r="DV166" s="30" t="str">
        <f t="shared" si="2495"/>
        <v/>
      </c>
      <c r="DW166" s="30" t="str">
        <f t="shared" si="2496"/>
        <v/>
      </c>
      <c r="DX166" s="30" t="str">
        <f t="shared" si="2497"/>
        <v/>
      </c>
      <c r="DY166" s="30" t="str">
        <f t="shared" si="2498"/>
        <v/>
      </c>
      <c r="DZ166" s="30" t="str">
        <f t="shared" si="2499"/>
        <v/>
      </c>
      <c r="EA166" s="30" t="str">
        <f t="shared" si="2500"/>
        <v/>
      </c>
      <c r="EB166" s="30" t="str">
        <f t="shared" si="2501"/>
        <v/>
      </c>
      <c r="EC166" s="30" t="str">
        <f t="shared" si="2502"/>
        <v/>
      </c>
      <c r="ED166" s="30" t="str">
        <f t="shared" si="2503"/>
        <v/>
      </c>
      <c r="EE166" s="30" t="str">
        <f t="shared" si="2504"/>
        <v/>
      </c>
      <c r="EF166" s="30" t="str">
        <f t="shared" si="2505"/>
        <v/>
      </c>
      <c r="EG166" s="30" t="str">
        <f t="shared" si="2506"/>
        <v/>
      </c>
      <c r="EH166" s="30" t="str">
        <f t="shared" si="2507"/>
        <v/>
      </c>
      <c r="EI166" s="30" t="str">
        <f t="shared" si="2508"/>
        <v/>
      </c>
      <c r="EJ166" s="30" t="str">
        <f t="shared" si="2509"/>
        <v/>
      </c>
      <c r="EK166" s="30" t="str">
        <f t="shared" si="2510"/>
        <v/>
      </c>
      <c r="EL166" s="30" t="str">
        <f t="shared" si="2511"/>
        <v/>
      </c>
      <c r="EM166" s="30" t="str">
        <f t="shared" si="2512"/>
        <v/>
      </c>
      <c r="EN166" s="30" t="str">
        <f t="shared" si="2513"/>
        <v/>
      </c>
      <c r="EO166" s="30" t="str">
        <f t="shared" si="2514"/>
        <v/>
      </c>
      <c r="EP166" s="30" t="str">
        <f t="shared" si="2515"/>
        <v/>
      </c>
      <c r="EQ166" s="30" t="str">
        <f t="shared" si="2516"/>
        <v/>
      </c>
      <c r="ER166" s="30" t="str">
        <f t="shared" si="2517"/>
        <v/>
      </c>
      <c r="ES166" s="30" t="str">
        <f t="shared" si="2518"/>
        <v/>
      </c>
      <c r="ET166" s="30" t="str">
        <f t="shared" si="2519"/>
        <v/>
      </c>
      <c r="EU166" s="30" t="str">
        <f t="shared" si="2520"/>
        <v/>
      </c>
      <c r="EV166" s="30" t="str">
        <f t="shared" si="2521"/>
        <v/>
      </c>
      <c r="EW166" s="30" t="str">
        <f t="shared" si="2522"/>
        <v/>
      </c>
      <c r="EX166" s="30" t="str">
        <f t="shared" si="2523"/>
        <v/>
      </c>
      <c r="EY166" s="30" t="str">
        <f t="shared" si="2524"/>
        <v/>
      </c>
      <c r="EZ166" s="30" t="str">
        <f t="shared" si="2525"/>
        <v/>
      </c>
      <c r="FA166" s="30" t="str">
        <f t="shared" si="2526"/>
        <v/>
      </c>
      <c r="FB166" s="30" t="str">
        <f t="shared" si="2527"/>
        <v/>
      </c>
      <c r="FC166" s="30" t="str">
        <f t="shared" si="2528"/>
        <v/>
      </c>
      <c r="FD166" s="30" t="str">
        <f t="shared" si="2529"/>
        <v/>
      </c>
      <c r="FE166" s="30" t="str">
        <f t="shared" si="2530"/>
        <v/>
      </c>
      <c r="FF166" s="30" t="str">
        <f t="shared" si="2531"/>
        <v/>
      </c>
      <c r="FG166" s="30" t="str">
        <f t="shared" si="2532"/>
        <v/>
      </c>
      <c r="FH166" s="30" t="str">
        <f t="shared" si="2533"/>
        <v/>
      </c>
      <c r="FI166" s="30" t="str">
        <f t="shared" si="2534"/>
        <v/>
      </c>
      <c r="FJ166" s="30" t="str">
        <f t="shared" si="2535"/>
        <v/>
      </c>
      <c r="FK166" s="30" t="str">
        <f t="shared" si="2536"/>
        <v/>
      </c>
      <c r="FL166" s="30" t="str">
        <f t="shared" si="2537"/>
        <v/>
      </c>
      <c r="FM166" s="30" t="str">
        <f t="shared" si="2538"/>
        <v/>
      </c>
      <c r="FN166" s="30" t="str">
        <f t="shared" si="2539"/>
        <v/>
      </c>
      <c r="FO166" s="30" t="str">
        <f t="shared" si="2540"/>
        <v/>
      </c>
      <c r="FP166" s="30" t="str">
        <f t="shared" si="2541"/>
        <v/>
      </c>
      <c r="FQ166" s="30" t="str">
        <f t="shared" si="2542"/>
        <v/>
      </c>
      <c r="FR166" s="30" t="str">
        <f t="shared" si="2543"/>
        <v/>
      </c>
      <c r="FS166" s="30" t="str">
        <f t="shared" si="2544"/>
        <v/>
      </c>
    </row>
    <row r="167" spans="1:175" s="24" customFormat="1" ht="16.5">
      <c r="A167" s="46"/>
      <c r="B167" s="36"/>
      <c r="C167" s="46"/>
      <c r="D167" s="31"/>
      <c r="E167" s="39"/>
      <c r="F167" s="41"/>
      <c r="G167" s="47"/>
      <c r="H167" s="47"/>
      <c r="I167" s="47"/>
      <c r="J167" s="47"/>
      <c r="K167" s="47"/>
      <c r="L167" s="47"/>
      <c r="M167" s="47"/>
      <c r="N167" s="47"/>
      <c r="O167" s="47"/>
      <c r="P167" s="42"/>
      <c r="Q167" s="42"/>
      <c r="R167" s="42"/>
      <c r="S167" s="42"/>
      <c r="T167" s="102"/>
      <c r="U167" s="32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4" t="str">
        <f t="shared" si="2469"/>
        <v>InitUnitState('',,,,,,,,,,)</v>
      </c>
      <c r="CO167" s="44" t="str">
        <f t="shared" si="2470"/>
        <v>InitUnitNormal('',,,,,,,,,,)</v>
      </c>
      <c r="CP167" s="44" t="str">
        <f t="shared" si="2471"/>
        <v>InitUnitMagic('',,,,,,,,,,)</v>
      </c>
      <c r="CQ167" s="44" t="str">
        <f t="shared" si="2472"/>
        <v>InitUnitAdd('',,,,,,,,,,)</v>
      </c>
      <c r="CR167" s="44" t="str">
        <f t="shared" si="2473"/>
        <v>InitEquipData('',,"",,,,,'','','','','','',"")</v>
      </c>
      <c r="CS167" s="44"/>
      <c r="CT167" s="44"/>
      <c r="CU167" s="45" t="str">
        <f t="shared" si="2474"/>
        <v>|n</v>
      </c>
      <c r="CV167" s="29"/>
      <c r="DB167" s="30" t="str">
        <f t="shared" si="2475"/>
        <v/>
      </c>
      <c r="DC167" s="30" t="str">
        <f t="shared" si="2476"/>
        <v/>
      </c>
      <c r="DD167" s="30" t="str">
        <f t="shared" si="2477"/>
        <v/>
      </c>
      <c r="DE167" s="30" t="str">
        <f t="shared" si="2478"/>
        <v/>
      </c>
      <c r="DF167" s="30" t="str">
        <f t="shared" si="2479"/>
        <v/>
      </c>
      <c r="DG167" s="30" t="str">
        <f t="shared" si="2480"/>
        <v/>
      </c>
      <c r="DH167" s="30" t="str">
        <f t="shared" si="2481"/>
        <v/>
      </c>
      <c r="DI167" s="30" t="str">
        <f t="shared" si="2482"/>
        <v/>
      </c>
      <c r="DJ167" s="30" t="str">
        <f t="shared" si="2483"/>
        <v/>
      </c>
      <c r="DK167" s="30" t="str">
        <f t="shared" si="2484"/>
        <v/>
      </c>
      <c r="DL167" s="30" t="str">
        <f t="shared" si="2485"/>
        <v/>
      </c>
      <c r="DM167" s="30" t="str">
        <f t="shared" si="2486"/>
        <v/>
      </c>
      <c r="DN167" s="30" t="str">
        <f t="shared" si="2487"/>
        <v/>
      </c>
      <c r="DO167" s="30" t="str">
        <f t="shared" si="2488"/>
        <v/>
      </c>
      <c r="DP167" s="30" t="str">
        <f t="shared" si="2489"/>
        <v/>
      </c>
      <c r="DQ167" s="30" t="str">
        <f t="shared" si="2490"/>
        <v/>
      </c>
      <c r="DR167" s="30" t="str">
        <f t="shared" si="2491"/>
        <v/>
      </c>
      <c r="DS167" s="30" t="str">
        <f t="shared" si="2492"/>
        <v/>
      </c>
      <c r="DT167" s="30" t="str">
        <f t="shared" si="2493"/>
        <v/>
      </c>
      <c r="DU167" s="30" t="str">
        <f t="shared" si="2494"/>
        <v/>
      </c>
      <c r="DV167" s="30" t="str">
        <f t="shared" si="2495"/>
        <v/>
      </c>
      <c r="DW167" s="30" t="str">
        <f t="shared" si="2496"/>
        <v/>
      </c>
      <c r="DX167" s="30" t="str">
        <f t="shared" si="2497"/>
        <v/>
      </c>
      <c r="DY167" s="30" t="str">
        <f t="shared" si="2498"/>
        <v/>
      </c>
      <c r="DZ167" s="30" t="str">
        <f t="shared" si="2499"/>
        <v/>
      </c>
      <c r="EA167" s="30" t="str">
        <f t="shared" si="2500"/>
        <v/>
      </c>
      <c r="EB167" s="30" t="str">
        <f t="shared" si="2501"/>
        <v/>
      </c>
      <c r="EC167" s="30" t="str">
        <f t="shared" si="2502"/>
        <v/>
      </c>
      <c r="ED167" s="30" t="str">
        <f t="shared" si="2503"/>
        <v/>
      </c>
      <c r="EE167" s="30" t="str">
        <f t="shared" si="2504"/>
        <v/>
      </c>
      <c r="EF167" s="30" t="str">
        <f t="shared" si="2505"/>
        <v/>
      </c>
      <c r="EG167" s="30" t="str">
        <f t="shared" si="2506"/>
        <v/>
      </c>
      <c r="EH167" s="30" t="str">
        <f t="shared" si="2507"/>
        <v/>
      </c>
      <c r="EI167" s="30" t="str">
        <f t="shared" si="2508"/>
        <v/>
      </c>
      <c r="EJ167" s="30" t="str">
        <f t="shared" si="2509"/>
        <v/>
      </c>
      <c r="EK167" s="30" t="str">
        <f t="shared" si="2510"/>
        <v/>
      </c>
      <c r="EL167" s="30" t="str">
        <f t="shared" si="2511"/>
        <v/>
      </c>
      <c r="EM167" s="30" t="str">
        <f t="shared" si="2512"/>
        <v/>
      </c>
      <c r="EN167" s="30" t="str">
        <f t="shared" si="2513"/>
        <v/>
      </c>
      <c r="EO167" s="30" t="str">
        <f t="shared" si="2514"/>
        <v/>
      </c>
      <c r="EP167" s="30" t="str">
        <f t="shared" si="2515"/>
        <v/>
      </c>
      <c r="EQ167" s="30" t="str">
        <f t="shared" si="2516"/>
        <v/>
      </c>
      <c r="ER167" s="30" t="str">
        <f t="shared" si="2517"/>
        <v/>
      </c>
      <c r="ES167" s="30" t="str">
        <f t="shared" si="2518"/>
        <v/>
      </c>
      <c r="ET167" s="30" t="str">
        <f t="shared" si="2519"/>
        <v/>
      </c>
      <c r="EU167" s="30" t="str">
        <f t="shared" si="2520"/>
        <v/>
      </c>
      <c r="EV167" s="30" t="str">
        <f t="shared" si="2521"/>
        <v/>
      </c>
      <c r="EW167" s="30" t="str">
        <f t="shared" si="2522"/>
        <v/>
      </c>
      <c r="EX167" s="30" t="str">
        <f t="shared" si="2523"/>
        <v/>
      </c>
      <c r="EY167" s="30" t="str">
        <f t="shared" si="2524"/>
        <v/>
      </c>
      <c r="EZ167" s="30" t="str">
        <f t="shared" si="2525"/>
        <v/>
      </c>
      <c r="FA167" s="30" t="str">
        <f t="shared" si="2526"/>
        <v/>
      </c>
      <c r="FB167" s="30" t="str">
        <f t="shared" si="2527"/>
        <v/>
      </c>
      <c r="FC167" s="30" t="str">
        <f t="shared" si="2528"/>
        <v/>
      </c>
      <c r="FD167" s="30" t="str">
        <f t="shared" si="2529"/>
        <v/>
      </c>
      <c r="FE167" s="30" t="str">
        <f t="shared" si="2530"/>
        <v/>
      </c>
      <c r="FF167" s="30" t="str">
        <f t="shared" si="2531"/>
        <v/>
      </c>
      <c r="FG167" s="30" t="str">
        <f t="shared" si="2532"/>
        <v/>
      </c>
      <c r="FH167" s="30" t="str">
        <f t="shared" si="2533"/>
        <v/>
      </c>
      <c r="FI167" s="30" t="str">
        <f t="shared" si="2534"/>
        <v/>
      </c>
      <c r="FJ167" s="30" t="str">
        <f t="shared" si="2535"/>
        <v/>
      </c>
      <c r="FK167" s="30" t="str">
        <f t="shared" si="2536"/>
        <v/>
      </c>
      <c r="FL167" s="30" t="str">
        <f t="shared" si="2537"/>
        <v/>
      </c>
      <c r="FM167" s="30" t="str">
        <f t="shared" si="2538"/>
        <v/>
      </c>
      <c r="FN167" s="30" t="str">
        <f t="shared" si="2539"/>
        <v/>
      </c>
      <c r="FO167" s="30" t="str">
        <f t="shared" si="2540"/>
        <v/>
      </c>
      <c r="FP167" s="30" t="str">
        <f t="shared" si="2541"/>
        <v/>
      </c>
      <c r="FQ167" s="30" t="str">
        <f t="shared" si="2542"/>
        <v/>
      </c>
      <c r="FR167" s="30" t="str">
        <f t="shared" si="2543"/>
        <v/>
      </c>
      <c r="FS167" s="30" t="str">
        <f t="shared" si="2544"/>
        <v/>
      </c>
    </row>
    <row r="168" spans="1:175" s="24" customFormat="1" ht="16.5">
      <c r="A168" s="46"/>
      <c r="B168" s="36"/>
      <c r="C168" s="46"/>
      <c r="D168" s="31"/>
      <c r="E168" s="39"/>
      <c r="F168" s="41"/>
      <c r="G168" s="47"/>
      <c r="H168" s="47"/>
      <c r="I168" s="47"/>
      <c r="J168" s="47"/>
      <c r="K168" s="47"/>
      <c r="L168" s="47"/>
      <c r="M168" s="47"/>
      <c r="N168" s="47"/>
      <c r="O168" s="47"/>
      <c r="P168" s="42"/>
      <c r="Q168" s="42"/>
      <c r="R168" s="42"/>
      <c r="S168" s="42"/>
      <c r="T168" s="102"/>
      <c r="U168" s="32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4" t="str">
        <f t="shared" si="2469"/>
        <v>InitUnitState('',,,,,,,,,,)</v>
      </c>
      <c r="CO168" s="44" t="str">
        <f t="shared" si="2470"/>
        <v>InitUnitNormal('',,,,,,,,,,)</v>
      </c>
      <c r="CP168" s="44" t="str">
        <f t="shared" si="2471"/>
        <v>InitUnitMagic('',,,,,,,,,,)</v>
      </c>
      <c r="CQ168" s="44" t="str">
        <f t="shared" si="2472"/>
        <v>InitUnitAdd('',,,,,,,,,,)</v>
      </c>
      <c r="CR168" s="44" t="str">
        <f t="shared" si="2473"/>
        <v>InitEquipData('',,"",,,,,'','','','','','',"")</v>
      </c>
      <c r="CS168" s="44"/>
      <c r="CT168" s="44"/>
      <c r="CU168" s="45" t="str">
        <f t="shared" si="2474"/>
        <v>|n</v>
      </c>
      <c r="CV168" s="29"/>
      <c r="DB168" s="30" t="str">
        <f t="shared" si="2475"/>
        <v/>
      </c>
      <c r="DC168" s="30" t="str">
        <f t="shared" si="2476"/>
        <v/>
      </c>
      <c r="DD168" s="30" t="str">
        <f t="shared" si="2477"/>
        <v/>
      </c>
      <c r="DE168" s="30" t="str">
        <f t="shared" si="2478"/>
        <v/>
      </c>
      <c r="DF168" s="30" t="str">
        <f t="shared" si="2479"/>
        <v/>
      </c>
      <c r="DG168" s="30" t="str">
        <f t="shared" si="2480"/>
        <v/>
      </c>
      <c r="DH168" s="30" t="str">
        <f t="shared" si="2481"/>
        <v/>
      </c>
      <c r="DI168" s="30" t="str">
        <f t="shared" si="2482"/>
        <v/>
      </c>
      <c r="DJ168" s="30" t="str">
        <f t="shared" si="2483"/>
        <v/>
      </c>
      <c r="DK168" s="30" t="str">
        <f t="shared" si="2484"/>
        <v/>
      </c>
      <c r="DL168" s="30" t="str">
        <f t="shared" si="2485"/>
        <v/>
      </c>
      <c r="DM168" s="30" t="str">
        <f t="shared" si="2486"/>
        <v/>
      </c>
      <c r="DN168" s="30" t="str">
        <f t="shared" si="2487"/>
        <v/>
      </c>
      <c r="DO168" s="30" t="str">
        <f t="shared" si="2488"/>
        <v/>
      </c>
      <c r="DP168" s="30" t="str">
        <f t="shared" si="2489"/>
        <v/>
      </c>
      <c r="DQ168" s="30" t="str">
        <f t="shared" si="2490"/>
        <v/>
      </c>
      <c r="DR168" s="30" t="str">
        <f t="shared" si="2491"/>
        <v/>
      </c>
      <c r="DS168" s="30" t="str">
        <f t="shared" si="2492"/>
        <v/>
      </c>
      <c r="DT168" s="30" t="str">
        <f t="shared" si="2493"/>
        <v/>
      </c>
      <c r="DU168" s="30" t="str">
        <f t="shared" si="2494"/>
        <v/>
      </c>
      <c r="DV168" s="30" t="str">
        <f t="shared" si="2495"/>
        <v/>
      </c>
      <c r="DW168" s="30" t="str">
        <f t="shared" si="2496"/>
        <v/>
      </c>
      <c r="DX168" s="30" t="str">
        <f t="shared" si="2497"/>
        <v/>
      </c>
      <c r="DY168" s="30" t="str">
        <f t="shared" si="2498"/>
        <v/>
      </c>
      <c r="DZ168" s="30" t="str">
        <f t="shared" si="2499"/>
        <v/>
      </c>
      <c r="EA168" s="30" t="str">
        <f t="shared" si="2500"/>
        <v/>
      </c>
      <c r="EB168" s="30" t="str">
        <f t="shared" si="2501"/>
        <v/>
      </c>
      <c r="EC168" s="30" t="str">
        <f t="shared" si="2502"/>
        <v/>
      </c>
      <c r="ED168" s="30" t="str">
        <f t="shared" si="2503"/>
        <v/>
      </c>
      <c r="EE168" s="30" t="str">
        <f t="shared" si="2504"/>
        <v/>
      </c>
      <c r="EF168" s="30" t="str">
        <f t="shared" si="2505"/>
        <v/>
      </c>
      <c r="EG168" s="30" t="str">
        <f t="shared" si="2506"/>
        <v/>
      </c>
      <c r="EH168" s="30" t="str">
        <f t="shared" si="2507"/>
        <v/>
      </c>
      <c r="EI168" s="30" t="str">
        <f t="shared" si="2508"/>
        <v/>
      </c>
      <c r="EJ168" s="30" t="str">
        <f t="shared" si="2509"/>
        <v/>
      </c>
      <c r="EK168" s="30" t="str">
        <f t="shared" si="2510"/>
        <v/>
      </c>
      <c r="EL168" s="30" t="str">
        <f t="shared" si="2511"/>
        <v/>
      </c>
      <c r="EM168" s="30" t="str">
        <f t="shared" si="2512"/>
        <v/>
      </c>
      <c r="EN168" s="30" t="str">
        <f t="shared" si="2513"/>
        <v/>
      </c>
      <c r="EO168" s="30" t="str">
        <f t="shared" si="2514"/>
        <v/>
      </c>
      <c r="EP168" s="30" t="str">
        <f t="shared" si="2515"/>
        <v/>
      </c>
      <c r="EQ168" s="30" t="str">
        <f t="shared" si="2516"/>
        <v/>
      </c>
      <c r="ER168" s="30" t="str">
        <f t="shared" si="2517"/>
        <v/>
      </c>
      <c r="ES168" s="30" t="str">
        <f t="shared" si="2518"/>
        <v/>
      </c>
      <c r="ET168" s="30" t="str">
        <f t="shared" si="2519"/>
        <v/>
      </c>
      <c r="EU168" s="30" t="str">
        <f t="shared" si="2520"/>
        <v/>
      </c>
      <c r="EV168" s="30" t="str">
        <f t="shared" si="2521"/>
        <v/>
      </c>
      <c r="EW168" s="30" t="str">
        <f t="shared" si="2522"/>
        <v/>
      </c>
      <c r="EX168" s="30" t="str">
        <f t="shared" si="2523"/>
        <v/>
      </c>
      <c r="EY168" s="30" t="str">
        <f t="shared" si="2524"/>
        <v/>
      </c>
      <c r="EZ168" s="30" t="str">
        <f t="shared" si="2525"/>
        <v/>
      </c>
      <c r="FA168" s="30" t="str">
        <f t="shared" si="2526"/>
        <v/>
      </c>
      <c r="FB168" s="30" t="str">
        <f t="shared" si="2527"/>
        <v/>
      </c>
      <c r="FC168" s="30" t="str">
        <f t="shared" si="2528"/>
        <v/>
      </c>
      <c r="FD168" s="30" t="str">
        <f t="shared" si="2529"/>
        <v/>
      </c>
      <c r="FE168" s="30" t="str">
        <f t="shared" si="2530"/>
        <v/>
      </c>
      <c r="FF168" s="30" t="str">
        <f t="shared" si="2531"/>
        <v/>
      </c>
      <c r="FG168" s="30" t="str">
        <f t="shared" si="2532"/>
        <v/>
      </c>
      <c r="FH168" s="30" t="str">
        <f t="shared" si="2533"/>
        <v/>
      </c>
      <c r="FI168" s="30" t="str">
        <f t="shared" si="2534"/>
        <v/>
      </c>
      <c r="FJ168" s="30" t="str">
        <f t="shared" si="2535"/>
        <v/>
      </c>
      <c r="FK168" s="30" t="str">
        <f t="shared" si="2536"/>
        <v/>
      </c>
      <c r="FL168" s="30" t="str">
        <f t="shared" si="2537"/>
        <v/>
      </c>
      <c r="FM168" s="30" t="str">
        <f t="shared" si="2538"/>
        <v/>
      </c>
      <c r="FN168" s="30" t="str">
        <f t="shared" si="2539"/>
        <v/>
      </c>
      <c r="FO168" s="30" t="str">
        <f t="shared" si="2540"/>
        <v/>
      </c>
      <c r="FP168" s="30" t="str">
        <f t="shared" si="2541"/>
        <v/>
      </c>
      <c r="FQ168" s="30" t="str">
        <f t="shared" si="2542"/>
        <v/>
      </c>
      <c r="FR168" s="30" t="str">
        <f t="shared" si="2543"/>
        <v/>
      </c>
      <c r="FS168" s="30" t="str">
        <f t="shared" si="2544"/>
        <v/>
      </c>
    </row>
    <row r="169" spans="1:175" s="24" customFormat="1" ht="16.5">
      <c r="A169" s="46"/>
      <c r="B169" s="36"/>
      <c r="C169" s="46"/>
      <c r="D169" s="31"/>
      <c r="E169" s="39"/>
      <c r="F169" s="41"/>
      <c r="G169" s="47"/>
      <c r="H169" s="47"/>
      <c r="I169" s="47"/>
      <c r="J169" s="47"/>
      <c r="K169" s="47"/>
      <c r="L169" s="47"/>
      <c r="M169" s="47"/>
      <c r="N169" s="47"/>
      <c r="O169" s="47"/>
      <c r="P169" s="42"/>
      <c r="Q169" s="42"/>
      <c r="R169" s="42"/>
      <c r="S169" s="42"/>
      <c r="T169" s="102"/>
      <c r="U169" s="32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4" t="str">
        <f t="shared" si="2469"/>
        <v>InitUnitState('',,,,,,,,,,)</v>
      </c>
      <c r="CO169" s="44" t="str">
        <f t="shared" si="2470"/>
        <v>InitUnitNormal('',,,,,,,,,,)</v>
      </c>
      <c r="CP169" s="44" t="str">
        <f t="shared" si="2471"/>
        <v>InitUnitMagic('',,,,,,,,,,)</v>
      </c>
      <c r="CQ169" s="44" t="str">
        <f t="shared" si="2472"/>
        <v>InitUnitAdd('',,,,,,,,,,)</v>
      </c>
      <c r="CR169" s="44" t="str">
        <f t="shared" si="2473"/>
        <v>InitEquipData('',,"",,,,,'','','','','','',"")</v>
      </c>
      <c r="CS169" s="44"/>
      <c r="CT169" s="44"/>
      <c r="CU169" s="45" t="str">
        <f t="shared" si="2474"/>
        <v>|n</v>
      </c>
      <c r="CV169" s="29"/>
      <c r="DB169" s="30" t="str">
        <f t="shared" si="2475"/>
        <v/>
      </c>
      <c r="DC169" s="30" t="str">
        <f t="shared" si="2476"/>
        <v/>
      </c>
      <c r="DD169" s="30" t="str">
        <f t="shared" si="2477"/>
        <v/>
      </c>
      <c r="DE169" s="30" t="str">
        <f t="shared" si="2478"/>
        <v/>
      </c>
      <c r="DF169" s="30" t="str">
        <f t="shared" si="2479"/>
        <v/>
      </c>
      <c r="DG169" s="30" t="str">
        <f t="shared" si="2480"/>
        <v/>
      </c>
      <c r="DH169" s="30" t="str">
        <f t="shared" si="2481"/>
        <v/>
      </c>
      <c r="DI169" s="30" t="str">
        <f t="shared" si="2482"/>
        <v/>
      </c>
      <c r="DJ169" s="30" t="str">
        <f t="shared" si="2483"/>
        <v/>
      </c>
      <c r="DK169" s="30" t="str">
        <f t="shared" si="2484"/>
        <v/>
      </c>
      <c r="DL169" s="30" t="str">
        <f t="shared" si="2485"/>
        <v/>
      </c>
      <c r="DM169" s="30" t="str">
        <f t="shared" si="2486"/>
        <v/>
      </c>
      <c r="DN169" s="30" t="str">
        <f t="shared" si="2487"/>
        <v/>
      </c>
      <c r="DO169" s="30" t="str">
        <f t="shared" si="2488"/>
        <v/>
      </c>
      <c r="DP169" s="30" t="str">
        <f t="shared" si="2489"/>
        <v/>
      </c>
      <c r="DQ169" s="30" t="str">
        <f t="shared" si="2490"/>
        <v/>
      </c>
      <c r="DR169" s="30" t="str">
        <f t="shared" si="2491"/>
        <v/>
      </c>
      <c r="DS169" s="30" t="str">
        <f t="shared" si="2492"/>
        <v/>
      </c>
      <c r="DT169" s="30" t="str">
        <f t="shared" si="2493"/>
        <v/>
      </c>
      <c r="DU169" s="30" t="str">
        <f t="shared" si="2494"/>
        <v/>
      </c>
      <c r="DV169" s="30" t="str">
        <f t="shared" si="2495"/>
        <v/>
      </c>
      <c r="DW169" s="30" t="str">
        <f t="shared" si="2496"/>
        <v/>
      </c>
      <c r="DX169" s="30" t="str">
        <f t="shared" si="2497"/>
        <v/>
      </c>
      <c r="DY169" s="30" t="str">
        <f t="shared" si="2498"/>
        <v/>
      </c>
      <c r="DZ169" s="30" t="str">
        <f t="shared" si="2499"/>
        <v/>
      </c>
      <c r="EA169" s="30" t="str">
        <f t="shared" si="2500"/>
        <v/>
      </c>
      <c r="EB169" s="30" t="str">
        <f t="shared" si="2501"/>
        <v/>
      </c>
      <c r="EC169" s="30" t="str">
        <f t="shared" si="2502"/>
        <v/>
      </c>
      <c r="ED169" s="30" t="str">
        <f t="shared" si="2503"/>
        <v/>
      </c>
      <c r="EE169" s="30" t="str">
        <f t="shared" si="2504"/>
        <v/>
      </c>
      <c r="EF169" s="30" t="str">
        <f t="shared" si="2505"/>
        <v/>
      </c>
      <c r="EG169" s="30" t="str">
        <f t="shared" si="2506"/>
        <v/>
      </c>
      <c r="EH169" s="30" t="str">
        <f t="shared" si="2507"/>
        <v/>
      </c>
      <c r="EI169" s="30" t="str">
        <f t="shared" si="2508"/>
        <v/>
      </c>
      <c r="EJ169" s="30" t="str">
        <f t="shared" si="2509"/>
        <v/>
      </c>
      <c r="EK169" s="30" t="str">
        <f t="shared" si="2510"/>
        <v/>
      </c>
      <c r="EL169" s="30" t="str">
        <f t="shared" si="2511"/>
        <v/>
      </c>
      <c r="EM169" s="30" t="str">
        <f t="shared" si="2512"/>
        <v/>
      </c>
      <c r="EN169" s="30" t="str">
        <f t="shared" si="2513"/>
        <v/>
      </c>
      <c r="EO169" s="30" t="str">
        <f t="shared" si="2514"/>
        <v/>
      </c>
      <c r="EP169" s="30" t="str">
        <f t="shared" si="2515"/>
        <v/>
      </c>
      <c r="EQ169" s="30" t="str">
        <f t="shared" si="2516"/>
        <v/>
      </c>
      <c r="ER169" s="30" t="str">
        <f t="shared" si="2517"/>
        <v/>
      </c>
      <c r="ES169" s="30" t="str">
        <f t="shared" si="2518"/>
        <v/>
      </c>
      <c r="ET169" s="30" t="str">
        <f t="shared" si="2519"/>
        <v/>
      </c>
      <c r="EU169" s="30" t="str">
        <f t="shared" si="2520"/>
        <v/>
      </c>
      <c r="EV169" s="30" t="str">
        <f t="shared" si="2521"/>
        <v/>
      </c>
      <c r="EW169" s="30" t="str">
        <f t="shared" si="2522"/>
        <v/>
      </c>
      <c r="EX169" s="30" t="str">
        <f t="shared" si="2523"/>
        <v/>
      </c>
      <c r="EY169" s="30" t="str">
        <f t="shared" si="2524"/>
        <v/>
      </c>
      <c r="EZ169" s="30" t="str">
        <f t="shared" si="2525"/>
        <v/>
      </c>
      <c r="FA169" s="30" t="str">
        <f t="shared" si="2526"/>
        <v/>
      </c>
      <c r="FB169" s="30" t="str">
        <f t="shared" si="2527"/>
        <v/>
      </c>
      <c r="FC169" s="30" t="str">
        <f t="shared" si="2528"/>
        <v/>
      </c>
      <c r="FD169" s="30" t="str">
        <f t="shared" si="2529"/>
        <v/>
      </c>
      <c r="FE169" s="30" t="str">
        <f t="shared" si="2530"/>
        <v/>
      </c>
      <c r="FF169" s="30" t="str">
        <f t="shared" si="2531"/>
        <v/>
      </c>
      <c r="FG169" s="30" t="str">
        <f t="shared" si="2532"/>
        <v/>
      </c>
      <c r="FH169" s="30" t="str">
        <f t="shared" si="2533"/>
        <v/>
      </c>
      <c r="FI169" s="30" t="str">
        <f t="shared" si="2534"/>
        <v/>
      </c>
      <c r="FJ169" s="30" t="str">
        <f t="shared" si="2535"/>
        <v/>
      </c>
      <c r="FK169" s="30" t="str">
        <f t="shared" si="2536"/>
        <v/>
      </c>
      <c r="FL169" s="30" t="str">
        <f t="shared" si="2537"/>
        <v/>
      </c>
      <c r="FM169" s="30" t="str">
        <f t="shared" si="2538"/>
        <v/>
      </c>
      <c r="FN169" s="30" t="str">
        <f t="shared" si="2539"/>
        <v/>
      </c>
      <c r="FO169" s="30" t="str">
        <f t="shared" si="2540"/>
        <v/>
      </c>
      <c r="FP169" s="30" t="str">
        <f t="shared" si="2541"/>
        <v/>
      </c>
      <c r="FQ169" s="30" t="str">
        <f t="shared" si="2542"/>
        <v/>
      </c>
      <c r="FR169" s="30" t="str">
        <f t="shared" si="2543"/>
        <v/>
      </c>
      <c r="FS169" s="30" t="str">
        <f t="shared" si="2544"/>
        <v/>
      </c>
    </row>
    <row r="170" spans="1:175" s="24" customFormat="1" ht="16.5">
      <c r="A170" s="46"/>
      <c r="B170" s="36"/>
      <c r="C170" s="46"/>
      <c r="D170" s="31"/>
      <c r="E170" s="39"/>
      <c r="F170" s="41"/>
      <c r="G170" s="47"/>
      <c r="H170" s="47"/>
      <c r="I170" s="47"/>
      <c r="J170" s="47"/>
      <c r="K170" s="47"/>
      <c r="L170" s="47"/>
      <c r="M170" s="47"/>
      <c r="N170" s="47"/>
      <c r="O170" s="47"/>
      <c r="P170" s="42"/>
      <c r="Q170" s="42"/>
      <c r="R170" s="42"/>
      <c r="S170" s="42"/>
      <c r="T170" s="102"/>
      <c r="U170" s="32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4" t="str">
        <f t="shared" si="2469"/>
        <v>InitUnitState('',,,,,,,,,,)</v>
      </c>
      <c r="CO170" s="44" t="str">
        <f t="shared" si="2470"/>
        <v>InitUnitNormal('',,,,,,,,,,)</v>
      </c>
      <c r="CP170" s="44" t="str">
        <f t="shared" si="2471"/>
        <v>InitUnitMagic('',,,,,,,,,,)</v>
      </c>
      <c r="CQ170" s="44" t="str">
        <f t="shared" si="2472"/>
        <v>InitUnitAdd('',,,,,,,,,,)</v>
      </c>
      <c r="CR170" s="44" t="str">
        <f t="shared" si="2473"/>
        <v>InitEquipData('',,"",,,,,'','','','','','',"")</v>
      </c>
      <c r="CS170" s="44"/>
      <c r="CT170" s="44"/>
      <c r="CU170" s="45" t="str">
        <f t="shared" si="2474"/>
        <v>|n</v>
      </c>
      <c r="CV170" s="29"/>
      <c r="DB170" s="30" t="str">
        <f t="shared" si="2475"/>
        <v/>
      </c>
      <c r="DC170" s="30" t="str">
        <f t="shared" si="2476"/>
        <v/>
      </c>
      <c r="DD170" s="30" t="str">
        <f t="shared" si="2477"/>
        <v/>
      </c>
      <c r="DE170" s="30" t="str">
        <f t="shared" si="2478"/>
        <v/>
      </c>
      <c r="DF170" s="30" t="str">
        <f t="shared" si="2479"/>
        <v/>
      </c>
      <c r="DG170" s="30" t="str">
        <f t="shared" si="2480"/>
        <v/>
      </c>
      <c r="DH170" s="30" t="str">
        <f t="shared" si="2481"/>
        <v/>
      </c>
      <c r="DI170" s="30" t="str">
        <f t="shared" si="2482"/>
        <v/>
      </c>
      <c r="DJ170" s="30" t="str">
        <f t="shared" si="2483"/>
        <v/>
      </c>
      <c r="DK170" s="30" t="str">
        <f t="shared" si="2484"/>
        <v/>
      </c>
      <c r="DL170" s="30" t="str">
        <f t="shared" si="2485"/>
        <v/>
      </c>
      <c r="DM170" s="30" t="str">
        <f t="shared" si="2486"/>
        <v/>
      </c>
      <c r="DN170" s="30" t="str">
        <f t="shared" si="2487"/>
        <v/>
      </c>
      <c r="DO170" s="30" t="str">
        <f t="shared" si="2488"/>
        <v/>
      </c>
      <c r="DP170" s="30" t="str">
        <f t="shared" si="2489"/>
        <v/>
      </c>
      <c r="DQ170" s="30" t="str">
        <f t="shared" si="2490"/>
        <v/>
      </c>
      <c r="DR170" s="30" t="str">
        <f t="shared" si="2491"/>
        <v/>
      </c>
      <c r="DS170" s="30" t="str">
        <f t="shared" si="2492"/>
        <v/>
      </c>
      <c r="DT170" s="30" t="str">
        <f t="shared" si="2493"/>
        <v/>
      </c>
      <c r="DU170" s="30" t="str">
        <f t="shared" si="2494"/>
        <v/>
      </c>
      <c r="DV170" s="30" t="str">
        <f t="shared" si="2495"/>
        <v/>
      </c>
      <c r="DW170" s="30" t="str">
        <f t="shared" si="2496"/>
        <v/>
      </c>
      <c r="DX170" s="30" t="str">
        <f t="shared" si="2497"/>
        <v/>
      </c>
      <c r="DY170" s="30" t="str">
        <f t="shared" si="2498"/>
        <v/>
      </c>
      <c r="DZ170" s="30" t="str">
        <f t="shared" si="2499"/>
        <v/>
      </c>
      <c r="EA170" s="30" t="str">
        <f t="shared" si="2500"/>
        <v/>
      </c>
      <c r="EB170" s="30" t="str">
        <f t="shared" si="2501"/>
        <v/>
      </c>
      <c r="EC170" s="30" t="str">
        <f t="shared" si="2502"/>
        <v/>
      </c>
      <c r="ED170" s="30" t="str">
        <f t="shared" si="2503"/>
        <v/>
      </c>
      <c r="EE170" s="30" t="str">
        <f t="shared" si="2504"/>
        <v/>
      </c>
      <c r="EF170" s="30" t="str">
        <f t="shared" si="2505"/>
        <v/>
      </c>
      <c r="EG170" s="30" t="str">
        <f t="shared" si="2506"/>
        <v/>
      </c>
      <c r="EH170" s="30" t="str">
        <f t="shared" si="2507"/>
        <v/>
      </c>
      <c r="EI170" s="30" t="str">
        <f t="shared" si="2508"/>
        <v/>
      </c>
      <c r="EJ170" s="30" t="str">
        <f t="shared" si="2509"/>
        <v/>
      </c>
      <c r="EK170" s="30" t="str">
        <f t="shared" si="2510"/>
        <v/>
      </c>
      <c r="EL170" s="30" t="str">
        <f t="shared" si="2511"/>
        <v/>
      </c>
      <c r="EM170" s="30" t="str">
        <f t="shared" si="2512"/>
        <v/>
      </c>
      <c r="EN170" s="30" t="str">
        <f t="shared" si="2513"/>
        <v/>
      </c>
      <c r="EO170" s="30" t="str">
        <f t="shared" si="2514"/>
        <v/>
      </c>
      <c r="EP170" s="30" t="str">
        <f t="shared" si="2515"/>
        <v/>
      </c>
      <c r="EQ170" s="30" t="str">
        <f t="shared" si="2516"/>
        <v/>
      </c>
      <c r="ER170" s="30" t="str">
        <f t="shared" si="2517"/>
        <v/>
      </c>
      <c r="ES170" s="30" t="str">
        <f t="shared" si="2518"/>
        <v/>
      </c>
      <c r="ET170" s="30" t="str">
        <f t="shared" si="2519"/>
        <v/>
      </c>
      <c r="EU170" s="30" t="str">
        <f t="shared" si="2520"/>
        <v/>
      </c>
      <c r="EV170" s="30" t="str">
        <f t="shared" si="2521"/>
        <v/>
      </c>
      <c r="EW170" s="30" t="str">
        <f t="shared" si="2522"/>
        <v/>
      </c>
      <c r="EX170" s="30" t="str">
        <f t="shared" si="2523"/>
        <v/>
      </c>
      <c r="EY170" s="30" t="str">
        <f t="shared" si="2524"/>
        <v/>
      </c>
      <c r="EZ170" s="30" t="str">
        <f t="shared" si="2525"/>
        <v/>
      </c>
      <c r="FA170" s="30" t="str">
        <f t="shared" si="2526"/>
        <v/>
      </c>
      <c r="FB170" s="30" t="str">
        <f t="shared" si="2527"/>
        <v/>
      </c>
      <c r="FC170" s="30" t="str">
        <f t="shared" si="2528"/>
        <v/>
      </c>
      <c r="FD170" s="30" t="str">
        <f t="shared" si="2529"/>
        <v/>
      </c>
      <c r="FE170" s="30" t="str">
        <f t="shared" si="2530"/>
        <v/>
      </c>
      <c r="FF170" s="30" t="str">
        <f t="shared" si="2531"/>
        <v/>
      </c>
      <c r="FG170" s="30" t="str">
        <f t="shared" si="2532"/>
        <v/>
      </c>
      <c r="FH170" s="30" t="str">
        <f t="shared" si="2533"/>
        <v/>
      </c>
      <c r="FI170" s="30" t="str">
        <f t="shared" si="2534"/>
        <v/>
      </c>
      <c r="FJ170" s="30" t="str">
        <f t="shared" si="2535"/>
        <v/>
      </c>
      <c r="FK170" s="30" t="str">
        <f t="shared" si="2536"/>
        <v/>
      </c>
      <c r="FL170" s="30" t="str">
        <f t="shared" si="2537"/>
        <v/>
      </c>
      <c r="FM170" s="30" t="str">
        <f t="shared" si="2538"/>
        <v/>
      </c>
      <c r="FN170" s="30" t="str">
        <f t="shared" si="2539"/>
        <v/>
      </c>
      <c r="FO170" s="30" t="str">
        <f t="shared" si="2540"/>
        <v/>
      </c>
      <c r="FP170" s="30" t="str">
        <f t="shared" si="2541"/>
        <v/>
      </c>
      <c r="FQ170" s="30" t="str">
        <f t="shared" si="2542"/>
        <v/>
      </c>
      <c r="FR170" s="30" t="str">
        <f t="shared" si="2543"/>
        <v/>
      </c>
      <c r="FS170" s="30" t="str">
        <f t="shared" si="2544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 t="shared" si="2469"/>
        <v>InitUnitState('',,,,,,,,,,)</v>
      </c>
      <c r="CO171" s="44" t="str">
        <f t="shared" si="2470"/>
        <v>InitUnitNormal('',,,,,,,,,,)</v>
      </c>
      <c r="CP171" s="44" t="str">
        <f t="shared" si="2471"/>
        <v>InitUnitMagic('',,,,,,,,,,)</v>
      </c>
      <c r="CQ171" s="44" t="str">
        <f t="shared" si="2472"/>
        <v>InitUnitAdd('',,,,,,,,,,)</v>
      </c>
      <c r="CR171" s="44" t="str">
        <f t="shared" si="2473"/>
        <v>InitEquipData('',,"",,,,,'','','','','','',"")</v>
      </c>
      <c r="CS171" s="44"/>
      <c r="CT171" s="44"/>
      <c r="CU171" s="45" t="str">
        <f t="shared" si="2474"/>
        <v>|n</v>
      </c>
      <c r="CV171" s="29"/>
      <c r="DB171" s="30" t="str">
        <f t="shared" si="2475"/>
        <v/>
      </c>
      <c r="DC171" s="30" t="str">
        <f t="shared" si="2476"/>
        <v/>
      </c>
      <c r="DD171" s="30" t="str">
        <f t="shared" si="2477"/>
        <v/>
      </c>
      <c r="DE171" s="30" t="str">
        <f t="shared" si="2478"/>
        <v/>
      </c>
      <c r="DF171" s="30" t="str">
        <f t="shared" si="2479"/>
        <v/>
      </c>
      <c r="DG171" s="30" t="str">
        <f t="shared" si="2480"/>
        <v/>
      </c>
      <c r="DH171" s="30" t="str">
        <f t="shared" si="2481"/>
        <v/>
      </c>
      <c r="DI171" s="30" t="str">
        <f t="shared" si="2482"/>
        <v/>
      </c>
      <c r="DJ171" s="30" t="str">
        <f t="shared" si="2483"/>
        <v/>
      </c>
      <c r="DK171" s="30" t="str">
        <f t="shared" si="2484"/>
        <v/>
      </c>
      <c r="DL171" s="30" t="str">
        <f t="shared" si="2485"/>
        <v/>
      </c>
      <c r="DM171" s="30" t="str">
        <f t="shared" si="2486"/>
        <v/>
      </c>
      <c r="DN171" s="30" t="str">
        <f t="shared" si="2487"/>
        <v/>
      </c>
      <c r="DO171" s="30" t="str">
        <f t="shared" si="2488"/>
        <v/>
      </c>
      <c r="DP171" s="30" t="str">
        <f t="shared" si="2489"/>
        <v/>
      </c>
      <c r="DQ171" s="30" t="str">
        <f t="shared" si="2490"/>
        <v/>
      </c>
      <c r="DR171" s="30" t="str">
        <f t="shared" si="2491"/>
        <v/>
      </c>
      <c r="DS171" s="30" t="str">
        <f t="shared" si="2492"/>
        <v/>
      </c>
      <c r="DT171" s="30" t="str">
        <f t="shared" si="2493"/>
        <v/>
      </c>
      <c r="DU171" s="30" t="str">
        <f t="shared" si="2494"/>
        <v/>
      </c>
      <c r="DV171" s="30" t="str">
        <f t="shared" si="2495"/>
        <v/>
      </c>
      <c r="DW171" s="30" t="str">
        <f t="shared" si="2496"/>
        <v/>
      </c>
      <c r="DX171" s="30" t="str">
        <f t="shared" si="2497"/>
        <v/>
      </c>
      <c r="DY171" s="30" t="str">
        <f t="shared" si="2498"/>
        <v/>
      </c>
      <c r="DZ171" s="30" t="str">
        <f t="shared" si="2499"/>
        <v/>
      </c>
      <c r="EA171" s="30" t="str">
        <f t="shared" si="2500"/>
        <v/>
      </c>
      <c r="EB171" s="30" t="str">
        <f t="shared" si="2501"/>
        <v/>
      </c>
      <c r="EC171" s="30" t="str">
        <f t="shared" si="2502"/>
        <v/>
      </c>
      <c r="ED171" s="30" t="str">
        <f t="shared" si="2503"/>
        <v/>
      </c>
      <c r="EE171" s="30" t="str">
        <f t="shared" si="2504"/>
        <v/>
      </c>
      <c r="EF171" s="30" t="str">
        <f t="shared" si="2505"/>
        <v/>
      </c>
      <c r="EG171" s="30" t="str">
        <f t="shared" si="2506"/>
        <v/>
      </c>
      <c r="EH171" s="30" t="str">
        <f t="shared" si="2507"/>
        <v/>
      </c>
      <c r="EI171" s="30" t="str">
        <f t="shared" si="2508"/>
        <v/>
      </c>
      <c r="EJ171" s="30" t="str">
        <f t="shared" si="2509"/>
        <v/>
      </c>
      <c r="EK171" s="30" t="str">
        <f t="shared" si="2510"/>
        <v/>
      </c>
      <c r="EL171" s="30" t="str">
        <f t="shared" si="2511"/>
        <v/>
      </c>
      <c r="EM171" s="30" t="str">
        <f t="shared" si="2512"/>
        <v/>
      </c>
      <c r="EN171" s="30" t="str">
        <f t="shared" si="2513"/>
        <v/>
      </c>
      <c r="EO171" s="30" t="str">
        <f t="shared" si="2514"/>
        <v/>
      </c>
      <c r="EP171" s="30" t="str">
        <f t="shared" si="2515"/>
        <v/>
      </c>
      <c r="EQ171" s="30" t="str">
        <f t="shared" si="2516"/>
        <v/>
      </c>
      <c r="ER171" s="30" t="str">
        <f t="shared" si="2517"/>
        <v/>
      </c>
      <c r="ES171" s="30" t="str">
        <f t="shared" si="2518"/>
        <v/>
      </c>
      <c r="ET171" s="30" t="str">
        <f t="shared" si="2519"/>
        <v/>
      </c>
      <c r="EU171" s="30" t="str">
        <f t="shared" si="2520"/>
        <v/>
      </c>
      <c r="EV171" s="30" t="str">
        <f t="shared" si="2521"/>
        <v/>
      </c>
      <c r="EW171" s="30" t="str">
        <f t="shared" si="2522"/>
        <v/>
      </c>
      <c r="EX171" s="30" t="str">
        <f t="shared" si="2523"/>
        <v/>
      </c>
      <c r="EY171" s="30" t="str">
        <f t="shared" si="2524"/>
        <v/>
      </c>
      <c r="EZ171" s="30" t="str">
        <f t="shared" si="2525"/>
        <v/>
      </c>
      <c r="FA171" s="30" t="str">
        <f t="shared" si="2526"/>
        <v/>
      </c>
      <c r="FB171" s="30" t="str">
        <f t="shared" si="2527"/>
        <v/>
      </c>
      <c r="FC171" s="30" t="str">
        <f t="shared" si="2528"/>
        <v/>
      </c>
      <c r="FD171" s="30" t="str">
        <f t="shared" si="2529"/>
        <v/>
      </c>
      <c r="FE171" s="30" t="str">
        <f t="shared" si="2530"/>
        <v/>
      </c>
      <c r="FF171" s="30" t="str">
        <f t="shared" si="2531"/>
        <v/>
      </c>
      <c r="FG171" s="30" t="str">
        <f t="shared" si="2532"/>
        <v/>
      </c>
      <c r="FH171" s="30" t="str">
        <f t="shared" si="2533"/>
        <v/>
      </c>
      <c r="FI171" s="30" t="str">
        <f t="shared" si="2534"/>
        <v/>
      </c>
      <c r="FJ171" s="30" t="str">
        <f t="shared" si="2535"/>
        <v/>
      </c>
      <c r="FK171" s="30" t="str">
        <f t="shared" si="2536"/>
        <v/>
      </c>
      <c r="FL171" s="30" t="str">
        <f t="shared" si="2537"/>
        <v/>
      </c>
      <c r="FM171" s="30" t="str">
        <f t="shared" si="2538"/>
        <v/>
      </c>
      <c r="FN171" s="30" t="str">
        <f t="shared" si="2539"/>
        <v/>
      </c>
      <c r="FO171" s="30" t="str">
        <f t="shared" si="2540"/>
        <v/>
      </c>
      <c r="FP171" s="30" t="str">
        <f t="shared" si="2541"/>
        <v/>
      </c>
      <c r="FQ171" s="30" t="str">
        <f t="shared" si="2542"/>
        <v/>
      </c>
      <c r="FR171" s="30" t="str">
        <f t="shared" si="2543"/>
        <v/>
      </c>
      <c r="FS171" s="30" t="str">
        <f t="shared" si="2544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 t="shared" si="2469"/>
        <v>InitUnitState('',,,,,,,,,,)</v>
      </c>
      <c r="CO172" s="44" t="str">
        <f t="shared" si="2470"/>
        <v>InitUnitNormal('',,,,,,,,,,)</v>
      </c>
      <c r="CP172" s="44" t="str">
        <f t="shared" si="2471"/>
        <v>InitUnitMagic('',,,,,,,,,,)</v>
      </c>
      <c r="CQ172" s="44" t="str">
        <f t="shared" si="2472"/>
        <v>InitUnitAdd('',,,,,,,,,,)</v>
      </c>
      <c r="CR172" s="44" t="str">
        <f t="shared" si="2473"/>
        <v>InitEquipData('',,"",,,,,'','','','','','',"")</v>
      </c>
      <c r="CS172" s="44"/>
      <c r="CT172" s="44"/>
      <c r="CU172" s="45" t="str">
        <f t="shared" si="2474"/>
        <v>|n</v>
      </c>
      <c r="CV172" s="29"/>
      <c r="DB172" s="30" t="str">
        <f t="shared" si="2475"/>
        <v/>
      </c>
      <c r="DC172" s="30" t="str">
        <f t="shared" si="2476"/>
        <v/>
      </c>
      <c r="DD172" s="30" t="str">
        <f t="shared" si="2477"/>
        <v/>
      </c>
      <c r="DE172" s="30" t="str">
        <f t="shared" si="2478"/>
        <v/>
      </c>
      <c r="DF172" s="30" t="str">
        <f t="shared" si="2479"/>
        <v/>
      </c>
      <c r="DG172" s="30" t="str">
        <f t="shared" si="2480"/>
        <v/>
      </c>
      <c r="DH172" s="30" t="str">
        <f t="shared" si="2481"/>
        <v/>
      </c>
      <c r="DI172" s="30" t="str">
        <f t="shared" si="2482"/>
        <v/>
      </c>
      <c r="DJ172" s="30" t="str">
        <f t="shared" si="2483"/>
        <v/>
      </c>
      <c r="DK172" s="30" t="str">
        <f t="shared" si="2484"/>
        <v/>
      </c>
      <c r="DL172" s="30" t="str">
        <f t="shared" si="2485"/>
        <v/>
      </c>
      <c r="DM172" s="30" t="str">
        <f t="shared" si="2486"/>
        <v/>
      </c>
      <c r="DN172" s="30" t="str">
        <f t="shared" si="2487"/>
        <v/>
      </c>
      <c r="DO172" s="30" t="str">
        <f t="shared" si="2488"/>
        <v/>
      </c>
      <c r="DP172" s="30" t="str">
        <f t="shared" si="2489"/>
        <v/>
      </c>
      <c r="DQ172" s="30" t="str">
        <f t="shared" si="2490"/>
        <v/>
      </c>
      <c r="DR172" s="30" t="str">
        <f t="shared" si="2491"/>
        <v/>
      </c>
      <c r="DS172" s="30" t="str">
        <f t="shared" si="2492"/>
        <v/>
      </c>
      <c r="DT172" s="30" t="str">
        <f t="shared" si="2493"/>
        <v/>
      </c>
      <c r="DU172" s="30" t="str">
        <f t="shared" si="2494"/>
        <v/>
      </c>
      <c r="DV172" s="30" t="str">
        <f t="shared" si="2495"/>
        <v/>
      </c>
      <c r="DW172" s="30" t="str">
        <f t="shared" si="2496"/>
        <v/>
      </c>
      <c r="DX172" s="30" t="str">
        <f t="shared" si="2497"/>
        <v/>
      </c>
      <c r="DY172" s="30" t="str">
        <f t="shared" si="2498"/>
        <v/>
      </c>
      <c r="DZ172" s="30" t="str">
        <f t="shared" si="2499"/>
        <v/>
      </c>
      <c r="EA172" s="30" t="str">
        <f t="shared" si="2500"/>
        <v/>
      </c>
      <c r="EB172" s="30" t="str">
        <f t="shared" si="2501"/>
        <v/>
      </c>
      <c r="EC172" s="30" t="str">
        <f t="shared" si="2502"/>
        <v/>
      </c>
      <c r="ED172" s="30" t="str">
        <f t="shared" si="2503"/>
        <v/>
      </c>
      <c r="EE172" s="30" t="str">
        <f t="shared" si="2504"/>
        <v/>
      </c>
      <c r="EF172" s="30" t="str">
        <f t="shared" si="2505"/>
        <v/>
      </c>
      <c r="EG172" s="30" t="str">
        <f t="shared" si="2506"/>
        <v/>
      </c>
      <c r="EH172" s="30" t="str">
        <f t="shared" si="2507"/>
        <v/>
      </c>
      <c r="EI172" s="30" t="str">
        <f t="shared" si="2508"/>
        <v/>
      </c>
      <c r="EJ172" s="30" t="str">
        <f t="shared" si="2509"/>
        <v/>
      </c>
      <c r="EK172" s="30" t="str">
        <f t="shared" si="2510"/>
        <v/>
      </c>
      <c r="EL172" s="30" t="str">
        <f t="shared" si="2511"/>
        <v/>
      </c>
      <c r="EM172" s="30" t="str">
        <f t="shared" si="2512"/>
        <v/>
      </c>
      <c r="EN172" s="30" t="str">
        <f t="shared" si="2513"/>
        <v/>
      </c>
      <c r="EO172" s="30" t="str">
        <f t="shared" si="2514"/>
        <v/>
      </c>
      <c r="EP172" s="30" t="str">
        <f t="shared" si="2515"/>
        <v/>
      </c>
      <c r="EQ172" s="30" t="str">
        <f t="shared" si="2516"/>
        <v/>
      </c>
      <c r="ER172" s="30" t="str">
        <f t="shared" si="2517"/>
        <v/>
      </c>
      <c r="ES172" s="30" t="str">
        <f t="shared" si="2518"/>
        <v/>
      </c>
      <c r="ET172" s="30" t="str">
        <f t="shared" si="2519"/>
        <v/>
      </c>
      <c r="EU172" s="30" t="str">
        <f t="shared" si="2520"/>
        <v/>
      </c>
      <c r="EV172" s="30" t="str">
        <f t="shared" si="2521"/>
        <v/>
      </c>
      <c r="EW172" s="30" t="str">
        <f t="shared" si="2522"/>
        <v/>
      </c>
      <c r="EX172" s="30" t="str">
        <f t="shared" si="2523"/>
        <v/>
      </c>
      <c r="EY172" s="30" t="str">
        <f t="shared" si="2524"/>
        <v/>
      </c>
      <c r="EZ172" s="30" t="str">
        <f t="shared" si="2525"/>
        <v/>
      </c>
      <c r="FA172" s="30" t="str">
        <f t="shared" si="2526"/>
        <v/>
      </c>
      <c r="FB172" s="30" t="str">
        <f t="shared" si="2527"/>
        <v/>
      </c>
      <c r="FC172" s="30" t="str">
        <f t="shared" si="2528"/>
        <v/>
      </c>
      <c r="FD172" s="30" t="str">
        <f t="shared" si="2529"/>
        <v/>
      </c>
      <c r="FE172" s="30" t="str">
        <f t="shared" si="2530"/>
        <v/>
      </c>
      <c r="FF172" s="30" t="str">
        <f t="shared" si="2531"/>
        <v/>
      </c>
      <c r="FG172" s="30" t="str">
        <f t="shared" si="2532"/>
        <v/>
      </c>
      <c r="FH172" s="30" t="str">
        <f t="shared" si="2533"/>
        <v/>
      </c>
      <c r="FI172" s="30" t="str">
        <f t="shared" si="2534"/>
        <v/>
      </c>
      <c r="FJ172" s="30" t="str">
        <f t="shared" si="2535"/>
        <v/>
      </c>
      <c r="FK172" s="30" t="str">
        <f t="shared" si="2536"/>
        <v/>
      </c>
      <c r="FL172" s="30" t="str">
        <f t="shared" si="2537"/>
        <v/>
      </c>
      <c r="FM172" s="30" t="str">
        <f t="shared" si="2538"/>
        <v/>
      </c>
      <c r="FN172" s="30" t="str">
        <f t="shared" si="2539"/>
        <v/>
      </c>
      <c r="FO172" s="30" t="str">
        <f t="shared" si="2540"/>
        <v/>
      </c>
      <c r="FP172" s="30" t="str">
        <f t="shared" si="2541"/>
        <v/>
      </c>
      <c r="FQ172" s="30" t="str">
        <f t="shared" si="2542"/>
        <v/>
      </c>
      <c r="FR172" s="30" t="str">
        <f t="shared" si="2543"/>
        <v/>
      </c>
      <c r="FS172" s="30" t="str">
        <f t="shared" si="2544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 t="shared" si="2469"/>
        <v>InitUnitState('',,,,,,,,,,)</v>
      </c>
      <c r="CO173" s="44" t="str">
        <f t="shared" si="2470"/>
        <v>InitUnitNormal('',,,,,,,,,,)</v>
      </c>
      <c r="CP173" s="44" t="str">
        <f t="shared" si="2471"/>
        <v>InitUnitMagic('',,,,,,,,,,)</v>
      </c>
      <c r="CQ173" s="44" t="str">
        <f t="shared" si="2472"/>
        <v>InitUnitAdd('',,,,,,,,,,)</v>
      </c>
      <c r="CR173" s="44" t="str">
        <f t="shared" si="2473"/>
        <v>InitEquipData('',,"",,,,,'','','','','','',"")</v>
      </c>
      <c r="CS173" s="44"/>
      <c r="CT173" s="44"/>
      <c r="CU173" s="45" t="str">
        <f t="shared" si="2474"/>
        <v>|n</v>
      </c>
      <c r="CV173" s="29"/>
      <c r="DB173" s="30" t="str">
        <f t="shared" si="2475"/>
        <v/>
      </c>
      <c r="DC173" s="30" t="str">
        <f t="shared" si="2476"/>
        <v/>
      </c>
      <c r="DD173" s="30" t="str">
        <f t="shared" si="2477"/>
        <v/>
      </c>
      <c r="DE173" s="30" t="str">
        <f t="shared" si="2478"/>
        <v/>
      </c>
      <c r="DF173" s="30" t="str">
        <f t="shared" si="2479"/>
        <v/>
      </c>
      <c r="DG173" s="30" t="str">
        <f t="shared" si="2480"/>
        <v/>
      </c>
      <c r="DH173" s="30" t="str">
        <f t="shared" si="2481"/>
        <v/>
      </c>
      <c r="DI173" s="30" t="str">
        <f t="shared" si="2482"/>
        <v/>
      </c>
      <c r="DJ173" s="30" t="str">
        <f t="shared" si="2483"/>
        <v/>
      </c>
      <c r="DK173" s="30" t="str">
        <f t="shared" si="2484"/>
        <v/>
      </c>
      <c r="DL173" s="30" t="str">
        <f t="shared" si="2485"/>
        <v/>
      </c>
      <c r="DM173" s="30" t="str">
        <f t="shared" si="2486"/>
        <v/>
      </c>
      <c r="DN173" s="30" t="str">
        <f t="shared" si="2487"/>
        <v/>
      </c>
      <c r="DO173" s="30" t="str">
        <f t="shared" si="2488"/>
        <v/>
      </c>
      <c r="DP173" s="30" t="str">
        <f t="shared" si="2489"/>
        <v/>
      </c>
      <c r="DQ173" s="30" t="str">
        <f t="shared" si="2490"/>
        <v/>
      </c>
      <c r="DR173" s="30" t="str">
        <f t="shared" si="2491"/>
        <v/>
      </c>
      <c r="DS173" s="30" t="str">
        <f t="shared" si="2492"/>
        <v/>
      </c>
      <c r="DT173" s="30" t="str">
        <f t="shared" si="2493"/>
        <v/>
      </c>
      <c r="DU173" s="30" t="str">
        <f t="shared" si="2494"/>
        <v/>
      </c>
      <c r="DV173" s="30" t="str">
        <f t="shared" si="2495"/>
        <v/>
      </c>
      <c r="DW173" s="30" t="str">
        <f t="shared" si="2496"/>
        <v/>
      </c>
      <c r="DX173" s="30" t="str">
        <f t="shared" si="2497"/>
        <v/>
      </c>
      <c r="DY173" s="30" t="str">
        <f t="shared" si="2498"/>
        <v/>
      </c>
      <c r="DZ173" s="30" t="str">
        <f t="shared" si="2499"/>
        <v/>
      </c>
      <c r="EA173" s="30" t="str">
        <f t="shared" si="2500"/>
        <v/>
      </c>
      <c r="EB173" s="30" t="str">
        <f t="shared" si="2501"/>
        <v/>
      </c>
      <c r="EC173" s="30" t="str">
        <f t="shared" si="2502"/>
        <v/>
      </c>
      <c r="ED173" s="30" t="str">
        <f t="shared" si="2503"/>
        <v/>
      </c>
      <c r="EE173" s="30" t="str">
        <f t="shared" si="2504"/>
        <v/>
      </c>
      <c r="EF173" s="30" t="str">
        <f t="shared" si="2505"/>
        <v/>
      </c>
      <c r="EG173" s="30" t="str">
        <f t="shared" si="2506"/>
        <v/>
      </c>
      <c r="EH173" s="30" t="str">
        <f t="shared" si="2507"/>
        <v/>
      </c>
      <c r="EI173" s="30" t="str">
        <f t="shared" si="2508"/>
        <v/>
      </c>
      <c r="EJ173" s="30" t="str">
        <f t="shared" si="2509"/>
        <v/>
      </c>
      <c r="EK173" s="30" t="str">
        <f t="shared" si="2510"/>
        <v/>
      </c>
      <c r="EL173" s="30" t="str">
        <f t="shared" si="2511"/>
        <v/>
      </c>
      <c r="EM173" s="30" t="str">
        <f t="shared" si="2512"/>
        <v/>
      </c>
      <c r="EN173" s="30" t="str">
        <f t="shared" si="2513"/>
        <v/>
      </c>
      <c r="EO173" s="30" t="str">
        <f t="shared" si="2514"/>
        <v/>
      </c>
      <c r="EP173" s="30" t="str">
        <f t="shared" si="2515"/>
        <v/>
      </c>
      <c r="EQ173" s="30" t="str">
        <f t="shared" si="2516"/>
        <v/>
      </c>
      <c r="ER173" s="30" t="str">
        <f t="shared" si="2517"/>
        <v/>
      </c>
      <c r="ES173" s="30" t="str">
        <f t="shared" si="2518"/>
        <v/>
      </c>
      <c r="ET173" s="30" t="str">
        <f t="shared" si="2519"/>
        <v/>
      </c>
      <c r="EU173" s="30" t="str">
        <f t="shared" si="2520"/>
        <v/>
      </c>
      <c r="EV173" s="30" t="str">
        <f t="shared" si="2521"/>
        <v/>
      </c>
      <c r="EW173" s="30" t="str">
        <f t="shared" si="2522"/>
        <v/>
      </c>
      <c r="EX173" s="30" t="str">
        <f t="shared" si="2523"/>
        <v/>
      </c>
      <c r="EY173" s="30" t="str">
        <f t="shared" si="2524"/>
        <v/>
      </c>
      <c r="EZ173" s="30" t="str">
        <f t="shared" si="2525"/>
        <v/>
      </c>
      <c r="FA173" s="30" t="str">
        <f t="shared" si="2526"/>
        <v/>
      </c>
      <c r="FB173" s="30" t="str">
        <f t="shared" si="2527"/>
        <v/>
      </c>
      <c r="FC173" s="30" t="str">
        <f t="shared" si="2528"/>
        <v/>
      </c>
      <c r="FD173" s="30" t="str">
        <f t="shared" si="2529"/>
        <v/>
      </c>
      <c r="FE173" s="30" t="str">
        <f t="shared" si="2530"/>
        <v/>
      </c>
      <c r="FF173" s="30" t="str">
        <f t="shared" si="2531"/>
        <v/>
      </c>
      <c r="FG173" s="30" t="str">
        <f t="shared" si="2532"/>
        <v/>
      </c>
      <c r="FH173" s="30" t="str">
        <f t="shared" si="2533"/>
        <v/>
      </c>
      <c r="FI173" s="30" t="str">
        <f t="shared" si="2534"/>
        <v/>
      </c>
      <c r="FJ173" s="30" t="str">
        <f t="shared" si="2535"/>
        <v/>
      </c>
      <c r="FK173" s="30" t="str">
        <f t="shared" si="2536"/>
        <v/>
      </c>
      <c r="FL173" s="30" t="str">
        <f t="shared" si="2537"/>
        <v/>
      </c>
      <c r="FM173" s="30" t="str">
        <f t="shared" si="2538"/>
        <v/>
      </c>
      <c r="FN173" s="30" t="str">
        <f t="shared" si="2539"/>
        <v/>
      </c>
      <c r="FO173" s="30" t="str">
        <f t="shared" si="2540"/>
        <v/>
      </c>
      <c r="FP173" s="30" t="str">
        <f t="shared" si="2541"/>
        <v/>
      </c>
      <c r="FQ173" s="30" t="str">
        <f t="shared" si="2542"/>
        <v/>
      </c>
      <c r="FR173" s="30" t="str">
        <f t="shared" si="2543"/>
        <v/>
      </c>
      <c r="FS173" s="30" t="str">
        <f t="shared" si="2544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 t="shared" si="2469"/>
        <v>InitUnitState('',,,,,,,,,,)</v>
      </c>
      <c r="CO174" s="44" t="str">
        <f t="shared" si="2470"/>
        <v>InitUnitNormal('',,,,,,,,,,)</v>
      </c>
      <c r="CP174" s="44" t="str">
        <f t="shared" si="2471"/>
        <v>InitUnitMagic('',,,,,,,,,,)</v>
      </c>
      <c r="CQ174" s="44" t="str">
        <f t="shared" si="2472"/>
        <v>InitUnitAdd('',,,,,,,,,,)</v>
      </c>
      <c r="CR174" s="44" t="str">
        <f t="shared" si="2473"/>
        <v>InitEquipData('',,"",,,,,'','','','','','',"")</v>
      </c>
      <c r="CS174" s="44"/>
      <c r="CT174" s="44"/>
      <c r="CU174" s="45" t="str">
        <f t="shared" si="2474"/>
        <v>|n</v>
      </c>
      <c r="CV174" s="29"/>
      <c r="DB174" s="30" t="str">
        <f t="shared" si="2475"/>
        <v/>
      </c>
      <c r="DC174" s="30" t="str">
        <f t="shared" si="2476"/>
        <v/>
      </c>
      <c r="DD174" s="30" t="str">
        <f t="shared" si="2477"/>
        <v/>
      </c>
      <c r="DE174" s="30" t="str">
        <f t="shared" si="2478"/>
        <v/>
      </c>
      <c r="DF174" s="30" t="str">
        <f t="shared" si="2479"/>
        <v/>
      </c>
      <c r="DG174" s="30" t="str">
        <f t="shared" si="2480"/>
        <v/>
      </c>
      <c r="DH174" s="30" t="str">
        <f t="shared" si="2481"/>
        <v/>
      </c>
      <c r="DI174" s="30" t="str">
        <f t="shared" si="2482"/>
        <v/>
      </c>
      <c r="DJ174" s="30" t="str">
        <f t="shared" si="2483"/>
        <v/>
      </c>
      <c r="DK174" s="30" t="str">
        <f t="shared" si="2484"/>
        <v/>
      </c>
      <c r="DL174" s="30" t="str">
        <f t="shared" si="2485"/>
        <v/>
      </c>
      <c r="DM174" s="30" t="str">
        <f t="shared" si="2486"/>
        <v/>
      </c>
      <c r="DN174" s="30" t="str">
        <f t="shared" si="2487"/>
        <v/>
      </c>
      <c r="DO174" s="30" t="str">
        <f t="shared" si="2488"/>
        <v/>
      </c>
      <c r="DP174" s="30" t="str">
        <f t="shared" si="2489"/>
        <v/>
      </c>
      <c r="DQ174" s="30" t="str">
        <f t="shared" si="2490"/>
        <v/>
      </c>
      <c r="DR174" s="30" t="str">
        <f t="shared" si="2491"/>
        <v/>
      </c>
      <c r="DS174" s="30" t="str">
        <f t="shared" si="2492"/>
        <v/>
      </c>
      <c r="DT174" s="30" t="str">
        <f t="shared" si="2493"/>
        <v/>
      </c>
      <c r="DU174" s="30" t="str">
        <f t="shared" si="2494"/>
        <v/>
      </c>
      <c r="DV174" s="30" t="str">
        <f t="shared" si="2495"/>
        <v/>
      </c>
      <c r="DW174" s="30" t="str">
        <f t="shared" si="2496"/>
        <v/>
      </c>
      <c r="DX174" s="30" t="str">
        <f t="shared" si="2497"/>
        <v/>
      </c>
      <c r="DY174" s="30" t="str">
        <f t="shared" si="2498"/>
        <v/>
      </c>
      <c r="DZ174" s="30" t="str">
        <f t="shared" si="2499"/>
        <v/>
      </c>
      <c r="EA174" s="30" t="str">
        <f t="shared" si="2500"/>
        <v/>
      </c>
      <c r="EB174" s="30" t="str">
        <f t="shared" si="2501"/>
        <v/>
      </c>
      <c r="EC174" s="30" t="str">
        <f t="shared" si="2502"/>
        <v/>
      </c>
      <c r="ED174" s="30" t="str">
        <f t="shared" si="2503"/>
        <v/>
      </c>
      <c r="EE174" s="30" t="str">
        <f t="shared" si="2504"/>
        <v/>
      </c>
      <c r="EF174" s="30" t="str">
        <f t="shared" si="2505"/>
        <v/>
      </c>
      <c r="EG174" s="30" t="str">
        <f t="shared" si="2506"/>
        <v/>
      </c>
      <c r="EH174" s="30" t="str">
        <f t="shared" si="2507"/>
        <v/>
      </c>
      <c r="EI174" s="30" t="str">
        <f t="shared" si="2508"/>
        <v/>
      </c>
      <c r="EJ174" s="30" t="str">
        <f t="shared" si="2509"/>
        <v/>
      </c>
      <c r="EK174" s="30" t="str">
        <f t="shared" si="2510"/>
        <v/>
      </c>
      <c r="EL174" s="30" t="str">
        <f t="shared" si="2511"/>
        <v/>
      </c>
      <c r="EM174" s="30" t="str">
        <f t="shared" si="2512"/>
        <v/>
      </c>
      <c r="EN174" s="30" t="str">
        <f t="shared" si="2513"/>
        <v/>
      </c>
      <c r="EO174" s="30" t="str">
        <f t="shared" si="2514"/>
        <v/>
      </c>
      <c r="EP174" s="30" t="str">
        <f t="shared" si="2515"/>
        <v/>
      </c>
      <c r="EQ174" s="30" t="str">
        <f t="shared" si="2516"/>
        <v/>
      </c>
      <c r="ER174" s="30" t="str">
        <f t="shared" si="2517"/>
        <v/>
      </c>
      <c r="ES174" s="30" t="str">
        <f t="shared" si="2518"/>
        <v/>
      </c>
      <c r="ET174" s="30" t="str">
        <f t="shared" si="2519"/>
        <v/>
      </c>
      <c r="EU174" s="30" t="str">
        <f t="shared" si="2520"/>
        <v/>
      </c>
      <c r="EV174" s="30" t="str">
        <f t="shared" si="2521"/>
        <v/>
      </c>
      <c r="EW174" s="30" t="str">
        <f t="shared" si="2522"/>
        <v/>
      </c>
      <c r="EX174" s="30" t="str">
        <f t="shared" si="2523"/>
        <v/>
      </c>
      <c r="EY174" s="30" t="str">
        <f t="shared" si="2524"/>
        <v/>
      </c>
      <c r="EZ174" s="30" t="str">
        <f t="shared" si="2525"/>
        <v/>
      </c>
      <c r="FA174" s="30" t="str">
        <f t="shared" si="2526"/>
        <v/>
      </c>
      <c r="FB174" s="30" t="str">
        <f t="shared" si="2527"/>
        <v/>
      </c>
      <c r="FC174" s="30" t="str">
        <f t="shared" si="2528"/>
        <v/>
      </c>
      <c r="FD174" s="30" t="str">
        <f t="shared" si="2529"/>
        <v/>
      </c>
      <c r="FE174" s="30" t="str">
        <f t="shared" si="2530"/>
        <v/>
      </c>
      <c r="FF174" s="30" t="str">
        <f t="shared" si="2531"/>
        <v/>
      </c>
      <c r="FG174" s="30" t="str">
        <f t="shared" si="2532"/>
        <v/>
      </c>
      <c r="FH174" s="30" t="str">
        <f t="shared" si="2533"/>
        <v/>
      </c>
      <c r="FI174" s="30" t="str">
        <f t="shared" si="2534"/>
        <v/>
      </c>
      <c r="FJ174" s="30" t="str">
        <f t="shared" si="2535"/>
        <v/>
      </c>
      <c r="FK174" s="30" t="str">
        <f t="shared" si="2536"/>
        <v/>
      </c>
      <c r="FL174" s="30" t="str">
        <f t="shared" si="2537"/>
        <v/>
      </c>
      <c r="FM174" s="30" t="str">
        <f t="shared" si="2538"/>
        <v/>
      </c>
      <c r="FN174" s="30" t="str">
        <f t="shared" si="2539"/>
        <v/>
      </c>
      <c r="FO174" s="30" t="str">
        <f t="shared" si="2540"/>
        <v/>
      </c>
      <c r="FP174" s="30" t="str">
        <f t="shared" si="2541"/>
        <v/>
      </c>
      <c r="FQ174" s="30" t="str">
        <f t="shared" si="2542"/>
        <v/>
      </c>
      <c r="FR174" s="30" t="str">
        <f t="shared" si="2543"/>
        <v/>
      </c>
      <c r="FS174" s="30" t="str">
        <f t="shared" si="2544"/>
        <v/>
      </c>
    </row>
    <row r="175" spans="1:175" ht="16.5">
      <c r="A175" s="5"/>
      <c r="B175" s="36"/>
      <c r="C175" s="5"/>
      <c r="E175" s="54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51"/>
      <c r="Q175" s="51"/>
      <c r="R175" s="51"/>
      <c r="S175" s="51"/>
      <c r="T175" s="104"/>
      <c r="U175" s="32"/>
      <c r="CU175" s="45" t="str">
        <f t="shared" si="2474"/>
        <v>|n</v>
      </c>
      <c r="CW175" s="24"/>
      <c r="CX175" s="24"/>
      <c r="CY175" s="24"/>
      <c r="CZ175" s="24"/>
      <c r="DA175" s="24"/>
      <c r="DB175" s="30" t="str">
        <f t="shared" si="2475"/>
        <v/>
      </c>
      <c r="DC175" s="30" t="str">
        <f t="shared" si="2476"/>
        <v/>
      </c>
      <c r="DD175" s="30" t="str">
        <f t="shared" si="2477"/>
        <v/>
      </c>
      <c r="DE175" s="30" t="str">
        <f t="shared" si="2478"/>
        <v/>
      </c>
      <c r="DF175" s="30" t="str">
        <f t="shared" si="2479"/>
        <v/>
      </c>
      <c r="DG175" s="30" t="str">
        <f t="shared" si="2480"/>
        <v/>
      </c>
      <c r="DH175" s="30" t="str">
        <f t="shared" si="2481"/>
        <v/>
      </c>
      <c r="DI175" s="30" t="str">
        <f t="shared" si="2482"/>
        <v/>
      </c>
      <c r="DJ175" s="30" t="str">
        <f t="shared" si="2483"/>
        <v/>
      </c>
      <c r="DK175" s="30" t="str">
        <f t="shared" si="2484"/>
        <v/>
      </c>
      <c r="DL175" s="30" t="str">
        <f t="shared" si="2485"/>
        <v/>
      </c>
      <c r="DM175" s="30" t="str">
        <f t="shared" si="2486"/>
        <v/>
      </c>
      <c r="DN175" s="30" t="str">
        <f t="shared" si="2487"/>
        <v/>
      </c>
      <c r="DO175" s="30" t="str">
        <f t="shared" si="2488"/>
        <v/>
      </c>
      <c r="DP175" s="30" t="str">
        <f t="shared" si="2489"/>
        <v/>
      </c>
      <c r="DQ175" s="30" t="str">
        <f t="shared" si="2490"/>
        <v/>
      </c>
      <c r="DR175" s="30" t="str">
        <f t="shared" si="2491"/>
        <v/>
      </c>
      <c r="DS175" s="30" t="str">
        <f t="shared" si="2492"/>
        <v/>
      </c>
      <c r="DT175" s="30" t="str">
        <f t="shared" si="2493"/>
        <v/>
      </c>
      <c r="DU175" s="30" t="str">
        <f t="shared" si="2494"/>
        <v/>
      </c>
      <c r="DV175" s="30" t="str">
        <f t="shared" si="2495"/>
        <v/>
      </c>
      <c r="DW175" s="30" t="str">
        <f t="shared" si="2496"/>
        <v/>
      </c>
      <c r="DX175" s="30" t="str">
        <f t="shared" si="2497"/>
        <v/>
      </c>
      <c r="DY175" s="30" t="str">
        <f t="shared" si="2498"/>
        <v/>
      </c>
      <c r="DZ175" s="30" t="str">
        <f t="shared" si="2499"/>
        <v/>
      </c>
      <c r="EA175" s="30" t="str">
        <f t="shared" si="2500"/>
        <v/>
      </c>
      <c r="EB175" s="30" t="str">
        <f t="shared" si="2501"/>
        <v/>
      </c>
      <c r="EC175" s="30" t="str">
        <f t="shared" si="2502"/>
        <v/>
      </c>
      <c r="ED175" s="30" t="str">
        <f t="shared" si="2503"/>
        <v/>
      </c>
      <c r="EE175" s="30" t="str">
        <f t="shared" si="2504"/>
        <v/>
      </c>
      <c r="EF175" s="30" t="str">
        <f t="shared" si="2505"/>
        <v/>
      </c>
      <c r="EG175" s="30" t="str">
        <f t="shared" si="2506"/>
        <v/>
      </c>
      <c r="EH175" s="30" t="str">
        <f t="shared" si="2507"/>
        <v/>
      </c>
      <c r="EI175" s="30" t="str">
        <f t="shared" si="2508"/>
        <v/>
      </c>
      <c r="EJ175" s="30" t="str">
        <f t="shared" si="2509"/>
        <v/>
      </c>
      <c r="EK175" s="30" t="str">
        <f t="shared" si="2510"/>
        <v/>
      </c>
      <c r="EL175" s="30" t="str">
        <f t="shared" si="2511"/>
        <v/>
      </c>
      <c r="EM175" s="30" t="str">
        <f t="shared" si="2512"/>
        <v/>
      </c>
      <c r="EN175" s="30" t="str">
        <f t="shared" si="2513"/>
        <v/>
      </c>
      <c r="EO175" s="30" t="str">
        <f t="shared" si="2514"/>
        <v/>
      </c>
      <c r="EP175" s="30" t="str">
        <f t="shared" si="2515"/>
        <v/>
      </c>
      <c r="EQ175" s="30" t="str">
        <f t="shared" si="2516"/>
        <v/>
      </c>
      <c r="ER175" s="30" t="str">
        <f t="shared" si="2517"/>
        <v/>
      </c>
      <c r="ES175" s="30" t="str">
        <f t="shared" si="2518"/>
        <v/>
      </c>
      <c r="ET175" s="30" t="str">
        <f t="shared" si="2519"/>
        <v/>
      </c>
      <c r="EU175" s="30" t="str">
        <f t="shared" si="2520"/>
        <v/>
      </c>
      <c r="EV175" s="30" t="str">
        <f t="shared" si="2521"/>
        <v/>
      </c>
      <c r="EW175" s="30" t="str">
        <f t="shared" si="2522"/>
        <v/>
      </c>
      <c r="EX175" s="30" t="str">
        <f t="shared" si="2523"/>
        <v/>
      </c>
      <c r="EY175" s="30" t="str">
        <f t="shared" si="2524"/>
        <v/>
      </c>
      <c r="EZ175" s="30" t="str">
        <f t="shared" si="2525"/>
        <v/>
      </c>
      <c r="FA175" s="30" t="str">
        <f t="shared" si="2526"/>
        <v/>
      </c>
      <c r="FB175" s="30" t="str">
        <f t="shared" si="2527"/>
        <v/>
      </c>
      <c r="FC175" s="30" t="str">
        <f t="shared" si="2528"/>
        <v/>
      </c>
      <c r="FD175" s="30" t="str">
        <f t="shared" si="2529"/>
        <v/>
      </c>
      <c r="FE175" s="30" t="str">
        <f t="shared" si="2530"/>
        <v/>
      </c>
      <c r="FF175" s="30" t="str">
        <f t="shared" si="2531"/>
        <v/>
      </c>
      <c r="FG175" s="30" t="str">
        <f t="shared" si="2532"/>
        <v/>
      </c>
      <c r="FH175" s="30" t="str">
        <f t="shared" si="2533"/>
        <v/>
      </c>
      <c r="FI175" s="30" t="str">
        <f t="shared" si="2534"/>
        <v/>
      </c>
      <c r="FJ175" s="30" t="str">
        <f t="shared" si="2535"/>
        <v/>
      </c>
      <c r="FK175" s="30" t="str">
        <f t="shared" si="2536"/>
        <v/>
      </c>
      <c r="FL175" s="30" t="str">
        <f t="shared" si="2537"/>
        <v/>
      </c>
      <c r="FM175" s="30" t="str">
        <f t="shared" si="2538"/>
        <v/>
      </c>
      <c r="FN175" s="30" t="str">
        <f t="shared" si="2539"/>
        <v/>
      </c>
      <c r="FO175" s="30" t="str">
        <f t="shared" si="2540"/>
        <v/>
      </c>
      <c r="FP175" s="30" t="str">
        <f t="shared" si="2541"/>
        <v/>
      </c>
      <c r="FQ175" s="30" t="str">
        <f t="shared" si="2542"/>
        <v/>
      </c>
      <c r="FR175" s="30" t="str">
        <f t="shared" si="2543"/>
        <v/>
      </c>
      <c r="FS175" s="30" t="str">
        <f t="shared" si="2544"/>
        <v/>
      </c>
    </row>
    <row r="176" spans="1:175" ht="16.5">
      <c r="A176" s="5"/>
      <c r="B176" s="36"/>
      <c r="C176" s="5"/>
      <c r="E176" s="54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51"/>
      <c r="Q176" s="51"/>
      <c r="R176" s="51"/>
      <c r="S176" s="51"/>
      <c r="T176" s="104"/>
      <c r="U176" s="32"/>
      <c r="CU176" s="45" t="str">
        <f t="shared" si="2474"/>
        <v>|n</v>
      </c>
      <c r="CW176" s="24"/>
      <c r="CX176" s="24"/>
      <c r="CY176" s="24"/>
      <c r="CZ176" s="24"/>
      <c r="DA176" s="24"/>
      <c r="DB176" s="30" t="str">
        <f t="shared" si="2475"/>
        <v/>
      </c>
      <c r="DC176" s="30" t="str">
        <f t="shared" si="2476"/>
        <v/>
      </c>
      <c r="DD176" s="30" t="str">
        <f t="shared" si="2477"/>
        <v/>
      </c>
      <c r="DE176" s="30" t="str">
        <f t="shared" si="2478"/>
        <v/>
      </c>
      <c r="DF176" s="30" t="str">
        <f t="shared" si="2479"/>
        <v/>
      </c>
      <c r="DG176" s="30" t="str">
        <f t="shared" si="2480"/>
        <v/>
      </c>
      <c r="DH176" s="30" t="str">
        <f t="shared" si="2481"/>
        <v/>
      </c>
      <c r="DI176" s="30" t="str">
        <f t="shared" si="2482"/>
        <v/>
      </c>
      <c r="DJ176" s="30" t="str">
        <f t="shared" si="2483"/>
        <v/>
      </c>
      <c r="DK176" s="30" t="str">
        <f t="shared" si="2484"/>
        <v/>
      </c>
      <c r="DL176" s="30" t="str">
        <f t="shared" si="2485"/>
        <v/>
      </c>
      <c r="DM176" s="30" t="str">
        <f t="shared" si="2486"/>
        <v/>
      </c>
      <c r="DN176" s="30" t="str">
        <f t="shared" si="2487"/>
        <v/>
      </c>
      <c r="DO176" s="30" t="str">
        <f t="shared" si="2488"/>
        <v/>
      </c>
      <c r="DP176" s="30" t="str">
        <f t="shared" si="2489"/>
        <v/>
      </c>
      <c r="DQ176" s="30" t="str">
        <f t="shared" si="2490"/>
        <v/>
      </c>
      <c r="DR176" s="30" t="str">
        <f t="shared" si="2491"/>
        <v/>
      </c>
      <c r="DS176" s="30" t="str">
        <f t="shared" si="2492"/>
        <v/>
      </c>
      <c r="DT176" s="30" t="str">
        <f t="shared" si="2493"/>
        <v/>
      </c>
      <c r="DU176" s="30" t="str">
        <f t="shared" si="2494"/>
        <v/>
      </c>
      <c r="DV176" s="30" t="str">
        <f t="shared" si="2495"/>
        <v/>
      </c>
      <c r="DW176" s="30" t="str">
        <f t="shared" si="2496"/>
        <v/>
      </c>
      <c r="DX176" s="30" t="str">
        <f t="shared" si="2497"/>
        <v/>
      </c>
      <c r="DY176" s="30" t="str">
        <f t="shared" si="2498"/>
        <v/>
      </c>
      <c r="DZ176" s="30" t="str">
        <f t="shared" si="2499"/>
        <v/>
      </c>
      <c r="EA176" s="30" t="str">
        <f t="shared" si="2500"/>
        <v/>
      </c>
      <c r="EB176" s="30" t="str">
        <f t="shared" si="2501"/>
        <v/>
      </c>
      <c r="EC176" s="30" t="str">
        <f t="shared" si="2502"/>
        <v/>
      </c>
      <c r="ED176" s="30" t="str">
        <f t="shared" si="2503"/>
        <v/>
      </c>
      <c r="EE176" s="30" t="str">
        <f t="shared" si="2504"/>
        <v/>
      </c>
      <c r="EF176" s="30" t="str">
        <f t="shared" si="2505"/>
        <v/>
      </c>
      <c r="EG176" s="30" t="str">
        <f t="shared" si="2506"/>
        <v/>
      </c>
      <c r="EH176" s="30" t="str">
        <f t="shared" si="2507"/>
        <v/>
      </c>
      <c r="EI176" s="30" t="str">
        <f t="shared" si="2508"/>
        <v/>
      </c>
      <c r="EJ176" s="30" t="str">
        <f t="shared" si="2509"/>
        <v/>
      </c>
      <c r="EK176" s="30" t="str">
        <f t="shared" si="2510"/>
        <v/>
      </c>
      <c r="EL176" s="30" t="str">
        <f t="shared" si="2511"/>
        <v/>
      </c>
      <c r="EM176" s="30" t="str">
        <f t="shared" si="2512"/>
        <v/>
      </c>
      <c r="EN176" s="30" t="str">
        <f t="shared" si="2513"/>
        <v/>
      </c>
      <c r="EO176" s="30" t="str">
        <f t="shared" si="2514"/>
        <v/>
      </c>
      <c r="EP176" s="30" t="str">
        <f t="shared" si="2515"/>
        <v/>
      </c>
      <c r="EQ176" s="30" t="str">
        <f t="shared" si="2516"/>
        <v/>
      </c>
      <c r="ER176" s="30" t="str">
        <f t="shared" si="2517"/>
        <v/>
      </c>
      <c r="ES176" s="30" t="str">
        <f t="shared" si="2518"/>
        <v/>
      </c>
      <c r="ET176" s="30" t="str">
        <f t="shared" si="2519"/>
        <v/>
      </c>
      <c r="EU176" s="30" t="str">
        <f t="shared" si="2520"/>
        <v/>
      </c>
      <c r="EV176" s="30" t="str">
        <f t="shared" si="2521"/>
        <v/>
      </c>
      <c r="EW176" s="30" t="str">
        <f t="shared" si="2522"/>
        <v/>
      </c>
      <c r="EX176" s="30" t="str">
        <f t="shared" si="2523"/>
        <v/>
      </c>
      <c r="EY176" s="30" t="str">
        <f t="shared" si="2524"/>
        <v/>
      </c>
      <c r="EZ176" s="30" t="str">
        <f t="shared" si="2525"/>
        <v/>
      </c>
      <c r="FA176" s="30" t="str">
        <f t="shared" si="2526"/>
        <v/>
      </c>
      <c r="FB176" s="30" t="str">
        <f t="shared" si="2527"/>
        <v/>
      </c>
      <c r="FC176" s="30" t="str">
        <f t="shared" si="2528"/>
        <v/>
      </c>
      <c r="FD176" s="30" t="str">
        <f t="shared" si="2529"/>
        <v/>
      </c>
      <c r="FE176" s="30" t="str">
        <f t="shared" si="2530"/>
        <v/>
      </c>
      <c r="FF176" s="30" t="str">
        <f t="shared" si="2531"/>
        <v/>
      </c>
      <c r="FG176" s="30" t="str">
        <f t="shared" si="2532"/>
        <v/>
      </c>
      <c r="FH176" s="30" t="str">
        <f t="shared" si="2533"/>
        <v/>
      </c>
      <c r="FI176" s="30" t="str">
        <f t="shared" si="2534"/>
        <v/>
      </c>
      <c r="FJ176" s="30" t="str">
        <f t="shared" si="2535"/>
        <v/>
      </c>
      <c r="FK176" s="30" t="str">
        <f t="shared" si="2536"/>
        <v/>
      </c>
      <c r="FL176" s="30" t="str">
        <f t="shared" si="2537"/>
        <v/>
      </c>
      <c r="FM176" s="30" t="str">
        <f t="shared" si="2538"/>
        <v/>
      </c>
      <c r="FN176" s="30" t="str">
        <f t="shared" si="2539"/>
        <v/>
      </c>
      <c r="FO176" s="30" t="str">
        <f t="shared" si="2540"/>
        <v/>
      </c>
      <c r="FP176" s="30" t="str">
        <f t="shared" si="2541"/>
        <v/>
      </c>
      <c r="FQ176" s="30" t="str">
        <f t="shared" si="2542"/>
        <v/>
      </c>
      <c r="FR176" s="30" t="str">
        <f t="shared" si="2543"/>
        <v/>
      </c>
      <c r="FS176" s="30" t="str">
        <f t="shared" si="2544"/>
        <v/>
      </c>
    </row>
    <row r="177" spans="1:175" ht="16.5">
      <c r="A177" s="5"/>
      <c r="B177" s="36"/>
      <c r="C177" s="5"/>
      <c r="E177" s="54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51"/>
      <c r="Q177" s="51"/>
      <c r="R177" s="51"/>
      <c r="S177" s="51"/>
      <c r="T177" s="104"/>
      <c r="U177" s="32"/>
      <c r="CU177" s="45" t="str">
        <f t="shared" si="2474"/>
        <v>|n</v>
      </c>
      <c r="CW177" s="24"/>
      <c r="CX177" s="24"/>
      <c r="CY177" s="24"/>
      <c r="CZ177" s="24"/>
      <c r="DA177" s="24"/>
      <c r="DB177" s="30" t="str">
        <f t="shared" si="2475"/>
        <v/>
      </c>
      <c r="DC177" s="30" t="str">
        <f t="shared" si="2476"/>
        <v/>
      </c>
      <c r="DD177" s="30" t="str">
        <f t="shared" si="2477"/>
        <v/>
      </c>
      <c r="DE177" s="30" t="str">
        <f t="shared" si="2478"/>
        <v/>
      </c>
      <c r="DF177" s="30" t="str">
        <f t="shared" si="2479"/>
        <v/>
      </c>
      <c r="DG177" s="30" t="str">
        <f t="shared" si="2480"/>
        <v/>
      </c>
      <c r="DH177" s="30" t="str">
        <f t="shared" si="2481"/>
        <v/>
      </c>
      <c r="DI177" s="30" t="str">
        <f t="shared" si="2482"/>
        <v/>
      </c>
      <c r="DJ177" s="30" t="str">
        <f t="shared" si="2483"/>
        <v/>
      </c>
      <c r="DK177" s="30" t="str">
        <f t="shared" si="2484"/>
        <v/>
      </c>
      <c r="DL177" s="30" t="str">
        <f t="shared" si="2485"/>
        <v/>
      </c>
      <c r="DM177" s="30" t="str">
        <f t="shared" si="2486"/>
        <v/>
      </c>
      <c r="DN177" s="30" t="str">
        <f t="shared" si="2487"/>
        <v/>
      </c>
      <c r="DO177" s="30" t="str">
        <f t="shared" si="2488"/>
        <v/>
      </c>
      <c r="DP177" s="30" t="str">
        <f t="shared" si="2489"/>
        <v/>
      </c>
      <c r="DQ177" s="30" t="str">
        <f t="shared" si="2490"/>
        <v/>
      </c>
      <c r="DR177" s="30" t="str">
        <f t="shared" si="2491"/>
        <v/>
      </c>
      <c r="DS177" s="30" t="str">
        <f t="shared" si="2492"/>
        <v/>
      </c>
      <c r="DT177" s="30" t="str">
        <f t="shared" si="2493"/>
        <v/>
      </c>
      <c r="DU177" s="30" t="str">
        <f t="shared" si="2494"/>
        <v/>
      </c>
      <c r="DV177" s="30" t="str">
        <f t="shared" si="2495"/>
        <v/>
      </c>
      <c r="DW177" s="30" t="str">
        <f t="shared" si="2496"/>
        <v/>
      </c>
      <c r="DX177" s="30" t="str">
        <f t="shared" si="2497"/>
        <v/>
      </c>
      <c r="DY177" s="30" t="str">
        <f t="shared" si="2498"/>
        <v/>
      </c>
      <c r="DZ177" s="30" t="str">
        <f t="shared" si="2499"/>
        <v/>
      </c>
      <c r="EA177" s="30" t="str">
        <f t="shared" si="2500"/>
        <v/>
      </c>
      <c r="EB177" s="30" t="str">
        <f t="shared" si="2501"/>
        <v/>
      </c>
      <c r="EC177" s="30" t="str">
        <f t="shared" si="2502"/>
        <v/>
      </c>
      <c r="ED177" s="30" t="str">
        <f t="shared" si="2503"/>
        <v/>
      </c>
      <c r="EE177" s="30" t="str">
        <f t="shared" si="2504"/>
        <v/>
      </c>
      <c r="EF177" s="30" t="str">
        <f t="shared" si="2505"/>
        <v/>
      </c>
      <c r="EG177" s="30" t="str">
        <f t="shared" si="2506"/>
        <v/>
      </c>
      <c r="EH177" s="30" t="str">
        <f t="shared" si="2507"/>
        <v/>
      </c>
      <c r="EI177" s="30" t="str">
        <f t="shared" si="2508"/>
        <v/>
      </c>
      <c r="EJ177" s="30" t="str">
        <f t="shared" si="2509"/>
        <v/>
      </c>
      <c r="EK177" s="30" t="str">
        <f t="shared" si="2510"/>
        <v/>
      </c>
      <c r="EL177" s="30" t="str">
        <f t="shared" si="2511"/>
        <v/>
      </c>
      <c r="EM177" s="30" t="str">
        <f t="shared" si="2512"/>
        <v/>
      </c>
      <c r="EN177" s="30" t="str">
        <f t="shared" si="2513"/>
        <v/>
      </c>
      <c r="EO177" s="30" t="str">
        <f t="shared" si="2514"/>
        <v/>
      </c>
      <c r="EP177" s="30" t="str">
        <f t="shared" si="2515"/>
        <v/>
      </c>
      <c r="EQ177" s="30" t="str">
        <f t="shared" si="2516"/>
        <v/>
      </c>
      <c r="ER177" s="30" t="str">
        <f t="shared" si="2517"/>
        <v/>
      </c>
      <c r="ES177" s="30" t="str">
        <f t="shared" si="2518"/>
        <v/>
      </c>
      <c r="ET177" s="30" t="str">
        <f t="shared" si="2519"/>
        <v/>
      </c>
      <c r="EU177" s="30" t="str">
        <f t="shared" si="2520"/>
        <v/>
      </c>
      <c r="EV177" s="30" t="str">
        <f t="shared" si="2521"/>
        <v/>
      </c>
      <c r="EW177" s="30" t="str">
        <f t="shared" si="2522"/>
        <v/>
      </c>
      <c r="EX177" s="30" t="str">
        <f t="shared" si="2523"/>
        <v/>
      </c>
      <c r="EY177" s="30" t="str">
        <f t="shared" si="2524"/>
        <v/>
      </c>
      <c r="EZ177" s="30" t="str">
        <f t="shared" si="2525"/>
        <v/>
      </c>
      <c r="FA177" s="30" t="str">
        <f t="shared" si="2526"/>
        <v/>
      </c>
      <c r="FB177" s="30" t="str">
        <f t="shared" si="2527"/>
        <v/>
      </c>
      <c r="FC177" s="30" t="str">
        <f t="shared" si="2528"/>
        <v/>
      </c>
      <c r="FD177" s="30" t="str">
        <f t="shared" si="2529"/>
        <v/>
      </c>
      <c r="FE177" s="30" t="str">
        <f t="shared" si="2530"/>
        <v/>
      </c>
      <c r="FF177" s="30" t="str">
        <f t="shared" si="2531"/>
        <v/>
      </c>
      <c r="FG177" s="30" t="str">
        <f t="shared" si="2532"/>
        <v/>
      </c>
      <c r="FH177" s="30" t="str">
        <f t="shared" si="2533"/>
        <v/>
      </c>
      <c r="FI177" s="30" t="str">
        <f t="shared" si="2534"/>
        <v/>
      </c>
      <c r="FJ177" s="30" t="str">
        <f t="shared" si="2535"/>
        <v/>
      </c>
      <c r="FK177" s="30" t="str">
        <f t="shared" si="2536"/>
        <v/>
      </c>
      <c r="FL177" s="30" t="str">
        <f t="shared" si="2537"/>
        <v/>
      </c>
      <c r="FM177" s="30" t="str">
        <f t="shared" si="2538"/>
        <v/>
      </c>
      <c r="FN177" s="30" t="str">
        <f t="shared" si="2539"/>
        <v/>
      </c>
      <c r="FO177" s="30" t="str">
        <f t="shared" si="2540"/>
        <v/>
      </c>
      <c r="FP177" s="30" t="str">
        <f t="shared" si="2541"/>
        <v/>
      </c>
      <c r="FQ177" s="30" t="str">
        <f t="shared" si="2542"/>
        <v/>
      </c>
      <c r="FR177" s="30" t="str">
        <f t="shared" si="2543"/>
        <v/>
      </c>
      <c r="FS177" s="30" t="str">
        <f t="shared" si="2544"/>
        <v/>
      </c>
    </row>
    <row r="178" spans="1:175" ht="16.5">
      <c r="A178" s="5"/>
      <c r="B178" s="36"/>
      <c r="C178" s="5"/>
      <c r="E178" s="54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51"/>
      <c r="Q178" s="51"/>
      <c r="R178" s="51"/>
      <c r="S178" s="51"/>
      <c r="T178" s="104"/>
      <c r="U178" s="32"/>
      <c r="CU178" s="45" t="str">
        <f t="shared" si="2474"/>
        <v>|n</v>
      </c>
      <c r="CW178" s="24"/>
      <c r="CX178" s="24"/>
      <c r="CY178" s="24"/>
      <c r="CZ178" s="24"/>
      <c r="DA178" s="24"/>
      <c r="DB178" s="30" t="str">
        <f t="shared" si="2475"/>
        <v/>
      </c>
      <c r="DC178" s="30" t="str">
        <f t="shared" si="2476"/>
        <v/>
      </c>
      <c r="DD178" s="30" t="str">
        <f t="shared" si="2477"/>
        <v/>
      </c>
      <c r="DE178" s="30" t="str">
        <f t="shared" si="2478"/>
        <v/>
      </c>
      <c r="DF178" s="30" t="str">
        <f t="shared" si="2479"/>
        <v/>
      </c>
      <c r="DG178" s="30" t="str">
        <f t="shared" si="2480"/>
        <v/>
      </c>
      <c r="DH178" s="30" t="str">
        <f t="shared" si="2481"/>
        <v/>
      </c>
      <c r="DI178" s="30" t="str">
        <f t="shared" si="2482"/>
        <v/>
      </c>
      <c r="DJ178" s="30" t="str">
        <f t="shared" si="2483"/>
        <v/>
      </c>
      <c r="DK178" s="30" t="str">
        <f t="shared" si="2484"/>
        <v/>
      </c>
      <c r="DL178" s="30" t="str">
        <f t="shared" si="2485"/>
        <v/>
      </c>
      <c r="DM178" s="30" t="str">
        <f t="shared" si="2486"/>
        <v/>
      </c>
      <c r="DN178" s="30" t="str">
        <f t="shared" si="2487"/>
        <v/>
      </c>
      <c r="DO178" s="30" t="str">
        <f t="shared" si="2488"/>
        <v/>
      </c>
      <c r="DP178" s="30" t="str">
        <f t="shared" si="2489"/>
        <v/>
      </c>
      <c r="DQ178" s="30" t="str">
        <f t="shared" si="2490"/>
        <v/>
      </c>
      <c r="DR178" s="30" t="str">
        <f t="shared" si="2491"/>
        <v/>
      </c>
      <c r="DS178" s="30" t="str">
        <f t="shared" si="2492"/>
        <v/>
      </c>
      <c r="DT178" s="30" t="str">
        <f t="shared" si="2493"/>
        <v/>
      </c>
      <c r="DU178" s="30" t="str">
        <f t="shared" si="2494"/>
        <v/>
      </c>
      <c r="DV178" s="30" t="str">
        <f t="shared" si="2495"/>
        <v/>
      </c>
      <c r="DW178" s="30" t="str">
        <f t="shared" si="2496"/>
        <v/>
      </c>
      <c r="DX178" s="30" t="str">
        <f t="shared" si="2497"/>
        <v/>
      </c>
      <c r="DY178" s="30" t="str">
        <f t="shared" si="2498"/>
        <v/>
      </c>
      <c r="DZ178" s="30" t="str">
        <f t="shared" si="2499"/>
        <v/>
      </c>
      <c r="EA178" s="30" t="str">
        <f t="shared" si="2500"/>
        <v/>
      </c>
      <c r="EB178" s="30" t="str">
        <f t="shared" si="2501"/>
        <v/>
      </c>
      <c r="EC178" s="30" t="str">
        <f t="shared" si="2502"/>
        <v/>
      </c>
      <c r="ED178" s="30" t="str">
        <f t="shared" si="2503"/>
        <v/>
      </c>
      <c r="EE178" s="30" t="str">
        <f t="shared" si="2504"/>
        <v/>
      </c>
      <c r="EF178" s="30" t="str">
        <f t="shared" si="2505"/>
        <v/>
      </c>
      <c r="EG178" s="30" t="str">
        <f t="shared" si="2506"/>
        <v/>
      </c>
      <c r="EH178" s="30" t="str">
        <f t="shared" si="2507"/>
        <v/>
      </c>
      <c r="EI178" s="30" t="str">
        <f t="shared" si="2508"/>
        <v/>
      </c>
      <c r="EJ178" s="30" t="str">
        <f t="shared" si="2509"/>
        <v/>
      </c>
      <c r="EK178" s="30" t="str">
        <f t="shared" si="2510"/>
        <v/>
      </c>
      <c r="EL178" s="30" t="str">
        <f t="shared" si="2511"/>
        <v/>
      </c>
      <c r="EM178" s="30" t="str">
        <f t="shared" si="2512"/>
        <v/>
      </c>
      <c r="EN178" s="30" t="str">
        <f t="shared" si="2513"/>
        <v/>
      </c>
      <c r="EO178" s="30" t="str">
        <f t="shared" si="2514"/>
        <v/>
      </c>
      <c r="EP178" s="30" t="str">
        <f t="shared" si="2515"/>
        <v/>
      </c>
      <c r="EQ178" s="30" t="str">
        <f t="shared" si="2516"/>
        <v/>
      </c>
      <c r="ER178" s="30" t="str">
        <f t="shared" si="2517"/>
        <v/>
      </c>
      <c r="ES178" s="30" t="str">
        <f t="shared" si="2518"/>
        <v/>
      </c>
      <c r="ET178" s="30" t="str">
        <f t="shared" si="2519"/>
        <v/>
      </c>
      <c r="EU178" s="30" t="str">
        <f t="shared" si="2520"/>
        <v/>
      </c>
      <c r="EV178" s="30" t="str">
        <f t="shared" si="2521"/>
        <v/>
      </c>
      <c r="EW178" s="30" t="str">
        <f t="shared" si="2522"/>
        <v/>
      </c>
      <c r="EX178" s="30" t="str">
        <f t="shared" si="2523"/>
        <v/>
      </c>
      <c r="EY178" s="30" t="str">
        <f t="shared" si="2524"/>
        <v/>
      </c>
      <c r="EZ178" s="30" t="str">
        <f t="shared" si="2525"/>
        <v/>
      </c>
      <c r="FA178" s="30" t="str">
        <f t="shared" si="2526"/>
        <v/>
      </c>
      <c r="FB178" s="30" t="str">
        <f t="shared" si="2527"/>
        <v/>
      </c>
      <c r="FC178" s="30" t="str">
        <f t="shared" si="2528"/>
        <v/>
      </c>
      <c r="FD178" s="30" t="str">
        <f t="shared" si="2529"/>
        <v/>
      </c>
      <c r="FE178" s="30" t="str">
        <f t="shared" si="2530"/>
        <v/>
      </c>
      <c r="FF178" s="30" t="str">
        <f t="shared" si="2531"/>
        <v/>
      </c>
      <c r="FG178" s="30" t="str">
        <f t="shared" si="2532"/>
        <v/>
      </c>
      <c r="FH178" s="30" t="str">
        <f t="shared" si="2533"/>
        <v/>
      </c>
      <c r="FI178" s="30" t="str">
        <f t="shared" si="2534"/>
        <v/>
      </c>
      <c r="FJ178" s="30" t="str">
        <f t="shared" si="2535"/>
        <v/>
      </c>
      <c r="FK178" s="30" t="str">
        <f t="shared" si="2536"/>
        <v/>
      </c>
      <c r="FL178" s="30" t="str">
        <f t="shared" si="2537"/>
        <v/>
      </c>
      <c r="FM178" s="30" t="str">
        <f t="shared" si="2538"/>
        <v/>
      </c>
      <c r="FN178" s="30" t="str">
        <f t="shared" si="2539"/>
        <v/>
      </c>
      <c r="FO178" s="30" t="str">
        <f t="shared" si="2540"/>
        <v/>
      </c>
      <c r="FP178" s="30" t="str">
        <f t="shared" si="2541"/>
        <v/>
      </c>
      <c r="FQ178" s="30" t="str">
        <f t="shared" si="2542"/>
        <v/>
      </c>
      <c r="FR178" s="30" t="str">
        <f t="shared" si="2543"/>
        <v/>
      </c>
      <c r="FS178" s="30" t="str">
        <f t="shared" si="2544"/>
        <v/>
      </c>
    </row>
    <row r="179" spans="1:175" ht="16.5">
      <c r="A179" s="5"/>
      <c r="B179" s="36"/>
      <c r="C179" s="5"/>
      <c r="E179" s="54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51"/>
      <c r="Q179" s="51"/>
      <c r="R179" s="51"/>
      <c r="S179" s="51"/>
      <c r="T179" s="104"/>
      <c r="U179" s="32"/>
      <c r="CU179" s="45" t="str">
        <f t="shared" si="2474"/>
        <v>|n</v>
      </c>
      <c r="CW179" s="24"/>
      <c r="CX179" s="24"/>
      <c r="CY179" s="24"/>
      <c r="CZ179" s="24"/>
      <c r="DA179" s="24"/>
      <c r="DB179" s="30" t="str">
        <f t="shared" si="2475"/>
        <v/>
      </c>
      <c r="DC179" s="30" t="str">
        <f t="shared" si="2476"/>
        <v/>
      </c>
      <c r="DD179" s="30" t="str">
        <f t="shared" si="2477"/>
        <v/>
      </c>
      <c r="DE179" s="30" t="str">
        <f t="shared" si="2478"/>
        <v/>
      </c>
      <c r="DF179" s="30" t="str">
        <f t="shared" si="2479"/>
        <v/>
      </c>
      <c r="DG179" s="30" t="str">
        <f t="shared" si="2480"/>
        <v/>
      </c>
      <c r="DH179" s="30" t="str">
        <f t="shared" si="2481"/>
        <v/>
      </c>
      <c r="DI179" s="30" t="str">
        <f t="shared" si="2482"/>
        <v/>
      </c>
      <c r="DJ179" s="30" t="str">
        <f t="shared" si="2483"/>
        <v/>
      </c>
      <c r="DK179" s="30" t="str">
        <f t="shared" si="2484"/>
        <v/>
      </c>
      <c r="DL179" s="30" t="str">
        <f t="shared" si="2485"/>
        <v/>
      </c>
      <c r="DM179" s="30" t="str">
        <f t="shared" si="2486"/>
        <v/>
      </c>
      <c r="DN179" s="30" t="str">
        <f t="shared" si="2487"/>
        <v/>
      </c>
      <c r="DO179" s="30" t="str">
        <f t="shared" si="2488"/>
        <v/>
      </c>
      <c r="DP179" s="30" t="str">
        <f t="shared" si="2489"/>
        <v/>
      </c>
      <c r="DQ179" s="30" t="str">
        <f t="shared" si="2490"/>
        <v/>
      </c>
      <c r="DR179" s="30" t="str">
        <f t="shared" si="2491"/>
        <v/>
      </c>
      <c r="DS179" s="30" t="str">
        <f t="shared" si="2492"/>
        <v/>
      </c>
      <c r="DT179" s="30" t="str">
        <f t="shared" si="2493"/>
        <v/>
      </c>
      <c r="DU179" s="30" t="str">
        <f t="shared" si="2494"/>
        <v/>
      </c>
      <c r="DV179" s="30" t="str">
        <f t="shared" si="2495"/>
        <v/>
      </c>
      <c r="DW179" s="30" t="str">
        <f t="shared" si="2496"/>
        <v/>
      </c>
      <c r="DX179" s="30" t="str">
        <f t="shared" si="2497"/>
        <v/>
      </c>
      <c r="DY179" s="30" t="str">
        <f t="shared" si="2498"/>
        <v/>
      </c>
      <c r="DZ179" s="30" t="str">
        <f t="shared" si="2499"/>
        <v/>
      </c>
      <c r="EA179" s="30" t="str">
        <f t="shared" si="2500"/>
        <v/>
      </c>
      <c r="EB179" s="30" t="str">
        <f t="shared" si="2501"/>
        <v/>
      </c>
      <c r="EC179" s="30" t="str">
        <f t="shared" si="2502"/>
        <v/>
      </c>
      <c r="ED179" s="30" t="str">
        <f t="shared" si="2503"/>
        <v/>
      </c>
      <c r="EE179" s="30" t="str">
        <f t="shared" si="2504"/>
        <v/>
      </c>
      <c r="EF179" s="30" t="str">
        <f t="shared" si="2505"/>
        <v/>
      </c>
      <c r="EG179" s="30" t="str">
        <f t="shared" si="2506"/>
        <v/>
      </c>
      <c r="EH179" s="30" t="str">
        <f t="shared" si="2507"/>
        <v/>
      </c>
      <c r="EI179" s="30" t="str">
        <f t="shared" si="2508"/>
        <v/>
      </c>
      <c r="EJ179" s="30" t="str">
        <f t="shared" si="2509"/>
        <v/>
      </c>
      <c r="EK179" s="30" t="str">
        <f t="shared" si="2510"/>
        <v/>
      </c>
      <c r="EL179" s="30" t="str">
        <f t="shared" si="2511"/>
        <v/>
      </c>
      <c r="EM179" s="30" t="str">
        <f t="shared" si="2512"/>
        <v/>
      </c>
      <c r="EN179" s="30" t="str">
        <f t="shared" si="2513"/>
        <v/>
      </c>
      <c r="EO179" s="30" t="str">
        <f t="shared" si="2514"/>
        <v/>
      </c>
      <c r="EP179" s="30" t="str">
        <f t="shared" si="2515"/>
        <v/>
      </c>
      <c r="EQ179" s="30" t="str">
        <f t="shared" si="2516"/>
        <v/>
      </c>
      <c r="ER179" s="30" t="str">
        <f t="shared" si="2517"/>
        <v/>
      </c>
      <c r="ES179" s="30" t="str">
        <f t="shared" si="2518"/>
        <v/>
      </c>
      <c r="ET179" s="30" t="str">
        <f t="shared" si="2519"/>
        <v/>
      </c>
      <c r="EU179" s="30" t="str">
        <f t="shared" si="2520"/>
        <v/>
      </c>
      <c r="EV179" s="30" t="str">
        <f t="shared" si="2521"/>
        <v/>
      </c>
      <c r="EW179" s="30" t="str">
        <f t="shared" si="2522"/>
        <v/>
      </c>
      <c r="EX179" s="30" t="str">
        <f t="shared" si="2523"/>
        <v/>
      </c>
      <c r="EY179" s="30" t="str">
        <f t="shared" si="2524"/>
        <v/>
      </c>
      <c r="EZ179" s="30" t="str">
        <f t="shared" si="2525"/>
        <v/>
      </c>
      <c r="FA179" s="30" t="str">
        <f t="shared" si="2526"/>
        <v/>
      </c>
      <c r="FB179" s="30" t="str">
        <f t="shared" si="2527"/>
        <v/>
      </c>
      <c r="FC179" s="30" t="str">
        <f t="shared" si="2528"/>
        <v/>
      </c>
      <c r="FD179" s="30" t="str">
        <f t="shared" si="2529"/>
        <v/>
      </c>
      <c r="FE179" s="30" t="str">
        <f t="shared" si="2530"/>
        <v/>
      </c>
      <c r="FF179" s="30" t="str">
        <f t="shared" si="2531"/>
        <v/>
      </c>
      <c r="FG179" s="30" t="str">
        <f t="shared" si="2532"/>
        <v/>
      </c>
      <c r="FH179" s="30" t="str">
        <f t="shared" si="2533"/>
        <v/>
      </c>
      <c r="FI179" s="30" t="str">
        <f t="shared" si="2534"/>
        <v/>
      </c>
      <c r="FJ179" s="30" t="str">
        <f t="shared" si="2535"/>
        <v/>
      </c>
      <c r="FK179" s="30" t="str">
        <f t="shared" si="2536"/>
        <v/>
      </c>
      <c r="FL179" s="30" t="str">
        <f t="shared" si="2537"/>
        <v/>
      </c>
      <c r="FM179" s="30" t="str">
        <f t="shared" si="2538"/>
        <v/>
      </c>
      <c r="FN179" s="30" t="str">
        <f t="shared" si="2539"/>
        <v/>
      </c>
      <c r="FO179" s="30" t="str">
        <f t="shared" si="2540"/>
        <v/>
      </c>
      <c r="FP179" s="30" t="str">
        <f t="shared" si="2541"/>
        <v/>
      </c>
      <c r="FQ179" s="30" t="str">
        <f t="shared" si="2542"/>
        <v/>
      </c>
      <c r="FR179" s="30" t="str">
        <f t="shared" si="2543"/>
        <v/>
      </c>
      <c r="FS179" s="30" t="str">
        <f t="shared" si="2544"/>
        <v/>
      </c>
    </row>
    <row r="180" spans="1:175" ht="16.5">
      <c r="A180" s="5"/>
      <c r="B180" s="36"/>
      <c r="C180" s="5"/>
      <c r="E180" s="54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51"/>
      <c r="Q180" s="51"/>
      <c r="R180" s="51"/>
      <c r="S180" s="51"/>
      <c r="T180" s="104"/>
      <c r="U180" s="32"/>
      <c r="CU180" s="45" t="str">
        <f t="shared" si="2474"/>
        <v>|n</v>
      </c>
      <c r="CW180" s="24"/>
      <c r="CX180" s="24"/>
      <c r="CY180" s="24"/>
      <c r="CZ180" s="24"/>
      <c r="DA180" s="24"/>
      <c r="DB180" s="30" t="str">
        <f t="shared" si="2475"/>
        <v/>
      </c>
      <c r="DC180" s="30" t="str">
        <f t="shared" si="2476"/>
        <v/>
      </c>
      <c r="DD180" s="30" t="str">
        <f t="shared" si="2477"/>
        <v/>
      </c>
      <c r="DE180" s="30" t="str">
        <f t="shared" si="2478"/>
        <v/>
      </c>
      <c r="DF180" s="30" t="str">
        <f t="shared" si="2479"/>
        <v/>
      </c>
      <c r="DG180" s="30" t="str">
        <f t="shared" si="2480"/>
        <v/>
      </c>
      <c r="DH180" s="30" t="str">
        <f t="shared" si="2481"/>
        <v/>
      </c>
      <c r="DI180" s="30" t="str">
        <f t="shared" si="2482"/>
        <v/>
      </c>
      <c r="DJ180" s="30" t="str">
        <f t="shared" si="2483"/>
        <v/>
      </c>
      <c r="DK180" s="30" t="str">
        <f t="shared" si="2484"/>
        <v/>
      </c>
      <c r="DL180" s="30" t="str">
        <f t="shared" si="2485"/>
        <v/>
      </c>
      <c r="DM180" s="30" t="str">
        <f t="shared" si="2486"/>
        <v/>
      </c>
      <c r="DN180" s="30" t="str">
        <f t="shared" si="2487"/>
        <v/>
      </c>
      <c r="DO180" s="30" t="str">
        <f t="shared" si="2488"/>
        <v/>
      </c>
      <c r="DP180" s="30" t="str">
        <f t="shared" si="2489"/>
        <v/>
      </c>
      <c r="DQ180" s="30" t="str">
        <f t="shared" si="2490"/>
        <v/>
      </c>
      <c r="DR180" s="30" t="str">
        <f t="shared" si="2491"/>
        <v/>
      </c>
      <c r="DS180" s="30" t="str">
        <f t="shared" si="2492"/>
        <v/>
      </c>
      <c r="DT180" s="30" t="str">
        <f t="shared" si="2493"/>
        <v/>
      </c>
      <c r="DU180" s="30" t="str">
        <f t="shared" si="2494"/>
        <v/>
      </c>
      <c r="DV180" s="30" t="str">
        <f t="shared" si="2495"/>
        <v/>
      </c>
      <c r="DW180" s="30" t="str">
        <f t="shared" si="2496"/>
        <v/>
      </c>
      <c r="DX180" s="30" t="str">
        <f t="shared" si="2497"/>
        <v/>
      </c>
      <c r="DY180" s="30" t="str">
        <f t="shared" si="2498"/>
        <v/>
      </c>
      <c r="DZ180" s="30" t="str">
        <f t="shared" si="2499"/>
        <v/>
      </c>
      <c r="EA180" s="30" t="str">
        <f t="shared" si="2500"/>
        <v/>
      </c>
      <c r="EB180" s="30" t="str">
        <f t="shared" si="2501"/>
        <v/>
      </c>
      <c r="EC180" s="30" t="str">
        <f t="shared" si="2502"/>
        <v/>
      </c>
      <c r="ED180" s="30" t="str">
        <f t="shared" si="2503"/>
        <v/>
      </c>
      <c r="EE180" s="30" t="str">
        <f t="shared" si="2504"/>
        <v/>
      </c>
      <c r="EF180" s="30" t="str">
        <f t="shared" si="2505"/>
        <v/>
      </c>
      <c r="EG180" s="30" t="str">
        <f t="shared" si="2506"/>
        <v/>
      </c>
      <c r="EH180" s="30" t="str">
        <f t="shared" si="2507"/>
        <v/>
      </c>
      <c r="EI180" s="30" t="str">
        <f t="shared" si="2508"/>
        <v/>
      </c>
      <c r="EJ180" s="30" t="str">
        <f t="shared" si="2509"/>
        <v/>
      </c>
      <c r="EK180" s="30" t="str">
        <f t="shared" si="2510"/>
        <v/>
      </c>
      <c r="EL180" s="30" t="str">
        <f t="shared" si="2511"/>
        <v/>
      </c>
      <c r="EM180" s="30" t="str">
        <f t="shared" si="2512"/>
        <v/>
      </c>
      <c r="EN180" s="30" t="str">
        <f t="shared" si="2513"/>
        <v/>
      </c>
      <c r="EO180" s="30" t="str">
        <f t="shared" si="2514"/>
        <v/>
      </c>
      <c r="EP180" s="30" t="str">
        <f t="shared" si="2515"/>
        <v/>
      </c>
      <c r="EQ180" s="30" t="str">
        <f t="shared" si="2516"/>
        <v/>
      </c>
      <c r="ER180" s="30" t="str">
        <f t="shared" si="2517"/>
        <v/>
      </c>
      <c r="ES180" s="30" t="str">
        <f t="shared" si="2518"/>
        <v/>
      </c>
      <c r="ET180" s="30" t="str">
        <f t="shared" si="2519"/>
        <v/>
      </c>
      <c r="EU180" s="30" t="str">
        <f t="shared" si="2520"/>
        <v/>
      </c>
      <c r="EV180" s="30" t="str">
        <f t="shared" si="2521"/>
        <v/>
      </c>
      <c r="EW180" s="30" t="str">
        <f t="shared" si="2522"/>
        <v/>
      </c>
      <c r="EX180" s="30" t="str">
        <f t="shared" si="2523"/>
        <v/>
      </c>
      <c r="EY180" s="30" t="str">
        <f t="shared" si="2524"/>
        <v/>
      </c>
      <c r="EZ180" s="30" t="str">
        <f t="shared" si="2525"/>
        <v/>
      </c>
      <c r="FA180" s="30" t="str">
        <f t="shared" si="2526"/>
        <v/>
      </c>
      <c r="FB180" s="30" t="str">
        <f t="shared" si="2527"/>
        <v/>
      </c>
      <c r="FC180" s="30" t="str">
        <f t="shared" si="2528"/>
        <v/>
      </c>
      <c r="FD180" s="30" t="str">
        <f t="shared" si="2529"/>
        <v/>
      </c>
      <c r="FE180" s="30" t="str">
        <f t="shared" si="2530"/>
        <v/>
      </c>
      <c r="FF180" s="30" t="str">
        <f t="shared" si="2531"/>
        <v/>
      </c>
      <c r="FG180" s="30" t="str">
        <f t="shared" si="2532"/>
        <v/>
      </c>
      <c r="FH180" s="30" t="str">
        <f t="shared" si="2533"/>
        <v/>
      </c>
      <c r="FI180" s="30" t="str">
        <f t="shared" si="2534"/>
        <v/>
      </c>
      <c r="FJ180" s="30" t="str">
        <f t="shared" si="2535"/>
        <v/>
      </c>
      <c r="FK180" s="30" t="str">
        <f t="shared" si="2536"/>
        <v/>
      </c>
      <c r="FL180" s="30" t="str">
        <f t="shared" si="2537"/>
        <v/>
      </c>
      <c r="FM180" s="30" t="str">
        <f t="shared" si="2538"/>
        <v/>
      </c>
      <c r="FN180" s="30" t="str">
        <f t="shared" si="2539"/>
        <v/>
      </c>
      <c r="FO180" s="30" t="str">
        <f t="shared" si="2540"/>
        <v/>
      </c>
      <c r="FP180" s="30" t="str">
        <f t="shared" si="2541"/>
        <v/>
      </c>
      <c r="FQ180" s="30" t="str">
        <f t="shared" si="2542"/>
        <v/>
      </c>
      <c r="FR180" s="30" t="str">
        <f t="shared" si="2543"/>
        <v/>
      </c>
      <c r="FS180" s="30" t="str">
        <f t="shared" si="2544"/>
        <v/>
      </c>
    </row>
    <row r="181" spans="1:175" ht="16.5">
      <c r="A181" s="5"/>
      <c r="B181" s="36"/>
      <c r="C181" s="5"/>
      <c r="E181" s="54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51"/>
      <c r="Q181" s="51"/>
      <c r="R181" s="51"/>
      <c r="S181" s="51"/>
      <c r="T181" s="103"/>
      <c r="U181" s="32"/>
      <c r="CU181" s="45" t="str">
        <f t="shared" si="2474"/>
        <v>|n</v>
      </c>
      <c r="CW181" s="24"/>
      <c r="CX181" s="24"/>
      <c r="CY181" s="24"/>
      <c r="CZ181" s="24"/>
      <c r="DA181" s="24"/>
      <c r="DB181" s="30" t="str">
        <f t="shared" si="2475"/>
        <v/>
      </c>
      <c r="DC181" s="30" t="str">
        <f t="shared" si="2476"/>
        <v/>
      </c>
      <c r="DD181" s="30" t="str">
        <f t="shared" si="2477"/>
        <v/>
      </c>
      <c r="DE181" s="30" t="str">
        <f t="shared" si="2478"/>
        <v/>
      </c>
      <c r="DF181" s="30" t="str">
        <f t="shared" si="2479"/>
        <v/>
      </c>
      <c r="DG181" s="30" t="str">
        <f t="shared" si="2480"/>
        <v/>
      </c>
      <c r="DH181" s="30" t="str">
        <f t="shared" si="2481"/>
        <v/>
      </c>
      <c r="DI181" s="30" t="str">
        <f t="shared" si="2482"/>
        <v/>
      </c>
      <c r="DJ181" s="30" t="str">
        <f t="shared" si="2483"/>
        <v/>
      </c>
      <c r="DK181" s="30" t="str">
        <f t="shared" si="2484"/>
        <v/>
      </c>
      <c r="DL181" s="30" t="str">
        <f t="shared" si="2485"/>
        <v/>
      </c>
      <c r="DM181" s="30" t="str">
        <f t="shared" si="2486"/>
        <v/>
      </c>
      <c r="DN181" s="30" t="str">
        <f t="shared" si="2487"/>
        <v/>
      </c>
      <c r="DO181" s="30" t="str">
        <f t="shared" si="2488"/>
        <v/>
      </c>
      <c r="DP181" s="30" t="str">
        <f t="shared" si="2489"/>
        <v/>
      </c>
      <c r="DQ181" s="30" t="str">
        <f t="shared" si="2490"/>
        <v/>
      </c>
      <c r="DR181" s="30" t="str">
        <f t="shared" si="2491"/>
        <v/>
      </c>
      <c r="DS181" s="30" t="str">
        <f t="shared" si="2492"/>
        <v/>
      </c>
      <c r="DT181" s="30" t="str">
        <f t="shared" si="2493"/>
        <v/>
      </c>
      <c r="DU181" s="30" t="str">
        <f t="shared" si="2494"/>
        <v/>
      </c>
      <c r="DV181" s="30" t="str">
        <f t="shared" si="2495"/>
        <v/>
      </c>
      <c r="DW181" s="30" t="str">
        <f t="shared" si="2496"/>
        <v/>
      </c>
      <c r="DX181" s="30" t="str">
        <f t="shared" si="2497"/>
        <v/>
      </c>
      <c r="DY181" s="30" t="str">
        <f t="shared" si="2498"/>
        <v/>
      </c>
      <c r="DZ181" s="30" t="str">
        <f t="shared" si="2499"/>
        <v/>
      </c>
      <c r="EA181" s="30" t="str">
        <f t="shared" si="2500"/>
        <v/>
      </c>
      <c r="EB181" s="30" t="str">
        <f t="shared" si="2501"/>
        <v/>
      </c>
      <c r="EC181" s="30" t="str">
        <f t="shared" si="2502"/>
        <v/>
      </c>
      <c r="ED181" s="30" t="str">
        <f t="shared" si="2503"/>
        <v/>
      </c>
      <c r="EE181" s="30" t="str">
        <f t="shared" si="2504"/>
        <v/>
      </c>
      <c r="EF181" s="30" t="str">
        <f t="shared" si="2505"/>
        <v/>
      </c>
      <c r="EG181" s="30" t="str">
        <f t="shared" si="2506"/>
        <v/>
      </c>
      <c r="EH181" s="30" t="str">
        <f t="shared" si="2507"/>
        <v/>
      </c>
      <c r="EI181" s="30" t="str">
        <f t="shared" si="2508"/>
        <v/>
      </c>
      <c r="EJ181" s="30" t="str">
        <f t="shared" si="2509"/>
        <v/>
      </c>
      <c r="EK181" s="30" t="str">
        <f t="shared" si="2510"/>
        <v/>
      </c>
      <c r="EL181" s="30" t="str">
        <f t="shared" si="2511"/>
        <v/>
      </c>
      <c r="EM181" s="30" t="str">
        <f t="shared" si="2512"/>
        <v/>
      </c>
      <c r="EN181" s="30" t="str">
        <f t="shared" si="2513"/>
        <v/>
      </c>
      <c r="EO181" s="30" t="str">
        <f t="shared" si="2514"/>
        <v/>
      </c>
      <c r="EP181" s="30" t="str">
        <f t="shared" si="2515"/>
        <v/>
      </c>
      <c r="EQ181" s="30" t="str">
        <f t="shared" si="2516"/>
        <v/>
      </c>
      <c r="ER181" s="30" t="str">
        <f t="shared" si="2517"/>
        <v/>
      </c>
      <c r="ES181" s="30" t="str">
        <f t="shared" si="2518"/>
        <v/>
      </c>
      <c r="ET181" s="30" t="str">
        <f t="shared" si="2519"/>
        <v/>
      </c>
      <c r="EU181" s="30" t="str">
        <f t="shared" si="2520"/>
        <v/>
      </c>
      <c r="EV181" s="30" t="str">
        <f t="shared" si="2521"/>
        <v/>
      </c>
      <c r="EW181" s="30" t="str">
        <f t="shared" si="2522"/>
        <v/>
      </c>
      <c r="EX181" s="30" t="str">
        <f t="shared" si="2523"/>
        <v/>
      </c>
      <c r="EY181" s="30" t="str">
        <f t="shared" si="2524"/>
        <v/>
      </c>
      <c r="EZ181" s="30" t="str">
        <f t="shared" si="2525"/>
        <v/>
      </c>
      <c r="FA181" s="30" t="str">
        <f t="shared" si="2526"/>
        <v/>
      </c>
      <c r="FB181" s="30" t="str">
        <f t="shared" si="2527"/>
        <v/>
      </c>
      <c r="FC181" s="30" t="str">
        <f t="shared" si="2528"/>
        <v/>
      </c>
      <c r="FD181" s="30" t="str">
        <f t="shared" si="2529"/>
        <v/>
      </c>
      <c r="FE181" s="30" t="str">
        <f t="shared" si="2530"/>
        <v/>
      </c>
      <c r="FF181" s="30" t="str">
        <f t="shared" si="2531"/>
        <v/>
      </c>
      <c r="FG181" s="30" t="str">
        <f t="shared" si="2532"/>
        <v/>
      </c>
      <c r="FH181" s="30" t="str">
        <f t="shared" si="2533"/>
        <v/>
      </c>
      <c r="FI181" s="30" t="str">
        <f t="shared" si="2534"/>
        <v/>
      </c>
      <c r="FJ181" s="30" t="str">
        <f t="shared" si="2535"/>
        <v/>
      </c>
      <c r="FK181" s="30" t="str">
        <f t="shared" si="2536"/>
        <v/>
      </c>
      <c r="FL181" s="30" t="str">
        <f t="shared" si="2537"/>
        <v/>
      </c>
      <c r="FM181" s="30" t="str">
        <f t="shared" si="2538"/>
        <v/>
      </c>
      <c r="FN181" s="30" t="str">
        <f t="shared" si="2539"/>
        <v/>
      </c>
      <c r="FO181" s="30" t="str">
        <f t="shared" si="2540"/>
        <v/>
      </c>
      <c r="FP181" s="30" t="str">
        <f t="shared" si="2541"/>
        <v/>
      </c>
      <c r="FQ181" s="30" t="str">
        <f t="shared" si="2542"/>
        <v/>
      </c>
      <c r="FR181" s="30" t="str">
        <f t="shared" si="2543"/>
        <v/>
      </c>
      <c r="FS181" s="30" t="str">
        <f t="shared" si="2544"/>
        <v/>
      </c>
    </row>
    <row r="182" spans="1:175" ht="16.5">
      <c r="A182" s="5"/>
      <c r="B182" s="36"/>
      <c r="C182" s="5"/>
      <c r="E182" s="54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51"/>
      <c r="Q182" s="51"/>
      <c r="R182" s="51"/>
      <c r="S182" s="51"/>
      <c r="T182" s="103"/>
      <c r="U182" s="32"/>
      <c r="CU182" s="45" t="str">
        <f t="shared" si="2474"/>
        <v>|n</v>
      </c>
      <c r="CW182" s="24"/>
      <c r="CX182" s="24"/>
      <c r="CY182" s="24"/>
      <c r="CZ182" s="24"/>
      <c r="DA182" s="24"/>
      <c r="DB182" s="30" t="str">
        <f t="shared" si="2475"/>
        <v/>
      </c>
      <c r="DC182" s="30" t="str">
        <f t="shared" si="2476"/>
        <v/>
      </c>
      <c r="DD182" s="30" t="str">
        <f t="shared" si="2477"/>
        <v/>
      </c>
      <c r="DE182" s="30" t="str">
        <f t="shared" si="2478"/>
        <v/>
      </c>
      <c r="DF182" s="30" t="str">
        <f t="shared" si="2479"/>
        <v/>
      </c>
      <c r="DG182" s="30" t="str">
        <f t="shared" si="2480"/>
        <v/>
      </c>
      <c r="DH182" s="30" t="str">
        <f t="shared" si="2481"/>
        <v/>
      </c>
      <c r="DI182" s="30" t="str">
        <f t="shared" si="2482"/>
        <v/>
      </c>
      <c r="DJ182" s="30" t="str">
        <f t="shared" si="2483"/>
        <v/>
      </c>
      <c r="DK182" s="30" t="str">
        <f t="shared" si="2484"/>
        <v/>
      </c>
      <c r="DL182" s="30" t="str">
        <f t="shared" si="2485"/>
        <v/>
      </c>
      <c r="DM182" s="30" t="str">
        <f t="shared" si="2486"/>
        <v/>
      </c>
      <c r="DN182" s="30" t="str">
        <f t="shared" si="2487"/>
        <v/>
      </c>
      <c r="DO182" s="30" t="str">
        <f t="shared" si="2488"/>
        <v/>
      </c>
      <c r="DP182" s="30" t="str">
        <f t="shared" si="2489"/>
        <v/>
      </c>
      <c r="DQ182" s="30" t="str">
        <f t="shared" si="2490"/>
        <v/>
      </c>
      <c r="DR182" s="30" t="str">
        <f t="shared" si="2491"/>
        <v/>
      </c>
      <c r="DS182" s="30" t="str">
        <f t="shared" si="2492"/>
        <v/>
      </c>
      <c r="DT182" s="30" t="str">
        <f t="shared" si="2493"/>
        <v/>
      </c>
      <c r="DU182" s="30" t="str">
        <f t="shared" si="2494"/>
        <v/>
      </c>
      <c r="DV182" s="30" t="str">
        <f t="shared" si="2495"/>
        <v/>
      </c>
      <c r="DW182" s="30" t="str">
        <f t="shared" si="2496"/>
        <v/>
      </c>
      <c r="DX182" s="30" t="str">
        <f t="shared" si="2497"/>
        <v/>
      </c>
      <c r="DY182" s="30" t="str">
        <f t="shared" si="2498"/>
        <v/>
      </c>
      <c r="DZ182" s="30" t="str">
        <f t="shared" si="2499"/>
        <v/>
      </c>
      <c r="EA182" s="30" t="str">
        <f t="shared" si="2500"/>
        <v/>
      </c>
      <c r="EB182" s="30" t="str">
        <f t="shared" si="2501"/>
        <v/>
      </c>
      <c r="EC182" s="30" t="str">
        <f t="shared" si="2502"/>
        <v/>
      </c>
      <c r="ED182" s="30" t="str">
        <f t="shared" si="2503"/>
        <v/>
      </c>
      <c r="EE182" s="30" t="str">
        <f t="shared" si="2504"/>
        <v/>
      </c>
      <c r="EF182" s="30" t="str">
        <f t="shared" si="2505"/>
        <v/>
      </c>
      <c r="EG182" s="30" t="str">
        <f t="shared" si="2506"/>
        <v/>
      </c>
      <c r="EH182" s="30" t="str">
        <f t="shared" si="2507"/>
        <v/>
      </c>
      <c r="EI182" s="30" t="str">
        <f t="shared" si="2508"/>
        <v/>
      </c>
      <c r="EJ182" s="30" t="str">
        <f t="shared" si="2509"/>
        <v/>
      </c>
      <c r="EK182" s="30" t="str">
        <f t="shared" si="2510"/>
        <v/>
      </c>
      <c r="EL182" s="30" t="str">
        <f t="shared" si="2511"/>
        <v/>
      </c>
      <c r="EM182" s="30" t="str">
        <f t="shared" si="2512"/>
        <v/>
      </c>
      <c r="EN182" s="30" t="str">
        <f t="shared" si="2513"/>
        <v/>
      </c>
      <c r="EO182" s="30" t="str">
        <f t="shared" si="2514"/>
        <v/>
      </c>
      <c r="EP182" s="30" t="str">
        <f t="shared" si="2515"/>
        <v/>
      </c>
      <c r="EQ182" s="30" t="str">
        <f t="shared" si="2516"/>
        <v/>
      </c>
      <c r="ER182" s="30" t="str">
        <f t="shared" si="2517"/>
        <v/>
      </c>
      <c r="ES182" s="30" t="str">
        <f t="shared" si="2518"/>
        <v/>
      </c>
      <c r="ET182" s="30" t="str">
        <f t="shared" si="2519"/>
        <v/>
      </c>
      <c r="EU182" s="30" t="str">
        <f t="shared" si="2520"/>
        <v/>
      </c>
      <c r="EV182" s="30" t="str">
        <f t="shared" si="2521"/>
        <v/>
      </c>
      <c r="EW182" s="30" t="str">
        <f t="shared" si="2522"/>
        <v/>
      </c>
      <c r="EX182" s="30" t="str">
        <f t="shared" si="2523"/>
        <v/>
      </c>
      <c r="EY182" s="30" t="str">
        <f t="shared" si="2524"/>
        <v/>
      </c>
      <c r="EZ182" s="30" t="str">
        <f t="shared" si="2525"/>
        <v/>
      </c>
      <c r="FA182" s="30" t="str">
        <f t="shared" si="2526"/>
        <v/>
      </c>
      <c r="FB182" s="30" t="str">
        <f t="shared" si="2527"/>
        <v/>
      </c>
      <c r="FC182" s="30" t="str">
        <f t="shared" si="2528"/>
        <v/>
      </c>
      <c r="FD182" s="30" t="str">
        <f t="shared" si="2529"/>
        <v/>
      </c>
      <c r="FE182" s="30" t="str">
        <f t="shared" si="2530"/>
        <v/>
      </c>
      <c r="FF182" s="30" t="str">
        <f t="shared" si="2531"/>
        <v/>
      </c>
      <c r="FG182" s="30" t="str">
        <f t="shared" si="2532"/>
        <v/>
      </c>
      <c r="FH182" s="30" t="str">
        <f t="shared" si="2533"/>
        <v/>
      </c>
      <c r="FI182" s="30" t="str">
        <f t="shared" si="2534"/>
        <v/>
      </c>
      <c r="FJ182" s="30" t="str">
        <f t="shared" si="2535"/>
        <v/>
      </c>
      <c r="FK182" s="30" t="str">
        <f t="shared" si="2536"/>
        <v/>
      </c>
      <c r="FL182" s="30" t="str">
        <f t="shared" si="2537"/>
        <v/>
      </c>
      <c r="FM182" s="30" t="str">
        <f t="shared" si="2538"/>
        <v/>
      </c>
      <c r="FN182" s="30" t="str">
        <f t="shared" si="2539"/>
        <v/>
      </c>
      <c r="FO182" s="30" t="str">
        <f t="shared" si="2540"/>
        <v/>
      </c>
      <c r="FP182" s="30" t="str">
        <f t="shared" si="2541"/>
        <v/>
      </c>
      <c r="FQ182" s="30" t="str">
        <f t="shared" si="2542"/>
        <v/>
      </c>
      <c r="FR182" s="30" t="str">
        <f t="shared" si="2543"/>
        <v/>
      </c>
      <c r="FS182" s="30" t="str">
        <f t="shared" si="2544"/>
        <v/>
      </c>
    </row>
    <row r="183" spans="1:175">
      <c r="A183" s="66"/>
      <c r="B183" s="66"/>
      <c r="C183" s="66"/>
      <c r="E183" s="35"/>
      <c r="T183" s="100"/>
      <c r="U183" s="32"/>
      <c r="CU183" s="45" t="str">
        <f t="shared" si="2474"/>
        <v>|n</v>
      </c>
      <c r="CW183" s="24"/>
      <c r="CX183" s="24"/>
      <c r="CY183" s="24"/>
      <c r="CZ183" s="24"/>
      <c r="DA183" s="24"/>
      <c r="DB183" s="30" t="str">
        <f t="shared" si="2475"/>
        <v/>
      </c>
      <c r="DC183" s="30" t="str">
        <f t="shared" si="2476"/>
        <v/>
      </c>
      <c r="DD183" s="30" t="str">
        <f t="shared" si="2477"/>
        <v/>
      </c>
      <c r="DE183" s="30" t="str">
        <f t="shared" si="2478"/>
        <v/>
      </c>
      <c r="DF183" s="30" t="str">
        <f t="shared" si="2479"/>
        <v/>
      </c>
      <c r="DG183" s="30" t="str">
        <f t="shared" si="2480"/>
        <v/>
      </c>
      <c r="DH183" s="30" t="str">
        <f t="shared" si="2481"/>
        <v/>
      </c>
      <c r="DI183" s="30" t="str">
        <f t="shared" si="2482"/>
        <v/>
      </c>
      <c r="DJ183" s="30" t="str">
        <f t="shared" si="2483"/>
        <v/>
      </c>
      <c r="DK183" s="30" t="str">
        <f t="shared" si="2484"/>
        <v/>
      </c>
      <c r="DL183" s="30" t="str">
        <f t="shared" si="2485"/>
        <v/>
      </c>
      <c r="DM183" s="30" t="str">
        <f t="shared" si="2486"/>
        <v/>
      </c>
      <c r="DN183" s="30" t="str">
        <f t="shared" si="2487"/>
        <v/>
      </c>
      <c r="DO183" s="30" t="str">
        <f t="shared" si="2488"/>
        <v/>
      </c>
      <c r="DP183" s="30" t="str">
        <f t="shared" si="2489"/>
        <v/>
      </c>
      <c r="DQ183" s="30" t="str">
        <f t="shared" si="2490"/>
        <v/>
      </c>
      <c r="DR183" s="30" t="str">
        <f t="shared" si="2491"/>
        <v/>
      </c>
      <c r="DS183" s="30" t="str">
        <f t="shared" si="2492"/>
        <v/>
      </c>
      <c r="DT183" s="30" t="str">
        <f t="shared" si="2493"/>
        <v/>
      </c>
      <c r="DU183" s="30" t="str">
        <f t="shared" si="2494"/>
        <v/>
      </c>
      <c r="DV183" s="30" t="str">
        <f t="shared" si="2495"/>
        <v/>
      </c>
      <c r="DW183" s="30" t="str">
        <f t="shared" si="2496"/>
        <v/>
      </c>
      <c r="DX183" s="30" t="str">
        <f t="shared" si="2497"/>
        <v/>
      </c>
      <c r="DY183" s="30" t="str">
        <f t="shared" si="2498"/>
        <v/>
      </c>
      <c r="DZ183" s="30" t="str">
        <f t="shared" si="2499"/>
        <v/>
      </c>
      <c r="EA183" s="30" t="str">
        <f t="shared" si="2500"/>
        <v/>
      </c>
      <c r="EB183" s="30" t="str">
        <f t="shared" si="2501"/>
        <v/>
      </c>
      <c r="EC183" s="30" t="str">
        <f t="shared" si="2502"/>
        <v/>
      </c>
      <c r="ED183" s="30" t="str">
        <f t="shared" si="2503"/>
        <v/>
      </c>
      <c r="EE183" s="30" t="str">
        <f t="shared" si="2504"/>
        <v/>
      </c>
      <c r="EF183" s="30" t="str">
        <f t="shared" si="2505"/>
        <v/>
      </c>
      <c r="EG183" s="30" t="str">
        <f t="shared" si="2506"/>
        <v/>
      </c>
      <c r="EH183" s="30" t="str">
        <f t="shared" si="2507"/>
        <v/>
      </c>
      <c r="EI183" s="30" t="str">
        <f t="shared" si="2508"/>
        <v/>
      </c>
      <c r="EJ183" s="30" t="str">
        <f t="shared" si="2509"/>
        <v/>
      </c>
      <c r="EK183" s="30" t="str">
        <f t="shared" si="2510"/>
        <v/>
      </c>
      <c r="EL183" s="30" t="str">
        <f t="shared" si="2511"/>
        <v/>
      </c>
      <c r="EM183" s="30" t="str">
        <f t="shared" si="2512"/>
        <v/>
      </c>
      <c r="EN183" s="30" t="str">
        <f t="shared" si="2513"/>
        <v/>
      </c>
      <c r="EO183" s="30" t="str">
        <f t="shared" si="2514"/>
        <v/>
      </c>
      <c r="EP183" s="30" t="str">
        <f t="shared" si="2515"/>
        <v/>
      </c>
      <c r="EQ183" s="30" t="str">
        <f t="shared" si="2516"/>
        <v/>
      </c>
      <c r="ER183" s="30" t="str">
        <f t="shared" si="2517"/>
        <v/>
      </c>
      <c r="ES183" s="30" t="str">
        <f t="shared" si="2518"/>
        <v/>
      </c>
      <c r="ET183" s="30" t="str">
        <f t="shared" si="2519"/>
        <v/>
      </c>
      <c r="EU183" s="30" t="str">
        <f t="shared" si="2520"/>
        <v/>
      </c>
      <c r="EV183" s="30" t="str">
        <f t="shared" si="2521"/>
        <v/>
      </c>
      <c r="EW183" s="30" t="str">
        <f t="shared" si="2522"/>
        <v/>
      </c>
      <c r="EX183" s="30" t="str">
        <f t="shared" si="2523"/>
        <v/>
      </c>
      <c r="EY183" s="30" t="str">
        <f t="shared" si="2524"/>
        <v/>
      </c>
      <c r="EZ183" s="30" t="str">
        <f t="shared" si="2525"/>
        <v/>
      </c>
      <c r="FA183" s="30" t="str">
        <f t="shared" si="2526"/>
        <v/>
      </c>
      <c r="FB183" s="30" t="str">
        <f t="shared" si="2527"/>
        <v/>
      </c>
      <c r="FC183" s="30" t="str">
        <f t="shared" si="2528"/>
        <v/>
      </c>
      <c r="FD183" s="30" t="str">
        <f t="shared" si="2529"/>
        <v/>
      </c>
      <c r="FE183" s="30" t="str">
        <f t="shared" si="2530"/>
        <v/>
      </c>
      <c r="FF183" s="30" t="str">
        <f t="shared" si="2531"/>
        <v/>
      </c>
      <c r="FG183" s="30" t="str">
        <f t="shared" si="2532"/>
        <v/>
      </c>
      <c r="FH183" s="30" t="str">
        <f t="shared" si="2533"/>
        <v/>
      </c>
      <c r="FI183" s="30" t="str">
        <f t="shared" si="2534"/>
        <v/>
      </c>
      <c r="FJ183" s="30" t="str">
        <f t="shared" si="2535"/>
        <v/>
      </c>
      <c r="FK183" s="30" t="str">
        <f t="shared" si="2536"/>
        <v/>
      </c>
      <c r="FL183" s="30" t="str">
        <f t="shared" si="2537"/>
        <v/>
      </c>
      <c r="FM183" s="30" t="str">
        <f t="shared" si="2538"/>
        <v/>
      </c>
      <c r="FN183" s="30" t="str">
        <f t="shared" si="2539"/>
        <v/>
      </c>
      <c r="FO183" s="30" t="str">
        <f t="shared" si="2540"/>
        <v/>
      </c>
      <c r="FP183" s="30" t="str">
        <f t="shared" si="2541"/>
        <v/>
      </c>
      <c r="FQ183" s="30" t="str">
        <f t="shared" si="2542"/>
        <v/>
      </c>
      <c r="FR183" s="30" t="str">
        <f t="shared" si="2543"/>
        <v/>
      </c>
      <c r="FS183" s="30" t="str">
        <f t="shared" si="2544"/>
        <v/>
      </c>
    </row>
    <row r="184" spans="1:175">
      <c r="A184" s="66"/>
      <c r="B184" s="66"/>
      <c r="C184" s="66"/>
      <c r="E184" s="35"/>
      <c r="T184" s="100"/>
      <c r="U184" s="32"/>
      <c r="CU184" s="45" t="str">
        <f t="shared" si="2474"/>
        <v>|n</v>
      </c>
      <c r="CW184" s="24"/>
      <c r="CX184" s="24"/>
      <c r="CY184" s="24"/>
      <c r="CZ184" s="24"/>
      <c r="DA184" s="24"/>
      <c r="DB184" s="30" t="str">
        <f t="shared" si="2475"/>
        <v/>
      </c>
      <c r="DC184" s="30" t="str">
        <f t="shared" si="2476"/>
        <v/>
      </c>
      <c r="DD184" s="30" t="str">
        <f t="shared" si="2477"/>
        <v/>
      </c>
      <c r="DE184" s="30" t="str">
        <f t="shared" si="2478"/>
        <v/>
      </c>
      <c r="DF184" s="30" t="str">
        <f t="shared" si="2479"/>
        <v/>
      </c>
      <c r="DG184" s="30" t="str">
        <f t="shared" si="2480"/>
        <v/>
      </c>
      <c r="DH184" s="30" t="str">
        <f t="shared" si="2481"/>
        <v/>
      </c>
      <c r="DI184" s="30" t="str">
        <f t="shared" si="2482"/>
        <v/>
      </c>
      <c r="DJ184" s="30" t="str">
        <f t="shared" si="2483"/>
        <v/>
      </c>
      <c r="DK184" s="30" t="str">
        <f t="shared" si="2484"/>
        <v/>
      </c>
      <c r="DL184" s="30" t="str">
        <f t="shared" si="2485"/>
        <v/>
      </c>
      <c r="DM184" s="30" t="str">
        <f t="shared" si="2486"/>
        <v/>
      </c>
      <c r="DN184" s="30" t="str">
        <f t="shared" si="2487"/>
        <v/>
      </c>
      <c r="DO184" s="30" t="str">
        <f t="shared" si="2488"/>
        <v/>
      </c>
      <c r="DP184" s="30" t="str">
        <f t="shared" si="2489"/>
        <v/>
      </c>
      <c r="DQ184" s="30" t="str">
        <f t="shared" si="2490"/>
        <v/>
      </c>
      <c r="DR184" s="30" t="str">
        <f t="shared" si="2491"/>
        <v/>
      </c>
      <c r="DS184" s="30" t="str">
        <f t="shared" si="2492"/>
        <v/>
      </c>
      <c r="DT184" s="30" t="str">
        <f t="shared" si="2493"/>
        <v/>
      </c>
      <c r="DU184" s="30" t="str">
        <f t="shared" si="2494"/>
        <v/>
      </c>
      <c r="DV184" s="30" t="str">
        <f t="shared" si="2495"/>
        <v/>
      </c>
      <c r="DW184" s="30" t="str">
        <f t="shared" si="2496"/>
        <v/>
      </c>
      <c r="DX184" s="30" t="str">
        <f t="shared" si="2497"/>
        <v/>
      </c>
      <c r="DY184" s="30" t="str">
        <f t="shared" si="2498"/>
        <v/>
      </c>
      <c r="DZ184" s="30" t="str">
        <f t="shared" si="2499"/>
        <v/>
      </c>
      <c r="EA184" s="30" t="str">
        <f t="shared" si="2500"/>
        <v/>
      </c>
      <c r="EB184" s="30" t="str">
        <f t="shared" si="2501"/>
        <v/>
      </c>
      <c r="EC184" s="30" t="str">
        <f t="shared" si="2502"/>
        <v/>
      </c>
      <c r="ED184" s="30" t="str">
        <f t="shared" si="2503"/>
        <v/>
      </c>
      <c r="EE184" s="30" t="str">
        <f t="shared" si="2504"/>
        <v/>
      </c>
      <c r="EF184" s="30" t="str">
        <f t="shared" si="2505"/>
        <v/>
      </c>
      <c r="EG184" s="30" t="str">
        <f t="shared" si="2506"/>
        <v/>
      </c>
      <c r="EH184" s="30" t="str">
        <f t="shared" si="2507"/>
        <v/>
      </c>
      <c r="EI184" s="30" t="str">
        <f t="shared" si="2508"/>
        <v/>
      </c>
      <c r="EJ184" s="30" t="str">
        <f t="shared" si="2509"/>
        <v/>
      </c>
      <c r="EK184" s="30" t="str">
        <f t="shared" si="2510"/>
        <v/>
      </c>
      <c r="EL184" s="30" t="str">
        <f t="shared" si="2511"/>
        <v/>
      </c>
      <c r="EM184" s="30" t="str">
        <f t="shared" si="2512"/>
        <v/>
      </c>
      <c r="EN184" s="30" t="str">
        <f t="shared" si="2513"/>
        <v/>
      </c>
      <c r="EO184" s="30" t="str">
        <f t="shared" si="2514"/>
        <v/>
      </c>
      <c r="EP184" s="30" t="str">
        <f t="shared" si="2515"/>
        <v/>
      </c>
      <c r="EQ184" s="30" t="str">
        <f t="shared" si="2516"/>
        <v/>
      </c>
      <c r="ER184" s="30" t="str">
        <f t="shared" si="2517"/>
        <v/>
      </c>
      <c r="ES184" s="30" t="str">
        <f t="shared" si="2518"/>
        <v/>
      </c>
      <c r="ET184" s="30" t="str">
        <f t="shared" si="2519"/>
        <v/>
      </c>
      <c r="EU184" s="30" t="str">
        <f t="shared" si="2520"/>
        <v/>
      </c>
      <c r="EV184" s="30" t="str">
        <f t="shared" si="2521"/>
        <v/>
      </c>
      <c r="EW184" s="30" t="str">
        <f t="shared" si="2522"/>
        <v/>
      </c>
      <c r="EX184" s="30" t="str">
        <f t="shared" si="2523"/>
        <v/>
      </c>
      <c r="EY184" s="30" t="str">
        <f t="shared" si="2524"/>
        <v/>
      </c>
      <c r="EZ184" s="30" t="str">
        <f t="shared" si="2525"/>
        <v/>
      </c>
      <c r="FA184" s="30" t="str">
        <f t="shared" si="2526"/>
        <v/>
      </c>
      <c r="FB184" s="30" t="str">
        <f t="shared" si="2527"/>
        <v/>
      </c>
      <c r="FC184" s="30" t="str">
        <f t="shared" si="2528"/>
        <v/>
      </c>
      <c r="FD184" s="30" t="str">
        <f t="shared" si="2529"/>
        <v/>
      </c>
      <c r="FE184" s="30" t="str">
        <f t="shared" si="2530"/>
        <v/>
      </c>
      <c r="FF184" s="30" t="str">
        <f t="shared" si="2531"/>
        <v/>
      </c>
      <c r="FG184" s="30" t="str">
        <f t="shared" si="2532"/>
        <v/>
      </c>
      <c r="FH184" s="30" t="str">
        <f t="shared" si="2533"/>
        <v/>
      </c>
      <c r="FI184" s="30" t="str">
        <f t="shared" si="2534"/>
        <v/>
      </c>
      <c r="FJ184" s="30" t="str">
        <f t="shared" si="2535"/>
        <v/>
      </c>
      <c r="FK184" s="30" t="str">
        <f t="shared" si="2536"/>
        <v/>
      </c>
      <c r="FL184" s="30" t="str">
        <f t="shared" si="2537"/>
        <v/>
      </c>
      <c r="FM184" s="30" t="str">
        <f t="shared" si="2538"/>
        <v/>
      </c>
      <c r="FN184" s="30" t="str">
        <f t="shared" si="2539"/>
        <v/>
      </c>
      <c r="FO184" s="30" t="str">
        <f t="shared" si="2540"/>
        <v/>
      </c>
      <c r="FP184" s="30" t="str">
        <f t="shared" si="2541"/>
        <v/>
      </c>
      <c r="FQ184" s="30" t="str">
        <f t="shared" si="2542"/>
        <v/>
      </c>
      <c r="FR184" s="30" t="str">
        <f t="shared" si="2543"/>
        <v/>
      </c>
      <c r="FS184" s="30" t="str">
        <f t="shared" si="2544"/>
        <v/>
      </c>
    </row>
    <row r="185" spans="1:175" s="24" customFormat="1" ht="16.5">
      <c r="A185" s="46"/>
      <c r="B185" s="36"/>
      <c r="C185" s="46"/>
      <c r="D185" s="31"/>
      <c r="E185" s="39"/>
      <c r="F185" s="41"/>
      <c r="G185" s="47"/>
      <c r="H185" s="47"/>
      <c r="I185" s="47"/>
      <c r="J185" s="47"/>
      <c r="K185" s="47"/>
      <c r="L185" s="47"/>
      <c r="M185" s="47"/>
      <c r="N185" s="47"/>
      <c r="O185" s="47"/>
      <c r="P185" s="42"/>
      <c r="Q185" s="42"/>
      <c r="R185" s="42"/>
      <c r="S185" s="42"/>
      <c r="T185" s="102"/>
      <c r="U185" s="32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4" t="str">
        <f>"InitUnitState('"&amp;B185&amp;"',"&amp;V185&amp;","&amp;W185&amp;","&amp;X185&amp;","&amp;Y185&amp;","&amp;Z185&amp;","&amp;AA185&amp;","&amp;AB185&amp;","&amp;AC185&amp;","&amp;AD185&amp;","&amp;AE185&amp;")"</f>
        <v>InitUnitState('',,,,,,,,,,)</v>
      </c>
      <c r="CO185" s="44" t="str">
        <f>"InitUnitNormal('"&amp;B185&amp;"',"&amp;AF185&amp;","&amp;AG185&amp;","&amp;AH185&amp;","&amp;AI185&amp;","&amp;AJ185&amp;","&amp;AK185&amp;","&amp;AL185&amp;","&amp;AM185&amp;","&amp;AN185&amp;","&amp;AO185&amp;")"</f>
        <v>InitUnitNormal('',,,,,,,,,,)</v>
      </c>
      <c r="CP185" s="44" t="str">
        <f>"InitUnitMagic('"&amp;B185&amp;"',"&amp;AP185&amp;","&amp;AQ185&amp;","&amp;AR185&amp;","&amp;AS185&amp;","&amp;AT185&amp;","&amp;AU185&amp;","&amp;AV185&amp;","&amp;AW185&amp;","&amp;BI185&amp;","&amp;BJ185&amp;")"</f>
        <v>InitUnitMagic('',,,,,,,,,,)</v>
      </c>
      <c r="CQ185" s="44" t="str">
        <f>"InitUnitAdd('"&amp;B185&amp;"',"&amp;BK185&amp;","&amp;BL185&amp;","&amp;BM185&amp;","&amp;BN185&amp;","&amp;BO185&amp;","&amp;BP185&amp;","&amp;BQ185&amp;","&amp;BR185&amp;","&amp;BS185&amp;","&amp;BT185&amp;")"</f>
        <v>InitUnitAdd('',,,,,,,,,,)</v>
      </c>
      <c r="CR185" s="44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InitEquipData('',,"",,,,,'','','','','','',"")</v>
      </c>
      <c r="CS185" s="44"/>
      <c r="CT185" s="44"/>
      <c r="CU185" s="45" t="str">
        <f t="shared" si="2474"/>
        <v>|n</v>
      </c>
      <c r="CV185" s="29"/>
      <c r="DB185" s="30" t="str">
        <f t="shared" si="2475"/>
        <v/>
      </c>
      <c r="DC185" s="30" t="str">
        <f t="shared" si="2476"/>
        <v/>
      </c>
      <c r="DD185" s="30" t="str">
        <f t="shared" si="2477"/>
        <v/>
      </c>
      <c r="DE185" s="30" t="str">
        <f t="shared" si="2478"/>
        <v/>
      </c>
      <c r="DF185" s="30" t="str">
        <f t="shared" si="2479"/>
        <v/>
      </c>
      <c r="DG185" s="30" t="str">
        <f t="shared" si="2480"/>
        <v/>
      </c>
      <c r="DH185" s="30" t="str">
        <f t="shared" si="2481"/>
        <v/>
      </c>
      <c r="DI185" s="30" t="str">
        <f t="shared" si="2482"/>
        <v/>
      </c>
      <c r="DJ185" s="30" t="str">
        <f t="shared" si="2483"/>
        <v/>
      </c>
      <c r="DK185" s="30" t="str">
        <f t="shared" si="2484"/>
        <v/>
      </c>
      <c r="DL185" s="30" t="str">
        <f t="shared" si="2485"/>
        <v/>
      </c>
      <c r="DM185" s="30" t="str">
        <f t="shared" si="2486"/>
        <v/>
      </c>
      <c r="DN185" s="30" t="str">
        <f t="shared" si="2487"/>
        <v/>
      </c>
      <c r="DO185" s="30" t="str">
        <f t="shared" si="2488"/>
        <v/>
      </c>
      <c r="DP185" s="30" t="str">
        <f t="shared" si="2489"/>
        <v/>
      </c>
      <c r="DQ185" s="30" t="str">
        <f t="shared" si="2490"/>
        <v/>
      </c>
      <c r="DR185" s="30" t="str">
        <f t="shared" si="2491"/>
        <v/>
      </c>
      <c r="DS185" s="30" t="str">
        <f t="shared" si="2492"/>
        <v/>
      </c>
      <c r="DT185" s="30" t="str">
        <f t="shared" si="2493"/>
        <v/>
      </c>
      <c r="DU185" s="30" t="str">
        <f t="shared" si="2494"/>
        <v/>
      </c>
      <c r="DV185" s="30" t="str">
        <f t="shared" si="2495"/>
        <v/>
      </c>
      <c r="DW185" s="30" t="str">
        <f t="shared" si="2496"/>
        <v/>
      </c>
      <c r="DX185" s="30" t="str">
        <f t="shared" si="2497"/>
        <v/>
      </c>
      <c r="DY185" s="30" t="str">
        <f t="shared" si="2498"/>
        <v/>
      </c>
      <c r="DZ185" s="30" t="str">
        <f t="shared" si="2499"/>
        <v/>
      </c>
      <c r="EA185" s="30" t="str">
        <f t="shared" si="2500"/>
        <v/>
      </c>
      <c r="EB185" s="30" t="str">
        <f t="shared" si="2501"/>
        <v/>
      </c>
      <c r="EC185" s="30" t="str">
        <f t="shared" si="2502"/>
        <v/>
      </c>
      <c r="ED185" s="30" t="str">
        <f t="shared" si="2503"/>
        <v/>
      </c>
      <c r="EE185" s="30" t="str">
        <f t="shared" si="2504"/>
        <v/>
      </c>
      <c r="EF185" s="30" t="str">
        <f t="shared" si="2505"/>
        <v/>
      </c>
      <c r="EG185" s="30" t="str">
        <f t="shared" si="2506"/>
        <v/>
      </c>
      <c r="EH185" s="30" t="str">
        <f t="shared" si="2507"/>
        <v/>
      </c>
      <c r="EI185" s="30" t="str">
        <f t="shared" si="2508"/>
        <v/>
      </c>
      <c r="EJ185" s="30" t="str">
        <f t="shared" si="2509"/>
        <v/>
      </c>
      <c r="EK185" s="30" t="str">
        <f t="shared" si="2510"/>
        <v/>
      </c>
      <c r="EL185" s="30" t="str">
        <f t="shared" si="2511"/>
        <v/>
      </c>
      <c r="EM185" s="30" t="str">
        <f t="shared" si="2512"/>
        <v/>
      </c>
      <c r="EN185" s="30" t="str">
        <f t="shared" si="2513"/>
        <v/>
      </c>
      <c r="EO185" s="30" t="str">
        <f t="shared" si="2514"/>
        <v/>
      </c>
      <c r="EP185" s="30" t="str">
        <f t="shared" si="2515"/>
        <v/>
      </c>
      <c r="EQ185" s="30" t="str">
        <f t="shared" si="2516"/>
        <v/>
      </c>
      <c r="ER185" s="30" t="str">
        <f t="shared" si="2517"/>
        <v/>
      </c>
      <c r="ES185" s="30" t="str">
        <f t="shared" si="2518"/>
        <v/>
      </c>
      <c r="ET185" s="30" t="str">
        <f t="shared" si="2519"/>
        <v/>
      </c>
      <c r="EU185" s="30" t="str">
        <f t="shared" si="2520"/>
        <v/>
      </c>
      <c r="EV185" s="30" t="str">
        <f t="shared" si="2521"/>
        <v/>
      </c>
      <c r="EW185" s="30" t="str">
        <f t="shared" si="2522"/>
        <v/>
      </c>
      <c r="EX185" s="30" t="str">
        <f t="shared" si="2523"/>
        <v/>
      </c>
      <c r="EY185" s="30" t="str">
        <f t="shared" si="2524"/>
        <v/>
      </c>
      <c r="EZ185" s="30" t="str">
        <f t="shared" si="2525"/>
        <v/>
      </c>
      <c r="FA185" s="30" t="str">
        <f t="shared" si="2526"/>
        <v/>
      </c>
      <c r="FB185" s="30" t="str">
        <f t="shared" si="2527"/>
        <v/>
      </c>
      <c r="FC185" s="30" t="str">
        <f t="shared" si="2528"/>
        <v/>
      </c>
      <c r="FD185" s="30" t="str">
        <f t="shared" si="2529"/>
        <v/>
      </c>
      <c r="FE185" s="30" t="str">
        <f t="shared" si="2530"/>
        <v/>
      </c>
      <c r="FF185" s="30" t="str">
        <f t="shared" si="2531"/>
        <v/>
      </c>
      <c r="FG185" s="30" t="str">
        <f t="shared" si="2532"/>
        <v/>
      </c>
      <c r="FH185" s="30" t="str">
        <f t="shared" si="2533"/>
        <v/>
      </c>
      <c r="FI185" s="30" t="str">
        <f t="shared" si="2534"/>
        <v/>
      </c>
      <c r="FJ185" s="30" t="str">
        <f t="shared" si="2535"/>
        <v/>
      </c>
      <c r="FK185" s="30" t="str">
        <f t="shared" si="2536"/>
        <v/>
      </c>
      <c r="FL185" s="30" t="str">
        <f t="shared" si="2537"/>
        <v/>
      </c>
      <c r="FM185" s="30" t="str">
        <f t="shared" si="2538"/>
        <v/>
      </c>
      <c r="FN185" s="30" t="str">
        <f t="shared" si="2539"/>
        <v/>
      </c>
      <c r="FO185" s="30" t="str">
        <f t="shared" si="2540"/>
        <v/>
      </c>
      <c r="FP185" s="30" t="str">
        <f t="shared" si="2541"/>
        <v/>
      </c>
      <c r="FQ185" s="30" t="str">
        <f t="shared" si="2542"/>
        <v/>
      </c>
      <c r="FR185" s="30" t="str">
        <f t="shared" si="2543"/>
        <v/>
      </c>
      <c r="FS185" s="30" t="str">
        <f t="shared" si="2544"/>
        <v/>
      </c>
    </row>
    <row r="186" spans="1:175" s="24" customFormat="1" ht="16.5">
      <c r="A186" s="46"/>
      <c r="B186" s="36"/>
      <c r="C186" s="46"/>
      <c r="D186" s="31"/>
      <c r="E186" s="39"/>
      <c r="F186" s="41"/>
      <c r="G186" s="47"/>
      <c r="H186" s="47"/>
      <c r="I186" s="47"/>
      <c r="J186" s="47"/>
      <c r="K186" s="47"/>
      <c r="L186" s="47"/>
      <c r="M186" s="47"/>
      <c r="N186" s="47"/>
      <c r="O186" s="47"/>
      <c r="P186" s="42"/>
      <c r="Q186" s="42"/>
      <c r="R186" s="42"/>
      <c r="S186" s="42"/>
      <c r="T186" s="102"/>
      <c r="U186" s="32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4" t="str">
        <f>"InitUnitState('"&amp;B186&amp;"',"&amp;V186&amp;","&amp;W186&amp;","&amp;X186&amp;","&amp;Y186&amp;","&amp;Z186&amp;","&amp;AA186&amp;","&amp;AB186&amp;","&amp;AC186&amp;","&amp;AD186&amp;","&amp;AE186&amp;")"</f>
        <v>InitUnitState('',,,,,,,,,,)</v>
      </c>
      <c r="CO186" s="44" t="str">
        <f>"InitUnitNormal('"&amp;B186&amp;"',"&amp;AF186&amp;","&amp;AG186&amp;","&amp;AH186&amp;","&amp;AI186&amp;","&amp;AJ186&amp;","&amp;AK186&amp;","&amp;AL186&amp;","&amp;AM186&amp;","&amp;AN186&amp;","&amp;AO186&amp;")"</f>
        <v>InitUnitNormal('',,,,,,,,,,)</v>
      </c>
      <c r="CP186" s="44" t="str">
        <f>"InitUnitMagic('"&amp;B186&amp;"',"&amp;AP186&amp;","&amp;AQ186&amp;","&amp;AR186&amp;","&amp;AS186&amp;","&amp;AT186&amp;","&amp;AU186&amp;","&amp;AV186&amp;","&amp;AW186&amp;","&amp;BI186&amp;","&amp;BJ186&amp;")"</f>
        <v>InitUnitMagic('',,,,,,,,,,)</v>
      </c>
      <c r="CQ186" s="44" t="str">
        <f>"InitUnitAdd('"&amp;B186&amp;"',"&amp;BK186&amp;","&amp;BL186&amp;","&amp;BM186&amp;","&amp;BN186&amp;","&amp;BO186&amp;","&amp;BP186&amp;","&amp;BQ186&amp;","&amp;BR186&amp;","&amp;BS186&amp;","&amp;BT186&amp;")"</f>
        <v>InitUnitAdd('',,,,,,,,,,)</v>
      </c>
      <c r="CR186" s="44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InitEquipData('',,"",,,,,'','','','','','',"")</v>
      </c>
      <c r="CS186" s="44"/>
      <c r="CT186" s="44"/>
      <c r="CU186" s="45" t="str">
        <f t="shared" si="2474"/>
        <v>|n</v>
      </c>
      <c r="CV186" s="29"/>
      <c r="DB186" s="30" t="str">
        <f t="shared" si="2475"/>
        <v/>
      </c>
      <c r="DC186" s="30" t="str">
        <f t="shared" si="2476"/>
        <v/>
      </c>
      <c r="DD186" s="30" t="str">
        <f t="shared" si="2477"/>
        <v/>
      </c>
      <c r="DE186" s="30" t="str">
        <f t="shared" si="2478"/>
        <v/>
      </c>
      <c r="DF186" s="30" t="str">
        <f t="shared" si="2479"/>
        <v/>
      </c>
      <c r="DG186" s="30" t="str">
        <f t="shared" si="2480"/>
        <v/>
      </c>
      <c r="DH186" s="30" t="str">
        <f t="shared" si="2481"/>
        <v/>
      </c>
      <c r="DI186" s="30" t="str">
        <f t="shared" si="2482"/>
        <v/>
      </c>
      <c r="DJ186" s="30" t="str">
        <f t="shared" si="2483"/>
        <v/>
      </c>
      <c r="DK186" s="30" t="str">
        <f t="shared" si="2484"/>
        <v/>
      </c>
      <c r="DL186" s="30" t="str">
        <f t="shared" si="2485"/>
        <v/>
      </c>
      <c r="DM186" s="30" t="str">
        <f t="shared" si="2486"/>
        <v/>
      </c>
      <c r="DN186" s="30" t="str">
        <f t="shared" si="2487"/>
        <v/>
      </c>
      <c r="DO186" s="30" t="str">
        <f t="shared" si="2488"/>
        <v/>
      </c>
      <c r="DP186" s="30" t="str">
        <f t="shared" si="2489"/>
        <v/>
      </c>
      <c r="DQ186" s="30" t="str">
        <f t="shared" si="2490"/>
        <v/>
      </c>
      <c r="DR186" s="30" t="str">
        <f t="shared" si="2491"/>
        <v/>
      </c>
      <c r="DS186" s="30" t="str">
        <f t="shared" si="2492"/>
        <v/>
      </c>
      <c r="DT186" s="30" t="str">
        <f t="shared" si="2493"/>
        <v/>
      </c>
      <c r="DU186" s="30" t="str">
        <f t="shared" si="2494"/>
        <v/>
      </c>
      <c r="DV186" s="30" t="str">
        <f t="shared" si="2495"/>
        <v/>
      </c>
      <c r="DW186" s="30" t="str">
        <f t="shared" si="2496"/>
        <v/>
      </c>
      <c r="DX186" s="30" t="str">
        <f t="shared" si="2497"/>
        <v/>
      </c>
      <c r="DY186" s="30" t="str">
        <f t="shared" si="2498"/>
        <v/>
      </c>
      <c r="DZ186" s="30" t="str">
        <f t="shared" si="2499"/>
        <v/>
      </c>
      <c r="EA186" s="30" t="str">
        <f t="shared" si="2500"/>
        <v/>
      </c>
      <c r="EB186" s="30" t="str">
        <f t="shared" si="2501"/>
        <v/>
      </c>
      <c r="EC186" s="30" t="str">
        <f t="shared" si="2502"/>
        <v/>
      </c>
      <c r="ED186" s="30" t="str">
        <f t="shared" si="2503"/>
        <v/>
      </c>
      <c r="EE186" s="30" t="str">
        <f t="shared" si="2504"/>
        <v/>
      </c>
      <c r="EF186" s="30" t="str">
        <f t="shared" si="2505"/>
        <v/>
      </c>
      <c r="EG186" s="30" t="str">
        <f t="shared" si="2506"/>
        <v/>
      </c>
      <c r="EH186" s="30" t="str">
        <f t="shared" si="2507"/>
        <v/>
      </c>
      <c r="EI186" s="30" t="str">
        <f t="shared" si="2508"/>
        <v/>
      </c>
      <c r="EJ186" s="30" t="str">
        <f t="shared" si="2509"/>
        <v/>
      </c>
      <c r="EK186" s="30" t="str">
        <f t="shared" si="2510"/>
        <v/>
      </c>
      <c r="EL186" s="30" t="str">
        <f t="shared" si="2511"/>
        <v/>
      </c>
      <c r="EM186" s="30" t="str">
        <f t="shared" si="2512"/>
        <v/>
      </c>
      <c r="EN186" s="30" t="str">
        <f t="shared" si="2513"/>
        <v/>
      </c>
      <c r="EO186" s="30" t="str">
        <f t="shared" si="2514"/>
        <v/>
      </c>
      <c r="EP186" s="30" t="str">
        <f t="shared" si="2515"/>
        <v/>
      </c>
      <c r="EQ186" s="30" t="str">
        <f t="shared" si="2516"/>
        <v/>
      </c>
      <c r="ER186" s="30" t="str">
        <f t="shared" si="2517"/>
        <v/>
      </c>
      <c r="ES186" s="30" t="str">
        <f t="shared" si="2518"/>
        <v/>
      </c>
      <c r="ET186" s="30" t="str">
        <f t="shared" si="2519"/>
        <v/>
      </c>
      <c r="EU186" s="30" t="str">
        <f t="shared" si="2520"/>
        <v/>
      </c>
      <c r="EV186" s="30" t="str">
        <f t="shared" si="2521"/>
        <v/>
      </c>
      <c r="EW186" s="30" t="str">
        <f t="shared" si="2522"/>
        <v/>
      </c>
      <c r="EX186" s="30" t="str">
        <f t="shared" si="2523"/>
        <v/>
      </c>
      <c r="EY186" s="30" t="str">
        <f t="shared" si="2524"/>
        <v/>
      </c>
      <c r="EZ186" s="30" t="str">
        <f t="shared" si="2525"/>
        <v/>
      </c>
      <c r="FA186" s="30" t="str">
        <f t="shared" si="2526"/>
        <v/>
      </c>
      <c r="FB186" s="30" t="str">
        <f t="shared" si="2527"/>
        <v/>
      </c>
      <c r="FC186" s="30" t="str">
        <f t="shared" si="2528"/>
        <v/>
      </c>
      <c r="FD186" s="30" t="str">
        <f t="shared" si="2529"/>
        <v/>
      </c>
      <c r="FE186" s="30" t="str">
        <f t="shared" si="2530"/>
        <v/>
      </c>
      <c r="FF186" s="30" t="str">
        <f t="shared" si="2531"/>
        <v/>
      </c>
      <c r="FG186" s="30" t="str">
        <f t="shared" si="2532"/>
        <v/>
      </c>
      <c r="FH186" s="30" t="str">
        <f t="shared" si="2533"/>
        <v/>
      </c>
      <c r="FI186" s="30" t="str">
        <f t="shared" si="2534"/>
        <v/>
      </c>
      <c r="FJ186" s="30" t="str">
        <f t="shared" si="2535"/>
        <v/>
      </c>
      <c r="FK186" s="30" t="str">
        <f t="shared" si="2536"/>
        <v/>
      </c>
      <c r="FL186" s="30" t="str">
        <f t="shared" si="2537"/>
        <v/>
      </c>
      <c r="FM186" s="30" t="str">
        <f t="shared" si="2538"/>
        <v/>
      </c>
      <c r="FN186" s="30" t="str">
        <f t="shared" si="2539"/>
        <v/>
      </c>
      <c r="FO186" s="30" t="str">
        <f t="shared" si="2540"/>
        <v/>
      </c>
      <c r="FP186" s="30" t="str">
        <f t="shared" si="2541"/>
        <v/>
      </c>
      <c r="FQ186" s="30" t="str">
        <f t="shared" si="2542"/>
        <v/>
      </c>
      <c r="FR186" s="30" t="str">
        <f t="shared" si="2543"/>
        <v/>
      </c>
      <c r="FS186" s="30" t="str">
        <f t="shared" si="2544"/>
        <v/>
      </c>
    </row>
    <row r="187" spans="1:175" s="24" customFormat="1" ht="16.5">
      <c r="A187" s="46"/>
      <c r="B187" s="36"/>
      <c r="C187" s="46"/>
      <c r="D187" s="31"/>
      <c r="E187" s="39"/>
      <c r="F187" s="41"/>
      <c r="G187" s="47"/>
      <c r="H187" s="47"/>
      <c r="I187" s="47"/>
      <c r="J187" s="47"/>
      <c r="K187" s="47"/>
      <c r="L187" s="47"/>
      <c r="M187" s="47"/>
      <c r="N187" s="47"/>
      <c r="O187" s="47"/>
      <c r="P187" s="42"/>
      <c r="Q187" s="42"/>
      <c r="R187" s="42"/>
      <c r="S187" s="42"/>
      <c r="T187" s="102"/>
      <c r="U187" s="32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4" t="str">
        <f>"InitUnitState('"&amp;B187&amp;"',"&amp;V187&amp;","&amp;W187&amp;","&amp;X187&amp;","&amp;Y187&amp;","&amp;Z187&amp;","&amp;AA187&amp;","&amp;AB187&amp;","&amp;AC187&amp;","&amp;AD187&amp;","&amp;AE187&amp;")"</f>
        <v>InitUnitState('',,,,,,,,,,)</v>
      </c>
      <c r="CO187" s="44" t="str">
        <f>"InitUnitNormal('"&amp;B187&amp;"',"&amp;AF187&amp;","&amp;AG187&amp;","&amp;AH187&amp;","&amp;AI187&amp;","&amp;AJ187&amp;","&amp;AK187&amp;","&amp;AL187&amp;","&amp;AM187&amp;","&amp;AN187&amp;","&amp;AO187&amp;")"</f>
        <v>InitUnitNormal('',,,,,,,,,,)</v>
      </c>
      <c r="CP187" s="44" t="str">
        <f>"InitUnitMagic('"&amp;B187&amp;"',"&amp;AP187&amp;","&amp;AQ187&amp;","&amp;AR187&amp;","&amp;AS187&amp;","&amp;AT187&amp;","&amp;AU187&amp;","&amp;AV187&amp;","&amp;AW187&amp;","&amp;BI187&amp;","&amp;BJ187&amp;")"</f>
        <v>InitUnitMagic('',,,,,,,,,,)</v>
      </c>
      <c r="CQ187" s="44" t="str">
        <f>"InitUnitAdd('"&amp;B187&amp;"',"&amp;BK187&amp;","&amp;BL187&amp;","&amp;BM187&amp;","&amp;BN187&amp;","&amp;BO187&amp;","&amp;BP187&amp;","&amp;BQ187&amp;","&amp;BR187&amp;","&amp;BS187&amp;","&amp;BT187&amp;")"</f>
        <v>InitUnitAdd('',,,,,,,,,,)</v>
      </c>
      <c r="CR187" s="44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189&amp;CR$1&amp;")"</f>
        <v>InitEquipData('',,"",,,,,'','','','','','',"")</v>
      </c>
      <c r="CS187" s="44"/>
      <c r="CT187" s="44"/>
      <c r="CU187" s="45" t="str">
        <f t="shared" si="2474"/>
        <v>|n</v>
      </c>
      <c r="CV187" s="29"/>
      <c r="DB187" s="30" t="str">
        <f t="shared" si="2475"/>
        <v/>
      </c>
      <c r="DC187" s="30" t="str">
        <f t="shared" si="2476"/>
        <v/>
      </c>
      <c r="DD187" s="30" t="str">
        <f t="shared" si="2477"/>
        <v/>
      </c>
      <c r="DE187" s="30" t="str">
        <f t="shared" si="2478"/>
        <v/>
      </c>
      <c r="DF187" s="30" t="str">
        <f t="shared" si="2479"/>
        <v/>
      </c>
      <c r="DG187" s="30" t="str">
        <f t="shared" si="2480"/>
        <v/>
      </c>
      <c r="DH187" s="30" t="str">
        <f t="shared" si="2481"/>
        <v/>
      </c>
      <c r="DI187" s="30" t="str">
        <f t="shared" si="2482"/>
        <v/>
      </c>
      <c r="DJ187" s="30" t="str">
        <f t="shared" si="2483"/>
        <v/>
      </c>
      <c r="DK187" s="30" t="str">
        <f t="shared" si="2484"/>
        <v/>
      </c>
      <c r="DL187" s="30" t="str">
        <f t="shared" si="2485"/>
        <v/>
      </c>
      <c r="DM187" s="30" t="str">
        <f t="shared" si="2486"/>
        <v/>
      </c>
      <c r="DN187" s="30" t="str">
        <f t="shared" si="2487"/>
        <v/>
      </c>
      <c r="DO187" s="30" t="str">
        <f t="shared" si="2488"/>
        <v/>
      </c>
      <c r="DP187" s="30" t="str">
        <f t="shared" si="2489"/>
        <v/>
      </c>
      <c r="DQ187" s="30" t="str">
        <f t="shared" si="2490"/>
        <v/>
      </c>
      <c r="DR187" s="30" t="str">
        <f t="shared" si="2491"/>
        <v/>
      </c>
      <c r="DS187" s="30" t="str">
        <f t="shared" si="2492"/>
        <v/>
      </c>
      <c r="DT187" s="30" t="str">
        <f t="shared" si="2493"/>
        <v/>
      </c>
      <c r="DU187" s="30" t="str">
        <f t="shared" si="2494"/>
        <v/>
      </c>
      <c r="DV187" s="30" t="str">
        <f t="shared" si="2495"/>
        <v/>
      </c>
      <c r="DW187" s="30" t="str">
        <f t="shared" si="2496"/>
        <v/>
      </c>
      <c r="DX187" s="30" t="str">
        <f t="shared" si="2497"/>
        <v/>
      </c>
      <c r="DY187" s="30" t="str">
        <f t="shared" si="2498"/>
        <v/>
      </c>
      <c r="DZ187" s="30" t="str">
        <f t="shared" si="2499"/>
        <v/>
      </c>
      <c r="EA187" s="30" t="str">
        <f t="shared" si="2500"/>
        <v/>
      </c>
      <c r="EB187" s="30" t="str">
        <f t="shared" si="2501"/>
        <v/>
      </c>
      <c r="EC187" s="30" t="str">
        <f t="shared" si="2502"/>
        <v/>
      </c>
      <c r="ED187" s="30" t="str">
        <f t="shared" si="2503"/>
        <v/>
      </c>
      <c r="EE187" s="30" t="str">
        <f t="shared" si="2504"/>
        <v/>
      </c>
      <c r="EF187" s="30" t="str">
        <f t="shared" si="2505"/>
        <v/>
      </c>
      <c r="EG187" s="30" t="str">
        <f t="shared" si="2506"/>
        <v/>
      </c>
      <c r="EH187" s="30" t="str">
        <f t="shared" si="2507"/>
        <v/>
      </c>
      <c r="EI187" s="30" t="str">
        <f t="shared" si="2508"/>
        <v/>
      </c>
      <c r="EJ187" s="30" t="str">
        <f t="shared" si="2509"/>
        <v/>
      </c>
      <c r="EK187" s="30" t="str">
        <f t="shared" si="2510"/>
        <v/>
      </c>
      <c r="EL187" s="30" t="str">
        <f t="shared" si="2511"/>
        <v/>
      </c>
      <c r="EM187" s="30" t="str">
        <f t="shared" si="2512"/>
        <v/>
      </c>
      <c r="EN187" s="30" t="str">
        <f t="shared" si="2513"/>
        <v/>
      </c>
      <c r="EO187" s="30" t="str">
        <f t="shared" si="2514"/>
        <v/>
      </c>
      <c r="EP187" s="30" t="str">
        <f t="shared" si="2515"/>
        <v/>
      </c>
      <c r="EQ187" s="30" t="str">
        <f t="shared" si="2516"/>
        <v/>
      </c>
      <c r="ER187" s="30" t="str">
        <f t="shared" si="2517"/>
        <v/>
      </c>
      <c r="ES187" s="30" t="str">
        <f t="shared" si="2518"/>
        <v/>
      </c>
      <c r="ET187" s="30" t="str">
        <f t="shared" si="2519"/>
        <v/>
      </c>
      <c r="EU187" s="30" t="str">
        <f t="shared" si="2520"/>
        <v/>
      </c>
      <c r="EV187" s="30" t="str">
        <f t="shared" si="2521"/>
        <v/>
      </c>
      <c r="EW187" s="30" t="str">
        <f t="shared" si="2522"/>
        <v/>
      </c>
      <c r="EX187" s="30" t="str">
        <f t="shared" si="2523"/>
        <v/>
      </c>
      <c r="EY187" s="30" t="str">
        <f t="shared" si="2524"/>
        <v/>
      </c>
      <c r="EZ187" s="30" t="str">
        <f t="shared" si="2525"/>
        <v/>
      </c>
      <c r="FA187" s="30" t="str">
        <f t="shared" si="2526"/>
        <v/>
      </c>
      <c r="FB187" s="30" t="str">
        <f t="shared" si="2527"/>
        <v/>
      </c>
      <c r="FC187" s="30" t="str">
        <f t="shared" si="2528"/>
        <v/>
      </c>
      <c r="FD187" s="30" t="str">
        <f t="shared" si="2529"/>
        <v/>
      </c>
      <c r="FE187" s="30" t="str">
        <f t="shared" si="2530"/>
        <v/>
      </c>
      <c r="FF187" s="30" t="str">
        <f t="shared" si="2531"/>
        <v/>
      </c>
      <c r="FG187" s="30" t="str">
        <f t="shared" si="2532"/>
        <v/>
      </c>
      <c r="FH187" s="30" t="str">
        <f t="shared" si="2533"/>
        <v/>
      </c>
      <c r="FI187" s="30" t="str">
        <f t="shared" si="2534"/>
        <v/>
      </c>
      <c r="FJ187" s="30" t="str">
        <f t="shared" si="2535"/>
        <v/>
      </c>
      <c r="FK187" s="30" t="str">
        <f t="shared" si="2536"/>
        <v/>
      </c>
      <c r="FL187" s="30" t="str">
        <f t="shared" si="2537"/>
        <v/>
      </c>
      <c r="FM187" s="30" t="str">
        <f t="shared" si="2538"/>
        <v/>
      </c>
      <c r="FN187" s="30" t="str">
        <f t="shared" si="2539"/>
        <v/>
      </c>
      <c r="FO187" s="30" t="str">
        <f t="shared" si="2540"/>
        <v/>
      </c>
      <c r="FP187" s="30" t="str">
        <f t="shared" si="2541"/>
        <v/>
      </c>
      <c r="FQ187" s="30" t="str">
        <f t="shared" si="2542"/>
        <v/>
      </c>
      <c r="FR187" s="30" t="str">
        <f t="shared" si="2543"/>
        <v/>
      </c>
      <c r="FS187" s="30" t="str">
        <f t="shared" si="2544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>"InitUnitState('"&amp;B188&amp;"',"&amp;V188&amp;","&amp;W188&amp;","&amp;X188&amp;","&amp;Y188&amp;","&amp;Z188&amp;","&amp;AA188&amp;","&amp;AB188&amp;","&amp;AC188&amp;","&amp;AD188&amp;","&amp;AE188&amp;")"</f>
        <v>InitUnitState('',,,,,,,,,,)</v>
      </c>
      <c r="CO188" s="44" t="str">
        <f>"InitUnitNormal('"&amp;B188&amp;"',"&amp;AF188&amp;","&amp;AG188&amp;","&amp;AH188&amp;","&amp;AI188&amp;","&amp;AJ188&amp;","&amp;AK188&amp;","&amp;AL188&amp;","&amp;AM188&amp;","&amp;AN188&amp;","&amp;AO188&amp;")"</f>
        <v>InitUnitNormal('',,,,,,,,,,)</v>
      </c>
      <c r="CP188" s="44" t="str">
        <f>"InitUnitMagic('"&amp;B188&amp;"',"&amp;AP188&amp;","&amp;AQ188&amp;","&amp;AR188&amp;","&amp;AS188&amp;","&amp;AT188&amp;","&amp;AU188&amp;","&amp;AV188&amp;","&amp;AW188&amp;","&amp;BI188&amp;","&amp;BJ188&amp;")"</f>
        <v>InitUnitMagic('',,,,,,,,,,)</v>
      </c>
      <c r="CQ188" s="44" t="str">
        <f>"InitUnitAdd('"&amp;B188&amp;"',"&amp;BK188&amp;","&amp;BL188&amp;","&amp;BM188&amp;","&amp;BN188&amp;","&amp;BO188&amp;","&amp;BP188&amp;","&amp;BQ188&amp;","&amp;BR188&amp;","&amp;BS188&amp;","&amp;BT188&amp;")"</f>
        <v>InitUnitAdd('',,,,,,,,,,)</v>
      </c>
      <c r="CR188" s="44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190&amp;CR$1&amp;")"</f>
        <v>InitEquipData('',,"",,,,,'','','','','','',"")</v>
      </c>
      <c r="CS188" s="44"/>
      <c r="CT188" s="44"/>
      <c r="CU188" s="45" t="str">
        <f t="shared" si="2474"/>
        <v>|n</v>
      </c>
      <c r="CV188" s="29"/>
      <c r="DB188" s="30" t="str">
        <f t="shared" si="2475"/>
        <v/>
      </c>
      <c r="DC188" s="30" t="str">
        <f t="shared" si="2476"/>
        <v/>
      </c>
      <c r="DD188" s="30" t="str">
        <f t="shared" si="2477"/>
        <v/>
      </c>
      <c r="DE188" s="30" t="str">
        <f t="shared" si="2478"/>
        <v/>
      </c>
      <c r="DF188" s="30" t="str">
        <f t="shared" si="2479"/>
        <v/>
      </c>
      <c r="DG188" s="30" t="str">
        <f t="shared" si="2480"/>
        <v/>
      </c>
      <c r="DH188" s="30" t="str">
        <f t="shared" si="2481"/>
        <v/>
      </c>
      <c r="DI188" s="30" t="str">
        <f t="shared" si="2482"/>
        <v/>
      </c>
      <c r="DJ188" s="30" t="str">
        <f t="shared" si="2483"/>
        <v/>
      </c>
      <c r="DK188" s="30" t="str">
        <f t="shared" si="2484"/>
        <v/>
      </c>
      <c r="DL188" s="30" t="str">
        <f t="shared" si="2485"/>
        <v/>
      </c>
      <c r="DM188" s="30" t="str">
        <f t="shared" si="2486"/>
        <v/>
      </c>
      <c r="DN188" s="30" t="str">
        <f t="shared" si="2487"/>
        <v/>
      </c>
      <c r="DO188" s="30" t="str">
        <f t="shared" si="2488"/>
        <v/>
      </c>
      <c r="DP188" s="30" t="str">
        <f t="shared" si="2489"/>
        <v/>
      </c>
      <c r="DQ188" s="30" t="str">
        <f t="shared" si="2490"/>
        <v/>
      </c>
      <c r="DR188" s="30" t="str">
        <f t="shared" si="2491"/>
        <v/>
      </c>
      <c r="DS188" s="30" t="str">
        <f t="shared" si="2492"/>
        <v/>
      </c>
      <c r="DT188" s="30" t="str">
        <f t="shared" si="2493"/>
        <v/>
      </c>
      <c r="DU188" s="30" t="str">
        <f t="shared" si="2494"/>
        <v/>
      </c>
      <c r="DV188" s="30" t="str">
        <f t="shared" si="2495"/>
        <v/>
      </c>
      <c r="DW188" s="30" t="str">
        <f t="shared" si="2496"/>
        <v/>
      </c>
      <c r="DX188" s="30" t="str">
        <f t="shared" si="2497"/>
        <v/>
      </c>
      <c r="DY188" s="30" t="str">
        <f t="shared" si="2498"/>
        <v/>
      </c>
      <c r="DZ188" s="30" t="str">
        <f t="shared" si="2499"/>
        <v/>
      </c>
      <c r="EA188" s="30" t="str">
        <f t="shared" si="2500"/>
        <v/>
      </c>
      <c r="EB188" s="30" t="str">
        <f t="shared" si="2501"/>
        <v/>
      </c>
      <c r="EC188" s="30" t="str">
        <f t="shared" si="2502"/>
        <v/>
      </c>
      <c r="ED188" s="30" t="str">
        <f t="shared" si="2503"/>
        <v/>
      </c>
      <c r="EE188" s="30" t="str">
        <f t="shared" si="2504"/>
        <v/>
      </c>
      <c r="EF188" s="30" t="str">
        <f t="shared" si="2505"/>
        <v/>
      </c>
      <c r="EG188" s="30" t="str">
        <f t="shared" si="2506"/>
        <v/>
      </c>
      <c r="EH188" s="30" t="str">
        <f t="shared" si="2507"/>
        <v/>
      </c>
      <c r="EI188" s="30" t="str">
        <f t="shared" si="2508"/>
        <v/>
      </c>
      <c r="EJ188" s="30" t="str">
        <f t="shared" si="2509"/>
        <v/>
      </c>
      <c r="EK188" s="30" t="str">
        <f t="shared" si="2510"/>
        <v/>
      </c>
      <c r="EL188" s="30" t="str">
        <f t="shared" si="2511"/>
        <v/>
      </c>
      <c r="EM188" s="30" t="str">
        <f t="shared" si="2512"/>
        <v/>
      </c>
      <c r="EN188" s="30" t="str">
        <f t="shared" si="2513"/>
        <v/>
      </c>
      <c r="EO188" s="30" t="str">
        <f t="shared" si="2514"/>
        <v/>
      </c>
      <c r="EP188" s="30" t="str">
        <f t="shared" si="2515"/>
        <v/>
      </c>
      <c r="EQ188" s="30" t="str">
        <f t="shared" si="2516"/>
        <v/>
      </c>
      <c r="ER188" s="30" t="str">
        <f t="shared" si="2517"/>
        <v/>
      </c>
      <c r="ES188" s="30" t="str">
        <f t="shared" si="2518"/>
        <v/>
      </c>
      <c r="ET188" s="30" t="str">
        <f t="shared" si="2519"/>
        <v/>
      </c>
      <c r="EU188" s="30" t="str">
        <f t="shared" si="2520"/>
        <v/>
      </c>
      <c r="EV188" s="30" t="str">
        <f t="shared" si="2521"/>
        <v/>
      </c>
      <c r="EW188" s="30" t="str">
        <f t="shared" si="2522"/>
        <v/>
      </c>
      <c r="EX188" s="30" t="str">
        <f t="shared" si="2523"/>
        <v/>
      </c>
      <c r="EY188" s="30" t="str">
        <f t="shared" si="2524"/>
        <v/>
      </c>
      <c r="EZ188" s="30" t="str">
        <f t="shared" si="2525"/>
        <v/>
      </c>
      <c r="FA188" s="30" t="str">
        <f t="shared" si="2526"/>
        <v/>
      </c>
      <c r="FB188" s="30" t="str">
        <f t="shared" si="2527"/>
        <v/>
      </c>
      <c r="FC188" s="30" t="str">
        <f t="shared" si="2528"/>
        <v/>
      </c>
      <c r="FD188" s="30" t="str">
        <f t="shared" si="2529"/>
        <v/>
      </c>
      <c r="FE188" s="30" t="str">
        <f t="shared" si="2530"/>
        <v/>
      </c>
      <c r="FF188" s="30" t="str">
        <f t="shared" si="2531"/>
        <v/>
      </c>
      <c r="FG188" s="30" t="str">
        <f t="shared" si="2532"/>
        <v/>
      </c>
      <c r="FH188" s="30" t="str">
        <f t="shared" si="2533"/>
        <v/>
      </c>
      <c r="FI188" s="30" t="str">
        <f t="shared" si="2534"/>
        <v/>
      </c>
      <c r="FJ188" s="30" t="str">
        <f t="shared" si="2535"/>
        <v/>
      </c>
      <c r="FK188" s="30" t="str">
        <f t="shared" si="2536"/>
        <v/>
      </c>
      <c r="FL188" s="30" t="str">
        <f t="shared" si="2537"/>
        <v/>
      </c>
      <c r="FM188" s="30" t="str">
        <f t="shared" si="2538"/>
        <v/>
      </c>
      <c r="FN188" s="30" t="str">
        <f t="shared" si="2539"/>
        <v/>
      </c>
      <c r="FO188" s="30" t="str">
        <f t="shared" si="2540"/>
        <v/>
      </c>
      <c r="FP188" s="30" t="str">
        <f t="shared" si="2541"/>
        <v/>
      </c>
      <c r="FQ188" s="30" t="str">
        <f t="shared" si="2542"/>
        <v/>
      </c>
      <c r="FR188" s="30" t="str">
        <f t="shared" si="2543"/>
        <v/>
      </c>
      <c r="FS188" s="30" t="str">
        <f t="shared" si="2544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474"/>
        <v>|n</v>
      </c>
      <c r="CW189" s="24"/>
      <c r="CX189" s="24"/>
      <c r="CY189" s="24"/>
      <c r="CZ189" s="24"/>
      <c r="DA189" s="24"/>
      <c r="DB189" s="30" t="str">
        <f t="shared" si="2475"/>
        <v/>
      </c>
      <c r="DC189" s="30" t="str">
        <f t="shared" si="2476"/>
        <v/>
      </c>
      <c r="DD189" s="30" t="str">
        <f t="shared" si="2477"/>
        <v/>
      </c>
      <c r="DE189" s="30" t="str">
        <f t="shared" si="2478"/>
        <v/>
      </c>
      <c r="DF189" s="30" t="str">
        <f t="shared" si="2479"/>
        <v/>
      </c>
      <c r="DG189" s="30" t="str">
        <f t="shared" si="2480"/>
        <v/>
      </c>
      <c r="DH189" s="30" t="str">
        <f t="shared" si="2481"/>
        <v/>
      </c>
      <c r="DI189" s="30" t="str">
        <f t="shared" si="2482"/>
        <v/>
      </c>
      <c r="DJ189" s="30" t="str">
        <f t="shared" si="2483"/>
        <v/>
      </c>
      <c r="DK189" s="30" t="str">
        <f t="shared" si="2484"/>
        <v/>
      </c>
      <c r="DL189" s="30" t="str">
        <f t="shared" si="2485"/>
        <v/>
      </c>
      <c r="DM189" s="30" t="str">
        <f t="shared" si="2486"/>
        <v/>
      </c>
      <c r="DN189" s="30" t="str">
        <f t="shared" si="2487"/>
        <v/>
      </c>
      <c r="DO189" s="30" t="str">
        <f t="shared" si="2488"/>
        <v/>
      </c>
      <c r="DP189" s="30" t="str">
        <f t="shared" si="2489"/>
        <v/>
      </c>
      <c r="DQ189" s="30" t="str">
        <f t="shared" si="2490"/>
        <v/>
      </c>
      <c r="DR189" s="30" t="str">
        <f t="shared" si="2491"/>
        <v/>
      </c>
      <c r="DS189" s="30" t="str">
        <f t="shared" si="2492"/>
        <v/>
      </c>
      <c r="DT189" s="30" t="str">
        <f t="shared" si="2493"/>
        <v/>
      </c>
      <c r="DU189" s="30" t="str">
        <f t="shared" si="2494"/>
        <v/>
      </c>
      <c r="DV189" s="30" t="str">
        <f t="shared" si="2495"/>
        <v/>
      </c>
      <c r="DW189" s="30" t="str">
        <f t="shared" si="2496"/>
        <v/>
      </c>
      <c r="DX189" s="30" t="str">
        <f t="shared" si="2497"/>
        <v/>
      </c>
      <c r="DY189" s="30" t="str">
        <f t="shared" si="2498"/>
        <v/>
      </c>
      <c r="DZ189" s="30" t="str">
        <f t="shared" si="2499"/>
        <v/>
      </c>
      <c r="EA189" s="30" t="str">
        <f t="shared" si="2500"/>
        <v/>
      </c>
      <c r="EB189" s="30" t="str">
        <f t="shared" si="2501"/>
        <v/>
      </c>
      <c r="EC189" s="30" t="str">
        <f t="shared" si="2502"/>
        <v/>
      </c>
      <c r="ED189" s="30" t="str">
        <f t="shared" si="2503"/>
        <v/>
      </c>
      <c r="EE189" s="30" t="str">
        <f t="shared" si="2504"/>
        <v/>
      </c>
      <c r="EF189" s="30" t="str">
        <f t="shared" si="2505"/>
        <v/>
      </c>
      <c r="EG189" s="30" t="str">
        <f t="shared" si="2506"/>
        <v/>
      </c>
      <c r="EH189" s="30" t="str">
        <f t="shared" si="2507"/>
        <v/>
      </c>
      <c r="EI189" s="30" t="str">
        <f t="shared" si="2508"/>
        <v/>
      </c>
      <c r="EJ189" s="30" t="str">
        <f t="shared" si="2509"/>
        <v/>
      </c>
      <c r="EK189" s="30" t="str">
        <f t="shared" si="2510"/>
        <v/>
      </c>
      <c r="EL189" s="30" t="str">
        <f t="shared" si="2511"/>
        <v/>
      </c>
      <c r="EM189" s="30" t="str">
        <f t="shared" si="2512"/>
        <v/>
      </c>
      <c r="EN189" s="30" t="str">
        <f t="shared" si="2513"/>
        <v/>
      </c>
      <c r="EO189" s="30" t="str">
        <f t="shared" si="2514"/>
        <v/>
      </c>
      <c r="EP189" s="30" t="str">
        <f t="shared" si="2515"/>
        <v/>
      </c>
      <c r="EQ189" s="30" t="str">
        <f t="shared" si="2516"/>
        <v/>
      </c>
      <c r="ER189" s="30" t="str">
        <f t="shared" si="2517"/>
        <v/>
      </c>
      <c r="ES189" s="30" t="str">
        <f t="shared" si="2518"/>
        <v/>
      </c>
      <c r="ET189" s="30" t="str">
        <f t="shared" si="2519"/>
        <v/>
      </c>
      <c r="EU189" s="30" t="str">
        <f t="shared" si="2520"/>
        <v/>
      </c>
      <c r="EV189" s="30" t="str">
        <f t="shared" si="2521"/>
        <v/>
      </c>
      <c r="EW189" s="30" t="str">
        <f t="shared" si="2522"/>
        <v/>
      </c>
      <c r="EX189" s="30" t="str">
        <f t="shared" si="2523"/>
        <v/>
      </c>
      <c r="EY189" s="30" t="str">
        <f t="shared" si="2524"/>
        <v/>
      </c>
      <c r="EZ189" s="30" t="str">
        <f t="shared" si="2525"/>
        <v/>
      </c>
      <c r="FA189" s="30" t="str">
        <f t="shared" si="2526"/>
        <v/>
      </c>
      <c r="FB189" s="30" t="str">
        <f t="shared" si="2527"/>
        <v/>
      </c>
      <c r="FC189" s="30" t="str">
        <f t="shared" si="2528"/>
        <v/>
      </c>
      <c r="FD189" s="30" t="str">
        <f t="shared" si="2529"/>
        <v/>
      </c>
      <c r="FE189" s="30" t="str">
        <f t="shared" si="2530"/>
        <v/>
      </c>
      <c r="FF189" s="30" t="str">
        <f t="shared" si="2531"/>
        <v/>
      </c>
      <c r="FG189" s="30" t="str">
        <f t="shared" si="2532"/>
        <v/>
      </c>
      <c r="FH189" s="30" t="str">
        <f t="shared" si="2533"/>
        <v/>
      </c>
      <c r="FI189" s="30" t="str">
        <f t="shared" si="2534"/>
        <v/>
      </c>
      <c r="FJ189" s="30" t="str">
        <f t="shared" si="2535"/>
        <v/>
      </c>
      <c r="FK189" s="30" t="str">
        <f t="shared" si="2536"/>
        <v/>
      </c>
      <c r="FL189" s="30" t="str">
        <f t="shared" si="2537"/>
        <v/>
      </c>
      <c r="FM189" s="30" t="str">
        <f t="shared" si="2538"/>
        <v/>
      </c>
      <c r="FN189" s="30" t="str">
        <f t="shared" si="2539"/>
        <v/>
      </c>
      <c r="FO189" s="30" t="str">
        <f t="shared" si="2540"/>
        <v/>
      </c>
      <c r="FP189" s="30" t="str">
        <f t="shared" si="2541"/>
        <v/>
      </c>
      <c r="FQ189" s="30" t="str">
        <f t="shared" si="2542"/>
        <v/>
      </c>
      <c r="FR189" s="30" t="str">
        <f t="shared" si="2543"/>
        <v/>
      </c>
      <c r="FS189" s="30" t="str">
        <f t="shared" si="2544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474"/>
        <v>|n</v>
      </c>
      <c r="CW190" s="24"/>
      <c r="CX190" s="24"/>
      <c r="CY190" s="24"/>
      <c r="CZ190" s="24"/>
      <c r="DA190" s="24"/>
      <c r="DB190" s="30" t="str">
        <f t="shared" si="2475"/>
        <v/>
      </c>
      <c r="DC190" s="30" t="str">
        <f t="shared" si="2476"/>
        <v/>
      </c>
      <c r="DD190" s="30" t="str">
        <f t="shared" si="2477"/>
        <v/>
      </c>
      <c r="DE190" s="30" t="str">
        <f t="shared" si="2478"/>
        <v/>
      </c>
      <c r="DF190" s="30" t="str">
        <f t="shared" si="2479"/>
        <v/>
      </c>
      <c r="DG190" s="30" t="str">
        <f t="shared" si="2480"/>
        <v/>
      </c>
      <c r="DH190" s="30" t="str">
        <f t="shared" si="2481"/>
        <v/>
      </c>
      <c r="DI190" s="30" t="str">
        <f t="shared" si="2482"/>
        <v/>
      </c>
      <c r="DJ190" s="30" t="str">
        <f t="shared" si="2483"/>
        <v/>
      </c>
      <c r="DK190" s="30" t="str">
        <f t="shared" si="2484"/>
        <v/>
      </c>
      <c r="DL190" s="30" t="str">
        <f t="shared" si="2485"/>
        <v/>
      </c>
      <c r="DM190" s="30" t="str">
        <f t="shared" si="2486"/>
        <v/>
      </c>
      <c r="DN190" s="30" t="str">
        <f t="shared" si="2487"/>
        <v/>
      </c>
      <c r="DO190" s="30" t="str">
        <f t="shared" si="2488"/>
        <v/>
      </c>
      <c r="DP190" s="30" t="str">
        <f t="shared" si="2489"/>
        <v/>
      </c>
      <c r="DQ190" s="30" t="str">
        <f t="shared" si="2490"/>
        <v/>
      </c>
      <c r="DR190" s="30" t="str">
        <f t="shared" si="2491"/>
        <v/>
      </c>
      <c r="DS190" s="30" t="str">
        <f t="shared" si="2492"/>
        <v/>
      </c>
      <c r="DT190" s="30" t="str">
        <f t="shared" si="2493"/>
        <v/>
      </c>
      <c r="DU190" s="30" t="str">
        <f t="shared" si="2494"/>
        <v/>
      </c>
      <c r="DV190" s="30" t="str">
        <f t="shared" si="2495"/>
        <v/>
      </c>
      <c r="DW190" s="30" t="str">
        <f t="shared" si="2496"/>
        <v/>
      </c>
      <c r="DX190" s="30" t="str">
        <f t="shared" si="2497"/>
        <v/>
      </c>
      <c r="DY190" s="30" t="str">
        <f t="shared" si="2498"/>
        <v/>
      </c>
      <c r="DZ190" s="30" t="str">
        <f t="shared" si="2499"/>
        <v/>
      </c>
      <c r="EA190" s="30" t="str">
        <f t="shared" si="2500"/>
        <v/>
      </c>
      <c r="EB190" s="30" t="str">
        <f t="shared" si="2501"/>
        <v/>
      </c>
      <c r="EC190" s="30" t="str">
        <f t="shared" si="2502"/>
        <v/>
      </c>
      <c r="ED190" s="30" t="str">
        <f t="shared" si="2503"/>
        <v/>
      </c>
      <c r="EE190" s="30" t="str">
        <f t="shared" si="2504"/>
        <v/>
      </c>
      <c r="EF190" s="30" t="str">
        <f t="shared" si="2505"/>
        <v/>
      </c>
      <c r="EG190" s="30" t="str">
        <f t="shared" si="2506"/>
        <v/>
      </c>
      <c r="EH190" s="30" t="str">
        <f t="shared" si="2507"/>
        <v/>
      </c>
      <c r="EI190" s="30" t="str">
        <f t="shared" si="2508"/>
        <v/>
      </c>
      <c r="EJ190" s="30" t="str">
        <f t="shared" si="2509"/>
        <v/>
      </c>
      <c r="EK190" s="30" t="str">
        <f t="shared" si="2510"/>
        <v/>
      </c>
      <c r="EL190" s="30" t="str">
        <f t="shared" si="2511"/>
        <v/>
      </c>
      <c r="EM190" s="30" t="str">
        <f t="shared" si="2512"/>
        <v/>
      </c>
      <c r="EN190" s="30" t="str">
        <f t="shared" si="2513"/>
        <v/>
      </c>
      <c r="EO190" s="30" t="str">
        <f t="shared" si="2514"/>
        <v/>
      </c>
      <c r="EP190" s="30" t="str">
        <f t="shared" si="2515"/>
        <v/>
      </c>
      <c r="EQ190" s="30" t="str">
        <f t="shared" si="2516"/>
        <v/>
      </c>
      <c r="ER190" s="30" t="str">
        <f t="shared" si="2517"/>
        <v/>
      </c>
      <c r="ES190" s="30" t="str">
        <f t="shared" si="2518"/>
        <v/>
      </c>
      <c r="ET190" s="30" t="str">
        <f t="shared" si="2519"/>
        <v/>
      </c>
      <c r="EU190" s="30" t="str">
        <f t="shared" si="2520"/>
        <v/>
      </c>
      <c r="EV190" s="30" t="str">
        <f t="shared" si="2521"/>
        <v/>
      </c>
      <c r="EW190" s="30" t="str">
        <f t="shared" si="2522"/>
        <v/>
      </c>
      <c r="EX190" s="30" t="str">
        <f t="shared" si="2523"/>
        <v/>
      </c>
      <c r="EY190" s="30" t="str">
        <f t="shared" si="2524"/>
        <v/>
      </c>
      <c r="EZ190" s="30" t="str">
        <f t="shared" si="2525"/>
        <v/>
      </c>
      <c r="FA190" s="30" t="str">
        <f t="shared" si="2526"/>
        <v/>
      </c>
      <c r="FB190" s="30" t="str">
        <f t="shared" si="2527"/>
        <v/>
      </c>
      <c r="FC190" s="30" t="str">
        <f t="shared" si="2528"/>
        <v/>
      </c>
      <c r="FD190" s="30" t="str">
        <f t="shared" si="2529"/>
        <v/>
      </c>
      <c r="FE190" s="30" t="str">
        <f t="shared" si="2530"/>
        <v/>
      </c>
      <c r="FF190" s="30" t="str">
        <f t="shared" si="2531"/>
        <v/>
      </c>
      <c r="FG190" s="30" t="str">
        <f t="shared" si="2532"/>
        <v/>
      </c>
      <c r="FH190" s="30" t="str">
        <f t="shared" si="2533"/>
        <v/>
      </c>
      <c r="FI190" s="30" t="str">
        <f t="shared" si="2534"/>
        <v/>
      </c>
      <c r="FJ190" s="30" t="str">
        <f t="shared" si="2535"/>
        <v/>
      </c>
      <c r="FK190" s="30" t="str">
        <f t="shared" si="2536"/>
        <v/>
      </c>
      <c r="FL190" s="30" t="str">
        <f t="shared" si="2537"/>
        <v/>
      </c>
      <c r="FM190" s="30" t="str">
        <f t="shared" si="2538"/>
        <v/>
      </c>
      <c r="FN190" s="30" t="str">
        <f t="shared" si="2539"/>
        <v/>
      </c>
      <c r="FO190" s="30" t="str">
        <f t="shared" si="2540"/>
        <v/>
      </c>
      <c r="FP190" s="30" t="str">
        <f t="shared" si="2541"/>
        <v/>
      </c>
      <c r="FQ190" s="30" t="str">
        <f t="shared" si="2542"/>
        <v/>
      </c>
      <c r="FR190" s="30" t="str">
        <f t="shared" si="2543"/>
        <v/>
      </c>
      <c r="FS190" s="30" t="str">
        <f t="shared" si="2544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474"/>
        <v>|n</v>
      </c>
      <c r="CW191" s="24"/>
      <c r="CX191" s="24"/>
      <c r="CY191" s="24"/>
      <c r="CZ191" s="24"/>
      <c r="DA191" s="24"/>
      <c r="DB191" s="30" t="str">
        <f t="shared" si="2475"/>
        <v/>
      </c>
      <c r="DC191" s="30" t="str">
        <f t="shared" si="2476"/>
        <v/>
      </c>
      <c r="DD191" s="30" t="str">
        <f t="shared" si="2477"/>
        <v/>
      </c>
      <c r="DE191" s="30" t="str">
        <f t="shared" si="2478"/>
        <v/>
      </c>
      <c r="DF191" s="30" t="str">
        <f t="shared" si="2479"/>
        <v/>
      </c>
      <c r="DG191" s="30" t="str">
        <f t="shared" si="2480"/>
        <v/>
      </c>
      <c r="DH191" s="30" t="str">
        <f t="shared" si="2481"/>
        <v/>
      </c>
      <c r="DI191" s="30" t="str">
        <f t="shared" si="2482"/>
        <v/>
      </c>
      <c r="DJ191" s="30" t="str">
        <f t="shared" si="2483"/>
        <v/>
      </c>
      <c r="DK191" s="30" t="str">
        <f t="shared" si="2484"/>
        <v/>
      </c>
      <c r="DL191" s="30" t="str">
        <f t="shared" si="2485"/>
        <v/>
      </c>
      <c r="DM191" s="30" t="str">
        <f t="shared" si="2486"/>
        <v/>
      </c>
      <c r="DN191" s="30" t="str">
        <f t="shared" si="2487"/>
        <v/>
      </c>
      <c r="DO191" s="30" t="str">
        <f t="shared" si="2488"/>
        <v/>
      </c>
      <c r="DP191" s="30" t="str">
        <f t="shared" si="2489"/>
        <v/>
      </c>
      <c r="DQ191" s="30" t="str">
        <f t="shared" si="2490"/>
        <v/>
      </c>
      <c r="DR191" s="30" t="str">
        <f t="shared" si="2491"/>
        <v/>
      </c>
      <c r="DS191" s="30" t="str">
        <f t="shared" si="2492"/>
        <v/>
      </c>
      <c r="DT191" s="30" t="str">
        <f t="shared" si="2493"/>
        <v/>
      </c>
      <c r="DU191" s="30" t="str">
        <f t="shared" si="2494"/>
        <v/>
      </c>
      <c r="DV191" s="30" t="str">
        <f t="shared" si="2495"/>
        <v/>
      </c>
      <c r="DW191" s="30" t="str">
        <f t="shared" si="2496"/>
        <v/>
      </c>
      <c r="DX191" s="30" t="str">
        <f t="shared" si="2497"/>
        <v/>
      </c>
      <c r="DY191" s="30" t="str">
        <f t="shared" si="2498"/>
        <v/>
      </c>
      <c r="DZ191" s="30" t="str">
        <f t="shared" si="2499"/>
        <v/>
      </c>
      <c r="EA191" s="30" t="str">
        <f t="shared" si="2500"/>
        <v/>
      </c>
      <c r="EB191" s="30" t="str">
        <f t="shared" si="2501"/>
        <v/>
      </c>
      <c r="EC191" s="30" t="str">
        <f t="shared" si="2502"/>
        <v/>
      </c>
      <c r="ED191" s="30" t="str">
        <f t="shared" si="2503"/>
        <v/>
      </c>
      <c r="EE191" s="30" t="str">
        <f t="shared" si="2504"/>
        <v/>
      </c>
      <c r="EF191" s="30" t="str">
        <f t="shared" si="2505"/>
        <v/>
      </c>
      <c r="EG191" s="30" t="str">
        <f t="shared" si="2506"/>
        <v/>
      </c>
      <c r="EH191" s="30" t="str">
        <f t="shared" si="2507"/>
        <v/>
      </c>
      <c r="EI191" s="30" t="str">
        <f t="shared" si="2508"/>
        <v/>
      </c>
      <c r="EJ191" s="30" t="str">
        <f t="shared" si="2509"/>
        <v/>
      </c>
      <c r="EK191" s="30" t="str">
        <f t="shared" si="2510"/>
        <v/>
      </c>
      <c r="EL191" s="30" t="str">
        <f t="shared" si="2511"/>
        <v/>
      </c>
      <c r="EM191" s="30" t="str">
        <f t="shared" si="2512"/>
        <v/>
      </c>
      <c r="EN191" s="30" t="str">
        <f t="shared" si="2513"/>
        <v/>
      </c>
      <c r="EO191" s="30" t="str">
        <f t="shared" si="2514"/>
        <v/>
      </c>
      <c r="EP191" s="30" t="str">
        <f t="shared" si="2515"/>
        <v/>
      </c>
      <c r="EQ191" s="30" t="str">
        <f t="shared" si="2516"/>
        <v/>
      </c>
      <c r="ER191" s="30" t="str">
        <f t="shared" si="2517"/>
        <v/>
      </c>
      <c r="ES191" s="30" t="str">
        <f t="shared" si="2518"/>
        <v/>
      </c>
      <c r="ET191" s="30" t="str">
        <f t="shared" si="2519"/>
        <v/>
      </c>
      <c r="EU191" s="30" t="str">
        <f t="shared" si="2520"/>
        <v/>
      </c>
      <c r="EV191" s="30" t="str">
        <f t="shared" si="2521"/>
        <v/>
      </c>
      <c r="EW191" s="30" t="str">
        <f t="shared" si="2522"/>
        <v/>
      </c>
      <c r="EX191" s="30" t="str">
        <f t="shared" si="2523"/>
        <v/>
      </c>
      <c r="EY191" s="30" t="str">
        <f t="shared" si="2524"/>
        <v/>
      </c>
      <c r="EZ191" s="30" t="str">
        <f t="shared" si="2525"/>
        <v/>
      </c>
      <c r="FA191" s="30" t="str">
        <f t="shared" si="2526"/>
        <v/>
      </c>
      <c r="FB191" s="30" t="str">
        <f t="shared" si="2527"/>
        <v/>
      </c>
      <c r="FC191" s="30" t="str">
        <f t="shared" si="2528"/>
        <v/>
      </c>
      <c r="FD191" s="30" t="str">
        <f t="shared" si="2529"/>
        <v/>
      </c>
      <c r="FE191" s="30" t="str">
        <f t="shared" si="2530"/>
        <v/>
      </c>
      <c r="FF191" s="30" t="str">
        <f t="shared" si="2531"/>
        <v/>
      </c>
      <c r="FG191" s="30" t="str">
        <f t="shared" si="2532"/>
        <v/>
      </c>
      <c r="FH191" s="30" t="str">
        <f t="shared" si="2533"/>
        <v/>
      </c>
      <c r="FI191" s="30" t="str">
        <f t="shared" si="2534"/>
        <v/>
      </c>
      <c r="FJ191" s="30" t="str">
        <f t="shared" si="2535"/>
        <v/>
      </c>
      <c r="FK191" s="30" t="str">
        <f t="shared" si="2536"/>
        <v/>
      </c>
      <c r="FL191" s="30" t="str">
        <f t="shared" si="2537"/>
        <v/>
      </c>
      <c r="FM191" s="30" t="str">
        <f t="shared" si="2538"/>
        <v/>
      </c>
      <c r="FN191" s="30" t="str">
        <f t="shared" si="2539"/>
        <v/>
      </c>
      <c r="FO191" s="30" t="str">
        <f t="shared" si="2540"/>
        <v/>
      </c>
      <c r="FP191" s="30" t="str">
        <f t="shared" si="2541"/>
        <v/>
      </c>
      <c r="FQ191" s="30" t="str">
        <f t="shared" si="2542"/>
        <v/>
      </c>
      <c r="FR191" s="30" t="str">
        <f t="shared" si="2543"/>
        <v/>
      </c>
      <c r="FS191" s="30" t="str">
        <f t="shared" si="2544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474"/>
        <v>|n</v>
      </c>
      <c r="CW192" s="24"/>
      <c r="CX192" s="24"/>
      <c r="CY192" s="24"/>
      <c r="CZ192" s="24"/>
      <c r="DA192" s="24"/>
      <c r="DB192" s="30" t="str">
        <f t="shared" si="2475"/>
        <v/>
      </c>
      <c r="DC192" s="30" t="str">
        <f t="shared" si="2476"/>
        <v/>
      </c>
      <c r="DD192" s="30" t="str">
        <f t="shared" si="2477"/>
        <v/>
      </c>
      <c r="DE192" s="30" t="str">
        <f t="shared" si="2478"/>
        <v/>
      </c>
      <c r="DF192" s="30" t="str">
        <f t="shared" si="2479"/>
        <v/>
      </c>
      <c r="DG192" s="30" t="str">
        <f t="shared" si="2480"/>
        <v/>
      </c>
      <c r="DH192" s="30" t="str">
        <f t="shared" si="2481"/>
        <v/>
      </c>
      <c r="DI192" s="30" t="str">
        <f t="shared" si="2482"/>
        <v/>
      </c>
      <c r="DJ192" s="30" t="str">
        <f t="shared" si="2483"/>
        <v/>
      </c>
      <c r="DK192" s="30" t="str">
        <f t="shared" si="2484"/>
        <v/>
      </c>
      <c r="DL192" s="30" t="str">
        <f t="shared" si="2485"/>
        <v/>
      </c>
      <c r="DM192" s="30" t="str">
        <f t="shared" si="2486"/>
        <v/>
      </c>
      <c r="DN192" s="30" t="str">
        <f t="shared" si="2487"/>
        <v/>
      </c>
      <c r="DO192" s="30" t="str">
        <f t="shared" si="2488"/>
        <v/>
      </c>
      <c r="DP192" s="30" t="str">
        <f t="shared" si="2489"/>
        <v/>
      </c>
      <c r="DQ192" s="30" t="str">
        <f t="shared" si="2490"/>
        <v/>
      </c>
      <c r="DR192" s="30" t="str">
        <f t="shared" si="2491"/>
        <v/>
      </c>
      <c r="DS192" s="30" t="str">
        <f t="shared" si="2492"/>
        <v/>
      </c>
      <c r="DT192" s="30" t="str">
        <f t="shared" si="2493"/>
        <v/>
      </c>
      <c r="DU192" s="30" t="str">
        <f t="shared" si="2494"/>
        <v/>
      </c>
      <c r="DV192" s="30" t="str">
        <f t="shared" si="2495"/>
        <v/>
      </c>
      <c r="DW192" s="30" t="str">
        <f t="shared" si="2496"/>
        <v/>
      </c>
      <c r="DX192" s="30" t="str">
        <f t="shared" si="2497"/>
        <v/>
      </c>
      <c r="DY192" s="30" t="str">
        <f t="shared" si="2498"/>
        <v/>
      </c>
      <c r="DZ192" s="30" t="str">
        <f t="shared" si="2499"/>
        <v/>
      </c>
      <c r="EA192" s="30" t="str">
        <f t="shared" si="2500"/>
        <v/>
      </c>
      <c r="EB192" s="30" t="str">
        <f t="shared" si="2501"/>
        <v/>
      </c>
      <c r="EC192" s="30" t="str">
        <f t="shared" si="2502"/>
        <v/>
      </c>
      <c r="ED192" s="30" t="str">
        <f t="shared" si="2503"/>
        <v/>
      </c>
      <c r="EE192" s="30" t="str">
        <f t="shared" si="2504"/>
        <v/>
      </c>
      <c r="EF192" s="30" t="str">
        <f t="shared" si="2505"/>
        <v/>
      </c>
      <c r="EG192" s="30" t="str">
        <f t="shared" si="2506"/>
        <v/>
      </c>
      <c r="EH192" s="30" t="str">
        <f t="shared" si="2507"/>
        <v/>
      </c>
      <c r="EI192" s="30" t="str">
        <f t="shared" si="2508"/>
        <v/>
      </c>
      <c r="EJ192" s="30" t="str">
        <f t="shared" si="2509"/>
        <v/>
      </c>
      <c r="EK192" s="30" t="str">
        <f t="shared" si="2510"/>
        <v/>
      </c>
      <c r="EL192" s="30" t="str">
        <f t="shared" si="2511"/>
        <v/>
      </c>
      <c r="EM192" s="30" t="str">
        <f t="shared" si="2512"/>
        <v/>
      </c>
      <c r="EN192" s="30" t="str">
        <f t="shared" si="2513"/>
        <v/>
      </c>
      <c r="EO192" s="30" t="str">
        <f t="shared" si="2514"/>
        <v/>
      </c>
      <c r="EP192" s="30" t="str">
        <f t="shared" si="2515"/>
        <v/>
      </c>
      <c r="EQ192" s="30" t="str">
        <f t="shared" si="2516"/>
        <v/>
      </c>
      <c r="ER192" s="30" t="str">
        <f t="shared" si="2517"/>
        <v/>
      </c>
      <c r="ES192" s="30" t="str">
        <f t="shared" si="2518"/>
        <v/>
      </c>
      <c r="ET192" s="30" t="str">
        <f t="shared" si="2519"/>
        <v/>
      </c>
      <c r="EU192" s="30" t="str">
        <f t="shared" si="2520"/>
        <v/>
      </c>
      <c r="EV192" s="30" t="str">
        <f t="shared" si="2521"/>
        <v/>
      </c>
      <c r="EW192" s="30" t="str">
        <f t="shared" si="2522"/>
        <v/>
      </c>
      <c r="EX192" s="30" t="str">
        <f t="shared" si="2523"/>
        <v/>
      </c>
      <c r="EY192" s="30" t="str">
        <f t="shared" si="2524"/>
        <v/>
      </c>
      <c r="EZ192" s="30" t="str">
        <f t="shared" si="2525"/>
        <v/>
      </c>
      <c r="FA192" s="30" t="str">
        <f t="shared" si="2526"/>
        <v/>
      </c>
      <c r="FB192" s="30" t="str">
        <f t="shared" si="2527"/>
        <v/>
      </c>
      <c r="FC192" s="30" t="str">
        <f t="shared" si="2528"/>
        <v/>
      </c>
      <c r="FD192" s="30" t="str">
        <f t="shared" si="2529"/>
        <v/>
      </c>
      <c r="FE192" s="30" t="str">
        <f t="shared" si="2530"/>
        <v/>
      </c>
      <c r="FF192" s="30" t="str">
        <f t="shared" si="2531"/>
        <v/>
      </c>
      <c r="FG192" s="30" t="str">
        <f t="shared" si="2532"/>
        <v/>
      </c>
      <c r="FH192" s="30" t="str">
        <f t="shared" si="2533"/>
        <v/>
      </c>
      <c r="FI192" s="30" t="str">
        <f t="shared" si="2534"/>
        <v/>
      </c>
      <c r="FJ192" s="30" t="str">
        <f t="shared" si="2535"/>
        <v/>
      </c>
      <c r="FK192" s="30" t="str">
        <f t="shared" si="2536"/>
        <v/>
      </c>
      <c r="FL192" s="30" t="str">
        <f t="shared" si="2537"/>
        <v/>
      </c>
      <c r="FM192" s="30" t="str">
        <f t="shared" si="2538"/>
        <v/>
      </c>
      <c r="FN192" s="30" t="str">
        <f t="shared" si="2539"/>
        <v/>
      </c>
      <c r="FO192" s="30" t="str">
        <f t="shared" si="2540"/>
        <v/>
      </c>
      <c r="FP192" s="30" t="str">
        <f t="shared" si="2541"/>
        <v/>
      </c>
      <c r="FQ192" s="30" t="str">
        <f t="shared" si="2542"/>
        <v/>
      </c>
      <c r="FR192" s="30" t="str">
        <f t="shared" si="2543"/>
        <v/>
      </c>
      <c r="FS192" s="30" t="str">
        <f t="shared" si="2544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474"/>
        <v>|n</v>
      </c>
      <c r="CW193" s="24"/>
      <c r="CX193" s="24"/>
      <c r="CY193" s="24"/>
      <c r="CZ193" s="24"/>
      <c r="DA193" s="24"/>
      <c r="DB193" s="30" t="str">
        <f t="shared" si="2475"/>
        <v/>
      </c>
      <c r="DC193" s="30" t="str">
        <f t="shared" si="2476"/>
        <v/>
      </c>
      <c r="DD193" s="30" t="str">
        <f t="shared" si="2477"/>
        <v/>
      </c>
      <c r="DE193" s="30" t="str">
        <f t="shared" si="2478"/>
        <v/>
      </c>
      <c r="DF193" s="30" t="str">
        <f t="shared" si="2479"/>
        <v/>
      </c>
      <c r="DG193" s="30" t="str">
        <f t="shared" si="2480"/>
        <v/>
      </c>
      <c r="DH193" s="30" t="str">
        <f t="shared" si="2481"/>
        <v/>
      </c>
      <c r="DI193" s="30" t="str">
        <f t="shared" si="2482"/>
        <v/>
      </c>
      <c r="DJ193" s="30" t="str">
        <f t="shared" si="2483"/>
        <v/>
      </c>
      <c r="DK193" s="30" t="str">
        <f t="shared" si="2484"/>
        <v/>
      </c>
      <c r="DL193" s="30" t="str">
        <f t="shared" si="2485"/>
        <v/>
      </c>
      <c r="DM193" s="30" t="str">
        <f t="shared" si="2486"/>
        <v/>
      </c>
      <c r="DN193" s="30" t="str">
        <f t="shared" si="2487"/>
        <v/>
      </c>
      <c r="DO193" s="30" t="str">
        <f t="shared" si="2488"/>
        <v/>
      </c>
      <c r="DP193" s="30" t="str">
        <f t="shared" si="2489"/>
        <v/>
      </c>
      <c r="DQ193" s="30" t="str">
        <f t="shared" si="2490"/>
        <v/>
      </c>
      <c r="DR193" s="30" t="str">
        <f t="shared" si="2491"/>
        <v/>
      </c>
      <c r="DS193" s="30" t="str">
        <f t="shared" si="2492"/>
        <v/>
      </c>
      <c r="DT193" s="30" t="str">
        <f t="shared" si="2493"/>
        <v/>
      </c>
      <c r="DU193" s="30" t="str">
        <f t="shared" si="2494"/>
        <v/>
      </c>
      <c r="DV193" s="30" t="str">
        <f t="shared" si="2495"/>
        <v/>
      </c>
      <c r="DW193" s="30" t="str">
        <f t="shared" si="2496"/>
        <v/>
      </c>
      <c r="DX193" s="30" t="str">
        <f t="shared" si="2497"/>
        <v/>
      </c>
      <c r="DY193" s="30" t="str">
        <f t="shared" si="2498"/>
        <v/>
      </c>
      <c r="DZ193" s="30" t="str">
        <f t="shared" si="2499"/>
        <v/>
      </c>
      <c r="EA193" s="30" t="str">
        <f t="shared" si="2500"/>
        <v/>
      </c>
      <c r="EB193" s="30" t="str">
        <f t="shared" si="2501"/>
        <v/>
      </c>
      <c r="EC193" s="30" t="str">
        <f t="shared" si="2502"/>
        <v/>
      </c>
      <c r="ED193" s="30" t="str">
        <f t="shared" si="2503"/>
        <v/>
      </c>
      <c r="EE193" s="30" t="str">
        <f t="shared" si="2504"/>
        <v/>
      </c>
      <c r="EF193" s="30" t="str">
        <f t="shared" si="2505"/>
        <v/>
      </c>
      <c r="EG193" s="30" t="str">
        <f t="shared" si="2506"/>
        <v/>
      </c>
      <c r="EH193" s="30" t="str">
        <f t="shared" si="2507"/>
        <v/>
      </c>
      <c r="EI193" s="30" t="str">
        <f t="shared" si="2508"/>
        <v/>
      </c>
      <c r="EJ193" s="30" t="str">
        <f t="shared" si="2509"/>
        <v/>
      </c>
      <c r="EK193" s="30" t="str">
        <f t="shared" si="2510"/>
        <v/>
      </c>
      <c r="EL193" s="30" t="str">
        <f t="shared" si="2511"/>
        <v/>
      </c>
      <c r="EM193" s="30" t="str">
        <f t="shared" si="2512"/>
        <v/>
      </c>
      <c r="EN193" s="30" t="str">
        <f t="shared" si="2513"/>
        <v/>
      </c>
      <c r="EO193" s="30" t="str">
        <f t="shared" si="2514"/>
        <v/>
      </c>
      <c r="EP193" s="30" t="str">
        <f t="shared" si="2515"/>
        <v/>
      </c>
      <c r="EQ193" s="30" t="str">
        <f t="shared" si="2516"/>
        <v/>
      </c>
      <c r="ER193" s="30" t="str">
        <f t="shared" si="2517"/>
        <v/>
      </c>
      <c r="ES193" s="30" t="str">
        <f t="shared" si="2518"/>
        <v/>
      </c>
      <c r="ET193" s="30" t="str">
        <f t="shared" si="2519"/>
        <v/>
      </c>
      <c r="EU193" s="30" t="str">
        <f t="shared" si="2520"/>
        <v/>
      </c>
      <c r="EV193" s="30" t="str">
        <f t="shared" si="2521"/>
        <v/>
      </c>
      <c r="EW193" s="30" t="str">
        <f t="shared" si="2522"/>
        <v/>
      </c>
      <c r="EX193" s="30" t="str">
        <f t="shared" si="2523"/>
        <v/>
      </c>
      <c r="EY193" s="30" t="str">
        <f t="shared" si="2524"/>
        <v/>
      </c>
      <c r="EZ193" s="30" t="str">
        <f t="shared" si="2525"/>
        <v/>
      </c>
      <c r="FA193" s="30" t="str">
        <f t="shared" si="2526"/>
        <v/>
      </c>
      <c r="FB193" s="30" t="str">
        <f t="shared" si="2527"/>
        <v/>
      </c>
      <c r="FC193" s="30" t="str">
        <f t="shared" si="2528"/>
        <v/>
      </c>
      <c r="FD193" s="30" t="str">
        <f t="shared" si="2529"/>
        <v/>
      </c>
      <c r="FE193" s="30" t="str">
        <f t="shared" si="2530"/>
        <v/>
      </c>
      <c r="FF193" s="30" t="str">
        <f t="shared" si="2531"/>
        <v/>
      </c>
      <c r="FG193" s="30" t="str">
        <f t="shared" si="2532"/>
        <v/>
      </c>
      <c r="FH193" s="30" t="str">
        <f t="shared" si="2533"/>
        <v/>
      </c>
      <c r="FI193" s="30" t="str">
        <f t="shared" si="2534"/>
        <v/>
      </c>
      <c r="FJ193" s="30" t="str">
        <f t="shared" si="2535"/>
        <v/>
      </c>
      <c r="FK193" s="30" t="str">
        <f t="shared" si="2536"/>
        <v/>
      </c>
      <c r="FL193" s="30" t="str">
        <f t="shared" si="2537"/>
        <v/>
      </c>
      <c r="FM193" s="30" t="str">
        <f t="shared" si="2538"/>
        <v/>
      </c>
      <c r="FN193" s="30" t="str">
        <f t="shared" si="2539"/>
        <v/>
      </c>
      <c r="FO193" s="30" t="str">
        <f t="shared" si="2540"/>
        <v/>
      </c>
      <c r="FP193" s="30" t="str">
        <f t="shared" si="2541"/>
        <v/>
      </c>
      <c r="FQ193" s="30" t="str">
        <f t="shared" si="2542"/>
        <v/>
      </c>
      <c r="FR193" s="30" t="str">
        <f t="shared" si="2543"/>
        <v/>
      </c>
      <c r="FS193" s="30" t="str">
        <f t="shared" si="2544"/>
        <v/>
      </c>
    </row>
    <row r="194" spans="1:175" ht="16.5">
      <c r="A194" s="5"/>
      <c r="B194" s="6"/>
      <c r="C194" s="5"/>
      <c r="E194" s="35"/>
      <c r="T194" s="105"/>
      <c r="U194" s="32"/>
      <c r="CU194" s="45" t="str">
        <f t="shared" si="2474"/>
        <v>|n</v>
      </c>
      <c r="CW194" s="24"/>
      <c r="CX194" s="24"/>
      <c r="CY194" s="24"/>
      <c r="CZ194" s="24"/>
      <c r="DA194" s="24"/>
      <c r="DB194" s="30" t="str">
        <f t="shared" si="2475"/>
        <v/>
      </c>
      <c r="DC194" s="30" t="str">
        <f t="shared" si="2476"/>
        <v/>
      </c>
      <c r="DD194" s="30" t="str">
        <f t="shared" si="2477"/>
        <v/>
      </c>
      <c r="DE194" s="30" t="str">
        <f t="shared" si="2478"/>
        <v/>
      </c>
      <c r="DF194" s="30" t="str">
        <f t="shared" si="2479"/>
        <v/>
      </c>
      <c r="DG194" s="30" t="str">
        <f t="shared" si="2480"/>
        <v/>
      </c>
      <c r="DH194" s="30" t="str">
        <f t="shared" si="2481"/>
        <v/>
      </c>
      <c r="DI194" s="30" t="str">
        <f t="shared" si="2482"/>
        <v/>
      </c>
      <c r="DJ194" s="30" t="str">
        <f t="shared" si="2483"/>
        <v/>
      </c>
      <c r="DK194" s="30" t="str">
        <f t="shared" si="2484"/>
        <v/>
      </c>
      <c r="DL194" s="30" t="str">
        <f t="shared" si="2485"/>
        <v/>
      </c>
      <c r="DM194" s="30" t="str">
        <f t="shared" si="2486"/>
        <v/>
      </c>
      <c r="DN194" s="30" t="str">
        <f t="shared" si="2487"/>
        <v/>
      </c>
      <c r="DO194" s="30" t="str">
        <f t="shared" si="2488"/>
        <v/>
      </c>
      <c r="DP194" s="30" t="str">
        <f t="shared" si="2489"/>
        <v/>
      </c>
      <c r="DQ194" s="30" t="str">
        <f t="shared" si="2490"/>
        <v/>
      </c>
      <c r="DR194" s="30" t="str">
        <f t="shared" si="2491"/>
        <v/>
      </c>
      <c r="DS194" s="30" t="str">
        <f t="shared" si="2492"/>
        <v/>
      </c>
      <c r="DT194" s="30" t="str">
        <f t="shared" si="2493"/>
        <v/>
      </c>
      <c r="DU194" s="30" t="str">
        <f t="shared" si="2494"/>
        <v/>
      </c>
      <c r="DV194" s="30" t="str">
        <f t="shared" si="2495"/>
        <v/>
      </c>
      <c r="DW194" s="30" t="str">
        <f t="shared" si="2496"/>
        <v/>
      </c>
      <c r="DX194" s="30" t="str">
        <f t="shared" si="2497"/>
        <v/>
      </c>
      <c r="DY194" s="30" t="str">
        <f t="shared" si="2498"/>
        <v/>
      </c>
      <c r="DZ194" s="30" t="str">
        <f t="shared" si="2499"/>
        <v/>
      </c>
      <c r="EA194" s="30" t="str">
        <f t="shared" si="2500"/>
        <v/>
      </c>
      <c r="EB194" s="30" t="str">
        <f t="shared" si="2501"/>
        <v/>
      </c>
      <c r="EC194" s="30" t="str">
        <f t="shared" si="2502"/>
        <v/>
      </c>
      <c r="ED194" s="30" t="str">
        <f t="shared" si="2503"/>
        <v/>
      </c>
      <c r="EE194" s="30" t="str">
        <f t="shared" si="2504"/>
        <v/>
      </c>
      <c r="EF194" s="30" t="str">
        <f t="shared" si="2505"/>
        <v/>
      </c>
      <c r="EG194" s="30" t="str">
        <f t="shared" si="2506"/>
        <v/>
      </c>
      <c r="EH194" s="30" t="str">
        <f t="shared" si="2507"/>
        <v/>
      </c>
      <c r="EI194" s="30" t="str">
        <f t="shared" si="2508"/>
        <v/>
      </c>
      <c r="EJ194" s="30" t="str">
        <f t="shared" si="2509"/>
        <v/>
      </c>
      <c r="EK194" s="30" t="str">
        <f t="shared" si="2510"/>
        <v/>
      </c>
      <c r="EL194" s="30" t="str">
        <f t="shared" si="2511"/>
        <v/>
      </c>
      <c r="EM194" s="30" t="str">
        <f t="shared" si="2512"/>
        <v/>
      </c>
      <c r="EN194" s="30" t="str">
        <f t="shared" si="2513"/>
        <v/>
      </c>
      <c r="EO194" s="30" t="str">
        <f t="shared" si="2514"/>
        <v/>
      </c>
      <c r="EP194" s="30" t="str">
        <f t="shared" si="2515"/>
        <v/>
      </c>
      <c r="EQ194" s="30" t="str">
        <f t="shared" si="2516"/>
        <v/>
      </c>
      <c r="ER194" s="30" t="str">
        <f t="shared" si="2517"/>
        <v/>
      </c>
      <c r="ES194" s="30" t="str">
        <f t="shared" si="2518"/>
        <v/>
      </c>
      <c r="ET194" s="30" t="str">
        <f t="shared" si="2519"/>
        <v/>
      </c>
      <c r="EU194" s="30" t="str">
        <f t="shared" si="2520"/>
        <v/>
      </c>
      <c r="EV194" s="30" t="str">
        <f t="shared" si="2521"/>
        <v/>
      </c>
      <c r="EW194" s="30" t="str">
        <f t="shared" si="2522"/>
        <v/>
      </c>
      <c r="EX194" s="30" t="str">
        <f t="shared" si="2523"/>
        <v/>
      </c>
      <c r="EY194" s="30" t="str">
        <f t="shared" si="2524"/>
        <v/>
      </c>
      <c r="EZ194" s="30" t="str">
        <f t="shared" si="2525"/>
        <v/>
      </c>
      <c r="FA194" s="30" t="str">
        <f t="shared" si="2526"/>
        <v/>
      </c>
      <c r="FB194" s="30" t="str">
        <f t="shared" si="2527"/>
        <v/>
      </c>
      <c r="FC194" s="30" t="str">
        <f t="shared" si="2528"/>
        <v/>
      </c>
      <c r="FD194" s="30" t="str">
        <f t="shared" si="2529"/>
        <v/>
      </c>
      <c r="FE194" s="30" t="str">
        <f t="shared" si="2530"/>
        <v/>
      </c>
      <c r="FF194" s="30" t="str">
        <f t="shared" si="2531"/>
        <v/>
      </c>
      <c r="FG194" s="30" t="str">
        <f t="shared" si="2532"/>
        <v/>
      </c>
      <c r="FH194" s="30" t="str">
        <f t="shared" si="2533"/>
        <v/>
      </c>
      <c r="FI194" s="30" t="str">
        <f t="shared" si="2534"/>
        <v/>
      </c>
      <c r="FJ194" s="30" t="str">
        <f t="shared" si="2535"/>
        <v/>
      </c>
      <c r="FK194" s="30" t="str">
        <f t="shared" si="2536"/>
        <v/>
      </c>
      <c r="FL194" s="30" t="str">
        <f t="shared" si="2537"/>
        <v/>
      </c>
      <c r="FM194" s="30" t="str">
        <f t="shared" si="2538"/>
        <v/>
      </c>
      <c r="FN194" s="30" t="str">
        <f t="shared" si="2539"/>
        <v/>
      </c>
      <c r="FO194" s="30" t="str">
        <f t="shared" si="2540"/>
        <v/>
      </c>
      <c r="FP194" s="30" t="str">
        <f t="shared" si="2541"/>
        <v/>
      </c>
      <c r="FQ194" s="30" t="str">
        <f t="shared" si="2542"/>
        <v/>
      </c>
      <c r="FR194" s="30" t="str">
        <f t="shared" si="2543"/>
        <v/>
      </c>
      <c r="FS194" s="30" t="str">
        <f t="shared" si="2544"/>
        <v/>
      </c>
    </row>
    <row r="195" spans="1:175" ht="16.5">
      <c r="A195" s="5"/>
      <c r="B195" s="6"/>
      <c r="C195" s="5"/>
      <c r="E195" s="35"/>
      <c r="T195" s="105"/>
      <c r="U195" s="32"/>
      <c r="CU195" s="45" t="str">
        <f t="shared" si="2474"/>
        <v>|n</v>
      </c>
      <c r="CW195" s="24"/>
      <c r="CX195" s="24"/>
      <c r="CY195" s="24"/>
      <c r="CZ195" s="24"/>
      <c r="DA195" s="24"/>
      <c r="DB195" s="30" t="str">
        <f t="shared" si="2475"/>
        <v/>
      </c>
      <c r="DC195" s="30" t="str">
        <f t="shared" si="2476"/>
        <v/>
      </c>
      <c r="DD195" s="30" t="str">
        <f t="shared" si="2477"/>
        <v/>
      </c>
      <c r="DE195" s="30" t="str">
        <f t="shared" si="2478"/>
        <v/>
      </c>
      <c r="DF195" s="30" t="str">
        <f t="shared" si="2479"/>
        <v/>
      </c>
      <c r="DG195" s="30" t="str">
        <f t="shared" si="2480"/>
        <v/>
      </c>
      <c r="DH195" s="30" t="str">
        <f t="shared" si="2481"/>
        <v/>
      </c>
      <c r="DI195" s="30" t="str">
        <f t="shared" si="2482"/>
        <v/>
      </c>
      <c r="DJ195" s="30" t="str">
        <f t="shared" si="2483"/>
        <v/>
      </c>
      <c r="DK195" s="30" t="str">
        <f t="shared" si="2484"/>
        <v/>
      </c>
      <c r="DL195" s="30" t="str">
        <f t="shared" si="2485"/>
        <v/>
      </c>
      <c r="DM195" s="30" t="str">
        <f t="shared" si="2486"/>
        <v/>
      </c>
      <c r="DN195" s="30" t="str">
        <f t="shared" si="2487"/>
        <v/>
      </c>
      <c r="DO195" s="30" t="str">
        <f t="shared" si="2488"/>
        <v/>
      </c>
      <c r="DP195" s="30" t="str">
        <f t="shared" si="2489"/>
        <v/>
      </c>
      <c r="DQ195" s="30" t="str">
        <f t="shared" si="2490"/>
        <v/>
      </c>
      <c r="DR195" s="30" t="str">
        <f t="shared" si="2491"/>
        <v/>
      </c>
      <c r="DS195" s="30" t="str">
        <f t="shared" si="2492"/>
        <v/>
      </c>
      <c r="DT195" s="30" t="str">
        <f t="shared" si="2493"/>
        <v/>
      </c>
      <c r="DU195" s="30" t="str">
        <f t="shared" si="2494"/>
        <v/>
      </c>
      <c r="DV195" s="30" t="str">
        <f t="shared" si="2495"/>
        <v/>
      </c>
      <c r="DW195" s="30" t="str">
        <f t="shared" si="2496"/>
        <v/>
      </c>
      <c r="DX195" s="30" t="str">
        <f t="shared" si="2497"/>
        <v/>
      </c>
      <c r="DY195" s="30" t="str">
        <f t="shared" si="2498"/>
        <v/>
      </c>
      <c r="DZ195" s="30" t="str">
        <f t="shared" si="2499"/>
        <v/>
      </c>
      <c r="EA195" s="30" t="str">
        <f t="shared" si="2500"/>
        <v/>
      </c>
      <c r="EB195" s="30" t="str">
        <f t="shared" si="2501"/>
        <v/>
      </c>
      <c r="EC195" s="30" t="str">
        <f t="shared" si="2502"/>
        <v/>
      </c>
      <c r="ED195" s="30" t="str">
        <f t="shared" si="2503"/>
        <v/>
      </c>
      <c r="EE195" s="30" t="str">
        <f t="shared" si="2504"/>
        <v/>
      </c>
      <c r="EF195" s="30" t="str">
        <f t="shared" si="2505"/>
        <v/>
      </c>
      <c r="EG195" s="30" t="str">
        <f t="shared" si="2506"/>
        <v/>
      </c>
      <c r="EH195" s="30" t="str">
        <f t="shared" si="2507"/>
        <v/>
      </c>
      <c r="EI195" s="30" t="str">
        <f t="shared" si="2508"/>
        <v/>
      </c>
      <c r="EJ195" s="30" t="str">
        <f t="shared" si="2509"/>
        <v/>
      </c>
      <c r="EK195" s="30" t="str">
        <f t="shared" si="2510"/>
        <v/>
      </c>
      <c r="EL195" s="30" t="str">
        <f t="shared" si="2511"/>
        <v/>
      </c>
      <c r="EM195" s="30" t="str">
        <f t="shared" si="2512"/>
        <v/>
      </c>
      <c r="EN195" s="30" t="str">
        <f t="shared" si="2513"/>
        <v/>
      </c>
      <c r="EO195" s="30" t="str">
        <f t="shared" si="2514"/>
        <v/>
      </c>
      <c r="EP195" s="30" t="str">
        <f t="shared" si="2515"/>
        <v/>
      </c>
      <c r="EQ195" s="30" t="str">
        <f t="shared" si="2516"/>
        <v/>
      </c>
      <c r="ER195" s="30" t="str">
        <f t="shared" si="2517"/>
        <v/>
      </c>
      <c r="ES195" s="30" t="str">
        <f t="shared" si="2518"/>
        <v/>
      </c>
      <c r="ET195" s="30" t="str">
        <f t="shared" si="2519"/>
        <v/>
      </c>
      <c r="EU195" s="30" t="str">
        <f t="shared" si="2520"/>
        <v/>
      </c>
      <c r="EV195" s="30" t="str">
        <f t="shared" si="2521"/>
        <v/>
      </c>
      <c r="EW195" s="30" t="str">
        <f t="shared" si="2522"/>
        <v/>
      </c>
      <c r="EX195" s="30" t="str">
        <f t="shared" si="2523"/>
        <v/>
      </c>
      <c r="EY195" s="30" t="str">
        <f t="shared" si="2524"/>
        <v/>
      </c>
      <c r="EZ195" s="30" t="str">
        <f t="shared" si="2525"/>
        <v/>
      </c>
      <c r="FA195" s="30" t="str">
        <f t="shared" si="2526"/>
        <v/>
      </c>
      <c r="FB195" s="30" t="str">
        <f t="shared" si="2527"/>
        <v/>
      </c>
      <c r="FC195" s="30" t="str">
        <f t="shared" si="2528"/>
        <v/>
      </c>
      <c r="FD195" s="30" t="str">
        <f t="shared" si="2529"/>
        <v/>
      </c>
      <c r="FE195" s="30" t="str">
        <f t="shared" si="2530"/>
        <v/>
      </c>
      <c r="FF195" s="30" t="str">
        <f t="shared" si="2531"/>
        <v/>
      </c>
      <c r="FG195" s="30" t="str">
        <f t="shared" si="2532"/>
        <v/>
      </c>
      <c r="FH195" s="30" t="str">
        <f t="shared" si="2533"/>
        <v/>
      </c>
      <c r="FI195" s="30" t="str">
        <f t="shared" si="2534"/>
        <v/>
      </c>
      <c r="FJ195" s="30" t="str">
        <f t="shared" si="2535"/>
        <v/>
      </c>
      <c r="FK195" s="30" t="str">
        <f t="shared" si="2536"/>
        <v/>
      </c>
      <c r="FL195" s="30" t="str">
        <f t="shared" si="2537"/>
        <v/>
      </c>
      <c r="FM195" s="30" t="str">
        <f t="shared" si="2538"/>
        <v/>
      </c>
      <c r="FN195" s="30" t="str">
        <f t="shared" si="2539"/>
        <v/>
      </c>
      <c r="FO195" s="30" t="str">
        <f t="shared" si="2540"/>
        <v/>
      </c>
      <c r="FP195" s="30" t="str">
        <f t="shared" si="2541"/>
        <v/>
      </c>
      <c r="FQ195" s="30" t="str">
        <f t="shared" si="2542"/>
        <v/>
      </c>
      <c r="FR195" s="30" t="str">
        <f t="shared" si="2543"/>
        <v/>
      </c>
      <c r="FS195" s="30" t="str">
        <f t="shared" si="2544"/>
        <v/>
      </c>
    </row>
    <row r="196" spans="1:175" ht="16.5">
      <c r="A196" s="5"/>
      <c r="B196" s="6"/>
      <c r="C196" s="5"/>
      <c r="E196" s="35"/>
      <c r="T196" s="105"/>
      <c r="U196" s="32"/>
      <c r="CU196" s="45" t="str">
        <f t="shared" si="2474"/>
        <v>|n</v>
      </c>
      <c r="CW196" s="24"/>
      <c r="CX196" s="24"/>
      <c r="CY196" s="24"/>
      <c r="CZ196" s="24"/>
      <c r="DA196" s="24"/>
      <c r="DB196" s="30" t="str">
        <f t="shared" si="2475"/>
        <v/>
      </c>
      <c r="DC196" s="30" t="str">
        <f t="shared" si="2476"/>
        <v/>
      </c>
      <c r="DD196" s="30" t="str">
        <f t="shared" si="2477"/>
        <v/>
      </c>
      <c r="DE196" s="30" t="str">
        <f t="shared" si="2478"/>
        <v/>
      </c>
      <c r="DF196" s="30" t="str">
        <f t="shared" si="2479"/>
        <v/>
      </c>
      <c r="DG196" s="30" t="str">
        <f t="shared" si="2480"/>
        <v/>
      </c>
      <c r="DH196" s="30" t="str">
        <f t="shared" si="2481"/>
        <v/>
      </c>
      <c r="DI196" s="30" t="str">
        <f t="shared" si="2482"/>
        <v/>
      </c>
      <c r="DJ196" s="30" t="str">
        <f t="shared" si="2483"/>
        <v/>
      </c>
      <c r="DK196" s="30" t="str">
        <f t="shared" si="2484"/>
        <v/>
      </c>
      <c r="DL196" s="30" t="str">
        <f t="shared" si="2485"/>
        <v/>
      </c>
      <c r="DM196" s="30" t="str">
        <f t="shared" si="2486"/>
        <v/>
      </c>
      <c r="DN196" s="30" t="str">
        <f t="shared" si="2487"/>
        <v/>
      </c>
      <c r="DO196" s="30" t="str">
        <f t="shared" si="2488"/>
        <v/>
      </c>
      <c r="DP196" s="30" t="str">
        <f t="shared" si="2489"/>
        <v/>
      </c>
      <c r="DQ196" s="30" t="str">
        <f t="shared" si="2490"/>
        <v/>
      </c>
      <c r="DR196" s="30" t="str">
        <f t="shared" si="2491"/>
        <v/>
      </c>
      <c r="DS196" s="30" t="str">
        <f t="shared" si="2492"/>
        <v/>
      </c>
      <c r="DT196" s="30" t="str">
        <f t="shared" si="2493"/>
        <v/>
      </c>
      <c r="DU196" s="30" t="str">
        <f t="shared" si="2494"/>
        <v/>
      </c>
      <c r="DV196" s="30" t="str">
        <f t="shared" si="2495"/>
        <v/>
      </c>
      <c r="DW196" s="30" t="str">
        <f t="shared" si="2496"/>
        <v/>
      </c>
      <c r="DX196" s="30" t="str">
        <f t="shared" si="2497"/>
        <v/>
      </c>
      <c r="DY196" s="30" t="str">
        <f t="shared" si="2498"/>
        <v/>
      </c>
      <c r="DZ196" s="30" t="str">
        <f t="shared" si="2499"/>
        <v/>
      </c>
      <c r="EA196" s="30" t="str">
        <f t="shared" si="2500"/>
        <v/>
      </c>
      <c r="EB196" s="30" t="str">
        <f t="shared" si="2501"/>
        <v/>
      </c>
      <c r="EC196" s="30" t="str">
        <f t="shared" si="2502"/>
        <v/>
      </c>
      <c r="ED196" s="30" t="str">
        <f t="shared" si="2503"/>
        <v/>
      </c>
      <c r="EE196" s="30" t="str">
        <f t="shared" si="2504"/>
        <v/>
      </c>
      <c r="EF196" s="30" t="str">
        <f t="shared" si="2505"/>
        <v/>
      </c>
      <c r="EG196" s="30" t="str">
        <f t="shared" si="2506"/>
        <v/>
      </c>
      <c r="EH196" s="30" t="str">
        <f t="shared" si="2507"/>
        <v/>
      </c>
      <c r="EI196" s="30" t="str">
        <f t="shared" si="2508"/>
        <v/>
      </c>
      <c r="EJ196" s="30" t="str">
        <f t="shared" si="2509"/>
        <v/>
      </c>
      <c r="EK196" s="30" t="str">
        <f t="shared" si="2510"/>
        <v/>
      </c>
      <c r="EL196" s="30" t="str">
        <f t="shared" si="2511"/>
        <v/>
      </c>
      <c r="EM196" s="30" t="str">
        <f t="shared" si="2512"/>
        <v/>
      </c>
      <c r="EN196" s="30" t="str">
        <f t="shared" si="2513"/>
        <v/>
      </c>
      <c r="EO196" s="30" t="str">
        <f t="shared" si="2514"/>
        <v/>
      </c>
      <c r="EP196" s="30" t="str">
        <f t="shared" si="2515"/>
        <v/>
      </c>
      <c r="EQ196" s="30" t="str">
        <f t="shared" si="2516"/>
        <v/>
      </c>
      <c r="ER196" s="30" t="str">
        <f t="shared" si="2517"/>
        <v/>
      </c>
      <c r="ES196" s="30" t="str">
        <f t="shared" si="2518"/>
        <v/>
      </c>
      <c r="ET196" s="30" t="str">
        <f t="shared" si="2519"/>
        <v/>
      </c>
      <c r="EU196" s="30" t="str">
        <f t="shared" si="2520"/>
        <v/>
      </c>
      <c r="EV196" s="30" t="str">
        <f t="shared" si="2521"/>
        <v/>
      </c>
      <c r="EW196" s="30" t="str">
        <f t="shared" si="2522"/>
        <v/>
      </c>
      <c r="EX196" s="30" t="str">
        <f t="shared" si="2523"/>
        <v/>
      </c>
      <c r="EY196" s="30" t="str">
        <f t="shared" si="2524"/>
        <v/>
      </c>
      <c r="EZ196" s="30" t="str">
        <f t="shared" si="2525"/>
        <v/>
      </c>
      <c r="FA196" s="30" t="str">
        <f t="shared" si="2526"/>
        <v/>
      </c>
      <c r="FB196" s="30" t="str">
        <f t="shared" si="2527"/>
        <v/>
      </c>
      <c r="FC196" s="30" t="str">
        <f t="shared" si="2528"/>
        <v/>
      </c>
      <c r="FD196" s="30" t="str">
        <f t="shared" si="2529"/>
        <v/>
      </c>
      <c r="FE196" s="30" t="str">
        <f t="shared" si="2530"/>
        <v/>
      </c>
      <c r="FF196" s="30" t="str">
        <f t="shared" si="2531"/>
        <v/>
      </c>
      <c r="FG196" s="30" t="str">
        <f t="shared" si="2532"/>
        <v/>
      </c>
      <c r="FH196" s="30" t="str">
        <f t="shared" si="2533"/>
        <v/>
      </c>
      <c r="FI196" s="30" t="str">
        <f t="shared" si="2534"/>
        <v/>
      </c>
      <c r="FJ196" s="30" t="str">
        <f t="shared" si="2535"/>
        <v/>
      </c>
      <c r="FK196" s="30" t="str">
        <f t="shared" si="2536"/>
        <v/>
      </c>
      <c r="FL196" s="30" t="str">
        <f t="shared" si="2537"/>
        <v/>
      </c>
      <c r="FM196" s="30" t="str">
        <f t="shared" si="2538"/>
        <v/>
      </c>
      <c r="FN196" s="30" t="str">
        <f t="shared" si="2539"/>
        <v/>
      </c>
      <c r="FO196" s="30" t="str">
        <f t="shared" si="2540"/>
        <v/>
      </c>
      <c r="FP196" s="30" t="str">
        <f t="shared" si="2541"/>
        <v/>
      </c>
      <c r="FQ196" s="30" t="str">
        <f t="shared" si="2542"/>
        <v/>
      </c>
      <c r="FR196" s="30" t="str">
        <f t="shared" si="2543"/>
        <v/>
      </c>
      <c r="FS196" s="30" t="str">
        <f t="shared" si="2544"/>
        <v/>
      </c>
    </row>
    <row r="197" spans="1:175" ht="16.5">
      <c r="A197" s="5"/>
      <c r="B197" s="6"/>
      <c r="C197" s="5"/>
      <c r="E197" s="35"/>
      <c r="T197" s="105"/>
      <c r="U197" s="32"/>
      <c r="CU197" s="45" t="str">
        <f t="shared" si="2474"/>
        <v>|n</v>
      </c>
      <c r="CW197" s="24"/>
      <c r="CX197" s="24"/>
      <c r="CY197" s="24"/>
      <c r="CZ197" s="24"/>
      <c r="DA197" s="24"/>
      <c r="DB197" s="30" t="str">
        <f t="shared" si="2475"/>
        <v/>
      </c>
      <c r="DC197" s="30" t="str">
        <f t="shared" si="2476"/>
        <v/>
      </c>
      <c r="DD197" s="30" t="str">
        <f t="shared" si="2477"/>
        <v/>
      </c>
      <c r="DE197" s="30" t="str">
        <f t="shared" si="2478"/>
        <v/>
      </c>
      <c r="DF197" s="30" t="str">
        <f t="shared" si="2479"/>
        <v/>
      </c>
      <c r="DG197" s="30" t="str">
        <f t="shared" si="2480"/>
        <v/>
      </c>
      <c r="DH197" s="30" t="str">
        <f t="shared" si="2481"/>
        <v/>
      </c>
      <c r="DI197" s="30" t="str">
        <f t="shared" si="2482"/>
        <v/>
      </c>
      <c r="DJ197" s="30" t="str">
        <f t="shared" si="2483"/>
        <v/>
      </c>
      <c r="DK197" s="30" t="str">
        <f t="shared" si="2484"/>
        <v/>
      </c>
      <c r="DL197" s="30" t="str">
        <f t="shared" si="2485"/>
        <v/>
      </c>
      <c r="DM197" s="30" t="str">
        <f t="shared" si="2486"/>
        <v/>
      </c>
      <c r="DN197" s="30" t="str">
        <f t="shared" si="2487"/>
        <v/>
      </c>
      <c r="DO197" s="30" t="str">
        <f t="shared" si="2488"/>
        <v/>
      </c>
      <c r="DP197" s="30" t="str">
        <f t="shared" si="2489"/>
        <v/>
      </c>
      <c r="DQ197" s="30" t="str">
        <f t="shared" si="2490"/>
        <v/>
      </c>
      <c r="DR197" s="30" t="str">
        <f t="shared" si="2491"/>
        <v/>
      </c>
      <c r="DS197" s="30" t="str">
        <f t="shared" si="2492"/>
        <v/>
      </c>
      <c r="DT197" s="30" t="str">
        <f t="shared" si="2493"/>
        <v/>
      </c>
      <c r="DU197" s="30" t="str">
        <f t="shared" si="2494"/>
        <v/>
      </c>
      <c r="DV197" s="30" t="str">
        <f t="shared" si="2495"/>
        <v/>
      </c>
      <c r="DW197" s="30" t="str">
        <f t="shared" si="2496"/>
        <v/>
      </c>
      <c r="DX197" s="30" t="str">
        <f t="shared" si="2497"/>
        <v/>
      </c>
      <c r="DY197" s="30" t="str">
        <f t="shared" si="2498"/>
        <v/>
      </c>
      <c r="DZ197" s="30" t="str">
        <f t="shared" si="2499"/>
        <v/>
      </c>
      <c r="EA197" s="30" t="str">
        <f t="shared" si="2500"/>
        <v/>
      </c>
      <c r="EB197" s="30" t="str">
        <f t="shared" si="2501"/>
        <v/>
      </c>
      <c r="EC197" s="30" t="str">
        <f t="shared" si="2502"/>
        <v/>
      </c>
      <c r="ED197" s="30" t="str">
        <f t="shared" si="2503"/>
        <v/>
      </c>
      <c r="EE197" s="30" t="str">
        <f t="shared" si="2504"/>
        <v/>
      </c>
      <c r="EF197" s="30" t="str">
        <f t="shared" si="2505"/>
        <v/>
      </c>
      <c r="EG197" s="30" t="str">
        <f t="shared" si="2506"/>
        <v/>
      </c>
      <c r="EH197" s="30" t="str">
        <f t="shared" si="2507"/>
        <v/>
      </c>
      <c r="EI197" s="30" t="str">
        <f t="shared" si="2508"/>
        <v/>
      </c>
      <c r="EJ197" s="30" t="str">
        <f t="shared" si="2509"/>
        <v/>
      </c>
      <c r="EK197" s="30" t="str">
        <f t="shared" si="2510"/>
        <v/>
      </c>
      <c r="EL197" s="30" t="str">
        <f t="shared" si="2511"/>
        <v/>
      </c>
      <c r="EM197" s="30" t="str">
        <f t="shared" si="2512"/>
        <v/>
      </c>
      <c r="EN197" s="30" t="str">
        <f t="shared" si="2513"/>
        <v/>
      </c>
      <c r="EO197" s="30" t="str">
        <f t="shared" si="2514"/>
        <v/>
      </c>
      <c r="EP197" s="30" t="str">
        <f t="shared" si="2515"/>
        <v/>
      </c>
      <c r="EQ197" s="30" t="str">
        <f t="shared" si="2516"/>
        <v/>
      </c>
      <c r="ER197" s="30" t="str">
        <f t="shared" si="2517"/>
        <v/>
      </c>
      <c r="ES197" s="30" t="str">
        <f t="shared" si="2518"/>
        <v/>
      </c>
      <c r="ET197" s="30" t="str">
        <f t="shared" si="2519"/>
        <v/>
      </c>
      <c r="EU197" s="30" t="str">
        <f t="shared" si="2520"/>
        <v/>
      </c>
      <c r="EV197" s="30" t="str">
        <f t="shared" si="2521"/>
        <v/>
      </c>
      <c r="EW197" s="30" t="str">
        <f t="shared" si="2522"/>
        <v/>
      </c>
      <c r="EX197" s="30" t="str">
        <f t="shared" si="2523"/>
        <v/>
      </c>
      <c r="EY197" s="30" t="str">
        <f t="shared" si="2524"/>
        <v/>
      </c>
      <c r="EZ197" s="30" t="str">
        <f t="shared" si="2525"/>
        <v/>
      </c>
      <c r="FA197" s="30" t="str">
        <f t="shared" si="2526"/>
        <v/>
      </c>
      <c r="FB197" s="30" t="str">
        <f t="shared" si="2527"/>
        <v/>
      </c>
      <c r="FC197" s="30" t="str">
        <f t="shared" si="2528"/>
        <v/>
      </c>
      <c r="FD197" s="30" t="str">
        <f t="shared" si="2529"/>
        <v/>
      </c>
      <c r="FE197" s="30" t="str">
        <f t="shared" si="2530"/>
        <v/>
      </c>
      <c r="FF197" s="30" t="str">
        <f t="shared" si="2531"/>
        <v/>
      </c>
      <c r="FG197" s="30" t="str">
        <f t="shared" si="2532"/>
        <v/>
      </c>
      <c r="FH197" s="30" t="str">
        <f t="shared" si="2533"/>
        <v/>
      </c>
      <c r="FI197" s="30" t="str">
        <f t="shared" si="2534"/>
        <v/>
      </c>
      <c r="FJ197" s="30" t="str">
        <f t="shared" si="2535"/>
        <v/>
      </c>
      <c r="FK197" s="30" t="str">
        <f t="shared" si="2536"/>
        <v/>
      </c>
      <c r="FL197" s="30" t="str">
        <f t="shared" si="2537"/>
        <v/>
      </c>
      <c r="FM197" s="30" t="str">
        <f t="shared" si="2538"/>
        <v/>
      </c>
      <c r="FN197" s="30" t="str">
        <f t="shared" si="2539"/>
        <v/>
      </c>
      <c r="FO197" s="30" t="str">
        <f t="shared" si="2540"/>
        <v/>
      </c>
      <c r="FP197" s="30" t="str">
        <f t="shared" si="2541"/>
        <v/>
      </c>
      <c r="FQ197" s="30" t="str">
        <f t="shared" si="2542"/>
        <v/>
      </c>
      <c r="FR197" s="30" t="str">
        <f t="shared" si="2543"/>
        <v/>
      </c>
      <c r="FS197" s="30" t="str">
        <f t="shared" si="2544"/>
        <v/>
      </c>
    </row>
    <row r="198" spans="1:175" ht="16.5">
      <c r="A198" s="5"/>
      <c r="B198" s="6"/>
      <c r="C198" s="5"/>
      <c r="E198" s="35"/>
      <c r="T198" s="105"/>
      <c r="U198" s="32"/>
      <c r="CU198" s="45" t="str">
        <f t="shared" si="2474"/>
        <v>|n</v>
      </c>
      <c r="CW198" s="24"/>
      <c r="CX198" s="24"/>
      <c r="CY198" s="24"/>
      <c r="CZ198" s="24"/>
      <c r="DA198" s="24"/>
      <c r="DB198" s="30" t="str">
        <f t="shared" si="2475"/>
        <v/>
      </c>
      <c r="DC198" s="30" t="str">
        <f t="shared" si="2476"/>
        <v/>
      </c>
      <c r="DD198" s="30" t="str">
        <f t="shared" si="2477"/>
        <v/>
      </c>
      <c r="DE198" s="30" t="str">
        <f t="shared" si="2478"/>
        <v/>
      </c>
      <c r="DF198" s="30" t="str">
        <f t="shared" si="2479"/>
        <v/>
      </c>
      <c r="DG198" s="30" t="str">
        <f t="shared" si="2480"/>
        <v/>
      </c>
      <c r="DH198" s="30" t="str">
        <f t="shared" si="2481"/>
        <v/>
      </c>
      <c r="DI198" s="30" t="str">
        <f t="shared" si="2482"/>
        <v/>
      </c>
      <c r="DJ198" s="30" t="str">
        <f t="shared" si="2483"/>
        <v/>
      </c>
      <c r="DK198" s="30" t="str">
        <f t="shared" si="2484"/>
        <v/>
      </c>
      <c r="DL198" s="30" t="str">
        <f t="shared" si="2485"/>
        <v/>
      </c>
      <c r="DM198" s="30" t="str">
        <f t="shared" si="2486"/>
        <v/>
      </c>
      <c r="DN198" s="30" t="str">
        <f t="shared" si="2487"/>
        <v/>
      </c>
      <c r="DO198" s="30" t="str">
        <f t="shared" si="2488"/>
        <v/>
      </c>
      <c r="DP198" s="30" t="str">
        <f t="shared" si="2489"/>
        <v/>
      </c>
      <c r="DQ198" s="30" t="str">
        <f t="shared" si="2490"/>
        <v/>
      </c>
      <c r="DR198" s="30" t="str">
        <f t="shared" si="2491"/>
        <v/>
      </c>
      <c r="DS198" s="30" t="str">
        <f t="shared" si="2492"/>
        <v/>
      </c>
      <c r="DT198" s="30" t="str">
        <f t="shared" si="2493"/>
        <v/>
      </c>
      <c r="DU198" s="30" t="str">
        <f t="shared" si="2494"/>
        <v/>
      </c>
      <c r="DV198" s="30" t="str">
        <f t="shared" si="2495"/>
        <v/>
      </c>
      <c r="DW198" s="30" t="str">
        <f t="shared" si="2496"/>
        <v/>
      </c>
      <c r="DX198" s="30" t="str">
        <f t="shared" si="2497"/>
        <v/>
      </c>
      <c r="DY198" s="30" t="str">
        <f t="shared" si="2498"/>
        <v/>
      </c>
      <c r="DZ198" s="30" t="str">
        <f t="shared" si="2499"/>
        <v/>
      </c>
      <c r="EA198" s="30" t="str">
        <f t="shared" si="2500"/>
        <v/>
      </c>
      <c r="EB198" s="30" t="str">
        <f t="shared" si="2501"/>
        <v/>
      </c>
      <c r="EC198" s="30" t="str">
        <f t="shared" si="2502"/>
        <v/>
      </c>
      <c r="ED198" s="30" t="str">
        <f t="shared" si="2503"/>
        <v/>
      </c>
      <c r="EE198" s="30" t="str">
        <f t="shared" si="2504"/>
        <v/>
      </c>
      <c r="EF198" s="30" t="str">
        <f t="shared" si="2505"/>
        <v/>
      </c>
      <c r="EG198" s="30" t="str">
        <f t="shared" si="2506"/>
        <v/>
      </c>
      <c r="EH198" s="30" t="str">
        <f t="shared" si="2507"/>
        <v/>
      </c>
      <c r="EI198" s="30" t="str">
        <f t="shared" si="2508"/>
        <v/>
      </c>
      <c r="EJ198" s="30" t="str">
        <f t="shared" si="2509"/>
        <v/>
      </c>
      <c r="EK198" s="30" t="str">
        <f t="shared" si="2510"/>
        <v/>
      </c>
      <c r="EL198" s="30" t="str">
        <f t="shared" si="2511"/>
        <v/>
      </c>
      <c r="EM198" s="30" t="str">
        <f t="shared" si="2512"/>
        <v/>
      </c>
      <c r="EN198" s="30" t="str">
        <f t="shared" si="2513"/>
        <v/>
      </c>
      <c r="EO198" s="30" t="str">
        <f t="shared" si="2514"/>
        <v/>
      </c>
      <c r="EP198" s="30" t="str">
        <f t="shared" si="2515"/>
        <v/>
      </c>
      <c r="EQ198" s="30" t="str">
        <f t="shared" si="2516"/>
        <v/>
      </c>
      <c r="ER198" s="30" t="str">
        <f t="shared" si="2517"/>
        <v/>
      </c>
      <c r="ES198" s="30" t="str">
        <f t="shared" si="2518"/>
        <v/>
      </c>
      <c r="ET198" s="30" t="str">
        <f t="shared" si="2519"/>
        <v/>
      </c>
      <c r="EU198" s="30" t="str">
        <f t="shared" si="2520"/>
        <v/>
      </c>
      <c r="EV198" s="30" t="str">
        <f t="shared" si="2521"/>
        <v/>
      </c>
      <c r="EW198" s="30" t="str">
        <f t="shared" si="2522"/>
        <v/>
      </c>
      <c r="EX198" s="30" t="str">
        <f t="shared" si="2523"/>
        <v/>
      </c>
      <c r="EY198" s="30" t="str">
        <f t="shared" si="2524"/>
        <v/>
      </c>
      <c r="EZ198" s="30" t="str">
        <f t="shared" si="2525"/>
        <v/>
      </c>
      <c r="FA198" s="30" t="str">
        <f t="shared" si="2526"/>
        <v/>
      </c>
      <c r="FB198" s="30" t="str">
        <f t="shared" si="2527"/>
        <v/>
      </c>
      <c r="FC198" s="30" t="str">
        <f t="shared" si="2528"/>
        <v/>
      </c>
      <c r="FD198" s="30" t="str">
        <f t="shared" si="2529"/>
        <v/>
      </c>
      <c r="FE198" s="30" t="str">
        <f t="shared" si="2530"/>
        <v/>
      </c>
      <c r="FF198" s="30" t="str">
        <f t="shared" si="2531"/>
        <v/>
      </c>
      <c r="FG198" s="30" t="str">
        <f t="shared" si="2532"/>
        <v/>
      </c>
      <c r="FH198" s="30" t="str">
        <f t="shared" si="2533"/>
        <v/>
      </c>
      <c r="FI198" s="30" t="str">
        <f t="shared" si="2534"/>
        <v/>
      </c>
      <c r="FJ198" s="30" t="str">
        <f t="shared" si="2535"/>
        <v/>
      </c>
      <c r="FK198" s="30" t="str">
        <f t="shared" si="2536"/>
        <v/>
      </c>
      <c r="FL198" s="30" t="str">
        <f t="shared" si="2537"/>
        <v/>
      </c>
      <c r="FM198" s="30" t="str">
        <f t="shared" si="2538"/>
        <v/>
      </c>
      <c r="FN198" s="30" t="str">
        <f t="shared" si="2539"/>
        <v/>
      </c>
      <c r="FO198" s="30" t="str">
        <f t="shared" si="2540"/>
        <v/>
      </c>
      <c r="FP198" s="30" t="str">
        <f t="shared" si="2541"/>
        <v/>
      </c>
      <c r="FQ198" s="30" t="str">
        <f t="shared" si="2542"/>
        <v/>
      </c>
      <c r="FR198" s="30" t="str">
        <f t="shared" si="2543"/>
        <v/>
      </c>
      <c r="FS198" s="30" t="str">
        <f t="shared" si="2544"/>
        <v/>
      </c>
    </row>
    <row r="199" spans="1:175" ht="16.5">
      <c r="A199" s="5"/>
      <c r="B199" s="6"/>
      <c r="C199" s="5"/>
      <c r="E199" s="35"/>
      <c r="T199" s="105"/>
      <c r="U199" s="32"/>
      <c r="CU199" s="45" t="str">
        <f t="shared" si="2474"/>
        <v>|n</v>
      </c>
      <c r="CW199" s="24"/>
      <c r="CX199" s="24"/>
      <c r="CY199" s="24"/>
      <c r="CZ199" s="24"/>
      <c r="DA199" s="24"/>
      <c r="DB199" s="30" t="str">
        <f t="shared" si="2475"/>
        <v/>
      </c>
      <c r="DC199" s="30" t="str">
        <f t="shared" si="2476"/>
        <v/>
      </c>
      <c r="DD199" s="30" t="str">
        <f t="shared" si="2477"/>
        <v/>
      </c>
      <c r="DE199" s="30" t="str">
        <f t="shared" si="2478"/>
        <v/>
      </c>
      <c r="DF199" s="30" t="str">
        <f t="shared" si="2479"/>
        <v/>
      </c>
      <c r="DG199" s="30" t="str">
        <f t="shared" si="2480"/>
        <v/>
      </c>
      <c r="DH199" s="30" t="str">
        <f t="shared" si="2481"/>
        <v/>
      </c>
      <c r="DI199" s="30" t="str">
        <f t="shared" si="2482"/>
        <v/>
      </c>
      <c r="DJ199" s="30" t="str">
        <f t="shared" si="2483"/>
        <v/>
      </c>
      <c r="DK199" s="30" t="str">
        <f t="shared" si="2484"/>
        <v/>
      </c>
      <c r="DL199" s="30" t="str">
        <f t="shared" si="2485"/>
        <v/>
      </c>
      <c r="DM199" s="30" t="str">
        <f t="shared" si="2486"/>
        <v/>
      </c>
      <c r="DN199" s="30" t="str">
        <f t="shared" si="2487"/>
        <v/>
      </c>
      <c r="DO199" s="30" t="str">
        <f t="shared" si="2488"/>
        <v/>
      </c>
      <c r="DP199" s="30" t="str">
        <f t="shared" si="2489"/>
        <v/>
      </c>
      <c r="DQ199" s="30" t="str">
        <f t="shared" si="2490"/>
        <v/>
      </c>
      <c r="DR199" s="30" t="str">
        <f t="shared" si="2491"/>
        <v/>
      </c>
      <c r="DS199" s="30" t="str">
        <f t="shared" si="2492"/>
        <v/>
      </c>
      <c r="DT199" s="30" t="str">
        <f t="shared" si="2493"/>
        <v/>
      </c>
      <c r="DU199" s="30" t="str">
        <f t="shared" si="2494"/>
        <v/>
      </c>
      <c r="DV199" s="30" t="str">
        <f t="shared" si="2495"/>
        <v/>
      </c>
      <c r="DW199" s="30" t="str">
        <f t="shared" si="2496"/>
        <v/>
      </c>
      <c r="DX199" s="30" t="str">
        <f t="shared" si="2497"/>
        <v/>
      </c>
      <c r="DY199" s="30" t="str">
        <f t="shared" si="2498"/>
        <v/>
      </c>
      <c r="DZ199" s="30" t="str">
        <f t="shared" si="2499"/>
        <v/>
      </c>
      <c r="EA199" s="30" t="str">
        <f t="shared" si="2500"/>
        <v/>
      </c>
      <c r="EB199" s="30" t="str">
        <f t="shared" si="2501"/>
        <v/>
      </c>
      <c r="EC199" s="30" t="str">
        <f t="shared" si="2502"/>
        <v/>
      </c>
      <c r="ED199" s="30" t="str">
        <f t="shared" si="2503"/>
        <v/>
      </c>
      <c r="EE199" s="30" t="str">
        <f t="shared" si="2504"/>
        <v/>
      </c>
      <c r="EF199" s="30" t="str">
        <f t="shared" si="2505"/>
        <v/>
      </c>
      <c r="EG199" s="30" t="str">
        <f t="shared" si="2506"/>
        <v/>
      </c>
      <c r="EH199" s="30" t="str">
        <f t="shared" si="2507"/>
        <v/>
      </c>
      <c r="EI199" s="30" t="str">
        <f t="shared" si="2508"/>
        <v/>
      </c>
      <c r="EJ199" s="30" t="str">
        <f t="shared" si="2509"/>
        <v/>
      </c>
      <c r="EK199" s="30" t="str">
        <f t="shared" si="2510"/>
        <v/>
      </c>
      <c r="EL199" s="30" t="str">
        <f t="shared" si="2511"/>
        <v/>
      </c>
      <c r="EM199" s="30" t="str">
        <f t="shared" si="2512"/>
        <v/>
      </c>
      <c r="EN199" s="30" t="str">
        <f t="shared" si="2513"/>
        <v/>
      </c>
      <c r="EO199" s="30" t="str">
        <f t="shared" si="2514"/>
        <v/>
      </c>
      <c r="EP199" s="30" t="str">
        <f t="shared" si="2515"/>
        <v/>
      </c>
      <c r="EQ199" s="30" t="str">
        <f t="shared" si="2516"/>
        <v/>
      </c>
      <c r="ER199" s="30" t="str">
        <f t="shared" si="2517"/>
        <v/>
      </c>
      <c r="ES199" s="30" t="str">
        <f t="shared" si="2518"/>
        <v/>
      </c>
      <c r="ET199" s="30" t="str">
        <f t="shared" si="2519"/>
        <v/>
      </c>
      <c r="EU199" s="30" t="str">
        <f t="shared" si="2520"/>
        <v/>
      </c>
      <c r="EV199" s="30" t="str">
        <f t="shared" si="2521"/>
        <v/>
      </c>
      <c r="EW199" s="30" t="str">
        <f t="shared" si="2522"/>
        <v/>
      </c>
      <c r="EX199" s="30" t="str">
        <f t="shared" si="2523"/>
        <v/>
      </c>
      <c r="EY199" s="30" t="str">
        <f t="shared" si="2524"/>
        <v/>
      </c>
      <c r="EZ199" s="30" t="str">
        <f t="shared" si="2525"/>
        <v/>
      </c>
      <c r="FA199" s="30" t="str">
        <f t="shared" si="2526"/>
        <v/>
      </c>
      <c r="FB199" s="30" t="str">
        <f t="shared" si="2527"/>
        <v/>
      </c>
      <c r="FC199" s="30" t="str">
        <f t="shared" si="2528"/>
        <v/>
      </c>
      <c r="FD199" s="30" t="str">
        <f t="shared" si="2529"/>
        <v/>
      </c>
      <c r="FE199" s="30" t="str">
        <f t="shared" si="2530"/>
        <v/>
      </c>
      <c r="FF199" s="30" t="str">
        <f t="shared" si="2531"/>
        <v/>
      </c>
      <c r="FG199" s="30" t="str">
        <f t="shared" si="2532"/>
        <v/>
      </c>
      <c r="FH199" s="30" t="str">
        <f t="shared" si="2533"/>
        <v/>
      </c>
      <c r="FI199" s="30" t="str">
        <f t="shared" si="2534"/>
        <v/>
      </c>
      <c r="FJ199" s="30" t="str">
        <f t="shared" si="2535"/>
        <v/>
      </c>
      <c r="FK199" s="30" t="str">
        <f t="shared" si="2536"/>
        <v/>
      </c>
      <c r="FL199" s="30" t="str">
        <f t="shared" si="2537"/>
        <v/>
      </c>
      <c r="FM199" s="30" t="str">
        <f t="shared" si="2538"/>
        <v/>
      </c>
      <c r="FN199" s="30" t="str">
        <f t="shared" si="2539"/>
        <v/>
      </c>
      <c r="FO199" s="30" t="str">
        <f t="shared" si="2540"/>
        <v/>
      </c>
      <c r="FP199" s="30" t="str">
        <f t="shared" si="2541"/>
        <v/>
      </c>
      <c r="FQ199" s="30" t="str">
        <f t="shared" si="2542"/>
        <v/>
      </c>
      <c r="FR199" s="30" t="str">
        <f t="shared" si="2543"/>
        <v/>
      </c>
      <c r="FS199" s="30" t="str">
        <f t="shared" si="2544"/>
        <v/>
      </c>
    </row>
    <row r="200" spans="1:175" ht="16.5">
      <c r="A200" s="5"/>
      <c r="B200" s="6"/>
      <c r="C200" s="5"/>
      <c r="E200" s="35"/>
      <c r="T200" s="105"/>
      <c r="U200" s="32"/>
      <c r="CU200" s="45" t="str">
        <f t="shared" si="2474"/>
        <v>|n</v>
      </c>
      <c r="CW200" s="24"/>
      <c r="CX200" s="24"/>
      <c r="CY200" s="24"/>
      <c r="CZ200" s="24"/>
      <c r="DA200" s="24"/>
      <c r="DB200" s="30" t="str">
        <f t="shared" si="2475"/>
        <v/>
      </c>
      <c r="DC200" s="30" t="str">
        <f t="shared" si="2476"/>
        <v/>
      </c>
      <c r="DD200" s="30" t="str">
        <f t="shared" si="2477"/>
        <v/>
      </c>
      <c r="DE200" s="30" t="str">
        <f t="shared" si="2478"/>
        <v/>
      </c>
      <c r="DF200" s="30" t="str">
        <f t="shared" si="2479"/>
        <v/>
      </c>
      <c r="DG200" s="30" t="str">
        <f t="shared" si="2480"/>
        <v/>
      </c>
      <c r="DH200" s="30" t="str">
        <f t="shared" si="2481"/>
        <v/>
      </c>
      <c r="DI200" s="30" t="str">
        <f t="shared" si="2482"/>
        <v/>
      </c>
      <c r="DJ200" s="30" t="str">
        <f t="shared" si="2483"/>
        <v/>
      </c>
      <c r="DK200" s="30" t="str">
        <f t="shared" si="2484"/>
        <v/>
      </c>
      <c r="DL200" s="30" t="str">
        <f t="shared" si="2485"/>
        <v/>
      </c>
      <c r="DM200" s="30" t="str">
        <f t="shared" si="2486"/>
        <v/>
      </c>
      <c r="DN200" s="30" t="str">
        <f t="shared" si="2487"/>
        <v/>
      </c>
      <c r="DO200" s="30" t="str">
        <f t="shared" si="2488"/>
        <v/>
      </c>
      <c r="DP200" s="30" t="str">
        <f t="shared" si="2489"/>
        <v/>
      </c>
      <c r="DQ200" s="30" t="str">
        <f t="shared" si="2490"/>
        <v/>
      </c>
      <c r="DR200" s="30" t="str">
        <f t="shared" si="2491"/>
        <v/>
      </c>
      <c r="DS200" s="30" t="str">
        <f t="shared" si="2492"/>
        <v/>
      </c>
      <c r="DT200" s="30" t="str">
        <f t="shared" si="2493"/>
        <v/>
      </c>
      <c r="DU200" s="30" t="str">
        <f t="shared" si="2494"/>
        <v/>
      </c>
      <c r="DV200" s="30" t="str">
        <f t="shared" si="2495"/>
        <v/>
      </c>
      <c r="DW200" s="30" t="str">
        <f t="shared" si="2496"/>
        <v/>
      </c>
      <c r="DX200" s="30" t="str">
        <f t="shared" si="2497"/>
        <v/>
      </c>
      <c r="DY200" s="30" t="str">
        <f t="shared" si="2498"/>
        <v/>
      </c>
      <c r="DZ200" s="30" t="str">
        <f t="shared" si="2499"/>
        <v/>
      </c>
      <c r="EA200" s="30" t="str">
        <f t="shared" si="2500"/>
        <v/>
      </c>
      <c r="EB200" s="30" t="str">
        <f t="shared" si="2501"/>
        <v/>
      </c>
      <c r="EC200" s="30" t="str">
        <f t="shared" si="2502"/>
        <v/>
      </c>
      <c r="ED200" s="30" t="str">
        <f t="shared" si="2503"/>
        <v/>
      </c>
      <c r="EE200" s="30" t="str">
        <f t="shared" si="2504"/>
        <v/>
      </c>
      <c r="EF200" s="30" t="str">
        <f t="shared" si="2505"/>
        <v/>
      </c>
      <c r="EG200" s="30" t="str">
        <f t="shared" si="2506"/>
        <v/>
      </c>
      <c r="EH200" s="30" t="str">
        <f t="shared" si="2507"/>
        <v/>
      </c>
      <c r="EI200" s="30" t="str">
        <f t="shared" si="2508"/>
        <v/>
      </c>
      <c r="EJ200" s="30" t="str">
        <f t="shared" si="2509"/>
        <v/>
      </c>
      <c r="EK200" s="30" t="str">
        <f t="shared" si="2510"/>
        <v/>
      </c>
      <c r="EL200" s="30" t="str">
        <f t="shared" si="2511"/>
        <v/>
      </c>
      <c r="EM200" s="30" t="str">
        <f t="shared" si="2512"/>
        <v/>
      </c>
      <c r="EN200" s="30" t="str">
        <f t="shared" si="2513"/>
        <v/>
      </c>
      <c r="EO200" s="30" t="str">
        <f t="shared" si="2514"/>
        <v/>
      </c>
      <c r="EP200" s="30" t="str">
        <f t="shared" si="2515"/>
        <v/>
      </c>
      <c r="EQ200" s="30" t="str">
        <f t="shared" si="2516"/>
        <v/>
      </c>
      <c r="ER200" s="30" t="str">
        <f t="shared" si="2517"/>
        <v/>
      </c>
      <c r="ES200" s="30" t="str">
        <f t="shared" si="2518"/>
        <v/>
      </c>
      <c r="ET200" s="30" t="str">
        <f t="shared" si="2519"/>
        <v/>
      </c>
      <c r="EU200" s="30" t="str">
        <f t="shared" si="2520"/>
        <v/>
      </c>
      <c r="EV200" s="30" t="str">
        <f t="shared" si="2521"/>
        <v/>
      </c>
      <c r="EW200" s="30" t="str">
        <f t="shared" si="2522"/>
        <v/>
      </c>
      <c r="EX200" s="30" t="str">
        <f t="shared" si="2523"/>
        <v/>
      </c>
      <c r="EY200" s="30" t="str">
        <f t="shared" si="2524"/>
        <v/>
      </c>
      <c r="EZ200" s="30" t="str">
        <f t="shared" si="2525"/>
        <v/>
      </c>
      <c r="FA200" s="30" t="str">
        <f t="shared" si="2526"/>
        <v/>
      </c>
      <c r="FB200" s="30" t="str">
        <f t="shared" si="2527"/>
        <v/>
      </c>
      <c r="FC200" s="30" t="str">
        <f t="shared" si="2528"/>
        <v/>
      </c>
      <c r="FD200" s="30" t="str">
        <f t="shared" si="2529"/>
        <v/>
      </c>
      <c r="FE200" s="30" t="str">
        <f t="shared" si="2530"/>
        <v/>
      </c>
      <c r="FF200" s="30" t="str">
        <f t="shared" si="2531"/>
        <v/>
      </c>
      <c r="FG200" s="30" t="str">
        <f t="shared" si="2532"/>
        <v/>
      </c>
      <c r="FH200" s="30" t="str">
        <f t="shared" si="2533"/>
        <v/>
      </c>
      <c r="FI200" s="30" t="str">
        <f t="shared" si="2534"/>
        <v/>
      </c>
      <c r="FJ200" s="30" t="str">
        <f t="shared" si="2535"/>
        <v/>
      </c>
      <c r="FK200" s="30" t="str">
        <f t="shared" si="2536"/>
        <v/>
      </c>
      <c r="FL200" s="30" t="str">
        <f t="shared" si="2537"/>
        <v/>
      </c>
      <c r="FM200" s="30" t="str">
        <f t="shared" si="2538"/>
        <v/>
      </c>
      <c r="FN200" s="30" t="str">
        <f t="shared" si="2539"/>
        <v/>
      </c>
      <c r="FO200" s="30" t="str">
        <f t="shared" si="2540"/>
        <v/>
      </c>
      <c r="FP200" s="30" t="str">
        <f t="shared" si="2541"/>
        <v/>
      </c>
      <c r="FQ200" s="30" t="str">
        <f t="shared" si="2542"/>
        <v/>
      </c>
      <c r="FR200" s="30" t="str">
        <f t="shared" si="2543"/>
        <v/>
      </c>
      <c r="FS200" s="30" t="str">
        <f t="shared" si="2544"/>
        <v/>
      </c>
    </row>
    <row r="201" spans="1:175" ht="16.5">
      <c r="A201" s="5"/>
      <c r="B201" s="6"/>
      <c r="C201" s="5"/>
      <c r="E201" s="35"/>
      <c r="T201" s="105"/>
      <c r="U201" s="32"/>
      <c r="CU201" s="45" t="str">
        <f t="shared" si="2474"/>
        <v>|n</v>
      </c>
      <c r="CW201" s="24"/>
      <c r="CX201" s="24"/>
      <c r="CY201" s="24"/>
      <c r="CZ201" s="24"/>
      <c r="DA201" s="24"/>
      <c r="DB201" s="30" t="str">
        <f t="shared" si="2475"/>
        <v/>
      </c>
      <c r="DC201" s="30" t="str">
        <f t="shared" si="2476"/>
        <v/>
      </c>
      <c r="DD201" s="30" t="str">
        <f t="shared" si="2477"/>
        <v/>
      </c>
      <c r="DE201" s="30" t="str">
        <f t="shared" si="2478"/>
        <v/>
      </c>
      <c r="DF201" s="30" t="str">
        <f t="shared" si="2479"/>
        <v/>
      </c>
      <c r="DG201" s="30" t="str">
        <f t="shared" si="2480"/>
        <v/>
      </c>
      <c r="DH201" s="30" t="str">
        <f t="shared" si="2481"/>
        <v/>
      </c>
      <c r="DI201" s="30" t="str">
        <f t="shared" si="2482"/>
        <v/>
      </c>
      <c r="DJ201" s="30" t="str">
        <f t="shared" si="2483"/>
        <v/>
      </c>
      <c r="DK201" s="30" t="str">
        <f t="shared" si="2484"/>
        <v/>
      </c>
      <c r="DL201" s="30" t="str">
        <f t="shared" si="2485"/>
        <v/>
      </c>
      <c r="DM201" s="30" t="str">
        <f t="shared" si="2486"/>
        <v/>
      </c>
      <c r="DN201" s="30" t="str">
        <f t="shared" si="2487"/>
        <v/>
      </c>
      <c r="DO201" s="30" t="str">
        <f t="shared" si="2488"/>
        <v/>
      </c>
      <c r="DP201" s="30" t="str">
        <f t="shared" si="2489"/>
        <v/>
      </c>
      <c r="DQ201" s="30" t="str">
        <f t="shared" si="2490"/>
        <v/>
      </c>
      <c r="DR201" s="30" t="str">
        <f t="shared" si="2491"/>
        <v/>
      </c>
      <c r="DS201" s="30" t="str">
        <f t="shared" si="2492"/>
        <v/>
      </c>
      <c r="DT201" s="30" t="str">
        <f t="shared" si="2493"/>
        <v/>
      </c>
      <c r="DU201" s="30" t="str">
        <f t="shared" si="2494"/>
        <v/>
      </c>
      <c r="DV201" s="30" t="str">
        <f t="shared" si="2495"/>
        <v/>
      </c>
      <c r="DW201" s="30" t="str">
        <f t="shared" si="2496"/>
        <v/>
      </c>
      <c r="DX201" s="30" t="str">
        <f t="shared" si="2497"/>
        <v/>
      </c>
      <c r="DY201" s="30" t="str">
        <f t="shared" si="2498"/>
        <v/>
      </c>
      <c r="DZ201" s="30" t="str">
        <f t="shared" si="2499"/>
        <v/>
      </c>
      <c r="EA201" s="30" t="str">
        <f t="shared" si="2500"/>
        <v/>
      </c>
      <c r="EB201" s="30" t="str">
        <f t="shared" si="2501"/>
        <v/>
      </c>
      <c r="EC201" s="30" t="str">
        <f t="shared" si="2502"/>
        <v/>
      </c>
      <c r="ED201" s="30" t="str">
        <f t="shared" si="2503"/>
        <v/>
      </c>
      <c r="EE201" s="30" t="str">
        <f t="shared" si="2504"/>
        <v/>
      </c>
      <c r="EF201" s="30" t="str">
        <f t="shared" si="2505"/>
        <v/>
      </c>
      <c r="EG201" s="30" t="str">
        <f t="shared" si="2506"/>
        <v/>
      </c>
      <c r="EH201" s="30" t="str">
        <f t="shared" si="2507"/>
        <v/>
      </c>
      <c r="EI201" s="30" t="str">
        <f t="shared" si="2508"/>
        <v/>
      </c>
      <c r="EJ201" s="30" t="str">
        <f t="shared" si="2509"/>
        <v/>
      </c>
      <c r="EK201" s="30" t="str">
        <f t="shared" si="2510"/>
        <v/>
      </c>
      <c r="EL201" s="30" t="str">
        <f t="shared" si="2511"/>
        <v/>
      </c>
      <c r="EM201" s="30" t="str">
        <f t="shared" si="2512"/>
        <v/>
      </c>
      <c r="EN201" s="30" t="str">
        <f t="shared" si="2513"/>
        <v/>
      </c>
      <c r="EO201" s="30" t="str">
        <f t="shared" si="2514"/>
        <v/>
      </c>
      <c r="EP201" s="30" t="str">
        <f t="shared" si="2515"/>
        <v/>
      </c>
      <c r="EQ201" s="30" t="str">
        <f t="shared" si="2516"/>
        <v/>
      </c>
      <c r="ER201" s="30" t="str">
        <f t="shared" si="2517"/>
        <v/>
      </c>
      <c r="ES201" s="30" t="str">
        <f t="shared" si="2518"/>
        <v/>
      </c>
      <c r="ET201" s="30" t="str">
        <f t="shared" si="2519"/>
        <v/>
      </c>
      <c r="EU201" s="30" t="str">
        <f t="shared" si="2520"/>
        <v/>
      </c>
      <c r="EV201" s="30" t="str">
        <f t="shared" si="2521"/>
        <v/>
      </c>
      <c r="EW201" s="30" t="str">
        <f t="shared" si="2522"/>
        <v/>
      </c>
      <c r="EX201" s="30" t="str">
        <f t="shared" si="2523"/>
        <v/>
      </c>
      <c r="EY201" s="30" t="str">
        <f t="shared" si="2524"/>
        <v/>
      </c>
      <c r="EZ201" s="30" t="str">
        <f t="shared" si="2525"/>
        <v/>
      </c>
      <c r="FA201" s="30" t="str">
        <f t="shared" si="2526"/>
        <v/>
      </c>
      <c r="FB201" s="30" t="str">
        <f t="shared" si="2527"/>
        <v/>
      </c>
      <c r="FC201" s="30" t="str">
        <f t="shared" si="2528"/>
        <v/>
      </c>
      <c r="FD201" s="30" t="str">
        <f t="shared" si="2529"/>
        <v/>
      </c>
      <c r="FE201" s="30" t="str">
        <f t="shared" si="2530"/>
        <v/>
      </c>
      <c r="FF201" s="30" t="str">
        <f t="shared" si="2531"/>
        <v/>
      </c>
      <c r="FG201" s="30" t="str">
        <f t="shared" si="2532"/>
        <v/>
      </c>
      <c r="FH201" s="30" t="str">
        <f t="shared" si="2533"/>
        <v/>
      </c>
      <c r="FI201" s="30" t="str">
        <f t="shared" si="2534"/>
        <v/>
      </c>
      <c r="FJ201" s="30" t="str">
        <f t="shared" si="2535"/>
        <v/>
      </c>
      <c r="FK201" s="30" t="str">
        <f t="shared" si="2536"/>
        <v/>
      </c>
      <c r="FL201" s="30" t="str">
        <f t="shared" si="2537"/>
        <v/>
      </c>
      <c r="FM201" s="30" t="str">
        <f t="shared" si="2538"/>
        <v/>
      </c>
      <c r="FN201" s="30" t="str">
        <f t="shared" si="2539"/>
        <v/>
      </c>
      <c r="FO201" s="30" t="str">
        <f t="shared" si="2540"/>
        <v/>
      </c>
      <c r="FP201" s="30" t="str">
        <f t="shared" si="2541"/>
        <v/>
      </c>
      <c r="FQ201" s="30" t="str">
        <f t="shared" si="2542"/>
        <v/>
      </c>
      <c r="FR201" s="30" t="str">
        <f t="shared" si="2543"/>
        <v/>
      </c>
      <c r="FS201" s="30" t="str">
        <f t="shared" si="2544"/>
        <v/>
      </c>
    </row>
    <row r="202" spans="1:175" ht="16.5">
      <c r="A202" s="5"/>
      <c r="B202" s="6"/>
      <c r="C202" s="5"/>
      <c r="E202" s="35"/>
      <c r="T202" s="105"/>
      <c r="U202" s="32"/>
      <c r="CU202" s="45" t="str">
        <f t="shared" si="2474"/>
        <v>|n</v>
      </c>
      <c r="CW202" s="24"/>
      <c r="CX202" s="24"/>
      <c r="CY202" s="24"/>
      <c r="CZ202" s="24"/>
      <c r="DA202" s="24"/>
      <c r="DB202" s="30" t="str">
        <f t="shared" si="2475"/>
        <v/>
      </c>
      <c r="DC202" s="30" t="str">
        <f t="shared" si="2476"/>
        <v/>
      </c>
      <c r="DD202" s="30" t="str">
        <f t="shared" si="2477"/>
        <v/>
      </c>
      <c r="DE202" s="30" t="str">
        <f t="shared" si="2478"/>
        <v/>
      </c>
      <c r="DF202" s="30" t="str">
        <f t="shared" si="2479"/>
        <v/>
      </c>
      <c r="DG202" s="30" t="str">
        <f t="shared" si="2480"/>
        <v/>
      </c>
      <c r="DH202" s="30" t="str">
        <f t="shared" si="2481"/>
        <v/>
      </c>
      <c r="DI202" s="30" t="str">
        <f t="shared" si="2482"/>
        <v/>
      </c>
      <c r="DJ202" s="30" t="str">
        <f t="shared" si="2483"/>
        <v/>
      </c>
      <c r="DK202" s="30" t="str">
        <f t="shared" si="2484"/>
        <v/>
      </c>
      <c r="DL202" s="30" t="str">
        <f t="shared" si="2485"/>
        <v/>
      </c>
      <c r="DM202" s="30" t="str">
        <f t="shared" si="2486"/>
        <v/>
      </c>
      <c r="DN202" s="30" t="str">
        <f t="shared" si="2487"/>
        <v/>
      </c>
      <c r="DO202" s="30" t="str">
        <f t="shared" si="2488"/>
        <v/>
      </c>
      <c r="DP202" s="30" t="str">
        <f t="shared" si="2489"/>
        <v/>
      </c>
      <c r="DQ202" s="30" t="str">
        <f t="shared" si="2490"/>
        <v/>
      </c>
      <c r="DR202" s="30" t="str">
        <f t="shared" si="2491"/>
        <v/>
      </c>
      <c r="DS202" s="30" t="str">
        <f t="shared" si="2492"/>
        <v/>
      </c>
      <c r="DT202" s="30" t="str">
        <f t="shared" si="2493"/>
        <v/>
      </c>
      <c r="DU202" s="30" t="str">
        <f t="shared" si="2494"/>
        <v/>
      </c>
      <c r="DV202" s="30" t="str">
        <f t="shared" si="2495"/>
        <v/>
      </c>
      <c r="DW202" s="30" t="str">
        <f t="shared" si="2496"/>
        <v/>
      </c>
      <c r="DX202" s="30" t="str">
        <f t="shared" si="2497"/>
        <v/>
      </c>
      <c r="DY202" s="30" t="str">
        <f t="shared" si="2498"/>
        <v/>
      </c>
      <c r="DZ202" s="30" t="str">
        <f t="shared" si="2499"/>
        <v/>
      </c>
      <c r="EA202" s="30" t="str">
        <f t="shared" si="2500"/>
        <v/>
      </c>
      <c r="EB202" s="30" t="str">
        <f t="shared" si="2501"/>
        <v/>
      </c>
      <c r="EC202" s="30" t="str">
        <f t="shared" si="2502"/>
        <v/>
      </c>
      <c r="ED202" s="30" t="str">
        <f t="shared" si="2503"/>
        <v/>
      </c>
      <c r="EE202" s="30" t="str">
        <f t="shared" si="2504"/>
        <v/>
      </c>
      <c r="EF202" s="30" t="str">
        <f t="shared" si="2505"/>
        <v/>
      </c>
      <c r="EG202" s="30" t="str">
        <f t="shared" si="2506"/>
        <v/>
      </c>
      <c r="EH202" s="30" t="str">
        <f t="shared" si="2507"/>
        <v/>
      </c>
      <c r="EI202" s="30" t="str">
        <f t="shared" si="2508"/>
        <v/>
      </c>
      <c r="EJ202" s="30" t="str">
        <f t="shared" si="2509"/>
        <v/>
      </c>
      <c r="EK202" s="30" t="str">
        <f t="shared" si="2510"/>
        <v/>
      </c>
      <c r="EL202" s="30" t="str">
        <f t="shared" si="2511"/>
        <v/>
      </c>
      <c r="EM202" s="30" t="str">
        <f t="shared" si="2512"/>
        <v/>
      </c>
      <c r="EN202" s="30" t="str">
        <f t="shared" si="2513"/>
        <v/>
      </c>
      <c r="EO202" s="30" t="str">
        <f t="shared" si="2514"/>
        <v/>
      </c>
      <c r="EP202" s="30" t="str">
        <f t="shared" si="2515"/>
        <v/>
      </c>
      <c r="EQ202" s="30" t="str">
        <f t="shared" si="2516"/>
        <v/>
      </c>
      <c r="ER202" s="30" t="str">
        <f t="shared" si="2517"/>
        <v/>
      </c>
      <c r="ES202" s="30" t="str">
        <f t="shared" si="2518"/>
        <v/>
      </c>
      <c r="ET202" s="30" t="str">
        <f t="shared" si="2519"/>
        <v/>
      </c>
      <c r="EU202" s="30" t="str">
        <f t="shared" si="2520"/>
        <v/>
      </c>
      <c r="EV202" s="30" t="str">
        <f t="shared" si="2521"/>
        <v/>
      </c>
      <c r="EW202" s="30" t="str">
        <f t="shared" si="2522"/>
        <v/>
      </c>
      <c r="EX202" s="30" t="str">
        <f t="shared" si="2523"/>
        <v/>
      </c>
      <c r="EY202" s="30" t="str">
        <f t="shared" si="2524"/>
        <v/>
      </c>
      <c r="EZ202" s="30" t="str">
        <f t="shared" si="2525"/>
        <v/>
      </c>
      <c r="FA202" s="30" t="str">
        <f t="shared" si="2526"/>
        <v/>
      </c>
      <c r="FB202" s="30" t="str">
        <f t="shared" si="2527"/>
        <v/>
      </c>
      <c r="FC202" s="30" t="str">
        <f t="shared" si="2528"/>
        <v/>
      </c>
      <c r="FD202" s="30" t="str">
        <f t="shared" si="2529"/>
        <v/>
      </c>
      <c r="FE202" s="30" t="str">
        <f t="shared" si="2530"/>
        <v/>
      </c>
      <c r="FF202" s="30" t="str">
        <f t="shared" si="2531"/>
        <v/>
      </c>
      <c r="FG202" s="30" t="str">
        <f t="shared" si="2532"/>
        <v/>
      </c>
      <c r="FH202" s="30" t="str">
        <f t="shared" si="2533"/>
        <v/>
      </c>
      <c r="FI202" s="30" t="str">
        <f t="shared" si="2534"/>
        <v/>
      </c>
      <c r="FJ202" s="30" t="str">
        <f t="shared" si="2535"/>
        <v/>
      </c>
      <c r="FK202" s="30" t="str">
        <f t="shared" si="2536"/>
        <v/>
      </c>
      <c r="FL202" s="30" t="str">
        <f t="shared" si="2537"/>
        <v/>
      </c>
      <c r="FM202" s="30" t="str">
        <f t="shared" si="2538"/>
        <v/>
      </c>
      <c r="FN202" s="30" t="str">
        <f t="shared" si="2539"/>
        <v/>
      </c>
      <c r="FO202" s="30" t="str">
        <f t="shared" si="2540"/>
        <v/>
      </c>
      <c r="FP202" s="30" t="str">
        <f t="shared" si="2541"/>
        <v/>
      </c>
      <c r="FQ202" s="30" t="str">
        <f t="shared" si="2542"/>
        <v/>
      </c>
      <c r="FR202" s="30" t="str">
        <f t="shared" si="2543"/>
        <v/>
      </c>
      <c r="FS202" s="30" t="str">
        <f t="shared" si="2544"/>
        <v/>
      </c>
    </row>
    <row r="203" spans="1:175">
      <c r="CN203" s="7" t="str">
        <f t="shared" ref="CN203:CN234" si="2545">"InitUnitState('"&amp;B203&amp;"',"&amp;V203&amp;","&amp;W203&amp;","&amp;X203&amp;","&amp;Y203&amp;","&amp;Z203&amp;","&amp;AA203&amp;","&amp;AB203&amp;","&amp;AC203&amp;","&amp;AD203&amp;","&amp;AE203&amp;")"</f>
        <v>InitUnitState('',,,,,,,,,,)</v>
      </c>
      <c r="CO203" s="7" t="str">
        <f t="shared" ref="CO203:CO234" si="2546">"InitUnitNormal('"&amp;B203&amp;"',"&amp;AF203&amp;","&amp;AG203&amp;","&amp;AH203&amp;","&amp;AI203&amp;","&amp;AJ203&amp;","&amp;AK203&amp;","&amp;AL203&amp;","&amp;AM203&amp;","&amp;AN203&amp;","&amp;AO203&amp;")"</f>
        <v>InitUnitNormal('',,,,,,,,,,)</v>
      </c>
      <c r="CP203" s="7" t="str">
        <f t="shared" ref="CP203:CP234" si="2547">"InitUnitMagic('"&amp;B203&amp;"',"&amp;AP203&amp;","&amp;AQ203&amp;","&amp;AR203&amp;","&amp;AS203&amp;","&amp;AT203&amp;","&amp;AU203&amp;","&amp;AV203&amp;","&amp;AW203&amp;","&amp;BI203&amp;","&amp;BJ203&amp;")"</f>
        <v>InitUnitMagic('',,,,,,,,,,)</v>
      </c>
      <c r="CQ203" s="7" t="str">
        <f t="shared" ref="CQ203:CQ234" si="2548">"InitUnitAdd('"&amp;B203&amp;"',"&amp;BK203&amp;","&amp;BL203&amp;","&amp;BM203&amp;","&amp;BN203&amp;","&amp;BO203&amp;","&amp;BP203&amp;","&amp;BQ203&amp;","&amp;BR203&amp;","&amp;BS203&amp;","&amp;BT203&amp;")"</f>
        <v>InitUnitAdd('',,,,,,,,,,)</v>
      </c>
      <c r="CR203" s="7" t="str">
        <f t="shared" ref="CR203:CR234" si="2549"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InitEquipData('',,"",,,,,'','','','','','',"")</v>
      </c>
      <c r="CU203" s="29" t="str">
        <f t="shared" ref="CU203:CU215" si="255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W203" s="24"/>
      <c r="CX203" s="24"/>
      <c r="CY203" s="24"/>
      <c r="CZ203" s="24"/>
      <c r="DA203" s="24"/>
      <c r="DB203" s="30" t="str">
        <f t="shared" ref="DB203:DB223" si="2551">IF(V203="","","|n"&amp;DB$2&amp;"+"&amp;V203&amp;DB$1)</f>
        <v/>
      </c>
      <c r="DC203" s="30" t="str">
        <f t="shared" ref="DC203:DC223" si="2552">IF(W203="","","|n"&amp;DC$2&amp;"+"&amp;W203&amp;DC$1)</f>
        <v/>
      </c>
      <c r="DD203" s="30" t="str">
        <f t="shared" ref="DD203:DD223" si="2553">IF(X203="","","|n"&amp;DD$2&amp;"+"&amp;X203&amp;DD$1)</f>
        <v/>
      </c>
      <c r="DE203" s="30" t="str">
        <f t="shared" ref="DE203:DE223" si="2554">IF(Y203="","","|n"&amp;DE$2&amp;"+"&amp;Y203&amp;DE$1)</f>
        <v/>
      </c>
      <c r="DF203" s="30" t="str">
        <f t="shared" ref="DF203:DF223" si="2555">IF(Z203="","","|n"&amp;DF$2&amp;"+"&amp;Z203&amp;DF$1)</f>
        <v/>
      </c>
      <c r="DG203" s="30" t="str">
        <f t="shared" ref="DG203:DG223" si="2556">IF(AA203="","","|n"&amp;DG$2&amp;"+"&amp;AA203&amp;DG$1)</f>
        <v/>
      </c>
      <c r="DH203" s="30" t="str">
        <f t="shared" ref="DH203:DH223" si="2557">IF(AB203="","","|n"&amp;DH$2&amp;"+"&amp;AB203&amp;DH$1)</f>
        <v/>
      </c>
      <c r="DI203" s="30" t="str">
        <f t="shared" ref="DI203:DI223" si="2558">IF(AC203="","","|n"&amp;DI$2&amp;"+"&amp;AC203&amp;DI$1)</f>
        <v/>
      </c>
      <c r="DJ203" s="30" t="str">
        <f t="shared" ref="DJ203:DJ223" si="2559">IF(AD203="","","|n"&amp;DJ$2&amp;"+"&amp;AD203&amp;DJ$1)</f>
        <v/>
      </c>
      <c r="DK203" s="30" t="str">
        <f t="shared" ref="DK203:DK223" si="2560">IF(AE203="","","|n"&amp;DK$2&amp;"+"&amp;AE203&amp;DK$1)</f>
        <v/>
      </c>
      <c r="DL203" s="30" t="str">
        <f t="shared" ref="DL203:DL223" si="2561">IF(AF203="","","|n"&amp;DL$2&amp;"+"&amp;AF203&amp;DL$1)</f>
        <v/>
      </c>
      <c r="DM203" s="30" t="str">
        <f t="shared" ref="DM203:DM223" si="2562">IF(AG203="","","|n"&amp;DM$2&amp;"+"&amp;AG203&amp;DM$1)</f>
        <v/>
      </c>
      <c r="DN203" s="30" t="str">
        <f t="shared" ref="DN203:DN223" si="2563">IF(AH203="","","|n"&amp;DN$2&amp;"+"&amp;AH203&amp;DN$1)</f>
        <v/>
      </c>
      <c r="DO203" s="30" t="str">
        <f t="shared" ref="DO203:DO223" si="2564">IF(AI203="","","|n"&amp;DO$2&amp;"+"&amp;AI203&amp;DO$1)</f>
        <v/>
      </c>
      <c r="DP203" s="30" t="str">
        <f t="shared" ref="DP203:DP223" si="2565">IF(AJ203="","","|n"&amp;DP$2&amp;"+"&amp;AJ203&amp;DP$1)</f>
        <v/>
      </c>
      <c r="DQ203" s="30" t="str">
        <f t="shared" ref="DQ203:DQ223" si="2566">IF(AK203="","","|n"&amp;DQ$2&amp;"+"&amp;AK203&amp;DQ$1)</f>
        <v/>
      </c>
      <c r="DR203" s="30" t="str">
        <f t="shared" ref="DR203:DR223" si="2567">IF(AL203="","","|n"&amp;DR$2&amp;"+"&amp;AL203&amp;DR$1)</f>
        <v/>
      </c>
      <c r="DS203" s="30" t="str">
        <f t="shared" ref="DS203:DS223" si="2568">IF(AM203="","","|n"&amp;DS$2&amp;"+"&amp;AM203&amp;DS$1)</f>
        <v/>
      </c>
      <c r="DT203" s="30" t="str">
        <f t="shared" ref="DT203:DT223" si="2569">IF(AN203="","","|n"&amp;DT$2&amp;"+"&amp;AN203&amp;DT$1)</f>
        <v/>
      </c>
      <c r="DU203" s="30" t="str">
        <f t="shared" ref="DU203:DU223" si="2570">IF(AO203="","","|n"&amp;DU$2&amp;"+"&amp;AO203&amp;DU$1)</f>
        <v/>
      </c>
      <c r="DV203" s="30" t="str">
        <f t="shared" ref="DV203:DV223" si="2571">IF(AP203="","","|n"&amp;DV$2&amp;"+"&amp;AP203&amp;DV$1)</f>
        <v/>
      </c>
      <c r="DW203" s="30" t="str">
        <f t="shared" ref="DW203:DW223" si="2572">IF(AQ203="","","|n"&amp;DW$2&amp;"+"&amp;AQ203&amp;DW$1)</f>
        <v/>
      </c>
      <c r="DX203" s="30" t="str">
        <f t="shared" ref="DX203:DX223" si="2573">IF(AR203="","","|n"&amp;DX$2&amp;"+"&amp;AR203&amp;DX$1)</f>
        <v/>
      </c>
      <c r="DY203" s="30" t="str">
        <f t="shared" ref="DY203:DY223" si="2574">IF(AS203="","","|n"&amp;DY$2&amp;"+"&amp;AS203&amp;DY$1)</f>
        <v/>
      </c>
      <c r="DZ203" s="30" t="str">
        <f t="shared" ref="DZ203:DZ223" si="2575">IF(AT203="","","|n"&amp;DZ$2&amp;"+"&amp;AT203&amp;DZ$1)</f>
        <v/>
      </c>
      <c r="EA203" s="30" t="str">
        <f t="shared" ref="EA203:EA223" si="2576">IF(AU203="","","|n"&amp;EA$2&amp;"+"&amp;AU203&amp;EA$1)</f>
        <v/>
      </c>
      <c r="EB203" s="30" t="str">
        <f t="shared" ref="EB203:EB223" si="2577">IF(AV203="","","|n"&amp;EB$2&amp;"+"&amp;AV203&amp;EB$1)</f>
        <v/>
      </c>
      <c r="EC203" s="30" t="str">
        <f t="shared" ref="EC203:EC223" si="2578">IF(AW203="","","|n"&amp;EC$2&amp;"+"&amp;AW203&amp;EC$1)</f>
        <v/>
      </c>
      <c r="ED203" s="30" t="str">
        <f t="shared" ref="ED203:ED223" si="2579">IF(AX203="","","|n"&amp;ED$2&amp;"+"&amp;AX203&amp;ED$1)</f>
        <v/>
      </c>
      <c r="EE203" s="30" t="str">
        <f t="shared" ref="EE203:EE223" si="2580">IF(AY203="","","|n"&amp;EE$2&amp;"+"&amp;AY203&amp;EE$1)</f>
        <v/>
      </c>
      <c r="EF203" s="30" t="str">
        <f t="shared" ref="EF203:EF223" si="2581">IF(AZ203="","","|n"&amp;EF$2&amp;"+"&amp;AZ203&amp;EF$1)</f>
        <v/>
      </c>
      <c r="EG203" s="30" t="str">
        <f t="shared" ref="EG203:EG223" si="2582">IF(BA203="","","|n"&amp;EG$2&amp;"+"&amp;BA203&amp;EG$1)</f>
        <v/>
      </c>
      <c r="EH203" s="30" t="str">
        <f t="shared" ref="EH203:EH223" si="2583">IF(BB203="","","|n"&amp;EH$2&amp;"+"&amp;BB203&amp;EH$1)</f>
        <v/>
      </c>
      <c r="EI203" s="30" t="str">
        <f t="shared" ref="EI203:EI223" si="2584">IF(BC203="","","|n"&amp;EI$2&amp;"+"&amp;BC203&amp;EI$1)</f>
        <v/>
      </c>
      <c r="EJ203" s="30" t="str">
        <f t="shared" ref="EJ203:EJ223" si="2585">IF(BD203="","","|n"&amp;EJ$2&amp;"+"&amp;BD203&amp;EJ$1)</f>
        <v/>
      </c>
      <c r="EK203" s="30" t="str">
        <f t="shared" ref="EK203:EK223" si="2586">IF(BE203="","","|n"&amp;EK$2&amp;"+"&amp;BE203&amp;EK$1)</f>
        <v/>
      </c>
      <c r="EL203" s="30" t="str">
        <f t="shared" ref="EL203:EL223" si="2587">IF(BF203="","","|n"&amp;EL$2&amp;"+"&amp;BF203&amp;EL$1)</f>
        <v/>
      </c>
      <c r="EM203" s="30" t="str">
        <f t="shared" ref="EM203:EM223" si="2588">IF(BG203="","","|n"&amp;EM$2&amp;"+"&amp;BG203&amp;EM$1)</f>
        <v/>
      </c>
      <c r="EN203" s="30" t="str">
        <f t="shared" ref="EN203:EN223" si="2589">IF(BH203="","","|n"&amp;EN$2&amp;"+"&amp;BH203&amp;EN$1)</f>
        <v/>
      </c>
      <c r="EO203" s="30" t="str">
        <f t="shared" ref="EO203:EO223" si="2590">IF(BI203="","","|n"&amp;EO$2&amp;"+"&amp;BI203&amp;EO$1)</f>
        <v/>
      </c>
      <c r="EP203" s="30" t="str">
        <f t="shared" ref="EP203:EP223" si="2591">IF(BJ203="","","|n"&amp;EP$2&amp;"+"&amp;BJ203&amp;EP$1)</f>
        <v/>
      </c>
      <c r="EQ203" s="30" t="str">
        <f t="shared" ref="EQ203:EQ223" si="2592">IF(BK203="","","|n"&amp;EQ$2&amp;"+"&amp;BK203&amp;EQ$1)</f>
        <v/>
      </c>
      <c r="ER203" s="30" t="str">
        <f t="shared" ref="ER203:ER223" si="2593">IF(BL203="","","|n"&amp;ER$2&amp;"+"&amp;BL203&amp;ER$1)</f>
        <v/>
      </c>
      <c r="ES203" s="30" t="str">
        <f t="shared" ref="ES203:ES223" si="2594">IF(BM203="","","|n"&amp;ES$2&amp;"+"&amp;BM203&amp;ES$1)</f>
        <v/>
      </c>
      <c r="ET203" s="30" t="str">
        <f t="shared" ref="ET203:ET223" si="2595">IF(BN203="","","|n"&amp;ET$2&amp;"+"&amp;BN203&amp;ET$1)</f>
        <v/>
      </c>
      <c r="EU203" s="30" t="str">
        <f t="shared" ref="EU203:EU223" si="2596">IF(BO203="","","|n"&amp;EU$2&amp;"+"&amp;BO203&amp;EU$1)</f>
        <v/>
      </c>
      <c r="EV203" s="30" t="str">
        <f t="shared" ref="EV203:EV223" si="2597">IF(BP203="","","|n"&amp;EV$2&amp;"+"&amp;BP203&amp;EV$1)</f>
        <v/>
      </c>
      <c r="EW203" s="30" t="str">
        <f t="shared" ref="EW203:EW223" si="2598">IF(BQ203="","","|n"&amp;EW$2&amp;"+"&amp;BQ203&amp;EW$1)</f>
        <v/>
      </c>
      <c r="EX203" s="30" t="str">
        <f t="shared" ref="EX203:EX223" si="2599">IF(BR203="","","|n"&amp;EX$2&amp;"+"&amp;BR203&amp;EX$1)</f>
        <v/>
      </c>
      <c r="EY203" s="30" t="str">
        <f t="shared" ref="EY203:EY223" si="2600">IF(BS203="","","|n"&amp;EY$2&amp;"+"&amp;BS203&amp;EY$1)</f>
        <v/>
      </c>
      <c r="EZ203" s="30" t="str">
        <f t="shared" ref="EZ203:EZ223" si="2601">IF(BT203="","","|n"&amp;EZ$2&amp;"+"&amp;BT203&amp;EZ$1)</f>
        <v/>
      </c>
      <c r="FA203" s="30" t="str">
        <f t="shared" ref="FA203:FA223" si="2602">IF(BU203="","","|n"&amp;FA$2&amp;"+"&amp;BU203&amp;FA$1)</f>
        <v/>
      </c>
      <c r="FB203" s="30" t="str">
        <f t="shared" ref="FB203:FB223" si="2603">IF(BV203="","","|n"&amp;FB$2&amp;"+"&amp;BV203&amp;FB$1)</f>
        <v/>
      </c>
      <c r="FC203" s="30" t="str">
        <f t="shared" ref="FC203:FC223" si="2604">IF(BW203="","","|n"&amp;FC$2&amp;"+"&amp;BW203&amp;FC$1)</f>
        <v/>
      </c>
      <c r="FD203" s="30" t="str">
        <f t="shared" ref="FD203:FD223" si="2605">IF(BX203="","","|n"&amp;FD$2&amp;"+"&amp;BX203&amp;FD$1)</f>
        <v/>
      </c>
      <c r="FE203" s="30" t="str">
        <f t="shared" ref="FE203:FE223" si="2606">IF(BY203="","","|n"&amp;FE$2&amp;"+"&amp;BY203&amp;FE$1)</f>
        <v/>
      </c>
      <c r="FF203" s="30" t="str">
        <f t="shared" ref="FF203:FF223" si="2607">IF(BZ203="","","|n"&amp;FF$2&amp;"+"&amp;BZ203&amp;FF$1)</f>
        <v/>
      </c>
      <c r="FG203" s="30" t="str">
        <f t="shared" ref="FG203:FG223" si="2608">IF(CA203="","","|n"&amp;FG$2&amp;"+"&amp;CA203&amp;FG$1)</f>
        <v/>
      </c>
      <c r="FH203" s="30" t="str">
        <f t="shared" ref="FH203:FH223" si="2609">IF(CB203="","","|n"&amp;FH$2&amp;"+"&amp;CB203&amp;FH$1)</f>
        <v/>
      </c>
      <c r="FI203" s="30" t="str">
        <f t="shared" ref="FI203:FI223" si="2610">IF(CC203="","","|n"&amp;FI$2&amp;"+"&amp;CC203&amp;FI$1)</f>
        <v/>
      </c>
      <c r="FJ203" s="30" t="str">
        <f t="shared" ref="FJ203:FJ223" si="2611">IF(CD203="","","|n"&amp;FJ$2&amp;"+"&amp;CD203&amp;FJ$1)</f>
        <v/>
      </c>
      <c r="FK203" s="30" t="str">
        <f t="shared" ref="FK203:FK223" si="2612">IF(CE203="","","|n"&amp;FK$2&amp;"+"&amp;CE203&amp;FK$1)</f>
        <v/>
      </c>
      <c r="FL203" s="30" t="str">
        <f t="shared" ref="FL203:FL223" si="2613">IF(CF203="","","|n"&amp;FL$2&amp;"+"&amp;CF203&amp;FL$1)</f>
        <v/>
      </c>
      <c r="FM203" s="30" t="str">
        <f t="shared" ref="FM203:FM223" si="2614">IF(CG203="","","|n"&amp;FM$2&amp;"+"&amp;CG203&amp;FM$1)</f>
        <v/>
      </c>
      <c r="FN203" s="30" t="str">
        <f t="shared" ref="FN203:FN223" si="2615">IF(CH203="","","|n"&amp;FN$2&amp;"+"&amp;CH203&amp;FN$1)</f>
        <v/>
      </c>
      <c r="FO203" s="30" t="str">
        <f t="shared" ref="FO203:FO223" si="2616">IF(CI203="","","|n"&amp;FO$2&amp;"+"&amp;CI203&amp;FO$1)</f>
        <v/>
      </c>
      <c r="FP203" s="30" t="str">
        <f t="shared" ref="FP203:FP223" si="2617">IF(CJ203="","","|n"&amp;FP$2&amp;"+"&amp;CJ203&amp;FP$1)</f>
        <v/>
      </c>
      <c r="FQ203" s="30" t="str">
        <f t="shared" ref="FQ203:FQ223" si="2618">IF(CK203="","","|n"&amp;FQ$2&amp;"+"&amp;CK203&amp;FQ$1)</f>
        <v/>
      </c>
      <c r="FR203" s="30" t="str">
        <f t="shared" ref="FR203:FR223" si="2619">IF(CL203="","","|n"&amp;FR$2&amp;"+"&amp;CL203&amp;FR$1)</f>
        <v/>
      </c>
      <c r="FS203" s="30" t="str">
        <f t="shared" ref="FS203:FS223" si="2620">IF(CM203="","","|n"&amp;FS$2&amp;"+"&amp;CM203&amp;FS$1)</f>
        <v/>
      </c>
    </row>
    <row r="204" spans="1:175">
      <c r="CN204" s="7" t="str">
        <f t="shared" si="2545"/>
        <v>InitUnitState('',,,,,,,,,,)</v>
      </c>
      <c r="CO204" s="7" t="str">
        <f t="shared" si="2546"/>
        <v>InitUnitNormal('',,,,,,,,,,)</v>
      </c>
      <c r="CP204" s="7" t="str">
        <f t="shared" si="2547"/>
        <v>InitUnitMagic('',,,,,,,,,,)</v>
      </c>
      <c r="CQ204" s="7" t="str">
        <f t="shared" si="2548"/>
        <v>InitUnitAdd('',,,,,,,,,,)</v>
      </c>
      <c r="CR204" s="7" t="str">
        <f t="shared" si="2549"/>
        <v>InitEquipData('',,"",,,,,'','','','','','',"")</v>
      </c>
      <c r="CU204" s="29" t="str">
        <f t="shared" si="2550"/>
        <v>|n</v>
      </c>
      <c r="CW204" s="24"/>
      <c r="CX204" s="24"/>
      <c r="CY204" s="24"/>
      <c r="CZ204" s="24"/>
      <c r="DA204" s="24"/>
      <c r="DB204" s="30" t="str">
        <f t="shared" si="2551"/>
        <v/>
      </c>
      <c r="DC204" s="30" t="str">
        <f t="shared" si="2552"/>
        <v/>
      </c>
      <c r="DD204" s="30" t="str">
        <f t="shared" si="2553"/>
        <v/>
      </c>
      <c r="DE204" s="30" t="str">
        <f t="shared" si="2554"/>
        <v/>
      </c>
      <c r="DF204" s="30" t="str">
        <f t="shared" si="2555"/>
        <v/>
      </c>
      <c r="DG204" s="30" t="str">
        <f t="shared" si="2556"/>
        <v/>
      </c>
      <c r="DH204" s="30" t="str">
        <f t="shared" si="2557"/>
        <v/>
      </c>
      <c r="DI204" s="30" t="str">
        <f t="shared" si="2558"/>
        <v/>
      </c>
      <c r="DJ204" s="30" t="str">
        <f t="shared" si="2559"/>
        <v/>
      </c>
      <c r="DK204" s="30" t="str">
        <f t="shared" si="2560"/>
        <v/>
      </c>
      <c r="DL204" s="30" t="str">
        <f t="shared" si="2561"/>
        <v/>
      </c>
      <c r="DM204" s="30" t="str">
        <f t="shared" si="2562"/>
        <v/>
      </c>
      <c r="DN204" s="30" t="str">
        <f t="shared" si="2563"/>
        <v/>
      </c>
      <c r="DO204" s="30" t="str">
        <f t="shared" si="2564"/>
        <v/>
      </c>
      <c r="DP204" s="30" t="str">
        <f t="shared" si="2565"/>
        <v/>
      </c>
      <c r="DQ204" s="30" t="str">
        <f t="shared" si="2566"/>
        <v/>
      </c>
      <c r="DR204" s="30" t="str">
        <f t="shared" si="2567"/>
        <v/>
      </c>
      <c r="DS204" s="30" t="str">
        <f t="shared" si="2568"/>
        <v/>
      </c>
      <c r="DT204" s="30" t="str">
        <f t="shared" si="2569"/>
        <v/>
      </c>
      <c r="DU204" s="30" t="str">
        <f t="shared" si="2570"/>
        <v/>
      </c>
      <c r="DV204" s="30" t="str">
        <f t="shared" si="2571"/>
        <v/>
      </c>
      <c r="DW204" s="30" t="str">
        <f t="shared" si="2572"/>
        <v/>
      </c>
      <c r="DX204" s="30" t="str">
        <f t="shared" si="2573"/>
        <v/>
      </c>
      <c r="DY204" s="30" t="str">
        <f t="shared" si="2574"/>
        <v/>
      </c>
      <c r="DZ204" s="30" t="str">
        <f t="shared" si="2575"/>
        <v/>
      </c>
      <c r="EA204" s="30" t="str">
        <f t="shared" si="2576"/>
        <v/>
      </c>
      <c r="EB204" s="30" t="str">
        <f t="shared" si="2577"/>
        <v/>
      </c>
      <c r="EC204" s="30" t="str">
        <f t="shared" si="2578"/>
        <v/>
      </c>
      <c r="ED204" s="30" t="str">
        <f t="shared" si="2579"/>
        <v/>
      </c>
      <c r="EE204" s="30" t="str">
        <f t="shared" si="2580"/>
        <v/>
      </c>
      <c r="EF204" s="30" t="str">
        <f t="shared" si="2581"/>
        <v/>
      </c>
      <c r="EG204" s="30" t="str">
        <f t="shared" si="2582"/>
        <v/>
      </c>
      <c r="EH204" s="30" t="str">
        <f t="shared" si="2583"/>
        <v/>
      </c>
      <c r="EI204" s="30" t="str">
        <f t="shared" si="2584"/>
        <v/>
      </c>
      <c r="EJ204" s="30" t="str">
        <f t="shared" si="2585"/>
        <v/>
      </c>
      <c r="EK204" s="30" t="str">
        <f t="shared" si="2586"/>
        <v/>
      </c>
      <c r="EL204" s="30" t="str">
        <f t="shared" si="2587"/>
        <v/>
      </c>
      <c r="EM204" s="30" t="str">
        <f t="shared" si="2588"/>
        <v/>
      </c>
      <c r="EN204" s="30" t="str">
        <f t="shared" si="2589"/>
        <v/>
      </c>
      <c r="EO204" s="30" t="str">
        <f t="shared" si="2590"/>
        <v/>
      </c>
      <c r="EP204" s="30" t="str">
        <f t="shared" si="2591"/>
        <v/>
      </c>
      <c r="EQ204" s="30" t="str">
        <f t="shared" si="2592"/>
        <v/>
      </c>
      <c r="ER204" s="30" t="str">
        <f t="shared" si="2593"/>
        <v/>
      </c>
      <c r="ES204" s="30" t="str">
        <f t="shared" si="2594"/>
        <v/>
      </c>
      <c r="ET204" s="30" t="str">
        <f t="shared" si="2595"/>
        <v/>
      </c>
      <c r="EU204" s="30" t="str">
        <f t="shared" si="2596"/>
        <v/>
      </c>
      <c r="EV204" s="30" t="str">
        <f t="shared" si="2597"/>
        <v/>
      </c>
      <c r="EW204" s="30" t="str">
        <f t="shared" si="2598"/>
        <v/>
      </c>
      <c r="EX204" s="30" t="str">
        <f t="shared" si="2599"/>
        <v/>
      </c>
      <c r="EY204" s="30" t="str">
        <f t="shared" si="2600"/>
        <v/>
      </c>
      <c r="EZ204" s="30" t="str">
        <f t="shared" si="2601"/>
        <v/>
      </c>
      <c r="FA204" s="30" t="str">
        <f t="shared" si="2602"/>
        <v/>
      </c>
      <c r="FB204" s="30" t="str">
        <f t="shared" si="2603"/>
        <v/>
      </c>
      <c r="FC204" s="30" t="str">
        <f t="shared" si="2604"/>
        <v/>
      </c>
      <c r="FD204" s="30" t="str">
        <f t="shared" si="2605"/>
        <v/>
      </c>
      <c r="FE204" s="30" t="str">
        <f t="shared" si="2606"/>
        <v/>
      </c>
      <c r="FF204" s="30" t="str">
        <f t="shared" si="2607"/>
        <v/>
      </c>
      <c r="FG204" s="30" t="str">
        <f t="shared" si="2608"/>
        <v/>
      </c>
      <c r="FH204" s="30" t="str">
        <f t="shared" si="2609"/>
        <v/>
      </c>
      <c r="FI204" s="30" t="str">
        <f t="shared" si="2610"/>
        <v/>
      </c>
      <c r="FJ204" s="30" t="str">
        <f t="shared" si="2611"/>
        <v/>
      </c>
      <c r="FK204" s="30" t="str">
        <f t="shared" si="2612"/>
        <v/>
      </c>
      <c r="FL204" s="30" t="str">
        <f t="shared" si="2613"/>
        <v/>
      </c>
      <c r="FM204" s="30" t="str">
        <f t="shared" si="2614"/>
        <v/>
      </c>
      <c r="FN204" s="30" t="str">
        <f t="shared" si="2615"/>
        <v/>
      </c>
      <c r="FO204" s="30" t="str">
        <f t="shared" si="2616"/>
        <v/>
      </c>
      <c r="FP204" s="30" t="str">
        <f t="shared" si="2617"/>
        <v/>
      </c>
      <c r="FQ204" s="30" t="str">
        <f t="shared" si="2618"/>
        <v/>
      </c>
      <c r="FR204" s="30" t="str">
        <f t="shared" si="2619"/>
        <v/>
      </c>
      <c r="FS204" s="30" t="str">
        <f t="shared" si="2620"/>
        <v/>
      </c>
    </row>
    <row r="205" spans="1:175">
      <c r="CN205" s="7" t="str">
        <f t="shared" si="2545"/>
        <v>InitUnitState('',,,,,,,,,,)</v>
      </c>
      <c r="CO205" s="7" t="str">
        <f t="shared" si="2546"/>
        <v>InitUnitNormal('',,,,,,,,,,)</v>
      </c>
      <c r="CP205" s="7" t="str">
        <f t="shared" si="2547"/>
        <v>InitUnitMagic('',,,,,,,,,,)</v>
      </c>
      <c r="CQ205" s="7" t="str">
        <f t="shared" si="2548"/>
        <v>InitUnitAdd('',,,,,,,,,,)</v>
      </c>
      <c r="CR205" s="7" t="str">
        <f t="shared" si="2549"/>
        <v>InitEquipData('',,"",,,,,'','','','','','',"")</v>
      </c>
      <c r="CU205" s="29" t="str">
        <f t="shared" si="2550"/>
        <v>|n</v>
      </c>
      <c r="CW205" s="24"/>
      <c r="CX205" s="24"/>
      <c r="CY205" s="24"/>
      <c r="CZ205" s="24"/>
      <c r="DA205" s="24"/>
      <c r="DB205" s="30" t="str">
        <f t="shared" si="2551"/>
        <v/>
      </c>
      <c r="DC205" s="30" t="str">
        <f t="shared" si="2552"/>
        <v/>
      </c>
      <c r="DD205" s="30" t="str">
        <f t="shared" si="2553"/>
        <v/>
      </c>
      <c r="DE205" s="30" t="str">
        <f t="shared" si="2554"/>
        <v/>
      </c>
      <c r="DF205" s="30" t="str">
        <f t="shared" si="2555"/>
        <v/>
      </c>
      <c r="DG205" s="30" t="str">
        <f t="shared" si="2556"/>
        <v/>
      </c>
      <c r="DH205" s="30" t="str">
        <f t="shared" si="2557"/>
        <v/>
      </c>
      <c r="DI205" s="30" t="str">
        <f t="shared" si="2558"/>
        <v/>
      </c>
      <c r="DJ205" s="30" t="str">
        <f t="shared" si="2559"/>
        <v/>
      </c>
      <c r="DK205" s="30" t="str">
        <f t="shared" si="2560"/>
        <v/>
      </c>
      <c r="DL205" s="30" t="str">
        <f t="shared" si="2561"/>
        <v/>
      </c>
      <c r="DM205" s="30" t="str">
        <f t="shared" si="2562"/>
        <v/>
      </c>
      <c r="DN205" s="30" t="str">
        <f t="shared" si="2563"/>
        <v/>
      </c>
      <c r="DO205" s="30" t="str">
        <f t="shared" si="2564"/>
        <v/>
      </c>
      <c r="DP205" s="30" t="str">
        <f t="shared" si="2565"/>
        <v/>
      </c>
      <c r="DQ205" s="30" t="str">
        <f t="shared" si="2566"/>
        <v/>
      </c>
      <c r="DR205" s="30" t="str">
        <f t="shared" si="2567"/>
        <v/>
      </c>
      <c r="DS205" s="30" t="str">
        <f t="shared" si="2568"/>
        <v/>
      </c>
      <c r="DT205" s="30" t="str">
        <f t="shared" si="2569"/>
        <v/>
      </c>
      <c r="DU205" s="30" t="str">
        <f t="shared" si="2570"/>
        <v/>
      </c>
      <c r="DV205" s="30" t="str">
        <f t="shared" si="2571"/>
        <v/>
      </c>
      <c r="DW205" s="30" t="str">
        <f t="shared" si="2572"/>
        <v/>
      </c>
      <c r="DX205" s="30" t="str">
        <f t="shared" si="2573"/>
        <v/>
      </c>
      <c r="DY205" s="30" t="str">
        <f t="shared" si="2574"/>
        <v/>
      </c>
      <c r="DZ205" s="30" t="str">
        <f t="shared" si="2575"/>
        <v/>
      </c>
      <c r="EA205" s="30" t="str">
        <f t="shared" si="2576"/>
        <v/>
      </c>
      <c r="EB205" s="30" t="str">
        <f t="shared" si="2577"/>
        <v/>
      </c>
      <c r="EC205" s="30" t="str">
        <f t="shared" si="2578"/>
        <v/>
      </c>
      <c r="ED205" s="30" t="str">
        <f t="shared" si="2579"/>
        <v/>
      </c>
      <c r="EE205" s="30" t="str">
        <f t="shared" si="2580"/>
        <v/>
      </c>
      <c r="EF205" s="30" t="str">
        <f t="shared" si="2581"/>
        <v/>
      </c>
      <c r="EG205" s="30" t="str">
        <f t="shared" si="2582"/>
        <v/>
      </c>
      <c r="EH205" s="30" t="str">
        <f t="shared" si="2583"/>
        <v/>
      </c>
      <c r="EI205" s="30" t="str">
        <f t="shared" si="2584"/>
        <v/>
      </c>
      <c r="EJ205" s="30" t="str">
        <f t="shared" si="2585"/>
        <v/>
      </c>
      <c r="EK205" s="30" t="str">
        <f t="shared" si="2586"/>
        <v/>
      </c>
      <c r="EL205" s="30" t="str">
        <f t="shared" si="2587"/>
        <v/>
      </c>
      <c r="EM205" s="30" t="str">
        <f t="shared" si="2588"/>
        <v/>
      </c>
      <c r="EN205" s="30" t="str">
        <f t="shared" si="2589"/>
        <v/>
      </c>
      <c r="EO205" s="30" t="str">
        <f t="shared" si="2590"/>
        <v/>
      </c>
      <c r="EP205" s="30" t="str">
        <f t="shared" si="2591"/>
        <v/>
      </c>
      <c r="EQ205" s="30" t="str">
        <f t="shared" si="2592"/>
        <v/>
      </c>
      <c r="ER205" s="30" t="str">
        <f t="shared" si="2593"/>
        <v/>
      </c>
      <c r="ES205" s="30" t="str">
        <f t="shared" si="2594"/>
        <v/>
      </c>
      <c r="ET205" s="30" t="str">
        <f t="shared" si="2595"/>
        <v/>
      </c>
      <c r="EU205" s="30" t="str">
        <f t="shared" si="2596"/>
        <v/>
      </c>
      <c r="EV205" s="30" t="str">
        <f t="shared" si="2597"/>
        <v/>
      </c>
      <c r="EW205" s="30" t="str">
        <f t="shared" si="2598"/>
        <v/>
      </c>
      <c r="EX205" s="30" t="str">
        <f t="shared" si="2599"/>
        <v/>
      </c>
      <c r="EY205" s="30" t="str">
        <f t="shared" si="2600"/>
        <v/>
      </c>
      <c r="EZ205" s="30" t="str">
        <f t="shared" si="2601"/>
        <v/>
      </c>
      <c r="FA205" s="30" t="str">
        <f t="shared" si="2602"/>
        <v/>
      </c>
      <c r="FB205" s="30" t="str">
        <f t="shared" si="2603"/>
        <v/>
      </c>
      <c r="FC205" s="30" t="str">
        <f t="shared" si="2604"/>
        <v/>
      </c>
      <c r="FD205" s="30" t="str">
        <f t="shared" si="2605"/>
        <v/>
      </c>
      <c r="FE205" s="30" t="str">
        <f t="shared" si="2606"/>
        <v/>
      </c>
      <c r="FF205" s="30" t="str">
        <f t="shared" si="2607"/>
        <v/>
      </c>
      <c r="FG205" s="30" t="str">
        <f t="shared" si="2608"/>
        <v/>
      </c>
      <c r="FH205" s="30" t="str">
        <f t="shared" si="2609"/>
        <v/>
      </c>
      <c r="FI205" s="30" t="str">
        <f t="shared" si="2610"/>
        <v/>
      </c>
      <c r="FJ205" s="30" t="str">
        <f t="shared" si="2611"/>
        <v/>
      </c>
      <c r="FK205" s="30" t="str">
        <f t="shared" si="2612"/>
        <v/>
      </c>
      <c r="FL205" s="30" t="str">
        <f t="shared" si="2613"/>
        <v/>
      </c>
      <c r="FM205" s="30" t="str">
        <f t="shared" si="2614"/>
        <v/>
      </c>
      <c r="FN205" s="30" t="str">
        <f t="shared" si="2615"/>
        <v/>
      </c>
      <c r="FO205" s="30" t="str">
        <f t="shared" si="2616"/>
        <v/>
      </c>
      <c r="FP205" s="30" t="str">
        <f t="shared" si="2617"/>
        <v/>
      </c>
      <c r="FQ205" s="30" t="str">
        <f t="shared" si="2618"/>
        <v/>
      </c>
      <c r="FR205" s="30" t="str">
        <f t="shared" si="2619"/>
        <v/>
      </c>
      <c r="FS205" s="30" t="str">
        <f t="shared" si="2620"/>
        <v/>
      </c>
    </row>
    <row r="206" spans="1:175">
      <c r="CN206" s="7" t="str">
        <f t="shared" si="2545"/>
        <v>InitUnitState('',,,,,,,,,,)</v>
      </c>
      <c r="CO206" s="7" t="str">
        <f t="shared" si="2546"/>
        <v>InitUnitNormal('',,,,,,,,,,)</v>
      </c>
      <c r="CP206" s="7" t="str">
        <f t="shared" si="2547"/>
        <v>InitUnitMagic('',,,,,,,,,,)</v>
      </c>
      <c r="CQ206" s="7" t="str">
        <f t="shared" si="2548"/>
        <v>InitUnitAdd('',,,,,,,,,,)</v>
      </c>
      <c r="CR206" s="7" t="str">
        <f t="shared" si="2549"/>
        <v>InitEquipData('',,"",,,,,'','','','','','',"")</v>
      </c>
      <c r="CU206" s="29" t="str">
        <f t="shared" si="2550"/>
        <v>|n</v>
      </c>
      <c r="CW206" s="24"/>
      <c r="CX206" s="24"/>
      <c r="CY206" s="24"/>
      <c r="CZ206" s="24"/>
      <c r="DA206" s="24"/>
      <c r="DB206" s="30" t="str">
        <f t="shared" si="2551"/>
        <v/>
      </c>
      <c r="DC206" s="30" t="str">
        <f t="shared" si="2552"/>
        <v/>
      </c>
      <c r="DD206" s="30" t="str">
        <f t="shared" si="2553"/>
        <v/>
      </c>
      <c r="DE206" s="30" t="str">
        <f t="shared" si="2554"/>
        <v/>
      </c>
      <c r="DF206" s="30" t="str">
        <f t="shared" si="2555"/>
        <v/>
      </c>
      <c r="DG206" s="30" t="str">
        <f t="shared" si="2556"/>
        <v/>
      </c>
      <c r="DH206" s="30" t="str">
        <f t="shared" si="2557"/>
        <v/>
      </c>
      <c r="DI206" s="30" t="str">
        <f t="shared" si="2558"/>
        <v/>
      </c>
      <c r="DJ206" s="30" t="str">
        <f t="shared" si="2559"/>
        <v/>
      </c>
      <c r="DK206" s="30" t="str">
        <f t="shared" si="2560"/>
        <v/>
      </c>
      <c r="DL206" s="30" t="str">
        <f t="shared" si="2561"/>
        <v/>
      </c>
      <c r="DM206" s="30" t="str">
        <f t="shared" si="2562"/>
        <v/>
      </c>
      <c r="DN206" s="30" t="str">
        <f t="shared" si="2563"/>
        <v/>
      </c>
      <c r="DO206" s="30" t="str">
        <f t="shared" si="2564"/>
        <v/>
      </c>
      <c r="DP206" s="30" t="str">
        <f t="shared" si="2565"/>
        <v/>
      </c>
      <c r="DQ206" s="30" t="str">
        <f t="shared" si="2566"/>
        <v/>
      </c>
      <c r="DR206" s="30" t="str">
        <f t="shared" si="2567"/>
        <v/>
      </c>
      <c r="DS206" s="30" t="str">
        <f t="shared" si="2568"/>
        <v/>
      </c>
      <c r="DT206" s="30" t="str">
        <f t="shared" si="2569"/>
        <v/>
      </c>
      <c r="DU206" s="30" t="str">
        <f t="shared" si="2570"/>
        <v/>
      </c>
      <c r="DV206" s="30" t="str">
        <f t="shared" si="2571"/>
        <v/>
      </c>
      <c r="DW206" s="30" t="str">
        <f t="shared" si="2572"/>
        <v/>
      </c>
      <c r="DX206" s="30" t="str">
        <f t="shared" si="2573"/>
        <v/>
      </c>
      <c r="DY206" s="30" t="str">
        <f t="shared" si="2574"/>
        <v/>
      </c>
      <c r="DZ206" s="30" t="str">
        <f t="shared" si="2575"/>
        <v/>
      </c>
      <c r="EA206" s="30" t="str">
        <f t="shared" si="2576"/>
        <v/>
      </c>
      <c r="EB206" s="30" t="str">
        <f t="shared" si="2577"/>
        <v/>
      </c>
      <c r="EC206" s="30" t="str">
        <f t="shared" si="2578"/>
        <v/>
      </c>
      <c r="ED206" s="30" t="str">
        <f t="shared" si="2579"/>
        <v/>
      </c>
      <c r="EE206" s="30" t="str">
        <f t="shared" si="2580"/>
        <v/>
      </c>
      <c r="EF206" s="30" t="str">
        <f t="shared" si="2581"/>
        <v/>
      </c>
      <c r="EG206" s="30" t="str">
        <f t="shared" si="2582"/>
        <v/>
      </c>
      <c r="EH206" s="30" t="str">
        <f t="shared" si="2583"/>
        <v/>
      </c>
      <c r="EI206" s="30" t="str">
        <f t="shared" si="2584"/>
        <v/>
      </c>
      <c r="EJ206" s="30" t="str">
        <f t="shared" si="2585"/>
        <v/>
      </c>
      <c r="EK206" s="30" t="str">
        <f t="shared" si="2586"/>
        <v/>
      </c>
      <c r="EL206" s="30" t="str">
        <f t="shared" si="2587"/>
        <v/>
      </c>
      <c r="EM206" s="30" t="str">
        <f t="shared" si="2588"/>
        <v/>
      </c>
      <c r="EN206" s="30" t="str">
        <f t="shared" si="2589"/>
        <v/>
      </c>
      <c r="EO206" s="30" t="str">
        <f t="shared" si="2590"/>
        <v/>
      </c>
      <c r="EP206" s="30" t="str">
        <f t="shared" si="2591"/>
        <v/>
      </c>
      <c r="EQ206" s="30" t="str">
        <f t="shared" si="2592"/>
        <v/>
      </c>
      <c r="ER206" s="30" t="str">
        <f t="shared" si="2593"/>
        <v/>
      </c>
      <c r="ES206" s="30" t="str">
        <f t="shared" si="2594"/>
        <v/>
      </c>
      <c r="ET206" s="30" t="str">
        <f t="shared" si="2595"/>
        <v/>
      </c>
      <c r="EU206" s="30" t="str">
        <f t="shared" si="2596"/>
        <v/>
      </c>
      <c r="EV206" s="30" t="str">
        <f t="shared" si="2597"/>
        <v/>
      </c>
      <c r="EW206" s="30" t="str">
        <f t="shared" si="2598"/>
        <v/>
      </c>
      <c r="EX206" s="30" t="str">
        <f t="shared" si="2599"/>
        <v/>
      </c>
      <c r="EY206" s="30" t="str">
        <f t="shared" si="2600"/>
        <v/>
      </c>
      <c r="EZ206" s="30" t="str">
        <f t="shared" si="2601"/>
        <v/>
      </c>
      <c r="FA206" s="30" t="str">
        <f t="shared" si="2602"/>
        <v/>
      </c>
      <c r="FB206" s="30" t="str">
        <f t="shared" si="2603"/>
        <v/>
      </c>
      <c r="FC206" s="30" t="str">
        <f t="shared" si="2604"/>
        <v/>
      </c>
      <c r="FD206" s="30" t="str">
        <f t="shared" si="2605"/>
        <v/>
      </c>
      <c r="FE206" s="30" t="str">
        <f t="shared" si="2606"/>
        <v/>
      </c>
      <c r="FF206" s="30" t="str">
        <f t="shared" si="2607"/>
        <v/>
      </c>
      <c r="FG206" s="30" t="str">
        <f t="shared" si="2608"/>
        <v/>
      </c>
      <c r="FH206" s="30" t="str">
        <f t="shared" si="2609"/>
        <v/>
      </c>
      <c r="FI206" s="30" t="str">
        <f t="shared" si="2610"/>
        <v/>
      </c>
      <c r="FJ206" s="30" t="str">
        <f t="shared" si="2611"/>
        <v/>
      </c>
      <c r="FK206" s="30" t="str">
        <f t="shared" si="2612"/>
        <v/>
      </c>
      <c r="FL206" s="30" t="str">
        <f t="shared" si="2613"/>
        <v/>
      </c>
      <c r="FM206" s="30" t="str">
        <f t="shared" si="2614"/>
        <v/>
      </c>
      <c r="FN206" s="30" t="str">
        <f t="shared" si="2615"/>
        <v/>
      </c>
      <c r="FO206" s="30" t="str">
        <f t="shared" si="2616"/>
        <v/>
      </c>
      <c r="FP206" s="30" t="str">
        <f t="shared" si="2617"/>
        <v/>
      </c>
      <c r="FQ206" s="30" t="str">
        <f t="shared" si="2618"/>
        <v/>
      </c>
      <c r="FR206" s="30" t="str">
        <f t="shared" si="2619"/>
        <v/>
      </c>
      <c r="FS206" s="30" t="str">
        <f t="shared" si="2620"/>
        <v/>
      </c>
    </row>
    <row r="207" spans="1:175">
      <c r="CN207" s="7" t="str">
        <f t="shared" si="2545"/>
        <v>InitUnitState('',,,,,,,,,,)</v>
      </c>
      <c r="CO207" s="7" t="str">
        <f t="shared" si="2546"/>
        <v>InitUnitNormal('',,,,,,,,,,)</v>
      </c>
      <c r="CP207" s="7" t="str">
        <f t="shared" si="2547"/>
        <v>InitUnitMagic('',,,,,,,,,,)</v>
      </c>
      <c r="CQ207" s="7" t="str">
        <f t="shared" si="2548"/>
        <v>InitUnitAdd('',,,,,,,,,,)</v>
      </c>
      <c r="CR207" s="7" t="str">
        <f t="shared" si="2549"/>
        <v>InitEquipData('',,"",,,,,'','','','','','',"")</v>
      </c>
      <c r="CU207" s="29" t="str">
        <f t="shared" si="2550"/>
        <v>|n</v>
      </c>
      <c r="CW207" s="24"/>
      <c r="CX207" s="24"/>
      <c r="CY207" s="24"/>
      <c r="CZ207" s="24"/>
      <c r="DA207" s="24"/>
      <c r="DB207" s="30" t="str">
        <f t="shared" si="2551"/>
        <v/>
      </c>
      <c r="DC207" s="30" t="str">
        <f t="shared" si="2552"/>
        <v/>
      </c>
      <c r="DD207" s="30" t="str">
        <f t="shared" si="2553"/>
        <v/>
      </c>
      <c r="DE207" s="30" t="str">
        <f t="shared" si="2554"/>
        <v/>
      </c>
      <c r="DF207" s="30" t="str">
        <f t="shared" si="2555"/>
        <v/>
      </c>
      <c r="DG207" s="30" t="str">
        <f t="shared" si="2556"/>
        <v/>
      </c>
      <c r="DH207" s="30" t="str">
        <f t="shared" si="2557"/>
        <v/>
      </c>
      <c r="DI207" s="30" t="str">
        <f t="shared" si="2558"/>
        <v/>
      </c>
      <c r="DJ207" s="30" t="str">
        <f t="shared" si="2559"/>
        <v/>
      </c>
      <c r="DK207" s="30" t="str">
        <f t="shared" si="2560"/>
        <v/>
      </c>
      <c r="DL207" s="30" t="str">
        <f t="shared" si="2561"/>
        <v/>
      </c>
      <c r="DM207" s="30" t="str">
        <f t="shared" si="2562"/>
        <v/>
      </c>
      <c r="DN207" s="30" t="str">
        <f t="shared" si="2563"/>
        <v/>
      </c>
      <c r="DO207" s="30" t="str">
        <f t="shared" si="2564"/>
        <v/>
      </c>
      <c r="DP207" s="30" t="str">
        <f t="shared" si="2565"/>
        <v/>
      </c>
      <c r="DQ207" s="30" t="str">
        <f t="shared" si="2566"/>
        <v/>
      </c>
      <c r="DR207" s="30" t="str">
        <f t="shared" si="2567"/>
        <v/>
      </c>
      <c r="DS207" s="30" t="str">
        <f t="shared" si="2568"/>
        <v/>
      </c>
      <c r="DT207" s="30" t="str">
        <f t="shared" si="2569"/>
        <v/>
      </c>
      <c r="DU207" s="30" t="str">
        <f t="shared" si="2570"/>
        <v/>
      </c>
      <c r="DV207" s="30" t="str">
        <f t="shared" si="2571"/>
        <v/>
      </c>
      <c r="DW207" s="30" t="str">
        <f t="shared" si="2572"/>
        <v/>
      </c>
      <c r="DX207" s="30" t="str">
        <f t="shared" si="2573"/>
        <v/>
      </c>
      <c r="DY207" s="30" t="str">
        <f t="shared" si="2574"/>
        <v/>
      </c>
      <c r="DZ207" s="30" t="str">
        <f t="shared" si="2575"/>
        <v/>
      </c>
      <c r="EA207" s="30" t="str">
        <f t="shared" si="2576"/>
        <v/>
      </c>
      <c r="EB207" s="30" t="str">
        <f t="shared" si="2577"/>
        <v/>
      </c>
      <c r="EC207" s="30" t="str">
        <f t="shared" si="2578"/>
        <v/>
      </c>
      <c r="ED207" s="30" t="str">
        <f t="shared" si="2579"/>
        <v/>
      </c>
      <c r="EE207" s="30" t="str">
        <f t="shared" si="2580"/>
        <v/>
      </c>
      <c r="EF207" s="30" t="str">
        <f t="shared" si="2581"/>
        <v/>
      </c>
      <c r="EG207" s="30" t="str">
        <f t="shared" si="2582"/>
        <v/>
      </c>
      <c r="EH207" s="30" t="str">
        <f t="shared" si="2583"/>
        <v/>
      </c>
      <c r="EI207" s="30" t="str">
        <f t="shared" si="2584"/>
        <v/>
      </c>
      <c r="EJ207" s="30" t="str">
        <f t="shared" si="2585"/>
        <v/>
      </c>
      <c r="EK207" s="30" t="str">
        <f t="shared" si="2586"/>
        <v/>
      </c>
      <c r="EL207" s="30" t="str">
        <f t="shared" si="2587"/>
        <v/>
      </c>
      <c r="EM207" s="30" t="str">
        <f t="shared" si="2588"/>
        <v/>
      </c>
      <c r="EN207" s="30" t="str">
        <f t="shared" si="2589"/>
        <v/>
      </c>
      <c r="EO207" s="30" t="str">
        <f t="shared" si="2590"/>
        <v/>
      </c>
      <c r="EP207" s="30" t="str">
        <f t="shared" si="2591"/>
        <v/>
      </c>
      <c r="EQ207" s="30" t="str">
        <f t="shared" si="2592"/>
        <v/>
      </c>
      <c r="ER207" s="30" t="str">
        <f t="shared" si="2593"/>
        <v/>
      </c>
      <c r="ES207" s="30" t="str">
        <f t="shared" si="2594"/>
        <v/>
      </c>
      <c r="ET207" s="30" t="str">
        <f t="shared" si="2595"/>
        <v/>
      </c>
      <c r="EU207" s="30" t="str">
        <f t="shared" si="2596"/>
        <v/>
      </c>
      <c r="EV207" s="30" t="str">
        <f t="shared" si="2597"/>
        <v/>
      </c>
      <c r="EW207" s="30" t="str">
        <f t="shared" si="2598"/>
        <v/>
      </c>
      <c r="EX207" s="30" t="str">
        <f t="shared" si="2599"/>
        <v/>
      </c>
      <c r="EY207" s="30" t="str">
        <f t="shared" si="2600"/>
        <v/>
      </c>
      <c r="EZ207" s="30" t="str">
        <f t="shared" si="2601"/>
        <v/>
      </c>
      <c r="FA207" s="30" t="str">
        <f t="shared" si="2602"/>
        <v/>
      </c>
      <c r="FB207" s="30" t="str">
        <f t="shared" si="2603"/>
        <v/>
      </c>
      <c r="FC207" s="30" t="str">
        <f t="shared" si="2604"/>
        <v/>
      </c>
      <c r="FD207" s="30" t="str">
        <f t="shared" si="2605"/>
        <v/>
      </c>
      <c r="FE207" s="30" t="str">
        <f t="shared" si="2606"/>
        <v/>
      </c>
      <c r="FF207" s="30" t="str">
        <f t="shared" si="2607"/>
        <v/>
      </c>
      <c r="FG207" s="30" t="str">
        <f t="shared" si="2608"/>
        <v/>
      </c>
      <c r="FH207" s="30" t="str">
        <f t="shared" si="2609"/>
        <v/>
      </c>
      <c r="FI207" s="30" t="str">
        <f t="shared" si="2610"/>
        <v/>
      </c>
      <c r="FJ207" s="30" t="str">
        <f t="shared" si="2611"/>
        <v/>
      </c>
      <c r="FK207" s="30" t="str">
        <f t="shared" si="2612"/>
        <v/>
      </c>
      <c r="FL207" s="30" t="str">
        <f t="shared" si="2613"/>
        <v/>
      </c>
      <c r="FM207" s="30" t="str">
        <f t="shared" si="2614"/>
        <v/>
      </c>
      <c r="FN207" s="30" t="str">
        <f t="shared" si="2615"/>
        <v/>
      </c>
      <c r="FO207" s="30" t="str">
        <f t="shared" si="2616"/>
        <v/>
      </c>
      <c r="FP207" s="30" t="str">
        <f t="shared" si="2617"/>
        <v/>
      </c>
      <c r="FQ207" s="30" t="str">
        <f t="shared" si="2618"/>
        <v/>
      </c>
      <c r="FR207" s="30" t="str">
        <f t="shared" si="2619"/>
        <v/>
      </c>
      <c r="FS207" s="30" t="str">
        <f t="shared" si="2620"/>
        <v/>
      </c>
    </row>
    <row r="208" spans="1:175">
      <c r="CN208" s="7" t="str">
        <f t="shared" si="2545"/>
        <v>InitUnitState('',,,,,,,,,,)</v>
      </c>
      <c r="CO208" s="7" t="str">
        <f t="shared" si="2546"/>
        <v>InitUnitNormal('',,,,,,,,,,)</v>
      </c>
      <c r="CP208" s="7" t="str">
        <f t="shared" si="2547"/>
        <v>InitUnitMagic('',,,,,,,,,,)</v>
      </c>
      <c r="CQ208" s="7" t="str">
        <f t="shared" si="2548"/>
        <v>InitUnitAdd('',,,,,,,,,,)</v>
      </c>
      <c r="CR208" s="7" t="str">
        <f t="shared" si="2549"/>
        <v>InitEquipData('',,"",,,,,'','','','','','',"")</v>
      </c>
      <c r="CU208" s="29" t="str">
        <f t="shared" si="2550"/>
        <v>|n</v>
      </c>
      <c r="CW208" s="24"/>
      <c r="CX208" s="24"/>
      <c r="CY208" s="24"/>
      <c r="CZ208" s="24"/>
      <c r="DA208" s="24"/>
      <c r="DB208" s="30" t="str">
        <f t="shared" si="2551"/>
        <v/>
      </c>
      <c r="DC208" s="30" t="str">
        <f t="shared" si="2552"/>
        <v/>
      </c>
      <c r="DD208" s="30" t="str">
        <f t="shared" si="2553"/>
        <v/>
      </c>
      <c r="DE208" s="30" t="str">
        <f t="shared" si="2554"/>
        <v/>
      </c>
      <c r="DF208" s="30" t="str">
        <f t="shared" si="2555"/>
        <v/>
      </c>
      <c r="DG208" s="30" t="str">
        <f t="shared" si="2556"/>
        <v/>
      </c>
      <c r="DH208" s="30" t="str">
        <f t="shared" si="2557"/>
        <v/>
      </c>
      <c r="DI208" s="30" t="str">
        <f t="shared" si="2558"/>
        <v/>
      </c>
      <c r="DJ208" s="30" t="str">
        <f t="shared" si="2559"/>
        <v/>
      </c>
      <c r="DK208" s="30" t="str">
        <f t="shared" si="2560"/>
        <v/>
      </c>
      <c r="DL208" s="30" t="str">
        <f t="shared" si="2561"/>
        <v/>
      </c>
      <c r="DM208" s="30" t="str">
        <f t="shared" si="2562"/>
        <v/>
      </c>
      <c r="DN208" s="30" t="str">
        <f t="shared" si="2563"/>
        <v/>
      </c>
      <c r="DO208" s="30" t="str">
        <f t="shared" si="2564"/>
        <v/>
      </c>
      <c r="DP208" s="30" t="str">
        <f t="shared" si="2565"/>
        <v/>
      </c>
      <c r="DQ208" s="30" t="str">
        <f t="shared" si="2566"/>
        <v/>
      </c>
      <c r="DR208" s="30" t="str">
        <f t="shared" si="2567"/>
        <v/>
      </c>
      <c r="DS208" s="30" t="str">
        <f t="shared" si="2568"/>
        <v/>
      </c>
      <c r="DT208" s="30" t="str">
        <f t="shared" si="2569"/>
        <v/>
      </c>
      <c r="DU208" s="30" t="str">
        <f t="shared" si="2570"/>
        <v/>
      </c>
      <c r="DV208" s="30" t="str">
        <f t="shared" si="2571"/>
        <v/>
      </c>
      <c r="DW208" s="30" t="str">
        <f t="shared" si="2572"/>
        <v/>
      </c>
      <c r="DX208" s="30" t="str">
        <f t="shared" si="2573"/>
        <v/>
      </c>
      <c r="DY208" s="30" t="str">
        <f t="shared" si="2574"/>
        <v/>
      </c>
      <c r="DZ208" s="30" t="str">
        <f t="shared" si="2575"/>
        <v/>
      </c>
      <c r="EA208" s="30" t="str">
        <f t="shared" si="2576"/>
        <v/>
      </c>
      <c r="EB208" s="30" t="str">
        <f t="shared" si="2577"/>
        <v/>
      </c>
      <c r="EC208" s="30" t="str">
        <f t="shared" si="2578"/>
        <v/>
      </c>
      <c r="ED208" s="30" t="str">
        <f t="shared" si="2579"/>
        <v/>
      </c>
      <c r="EE208" s="30" t="str">
        <f t="shared" si="2580"/>
        <v/>
      </c>
      <c r="EF208" s="30" t="str">
        <f t="shared" si="2581"/>
        <v/>
      </c>
      <c r="EG208" s="30" t="str">
        <f t="shared" si="2582"/>
        <v/>
      </c>
      <c r="EH208" s="30" t="str">
        <f t="shared" si="2583"/>
        <v/>
      </c>
      <c r="EI208" s="30" t="str">
        <f t="shared" si="2584"/>
        <v/>
      </c>
      <c r="EJ208" s="30" t="str">
        <f t="shared" si="2585"/>
        <v/>
      </c>
      <c r="EK208" s="30" t="str">
        <f t="shared" si="2586"/>
        <v/>
      </c>
      <c r="EL208" s="30" t="str">
        <f t="shared" si="2587"/>
        <v/>
      </c>
      <c r="EM208" s="30" t="str">
        <f t="shared" si="2588"/>
        <v/>
      </c>
      <c r="EN208" s="30" t="str">
        <f t="shared" si="2589"/>
        <v/>
      </c>
      <c r="EO208" s="30" t="str">
        <f t="shared" si="2590"/>
        <v/>
      </c>
      <c r="EP208" s="30" t="str">
        <f t="shared" si="2591"/>
        <v/>
      </c>
      <c r="EQ208" s="30" t="str">
        <f t="shared" si="2592"/>
        <v/>
      </c>
      <c r="ER208" s="30" t="str">
        <f t="shared" si="2593"/>
        <v/>
      </c>
      <c r="ES208" s="30" t="str">
        <f t="shared" si="2594"/>
        <v/>
      </c>
      <c r="ET208" s="30" t="str">
        <f t="shared" si="2595"/>
        <v/>
      </c>
      <c r="EU208" s="30" t="str">
        <f t="shared" si="2596"/>
        <v/>
      </c>
      <c r="EV208" s="30" t="str">
        <f t="shared" si="2597"/>
        <v/>
      </c>
      <c r="EW208" s="30" t="str">
        <f t="shared" si="2598"/>
        <v/>
      </c>
      <c r="EX208" s="30" t="str">
        <f t="shared" si="2599"/>
        <v/>
      </c>
      <c r="EY208" s="30" t="str">
        <f t="shared" si="2600"/>
        <v/>
      </c>
      <c r="EZ208" s="30" t="str">
        <f t="shared" si="2601"/>
        <v/>
      </c>
      <c r="FA208" s="30" t="str">
        <f t="shared" si="2602"/>
        <v/>
      </c>
      <c r="FB208" s="30" t="str">
        <f t="shared" si="2603"/>
        <v/>
      </c>
      <c r="FC208" s="30" t="str">
        <f t="shared" si="2604"/>
        <v/>
      </c>
      <c r="FD208" s="30" t="str">
        <f t="shared" si="2605"/>
        <v/>
      </c>
      <c r="FE208" s="30" t="str">
        <f t="shared" si="2606"/>
        <v/>
      </c>
      <c r="FF208" s="30" t="str">
        <f t="shared" si="2607"/>
        <v/>
      </c>
      <c r="FG208" s="30" t="str">
        <f t="shared" si="2608"/>
        <v/>
      </c>
      <c r="FH208" s="30" t="str">
        <f t="shared" si="2609"/>
        <v/>
      </c>
      <c r="FI208" s="30" t="str">
        <f t="shared" si="2610"/>
        <v/>
      </c>
      <c r="FJ208" s="30" t="str">
        <f t="shared" si="2611"/>
        <v/>
      </c>
      <c r="FK208" s="30" t="str">
        <f t="shared" si="2612"/>
        <v/>
      </c>
      <c r="FL208" s="30" t="str">
        <f t="shared" si="2613"/>
        <v/>
      </c>
      <c r="FM208" s="30" t="str">
        <f t="shared" si="2614"/>
        <v/>
      </c>
      <c r="FN208" s="30" t="str">
        <f t="shared" si="2615"/>
        <v/>
      </c>
      <c r="FO208" s="30" t="str">
        <f t="shared" si="2616"/>
        <v/>
      </c>
      <c r="FP208" s="30" t="str">
        <f t="shared" si="2617"/>
        <v/>
      </c>
      <c r="FQ208" s="30" t="str">
        <f t="shared" si="2618"/>
        <v/>
      </c>
      <c r="FR208" s="30" t="str">
        <f t="shared" si="2619"/>
        <v/>
      </c>
      <c r="FS208" s="30" t="str">
        <f t="shared" si="2620"/>
        <v/>
      </c>
    </row>
    <row r="209" spans="92:175">
      <c r="CN209" s="7" t="str">
        <f t="shared" si="2545"/>
        <v>InitUnitState('',,,,,,,,,,)</v>
      </c>
      <c r="CO209" s="7" t="str">
        <f t="shared" si="2546"/>
        <v>InitUnitNormal('',,,,,,,,,,)</v>
      </c>
      <c r="CP209" s="7" t="str">
        <f t="shared" si="2547"/>
        <v>InitUnitMagic('',,,,,,,,,,)</v>
      </c>
      <c r="CQ209" s="7" t="str">
        <f t="shared" si="2548"/>
        <v>InitUnitAdd('',,,,,,,,,,)</v>
      </c>
      <c r="CR209" s="7" t="str">
        <f t="shared" si="2549"/>
        <v>InitEquipData('',,"",,,,,'','','','','','',"")</v>
      </c>
      <c r="CU209" s="29" t="str">
        <f t="shared" si="2550"/>
        <v>|n</v>
      </c>
      <c r="CW209" s="24"/>
      <c r="CX209" s="24"/>
      <c r="CY209" s="24"/>
      <c r="CZ209" s="24"/>
      <c r="DA209" s="24"/>
      <c r="DB209" s="30" t="str">
        <f t="shared" si="2551"/>
        <v/>
      </c>
      <c r="DC209" s="30" t="str">
        <f t="shared" si="2552"/>
        <v/>
      </c>
      <c r="DD209" s="30" t="str">
        <f t="shared" si="2553"/>
        <v/>
      </c>
      <c r="DE209" s="30" t="str">
        <f t="shared" si="2554"/>
        <v/>
      </c>
      <c r="DF209" s="30" t="str">
        <f t="shared" si="2555"/>
        <v/>
      </c>
      <c r="DG209" s="30" t="str">
        <f t="shared" si="2556"/>
        <v/>
      </c>
      <c r="DH209" s="30" t="str">
        <f t="shared" si="2557"/>
        <v/>
      </c>
      <c r="DI209" s="30" t="str">
        <f t="shared" si="2558"/>
        <v/>
      </c>
      <c r="DJ209" s="30" t="str">
        <f t="shared" si="2559"/>
        <v/>
      </c>
      <c r="DK209" s="30" t="str">
        <f t="shared" si="2560"/>
        <v/>
      </c>
      <c r="DL209" s="30" t="str">
        <f t="shared" si="2561"/>
        <v/>
      </c>
      <c r="DM209" s="30" t="str">
        <f t="shared" si="2562"/>
        <v/>
      </c>
      <c r="DN209" s="30" t="str">
        <f t="shared" si="2563"/>
        <v/>
      </c>
      <c r="DO209" s="30" t="str">
        <f t="shared" si="2564"/>
        <v/>
      </c>
      <c r="DP209" s="30" t="str">
        <f t="shared" si="2565"/>
        <v/>
      </c>
      <c r="DQ209" s="30" t="str">
        <f t="shared" si="2566"/>
        <v/>
      </c>
      <c r="DR209" s="30" t="str">
        <f t="shared" si="2567"/>
        <v/>
      </c>
      <c r="DS209" s="30" t="str">
        <f t="shared" si="2568"/>
        <v/>
      </c>
      <c r="DT209" s="30" t="str">
        <f t="shared" si="2569"/>
        <v/>
      </c>
      <c r="DU209" s="30" t="str">
        <f t="shared" si="2570"/>
        <v/>
      </c>
      <c r="DV209" s="30" t="str">
        <f t="shared" si="2571"/>
        <v/>
      </c>
      <c r="DW209" s="30" t="str">
        <f t="shared" si="2572"/>
        <v/>
      </c>
      <c r="DX209" s="30" t="str">
        <f t="shared" si="2573"/>
        <v/>
      </c>
      <c r="DY209" s="30" t="str">
        <f t="shared" si="2574"/>
        <v/>
      </c>
      <c r="DZ209" s="30" t="str">
        <f t="shared" si="2575"/>
        <v/>
      </c>
      <c r="EA209" s="30" t="str">
        <f t="shared" si="2576"/>
        <v/>
      </c>
      <c r="EB209" s="30" t="str">
        <f t="shared" si="2577"/>
        <v/>
      </c>
      <c r="EC209" s="30" t="str">
        <f t="shared" si="2578"/>
        <v/>
      </c>
      <c r="ED209" s="30" t="str">
        <f t="shared" si="2579"/>
        <v/>
      </c>
      <c r="EE209" s="30" t="str">
        <f t="shared" si="2580"/>
        <v/>
      </c>
      <c r="EF209" s="30" t="str">
        <f t="shared" si="2581"/>
        <v/>
      </c>
      <c r="EG209" s="30" t="str">
        <f t="shared" si="2582"/>
        <v/>
      </c>
      <c r="EH209" s="30" t="str">
        <f t="shared" si="2583"/>
        <v/>
      </c>
      <c r="EI209" s="30" t="str">
        <f t="shared" si="2584"/>
        <v/>
      </c>
      <c r="EJ209" s="30" t="str">
        <f t="shared" si="2585"/>
        <v/>
      </c>
      <c r="EK209" s="30" t="str">
        <f t="shared" si="2586"/>
        <v/>
      </c>
      <c r="EL209" s="30" t="str">
        <f t="shared" si="2587"/>
        <v/>
      </c>
      <c r="EM209" s="30" t="str">
        <f t="shared" si="2588"/>
        <v/>
      </c>
      <c r="EN209" s="30" t="str">
        <f t="shared" si="2589"/>
        <v/>
      </c>
      <c r="EO209" s="30" t="str">
        <f t="shared" si="2590"/>
        <v/>
      </c>
      <c r="EP209" s="30" t="str">
        <f t="shared" si="2591"/>
        <v/>
      </c>
      <c r="EQ209" s="30" t="str">
        <f t="shared" si="2592"/>
        <v/>
      </c>
      <c r="ER209" s="30" t="str">
        <f t="shared" si="2593"/>
        <v/>
      </c>
      <c r="ES209" s="30" t="str">
        <f t="shared" si="2594"/>
        <v/>
      </c>
      <c r="ET209" s="30" t="str">
        <f t="shared" si="2595"/>
        <v/>
      </c>
      <c r="EU209" s="30" t="str">
        <f t="shared" si="2596"/>
        <v/>
      </c>
      <c r="EV209" s="30" t="str">
        <f t="shared" si="2597"/>
        <v/>
      </c>
      <c r="EW209" s="30" t="str">
        <f t="shared" si="2598"/>
        <v/>
      </c>
      <c r="EX209" s="30" t="str">
        <f t="shared" si="2599"/>
        <v/>
      </c>
      <c r="EY209" s="30" t="str">
        <f t="shared" si="2600"/>
        <v/>
      </c>
      <c r="EZ209" s="30" t="str">
        <f t="shared" si="2601"/>
        <v/>
      </c>
      <c r="FA209" s="30" t="str">
        <f t="shared" si="2602"/>
        <v/>
      </c>
      <c r="FB209" s="30" t="str">
        <f t="shared" si="2603"/>
        <v/>
      </c>
      <c r="FC209" s="30" t="str">
        <f t="shared" si="2604"/>
        <v/>
      </c>
      <c r="FD209" s="30" t="str">
        <f t="shared" si="2605"/>
        <v/>
      </c>
      <c r="FE209" s="30" t="str">
        <f t="shared" si="2606"/>
        <v/>
      </c>
      <c r="FF209" s="30" t="str">
        <f t="shared" si="2607"/>
        <v/>
      </c>
      <c r="FG209" s="30" t="str">
        <f t="shared" si="2608"/>
        <v/>
      </c>
      <c r="FH209" s="30" t="str">
        <f t="shared" si="2609"/>
        <v/>
      </c>
      <c r="FI209" s="30" t="str">
        <f t="shared" si="2610"/>
        <v/>
      </c>
      <c r="FJ209" s="30" t="str">
        <f t="shared" si="2611"/>
        <v/>
      </c>
      <c r="FK209" s="30" t="str">
        <f t="shared" si="2612"/>
        <v/>
      </c>
      <c r="FL209" s="30" t="str">
        <f t="shared" si="2613"/>
        <v/>
      </c>
      <c r="FM209" s="30" t="str">
        <f t="shared" si="2614"/>
        <v/>
      </c>
      <c r="FN209" s="30" t="str">
        <f t="shared" si="2615"/>
        <v/>
      </c>
      <c r="FO209" s="30" t="str">
        <f t="shared" si="2616"/>
        <v/>
      </c>
      <c r="FP209" s="30" t="str">
        <f t="shared" si="2617"/>
        <v/>
      </c>
      <c r="FQ209" s="30" t="str">
        <f t="shared" si="2618"/>
        <v/>
      </c>
      <c r="FR209" s="30" t="str">
        <f t="shared" si="2619"/>
        <v/>
      </c>
      <c r="FS209" s="30" t="str">
        <f t="shared" si="2620"/>
        <v/>
      </c>
    </row>
    <row r="210" spans="92:175">
      <c r="CN210" s="7" t="str">
        <f t="shared" si="2545"/>
        <v>InitUnitState('',,,,,,,,,,)</v>
      </c>
      <c r="CO210" s="7" t="str">
        <f t="shared" si="2546"/>
        <v>InitUnitNormal('',,,,,,,,,,)</v>
      </c>
      <c r="CP210" s="7" t="str">
        <f t="shared" si="2547"/>
        <v>InitUnitMagic('',,,,,,,,,,)</v>
      </c>
      <c r="CQ210" s="7" t="str">
        <f t="shared" si="2548"/>
        <v>InitUnitAdd('',,,,,,,,,,)</v>
      </c>
      <c r="CR210" s="7" t="str">
        <f t="shared" si="2549"/>
        <v>InitEquipData('',,"",,,,,'','','','','','',"")</v>
      </c>
      <c r="CU210" s="29" t="str">
        <f t="shared" si="2550"/>
        <v>|n</v>
      </c>
      <c r="CW210" s="24"/>
      <c r="CX210" s="24"/>
      <c r="CY210" s="24"/>
      <c r="CZ210" s="24"/>
      <c r="DA210" s="24"/>
      <c r="DB210" s="30" t="str">
        <f t="shared" si="2551"/>
        <v/>
      </c>
      <c r="DC210" s="30" t="str">
        <f t="shared" si="2552"/>
        <v/>
      </c>
      <c r="DD210" s="30" t="str">
        <f t="shared" si="2553"/>
        <v/>
      </c>
      <c r="DE210" s="30" t="str">
        <f t="shared" si="2554"/>
        <v/>
      </c>
      <c r="DF210" s="30" t="str">
        <f t="shared" si="2555"/>
        <v/>
      </c>
      <c r="DG210" s="30" t="str">
        <f t="shared" si="2556"/>
        <v/>
      </c>
      <c r="DH210" s="30" t="str">
        <f t="shared" si="2557"/>
        <v/>
      </c>
      <c r="DI210" s="30" t="str">
        <f t="shared" si="2558"/>
        <v/>
      </c>
      <c r="DJ210" s="30" t="str">
        <f t="shared" si="2559"/>
        <v/>
      </c>
      <c r="DK210" s="30" t="str">
        <f t="shared" si="2560"/>
        <v/>
      </c>
      <c r="DL210" s="30" t="str">
        <f t="shared" si="2561"/>
        <v/>
      </c>
      <c r="DM210" s="30" t="str">
        <f t="shared" si="2562"/>
        <v/>
      </c>
      <c r="DN210" s="30" t="str">
        <f t="shared" si="2563"/>
        <v/>
      </c>
      <c r="DO210" s="30" t="str">
        <f t="shared" si="2564"/>
        <v/>
      </c>
      <c r="DP210" s="30" t="str">
        <f t="shared" si="2565"/>
        <v/>
      </c>
      <c r="DQ210" s="30" t="str">
        <f t="shared" si="2566"/>
        <v/>
      </c>
      <c r="DR210" s="30" t="str">
        <f t="shared" si="2567"/>
        <v/>
      </c>
      <c r="DS210" s="30" t="str">
        <f t="shared" si="2568"/>
        <v/>
      </c>
      <c r="DT210" s="30" t="str">
        <f t="shared" si="2569"/>
        <v/>
      </c>
      <c r="DU210" s="30" t="str">
        <f t="shared" si="2570"/>
        <v/>
      </c>
      <c r="DV210" s="30" t="str">
        <f t="shared" si="2571"/>
        <v/>
      </c>
      <c r="DW210" s="30" t="str">
        <f t="shared" si="2572"/>
        <v/>
      </c>
      <c r="DX210" s="30" t="str">
        <f t="shared" si="2573"/>
        <v/>
      </c>
      <c r="DY210" s="30" t="str">
        <f t="shared" si="2574"/>
        <v/>
      </c>
      <c r="DZ210" s="30" t="str">
        <f t="shared" si="2575"/>
        <v/>
      </c>
      <c r="EA210" s="30" t="str">
        <f t="shared" si="2576"/>
        <v/>
      </c>
      <c r="EB210" s="30" t="str">
        <f t="shared" si="2577"/>
        <v/>
      </c>
      <c r="EC210" s="30" t="str">
        <f t="shared" si="2578"/>
        <v/>
      </c>
      <c r="ED210" s="30" t="str">
        <f t="shared" si="2579"/>
        <v/>
      </c>
      <c r="EE210" s="30" t="str">
        <f t="shared" si="2580"/>
        <v/>
      </c>
      <c r="EF210" s="30" t="str">
        <f t="shared" si="2581"/>
        <v/>
      </c>
      <c r="EG210" s="30" t="str">
        <f t="shared" si="2582"/>
        <v/>
      </c>
      <c r="EH210" s="30" t="str">
        <f t="shared" si="2583"/>
        <v/>
      </c>
      <c r="EI210" s="30" t="str">
        <f t="shared" si="2584"/>
        <v/>
      </c>
      <c r="EJ210" s="30" t="str">
        <f t="shared" si="2585"/>
        <v/>
      </c>
      <c r="EK210" s="30" t="str">
        <f t="shared" si="2586"/>
        <v/>
      </c>
      <c r="EL210" s="30" t="str">
        <f t="shared" si="2587"/>
        <v/>
      </c>
      <c r="EM210" s="30" t="str">
        <f t="shared" si="2588"/>
        <v/>
      </c>
      <c r="EN210" s="30" t="str">
        <f t="shared" si="2589"/>
        <v/>
      </c>
      <c r="EO210" s="30" t="str">
        <f t="shared" si="2590"/>
        <v/>
      </c>
      <c r="EP210" s="30" t="str">
        <f t="shared" si="2591"/>
        <v/>
      </c>
      <c r="EQ210" s="30" t="str">
        <f t="shared" si="2592"/>
        <v/>
      </c>
      <c r="ER210" s="30" t="str">
        <f t="shared" si="2593"/>
        <v/>
      </c>
      <c r="ES210" s="30" t="str">
        <f t="shared" si="2594"/>
        <v/>
      </c>
      <c r="ET210" s="30" t="str">
        <f t="shared" si="2595"/>
        <v/>
      </c>
      <c r="EU210" s="30" t="str">
        <f t="shared" si="2596"/>
        <v/>
      </c>
      <c r="EV210" s="30" t="str">
        <f t="shared" si="2597"/>
        <v/>
      </c>
      <c r="EW210" s="30" t="str">
        <f t="shared" si="2598"/>
        <v/>
      </c>
      <c r="EX210" s="30" t="str">
        <f t="shared" si="2599"/>
        <v/>
      </c>
      <c r="EY210" s="30" t="str">
        <f t="shared" si="2600"/>
        <v/>
      </c>
      <c r="EZ210" s="30" t="str">
        <f t="shared" si="2601"/>
        <v/>
      </c>
      <c r="FA210" s="30" t="str">
        <f t="shared" si="2602"/>
        <v/>
      </c>
      <c r="FB210" s="30" t="str">
        <f t="shared" si="2603"/>
        <v/>
      </c>
      <c r="FC210" s="30" t="str">
        <f t="shared" si="2604"/>
        <v/>
      </c>
      <c r="FD210" s="30" t="str">
        <f t="shared" si="2605"/>
        <v/>
      </c>
      <c r="FE210" s="30" t="str">
        <f t="shared" si="2606"/>
        <v/>
      </c>
      <c r="FF210" s="30" t="str">
        <f t="shared" si="2607"/>
        <v/>
      </c>
      <c r="FG210" s="30" t="str">
        <f t="shared" si="2608"/>
        <v/>
      </c>
      <c r="FH210" s="30" t="str">
        <f t="shared" si="2609"/>
        <v/>
      </c>
      <c r="FI210" s="30" t="str">
        <f t="shared" si="2610"/>
        <v/>
      </c>
      <c r="FJ210" s="30" t="str">
        <f t="shared" si="2611"/>
        <v/>
      </c>
      <c r="FK210" s="30" t="str">
        <f t="shared" si="2612"/>
        <v/>
      </c>
      <c r="FL210" s="30" t="str">
        <f t="shared" si="2613"/>
        <v/>
      </c>
      <c r="FM210" s="30" t="str">
        <f t="shared" si="2614"/>
        <v/>
      </c>
      <c r="FN210" s="30" t="str">
        <f t="shared" si="2615"/>
        <v/>
      </c>
      <c r="FO210" s="30" t="str">
        <f t="shared" si="2616"/>
        <v/>
      </c>
      <c r="FP210" s="30" t="str">
        <f t="shared" si="2617"/>
        <v/>
      </c>
      <c r="FQ210" s="30" t="str">
        <f t="shared" si="2618"/>
        <v/>
      </c>
      <c r="FR210" s="30" t="str">
        <f t="shared" si="2619"/>
        <v/>
      </c>
      <c r="FS210" s="30" t="str">
        <f t="shared" si="2620"/>
        <v/>
      </c>
    </row>
    <row r="211" spans="92:175">
      <c r="CN211" s="7" t="str">
        <f t="shared" si="2545"/>
        <v>InitUnitState('',,,,,,,,,,)</v>
      </c>
      <c r="CO211" s="7" t="str">
        <f t="shared" si="2546"/>
        <v>InitUnitNormal('',,,,,,,,,,)</v>
      </c>
      <c r="CP211" s="7" t="str">
        <f t="shared" si="2547"/>
        <v>InitUnitMagic('',,,,,,,,,,)</v>
      </c>
      <c r="CQ211" s="7" t="str">
        <f t="shared" si="2548"/>
        <v>InitUnitAdd('',,,,,,,,,,)</v>
      </c>
      <c r="CR211" s="7" t="str">
        <f t="shared" si="2549"/>
        <v>InitEquipData('',,"",,,,,'','','','','','',"")</v>
      </c>
      <c r="CU211" s="29" t="str">
        <f t="shared" si="2550"/>
        <v>|n</v>
      </c>
      <c r="CW211" s="24"/>
      <c r="CX211" s="24"/>
      <c r="CY211" s="24"/>
      <c r="CZ211" s="24"/>
      <c r="DA211" s="24"/>
      <c r="DB211" s="30" t="str">
        <f t="shared" si="2551"/>
        <v/>
      </c>
      <c r="DC211" s="30" t="str">
        <f t="shared" si="2552"/>
        <v/>
      </c>
      <c r="DD211" s="30" t="str">
        <f t="shared" si="2553"/>
        <v/>
      </c>
      <c r="DE211" s="30" t="str">
        <f t="shared" si="2554"/>
        <v/>
      </c>
      <c r="DF211" s="30" t="str">
        <f t="shared" si="2555"/>
        <v/>
      </c>
      <c r="DG211" s="30" t="str">
        <f t="shared" si="2556"/>
        <v/>
      </c>
      <c r="DH211" s="30" t="str">
        <f t="shared" si="2557"/>
        <v/>
      </c>
      <c r="DI211" s="30" t="str">
        <f t="shared" si="2558"/>
        <v/>
      </c>
      <c r="DJ211" s="30" t="str">
        <f t="shared" si="2559"/>
        <v/>
      </c>
      <c r="DK211" s="30" t="str">
        <f t="shared" si="2560"/>
        <v/>
      </c>
      <c r="DL211" s="30" t="str">
        <f t="shared" si="2561"/>
        <v/>
      </c>
      <c r="DM211" s="30" t="str">
        <f t="shared" si="2562"/>
        <v/>
      </c>
      <c r="DN211" s="30" t="str">
        <f t="shared" si="2563"/>
        <v/>
      </c>
      <c r="DO211" s="30" t="str">
        <f t="shared" si="2564"/>
        <v/>
      </c>
      <c r="DP211" s="30" t="str">
        <f t="shared" si="2565"/>
        <v/>
      </c>
      <c r="DQ211" s="30" t="str">
        <f t="shared" si="2566"/>
        <v/>
      </c>
      <c r="DR211" s="30" t="str">
        <f t="shared" si="2567"/>
        <v/>
      </c>
      <c r="DS211" s="30" t="str">
        <f t="shared" si="2568"/>
        <v/>
      </c>
      <c r="DT211" s="30" t="str">
        <f t="shared" si="2569"/>
        <v/>
      </c>
      <c r="DU211" s="30" t="str">
        <f t="shared" si="2570"/>
        <v/>
      </c>
      <c r="DV211" s="30" t="str">
        <f t="shared" si="2571"/>
        <v/>
      </c>
      <c r="DW211" s="30" t="str">
        <f t="shared" si="2572"/>
        <v/>
      </c>
      <c r="DX211" s="30" t="str">
        <f t="shared" si="2573"/>
        <v/>
      </c>
      <c r="DY211" s="30" t="str">
        <f t="shared" si="2574"/>
        <v/>
      </c>
      <c r="DZ211" s="30" t="str">
        <f t="shared" si="2575"/>
        <v/>
      </c>
      <c r="EA211" s="30" t="str">
        <f t="shared" si="2576"/>
        <v/>
      </c>
      <c r="EB211" s="30" t="str">
        <f t="shared" si="2577"/>
        <v/>
      </c>
      <c r="EC211" s="30" t="str">
        <f t="shared" si="2578"/>
        <v/>
      </c>
      <c r="ED211" s="30" t="str">
        <f t="shared" si="2579"/>
        <v/>
      </c>
      <c r="EE211" s="30" t="str">
        <f t="shared" si="2580"/>
        <v/>
      </c>
      <c r="EF211" s="30" t="str">
        <f t="shared" si="2581"/>
        <v/>
      </c>
      <c r="EG211" s="30" t="str">
        <f t="shared" si="2582"/>
        <v/>
      </c>
      <c r="EH211" s="30" t="str">
        <f t="shared" si="2583"/>
        <v/>
      </c>
      <c r="EI211" s="30" t="str">
        <f t="shared" si="2584"/>
        <v/>
      </c>
      <c r="EJ211" s="30" t="str">
        <f t="shared" si="2585"/>
        <v/>
      </c>
      <c r="EK211" s="30" t="str">
        <f t="shared" si="2586"/>
        <v/>
      </c>
      <c r="EL211" s="30" t="str">
        <f t="shared" si="2587"/>
        <v/>
      </c>
      <c r="EM211" s="30" t="str">
        <f t="shared" si="2588"/>
        <v/>
      </c>
      <c r="EN211" s="30" t="str">
        <f t="shared" si="2589"/>
        <v/>
      </c>
      <c r="EO211" s="30" t="str">
        <f t="shared" si="2590"/>
        <v/>
      </c>
      <c r="EP211" s="30" t="str">
        <f t="shared" si="2591"/>
        <v/>
      </c>
      <c r="EQ211" s="30" t="str">
        <f t="shared" si="2592"/>
        <v/>
      </c>
      <c r="ER211" s="30" t="str">
        <f t="shared" si="2593"/>
        <v/>
      </c>
      <c r="ES211" s="30" t="str">
        <f t="shared" si="2594"/>
        <v/>
      </c>
      <c r="ET211" s="30" t="str">
        <f t="shared" si="2595"/>
        <v/>
      </c>
      <c r="EU211" s="30" t="str">
        <f t="shared" si="2596"/>
        <v/>
      </c>
      <c r="EV211" s="30" t="str">
        <f t="shared" si="2597"/>
        <v/>
      </c>
      <c r="EW211" s="30" t="str">
        <f t="shared" si="2598"/>
        <v/>
      </c>
      <c r="EX211" s="30" t="str">
        <f t="shared" si="2599"/>
        <v/>
      </c>
      <c r="EY211" s="30" t="str">
        <f t="shared" si="2600"/>
        <v/>
      </c>
      <c r="EZ211" s="30" t="str">
        <f t="shared" si="2601"/>
        <v/>
      </c>
      <c r="FA211" s="30" t="str">
        <f t="shared" si="2602"/>
        <v/>
      </c>
      <c r="FB211" s="30" t="str">
        <f t="shared" si="2603"/>
        <v/>
      </c>
      <c r="FC211" s="30" t="str">
        <f t="shared" si="2604"/>
        <v/>
      </c>
      <c r="FD211" s="30" t="str">
        <f t="shared" si="2605"/>
        <v/>
      </c>
      <c r="FE211" s="30" t="str">
        <f t="shared" si="2606"/>
        <v/>
      </c>
      <c r="FF211" s="30" t="str">
        <f t="shared" si="2607"/>
        <v/>
      </c>
      <c r="FG211" s="30" t="str">
        <f t="shared" si="2608"/>
        <v/>
      </c>
      <c r="FH211" s="30" t="str">
        <f t="shared" si="2609"/>
        <v/>
      </c>
      <c r="FI211" s="30" t="str">
        <f t="shared" si="2610"/>
        <v/>
      </c>
      <c r="FJ211" s="30" t="str">
        <f t="shared" si="2611"/>
        <v/>
      </c>
      <c r="FK211" s="30" t="str">
        <f t="shared" si="2612"/>
        <v/>
      </c>
      <c r="FL211" s="30" t="str">
        <f t="shared" si="2613"/>
        <v/>
      </c>
      <c r="FM211" s="30" t="str">
        <f t="shared" si="2614"/>
        <v/>
      </c>
      <c r="FN211" s="30" t="str">
        <f t="shared" si="2615"/>
        <v/>
      </c>
      <c r="FO211" s="30" t="str">
        <f t="shared" si="2616"/>
        <v/>
      </c>
      <c r="FP211" s="30" t="str">
        <f t="shared" si="2617"/>
        <v/>
      </c>
      <c r="FQ211" s="30" t="str">
        <f t="shared" si="2618"/>
        <v/>
      </c>
      <c r="FR211" s="30" t="str">
        <f t="shared" si="2619"/>
        <v/>
      </c>
      <c r="FS211" s="30" t="str">
        <f t="shared" si="2620"/>
        <v/>
      </c>
    </row>
    <row r="212" spans="92:175">
      <c r="CN212" s="7" t="str">
        <f t="shared" si="2545"/>
        <v>InitUnitState('',,,,,,,,,,)</v>
      </c>
      <c r="CO212" s="7" t="str">
        <f t="shared" si="2546"/>
        <v>InitUnitNormal('',,,,,,,,,,)</v>
      </c>
      <c r="CP212" s="7" t="str">
        <f t="shared" si="2547"/>
        <v>InitUnitMagic('',,,,,,,,,,)</v>
      </c>
      <c r="CQ212" s="7" t="str">
        <f t="shared" si="2548"/>
        <v>InitUnitAdd('',,,,,,,,,,)</v>
      </c>
      <c r="CR212" s="7" t="str">
        <f t="shared" si="2549"/>
        <v>InitEquipData('',,"",,,,,'','','','','','',"")</v>
      </c>
      <c r="CU212" s="29" t="str">
        <f t="shared" si="2550"/>
        <v>|n</v>
      </c>
      <c r="CW212" s="24"/>
      <c r="CX212" s="24"/>
      <c r="CY212" s="24"/>
      <c r="CZ212" s="24"/>
      <c r="DA212" s="24"/>
      <c r="DB212" s="30" t="str">
        <f t="shared" si="2551"/>
        <v/>
      </c>
      <c r="DC212" s="30" t="str">
        <f t="shared" si="2552"/>
        <v/>
      </c>
      <c r="DD212" s="30" t="str">
        <f t="shared" si="2553"/>
        <v/>
      </c>
      <c r="DE212" s="30" t="str">
        <f t="shared" si="2554"/>
        <v/>
      </c>
      <c r="DF212" s="30" t="str">
        <f t="shared" si="2555"/>
        <v/>
      </c>
      <c r="DG212" s="30" t="str">
        <f t="shared" si="2556"/>
        <v/>
      </c>
      <c r="DH212" s="30" t="str">
        <f t="shared" si="2557"/>
        <v/>
      </c>
      <c r="DI212" s="30" t="str">
        <f t="shared" si="2558"/>
        <v/>
      </c>
      <c r="DJ212" s="30" t="str">
        <f t="shared" si="2559"/>
        <v/>
      </c>
      <c r="DK212" s="30" t="str">
        <f t="shared" si="2560"/>
        <v/>
      </c>
      <c r="DL212" s="30" t="str">
        <f t="shared" si="2561"/>
        <v/>
      </c>
      <c r="DM212" s="30" t="str">
        <f t="shared" si="2562"/>
        <v/>
      </c>
      <c r="DN212" s="30" t="str">
        <f t="shared" si="2563"/>
        <v/>
      </c>
      <c r="DO212" s="30" t="str">
        <f t="shared" si="2564"/>
        <v/>
      </c>
      <c r="DP212" s="30" t="str">
        <f t="shared" si="2565"/>
        <v/>
      </c>
      <c r="DQ212" s="30" t="str">
        <f t="shared" si="2566"/>
        <v/>
      </c>
      <c r="DR212" s="30" t="str">
        <f t="shared" si="2567"/>
        <v/>
      </c>
      <c r="DS212" s="30" t="str">
        <f t="shared" si="2568"/>
        <v/>
      </c>
      <c r="DT212" s="30" t="str">
        <f t="shared" si="2569"/>
        <v/>
      </c>
      <c r="DU212" s="30" t="str">
        <f t="shared" si="2570"/>
        <v/>
      </c>
      <c r="DV212" s="30" t="str">
        <f t="shared" si="2571"/>
        <v/>
      </c>
      <c r="DW212" s="30" t="str">
        <f t="shared" si="2572"/>
        <v/>
      </c>
      <c r="DX212" s="30" t="str">
        <f t="shared" si="2573"/>
        <v/>
      </c>
      <c r="DY212" s="30" t="str">
        <f t="shared" si="2574"/>
        <v/>
      </c>
      <c r="DZ212" s="30" t="str">
        <f t="shared" si="2575"/>
        <v/>
      </c>
      <c r="EA212" s="30" t="str">
        <f t="shared" si="2576"/>
        <v/>
      </c>
      <c r="EB212" s="30" t="str">
        <f t="shared" si="2577"/>
        <v/>
      </c>
      <c r="EC212" s="30" t="str">
        <f t="shared" si="2578"/>
        <v/>
      </c>
      <c r="ED212" s="30" t="str">
        <f t="shared" si="2579"/>
        <v/>
      </c>
      <c r="EE212" s="30" t="str">
        <f t="shared" si="2580"/>
        <v/>
      </c>
      <c r="EF212" s="30" t="str">
        <f t="shared" si="2581"/>
        <v/>
      </c>
      <c r="EG212" s="30" t="str">
        <f t="shared" si="2582"/>
        <v/>
      </c>
      <c r="EH212" s="30" t="str">
        <f t="shared" si="2583"/>
        <v/>
      </c>
      <c r="EI212" s="30" t="str">
        <f t="shared" si="2584"/>
        <v/>
      </c>
      <c r="EJ212" s="30" t="str">
        <f t="shared" si="2585"/>
        <v/>
      </c>
      <c r="EK212" s="30" t="str">
        <f t="shared" si="2586"/>
        <v/>
      </c>
      <c r="EL212" s="30" t="str">
        <f t="shared" si="2587"/>
        <v/>
      </c>
      <c r="EM212" s="30" t="str">
        <f t="shared" si="2588"/>
        <v/>
      </c>
      <c r="EN212" s="30" t="str">
        <f t="shared" si="2589"/>
        <v/>
      </c>
      <c r="EO212" s="30" t="str">
        <f t="shared" si="2590"/>
        <v/>
      </c>
      <c r="EP212" s="30" t="str">
        <f t="shared" si="2591"/>
        <v/>
      </c>
      <c r="EQ212" s="30" t="str">
        <f t="shared" si="2592"/>
        <v/>
      </c>
      <c r="ER212" s="30" t="str">
        <f t="shared" si="2593"/>
        <v/>
      </c>
      <c r="ES212" s="30" t="str">
        <f t="shared" si="2594"/>
        <v/>
      </c>
      <c r="ET212" s="30" t="str">
        <f t="shared" si="2595"/>
        <v/>
      </c>
      <c r="EU212" s="30" t="str">
        <f t="shared" si="2596"/>
        <v/>
      </c>
      <c r="EV212" s="30" t="str">
        <f t="shared" si="2597"/>
        <v/>
      </c>
      <c r="EW212" s="30" t="str">
        <f t="shared" si="2598"/>
        <v/>
      </c>
      <c r="EX212" s="30" t="str">
        <f t="shared" si="2599"/>
        <v/>
      </c>
      <c r="EY212" s="30" t="str">
        <f t="shared" si="2600"/>
        <v/>
      </c>
      <c r="EZ212" s="30" t="str">
        <f t="shared" si="2601"/>
        <v/>
      </c>
      <c r="FA212" s="30" t="str">
        <f t="shared" si="2602"/>
        <v/>
      </c>
      <c r="FB212" s="30" t="str">
        <f t="shared" si="2603"/>
        <v/>
      </c>
      <c r="FC212" s="30" t="str">
        <f t="shared" si="2604"/>
        <v/>
      </c>
      <c r="FD212" s="30" t="str">
        <f t="shared" si="2605"/>
        <v/>
      </c>
      <c r="FE212" s="30" t="str">
        <f t="shared" si="2606"/>
        <v/>
      </c>
      <c r="FF212" s="30" t="str">
        <f t="shared" si="2607"/>
        <v/>
      </c>
      <c r="FG212" s="30" t="str">
        <f t="shared" si="2608"/>
        <v/>
      </c>
      <c r="FH212" s="30" t="str">
        <f t="shared" si="2609"/>
        <v/>
      </c>
      <c r="FI212" s="30" t="str">
        <f t="shared" si="2610"/>
        <v/>
      </c>
      <c r="FJ212" s="30" t="str">
        <f t="shared" si="2611"/>
        <v/>
      </c>
      <c r="FK212" s="30" t="str">
        <f t="shared" si="2612"/>
        <v/>
      </c>
      <c r="FL212" s="30" t="str">
        <f t="shared" si="2613"/>
        <v/>
      </c>
      <c r="FM212" s="30" t="str">
        <f t="shared" si="2614"/>
        <v/>
      </c>
      <c r="FN212" s="30" t="str">
        <f t="shared" si="2615"/>
        <v/>
      </c>
      <c r="FO212" s="30" t="str">
        <f t="shared" si="2616"/>
        <v/>
      </c>
      <c r="FP212" s="30" t="str">
        <f t="shared" si="2617"/>
        <v/>
      </c>
      <c r="FQ212" s="30" t="str">
        <f t="shared" si="2618"/>
        <v/>
      </c>
      <c r="FR212" s="30" t="str">
        <f t="shared" si="2619"/>
        <v/>
      </c>
      <c r="FS212" s="30" t="str">
        <f t="shared" si="2620"/>
        <v/>
      </c>
    </row>
    <row r="213" spans="92:175">
      <c r="CN213" s="7" t="str">
        <f t="shared" si="2545"/>
        <v>InitUnitState('',,,,,,,,,,)</v>
      </c>
      <c r="CO213" s="7" t="str">
        <f t="shared" si="2546"/>
        <v>InitUnitNormal('',,,,,,,,,,)</v>
      </c>
      <c r="CP213" s="7" t="str">
        <f t="shared" si="2547"/>
        <v>InitUnitMagic('',,,,,,,,,,)</v>
      </c>
      <c r="CQ213" s="7" t="str">
        <f t="shared" si="2548"/>
        <v>InitUnitAdd('',,,,,,,,,,)</v>
      </c>
      <c r="CR213" s="7" t="str">
        <f t="shared" si="2549"/>
        <v>InitEquipData('',,"",,,,,'','','','','','',"")</v>
      </c>
      <c r="CU213" s="29" t="str">
        <f t="shared" si="2550"/>
        <v>|n</v>
      </c>
      <c r="CW213" s="24"/>
      <c r="CX213" s="24"/>
      <c r="CY213" s="24"/>
      <c r="CZ213" s="24"/>
      <c r="DA213" s="24"/>
      <c r="DB213" s="30" t="str">
        <f t="shared" si="2551"/>
        <v/>
      </c>
      <c r="DC213" s="30" t="str">
        <f t="shared" si="2552"/>
        <v/>
      </c>
      <c r="DD213" s="30" t="str">
        <f t="shared" si="2553"/>
        <v/>
      </c>
      <c r="DE213" s="30" t="str">
        <f t="shared" si="2554"/>
        <v/>
      </c>
      <c r="DF213" s="30" t="str">
        <f t="shared" si="2555"/>
        <v/>
      </c>
      <c r="DG213" s="30" t="str">
        <f t="shared" si="2556"/>
        <v/>
      </c>
      <c r="DH213" s="30" t="str">
        <f t="shared" si="2557"/>
        <v/>
      </c>
      <c r="DI213" s="30" t="str">
        <f t="shared" si="2558"/>
        <v/>
      </c>
      <c r="DJ213" s="30" t="str">
        <f t="shared" si="2559"/>
        <v/>
      </c>
      <c r="DK213" s="30" t="str">
        <f t="shared" si="2560"/>
        <v/>
      </c>
      <c r="DL213" s="30" t="str">
        <f t="shared" si="2561"/>
        <v/>
      </c>
      <c r="DM213" s="30" t="str">
        <f t="shared" si="2562"/>
        <v/>
      </c>
      <c r="DN213" s="30" t="str">
        <f t="shared" si="2563"/>
        <v/>
      </c>
      <c r="DO213" s="30" t="str">
        <f t="shared" si="2564"/>
        <v/>
      </c>
      <c r="DP213" s="30" t="str">
        <f t="shared" si="2565"/>
        <v/>
      </c>
      <c r="DQ213" s="30" t="str">
        <f t="shared" si="2566"/>
        <v/>
      </c>
      <c r="DR213" s="30" t="str">
        <f t="shared" si="2567"/>
        <v/>
      </c>
      <c r="DS213" s="30" t="str">
        <f t="shared" si="2568"/>
        <v/>
      </c>
      <c r="DT213" s="30" t="str">
        <f t="shared" si="2569"/>
        <v/>
      </c>
      <c r="DU213" s="30" t="str">
        <f t="shared" si="2570"/>
        <v/>
      </c>
      <c r="DV213" s="30" t="str">
        <f t="shared" si="2571"/>
        <v/>
      </c>
      <c r="DW213" s="30" t="str">
        <f t="shared" si="2572"/>
        <v/>
      </c>
      <c r="DX213" s="30" t="str">
        <f t="shared" si="2573"/>
        <v/>
      </c>
      <c r="DY213" s="30" t="str">
        <f t="shared" si="2574"/>
        <v/>
      </c>
      <c r="DZ213" s="30" t="str">
        <f t="shared" si="2575"/>
        <v/>
      </c>
      <c r="EA213" s="30" t="str">
        <f t="shared" si="2576"/>
        <v/>
      </c>
      <c r="EB213" s="30" t="str">
        <f t="shared" si="2577"/>
        <v/>
      </c>
      <c r="EC213" s="30" t="str">
        <f t="shared" si="2578"/>
        <v/>
      </c>
      <c r="ED213" s="30" t="str">
        <f t="shared" si="2579"/>
        <v/>
      </c>
      <c r="EE213" s="30" t="str">
        <f t="shared" si="2580"/>
        <v/>
      </c>
      <c r="EF213" s="30" t="str">
        <f t="shared" si="2581"/>
        <v/>
      </c>
      <c r="EG213" s="30" t="str">
        <f t="shared" si="2582"/>
        <v/>
      </c>
      <c r="EH213" s="30" t="str">
        <f t="shared" si="2583"/>
        <v/>
      </c>
      <c r="EI213" s="30" t="str">
        <f t="shared" si="2584"/>
        <v/>
      </c>
      <c r="EJ213" s="30" t="str">
        <f t="shared" si="2585"/>
        <v/>
      </c>
      <c r="EK213" s="30" t="str">
        <f t="shared" si="2586"/>
        <v/>
      </c>
      <c r="EL213" s="30" t="str">
        <f t="shared" si="2587"/>
        <v/>
      </c>
      <c r="EM213" s="30" t="str">
        <f t="shared" si="2588"/>
        <v/>
      </c>
      <c r="EN213" s="30" t="str">
        <f t="shared" si="2589"/>
        <v/>
      </c>
      <c r="EO213" s="30" t="str">
        <f t="shared" si="2590"/>
        <v/>
      </c>
      <c r="EP213" s="30" t="str">
        <f t="shared" si="2591"/>
        <v/>
      </c>
      <c r="EQ213" s="30" t="str">
        <f t="shared" si="2592"/>
        <v/>
      </c>
      <c r="ER213" s="30" t="str">
        <f t="shared" si="2593"/>
        <v/>
      </c>
      <c r="ES213" s="30" t="str">
        <f t="shared" si="2594"/>
        <v/>
      </c>
      <c r="ET213" s="30" t="str">
        <f t="shared" si="2595"/>
        <v/>
      </c>
      <c r="EU213" s="30" t="str">
        <f t="shared" si="2596"/>
        <v/>
      </c>
      <c r="EV213" s="30" t="str">
        <f t="shared" si="2597"/>
        <v/>
      </c>
      <c r="EW213" s="30" t="str">
        <f t="shared" si="2598"/>
        <v/>
      </c>
      <c r="EX213" s="30" t="str">
        <f t="shared" si="2599"/>
        <v/>
      </c>
      <c r="EY213" s="30" t="str">
        <f t="shared" si="2600"/>
        <v/>
      </c>
      <c r="EZ213" s="30" t="str">
        <f t="shared" si="2601"/>
        <v/>
      </c>
      <c r="FA213" s="30" t="str">
        <f t="shared" si="2602"/>
        <v/>
      </c>
      <c r="FB213" s="30" t="str">
        <f t="shared" si="2603"/>
        <v/>
      </c>
      <c r="FC213" s="30" t="str">
        <f t="shared" si="2604"/>
        <v/>
      </c>
      <c r="FD213" s="30" t="str">
        <f t="shared" si="2605"/>
        <v/>
      </c>
      <c r="FE213" s="30" t="str">
        <f t="shared" si="2606"/>
        <v/>
      </c>
      <c r="FF213" s="30" t="str">
        <f t="shared" si="2607"/>
        <v/>
      </c>
      <c r="FG213" s="30" t="str">
        <f t="shared" si="2608"/>
        <v/>
      </c>
      <c r="FH213" s="30" t="str">
        <f t="shared" si="2609"/>
        <v/>
      </c>
      <c r="FI213" s="30" t="str">
        <f t="shared" si="2610"/>
        <v/>
      </c>
      <c r="FJ213" s="30" t="str">
        <f t="shared" si="2611"/>
        <v/>
      </c>
      <c r="FK213" s="30" t="str">
        <f t="shared" si="2612"/>
        <v/>
      </c>
      <c r="FL213" s="30" t="str">
        <f t="shared" si="2613"/>
        <v/>
      </c>
      <c r="FM213" s="30" t="str">
        <f t="shared" si="2614"/>
        <v/>
      </c>
      <c r="FN213" s="30" t="str">
        <f t="shared" si="2615"/>
        <v/>
      </c>
      <c r="FO213" s="30" t="str">
        <f t="shared" si="2616"/>
        <v/>
      </c>
      <c r="FP213" s="30" t="str">
        <f t="shared" si="2617"/>
        <v/>
      </c>
      <c r="FQ213" s="30" t="str">
        <f t="shared" si="2618"/>
        <v/>
      </c>
      <c r="FR213" s="30" t="str">
        <f t="shared" si="2619"/>
        <v/>
      </c>
      <c r="FS213" s="30" t="str">
        <f t="shared" si="2620"/>
        <v/>
      </c>
    </row>
    <row r="214" spans="92:175">
      <c r="CN214" s="7" t="str">
        <f t="shared" si="2545"/>
        <v>InitUnitState('',,,,,,,,,,)</v>
      </c>
      <c r="CO214" s="7" t="str">
        <f t="shared" si="2546"/>
        <v>InitUnitNormal('',,,,,,,,,,)</v>
      </c>
      <c r="CP214" s="7" t="str">
        <f t="shared" si="2547"/>
        <v>InitUnitMagic('',,,,,,,,,,)</v>
      </c>
      <c r="CQ214" s="7" t="str">
        <f t="shared" si="2548"/>
        <v>InitUnitAdd('',,,,,,,,,,)</v>
      </c>
      <c r="CR214" s="7" t="str">
        <f t="shared" si="2549"/>
        <v>InitEquipData('',,"",,,,,'','','','','','',"")</v>
      </c>
      <c r="CU214" s="29" t="str">
        <f t="shared" si="2550"/>
        <v>|n</v>
      </c>
      <c r="CW214" s="24"/>
      <c r="CX214" s="24"/>
      <c r="CY214" s="24"/>
      <c r="CZ214" s="24"/>
      <c r="DA214" s="24"/>
      <c r="DB214" s="30" t="str">
        <f t="shared" si="2551"/>
        <v/>
      </c>
      <c r="DC214" s="30" t="str">
        <f t="shared" si="2552"/>
        <v/>
      </c>
      <c r="DD214" s="30" t="str">
        <f t="shared" si="2553"/>
        <v/>
      </c>
      <c r="DE214" s="30" t="str">
        <f t="shared" si="2554"/>
        <v/>
      </c>
      <c r="DF214" s="30" t="str">
        <f t="shared" si="2555"/>
        <v/>
      </c>
      <c r="DG214" s="30" t="str">
        <f t="shared" si="2556"/>
        <v/>
      </c>
      <c r="DH214" s="30" t="str">
        <f t="shared" si="2557"/>
        <v/>
      </c>
      <c r="DI214" s="30" t="str">
        <f t="shared" si="2558"/>
        <v/>
      </c>
      <c r="DJ214" s="30" t="str">
        <f t="shared" si="2559"/>
        <v/>
      </c>
      <c r="DK214" s="30" t="str">
        <f t="shared" si="2560"/>
        <v/>
      </c>
      <c r="DL214" s="30" t="str">
        <f t="shared" si="2561"/>
        <v/>
      </c>
      <c r="DM214" s="30" t="str">
        <f t="shared" si="2562"/>
        <v/>
      </c>
      <c r="DN214" s="30" t="str">
        <f t="shared" si="2563"/>
        <v/>
      </c>
      <c r="DO214" s="30" t="str">
        <f t="shared" si="2564"/>
        <v/>
      </c>
      <c r="DP214" s="30" t="str">
        <f t="shared" si="2565"/>
        <v/>
      </c>
      <c r="DQ214" s="30" t="str">
        <f t="shared" si="2566"/>
        <v/>
      </c>
      <c r="DR214" s="30" t="str">
        <f t="shared" si="2567"/>
        <v/>
      </c>
      <c r="DS214" s="30" t="str">
        <f t="shared" si="2568"/>
        <v/>
      </c>
      <c r="DT214" s="30" t="str">
        <f t="shared" si="2569"/>
        <v/>
      </c>
      <c r="DU214" s="30" t="str">
        <f t="shared" si="2570"/>
        <v/>
      </c>
      <c r="DV214" s="30" t="str">
        <f t="shared" si="2571"/>
        <v/>
      </c>
      <c r="DW214" s="30" t="str">
        <f t="shared" si="2572"/>
        <v/>
      </c>
      <c r="DX214" s="30" t="str">
        <f t="shared" si="2573"/>
        <v/>
      </c>
      <c r="DY214" s="30" t="str">
        <f t="shared" si="2574"/>
        <v/>
      </c>
      <c r="DZ214" s="30" t="str">
        <f t="shared" si="2575"/>
        <v/>
      </c>
      <c r="EA214" s="30" t="str">
        <f t="shared" si="2576"/>
        <v/>
      </c>
      <c r="EB214" s="30" t="str">
        <f t="shared" si="2577"/>
        <v/>
      </c>
      <c r="EC214" s="30" t="str">
        <f t="shared" si="2578"/>
        <v/>
      </c>
      <c r="ED214" s="30" t="str">
        <f t="shared" si="2579"/>
        <v/>
      </c>
      <c r="EE214" s="30" t="str">
        <f t="shared" si="2580"/>
        <v/>
      </c>
      <c r="EF214" s="30" t="str">
        <f t="shared" si="2581"/>
        <v/>
      </c>
      <c r="EG214" s="30" t="str">
        <f t="shared" si="2582"/>
        <v/>
      </c>
      <c r="EH214" s="30" t="str">
        <f t="shared" si="2583"/>
        <v/>
      </c>
      <c r="EI214" s="30" t="str">
        <f t="shared" si="2584"/>
        <v/>
      </c>
      <c r="EJ214" s="30" t="str">
        <f t="shared" si="2585"/>
        <v/>
      </c>
      <c r="EK214" s="30" t="str">
        <f t="shared" si="2586"/>
        <v/>
      </c>
      <c r="EL214" s="30" t="str">
        <f t="shared" si="2587"/>
        <v/>
      </c>
      <c r="EM214" s="30" t="str">
        <f t="shared" si="2588"/>
        <v/>
      </c>
      <c r="EN214" s="30" t="str">
        <f t="shared" si="2589"/>
        <v/>
      </c>
      <c r="EO214" s="30" t="str">
        <f t="shared" si="2590"/>
        <v/>
      </c>
      <c r="EP214" s="30" t="str">
        <f t="shared" si="2591"/>
        <v/>
      </c>
      <c r="EQ214" s="30" t="str">
        <f t="shared" si="2592"/>
        <v/>
      </c>
      <c r="ER214" s="30" t="str">
        <f t="shared" si="2593"/>
        <v/>
      </c>
      <c r="ES214" s="30" t="str">
        <f t="shared" si="2594"/>
        <v/>
      </c>
      <c r="ET214" s="30" t="str">
        <f t="shared" si="2595"/>
        <v/>
      </c>
      <c r="EU214" s="30" t="str">
        <f t="shared" si="2596"/>
        <v/>
      </c>
      <c r="EV214" s="30" t="str">
        <f t="shared" si="2597"/>
        <v/>
      </c>
      <c r="EW214" s="30" t="str">
        <f t="shared" si="2598"/>
        <v/>
      </c>
      <c r="EX214" s="30" t="str">
        <f t="shared" si="2599"/>
        <v/>
      </c>
      <c r="EY214" s="30" t="str">
        <f t="shared" si="2600"/>
        <v/>
      </c>
      <c r="EZ214" s="30" t="str">
        <f t="shared" si="2601"/>
        <v/>
      </c>
      <c r="FA214" s="30" t="str">
        <f t="shared" si="2602"/>
        <v/>
      </c>
      <c r="FB214" s="30" t="str">
        <f t="shared" si="2603"/>
        <v/>
      </c>
      <c r="FC214" s="30" t="str">
        <f t="shared" si="2604"/>
        <v/>
      </c>
      <c r="FD214" s="30" t="str">
        <f t="shared" si="2605"/>
        <v/>
      </c>
      <c r="FE214" s="30" t="str">
        <f t="shared" si="2606"/>
        <v/>
      </c>
      <c r="FF214" s="30" t="str">
        <f t="shared" si="2607"/>
        <v/>
      </c>
      <c r="FG214" s="30" t="str">
        <f t="shared" si="2608"/>
        <v/>
      </c>
      <c r="FH214" s="30" t="str">
        <f t="shared" si="2609"/>
        <v/>
      </c>
      <c r="FI214" s="30" t="str">
        <f t="shared" si="2610"/>
        <v/>
      </c>
      <c r="FJ214" s="30" t="str">
        <f t="shared" si="2611"/>
        <v/>
      </c>
      <c r="FK214" s="30" t="str">
        <f t="shared" si="2612"/>
        <v/>
      </c>
      <c r="FL214" s="30" t="str">
        <f t="shared" si="2613"/>
        <v/>
      </c>
      <c r="FM214" s="30" t="str">
        <f t="shared" si="2614"/>
        <v/>
      </c>
      <c r="FN214" s="30" t="str">
        <f t="shared" si="2615"/>
        <v/>
      </c>
      <c r="FO214" s="30" t="str">
        <f t="shared" si="2616"/>
        <v/>
      </c>
      <c r="FP214" s="30" t="str">
        <f t="shared" si="2617"/>
        <v/>
      </c>
      <c r="FQ214" s="30" t="str">
        <f t="shared" si="2618"/>
        <v/>
      </c>
      <c r="FR214" s="30" t="str">
        <f t="shared" si="2619"/>
        <v/>
      </c>
      <c r="FS214" s="30" t="str">
        <f t="shared" si="2620"/>
        <v/>
      </c>
    </row>
    <row r="215" spans="92:175">
      <c r="CN215" s="7" t="str">
        <f t="shared" si="2545"/>
        <v>InitUnitState('',,,,,,,,,,)</v>
      </c>
      <c r="CO215" s="7" t="str">
        <f t="shared" si="2546"/>
        <v>InitUnitNormal('',,,,,,,,,,)</v>
      </c>
      <c r="CP215" s="7" t="str">
        <f t="shared" si="2547"/>
        <v>InitUnitMagic('',,,,,,,,,,)</v>
      </c>
      <c r="CQ215" s="7" t="str">
        <f t="shared" si="2548"/>
        <v>InitUnitAdd('',,,,,,,,,,)</v>
      </c>
      <c r="CR215" s="7" t="str">
        <f t="shared" si="2549"/>
        <v>InitEquipData('',,"",,,,,'','','','','','',"")</v>
      </c>
      <c r="CU215" s="29" t="str">
        <f t="shared" si="2550"/>
        <v>|n</v>
      </c>
      <c r="CW215" s="24"/>
      <c r="CX215" s="24"/>
      <c r="CY215" s="24"/>
      <c r="CZ215" s="24"/>
      <c r="DA215" s="24"/>
      <c r="DB215" s="30" t="str">
        <f t="shared" si="2551"/>
        <v/>
      </c>
      <c r="DC215" s="30" t="str">
        <f t="shared" si="2552"/>
        <v/>
      </c>
      <c r="DD215" s="30" t="str">
        <f t="shared" si="2553"/>
        <v/>
      </c>
      <c r="DE215" s="30" t="str">
        <f t="shared" si="2554"/>
        <v/>
      </c>
      <c r="DF215" s="30" t="str">
        <f t="shared" si="2555"/>
        <v/>
      </c>
      <c r="DG215" s="30" t="str">
        <f t="shared" si="2556"/>
        <v/>
      </c>
      <c r="DH215" s="30" t="str">
        <f t="shared" si="2557"/>
        <v/>
      </c>
      <c r="DI215" s="30" t="str">
        <f t="shared" si="2558"/>
        <v/>
      </c>
      <c r="DJ215" s="30" t="str">
        <f t="shared" si="2559"/>
        <v/>
      </c>
      <c r="DK215" s="30" t="str">
        <f t="shared" si="2560"/>
        <v/>
      </c>
      <c r="DL215" s="30" t="str">
        <f t="shared" si="2561"/>
        <v/>
      </c>
      <c r="DM215" s="30" t="str">
        <f t="shared" si="2562"/>
        <v/>
      </c>
      <c r="DN215" s="30" t="str">
        <f t="shared" si="2563"/>
        <v/>
      </c>
      <c r="DO215" s="30" t="str">
        <f t="shared" si="2564"/>
        <v/>
      </c>
      <c r="DP215" s="30" t="str">
        <f t="shared" si="2565"/>
        <v/>
      </c>
      <c r="DQ215" s="30" t="str">
        <f t="shared" si="2566"/>
        <v/>
      </c>
      <c r="DR215" s="30" t="str">
        <f t="shared" si="2567"/>
        <v/>
      </c>
      <c r="DS215" s="30" t="str">
        <f t="shared" si="2568"/>
        <v/>
      </c>
      <c r="DT215" s="30" t="str">
        <f t="shared" si="2569"/>
        <v/>
      </c>
      <c r="DU215" s="30" t="str">
        <f t="shared" si="2570"/>
        <v/>
      </c>
      <c r="DV215" s="30" t="str">
        <f t="shared" si="2571"/>
        <v/>
      </c>
      <c r="DW215" s="30" t="str">
        <f t="shared" si="2572"/>
        <v/>
      </c>
      <c r="DX215" s="30" t="str">
        <f t="shared" si="2573"/>
        <v/>
      </c>
      <c r="DY215" s="30" t="str">
        <f t="shared" si="2574"/>
        <v/>
      </c>
      <c r="DZ215" s="30" t="str">
        <f t="shared" si="2575"/>
        <v/>
      </c>
      <c r="EA215" s="30" t="str">
        <f t="shared" si="2576"/>
        <v/>
      </c>
      <c r="EB215" s="30" t="str">
        <f t="shared" si="2577"/>
        <v/>
      </c>
      <c r="EC215" s="30" t="str">
        <f t="shared" si="2578"/>
        <v/>
      </c>
      <c r="ED215" s="30" t="str">
        <f t="shared" si="2579"/>
        <v/>
      </c>
      <c r="EE215" s="30" t="str">
        <f t="shared" si="2580"/>
        <v/>
      </c>
      <c r="EF215" s="30" t="str">
        <f t="shared" si="2581"/>
        <v/>
      </c>
      <c r="EG215" s="30" t="str">
        <f t="shared" si="2582"/>
        <v/>
      </c>
      <c r="EH215" s="30" t="str">
        <f t="shared" si="2583"/>
        <v/>
      </c>
      <c r="EI215" s="30" t="str">
        <f t="shared" si="2584"/>
        <v/>
      </c>
      <c r="EJ215" s="30" t="str">
        <f t="shared" si="2585"/>
        <v/>
      </c>
      <c r="EK215" s="30" t="str">
        <f t="shared" si="2586"/>
        <v/>
      </c>
      <c r="EL215" s="30" t="str">
        <f t="shared" si="2587"/>
        <v/>
      </c>
      <c r="EM215" s="30" t="str">
        <f t="shared" si="2588"/>
        <v/>
      </c>
      <c r="EN215" s="30" t="str">
        <f t="shared" si="2589"/>
        <v/>
      </c>
      <c r="EO215" s="30" t="str">
        <f t="shared" si="2590"/>
        <v/>
      </c>
      <c r="EP215" s="30" t="str">
        <f t="shared" si="2591"/>
        <v/>
      </c>
      <c r="EQ215" s="30" t="str">
        <f t="shared" si="2592"/>
        <v/>
      </c>
      <c r="ER215" s="30" t="str">
        <f t="shared" si="2593"/>
        <v/>
      </c>
      <c r="ES215" s="30" t="str">
        <f t="shared" si="2594"/>
        <v/>
      </c>
      <c r="ET215" s="30" t="str">
        <f t="shared" si="2595"/>
        <v/>
      </c>
      <c r="EU215" s="30" t="str">
        <f t="shared" si="2596"/>
        <v/>
      </c>
      <c r="EV215" s="30" t="str">
        <f t="shared" si="2597"/>
        <v/>
      </c>
      <c r="EW215" s="30" t="str">
        <f t="shared" si="2598"/>
        <v/>
      </c>
      <c r="EX215" s="30" t="str">
        <f t="shared" si="2599"/>
        <v/>
      </c>
      <c r="EY215" s="30" t="str">
        <f t="shared" si="2600"/>
        <v/>
      </c>
      <c r="EZ215" s="30" t="str">
        <f t="shared" si="2601"/>
        <v/>
      </c>
      <c r="FA215" s="30" t="str">
        <f t="shared" si="2602"/>
        <v/>
      </c>
      <c r="FB215" s="30" t="str">
        <f t="shared" si="2603"/>
        <v/>
      </c>
      <c r="FC215" s="30" t="str">
        <f t="shared" si="2604"/>
        <v/>
      </c>
      <c r="FD215" s="30" t="str">
        <f t="shared" si="2605"/>
        <v/>
      </c>
      <c r="FE215" s="30" t="str">
        <f t="shared" si="2606"/>
        <v/>
      </c>
      <c r="FF215" s="30" t="str">
        <f t="shared" si="2607"/>
        <v/>
      </c>
      <c r="FG215" s="30" t="str">
        <f t="shared" si="2608"/>
        <v/>
      </c>
      <c r="FH215" s="30" t="str">
        <f t="shared" si="2609"/>
        <v/>
      </c>
      <c r="FI215" s="30" t="str">
        <f t="shared" si="2610"/>
        <v/>
      </c>
      <c r="FJ215" s="30" t="str">
        <f t="shared" si="2611"/>
        <v/>
      </c>
      <c r="FK215" s="30" t="str">
        <f t="shared" si="2612"/>
        <v/>
      </c>
      <c r="FL215" s="30" t="str">
        <f t="shared" si="2613"/>
        <v/>
      </c>
      <c r="FM215" s="30" t="str">
        <f t="shared" si="2614"/>
        <v/>
      </c>
      <c r="FN215" s="30" t="str">
        <f t="shared" si="2615"/>
        <v/>
      </c>
      <c r="FO215" s="30" t="str">
        <f t="shared" si="2616"/>
        <v/>
      </c>
      <c r="FP215" s="30" t="str">
        <f t="shared" si="2617"/>
        <v/>
      </c>
      <c r="FQ215" s="30" t="str">
        <f t="shared" si="2618"/>
        <v/>
      </c>
      <c r="FR215" s="30" t="str">
        <f t="shared" si="2619"/>
        <v/>
      </c>
      <c r="FS215" s="30" t="str">
        <f t="shared" si="2620"/>
        <v/>
      </c>
    </row>
    <row r="216" spans="92:175">
      <c r="CN216" s="7" t="str">
        <f t="shared" si="2545"/>
        <v>InitUnitState('',,,,,,,,,,)</v>
      </c>
      <c r="CO216" s="7" t="str">
        <f t="shared" si="2546"/>
        <v>InitUnitNormal('',,,,,,,,,,)</v>
      </c>
      <c r="CP216" s="7" t="str">
        <f t="shared" si="2547"/>
        <v>InitUnitMagic('',,,,,,,,,,)</v>
      </c>
      <c r="CQ216" s="7" t="str">
        <f t="shared" si="2548"/>
        <v>InitUnitAdd('',,,,,,,,,,)</v>
      </c>
      <c r="CR216" s="7" t="str">
        <f t="shared" si="2549"/>
        <v>InitEquipData('',,"",,,,,'','','','','','',"")</v>
      </c>
      <c r="CU216" s="29" t="str">
        <f t="shared" ref="CU216:CU254" si="2621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W216" s="24"/>
      <c r="CX216" s="24"/>
      <c r="CY216" s="24"/>
      <c r="CZ216" s="24"/>
      <c r="DA216" s="24"/>
      <c r="DB216" s="30" t="str">
        <f t="shared" si="2551"/>
        <v/>
      </c>
      <c r="DC216" s="30" t="str">
        <f t="shared" si="2552"/>
        <v/>
      </c>
      <c r="DD216" s="30" t="str">
        <f t="shared" si="2553"/>
        <v/>
      </c>
      <c r="DE216" s="30" t="str">
        <f t="shared" si="2554"/>
        <v/>
      </c>
      <c r="DF216" s="30" t="str">
        <f t="shared" si="2555"/>
        <v/>
      </c>
      <c r="DG216" s="30" t="str">
        <f t="shared" si="2556"/>
        <v/>
      </c>
      <c r="DH216" s="30" t="str">
        <f t="shared" si="2557"/>
        <v/>
      </c>
      <c r="DI216" s="30" t="str">
        <f t="shared" si="2558"/>
        <v/>
      </c>
      <c r="DJ216" s="30" t="str">
        <f t="shared" si="2559"/>
        <v/>
      </c>
      <c r="DK216" s="30" t="str">
        <f t="shared" si="2560"/>
        <v/>
      </c>
      <c r="DL216" s="30" t="str">
        <f t="shared" si="2561"/>
        <v/>
      </c>
      <c r="DM216" s="30" t="str">
        <f t="shared" si="2562"/>
        <v/>
      </c>
      <c r="DN216" s="30" t="str">
        <f t="shared" si="2563"/>
        <v/>
      </c>
      <c r="DO216" s="30" t="str">
        <f t="shared" si="2564"/>
        <v/>
      </c>
      <c r="DP216" s="30" t="str">
        <f t="shared" si="2565"/>
        <v/>
      </c>
      <c r="DQ216" s="30" t="str">
        <f t="shared" si="2566"/>
        <v/>
      </c>
      <c r="DR216" s="30" t="str">
        <f t="shared" si="2567"/>
        <v/>
      </c>
      <c r="DS216" s="30" t="str">
        <f t="shared" si="2568"/>
        <v/>
      </c>
      <c r="DT216" s="30" t="str">
        <f t="shared" si="2569"/>
        <v/>
      </c>
      <c r="DU216" s="30" t="str">
        <f t="shared" si="2570"/>
        <v/>
      </c>
      <c r="DV216" s="30" t="str">
        <f t="shared" si="2571"/>
        <v/>
      </c>
      <c r="DW216" s="30" t="str">
        <f t="shared" si="2572"/>
        <v/>
      </c>
      <c r="DX216" s="30" t="str">
        <f t="shared" si="2573"/>
        <v/>
      </c>
      <c r="DY216" s="30" t="str">
        <f t="shared" si="2574"/>
        <v/>
      </c>
      <c r="DZ216" s="30" t="str">
        <f t="shared" si="2575"/>
        <v/>
      </c>
      <c r="EA216" s="30" t="str">
        <f t="shared" si="2576"/>
        <v/>
      </c>
      <c r="EB216" s="30" t="str">
        <f t="shared" si="2577"/>
        <v/>
      </c>
      <c r="EC216" s="30" t="str">
        <f t="shared" si="2578"/>
        <v/>
      </c>
      <c r="ED216" s="30" t="str">
        <f t="shared" si="2579"/>
        <v/>
      </c>
      <c r="EE216" s="30" t="str">
        <f t="shared" si="2580"/>
        <v/>
      </c>
      <c r="EF216" s="30" t="str">
        <f t="shared" si="2581"/>
        <v/>
      </c>
      <c r="EG216" s="30" t="str">
        <f t="shared" si="2582"/>
        <v/>
      </c>
      <c r="EH216" s="30" t="str">
        <f t="shared" si="2583"/>
        <v/>
      </c>
      <c r="EI216" s="30" t="str">
        <f t="shared" si="2584"/>
        <v/>
      </c>
      <c r="EJ216" s="30" t="str">
        <f t="shared" si="2585"/>
        <v/>
      </c>
      <c r="EK216" s="30" t="str">
        <f t="shared" si="2586"/>
        <v/>
      </c>
      <c r="EL216" s="30" t="str">
        <f t="shared" si="2587"/>
        <v/>
      </c>
      <c r="EM216" s="30" t="str">
        <f t="shared" si="2588"/>
        <v/>
      </c>
      <c r="EN216" s="30" t="str">
        <f t="shared" si="2589"/>
        <v/>
      </c>
      <c r="EO216" s="30" t="str">
        <f t="shared" si="2590"/>
        <v/>
      </c>
      <c r="EP216" s="30" t="str">
        <f t="shared" si="2591"/>
        <v/>
      </c>
      <c r="EQ216" s="30" t="str">
        <f t="shared" si="2592"/>
        <v/>
      </c>
      <c r="ER216" s="30" t="str">
        <f t="shared" si="2593"/>
        <v/>
      </c>
      <c r="ES216" s="30" t="str">
        <f t="shared" si="2594"/>
        <v/>
      </c>
      <c r="ET216" s="30" t="str">
        <f t="shared" si="2595"/>
        <v/>
      </c>
      <c r="EU216" s="30" t="str">
        <f t="shared" si="2596"/>
        <v/>
      </c>
      <c r="EV216" s="30" t="str">
        <f t="shared" si="2597"/>
        <v/>
      </c>
      <c r="EW216" s="30" t="str">
        <f t="shared" si="2598"/>
        <v/>
      </c>
      <c r="EX216" s="30" t="str">
        <f t="shared" si="2599"/>
        <v/>
      </c>
      <c r="EY216" s="30" t="str">
        <f t="shared" si="2600"/>
        <v/>
      </c>
      <c r="EZ216" s="30" t="str">
        <f t="shared" si="2601"/>
        <v/>
      </c>
      <c r="FA216" s="30" t="str">
        <f t="shared" si="2602"/>
        <v/>
      </c>
      <c r="FB216" s="30" t="str">
        <f t="shared" si="2603"/>
        <v/>
      </c>
      <c r="FC216" s="30" t="str">
        <f t="shared" si="2604"/>
        <v/>
      </c>
      <c r="FD216" s="30" t="str">
        <f t="shared" si="2605"/>
        <v/>
      </c>
      <c r="FE216" s="30" t="str">
        <f t="shared" si="2606"/>
        <v/>
      </c>
      <c r="FF216" s="30" t="str">
        <f t="shared" si="2607"/>
        <v/>
      </c>
      <c r="FG216" s="30" t="str">
        <f t="shared" si="2608"/>
        <v/>
      </c>
      <c r="FH216" s="30" t="str">
        <f t="shared" si="2609"/>
        <v/>
      </c>
      <c r="FI216" s="30" t="str">
        <f t="shared" si="2610"/>
        <v/>
      </c>
      <c r="FJ216" s="30" t="str">
        <f t="shared" si="2611"/>
        <v/>
      </c>
      <c r="FK216" s="30" t="str">
        <f t="shared" si="2612"/>
        <v/>
      </c>
      <c r="FL216" s="30" t="str">
        <f t="shared" si="2613"/>
        <v/>
      </c>
      <c r="FM216" s="30" t="str">
        <f t="shared" si="2614"/>
        <v/>
      </c>
      <c r="FN216" s="30" t="str">
        <f t="shared" si="2615"/>
        <v/>
      </c>
      <c r="FO216" s="30" t="str">
        <f t="shared" si="2616"/>
        <v/>
      </c>
      <c r="FP216" s="30" t="str">
        <f t="shared" si="2617"/>
        <v/>
      </c>
      <c r="FQ216" s="30" t="str">
        <f t="shared" si="2618"/>
        <v/>
      </c>
      <c r="FR216" s="30" t="str">
        <f t="shared" si="2619"/>
        <v/>
      </c>
      <c r="FS216" s="30" t="str">
        <f t="shared" si="2620"/>
        <v/>
      </c>
    </row>
    <row r="217" spans="92:175">
      <c r="CN217" s="7" t="str">
        <f t="shared" si="2545"/>
        <v>InitUnitState('',,,,,,,,,,)</v>
      </c>
      <c r="CO217" s="7" t="str">
        <f t="shared" si="2546"/>
        <v>InitUnitNormal('',,,,,,,,,,)</v>
      </c>
      <c r="CP217" s="7" t="str">
        <f t="shared" si="2547"/>
        <v>InitUnitMagic('',,,,,,,,,,)</v>
      </c>
      <c r="CQ217" s="7" t="str">
        <f t="shared" si="2548"/>
        <v>InitUnitAdd('',,,,,,,,,,)</v>
      </c>
      <c r="CR217" s="7" t="str">
        <f t="shared" si="2549"/>
        <v>InitEquipData('',,"",,,,,'','','','','','',"")</v>
      </c>
      <c r="CU217" s="29" t="str">
        <f t="shared" si="2621"/>
        <v>|n</v>
      </c>
      <c r="CW217" s="24"/>
      <c r="CX217" s="24"/>
      <c r="CY217" s="24"/>
      <c r="CZ217" s="24"/>
      <c r="DA217" s="24"/>
      <c r="DB217" s="30" t="str">
        <f t="shared" si="2551"/>
        <v/>
      </c>
      <c r="DC217" s="30" t="str">
        <f t="shared" si="2552"/>
        <v/>
      </c>
      <c r="DD217" s="30" t="str">
        <f t="shared" si="2553"/>
        <v/>
      </c>
      <c r="DE217" s="30" t="str">
        <f t="shared" si="2554"/>
        <v/>
      </c>
      <c r="DF217" s="30" t="str">
        <f t="shared" si="2555"/>
        <v/>
      </c>
      <c r="DG217" s="30" t="str">
        <f t="shared" si="2556"/>
        <v/>
      </c>
      <c r="DH217" s="30" t="str">
        <f t="shared" si="2557"/>
        <v/>
      </c>
      <c r="DI217" s="30" t="str">
        <f t="shared" si="2558"/>
        <v/>
      </c>
      <c r="DJ217" s="30" t="str">
        <f t="shared" si="2559"/>
        <v/>
      </c>
      <c r="DK217" s="30" t="str">
        <f t="shared" si="2560"/>
        <v/>
      </c>
      <c r="DL217" s="30" t="str">
        <f t="shared" si="2561"/>
        <v/>
      </c>
      <c r="DM217" s="30" t="str">
        <f t="shared" si="2562"/>
        <v/>
      </c>
      <c r="DN217" s="30" t="str">
        <f t="shared" si="2563"/>
        <v/>
      </c>
      <c r="DO217" s="30" t="str">
        <f t="shared" si="2564"/>
        <v/>
      </c>
      <c r="DP217" s="30" t="str">
        <f t="shared" si="2565"/>
        <v/>
      </c>
      <c r="DQ217" s="30" t="str">
        <f t="shared" si="2566"/>
        <v/>
      </c>
      <c r="DR217" s="30" t="str">
        <f t="shared" si="2567"/>
        <v/>
      </c>
      <c r="DS217" s="30" t="str">
        <f t="shared" si="2568"/>
        <v/>
      </c>
      <c r="DT217" s="30" t="str">
        <f t="shared" si="2569"/>
        <v/>
      </c>
      <c r="DU217" s="30" t="str">
        <f t="shared" si="2570"/>
        <v/>
      </c>
      <c r="DV217" s="30" t="str">
        <f t="shared" si="2571"/>
        <v/>
      </c>
      <c r="DW217" s="30" t="str">
        <f t="shared" si="2572"/>
        <v/>
      </c>
      <c r="DX217" s="30" t="str">
        <f t="shared" si="2573"/>
        <v/>
      </c>
      <c r="DY217" s="30" t="str">
        <f t="shared" si="2574"/>
        <v/>
      </c>
      <c r="DZ217" s="30" t="str">
        <f t="shared" si="2575"/>
        <v/>
      </c>
      <c r="EA217" s="30" t="str">
        <f t="shared" si="2576"/>
        <v/>
      </c>
      <c r="EB217" s="30" t="str">
        <f t="shared" si="2577"/>
        <v/>
      </c>
      <c r="EC217" s="30" t="str">
        <f t="shared" si="2578"/>
        <v/>
      </c>
      <c r="ED217" s="30" t="str">
        <f t="shared" si="2579"/>
        <v/>
      </c>
      <c r="EE217" s="30" t="str">
        <f t="shared" si="2580"/>
        <v/>
      </c>
      <c r="EF217" s="30" t="str">
        <f t="shared" si="2581"/>
        <v/>
      </c>
      <c r="EG217" s="30" t="str">
        <f t="shared" si="2582"/>
        <v/>
      </c>
      <c r="EH217" s="30" t="str">
        <f t="shared" si="2583"/>
        <v/>
      </c>
      <c r="EI217" s="30" t="str">
        <f t="shared" si="2584"/>
        <v/>
      </c>
      <c r="EJ217" s="30" t="str">
        <f t="shared" si="2585"/>
        <v/>
      </c>
      <c r="EK217" s="30" t="str">
        <f t="shared" si="2586"/>
        <v/>
      </c>
      <c r="EL217" s="30" t="str">
        <f t="shared" si="2587"/>
        <v/>
      </c>
      <c r="EM217" s="30" t="str">
        <f t="shared" si="2588"/>
        <v/>
      </c>
      <c r="EN217" s="30" t="str">
        <f t="shared" si="2589"/>
        <v/>
      </c>
      <c r="EO217" s="30" t="str">
        <f t="shared" si="2590"/>
        <v/>
      </c>
      <c r="EP217" s="30" t="str">
        <f t="shared" si="2591"/>
        <v/>
      </c>
      <c r="EQ217" s="30" t="str">
        <f t="shared" si="2592"/>
        <v/>
      </c>
      <c r="ER217" s="30" t="str">
        <f t="shared" si="2593"/>
        <v/>
      </c>
      <c r="ES217" s="30" t="str">
        <f t="shared" si="2594"/>
        <v/>
      </c>
      <c r="ET217" s="30" t="str">
        <f t="shared" si="2595"/>
        <v/>
      </c>
      <c r="EU217" s="30" t="str">
        <f t="shared" si="2596"/>
        <v/>
      </c>
      <c r="EV217" s="30" t="str">
        <f t="shared" si="2597"/>
        <v/>
      </c>
      <c r="EW217" s="30" t="str">
        <f t="shared" si="2598"/>
        <v/>
      </c>
      <c r="EX217" s="30" t="str">
        <f t="shared" si="2599"/>
        <v/>
      </c>
      <c r="EY217" s="30" t="str">
        <f t="shared" si="2600"/>
        <v/>
      </c>
      <c r="EZ217" s="30" t="str">
        <f t="shared" si="2601"/>
        <v/>
      </c>
      <c r="FA217" s="30" t="str">
        <f t="shared" si="2602"/>
        <v/>
      </c>
      <c r="FB217" s="30" t="str">
        <f t="shared" si="2603"/>
        <v/>
      </c>
      <c r="FC217" s="30" t="str">
        <f t="shared" si="2604"/>
        <v/>
      </c>
      <c r="FD217" s="30" t="str">
        <f t="shared" si="2605"/>
        <v/>
      </c>
      <c r="FE217" s="30" t="str">
        <f t="shared" si="2606"/>
        <v/>
      </c>
      <c r="FF217" s="30" t="str">
        <f t="shared" si="2607"/>
        <v/>
      </c>
      <c r="FG217" s="30" t="str">
        <f t="shared" si="2608"/>
        <v/>
      </c>
      <c r="FH217" s="30" t="str">
        <f t="shared" si="2609"/>
        <v/>
      </c>
      <c r="FI217" s="30" t="str">
        <f t="shared" si="2610"/>
        <v/>
      </c>
      <c r="FJ217" s="30" t="str">
        <f t="shared" si="2611"/>
        <v/>
      </c>
      <c r="FK217" s="30" t="str">
        <f t="shared" si="2612"/>
        <v/>
      </c>
      <c r="FL217" s="30" t="str">
        <f t="shared" si="2613"/>
        <v/>
      </c>
      <c r="FM217" s="30" t="str">
        <f t="shared" si="2614"/>
        <v/>
      </c>
      <c r="FN217" s="30" t="str">
        <f t="shared" si="2615"/>
        <v/>
      </c>
      <c r="FO217" s="30" t="str">
        <f t="shared" si="2616"/>
        <v/>
      </c>
      <c r="FP217" s="30" t="str">
        <f t="shared" si="2617"/>
        <v/>
      </c>
      <c r="FQ217" s="30" t="str">
        <f t="shared" si="2618"/>
        <v/>
      </c>
      <c r="FR217" s="30" t="str">
        <f t="shared" si="2619"/>
        <v/>
      </c>
      <c r="FS217" s="30" t="str">
        <f t="shared" si="2620"/>
        <v/>
      </c>
    </row>
    <row r="218" spans="92:175">
      <c r="CN218" s="7" t="str">
        <f t="shared" si="2545"/>
        <v>InitUnitState('',,,,,,,,,,)</v>
      </c>
      <c r="CO218" s="7" t="str">
        <f t="shared" si="2546"/>
        <v>InitUnitNormal('',,,,,,,,,,)</v>
      </c>
      <c r="CP218" s="7" t="str">
        <f t="shared" si="2547"/>
        <v>InitUnitMagic('',,,,,,,,,,)</v>
      </c>
      <c r="CQ218" s="7" t="str">
        <f t="shared" si="2548"/>
        <v>InitUnitAdd('',,,,,,,,,,)</v>
      </c>
      <c r="CR218" s="7" t="str">
        <f t="shared" si="2549"/>
        <v>InitEquipData('',,"",,,,,'','','','','','',"")</v>
      </c>
      <c r="CU218" s="29" t="str">
        <f t="shared" si="2621"/>
        <v>|n</v>
      </c>
      <c r="CW218" s="24"/>
      <c r="CX218" s="24"/>
      <c r="CY218" s="24"/>
      <c r="CZ218" s="24"/>
      <c r="DA218" s="24"/>
      <c r="DB218" s="30" t="str">
        <f t="shared" si="2551"/>
        <v/>
      </c>
      <c r="DC218" s="30" t="str">
        <f t="shared" si="2552"/>
        <v/>
      </c>
      <c r="DD218" s="30" t="str">
        <f t="shared" si="2553"/>
        <v/>
      </c>
      <c r="DE218" s="30" t="str">
        <f t="shared" si="2554"/>
        <v/>
      </c>
      <c r="DF218" s="30" t="str">
        <f t="shared" si="2555"/>
        <v/>
      </c>
      <c r="DG218" s="30" t="str">
        <f t="shared" si="2556"/>
        <v/>
      </c>
      <c r="DH218" s="30" t="str">
        <f t="shared" si="2557"/>
        <v/>
      </c>
      <c r="DI218" s="30" t="str">
        <f t="shared" si="2558"/>
        <v/>
      </c>
      <c r="DJ218" s="30" t="str">
        <f t="shared" si="2559"/>
        <v/>
      </c>
      <c r="DK218" s="30" t="str">
        <f t="shared" si="2560"/>
        <v/>
      </c>
      <c r="DL218" s="30" t="str">
        <f t="shared" si="2561"/>
        <v/>
      </c>
      <c r="DM218" s="30" t="str">
        <f t="shared" si="2562"/>
        <v/>
      </c>
      <c r="DN218" s="30" t="str">
        <f t="shared" si="2563"/>
        <v/>
      </c>
      <c r="DO218" s="30" t="str">
        <f t="shared" si="2564"/>
        <v/>
      </c>
      <c r="DP218" s="30" t="str">
        <f t="shared" si="2565"/>
        <v/>
      </c>
      <c r="DQ218" s="30" t="str">
        <f t="shared" si="2566"/>
        <v/>
      </c>
      <c r="DR218" s="30" t="str">
        <f t="shared" si="2567"/>
        <v/>
      </c>
      <c r="DS218" s="30" t="str">
        <f t="shared" si="2568"/>
        <v/>
      </c>
      <c r="DT218" s="30" t="str">
        <f t="shared" si="2569"/>
        <v/>
      </c>
      <c r="DU218" s="30" t="str">
        <f t="shared" si="2570"/>
        <v/>
      </c>
      <c r="DV218" s="30" t="str">
        <f t="shared" si="2571"/>
        <v/>
      </c>
      <c r="DW218" s="30" t="str">
        <f t="shared" si="2572"/>
        <v/>
      </c>
      <c r="DX218" s="30" t="str">
        <f t="shared" si="2573"/>
        <v/>
      </c>
      <c r="DY218" s="30" t="str">
        <f t="shared" si="2574"/>
        <v/>
      </c>
      <c r="DZ218" s="30" t="str">
        <f t="shared" si="2575"/>
        <v/>
      </c>
      <c r="EA218" s="30" t="str">
        <f t="shared" si="2576"/>
        <v/>
      </c>
      <c r="EB218" s="30" t="str">
        <f t="shared" si="2577"/>
        <v/>
      </c>
      <c r="EC218" s="30" t="str">
        <f t="shared" si="2578"/>
        <v/>
      </c>
      <c r="ED218" s="30" t="str">
        <f t="shared" si="2579"/>
        <v/>
      </c>
      <c r="EE218" s="30" t="str">
        <f t="shared" si="2580"/>
        <v/>
      </c>
      <c r="EF218" s="30" t="str">
        <f t="shared" si="2581"/>
        <v/>
      </c>
      <c r="EG218" s="30" t="str">
        <f t="shared" si="2582"/>
        <v/>
      </c>
      <c r="EH218" s="30" t="str">
        <f t="shared" si="2583"/>
        <v/>
      </c>
      <c r="EI218" s="30" t="str">
        <f t="shared" si="2584"/>
        <v/>
      </c>
      <c r="EJ218" s="30" t="str">
        <f t="shared" si="2585"/>
        <v/>
      </c>
      <c r="EK218" s="30" t="str">
        <f t="shared" si="2586"/>
        <v/>
      </c>
      <c r="EL218" s="30" t="str">
        <f t="shared" si="2587"/>
        <v/>
      </c>
      <c r="EM218" s="30" t="str">
        <f t="shared" si="2588"/>
        <v/>
      </c>
      <c r="EN218" s="30" t="str">
        <f t="shared" si="2589"/>
        <v/>
      </c>
      <c r="EO218" s="30" t="str">
        <f t="shared" si="2590"/>
        <v/>
      </c>
      <c r="EP218" s="30" t="str">
        <f t="shared" si="2591"/>
        <v/>
      </c>
      <c r="EQ218" s="30" t="str">
        <f t="shared" si="2592"/>
        <v/>
      </c>
      <c r="ER218" s="30" t="str">
        <f t="shared" si="2593"/>
        <v/>
      </c>
      <c r="ES218" s="30" t="str">
        <f t="shared" si="2594"/>
        <v/>
      </c>
      <c r="ET218" s="30" t="str">
        <f t="shared" si="2595"/>
        <v/>
      </c>
      <c r="EU218" s="30" t="str">
        <f t="shared" si="2596"/>
        <v/>
      </c>
      <c r="EV218" s="30" t="str">
        <f t="shared" si="2597"/>
        <v/>
      </c>
      <c r="EW218" s="30" t="str">
        <f t="shared" si="2598"/>
        <v/>
      </c>
      <c r="EX218" s="30" t="str">
        <f t="shared" si="2599"/>
        <v/>
      </c>
      <c r="EY218" s="30" t="str">
        <f t="shared" si="2600"/>
        <v/>
      </c>
      <c r="EZ218" s="30" t="str">
        <f t="shared" si="2601"/>
        <v/>
      </c>
      <c r="FA218" s="30" t="str">
        <f t="shared" si="2602"/>
        <v/>
      </c>
      <c r="FB218" s="30" t="str">
        <f t="shared" si="2603"/>
        <v/>
      </c>
      <c r="FC218" s="30" t="str">
        <f t="shared" si="2604"/>
        <v/>
      </c>
      <c r="FD218" s="30" t="str">
        <f t="shared" si="2605"/>
        <v/>
      </c>
      <c r="FE218" s="30" t="str">
        <f t="shared" si="2606"/>
        <v/>
      </c>
      <c r="FF218" s="30" t="str">
        <f t="shared" si="2607"/>
        <v/>
      </c>
      <c r="FG218" s="30" t="str">
        <f t="shared" si="2608"/>
        <v/>
      </c>
      <c r="FH218" s="30" t="str">
        <f t="shared" si="2609"/>
        <v/>
      </c>
      <c r="FI218" s="30" t="str">
        <f t="shared" si="2610"/>
        <v/>
      </c>
      <c r="FJ218" s="30" t="str">
        <f t="shared" si="2611"/>
        <v/>
      </c>
      <c r="FK218" s="30" t="str">
        <f t="shared" si="2612"/>
        <v/>
      </c>
      <c r="FL218" s="30" t="str">
        <f t="shared" si="2613"/>
        <v/>
      </c>
      <c r="FM218" s="30" t="str">
        <f t="shared" si="2614"/>
        <v/>
      </c>
      <c r="FN218" s="30" t="str">
        <f t="shared" si="2615"/>
        <v/>
      </c>
      <c r="FO218" s="30" t="str">
        <f t="shared" si="2616"/>
        <v/>
      </c>
      <c r="FP218" s="30" t="str">
        <f t="shared" si="2617"/>
        <v/>
      </c>
      <c r="FQ218" s="30" t="str">
        <f t="shared" si="2618"/>
        <v/>
      </c>
      <c r="FR218" s="30" t="str">
        <f t="shared" si="2619"/>
        <v/>
      </c>
      <c r="FS218" s="30" t="str">
        <f t="shared" si="2620"/>
        <v/>
      </c>
    </row>
    <row r="219" spans="92:175">
      <c r="CN219" s="7" t="str">
        <f t="shared" si="2545"/>
        <v>InitUnitState('',,,,,,,,,,)</v>
      </c>
      <c r="CO219" s="7" t="str">
        <f t="shared" si="2546"/>
        <v>InitUnitNormal('',,,,,,,,,,)</v>
      </c>
      <c r="CP219" s="7" t="str">
        <f t="shared" si="2547"/>
        <v>InitUnitMagic('',,,,,,,,,,)</v>
      </c>
      <c r="CQ219" s="7" t="str">
        <f t="shared" si="2548"/>
        <v>InitUnitAdd('',,,,,,,,,,)</v>
      </c>
      <c r="CR219" s="7" t="str">
        <f t="shared" si="2549"/>
        <v>InitEquipData('',,"",,,,,'','','','','','',"")</v>
      </c>
      <c r="CU219" s="29" t="str">
        <f t="shared" si="2621"/>
        <v>|n</v>
      </c>
      <c r="CW219" s="24"/>
      <c r="CX219" s="24"/>
      <c r="CY219" s="24"/>
      <c r="CZ219" s="24"/>
      <c r="DA219" s="24"/>
      <c r="DB219" s="30" t="str">
        <f t="shared" si="2551"/>
        <v/>
      </c>
      <c r="DC219" s="30" t="str">
        <f t="shared" si="2552"/>
        <v/>
      </c>
      <c r="DD219" s="30" t="str">
        <f t="shared" si="2553"/>
        <v/>
      </c>
      <c r="DE219" s="30" t="str">
        <f t="shared" si="2554"/>
        <v/>
      </c>
      <c r="DF219" s="30" t="str">
        <f t="shared" si="2555"/>
        <v/>
      </c>
      <c r="DG219" s="30" t="str">
        <f t="shared" si="2556"/>
        <v/>
      </c>
      <c r="DH219" s="30" t="str">
        <f t="shared" si="2557"/>
        <v/>
      </c>
      <c r="DI219" s="30" t="str">
        <f t="shared" si="2558"/>
        <v/>
      </c>
      <c r="DJ219" s="30" t="str">
        <f t="shared" si="2559"/>
        <v/>
      </c>
      <c r="DK219" s="30" t="str">
        <f t="shared" si="2560"/>
        <v/>
      </c>
      <c r="DL219" s="30" t="str">
        <f t="shared" si="2561"/>
        <v/>
      </c>
      <c r="DM219" s="30" t="str">
        <f t="shared" si="2562"/>
        <v/>
      </c>
      <c r="DN219" s="30" t="str">
        <f t="shared" si="2563"/>
        <v/>
      </c>
      <c r="DO219" s="30" t="str">
        <f t="shared" si="2564"/>
        <v/>
      </c>
      <c r="DP219" s="30" t="str">
        <f t="shared" si="2565"/>
        <v/>
      </c>
      <c r="DQ219" s="30" t="str">
        <f t="shared" si="2566"/>
        <v/>
      </c>
      <c r="DR219" s="30" t="str">
        <f t="shared" si="2567"/>
        <v/>
      </c>
      <c r="DS219" s="30" t="str">
        <f t="shared" si="2568"/>
        <v/>
      </c>
      <c r="DT219" s="30" t="str">
        <f t="shared" si="2569"/>
        <v/>
      </c>
      <c r="DU219" s="30" t="str">
        <f t="shared" si="2570"/>
        <v/>
      </c>
      <c r="DV219" s="30" t="str">
        <f t="shared" si="2571"/>
        <v/>
      </c>
      <c r="DW219" s="30" t="str">
        <f t="shared" si="2572"/>
        <v/>
      </c>
      <c r="DX219" s="30" t="str">
        <f t="shared" si="2573"/>
        <v/>
      </c>
      <c r="DY219" s="30" t="str">
        <f t="shared" si="2574"/>
        <v/>
      </c>
      <c r="DZ219" s="30" t="str">
        <f t="shared" si="2575"/>
        <v/>
      </c>
      <c r="EA219" s="30" t="str">
        <f t="shared" si="2576"/>
        <v/>
      </c>
      <c r="EB219" s="30" t="str">
        <f t="shared" si="2577"/>
        <v/>
      </c>
      <c r="EC219" s="30" t="str">
        <f t="shared" si="2578"/>
        <v/>
      </c>
      <c r="ED219" s="30" t="str">
        <f t="shared" si="2579"/>
        <v/>
      </c>
      <c r="EE219" s="30" t="str">
        <f t="shared" si="2580"/>
        <v/>
      </c>
      <c r="EF219" s="30" t="str">
        <f t="shared" si="2581"/>
        <v/>
      </c>
      <c r="EG219" s="30" t="str">
        <f t="shared" si="2582"/>
        <v/>
      </c>
      <c r="EH219" s="30" t="str">
        <f t="shared" si="2583"/>
        <v/>
      </c>
      <c r="EI219" s="30" t="str">
        <f t="shared" si="2584"/>
        <v/>
      </c>
      <c r="EJ219" s="30" t="str">
        <f t="shared" si="2585"/>
        <v/>
      </c>
      <c r="EK219" s="30" t="str">
        <f t="shared" si="2586"/>
        <v/>
      </c>
      <c r="EL219" s="30" t="str">
        <f t="shared" si="2587"/>
        <v/>
      </c>
      <c r="EM219" s="30" t="str">
        <f t="shared" si="2588"/>
        <v/>
      </c>
      <c r="EN219" s="30" t="str">
        <f t="shared" si="2589"/>
        <v/>
      </c>
      <c r="EO219" s="30" t="str">
        <f t="shared" si="2590"/>
        <v/>
      </c>
      <c r="EP219" s="30" t="str">
        <f t="shared" si="2591"/>
        <v/>
      </c>
      <c r="EQ219" s="30" t="str">
        <f t="shared" si="2592"/>
        <v/>
      </c>
      <c r="ER219" s="30" t="str">
        <f t="shared" si="2593"/>
        <v/>
      </c>
      <c r="ES219" s="30" t="str">
        <f t="shared" si="2594"/>
        <v/>
      </c>
      <c r="ET219" s="30" t="str">
        <f t="shared" si="2595"/>
        <v/>
      </c>
      <c r="EU219" s="30" t="str">
        <f t="shared" si="2596"/>
        <v/>
      </c>
      <c r="EV219" s="30" t="str">
        <f t="shared" si="2597"/>
        <v/>
      </c>
      <c r="EW219" s="30" t="str">
        <f t="shared" si="2598"/>
        <v/>
      </c>
      <c r="EX219" s="30" t="str">
        <f t="shared" si="2599"/>
        <v/>
      </c>
      <c r="EY219" s="30" t="str">
        <f t="shared" si="2600"/>
        <v/>
      </c>
      <c r="EZ219" s="30" t="str">
        <f t="shared" si="2601"/>
        <v/>
      </c>
      <c r="FA219" s="30" t="str">
        <f t="shared" si="2602"/>
        <v/>
      </c>
      <c r="FB219" s="30" t="str">
        <f t="shared" si="2603"/>
        <v/>
      </c>
      <c r="FC219" s="30" t="str">
        <f t="shared" si="2604"/>
        <v/>
      </c>
      <c r="FD219" s="30" t="str">
        <f t="shared" si="2605"/>
        <v/>
      </c>
      <c r="FE219" s="30" t="str">
        <f t="shared" si="2606"/>
        <v/>
      </c>
      <c r="FF219" s="30" t="str">
        <f t="shared" si="2607"/>
        <v/>
      </c>
      <c r="FG219" s="30" t="str">
        <f t="shared" si="2608"/>
        <v/>
      </c>
      <c r="FH219" s="30" t="str">
        <f t="shared" si="2609"/>
        <v/>
      </c>
      <c r="FI219" s="30" t="str">
        <f t="shared" si="2610"/>
        <v/>
      </c>
      <c r="FJ219" s="30" t="str">
        <f t="shared" si="2611"/>
        <v/>
      </c>
      <c r="FK219" s="30" t="str">
        <f t="shared" si="2612"/>
        <v/>
      </c>
      <c r="FL219" s="30" t="str">
        <f t="shared" si="2613"/>
        <v/>
      </c>
      <c r="FM219" s="30" t="str">
        <f t="shared" si="2614"/>
        <v/>
      </c>
      <c r="FN219" s="30" t="str">
        <f t="shared" si="2615"/>
        <v/>
      </c>
      <c r="FO219" s="30" t="str">
        <f t="shared" si="2616"/>
        <v/>
      </c>
      <c r="FP219" s="30" t="str">
        <f t="shared" si="2617"/>
        <v/>
      </c>
      <c r="FQ219" s="30" t="str">
        <f t="shared" si="2618"/>
        <v/>
      </c>
      <c r="FR219" s="30" t="str">
        <f t="shared" si="2619"/>
        <v/>
      </c>
      <c r="FS219" s="30" t="str">
        <f t="shared" si="2620"/>
        <v/>
      </c>
    </row>
    <row r="220" spans="92:175">
      <c r="CN220" s="7" t="str">
        <f t="shared" si="2545"/>
        <v>InitUnitState('',,,,,,,,,,)</v>
      </c>
      <c r="CO220" s="7" t="str">
        <f t="shared" si="2546"/>
        <v>InitUnitNormal('',,,,,,,,,,)</v>
      </c>
      <c r="CP220" s="7" t="str">
        <f t="shared" si="2547"/>
        <v>InitUnitMagic('',,,,,,,,,,)</v>
      </c>
      <c r="CQ220" s="7" t="str">
        <f t="shared" si="2548"/>
        <v>InitUnitAdd('',,,,,,,,,,)</v>
      </c>
      <c r="CR220" s="7" t="str">
        <f t="shared" si="2549"/>
        <v>InitEquipData('',,"",,,,,'','','','','','',"")</v>
      </c>
      <c r="CU220" s="29" t="str">
        <f t="shared" si="2621"/>
        <v>|n</v>
      </c>
      <c r="CW220" s="24"/>
      <c r="CX220" s="24"/>
      <c r="CY220" s="24"/>
      <c r="CZ220" s="24"/>
      <c r="DA220" s="24"/>
      <c r="DB220" s="30" t="str">
        <f t="shared" si="2551"/>
        <v/>
      </c>
      <c r="DC220" s="30" t="str">
        <f t="shared" si="2552"/>
        <v/>
      </c>
      <c r="DD220" s="30" t="str">
        <f t="shared" si="2553"/>
        <v/>
      </c>
      <c r="DE220" s="30" t="str">
        <f t="shared" si="2554"/>
        <v/>
      </c>
      <c r="DF220" s="30" t="str">
        <f t="shared" si="2555"/>
        <v/>
      </c>
      <c r="DG220" s="30" t="str">
        <f t="shared" si="2556"/>
        <v/>
      </c>
      <c r="DH220" s="30" t="str">
        <f t="shared" si="2557"/>
        <v/>
      </c>
      <c r="DI220" s="30" t="str">
        <f t="shared" si="2558"/>
        <v/>
      </c>
      <c r="DJ220" s="30" t="str">
        <f t="shared" si="2559"/>
        <v/>
      </c>
      <c r="DK220" s="30" t="str">
        <f t="shared" si="2560"/>
        <v/>
      </c>
      <c r="DL220" s="30" t="str">
        <f t="shared" si="2561"/>
        <v/>
      </c>
      <c r="DM220" s="30" t="str">
        <f t="shared" si="2562"/>
        <v/>
      </c>
      <c r="DN220" s="30" t="str">
        <f t="shared" si="2563"/>
        <v/>
      </c>
      <c r="DO220" s="30" t="str">
        <f t="shared" si="2564"/>
        <v/>
      </c>
      <c r="DP220" s="30" t="str">
        <f t="shared" si="2565"/>
        <v/>
      </c>
      <c r="DQ220" s="30" t="str">
        <f t="shared" si="2566"/>
        <v/>
      </c>
      <c r="DR220" s="30" t="str">
        <f t="shared" si="2567"/>
        <v/>
      </c>
      <c r="DS220" s="30" t="str">
        <f t="shared" si="2568"/>
        <v/>
      </c>
      <c r="DT220" s="30" t="str">
        <f t="shared" si="2569"/>
        <v/>
      </c>
      <c r="DU220" s="30" t="str">
        <f t="shared" si="2570"/>
        <v/>
      </c>
      <c r="DV220" s="30" t="str">
        <f t="shared" si="2571"/>
        <v/>
      </c>
      <c r="DW220" s="30" t="str">
        <f t="shared" si="2572"/>
        <v/>
      </c>
      <c r="DX220" s="30" t="str">
        <f t="shared" si="2573"/>
        <v/>
      </c>
      <c r="DY220" s="30" t="str">
        <f t="shared" si="2574"/>
        <v/>
      </c>
      <c r="DZ220" s="30" t="str">
        <f t="shared" si="2575"/>
        <v/>
      </c>
      <c r="EA220" s="30" t="str">
        <f t="shared" si="2576"/>
        <v/>
      </c>
      <c r="EB220" s="30" t="str">
        <f t="shared" si="2577"/>
        <v/>
      </c>
      <c r="EC220" s="30" t="str">
        <f t="shared" si="2578"/>
        <v/>
      </c>
      <c r="ED220" s="30" t="str">
        <f t="shared" si="2579"/>
        <v/>
      </c>
      <c r="EE220" s="30" t="str">
        <f t="shared" si="2580"/>
        <v/>
      </c>
      <c r="EF220" s="30" t="str">
        <f t="shared" si="2581"/>
        <v/>
      </c>
      <c r="EG220" s="30" t="str">
        <f t="shared" si="2582"/>
        <v/>
      </c>
      <c r="EH220" s="30" t="str">
        <f t="shared" si="2583"/>
        <v/>
      </c>
      <c r="EI220" s="30" t="str">
        <f t="shared" si="2584"/>
        <v/>
      </c>
      <c r="EJ220" s="30" t="str">
        <f t="shared" si="2585"/>
        <v/>
      </c>
      <c r="EK220" s="30" t="str">
        <f t="shared" si="2586"/>
        <v/>
      </c>
      <c r="EL220" s="30" t="str">
        <f t="shared" si="2587"/>
        <v/>
      </c>
      <c r="EM220" s="30" t="str">
        <f t="shared" si="2588"/>
        <v/>
      </c>
      <c r="EN220" s="30" t="str">
        <f t="shared" si="2589"/>
        <v/>
      </c>
      <c r="EO220" s="30" t="str">
        <f t="shared" si="2590"/>
        <v/>
      </c>
      <c r="EP220" s="30" t="str">
        <f t="shared" si="2591"/>
        <v/>
      </c>
      <c r="EQ220" s="30" t="str">
        <f t="shared" si="2592"/>
        <v/>
      </c>
      <c r="ER220" s="30" t="str">
        <f t="shared" si="2593"/>
        <v/>
      </c>
      <c r="ES220" s="30" t="str">
        <f t="shared" si="2594"/>
        <v/>
      </c>
      <c r="ET220" s="30" t="str">
        <f t="shared" si="2595"/>
        <v/>
      </c>
      <c r="EU220" s="30" t="str">
        <f t="shared" si="2596"/>
        <v/>
      </c>
      <c r="EV220" s="30" t="str">
        <f t="shared" si="2597"/>
        <v/>
      </c>
      <c r="EW220" s="30" t="str">
        <f t="shared" si="2598"/>
        <v/>
      </c>
      <c r="EX220" s="30" t="str">
        <f t="shared" si="2599"/>
        <v/>
      </c>
      <c r="EY220" s="30" t="str">
        <f t="shared" si="2600"/>
        <v/>
      </c>
      <c r="EZ220" s="30" t="str">
        <f t="shared" si="2601"/>
        <v/>
      </c>
      <c r="FA220" s="30" t="str">
        <f t="shared" si="2602"/>
        <v/>
      </c>
      <c r="FB220" s="30" t="str">
        <f t="shared" si="2603"/>
        <v/>
      </c>
      <c r="FC220" s="30" t="str">
        <f t="shared" si="2604"/>
        <v/>
      </c>
      <c r="FD220" s="30" t="str">
        <f t="shared" si="2605"/>
        <v/>
      </c>
      <c r="FE220" s="30" t="str">
        <f t="shared" si="2606"/>
        <v/>
      </c>
      <c r="FF220" s="30" t="str">
        <f t="shared" si="2607"/>
        <v/>
      </c>
      <c r="FG220" s="30" t="str">
        <f t="shared" si="2608"/>
        <v/>
      </c>
      <c r="FH220" s="30" t="str">
        <f t="shared" si="2609"/>
        <v/>
      </c>
      <c r="FI220" s="30" t="str">
        <f t="shared" si="2610"/>
        <v/>
      </c>
      <c r="FJ220" s="30" t="str">
        <f t="shared" si="2611"/>
        <v/>
      </c>
      <c r="FK220" s="30" t="str">
        <f t="shared" si="2612"/>
        <v/>
      </c>
      <c r="FL220" s="30" t="str">
        <f t="shared" si="2613"/>
        <v/>
      </c>
      <c r="FM220" s="30" t="str">
        <f t="shared" si="2614"/>
        <v/>
      </c>
      <c r="FN220" s="30" t="str">
        <f t="shared" si="2615"/>
        <v/>
      </c>
      <c r="FO220" s="30" t="str">
        <f t="shared" si="2616"/>
        <v/>
      </c>
      <c r="FP220" s="30" t="str">
        <f t="shared" si="2617"/>
        <v/>
      </c>
      <c r="FQ220" s="30" t="str">
        <f t="shared" si="2618"/>
        <v/>
      </c>
      <c r="FR220" s="30" t="str">
        <f t="shared" si="2619"/>
        <v/>
      </c>
      <c r="FS220" s="30" t="str">
        <f t="shared" si="2620"/>
        <v/>
      </c>
    </row>
    <row r="221" spans="92:175">
      <c r="CN221" s="7" t="str">
        <f t="shared" si="2545"/>
        <v>InitUnitState('',,,,,,,,,,)</v>
      </c>
      <c r="CO221" s="7" t="str">
        <f t="shared" si="2546"/>
        <v>InitUnitNormal('',,,,,,,,,,)</v>
      </c>
      <c r="CP221" s="7" t="str">
        <f t="shared" si="2547"/>
        <v>InitUnitMagic('',,,,,,,,,,)</v>
      </c>
      <c r="CQ221" s="7" t="str">
        <f t="shared" si="2548"/>
        <v>InitUnitAdd('',,,,,,,,,,)</v>
      </c>
      <c r="CR221" s="7" t="str">
        <f t="shared" si="2549"/>
        <v>InitEquipData('',,"",,,,,'','','','','','',"")</v>
      </c>
      <c r="CU221" s="29" t="str">
        <f t="shared" si="2621"/>
        <v>|n</v>
      </c>
      <c r="CW221" s="24"/>
      <c r="CX221" s="24"/>
      <c r="CY221" s="24"/>
      <c r="CZ221" s="24"/>
      <c r="DA221" s="24"/>
      <c r="DB221" s="30" t="str">
        <f t="shared" si="2551"/>
        <v/>
      </c>
      <c r="DC221" s="30" t="str">
        <f t="shared" si="2552"/>
        <v/>
      </c>
      <c r="DD221" s="30" t="str">
        <f t="shared" si="2553"/>
        <v/>
      </c>
      <c r="DE221" s="30" t="str">
        <f t="shared" si="2554"/>
        <v/>
      </c>
      <c r="DF221" s="30" t="str">
        <f t="shared" si="2555"/>
        <v/>
      </c>
      <c r="DG221" s="30" t="str">
        <f t="shared" si="2556"/>
        <v/>
      </c>
      <c r="DH221" s="30" t="str">
        <f t="shared" si="2557"/>
        <v/>
      </c>
      <c r="DI221" s="30" t="str">
        <f t="shared" si="2558"/>
        <v/>
      </c>
      <c r="DJ221" s="30" t="str">
        <f t="shared" si="2559"/>
        <v/>
      </c>
      <c r="DK221" s="30" t="str">
        <f t="shared" si="2560"/>
        <v/>
      </c>
      <c r="DL221" s="30" t="str">
        <f t="shared" si="2561"/>
        <v/>
      </c>
      <c r="DM221" s="30" t="str">
        <f t="shared" si="2562"/>
        <v/>
      </c>
      <c r="DN221" s="30" t="str">
        <f t="shared" si="2563"/>
        <v/>
      </c>
      <c r="DO221" s="30" t="str">
        <f t="shared" si="2564"/>
        <v/>
      </c>
      <c r="DP221" s="30" t="str">
        <f t="shared" si="2565"/>
        <v/>
      </c>
      <c r="DQ221" s="30" t="str">
        <f t="shared" si="2566"/>
        <v/>
      </c>
      <c r="DR221" s="30" t="str">
        <f t="shared" si="2567"/>
        <v/>
      </c>
      <c r="DS221" s="30" t="str">
        <f t="shared" si="2568"/>
        <v/>
      </c>
      <c r="DT221" s="30" t="str">
        <f t="shared" si="2569"/>
        <v/>
      </c>
      <c r="DU221" s="30" t="str">
        <f t="shared" si="2570"/>
        <v/>
      </c>
      <c r="DV221" s="30" t="str">
        <f t="shared" si="2571"/>
        <v/>
      </c>
      <c r="DW221" s="30" t="str">
        <f t="shared" si="2572"/>
        <v/>
      </c>
      <c r="DX221" s="30" t="str">
        <f t="shared" si="2573"/>
        <v/>
      </c>
      <c r="DY221" s="30" t="str">
        <f t="shared" si="2574"/>
        <v/>
      </c>
      <c r="DZ221" s="30" t="str">
        <f t="shared" si="2575"/>
        <v/>
      </c>
      <c r="EA221" s="30" t="str">
        <f t="shared" si="2576"/>
        <v/>
      </c>
      <c r="EB221" s="30" t="str">
        <f t="shared" si="2577"/>
        <v/>
      </c>
      <c r="EC221" s="30" t="str">
        <f t="shared" si="2578"/>
        <v/>
      </c>
      <c r="ED221" s="30" t="str">
        <f t="shared" si="2579"/>
        <v/>
      </c>
      <c r="EE221" s="30" t="str">
        <f t="shared" si="2580"/>
        <v/>
      </c>
      <c r="EF221" s="30" t="str">
        <f t="shared" si="2581"/>
        <v/>
      </c>
      <c r="EG221" s="30" t="str">
        <f t="shared" si="2582"/>
        <v/>
      </c>
      <c r="EH221" s="30" t="str">
        <f t="shared" si="2583"/>
        <v/>
      </c>
      <c r="EI221" s="30" t="str">
        <f t="shared" si="2584"/>
        <v/>
      </c>
      <c r="EJ221" s="30" t="str">
        <f t="shared" si="2585"/>
        <v/>
      </c>
      <c r="EK221" s="30" t="str">
        <f t="shared" si="2586"/>
        <v/>
      </c>
      <c r="EL221" s="30" t="str">
        <f t="shared" si="2587"/>
        <v/>
      </c>
      <c r="EM221" s="30" t="str">
        <f t="shared" si="2588"/>
        <v/>
      </c>
      <c r="EN221" s="30" t="str">
        <f t="shared" si="2589"/>
        <v/>
      </c>
      <c r="EO221" s="30" t="str">
        <f t="shared" si="2590"/>
        <v/>
      </c>
      <c r="EP221" s="30" t="str">
        <f t="shared" si="2591"/>
        <v/>
      </c>
      <c r="EQ221" s="30" t="str">
        <f t="shared" si="2592"/>
        <v/>
      </c>
      <c r="ER221" s="30" t="str">
        <f t="shared" si="2593"/>
        <v/>
      </c>
      <c r="ES221" s="30" t="str">
        <f t="shared" si="2594"/>
        <v/>
      </c>
      <c r="ET221" s="30" t="str">
        <f t="shared" si="2595"/>
        <v/>
      </c>
      <c r="EU221" s="30" t="str">
        <f t="shared" si="2596"/>
        <v/>
      </c>
      <c r="EV221" s="30" t="str">
        <f t="shared" si="2597"/>
        <v/>
      </c>
      <c r="EW221" s="30" t="str">
        <f t="shared" si="2598"/>
        <v/>
      </c>
      <c r="EX221" s="30" t="str">
        <f t="shared" si="2599"/>
        <v/>
      </c>
      <c r="EY221" s="30" t="str">
        <f t="shared" si="2600"/>
        <v/>
      </c>
      <c r="EZ221" s="30" t="str">
        <f t="shared" si="2601"/>
        <v/>
      </c>
      <c r="FA221" s="30" t="str">
        <f t="shared" si="2602"/>
        <v/>
      </c>
      <c r="FB221" s="30" t="str">
        <f t="shared" si="2603"/>
        <v/>
      </c>
      <c r="FC221" s="30" t="str">
        <f t="shared" si="2604"/>
        <v/>
      </c>
      <c r="FD221" s="30" t="str">
        <f t="shared" si="2605"/>
        <v/>
      </c>
      <c r="FE221" s="30" t="str">
        <f t="shared" si="2606"/>
        <v/>
      </c>
      <c r="FF221" s="30" t="str">
        <f t="shared" si="2607"/>
        <v/>
      </c>
      <c r="FG221" s="30" t="str">
        <f t="shared" si="2608"/>
        <v/>
      </c>
      <c r="FH221" s="30" t="str">
        <f t="shared" si="2609"/>
        <v/>
      </c>
      <c r="FI221" s="30" t="str">
        <f t="shared" si="2610"/>
        <v/>
      </c>
      <c r="FJ221" s="30" t="str">
        <f t="shared" si="2611"/>
        <v/>
      </c>
      <c r="FK221" s="30" t="str">
        <f t="shared" si="2612"/>
        <v/>
      </c>
      <c r="FL221" s="30" t="str">
        <f t="shared" si="2613"/>
        <v/>
      </c>
      <c r="FM221" s="30" t="str">
        <f t="shared" si="2614"/>
        <v/>
      </c>
      <c r="FN221" s="30" t="str">
        <f t="shared" si="2615"/>
        <v/>
      </c>
      <c r="FO221" s="30" t="str">
        <f t="shared" si="2616"/>
        <v/>
      </c>
      <c r="FP221" s="30" t="str">
        <f t="shared" si="2617"/>
        <v/>
      </c>
      <c r="FQ221" s="30" t="str">
        <f t="shared" si="2618"/>
        <v/>
      </c>
      <c r="FR221" s="30" t="str">
        <f t="shared" si="2619"/>
        <v/>
      </c>
      <c r="FS221" s="30" t="str">
        <f t="shared" si="2620"/>
        <v/>
      </c>
    </row>
    <row r="222" spans="92:175">
      <c r="CN222" s="7" t="str">
        <f t="shared" si="2545"/>
        <v>InitUnitState('',,,,,,,,,,)</v>
      </c>
      <c r="CO222" s="7" t="str">
        <f t="shared" si="2546"/>
        <v>InitUnitNormal('',,,,,,,,,,)</v>
      </c>
      <c r="CP222" s="7" t="str">
        <f t="shared" si="2547"/>
        <v>InitUnitMagic('',,,,,,,,,,)</v>
      </c>
      <c r="CQ222" s="7" t="str">
        <f t="shared" si="2548"/>
        <v>InitUnitAdd('',,,,,,,,,,)</v>
      </c>
      <c r="CR222" s="7" t="str">
        <f t="shared" si="2549"/>
        <v>InitEquipData('',,"",,,,,'','','','','','',"")</v>
      </c>
      <c r="CU222" s="29" t="str">
        <f t="shared" si="2621"/>
        <v>|n</v>
      </c>
      <c r="CW222" s="24"/>
      <c r="CX222" s="24"/>
      <c r="CY222" s="24"/>
      <c r="CZ222" s="24"/>
      <c r="DA222" s="24"/>
      <c r="DB222" s="30" t="str">
        <f t="shared" si="2551"/>
        <v/>
      </c>
      <c r="DC222" s="30" t="str">
        <f t="shared" si="2552"/>
        <v/>
      </c>
      <c r="DD222" s="30" t="str">
        <f t="shared" si="2553"/>
        <v/>
      </c>
      <c r="DE222" s="30" t="str">
        <f t="shared" si="2554"/>
        <v/>
      </c>
      <c r="DF222" s="30" t="str">
        <f t="shared" si="2555"/>
        <v/>
      </c>
      <c r="DG222" s="30" t="str">
        <f t="shared" si="2556"/>
        <v/>
      </c>
      <c r="DH222" s="30" t="str">
        <f t="shared" si="2557"/>
        <v/>
      </c>
      <c r="DI222" s="30" t="str">
        <f t="shared" si="2558"/>
        <v/>
      </c>
      <c r="DJ222" s="30" t="str">
        <f t="shared" si="2559"/>
        <v/>
      </c>
      <c r="DK222" s="30" t="str">
        <f t="shared" si="2560"/>
        <v/>
      </c>
      <c r="DL222" s="30" t="str">
        <f t="shared" si="2561"/>
        <v/>
      </c>
      <c r="DM222" s="30" t="str">
        <f t="shared" si="2562"/>
        <v/>
      </c>
      <c r="DN222" s="30" t="str">
        <f t="shared" si="2563"/>
        <v/>
      </c>
      <c r="DO222" s="30" t="str">
        <f t="shared" si="2564"/>
        <v/>
      </c>
      <c r="DP222" s="30" t="str">
        <f t="shared" si="2565"/>
        <v/>
      </c>
      <c r="DQ222" s="30" t="str">
        <f t="shared" si="2566"/>
        <v/>
      </c>
      <c r="DR222" s="30" t="str">
        <f t="shared" si="2567"/>
        <v/>
      </c>
      <c r="DS222" s="30" t="str">
        <f t="shared" si="2568"/>
        <v/>
      </c>
      <c r="DT222" s="30" t="str">
        <f t="shared" si="2569"/>
        <v/>
      </c>
      <c r="DU222" s="30" t="str">
        <f t="shared" si="2570"/>
        <v/>
      </c>
      <c r="DV222" s="30" t="str">
        <f t="shared" si="2571"/>
        <v/>
      </c>
      <c r="DW222" s="30" t="str">
        <f t="shared" si="2572"/>
        <v/>
      </c>
      <c r="DX222" s="30" t="str">
        <f t="shared" si="2573"/>
        <v/>
      </c>
      <c r="DY222" s="30" t="str">
        <f t="shared" si="2574"/>
        <v/>
      </c>
      <c r="DZ222" s="30" t="str">
        <f t="shared" si="2575"/>
        <v/>
      </c>
      <c r="EA222" s="30" t="str">
        <f t="shared" si="2576"/>
        <v/>
      </c>
      <c r="EB222" s="30" t="str">
        <f t="shared" si="2577"/>
        <v/>
      </c>
      <c r="EC222" s="30" t="str">
        <f t="shared" si="2578"/>
        <v/>
      </c>
      <c r="ED222" s="30" t="str">
        <f t="shared" si="2579"/>
        <v/>
      </c>
      <c r="EE222" s="30" t="str">
        <f t="shared" si="2580"/>
        <v/>
      </c>
      <c r="EF222" s="30" t="str">
        <f t="shared" si="2581"/>
        <v/>
      </c>
      <c r="EG222" s="30" t="str">
        <f t="shared" si="2582"/>
        <v/>
      </c>
      <c r="EH222" s="30" t="str">
        <f t="shared" si="2583"/>
        <v/>
      </c>
      <c r="EI222" s="30" t="str">
        <f t="shared" si="2584"/>
        <v/>
      </c>
      <c r="EJ222" s="30" t="str">
        <f t="shared" si="2585"/>
        <v/>
      </c>
      <c r="EK222" s="30" t="str">
        <f t="shared" si="2586"/>
        <v/>
      </c>
      <c r="EL222" s="30" t="str">
        <f t="shared" si="2587"/>
        <v/>
      </c>
      <c r="EM222" s="30" t="str">
        <f t="shared" si="2588"/>
        <v/>
      </c>
      <c r="EN222" s="30" t="str">
        <f t="shared" si="2589"/>
        <v/>
      </c>
      <c r="EO222" s="30" t="str">
        <f t="shared" si="2590"/>
        <v/>
      </c>
      <c r="EP222" s="30" t="str">
        <f t="shared" si="2591"/>
        <v/>
      </c>
      <c r="EQ222" s="30" t="str">
        <f t="shared" si="2592"/>
        <v/>
      </c>
      <c r="ER222" s="30" t="str">
        <f t="shared" si="2593"/>
        <v/>
      </c>
      <c r="ES222" s="30" t="str">
        <f t="shared" si="2594"/>
        <v/>
      </c>
      <c r="ET222" s="30" t="str">
        <f t="shared" si="2595"/>
        <v/>
      </c>
      <c r="EU222" s="30" t="str">
        <f t="shared" si="2596"/>
        <v/>
      </c>
      <c r="EV222" s="30" t="str">
        <f t="shared" si="2597"/>
        <v/>
      </c>
      <c r="EW222" s="30" t="str">
        <f t="shared" si="2598"/>
        <v/>
      </c>
      <c r="EX222" s="30" t="str">
        <f t="shared" si="2599"/>
        <v/>
      </c>
      <c r="EY222" s="30" t="str">
        <f t="shared" si="2600"/>
        <v/>
      </c>
      <c r="EZ222" s="30" t="str">
        <f t="shared" si="2601"/>
        <v/>
      </c>
      <c r="FA222" s="30" t="str">
        <f t="shared" si="2602"/>
        <v/>
      </c>
      <c r="FB222" s="30" t="str">
        <f t="shared" si="2603"/>
        <v/>
      </c>
      <c r="FC222" s="30" t="str">
        <f t="shared" si="2604"/>
        <v/>
      </c>
      <c r="FD222" s="30" t="str">
        <f t="shared" si="2605"/>
        <v/>
      </c>
      <c r="FE222" s="30" t="str">
        <f t="shared" si="2606"/>
        <v/>
      </c>
      <c r="FF222" s="30" t="str">
        <f t="shared" si="2607"/>
        <v/>
      </c>
      <c r="FG222" s="30" t="str">
        <f t="shared" si="2608"/>
        <v/>
      </c>
      <c r="FH222" s="30" t="str">
        <f t="shared" si="2609"/>
        <v/>
      </c>
      <c r="FI222" s="30" t="str">
        <f t="shared" si="2610"/>
        <v/>
      </c>
      <c r="FJ222" s="30" t="str">
        <f t="shared" si="2611"/>
        <v/>
      </c>
      <c r="FK222" s="30" t="str">
        <f t="shared" si="2612"/>
        <v/>
      </c>
      <c r="FL222" s="30" t="str">
        <f t="shared" si="2613"/>
        <v/>
      </c>
      <c r="FM222" s="30" t="str">
        <f t="shared" si="2614"/>
        <v/>
      </c>
      <c r="FN222" s="30" t="str">
        <f t="shared" si="2615"/>
        <v/>
      </c>
      <c r="FO222" s="30" t="str">
        <f t="shared" si="2616"/>
        <v/>
      </c>
      <c r="FP222" s="30" t="str">
        <f t="shared" si="2617"/>
        <v/>
      </c>
      <c r="FQ222" s="30" t="str">
        <f t="shared" si="2618"/>
        <v/>
      </c>
      <c r="FR222" s="30" t="str">
        <f t="shared" si="2619"/>
        <v/>
      </c>
      <c r="FS222" s="30" t="str">
        <f t="shared" si="2620"/>
        <v/>
      </c>
    </row>
    <row r="223" spans="92:175">
      <c r="CN223" s="7" t="str">
        <f t="shared" si="2545"/>
        <v>InitUnitState('',,,,,,,,,,)</v>
      </c>
      <c r="CO223" s="7" t="str">
        <f t="shared" si="2546"/>
        <v>InitUnitNormal('',,,,,,,,,,)</v>
      </c>
      <c r="CP223" s="7" t="str">
        <f t="shared" si="2547"/>
        <v>InitUnitMagic('',,,,,,,,,,)</v>
      </c>
      <c r="CQ223" s="7" t="str">
        <f t="shared" si="2548"/>
        <v>InitUnitAdd('',,,,,,,,,,)</v>
      </c>
      <c r="CR223" s="7" t="str">
        <f t="shared" si="2549"/>
        <v>InitEquipData('',,"",,,,,'','','','','','',"")</v>
      </c>
      <c r="CU223" s="29" t="str">
        <f t="shared" si="2621"/>
        <v>|n</v>
      </c>
      <c r="CW223" s="24"/>
      <c r="CX223" s="24"/>
      <c r="CY223" s="24"/>
      <c r="CZ223" s="24"/>
      <c r="DA223" s="24"/>
      <c r="DB223" s="30" t="str">
        <f t="shared" si="2551"/>
        <v/>
      </c>
      <c r="DC223" s="30" t="str">
        <f t="shared" si="2552"/>
        <v/>
      </c>
      <c r="DD223" s="30" t="str">
        <f t="shared" si="2553"/>
        <v/>
      </c>
      <c r="DE223" s="30" t="str">
        <f t="shared" si="2554"/>
        <v/>
      </c>
      <c r="DF223" s="30" t="str">
        <f t="shared" si="2555"/>
        <v/>
      </c>
      <c r="DG223" s="30" t="str">
        <f t="shared" si="2556"/>
        <v/>
      </c>
      <c r="DH223" s="30" t="str">
        <f t="shared" si="2557"/>
        <v/>
      </c>
      <c r="DI223" s="30" t="str">
        <f t="shared" si="2558"/>
        <v/>
      </c>
      <c r="DJ223" s="30" t="str">
        <f t="shared" si="2559"/>
        <v/>
      </c>
      <c r="DK223" s="30" t="str">
        <f t="shared" si="2560"/>
        <v/>
      </c>
      <c r="DL223" s="30" t="str">
        <f t="shared" si="2561"/>
        <v/>
      </c>
      <c r="DM223" s="30" t="str">
        <f t="shared" si="2562"/>
        <v/>
      </c>
      <c r="DN223" s="30" t="str">
        <f t="shared" si="2563"/>
        <v/>
      </c>
      <c r="DO223" s="30" t="str">
        <f t="shared" si="2564"/>
        <v/>
      </c>
      <c r="DP223" s="30" t="str">
        <f t="shared" si="2565"/>
        <v/>
      </c>
      <c r="DQ223" s="30" t="str">
        <f t="shared" si="2566"/>
        <v/>
      </c>
      <c r="DR223" s="30" t="str">
        <f t="shared" si="2567"/>
        <v/>
      </c>
      <c r="DS223" s="30" t="str">
        <f t="shared" si="2568"/>
        <v/>
      </c>
      <c r="DT223" s="30" t="str">
        <f t="shared" si="2569"/>
        <v/>
      </c>
      <c r="DU223" s="30" t="str">
        <f t="shared" si="2570"/>
        <v/>
      </c>
      <c r="DV223" s="30" t="str">
        <f t="shared" si="2571"/>
        <v/>
      </c>
      <c r="DW223" s="30" t="str">
        <f t="shared" si="2572"/>
        <v/>
      </c>
      <c r="DX223" s="30" t="str">
        <f t="shared" si="2573"/>
        <v/>
      </c>
      <c r="DY223" s="30" t="str">
        <f t="shared" si="2574"/>
        <v/>
      </c>
      <c r="DZ223" s="30" t="str">
        <f t="shared" si="2575"/>
        <v/>
      </c>
      <c r="EA223" s="30" t="str">
        <f t="shared" si="2576"/>
        <v/>
      </c>
      <c r="EB223" s="30" t="str">
        <f t="shared" si="2577"/>
        <v/>
      </c>
      <c r="EC223" s="30" t="str">
        <f t="shared" si="2578"/>
        <v/>
      </c>
      <c r="ED223" s="30" t="str">
        <f t="shared" si="2579"/>
        <v/>
      </c>
      <c r="EE223" s="30" t="str">
        <f t="shared" si="2580"/>
        <v/>
      </c>
      <c r="EF223" s="30" t="str">
        <f t="shared" si="2581"/>
        <v/>
      </c>
      <c r="EG223" s="30" t="str">
        <f t="shared" si="2582"/>
        <v/>
      </c>
      <c r="EH223" s="30" t="str">
        <f t="shared" si="2583"/>
        <v/>
      </c>
      <c r="EI223" s="30" t="str">
        <f t="shared" si="2584"/>
        <v/>
      </c>
      <c r="EJ223" s="30" t="str">
        <f t="shared" si="2585"/>
        <v/>
      </c>
      <c r="EK223" s="30" t="str">
        <f t="shared" si="2586"/>
        <v/>
      </c>
      <c r="EL223" s="30" t="str">
        <f t="shared" si="2587"/>
        <v/>
      </c>
      <c r="EM223" s="30" t="str">
        <f t="shared" si="2588"/>
        <v/>
      </c>
      <c r="EN223" s="30" t="str">
        <f t="shared" si="2589"/>
        <v/>
      </c>
      <c r="EO223" s="30" t="str">
        <f t="shared" si="2590"/>
        <v/>
      </c>
      <c r="EP223" s="30" t="str">
        <f t="shared" si="2591"/>
        <v/>
      </c>
      <c r="EQ223" s="30" t="str">
        <f t="shared" si="2592"/>
        <v/>
      </c>
      <c r="ER223" s="30" t="str">
        <f t="shared" si="2593"/>
        <v/>
      </c>
      <c r="ES223" s="30" t="str">
        <f t="shared" si="2594"/>
        <v/>
      </c>
      <c r="ET223" s="30" t="str">
        <f t="shared" si="2595"/>
        <v/>
      </c>
      <c r="EU223" s="30" t="str">
        <f t="shared" si="2596"/>
        <v/>
      </c>
      <c r="EV223" s="30" t="str">
        <f t="shared" si="2597"/>
        <v/>
      </c>
      <c r="EW223" s="30" t="str">
        <f t="shared" si="2598"/>
        <v/>
      </c>
      <c r="EX223" s="30" t="str">
        <f t="shared" si="2599"/>
        <v/>
      </c>
      <c r="EY223" s="30" t="str">
        <f t="shared" si="2600"/>
        <v/>
      </c>
      <c r="EZ223" s="30" t="str">
        <f t="shared" si="2601"/>
        <v/>
      </c>
      <c r="FA223" s="30" t="str">
        <f t="shared" si="2602"/>
        <v/>
      </c>
      <c r="FB223" s="30" t="str">
        <f t="shared" si="2603"/>
        <v/>
      </c>
      <c r="FC223" s="30" t="str">
        <f t="shared" si="2604"/>
        <v/>
      </c>
      <c r="FD223" s="30" t="str">
        <f t="shared" si="2605"/>
        <v/>
      </c>
      <c r="FE223" s="30" t="str">
        <f t="shared" si="2606"/>
        <v/>
      </c>
      <c r="FF223" s="30" t="str">
        <f t="shared" si="2607"/>
        <v/>
      </c>
      <c r="FG223" s="30" t="str">
        <f t="shared" si="2608"/>
        <v/>
      </c>
      <c r="FH223" s="30" t="str">
        <f t="shared" si="2609"/>
        <v/>
      </c>
      <c r="FI223" s="30" t="str">
        <f t="shared" si="2610"/>
        <v/>
      </c>
      <c r="FJ223" s="30" t="str">
        <f t="shared" si="2611"/>
        <v/>
      </c>
      <c r="FK223" s="30" t="str">
        <f t="shared" si="2612"/>
        <v/>
      </c>
      <c r="FL223" s="30" t="str">
        <f t="shared" si="2613"/>
        <v/>
      </c>
      <c r="FM223" s="30" t="str">
        <f t="shared" si="2614"/>
        <v/>
      </c>
      <c r="FN223" s="30" t="str">
        <f t="shared" si="2615"/>
        <v/>
      </c>
      <c r="FO223" s="30" t="str">
        <f t="shared" si="2616"/>
        <v/>
      </c>
      <c r="FP223" s="30" t="str">
        <f t="shared" si="2617"/>
        <v/>
      </c>
      <c r="FQ223" s="30" t="str">
        <f t="shared" si="2618"/>
        <v/>
      </c>
      <c r="FR223" s="30" t="str">
        <f t="shared" si="2619"/>
        <v/>
      </c>
      <c r="FS223" s="30" t="str">
        <f t="shared" si="2620"/>
        <v/>
      </c>
    </row>
    <row r="224" spans="92:175">
      <c r="CN224" s="7" t="str">
        <f t="shared" si="2545"/>
        <v>InitUnitState('',,,,,,,,,,)</v>
      </c>
      <c r="CO224" s="7" t="str">
        <f t="shared" si="2546"/>
        <v>InitUnitNormal('',,,,,,,,,,)</v>
      </c>
      <c r="CP224" s="7" t="str">
        <f t="shared" si="2547"/>
        <v>InitUnitMagic('',,,,,,,,,,)</v>
      </c>
      <c r="CQ224" s="7" t="str">
        <f t="shared" si="2548"/>
        <v>InitUnitAdd('',,,,,,,,,,)</v>
      </c>
      <c r="CR224" s="7" t="str">
        <f t="shared" si="2549"/>
        <v>InitEquipData('',,"",,,,,'','','','','','',"")</v>
      </c>
      <c r="CU224" s="29" t="str">
        <f t="shared" si="2621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545"/>
        <v>InitUnitState('',,,,,,,,,,)</v>
      </c>
      <c r="CO225" s="7" t="str">
        <f t="shared" si="2546"/>
        <v>InitUnitNormal('',,,,,,,,,,)</v>
      </c>
      <c r="CP225" s="7" t="str">
        <f t="shared" si="2547"/>
        <v>InitUnitMagic('',,,,,,,,,,)</v>
      </c>
      <c r="CQ225" s="7" t="str">
        <f t="shared" si="2548"/>
        <v>InitUnitAdd('',,,,,,,,,,)</v>
      </c>
      <c r="CR225" s="7" t="str">
        <f t="shared" si="2549"/>
        <v>InitEquipData('',,"",,,,,'','','','','','',"")</v>
      </c>
      <c r="CU225" s="29" t="str">
        <f t="shared" si="2621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545"/>
        <v>InitUnitState('',,,,,,,,,,)</v>
      </c>
      <c r="CO226" s="7" t="str">
        <f t="shared" si="2546"/>
        <v>InitUnitNormal('',,,,,,,,,,)</v>
      </c>
      <c r="CP226" s="7" t="str">
        <f t="shared" si="2547"/>
        <v>InitUnitMagic('',,,,,,,,,,)</v>
      </c>
      <c r="CQ226" s="7" t="str">
        <f t="shared" si="2548"/>
        <v>InitUnitAdd('',,,,,,,,,,)</v>
      </c>
      <c r="CR226" s="7" t="str">
        <f t="shared" si="2549"/>
        <v>InitEquipData('',,"",,,,,'','','','','','',"")</v>
      </c>
      <c r="CU226" s="29" t="str">
        <f t="shared" si="2621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545"/>
        <v>InitUnitState('',,,,,,,,,,)</v>
      </c>
      <c r="CO227" s="7" t="str">
        <f t="shared" si="2546"/>
        <v>InitUnitNormal('',,,,,,,,,,)</v>
      </c>
      <c r="CP227" s="7" t="str">
        <f t="shared" si="2547"/>
        <v>InitUnitMagic('',,,,,,,,,,)</v>
      </c>
      <c r="CQ227" s="7" t="str">
        <f t="shared" si="2548"/>
        <v>InitUnitAdd('',,,,,,,,,,)</v>
      </c>
      <c r="CR227" s="7" t="str">
        <f t="shared" si="2549"/>
        <v>InitEquipData('',,"",,,,,'','','','','','',"")</v>
      </c>
      <c r="CU227" s="29" t="str">
        <f t="shared" si="2621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545"/>
        <v>InitUnitState('',,,,,,,,,,)</v>
      </c>
      <c r="CO228" s="7" t="str">
        <f t="shared" si="2546"/>
        <v>InitUnitNormal('',,,,,,,,,,)</v>
      </c>
      <c r="CP228" s="7" t="str">
        <f t="shared" si="2547"/>
        <v>InitUnitMagic('',,,,,,,,,,)</v>
      </c>
      <c r="CQ228" s="7" t="str">
        <f t="shared" si="2548"/>
        <v>InitUnitAdd('',,,,,,,,,,)</v>
      </c>
      <c r="CR228" s="7" t="str">
        <f t="shared" si="2549"/>
        <v>InitEquipData('',,"",,,,,'','','','','','',"")</v>
      </c>
      <c r="CU228" s="29" t="str">
        <f t="shared" si="2621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545"/>
        <v>InitUnitState('',,,,,,,,,,)</v>
      </c>
      <c r="CO229" s="7" t="str">
        <f t="shared" si="2546"/>
        <v>InitUnitNormal('',,,,,,,,,,)</v>
      </c>
      <c r="CP229" s="7" t="str">
        <f t="shared" si="2547"/>
        <v>InitUnitMagic('',,,,,,,,,,)</v>
      </c>
      <c r="CQ229" s="7" t="str">
        <f t="shared" si="2548"/>
        <v>InitUnitAdd('',,,,,,,,,,)</v>
      </c>
      <c r="CR229" s="7" t="str">
        <f t="shared" si="2549"/>
        <v>InitEquipData('',,"",,,,,'','','','','','',"")</v>
      </c>
      <c r="CU229" s="29" t="str">
        <f t="shared" si="2621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545"/>
        <v>InitUnitState('',,,,,,,,,,)</v>
      </c>
      <c r="CO230" s="7" t="str">
        <f t="shared" si="2546"/>
        <v>InitUnitNormal('',,,,,,,,,,)</v>
      </c>
      <c r="CP230" s="7" t="str">
        <f t="shared" si="2547"/>
        <v>InitUnitMagic('',,,,,,,,,,)</v>
      </c>
      <c r="CQ230" s="7" t="str">
        <f t="shared" si="2548"/>
        <v>InitUnitAdd('',,,,,,,,,,)</v>
      </c>
      <c r="CR230" s="7" t="str">
        <f t="shared" si="2549"/>
        <v>InitEquipData('',,"",,,,,'','','','','','',"")</v>
      </c>
      <c r="CU230" s="29" t="str">
        <f t="shared" si="2621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545"/>
        <v>InitUnitState('',,,,,,,,,,)</v>
      </c>
      <c r="CO231" s="7" t="str">
        <f t="shared" si="2546"/>
        <v>InitUnitNormal('',,,,,,,,,,)</v>
      </c>
      <c r="CP231" s="7" t="str">
        <f t="shared" si="2547"/>
        <v>InitUnitMagic('',,,,,,,,,,)</v>
      </c>
      <c r="CQ231" s="7" t="str">
        <f t="shared" si="2548"/>
        <v>InitUnitAdd('',,,,,,,,,,)</v>
      </c>
      <c r="CR231" s="7" t="str">
        <f t="shared" si="2549"/>
        <v>InitEquipData('',,"",,,,,'','','','','','',"")</v>
      </c>
      <c r="CU231" s="29" t="str">
        <f t="shared" si="2621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545"/>
        <v>InitUnitState('',,,,,,,,,,)</v>
      </c>
      <c r="CO232" s="7" t="str">
        <f t="shared" si="2546"/>
        <v>InitUnitNormal('',,,,,,,,,,)</v>
      </c>
      <c r="CP232" s="7" t="str">
        <f t="shared" si="2547"/>
        <v>InitUnitMagic('',,,,,,,,,,)</v>
      </c>
      <c r="CQ232" s="7" t="str">
        <f t="shared" si="2548"/>
        <v>InitUnitAdd('',,,,,,,,,,)</v>
      </c>
      <c r="CR232" s="7" t="str">
        <f t="shared" si="2549"/>
        <v>InitEquipData('',,"",,,,,'','','','','','',"")</v>
      </c>
      <c r="CU232" s="29" t="str">
        <f t="shared" si="2621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545"/>
        <v>InitUnitState('',,,,,,,,,,)</v>
      </c>
      <c r="CO233" s="7" t="str">
        <f t="shared" si="2546"/>
        <v>InitUnitNormal('',,,,,,,,,,)</v>
      </c>
      <c r="CP233" s="7" t="str">
        <f t="shared" si="2547"/>
        <v>InitUnitMagic('',,,,,,,,,,)</v>
      </c>
      <c r="CQ233" s="7" t="str">
        <f t="shared" si="2548"/>
        <v>InitUnitAdd('',,,,,,,,,,)</v>
      </c>
      <c r="CR233" s="7" t="str">
        <f t="shared" si="2549"/>
        <v>InitEquipData('',,"",,,,,'','','','','','',"")</v>
      </c>
      <c r="CU233" s="29" t="str">
        <f t="shared" si="2621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545"/>
        <v>InitUnitState('',,,,,,,,,,)</v>
      </c>
      <c r="CO234" s="7" t="str">
        <f t="shared" si="2546"/>
        <v>InitUnitNormal('',,,,,,,,,,)</v>
      </c>
      <c r="CP234" s="7" t="str">
        <f t="shared" si="2547"/>
        <v>InitUnitMagic('',,,,,,,,,,)</v>
      </c>
      <c r="CQ234" s="7" t="str">
        <f t="shared" si="2548"/>
        <v>InitUnitAdd('',,,,,,,,,,)</v>
      </c>
      <c r="CR234" s="7" t="str">
        <f t="shared" si="2549"/>
        <v>InitEquipData('',,"",,,,,'','','','','','',"")</v>
      </c>
      <c r="CU234" s="29" t="str">
        <f t="shared" si="2621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ref="CN235:CN254" si="2622">"InitUnitState('"&amp;B235&amp;"',"&amp;V235&amp;","&amp;W235&amp;","&amp;X235&amp;","&amp;Y235&amp;","&amp;Z235&amp;","&amp;AA235&amp;","&amp;AB235&amp;","&amp;AC235&amp;","&amp;AD235&amp;","&amp;AE235&amp;")"</f>
        <v>InitUnitState('',,,,,,,,,,)</v>
      </c>
      <c r="CO235" s="7" t="str">
        <f t="shared" ref="CO235:CO254" si="2623">"InitUnitNormal('"&amp;B235&amp;"',"&amp;AF235&amp;","&amp;AG235&amp;","&amp;AH235&amp;","&amp;AI235&amp;","&amp;AJ235&amp;","&amp;AK235&amp;","&amp;AL235&amp;","&amp;AM235&amp;","&amp;AN235&amp;","&amp;AO235&amp;")"</f>
        <v>InitUnitNormal('',,,,,,,,,,)</v>
      </c>
      <c r="CP235" s="7" t="str">
        <f t="shared" ref="CP235:CP254" si="2624">"InitUnitMagic('"&amp;B235&amp;"',"&amp;AP235&amp;","&amp;AQ235&amp;","&amp;AR235&amp;","&amp;AS235&amp;","&amp;AT235&amp;","&amp;AU235&amp;","&amp;AV235&amp;","&amp;AW235&amp;","&amp;BI235&amp;","&amp;BJ235&amp;")"</f>
        <v>InitUnitMagic('',,,,,,,,,,)</v>
      </c>
      <c r="CQ235" s="7" t="str">
        <f t="shared" ref="CQ235:CQ254" si="2625">"InitUnitAdd('"&amp;B235&amp;"',"&amp;BK235&amp;","&amp;BL235&amp;","&amp;BM235&amp;","&amp;BN235&amp;","&amp;BO235&amp;","&amp;BP235&amp;","&amp;BQ235&amp;","&amp;BR235&amp;","&amp;BS235&amp;","&amp;BT235&amp;")"</f>
        <v>InitUnitAdd('',,,,,,,,,,)</v>
      </c>
      <c r="CR235" s="7" t="str">
        <f t="shared" ref="CR235:CR254" si="262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U235" s="29" t="str">
        <f t="shared" si="2621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622"/>
        <v>InitUnitState('',,,,,,,,,,)</v>
      </c>
      <c r="CO236" s="7" t="str">
        <f t="shared" si="2623"/>
        <v>InitUnitNormal('',,,,,,,,,,)</v>
      </c>
      <c r="CP236" s="7" t="str">
        <f t="shared" si="2624"/>
        <v>InitUnitMagic('',,,,,,,,,,)</v>
      </c>
      <c r="CQ236" s="7" t="str">
        <f t="shared" si="2625"/>
        <v>InitUnitAdd('',,,,,,,,,,)</v>
      </c>
      <c r="CR236" s="7" t="str">
        <f t="shared" si="2626"/>
        <v>InitEquipData('',,"",,,,,'','','','','','',"")</v>
      </c>
      <c r="CU236" s="29" t="str">
        <f t="shared" si="2621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622"/>
        <v>InitUnitState('',,,,,,,,,,)</v>
      </c>
      <c r="CO237" s="7" t="str">
        <f t="shared" si="2623"/>
        <v>InitUnitNormal('',,,,,,,,,,)</v>
      </c>
      <c r="CP237" s="7" t="str">
        <f t="shared" si="2624"/>
        <v>InitUnitMagic('',,,,,,,,,,)</v>
      </c>
      <c r="CQ237" s="7" t="str">
        <f t="shared" si="2625"/>
        <v>InitUnitAdd('',,,,,,,,,,)</v>
      </c>
      <c r="CR237" s="7" t="str">
        <f t="shared" si="2626"/>
        <v>InitEquipData('',,"",,,,,'','','','','','',"")</v>
      </c>
      <c r="CU237" s="29" t="str">
        <f t="shared" si="2621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622"/>
        <v>InitUnitState('',,,,,,,,,,)</v>
      </c>
      <c r="CO238" s="7" t="str">
        <f t="shared" si="2623"/>
        <v>InitUnitNormal('',,,,,,,,,,)</v>
      </c>
      <c r="CP238" s="7" t="str">
        <f t="shared" si="2624"/>
        <v>InitUnitMagic('',,,,,,,,,,)</v>
      </c>
      <c r="CQ238" s="7" t="str">
        <f t="shared" si="2625"/>
        <v>InitUnitAdd('',,,,,,,,,,)</v>
      </c>
      <c r="CR238" s="7" t="str">
        <f t="shared" si="2626"/>
        <v>InitEquipData('',,"",,,,,'','','','','','',"")</v>
      </c>
      <c r="CU238" s="29" t="str">
        <f t="shared" si="2621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622"/>
        <v>InitUnitState('',,,,,,,,,,)</v>
      </c>
      <c r="CO239" s="7" t="str">
        <f t="shared" si="2623"/>
        <v>InitUnitNormal('',,,,,,,,,,)</v>
      </c>
      <c r="CP239" s="7" t="str">
        <f t="shared" si="2624"/>
        <v>InitUnitMagic('',,,,,,,,,,)</v>
      </c>
      <c r="CQ239" s="7" t="str">
        <f t="shared" si="2625"/>
        <v>InitUnitAdd('',,,,,,,,,,)</v>
      </c>
      <c r="CR239" s="7" t="str">
        <f t="shared" si="2626"/>
        <v>InitEquipData('',,"",,,,,'','','','','','',"")</v>
      </c>
      <c r="CU239" s="29" t="str">
        <f t="shared" si="2621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622"/>
        <v>InitUnitState('',,,,,,,,,,)</v>
      </c>
      <c r="CO240" s="7" t="str">
        <f t="shared" si="2623"/>
        <v>InitUnitNormal('',,,,,,,,,,)</v>
      </c>
      <c r="CP240" s="7" t="str">
        <f t="shared" si="2624"/>
        <v>InitUnitMagic('',,,,,,,,,,)</v>
      </c>
      <c r="CQ240" s="7" t="str">
        <f t="shared" si="2625"/>
        <v>InitUnitAdd('',,,,,,,,,,)</v>
      </c>
      <c r="CR240" s="7" t="str">
        <f t="shared" si="2626"/>
        <v>InitEquipData('',,"",,,,,'','','','','','',"")</v>
      </c>
      <c r="CU240" s="29" t="str">
        <f t="shared" si="2621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622"/>
        <v>InitUnitState('',,,,,,,,,,)</v>
      </c>
      <c r="CO241" s="7" t="str">
        <f t="shared" si="2623"/>
        <v>InitUnitNormal('',,,,,,,,,,)</v>
      </c>
      <c r="CP241" s="7" t="str">
        <f t="shared" si="2624"/>
        <v>InitUnitMagic('',,,,,,,,,,)</v>
      </c>
      <c r="CQ241" s="7" t="str">
        <f t="shared" si="2625"/>
        <v>InitUnitAdd('',,,,,,,,,,)</v>
      </c>
      <c r="CR241" s="7" t="str">
        <f t="shared" si="2626"/>
        <v>InitEquipData('',,"",,,,,'','','','','','',"")</v>
      </c>
      <c r="CU241" s="29" t="str">
        <f t="shared" si="2621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622"/>
        <v>InitUnitState('',,,,,,,,,,)</v>
      </c>
      <c r="CO242" s="7" t="str">
        <f t="shared" si="2623"/>
        <v>InitUnitNormal('',,,,,,,,,,)</v>
      </c>
      <c r="CP242" s="7" t="str">
        <f t="shared" si="2624"/>
        <v>InitUnitMagic('',,,,,,,,,,)</v>
      </c>
      <c r="CQ242" s="7" t="str">
        <f t="shared" si="2625"/>
        <v>InitUnitAdd('',,,,,,,,,,)</v>
      </c>
      <c r="CR242" s="7" t="str">
        <f t="shared" si="2626"/>
        <v>InitEquipData('',,"",,,,,'','','','','','',"")</v>
      </c>
      <c r="CU242" s="29" t="str">
        <f t="shared" si="2621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622"/>
        <v>InitUnitState('',,,,,,,,,,)</v>
      </c>
      <c r="CO243" s="7" t="str">
        <f t="shared" si="2623"/>
        <v>InitUnitNormal('',,,,,,,,,,)</v>
      </c>
      <c r="CP243" s="7" t="str">
        <f t="shared" si="2624"/>
        <v>InitUnitMagic('',,,,,,,,,,)</v>
      </c>
      <c r="CQ243" s="7" t="str">
        <f t="shared" si="2625"/>
        <v>InitUnitAdd('',,,,,,,,,,)</v>
      </c>
      <c r="CR243" s="7" t="str">
        <f t="shared" si="2626"/>
        <v>InitEquipData('',,"",,,,,'','','','','','',"")</v>
      </c>
      <c r="CU243" s="29" t="str">
        <f t="shared" si="2621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622"/>
        <v>InitUnitState('',,,,,,,,,,)</v>
      </c>
      <c r="CO244" s="7" t="str">
        <f t="shared" si="2623"/>
        <v>InitUnitNormal('',,,,,,,,,,)</v>
      </c>
      <c r="CP244" s="7" t="str">
        <f t="shared" si="2624"/>
        <v>InitUnitMagic('',,,,,,,,,,)</v>
      </c>
      <c r="CQ244" s="7" t="str">
        <f t="shared" si="2625"/>
        <v>InitUnitAdd('',,,,,,,,,,)</v>
      </c>
      <c r="CR244" s="7" t="str">
        <f t="shared" si="2626"/>
        <v>InitEquipData('',,"",,,,,'','','','','','',"")</v>
      </c>
      <c r="CU244" s="29" t="str">
        <f t="shared" si="2621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622"/>
        <v>InitUnitState('',,,,,,,,,,)</v>
      </c>
      <c r="CO245" s="7" t="str">
        <f t="shared" si="2623"/>
        <v>InitUnitNormal('',,,,,,,,,,)</v>
      </c>
      <c r="CP245" s="7" t="str">
        <f t="shared" si="2624"/>
        <v>InitUnitMagic('',,,,,,,,,,)</v>
      </c>
      <c r="CQ245" s="7" t="str">
        <f t="shared" si="2625"/>
        <v>InitUnitAdd('',,,,,,,,,,)</v>
      </c>
      <c r="CR245" s="7" t="str">
        <f t="shared" si="2626"/>
        <v>InitEquipData('',,"",,,,,'','','','','','',"")</v>
      </c>
      <c r="CU245" s="29" t="str">
        <f t="shared" si="2621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20">
      <c r="CN246" s="7" t="str">
        <f t="shared" si="2622"/>
        <v>InitUnitState('',,,,,,,,,,)</v>
      </c>
      <c r="CO246" s="7" t="str">
        <f t="shared" si="2623"/>
        <v>InitUnitNormal('',,,,,,,,,,)</v>
      </c>
      <c r="CP246" s="7" t="str">
        <f t="shared" si="2624"/>
        <v>InitUnitMagic('',,,,,,,,,,)</v>
      </c>
      <c r="CQ246" s="7" t="str">
        <f t="shared" si="2625"/>
        <v>InitUnitAdd('',,,,,,,,,,)</v>
      </c>
      <c r="CR246" s="7" t="str">
        <f t="shared" si="2626"/>
        <v>InitEquipData('',,"",,,,,'','','','','','',"")</v>
      </c>
      <c r="CU246" s="29" t="str">
        <f t="shared" si="2621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20">
      <c r="CN247" s="7" t="str">
        <f t="shared" si="2622"/>
        <v>InitUnitState('',,,,,,,,,,)</v>
      </c>
      <c r="CO247" s="7" t="str">
        <f t="shared" si="2623"/>
        <v>InitUnitNormal('',,,,,,,,,,)</v>
      </c>
      <c r="CP247" s="7" t="str">
        <f t="shared" si="2624"/>
        <v>InitUnitMagic('',,,,,,,,,,)</v>
      </c>
      <c r="CQ247" s="7" t="str">
        <f t="shared" si="2625"/>
        <v>InitUnitAdd('',,,,,,,,,,)</v>
      </c>
      <c r="CR247" s="7" t="str">
        <f t="shared" si="2626"/>
        <v>InitEquipData('',,"",,,,,'','','','','','',"")</v>
      </c>
      <c r="CU247" s="29" t="str">
        <f t="shared" si="2621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20">
      <c r="CN248" s="7" t="str">
        <f t="shared" si="2622"/>
        <v>InitUnitState('',,,,,,,,,,)</v>
      </c>
      <c r="CO248" s="7" t="str">
        <f t="shared" si="2623"/>
        <v>InitUnitNormal('',,,,,,,,,,)</v>
      </c>
      <c r="CP248" s="7" t="str">
        <f t="shared" si="2624"/>
        <v>InitUnitMagic('',,,,,,,,,,)</v>
      </c>
      <c r="CQ248" s="7" t="str">
        <f t="shared" si="2625"/>
        <v>InitUnitAdd('',,,,,,,,,,)</v>
      </c>
      <c r="CR248" s="7" t="str">
        <f t="shared" si="2626"/>
        <v>InitEquipData('',,"",,,,,'','','','','','',"")</v>
      </c>
      <c r="CU248" s="29" t="str">
        <f t="shared" si="2621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20">
      <c r="CN249" s="7" t="str">
        <f t="shared" si="2622"/>
        <v>InitUnitState('',,,,,,,,,,)</v>
      </c>
      <c r="CO249" s="7" t="str">
        <f t="shared" si="2623"/>
        <v>InitUnitNormal('',,,,,,,,,,)</v>
      </c>
      <c r="CP249" s="7" t="str">
        <f t="shared" si="2624"/>
        <v>InitUnitMagic('',,,,,,,,,,)</v>
      </c>
      <c r="CQ249" s="7" t="str">
        <f t="shared" si="2625"/>
        <v>InitUnitAdd('',,,,,,,,,,)</v>
      </c>
      <c r="CR249" s="7" t="str">
        <f t="shared" si="2626"/>
        <v>InitEquipData('',,"",,,,,'','','','','','',"")</v>
      </c>
      <c r="CU249" s="29" t="str">
        <f t="shared" si="2621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20">
      <c r="CN250" s="7" t="str">
        <f t="shared" si="2622"/>
        <v>InitUnitState('',,,,,,,,,,)</v>
      </c>
      <c r="CO250" s="7" t="str">
        <f t="shared" si="2623"/>
        <v>InitUnitNormal('',,,,,,,,,,)</v>
      </c>
      <c r="CP250" s="7" t="str">
        <f t="shared" si="2624"/>
        <v>InitUnitMagic('',,,,,,,,,,)</v>
      </c>
      <c r="CQ250" s="7" t="str">
        <f t="shared" si="2625"/>
        <v>InitUnitAdd('',,,,,,,,,,)</v>
      </c>
      <c r="CR250" s="7" t="str">
        <f t="shared" si="2626"/>
        <v>InitEquipData('',,"",,,,,'','','','','','',"")</v>
      </c>
      <c r="CU250" s="29" t="str">
        <f t="shared" si="2621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20">
      <c r="CN251" s="7" t="str">
        <f t="shared" si="2622"/>
        <v>InitUnitState('',,,,,,,,,,)</v>
      </c>
      <c r="CO251" s="7" t="str">
        <f t="shared" si="2623"/>
        <v>InitUnitNormal('',,,,,,,,,,)</v>
      </c>
      <c r="CP251" s="7" t="str">
        <f t="shared" si="2624"/>
        <v>InitUnitMagic('',,,,,,,,,,)</v>
      </c>
      <c r="CQ251" s="7" t="str">
        <f t="shared" si="2625"/>
        <v>InitUnitAdd('',,,,,,,,,,)</v>
      </c>
      <c r="CR251" s="7" t="str">
        <f t="shared" si="2626"/>
        <v>InitEquipData('',,"",,,,,'','','','','','',"")</v>
      </c>
      <c r="CU251" s="29" t="str">
        <f t="shared" si="2621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20">
      <c r="CN252" s="7" t="str">
        <f t="shared" si="2622"/>
        <v>InitUnitState('',,,,,,,,,,)</v>
      </c>
      <c r="CO252" s="7" t="str">
        <f t="shared" si="2623"/>
        <v>InitUnitNormal('',,,,,,,,,,)</v>
      </c>
      <c r="CP252" s="7" t="str">
        <f t="shared" si="2624"/>
        <v>InitUnitMagic('',,,,,,,,,,)</v>
      </c>
      <c r="CQ252" s="7" t="str">
        <f t="shared" si="2625"/>
        <v>InitUnitAdd('',,,,,,,,,,)</v>
      </c>
      <c r="CR252" s="7" t="str">
        <f t="shared" si="2626"/>
        <v>InitEquipData('',,"",,,,,'','','','','','',"")</v>
      </c>
      <c r="CU252" s="29" t="str">
        <f t="shared" si="2621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20">
      <c r="CN253" s="7" t="str">
        <f t="shared" si="2622"/>
        <v>InitUnitState('',,,,,,,,,,)</v>
      </c>
      <c r="CO253" s="7" t="str">
        <f t="shared" si="2623"/>
        <v>InitUnitNormal('',,,,,,,,,,)</v>
      </c>
      <c r="CP253" s="7" t="str">
        <f t="shared" si="2624"/>
        <v>InitUnitMagic('',,,,,,,,,,)</v>
      </c>
      <c r="CQ253" s="7" t="str">
        <f t="shared" si="2625"/>
        <v>InitUnitAdd('',,,,,,,,,,)</v>
      </c>
      <c r="CR253" s="7" t="str">
        <f t="shared" si="2626"/>
        <v>InitEquipData('',,"",,,,,'','','','','','',"")</v>
      </c>
      <c r="CU253" s="29" t="str">
        <f t="shared" si="2621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20">
      <c r="CN254" s="7" t="str">
        <f t="shared" si="2622"/>
        <v>InitUnitState('',,,,,,,,,,)</v>
      </c>
      <c r="CO254" s="7" t="str">
        <f t="shared" si="2623"/>
        <v>InitUnitNormal('',,,,,,,,,,)</v>
      </c>
      <c r="CP254" s="7" t="str">
        <f t="shared" si="2624"/>
        <v>InitUnitMagic('',,,,,,,,,,)</v>
      </c>
      <c r="CQ254" s="7" t="str">
        <f t="shared" si="2625"/>
        <v>InitUnitAdd('',,,,,,,,,,)</v>
      </c>
      <c r="CR254" s="7" t="str">
        <f t="shared" si="2626"/>
        <v>InitEquipData('',,"",,,,,'','','','','','',"")</v>
      </c>
      <c r="CU254" s="29" t="str">
        <f t="shared" si="2621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装备!A102</f>
        <v>0</v>
      </c>
      <c r="B173" s="19" t="str">
        <f>"'"&amp;装备!B102&amp;"'"</f>
        <v>'IP01'</v>
      </c>
      <c r="C173" s="19">
        <f>装备!J102</f>
        <v>0</v>
      </c>
      <c r="D173" s="19">
        <f>装备!K102</f>
        <v>0</v>
      </c>
      <c r="E173" s="19">
        <f>装备!L102</f>
        <v>0</v>
      </c>
      <c r="F173" s="19">
        <f>装备!M102</f>
        <v>0</v>
      </c>
      <c r="G173" s="19">
        <f>装备!N102</f>
        <v>0</v>
      </c>
      <c r="H173" s="19">
        <f>装备!O102</f>
        <v>0</v>
      </c>
      <c r="I173" s="19">
        <f>IF(装备!J102=0,0,"'"&amp;装备!J102&amp;"'")</f>
        <v>0</v>
      </c>
      <c r="J173" s="19">
        <f>IF(装备!K102=0,0,"'"&amp;装备!K102&amp;"'")</f>
        <v>0</v>
      </c>
      <c r="K173" s="19">
        <f>IF(装备!L102=0,0,"'"&amp;装备!L102&amp;"'")</f>
        <v>0</v>
      </c>
      <c r="L173" s="19">
        <f>IF(装备!M102=0,0,"'"&amp;装备!M102&amp;"'")</f>
        <v>0</v>
      </c>
      <c r="M173" s="19">
        <f>IF(装备!N102=0,0,"'"&amp;装备!N102&amp;"'")</f>
        <v>0</v>
      </c>
      <c r="N173" s="19">
        <f>IF(装备!O102=0,0,"'"&amp;装备!O102&amp;"'")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装备!A103</f>
        <v>0</v>
      </c>
      <c r="B174" s="19" t="str">
        <f>"'"&amp;装备!B103&amp;"'"</f>
        <v>'IP02'</v>
      </c>
      <c r="C174" s="19">
        <f>装备!J103</f>
        <v>0</v>
      </c>
      <c r="D174" s="19">
        <f>装备!K103</f>
        <v>0</v>
      </c>
      <c r="E174" s="19">
        <f>装备!L103</f>
        <v>0</v>
      </c>
      <c r="F174" s="19">
        <f>装备!M103</f>
        <v>0</v>
      </c>
      <c r="G174" s="19">
        <f>装备!N103</f>
        <v>0</v>
      </c>
      <c r="H174" s="19">
        <f>装备!O103</f>
        <v>0</v>
      </c>
      <c r="I174" s="19">
        <f>IF(装备!J103=0,0,"'"&amp;装备!J103&amp;"'")</f>
        <v>0</v>
      </c>
      <c r="J174" s="19">
        <f>IF(装备!K103=0,0,"'"&amp;装备!K103&amp;"'")</f>
        <v>0</v>
      </c>
      <c r="K174" s="19">
        <f>IF(装备!L103=0,0,"'"&amp;装备!L103&amp;"'")</f>
        <v>0</v>
      </c>
      <c r="L174" s="19">
        <f>IF(装备!M103=0,0,"'"&amp;装备!M103&amp;"'")</f>
        <v>0</v>
      </c>
      <c r="M174" s="19">
        <f>IF(装备!N103=0,0,"'"&amp;装备!N103&amp;"'")</f>
        <v>0</v>
      </c>
      <c r="N174" s="19">
        <f>IF(装备!O103=0,0,"'"&amp;装备!O103&amp;"'")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装备!A104</f>
        <v>0</v>
      </c>
      <c r="B175" s="19" t="str">
        <f>"'"&amp;装备!B104&amp;"'"</f>
        <v>'IP03'</v>
      </c>
      <c r="C175" s="19">
        <f>装备!J104</f>
        <v>0</v>
      </c>
      <c r="D175" s="19">
        <f>装备!K104</f>
        <v>0</v>
      </c>
      <c r="E175" s="19">
        <f>装备!L104</f>
        <v>0</v>
      </c>
      <c r="F175" s="19">
        <f>装备!M104</f>
        <v>0</v>
      </c>
      <c r="G175" s="19">
        <f>装备!N104</f>
        <v>0</v>
      </c>
      <c r="H175" s="19">
        <f>装备!O104</f>
        <v>0</v>
      </c>
      <c r="I175" s="19">
        <f>IF(装备!J104=0,0,"'"&amp;装备!J104&amp;"'")</f>
        <v>0</v>
      </c>
      <c r="J175" s="19">
        <f>IF(装备!K104=0,0,"'"&amp;装备!K104&amp;"'")</f>
        <v>0</v>
      </c>
      <c r="K175" s="19">
        <f>IF(装备!L104=0,0,"'"&amp;装备!L104&amp;"'")</f>
        <v>0</v>
      </c>
      <c r="L175" s="19">
        <f>IF(装备!M104=0,0,"'"&amp;装备!M104&amp;"'")</f>
        <v>0</v>
      </c>
      <c r="M175" s="19">
        <f>IF(装备!N104=0,0,"'"&amp;装备!N104&amp;"'")</f>
        <v>0</v>
      </c>
      <c r="N175" s="19">
        <f>IF(装备!O104=0,0,"'"&amp;装备!O104&amp;"'")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装备!A105</f>
        <v>0</v>
      </c>
      <c r="B176" s="19" t="str">
        <f>"'"&amp;装备!B105&amp;"'"</f>
        <v>'IT01'</v>
      </c>
      <c r="C176" s="19">
        <f>装备!J105</f>
        <v>0</v>
      </c>
      <c r="D176" s="19">
        <f>装备!K105</f>
        <v>0</v>
      </c>
      <c r="E176" s="19">
        <f>装备!L105</f>
        <v>0</v>
      </c>
      <c r="F176" s="19">
        <f>装备!M105</f>
        <v>0</v>
      </c>
      <c r="G176" s="19">
        <f>装备!N105</f>
        <v>0</v>
      </c>
      <c r="H176" s="19">
        <f>装备!O105</f>
        <v>0</v>
      </c>
      <c r="I176" s="19">
        <f>IF(装备!J105=0,0,"'"&amp;装备!J105&amp;"'")</f>
        <v>0</v>
      </c>
      <c r="J176" s="19">
        <f>IF(装备!K105=0,0,"'"&amp;装备!K105&amp;"'")</f>
        <v>0</v>
      </c>
      <c r="K176" s="19">
        <f>IF(装备!L105=0,0,"'"&amp;装备!L105&amp;"'")</f>
        <v>0</v>
      </c>
      <c r="L176" s="19">
        <f>IF(装备!M105=0,0,"'"&amp;装备!M105&amp;"'")</f>
        <v>0</v>
      </c>
      <c r="M176" s="19">
        <f>IF(装备!N105=0,0,"'"&amp;装备!N105&amp;"'")</f>
        <v>0</v>
      </c>
      <c r="N176" s="19">
        <f>IF(装备!O105=0,0,"'"&amp;装备!O105&amp;"'")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装备!A106</f>
        <v>0</v>
      </c>
      <c r="B177" s="19" t="str">
        <f>"'"&amp;装备!B106&amp;"'"</f>
        <v>'IT02'</v>
      </c>
      <c r="C177" s="19">
        <f>装备!J106</f>
        <v>0</v>
      </c>
      <c r="D177" s="19">
        <f>装备!K106</f>
        <v>0</v>
      </c>
      <c r="E177" s="19">
        <f>装备!L106</f>
        <v>0</v>
      </c>
      <c r="F177" s="19">
        <f>装备!M106</f>
        <v>0</v>
      </c>
      <c r="G177" s="19">
        <f>装备!N106</f>
        <v>0</v>
      </c>
      <c r="H177" s="19">
        <f>装备!O106</f>
        <v>0</v>
      </c>
      <c r="I177" s="19">
        <f>IF(装备!J106=0,0,"'"&amp;装备!J106&amp;"'")</f>
        <v>0</v>
      </c>
      <c r="J177" s="19">
        <f>IF(装备!K106=0,0,"'"&amp;装备!K106&amp;"'")</f>
        <v>0</v>
      </c>
      <c r="K177" s="19">
        <f>IF(装备!L106=0,0,"'"&amp;装备!L106&amp;"'")</f>
        <v>0</v>
      </c>
      <c r="L177" s="19">
        <f>IF(装备!M106=0,0,"'"&amp;装备!M106&amp;"'")</f>
        <v>0</v>
      </c>
      <c r="M177" s="19">
        <f>IF(装备!N106=0,0,"'"&amp;装备!N106&amp;"'")</f>
        <v>0</v>
      </c>
      <c r="N177" s="19">
        <f>IF(装备!O106=0,0,"'"&amp;装备!O106&amp;"'")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装备!A107</f>
        <v>0</v>
      </c>
      <c r="B178" s="19" t="str">
        <f>"'"&amp;装备!B107&amp;"'"</f>
        <v>'IT03'</v>
      </c>
      <c r="C178" s="19">
        <f>装备!J107</f>
        <v>0</v>
      </c>
      <c r="D178" s="19">
        <f>装备!K107</f>
        <v>0</v>
      </c>
      <c r="E178" s="19">
        <f>装备!L107</f>
        <v>0</v>
      </c>
      <c r="F178" s="19">
        <f>装备!M107</f>
        <v>0</v>
      </c>
      <c r="G178" s="19">
        <f>装备!N107</f>
        <v>0</v>
      </c>
      <c r="H178" s="19">
        <f>装备!O107</f>
        <v>0</v>
      </c>
      <c r="I178" s="19">
        <f>IF(装备!J107=0,0,"'"&amp;装备!J107&amp;"'")</f>
        <v>0</v>
      </c>
      <c r="J178" s="19">
        <f>IF(装备!K107=0,0,"'"&amp;装备!K107&amp;"'")</f>
        <v>0</v>
      </c>
      <c r="K178" s="19">
        <f>IF(装备!L107=0,0,"'"&amp;装备!L107&amp;"'")</f>
        <v>0</v>
      </c>
      <c r="L178" s="19">
        <f>IF(装备!M107=0,0,"'"&amp;装备!M107&amp;"'")</f>
        <v>0</v>
      </c>
      <c r="M178" s="19">
        <f>IF(装备!N107=0,0,"'"&amp;装备!N107&amp;"'")</f>
        <v>0</v>
      </c>
      <c r="N178" s="19">
        <f>IF(装备!O107=0,0,"'"&amp;装备!O107&amp;"'")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装备!A108</f>
        <v>0</v>
      </c>
      <c r="B179" s="19" t="str">
        <f>"'"&amp;装备!B108&amp;"'"</f>
        <v>'IT04'</v>
      </c>
      <c r="C179" s="19">
        <f>装备!J108</f>
        <v>0</v>
      </c>
      <c r="D179" s="19">
        <f>装备!K108</f>
        <v>0</v>
      </c>
      <c r="E179" s="19">
        <f>装备!L108</f>
        <v>0</v>
      </c>
      <c r="F179" s="19">
        <f>装备!M108</f>
        <v>0</v>
      </c>
      <c r="G179" s="19">
        <f>装备!N108</f>
        <v>0</v>
      </c>
      <c r="H179" s="19">
        <f>装备!O108</f>
        <v>0</v>
      </c>
      <c r="I179" s="19">
        <f>IF(装备!J108=0,0,"'"&amp;装备!J108&amp;"'")</f>
        <v>0</v>
      </c>
      <c r="J179" s="19">
        <f>IF(装备!K108=0,0,"'"&amp;装备!K108&amp;"'")</f>
        <v>0</v>
      </c>
      <c r="K179" s="19">
        <f>IF(装备!L108=0,0,"'"&amp;装备!L108&amp;"'")</f>
        <v>0</v>
      </c>
      <c r="L179" s="19">
        <f>IF(装备!M108=0,0,"'"&amp;装备!M108&amp;"'")</f>
        <v>0</v>
      </c>
      <c r="M179" s="19">
        <f>IF(装备!N108=0,0,"'"&amp;装备!N108&amp;"'")</f>
        <v>0</v>
      </c>
      <c r="N179" s="19">
        <f>IF(装备!O108=0,0,"'"&amp;装备!O108&amp;"'")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装备!A109</f>
        <v>0</v>
      </c>
      <c r="B180" s="19" t="str">
        <f>"'"&amp;装备!B109&amp;"'"</f>
        <v>'IT05'</v>
      </c>
      <c r="C180" s="19">
        <f>装备!J109</f>
        <v>0</v>
      </c>
      <c r="D180" s="19">
        <f>装备!K109</f>
        <v>0</v>
      </c>
      <c r="E180" s="19">
        <f>装备!L109</f>
        <v>0</v>
      </c>
      <c r="F180" s="19">
        <f>装备!M109</f>
        <v>0</v>
      </c>
      <c r="G180" s="19">
        <f>装备!N109</f>
        <v>0</v>
      </c>
      <c r="H180" s="19">
        <f>装备!O109</f>
        <v>0</v>
      </c>
      <c r="I180" s="19">
        <f>IF(装备!J109=0,0,"'"&amp;装备!J109&amp;"'")</f>
        <v>0</v>
      </c>
      <c r="J180" s="19">
        <f>IF(装备!K109=0,0,"'"&amp;装备!K109&amp;"'")</f>
        <v>0</v>
      </c>
      <c r="K180" s="19">
        <f>IF(装备!L109=0,0,"'"&amp;装备!L109&amp;"'")</f>
        <v>0</v>
      </c>
      <c r="L180" s="19">
        <f>IF(装备!M109=0,0,"'"&amp;装备!M109&amp;"'")</f>
        <v>0</v>
      </c>
      <c r="M180" s="19">
        <f>IF(装备!N109=0,0,"'"&amp;装备!N109&amp;"'")</f>
        <v>0</v>
      </c>
      <c r="N180" s="19">
        <f>IF(装备!O109=0,0,"'"&amp;装备!O109&amp;"'")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装备!A110</f>
        <v>0</v>
      </c>
      <c r="B181" s="19" t="str">
        <f>"'"&amp;装备!B110&amp;"'"</f>
        <v>'IT06'</v>
      </c>
      <c r="C181" s="19">
        <f>装备!J110</f>
        <v>0</v>
      </c>
      <c r="D181" s="19">
        <f>装备!K110</f>
        <v>0</v>
      </c>
      <c r="E181" s="19">
        <f>装备!L110</f>
        <v>0</v>
      </c>
      <c r="F181" s="19">
        <f>装备!M110</f>
        <v>0</v>
      </c>
      <c r="G181" s="19">
        <f>装备!N110</f>
        <v>0</v>
      </c>
      <c r="H181" s="19">
        <f>装备!O110</f>
        <v>0</v>
      </c>
      <c r="I181" s="19">
        <f>IF(装备!J110=0,0,"'"&amp;装备!J110&amp;"'")</f>
        <v>0</v>
      </c>
      <c r="J181" s="19">
        <f>IF(装备!K110=0,0,"'"&amp;装备!K110&amp;"'")</f>
        <v>0</v>
      </c>
      <c r="K181" s="19">
        <f>IF(装备!L110=0,0,"'"&amp;装备!L110&amp;"'")</f>
        <v>0</v>
      </c>
      <c r="L181" s="19">
        <f>IF(装备!M110=0,0,"'"&amp;装备!M110&amp;"'")</f>
        <v>0</v>
      </c>
      <c r="M181" s="19">
        <f>IF(装备!N110=0,0,"'"&amp;装备!N110&amp;"'")</f>
        <v>0</v>
      </c>
      <c r="N181" s="19">
        <f>IF(装备!O110=0,0,"'"&amp;装备!O110&amp;"'")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装备!A111</f>
        <v>0</v>
      </c>
      <c r="B182" s="19" t="str">
        <f>"'"&amp;装备!B111&amp;"'"</f>
        <v>'IT07'</v>
      </c>
      <c r="C182" s="19">
        <f>装备!J111</f>
        <v>0</v>
      </c>
      <c r="D182" s="19">
        <f>装备!K111</f>
        <v>0</v>
      </c>
      <c r="E182" s="19">
        <f>装备!L111</f>
        <v>0</v>
      </c>
      <c r="F182" s="19">
        <f>装备!M111</f>
        <v>0</v>
      </c>
      <c r="G182" s="19">
        <f>装备!N111</f>
        <v>0</v>
      </c>
      <c r="H182" s="19">
        <f>装备!O111</f>
        <v>0</v>
      </c>
      <c r="I182" s="19">
        <f>IF(装备!J111=0,0,"'"&amp;装备!J111&amp;"'")</f>
        <v>0</v>
      </c>
      <c r="J182" s="19">
        <f>IF(装备!K111=0,0,"'"&amp;装备!K111&amp;"'")</f>
        <v>0</v>
      </c>
      <c r="K182" s="19">
        <f>IF(装备!L111=0,0,"'"&amp;装备!L111&amp;"'")</f>
        <v>0</v>
      </c>
      <c r="L182" s="19">
        <f>IF(装备!M111=0,0,"'"&amp;装备!M111&amp;"'")</f>
        <v>0</v>
      </c>
      <c r="M182" s="19">
        <f>IF(装备!N111=0,0,"'"&amp;装备!N111&amp;"'")</f>
        <v>0</v>
      </c>
      <c r="N182" s="19">
        <f>IF(装备!O111=0,0,"'"&amp;装备!O111&amp;"'")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装备!A112</f>
        <v>.</v>
      </c>
      <c r="B183" s="19" t="str">
        <f>"'"&amp;装备!B112&amp;"'"</f>
        <v>'IT08'</v>
      </c>
      <c r="C183" s="19">
        <f>装备!J112</f>
        <v>0</v>
      </c>
      <c r="D183" s="19">
        <f>装备!K112</f>
        <v>0</v>
      </c>
      <c r="E183" s="19">
        <f>装备!L112</f>
        <v>0</v>
      </c>
      <c r="F183" s="19">
        <f>装备!M112</f>
        <v>0</v>
      </c>
      <c r="G183" s="19">
        <f>装备!N112</f>
        <v>0</v>
      </c>
      <c r="H183" s="19">
        <f>装备!O112</f>
        <v>0</v>
      </c>
      <c r="I183" s="19">
        <f>IF(装备!J112=0,0,"'"&amp;装备!J112&amp;"'")</f>
        <v>0</v>
      </c>
      <c r="J183" s="19">
        <f>IF(装备!K112=0,0,"'"&amp;装备!K112&amp;"'")</f>
        <v>0</v>
      </c>
      <c r="K183" s="19">
        <f>IF(装备!L112=0,0,"'"&amp;装备!L112&amp;"'")</f>
        <v>0</v>
      </c>
      <c r="L183" s="19">
        <f>IF(装备!M112=0,0,"'"&amp;装备!M112&amp;"'")</f>
        <v>0</v>
      </c>
      <c r="M183" s="19">
        <f>IF(装备!N112=0,0,"'"&amp;装备!N112&amp;"'")</f>
        <v>0</v>
      </c>
      <c r="N183" s="19">
        <f>IF(装备!O112=0,0,"'"&amp;装备!O112&amp;"'")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装备!A113</f>
        <v>0</v>
      </c>
      <c r="B184" s="19" t="str">
        <f>"'"&amp;装备!B113&amp;"'"</f>
        <v>'IT09'</v>
      </c>
      <c r="C184" s="19">
        <f>装备!J113</f>
        <v>0</v>
      </c>
      <c r="D184" s="19">
        <f>装备!K113</f>
        <v>0</v>
      </c>
      <c r="E184" s="19">
        <f>装备!L113</f>
        <v>0</v>
      </c>
      <c r="F184" s="19">
        <f>装备!M113</f>
        <v>0</v>
      </c>
      <c r="G184" s="19">
        <f>装备!N113</f>
        <v>0</v>
      </c>
      <c r="H184" s="19">
        <f>装备!O113</f>
        <v>0</v>
      </c>
      <c r="I184" s="19">
        <f>IF(装备!J113=0,0,"'"&amp;装备!J113&amp;"'")</f>
        <v>0</v>
      </c>
      <c r="J184" s="19">
        <f>IF(装备!K113=0,0,"'"&amp;装备!K113&amp;"'")</f>
        <v>0</v>
      </c>
      <c r="K184" s="19">
        <f>IF(装备!L113=0,0,"'"&amp;装备!L113&amp;"'")</f>
        <v>0</v>
      </c>
      <c r="L184" s="19">
        <f>IF(装备!M113=0,0,"'"&amp;装备!M113&amp;"'")</f>
        <v>0</v>
      </c>
      <c r="M184" s="19">
        <f>IF(装备!N113=0,0,"'"&amp;装备!N113&amp;"'")</f>
        <v>0</v>
      </c>
      <c r="N184" s="19">
        <f>IF(装备!O113=0,0,"'"&amp;装备!O113&amp;"'")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装备!A114</f>
        <v>0</v>
      </c>
      <c r="B185" s="19" t="str">
        <f>"'"&amp;装备!B114&amp;"'"</f>
        <v>'IT10'</v>
      </c>
      <c r="C185" s="19">
        <f>装备!J114</f>
        <v>0</v>
      </c>
      <c r="D185" s="19">
        <f>装备!K114</f>
        <v>0</v>
      </c>
      <c r="E185" s="19">
        <f>装备!L114</f>
        <v>0</v>
      </c>
      <c r="F185" s="19">
        <f>装备!M114</f>
        <v>0</v>
      </c>
      <c r="G185" s="19">
        <f>装备!N114</f>
        <v>0</v>
      </c>
      <c r="H185" s="19">
        <f>装备!O114</f>
        <v>0</v>
      </c>
      <c r="I185" s="19">
        <f>IF(装备!J114=0,0,"'"&amp;装备!J114&amp;"'")</f>
        <v>0</v>
      </c>
      <c r="J185" s="19">
        <f>IF(装备!K114=0,0,"'"&amp;装备!K114&amp;"'")</f>
        <v>0</v>
      </c>
      <c r="K185" s="19">
        <f>IF(装备!L114=0,0,"'"&amp;装备!L114&amp;"'")</f>
        <v>0</v>
      </c>
      <c r="L185" s="19">
        <f>IF(装备!M114=0,0,"'"&amp;装备!M114&amp;"'")</f>
        <v>0</v>
      </c>
      <c r="M185" s="19">
        <f>IF(装备!N114=0,0,"'"&amp;装备!N114&amp;"'")</f>
        <v>0</v>
      </c>
      <c r="N185" s="19">
        <f>IF(装备!O114=0,0,"'"&amp;装备!O114&amp;"'")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装备!A119</f>
        <v>0</v>
      </c>
      <c r="B186" s="19" t="str">
        <f>"'"&amp;装备!B119&amp;"'"</f>
        <v>'IS01'</v>
      </c>
      <c r="C186" s="19">
        <f>装备!J119</f>
        <v>0</v>
      </c>
      <c r="D186" s="19">
        <f>装备!K119</f>
        <v>0</v>
      </c>
      <c r="E186" s="19">
        <f>装备!L119</f>
        <v>0</v>
      </c>
      <c r="F186" s="19">
        <f>装备!M119</f>
        <v>0</v>
      </c>
      <c r="G186" s="19">
        <f>装备!N119</f>
        <v>0</v>
      </c>
      <c r="H186" s="19">
        <f>装备!O119</f>
        <v>0</v>
      </c>
      <c r="I186" s="19">
        <f>IF(装备!J119=0,0,"'"&amp;装备!J119&amp;"'")</f>
        <v>0</v>
      </c>
      <c r="J186" s="19">
        <f>IF(装备!K119=0,0,"'"&amp;装备!K119&amp;"'")</f>
        <v>0</v>
      </c>
      <c r="K186" s="19">
        <f>IF(装备!L119=0,0,"'"&amp;装备!L119&amp;"'")</f>
        <v>0</v>
      </c>
      <c r="L186" s="19">
        <f>IF(装备!M119=0,0,"'"&amp;装备!M119&amp;"'")</f>
        <v>0</v>
      </c>
      <c r="M186" s="19">
        <f>IF(装备!N119=0,0,"'"&amp;装备!N119&amp;"'")</f>
        <v>0</v>
      </c>
      <c r="N186" s="19">
        <f>IF(装备!O119=0,0,"'"&amp;装备!O119&amp;"'")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装备!A120</f>
        <v>0</v>
      </c>
      <c r="B187" s="19" t="str">
        <f>"'"&amp;装备!B120&amp;"'"</f>
        <v>'IS02'</v>
      </c>
      <c r="C187" s="19">
        <f>装备!J120</f>
        <v>0</v>
      </c>
      <c r="D187" s="19">
        <f>装备!K120</f>
        <v>0</v>
      </c>
      <c r="E187" s="19">
        <f>装备!L120</f>
        <v>0</v>
      </c>
      <c r="F187" s="19">
        <f>装备!M120</f>
        <v>0</v>
      </c>
      <c r="G187" s="19">
        <f>装备!N120</f>
        <v>0</v>
      </c>
      <c r="H187" s="19">
        <f>装备!O120</f>
        <v>0</v>
      </c>
      <c r="I187" s="19">
        <f>IF(装备!J120=0,0,"'"&amp;装备!J120&amp;"'")</f>
        <v>0</v>
      </c>
      <c r="J187" s="19">
        <f>IF(装备!K120=0,0,"'"&amp;装备!K120&amp;"'")</f>
        <v>0</v>
      </c>
      <c r="K187" s="19">
        <f>IF(装备!L120=0,0,"'"&amp;装备!L120&amp;"'")</f>
        <v>0</v>
      </c>
      <c r="L187" s="19">
        <f>IF(装备!M120=0,0,"'"&amp;装备!M120&amp;"'")</f>
        <v>0</v>
      </c>
      <c r="M187" s="19">
        <f>IF(装备!N120=0,0,"'"&amp;装备!N120&amp;"'")</f>
        <v>0</v>
      </c>
      <c r="N187" s="19">
        <f>IF(装备!O120=0,0,"'"&amp;装备!O120&amp;"'")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装备!A121</f>
        <v>0</v>
      </c>
      <c r="B188" s="19" t="str">
        <f>"'"&amp;装备!B121&amp;"'"</f>
        <v>'IS03'</v>
      </c>
      <c r="C188" s="19">
        <f>装备!J121</f>
        <v>0</v>
      </c>
      <c r="D188" s="19">
        <f>装备!K121</f>
        <v>0</v>
      </c>
      <c r="E188" s="19">
        <f>装备!L121</f>
        <v>0</v>
      </c>
      <c r="F188" s="19">
        <f>装备!M121</f>
        <v>0</v>
      </c>
      <c r="G188" s="19">
        <f>装备!N121</f>
        <v>0</v>
      </c>
      <c r="H188" s="19">
        <f>装备!O121</f>
        <v>0</v>
      </c>
      <c r="I188" s="19">
        <f>IF(装备!J121=0,0,"'"&amp;装备!J121&amp;"'")</f>
        <v>0</v>
      </c>
      <c r="J188" s="19">
        <f>IF(装备!K121=0,0,"'"&amp;装备!K121&amp;"'")</f>
        <v>0</v>
      </c>
      <c r="K188" s="19">
        <f>IF(装备!L121=0,0,"'"&amp;装备!L121&amp;"'")</f>
        <v>0</v>
      </c>
      <c r="L188" s="19">
        <f>IF(装备!M121=0,0,"'"&amp;装备!M121&amp;"'")</f>
        <v>0</v>
      </c>
      <c r="M188" s="19">
        <f>IF(装备!N121=0,0,"'"&amp;装备!N121&amp;"'")</f>
        <v>0</v>
      </c>
      <c r="N188" s="19">
        <f>IF(装备!O121=0,0,"'"&amp;装备!O121&amp;"'")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装备!A122</f>
        <v>0</v>
      </c>
      <c r="B189" s="19" t="str">
        <f>"'"&amp;装备!B122&amp;"'"</f>
        <v>'IS04'</v>
      </c>
      <c r="C189" s="19">
        <f>装备!J122</f>
        <v>0</v>
      </c>
      <c r="D189" s="19">
        <f>装备!K122</f>
        <v>0</v>
      </c>
      <c r="E189" s="19">
        <f>装备!L122</f>
        <v>0</v>
      </c>
      <c r="F189" s="19">
        <f>装备!M122</f>
        <v>0</v>
      </c>
      <c r="G189" s="19">
        <f>装备!N122</f>
        <v>0</v>
      </c>
      <c r="H189" s="19">
        <f>装备!O122</f>
        <v>0</v>
      </c>
      <c r="I189" s="19">
        <f>IF(装备!J122=0,0,"'"&amp;装备!J122&amp;"'")</f>
        <v>0</v>
      </c>
      <c r="J189" s="19">
        <f>IF(装备!K122=0,0,"'"&amp;装备!K122&amp;"'")</f>
        <v>0</v>
      </c>
      <c r="K189" s="19">
        <f>IF(装备!L122=0,0,"'"&amp;装备!L122&amp;"'")</f>
        <v>0</v>
      </c>
      <c r="L189" s="19">
        <f>IF(装备!M122=0,0,"'"&amp;装备!M122&amp;"'")</f>
        <v>0</v>
      </c>
      <c r="M189" s="19">
        <f>IF(装备!N122=0,0,"'"&amp;装备!N122&amp;"'")</f>
        <v>0</v>
      </c>
      <c r="N189" s="19">
        <f>IF(装备!O122=0,0,"'"&amp;装备!O122&amp;"'")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装备!A124</f>
        <v>0</v>
      </c>
      <c r="B190" s="19" t="str">
        <f>"'"&amp;装备!B124&amp;"'"</f>
        <v>'IH00'</v>
      </c>
      <c r="C190" s="19">
        <f>装备!J124</f>
        <v>0</v>
      </c>
      <c r="D190" s="19">
        <f>装备!K124</f>
        <v>0</v>
      </c>
      <c r="E190" s="19">
        <f>装备!L124</f>
        <v>0</v>
      </c>
      <c r="F190" s="19">
        <f>装备!M124</f>
        <v>0</v>
      </c>
      <c r="G190" s="19">
        <f>装备!N124</f>
        <v>0</v>
      </c>
      <c r="H190" s="19">
        <f>装备!O124</f>
        <v>0</v>
      </c>
      <c r="I190" s="19">
        <f>IF(装备!J124=0,0,"'"&amp;装备!J124&amp;"'")</f>
        <v>0</v>
      </c>
      <c r="J190" s="19">
        <f>IF(装备!K124=0,0,"'"&amp;装备!K124&amp;"'")</f>
        <v>0</v>
      </c>
      <c r="K190" s="19">
        <f>IF(装备!L124=0,0,"'"&amp;装备!L124&amp;"'")</f>
        <v>0</v>
      </c>
      <c r="L190" s="19">
        <f>IF(装备!M124=0,0,"'"&amp;装备!M124&amp;"'")</f>
        <v>0</v>
      </c>
      <c r="M190" s="19">
        <f>IF(装备!N124=0,0,"'"&amp;装备!N124&amp;"'")</f>
        <v>0</v>
      </c>
      <c r="N190" s="19">
        <f>IF(装备!O124=0,0,"'"&amp;装备!O124&amp;"'")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装备!A125</f>
        <v>0</v>
      </c>
      <c r="B191" s="19" t="str">
        <f>"'"&amp;装备!B125&amp;"'"</f>
        <v>'IH01'</v>
      </c>
      <c r="C191" s="19">
        <f>装备!J125</f>
        <v>0</v>
      </c>
      <c r="D191" s="19">
        <f>装备!K125</f>
        <v>0</v>
      </c>
      <c r="E191" s="19">
        <f>装备!L125</f>
        <v>0</v>
      </c>
      <c r="F191" s="19">
        <f>装备!M125</f>
        <v>0</v>
      </c>
      <c r="G191" s="19">
        <f>装备!N125</f>
        <v>0</v>
      </c>
      <c r="H191" s="19">
        <f>装备!O125</f>
        <v>0</v>
      </c>
      <c r="I191" s="19">
        <f>IF(装备!J125=0,0,"'"&amp;装备!J125&amp;"'")</f>
        <v>0</v>
      </c>
      <c r="J191" s="19">
        <f>IF(装备!K125=0,0,"'"&amp;装备!K125&amp;"'")</f>
        <v>0</v>
      </c>
      <c r="K191" s="19">
        <f>IF(装备!L125=0,0,"'"&amp;装备!L125&amp;"'")</f>
        <v>0</v>
      </c>
      <c r="L191" s="19">
        <f>IF(装备!M125=0,0,"'"&amp;装备!M125&amp;"'")</f>
        <v>0</v>
      </c>
      <c r="M191" s="19">
        <f>IF(装备!N125=0,0,"'"&amp;装备!N125&amp;"'")</f>
        <v>0</v>
      </c>
      <c r="N191" s="19">
        <f>IF(装备!O125=0,0,"'"&amp;装备!O125&amp;"'")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装备!A126</f>
        <v>0</v>
      </c>
      <c r="B192" s="19" t="str">
        <f>"'"&amp;装备!B126&amp;"'"</f>
        <v>'IH02'</v>
      </c>
      <c r="C192" s="19">
        <f>装备!J126</f>
        <v>0</v>
      </c>
      <c r="D192" s="19">
        <f>装备!K126</f>
        <v>0</v>
      </c>
      <c r="E192" s="19">
        <f>装备!L126</f>
        <v>0</v>
      </c>
      <c r="F192" s="19">
        <f>装备!M126</f>
        <v>0</v>
      </c>
      <c r="G192" s="19">
        <f>装备!N126</f>
        <v>0</v>
      </c>
      <c r="H192" s="19">
        <f>装备!O126</f>
        <v>0</v>
      </c>
      <c r="I192" s="19">
        <f>IF(装备!J126=0,0,"'"&amp;装备!J126&amp;"'")</f>
        <v>0</v>
      </c>
      <c r="J192" s="19">
        <f>IF(装备!K126=0,0,"'"&amp;装备!K126&amp;"'")</f>
        <v>0</v>
      </c>
      <c r="K192" s="19">
        <f>IF(装备!L126=0,0,"'"&amp;装备!L126&amp;"'")</f>
        <v>0</v>
      </c>
      <c r="L192" s="19">
        <f>IF(装备!M126=0,0,"'"&amp;装备!M126&amp;"'")</f>
        <v>0</v>
      </c>
      <c r="M192" s="19">
        <f>IF(装备!N126=0,0,"'"&amp;装备!N126&amp;"'")</f>
        <v>0</v>
      </c>
      <c r="N192" s="19">
        <f>IF(装备!O126=0,0,"'"&amp;装备!O126&amp;"'")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装备!A127</f>
        <v>0</v>
      </c>
      <c r="B193" s="19" t="str">
        <f>"'"&amp;装备!B127&amp;"'"</f>
        <v>'IH03'</v>
      </c>
      <c r="C193" s="19">
        <f>装备!J127</f>
        <v>0</v>
      </c>
      <c r="D193" s="19">
        <f>装备!K127</f>
        <v>0</v>
      </c>
      <c r="E193" s="19">
        <f>装备!L127</f>
        <v>0</v>
      </c>
      <c r="F193" s="19">
        <f>装备!M127</f>
        <v>0</v>
      </c>
      <c r="G193" s="19">
        <f>装备!N127</f>
        <v>0</v>
      </c>
      <c r="H193" s="19">
        <f>装备!O127</f>
        <v>0</v>
      </c>
      <c r="I193" s="19">
        <f>IF(装备!J127=0,0,"'"&amp;装备!J127&amp;"'")</f>
        <v>0</v>
      </c>
      <c r="J193" s="19">
        <f>IF(装备!K127=0,0,"'"&amp;装备!K127&amp;"'")</f>
        <v>0</v>
      </c>
      <c r="K193" s="19">
        <f>IF(装备!L127=0,0,"'"&amp;装备!L127&amp;"'")</f>
        <v>0</v>
      </c>
      <c r="L193" s="19">
        <f>IF(装备!M127=0,0,"'"&amp;装备!M127&amp;"'")</f>
        <v>0</v>
      </c>
      <c r="M193" s="19">
        <f>IF(装备!N127=0,0,"'"&amp;装备!N127&amp;"'")</f>
        <v>0</v>
      </c>
      <c r="N193" s="19">
        <f>IF(装备!O127=0,0,"'"&amp;装备!O127&amp;"'")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装备!A128</f>
        <v>0</v>
      </c>
      <c r="B194" s="19" t="str">
        <f>"'"&amp;装备!B128&amp;"'"</f>
        <v>'IH04'</v>
      </c>
      <c r="C194" s="19">
        <f>装备!J128</f>
        <v>0</v>
      </c>
      <c r="D194" s="19">
        <f>装备!K128</f>
        <v>0</v>
      </c>
      <c r="E194" s="19">
        <f>装备!L128</f>
        <v>0</v>
      </c>
      <c r="F194" s="19">
        <f>装备!M128</f>
        <v>0</v>
      </c>
      <c r="G194" s="19">
        <f>装备!N128</f>
        <v>0</v>
      </c>
      <c r="H194" s="19">
        <f>装备!O128</f>
        <v>0</v>
      </c>
      <c r="I194" s="19">
        <f>IF(装备!J128=0,0,"'"&amp;装备!J128&amp;"'")</f>
        <v>0</v>
      </c>
      <c r="J194" s="19">
        <f>IF(装备!K128=0,0,"'"&amp;装备!K128&amp;"'")</f>
        <v>0</v>
      </c>
      <c r="K194" s="19">
        <f>IF(装备!L128=0,0,"'"&amp;装备!L128&amp;"'")</f>
        <v>0</v>
      </c>
      <c r="L194" s="19">
        <f>IF(装备!M128=0,0,"'"&amp;装备!M128&amp;"'")</f>
        <v>0</v>
      </c>
      <c r="M194" s="19">
        <f>IF(装备!N128=0,0,"'"&amp;装备!N128&amp;"'")</f>
        <v>0</v>
      </c>
      <c r="N194" s="19">
        <f>IF(装备!O128=0,0,"'"&amp;装备!O128&amp;"'")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装备!A129</f>
        <v>0</v>
      </c>
      <c r="B195" s="19" t="str">
        <f>"'"&amp;装备!B129&amp;"'"</f>
        <v>'IH05'</v>
      </c>
      <c r="C195" s="19">
        <f>装备!J129</f>
        <v>0</v>
      </c>
      <c r="D195" s="19">
        <f>装备!K129</f>
        <v>0</v>
      </c>
      <c r="E195" s="19">
        <f>装备!L129</f>
        <v>0</v>
      </c>
      <c r="F195" s="19">
        <f>装备!M129</f>
        <v>0</v>
      </c>
      <c r="G195" s="19">
        <f>装备!N129</f>
        <v>0</v>
      </c>
      <c r="H195" s="19">
        <f>装备!O129</f>
        <v>0</v>
      </c>
      <c r="I195" s="19">
        <f>IF(装备!J129=0,0,"'"&amp;装备!J129&amp;"'")</f>
        <v>0</v>
      </c>
      <c r="J195" s="19">
        <f>IF(装备!K129=0,0,"'"&amp;装备!K129&amp;"'")</f>
        <v>0</v>
      </c>
      <c r="K195" s="19">
        <f>IF(装备!L129=0,0,"'"&amp;装备!L129&amp;"'")</f>
        <v>0</v>
      </c>
      <c r="L195" s="19">
        <f>IF(装备!M129=0,0,"'"&amp;装备!M129&amp;"'")</f>
        <v>0</v>
      </c>
      <c r="M195" s="19">
        <f>IF(装备!N129=0,0,"'"&amp;装备!N129&amp;"'")</f>
        <v>0</v>
      </c>
      <c r="N195" s="19">
        <f>IF(装备!O129=0,0,"'"&amp;装备!O129&amp;"'")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装备!A130</f>
        <v>0</v>
      </c>
      <c r="B196" s="19" t="str">
        <f>"'"&amp;装备!B130&amp;"'"</f>
        <v>'IH06'</v>
      </c>
      <c r="C196" s="19">
        <f>装备!J130</f>
        <v>0</v>
      </c>
      <c r="D196" s="19">
        <f>装备!K130</f>
        <v>0</v>
      </c>
      <c r="E196" s="19">
        <f>装备!L130</f>
        <v>0</v>
      </c>
      <c r="F196" s="19">
        <f>装备!M130</f>
        <v>0</v>
      </c>
      <c r="G196" s="19">
        <f>装备!N130</f>
        <v>0</v>
      </c>
      <c r="H196" s="19">
        <f>装备!O130</f>
        <v>0</v>
      </c>
      <c r="I196" s="19">
        <f>IF(装备!J130=0,0,"'"&amp;装备!J130&amp;"'")</f>
        <v>0</v>
      </c>
      <c r="J196" s="19">
        <f>IF(装备!K130=0,0,"'"&amp;装备!K130&amp;"'")</f>
        <v>0</v>
      </c>
      <c r="K196" s="19">
        <f>IF(装备!L130=0,0,"'"&amp;装备!L130&amp;"'")</f>
        <v>0</v>
      </c>
      <c r="L196" s="19">
        <f>IF(装备!M130=0,0,"'"&amp;装备!M130&amp;"'")</f>
        <v>0</v>
      </c>
      <c r="M196" s="19">
        <f>IF(装备!N130=0,0,"'"&amp;装备!N130&amp;"'")</f>
        <v>0</v>
      </c>
      <c r="N196" s="19">
        <f>IF(装备!O130=0,0,"'"&amp;装备!O130&amp;"'")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装备!A131</f>
        <v>0</v>
      </c>
      <c r="B197" s="19" t="str">
        <f>"'"&amp;装备!B131&amp;"'"</f>
        <v>'IH07'</v>
      </c>
      <c r="C197" s="19">
        <f>装备!J131</f>
        <v>0</v>
      </c>
      <c r="D197" s="19">
        <f>装备!K131</f>
        <v>0</v>
      </c>
      <c r="E197" s="19">
        <f>装备!L131</f>
        <v>0</v>
      </c>
      <c r="F197" s="19">
        <f>装备!M131</f>
        <v>0</v>
      </c>
      <c r="G197" s="19">
        <f>装备!N131</f>
        <v>0</v>
      </c>
      <c r="H197" s="19">
        <f>装备!O131</f>
        <v>0</v>
      </c>
      <c r="I197" s="19">
        <f>IF(装备!J131=0,0,"'"&amp;装备!J131&amp;"'")</f>
        <v>0</v>
      </c>
      <c r="J197" s="19">
        <f>IF(装备!K131=0,0,"'"&amp;装备!K131&amp;"'")</f>
        <v>0</v>
      </c>
      <c r="K197" s="19">
        <f>IF(装备!L131=0,0,"'"&amp;装备!L131&amp;"'")</f>
        <v>0</v>
      </c>
      <c r="L197" s="19">
        <f>IF(装备!M131=0,0,"'"&amp;装备!M131&amp;"'")</f>
        <v>0</v>
      </c>
      <c r="M197" s="19">
        <f>IF(装备!N131=0,0,"'"&amp;装备!N131&amp;"'")</f>
        <v>0</v>
      </c>
      <c r="N197" s="19">
        <f>IF(装备!O131=0,0,"'"&amp;装备!O131&amp;"'")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装备!A132</f>
        <v>0</v>
      </c>
      <c r="B198" s="19" t="str">
        <f>"'"&amp;装备!B132&amp;"'"</f>
        <v>'IH08'</v>
      </c>
      <c r="C198" s="19">
        <f>装备!J132</f>
        <v>0</v>
      </c>
      <c r="D198" s="19">
        <f>装备!K132</f>
        <v>0</v>
      </c>
      <c r="E198" s="19">
        <f>装备!L132</f>
        <v>0</v>
      </c>
      <c r="F198" s="19">
        <f>装备!M132</f>
        <v>0</v>
      </c>
      <c r="G198" s="19">
        <f>装备!N132</f>
        <v>0</v>
      </c>
      <c r="H198" s="19">
        <f>装备!O132</f>
        <v>0</v>
      </c>
      <c r="I198" s="19">
        <f>IF(装备!J132=0,0,"'"&amp;装备!J132&amp;"'")</f>
        <v>0</v>
      </c>
      <c r="J198" s="19">
        <f>IF(装备!K132=0,0,"'"&amp;装备!K132&amp;"'")</f>
        <v>0</v>
      </c>
      <c r="K198" s="19">
        <f>IF(装备!L132=0,0,"'"&amp;装备!L132&amp;"'")</f>
        <v>0</v>
      </c>
      <c r="L198" s="19">
        <f>IF(装备!M132=0,0,"'"&amp;装备!M132&amp;"'")</f>
        <v>0</v>
      </c>
      <c r="M198" s="19">
        <f>IF(装备!N132=0,0,"'"&amp;装备!N132&amp;"'")</f>
        <v>0</v>
      </c>
      <c r="N198" s="19">
        <f>IF(装备!O132=0,0,"'"&amp;装备!O132&amp;"'")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装备!A138</f>
        <v>0</v>
      </c>
      <c r="B199" s="19" t="str">
        <f>"'"&amp;装备!B138&amp;"'"</f>
        <v>''</v>
      </c>
      <c r="C199" s="19">
        <f>装备!J138</f>
        <v>0</v>
      </c>
      <c r="D199" s="19">
        <f>装备!K138</f>
        <v>0</v>
      </c>
      <c r="E199" s="19">
        <f>装备!L138</f>
        <v>0</v>
      </c>
      <c r="F199" s="19">
        <f>装备!M138</f>
        <v>0</v>
      </c>
      <c r="G199" s="19">
        <f>装备!N138</f>
        <v>0</v>
      </c>
      <c r="H199" s="19">
        <f>装备!O138</f>
        <v>0</v>
      </c>
      <c r="I199" s="19">
        <f>IF(装备!J138=0,0,"'"&amp;装备!J138&amp;"'")</f>
        <v>0</v>
      </c>
      <c r="J199" s="19">
        <f>IF(装备!K138=0,0,"'"&amp;装备!K138&amp;"'")</f>
        <v>0</v>
      </c>
      <c r="K199" s="19">
        <f>IF(装备!L138=0,0,"'"&amp;装备!L138&amp;"'")</f>
        <v>0</v>
      </c>
      <c r="L199" s="19">
        <f>IF(装备!M138=0,0,"'"&amp;装备!M138&amp;"'")</f>
        <v>0</v>
      </c>
      <c r="M199" s="19">
        <f>IF(装备!N138=0,0,"'"&amp;装备!N138&amp;"'")</f>
        <v>0</v>
      </c>
      <c r="N199" s="19">
        <f>IF(装备!O138=0,0,"'"&amp;装备!O138&amp;"'")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装备!A139</f>
        <v>0</v>
      </c>
      <c r="B200" s="19" t="str">
        <f>"'"&amp;装备!B139&amp;"'"</f>
        <v>''</v>
      </c>
      <c r="C200" s="19">
        <f>装备!J139</f>
        <v>0</v>
      </c>
      <c r="D200" s="19">
        <f>装备!K139</f>
        <v>0</v>
      </c>
      <c r="E200" s="19">
        <f>装备!L139</f>
        <v>0</v>
      </c>
      <c r="F200" s="19">
        <f>装备!M139</f>
        <v>0</v>
      </c>
      <c r="G200" s="19">
        <f>装备!N139</f>
        <v>0</v>
      </c>
      <c r="H200" s="19">
        <f>装备!O139</f>
        <v>0</v>
      </c>
      <c r="I200" s="19">
        <f>IF(装备!J139=0,0,"'"&amp;装备!J139&amp;"'")</f>
        <v>0</v>
      </c>
      <c r="J200" s="19">
        <f>IF(装备!K139=0,0,"'"&amp;装备!K139&amp;"'")</f>
        <v>0</v>
      </c>
      <c r="K200" s="19">
        <f>IF(装备!L139=0,0,"'"&amp;装备!L139&amp;"'")</f>
        <v>0</v>
      </c>
      <c r="L200" s="19">
        <f>IF(装备!M139=0,0,"'"&amp;装备!M139&amp;"'")</f>
        <v>0</v>
      </c>
      <c r="M200" s="19">
        <f>IF(装备!N139=0,0,"'"&amp;装备!N139&amp;"'")</f>
        <v>0</v>
      </c>
      <c r="N200" s="19">
        <f>IF(装备!O139=0,0,"'"&amp;装备!O139&amp;"'")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装备!A140</f>
        <v>0</v>
      </c>
      <c r="B201" s="19" t="str">
        <f>"'"&amp;装备!B140&amp;"'"</f>
        <v>''</v>
      </c>
      <c r="C201" s="19">
        <f>装备!J140</f>
        <v>0</v>
      </c>
      <c r="D201" s="19">
        <f>装备!K140</f>
        <v>0</v>
      </c>
      <c r="E201" s="19">
        <f>装备!L140</f>
        <v>0</v>
      </c>
      <c r="F201" s="19">
        <f>装备!M140</f>
        <v>0</v>
      </c>
      <c r="G201" s="19">
        <f>装备!N140</f>
        <v>0</v>
      </c>
      <c r="H201" s="19">
        <f>装备!O140</f>
        <v>0</v>
      </c>
      <c r="I201" s="19">
        <f>IF(装备!J140=0,0,"'"&amp;装备!J140&amp;"'")</f>
        <v>0</v>
      </c>
      <c r="J201" s="19">
        <f>IF(装备!K140=0,0,"'"&amp;装备!K140&amp;"'")</f>
        <v>0</v>
      </c>
      <c r="K201" s="19">
        <f>IF(装备!L140=0,0,"'"&amp;装备!L140&amp;"'")</f>
        <v>0</v>
      </c>
      <c r="L201" s="19">
        <f>IF(装备!M140=0,0,"'"&amp;装备!M140&amp;"'")</f>
        <v>0</v>
      </c>
      <c r="M201" s="19">
        <f>IF(装备!N140=0,0,"'"&amp;装备!N140&amp;"'")</f>
        <v>0</v>
      </c>
      <c r="N201" s="19">
        <f>IF(装备!O140=0,0,"'"&amp;装备!O140&amp;"'")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装备!A141</f>
        <v>0</v>
      </c>
      <c r="B202" s="19" t="str">
        <f>"'"&amp;装备!B141&amp;"'"</f>
        <v>''</v>
      </c>
      <c r="C202" s="19">
        <f>装备!J141</f>
        <v>0</v>
      </c>
      <c r="D202" s="19">
        <f>装备!K141</f>
        <v>0</v>
      </c>
      <c r="E202" s="19">
        <f>装备!L141</f>
        <v>0</v>
      </c>
      <c r="F202" s="19">
        <f>装备!M141</f>
        <v>0</v>
      </c>
      <c r="G202" s="19">
        <f>装备!N141</f>
        <v>0</v>
      </c>
      <c r="H202" s="19">
        <f>装备!O141</f>
        <v>0</v>
      </c>
      <c r="I202" s="19">
        <f>IF(装备!J141=0,0,"'"&amp;装备!J141&amp;"'")</f>
        <v>0</v>
      </c>
      <c r="J202" s="19">
        <f>IF(装备!K141=0,0,"'"&amp;装备!K141&amp;"'")</f>
        <v>0</v>
      </c>
      <c r="K202" s="19">
        <f>IF(装备!L141=0,0,"'"&amp;装备!L141&amp;"'")</f>
        <v>0</v>
      </c>
      <c r="L202" s="19">
        <f>IF(装备!M141=0,0,"'"&amp;装备!M141&amp;"'")</f>
        <v>0</v>
      </c>
      <c r="M202" s="19">
        <f>IF(装备!N141=0,0,"'"&amp;装备!N141&amp;"'")</f>
        <v>0</v>
      </c>
      <c r="N202" s="19">
        <f>IF(装备!O141=0,0,"'"&amp;装备!O141&amp;"'")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装备!A142</f>
        <v>0</v>
      </c>
      <c r="B203" s="19" t="str">
        <f>"'"&amp;装备!B142&amp;"'"</f>
        <v>''</v>
      </c>
      <c r="C203" s="19">
        <f>装备!J142</f>
        <v>0</v>
      </c>
      <c r="D203" s="19">
        <f>装备!K142</f>
        <v>0</v>
      </c>
      <c r="E203" s="19">
        <f>装备!L142</f>
        <v>0</v>
      </c>
      <c r="F203" s="19">
        <f>装备!M142</f>
        <v>0</v>
      </c>
      <c r="G203" s="19">
        <f>装备!N142</f>
        <v>0</v>
      </c>
      <c r="H203" s="19">
        <f>装备!O142</f>
        <v>0</v>
      </c>
      <c r="I203" s="19">
        <f>IF(装备!J142=0,0,"'"&amp;装备!J142&amp;"'")</f>
        <v>0</v>
      </c>
      <c r="J203" s="19">
        <f>IF(装备!K142=0,0,"'"&amp;装备!K142&amp;"'")</f>
        <v>0</v>
      </c>
      <c r="K203" s="19">
        <f>IF(装备!L142=0,0,"'"&amp;装备!L142&amp;"'")</f>
        <v>0</v>
      </c>
      <c r="L203" s="19">
        <f>IF(装备!M142=0,0,"'"&amp;装备!M142&amp;"'")</f>
        <v>0</v>
      </c>
      <c r="M203" s="19">
        <f>IF(装备!N142=0,0,"'"&amp;装备!N142&amp;"'")</f>
        <v>0</v>
      </c>
      <c r="N203" s="19">
        <f>IF(装备!O142=0,0,"'"&amp;装备!O142&amp;"'")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装备!A143</f>
        <v>0</v>
      </c>
      <c r="B204" s="19" t="str">
        <f>"'"&amp;装备!B143&amp;"'"</f>
        <v>''</v>
      </c>
      <c r="C204" s="19">
        <f>装备!J143</f>
        <v>0</v>
      </c>
      <c r="D204" s="19">
        <f>装备!K143</f>
        <v>0</v>
      </c>
      <c r="E204" s="19">
        <f>装备!L143</f>
        <v>0</v>
      </c>
      <c r="F204" s="19">
        <f>装备!M143</f>
        <v>0</v>
      </c>
      <c r="G204" s="19">
        <f>装备!N143</f>
        <v>0</v>
      </c>
      <c r="H204" s="19">
        <f>装备!O143</f>
        <v>0</v>
      </c>
      <c r="I204" s="19">
        <f>IF(装备!J143=0,0,"'"&amp;装备!J143&amp;"'")</f>
        <v>0</v>
      </c>
      <c r="J204" s="19">
        <f>IF(装备!K143=0,0,"'"&amp;装备!K143&amp;"'")</f>
        <v>0</v>
      </c>
      <c r="K204" s="19">
        <f>IF(装备!L143=0,0,"'"&amp;装备!L143&amp;"'")</f>
        <v>0</v>
      </c>
      <c r="L204" s="19">
        <f>IF(装备!M143=0,0,"'"&amp;装备!M143&amp;"'")</f>
        <v>0</v>
      </c>
      <c r="M204" s="19">
        <f>IF(装备!N143=0,0,"'"&amp;装备!N143&amp;"'")</f>
        <v>0</v>
      </c>
      <c r="N204" s="19">
        <f>IF(装备!O143=0,0,"'"&amp;装备!O143&amp;"'")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装备!A144</f>
        <v>0</v>
      </c>
      <c r="B205" s="19" t="str">
        <f>"'"&amp;装备!B144&amp;"'"</f>
        <v>''</v>
      </c>
      <c r="C205" s="19">
        <f>装备!J144</f>
        <v>0</v>
      </c>
      <c r="D205" s="19">
        <f>装备!K144</f>
        <v>0</v>
      </c>
      <c r="E205" s="19">
        <f>装备!L144</f>
        <v>0</v>
      </c>
      <c r="F205" s="19">
        <f>装备!M144</f>
        <v>0</v>
      </c>
      <c r="G205" s="19">
        <f>装备!N144</f>
        <v>0</v>
      </c>
      <c r="H205" s="19">
        <f>装备!O144</f>
        <v>0</v>
      </c>
      <c r="I205" s="19">
        <f>IF(装备!J144=0,0,"'"&amp;装备!J144&amp;"'")</f>
        <v>0</v>
      </c>
      <c r="J205" s="19">
        <f>IF(装备!K144=0,0,"'"&amp;装备!K144&amp;"'")</f>
        <v>0</v>
      </c>
      <c r="K205" s="19">
        <f>IF(装备!L144=0,0,"'"&amp;装备!L144&amp;"'")</f>
        <v>0</v>
      </c>
      <c r="L205" s="19">
        <f>IF(装备!M144=0,0,"'"&amp;装备!M144&amp;"'")</f>
        <v>0</v>
      </c>
      <c r="M205" s="19">
        <f>IF(装备!N144=0,0,"'"&amp;装备!N144&amp;"'")</f>
        <v>0</v>
      </c>
      <c r="N205" s="19">
        <f>IF(装备!O144=0,0,"'"&amp;装备!O144&amp;"'")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装备!A145</f>
        <v>0</v>
      </c>
      <c r="B206" s="19" t="str">
        <f>"'"&amp;装备!B145&amp;"'"</f>
        <v>''</v>
      </c>
      <c r="C206" s="19">
        <f>装备!J145</f>
        <v>0</v>
      </c>
      <c r="D206" s="19">
        <f>装备!K145</f>
        <v>0</v>
      </c>
      <c r="E206" s="19">
        <f>装备!L145</f>
        <v>0</v>
      </c>
      <c r="F206" s="19">
        <f>装备!M145</f>
        <v>0</v>
      </c>
      <c r="G206" s="19">
        <f>装备!N145</f>
        <v>0</v>
      </c>
      <c r="H206" s="19">
        <f>装备!O145</f>
        <v>0</v>
      </c>
      <c r="I206" s="19">
        <f>IF(装备!J145=0,0,"'"&amp;装备!J145&amp;"'")</f>
        <v>0</v>
      </c>
      <c r="J206" s="19">
        <f>IF(装备!K145=0,0,"'"&amp;装备!K145&amp;"'")</f>
        <v>0</v>
      </c>
      <c r="K206" s="19">
        <f>IF(装备!L145=0,0,"'"&amp;装备!L145&amp;"'")</f>
        <v>0</v>
      </c>
      <c r="L206" s="19">
        <f>IF(装备!M145=0,0,"'"&amp;装备!M145&amp;"'")</f>
        <v>0</v>
      </c>
      <c r="M206" s="19">
        <f>IF(装备!N145=0,0,"'"&amp;装备!N145&amp;"'")</f>
        <v>0</v>
      </c>
      <c r="N206" s="19">
        <f>IF(装备!O145=0,0,"'"&amp;装备!O145&amp;"'")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装备!A146</f>
        <v>0</v>
      </c>
      <c r="B207" s="19" t="str">
        <f>"'"&amp;装备!B146&amp;"'"</f>
        <v>''</v>
      </c>
      <c r="C207" s="19">
        <f>装备!J146</f>
        <v>0</v>
      </c>
      <c r="D207" s="19">
        <f>装备!K146</f>
        <v>0</v>
      </c>
      <c r="E207" s="19">
        <f>装备!L146</f>
        <v>0</v>
      </c>
      <c r="F207" s="19">
        <f>装备!M146</f>
        <v>0</v>
      </c>
      <c r="G207" s="19">
        <f>装备!N146</f>
        <v>0</v>
      </c>
      <c r="H207" s="19">
        <f>装备!O146</f>
        <v>0</v>
      </c>
      <c r="I207" s="19">
        <f>IF(装备!J146=0,0,"'"&amp;装备!J146&amp;"'")</f>
        <v>0</v>
      </c>
      <c r="J207" s="19">
        <f>IF(装备!K146=0,0,"'"&amp;装备!K146&amp;"'")</f>
        <v>0</v>
      </c>
      <c r="K207" s="19">
        <f>IF(装备!L146=0,0,"'"&amp;装备!L146&amp;"'")</f>
        <v>0</v>
      </c>
      <c r="L207" s="19">
        <f>IF(装备!M146=0,0,"'"&amp;装备!M146&amp;"'")</f>
        <v>0</v>
      </c>
      <c r="M207" s="19">
        <f>IF(装备!N146=0,0,"'"&amp;装备!N146&amp;"'")</f>
        <v>0</v>
      </c>
      <c r="N207" s="19">
        <f>IF(装备!O146=0,0,"'"&amp;装备!O146&amp;"'")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装备!A147</f>
        <v>0</v>
      </c>
      <c r="B208" s="19" t="str">
        <f>"'"&amp;装备!B147&amp;"'"</f>
        <v>''</v>
      </c>
      <c r="C208" s="19">
        <f>装备!J147</f>
        <v>0</v>
      </c>
      <c r="D208" s="19">
        <f>装备!K147</f>
        <v>0</v>
      </c>
      <c r="E208" s="19">
        <f>装备!L147</f>
        <v>0</v>
      </c>
      <c r="F208" s="19">
        <f>装备!M147</f>
        <v>0</v>
      </c>
      <c r="G208" s="19">
        <f>装备!N147</f>
        <v>0</v>
      </c>
      <c r="H208" s="19">
        <f>装备!O147</f>
        <v>0</v>
      </c>
      <c r="I208" s="19">
        <f>IF(装备!J147=0,0,"'"&amp;装备!J147&amp;"'")</f>
        <v>0</v>
      </c>
      <c r="J208" s="19">
        <f>IF(装备!K147=0,0,"'"&amp;装备!K147&amp;"'")</f>
        <v>0</v>
      </c>
      <c r="K208" s="19">
        <f>IF(装备!L147=0,0,"'"&amp;装备!L147&amp;"'")</f>
        <v>0</v>
      </c>
      <c r="L208" s="19">
        <f>IF(装备!M147=0,0,"'"&amp;装备!M147&amp;"'")</f>
        <v>0</v>
      </c>
      <c r="M208" s="19">
        <f>IF(装备!N147=0,0,"'"&amp;装备!N147&amp;"'")</f>
        <v>0</v>
      </c>
      <c r="N208" s="19">
        <f>IF(装备!O147=0,0,"'"&amp;装备!O147&amp;"'")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装备!A148</f>
        <v>0</v>
      </c>
      <c r="B209" s="19" t="str">
        <f>"'"&amp;装备!B148&amp;"'"</f>
        <v>''</v>
      </c>
      <c r="C209" s="19">
        <f>装备!J148</f>
        <v>0</v>
      </c>
      <c r="D209" s="19">
        <f>装备!K148</f>
        <v>0</v>
      </c>
      <c r="E209" s="19">
        <f>装备!L148</f>
        <v>0</v>
      </c>
      <c r="F209" s="19">
        <f>装备!M148</f>
        <v>0</v>
      </c>
      <c r="G209" s="19">
        <f>装备!N148</f>
        <v>0</v>
      </c>
      <c r="H209" s="19">
        <f>装备!O148</f>
        <v>0</v>
      </c>
      <c r="I209" s="19">
        <f>IF(装备!J148=0,0,"'"&amp;装备!J148&amp;"'")</f>
        <v>0</v>
      </c>
      <c r="J209" s="19">
        <f>IF(装备!K148=0,0,"'"&amp;装备!K148&amp;"'")</f>
        <v>0</v>
      </c>
      <c r="K209" s="19">
        <f>IF(装备!L148=0,0,"'"&amp;装备!L148&amp;"'")</f>
        <v>0</v>
      </c>
      <c r="L209" s="19">
        <f>IF(装备!M148=0,0,"'"&amp;装备!M148&amp;"'")</f>
        <v>0</v>
      </c>
      <c r="M209" s="19">
        <f>IF(装备!N148=0,0,"'"&amp;装备!N148&amp;"'")</f>
        <v>0</v>
      </c>
      <c r="N209" s="19">
        <f>IF(装备!O148=0,0,"'"&amp;装备!O148&amp;"'")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装备!A149</f>
        <v>0</v>
      </c>
      <c r="B210" s="19" t="str">
        <f>"'"&amp;装备!B149&amp;"'"</f>
        <v>''</v>
      </c>
      <c r="C210" s="19">
        <f>装备!J149</f>
        <v>0</v>
      </c>
      <c r="D210" s="19">
        <f>装备!K149</f>
        <v>0</v>
      </c>
      <c r="E210" s="19">
        <f>装备!L149</f>
        <v>0</v>
      </c>
      <c r="F210" s="19">
        <f>装备!M149</f>
        <v>0</v>
      </c>
      <c r="G210" s="19">
        <f>装备!N149</f>
        <v>0</v>
      </c>
      <c r="H210" s="19">
        <f>装备!O149</f>
        <v>0</v>
      </c>
      <c r="I210" s="19">
        <f>IF(装备!J149=0,0,"'"&amp;装备!J149&amp;"'")</f>
        <v>0</v>
      </c>
      <c r="J210" s="19">
        <f>IF(装备!K149=0,0,"'"&amp;装备!K149&amp;"'")</f>
        <v>0</v>
      </c>
      <c r="K210" s="19">
        <f>IF(装备!L149=0,0,"'"&amp;装备!L149&amp;"'")</f>
        <v>0</v>
      </c>
      <c r="L210" s="19">
        <f>IF(装备!M149=0,0,"'"&amp;装备!M149&amp;"'")</f>
        <v>0</v>
      </c>
      <c r="M210" s="19">
        <f>IF(装备!N149=0,0,"'"&amp;装备!N149&amp;"'")</f>
        <v>0</v>
      </c>
      <c r="N210" s="19">
        <f>IF(装备!O149=0,0,"'"&amp;装备!O149&amp;"'")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装备!A150</f>
        <v>0</v>
      </c>
      <c r="B211" s="19" t="str">
        <f>"'"&amp;装备!B150&amp;"'"</f>
        <v>''</v>
      </c>
      <c r="C211" s="19">
        <f>装备!J150</f>
        <v>0</v>
      </c>
      <c r="D211" s="19">
        <f>装备!K150</f>
        <v>0</v>
      </c>
      <c r="E211" s="19">
        <f>装备!L150</f>
        <v>0</v>
      </c>
      <c r="F211" s="19">
        <f>装备!M150</f>
        <v>0</v>
      </c>
      <c r="G211" s="19">
        <f>装备!N150</f>
        <v>0</v>
      </c>
      <c r="H211" s="19">
        <f>装备!O150</f>
        <v>0</v>
      </c>
      <c r="I211" s="19">
        <f>IF(装备!J150=0,0,"'"&amp;装备!J150&amp;"'")</f>
        <v>0</v>
      </c>
      <c r="J211" s="19">
        <f>IF(装备!K150=0,0,"'"&amp;装备!K150&amp;"'")</f>
        <v>0</v>
      </c>
      <c r="K211" s="19">
        <f>IF(装备!L150=0,0,"'"&amp;装备!L150&amp;"'")</f>
        <v>0</v>
      </c>
      <c r="L211" s="19">
        <f>IF(装备!M150=0,0,"'"&amp;装备!M150&amp;"'")</f>
        <v>0</v>
      </c>
      <c r="M211" s="19">
        <f>IF(装备!N150=0,0,"'"&amp;装备!N150&amp;"'")</f>
        <v>0</v>
      </c>
      <c r="N211" s="19">
        <f>IF(装备!O150=0,0,"'"&amp;装备!O150&amp;"'")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装备!A151</f>
        <v>0</v>
      </c>
      <c r="B212" s="19" t="str">
        <f>"'"&amp;装备!B151&amp;"'"</f>
        <v>''</v>
      </c>
      <c r="C212" s="19">
        <f>装备!J151</f>
        <v>0</v>
      </c>
      <c r="D212" s="19">
        <f>装备!K151</f>
        <v>0</v>
      </c>
      <c r="E212" s="19">
        <f>装备!L151</f>
        <v>0</v>
      </c>
      <c r="F212" s="19">
        <f>装备!M151</f>
        <v>0</v>
      </c>
      <c r="G212" s="19">
        <f>装备!N151</f>
        <v>0</v>
      </c>
      <c r="H212" s="19">
        <f>装备!O151</f>
        <v>0</v>
      </c>
      <c r="I212" s="19">
        <f>IF(装备!J151=0,0,"'"&amp;装备!J151&amp;"'")</f>
        <v>0</v>
      </c>
      <c r="J212" s="19">
        <f>IF(装备!K151=0,0,"'"&amp;装备!K151&amp;"'")</f>
        <v>0</v>
      </c>
      <c r="K212" s="19">
        <f>IF(装备!L151=0,0,"'"&amp;装备!L151&amp;"'")</f>
        <v>0</v>
      </c>
      <c r="L212" s="19">
        <f>IF(装备!M151=0,0,"'"&amp;装备!M151&amp;"'")</f>
        <v>0</v>
      </c>
      <c r="M212" s="19">
        <f>IF(装备!N151=0,0,"'"&amp;装备!N151&amp;"'")</f>
        <v>0</v>
      </c>
      <c r="N212" s="19">
        <f>IF(装备!O151=0,0,"'"&amp;装备!O151&amp;"'")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装备!A152</f>
        <v>0</v>
      </c>
      <c r="B213" s="19" t="str">
        <f>"'"&amp;装备!B152&amp;"'"</f>
        <v>''</v>
      </c>
      <c r="C213" s="19">
        <f>装备!J152</f>
        <v>0</v>
      </c>
      <c r="D213" s="19">
        <f>装备!K152</f>
        <v>0</v>
      </c>
      <c r="E213" s="19">
        <f>装备!L152</f>
        <v>0</v>
      </c>
      <c r="F213" s="19">
        <f>装备!M152</f>
        <v>0</v>
      </c>
      <c r="G213" s="19">
        <f>装备!N152</f>
        <v>0</v>
      </c>
      <c r="H213" s="19">
        <f>装备!O152</f>
        <v>0</v>
      </c>
      <c r="I213" s="19">
        <f>IF(装备!J152=0,0,"'"&amp;装备!J152&amp;"'")</f>
        <v>0</v>
      </c>
      <c r="J213" s="19">
        <f>IF(装备!K152=0,0,"'"&amp;装备!K152&amp;"'")</f>
        <v>0</v>
      </c>
      <c r="K213" s="19">
        <f>IF(装备!L152=0,0,"'"&amp;装备!L152&amp;"'")</f>
        <v>0</v>
      </c>
      <c r="L213" s="19">
        <f>IF(装备!M152=0,0,"'"&amp;装备!M152&amp;"'")</f>
        <v>0</v>
      </c>
      <c r="M213" s="19">
        <f>IF(装备!N152=0,0,"'"&amp;装备!N152&amp;"'")</f>
        <v>0</v>
      </c>
      <c r="N213" s="19">
        <f>IF(装备!O152=0,0,"'"&amp;装备!O152&amp;"'")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装备!A153</f>
        <v>0</v>
      </c>
      <c r="B214" s="19" t="str">
        <f>"'"&amp;装备!B153&amp;"'"</f>
        <v>''</v>
      </c>
      <c r="C214" s="19">
        <f>装备!J153</f>
        <v>0</v>
      </c>
      <c r="D214" s="19">
        <f>装备!K153</f>
        <v>0</v>
      </c>
      <c r="E214" s="19">
        <f>装备!L153</f>
        <v>0</v>
      </c>
      <c r="F214" s="19">
        <f>装备!M153</f>
        <v>0</v>
      </c>
      <c r="G214" s="19">
        <f>装备!N153</f>
        <v>0</v>
      </c>
      <c r="H214" s="19">
        <f>装备!O153</f>
        <v>0</v>
      </c>
      <c r="I214" s="19">
        <f>IF(装备!J153=0,0,"'"&amp;装备!J153&amp;"'")</f>
        <v>0</v>
      </c>
      <c r="J214" s="19">
        <f>IF(装备!K153=0,0,"'"&amp;装备!K153&amp;"'")</f>
        <v>0</v>
      </c>
      <c r="K214" s="19">
        <f>IF(装备!L153=0,0,"'"&amp;装备!L153&amp;"'")</f>
        <v>0</v>
      </c>
      <c r="L214" s="19">
        <f>IF(装备!M153=0,0,"'"&amp;装备!M153&amp;"'")</f>
        <v>0</v>
      </c>
      <c r="M214" s="19">
        <f>IF(装备!N153=0,0,"'"&amp;装备!N153&amp;"'")</f>
        <v>0</v>
      </c>
      <c r="N214" s="19">
        <f>IF(装备!O153=0,0,"'"&amp;装备!O153&amp;"'")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装备!A154</f>
        <v>0</v>
      </c>
      <c r="B215" s="19" t="str">
        <f>"'"&amp;装备!B154&amp;"'"</f>
        <v>''</v>
      </c>
      <c r="C215" s="19">
        <f>装备!J154</f>
        <v>0</v>
      </c>
      <c r="D215" s="19">
        <f>装备!K154</f>
        <v>0</v>
      </c>
      <c r="E215" s="19">
        <f>装备!L154</f>
        <v>0</v>
      </c>
      <c r="F215" s="19">
        <f>装备!M154</f>
        <v>0</v>
      </c>
      <c r="G215" s="19">
        <f>装备!N154</f>
        <v>0</v>
      </c>
      <c r="H215" s="19">
        <f>装备!O154</f>
        <v>0</v>
      </c>
      <c r="I215" s="19">
        <f>IF(装备!J154=0,0,"'"&amp;装备!J154&amp;"'")</f>
        <v>0</v>
      </c>
      <c r="J215" s="19">
        <f>IF(装备!K154=0,0,"'"&amp;装备!K154&amp;"'")</f>
        <v>0</v>
      </c>
      <c r="K215" s="19">
        <f>IF(装备!L154=0,0,"'"&amp;装备!L154&amp;"'")</f>
        <v>0</v>
      </c>
      <c r="L215" s="19">
        <f>IF(装备!M154=0,0,"'"&amp;装备!M154&amp;"'")</f>
        <v>0</v>
      </c>
      <c r="M215" s="19">
        <f>IF(装备!N154=0,0,"'"&amp;装备!N154&amp;"'")</f>
        <v>0</v>
      </c>
      <c r="N215" s="19">
        <f>IF(装备!O154=0,0,"'"&amp;装备!O154&amp;"'")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装备!A155</f>
        <v>0</v>
      </c>
      <c r="B216" s="19" t="str">
        <f>"'"&amp;装备!B155&amp;"'"</f>
        <v>''</v>
      </c>
      <c r="C216" s="19">
        <f>装备!J155</f>
        <v>0</v>
      </c>
      <c r="D216" s="19">
        <f>装备!K155</f>
        <v>0</v>
      </c>
      <c r="E216" s="19">
        <f>装备!L155</f>
        <v>0</v>
      </c>
      <c r="F216" s="19">
        <f>装备!M155</f>
        <v>0</v>
      </c>
      <c r="G216" s="19">
        <f>装备!N155</f>
        <v>0</v>
      </c>
      <c r="H216" s="19">
        <f>装备!O155</f>
        <v>0</v>
      </c>
      <c r="I216" s="19">
        <f>IF(装备!J155=0,0,"'"&amp;装备!J155&amp;"'")</f>
        <v>0</v>
      </c>
      <c r="J216" s="19">
        <f>IF(装备!K155=0,0,"'"&amp;装备!K155&amp;"'")</f>
        <v>0</v>
      </c>
      <c r="K216" s="19">
        <f>IF(装备!L155=0,0,"'"&amp;装备!L155&amp;"'")</f>
        <v>0</v>
      </c>
      <c r="L216" s="19">
        <f>IF(装备!M155=0,0,"'"&amp;装备!M155&amp;"'")</f>
        <v>0</v>
      </c>
      <c r="M216" s="19">
        <f>IF(装备!N155=0,0,"'"&amp;装备!N155&amp;"'")</f>
        <v>0</v>
      </c>
      <c r="N216" s="19">
        <f>IF(装备!O155=0,0,"'"&amp;装备!O155&amp;"'")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装备!A156</f>
        <v>0</v>
      </c>
      <c r="B217" s="19" t="str">
        <f>"'"&amp;装备!B156&amp;"'"</f>
        <v>''</v>
      </c>
      <c r="C217" s="19">
        <f>装备!J156</f>
        <v>0</v>
      </c>
      <c r="D217" s="19">
        <f>装备!K156</f>
        <v>0</v>
      </c>
      <c r="E217" s="19">
        <f>装备!L156</f>
        <v>0</v>
      </c>
      <c r="F217" s="19">
        <f>装备!M156</f>
        <v>0</v>
      </c>
      <c r="G217" s="19">
        <f>装备!N156</f>
        <v>0</v>
      </c>
      <c r="H217" s="19">
        <f>装备!O156</f>
        <v>0</v>
      </c>
      <c r="I217" s="19">
        <f>IF(装备!J156=0,0,"'"&amp;装备!J156&amp;"'")</f>
        <v>0</v>
      </c>
      <c r="J217" s="19">
        <f>IF(装备!K156=0,0,"'"&amp;装备!K156&amp;"'")</f>
        <v>0</v>
      </c>
      <c r="K217" s="19">
        <f>IF(装备!L156=0,0,"'"&amp;装备!L156&amp;"'")</f>
        <v>0</v>
      </c>
      <c r="L217" s="19">
        <f>IF(装备!M156=0,0,"'"&amp;装备!M156&amp;"'")</f>
        <v>0</v>
      </c>
      <c r="M217" s="19">
        <f>IF(装备!N156=0,0,"'"&amp;装备!N156&amp;"'")</f>
        <v>0</v>
      </c>
      <c r="N217" s="19">
        <f>IF(装备!O156=0,0,"'"&amp;装备!O156&amp;"'")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装备!A157</f>
        <v>0</v>
      </c>
      <c r="B218" s="19" t="str">
        <f>"'"&amp;装备!B157&amp;"'"</f>
        <v>''</v>
      </c>
      <c r="C218" s="19">
        <f>装备!J157</f>
        <v>0</v>
      </c>
      <c r="D218" s="19">
        <f>装备!K157</f>
        <v>0</v>
      </c>
      <c r="E218" s="19">
        <f>装备!L157</f>
        <v>0</v>
      </c>
      <c r="F218" s="19">
        <f>装备!M157</f>
        <v>0</v>
      </c>
      <c r="G218" s="19">
        <f>装备!N157</f>
        <v>0</v>
      </c>
      <c r="H218" s="19">
        <f>装备!O157</f>
        <v>0</v>
      </c>
      <c r="I218" s="19">
        <f>IF(装备!J157=0,0,"'"&amp;装备!J157&amp;"'")</f>
        <v>0</v>
      </c>
      <c r="J218" s="19">
        <f>IF(装备!K157=0,0,"'"&amp;装备!K157&amp;"'")</f>
        <v>0</v>
      </c>
      <c r="K218" s="19">
        <f>IF(装备!L157=0,0,"'"&amp;装备!L157&amp;"'")</f>
        <v>0</v>
      </c>
      <c r="L218" s="19">
        <f>IF(装备!M157=0,0,"'"&amp;装备!M157&amp;"'")</f>
        <v>0</v>
      </c>
      <c r="M218" s="19">
        <f>IF(装备!N157=0,0,"'"&amp;装备!N157&amp;"'")</f>
        <v>0</v>
      </c>
      <c r="N218" s="19">
        <f>IF(装备!O157=0,0,"'"&amp;装备!O157&amp;"'")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装备!A158</f>
        <v>0</v>
      </c>
      <c r="B219" s="19" t="str">
        <f>"'"&amp;装备!B158&amp;"'"</f>
        <v>''</v>
      </c>
      <c r="C219" s="19">
        <f>装备!J158</f>
        <v>0</v>
      </c>
      <c r="D219" s="19">
        <f>装备!K158</f>
        <v>0</v>
      </c>
      <c r="E219" s="19">
        <f>装备!L158</f>
        <v>0</v>
      </c>
      <c r="F219" s="19">
        <f>装备!M158</f>
        <v>0</v>
      </c>
      <c r="G219" s="19">
        <f>装备!N158</f>
        <v>0</v>
      </c>
      <c r="H219" s="19">
        <f>装备!O158</f>
        <v>0</v>
      </c>
      <c r="I219" s="19">
        <f>IF(装备!J158=0,0,"'"&amp;装备!J158&amp;"'")</f>
        <v>0</v>
      </c>
      <c r="J219" s="19">
        <f>IF(装备!K158=0,0,"'"&amp;装备!K158&amp;"'")</f>
        <v>0</v>
      </c>
      <c r="K219" s="19">
        <f>IF(装备!L158=0,0,"'"&amp;装备!L158&amp;"'")</f>
        <v>0</v>
      </c>
      <c r="L219" s="19">
        <f>IF(装备!M158=0,0,"'"&amp;装备!M158&amp;"'")</f>
        <v>0</v>
      </c>
      <c r="M219" s="19">
        <f>IF(装备!N158=0,0,"'"&amp;装备!N158&amp;"'")</f>
        <v>0</v>
      </c>
      <c r="N219" s="19">
        <f>IF(装备!O158=0,0,"'"&amp;装备!O158&amp;"'")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装备!A159</f>
        <v>0</v>
      </c>
      <c r="B220" s="19" t="str">
        <f>"'"&amp;装备!B159&amp;"'"</f>
        <v>''</v>
      </c>
      <c r="C220" s="19">
        <f>装备!J159</f>
        <v>0</v>
      </c>
      <c r="D220" s="19">
        <f>装备!K159</f>
        <v>0</v>
      </c>
      <c r="E220" s="19">
        <f>装备!L159</f>
        <v>0</v>
      </c>
      <c r="F220" s="19">
        <f>装备!M159</f>
        <v>0</v>
      </c>
      <c r="G220" s="19">
        <f>装备!N159</f>
        <v>0</v>
      </c>
      <c r="H220" s="19">
        <f>装备!O159</f>
        <v>0</v>
      </c>
      <c r="I220" s="19">
        <f>IF(装备!J159=0,0,"'"&amp;装备!J159&amp;"'")</f>
        <v>0</v>
      </c>
      <c r="J220" s="19">
        <f>IF(装备!K159=0,0,"'"&amp;装备!K159&amp;"'")</f>
        <v>0</v>
      </c>
      <c r="K220" s="19">
        <f>IF(装备!L159=0,0,"'"&amp;装备!L159&amp;"'")</f>
        <v>0</v>
      </c>
      <c r="L220" s="19">
        <f>IF(装备!M159=0,0,"'"&amp;装备!M159&amp;"'")</f>
        <v>0</v>
      </c>
      <c r="M220" s="19">
        <f>IF(装备!N159=0,0,"'"&amp;装备!N159&amp;"'")</f>
        <v>0</v>
      </c>
      <c r="N220" s="19">
        <f>IF(装备!O159=0,0,"'"&amp;装备!O159&amp;"'")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装备!A160</f>
        <v>0</v>
      </c>
      <c r="B221" s="19" t="str">
        <f>"'"&amp;装备!B160&amp;"'"</f>
        <v>''</v>
      </c>
      <c r="C221" s="19">
        <f>装备!J160</f>
        <v>0</v>
      </c>
      <c r="D221" s="19">
        <f>装备!K160</f>
        <v>0</v>
      </c>
      <c r="E221" s="19">
        <f>装备!L160</f>
        <v>0</v>
      </c>
      <c r="F221" s="19">
        <f>装备!M160</f>
        <v>0</v>
      </c>
      <c r="G221" s="19">
        <f>装备!N160</f>
        <v>0</v>
      </c>
      <c r="H221" s="19">
        <f>装备!O160</f>
        <v>0</v>
      </c>
      <c r="I221" s="19">
        <f>IF(装备!J160=0,0,"'"&amp;装备!J160&amp;"'")</f>
        <v>0</v>
      </c>
      <c r="J221" s="19">
        <f>IF(装备!K160=0,0,"'"&amp;装备!K160&amp;"'")</f>
        <v>0</v>
      </c>
      <c r="K221" s="19">
        <f>IF(装备!L160=0,0,"'"&amp;装备!L160&amp;"'")</f>
        <v>0</v>
      </c>
      <c r="L221" s="19">
        <f>IF(装备!M160=0,0,"'"&amp;装备!M160&amp;"'")</f>
        <v>0</v>
      </c>
      <c r="M221" s="19">
        <f>IF(装备!N160=0,0,"'"&amp;装备!N160&amp;"'")</f>
        <v>0</v>
      </c>
      <c r="N221" s="19">
        <f>IF(装备!O160=0,0,"'"&amp;装备!O160&amp;"'")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装备!A161</f>
        <v>0</v>
      </c>
      <c r="B222" s="19" t="str">
        <f>"'"&amp;装备!B161&amp;"'"</f>
        <v>''</v>
      </c>
      <c r="C222" s="19">
        <f>装备!J161</f>
        <v>0</v>
      </c>
      <c r="D222" s="19">
        <f>装备!K161</f>
        <v>0</v>
      </c>
      <c r="E222" s="19">
        <f>装备!L161</f>
        <v>0</v>
      </c>
      <c r="F222" s="19">
        <f>装备!M161</f>
        <v>0</v>
      </c>
      <c r="G222" s="19">
        <f>装备!N161</f>
        <v>0</v>
      </c>
      <c r="H222" s="19">
        <f>装备!O161</f>
        <v>0</v>
      </c>
      <c r="I222" s="19">
        <f>IF(装备!J161=0,0,"'"&amp;装备!J161&amp;"'")</f>
        <v>0</v>
      </c>
      <c r="J222" s="19">
        <f>IF(装备!K161=0,0,"'"&amp;装备!K161&amp;"'")</f>
        <v>0</v>
      </c>
      <c r="K222" s="19">
        <f>IF(装备!L161=0,0,"'"&amp;装备!L161&amp;"'")</f>
        <v>0</v>
      </c>
      <c r="L222" s="19">
        <f>IF(装备!M161=0,0,"'"&amp;装备!M161&amp;"'")</f>
        <v>0</v>
      </c>
      <c r="M222" s="19">
        <f>IF(装备!N161=0,0,"'"&amp;装备!N161&amp;"'")</f>
        <v>0</v>
      </c>
      <c r="N222" s="19">
        <f>IF(装备!O161=0,0,"'"&amp;装备!O161&amp;"'")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装备!A162</f>
        <v>0</v>
      </c>
      <c r="B223" s="19" t="str">
        <f>"'"&amp;装备!B162&amp;"'"</f>
        <v>''</v>
      </c>
      <c r="C223" s="19">
        <f>装备!J162</f>
        <v>0</v>
      </c>
      <c r="D223" s="19">
        <f>装备!K162</f>
        <v>0</v>
      </c>
      <c r="E223" s="19">
        <f>装备!L162</f>
        <v>0</v>
      </c>
      <c r="F223" s="19">
        <f>装备!M162</f>
        <v>0</v>
      </c>
      <c r="G223" s="19">
        <f>装备!N162</f>
        <v>0</v>
      </c>
      <c r="H223" s="19">
        <f>装备!O162</f>
        <v>0</v>
      </c>
      <c r="I223" s="19">
        <f>IF(装备!J162=0,0,"'"&amp;装备!J162&amp;"'")</f>
        <v>0</v>
      </c>
      <c r="J223" s="19">
        <f>IF(装备!K162=0,0,"'"&amp;装备!K162&amp;"'")</f>
        <v>0</v>
      </c>
      <c r="K223" s="19">
        <f>IF(装备!L162=0,0,"'"&amp;装备!L162&amp;"'")</f>
        <v>0</v>
      </c>
      <c r="L223" s="19">
        <f>IF(装备!M162=0,0,"'"&amp;装备!M162&amp;"'")</f>
        <v>0</v>
      </c>
      <c r="M223" s="19">
        <f>IF(装备!N162=0,0,"'"&amp;装备!N162&amp;"'")</f>
        <v>0</v>
      </c>
      <c r="N223" s="19">
        <f>IF(装备!O162=0,0,"'"&amp;装备!O162&amp;"'")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装备!A163</f>
        <v>0</v>
      </c>
      <c r="B224" s="19" t="str">
        <f>"'"&amp;装备!B163&amp;"'"</f>
        <v>''</v>
      </c>
      <c r="C224" s="19">
        <f>装备!J163</f>
        <v>0</v>
      </c>
      <c r="D224" s="19">
        <f>装备!K163</f>
        <v>0</v>
      </c>
      <c r="E224" s="19">
        <f>装备!L163</f>
        <v>0</v>
      </c>
      <c r="F224" s="19">
        <f>装备!M163</f>
        <v>0</v>
      </c>
      <c r="G224" s="19">
        <f>装备!N163</f>
        <v>0</v>
      </c>
      <c r="H224" s="19">
        <f>装备!O163</f>
        <v>0</v>
      </c>
      <c r="I224" s="19">
        <f>IF(装备!J163=0,0,"'"&amp;装备!J163&amp;"'")</f>
        <v>0</v>
      </c>
      <c r="J224" s="19">
        <f>IF(装备!K163=0,0,"'"&amp;装备!K163&amp;"'")</f>
        <v>0</v>
      </c>
      <c r="K224" s="19">
        <f>IF(装备!L163=0,0,"'"&amp;装备!L163&amp;"'")</f>
        <v>0</v>
      </c>
      <c r="L224" s="19">
        <f>IF(装备!M163=0,0,"'"&amp;装备!M163&amp;"'")</f>
        <v>0</v>
      </c>
      <c r="M224" s="19">
        <f>IF(装备!N163=0,0,"'"&amp;装备!N163&amp;"'")</f>
        <v>0</v>
      </c>
      <c r="N224" s="19">
        <f>IF(装备!O163=0,0,"'"&amp;装备!O163&amp;"'")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装备!A164</f>
        <v>0</v>
      </c>
      <c r="B225" s="19" t="str">
        <f>"'"&amp;装备!B164&amp;"'"</f>
        <v>''</v>
      </c>
      <c r="C225" s="19">
        <f>装备!J164</f>
        <v>0</v>
      </c>
      <c r="D225" s="19">
        <f>装备!K164</f>
        <v>0</v>
      </c>
      <c r="E225" s="19">
        <f>装备!L164</f>
        <v>0</v>
      </c>
      <c r="F225" s="19">
        <f>装备!M164</f>
        <v>0</v>
      </c>
      <c r="G225" s="19">
        <f>装备!N164</f>
        <v>0</v>
      </c>
      <c r="H225" s="19">
        <f>装备!O164</f>
        <v>0</v>
      </c>
      <c r="I225" s="19">
        <f>IF(装备!J164=0,0,"'"&amp;装备!J164&amp;"'")</f>
        <v>0</v>
      </c>
      <c r="J225" s="19">
        <f>IF(装备!K164=0,0,"'"&amp;装备!K164&amp;"'")</f>
        <v>0</v>
      </c>
      <c r="K225" s="19">
        <f>IF(装备!L164=0,0,"'"&amp;装备!L164&amp;"'")</f>
        <v>0</v>
      </c>
      <c r="L225" s="19">
        <f>IF(装备!M164=0,0,"'"&amp;装备!M164&amp;"'")</f>
        <v>0</v>
      </c>
      <c r="M225" s="19">
        <f>IF(装备!N164=0,0,"'"&amp;装备!N164&amp;"'")</f>
        <v>0</v>
      </c>
      <c r="N225" s="19">
        <f>IF(装备!O164=0,0,"'"&amp;装备!O164&amp;"'")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装备!A165</f>
        <v>0</v>
      </c>
      <c r="B226" s="19" t="str">
        <f>"'"&amp;装备!B165&amp;"'"</f>
        <v>''</v>
      </c>
      <c r="C226" s="19">
        <f>装备!J165</f>
        <v>0</v>
      </c>
      <c r="D226" s="19">
        <f>装备!K165</f>
        <v>0</v>
      </c>
      <c r="E226" s="19">
        <f>装备!L165</f>
        <v>0</v>
      </c>
      <c r="F226" s="19">
        <f>装备!M165</f>
        <v>0</v>
      </c>
      <c r="G226" s="19">
        <f>装备!N165</f>
        <v>0</v>
      </c>
      <c r="H226" s="19">
        <f>装备!O165</f>
        <v>0</v>
      </c>
      <c r="I226" s="19">
        <f>IF(装备!J165=0,0,"'"&amp;装备!J165&amp;"'")</f>
        <v>0</v>
      </c>
      <c r="J226" s="19">
        <f>IF(装备!K165=0,0,"'"&amp;装备!K165&amp;"'")</f>
        <v>0</v>
      </c>
      <c r="K226" s="19">
        <f>IF(装备!L165=0,0,"'"&amp;装备!L165&amp;"'")</f>
        <v>0</v>
      </c>
      <c r="L226" s="19">
        <f>IF(装备!M165=0,0,"'"&amp;装备!M165&amp;"'")</f>
        <v>0</v>
      </c>
      <c r="M226" s="19">
        <f>IF(装备!N165=0,0,"'"&amp;装备!N165&amp;"'")</f>
        <v>0</v>
      </c>
      <c r="N226" s="19">
        <f>IF(装备!O165=0,0,"'"&amp;装备!O165&amp;"'")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装备!A166</f>
        <v>0</v>
      </c>
      <c r="B227" s="19" t="str">
        <f>"'"&amp;装备!B166&amp;"'"</f>
        <v>''</v>
      </c>
      <c r="C227" s="19">
        <f>装备!J166</f>
        <v>0</v>
      </c>
      <c r="D227" s="19">
        <f>装备!K166</f>
        <v>0</v>
      </c>
      <c r="E227" s="19">
        <f>装备!L166</f>
        <v>0</v>
      </c>
      <c r="F227" s="19">
        <f>装备!M166</f>
        <v>0</v>
      </c>
      <c r="G227" s="19">
        <f>装备!N166</f>
        <v>0</v>
      </c>
      <c r="H227" s="19">
        <f>装备!O166</f>
        <v>0</v>
      </c>
      <c r="I227" s="19">
        <f>IF(装备!J166=0,0,"'"&amp;装备!J166&amp;"'")</f>
        <v>0</v>
      </c>
      <c r="J227" s="19">
        <f>IF(装备!K166=0,0,"'"&amp;装备!K166&amp;"'")</f>
        <v>0</v>
      </c>
      <c r="K227" s="19">
        <f>IF(装备!L166=0,0,"'"&amp;装备!L166&amp;"'")</f>
        <v>0</v>
      </c>
      <c r="L227" s="19">
        <f>IF(装备!M166=0,0,"'"&amp;装备!M166&amp;"'")</f>
        <v>0</v>
      </c>
      <c r="M227" s="19">
        <f>IF(装备!N166=0,0,"'"&amp;装备!N166&amp;"'")</f>
        <v>0</v>
      </c>
      <c r="N227" s="19">
        <f>IF(装备!O166=0,0,"'"&amp;装备!O166&amp;"'")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装备!A167</f>
        <v>0</v>
      </c>
      <c r="B228" s="19" t="str">
        <f>"'"&amp;装备!B167&amp;"'"</f>
        <v>''</v>
      </c>
      <c r="C228" s="19">
        <f>装备!J167</f>
        <v>0</v>
      </c>
      <c r="D228" s="19">
        <f>装备!K167</f>
        <v>0</v>
      </c>
      <c r="E228" s="19">
        <f>装备!L167</f>
        <v>0</v>
      </c>
      <c r="F228" s="19">
        <f>装备!M167</f>
        <v>0</v>
      </c>
      <c r="G228" s="19">
        <f>装备!N167</f>
        <v>0</v>
      </c>
      <c r="H228" s="19">
        <f>装备!O167</f>
        <v>0</v>
      </c>
      <c r="I228" s="19">
        <f>IF(装备!J167=0,0,"'"&amp;装备!J167&amp;"'")</f>
        <v>0</v>
      </c>
      <c r="J228" s="19">
        <f>IF(装备!K167=0,0,"'"&amp;装备!K167&amp;"'")</f>
        <v>0</v>
      </c>
      <c r="K228" s="19">
        <f>IF(装备!L167=0,0,"'"&amp;装备!L167&amp;"'")</f>
        <v>0</v>
      </c>
      <c r="L228" s="19">
        <f>IF(装备!M167=0,0,"'"&amp;装备!M167&amp;"'")</f>
        <v>0</v>
      </c>
      <c r="M228" s="19">
        <f>IF(装备!N167=0,0,"'"&amp;装备!N167&amp;"'")</f>
        <v>0</v>
      </c>
      <c r="N228" s="19">
        <f>IF(装备!O167=0,0,"'"&amp;装备!O167&amp;"'")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装备!A168</f>
        <v>0</v>
      </c>
      <c r="B229" s="19" t="str">
        <f>"'"&amp;装备!B168&amp;"'"</f>
        <v>''</v>
      </c>
      <c r="C229" s="19">
        <f>装备!J168</f>
        <v>0</v>
      </c>
      <c r="D229" s="19">
        <f>装备!K168</f>
        <v>0</v>
      </c>
      <c r="E229" s="19">
        <f>装备!L168</f>
        <v>0</v>
      </c>
      <c r="F229" s="19">
        <f>装备!M168</f>
        <v>0</v>
      </c>
      <c r="G229" s="19">
        <f>装备!N168</f>
        <v>0</v>
      </c>
      <c r="H229" s="19">
        <f>装备!O168</f>
        <v>0</v>
      </c>
      <c r="I229" s="19">
        <f>IF(装备!J168=0,0,"'"&amp;装备!J168&amp;"'")</f>
        <v>0</v>
      </c>
      <c r="J229" s="19">
        <f>IF(装备!K168=0,0,"'"&amp;装备!K168&amp;"'")</f>
        <v>0</v>
      </c>
      <c r="K229" s="19">
        <f>IF(装备!L168=0,0,"'"&amp;装备!L168&amp;"'")</f>
        <v>0</v>
      </c>
      <c r="L229" s="19">
        <f>IF(装备!M168=0,0,"'"&amp;装备!M168&amp;"'")</f>
        <v>0</v>
      </c>
      <c r="M229" s="19">
        <f>IF(装备!N168=0,0,"'"&amp;装备!N168&amp;"'")</f>
        <v>0</v>
      </c>
      <c r="N229" s="19">
        <f>IF(装备!O168=0,0,"'"&amp;装备!O168&amp;"'")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装备!A169</f>
        <v>0</v>
      </c>
      <c r="B230" s="19" t="str">
        <f>"'"&amp;装备!B169&amp;"'"</f>
        <v>''</v>
      </c>
      <c r="C230" s="19">
        <f>装备!J169</f>
        <v>0</v>
      </c>
      <c r="D230" s="19">
        <f>装备!K169</f>
        <v>0</v>
      </c>
      <c r="E230" s="19">
        <f>装备!L169</f>
        <v>0</v>
      </c>
      <c r="F230" s="19">
        <f>装备!M169</f>
        <v>0</v>
      </c>
      <c r="G230" s="19">
        <f>装备!N169</f>
        <v>0</v>
      </c>
      <c r="H230" s="19">
        <f>装备!O169</f>
        <v>0</v>
      </c>
      <c r="I230" s="19">
        <f>IF(装备!J169=0,0,"'"&amp;装备!J169&amp;"'")</f>
        <v>0</v>
      </c>
      <c r="J230" s="19">
        <f>IF(装备!K169=0,0,"'"&amp;装备!K169&amp;"'")</f>
        <v>0</v>
      </c>
      <c r="K230" s="19">
        <f>IF(装备!L169=0,0,"'"&amp;装备!L169&amp;"'")</f>
        <v>0</v>
      </c>
      <c r="L230" s="19">
        <f>IF(装备!M169=0,0,"'"&amp;装备!M169&amp;"'")</f>
        <v>0</v>
      </c>
      <c r="M230" s="19">
        <f>IF(装备!N169=0,0,"'"&amp;装备!N169&amp;"'")</f>
        <v>0</v>
      </c>
      <c r="N230" s="19">
        <f>IF(装备!O169=0,0,"'"&amp;装备!O169&amp;"'")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装备!A170</f>
        <v>0</v>
      </c>
      <c r="B231" s="19" t="str">
        <f>"'"&amp;装备!B170&amp;"'"</f>
        <v>''</v>
      </c>
      <c r="C231" s="19">
        <f>装备!J170</f>
        <v>0</v>
      </c>
      <c r="D231" s="19">
        <f>装备!K170</f>
        <v>0</v>
      </c>
      <c r="E231" s="19">
        <f>装备!L170</f>
        <v>0</v>
      </c>
      <c r="F231" s="19">
        <f>装备!M170</f>
        <v>0</v>
      </c>
      <c r="G231" s="19">
        <f>装备!N170</f>
        <v>0</v>
      </c>
      <c r="H231" s="19">
        <f>装备!O170</f>
        <v>0</v>
      </c>
      <c r="I231" s="19">
        <f>IF(装备!J170=0,0,"'"&amp;装备!J170&amp;"'")</f>
        <v>0</v>
      </c>
      <c r="J231" s="19">
        <f>IF(装备!K170=0,0,"'"&amp;装备!K170&amp;"'")</f>
        <v>0</v>
      </c>
      <c r="K231" s="19">
        <f>IF(装备!L170=0,0,"'"&amp;装备!L170&amp;"'")</f>
        <v>0</v>
      </c>
      <c r="L231" s="19">
        <f>IF(装备!M170=0,0,"'"&amp;装备!M170&amp;"'")</f>
        <v>0</v>
      </c>
      <c r="M231" s="19">
        <f>IF(装备!N170=0,0,"'"&amp;装备!N170&amp;"'")</f>
        <v>0</v>
      </c>
      <c r="N231" s="19">
        <f>IF(装备!O170=0,0,"'"&amp;装备!O170&amp;"'")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装备!A171</f>
        <v>0</v>
      </c>
      <c r="B232" s="19" t="str">
        <f>"'"&amp;装备!B171&amp;"'"</f>
        <v>''</v>
      </c>
      <c r="C232" s="19">
        <f>装备!J171</f>
        <v>0</v>
      </c>
      <c r="D232" s="19">
        <f>装备!K171</f>
        <v>0</v>
      </c>
      <c r="E232" s="19">
        <f>装备!L171</f>
        <v>0</v>
      </c>
      <c r="F232" s="19">
        <f>装备!M171</f>
        <v>0</v>
      </c>
      <c r="G232" s="19">
        <f>装备!N171</f>
        <v>0</v>
      </c>
      <c r="H232" s="19">
        <f>装备!O171</f>
        <v>0</v>
      </c>
      <c r="I232" s="19">
        <f>IF(装备!J171=0,0,"'"&amp;装备!J171&amp;"'")</f>
        <v>0</v>
      </c>
      <c r="J232" s="19">
        <f>IF(装备!K171=0,0,"'"&amp;装备!K171&amp;"'")</f>
        <v>0</v>
      </c>
      <c r="K232" s="19">
        <f>IF(装备!L171=0,0,"'"&amp;装备!L171&amp;"'")</f>
        <v>0</v>
      </c>
      <c r="L232" s="19">
        <f>IF(装备!M171=0,0,"'"&amp;装备!M171&amp;"'")</f>
        <v>0</v>
      </c>
      <c r="M232" s="19">
        <f>IF(装备!N171=0,0,"'"&amp;装备!N171&amp;"'")</f>
        <v>0</v>
      </c>
      <c r="N232" s="19">
        <f>IF(装备!O171=0,0,"'"&amp;装备!O171&amp;"'")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装备!A172</f>
        <v>0</v>
      </c>
      <c r="B233" s="19" t="str">
        <f>"'"&amp;装备!B172&amp;"'"</f>
        <v>''</v>
      </c>
      <c r="C233" s="19">
        <f>装备!J172</f>
        <v>0</v>
      </c>
      <c r="D233" s="19">
        <f>装备!K172</f>
        <v>0</v>
      </c>
      <c r="E233" s="19">
        <f>装备!L172</f>
        <v>0</v>
      </c>
      <c r="F233" s="19">
        <f>装备!M172</f>
        <v>0</v>
      </c>
      <c r="G233" s="19">
        <f>装备!N172</f>
        <v>0</v>
      </c>
      <c r="H233" s="19">
        <f>装备!O172</f>
        <v>0</v>
      </c>
      <c r="I233" s="19">
        <f>IF(装备!J172=0,0,"'"&amp;装备!J172&amp;"'")</f>
        <v>0</v>
      </c>
      <c r="J233" s="19">
        <f>IF(装备!K172=0,0,"'"&amp;装备!K172&amp;"'")</f>
        <v>0</v>
      </c>
      <c r="K233" s="19">
        <f>IF(装备!L172=0,0,"'"&amp;装备!L172&amp;"'")</f>
        <v>0</v>
      </c>
      <c r="L233" s="19">
        <f>IF(装备!M172=0,0,"'"&amp;装备!M172&amp;"'")</f>
        <v>0</v>
      </c>
      <c r="M233" s="19">
        <f>IF(装备!N172=0,0,"'"&amp;装备!N172&amp;"'")</f>
        <v>0</v>
      </c>
      <c r="N233" s="19">
        <f>IF(装备!O172=0,0,"'"&amp;装备!O172&amp;"'")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装备!A173</f>
        <v>0</v>
      </c>
      <c r="B234" s="19" t="str">
        <f>"'"&amp;装备!B173&amp;"'"</f>
        <v>''</v>
      </c>
      <c r="C234" s="19">
        <f>装备!J173</f>
        <v>0</v>
      </c>
      <c r="D234" s="19">
        <f>装备!K173</f>
        <v>0</v>
      </c>
      <c r="E234" s="19">
        <f>装备!L173</f>
        <v>0</v>
      </c>
      <c r="F234" s="19">
        <f>装备!M173</f>
        <v>0</v>
      </c>
      <c r="G234" s="19">
        <f>装备!N173</f>
        <v>0</v>
      </c>
      <c r="H234" s="19">
        <f>装备!O173</f>
        <v>0</v>
      </c>
      <c r="I234" s="19">
        <f>IF(装备!J173=0,0,"'"&amp;装备!J173&amp;"'")</f>
        <v>0</v>
      </c>
      <c r="J234" s="19">
        <f>IF(装备!K173=0,0,"'"&amp;装备!K173&amp;"'")</f>
        <v>0</v>
      </c>
      <c r="K234" s="19">
        <f>IF(装备!L173=0,0,"'"&amp;装备!L173&amp;"'")</f>
        <v>0</v>
      </c>
      <c r="L234" s="19">
        <f>IF(装备!M173=0,0,"'"&amp;装备!M173&amp;"'")</f>
        <v>0</v>
      </c>
      <c r="M234" s="19">
        <f>IF(装备!N173=0,0,"'"&amp;装备!N173&amp;"'")</f>
        <v>0</v>
      </c>
      <c r="N234" s="19">
        <f>IF(装备!O173=0,0,"'"&amp;装备!O173&amp;"'")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装备!A174</f>
        <v>0</v>
      </c>
      <c r="B235" s="19" t="str">
        <f>"'"&amp;装备!B174&amp;"'"</f>
        <v>''</v>
      </c>
      <c r="C235" s="19">
        <f>装备!J174</f>
        <v>0</v>
      </c>
      <c r="D235" s="19">
        <f>装备!K174</f>
        <v>0</v>
      </c>
      <c r="E235" s="19">
        <f>装备!L174</f>
        <v>0</v>
      </c>
      <c r="F235" s="19">
        <f>装备!M174</f>
        <v>0</v>
      </c>
      <c r="G235" s="19">
        <f>装备!N174</f>
        <v>0</v>
      </c>
      <c r="H235" s="19">
        <f>装备!O174</f>
        <v>0</v>
      </c>
      <c r="I235" s="19">
        <f>IF(装备!J174=0,0,"'"&amp;装备!J174&amp;"'")</f>
        <v>0</v>
      </c>
      <c r="J235" s="19">
        <f>IF(装备!K174=0,0,"'"&amp;装备!K174&amp;"'")</f>
        <v>0</v>
      </c>
      <c r="K235" s="19">
        <f>IF(装备!L174=0,0,"'"&amp;装备!L174&amp;"'")</f>
        <v>0</v>
      </c>
      <c r="L235" s="19">
        <f>IF(装备!M174=0,0,"'"&amp;装备!M174&amp;"'")</f>
        <v>0</v>
      </c>
      <c r="M235" s="19">
        <f>IF(装备!N174=0,0,"'"&amp;装备!N174&amp;"'")</f>
        <v>0</v>
      </c>
      <c r="N235" s="19">
        <f>IF(装备!O174=0,0,"'"&amp;装备!O174&amp;"'")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装备!A175</f>
        <v>0</v>
      </c>
      <c r="B236" s="19" t="str">
        <f>"'"&amp;装备!B175&amp;"'"</f>
        <v>''</v>
      </c>
      <c r="C236" s="19">
        <f>装备!J175</f>
        <v>0</v>
      </c>
      <c r="D236" s="19">
        <f>装备!K175</f>
        <v>0</v>
      </c>
      <c r="E236" s="19">
        <f>装备!L175</f>
        <v>0</v>
      </c>
      <c r="F236" s="19">
        <f>装备!M175</f>
        <v>0</v>
      </c>
      <c r="G236" s="19">
        <f>装备!N175</f>
        <v>0</v>
      </c>
      <c r="H236" s="19">
        <f>装备!O175</f>
        <v>0</v>
      </c>
      <c r="I236" s="19">
        <f>IF(装备!J175=0,0,"'"&amp;装备!J175&amp;"'")</f>
        <v>0</v>
      </c>
      <c r="J236" s="19">
        <f>IF(装备!K175=0,0,"'"&amp;装备!K175&amp;"'")</f>
        <v>0</v>
      </c>
      <c r="K236" s="19">
        <f>IF(装备!L175=0,0,"'"&amp;装备!L175&amp;"'")</f>
        <v>0</v>
      </c>
      <c r="L236" s="19">
        <f>IF(装备!M175=0,0,"'"&amp;装备!M175&amp;"'")</f>
        <v>0</v>
      </c>
      <c r="M236" s="19">
        <f>IF(装备!N175=0,0,"'"&amp;装备!N175&amp;"'")</f>
        <v>0</v>
      </c>
      <c r="N236" s="19">
        <f>IF(装备!O175=0,0,"'"&amp;装备!O175&amp;"'")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装备!A176</f>
        <v>0</v>
      </c>
      <c r="B237" s="19" t="str">
        <f>"'"&amp;装备!B176&amp;"'"</f>
        <v>''</v>
      </c>
      <c r="C237" s="19">
        <f>装备!J176</f>
        <v>0</v>
      </c>
      <c r="D237" s="19">
        <f>装备!K176</f>
        <v>0</v>
      </c>
      <c r="E237" s="19">
        <f>装备!L176</f>
        <v>0</v>
      </c>
      <c r="F237" s="19">
        <f>装备!M176</f>
        <v>0</v>
      </c>
      <c r="G237" s="19">
        <f>装备!N176</f>
        <v>0</v>
      </c>
      <c r="H237" s="19">
        <f>装备!O176</f>
        <v>0</v>
      </c>
      <c r="I237" s="19">
        <f>IF(装备!J176=0,0,"'"&amp;装备!J176&amp;"'")</f>
        <v>0</v>
      </c>
      <c r="J237" s="19">
        <f>IF(装备!K176=0,0,"'"&amp;装备!K176&amp;"'")</f>
        <v>0</v>
      </c>
      <c r="K237" s="19">
        <f>IF(装备!L176=0,0,"'"&amp;装备!L176&amp;"'")</f>
        <v>0</v>
      </c>
      <c r="L237" s="19">
        <f>IF(装备!M176=0,0,"'"&amp;装备!M176&amp;"'")</f>
        <v>0</v>
      </c>
      <c r="M237" s="19">
        <f>IF(装备!N176=0,0,"'"&amp;装备!N176&amp;"'")</f>
        <v>0</v>
      </c>
      <c r="N237" s="19">
        <f>IF(装备!O176=0,0,"'"&amp;装备!O176&amp;"'")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装备!A177</f>
        <v>0</v>
      </c>
      <c r="B238" s="19" t="str">
        <f>"'"&amp;装备!B177&amp;"'"</f>
        <v>''</v>
      </c>
      <c r="C238" s="19">
        <f>装备!J177</f>
        <v>0</v>
      </c>
      <c r="D238" s="19">
        <f>装备!K177</f>
        <v>0</v>
      </c>
      <c r="E238" s="19">
        <f>装备!L177</f>
        <v>0</v>
      </c>
      <c r="F238" s="19">
        <f>装备!M177</f>
        <v>0</v>
      </c>
      <c r="G238" s="19">
        <f>装备!N177</f>
        <v>0</v>
      </c>
      <c r="H238" s="19">
        <f>装备!O177</f>
        <v>0</v>
      </c>
      <c r="I238" s="19">
        <f>IF(装备!J177=0,0,"'"&amp;装备!J177&amp;"'")</f>
        <v>0</v>
      </c>
      <c r="J238" s="19">
        <f>IF(装备!K177=0,0,"'"&amp;装备!K177&amp;"'")</f>
        <v>0</v>
      </c>
      <c r="K238" s="19">
        <f>IF(装备!L177=0,0,"'"&amp;装备!L177&amp;"'")</f>
        <v>0</v>
      </c>
      <c r="L238" s="19">
        <f>IF(装备!M177=0,0,"'"&amp;装备!M177&amp;"'")</f>
        <v>0</v>
      </c>
      <c r="M238" s="19">
        <f>IF(装备!N177=0,0,"'"&amp;装备!N177&amp;"'")</f>
        <v>0</v>
      </c>
      <c r="N238" s="19">
        <f>IF(装备!O177=0,0,"'"&amp;装备!O177&amp;"'")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装备!A178</f>
        <v>0</v>
      </c>
      <c r="B239" s="19" t="str">
        <f>"'"&amp;装备!B178&amp;"'"</f>
        <v>''</v>
      </c>
      <c r="C239" s="19">
        <f>装备!J178</f>
        <v>0</v>
      </c>
      <c r="D239" s="19">
        <f>装备!K178</f>
        <v>0</v>
      </c>
      <c r="E239" s="19">
        <f>装备!L178</f>
        <v>0</v>
      </c>
      <c r="F239" s="19">
        <f>装备!M178</f>
        <v>0</v>
      </c>
      <c r="G239" s="19">
        <f>装备!N178</f>
        <v>0</v>
      </c>
      <c r="H239" s="19">
        <f>装备!O178</f>
        <v>0</v>
      </c>
      <c r="I239" s="19">
        <f>IF(装备!J178=0,0,"'"&amp;装备!J178&amp;"'")</f>
        <v>0</v>
      </c>
      <c r="J239" s="19">
        <f>IF(装备!K178=0,0,"'"&amp;装备!K178&amp;"'")</f>
        <v>0</v>
      </c>
      <c r="K239" s="19">
        <f>IF(装备!L178=0,0,"'"&amp;装备!L178&amp;"'")</f>
        <v>0</v>
      </c>
      <c r="L239" s="19">
        <f>IF(装备!M178=0,0,"'"&amp;装备!M178&amp;"'")</f>
        <v>0</v>
      </c>
      <c r="M239" s="19">
        <f>IF(装备!N178=0,0,"'"&amp;装备!N178&amp;"'")</f>
        <v>0</v>
      </c>
      <c r="N239" s="19">
        <f>IF(装备!O178=0,0,"'"&amp;装备!O178&amp;"'")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装备!A179</f>
        <v>0</v>
      </c>
      <c r="B240" s="19" t="str">
        <f>"'"&amp;装备!B179&amp;"'"</f>
        <v>''</v>
      </c>
      <c r="C240" s="19">
        <f>装备!J179</f>
        <v>0</v>
      </c>
      <c r="D240" s="19">
        <f>装备!K179</f>
        <v>0</v>
      </c>
      <c r="E240" s="19">
        <f>装备!L179</f>
        <v>0</v>
      </c>
      <c r="F240" s="19">
        <f>装备!M179</f>
        <v>0</v>
      </c>
      <c r="G240" s="19">
        <f>装备!N179</f>
        <v>0</v>
      </c>
      <c r="H240" s="19">
        <f>装备!O179</f>
        <v>0</v>
      </c>
      <c r="I240" s="19">
        <f>IF(装备!J179=0,0,"'"&amp;装备!J179&amp;"'")</f>
        <v>0</v>
      </c>
      <c r="J240" s="19">
        <f>IF(装备!K179=0,0,"'"&amp;装备!K179&amp;"'")</f>
        <v>0</v>
      </c>
      <c r="K240" s="19">
        <f>IF(装备!L179=0,0,"'"&amp;装备!L179&amp;"'")</f>
        <v>0</v>
      </c>
      <c r="L240" s="19">
        <f>IF(装备!M179=0,0,"'"&amp;装备!M179&amp;"'")</f>
        <v>0</v>
      </c>
      <c r="M240" s="19">
        <f>IF(装备!N179=0,0,"'"&amp;装备!N179&amp;"'")</f>
        <v>0</v>
      </c>
      <c r="N240" s="19">
        <f>IF(装备!O179=0,0,"'"&amp;装备!O179&amp;"'")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装备!A180</f>
        <v>0</v>
      </c>
      <c r="B241" s="19" t="str">
        <f>"'"&amp;装备!B180&amp;"'"</f>
        <v>''</v>
      </c>
      <c r="C241" s="19">
        <f>装备!J180</f>
        <v>0</v>
      </c>
      <c r="D241" s="19">
        <f>装备!K180</f>
        <v>0</v>
      </c>
      <c r="E241" s="19">
        <f>装备!L180</f>
        <v>0</v>
      </c>
      <c r="F241" s="19">
        <f>装备!M180</f>
        <v>0</v>
      </c>
      <c r="G241" s="19">
        <f>装备!N180</f>
        <v>0</v>
      </c>
      <c r="H241" s="19">
        <f>装备!O180</f>
        <v>0</v>
      </c>
      <c r="I241" s="19">
        <f>IF(装备!J180=0,0,"'"&amp;装备!J180&amp;"'")</f>
        <v>0</v>
      </c>
      <c r="J241" s="19">
        <f>IF(装备!K180=0,0,"'"&amp;装备!K180&amp;"'")</f>
        <v>0</v>
      </c>
      <c r="K241" s="19">
        <f>IF(装备!L180=0,0,"'"&amp;装备!L180&amp;"'")</f>
        <v>0</v>
      </c>
      <c r="L241" s="19">
        <f>IF(装备!M180=0,0,"'"&amp;装备!M180&amp;"'")</f>
        <v>0</v>
      </c>
      <c r="M241" s="19">
        <f>IF(装备!N180=0,0,"'"&amp;装备!N180&amp;"'")</f>
        <v>0</v>
      </c>
      <c r="N241" s="19">
        <f>IF(装备!O180=0,0,"'"&amp;装备!O180&amp;"'")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装备!A181</f>
        <v>0</v>
      </c>
      <c r="B242" s="19" t="str">
        <f>"'"&amp;装备!B181&amp;"'"</f>
        <v>''</v>
      </c>
      <c r="C242" s="19">
        <f>装备!J181</f>
        <v>0</v>
      </c>
      <c r="D242" s="19">
        <f>装备!K181</f>
        <v>0</v>
      </c>
      <c r="E242" s="19">
        <f>装备!L181</f>
        <v>0</v>
      </c>
      <c r="F242" s="19">
        <f>装备!M181</f>
        <v>0</v>
      </c>
      <c r="G242" s="19">
        <f>装备!N181</f>
        <v>0</v>
      </c>
      <c r="H242" s="19">
        <f>装备!O181</f>
        <v>0</v>
      </c>
      <c r="I242" s="19">
        <f>IF(装备!J181=0,0,"'"&amp;装备!J181&amp;"'")</f>
        <v>0</v>
      </c>
      <c r="J242" s="19">
        <f>IF(装备!K181=0,0,"'"&amp;装备!K181&amp;"'")</f>
        <v>0</v>
      </c>
      <c r="K242" s="19">
        <f>IF(装备!L181=0,0,"'"&amp;装备!L181&amp;"'")</f>
        <v>0</v>
      </c>
      <c r="L242" s="19">
        <f>IF(装备!M181=0,0,"'"&amp;装备!M181&amp;"'")</f>
        <v>0</v>
      </c>
      <c r="M242" s="19">
        <f>IF(装备!N181=0,0,"'"&amp;装备!N181&amp;"'")</f>
        <v>0</v>
      </c>
      <c r="N242" s="19">
        <f>IF(装备!O181=0,0,"'"&amp;装备!O181&amp;"'")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装备!A182</f>
        <v>0</v>
      </c>
      <c r="B243" s="19" t="str">
        <f>"'"&amp;装备!B182&amp;"'"</f>
        <v>''</v>
      </c>
      <c r="C243" s="19">
        <f>装备!J182</f>
        <v>0</v>
      </c>
      <c r="D243" s="19">
        <f>装备!K182</f>
        <v>0</v>
      </c>
      <c r="E243" s="19">
        <f>装备!L182</f>
        <v>0</v>
      </c>
      <c r="F243" s="19">
        <f>装备!M182</f>
        <v>0</v>
      </c>
      <c r="G243" s="19">
        <f>装备!N182</f>
        <v>0</v>
      </c>
      <c r="H243" s="19">
        <f>装备!O182</f>
        <v>0</v>
      </c>
      <c r="I243" s="19">
        <f>IF(装备!J182=0,0,"'"&amp;装备!J182&amp;"'")</f>
        <v>0</v>
      </c>
      <c r="J243" s="19">
        <f>IF(装备!K182=0,0,"'"&amp;装备!K182&amp;"'")</f>
        <v>0</v>
      </c>
      <c r="K243" s="19">
        <f>IF(装备!L182=0,0,"'"&amp;装备!L182&amp;"'")</f>
        <v>0</v>
      </c>
      <c r="L243" s="19">
        <f>IF(装备!M182=0,0,"'"&amp;装备!M182&amp;"'")</f>
        <v>0</v>
      </c>
      <c r="M243" s="19">
        <f>IF(装备!N182=0,0,"'"&amp;装备!N182&amp;"'")</f>
        <v>0</v>
      </c>
      <c r="N243" s="19">
        <f>IF(装备!O182=0,0,"'"&amp;装备!O182&amp;"'")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装备!A183</f>
        <v>0</v>
      </c>
      <c r="B244" s="19" t="str">
        <f>"'"&amp;装备!B183&amp;"'"</f>
        <v>''</v>
      </c>
      <c r="C244" s="19">
        <f>装备!J183</f>
        <v>0</v>
      </c>
      <c r="D244" s="19">
        <f>装备!K183</f>
        <v>0</v>
      </c>
      <c r="E244" s="19">
        <f>装备!L183</f>
        <v>0</v>
      </c>
      <c r="F244" s="19">
        <f>装备!M183</f>
        <v>0</v>
      </c>
      <c r="G244" s="19">
        <f>装备!N183</f>
        <v>0</v>
      </c>
      <c r="H244" s="19">
        <f>装备!O183</f>
        <v>0</v>
      </c>
      <c r="I244" s="19">
        <f>IF(装备!J183=0,0,"'"&amp;装备!J183&amp;"'")</f>
        <v>0</v>
      </c>
      <c r="J244" s="19">
        <f>IF(装备!K183=0,0,"'"&amp;装备!K183&amp;"'")</f>
        <v>0</v>
      </c>
      <c r="K244" s="19">
        <f>IF(装备!L183=0,0,"'"&amp;装备!L183&amp;"'")</f>
        <v>0</v>
      </c>
      <c r="L244" s="19">
        <f>IF(装备!M183=0,0,"'"&amp;装备!M183&amp;"'")</f>
        <v>0</v>
      </c>
      <c r="M244" s="19">
        <f>IF(装备!N183=0,0,"'"&amp;装备!N183&amp;"'")</f>
        <v>0</v>
      </c>
      <c r="N244" s="19">
        <f>IF(装备!O183=0,0,"'"&amp;装备!O183&amp;"'")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装备!A184</f>
        <v>0</v>
      </c>
      <c r="B245" s="19" t="str">
        <f>"'"&amp;装备!B184&amp;"'"</f>
        <v>''</v>
      </c>
      <c r="C245" s="19">
        <f>装备!J184</f>
        <v>0</v>
      </c>
      <c r="D245" s="19">
        <f>装备!K184</f>
        <v>0</v>
      </c>
      <c r="E245" s="19">
        <f>装备!L184</f>
        <v>0</v>
      </c>
      <c r="F245" s="19">
        <f>装备!M184</f>
        <v>0</v>
      </c>
      <c r="G245" s="19">
        <f>装备!N184</f>
        <v>0</v>
      </c>
      <c r="H245" s="19">
        <f>装备!O184</f>
        <v>0</v>
      </c>
      <c r="I245" s="19">
        <f>IF(装备!J184=0,0,"'"&amp;装备!J184&amp;"'")</f>
        <v>0</v>
      </c>
      <c r="J245" s="19">
        <f>IF(装备!K184=0,0,"'"&amp;装备!K184&amp;"'")</f>
        <v>0</v>
      </c>
      <c r="K245" s="19">
        <f>IF(装备!L184=0,0,"'"&amp;装备!L184&amp;"'")</f>
        <v>0</v>
      </c>
      <c r="L245" s="19">
        <f>IF(装备!M184=0,0,"'"&amp;装备!M184&amp;"'")</f>
        <v>0</v>
      </c>
      <c r="M245" s="19">
        <f>IF(装备!N184=0,0,"'"&amp;装备!N184&amp;"'")</f>
        <v>0</v>
      </c>
      <c r="N245" s="19">
        <f>IF(装备!O184=0,0,"'"&amp;装备!O184&amp;"'")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装备!A185</f>
        <v>0</v>
      </c>
      <c r="B246" s="19" t="str">
        <f>"'"&amp;装备!B185&amp;"'"</f>
        <v>''</v>
      </c>
      <c r="C246" s="19">
        <f>装备!J185</f>
        <v>0</v>
      </c>
      <c r="D246" s="19">
        <f>装备!K185</f>
        <v>0</v>
      </c>
      <c r="E246" s="19">
        <f>装备!L185</f>
        <v>0</v>
      </c>
      <c r="F246" s="19">
        <f>装备!M185</f>
        <v>0</v>
      </c>
      <c r="G246" s="19">
        <f>装备!N185</f>
        <v>0</v>
      </c>
      <c r="H246" s="19">
        <f>装备!O185</f>
        <v>0</v>
      </c>
      <c r="I246" s="19">
        <f>IF(装备!J185=0,0,"'"&amp;装备!J185&amp;"'")</f>
        <v>0</v>
      </c>
      <c r="J246" s="19">
        <f>IF(装备!K185=0,0,"'"&amp;装备!K185&amp;"'")</f>
        <v>0</v>
      </c>
      <c r="K246" s="19">
        <f>IF(装备!L185=0,0,"'"&amp;装备!L185&amp;"'")</f>
        <v>0</v>
      </c>
      <c r="L246" s="19">
        <f>IF(装备!M185=0,0,"'"&amp;装备!M185&amp;"'")</f>
        <v>0</v>
      </c>
      <c r="M246" s="19">
        <f>IF(装备!N185=0,0,"'"&amp;装备!N185&amp;"'")</f>
        <v>0</v>
      </c>
      <c r="N246" s="19">
        <f>IF(装备!O185=0,0,"'"&amp;装备!O185&amp;"'")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装备!A186</f>
        <v>0</v>
      </c>
      <c r="B247" s="19" t="str">
        <f>"'"&amp;装备!B186&amp;"'"</f>
        <v>''</v>
      </c>
      <c r="C247" s="19">
        <f>装备!J186</f>
        <v>0</v>
      </c>
      <c r="D247" s="19">
        <f>装备!K186</f>
        <v>0</v>
      </c>
      <c r="E247" s="19">
        <f>装备!L186</f>
        <v>0</v>
      </c>
      <c r="F247" s="19">
        <f>装备!M186</f>
        <v>0</v>
      </c>
      <c r="G247" s="19">
        <f>装备!N186</f>
        <v>0</v>
      </c>
      <c r="H247" s="19">
        <f>装备!O186</f>
        <v>0</v>
      </c>
      <c r="I247" s="19">
        <f>IF(装备!J186=0,0,"'"&amp;装备!J186&amp;"'")</f>
        <v>0</v>
      </c>
      <c r="J247" s="19">
        <f>IF(装备!K186=0,0,"'"&amp;装备!K186&amp;"'")</f>
        <v>0</v>
      </c>
      <c r="K247" s="19">
        <f>IF(装备!L186=0,0,"'"&amp;装备!L186&amp;"'")</f>
        <v>0</v>
      </c>
      <c r="L247" s="19">
        <f>IF(装备!M186=0,0,"'"&amp;装备!M186&amp;"'")</f>
        <v>0</v>
      </c>
      <c r="M247" s="19">
        <f>IF(装备!N186=0,0,"'"&amp;装备!N186&amp;"'")</f>
        <v>0</v>
      </c>
      <c r="N247" s="19">
        <f>IF(装备!O186=0,0,"'"&amp;装备!O186&amp;"'")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装备!A187</f>
        <v>0</v>
      </c>
      <c r="B248" s="19" t="str">
        <f>"'"&amp;装备!B187&amp;"'"</f>
        <v>''</v>
      </c>
      <c r="C248" s="19">
        <f>装备!J187</f>
        <v>0</v>
      </c>
      <c r="D248" s="19">
        <f>装备!K187</f>
        <v>0</v>
      </c>
      <c r="E248" s="19">
        <f>装备!L187</f>
        <v>0</v>
      </c>
      <c r="F248" s="19">
        <f>装备!M187</f>
        <v>0</v>
      </c>
      <c r="G248" s="19">
        <f>装备!N187</f>
        <v>0</v>
      </c>
      <c r="H248" s="19">
        <f>装备!O187</f>
        <v>0</v>
      </c>
      <c r="I248" s="19">
        <f>IF(装备!J187=0,0,"'"&amp;装备!J187&amp;"'")</f>
        <v>0</v>
      </c>
      <c r="J248" s="19">
        <f>IF(装备!K187=0,0,"'"&amp;装备!K187&amp;"'")</f>
        <v>0</v>
      </c>
      <c r="K248" s="19">
        <f>IF(装备!L187=0,0,"'"&amp;装备!L187&amp;"'")</f>
        <v>0</v>
      </c>
      <c r="L248" s="19">
        <f>IF(装备!M187=0,0,"'"&amp;装备!M187&amp;"'")</f>
        <v>0</v>
      </c>
      <c r="M248" s="19">
        <f>IF(装备!N187=0,0,"'"&amp;装备!N187&amp;"'")</f>
        <v>0</v>
      </c>
      <c r="N248" s="19">
        <f>IF(装备!O187=0,0,"'"&amp;装备!O187&amp;"'")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装备!A188</f>
        <v>0</v>
      </c>
      <c r="B249" s="19" t="str">
        <f>"'"&amp;装备!B188&amp;"'"</f>
        <v>''</v>
      </c>
      <c r="C249" s="19">
        <f>装备!J188</f>
        <v>0</v>
      </c>
      <c r="D249" s="19">
        <f>装备!K188</f>
        <v>0</v>
      </c>
      <c r="E249" s="19">
        <f>装备!L188</f>
        <v>0</v>
      </c>
      <c r="F249" s="19">
        <f>装备!M188</f>
        <v>0</v>
      </c>
      <c r="G249" s="19">
        <f>装备!N188</f>
        <v>0</v>
      </c>
      <c r="H249" s="19">
        <f>装备!O188</f>
        <v>0</v>
      </c>
      <c r="I249" s="19">
        <f>IF(装备!J188=0,0,"'"&amp;装备!J188&amp;"'")</f>
        <v>0</v>
      </c>
      <c r="J249" s="19">
        <f>IF(装备!K188=0,0,"'"&amp;装备!K188&amp;"'")</f>
        <v>0</v>
      </c>
      <c r="K249" s="19">
        <f>IF(装备!L188=0,0,"'"&amp;装备!L188&amp;"'")</f>
        <v>0</v>
      </c>
      <c r="L249" s="19">
        <f>IF(装备!M188=0,0,"'"&amp;装备!M188&amp;"'")</f>
        <v>0</v>
      </c>
      <c r="M249" s="19">
        <f>IF(装备!N188=0,0,"'"&amp;装备!N188&amp;"'")</f>
        <v>0</v>
      </c>
      <c r="N249" s="19">
        <f>IF(装备!O188=0,0,"'"&amp;装备!O188&amp;"'")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装备!A189</f>
        <v>0</v>
      </c>
      <c r="B250" s="19" t="str">
        <f>"'"&amp;装备!B189&amp;"'"</f>
        <v>''</v>
      </c>
      <c r="C250" s="19">
        <f>装备!J189</f>
        <v>0</v>
      </c>
      <c r="D250" s="19">
        <f>装备!K189</f>
        <v>0</v>
      </c>
      <c r="E250" s="19">
        <f>装备!L189</f>
        <v>0</v>
      </c>
      <c r="F250" s="19">
        <f>装备!M189</f>
        <v>0</v>
      </c>
      <c r="G250" s="19">
        <f>装备!N189</f>
        <v>0</v>
      </c>
      <c r="H250" s="19">
        <f>装备!O189</f>
        <v>0</v>
      </c>
      <c r="I250" s="19">
        <f>IF(装备!J189=0,0,"'"&amp;装备!J189&amp;"'")</f>
        <v>0</v>
      </c>
      <c r="J250" s="19">
        <f>IF(装备!K189=0,0,"'"&amp;装备!K189&amp;"'")</f>
        <v>0</v>
      </c>
      <c r="K250" s="19">
        <f>IF(装备!L189=0,0,"'"&amp;装备!L189&amp;"'")</f>
        <v>0</v>
      </c>
      <c r="L250" s="19">
        <f>IF(装备!M189=0,0,"'"&amp;装备!M189&amp;"'")</f>
        <v>0</v>
      </c>
      <c r="M250" s="19">
        <f>IF(装备!N189=0,0,"'"&amp;装备!N189&amp;"'")</f>
        <v>0</v>
      </c>
      <c r="N250" s="19">
        <f>IF(装备!O189=0,0,"'"&amp;装备!O189&amp;"'")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装备!A190</f>
        <v>0</v>
      </c>
      <c r="B251" s="19" t="str">
        <f>"'"&amp;装备!B190&amp;"'"</f>
        <v>''</v>
      </c>
      <c r="C251" s="19">
        <f>装备!J190</f>
        <v>0</v>
      </c>
      <c r="D251" s="19">
        <f>装备!K190</f>
        <v>0</v>
      </c>
      <c r="E251" s="19">
        <f>装备!L190</f>
        <v>0</v>
      </c>
      <c r="F251" s="19">
        <f>装备!M190</f>
        <v>0</v>
      </c>
      <c r="G251" s="19">
        <f>装备!N190</f>
        <v>0</v>
      </c>
      <c r="H251" s="19">
        <f>装备!O190</f>
        <v>0</v>
      </c>
      <c r="I251" s="19">
        <f>IF(装备!J190=0,0,"'"&amp;装备!J190&amp;"'")</f>
        <v>0</v>
      </c>
      <c r="J251" s="19">
        <f>IF(装备!K190=0,0,"'"&amp;装备!K190&amp;"'")</f>
        <v>0</v>
      </c>
      <c r="K251" s="19">
        <f>IF(装备!L190=0,0,"'"&amp;装备!L190&amp;"'")</f>
        <v>0</v>
      </c>
      <c r="L251" s="19">
        <f>IF(装备!M190=0,0,"'"&amp;装备!M190&amp;"'")</f>
        <v>0</v>
      </c>
      <c r="M251" s="19">
        <f>IF(装备!N190=0,0,"'"&amp;装备!N190&amp;"'")</f>
        <v>0</v>
      </c>
      <c r="N251" s="19">
        <f>IF(装备!O190=0,0,"'"&amp;装备!O190&amp;"'")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装备!A191</f>
        <v>0</v>
      </c>
      <c r="B252" s="19" t="str">
        <f>"'"&amp;装备!B191&amp;"'"</f>
        <v>''</v>
      </c>
      <c r="C252" s="19">
        <f>装备!J191</f>
        <v>0</v>
      </c>
      <c r="D252" s="19">
        <f>装备!K191</f>
        <v>0</v>
      </c>
      <c r="E252" s="19">
        <f>装备!L191</f>
        <v>0</v>
      </c>
      <c r="F252" s="19">
        <f>装备!M191</f>
        <v>0</v>
      </c>
      <c r="G252" s="19">
        <f>装备!N191</f>
        <v>0</v>
      </c>
      <c r="H252" s="19">
        <f>装备!O191</f>
        <v>0</v>
      </c>
      <c r="I252" s="19">
        <f>IF(装备!J191=0,0,"'"&amp;装备!J191&amp;"'")</f>
        <v>0</v>
      </c>
      <c r="J252" s="19">
        <f>IF(装备!K191=0,0,"'"&amp;装备!K191&amp;"'")</f>
        <v>0</v>
      </c>
      <c r="K252" s="19">
        <f>IF(装备!L191=0,0,"'"&amp;装备!L191&amp;"'")</f>
        <v>0</v>
      </c>
      <c r="L252" s="19">
        <f>IF(装备!M191=0,0,"'"&amp;装备!M191&amp;"'")</f>
        <v>0</v>
      </c>
      <c r="M252" s="19">
        <f>IF(装备!N191=0,0,"'"&amp;装备!N191&amp;"'")</f>
        <v>0</v>
      </c>
      <c r="N252" s="19">
        <f>IF(装备!O191=0,0,"'"&amp;装备!O191&amp;"'")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装备!A192</f>
        <v>0</v>
      </c>
      <c r="B253" s="19" t="str">
        <f>"'"&amp;装备!B192&amp;"'"</f>
        <v>''</v>
      </c>
      <c r="C253" s="19">
        <f>装备!J192</f>
        <v>0</v>
      </c>
      <c r="D253" s="19">
        <f>装备!K192</f>
        <v>0</v>
      </c>
      <c r="E253" s="19">
        <f>装备!L192</f>
        <v>0</v>
      </c>
      <c r="F253" s="19">
        <f>装备!M192</f>
        <v>0</v>
      </c>
      <c r="G253" s="19">
        <f>装备!N192</f>
        <v>0</v>
      </c>
      <c r="H253" s="19">
        <f>装备!O192</f>
        <v>0</v>
      </c>
      <c r="I253" s="19">
        <f>IF(装备!J192=0,0,"'"&amp;装备!J192&amp;"'")</f>
        <v>0</v>
      </c>
      <c r="J253" s="19">
        <f>IF(装备!K192=0,0,"'"&amp;装备!K192&amp;"'")</f>
        <v>0</v>
      </c>
      <c r="K253" s="19">
        <f>IF(装备!L192=0,0,"'"&amp;装备!L192&amp;"'")</f>
        <v>0</v>
      </c>
      <c r="L253" s="19">
        <f>IF(装备!M192=0,0,"'"&amp;装备!M192&amp;"'")</f>
        <v>0</v>
      </c>
      <c r="M253" s="19">
        <f>IF(装备!N192=0,0,"'"&amp;装备!N192&amp;"'")</f>
        <v>0</v>
      </c>
      <c r="N253" s="19">
        <f>IF(装备!O192=0,0,"'"&amp;装备!O192&amp;"'")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装备!A193</f>
        <v>0</v>
      </c>
      <c r="B254" s="19" t="str">
        <f>"'"&amp;装备!B193&amp;"'"</f>
        <v>''</v>
      </c>
      <c r="C254" s="19">
        <f>装备!J193</f>
        <v>0</v>
      </c>
      <c r="D254" s="19">
        <f>装备!K193</f>
        <v>0</v>
      </c>
      <c r="E254" s="19">
        <f>装备!L193</f>
        <v>0</v>
      </c>
      <c r="F254" s="19">
        <f>装备!M193</f>
        <v>0</v>
      </c>
      <c r="G254" s="19">
        <f>装备!N193</f>
        <v>0</v>
      </c>
      <c r="H254" s="19">
        <f>装备!O193</f>
        <v>0</v>
      </c>
      <c r="I254" s="19">
        <f>IF(装备!J193=0,0,"'"&amp;装备!J193&amp;"'")</f>
        <v>0</v>
      </c>
      <c r="J254" s="19">
        <f>IF(装备!K193=0,0,"'"&amp;装备!K193&amp;"'")</f>
        <v>0</v>
      </c>
      <c r="K254" s="19">
        <f>IF(装备!L193=0,0,"'"&amp;装备!L193&amp;"'")</f>
        <v>0</v>
      </c>
      <c r="L254" s="19">
        <f>IF(装备!M193=0,0,"'"&amp;装备!M193&amp;"'")</f>
        <v>0</v>
      </c>
      <c r="M254" s="19">
        <f>IF(装备!N193=0,0,"'"&amp;装备!N193&amp;"'")</f>
        <v>0</v>
      </c>
      <c r="N254" s="19">
        <f>IF(装备!O193=0,0,"'"&amp;装备!O193&amp;"'")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装备!A194</f>
        <v>0</v>
      </c>
      <c r="B255" s="19" t="str">
        <f>"'"&amp;装备!B194&amp;"'"</f>
        <v>''</v>
      </c>
      <c r="C255" s="19">
        <f>装备!J194</f>
        <v>0</v>
      </c>
      <c r="D255" s="19">
        <f>装备!K194</f>
        <v>0</v>
      </c>
      <c r="E255" s="19">
        <f>装备!L194</f>
        <v>0</v>
      </c>
      <c r="F255" s="19">
        <f>装备!M194</f>
        <v>0</v>
      </c>
      <c r="G255" s="19">
        <f>装备!N194</f>
        <v>0</v>
      </c>
      <c r="H255" s="19">
        <f>装备!O194</f>
        <v>0</v>
      </c>
      <c r="I255" s="19">
        <f>IF(装备!J194=0,0,"'"&amp;装备!J194&amp;"'")</f>
        <v>0</v>
      </c>
      <c r="J255" s="19">
        <f>IF(装备!K194=0,0,"'"&amp;装备!K194&amp;"'")</f>
        <v>0</v>
      </c>
      <c r="K255" s="19">
        <f>IF(装备!L194=0,0,"'"&amp;装备!L194&amp;"'")</f>
        <v>0</v>
      </c>
      <c r="L255" s="19">
        <f>IF(装备!M194=0,0,"'"&amp;装备!M194&amp;"'")</f>
        <v>0</v>
      </c>
      <c r="M255" s="19">
        <f>IF(装备!N194=0,0,"'"&amp;装备!N194&amp;"'")</f>
        <v>0</v>
      </c>
      <c r="N255" s="19">
        <f>IF(装备!O194=0,0,"'"&amp;装备!O194&amp;"'")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装备!A195</f>
        <v>0</v>
      </c>
      <c r="B256" s="19" t="str">
        <f>"'"&amp;装备!B195&amp;"'"</f>
        <v>''</v>
      </c>
      <c r="C256" s="19">
        <f>装备!J195</f>
        <v>0</v>
      </c>
      <c r="D256" s="19">
        <f>装备!K195</f>
        <v>0</v>
      </c>
      <c r="E256" s="19">
        <f>装备!L195</f>
        <v>0</v>
      </c>
      <c r="F256" s="19">
        <f>装备!M195</f>
        <v>0</v>
      </c>
      <c r="G256" s="19">
        <f>装备!N195</f>
        <v>0</v>
      </c>
      <c r="H256" s="19">
        <f>装备!O195</f>
        <v>0</v>
      </c>
      <c r="I256" s="19">
        <f>IF(装备!J195=0,0,"'"&amp;装备!J195&amp;"'")</f>
        <v>0</v>
      </c>
      <c r="J256" s="19">
        <f>IF(装备!K195=0,0,"'"&amp;装备!K195&amp;"'")</f>
        <v>0</v>
      </c>
      <c r="K256" s="19">
        <f>IF(装备!L195=0,0,"'"&amp;装备!L195&amp;"'")</f>
        <v>0</v>
      </c>
      <c r="L256" s="19">
        <f>IF(装备!M195=0,0,"'"&amp;装备!M195&amp;"'")</f>
        <v>0</v>
      </c>
      <c r="M256" s="19">
        <f>IF(装备!N195=0,0,"'"&amp;装备!N195&amp;"'")</f>
        <v>0</v>
      </c>
      <c r="N256" s="19">
        <f>IF(装备!O195=0,0,"'"&amp;装备!O195&amp;"'")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装备!A196</f>
        <v>0</v>
      </c>
      <c r="B257" s="19" t="str">
        <f>"'"&amp;装备!B196&amp;"'"</f>
        <v>''</v>
      </c>
      <c r="C257" s="19">
        <f>装备!J196</f>
        <v>0</v>
      </c>
      <c r="D257" s="19">
        <f>装备!K196</f>
        <v>0</v>
      </c>
      <c r="E257" s="19">
        <f>装备!L196</f>
        <v>0</v>
      </c>
      <c r="F257" s="19">
        <f>装备!M196</f>
        <v>0</v>
      </c>
      <c r="G257" s="19">
        <f>装备!N196</f>
        <v>0</v>
      </c>
      <c r="H257" s="19">
        <f>装备!O196</f>
        <v>0</v>
      </c>
      <c r="I257" s="19">
        <f>IF(装备!J196=0,0,"'"&amp;装备!J196&amp;"'")</f>
        <v>0</v>
      </c>
      <c r="J257" s="19">
        <f>IF(装备!K196=0,0,"'"&amp;装备!K196&amp;"'")</f>
        <v>0</v>
      </c>
      <c r="K257" s="19">
        <f>IF(装备!L196=0,0,"'"&amp;装备!L196&amp;"'")</f>
        <v>0</v>
      </c>
      <c r="L257" s="19">
        <f>IF(装备!M196=0,0,"'"&amp;装备!M196&amp;"'")</f>
        <v>0</v>
      </c>
      <c r="M257" s="19">
        <f>IF(装备!N196=0,0,"'"&amp;装备!N196&amp;"'")</f>
        <v>0</v>
      </c>
      <c r="N257" s="19">
        <f>IF(装备!O196=0,0,"'"&amp;装备!O196&amp;"'")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装备!A197</f>
        <v>0</v>
      </c>
      <c r="B258" s="19" t="str">
        <f>"'"&amp;装备!B197&amp;"'"</f>
        <v>''</v>
      </c>
      <c r="C258" s="19">
        <f>装备!J197</f>
        <v>0</v>
      </c>
      <c r="D258" s="19">
        <f>装备!K197</f>
        <v>0</v>
      </c>
      <c r="E258" s="19">
        <f>装备!L197</f>
        <v>0</v>
      </c>
      <c r="F258" s="19">
        <f>装备!M197</f>
        <v>0</v>
      </c>
      <c r="G258" s="19">
        <f>装备!N197</f>
        <v>0</v>
      </c>
      <c r="H258" s="19">
        <f>装备!O197</f>
        <v>0</v>
      </c>
      <c r="I258" s="19">
        <f>IF(装备!J197=0,0,"'"&amp;装备!J197&amp;"'")</f>
        <v>0</v>
      </c>
      <c r="J258" s="19">
        <f>IF(装备!K197=0,0,"'"&amp;装备!K197&amp;"'")</f>
        <v>0</v>
      </c>
      <c r="K258" s="19">
        <f>IF(装备!L197=0,0,"'"&amp;装备!L197&amp;"'")</f>
        <v>0</v>
      </c>
      <c r="L258" s="19">
        <f>IF(装备!M197=0,0,"'"&amp;装备!M197&amp;"'")</f>
        <v>0</v>
      </c>
      <c r="M258" s="19">
        <f>IF(装备!N197=0,0,"'"&amp;装备!N197&amp;"'")</f>
        <v>0</v>
      </c>
      <c r="N258" s="19">
        <f>IF(装备!O197=0,0,"'"&amp;装备!O197&amp;"'")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装备!A198</f>
        <v>0</v>
      </c>
      <c r="B259" s="19" t="str">
        <f>"'"&amp;装备!B198&amp;"'"</f>
        <v>''</v>
      </c>
      <c r="C259" s="19">
        <f>装备!J198</f>
        <v>0</v>
      </c>
      <c r="D259" s="19">
        <f>装备!K198</f>
        <v>0</v>
      </c>
      <c r="E259" s="19">
        <f>装备!L198</f>
        <v>0</v>
      </c>
      <c r="F259" s="19">
        <f>装备!M198</f>
        <v>0</v>
      </c>
      <c r="G259" s="19">
        <f>装备!N198</f>
        <v>0</v>
      </c>
      <c r="H259" s="19">
        <f>装备!O198</f>
        <v>0</v>
      </c>
      <c r="I259" s="19">
        <f>IF(装备!J198=0,0,"'"&amp;装备!J198&amp;"'")</f>
        <v>0</v>
      </c>
      <c r="J259" s="19">
        <f>IF(装备!K198=0,0,"'"&amp;装备!K198&amp;"'")</f>
        <v>0</v>
      </c>
      <c r="K259" s="19">
        <f>IF(装备!L198=0,0,"'"&amp;装备!L198&amp;"'")</f>
        <v>0</v>
      </c>
      <c r="L259" s="19">
        <f>IF(装备!M198=0,0,"'"&amp;装备!M198&amp;"'")</f>
        <v>0</v>
      </c>
      <c r="M259" s="19">
        <f>IF(装备!N198=0,0,"'"&amp;装备!N198&amp;"'")</f>
        <v>0</v>
      </c>
      <c r="N259" s="19">
        <f>IF(装备!O198=0,0,"'"&amp;装备!O198&amp;"'")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装备!A199</f>
        <v>0</v>
      </c>
      <c r="B260" s="19" t="str">
        <f>"'"&amp;装备!B199&amp;"'"</f>
        <v>''</v>
      </c>
      <c r="C260" s="19">
        <f>装备!J199</f>
        <v>0</v>
      </c>
      <c r="D260" s="19">
        <f>装备!K199</f>
        <v>0</v>
      </c>
      <c r="E260" s="19">
        <f>装备!L199</f>
        <v>0</v>
      </c>
      <c r="F260" s="19">
        <f>装备!M199</f>
        <v>0</v>
      </c>
      <c r="G260" s="19">
        <f>装备!N199</f>
        <v>0</v>
      </c>
      <c r="H260" s="19">
        <f>装备!O199</f>
        <v>0</v>
      </c>
      <c r="I260" s="19">
        <f>IF(装备!J199=0,0,"'"&amp;装备!J199&amp;"'")</f>
        <v>0</v>
      </c>
      <c r="J260" s="19">
        <f>IF(装备!K199=0,0,"'"&amp;装备!K199&amp;"'")</f>
        <v>0</v>
      </c>
      <c r="K260" s="19">
        <f>IF(装备!L199=0,0,"'"&amp;装备!L199&amp;"'")</f>
        <v>0</v>
      </c>
      <c r="L260" s="19">
        <f>IF(装备!M199=0,0,"'"&amp;装备!M199&amp;"'")</f>
        <v>0</v>
      </c>
      <c r="M260" s="19">
        <f>IF(装备!N199=0,0,"'"&amp;装备!N199&amp;"'")</f>
        <v>0</v>
      </c>
      <c r="N260" s="19">
        <f>IF(装备!O199=0,0,"'"&amp;装备!O199&amp;"'")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装备!A200</f>
        <v>0</v>
      </c>
      <c r="B261" s="19" t="str">
        <f>"'"&amp;装备!B200&amp;"'"</f>
        <v>''</v>
      </c>
      <c r="C261" s="19">
        <f>装备!J200</f>
        <v>0</v>
      </c>
      <c r="D261" s="19">
        <f>装备!K200</f>
        <v>0</v>
      </c>
      <c r="E261" s="19">
        <f>装备!L200</f>
        <v>0</v>
      </c>
      <c r="F261" s="19">
        <f>装备!M200</f>
        <v>0</v>
      </c>
      <c r="G261" s="19">
        <f>装备!N200</f>
        <v>0</v>
      </c>
      <c r="H261" s="19">
        <f>装备!O200</f>
        <v>0</v>
      </c>
      <c r="I261" s="19">
        <f>IF(装备!J200=0,0,"'"&amp;装备!J200&amp;"'")</f>
        <v>0</v>
      </c>
      <c r="J261" s="19">
        <f>IF(装备!K200=0,0,"'"&amp;装备!K200&amp;"'")</f>
        <v>0</v>
      </c>
      <c r="K261" s="19">
        <f>IF(装备!L200=0,0,"'"&amp;装备!L200&amp;"'")</f>
        <v>0</v>
      </c>
      <c r="L261" s="19">
        <f>IF(装备!M200=0,0,"'"&amp;装备!M200&amp;"'")</f>
        <v>0</v>
      </c>
      <c r="M261" s="19">
        <f>IF(装备!N200=0,0,"'"&amp;装备!N200&amp;"'")</f>
        <v>0</v>
      </c>
      <c r="N261" s="19">
        <f>IF(装备!O200=0,0,"'"&amp;装备!O200&amp;"'")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装备!A201</f>
        <v>0</v>
      </c>
      <c r="B262" s="19" t="str">
        <f>"'"&amp;装备!B201&amp;"'"</f>
        <v>''</v>
      </c>
      <c r="C262" s="19">
        <f>装备!J201</f>
        <v>0</v>
      </c>
      <c r="D262" s="19">
        <f>装备!K201</f>
        <v>0</v>
      </c>
      <c r="E262" s="19">
        <f>装备!L201</f>
        <v>0</v>
      </c>
      <c r="F262" s="19">
        <f>装备!M201</f>
        <v>0</v>
      </c>
      <c r="G262" s="19">
        <f>装备!N201</f>
        <v>0</v>
      </c>
      <c r="H262" s="19">
        <f>装备!O201</f>
        <v>0</v>
      </c>
      <c r="I262" s="19">
        <f>IF(装备!J201=0,0,"'"&amp;装备!J201&amp;"'")</f>
        <v>0</v>
      </c>
      <c r="J262" s="19">
        <f>IF(装备!K201=0,0,"'"&amp;装备!K201&amp;"'")</f>
        <v>0</v>
      </c>
      <c r="K262" s="19">
        <f>IF(装备!L201=0,0,"'"&amp;装备!L201&amp;"'")</f>
        <v>0</v>
      </c>
      <c r="L262" s="19">
        <f>IF(装备!M201=0,0,"'"&amp;装备!M201&amp;"'")</f>
        <v>0</v>
      </c>
      <c r="M262" s="19">
        <f>IF(装备!N201=0,0,"'"&amp;装备!N201&amp;"'")</f>
        <v>0</v>
      </c>
      <c r="N262" s="19">
        <f>IF(装备!O201=0,0,"'"&amp;装备!O201&amp;"'")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装备!A202</f>
        <v>0</v>
      </c>
      <c r="B263" s="19" t="str">
        <f>"'"&amp;装备!B202&amp;"'"</f>
        <v>''</v>
      </c>
      <c r="C263" s="19">
        <f>装备!J202</f>
        <v>0</v>
      </c>
      <c r="D263" s="19">
        <f>装备!K202</f>
        <v>0</v>
      </c>
      <c r="E263" s="19">
        <f>装备!L202</f>
        <v>0</v>
      </c>
      <c r="F263" s="19">
        <f>装备!M202</f>
        <v>0</v>
      </c>
      <c r="G263" s="19">
        <f>装备!N202</f>
        <v>0</v>
      </c>
      <c r="H263" s="19">
        <f>装备!O202</f>
        <v>0</v>
      </c>
      <c r="I263" s="19">
        <f>IF(装备!J202=0,0,"'"&amp;装备!J202&amp;"'")</f>
        <v>0</v>
      </c>
      <c r="J263" s="19">
        <f>IF(装备!K202=0,0,"'"&amp;装备!K202&amp;"'")</f>
        <v>0</v>
      </c>
      <c r="K263" s="19">
        <f>IF(装备!L202=0,0,"'"&amp;装备!L202&amp;"'")</f>
        <v>0</v>
      </c>
      <c r="L263" s="19">
        <f>IF(装备!M202=0,0,"'"&amp;装备!M202&amp;"'")</f>
        <v>0</v>
      </c>
      <c r="M263" s="19">
        <f>IF(装备!N202=0,0,"'"&amp;装备!N202&amp;"'")</f>
        <v>0</v>
      </c>
      <c r="N263" s="19">
        <f>IF(装备!O202=0,0,"'"&amp;装备!O202&amp;"'")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InitEquipData('E002',0,0,9000,0,0,'E003',0,0)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InitEquipData('E004',0,0,15000,0,0,'E005',0,0)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InitEquipData('E005',0,0,18000,0,'uE01','E006',0,0)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InitEquipData('E006',0,0,18600,0,0,'E007',0,0)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InitEquipData('E007',0,0,19200,0,0,'E008',0,0)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InitEquipData('E008',0,0,19800,0,0,'E009',0,0)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InitEquipData('E009',0,0,20400,0,0,'E010',0,0)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InitEquipData('E010',0,0,21000,0,'uE02','E011',0,0)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InitEquipData('E011',0,0,21800,0,0,'E012',0,0)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InitEquipData('E012',0,0,22600,0,0,'E013',0,0)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InitEquipData('E013',0,0,23400,0,0,'E014',0,0)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InitEquipData('E014',0,0,24200,0,0,'E015',0,0)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InitEquipData('E015',0,0,25000,0,'uE03','E016',0,0)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InitEquipData('E016',0,0,26000,0,0,'E017',0,0)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InitEquipData('E017',0,0,27000,0,0,'E018',0,0)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InitEquipData('E018',0,0,28000,0,0,'E019',0,0)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InitEquipData('E019',0,0,29000,0,0,'E020',0,0)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InitEquipData('E021',0,0,31200,0,0,'E022',0,0)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InitEquipData('E022',0,0,32400,0,0,'E023',0,0)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InitEquipData('E023',0,0,33600,0,0,'E024',0,0)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InitEquipData('E024',0,0,34800,0,0,'E025',0,0)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InitEquipData('E101',0,0,6000,0,0,'E102',0,0)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InitEquipData('E102',0,0,9000,0,0,'E103',0,0)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InitEquipData('E104',0,0,15000,0,0,'E105',0,0)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InitEquipData('E105',0,0,18000,0,'uE11','E106',0,0)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InitEquipData('E106',0,0,18600,0,0,'E107',0,0)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InitEquipData('E107',0,0,19200,0,0,'E108',0,0)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InitEquipData('E108',0,0,19800,0,0,'E109',0,0)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InitEquipData('E109',0,0,20400,0,0,'E110',0,0)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InitEquipData('E110',0,0,21000,0,'uE12','E111',0,0)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InitEquipData('E111',0,0,21800,0,0,'E112',0,0)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InitEquipData('E112',0,0,22600,0,0,'E113',0,0)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InitEquipData('E113',0,0,23400,0,0,'E114',0,0)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InitEquipData('E114',0,0,24200,0,0,'E115',0,0)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InitEquipData('E115',0,0,25000,0,'uE13','E116',0,0)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InitEquipData('E116',0,0,26000,0,0,'E117',0,0)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InitEquipData('E117',0,0,27000,0,0,'E118',0,0)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InitEquipData('E118',0,0,28000,0,0,'E119',0,0)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InitEquipData('E119',0,0,29000,0,0,'E120',0,0)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InitEquipData('E121',0,0,31200,0,0,'E122',0,0)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InitEquipData('E122',0,0,32400,0,0,'E123',0,0)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InitEquipData('E123',0,0,33600,0,0,'E124',0,0)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InitEquipData('E124',0,0,34800,0,0,'E125',0,0)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InitEquipData('E201',0,0,6000,0,0,'E202',0,0)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InitEquipData('E202',0,0,9000,0,0,'E203',0,0)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InitEquipData('E204',0,0,15000,0,0,'E205',0,0)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InitEquipData('E205',0,0,18000,0,'uE21','E206',0,0)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InitEquipData('E206',0,0,18600,0,0,'E207',0,0)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InitEquipData('E207',0,0,19200,0,0,'E208',0,0)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InitEquipData('E208',0,0,19800,0,0,'E209',0,0)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InitEquipData('E209',0,0,20400,0,0,'E210',0,0)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InitEquipData('E210',0,0,21000,0,'uE22','E211',0,0)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InitEquipData('E211',0,0,21800,0,0,'E212',0,0)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InitEquipData('E212',0,0,22600,0,0,'E213',0,0)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InitEquipData('E213',0,0,23400,0,0,'E214',0,0)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InitEquipData('E214',0,0,24200,0,0,'E215',0,0)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InitEquipData('E215',0,0,25000,0,'uE23','E216',0,0)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装备!D102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IF(装备!B102="",0,"'"&amp;装备!B102&amp;"'")</f>
        <v>'IP01'</v>
      </c>
      <c r="B93">
        <f>装备!D103</f>
        <v>0</v>
      </c>
      <c r="C93">
        <f>装备!E102</f>
        <v>0</v>
      </c>
      <c r="D93">
        <f>装备!F102</f>
        <v>0</v>
      </c>
      <c r="E93">
        <f>IF(ISTEXT(装备!G102)=TRUE,"'"&amp;装备!G102&amp;"'",装备!G102)</f>
        <v>0</v>
      </c>
      <c r="F93">
        <f>IF(ISTEXT(装备!H102)=TRUE,"'"&amp;装备!H102&amp;"'",装备!H102)</f>
        <v>0</v>
      </c>
      <c r="G93">
        <f>IF(装备!I102="",0,"'"&amp;装备!I102&amp;"'")</f>
        <v>0</v>
      </c>
      <c r="H93">
        <f>IF(装备!R102="",0,装备!R102)</f>
        <v>0</v>
      </c>
      <c r="I93">
        <f>IF(装备!S102="",0,装备!S102)</f>
        <v>0</v>
      </c>
      <c r="J93" t="str">
        <f>IF(装备!C102="",0,""""&amp;装备!C102&amp;"""")</f>
        <v>"时渊碎片"</v>
      </c>
      <c r="K93" t="str">
        <f>IF(装备!T102="","""""",""""&amp;装备!T102&amp;"""")</f>
        <v>"进入时渊副本消耗时渊碎片"</v>
      </c>
      <c r="L93" t="str">
        <f>IF(装备!U102="",0,""""&amp;装备!U102&amp;"""")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IF(装备!B103="",0,"'"&amp;装备!B103&amp;"'")</f>
        <v>'IP02'</v>
      </c>
      <c r="B94">
        <f>装备!D104</f>
        <v>0</v>
      </c>
      <c r="C94">
        <f>装备!E103</f>
        <v>0</v>
      </c>
      <c r="D94">
        <f>装备!F103</f>
        <v>0</v>
      </c>
      <c r="E94">
        <f>IF(ISTEXT(装备!G103)=TRUE,"'"&amp;装备!G103&amp;"'",装备!G103)</f>
        <v>0</v>
      </c>
      <c r="F94">
        <f>IF(ISTEXT(装备!H103)=TRUE,"'"&amp;装备!H103&amp;"'",装备!H103)</f>
        <v>0</v>
      </c>
      <c r="G94">
        <f>IF(装备!I103="",0,"'"&amp;装备!I103&amp;"'")</f>
        <v>0</v>
      </c>
      <c r="H94">
        <f>IF(装备!R103="",0,装备!R103)</f>
        <v>0</v>
      </c>
      <c r="I94">
        <f>IF(装备!S103="",0,装备!S103)</f>
        <v>0</v>
      </c>
      <c r="J94" t="str">
        <f>IF(装备!C103="",0,""""&amp;装备!C103&amp;"""")</f>
        <v>"补天石"</v>
      </c>
      <c r="K94" t="str">
        <f>IF(装备!T103="","""""",""""&amp;装备!T103&amp;"""")</f>
        <v>"消耗补天石，可重铸指定法宝"</v>
      </c>
      <c r="L94" t="str">
        <f>IF(装备!U103="",0,""""&amp;装备!U103&amp;"""")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IF(装备!B104="",0,"'"&amp;装备!B104&amp;"'")</f>
        <v>'IP03'</v>
      </c>
      <c r="B95">
        <f>装备!D105</f>
        <v>0</v>
      </c>
      <c r="C95">
        <f>装备!E104</f>
        <v>0</v>
      </c>
      <c r="D95">
        <f>装备!F104</f>
        <v>0</v>
      </c>
      <c r="E95">
        <f>IF(ISTEXT(装备!G104)=TRUE,"'"&amp;装备!G104&amp;"'",装备!G104)</f>
        <v>0</v>
      </c>
      <c r="F95">
        <f>IF(ISTEXT(装备!H104)=TRUE,"'"&amp;装备!H104&amp;"'",装备!H104)</f>
        <v>0</v>
      </c>
      <c r="G95">
        <f>IF(装备!I104="",0,"'"&amp;装备!I104&amp;"'")</f>
        <v>0</v>
      </c>
      <c r="H95">
        <f>IF(装备!R104="",0,装备!R104)</f>
        <v>0</v>
      </c>
      <c r="I95">
        <f>IF(装备!S104="",0,装备!S104)</f>
        <v>0</v>
      </c>
      <c r="J95" t="str">
        <f>IF(装备!C104="",0,""""&amp;装备!C104&amp;"""")</f>
        <v>"鸿蒙结晶"</v>
      </c>
      <c r="K95" t="str">
        <f>IF(装备!T104="","""""",""""&amp;装备!T104&amp;"""")</f>
        <v>"消耗鸿蒙结晶，可将指定法宝锻造为高一品阶的随机法宝。"</v>
      </c>
      <c r="L95" t="str">
        <f>IF(装备!U104="",0,""""&amp;装备!U104&amp;"""")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IF(装备!B105="",0,"'"&amp;装备!B105&amp;"'")</f>
        <v>'IT01'</v>
      </c>
      <c r="B96">
        <f>装备!D106</f>
        <v>0</v>
      </c>
      <c r="C96">
        <f>装备!E105</f>
        <v>0</v>
      </c>
      <c r="D96">
        <f>装备!F105</f>
        <v>0</v>
      </c>
      <c r="E96">
        <f>IF(ISTEXT(装备!G105)=TRUE,"'"&amp;装备!G105&amp;"'",装备!G105)</f>
        <v>0</v>
      </c>
      <c r="F96">
        <f>IF(ISTEXT(装备!H105)=TRUE,"'"&amp;装备!H105&amp;"'",装备!H105)</f>
        <v>0</v>
      </c>
      <c r="G96">
        <f>IF(装备!I105="",0,"'"&amp;装备!I105&amp;"'")</f>
        <v>0</v>
      </c>
      <c r="H96">
        <f>IF(装备!R105="",0,装备!R105)</f>
        <v>-7657</v>
      </c>
      <c r="I96">
        <f>IF(装备!S105="",0,装备!S105)</f>
        <v>-4635</v>
      </c>
      <c r="J96" t="str">
        <f>IF(装备!C105="",0,""""&amp;装备!C105&amp;"""")</f>
        <v>"境界挑战1"</v>
      </c>
      <c r="K96" t="str">
        <f>IF(装备!T105="","""""",""""&amp;装备!T105&amp;"""")</f>
        <v>"境界挑战1"</v>
      </c>
      <c r="L96" t="str">
        <f>IF(装备!U105="",0,""""&amp;装备!U105&amp;"""")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IF(装备!B106="",0,"'"&amp;装备!B106&amp;"'")</f>
        <v>'IT02'</v>
      </c>
      <c r="B97">
        <f>装备!D107</f>
        <v>0</v>
      </c>
      <c r="C97">
        <f>装备!E106</f>
        <v>0</v>
      </c>
      <c r="D97">
        <f>装备!F106</f>
        <v>0</v>
      </c>
      <c r="E97">
        <f>IF(ISTEXT(装备!G106)=TRUE,"'"&amp;装备!G106&amp;"'",装备!G106)</f>
        <v>0</v>
      </c>
      <c r="F97">
        <f>IF(ISTEXT(装备!H106)=TRUE,"'"&amp;装备!H106&amp;"'",装备!H106)</f>
        <v>0</v>
      </c>
      <c r="G97">
        <f>IF(装备!I106="",0,"'"&amp;装备!I106&amp;"'")</f>
        <v>0</v>
      </c>
      <c r="H97">
        <f>IF(装备!R106="",0,装备!R106)</f>
        <v>-7872</v>
      </c>
      <c r="I97">
        <f>IF(装备!S106="",0,装备!S106)</f>
        <v>-2816</v>
      </c>
      <c r="J97" t="str">
        <f>IF(装备!C106="",0,""""&amp;装备!C106&amp;"""")</f>
        <v>"境界挑战2"</v>
      </c>
      <c r="K97" t="str">
        <f>IF(装备!T106="","""""",""""&amp;装备!T106&amp;"""")</f>
        <v>"境界挑战2"</v>
      </c>
      <c r="L97" t="str">
        <f>IF(装备!U106="",0,""""&amp;装备!U106&amp;"""")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IF(装备!B107="",0,"'"&amp;装备!B107&amp;"'")</f>
        <v>'IT03'</v>
      </c>
      <c r="B98">
        <f>装备!D108</f>
        <v>0</v>
      </c>
      <c r="C98">
        <f>装备!E107</f>
        <v>0</v>
      </c>
      <c r="D98">
        <f>装备!F107</f>
        <v>0</v>
      </c>
      <c r="E98">
        <f>IF(ISTEXT(装备!G107)=TRUE,"'"&amp;装备!G107&amp;"'",装备!G107)</f>
        <v>0</v>
      </c>
      <c r="F98">
        <f>IF(ISTEXT(装备!H107)=TRUE,"'"&amp;装备!H107&amp;"'",装备!H107)</f>
        <v>0</v>
      </c>
      <c r="G98">
        <f>IF(装备!I107="",0,"'"&amp;装备!I107&amp;"'")</f>
        <v>0</v>
      </c>
      <c r="H98">
        <f>IF(装备!R107="",0,装备!R107)</f>
        <v>-8048</v>
      </c>
      <c r="I98">
        <f>IF(装备!S107="",0,装备!S107)</f>
        <v>-1563</v>
      </c>
      <c r="J98" t="str">
        <f>IF(装备!C107="",0,""""&amp;装备!C107&amp;"""")</f>
        <v>"境界挑战3"</v>
      </c>
      <c r="K98" t="str">
        <f>IF(装备!T107="","""""",""""&amp;装备!T107&amp;"""")</f>
        <v>"境界挑战3"</v>
      </c>
      <c r="L98" t="str">
        <f>IF(装备!U107="",0,""""&amp;装备!U107&amp;"""")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IF(装备!B108="",0,"'"&amp;装备!B108&amp;"'")</f>
        <v>'IT04'</v>
      </c>
      <c r="B99">
        <f>装备!D109</f>
        <v>0</v>
      </c>
      <c r="C99">
        <f>装备!E108</f>
        <v>0</v>
      </c>
      <c r="D99">
        <f>装备!F108</f>
        <v>0</v>
      </c>
      <c r="E99">
        <f>IF(ISTEXT(装备!G108)=TRUE,"'"&amp;装备!G108&amp;"'",装备!G108)</f>
        <v>0</v>
      </c>
      <c r="F99">
        <f>IF(ISTEXT(装备!H108)=TRUE,"'"&amp;装备!H108&amp;"'",装备!H108)</f>
        <v>0</v>
      </c>
      <c r="G99">
        <f>IF(装备!I108="",0,"'"&amp;装备!I108&amp;"'")</f>
        <v>0</v>
      </c>
      <c r="H99">
        <f>IF(装备!R108="",0,装备!R108)</f>
        <v>-7794</v>
      </c>
      <c r="I99">
        <f>IF(装备!S108="",0,装备!S108)</f>
        <v>195</v>
      </c>
      <c r="J99" t="str">
        <f>IF(装备!C108="",0,""""&amp;装备!C108&amp;"""")</f>
        <v>"境界挑战4"</v>
      </c>
      <c r="K99" t="str">
        <f>IF(装备!T108="","""""",""""&amp;装备!T108&amp;"""")</f>
        <v>"境界挑战4"</v>
      </c>
      <c r="L99" t="str">
        <f>IF(装备!U108="",0,""""&amp;装备!U108&amp;"""")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IF(装备!B109="",0,"'"&amp;装备!B109&amp;"'")</f>
        <v>'IT05'</v>
      </c>
      <c r="B100">
        <f>装备!D110</f>
        <v>0</v>
      </c>
      <c r="C100">
        <f>装备!E109</f>
        <v>0</v>
      </c>
      <c r="D100">
        <f>装备!F109</f>
        <v>0</v>
      </c>
      <c r="E100">
        <f>IF(ISTEXT(装备!G109)=TRUE,"'"&amp;装备!G109&amp;"'",装备!G109)</f>
        <v>0</v>
      </c>
      <c r="F100">
        <f>IF(ISTEXT(装备!H109)=TRUE,"'"&amp;装备!H109&amp;"'",装备!H109)</f>
        <v>0</v>
      </c>
      <c r="G100">
        <f>IF(装备!I109="",0,"'"&amp;装备!I109&amp;"'")</f>
        <v>0</v>
      </c>
      <c r="H100">
        <f>IF(装备!R109="",0,装备!R109)</f>
        <v>-8110</v>
      </c>
      <c r="I100">
        <f>IF(装备!S109="",0,装备!S109)</f>
        <v>1810</v>
      </c>
      <c r="J100" t="str">
        <f>IF(装备!C109="",0,""""&amp;装备!C109&amp;"""")</f>
        <v>"境界挑战5"</v>
      </c>
      <c r="K100" t="str">
        <f>IF(装备!T109="","""""",""""&amp;装备!T109&amp;"""")</f>
        <v>"境界挑战5"</v>
      </c>
      <c r="L100" t="str">
        <f>IF(装备!U109="",0,""""&amp;装备!U109&amp;"""")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IF(装备!B110="",0,"'"&amp;装备!B110&amp;"'")</f>
        <v>'IT06'</v>
      </c>
      <c r="B101">
        <f>装备!D111</f>
        <v>0</v>
      </c>
      <c r="C101">
        <f>装备!E110</f>
        <v>0</v>
      </c>
      <c r="D101">
        <f>装备!F110</f>
        <v>0</v>
      </c>
      <c r="E101">
        <f>IF(ISTEXT(装备!G110)=TRUE,"'"&amp;装备!G110&amp;"'",装备!G110)</f>
        <v>0</v>
      </c>
      <c r="F101">
        <f>IF(ISTEXT(装备!H110)=TRUE,"'"&amp;装备!H110&amp;"'",装备!H110)</f>
        <v>0</v>
      </c>
      <c r="G101">
        <f>IF(装备!I110="",0,"'"&amp;装备!I110&amp;"'")</f>
        <v>0</v>
      </c>
      <c r="H101">
        <f>IF(装备!R110="",0,装备!R110)</f>
        <v>-7896</v>
      </c>
      <c r="I101">
        <f>IF(装备!S110="",0,装备!S110)</f>
        <v>3839</v>
      </c>
      <c r="J101" t="str">
        <f>IF(装备!C110="",0,""""&amp;装备!C110&amp;"""")</f>
        <v>"境界挑战6"</v>
      </c>
      <c r="K101" t="str">
        <f>IF(装备!T110="","""""",""""&amp;装备!T110&amp;"""")</f>
        <v>"境界挑战6"</v>
      </c>
      <c r="L101" t="str">
        <f>IF(装备!U110="",0,""""&amp;装备!U110&amp;"""")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IF(装备!B111="",0,"'"&amp;装备!B111&amp;"'")</f>
        <v>'IT07'</v>
      </c>
      <c r="B102">
        <f>装备!D112</f>
        <v>0</v>
      </c>
      <c r="C102">
        <f>装备!E111</f>
        <v>0</v>
      </c>
      <c r="D102">
        <f>装备!F111</f>
        <v>0</v>
      </c>
      <c r="E102">
        <f>IF(ISTEXT(装备!G111)=TRUE,"'"&amp;装备!G111&amp;"'",装备!G111)</f>
        <v>0</v>
      </c>
      <c r="F102">
        <f>IF(ISTEXT(装备!H111)=TRUE,"'"&amp;装备!H111&amp;"'",装备!H111)</f>
        <v>0</v>
      </c>
      <c r="G102">
        <f>IF(装备!I111="",0,"'"&amp;装备!I111&amp;"'")</f>
        <v>0</v>
      </c>
      <c r="H102">
        <f>IF(装备!R111="",0,装备!R111)</f>
        <v>-7896</v>
      </c>
      <c r="I102">
        <f>IF(装备!S111="",0,装备!S111)</f>
        <v>5906</v>
      </c>
      <c r="J102" t="str">
        <f>IF(装备!C111="",0,""""&amp;装备!C111&amp;"""")</f>
        <v>"境界挑战7"</v>
      </c>
      <c r="K102" t="str">
        <f>IF(装备!T111="","""""",""""&amp;装备!T111&amp;"""")</f>
        <v>"境界挑战7"</v>
      </c>
      <c r="L102" t="str">
        <f>IF(装备!U111="",0,""""&amp;装备!U111&amp;"""")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IF(装备!B112="",0,"'"&amp;装备!B112&amp;"'")</f>
        <v>'IT08'</v>
      </c>
      <c r="B103">
        <f>装备!D113</f>
        <v>0</v>
      </c>
      <c r="C103">
        <f>装备!E112</f>
        <v>0</v>
      </c>
      <c r="D103">
        <f>装备!F112</f>
        <v>0</v>
      </c>
      <c r="E103">
        <f>IF(ISTEXT(装备!G112)=TRUE,"'"&amp;装备!G112&amp;"'",装备!G112)</f>
        <v>0</v>
      </c>
      <c r="F103">
        <f>IF(ISTEXT(装备!H112)=TRUE,"'"&amp;装备!H112&amp;"'",装备!H112)</f>
        <v>0</v>
      </c>
      <c r="G103">
        <f>IF(装备!I112="",0,"'"&amp;装备!I112&amp;"'")</f>
        <v>0</v>
      </c>
      <c r="H103">
        <f>IF(装备!R112="",0,装备!R112)</f>
        <v>-7970</v>
      </c>
      <c r="I103">
        <f>IF(装备!S112="",0,装备!S112)</f>
        <v>7965</v>
      </c>
      <c r="J103" t="str">
        <f>IF(装备!C112="",0,""""&amp;装备!C112&amp;"""")</f>
        <v>"境界挑战8"</v>
      </c>
      <c r="K103" t="str">
        <f>IF(装备!T112="","""""",""""&amp;装备!T112&amp;"""")</f>
        <v>"境界挑战8"</v>
      </c>
      <c r="L103" t="str">
        <f>IF(装备!U112="",0,""""&amp;装备!U112&amp;"""")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IF(装备!B113="",0,"'"&amp;装备!B113&amp;"'")</f>
        <v>'IT09'</v>
      </c>
      <c r="B104">
        <f>装备!D114</f>
        <v>0</v>
      </c>
      <c r="C104">
        <f>装备!E113</f>
        <v>0</v>
      </c>
      <c r="D104">
        <f>装备!F113</f>
        <v>0</v>
      </c>
      <c r="E104">
        <f>IF(ISTEXT(装备!G113)=TRUE,"'"&amp;装备!G113&amp;"'",装备!G113)</f>
        <v>0</v>
      </c>
      <c r="F104">
        <f>IF(ISTEXT(装备!H113)=TRUE,"'"&amp;装备!H113&amp;"'",装备!H113)</f>
        <v>0</v>
      </c>
      <c r="G104">
        <f>IF(装备!I113="",0,"'"&amp;装备!I113&amp;"'")</f>
        <v>0</v>
      </c>
      <c r="H104">
        <f>IF(装备!R113="",0,装备!R113)</f>
        <v>1891</v>
      </c>
      <c r="I104">
        <f>IF(装备!S113="",0,装备!S113)</f>
        <v>-8026</v>
      </c>
      <c r="J104" t="str">
        <f>IF(装备!C113="",0,""""&amp;装备!C113&amp;"""")</f>
        <v>"境界挑战9"</v>
      </c>
      <c r="K104" t="str">
        <f>IF(装备!T113="","""""",""""&amp;装备!T113&amp;"""")</f>
        <v>"境界挑战9"</v>
      </c>
      <c r="L104" t="str">
        <f>IF(装备!U113="",0,""""&amp;装备!U113&amp;"""")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IF(装备!B114="",0,"'"&amp;装备!B114&amp;"'")</f>
        <v>'IT10'</v>
      </c>
      <c r="B105">
        <f>装备!D115</f>
        <v>0</v>
      </c>
      <c r="C105">
        <f>装备!E114</f>
        <v>0</v>
      </c>
      <c r="D105">
        <f>装备!F114</f>
        <v>0</v>
      </c>
      <c r="E105">
        <f>IF(ISTEXT(装备!G114)=TRUE,"'"&amp;装备!G114&amp;"'",装备!G114)</f>
        <v>0</v>
      </c>
      <c r="F105">
        <f>IF(ISTEXT(装备!H114)=TRUE,"'"&amp;装备!H114&amp;"'",装备!H114)</f>
        <v>0</v>
      </c>
      <c r="G105">
        <f>IF(装备!I114="",0,"'"&amp;装备!I114&amp;"'")</f>
        <v>0</v>
      </c>
      <c r="H105">
        <f>IF(装备!R114="",0,装备!R114)</f>
        <v>4814</v>
      </c>
      <c r="I105">
        <f>IF(装备!S114="",0,装备!S114)</f>
        <v>-8830</v>
      </c>
      <c r="J105" t="str">
        <f>IF(装备!C114="",0,""""&amp;装备!C114&amp;"""")</f>
        <v>"境界挑战10"</v>
      </c>
      <c r="K105" t="str">
        <f>IF(装备!T114="","""""",""""&amp;装备!T114&amp;"""")</f>
        <v>"境界挑战10"</v>
      </c>
      <c r="L105" t="str">
        <f>IF(装备!U114="",0,""""&amp;装备!U114&amp;"""")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IF(装备!B115="",0,"'"&amp;装备!B115&amp;"'")</f>
        <v>'IT11'</v>
      </c>
      <c r="B106">
        <f>装备!D116</f>
        <v>0</v>
      </c>
      <c r="C106">
        <f>装备!E115</f>
        <v>0</v>
      </c>
      <c r="D106">
        <f>装备!F115</f>
        <v>0</v>
      </c>
      <c r="E106">
        <f>IF(ISTEXT(装备!G115)=TRUE,"'"&amp;装备!G115&amp;"'",装备!G115)</f>
        <v>0</v>
      </c>
      <c r="F106">
        <f>IF(ISTEXT(装备!H115)=TRUE,"'"&amp;装备!H115&amp;"'",装备!H115)</f>
        <v>0</v>
      </c>
      <c r="G106">
        <f>IF(装备!I115="",0,"'"&amp;装备!I115&amp;"'")</f>
        <v>0</v>
      </c>
      <c r="H106">
        <f>IF(装备!R115="",0,装备!R115)</f>
        <v>7429</v>
      </c>
      <c r="I106">
        <f>IF(装备!S115="",0,装备!S115)</f>
        <v>-8773</v>
      </c>
      <c r="J106" t="str">
        <f>IF(装备!C115="",0,""""&amp;装备!C115&amp;"""")</f>
        <v>"境界挑战11"</v>
      </c>
      <c r="K106" t="str">
        <f>IF(装备!T115="","""""",""""&amp;装备!T115&amp;"""")</f>
        <v>"境界挑战11"</v>
      </c>
      <c r="L106" t="str">
        <f>IF(装备!U115="",0,""""&amp;装备!U115&amp;"""")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IF(装备!B116="",0,"'"&amp;装备!B116&amp;"'")</f>
        <v>'IT12'</v>
      </c>
      <c r="B107">
        <f>装备!D117</f>
        <v>0</v>
      </c>
      <c r="C107">
        <f>装备!E116</f>
        <v>0</v>
      </c>
      <c r="D107">
        <f>装备!F116</f>
        <v>0</v>
      </c>
      <c r="E107">
        <f>IF(ISTEXT(装备!G116)=TRUE,"'"&amp;装备!G116&amp;"'",装备!G116)</f>
        <v>0</v>
      </c>
      <c r="F107">
        <f>IF(ISTEXT(装备!H116)=TRUE,"'"&amp;装备!H116&amp;"'",装备!H116)</f>
        <v>0</v>
      </c>
      <c r="G107">
        <f>IF(装备!I116="",0,"'"&amp;装备!I116&amp;"'")</f>
        <v>0</v>
      </c>
      <c r="H107">
        <f>IF(装备!R116="",0,装备!R116)</f>
        <v>1840</v>
      </c>
      <c r="I107">
        <f>IF(装备!S116="",0,装备!S116)</f>
        <v>-5224</v>
      </c>
      <c r="J107" t="str">
        <f>IF(装备!C116="",0,""""&amp;装备!C116&amp;"""")</f>
        <v>"境界挑战12"</v>
      </c>
      <c r="K107" t="str">
        <f>IF(装备!T116="","""""",""""&amp;装备!T116&amp;"""")</f>
        <v>"境界挑战12"</v>
      </c>
      <c r="L107" t="str">
        <f>IF(装备!U116="",0,""""&amp;装备!U116&amp;"""")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IF(装备!B117="",0,"'"&amp;装备!B117&amp;"'")</f>
        <v>'IT13'</v>
      </c>
      <c r="B108">
        <f>装备!D118</f>
        <v>0</v>
      </c>
      <c r="C108">
        <f>装备!E117</f>
        <v>0</v>
      </c>
      <c r="D108">
        <f>装备!F117</f>
        <v>0</v>
      </c>
      <c r="E108">
        <f>IF(ISTEXT(装备!G117)=TRUE,"'"&amp;装备!G117&amp;"'",装备!G117)</f>
        <v>0</v>
      </c>
      <c r="F108">
        <f>IF(ISTEXT(装备!H117)=TRUE,"'"&amp;装备!H117&amp;"'",装备!H117)</f>
        <v>0</v>
      </c>
      <c r="G108">
        <f>IF(装备!I117="",0,"'"&amp;装备!I117&amp;"'")</f>
        <v>0</v>
      </c>
      <c r="H108">
        <f>IF(装备!R117="",0,装备!R117)</f>
        <v>4398</v>
      </c>
      <c r="I108">
        <f>IF(装备!S117="",0,装备!S117)</f>
        <v>-5206</v>
      </c>
      <c r="J108" t="str">
        <f>IF(装备!C117="",0,""""&amp;装备!C117&amp;"""")</f>
        <v>"境界挑战13"</v>
      </c>
      <c r="K108" t="str">
        <f>IF(装备!T117="","""""",""""&amp;装备!T117&amp;"""")</f>
        <v>"境界挑战13"</v>
      </c>
      <c r="L108" t="str">
        <f>IF(装备!U117="",0,""""&amp;装备!U117&amp;"""")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IF(装备!B118="",0,"'"&amp;装备!B118&amp;"'")</f>
        <v>'IT14'</v>
      </c>
      <c r="B109">
        <f>装备!D119</f>
        <v>0</v>
      </c>
      <c r="C109">
        <f>装备!E118</f>
        <v>0</v>
      </c>
      <c r="D109">
        <f>装备!F118</f>
        <v>0</v>
      </c>
      <c r="E109">
        <f>IF(ISTEXT(装备!G118)=TRUE,"'"&amp;装备!G118&amp;"'",装备!G118)</f>
        <v>0</v>
      </c>
      <c r="F109">
        <f>IF(ISTEXT(装备!H118)=TRUE,"'"&amp;装备!H118&amp;"'",装备!H118)</f>
        <v>0</v>
      </c>
      <c r="G109">
        <f>IF(装备!I118="",0,"'"&amp;装备!I118&amp;"'")</f>
        <v>0</v>
      </c>
      <c r="H109">
        <f>IF(装备!R118="",0,装备!R118)</f>
        <v>7548</v>
      </c>
      <c r="I109">
        <f>IF(装备!S118="",0,装备!S118)</f>
        <v>-6605</v>
      </c>
      <c r="J109" t="str">
        <f>IF(装备!C118="",0,""""&amp;装备!C118&amp;"""")</f>
        <v>"境界挑战14"</v>
      </c>
      <c r="K109" t="str">
        <f>IF(装备!T118="","""""",""""&amp;装备!T118&amp;"""")</f>
        <v>"境界挑战14"</v>
      </c>
      <c r="L109" t="str">
        <f>IF(装备!U118="",0,""""&amp;装备!U118&amp;"""")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IF(装备!B119="",0,"'"&amp;装备!B119&amp;"'")</f>
        <v>'IS01'</v>
      </c>
      <c r="B110">
        <f>装备!D120</f>
        <v>0</v>
      </c>
      <c r="C110">
        <f>装备!E119</f>
        <v>0</v>
      </c>
      <c r="D110">
        <f>装备!F119</f>
        <v>0</v>
      </c>
      <c r="E110">
        <f>IF(ISTEXT(装备!G119)=TRUE,"'"&amp;装备!G119&amp;"'",装备!G119)</f>
        <v>0</v>
      </c>
      <c r="F110">
        <f>IF(ISTEXT(装备!H119)=TRUE,"'"&amp;装备!H119&amp;"'",装备!H119)</f>
        <v>0</v>
      </c>
      <c r="G110">
        <f>IF(装备!I119="",0,"'"&amp;装备!I119&amp;"'")</f>
        <v>0</v>
      </c>
      <c r="H110">
        <f>IF(装备!R119="",0,装备!R119)</f>
        <v>0</v>
      </c>
      <c r="I110">
        <f>IF(装备!S119="",0,装备!S119)</f>
        <v>0</v>
      </c>
      <c r="J110" t="str">
        <f>IF(装备!C119="",0,""""&amp;装备!C119&amp;"""")</f>
        <v>"抽技能DC"</v>
      </c>
      <c r="K110" t="str">
        <f>IF(装备!T119="","""""",""""&amp;装备!T119&amp;"""")</f>
        <v>"抽技能DC"</v>
      </c>
      <c r="L110" t="str">
        <f>IF(装备!U119="",0,""""&amp;装备!U119&amp;"""")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IF(装备!B120="",0,"'"&amp;装备!B120&amp;"'")</f>
        <v>'IS02'</v>
      </c>
      <c r="B111">
        <f>装备!D121</f>
        <v>0</v>
      </c>
      <c r="C111">
        <f>装备!E120</f>
        <v>0</v>
      </c>
      <c r="D111">
        <f>装备!F120</f>
        <v>0</v>
      </c>
      <c r="E111">
        <f>IF(ISTEXT(装备!G120)=TRUE,"'"&amp;装备!G120&amp;"'",装备!G120)</f>
        <v>0</v>
      </c>
      <c r="F111">
        <f>IF(ISTEXT(装备!H120)=TRUE,"'"&amp;装备!H120&amp;"'",装备!H120)</f>
        <v>0</v>
      </c>
      <c r="G111">
        <f>IF(装备!I120="",0,"'"&amp;装备!I120&amp;"'")</f>
        <v>0</v>
      </c>
      <c r="H111">
        <f>IF(装备!R120="",0,装备!R120)</f>
        <v>0</v>
      </c>
      <c r="I111">
        <f>IF(装备!S120="",0,装备!S120)</f>
        <v>0</v>
      </c>
      <c r="J111" t="str">
        <f>IF(装备!C120="",0,""""&amp;装备!C120&amp;"""")</f>
        <v>"抽技能B"</v>
      </c>
      <c r="K111" t="str">
        <f>IF(装备!T120="","""""",""""&amp;装备!T120&amp;"""")</f>
        <v>"抽技能B"</v>
      </c>
      <c r="L111" t="str">
        <f>IF(装备!U120="",0,""""&amp;装备!U120&amp;"""")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IF(装备!B121="",0,"'"&amp;装备!B121&amp;"'")</f>
        <v>'IS03'</v>
      </c>
      <c r="B112">
        <f>装备!D122</f>
        <v>0</v>
      </c>
      <c r="C112">
        <f>装备!E121</f>
        <v>0</v>
      </c>
      <c r="D112">
        <f>装备!F121</f>
        <v>0</v>
      </c>
      <c r="E112">
        <f>IF(ISTEXT(装备!G121)=TRUE,"'"&amp;装备!G121&amp;"'",装备!G121)</f>
        <v>0</v>
      </c>
      <c r="F112">
        <f>IF(ISTEXT(装备!H121)=TRUE,"'"&amp;装备!H121&amp;"'",装备!H121)</f>
        <v>0</v>
      </c>
      <c r="G112">
        <f>IF(装备!I121="",0,"'"&amp;装备!I121&amp;"'")</f>
        <v>0</v>
      </c>
      <c r="H112">
        <f>IF(装备!R121="",0,装备!R121)</f>
        <v>0</v>
      </c>
      <c r="I112">
        <f>IF(装备!S121="",0,装备!S121)</f>
        <v>0</v>
      </c>
      <c r="J112" t="str">
        <f>IF(装备!C121="",0,""""&amp;装备!C121&amp;"""")</f>
        <v>"抽技能A"</v>
      </c>
      <c r="K112" t="str">
        <f>IF(装备!T121="","""""",""""&amp;装备!T121&amp;"""")</f>
        <v>"抽技能A"</v>
      </c>
      <c r="L112" t="str">
        <f>IF(装备!U121="",0,""""&amp;装备!U121&amp;"""")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IF(装备!B122="",0,"'"&amp;装备!B122&amp;"'")</f>
        <v>'IS04'</v>
      </c>
      <c r="B113">
        <f>装备!D124</f>
        <v>0</v>
      </c>
      <c r="C113">
        <f>装备!E122</f>
        <v>0</v>
      </c>
      <c r="D113">
        <f>装备!F122</f>
        <v>0</v>
      </c>
      <c r="E113">
        <f>IF(ISTEXT(装备!G122)=TRUE,"'"&amp;装备!G122&amp;"'",装备!G122)</f>
        <v>0</v>
      </c>
      <c r="F113">
        <f>IF(ISTEXT(装备!H122)=TRUE,"'"&amp;装备!H122&amp;"'",装备!H122)</f>
        <v>0</v>
      </c>
      <c r="G113">
        <f>IF(装备!I122="",0,"'"&amp;装备!I122&amp;"'")</f>
        <v>0</v>
      </c>
      <c r="H113">
        <f>IF(装备!R122="",0,装备!R122)</f>
        <v>0</v>
      </c>
      <c r="I113">
        <f>IF(装备!S122="",0,装备!S122)</f>
        <v>0</v>
      </c>
      <c r="J113" t="str">
        <f>IF(装备!C122="",0,""""&amp;装备!C122&amp;"""")</f>
        <v>"抽技能S"</v>
      </c>
      <c r="K113" t="str">
        <f>IF(装备!T122="","""""",""""&amp;装备!T122&amp;"""")</f>
        <v>"抽技能S"</v>
      </c>
      <c r="L113" t="str">
        <f>IF(装备!U122="",0,""""&amp;装备!U122&amp;"""")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IF(装备!B124="",0,"'"&amp;装备!B124&amp;"'")</f>
        <v>'IH00'</v>
      </c>
      <c r="B114">
        <f>装备!D125</f>
        <v>0</v>
      </c>
      <c r="C114">
        <f>装备!E124</f>
        <v>0</v>
      </c>
      <c r="D114">
        <f>装备!F124</f>
        <v>0</v>
      </c>
      <c r="E114">
        <f>IF(ISTEXT(装备!G124)=TRUE,"'"&amp;装备!G124&amp;"'",装备!G124)</f>
        <v>0</v>
      </c>
      <c r="F114">
        <f>IF(ISTEXT(装备!H124)=TRUE,"'"&amp;装备!H124&amp;"'",装备!H124)</f>
        <v>0</v>
      </c>
      <c r="G114">
        <f>IF(装备!I124="",0,"'"&amp;装备!I124&amp;"'")</f>
        <v>0</v>
      </c>
      <c r="H114">
        <f>IF(装备!R124="",0,装备!R124)</f>
        <v>0</v>
      </c>
      <c r="I114">
        <f>IF(装备!S124="",0,装备!S124)</f>
        <v>0</v>
      </c>
      <c r="J114" t="str">
        <f>IF(装备!C124="",0,""""&amp;装备!C124&amp;"""")</f>
        <v>"觉醒兽魂"</v>
      </c>
      <c r="K114" t="str">
        <f>IF(装备!T124="","""""",""""&amp;装备!T124&amp;"""")</f>
        <v>"觉醒兽魂"</v>
      </c>
      <c r="L114" t="str">
        <f>IF(装备!U124="",0,""""&amp;装备!U124&amp;"""")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IF(装备!B125="",0,"'"&amp;装备!B125&amp;"'")</f>
        <v>'IH01'</v>
      </c>
      <c r="B115">
        <f>装备!D126</f>
        <v>0</v>
      </c>
      <c r="C115">
        <f>装备!E125</f>
        <v>0</v>
      </c>
      <c r="D115">
        <f>装备!F125</f>
        <v>0</v>
      </c>
      <c r="E115">
        <f>IF(ISTEXT(装备!G125)=TRUE,"'"&amp;装备!G125&amp;"'",装备!G125)</f>
        <v>0</v>
      </c>
      <c r="F115">
        <f>IF(ISTEXT(装备!H125)=TRUE,"'"&amp;装备!H125&amp;"'",装备!H125)</f>
        <v>0</v>
      </c>
      <c r="G115">
        <f>IF(装备!I125="",0,"'"&amp;装备!I125&amp;"'")</f>
        <v>0</v>
      </c>
      <c r="H115">
        <f>IF(装备!R125="",0,装备!R125)</f>
        <v>0</v>
      </c>
      <c r="I115">
        <f>IF(装备!S125="",0,装备!S125)</f>
        <v>0</v>
      </c>
      <c r="J115" t="str">
        <f>IF(装备!C125="",0,""""&amp;装备!C125&amp;"""")</f>
        <v>"兽魂1"</v>
      </c>
      <c r="K115" t="str">
        <f>IF(装备!T125="","""""",""""&amp;装备!T125&amp;"""")</f>
        <v>"觉醒兽魂"</v>
      </c>
      <c r="L115" t="str">
        <f>IF(装备!U125="",0,""""&amp;装备!U125&amp;"""")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IF(装备!B126="",0,"'"&amp;装备!B126&amp;"'")</f>
        <v>'IH02'</v>
      </c>
      <c r="B116">
        <f>装备!D127</f>
        <v>0</v>
      </c>
      <c r="C116">
        <f>装备!E126</f>
        <v>0</v>
      </c>
      <c r="D116">
        <f>装备!F126</f>
        <v>0</v>
      </c>
      <c r="E116">
        <f>IF(ISTEXT(装备!G126)=TRUE,"'"&amp;装备!G126&amp;"'",装备!G126)</f>
        <v>0</v>
      </c>
      <c r="F116">
        <f>IF(ISTEXT(装备!H126)=TRUE,"'"&amp;装备!H126&amp;"'",装备!H126)</f>
        <v>0</v>
      </c>
      <c r="G116">
        <f>IF(装备!I126="",0,"'"&amp;装备!I126&amp;"'")</f>
        <v>0</v>
      </c>
      <c r="H116">
        <f>IF(装备!R126="",0,装备!R126)</f>
        <v>0</v>
      </c>
      <c r="I116">
        <f>IF(装备!S126="",0,装备!S126)</f>
        <v>0</v>
      </c>
      <c r="J116" t="str">
        <f>IF(装备!C126="",0,""""&amp;装备!C126&amp;"""")</f>
        <v>"兽魂2"</v>
      </c>
      <c r="K116" t="str">
        <f>IF(装备!T126="","""""",""""&amp;装备!T126&amp;"""")</f>
        <v>"觉醒兽魂"</v>
      </c>
      <c r="L116" t="str">
        <f>IF(装备!U126="",0,""""&amp;装备!U126&amp;"""")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IF(装备!B127="",0,"'"&amp;装备!B127&amp;"'")</f>
        <v>'IH03'</v>
      </c>
      <c r="B117">
        <f>装备!D128</f>
        <v>0</v>
      </c>
      <c r="C117">
        <f>装备!E127</f>
        <v>0</v>
      </c>
      <c r="D117">
        <f>装备!F127</f>
        <v>0</v>
      </c>
      <c r="E117">
        <f>IF(ISTEXT(装备!G127)=TRUE,"'"&amp;装备!G127&amp;"'",装备!G127)</f>
        <v>0</v>
      </c>
      <c r="F117">
        <f>IF(ISTEXT(装备!H127)=TRUE,"'"&amp;装备!H127&amp;"'",装备!H127)</f>
        <v>0</v>
      </c>
      <c r="G117">
        <f>IF(装备!I127="",0,"'"&amp;装备!I127&amp;"'")</f>
        <v>0</v>
      </c>
      <c r="H117">
        <f>IF(装备!R127="",0,装备!R127)</f>
        <v>0</v>
      </c>
      <c r="I117">
        <f>IF(装备!S127="",0,装备!S127)</f>
        <v>0</v>
      </c>
      <c r="J117" t="str">
        <f>IF(装备!C127="",0,""""&amp;装备!C127&amp;"""")</f>
        <v>"兽魂3"</v>
      </c>
      <c r="K117" t="str">
        <f>IF(装备!T127="","""""",""""&amp;装备!T127&amp;"""")</f>
        <v>"觉醒兽魂"</v>
      </c>
      <c r="L117" t="str">
        <f>IF(装备!U127="",0,""""&amp;装备!U127&amp;"""")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IF(装备!B128="",0,"'"&amp;装备!B128&amp;"'")</f>
        <v>'IH04'</v>
      </c>
      <c r="B118">
        <f>装备!D129</f>
        <v>0</v>
      </c>
      <c r="C118">
        <f>装备!E128</f>
        <v>0</v>
      </c>
      <c r="D118">
        <f>装备!F128</f>
        <v>0</v>
      </c>
      <c r="E118">
        <f>IF(ISTEXT(装备!G128)=TRUE,"'"&amp;装备!G128&amp;"'",装备!G128)</f>
        <v>0</v>
      </c>
      <c r="F118">
        <f>IF(ISTEXT(装备!H128)=TRUE,"'"&amp;装备!H128&amp;"'",装备!H128)</f>
        <v>0</v>
      </c>
      <c r="G118">
        <f>IF(装备!I128="",0,"'"&amp;装备!I128&amp;"'")</f>
        <v>0</v>
      </c>
      <c r="H118">
        <f>IF(装备!R128="",0,装备!R128)</f>
        <v>0</v>
      </c>
      <c r="I118">
        <f>IF(装备!S128="",0,装备!S128)</f>
        <v>0</v>
      </c>
      <c r="J118" t="str">
        <f>IF(装备!C128="",0,""""&amp;装备!C128&amp;"""")</f>
        <v>"兽魂4"</v>
      </c>
      <c r="K118" t="str">
        <f>IF(装备!T128="","""""",""""&amp;装备!T128&amp;"""")</f>
        <v>"觉醒兽魂"</v>
      </c>
      <c r="L118" t="str">
        <f>IF(装备!U128="",0,""""&amp;装备!U128&amp;"""")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IF(装备!B129="",0,"'"&amp;装备!B129&amp;"'")</f>
        <v>'IH05'</v>
      </c>
      <c r="B119">
        <f>装备!D130</f>
        <v>0</v>
      </c>
      <c r="C119">
        <f>装备!E129</f>
        <v>0</v>
      </c>
      <c r="D119">
        <f>装备!F129</f>
        <v>0</v>
      </c>
      <c r="E119">
        <f>IF(ISTEXT(装备!G129)=TRUE,"'"&amp;装备!G129&amp;"'",装备!G129)</f>
        <v>0</v>
      </c>
      <c r="F119">
        <f>IF(ISTEXT(装备!H129)=TRUE,"'"&amp;装备!H129&amp;"'",装备!H129)</f>
        <v>0</v>
      </c>
      <c r="G119">
        <f>IF(装备!I129="",0,"'"&amp;装备!I129&amp;"'")</f>
        <v>0</v>
      </c>
      <c r="H119">
        <f>IF(装备!R129="",0,装备!R129)</f>
        <v>0</v>
      </c>
      <c r="I119">
        <f>IF(装备!S129="",0,装备!S129)</f>
        <v>0</v>
      </c>
      <c r="J119" t="str">
        <f>IF(装备!C129="",0,""""&amp;装备!C129&amp;"""")</f>
        <v>"兽魂5"</v>
      </c>
      <c r="K119" t="str">
        <f>IF(装备!T129="","""""",""""&amp;装备!T129&amp;"""")</f>
        <v>"觉醒兽魂"</v>
      </c>
      <c r="L119" t="str">
        <f>IF(装备!U129="",0,""""&amp;装备!U129&amp;"""")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IF(装备!B130="",0,"'"&amp;装备!B130&amp;"'")</f>
        <v>'IH06'</v>
      </c>
      <c r="B120">
        <f>装备!D131</f>
        <v>0</v>
      </c>
      <c r="C120">
        <f>装备!E130</f>
        <v>0</v>
      </c>
      <c r="D120">
        <f>装备!F130</f>
        <v>0</v>
      </c>
      <c r="E120">
        <f>IF(ISTEXT(装备!G130)=TRUE,"'"&amp;装备!G130&amp;"'",装备!G130)</f>
        <v>0</v>
      </c>
      <c r="F120">
        <f>IF(ISTEXT(装备!H130)=TRUE,"'"&amp;装备!H130&amp;"'",装备!H130)</f>
        <v>0</v>
      </c>
      <c r="G120">
        <f>IF(装备!I130="",0,"'"&amp;装备!I130&amp;"'")</f>
        <v>0</v>
      </c>
      <c r="H120">
        <f>IF(装备!R130="",0,装备!R130)</f>
        <v>0</v>
      </c>
      <c r="I120">
        <f>IF(装备!S130="",0,装备!S130)</f>
        <v>0</v>
      </c>
      <c r="J120" t="str">
        <f>IF(装备!C130="",0,""""&amp;装备!C130&amp;"""")</f>
        <v>"兽魂6"</v>
      </c>
      <c r="K120" t="str">
        <f>IF(装备!T130="","""""",""""&amp;装备!T130&amp;"""")</f>
        <v>"觉醒兽魂"</v>
      </c>
      <c r="L120" t="str">
        <f>IF(装备!U130="",0,""""&amp;装备!U130&amp;"""")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IF(装备!B131="",0,"'"&amp;装备!B131&amp;"'")</f>
        <v>'IH07'</v>
      </c>
      <c r="B121">
        <f>装备!D132</f>
        <v>0</v>
      </c>
      <c r="C121">
        <f>装备!E131</f>
        <v>0</v>
      </c>
      <c r="D121">
        <f>装备!F131</f>
        <v>0</v>
      </c>
      <c r="E121">
        <f>IF(ISTEXT(装备!G131)=TRUE,"'"&amp;装备!G131&amp;"'",装备!G131)</f>
        <v>0</v>
      </c>
      <c r="F121">
        <f>IF(ISTEXT(装备!H131)=TRUE,"'"&amp;装备!H131&amp;"'",装备!H131)</f>
        <v>0</v>
      </c>
      <c r="G121">
        <f>IF(装备!I131="",0,"'"&amp;装备!I131&amp;"'")</f>
        <v>0</v>
      </c>
      <c r="H121">
        <f>IF(装备!R131="",0,装备!R131)</f>
        <v>0</v>
      </c>
      <c r="I121">
        <f>IF(装备!S131="",0,装备!S131)</f>
        <v>0</v>
      </c>
      <c r="J121" t="str">
        <f>IF(装备!C131="",0,""""&amp;装备!C131&amp;"""")</f>
        <v>"兽魂7"</v>
      </c>
      <c r="K121" t="str">
        <f>IF(装备!T131="","""""",""""&amp;装备!T131&amp;"""")</f>
        <v>"觉醒兽魂"</v>
      </c>
      <c r="L121" t="str">
        <f>IF(装备!U131="",0,""""&amp;装备!U131&amp;"""")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IF(装备!B132="",0,"'"&amp;装备!B132&amp;"'")</f>
        <v>'IH08'</v>
      </c>
      <c r="B122">
        <f>装备!D133</f>
        <v>0</v>
      </c>
      <c r="C122">
        <f>装备!E132</f>
        <v>0</v>
      </c>
      <c r="D122">
        <f>装备!F132</f>
        <v>0</v>
      </c>
      <c r="E122">
        <f>IF(ISTEXT(装备!G132)=TRUE,"'"&amp;装备!G132&amp;"'",装备!G132)</f>
        <v>0</v>
      </c>
      <c r="F122">
        <f>IF(ISTEXT(装备!H132)=TRUE,"'"&amp;装备!H132&amp;"'",装备!H132)</f>
        <v>0</v>
      </c>
      <c r="G122">
        <f>IF(装备!I132="",0,"'"&amp;装备!I132&amp;"'")</f>
        <v>0</v>
      </c>
      <c r="H122">
        <f>IF(装备!R132="",0,装备!R132)</f>
        <v>0</v>
      </c>
      <c r="I122">
        <f>IF(装备!S132="",0,装备!S132)</f>
        <v>0</v>
      </c>
      <c r="J122" t="str">
        <f>IF(装备!C132="",0,""""&amp;装备!C132&amp;"""")</f>
        <v>"兽魂8"</v>
      </c>
      <c r="K122" t="str">
        <f>IF(装备!T132="","""""",""""&amp;装备!T132&amp;"""")</f>
        <v>"觉醒兽魂"</v>
      </c>
      <c r="L122" t="str">
        <f>IF(装备!U132="",0,""""&amp;装备!U132&amp;"""")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IF(装备!B133="",0,"'"&amp;装备!B133&amp;"'")</f>
        <v>'IB01'</v>
      </c>
      <c r="B123">
        <f>装备!D134</f>
        <v>0</v>
      </c>
      <c r="C123">
        <f>装备!E133</f>
        <v>0</v>
      </c>
      <c r="D123">
        <f>装备!F133</f>
        <v>0</v>
      </c>
      <c r="E123">
        <f>IF(ISTEXT(装备!G133)=TRUE,"'"&amp;装备!G133&amp;"'",装备!G133)</f>
        <v>0</v>
      </c>
      <c r="F123">
        <f>IF(ISTEXT(装备!H133)=TRUE,"'"&amp;装备!H133&amp;"'",装备!H133)</f>
        <v>0</v>
      </c>
      <c r="G123">
        <f>IF(装备!I133="",0,"'"&amp;装备!I133&amp;"'")</f>
        <v>0</v>
      </c>
      <c r="H123">
        <f>IF(装备!R133="",0,装备!R133)</f>
        <v>0</v>
      </c>
      <c r="I123">
        <f>IF(装备!S133="",0,装备!S133)</f>
        <v>0</v>
      </c>
      <c r="J123" t="str">
        <f>IF(装备!C133="",0,""""&amp;装备!C133&amp;"""")</f>
        <v>"入群礼包"</v>
      </c>
      <c r="K123" t="str">
        <f>IF(装备!T133="","""""",""""&amp;装备!T133&amp;"""")</f>
        <v>"入群礼包"</v>
      </c>
      <c r="L123" t="str">
        <f>IF(装备!U133="",0,""""&amp;装备!U133&amp;"""")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IF(装备!B134="",0,"'"&amp;装备!B134&amp;"'")</f>
        <v>'IB02'</v>
      </c>
      <c r="B124">
        <f>装备!D135</f>
        <v>0</v>
      </c>
      <c r="C124">
        <f>装备!E134</f>
        <v>0</v>
      </c>
      <c r="D124">
        <f>装备!F134</f>
        <v>0</v>
      </c>
      <c r="E124">
        <f>IF(ISTEXT(装备!G134)=TRUE,"'"&amp;装备!G134&amp;"'",装备!G134)</f>
        <v>0</v>
      </c>
      <c r="F124">
        <f>IF(ISTEXT(装备!H134)=TRUE,"'"&amp;装备!H134&amp;"'",装备!H134)</f>
        <v>0</v>
      </c>
      <c r="G124">
        <f>IF(装备!I134="",0,"'"&amp;装备!I134&amp;"'")</f>
        <v>0</v>
      </c>
      <c r="H124">
        <f>IF(装备!R134="",0,装备!R134)</f>
        <v>0</v>
      </c>
      <c r="I124">
        <f>IF(装备!S134="",0,装备!S134)</f>
        <v>0</v>
      </c>
      <c r="J124" t="str">
        <f>IF(装备!C134="",0,""""&amp;装备!C134&amp;"""")</f>
        <v>"公众号礼包"</v>
      </c>
      <c r="K124" t="str">
        <f>IF(装备!T134="","""""",""""&amp;装备!T134&amp;"""")</f>
        <v>"公众号礼包"</v>
      </c>
      <c r="L124" t="str">
        <f>IF(装备!U134="",0,""""&amp;装备!U134&amp;"""")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IF(装备!B135="",0,"'"&amp;装备!B135&amp;"'")</f>
        <v>'IB03'</v>
      </c>
      <c r="B125">
        <f>装备!D136</f>
        <v>0</v>
      </c>
      <c r="C125">
        <f>装备!E135</f>
        <v>0</v>
      </c>
      <c r="D125">
        <f>装备!F135</f>
        <v>0</v>
      </c>
      <c r="E125">
        <f>IF(ISTEXT(装备!G135)=TRUE,"'"&amp;装备!G135&amp;"'",装备!G135)</f>
        <v>0</v>
      </c>
      <c r="F125">
        <f>IF(ISTEXT(装备!H135)=TRUE,"'"&amp;装备!H135&amp;"'",装备!H135)</f>
        <v>0</v>
      </c>
      <c r="G125">
        <f>IF(装备!I135="",0,"'"&amp;装备!I135&amp;"'")</f>
        <v>0</v>
      </c>
      <c r="H125">
        <f>IF(装备!R135="",0,装备!R135)</f>
        <v>0</v>
      </c>
      <c r="I125">
        <f>IF(装备!S135="",0,装备!S135)</f>
        <v>0</v>
      </c>
      <c r="J125" t="str">
        <f>IF(装备!C135="",0,""""&amp;装备!C135&amp;"""")</f>
        <v>"好评礼包"</v>
      </c>
      <c r="K125" t="str">
        <f>IF(装备!T135="","""""",""""&amp;装备!T135&amp;"""")</f>
        <v>"好评礼包"</v>
      </c>
      <c r="L125" t="str">
        <f>IF(装备!U135="",0,""""&amp;装备!U135&amp;"""")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IF(装备!B136="",0,"'"&amp;装备!B136&amp;"'")</f>
        <v>'IB04'</v>
      </c>
      <c r="B126">
        <f>装备!D137</f>
        <v>0</v>
      </c>
      <c r="C126">
        <f>装备!E136</f>
        <v>0</v>
      </c>
      <c r="D126">
        <f>装备!F136</f>
        <v>0</v>
      </c>
      <c r="E126">
        <f>IF(ISTEXT(装备!G136)=TRUE,"'"&amp;装备!G136&amp;"'",装备!G136)</f>
        <v>0</v>
      </c>
      <c r="F126">
        <f>IF(ISTEXT(装备!H136)=TRUE,"'"&amp;装备!H136&amp;"'",装备!H136)</f>
        <v>0</v>
      </c>
      <c r="G126">
        <f>IF(装备!I136="",0,"'"&amp;装备!I136&amp;"'")</f>
        <v>0</v>
      </c>
      <c r="H126">
        <f>IF(装备!R136="",0,装备!R136)</f>
        <v>0</v>
      </c>
      <c r="I126">
        <f>IF(装备!S136="",0,装备!S136)</f>
        <v>0</v>
      </c>
      <c r="J126" t="str">
        <f>IF(装备!C136="",0,""""&amp;装备!C136&amp;"""")</f>
        <v>"老铁礼包"</v>
      </c>
      <c r="K126" t="str">
        <f>IF(装备!T136="","""""",""""&amp;装备!T136&amp;"""")</f>
        <v>"老铁礼包"</v>
      </c>
      <c r="L126" t="str">
        <f>IF(装备!U136="",0,""""&amp;装备!U136&amp;"""")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IF(装备!B137="",0,"'"&amp;装备!B137&amp;"'")</f>
        <v>'IB05'</v>
      </c>
      <c r="B127">
        <f>装备!D138</f>
        <v>0</v>
      </c>
      <c r="C127">
        <f>装备!E137</f>
        <v>0</v>
      </c>
      <c r="D127">
        <f>装备!F137</f>
        <v>0</v>
      </c>
      <c r="E127">
        <f>IF(ISTEXT(装备!G137)=TRUE,"'"&amp;装备!G137&amp;"'",装备!G137)</f>
        <v>0</v>
      </c>
      <c r="F127">
        <f>IF(ISTEXT(装备!H137)=TRUE,"'"&amp;装备!H137&amp;"'",装备!H137)</f>
        <v>0</v>
      </c>
      <c r="G127">
        <f>IF(装备!I137="",0,"'"&amp;装备!I137&amp;"'")</f>
        <v>0</v>
      </c>
      <c r="H127">
        <f>IF(装备!R137="",0,装备!R137)</f>
        <v>0</v>
      </c>
      <c r="I127">
        <f>IF(装备!S137="",0,装备!S137)</f>
        <v>0</v>
      </c>
      <c r="J127" t="str">
        <f>IF(装备!C137="",0,""""&amp;装备!C137&amp;"""")</f>
        <v>"工会礼包"</v>
      </c>
      <c r="K127" t="str">
        <f>IF(装备!T137="","""""",""""&amp;装备!T137&amp;"""")</f>
        <v>"工会礼包"</v>
      </c>
      <c r="L127" t="str">
        <f>IF(装备!U137="",0,""""&amp;装备!U137&amp;"""")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IF(装备!B138="",0,"'"&amp;装备!B138&amp;"'")</f>
        <v>0</v>
      </c>
      <c r="B128">
        <f>装备!D139</f>
        <v>0</v>
      </c>
      <c r="C128">
        <f>装备!E138</f>
        <v>0</v>
      </c>
      <c r="D128">
        <f>装备!F138</f>
        <v>0</v>
      </c>
      <c r="E128">
        <f>IF(ISTEXT(装备!G138)=TRUE,"'"&amp;装备!G138&amp;"'",装备!G138)</f>
        <v>0</v>
      </c>
      <c r="F128">
        <f>IF(ISTEXT(装备!H138)=TRUE,"'"&amp;装备!H138&amp;"'",装备!H138)</f>
        <v>0</v>
      </c>
      <c r="G128">
        <f>IF(装备!I138="",0,"'"&amp;装备!I138&amp;"'")</f>
        <v>0</v>
      </c>
      <c r="H128">
        <f>IF(装备!R138="",0,装备!R138)</f>
        <v>0</v>
      </c>
      <c r="I128">
        <f>IF(装备!S138="",0,装备!S138)</f>
        <v>0</v>
      </c>
      <c r="J128">
        <f>IF(装备!C138="",0,""""&amp;装备!C138&amp;"""")</f>
        <v>0</v>
      </c>
      <c r="K128" t="str">
        <f>IF(装备!T138="","""""",""""&amp;装备!T138&amp;"""")</f>
        <v>""</v>
      </c>
      <c r="L128">
        <f>IF(装备!U138="",0,""""&amp;装备!U138&amp;"""")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IF(装备!B139="",0,"'"&amp;装备!B139&amp;"'")</f>
        <v>0</v>
      </c>
      <c r="B129">
        <f>装备!D140</f>
        <v>0</v>
      </c>
      <c r="C129">
        <f>装备!E139</f>
        <v>0</v>
      </c>
      <c r="D129">
        <f>装备!F139</f>
        <v>0</v>
      </c>
      <c r="E129">
        <f>IF(ISTEXT(装备!G139)=TRUE,"'"&amp;装备!G139&amp;"'",装备!G139)</f>
        <v>0</v>
      </c>
      <c r="F129">
        <f>IF(ISTEXT(装备!H139)=TRUE,"'"&amp;装备!H139&amp;"'",装备!H139)</f>
        <v>0</v>
      </c>
      <c r="G129">
        <f>IF(装备!I139="",0,"'"&amp;装备!I139&amp;"'")</f>
        <v>0</v>
      </c>
      <c r="H129">
        <f>IF(装备!R139="",0,装备!R139)</f>
        <v>0</v>
      </c>
      <c r="I129">
        <f>IF(装备!S139="",0,装备!S139)</f>
        <v>0</v>
      </c>
      <c r="J129">
        <f>IF(装备!C139="",0,""""&amp;装备!C139&amp;"""")</f>
        <v>0</v>
      </c>
      <c r="K129" t="str">
        <f>IF(装备!T139="","""""",""""&amp;装备!T139&amp;"""")</f>
        <v>""</v>
      </c>
      <c r="L129">
        <f>IF(装备!U139="",0,""""&amp;装备!U139&amp;"""")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IF(装备!B140="",0,"'"&amp;装备!B140&amp;"'")</f>
        <v>0</v>
      </c>
      <c r="B130">
        <f>装备!D141</f>
        <v>0</v>
      </c>
      <c r="C130">
        <f>装备!E140</f>
        <v>0</v>
      </c>
      <c r="D130">
        <f>装备!F140</f>
        <v>0</v>
      </c>
      <c r="E130">
        <f>IF(ISTEXT(装备!G140)=TRUE,"'"&amp;装备!G140&amp;"'",装备!G140)</f>
        <v>0</v>
      </c>
      <c r="F130">
        <f>IF(ISTEXT(装备!H140)=TRUE,"'"&amp;装备!H140&amp;"'",装备!H140)</f>
        <v>0</v>
      </c>
      <c r="G130">
        <f>IF(装备!I140="",0,"'"&amp;装备!I140&amp;"'")</f>
        <v>0</v>
      </c>
      <c r="H130">
        <f>IF(装备!R140="",0,装备!R140)</f>
        <v>0</v>
      </c>
      <c r="I130">
        <f>IF(装备!S140="",0,装备!S140)</f>
        <v>0</v>
      </c>
      <c r="J130">
        <f>IF(装备!C140="",0,""""&amp;装备!C140&amp;"""")</f>
        <v>0</v>
      </c>
      <c r="K130" t="str">
        <f>IF(装备!T140="","""""",""""&amp;装备!T140&amp;"""")</f>
        <v>""</v>
      </c>
      <c r="L130">
        <f>IF(装备!U140="",0,""""&amp;装备!U140&amp;"""")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IF(装备!B141="",0,"'"&amp;装备!B141&amp;"'")</f>
        <v>0</v>
      </c>
      <c r="B131">
        <f>装备!D142</f>
        <v>0</v>
      </c>
      <c r="C131">
        <f>装备!E141</f>
        <v>0</v>
      </c>
      <c r="D131">
        <f>装备!F141</f>
        <v>0</v>
      </c>
      <c r="E131">
        <f>IF(ISTEXT(装备!G141)=TRUE,"'"&amp;装备!G141&amp;"'",装备!G141)</f>
        <v>0</v>
      </c>
      <c r="F131">
        <f>IF(ISTEXT(装备!H141)=TRUE,"'"&amp;装备!H141&amp;"'",装备!H141)</f>
        <v>0</v>
      </c>
      <c r="G131">
        <f>IF(装备!I141="",0,"'"&amp;装备!I141&amp;"'")</f>
        <v>0</v>
      </c>
      <c r="H131">
        <f>IF(装备!R141="",0,装备!R141)</f>
        <v>0</v>
      </c>
      <c r="I131">
        <f>IF(装备!S141="",0,装备!S141)</f>
        <v>0</v>
      </c>
      <c r="J131">
        <f>IF(装备!C141="",0,""""&amp;装备!C141&amp;"""")</f>
        <v>0</v>
      </c>
      <c r="K131" t="str">
        <f>IF(装备!T141="","""""",""""&amp;装备!T141&amp;"""")</f>
        <v>""</v>
      </c>
      <c r="L131">
        <f>IF(装备!U141="",0,""""&amp;装备!U141&amp;"""")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IF(装备!B142="",0,"'"&amp;装备!B142&amp;"'")</f>
        <v>0</v>
      </c>
      <c r="B132">
        <f>装备!D143</f>
        <v>0</v>
      </c>
      <c r="C132">
        <f>装备!E142</f>
        <v>0</v>
      </c>
      <c r="D132">
        <f>装备!F142</f>
        <v>0</v>
      </c>
      <c r="E132">
        <f>IF(ISTEXT(装备!G142)=TRUE,"'"&amp;装备!G142&amp;"'",装备!G142)</f>
        <v>0</v>
      </c>
      <c r="F132">
        <f>IF(ISTEXT(装备!H142)=TRUE,"'"&amp;装备!H142&amp;"'",装备!H142)</f>
        <v>0</v>
      </c>
      <c r="G132">
        <f>IF(装备!I142="",0,"'"&amp;装备!I142&amp;"'")</f>
        <v>0</v>
      </c>
      <c r="H132">
        <f>IF(装备!R142="",0,装备!R142)</f>
        <v>0</v>
      </c>
      <c r="I132">
        <f>IF(装备!S142="",0,装备!S142)</f>
        <v>0</v>
      </c>
      <c r="J132">
        <f>IF(装备!C142="",0,""""&amp;装备!C142&amp;"""")</f>
        <v>0</v>
      </c>
      <c r="K132" t="str">
        <f>IF(装备!T142="","""""",""""&amp;装备!T142&amp;"""")</f>
        <v>""</v>
      </c>
      <c r="L132">
        <f>IF(装备!U142="",0,""""&amp;装备!U142&amp;"""")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IF(装备!B143="",0,"'"&amp;装备!B143&amp;"'")</f>
        <v>0</v>
      </c>
      <c r="B133">
        <f>装备!D144</f>
        <v>0</v>
      </c>
      <c r="C133">
        <f>装备!E143</f>
        <v>0</v>
      </c>
      <c r="D133">
        <f>装备!F143</f>
        <v>0</v>
      </c>
      <c r="E133">
        <f>IF(ISTEXT(装备!G143)=TRUE,"'"&amp;装备!G143&amp;"'",装备!G143)</f>
        <v>0</v>
      </c>
      <c r="F133">
        <f>IF(ISTEXT(装备!H143)=TRUE,"'"&amp;装备!H143&amp;"'",装备!H143)</f>
        <v>0</v>
      </c>
      <c r="G133">
        <f>IF(装备!I143="",0,"'"&amp;装备!I143&amp;"'")</f>
        <v>0</v>
      </c>
      <c r="H133">
        <f>IF(装备!R143="",0,装备!R143)</f>
        <v>0</v>
      </c>
      <c r="I133">
        <f>IF(装备!S143="",0,装备!S143)</f>
        <v>0</v>
      </c>
      <c r="J133">
        <f>IF(装备!C143="",0,""""&amp;装备!C143&amp;"""")</f>
        <v>0</v>
      </c>
      <c r="K133" t="str">
        <f>IF(装备!T143="","""""",""""&amp;装备!T143&amp;"""")</f>
        <v>""</v>
      </c>
      <c r="L133">
        <f>IF(装备!U143="",0,""""&amp;装备!U143&amp;"""")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IF(装备!B144="",0,"'"&amp;装备!B144&amp;"'")</f>
        <v>0</v>
      </c>
      <c r="B134">
        <f>装备!D145</f>
        <v>0</v>
      </c>
      <c r="C134">
        <f>装备!E144</f>
        <v>0</v>
      </c>
      <c r="D134">
        <f>装备!F144</f>
        <v>0</v>
      </c>
      <c r="E134">
        <f>IF(ISTEXT(装备!G144)=TRUE,"'"&amp;装备!G144&amp;"'",装备!G144)</f>
        <v>0</v>
      </c>
      <c r="F134">
        <f>IF(ISTEXT(装备!H144)=TRUE,"'"&amp;装备!H144&amp;"'",装备!H144)</f>
        <v>0</v>
      </c>
      <c r="G134">
        <f>IF(装备!I144="",0,"'"&amp;装备!I144&amp;"'")</f>
        <v>0</v>
      </c>
      <c r="H134">
        <f>IF(装备!R144="",0,装备!R144)</f>
        <v>0</v>
      </c>
      <c r="I134">
        <f>IF(装备!S144="",0,装备!S144)</f>
        <v>0</v>
      </c>
      <c r="J134">
        <f>IF(装备!C144="",0,""""&amp;装备!C144&amp;"""")</f>
        <v>0</v>
      </c>
      <c r="K134" t="str">
        <f>IF(装备!T144="","""""",""""&amp;装备!T144&amp;"""")</f>
        <v>""</v>
      </c>
      <c r="L134">
        <f>IF(装备!U144="",0,""""&amp;装备!U144&amp;"""")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IF(装备!B145="",0,"'"&amp;装备!B145&amp;"'")</f>
        <v>0</v>
      </c>
      <c r="B135">
        <f>装备!D146</f>
        <v>0</v>
      </c>
      <c r="C135">
        <f>装备!E145</f>
        <v>0</v>
      </c>
      <c r="D135">
        <f>装备!F145</f>
        <v>0</v>
      </c>
      <c r="E135">
        <f>IF(ISTEXT(装备!G145)=TRUE,"'"&amp;装备!G145&amp;"'",装备!G145)</f>
        <v>0</v>
      </c>
      <c r="F135">
        <f>IF(ISTEXT(装备!H145)=TRUE,"'"&amp;装备!H145&amp;"'",装备!H145)</f>
        <v>0</v>
      </c>
      <c r="G135">
        <f>IF(装备!I145="",0,"'"&amp;装备!I145&amp;"'")</f>
        <v>0</v>
      </c>
      <c r="H135">
        <f>IF(装备!R145="",0,装备!R145)</f>
        <v>0</v>
      </c>
      <c r="I135">
        <f>IF(装备!S145="",0,装备!S145)</f>
        <v>0</v>
      </c>
      <c r="J135">
        <f>IF(装备!C145="",0,""""&amp;装备!C145&amp;"""")</f>
        <v>0</v>
      </c>
      <c r="K135" t="str">
        <f>IF(装备!T145="","""""",""""&amp;装备!T145&amp;"""")</f>
        <v>""</v>
      </c>
      <c r="L135">
        <f>IF(装备!U145="",0,""""&amp;装备!U145&amp;"""")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IF(装备!B146="",0,"'"&amp;装备!B146&amp;"'")</f>
        <v>0</v>
      </c>
      <c r="B136">
        <f>装备!D147</f>
        <v>0</v>
      </c>
      <c r="C136">
        <f>装备!E146</f>
        <v>0</v>
      </c>
      <c r="D136">
        <f>装备!F146</f>
        <v>0</v>
      </c>
      <c r="E136">
        <f>IF(ISTEXT(装备!G146)=TRUE,"'"&amp;装备!G146&amp;"'",装备!G146)</f>
        <v>0</v>
      </c>
      <c r="F136">
        <f>IF(ISTEXT(装备!H146)=TRUE,"'"&amp;装备!H146&amp;"'",装备!H146)</f>
        <v>0</v>
      </c>
      <c r="G136">
        <f>IF(装备!I146="",0,"'"&amp;装备!I146&amp;"'")</f>
        <v>0</v>
      </c>
      <c r="H136">
        <f>IF(装备!R146="",0,装备!R146)</f>
        <v>0</v>
      </c>
      <c r="I136">
        <f>IF(装备!S146="",0,装备!S146)</f>
        <v>0</v>
      </c>
      <c r="J136">
        <f>IF(装备!C146="",0,""""&amp;装备!C146&amp;"""")</f>
        <v>0</v>
      </c>
      <c r="K136" t="str">
        <f>IF(装备!T146="","""""",""""&amp;装备!T146&amp;"""")</f>
        <v>""</v>
      </c>
      <c r="L136">
        <f>IF(装备!U146="",0,""""&amp;装备!U146&amp;"""")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IF(装备!B147="",0,"'"&amp;装备!B147&amp;"'")</f>
        <v>0</v>
      </c>
      <c r="B137">
        <f>装备!D148</f>
        <v>0</v>
      </c>
      <c r="C137">
        <f>装备!E147</f>
        <v>0</v>
      </c>
      <c r="D137">
        <f>装备!F147</f>
        <v>0</v>
      </c>
      <c r="E137">
        <f>IF(ISTEXT(装备!G147)=TRUE,"'"&amp;装备!G147&amp;"'",装备!G147)</f>
        <v>0</v>
      </c>
      <c r="F137">
        <f>IF(ISTEXT(装备!H147)=TRUE,"'"&amp;装备!H147&amp;"'",装备!H147)</f>
        <v>0</v>
      </c>
      <c r="G137">
        <f>IF(装备!I147="",0,"'"&amp;装备!I147&amp;"'")</f>
        <v>0</v>
      </c>
      <c r="H137">
        <f>IF(装备!R147="",0,装备!R147)</f>
        <v>0</v>
      </c>
      <c r="I137">
        <f>IF(装备!S147="",0,装备!S147)</f>
        <v>0</v>
      </c>
      <c r="J137">
        <f>IF(装备!C147="",0,""""&amp;装备!C147&amp;"""")</f>
        <v>0</v>
      </c>
      <c r="K137" t="str">
        <f>IF(装备!T147="","""""",""""&amp;装备!T147&amp;"""")</f>
        <v>""</v>
      </c>
      <c r="L137">
        <f>IF(装备!U147="",0,""""&amp;装备!U147&amp;"""")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IF(装备!B148="",0,"'"&amp;装备!B148&amp;"'")</f>
        <v>0</v>
      </c>
      <c r="B138">
        <f>装备!D149</f>
        <v>0</v>
      </c>
      <c r="C138">
        <f>装备!E148</f>
        <v>0</v>
      </c>
      <c r="D138">
        <f>装备!F148</f>
        <v>0</v>
      </c>
      <c r="E138">
        <f>IF(ISTEXT(装备!G148)=TRUE,"'"&amp;装备!G148&amp;"'",装备!G148)</f>
        <v>0</v>
      </c>
      <c r="F138">
        <f>IF(ISTEXT(装备!H148)=TRUE,"'"&amp;装备!H148&amp;"'",装备!H148)</f>
        <v>0</v>
      </c>
      <c r="G138">
        <f>IF(装备!I148="",0,"'"&amp;装备!I148&amp;"'")</f>
        <v>0</v>
      </c>
      <c r="H138">
        <f>IF(装备!R148="",0,装备!R148)</f>
        <v>0</v>
      </c>
      <c r="I138">
        <f>IF(装备!S148="",0,装备!S148)</f>
        <v>0</v>
      </c>
      <c r="J138">
        <f>IF(装备!C148="",0,""""&amp;装备!C148&amp;"""")</f>
        <v>0</v>
      </c>
      <c r="K138" t="str">
        <f>IF(装备!T148="","""""",""""&amp;装备!T148&amp;"""")</f>
        <v>""</v>
      </c>
      <c r="L138">
        <f>IF(装备!U148="",0,""""&amp;装备!U148&amp;"""")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IF(装备!B149="",0,"'"&amp;装备!B149&amp;"'")</f>
        <v>0</v>
      </c>
      <c r="B139">
        <f>装备!D150</f>
        <v>0</v>
      </c>
      <c r="C139">
        <f>装备!E149</f>
        <v>0</v>
      </c>
      <c r="D139">
        <f>装备!F149</f>
        <v>0</v>
      </c>
      <c r="E139">
        <f>IF(ISTEXT(装备!G149)=TRUE,"'"&amp;装备!G149&amp;"'",装备!G149)</f>
        <v>0</v>
      </c>
      <c r="F139">
        <f>IF(ISTEXT(装备!H149)=TRUE,"'"&amp;装备!H149&amp;"'",装备!H149)</f>
        <v>0</v>
      </c>
      <c r="G139">
        <f>IF(装备!I149="",0,"'"&amp;装备!I149&amp;"'")</f>
        <v>0</v>
      </c>
      <c r="H139">
        <f>IF(装备!R149="",0,装备!R149)</f>
        <v>0</v>
      </c>
      <c r="I139">
        <f>IF(装备!S149="",0,装备!S149)</f>
        <v>0</v>
      </c>
      <c r="J139">
        <f>IF(装备!C149="",0,""""&amp;装备!C149&amp;"""")</f>
        <v>0</v>
      </c>
      <c r="K139" t="str">
        <f>IF(装备!T149="","""""",""""&amp;装备!T149&amp;"""")</f>
        <v>""</v>
      </c>
      <c r="L139">
        <f>IF(装备!U149="",0,""""&amp;装备!U149&amp;"""")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IF(装备!B150="",0,"'"&amp;装备!B150&amp;"'")</f>
        <v>0</v>
      </c>
      <c r="B140">
        <f>装备!D151</f>
        <v>0</v>
      </c>
      <c r="C140">
        <f>装备!E150</f>
        <v>0</v>
      </c>
      <c r="D140">
        <f>装备!F150</f>
        <v>0</v>
      </c>
      <c r="E140">
        <f>IF(ISTEXT(装备!G150)=TRUE,"'"&amp;装备!G150&amp;"'",装备!G150)</f>
        <v>0</v>
      </c>
      <c r="F140">
        <f>IF(ISTEXT(装备!H150)=TRUE,"'"&amp;装备!H150&amp;"'",装备!H150)</f>
        <v>0</v>
      </c>
      <c r="G140">
        <f>IF(装备!I150="",0,"'"&amp;装备!I150&amp;"'")</f>
        <v>0</v>
      </c>
      <c r="H140">
        <f>IF(装备!R150="",0,装备!R150)</f>
        <v>0</v>
      </c>
      <c r="I140">
        <f>IF(装备!S150="",0,装备!S150)</f>
        <v>0</v>
      </c>
      <c r="J140">
        <f>IF(装备!C150="",0,""""&amp;装备!C150&amp;"""")</f>
        <v>0</v>
      </c>
      <c r="K140" t="str">
        <f>IF(装备!T150="","""""",""""&amp;装备!T150&amp;"""")</f>
        <v>""</v>
      </c>
      <c r="L140">
        <f>IF(装备!U150="",0,""""&amp;装备!U150&amp;"""")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IF(装备!B151="",0,"'"&amp;装备!B151&amp;"'")</f>
        <v>0</v>
      </c>
      <c r="B141">
        <f>装备!D152</f>
        <v>0</v>
      </c>
      <c r="C141">
        <f>装备!E151</f>
        <v>0</v>
      </c>
      <c r="D141">
        <f>装备!F151</f>
        <v>0</v>
      </c>
      <c r="E141">
        <f>IF(ISTEXT(装备!G151)=TRUE,"'"&amp;装备!G151&amp;"'",装备!G151)</f>
        <v>0</v>
      </c>
      <c r="F141">
        <f>IF(ISTEXT(装备!H151)=TRUE,"'"&amp;装备!H151&amp;"'",装备!H151)</f>
        <v>0</v>
      </c>
      <c r="G141">
        <f>IF(装备!I151="",0,"'"&amp;装备!I151&amp;"'")</f>
        <v>0</v>
      </c>
      <c r="H141">
        <f>IF(装备!R151="",0,装备!R151)</f>
        <v>0</v>
      </c>
      <c r="I141">
        <f>IF(装备!S151="",0,装备!S151)</f>
        <v>0</v>
      </c>
      <c r="J141">
        <f>IF(装备!C151="",0,""""&amp;装备!C151&amp;"""")</f>
        <v>0</v>
      </c>
      <c r="K141" t="str">
        <f>IF(装备!T151="","""""",""""&amp;装备!T151&amp;"""")</f>
        <v>""</v>
      </c>
      <c r="L141">
        <f>IF(装备!U151="",0,""""&amp;装备!U151&amp;"""")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IF(装备!B152="",0,"'"&amp;装备!B152&amp;"'")</f>
        <v>0</v>
      </c>
      <c r="B142">
        <f>装备!D153</f>
        <v>0</v>
      </c>
      <c r="C142">
        <f>装备!E152</f>
        <v>0</v>
      </c>
      <c r="D142">
        <f>装备!F152</f>
        <v>0</v>
      </c>
      <c r="E142">
        <f>IF(ISTEXT(装备!G152)=TRUE,"'"&amp;装备!G152&amp;"'",装备!G152)</f>
        <v>0</v>
      </c>
      <c r="F142">
        <f>IF(ISTEXT(装备!H152)=TRUE,"'"&amp;装备!H152&amp;"'",装备!H152)</f>
        <v>0</v>
      </c>
      <c r="G142">
        <f>IF(装备!I152="",0,"'"&amp;装备!I152&amp;"'")</f>
        <v>0</v>
      </c>
      <c r="H142">
        <f>IF(装备!R152="",0,装备!R152)</f>
        <v>0</v>
      </c>
      <c r="I142">
        <f>IF(装备!S152="",0,装备!S152)</f>
        <v>0</v>
      </c>
      <c r="J142">
        <f>IF(装备!C152="",0,""""&amp;装备!C152&amp;"""")</f>
        <v>0</v>
      </c>
      <c r="K142" t="str">
        <f>IF(装备!T152="","""""",""""&amp;装备!T152&amp;"""")</f>
        <v>""</v>
      </c>
      <c r="L142">
        <f>IF(装备!U152="",0,""""&amp;装备!U152&amp;"""")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IF(装备!B153="",0,"'"&amp;装备!B153&amp;"'")</f>
        <v>0</v>
      </c>
      <c r="B143">
        <f>装备!D154</f>
        <v>0</v>
      </c>
      <c r="C143">
        <f>装备!E153</f>
        <v>0</v>
      </c>
      <c r="D143">
        <f>装备!F153</f>
        <v>0</v>
      </c>
      <c r="E143">
        <f>IF(ISTEXT(装备!G153)=TRUE,"'"&amp;装备!G153&amp;"'",装备!G153)</f>
        <v>0</v>
      </c>
      <c r="F143">
        <f>IF(ISTEXT(装备!H153)=TRUE,"'"&amp;装备!H153&amp;"'",装备!H153)</f>
        <v>0</v>
      </c>
      <c r="G143">
        <f>IF(装备!I153="",0,"'"&amp;装备!I153&amp;"'")</f>
        <v>0</v>
      </c>
      <c r="H143">
        <f>IF(装备!R153="",0,装备!R153)</f>
        <v>0</v>
      </c>
      <c r="I143">
        <f>IF(装备!S153="",0,装备!S153)</f>
        <v>0</v>
      </c>
      <c r="J143">
        <f>IF(装备!C153="",0,""""&amp;装备!C153&amp;"""")</f>
        <v>0</v>
      </c>
      <c r="K143" t="str">
        <f>IF(装备!T153="","""""",""""&amp;装备!T153&amp;"""")</f>
        <v>""</v>
      </c>
      <c r="L143">
        <f>IF(装备!U153="",0,""""&amp;装备!U153&amp;"""")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IF(装备!B154="",0,"'"&amp;装备!B154&amp;"'")</f>
        <v>0</v>
      </c>
      <c r="B144">
        <f>装备!D155</f>
        <v>0</v>
      </c>
      <c r="C144">
        <f>装备!E154</f>
        <v>0</v>
      </c>
      <c r="D144">
        <f>装备!F154</f>
        <v>0</v>
      </c>
      <c r="E144">
        <f>IF(ISTEXT(装备!G154)=TRUE,"'"&amp;装备!G154&amp;"'",装备!G154)</f>
        <v>0</v>
      </c>
      <c r="F144">
        <f>IF(ISTEXT(装备!H154)=TRUE,"'"&amp;装备!H154&amp;"'",装备!H154)</f>
        <v>0</v>
      </c>
      <c r="G144">
        <f>IF(装备!I154="",0,"'"&amp;装备!I154&amp;"'")</f>
        <v>0</v>
      </c>
      <c r="H144">
        <f>IF(装备!R154="",0,装备!R154)</f>
        <v>0</v>
      </c>
      <c r="I144">
        <f>IF(装备!S154="",0,装备!S154)</f>
        <v>0</v>
      </c>
      <c r="J144">
        <f>IF(装备!C154="",0,""""&amp;装备!C154&amp;"""")</f>
        <v>0</v>
      </c>
      <c r="K144" t="str">
        <f>IF(装备!T154="","""""",""""&amp;装备!T154&amp;"""")</f>
        <v>""</v>
      </c>
      <c r="L144">
        <f>IF(装备!U154="",0,""""&amp;装备!U154&amp;"""")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IF(装备!B155="",0,"'"&amp;装备!B155&amp;"'")</f>
        <v>0</v>
      </c>
      <c r="B145">
        <f>装备!D156</f>
        <v>0</v>
      </c>
      <c r="C145">
        <f>装备!E155</f>
        <v>0</v>
      </c>
      <c r="D145">
        <f>装备!F155</f>
        <v>0</v>
      </c>
      <c r="E145">
        <f>IF(ISTEXT(装备!G155)=TRUE,"'"&amp;装备!G155&amp;"'",装备!G155)</f>
        <v>0</v>
      </c>
      <c r="F145">
        <f>IF(ISTEXT(装备!H155)=TRUE,"'"&amp;装备!H155&amp;"'",装备!H155)</f>
        <v>0</v>
      </c>
      <c r="G145">
        <f>IF(装备!I155="",0,"'"&amp;装备!I155&amp;"'")</f>
        <v>0</v>
      </c>
      <c r="H145">
        <f>IF(装备!R155="",0,装备!R155)</f>
        <v>0</v>
      </c>
      <c r="I145">
        <f>IF(装备!S155="",0,装备!S155)</f>
        <v>0</v>
      </c>
      <c r="J145">
        <f>IF(装备!C155="",0,""""&amp;装备!C155&amp;"""")</f>
        <v>0</v>
      </c>
      <c r="K145" t="str">
        <f>IF(装备!T155="","""""",""""&amp;装备!T155&amp;"""")</f>
        <v>""</v>
      </c>
      <c r="L145">
        <f>IF(装备!U155="",0,""""&amp;装备!U155&amp;"""")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IF(装备!B156="",0,"'"&amp;装备!B156&amp;"'")</f>
        <v>0</v>
      </c>
      <c r="B146">
        <f>装备!D157</f>
        <v>0</v>
      </c>
      <c r="C146">
        <f>装备!E156</f>
        <v>0</v>
      </c>
      <c r="D146">
        <f>装备!F156</f>
        <v>0</v>
      </c>
      <c r="E146">
        <f>IF(ISTEXT(装备!G156)=TRUE,"'"&amp;装备!G156&amp;"'",装备!G156)</f>
        <v>0</v>
      </c>
      <c r="F146">
        <f>IF(ISTEXT(装备!H156)=TRUE,"'"&amp;装备!H156&amp;"'",装备!H156)</f>
        <v>0</v>
      </c>
      <c r="G146">
        <f>IF(装备!I156="",0,"'"&amp;装备!I156&amp;"'")</f>
        <v>0</v>
      </c>
      <c r="H146">
        <f>IF(装备!R156="",0,装备!R156)</f>
        <v>0</v>
      </c>
      <c r="I146">
        <f>IF(装备!S156="",0,装备!S156)</f>
        <v>0</v>
      </c>
      <c r="J146">
        <f>IF(装备!C156="",0,""""&amp;装备!C156&amp;"""")</f>
        <v>0</v>
      </c>
      <c r="K146" t="str">
        <f>IF(装备!T156="","""""",""""&amp;装备!T156&amp;"""")</f>
        <v>""</v>
      </c>
      <c r="L146">
        <f>IF(装备!U156="",0,""""&amp;装备!U156&amp;"""")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IF(装备!B157="",0,"'"&amp;装备!B157&amp;"'")</f>
        <v>0</v>
      </c>
      <c r="B147">
        <f>装备!D158</f>
        <v>0</v>
      </c>
      <c r="C147">
        <f>装备!E157</f>
        <v>0</v>
      </c>
      <c r="D147">
        <f>装备!F157</f>
        <v>0</v>
      </c>
      <c r="E147">
        <f>IF(ISTEXT(装备!G157)=TRUE,"'"&amp;装备!G157&amp;"'",装备!G157)</f>
        <v>0</v>
      </c>
      <c r="F147">
        <f>IF(ISTEXT(装备!H157)=TRUE,"'"&amp;装备!H157&amp;"'",装备!H157)</f>
        <v>0</v>
      </c>
      <c r="G147">
        <f>IF(装备!I157="",0,"'"&amp;装备!I157&amp;"'")</f>
        <v>0</v>
      </c>
      <c r="H147">
        <f>IF(装备!R157="",0,装备!R157)</f>
        <v>0</v>
      </c>
      <c r="I147">
        <f>IF(装备!S157="",0,装备!S157)</f>
        <v>0</v>
      </c>
      <c r="J147">
        <f>IF(装备!C157="",0,""""&amp;装备!C157&amp;"""")</f>
        <v>0</v>
      </c>
      <c r="K147" t="str">
        <f>IF(装备!T157="","""""",""""&amp;装备!T157&amp;"""")</f>
        <v>""</v>
      </c>
      <c r="L147">
        <f>IF(装备!U157="",0,""""&amp;装备!U157&amp;"""")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IF(装备!B158="",0,"'"&amp;装备!B158&amp;"'")</f>
        <v>0</v>
      </c>
      <c r="B148">
        <f>装备!D159</f>
        <v>0</v>
      </c>
      <c r="C148">
        <f>装备!E158</f>
        <v>0</v>
      </c>
      <c r="D148">
        <f>装备!F158</f>
        <v>0</v>
      </c>
      <c r="E148">
        <f>IF(ISTEXT(装备!G158)=TRUE,"'"&amp;装备!G158&amp;"'",装备!G158)</f>
        <v>0</v>
      </c>
      <c r="F148">
        <f>IF(ISTEXT(装备!H158)=TRUE,"'"&amp;装备!H158&amp;"'",装备!H158)</f>
        <v>0</v>
      </c>
      <c r="G148">
        <f>IF(装备!I158="",0,"'"&amp;装备!I158&amp;"'")</f>
        <v>0</v>
      </c>
      <c r="H148">
        <f>IF(装备!R158="",0,装备!R158)</f>
        <v>0</v>
      </c>
      <c r="I148">
        <f>IF(装备!S158="",0,装备!S158)</f>
        <v>0</v>
      </c>
      <c r="J148">
        <f>IF(装备!C158="",0,""""&amp;装备!C158&amp;"""")</f>
        <v>0</v>
      </c>
      <c r="K148" t="str">
        <f>IF(装备!T158="","""""",""""&amp;装备!T158&amp;"""")</f>
        <v>""</v>
      </c>
      <c r="L148">
        <f>IF(装备!U158="",0,""""&amp;装备!U158&amp;"""")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IF(装备!B159="",0,"'"&amp;装备!B159&amp;"'")</f>
        <v>0</v>
      </c>
      <c r="B149">
        <f>装备!D160</f>
        <v>0</v>
      </c>
      <c r="C149">
        <f>装备!E159</f>
        <v>0</v>
      </c>
      <c r="D149">
        <f>装备!F159</f>
        <v>0</v>
      </c>
      <c r="E149">
        <f>IF(ISTEXT(装备!G159)=TRUE,"'"&amp;装备!G159&amp;"'",装备!G159)</f>
        <v>0</v>
      </c>
      <c r="F149">
        <f>IF(ISTEXT(装备!H159)=TRUE,"'"&amp;装备!H159&amp;"'",装备!H159)</f>
        <v>0</v>
      </c>
      <c r="G149">
        <f>IF(装备!I159="",0,"'"&amp;装备!I159&amp;"'")</f>
        <v>0</v>
      </c>
      <c r="H149">
        <f>IF(装备!R159="",0,装备!R159)</f>
        <v>0</v>
      </c>
      <c r="I149">
        <f>IF(装备!S159="",0,装备!S159)</f>
        <v>0</v>
      </c>
      <c r="J149">
        <f>IF(装备!C159="",0,""""&amp;装备!C159&amp;"""")</f>
        <v>0</v>
      </c>
      <c r="K149" t="str">
        <f>IF(装备!T159="","""""",""""&amp;装备!T159&amp;"""")</f>
        <v>""</v>
      </c>
      <c r="L149">
        <f>IF(装备!U159="",0,""""&amp;装备!U159&amp;"""")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IF(装备!B160="",0,"'"&amp;装备!B160&amp;"'")</f>
        <v>0</v>
      </c>
      <c r="B150">
        <f>装备!D161</f>
        <v>0</v>
      </c>
      <c r="C150">
        <f>装备!E160</f>
        <v>0</v>
      </c>
      <c r="D150">
        <f>装备!F160</f>
        <v>0</v>
      </c>
      <c r="E150">
        <f>IF(ISTEXT(装备!G160)=TRUE,"'"&amp;装备!G160&amp;"'",装备!G160)</f>
        <v>0</v>
      </c>
      <c r="F150">
        <f>IF(ISTEXT(装备!H160)=TRUE,"'"&amp;装备!H160&amp;"'",装备!H160)</f>
        <v>0</v>
      </c>
      <c r="G150">
        <f>IF(装备!I160="",0,"'"&amp;装备!I160&amp;"'")</f>
        <v>0</v>
      </c>
      <c r="H150">
        <f>IF(装备!R160="",0,装备!R160)</f>
        <v>0</v>
      </c>
      <c r="I150">
        <f>IF(装备!S160="",0,装备!S160)</f>
        <v>0</v>
      </c>
      <c r="J150">
        <f>IF(装备!C160="",0,""""&amp;装备!C160&amp;"""")</f>
        <v>0</v>
      </c>
      <c r="K150" t="str">
        <f>IF(装备!T160="","""""",""""&amp;装备!T160&amp;"""")</f>
        <v>""</v>
      </c>
      <c r="L150">
        <f>IF(装备!U160="",0,""""&amp;装备!U160&amp;"""")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IF(装备!B161="",0,"'"&amp;装备!B161&amp;"'")</f>
        <v>0</v>
      </c>
      <c r="B151">
        <f>装备!D162</f>
        <v>0</v>
      </c>
      <c r="C151">
        <f>装备!E161</f>
        <v>0</v>
      </c>
      <c r="D151">
        <f>装备!F161</f>
        <v>0</v>
      </c>
      <c r="E151">
        <f>IF(ISTEXT(装备!G161)=TRUE,"'"&amp;装备!G161&amp;"'",装备!G161)</f>
        <v>0</v>
      </c>
      <c r="F151">
        <f>IF(ISTEXT(装备!H161)=TRUE,"'"&amp;装备!H161&amp;"'",装备!H161)</f>
        <v>0</v>
      </c>
      <c r="G151">
        <f>IF(装备!I161="",0,"'"&amp;装备!I161&amp;"'")</f>
        <v>0</v>
      </c>
      <c r="H151">
        <f>IF(装备!R161="",0,装备!R161)</f>
        <v>0</v>
      </c>
      <c r="I151">
        <f>IF(装备!S161="",0,装备!S161)</f>
        <v>0</v>
      </c>
      <c r="J151">
        <f>IF(装备!C161="",0,""""&amp;装备!C161&amp;"""")</f>
        <v>0</v>
      </c>
      <c r="K151" t="str">
        <f>IF(装备!T161="","""""",""""&amp;装备!T161&amp;"""")</f>
        <v>""</v>
      </c>
      <c r="L151">
        <f>IF(装备!U161="",0,""""&amp;装备!U161&amp;"""")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IF(装备!B162="",0,"'"&amp;装备!B162&amp;"'")</f>
        <v>0</v>
      </c>
      <c r="B152">
        <f>装备!D163</f>
        <v>0</v>
      </c>
      <c r="C152">
        <f>装备!E162</f>
        <v>0</v>
      </c>
      <c r="D152">
        <f>装备!F162</f>
        <v>0</v>
      </c>
      <c r="E152">
        <f>IF(ISTEXT(装备!G162)=TRUE,"'"&amp;装备!G162&amp;"'",装备!G162)</f>
        <v>0</v>
      </c>
      <c r="F152">
        <f>IF(ISTEXT(装备!H162)=TRUE,"'"&amp;装备!H162&amp;"'",装备!H162)</f>
        <v>0</v>
      </c>
      <c r="G152">
        <f>IF(装备!I162="",0,"'"&amp;装备!I162&amp;"'")</f>
        <v>0</v>
      </c>
      <c r="H152">
        <f>IF(装备!R162="",0,装备!R162)</f>
        <v>0</v>
      </c>
      <c r="I152">
        <f>IF(装备!S162="",0,装备!S162)</f>
        <v>0</v>
      </c>
      <c r="J152">
        <f>IF(装备!C162="",0,""""&amp;装备!C162&amp;"""")</f>
        <v>0</v>
      </c>
      <c r="K152" t="str">
        <f>IF(装备!T162="","""""",""""&amp;装备!T162&amp;"""")</f>
        <v>""</v>
      </c>
      <c r="L152">
        <f>IF(装备!U162="",0,""""&amp;装备!U162&amp;"""")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IF(装备!B163="",0,"'"&amp;装备!B163&amp;"'")</f>
        <v>0</v>
      </c>
      <c r="B153">
        <f>装备!D164</f>
        <v>0</v>
      </c>
      <c r="C153">
        <f>装备!E163</f>
        <v>0</v>
      </c>
      <c r="D153">
        <f>装备!F163</f>
        <v>0</v>
      </c>
      <c r="E153">
        <f>IF(ISTEXT(装备!G163)=TRUE,"'"&amp;装备!G163&amp;"'",装备!G163)</f>
        <v>0</v>
      </c>
      <c r="F153">
        <f>IF(ISTEXT(装备!H163)=TRUE,"'"&amp;装备!H163&amp;"'",装备!H163)</f>
        <v>0</v>
      </c>
      <c r="G153">
        <f>IF(装备!I163="",0,"'"&amp;装备!I163&amp;"'")</f>
        <v>0</v>
      </c>
      <c r="H153">
        <f>IF(装备!R163="",0,装备!R163)</f>
        <v>0</v>
      </c>
      <c r="I153">
        <f>IF(装备!S163="",0,装备!S163)</f>
        <v>0</v>
      </c>
      <c r="J153">
        <f>IF(装备!C163="",0,""""&amp;装备!C163&amp;"""")</f>
        <v>0</v>
      </c>
      <c r="K153" t="str">
        <f>IF(装备!T163="","""""",""""&amp;装备!T163&amp;"""")</f>
        <v>""</v>
      </c>
      <c r="L153">
        <f>IF(装备!U163="",0,""""&amp;装备!U163&amp;"""")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IF(装备!B164="",0,"'"&amp;装备!B164&amp;"'")</f>
        <v>0</v>
      </c>
      <c r="B154">
        <f>装备!D165</f>
        <v>0</v>
      </c>
      <c r="C154">
        <f>装备!E164</f>
        <v>0</v>
      </c>
      <c r="D154">
        <f>装备!F164</f>
        <v>0</v>
      </c>
      <c r="E154">
        <f>IF(ISTEXT(装备!G164)=TRUE,"'"&amp;装备!G164&amp;"'",装备!G164)</f>
        <v>0</v>
      </c>
      <c r="F154">
        <f>IF(ISTEXT(装备!H164)=TRUE,"'"&amp;装备!H164&amp;"'",装备!H164)</f>
        <v>0</v>
      </c>
      <c r="G154">
        <f>IF(装备!I164="",0,"'"&amp;装备!I164&amp;"'")</f>
        <v>0</v>
      </c>
      <c r="H154">
        <f>IF(装备!R164="",0,装备!R164)</f>
        <v>0</v>
      </c>
      <c r="I154">
        <f>IF(装备!S164="",0,装备!S164)</f>
        <v>0</v>
      </c>
      <c r="J154">
        <f>IF(装备!C164="",0,""""&amp;装备!C164&amp;"""")</f>
        <v>0</v>
      </c>
      <c r="K154" t="str">
        <f>IF(装备!T164="","""""",""""&amp;装备!T164&amp;"""")</f>
        <v>""</v>
      </c>
      <c r="L154">
        <f>IF(装备!U164="",0,""""&amp;装备!U164&amp;"""")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IF(装备!B165="",0,"'"&amp;装备!B165&amp;"'")</f>
        <v>0</v>
      </c>
      <c r="B155">
        <f>装备!D166</f>
        <v>0</v>
      </c>
      <c r="C155">
        <f>装备!E165</f>
        <v>0</v>
      </c>
      <c r="D155">
        <f>装备!F165</f>
        <v>0</v>
      </c>
      <c r="E155">
        <f>IF(ISTEXT(装备!G165)=TRUE,"'"&amp;装备!G165&amp;"'",装备!G165)</f>
        <v>0</v>
      </c>
      <c r="F155">
        <f>IF(ISTEXT(装备!H165)=TRUE,"'"&amp;装备!H165&amp;"'",装备!H165)</f>
        <v>0</v>
      </c>
      <c r="G155">
        <f>IF(装备!I165="",0,"'"&amp;装备!I165&amp;"'")</f>
        <v>0</v>
      </c>
      <c r="H155">
        <f>IF(装备!R165="",0,装备!R165)</f>
        <v>0</v>
      </c>
      <c r="I155">
        <f>IF(装备!S165="",0,装备!S165)</f>
        <v>0</v>
      </c>
      <c r="J155">
        <f>IF(装备!C165="",0,""""&amp;装备!C165&amp;"""")</f>
        <v>0</v>
      </c>
      <c r="K155" t="str">
        <f>IF(装备!T165="","""""",""""&amp;装备!T165&amp;"""")</f>
        <v>""</v>
      </c>
      <c r="L155">
        <f>IF(装备!U165="",0,""""&amp;装备!U165&amp;"""")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IF(装备!B166="",0,"'"&amp;装备!B166&amp;"'")</f>
        <v>0</v>
      </c>
      <c r="B156">
        <f>装备!D167</f>
        <v>0</v>
      </c>
      <c r="C156">
        <f>装备!E166</f>
        <v>0</v>
      </c>
      <c r="D156">
        <f>装备!F166</f>
        <v>0</v>
      </c>
      <c r="E156">
        <f>IF(ISTEXT(装备!G166)=TRUE,"'"&amp;装备!G166&amp;"'",装备!G166)</f>
        <v>0</v>
      </c>
      <c r="F156">
        <f>IF(ISTEXT(装备!H166)=TRUE,"'"&amp;装备!H166&amp;"'",装备!H166)</f>
        <v>0</v>
      </c>
      <c r="G156">
        <f>IF(装备!I166="",0,"'"&amp;装备!I166&amp;"'")</f>
        <v>0</v>
      </c>
      <c r="H156">
        <f>IF(装备!R166="",0,装备!R166)</f>
        <v>0</v>
      </c>
      <c r="I156">
        <f>IF(装备!S166="",0,装备!S166)</f>
        <v>0</v>
      </c>
      <c r="J156">
        <f>IF(装备!C166="",0,""""&amp;装备!C166&amp;"""")</f>
        <v>0</v>
      </c>
      <c r="K156" t="str">
        <f>IF(装备!T166="","""""",""""&amp;装备!T166&amp;"""")</f>
        <v>""</v>
      </c>
      <c r="L156">
        <f>IF(装备!U166="",0,""""&amp;装备!U166&amp;"""")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IF(装备!B167="",0,"'"&amp;装备!B167&amp;"'")</f>
        <v>0</v>
      </c>
      <c r="B157">
        <f>装备!D168</f>
        <v>0</v>
      </c>
      <c r="C157">
        <f>装备!E167</f>
        <v>0</v>
      </c>
      <c r="D157">
        <f>装备!F167</f>
        <v>0</v>
      </c>
      <c r="E157">
        <f>IF(ISTEXT(装备!G167)=TRUE,"'"&amp;装备!G167&amp;"'",装备!G167)</f>
        <v>0</v>
      </c>
      <c r="F157">
        <f>IF(ISTEXT(装备!H167)=TRUE,"'"&amp;装备!H167&amp;"'",装备!H167)</f>
        <v>0</v>
      </c>
      <c r="G157">
        <f>IF(装备!I167="",0,"'"&amp;装备!I167&amp;"'")</f>
        <v>0</v>
      </c>
      <c r="H157">
        <f>IF(装备!R167="",0,装备!R167)</f>
        <v>0</v>
      </c>
      <c r="I157">
        <f>IF(装备!S167="",0,装备!S167)</f>
        <v>0</v>
      </c>
      <c r="J157">
        <f>IF(装备!C167="",0,""""&amp;装备!C167&amp;"""")</f>
        <v>0</v>
      </c>
      <c r="K157" t="str">
        <f>IF(装备!T167="","""""",""""&amp;装备!T167&amp;"""")</f>
        <v>""</v>
      </c>
      <c r="L157">
        <f>IF(装备!U167="",0,""""&amp;装备!U167&amp;"""")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IF(装备!B168="",0,"'"&amp;装备!B168&amp;"'")</f>
        <v>0</v>
      </c>
      <c r="B158">
        <f>装备!D169</f>
        <v>0</v>
      </c>
      <c r="C158">
        <f>装备!E168</f>
        <v>0</v>
      </c>
      <c r="D158">
        <f>装备!F168</f>
        <v>0</v>
      </c>
      <c r="E158">
        <f>IF(ISTEXT(装备!G168)=TRUE,"'"&amp;装备!G168&amp;"'",装备!G168)</f>
        <v>0</v>
      </c>
      <c r="F158">
        <f>IF(ISTEXT(装备!H168)=TRUE,"'"&amp;装备!H168&amp;"'",装备!H168)</f>
        <v>0</v>
      </c>
      <c r="G158">
        <f>IF(装备!I168="",0,"'"&amp;装备!I168&amp;"'")</f>
        <v>0</v>
      </c>
      <c r="H158">
        <f>IF(装备!R168="",0,装备!R168)</f>
        <v>0</v>
      </c>
      <c r="I158">
        <f>IF(装备!S168="",0,装备!S168)</f>
        <v>0</v>
      </c>
      <c r="J158">
        <f>IF(装备!C168="",0,""""&amp;装备!C168&amp;"""")</f>
        <v>0</v>
      </c>
      <c r="K158" t="str">
        <f>IF(装备!T168="","""""",""""&amp;装备!T168&amp;"""")</f>
        <v>""</v>
      </c>
      <c r="L158">
        <f>IF(装备!U168="",0,""""&amp;装备!U168&amp;"""")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IF(装备!B169="",0,"'"&amp;装备!B169&amp;"'")</f>
        <v>0</v>
      </c>
      <c r="B159">
        <f>装备!D170</f>
        <v>0</v>
      </c>
      <c r="C159">
        <f>装备!E169</f>
        <v>0</v>
      </c>
      <c r="D159">
        <f>装备!F169</f>
        <v>0</v>
      </c>
      <c r="E159">
        <f>IF(ISTEXT(装备!G169)=TRUE,"'"&amp;装备!G169&amp;"'",装备!G169)</f>
        <v>0</v>
      </c>
      <c r="F159">
        <f>IF(ISTEXT(装备!H169)=TRUE,"'"&amp;装备!H169&amp;"'",装备!H169)</f>
        <v>0</v>
      </c>
      <c r="G159">
        <f>IF(装备!I169="",0,"'"&amp;装备!I169&amp;"'")</f>
        <v>0</v>
      </c>
      <c r="H159">
        <f>IF(装备!R169="",0,装备!R169)</f>
        <v>0</v>
      </c>
      <c r="I159">
        <f>IF(装备!S169="",0,装备!S169)</f>
        <v>0</v>
      </c>
      <c r="J159">
        <f>IF(装备!C169="",0,""""&amp;装备!C169&amp;"""")</f>
        <v>0</v>
      </c>
      <c r="K159" t="str">
        <f>IF(装备!T169="","""""",""""&amp;装备!T169&amp;"""")</f>
        <v>""</v>
      </c>
      <c r="L159">
        <f>IF(装备!U169="",0,""""&amp;装备!U169&amp;"""")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IF(装备!B170="",0,"'"&amp;装备!B170&amp;"'")</f>
        <v>0</v>
      </c>
      <c r="B160">
        <f>装备!D171</f>
        <v>0</v>
      </c>
      <c r="C160">
        <f>装备!E170</f>
        <v>0</v>
      </c>
      <c r="D160">
        <f>装备!F170</f>
        <v>0</v>
      </c>
      <c r="E160">
        <f>IF(ISTEXT(装备!G170)=TRUE,"'"&amp;装备!G170&amp;"'",装备!G170)</f>
        <v>0</v>
      </c>
      <c r="F160">
        <f>IF(ISTEXT(装备!H170)=TRUE,"'"&amp;装备!H170&amp;"'",装备!H170)</f>
        <v>0</v>
      </c>
      <c r="G160">
        <f>IF(装备!I170="",0,"'"&amp;装备!I170&amp;"'")</f>
        <v>0</v>
      </c>
      <c r="H160">
        <f>IF(装备!R170="",0,装备!R170)</f>
        <v>0</v>
      </c>
      <c r="I160">
        <f>IF(装备!S170="",0,装备!S170)</f>
        <v>0</v>
      </c>
      <c r="J160">
        <f>IF(装备!C170="",0,""""&amp;装备!C170&amp;"""")</f>
        <v>0</v>
      </c>
      <c r="K160" t="str">
        <f>IF(装备!T170="","""""",""""&amp;装备!T170&amp;"""")</f>
        <v>""</v>
      </c>
      <c r="L160">
        <f>IF(装备!U170="",0,""""&amp;装备!U170&amp;"""")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IF(装备!B171="",0,"'"&amp;装备!B171&amp;"'")</f>
        <v>0</v>
      </c>
      <c r="B161">
        <f>装备!D172</f>
        <v>0</v>
      </c>
      <c r="C161">
        <f>装备!E171</f>
        <v>0</v>
      </c>
      <c r="D161">
        <f>装备!F171</f>
        <v>0</v>
      </c>
      <c r="E161">
        <f>IF(ISTEXT(装备!G171)=TRUE,"'"&amp;装备!G171&amp;"'",装备!G171)</f>
        <v>0</v>
      </c>
      <c r="F161">
        <f>IF(ISTEXT(装备!H171)=TRUE,"'"&amp;装备!H171&amp;"'",装备!H171)</f>
        <v>0</v>
      </c>
      <c r="G161">
        <f>IF(装备!I171="",0,"'"&amp;装备!I171&amp;"'")</f>
        <v>0</v>
      </c>
      <c r="H161">
        <f>IF(装备!R171="",0,装备!R171)</f>
        <v>0</v>
      </c>
      <c r="I161">
        <f>IF(装备!S171="",0,装备!S171)</f>
        <v>0</v>
      </c>
      <c r="J161">
        <f>IF(装备!C171="",0,""""&amp;装备!C171&amp;"""")</f>
        <v>0</v>
      </c>
      <c r="K161" t="str">
        <f>IF(装备!T171="","""""",""""&amp;装备!T171&amp;"""")</f>
        <v>""</v>
      </c>
      <c r="L161">
        <f>IF(装备!U171="",0,""""&amp;装备!U171&amp;"""")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IF(装备!B172="",0,"'"&amp;装备!B172&amp;"'")</f>
        <v>0</v>
      </c>
      <c r="B162">
        <f>装备!D173</f>
        <v>0</v>
      </c>
      <c r="C162">
        <f>装备!E172</f>
        <v>0</v>
      </c>
      <c r="D162">
        <f>装备!F172</f>
        <v>0</v>
      </c>
      <c r="E162">
        <f>IF(ISTEXT(装备!G172)=TRUE,"'"&amp;装备!G172&amp;"'",装备!G172)</f>
        <v>0</v>
      </c>
      <c r="F162">
        <f>IF(ISTEXT(装备!H172)=TRUE,"'"&amp;装备!H172&amp;"'",装备!H172)</f>
        <v>0</v>
      </c>
      <c r="G162">
        <f>IF(装备!I172="",0,"'"&amp;装备!I172&amp;"'")</f>
        <v>0</v>
      </c>
      <c r="H162">
        <f>IF(装备!R172="",0,装备!R172)</f>
        <v>0</v>
      </c>
      <c r="I162">
        <f>IF(装备!S172="",0,装备!S172)</f>
        <v>0</v>
      </c>
      <c r="J162">
        <f>IF(装备!C172="",0,""""&amp;装备!C172&amp;"""")</f>
        <v>0</v>
      </c>
      <c r="K162" t="str">
        <f>IF(装备!T172="","""""",""""&amp;装备!T172&amp;"""")</f>
        <v>""</v>
      </c>
      <c r="L162">
        <f>IF(装备!U172="",0,""""&amp;装备!U172&amp;"""")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IF(装备!B173="",0,"'"&amp;装备!B173&amp;"'")</f>
        <v>0</v>
      </c>
      <c r="B163">
        <f>装备!D174</f>
        <v>0</v>
      </c>
      <c r="C163">
        <f>装备!E173</f>
        <v>0</v>
      </c>
      <c r="D163">
        <f>装备!F173</f>
        <v>0</v>
      </c>
      <c r="E163">
        <f>IF(ISTEXT(装备!G173)=TRUE,"'"&amp;装备!G173&amp;"'",装备!G173)</f>
        <v>0</v>
      </c>
      <c r="F163">
        <f>IF(ISTEXT(装备!H173)=TRUE,"'"&amp;装备!H173&amp;"'",装备!H173)</f>
        <v>0</v>
      </c>
      <c r="G163">
        <f>IF(装备!I173="",0,"'"&amp;装备!I173&amp;"'")</f>
        <v>0</v>
      </c>
      <c r="H163">
        <f>IF(装备!R173="",0,装备!R173)</f>
        <v>0</v>
      </c>
      <c r="I163">
        <f>IF(装备!S173="",0,装备!S173)</f>
        <v>0</v>
      </c>
      <c r="J163">
        <f>IF(装备!C173="",0,""""&amp;装备!C173&amp;"""")</f>
        <v>0</v>
      </c>
      <c r="K163" t="str">
        <f>IF(装备!T173="","""""",""""&amp;装备!T173&amp;"""")</f>
        <v>""</v>
      </c>
      <c r="L163">
        <f>IF(装备!U173="",0,""""&amp;装备!U173&amp;"""")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IF(装备!B174="",0,"'"&amp;装备!B174&amp;"'")</f>
        <v>0</v>
      </c>
      <c r="B164">
        <f>装备!D175</f>
        <v>0</v>
      </c>
      <c r="C164">
        <f>装备!E174</f>
        <v>0</v>
      </c>
      <c r="D164">
        <f>装备!F174</f>
        <v>0</v>
      </c>
      <c r="E164">
        <f>IF(ISTEXT(装备!G174)=TRUE,"'"&amp;装备!G174&amp;"'",装备!G174)</f>
        <v>0</v>
      </c>
      <c r="F164">
        <f>IF(ISTEXT(装备!H174)=TRUE,"'"&amp;装备!H174&amp;"'",装备!H174)</f>
        <v>0</v>
      </c>
      <c r="G164">
        <f>IF(装备!I174="",0,"'"&amp;装备!I174&amp;"'")</f>
        <v>0</v>
      </c>
      <c r="H164">
        <f>IF(装备!R174="",0,装备!R174)</f>
        <v>0</v>
      </c>
      <c r="I164">
        <f>IF(装备!S174="",0,装备!S174)</f>
        <v>0</v>
      </c>
      <c r="J164">
        <f>IF(装备!C174="",0,""""&amp;装备!C174&amp;"""")</f>
        <v>0</v>
      </c>
      <c r="K164" t="str">
        <f>IF(装备!T174="","""""",""""&amp;装备!T174&amp;"""")</f>
        <v>""</v>
      </c>
      <c r="L164">
        <f>IF(装备!U174="",0,""""&amp;装备!U174&amp;"""")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IF(装备!B175="",0,"'"&amp;装备!B175&amp;"'")</f>
        <v>0</v>
      </c>
      <c r="B165">
        <f>装备!D176</f>
        <v>0</v>
      </c>
      <c r="C165">
        <f>装备!E175</f>
        <v>0</v>
      </c>
      <c r="D165">
        <f>装备!F175</f>
        <v>0</v>
      </c>
      <c r="E165">
        <f>IF(ISTEXT(装备!G175)=TRUE,"'"&amp;装备!G175&amp;"'",装备!G175)</f>
        <v>0</v>
      </c>
      <c r="F165">
        <f>IF(ISTEXT(装备!H175)=TRUE,"'"&amp;装备!H175&amp;"'",装备!H175)</f>
        <v>0</v>
      </c>
      <c r="G165">
        <f>IF(装备!I175="",0,"'"&amp;装备!I175&amp;"'")</f>
        <v>0</v>
      </c>
      <c r="H165">
        <f>IF(装备!R175="",0,装备!R175)</f>
        <v>0</v>
      </c>
      <c r="I165">
        <f>IF(装备!S175="",0,装备!S175)</f>
        <v>0</v>
      </c>
      <c r="J165">
        <f>IF(装备!C175="",0,""""&amp;装备!C175&amp;"""")</f>
        <v>0</v>
      </c>
      <c r="K165" t="str">
        <f>IF(装备!T175="","""""",""""&amp;装备!T175&amp;"""")</f>
        <v>""</v>
      </c>
      <c r="L165">
        <f>IF(装备!U175="",0,""""&amp;装备!U175&amp;"""")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IF(装备!B176="",0,"'"&amp;装备!B176&amp;"'")</f>
        <v>0</v>
      </c>
      <c r="B166">
        <f>装备!D177</f>
        <v>0</v>
      </c>
      <c r="C166">
        <f>装备!E176</f>
        <v>0</v>
      </c>
      <c r="D166">
        <f>装备!F176</f>
        <v>0</v>
      </c>
      <c r="E166">
        <f>IF(ISTEXT(装备!G176)=TRUE,"'"&amp;装备!G176&amp;"'",装备!G176)</f>
        <v>0</v>
      </c>
      <c r="F166">
        <f>IF(ISTEXT(装备!H176)=TRUE,"'"&amp;装备!H176&amp;"'",装备!H176)</f>
        <v>0</v>
      </c>
      <c r="G166">
        <f>IF(装备!I176="",0,"'"&amp;装备!I176&amp;"'")</f>
        <v>0</v>
      </c>
      <c r="H166">
        <f>IF(装备!R176="",0,装备!R176)</f>
        <v>0</v>
      </c>
      <c r="I166">
        <f>IF(装备!S176="",0,装备!S176)</f>
        <v>0</v>
      </c>
      <c r="J166">
        <f>IF(装备!C176="",0,""""&amp;装备!C176&amp;"""")</f>
        <v>0</v>
      </c>
      <c r="K166" t="str">
        <f>IF(装备!T176="","""""",""""&amp;装备!T176&amp;"""")</f>
        <v>""</v>
      </c>
      <c r="L166">
        <f>IF(装备!U176="",0,""""&amp;装备!U176&amp;"""")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IF(装备!B177="",0,"'"&amp;装备!B177&amp;"'")</f>
        <v>0</v>
      </c>
      <c r="B167">
        <f>装备!D178</f>
        <v>0</v>
      </c>
      <c r="C167">
        <f>装备!E177</f>
        <v>0</v>
      </c>
      <c r="D167">
        <f>装备!F177</f>
        <v>0</v>
      </c>
      <c r="E167">
        <f>IF(ISTEXT(装备!G177)=TRUE,"'"&amp;装备!G177&amp;"'",装备!G177)</f>
        <v>0</v>
      </c>
      <c r="F167">
        <f>IF(ISTEXT(装备!H177)=TRUE,"'"&amp;装备!H177&amp;"'",装备!H177)</f>
        <v>0</v>
      </c>
      <c r="G167">
        <f>IF(装备!I177="",0,"'"&amp;装备!I177&amp;"'")</f>
        <v>0</v>
      </c>
      <c r="H167">
        <f>IF(装备!R177="",0,装备!R177)</f>
        <v>0</v>
      </c>
      <c r="I167">
        <f>IF(装备!S177="",0,装备!S177)</f>
        <v>0</v>
      </c>
      <c r="J167">
        <f>IF(装备!C177="",0,""""&amp;装备!C177&amp;"""")</f>
        <v>0</v>
      </c>
      <c r="K167" t="str">
        <f>IF(装备!T177="","""""",""""&amp;装备!T177&amp;"""")</f>
        <v>""</v>
      </c>
      <c r="L167">
        <f>IF(装备!U177="",0,""""&amp;装备!U177&amp;"""")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IF(装备!B178="",0,"'"&amp;装备!B178&amp;"'")</f>
        <v>0</v>
      </c>
      <c r="B168">
        <f>装备!D179</f>
        <v>0</v>
      </c>
      <c r="C168">
        <f>装备!E178</f>
        <v>0</v>
      </c>
      <c r="D168">
        <f>装备!F178</f>
        <v>0</v>
      </c>
      <c r="E168">
        <f>IF(ISTEXT(装备!G178)=TRUE,"'"&amp;装备!G178&amp;"'",装备!G178)</f>
        <v>0</v>
      </c>
      <c r="F168">
        <f>IF(ISTEXT(装备!H178)=TRUE,"'"&amp;装备!H178&amp;"'",装备!H178)</f>
        <v>0</v>
      </c>
      <c r="G168">
        <f>IF(装备!I178="",0,"'"&amp;装备!I178&amp;"'")</f>
        <v>0</v>
      </c>
      <c r="H168">
        <f>IF(装备!R178="",0,装备!R178)</f>
        <v>0</v>
      </c>
      <c r="I168">
        <f>IF(装备!S178="",0,装备!S178)</f>
        <v>0</v>
      </c>
      <c r="J168">
        <f>IF(装备!C178="",0,""""&amp;装备!C178&amp;"""")</f>
        <v>0</v>
      </c>
      <c r="K168" t="str">
        <f>IF(装备!T178="","""""",""""&amp;装备!T178&amp;"""")</f>
        <v>""</v>
      </c>
      <c r="L168">
        <f>IF(装备!U178="",0,""""&amp;装备!U178&amp;"""")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IF(装备!B179="",0,"'"&amp;装备!B179&amp;"'")</f>
        <v>0</v>
      </c>
      <c r="B169">
        <f>装备!D180</f>
        <v>0</v>
      </c>
      <c r="C169">
        <f>装备!E179</f>
        <v>0</v>
      </c>
      <c r="D169">
        <f>装备!F179</f>
        <v>0</v>
      </c>
      <c r="E169">
        <f>IF(ISTEXT(装备!G179)=TRUE,"'"&amp;装备!G179&amp;"'",装备!G179)</f>
        <v>0</v>
      </c>
      <c r="F169">
        <f>IF(ISTEXT(装备!H179)=TRUE,"'"&amp;装备!H179&amp;"'",装备!H179)</f>
        <v>0</v>
      </c>
      <c r="G169">
        <f>IF(装备!I179="",0,"'"&amp;装备!I179&amp;"'")</f>
        <v>0</v>
      </c>
      <c r="H169">
        <f>IF(装备!R179="",0,装备!R179)</f>
        <v>0</v>
      </c>
      <c r="I169">
        <f>IF(装备!S179="",0,装备!S179)</f>
        <v>0</v>
      </c>
      <c r="J169">
        <f>IF(装备!C179="",0,""""&amp;装备!C179&amp;"""")</f>
        <v>0</v>
      </c>
      <c r="K169" t="str">
        <f>IF(装备!T179="","""""",""""&amp;装备!T179&amp;"""")</f>
        <v>""</v>
      </c>
      <c r="L169">
        <f>IF(装备!U179="",0,""""&amp;装备!U179&amp;"""")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IF(装备!B180="",0,"'"&amp;装备!B180&amp;"'")</f>
        <v>0</v>
      </c>
      <c r="B170">
        <f>装备!D181</f>
        <v>0</v>
      </c>
      <c r="C170">
        <f>装备!E180</f>
        <v>0</v>
      </c>
      <c r="D170">
        <f>装备!F180</f>
        <v>0</v>
      </c>
      <c r="E170">
        <f>IF(ISTEXT(装备!G180)=TRUE,"'"&amp;装备!G180&amp;"'",装备!G180)</f>
        <v>0</v>
      </c>
      <c r="F170">
        <f>IF(ISTEXT(装备!H180)=TRUE,"'"&amp;装备!H180&amp;"'",装备!H180)</f>
        <v>0</v>
      </c>
      <c r="G170">
        <f>IF(装备!I180="",0,"'"&amp;装备!I180&amp;"'")</f>
        <v>0</v>
      </c>
      <c r="H170">
        <f>IF(装备!R180="",0,装备!R180)</f>
        <v>0</v>
      </c>
      <c r="I170">
        <f>IF(装备!S180="",0,装备!S180)</f>
        <v>0</v>
      </c>
      <c r="J170">
        <f>IF(装备!C180="",0,""""&amp;装备!C180&amp;"""")</f>
        <v>0</v>
      </c>
      <c r="K170" t="str">
        <f>IF(装备!T180="","""""",""""&amp;装备!T180&amp;"""")</f>
        <v>""</v>
      </c>
      <c r="L170">
        <f>IF(装备!U180="",0,""""&amp;装备!U180&amp;"""")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IF(装备!B181="",0,"'"&amp;装备!B181&amp;"'")</f>
        <v>0</v>
      </c>
      <c r="B171">
        <f>装备!D182</f>
        <v>0</v>
      </c>
      <c r="C171">
        <f>装备!E181</f>
        <v>0</v>
      </c>
      <c r="D171">
        <f>装备!F181</f>
        <v>0</v>
      </c>
      <c r="E171">
        <f>IF(ISTEXT(装备!G181)=TRUE,"'"&amp;装备!G181&amp;"'",装备!G181)</f>
        <v>0</v>
      </c>
      <c r="F171">
        <f>IF(ISTEXT(装备!H181)=TRUE,"'"&amp;装备!H181&amp;"'",装备!H181)</f>
        <v>0</v>
      </c>
      <c r="G171">
        <f>IF(装备!I181="",0,"'"&amp;装备!I181&amp;"'")</f>
        <v>0</v>
      </c>
      <c r="H171">
        <f>IF(装备!R181="",0,装备!R181)</f>
        <v>0</v>
      </c>
      <c r="I171">
        <f>IF(装备!S181="",0,装备!S181)</f>
        <v>0</v>
      </c>
      <c r="J171">
        <f>IF(装备!C181="",0,""""&amp;装备!C181&amp;"""")</f>
        <v>0</v>
      </c>
      <c r="K171" t="str">
        <f>IF(装备!T181="","""""",""""&amp;装备!T181&amp;"""")</f>
        <v>""</v>
      </c>
      <c r="L171">
        <f>IF(装备!U181="",0,""""&amp;装备!U181&amp;"""")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IF(装备!B182="",0,"'"&amp;装备!B182&amp;"'")</f>
        <v>0</v>
      </c>
      <c r="B172">
        <f>装备!D183</f>
        <v>0</v>
      </c>
      <c r="C172">
        <f>装备!E182</f>
        <v>0</v>
      </c>
      <c r="D172">
        <f>装备!F182</f>
        <v>0</v>
      </c>
      <c r="E172">
        <f>IF(ISTEXT(装备!G182)=TRUE,"'"&amp;装备!G182&amp;"'",装备!G182)</f>
        <v>0</v>
      </c>
      <c r="F172">
        <f>IF(ISTEXT(装备!H182)=TRUE,"'"&amp;装备!H182&amp;"'",装备!H182)</f>
        <v>0</v>
      </c>
      <c r="G172">
        <f>IF(装备!I182="",0,"'"&amp;装备!I182&amp;"'")</f>
        <v>0</v>
      </c>
      <c r="H172">
        <f>IF(装备!R182="",0,装备!R182)</f>
        <v>0</v>
      </c>
      <c r="I172">
        <f>IF(装备!S182="",0,装备!S182)</f>
        <v>0</v>
      </c>
      <c r="J172">
        <f>IF(装备!C182="",0,""""&amp;装备!C182&amp;"""")</f>
        <v>0</v>
      </c>
      <c r="K172" t="str">
        <f>IF(装备!T182="","""""",""""&amp;装备!T182&amp;"""")</f>
        <v>""</v>
      </c>
      <c r="L172">
        <f>IF(装备!U182="",0,""""&amp;装备!U182&amp;"""")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IF(装备!B183="",0,"'"&amp;装备!B183&amp;"'")</f>
        <v>0</v>
      </c>
      <c r="B173">
        <f>装备!D184</f>
        <v>0</v>
      </c>
      <c r="C173">
        <f>装备!E183</f>
        <v>0</v>
      </c>
      <c r="D173">
        <f>装备!F183</f>
        <v>0</v>
      </c>
      <c r="E173">
        <f>IF(ISTEXT(装备!G183)=TRUE,"'"&amp;装备!G183&amp;"'",装备!G183)</f>
        <v>0</v>
      </c>
      <c r="F173">
        <f>IF(ISTEXT(装备!H183)=TRUE,"'"&amp;装备!H183&amp;"'",装备!H183)</f>
        <v>0</v>
      </c>
      <c r="G173">
        <f>IF(装备!I183="",0,"'"&amp;装备!I183&amp;"'")</f>
        <v>0</v>
      </c>
      <c r="H173">
        <f>IF(装备!R183="",0,装备!R183)</f>
        <v>0</v>
      </c>
      <c r="I173">
        <f>IF(装备!S183="",0,装备!S183)</f>
        <v>0</v>
      </c>
      <c r="J173">
        <f>IF(装备!C183="",0,""""&amp;装备!C183&amp;"""")</f>
        <v>0</v>
      </c>
      <c r="K173" t="str">
        <f>IF(装备!T183="","""""",""""&amp;装备!T183&amp;"""")</f>
        <v>""</v>
      </c>
      <c r="L173">
        <f>IF(装备!U183="",0,""""&amp;装备!U183&amp;"""")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IF(装备!B184="",0,"'"&amp;装备!B184&amp;"'")</f>
        <v>0</v>
      </c>
      <c r="B174">
        <f>装备!D185</f>
        <v>0</v>
      </c>
      <c r="C174">
        <f>装备!E184</f>
        <v>0</v>
      </c>
      <c r="D174">
        <f>装备!F184</f>
        <v>0</v>
      </c>
      <c r="E174">
        <f>IF(ISTEXT(装备!G184)=TRUE,"'"&amp;装备!G184&amp;"'",装备!G184)</f>
        <v>0</v>
      </c>
      <c r="F174">
        <f>IF(ISTEXT(装备!H184)=TRUE,"'"&amp;装备!H184&amp;"'",装备!H184)</f>
        <v>0</v>
      </c>
      <c r="G174">
        <f>IF(装备!I184="",0,"'"&amp;装备!I184&amp;"'")</f>
        <v>0</v>
      </c>
      <c r="H174">
        <f>IF(装备!R184="",0,装备!R184)</f>
        <v>0</v>
      </c>
      <c r="I174">
        <f>IF(装备!S184="",0,装备!S184)</f>
        <v>0</v>
      </c>
      <c r="J174">
        <f>IF(装备!C184="",0,""""&amp;装备!C184&amp;"""")</f>
        <v>0</v>
      </c>
      <c r="K174" t="str">
        <f>IF(装备!T184="","""""",""""&amp;装备!T184&amp;"""")</f>
        <v>""</v>
      </c>
      <c r="L174">
        <f>IF(装备!U184="",0,""""&amp;装备!U184&amp;"""")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IF(装备!B185="",0,"'"&amp;装备!B185&amp;"'")</f>
        <v>0</v>
      </c>
      <c r="B175">
        <f>装备!D186</f>
        <v>0</v>
      </c>
      <c r="C175">
        <f>装备!E185</f>
        <v>0</v>
      </c>
      <c r="D175">
        <f>装备!F185</f>
        <v>0</v>
      </c>
      <c r="E175">
        <f>IF(ISTEXT(装备!G185)=TRUE,"'"&amp;装备!G185&amp;"'",装备!G185)</f>
        <v>0</v>
      </c>
      <c r="F175">
        <f>IF(ISTEXT(装备!H185)=TRUE,"'"&amp;装备!H185&amp;"'",装备!H185)</f>
        <v>0</v>
      </c>
      <c r="G175">
        <f>IF(装备!I185="",0,"'"&amp;装备!I185&amp;"'")</f>
        <v>0</v>
      </c>
      <c r="H175">
        <f>IF(装备!R185="",0,装备!R185)</f>
        <v>0</v>
      </c>
      <c r="I175">
        <f>IF(装备!S185="",0,装备!S185)</f>
        <v>0</v>
      </c>
      <c r="J175">
        <f>IF(装备!C185="",0,""""&amp;装备!C185&amp;"""")</f>
        <v>0</v>
      </c>
      <c r="K175" t="str">
        <f>IF(装备!T185="","""""",""""&amp;装备!T185&amp;"""")</f>
        <v>""</v>
      </c>
      <c r="L175">
        <f>IF(装备!U185="",0,""""&amp;装备!U185&amp;"""")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IF(装备!B186="",0,"'"&amp;装备!B186&amp;"'")</f>
        <v>0</v>
      </c>
      <c r="B176">
        <f>装备!D187</f>
        <v>0</v>
      </c>
      <c r="C176">
        <f>装备!E186</f>
        <v>0</v>
      </c>
      <c r="D176">
        <f>装备!F186</f>
        <v>0</v>
      </c>
      <c r="E176">
        <f>IF(ISTEXT(装备!G186)=TRUE,"'"&amp;装备!G186&amp;"'",装备!G186)</f>
        <v>0</v>
      </c>
      <c r="F176">
        <f>IF(ISTEXT(装备!H186)=TRUE,"'"&amp;装备!H186&amp;"'",装备!H186)</f>
        <v>0</v>
      </c>
      <c r="G176">
        <f>IF(装备!I186="",0,"'"&amp;装备!I186&amp;"'")</f>
        <v>0</v>
      </c>
      <c r="H176">
        <f>IF(装备!R186="",0,装备!R186)</f>
        <v>0</v>
      </c>
      <c r="I176">
        <f>IF(装备!S186="",0,装备!S186)</f>
        <v>0</v>
      </c>
      <c r="J176">
        <f>IF(装备!C186="",0,""""&amp;装备!C186&amp;"""")</f>
        <v>0</v>
      </c>
      <c r="K176" t="str">
        <f>IF(装备!T186="","""""",""""&amp;装备!T186&amp;"""")</f>
        <v>""</v>
      </c>
      <c r="L176">
        <f>IF(装备!U186="",0,""""&amp;装备!U186&amp;"""")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IF(装备!B187="",0,"'"&amp;装备!B187&amp;"'")</f>
        <v>0</v>
      </c>
      <c r="B177">
        <f>装备!D188</f>
        <v>0</v>
      </c>
      <c r="C177">
        <f>装备!E187</f>
        <v>0</v>
      </c>
      <c r="D177">
        <f>装备!F187</f>
        <v>0</v>
      </c>
      <c r="E177">
        <f>IF(ISTEXT(装备!G187)=TRUE,"'"&amp;装备!G187&amp;"'",装备!G187)</f>
        <v>0</v>
      </c>
      <c r="F177">
        <f>IF(ISTEXT(装备!H187)=TRUE,"'"&amp;装备!H187&amp;"'",装备!H187)</f>
        <v>0</v>
      </c>
      <c r="G177">
        <f>IF(装备!I187="",0,"'"&amp;装备!I187&amp;"'")</f>
        <v>0</v>
      </c>
      <c r="H177">
        <f>IF(装备!R187="",0,装备!R187)</f>
        <v>0</v>
      </c>
      <c r="I177">
        <f>IF(装备!S187="",0,装备!S187)</f>
        <v>0</v>
      </c>
      <c r="J177">
        <f>IF(装备!C187="",0,""""&amp;装备!C187&amp;"""")</f>
        <v>0</v>
      </c>
      <c r="K177" t="str">
        <f>IF(装备!T187="","""""",""""&amp;装备!T187&amp;"""")</f>
        <v>""</v>
      </c>
      <c r="L177">
        <f>IF(装备!U187="",0,""""&amp;装备!U187&amp;"""")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IF(装备!B188="",0,"'"&amp;装备!B188&amp;"'")</f>
        <v>0</v>
      </c>
      <c r="B178">
        <f>装备!D189</f>
        <v>0</v>
      </c>
      <c r="C178">
        <f>装备!E188</f>
        <v>0</v>
      </c>
      <c r="D178">
        <f>装备!F188</f>
        <v>0</v>
      </c>
      <c r="E178">
        <f>IF(ISTEXT(装备!G188)=TRUE,"'"&amp;装备!G188&amp;"'",装备!G188)</f>
        <v>0</v>
      </c>
      <c r="F178">
        <f>IF(ISTEXT(装备!H188)=TRUE,"'"&amp;装备!H188&amp;"'",装备!H188)</f>
        <v>0</v>
      </c>
      <c r="G178">
        <f>IF(装备!I188="",0,"'"&amp;装备!I188&amp;"'")</f>
        <v>0</v>
      </c>
      <c r="H178">
        <f>IF(装备!R188="",0,装备!R188)</f>
        <v>0</v>
      </c>
      <c r="I178">
        <f>IF(装备!S188="",0,装备!S188)</f>
        <v>0</v>
      </c>
      <c r="J178">
        <f>IF(装备!C188="",0,""""&amp;装备!C188&amp;"""")</f>
        <v>0</v>
      </c>
      <c r="K178" t="str">
        <f>IF(装备!T188="","""""",""""&amp;装备!T188&amp;"""")</f>
        <v>""</v>
      </c>
      <c r="L178">
        <f>IF(装备!U188="",0,""""&amp;装备!U188&amp;"""")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IF(装备!B189="",0,"'"&amp;装备!B189&amp;"'")</f>
        <v>0</v>
      </c>
      <c r="B179">
        <f>装备!D190</f>
        <v>0</v>
      </c>
      <c r="C179">
        <f>装备!E189</f>
        <v>0</v>
      </c>
      <c r="D179">
        <f>装备!F189</f>
        <v>0</v>
      </c>
      <c r="E179">
        <f>IF(ISTEXT(装备!G189)=TRUE,"'"&amp;装备!G189&amp;"'",装备!G189)</f>
        <v>0</v>
      </c>
      <c r="F179">
        <f>IF(ISTEXT(装备!H189)=TRUE,"'"&amp;装备!H189&amp;"'",装备!H189)</f>
        <v>0</v>
      </c>
      <c r="G179">
        <f>IF(装备!I189="",0,"'"&amp;装备!I189&amp;"'")</f>
        <v>0</v>
      </c>
      <c r="H179">
        <f>IF(装备!R189="",0,装备!R189)</f>
        <v>0</v>
      </c>
      <c r="I179">
        <f>IF(装备!S189="",0,装备!S189)</f>
        <v>0</v>
      </c>
      <c r="J179">
        <f>IF(装备!C189="",0,""""&amp;装备!C189&amp;"""")</f>
        <v>0</v>
      </c>
      <c r="K179" t="str">
        <f>IF(装备!T189="","""""",""""&amp;装备!T189&amp;"""")</f>
        <v>""</v>
      </c>
      <c r="L179">
        <f>IF(装备!U189="",0,""""&amp;装备!U189&amp;"""")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IF(装备!B190="",0,"'"&amp;装备!B190&amp;"'")</f>
        <v>0</v>
      </c>
      <c r="B180">
        <f>装备!D191</f>
        <v>0</v>
      </c>
      <c r="C180">
        <f>装备!E190</f>
        <v>0</v>
      </c>
      <c r="D180">
        <f>装备!F190</f>
        <v>0</v>
      </c>
      <c r="E180">
        <f>IF(ISTEXT(装备!G190)=TRUE,"'"&amp;装备!G190&amp;"'",装备!G190)</f>
        <v>0</v>
      </c>
      <c r="F180">
        <f>IF(ISTEXT(装备!H190)=TRUE,"'"&amp;装备!H190&amp;"'",装备!H190)</f>
        <v>0</v>
      </c>
      <c r="G180">
        <f>IF(装备!I190="",0,"'"&amp;装备!I190&amp;"'")</f>
        <v>0</v>
      </c>
      <c r="H180">
        <f>IF(装备!R190="",0,装备!R190)</f>
        <v>0</v>
      </c>
      <c r="I180">
        <f>IF(装备!S190="",0,装备!S190)</f>
        <v>0</v>
      </c>
      <c r="J180">
        <f>IF(装备!C190="",0,""""&amp;装备!C190&amp;"""")</f>
        <v>0</v>
      </c>
      <c r="K180" t="str">
        <f>IF(装备!T190="","""""",""""&amp;装备!T190&amp;"""")</f>
        <v>""</v>
      </c>
      <c r="L180">
        <f>IF(装备!U190="",0,""""&amp;装备!U190&amp;"""")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IF(装备!B191="",0,"'"&amp;装备!B191&amp;"'")</f>
        <v>0</v>
      </c>
      <c r="B181">
        <f>装备!D192</f>
        <v>0</v>
      </c>
      <c r="C181">
        <f>装备!E191</f>
        <v>0</v>
      </c>
      <c r="D181">
        <f>装备!F191</f>
        <v>0</v>
      </c>
      <c r="E181">
        <f>IF(ISTEXT(装备!G191)=TRUE,"'"&amp;装备!G191&amp;"'",装备!G191)</f>
        <v>0</v>
      </c>
      <c r="F181">
        <f>IF(ISTEXT(装备!H191)=TRUE,"'"&amp;装备!H191&amp;"'",装备!H191)</f>
        <v>0</v>
      </c>
      <c r="G181">
        <f>IF(装备!I191="",0,"'"&amp;装备!I191&amp;"'")</f>
        <v>0</v>
      </c>
      <c r="H181">
        <f>IF(装备!R191="",0,装备!R191)</f>
        <v>0</v>
      </c>
      <c r="I181">
        <f>IF(装备!S191="",0,装备!S191)</f>
        <v>0</v>
      </c>
      <c r="J181">
        <f>IF(装备!C191="",0,""""&amp;装备!C191&amp;"""")</f>
        <v>0</v>
      </c>
      <c r="K181" t="str">
        <f>IF(装备!T191="","""""",""""&amp;装备!T191&amp;"""")</f>
        <v>""</v>
      </c>
      <c r="L181">
        <f>IF(装备!U191="",0,""""&amp;装备!U191&amp;"""")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IF(装备!B192="",0,"'"&amp;装备!B192&amp;"'")</f>
        <v>0</v>
      </c>
      <c r="B182">
        <f>装备!D193</f>
        <v>0</v>
      </c>
      <c r="C182">
        <f>装备!E192</f>
        <v>0</v>
      </c>
      <c r="D182">
        <f>装备!F192</f>
        <v>0</v>
      </c>
      <c r="E182">
        <f>IF(ISTEXT(装备!G192)=TRUE,"'"&amp;装备!G192&amp;"'",装备!G192)</f>
        <v>0</v>
      </c>
      <c r="F182">
        <f>IF(ISTEXT(装备!H192)=TRUE,"'"&amp;装备!H192&amp;"'",装备!H192)</f>
        <v>0</v>
      </c>
      <c r="G182">
        <f>IF(装备!I192="",0,"'"&amp;装备!I192&amp;"'")</f>
        <v>0</v>
      </c>
      <c r="H182">
        <f>IF(装备!R192="",0,装备!R192)</f>
        <v>0</v>
      </c>
      <c r="I182">
        <f>IF(装备!S192="",0,装备!S192)</f>
        <v>0</v>
      </c>
      <c r="J182">
        <f>IF(装备!C192="",0,""""&amp;装备!C192&amp;"""")</f>
        <v>0</v>
      </c>
      <c r="K182" t="str">
        <f>IF(装备!T192="","""""",""""&amp;装备!T192&amp;"""")</f>
        <v>""</v>
      </c>
      <c r="L182">
        <f>IF(装备!U192="",0,""""&amp;装备!U192&amp;"""")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IF(装备!B193="",0,"'"&amp;装备!B193&amp;"'")</f>
        <v>0</v>
      </c>
      <c r="B183">
        <f>装备!D194</f>
        <v>0</v>
      </c>
      <c r="C183">
        <f>装备!E193</f>
        <v>0</v>
      </c>
      <c r="D183">
        <f>装备!F193</f>
        <v>0</v>
      </c>
      <c r="E183">
        <f>IF(ISTEXT(装备!G193)=TRUE,"'"&amp;装备!G193&amp;"'",装备!G193)</f>
        <v>0</v>
      </c>
      <c r="F183">
        <f>IF(ISTEXT(装备!H193)=TRUE,"'"&amp;装备!H193&amp;"'",装备!H193)</f>
        <v>0</v>
      </c>
      <c r="G183">
        <f>IF(装备!I193="",0,"'"&amp;装备!I193&amp;"'")</f>
        <v>0</v>
      </c>
      <c r="H183">
        <f>IF(装备!R193="",0,装备!R193)</f>
        <v>0</v>
      </c>
      <c r="I183">
        <f>IF(装备!S193="",0,装备!S193)</f>
        <v>0</v>
      </c>
      <c r="J183">
        <f>IF(装备!C193="",0,""""&amp;装备!C193&amp;"""")</f>
        <v>0</v>
      </c>
      <c r="K183" t="str">
        <f>IF(装备!T193="","""""",""""&amp;装备!T193&amp;"""")</f>
        <v>""</v>
      </c>
      <c r="L183">
        <f>IF(装备!U193="",0,""""&amp;装备!U193&amp;"""")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IF(装备!B194="",0,"'"&amp;装备!B194&amp;"'")</f>
        <v>0</v>
      </c>
      <c r="B184">
        <f>装备!D195</f>
        <v>0</v>
      </c>
      <c r="C184">
        <f>装备!E194</f>
        <v>0</v>
      </c>
      <c r="D184">
        <f>装备!F194</f>
        <v>0</v>
      </c>
      <c r="E184">
        <f>IF(ISTEXT(装备!G194)=TRUE,"'"&amp;装备!G194&amp;"'",装备!G194)</f>
        <v>0</v>
      </c>
      <c r="F184">
        <f>IF(ISTEXT(装备!H194)=TRUE,"'"&amp;装备!H194&amp;"'",装备!H194)</f>
        <v>0</v>
      </c>
      <c r="G184">
        <f>IF(装备!I194="",0,"'"&amp;装备!I194&amp;"'")</f>
        <v>0</v>
      </c>
      <c r="H184">
        <f>IF(装备!R194="",0,装备!R194)</f>
        <v>0</v>
      </c>
      <c r="I184">
        <f>IF(装备!S194="",0,装备!S194)</f>
        <v>0</v>
      </c>
      <c r="J184">
        <f>IF(装备!C194="",0,""""&amp;装备!C194&amp;"""")</f>
        <v>0</v>
      </c>
      <c r="K184" t="str">
        <f>IF(装备!T194="","""""",""""&amp;装备!T194&amp;"""")</f>
        <v>""</v>
      </c>
      <c r="L184">
        <f>IF(装备!U194="",0,""""&amp;装备!U194&amp;"""")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IF(装备!B204="",0,"'"&amp;装备!B204&amp;"'")</f>
        <v>0</v>
      </c>
      <c r="B185">
        <f>装备!D205</f>
        <v>0</v>
      </c>
      <c r="C185">
        <f>装备!E204</f>
        <v>0</v>
      </c>
      <c r="D185">
        <f>装备!F204</f>
        <v>0</v>
      </c>
      <c r="E185">
        <f>IF(ISTEXT(装备!G195)=TRUE,"'"&amp;装备!G195&amp;"'",装备!G195)</f>
        <v>0</v>
      </c>
      <c r="F185">
        <f>IF(ISTEXT(装备!H195)=TRUE,"'"&amp;装备!H195&amp;"'",装备!H195)</f>
        <v>0</v>
      </c>
      <c r="G185">
        <f>IF(装备!I204="",0,"'"&amp;装备!I204&amp;"'")</f>
        <v>0</v>
      </c>
      <c r="H185">
        <f>IF(装备!R195="",0,装备!R195)</f>
        <v>0</v>
      </c>
      <c r="I185">
        <f>IF(装备!S195="",0,装备!S195)</f>
        <v>0</v>
      </c>
      <c r="J185">
        <f>IF(装备!C204="",0,""""&amp;装备!C204&amp;"""")</f>
        <v>0</v>
      </c>
      <c r="K185" t="str">
        <f>IF(装备!T204="","""""",""""&amp;装备!T204&amp;"""")</f>
        <v>""</v>
      </c>
      <c r="L185">
        <f>IF(装备!U204="",0,""""&amp;装备!U204&amp;"""")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IF(装备!B205="",0,"'"&amp;装备!B205&amp;"'")</f>
        <v>0</v>
      </c>
      <c r="B186">
        <f>装备!D206</f>
        <v>0</v>
      </c>
      <c r="C186">
        <f>装备!E205</f>
        <v>0</v>
      </c>
      <c r="D186">
        <f>装备!F205</f>
        <v>0</v>
      </c>
      <c r="E186">
        <f>IF(ISTEXT(装备!G196)=TRUE,"'"&amp;装备!G196&amp;"'",装备!G196)</f>
        <v>0</v>
      </c>
      <c r="F186">
        <f>IF(ISTEXT(装备!H196)=TRUE,"'"&amp;装备!H196&amp;"'",装备!H196)</f>
        <v>0</v>
      </c>
      <c r="G186">
        <f>IF(装备!I205="",0,"'"&amp;装备!I205&amp;"'")</f>
        <v>0</v>
      </c>
      <c r="H186">
        <f>IF(装备!R196="",0,装备!R196)</f>
        <v>0</v>
      </c>
      <c r="I186">
        <f>IF(装备!S196="",0,装备!S196)</f>
        <v>0</v>
      </c>
      <c r="J186">
        <f>IF(装备!C205="",0,""""&amp;装备!C205&amp;"""")</f>
        <v>0</v>
      </c>
      <c r="K186" t="str">
        <f>IF(装备!T205="","""""",""""&amp;装备!T205&amp;"""")</f>
        <v>""</v>
      </c>
      <c r="L186">
        <f>IF(装备!U205="",0,""""&amp;装备!U205&amp;"""")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IF(装备!B206="",0,"'"&amp;装备!B206&amp;"'")</f>
        <v>0</v>
      </c>
      <c r="B187">
        <f>装备!D207</f>
        <v>0</v>
      </c>
      <c r="C187">
        <f>装备!E206</f>
        <v>0</v>
      </c>
      <c r="D187">
        <f>装备!F206</f>
        <v>0</v>
      </c>
      <c r="E187">
        <f>IF(ISTEXT(装备!G197)=TRUE,"'"&amp;装备!G197&amp;"'",装备!G197)</f>
        <v>0</v>
      </c>
      <c r="F187">
        <f>IF(ISTEXT(装备!H197)=TRUE,"'"&amp;装备!H197&amp;"'",装备!H197)</f>
        <v>0</v>
      </c>
      <c r="G187">
        <f>IF(装备!I206="",0,"'"&amp;装备!I206&amp;"'")</f>
        <v>0</v>
      </c>
      <c r="H187">
        <f>IF(装备!R197="",0,装备!R197)</f>
        <v>0</v>
      </c>
      <c r="I187">
        <f>IF(装备!S197="",0,装备!S197)</f>
        <v>0</v>
      </c>
      <c r="J187">
        <f>IF(装备!C206="",0,""""&amp;装备!C206&amp;"""")</f>
        <v>0</v>
      </c>
      <c r="K187" t="str">
        <f>IF(装备!T206="","""""",""""&amp;装备!T206&amp;"""")</f>
        <v>""</v>
      </c>
      <c r="L187">
        <f>IF(装备!U206="",0,""""&amp;装备!U206&amp;"""")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IF(装备!B207="",0,"'"&amp;装备!B207&amp;"'")</f>
        <v>0</v>
      </c>
      <c r="B188">
        <f>装备!D208</f>
        <v>0</v>
      </c>
      <c r="C188">
        <f>装备!E207</f>
        <v>0</v>
      </c>
      <c r="D188">
        <f>装备!F207</f>
        <v>0</v>
      </c>
      <c r="E188">
        <f>IF(ISTEXT(装备!G198)=TRUE,"'"&amp;装备!G198&amp;"'",装备!G198)</f>
        <v>0</v>
      </c>
      <c r="F188">
        <f>IF(ISTEXT(装备!H198)=TRUE,"'"&amp;装备!H198&amp;"'",装备!H198)</f>
        <v>0</v>
      </c>
      <c r="G188">
        <f>IF(装备!I207="",0,"'"&amp;装备!I207&amp;"'")</f>
        <v>0</v>
      </c>
      <c r="H188">
        <f>IF(装备!R198="",0,装备!R198)</f>
        <v>0</v>
      </c>
      <c r="I188">
        <f>IF(装备!S198="",0,装备!S198)</f>
        <v>0</v>
      </c>
      <c r="J188">
        <f>IF(装备!C207="",0,""""&amp;装备!C207&amp;"""")</f>
        <v>0</v>
      </c>
      <c r="K188" t="str">
        <f>IF(装备!T207="","""""",""""&amp;装备!T207&amp;"""")</f>
        <v>""</v>
      </c>
      <c r="L188">
        <f>IF(装备!U207="",0,""""&amp;装备!U207&amp;"""")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IF(装备!B208="",0,"'"&amp;装备!B208&amp;"'")</f>
        <v>0</v>
      </c>
      <c r="B189">
        <f>装备!D209</f>
        <v>0</v>
      </c>
      <c r="C189">
        <f>装备!E208</f>
        <v>0</v>
      </c>
      <c r="D189">
        <f>装备!F208</f>
        <v>0</v>
      </c>
      <c r="E189">
        <f>IF(ISTEXT(装备!G199)=TRUE,"'"&amp;装备!G199&amp;"'",装备!G199)</f>
        <v>0</v>
      </c>
      <c r="F189">
        <f>IF(ISTEXT(装备!H199)=TRUE,"'"&amp;装备!H199&amp;"'",装备!H199)</f>
        <v>0</v>
      </c>
      <c r="G189">
        <f>IF(装备!I208="",0,"'"&amp;装备!I208&amp;"'")</f>
        <v>0</v>
      </c>
      <c r="H189">
        <f>IF(装备!R199="",0,装备!R199)</f>
        <v>0</v>
      </c>
      <c r="I189">
        <f>IF(装备!S199="",0,装备!S199)</f>
        <v>0</v>
      </c>
      <c r="J189">
        <f>IF(装备!C208="",0,""""&amp;装备!C208&amp;"""")</f>
        <v>0</v>
      </c>
      <c r="K189" t="str">
        <f>IF(装备!T208="","""""",""""&amp;装备!T208&amp;"""")</f>
        <v>""</v>
      </c>
      <c r="L189">
        <f>IF(装备!U208="",0,""""&amp;装备!U208&amp;"""")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IF(装备!B209="",0,"'"&amp;装备!B209&amp;"'")</f>
        <v>0</v>
      </c>
      <c r="B190">
        <f>装备!D210</f>
        <v>0</v>
      </c>
      <c r="C190">
        <f>装备!E209</f>
        <v>0</v>
      </c>
      <c r="D190">
        <f>装备!F209</f>
        <v>0</v>
      </c>
      <c r="E190">
        <f>IF(ISTEXT(装备!G200)=TRUE,"'"&amp;装备!G200&amp;"'",装备!G200)</f>
        <v>0</v>
      </c>
      <c r="F190">
        <f>IF(ISTEXT(装备!H200)=TRUE,"'"&amp;装备!H200&amp;"'",装备!H200)</f>
        <v>0</v>
      </c>
      <c r="G190">
        <f>IF(装备!I209="",0,"'"&amp;装备!I209&amp;"'")</f>
        <v>0</v>
      </c>
      <c r="H190">
        <f>IF(装备!R200="",0,装备!R200)</f>
        <v>0</v>
      </c>
      <c r="I190">
        <f>IF(装备!S200="",0,装备!S200)</f>
        <v>0</v>
      </c>
      <c r="J190">
        <f>IF(装备!C209="",0,""""&amp;装备!C209&amp;"""")</f>
        <v>0</v>
      </c>
      <c r="K190" t="str">
        <f>IF(装备!T209="","""""",""""&amp;装备!T209&amp;"""")</f>
        <v>""</v>
      </c>
      <c r="L190">
        <f>IF(装备!U209="",0,""""&amp;装备!U209&amp;"""")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IF(装备!B210="",0,"'"&amp;装备!B210&amp;"'")</f>
        <v>0</v>
      </c>
      <c r="B191">
        <f>装备!D211</f>
        <v>0</v>
      </c>
      <c r="C191">
        <f>装备!E210</f>
        <v>0</v>
      </c>
      <c r="D191">
        <f>装备!F210</f>
        <v>0</v>
      </c>
      <c r="E191">
        <f>IF(ISTEXT(装备!G201)=TRUE,"'"&amp;装备!G201&amp;"'",装备!G201)</f>
        <v>0</v>
      </c>
      <c r="F191">
        <f>IF(ISTEXT(装备!H201)=TRUE,"'"&amp;装备!H201&amp;"'",装备!H201)</f>
        <v>0</v>
      </c>
      <c r="G191">
        <f>IF(装备!I210="",0,"'"&amp;装备!I210&amp;"'")</f>
        <v>0</v>
      </c>
      <c r="H191">
        <f>IF(装备!R201="",0,装备!R201)</f>
        <v>0</v>
      </c>
      <c r="I191">
        <f>IF(装备!S201="",0,装备!S201)</f>
        <v>0</v>
      </c>
      <c r="J191">
        <f>IF(装备!C210="",0,""""&amp;装备!C210&amp;"""")</f>
        <v>0</v>
      </c>
      <c r="K191" t="str">
        <f>IF(装备!T210="","""""",""""&amp;装备!T210&amp;"""")</f>
        <v>""</v>
      </c>
      <c r="L191">
        <f>IF(装备!U210="",0,""""&amp;装备!U210&amp;"""")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IF(装备!B211="",0,"'"&amp;装备!B211&amp;"'")</f>
        <v>0</v>
      </c>
      <c r="B192">
        <f>装备!D212</f>
        <v>0</v>
      </c>
      <c r="C192">
        <f>装备!E211</f>
        <v>0</v>
      </c>
      <c r="D192">
        <f>装备!F211</f>
        <v>0</v>
      </c>
      <c r="E192">
        <f>IF(ISTEXT(装备!G202)=TRUE,"'"&amp;装备!G202&amp;"'",装备!G202)</f>
        <v>0</v>
      </c>
      <c r="F192">
        <f>IF(ISTEXT(装备!H202)=TRUE,"'"&amp;装备!H202&amp;"'",装备!H202)</f>
        <v>0</v>
      </c>
      <c r="G192">
        <f>IF(装备!I211="",0,"'"&amp;装备!I211&amp;"'")</f>
        <v>0</v>
      </c>
      <c r="H192">
        <f>IF(装备!R202="",0,装备!R202)</f>
        <v>0</v>
      </c>
      <c r="I192">
        <f>IF(装备!S202="",0,装备!S202)</f>
        <v>0</v>
      </c>
      <c r="J192">
        <f>IF(装备!C211="",0,""""&amp;装备!C211&amp;"""")</f>
        <v>0</v>
      </c>
      <c r="K192" t="str">
        <f>IF(装备!T211="","""""",""""&amp;装备!T211&amp;"""")</f>
        <v>""</v>
      </c>
      <c r="L192">
        <f>IF(装备!U211="",0,""""&amp;装备!U211&amp;"""")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IF(装备!B212="",0,"'"&amp;装备!B212&amp;"'")</f>
        <v>0</v>
      </c>
      <c r="B193">
        <f>装备!D213</f>
        <v>0</v>
      </c>
      <c r="C193">
        <f>装备!E212</f>
        <v>0</v>
      </c>
      <c r="D193">
        <f>装备!F212</f>
        <v>0</v>
      </c>
      <c r="E193">
        <f>IF(ISTEXT(装备!G203)=TRUE,"'"&amp;装备!G203&amp;"'",装备!G203)</f>
        <v>0</v>
      </c>
      <c r="F193">
        <f>IF(ISTEXT(装备!H203)=TRUE,"'"&amp;装备!H203&amp;"'",装备!H203)</f>
        <v>0</v>
      </c>
      <c r="G193">
        <f>IF(装备!I212="",0,"'"&amp;装备!I212&amp;"'")</f>
        <v>0</v>
      </c>
      <c r="H193">
        <f>IF(装备!R203="",0,装备!R203)</f>
        <v>0</v>
      </c>
      <c r="I193">
        <f>IF(装备!S203="",0,装备!S203)</f>
        <v>0</v>
      </c>
      <c r="J193">
        <f>IF(装备!C212="",0,""""&amp;装备!C212&amp;"""")</f>
        <v>0</v>
      </c>
      <c r="K193" t="str">
        <f>IF(装备!T212="","""""",""""&amp;装备!T212&amp;"""")</f>
        <v>""</v>
      </c>
      <c r="L193">
        <f>IF(装备!U212="",0,""""&amp;装备!U212&amp;"""")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IF(装备!B213="",0,"'"&amp;装备!B213&amp;"'")</f>
        <v>0</v>
      </c>
      <c r="B194">
        <f>装备!D214</f>
        <v>0</v>
      </c>
      <c r="C194">
        <f>装备!E213</f>
        <v>0</v>
      </c>
      <c r="D194">
        <f>装备!F213</f>
        <v>0</v>
      </c>
      <c r="E194">
        <f>IF(ISTEXT(装备!G204)=TRUE,"'"&amp;装备!G204&amp;"'",装备!G204)</f>
        <v>0</v>
      </c>
      <c r="F194">
        <f>IF(ISTEXT(装备!H204)=TRUE,"'"&amp;装备!H204&amp;"'",装备!H204)</f>
        <v>0</v>
      </c>
      <c r="G194">
        <f>IF(装备!I213="",0,"'"&amp;装备!I213&amp;"'")</f>
        <v>0</v>
      </c>
      <c r="H194">
        <f>IF(装备!R204="",0,装备!R204)</f>
        <v>0</v>
      </c>
      <c r="I194">
        <f>IF(装备!S204="",0,装备!S204)</f>
        <v>0</v>
      </c>
      <c r="J194">
        <f>IF(装备!C213="",0,""""&amp;装备!C213&amp;"""")</f>
        <v>0</v>
      </c>
      <c r="K194" t="str">
        <f>IF(装备!T213="","""""",""""&amp;装备!T213&amp;"""")</f>
        <v>""</v>
      </c>
      <c r="L194">
        <f>IF(装备!U213="",0,""""&amp;装备!U213&amp;"""")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IF(装备!B214="",0,"'"&amp;装备!B214&amp;"'")</f>
        <v>0</v>
      </c>
      <c r="B195">
        <f>装备!D215</f>
        <v>0</v>
      </c>
      <c r="C195">
        <f>装备!E214</f>
        <v>0</v>
      </c>
      <c r="D195">
        <f>装备!F214</f>
        <v>0</v>
      </c>
      <c r="E195">
        <f>IF(ISTEXT(装备!G205)=TRUE,"'"&amp;装备!G205&amp;"'",装备!G205)</f>
        <v>0</v>
      </c>
      <c r="F195">
        <f>IF(ISTEXT(装备!H205)=TRUE,"'"&amp;装备!H205&amp;"'",装备!H205)</f>
        <v>0</v>
      </c>
      <c r="G195">
        <f>IF(装备!I214="",0,"'"&amp;装备!I214&amp;"'")</f>
        <v>0</v>
      </c>
      <c r="H195">
        <f>IF(装备!R205="",0,装备!R205)</f>
        <v>0</v>
      </c>
      <c r="I195">
        <f>IF(装备!S205="",0,装备!S205)</f>
        <v>0</v>
      </c>
      <c r="J195">
        <f>IF(装备!C214="",0,""""&amp;装备!C214&amp;"""")</f>
        <v>0</v>
      </c>
      <c r="K195" t="str">
        <f>IF(装备!T214="","""""",""""&amp;装备!T214&amp;"""")</f>
        <v>""</v>
      </c>
      <c r="L195">
        <f>IF(装备!U214="",0,""""&amp;装备!U214&amp;"""")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IF(装备!B215="",0,"'"&amp;装备!B215&amp;"'")</f>
        <v>0</v>
      </c>
      <c r="B196">
        <f>装备!D216</f>
        <v>0</v>
      </c>
      <c r="C196">
        <f>装备!E215</f>
        <v>0</v>
      </c>
      <c r="D196">
        <f>装备!F215</f>
        <v>0</v>
      </c>
      <c r="E196">
        <f>IF(ISTEXT(装备!G206)=TRUE,"'"&amp;装备!G206&amp;"'",装备!G206)</f>
        <v>0</v>
      </c>
      <c r="F196">
        <f>IF(ISTEXT(装备!H206)=TRUE,"'"&amp;装备!H206&amp;"'",装备!H206)</f>
        <v>0</v>
      </c>
      <c r="G196">
        <f>IF(装备!I215="",0,"'"&amp;装备!I215&amp;"'")</f>
        <v>0</v>
      </c>
      <c r="H196">
        <f>IF(装备!R206="",0,装备!R206)</f>
        <v>0</v>
      </c>
      <c r="I196">
        <f>IF(装备!S206="",0,装备!S206)</f>
        <v>0</v>
      </c>
      <c r="J196">
        <f>IF(装备!C215="",0,""""&amp;装备!C215&amp;"""")</f>
        <v>0</v>
      </c>
      <c r="K196" t="str">
        <f>IF(装备!T215="","""""",""""&amp;装备!T215&amp;"""")</f>
        <v>""</v>
      </c>
      <c r="L196">
        <f>IF(装备!U215="",0,""""&amp;装备!U215&amp;"""")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IF(装备!B216="",0,"'"&amp;装备!B216&amp;"'")</f>
        <v>0</v>
      </c>
      <c r="B197">
        <f>装备!D217</f>
        <v>0</v>
      </c>
      <c r="C197">
        <f>装备!E216</f>
        <v>0</v>
      </c>
      <c r="D197">
        <f>装备!F216</f>
        <v>0</v>
      </c>
      <c r="E197">
        <f>IF(ISTEXT(装备!G207)=TRUE,"'"&amp;装备!G207&amp;"'",装备!G207)</f>
        <v>0</v>
      </c>
      <c r="F197">
        <f>IF(ISTEXT(装备!H207)=TRUE,"'"&amp;装备!H207&amp;"'",装备!H207)</f>
        <v>0</v>
      </c>
      <c r="G197">
        <f>IF(装备!I216="",0,"'"&amp;装备!I216&amp;"'")</f>
        <v>0</v>
      </c>
      <c r="H197">
        <f>IF(装备!R207="",0,装备!R207)</f>
        <v>0</v>
      </c>
      <c r="I197">
        <f>IF(装备!S207="",0,装备!S207)</f>
        <v>0</v>
      </c>
      <c r="J197">
        <f>IF(装备!C216="",0,""""&amp;装备!C216&amp;"""")</f>
        <v>0</v>
      </c>
      <c r="K197" t="str">
        <f>IF(装备!T216="","""""",""""&amp;装备!T216&amp;"""")</f>
        <v>""</v>
      </c>
      <c r="L197">
        <f>IF(装备!U216="",0,""""&amp;装备!U216&amp;"""")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IF(装备!B217="",0,"'"&amp;装备!B217&amp;"'")</f>
        <v>0</v>
      </c>
      <c r="B198">
        <f>装备!D218</f>
        <v>0</v>
      </c>
      <c r="C198">
        <f>装备!E217</f>
        <v>0</v>
      </c>
      <c r="D198">
        <f>装备!F217</f>
        <v>0</v>
      </c>
      <c r="E198">
        <f>IF(ISTEXT(装备!G208)=TRUE,"'"&amp;装备!G208&amp;"'",装备!G208)</f>
        <v>0</v>
      </c>
      <c r="F198">
        <f>IF(ISTEXT(装备!H208)=TRUE,"'"&amp;装备!H208&amp;"'",装备!H208)</f>
        <v>0</v>
      </c>
      <c r="G198">
        <f>IF(装备!I217="",0,"'"&amp;装备!I217&amp;"'")</f>
        <v>0</v>
      </c>
      <c r="H198">
        <f>IF(装备!R208="",0,装备!R208)</f>
        <v>0</v>
      </c>
      <c r="I198">
        <f>IF(装备!S208="",0,装备!S208)</f>
        <v>0</v>
      </c>
      <c r="J198">
        <f>IF(装备!C217="",0,""""&amp;装备!C217&amp;"""")</f>
        <v>0</v>
      </c>
      <c r="K198" t="str">
        <f>IF(装备!T217="","""""",""""&amp;装备!T217&amp;"""")</f>
        <v>""</v>
      </c>
      <c r="L198">
        <f>IF(装备!U217="",0,""""&amp;装备!U217&amp;"""")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IF(装备!B218="",0,"'"&amp;装备!B218&amp;"'")</f>
        <v>0</v>
      </c>
      <c r="B199">
        <f>装备!D219</f>
        <v>0</v>
      </c>
      <c r="C199">
        <f>装备!E218</f>
        <v>0</v>
      </c>
      <c r="D199">
        <f>装备!F218</f>
        <v>0</v>
      </c>
      <c r="E199">
        <f>IF(ISTEXT(装备!G209)=TRUE,"'"&amp;装备!G209&amp;"'",装备!G209)</f>
        <v>0</v>
      </c>
      <c r="F199">
        <f>IF(ISTEXT(装备!H209)=TRUE,"'"&amp;装备!H209&amp;"'",装备!H209)</f>
        <v>0</v>
      </c>
      <c r="G199">
        <f>IF(装备!I218="",0,"'"&amp;装备!I218&amp;"'")</f>
        <v>0</v>
      </c>
      <c r="H199">
        <f>IF(装备!R209="",0,装备!R209)</f>
        <v>0</v>
      </c>
      <c r="I199">
        <f>IF(装备!S209="",0,装备!S209)</f>
        <v>0</v>
      </c>
      <c r="J199">
        <f>IF(装备!C218="",0,""""&amp;装备!C218&amp;"""")</f>
        <v>0</v>
      </c>
      <c r="K199" t="str">
        <f>IF(装备!T218="","""""",""""&amp;装备!T218&amp;"""")</f>
        <v>""</v>
      </c>
      <c r="L199">
        <f>IF(装备!U218="",0,""""&amp;装备!U218&amp;"""")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IF(装备!B219="",0,"'"&amp;装备!B219&amp;"'")</f>
        <v>0</v>
      </c>
      <c r="B200">
        <f>装备!D220</f>
        <v>0</v>
      </c>
      <c r="C200">
        <f>装备!E219</f>
        <v>0</v>
      </c>
      <c r="D200">
        <f>装备!F219</f>
        <v>0</v>
      </c>
      <c r="E200">
        <f>IF(ISTEXT(装备!G210)=TRUE,"'"&amp;装备!G210&amp;"'",装备!G210)</f>
        <v>0</v>
      </c>
      <c r="F200">
        <f>IF(ISTEXT(装备!H210)=TRUE,"'"&amp;装备!H210&amp;"'",装备!H210)</f>
        <v>0</v>
      </c>
      <c r="G200">
        <f>IF(装备!I219="",0,"'"&amp;装备!I219&amp;"'")</f>
        <v>0</v>
      </c>
      <c r="H200">
        <f>IF(装备!R210="",0,装备!R210)</f>
        <v>0</v>
      </c>
      <c r="I200">
        <f>IF(装备!S210="",0,装备!S210)</f>
        <v>0</v>
      </c>
      <c r="J200">
        <f>IF(装备!C219="",0,""""&amp;装备!C219&amp;"""")</f>
        <v>0</v>
      </c>
      <c r="K200" t="str">
        <f>IF(装备!T219="","""""",""""&amp;装备!T219&amp;"""")</f>
        <v>""</v>
      </c>
      <c r="L200">
        <f>IF(装备!U219="",0,""""&amp;装备!U219&amp;"""")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IF(装备!B220="",0,"'"&amp;装备!B220&amp;"'")</f>
        <v>0</v>
      </c>
      <c r="B201">
        <f>装备!D221</f>
        <v>0</v>
      </c>
      <c r="C201">
        <f>装备!E220</f>
        <v>0</v>
      </c>
      <c r="D201">
        <f>装备!F220</f>
        <v>0</v>
      </c>
      <c r="E201">
        <f>IF(ISTEXT(装备!G211)=TRUE,"'"&amp;装备!G211&amp;"'",装备!G211)</f>
        <v>0</v>
      </c>
      <c r="F201">
        <f>IF(ISTEXT(装备!H211)=TRUE,"'"&amp;装备!H211&amp;"'",装备!H211)</f>
        <v>0</v>
      </c>
      <c r="G201">
        <f>IF(装备!I220="",0,"'"&amp;装备!I220&amp;"'")</f>
        <v>0</v>
      </c>
      <c r="H201">
        <f>IF(装备!R211="",0,装备!R211)</f>
        <v>0</v>
      </c>
      <c r="I201">
        <f>IF(装备!S211="",0,装备!S211)</f>
        <v>0</v>
      </c>
      <c r="J201">
        <f>IF(装备!C220="",0,""""&amp;装备!C220&amp;"""")</f>
        <v>0</v>
      </c>
      <c r="K201" t="str">
        <f>IF(装备!T220="","""""",""""&amp;装备!T220&amp;"""")</f>
        <v>""</v>
      </c>
      <c r="L201">
        <f>IF(装备!U220="",0,""""&amp;装备!U220&amp;"""")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IF(装备!B221="",0,"'"&amp;装备!B221&amp;"'")</f>
        <v>0</v>
      </c>
      <c r="B202">
        <f>装备!D222</f>
        <v>0</v>
      </c>
      <c r="C202">
        <f>装备!E221</f>
        <v>0</v>
      </c>
      <c r="D202">
        <f>装备!F221</f>
        <v>0</v>
      </c>
      <c r="E202">
        <f>IF(ISTEXT(装备!G212)=TRUE,"'"&amp;装备!G212&amp;"'",装备!G212)</f>
        <v>0</v>
      </c>
      <c r="F202">
        <f>IF(ISTEXT(装备!H212)=TRUE,"'"&amp;装备!H212&amp;"'",装备!H212)</f>
        <v>0</v>
      </c>
      <c r="G202">
        <f>IF(装备!I221="",0,"'"&amp;装备!I221&amp;"'")</f>
        <v>0</v>
      </c>
      <c r="H202">
        <f>IF(装备!R212="",0,装备!R212)</f>
        <v>0</v>
      </c>
      <c r="I202">
        <f>IF(装备!S212="",0,装备!S212)</f>
        <v>0</v>
      </c>
      <c r="J202">
        <f>IF(装备!C221="",0,""""&amp;装备!C221&amp;"""")</f>
        <v>0</v>
      </c>
      <c r="K202" t="str">
        <f>IF(装备!T221="","""""",""""&amp;装备!T221&amp;"""")</f>
        <v>""</v>
      </c>
      <c r="L202">
        <f>IF(装备!U221="",0,""""&amp;装备!U221&amp;"""")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IF(装备!B222="",0,"'"&amp;装备!B222&amp;"'")</f>
        <v>0</v>
      </c>
      <c r="B203">
        <f>装备!D223</f>
        <v>0</v>
      </c>
      <c r="C203">
        <f>装备!E222</f>
        <v>0</v>
      </c>
      <c r="D203">
        <f>装备!F222</f>
        <v>0</v>
      </c>
      <c r="E203">
        <f>IF(ISTEXT(装备!G213)=TRUE,"'"&amp;装备!G213&amp;"'",装备!G213)</f>
        <v>0</v>
      </c>
      <c r="F203">
        <f>IF(ISTEXT(装备!H213)=TRUE,"'"&amp;装备!H213&amp;"'",装备!H213)</f>
        <v>0</v>
      </c>
      <c r="G203">
        <f>IF(装备!I222="",0,"'"&amp;装备!I222&amp;"'")</f>
        <v>0</v>
      </c>
      <c r="H203">
        <f>IF(装备!R213="",0,装备!R213)</f>
        <v>0</v>
      </c>
      <c r="I203">
        <f>IF(装备!S213="",0,装备!S213)</f>
        <v>0</v>
      </c>
      <c r="J203">
        <f>IF(装备!C222="",0,""""&amp;装备!C222&amp;"""")</f>
        <v>0</v>
      </c>
      <c r="K203" t="str">
        <f>IF(装备!T222="","""""",""""&amp;装备!T222&amp;"""")</f>
        <v>""</v>
      </c>
      <c r="L203">
        <f>IF(装备!U222="",0,""""&amp;装备!U222&amp;"""")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IF(装备!B223="",0,"'"&amp;装备!B223&amp;"'")</f>
        <v>0</v>
      </c>
      <c r="B204">
        <f>装备!D224</f>
        <v>0</v>
      </c>
      <c r="C204">
        <f>装备!E223</f>
        <v>0</v>
      </c>
      <c r="D204">
        <f>装备!F223</f>
        <v>0</v>
      </c>
      <c r="E204">
        <f>IF(ISTEXT(装备!G214)=TRUE,"'"&amp;装备!G214&amp;"'",装备!G214)</f>
        <v>0</v>
      </c>
      <c r="F204">
        <f>IF(ISTEXT(装备!H214)=TRUE,"'"&amp;装备!H214&amp;"'",装备!H214)</f>
        <v>0</v>
      </c>
      <c r="G204">
        <f>IF(装备!I223="",0,"'"&amp;装备!I223&amp;"'")</f>
        <v>0</v>
      </c>
      <c r="H204">
        <f>IF(装备!R214="",0,装备!R214)</f>
        <v>0</v>
      </c>
      <c r="I204">
        <f>IF(装备!S214="",0,装备!S214)</f>
        <v>0</v>
      </c>
      <c r="J204">
        <f>IF(装备!C223="",0,""""&amp;装备!C223&amp;"""")</f>
        <v>0</v>
      </c>
      <c r="K204" t="str">
        <f>IF(装备!T223="","""""",""""&amp;装备!T223&amp;"""")</f>
        <v>""</v>
      </c>
      <c r="L204">
        <f>IF(装备!U223="",0,""""&amp;装备!U223&amp;"""")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IF(装备!B224="",0,"'"&amp;装备!B224&amp;"'")</f>
        <v>0</v>
      </c>
      <c r="B205">
        <f>装备!D225</f>
        <v>0</v>
      </c>
      <c r="C205">
        <f>装备!E224</f>
        <v>0</v>
      </c>
      <c r="D205">
        <f>装备!F224</f>
        <v>0</v>
      </c>
      <c r="E205">
        <f>IF(ISTEXT(装备!G215)=TRUE,"'"&amp;装备!G215&amp;"'",装备!G215)</f>
        <v>0</v>
      </c>
      <c r="F205">
        <f>IF(ISTEXT(装备!H215)=TRUE,"'"&amp;装备!H215&amp;"'",装备!H215)</f>
        <v>0</v>
      </c>
      <c r="G205">
        <f>IF(装备!I224="",0,"'"&amp;装备!I224&amp;"'")</f>
        <v>0</v>
      </c>
      <c r="H205">
        <f>IF(装备!R215="",0,装备!R215)</f>
        <v>0</v>
      </c>
      <c r="I205">
        <f>IF(装备!S215="",0,装备!S215)</f>
        <v>0</v>
      </c>
      <c r="J205">
        <f>IF(装备!C224="",0,""""&amp;装备!C224&amp;"""")</f>
        <v>0</v>
      </c>
      <c r="K205" t="str">
        <f>IF(装备!T224="","""""",""""&amp;装备!T224&amp;"""")</f>
        <v>""</v>
      </c>
      <c r="L205">
        <f>IF(装备!U224="",0,""""&amp;装备!U224&amp;"""")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IF(装备!B225="",0,"'"&amp;装备!B225&amp;"'")</f>
        <v>0</v>
      </c>
      <c r="B206">
        <f>装备!D226</f>
        <v>0</v>
      </c>
      <c r="C206">
        <f>装备!E225</f>
        <v>0</v>
      </c>
      <c r="D206">
        <f>装备!F225</f>
        <v>0</v>
      </c>
      <c r="E206">
        <f>IF(ISTEXT(装备!G216)=TRUE,"'"&amp;装备!G216&amp;"'",装备!G216)</f>
        <v>0</v>
      </c>
      <c r="F206">
        <f>IF(ISTEXT(装备!H216)=TRUE,"'"&amp;装备!H216&amp;"'",装备!H216)</f>
        <v>0</v>
      </c>
      <c r="G206">
        <f>IF(装备!I225="",0,"'"&amp;装备!I225&amp;"'")</f>
        <v>0</v>
      </c>
      <c r="H206">
        <f>IF(装备!R216="",0,装备!R216)</f>
        <v>0</v>
      </c>
      <c r="I206">
        <f>IF(装备!S216="",0,装备!S216)</f>
        <v>0</v>
      </c>
      <c r="J206">
        <f>IF(装备!C225="",0,""""&amp;装备!C225&amp;"""")</f>
        <v>0</v>
      </c>
      <c r="K206" t="str">
        <f>IF(装备!T225="","""""",""""&amp;装备!T225&amp;"""")</f>
        <v>""</v>
      </c>
      <c r="L206">
        <f>IF(装备!U225="",0,""""&amp;装备!U225&amp;"""")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IF(装备!B226="",0,"'"&amp;装备!B226&amp;"'")</f>
        <v>0</v>
      </c>
      <c r="B207">
        <f>装备!D227</f>
        <v>0</v>
      </c>
      <c r="C207">
        <f>装备!E226</f>
        <v>0</v>
      </c>
      <c r="D207">
        <f>装备!F226</f>
        <v>0</v>
      </c>
      <c r="E207">
        <f>IF(ISTEXT(装备!G217)=TRUE,"'"&amp;装备!G217&amp;"'",装备!G217)</f>
        <v>0</v>
      </c>
      <c r="F207">
        <f>IF(ISTEXT(装备!H217)=TRUE,"'"&amp;装备!H217&amp;"'",装备!H217)</f>
        <v>0</v>
      </c>
      <c r="G207">
        <f>IF(装备!I226="",0,"'"&amp;装备!I226&amp;"'")</f>
        <v>0</v>
      </c>
      <c r="H207">
        <f>IF(装备!R217="",0,装备!R217)</f>
        <v>0</v>
      </c>
      <c r="I207">
        <f>IF(装备!S217="",0,装备!S217)</f>
        <v>0</v>
      </c>
      <c r="J207">
        <f>IF(装备!C226="",0,""""&amp;装备!C226&amp;"""")</f>
        <v>0</v>
      </c>
      <c r="K207" t="str">
        <f>IF(装备!T226="","""""",""""&amp;装备!T226&amp;"""")</f>
        <v>""</v>
      </c>
      <c r="L207">
        <f>IF(装备!U226="",0,""""&amp;装备!U226&amp;"""")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IF(装备!B227="",0,"'"&amp;装备!B227&amp;"'")</f>
        <v>0</v>
      </c>
      <c r="B208">
        <f>装备!D228</f>
        <v>0</v>
      </c>
      <c r="C208">
        <f>装备!E227</f>
        <v>0</v>
      </c>
      <c r="D208">
        <f>装备!F227</f>
        <v>0</v>
      </c>
      <c r="E208">
        <f>IF(ISTEXT(装备!G218)=TRUE,"'"&amp;装备!G218&amp;"'",装备!G218)</f>
        <v>0</v>
      </c>
      <c r="F208">
        <f>IF(ISTEXT(装备!H218)=TRUE,"'"&amp;装备!H218&amp;"'",装备!H218)</f>
        <v>0</v>
      </c>
      <c r="G208">
        <f>IF(装备!I227="",0,"'"&amp;装备!I227&amp;"'")</f>
        <v>0</v>
      </c>
      <c r="H208">
        <f>IF(装备!R218="",0,装备!R218)</f>
        <v>0</v>
      </c>
      <c r="I208">
        <f>IF(装备!S218="",0,装备!S218)</f>
        <v>0</v>
      </c>
      <c r="J208">
        <f>IF(装备!C227="",0,""""&amp;装备!C227&amp;"""")</f>
        <v>0</v>
      </c>
      <c r="K208" t="str">
        <f>IF(装备!T227="","""""",""""&amp;装备!T227&amp;"""")</f>
        <v>""</v>
      </c>
      <c r="L208">
        <f>IF(装备!U227="",0,""""&amp;装备!U227&amp;"""")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IF(装备!B228="",0,"'"&amp;装备!B228&amp;"'")</f>
        <v>0</v>
      </c>
      <c r="B209">
        <f>装备!D229</f>
        <v>0</v>
      </c>
      <c r="C209">
        <f>装备!E228</f>
        <v>0</v>
      </c>
      <c r="D209">
        <f>装备!F228</f>
        <v>0</v>
      </c>
      <c r="E209">
        <f>IF(ISTEXT(装备!G219)=TRUE,"'"&amp;装备!G219&amp;"'",装备!G219)</f>
        <v>0</v>
      </c>
      <c r="F209">
        <f>IF(ISTEXT(装备!H219)=TRUE,"'"&amp;装备!H219&amp;"'",装备!H219)</f>
        <v>0</v>
      </c>
      <c r="G209">
        <f>IF(装备!I228="",0,"'"&amp;装备!I228&amp;"'")</f>
        <v>0</v>
      </c>
      <c r="H209">
        <f>IF(装备!R219="",0,装备!R219)</f>
        <v>0</v>
      </c>
      <c r="I209">
        <f>IF(装备!S219="",0,装备!S219)</f>
        <v>0</v>
      </c>
      <c r="J209">
        <f>IF(装备!C228="",0,""""&amp;装备!C228&amp;"""")</f>
        <v>0</v>
      </c>
      <c r="K209" t="str">
        <f>IF(装备!T228="","""""",""""&amp;装备!T228&amp;"""")</f>
        <v>""</v>
      </c>
      <c r="L209">
        <f>IF(装备!U228="",0,""""&amp;装备!U228&amp;"""")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IF(装备!B229="",0,"'"&amp;装备!B229&amp;"'")</f>
        <v>0</v>
      </c>
      <c r="B210">
        <f>装备!D230</f>
        <v>0</v>
      </c>
      <c r="C210">
        <f>装备!E229</f>
        <v>0</v>
      </c>
      <c r="D210">
        <f>装备!F229</f>
        <v>0</v>
      </c>
      <c r="E210">
        <f>IF(ISTEXT(装备!G220)=TRUE,"'"&amp;装备!G220&amp;"'",装备!G220)</f>
        <v>0</v>
      </c>
      <c r="F210">
        <f>IF(ISTEXT(装备!H220)=TRUE,"'"&amp;装备!H220&amp;"'",装备!H220)</f>
        <v>0</v>
      </c>
      <c r="G210">
        <f>IF(装备!I229="",0,"'"&amp;装备!I229&amp;"'")</f>
        <v>0</v>
      </c>
      <c r="H210">
        <f>IF(装备!R220="",0,装备!R220)</f>
        <v>0</v>
      </c>
      <c r="I210">
        <f>IF(装备!S220="",0,装备!S220)</f>
        <v>0</v>
      </c>
      <c r="J210">
        <f>IF(装备!C229="",0,""""&amp;装备!C229&amp;"""")</f>
        <v>0</v>
      </c>
      <c r="K210" t="str">
        <f>IF(装备!T229="","""""",""""&amp;装备!T229&amp;"""")</f>
        <v>""</v>
      </c>
      <c r="L210">
        <f>IF(装备!U229="",0,""""&amp;装备!U229&amp;"""")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IF(装备!B230="",0,"'"&amp;装备!B230&amp;"'")</f>
        <v>0</v>
      </c>
      <c r="B211">
        <f>装备!D231</f>
        <v>0</v>
      </c>
      <c r="C211">
        <f>装备!E230</f>
        <v>0</v>
      </c>
      <c r="D211">
        <f>装备!F230</f>
        <v>0</v>
      </c>
      <c r="E211">
        <f>IF(ISTEXT(装备!G221)=TRUE,"'"&amp;装备!G221&amp;"'",装备!G221)</f>
        <v>0</v>
      </c>
      <c r="F211">
        <f>IF(ISTEXT(装备!H221)=TRUE,"'"&amp;装备!H221&amp;"'",装备!H221)</f>
        <v>0</v>
      </c>
      <c r="G211">
        <f>IF(装备!I230="",0,"'"&amp;装备!I230&amp;"'")</f>
        <v>0</v>
      </c>
      <c r="H211">
        <f>IF(装备!R221="",0,装备!R221)</f>
        <v>0</v>
      </c>
      <c r="I211">
        <f>IF(装备!S221="",0,装备!S221)</f>
        <v>0</v>
      </c>
      <c r="J211">
        <f>IF(装备!C230="",0,""""&amp;装备!C230&amp;"""")</f>
        <v>0</v>
      </c>
      <c r="K211" t="str">
        <f>IF(装备!T230="","""""",""""&amp;装备!T230&amp;"""")</f>
        <v>""</v>
      </c>
      <c r="L211">
        <f>IF(装备!U230="",0,""""&amp;装备!U230&amp;"""")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IF(装备!B231="",0,"'"&amp;装备!B231&amp;"'")</f>
        <v>0</v>
      </c>
      <c r="B212">
        <f>装备!D232</f>
        <v>0</v>
      </c>
      <c r="C212">
        <f>装备!E231</f>
        <v>0</v>
      </c>
      <c r="D212">
        <f>装备!F231</f>
        <v>0</v>
      </c>
      <c r="E212">
        <f>IF(ISTEXT(装备!G222)=TRUE,"'"&amp;装备!G222&amp;"'",装备!G222)</f>
        <v>0</v>
      </c>
      <c r="F212">
        <f>IF(ISTEXT(装备!H222)=TRUE,"'"&amp;装备!H222&amp;"'",装备!H222)</f>
        <v>0</v>
      </c>
      <c r="G212">
        <f>IF(装备!I231="",0,"'"&amp;装备!I231&amp;"'")</f>
        <v>0</v>
      </c>
      <c r="H212">
        <f>IF(装备!R222="",0,装备!R222)</f>
        <v>0</v>
      </c>
      <c r="I212">
        <f>IF(装备!S222="",0,装备!S222)</f>
        <v>0</v>
      </c>
      <c r="J212">
        <f>IF(装备!C231="",0,""""&amp;装备!C231&amp;"""")</f>
        <v>0</v>
      </c>
      <c r="K212" t="str">
        <f>IF(装备!T231="","""""",""""&amp;装备!T231&amp;"""")</f>
        <v>""</v>
      </c>
      <c r="L212">
        <f>IF(装备!U231="",0,""""&amp;装备!U231&amp;"""")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IF(装备!B232="",0,"'"&amp;装备!B232&amp;"'")</f>
        <v>0</v>
      </c>
      <c r="B213">
        <f>装备!D233</f>
        <v>0</v>
      </c>
      <c r="C213">
        <f>装备!E232</f>
        <v>0</v>
      </c>
      <c r="D213">
        <f>装备!F232</f>
        <v>0</v>
      </c>
      <c r="E213">
        <f>IF(ISTEXT(装备!G223)=TRUE,"'"&amp;装备!G223&amp;"'",装备!G223)</f>
        <v>0</v>
      </c>
      <c r="F213">
        <f>IF(ISTEXT(装备!H223)=TRUE,"'"&amp;装备!H223&amp;"'",装备!H223)</f>
        <v>0</v>
      </c>
      <c r="G213">
        <f>IF(装备!I232="",0,"'"&amp;装备!I232&amp;"'")</f>
        <v>0</v>
      </c>
      <c r="H213">
        <f>IF(装备!R223="",0,装备!R223)</f>
        <v>0</v>
      </c>
      <c r="I213">
        <f>IF(装备!S223="",0,装备!S223)</f>
        <v>0</v>
      </c>
      <c r="J213">
        <f>IF(装备!C232="",0,""""&amp;装备!C232&amp;"""")</f>
        <v>0</v>
      </c>
      <c r="K213" t="str">
        <f>IF(装备!T232="","""""",""""&amp;装备!T232&amp;"""")</f>
        <v>""</v>
      </c>
      <c r="L213">
        <f>IF(装备!U232="",0,""""&amp;装备!U232&amp;"""")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IF(装备!B233="",0,"'"&amp;装备!B233&amp;"'")</f>
        <v>0</v>
      </c>
      <c r="B214">
        <f>装备!D234</f>
        <v>0</v>
      </c>
      <c r="C214">
        <f>装备!E233</f>
        <v>0</v>
      </c>
      <c r="D214">
        <f>装备!F233</f>
        <v>0</v>
      </c>
      <c r="E214">
        <f>IF(ISTEXT(装备!G224)=TRUE,"'"&amp;装备!G224&amp;"'",装备!G224)</f>
        <v>0</v>
      </c>
      <c r="F214">
        <f>IF(ISTEXT(装备!H224)=TRUE,"'"&amp;装备!H224&amp;"'",装备!H224)</f>
        <v>0</v>
      </c>
      <c r="G214">
        <f>IF(装备!I233="",0,"'"&amp;装备!I233&amp;"'")</f>
        <v>0</v>
      </c>
      <c r="H214">
        <f>IF(装备!R224="",0,装备!R224)</f>
        <v>0</v>
      </c>
      <c r="I214">
        <f>IF(装备!S224="",0,装备!S224)</f>
        <v>0</v>
      </c>
      <c r="J214">
        <f>IF(装备!C233="",0,""""&amp;装备!C233&amp;"""")</f>
        <v>0</v>
      </c>
      <c r="K214" t="str">
        <f>IF(装备!T233="","""""",""""&amp;装备!T233&amp;"""")</f>
        <v>""</v>
      </c>
      <c r="L214">
        <f>IF(装备!U233="",0,""""&amp;装备!U233&amp;"""")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IF(装备!B234="",0,"'"&amp;装备!B234&amp;"'")</f>
        <v>0</v>
      </c>
      <c r="B215">
        <f>装备!D235</f>
        <v>0</v>
      </c>
      <c r="C215">
        <f>装备!E234</f>
        <v>0</v>
      </c>
      <c r="D215">
        <f>装备!F234</f>
        <v>0</v>
      </c>
      <c r="E215">
        <f>IF(ISTEXT(装备!G225)=TRUE,"'"&amp;装备!G225&amp;"'",装备!G225)</f>
        <v>0</v>
      </c>
      <c r="F215">
        <f>IF(ISTEXT(装备!H225)=TRUE,"'"&amp;装备!H225&amp;"'",装备!H225)</f>
        <v>0</v>
      </c>
      <c r="G215">
        <f>IF(装备!I234="",0,"'"&amp;装备!I234&amp;"'")</f>
        <v>0</v>
      </c>
      <c r="H215">
        <f>IF(装备!R225="",0,装备!R225)</f>
        <v>0</v>
      </c>
      <c r="I215">
        <f>IF(装备!S225="",0,装备!S225)</f>
        <v>0</v>
      </c>
      <c r="J215">
        <f>IF(装备!C234="",0,""""&amp;装备!C234&amp;"""")</f>
        <v>0</v>
      </c>
      <c r="K215" t="str">
        <f>IF(装备!T234="","""""",""""&amp;装备!T234&amp;"""")</f>
        <v>""</v>
      </c>
      <c r="L215">
        <f>IF(装备!U234="",0,""""&amp;装备!U234&amp;"""")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IF(装备!B235="",0,"'"&amp;装备!B235&amp;"'")</f>
        <v>0</v>
      </c>
      <c r="B216">
        <f>装备!D236</f>
        <v>0</v>
      </c>
      <c r="C216">
        <f>装备!E235</f>
        <v>0</v>
      </c>
      <c r="D216">
        <f>装备!F235</f>
        <v>0</v>
      </c>
      <c r="E216">
        <f>IF(ISTEXT(装备!G226)=TRUE,"'"&amp;装备!G226&amp;"'",装备!G226)</f>
        <v>0</v>
      </c>
      <c r="F216">
        <f>IF(ISTEXT(装备!H226)=TRUE,"'"&amp;装备!H226&amp;"'",装备!H226)</f>
        <v>0</v>
      </c>
      <c r="G216">
        <f>IF(装备!I235="",0,"'"&amp;装备!I235&amp;"'")</f>
        <v>0</v>
      </c>
      <c r="H216">
        <f>IF(装备!R226="",0,装备!R226)</f>
        <v>0</v>
      </c>
      <c r="I216">
        <f>IF(装备!S226="",0,装备!S226)</f>
        <v>0</v>
      </c>
      <c r="J216">
        <f>IF(装备!C235="",0,""""&amp;装备!C235&amp;"""")</f>
        <v>0</v>
      </c>
      <c r="K216" t="str">
        <f>IF(装备!T235="","""""",""""&amp;装备!T235&amp;"""")</f>
        <v>""</v>
      </c>
      <c r="L216">
        <f>IF(装备!U235="",0,""""&amp;装备!U235&amp;"""")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IF(装备!B236="",0,"'"&amp;装备!B236&amp;"'")</f>
        <v>0</v>
      </c>
      <c r="B217">
        <f>装备!D237</f>
        <v>0</v>
      </c>
      <c r="C217">
        <f>装备!E236</f>
        <v>0</v>
      </c>
      <c r="D217">
        <f>装备!F236</f>
        <v>0</v>
      </c>
      <c r="E217">
        <f>IF(ISTEXT(装备!G227)=TRUE,"'"&amp;装备!G227&amp;"'",装备!G227)</f>
        <v>0</v>
      </c>
      <c r="F217">
        <f>IF(ISTEXT(装备!H227)=TRUE,"'"&amp;装备!H227&amp;"'",装备!H227)</f>
        <v>0</v>
      </c>
      <c r="G217">
        <f>IF(装备!I236="",0,"'"&amp;装备!I236&amp;"'")</f>
        <v>0</v>
      </c>
      <c r="H217">
        <f>IF(装备!R227="",0,装备!R227)</f>
        <v>0</v>
      </c>
      <c r="I217">
        <f>IF(装备!S227="",0,装备!S227)</f>
        <v>0</v>
      </c>
      <c r="J217">
        <f>IF(装备!C236="",0,""""&amp;装备!C236&amp;"""")</f>
        <v>0</v>
      </c>
      <c r="K217" t="str">
        <f>IF(装备!T236="","""""",""""&amp;装备!T236&amp;"""")</f>
        <v>""</v>
      </c>
      <c r="L217">
        <f>IF(装备!U236="",0,""""&amp;装备!U236&amp;"""")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IF(装备!B237="",0,"'"&amp;装备!B237&amp;"'")</f>
        <v>0</v>
      </c>
      <c r="B218">
        <f>装备!D238</f>
        <v>0</v>
      </c>
      <c r="C218">
        <f>装备!E237</f>
        <v>0</v>
      </c>
      <c r="D218">
        <f>装备!F237</f>
        <v>0</v>
      </c>
      <c r="E218">
        <f>IF(ISTEXT(装备!G228)=TRUE,"'"&amp;装备!G228&amp;"'",装备!G228)</f>
        <v>0</v>
      </c>
      <c r="F218">
        <f>IF(ISTEXT(装备!H228)=TRUE,"'"&amp;装备!H228&amp;"'",装备!H228)</f>
        <v>0</v>
      </c>
      <c r="G218">
        <f>IF(装备!I237="",0,"'"&amp;装备!I237&amp;"'")</f>
        <v>0</v>
      </c>
      <c r="H218">
        <f>IF(装备!R228="",0,装备!R228)</f>
        <v>0</v>
      </c>
      <c r="I218">
        <f>IF(装备!S228="",0,装备!S228)</f>
        <v>0</v>
      </c>
      <c r="J218">
        <f>IF(装备!C237="",0,""""&amp;装备!C237&amp;"""")</f>
        <v>0</v>
      </c>
      <c r="K218" t="str">
        <f>IF(装备!T237="","""""",""""&amp;装备!T237&amp;"""")</f>
        <v>""</v>
      </c>
      <c r="L218">
        <f>IF(装备!U237="",0,""""&amp;装备!U237&amp;"""")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IF(装备!B238="",0,"'"&amp;装备!B238&amp;"'")</f>
        <v>0</v>
      </c>
      <c r="B219">
        <f>装备!D239</f>
        <v>0</v>
      </c>
      <c r="C219">
        <f>装备!E238</f>
        <v>0</v>
      </c>
      <c r="D219">
        <f>装备!F238</f>
        <v>0</v>
      </c>
      <c r="E219">
        <f>IF(ISTEXT(装备!G229)=TRUE,"'"&amp;装备!G229&amp;"'",装备!G229)</f>
        <v>0</v>
      </c>
      <c r="F219">
        <f>IF(ISTEXT(装备!H229)=TRUE,"'"&amp;装备!H229&amp;"'",装备!H229)</f>
        <v>0</v>
      </c>
      <c r="G219">
        <f>IF(装备!I238="",0,"'"&amp;装备!I238&amp;"'")</f>
        <v>0</v>
      </c>
      <c r="H219">
        <f>IF(装备!R229="",0,装备!R229)</f>
        <v>0</v>
      </c>
      <c r="I219">
        <f>IF(装备!S229="",0,装备!S229)</f>
        <v>0</v>
      </c>
      <c r="J219">
        <f>IF(装备!C238="",0,""""&amp;装备!C238&amp;"""")</f>
        <v>0</v>
      </c>
      <c r="K219" t="str">
        <f>IF(装备!T238="","""""",""""&amp;装备!T238&amp;"""")</f>
        <v>""</v>
      </c>
      <c r="L219">
        <f>IF(装备!U238="",0,""""&amp;装备!U238&amp;"""")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IF(装备!B239="",0,"'"&amp;装备!B239&amp;"'")</f>
        <v>0</v>
      </c>
      <c r="B220">
        <f>装备!D240</f>
        <v>0</v>
      </c>
      <c r="C220">
        <f>装备!E239</f>
        <v>0</v>
      </c>
      <c r="D220">
        <f>装备!F239</f>
        <v>0</v>
      </c>
      <c r="E220">
        <f>IF(ISTEXT(装备!G230)=TRUE,"'"&amp;装备!G230&amp;"'",装备!G230)</f>
        <v>0</v>
      </c>
      <c r="F220">
        <f>IF(ISTEXT(装备!H230)=TRUE,"'"&amp;装备!H230&amp;"'",装备!H230)</f>
        <v>0</v>
      </c>
      <c r="G220">
        <f>IF(装备!I239="",0,"'"&amp;装备!I239&amp;"'")</f>
        <v>0</v>
      </c>
      <c r="H220">
        <f>IF(装备!R230="",0,装备!R230)</f>
        <v>0</v>
      </c>
      <c r="I220">
        <f>IF(装备!S230="",0,装备!S230)</f>
        <v>0</v>
      </c>
      <c r="J220">
        <f>IF(装备!C239="",0,""""&amp;装备!C239&amp;"""")</f>
        <v>0</v>
      </c>
      <c r="K220" t="str">
        <f>IF(装备!T239="","""""",""""&amp;装备!T239&amp;"""")</f>
        <v>""</v>
      </c>
      <c r="L220">
        <f>IF(装备!U239="",0,""""&amp;装备!U239&amp;"""")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IF(装备!B240="",0,"'"&amp;装备!B240&amp;"'")</f>
        <v>0</v>
      </c>
      <c r="B221">
        <f>装备!D241</f>
        <v>0</v>
      </c>
      <c r="C221">
        <f>装备!E240</f>
        <v>0</v>
      </c>
      <c r="D221">
        <f>装备!F240</f>
        <v>0</v>
      </c>
      <c r="E221">
        <f>IF(ISTEXT(装备!G231)=TRUE,"'"&amp;装备!G231&amp;"'",装备!G231)</f>
        <v>0</v>
      </c>
      <c r="F221">
        <f>IF(ISTEXT(装备!H231)=TRUE,"'"&amp;装备!H231&amp;"'",装备!H231)</f>
        <v>0</v>
      </c>
      <c r="G221">
        <f>IF(装备!I240="",0,"'"&amp;装备!I240&amp;"'")</f>
        <v>0</v>
      </c>
      <c r="H221">
        <f>IF(装备!R231="",0,装备!R231)</f>
        <v>0</v>
      </c>
      <c r="I221">
        <f>IF(装备!S231="",0,装备!S231)</f>
        <v>0</v>
      </c>
      <c r="J221">
        <f>IF(装备!C240="",0,""""&amp;装备!C240&amp;"""")</f>
        <v>0</v>
      </c>
      <c r="K221" t="str">
        <f>IF(装备!T240="","""""",""""&amp;装备!T240&amp;"""")</f>
        <v>""</v>
      </c>
      <c r="L221">
        <f>IF(装备!U240="",0,""""&amp;装备!U240&amp;"""")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IF(装备!B241="",0,"'"&amp;装备!B241&amp;"'")</f>
        <v>0</v>
      </c>
      <c r="B222">
        <f>装备!D242</f>
        <v>0</v>
      </c>
      <c r="C222">
        <f>装备!E241</f>
        <v>0</v>
      </c>
      <c r="D222">
        <f>装备!F241</f>
        <v>0</v>
      </c>
      <c r="E222">
        <f>IF(ISTEXT(装备!G232)=TRUE,"'"&amp;装备!G232&amp;"'",装备!G232)</f>
        <v>0</v>
      </c>
      <c r="F222">
        <f>IF(ISTEXT(装备!H232)=TRUE,"'"&amp;装备!H232&amp;"'",装备!H232)</f>
        <v>0</v>
      </c>
      <c r="G222">
        <f>IF(装备!I241="",0,"'"&amp;装备!I241&amp;"'")</f>
        <v>0</v>
      </c>
      <c r="H222">
        <f>IF(装备!R232="",0,装备!R232)</f>
        <v>0</v>
      </c>
      <c r="I222">
        <f>IF(装备!S232="",0,装备!S232)</f>
        <v>0</v>
      </c>
      <c r="J222">
        <f>IF(装备!C241="",0,""""&amp;装备!C241&amp;"""")</f>
        <v>0</v>
      </c>
      <c r="K222" t="str">
        <f>IF(装备!T241="","""""",""""&amp;装备!T241&amp;"""")</f>
        <v>""</v>
      </c>
      <c r="L222">
        <f>IF(装备!U241="",0,""""&amp;装备!U241&amp;"""")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IF(装备!B242="",0,"'"&amp;装备!B242&amp;"'")</f>
        <v>0</v>
      </c>
      <c r="B223">
        <f>装备!D243</f>
        <v>0</v>
      </c>
      <c r="C223">
        <f>装备!E242</f>
        <v>0</v>
      </c>
      <c r="D223">
        <f>装备!F242</f>
        <v>0</v>
      </c>
      <c r="E223">
        <f>IF(ISTEXT(装备!G233)=TRUE,"'"&amp;装备!G233&amp;"'",装备!G233)</f>
        <v>0</v>
      </c>
      <c r="F223">
        <f>IF(ISTEXT(装备!H233)=TRUE,"'"&amp;装备!H233&amp;"'",装备!H233)</f>
        <v>0</v>
      </c>
      <c r="G223">
        <f>IF(装备!I242="",0,"'"&amp;装备!I242&amp;"'")</f>
        <v>0</v>
      </c>
      <c r="H223">
        <f>IF(装备!R233="",0,装备!R233)</f>
        <v>0</v>
      </c>
      <c r="I223">
        <f>IF(装备!S233="",0,装备!S233)</f>
        <v>0</v>
      </c>
      <c r="J223">
        <f>IF(装备!C242="",0,""""&amp;装备!C242&amp;"""")</f>
        <v>0</v>
      </c>
      <c r="K223" t="str">
        <f>IF(装备!T242="","""""",""""&amp;装备!T242&amp;"""")</f>
        <v>""</v>
      </c>
      <c r="L223">
        <f>IF(装备!U242="",0,""""&amp;装备!U242&amp;"""")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IF(装备!B243="",0,"'"&amp;装备!B243&amp;"'")</f>
        <v>0</v>
      </c>
      <c r="B224">
        <f>装备!D244</f>
        <v>0</v>
      </c>
      <c r="C224">
        <f>装备!E243</f>
        <v>0</v>
      </c>
      <c r="D224">
        <f>装备!F243</f>
        <v>0</v>
      </c>
      <c r="E224">
        <f>IF(ISTEXT(装备!G234)=TRUE,"'"&amp;装备!G234&amp;"'",装备!G234)</f>
        <v>0</v>
      </c>
      <c r="F224">
        <f>IF(ISTEXT(装备!H234)=TRUE,"'"&amp;装备!H234&amp;"'",装备!H234)</f>
        <v>0</v>
      </c>
      <c r="G224">
        <f>IF(装备!I243="",0,"'"&amp;装备!I243&amp;"'")</f>
        <v>0</v>
      </c>
      <c r="H224">
        <f>IF(装备!R234="",0,装备!R234)</f>
        <v>0</v>
      </c>
      <c r="I224">
        <f>IF(装备!S234="",0,装备!S234)</f>
        <v>0</v>
      </c>
      <c r="J224">
        <f>IF(装备!C243="",0,""""&amp;装备!C243&amp;"""")</f>
        <v>0</v>
      </c>
      <c r="K224" t="str">
        <f>IF(装备!T243="","""""",""""&amp;装备!T243&amp;"""")</f>
        <v>""</v>
      </c>
      <c r="L224">
        <f>IF(装备!U243="",0,""""&amp;装备!U243&amp;"""")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IF(装备!B244="",0,"'"&amp;装备!B244&amp;"'")</f>
        <v>0</v>
      </c>
      <c r="B225">
        <f>装备!D245</f>
        <v>0</v>
      </c>
      <c r="C225">
        <f>装备!E244</f>
        <v>0</v>
      </c>
      <c r="D225">
        <f>装备!F244</f>
        <v>0</v>
      </c>
      <c r="E225">
        <f>IF(ISTEXT(装备!G235)=TRUE,"'"&amp;装备!G235&amp;"'",装备!G235)</f>
        <v>0</v>
      </c>
      <c r="F225">
        <f>IF(ISTEXT(装备!H235)=TRUE,"'"&amp;装备!H235&amp;"'",装备!H235)</f>
        <v>0</v>
      </c>
      <c r="G225">
        <f>IF(装备!I244="",0,"'"&amp;装备!I244&amp;"'")</f>
        <v>0</v>
      </c>
      <c r="H225">
        <f>IF(装备!R235="",0,装备!R235)</f>
        <v>0</v>
      </c>
      <c r="I225">
        <f>IF(装备!S235="",0,装备!S235)</f>
        <v>0</v>
      </c>
      <c r="J225">
        <f>IF(装备!C244="",0,""""&amp;装备!C244&amp;"""")</f>
        <v>0</v>
      </c>
      <c r="K225" t="str">
        <f>IF(装备!T244="","""""",""""&amp;装备!T244&amp;"""")</f>
        <v>""</v>
      </c>
      <c r="L225">
        <f>IF(装备!U244="",0,""""&amp;装备!U244&amp;"""")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2020-01-08T08:36:17Z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