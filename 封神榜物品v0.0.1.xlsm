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卡牌池" sheetId="7" r:id="rId7"/>
    <sheet name="装备池" sheetId="8" r:id="rId8"/>
    <sheet name="Sheet1" sheetId="9" r:id="rId9"/>
  </sheets>
  <functionGroups/>
  <definedNames>
    <definedName name="_xlnm._FilterDatabase" localSheetId="0" hidden="1">P000!$A$1:$AP$642</definedName>
  </definedNames>
  <calcPr calcId="125725"/>
</workbook>
</file>

<file path=xl/calcChain.xml><?xml version="1.0" encoding="utf-8"?>
<calcChain xmlns="http://schemas.openxmlformats.org/spreadsheetml/2006/main">
  <c r="B108" i="1"/>
  <c r="H108" s="1"/>
  <c r="J108" s="1"/>
  <c r="B109"/>
  <c r="H109" s="1"/>
  <c r="J109" s="1"/>
  <c r="B110"/>
  <c r="H110" s="1"/>
  <c r="J110" s="1"/>
  <c r="B111"/>
  <c r="H111" s="1"/>
  <c r="J111" s="1"/>
  <c r="B112"/>
  <c r="B113"/>
  <c r="H113" s="1"/>
  <c r="J113" s="1"/>
  <c r="B114"/>
  <c r="B115"/>
  <c r="M115" s="1"/>
  <c r="B116"/>
  <c r="H116" s="1"/>
  <c r="J116" s="1"/>
  <c r="B117"/>
  <c r="H117" s="1"/>
  <c r="J117" s="1"/>
  <c r="B118"/>
  <c r="H118" s="1"/>
  <c r="J118" s="1"/>
  <c r="B119"/>
  <c r="H119" s="1"/>
  <c r="J119" s="1"/>
  <c r="B120"/>
  <c r="H120" s="1"/>
  <c r="J120" s="1"/>
  <c r="B121"/>
  <c r="H121" s="1"/>
  <c r="J121" s="1"/>
  <c r="B107"/>
  <c r="H107" s="1"/>
  <c r="J107" s="1"/>
  <c r="B106"/>
  <c r="H106" s="1"/>
  <c r="J106" s="1"/>
  <c r="B105"/>
  <c r="M105" s="1"/>
  <c r="B104"/>
  <c r="H104" s="1"/>
  <c r="J104" s="1"/>
  <c r="B103"/>
  <c r="M103" s="1"/>
  <c r="FS109" i="2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R104"/>
  <c r="CQ104"/>
  <c r="CP104"/>
  <c r="CO104"/>
  <c r="CN104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R110"/>
  <c r="CQ110"/>
  <c r="CP110"/>
  <c r="CO110"/>
  <c r="CN110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I119" i="1" s="1"/>
  <c r="K119" s="1"/>
  <c r="CR119" i="2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I118" i="1" s="1"/>
  <c r="K118" s="1"/>
  <c r="CR118" i="2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I117" i="1" s="1"/>
  <c r="K117" s="1"/>
  <c r="CR117" i="2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I116" i="1" s="1"/>
  <c r="K116" s="1"/>
  <c r="CR116" i="2"/>
  <c r="CQ116"/>
  <c r="CP116"/>
  <c r="CO116"/>
  <c r="CN116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R103"/>
  <c r="CQ103"/>
  <c r="CP103"/>
  <c r="CO103"/>
  <c r="CN103"/>
  <c r="B139" i="1"/>
  <c r="H139" s="1"/>
  <c r="J139" s="1"/>
  <c r="B88"/>
  <c r="H88" s="1"/>
  <c r="J88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102" i="1"/>
  <c r="B101"/>
  <c r="H101" s="1"/>
  <c r="J101" s="1"/>
  <c r="B100"/>
  <c r="H100" s="1"/>
  <c r="J100" s="1"/>
  <c r="FS102" i="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R100"/>
  <c r="CQ100"/>
  <c r="CP100"/>
  <c r="CO100"/>
  <c r="CN100"/>
  <c r="B144" i="1"/>
  <c r="B99"/>
  <c r="H99" s="1"/>
  <c r="J99" s="1"/>
  <c r="B98"/>
  <c r="M98" s="1"/>
  <c r="B97"/>
  <c r="H97" s="1"/>
  <c r="J97" s="1"/>
  <c r="B96"/>
  <c r="B95"/>
  <c r="H95" s="1"/>
  <c r="J95" s="1"/>
  <c r="B94"/>
  <c r="FS98" i="2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38" i="1"/>
  <c r="H138" s="1"/>
  <c r="J138" s="1"/>
  <c r="B137"/>
  <c r="H137" s="1"/>
  <c r="J137" s="1"/>
  <c r="B136"/>
  <c r="H136" s="1"/>
  <c r="J136" s="1"/>
  <c r="B135"/>
  <c r="H135" s="1"/>
  <c r="J135" s="1"/>
  <c r="L184" i="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L182"/>
  <c r="K182"/>
  <c r="J182"/>
  <c r="I182"/>
  <c r="H182"/>
  <c r="G182"/>
  <c r="D182"/>
  <c r="C182"/>
  <c r="B182"/>
  <c r="A182"/>
  <c r="L181"/>
  <c r="K181"/>
  <c r="J181"/>
  <c r="I181"/>
  <c r="H181"/>
  <c r="G181"/>
  <c r="D181"/>
  <c r="C181"/>
  <c r="B181"/>
  <c r="A181"/>
  <c r="L180"/>
  <c r="K180"/>
  <c r="J180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L168"/>
  <c r="K168"/>
  <c r="J168"/>
  <c r="I168"/>
  <c r="H168"/>
  <c r="G168"/>
  <c r="D168"/>
  <c r="C168"/>
  <c r="B168"/>
  <c r="A168"/>
  <c r="L167"/>
  <c r="K167"/>
  <c r="J167"/>
  <c r="I167"/>
  <c r="H167"/>
  <c r="G167"/>
  <c r="D167"/>
  <c r="C167"/>
  <c r="B167"/>
  <c r="A167"/>
  <c r="L166"/>
  <c r="K166"/>
  <c r="J166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L150"/>
  <c r="K150"/>
  <c r="J150"/>
  <c r="I150"/>
  <c r="H150"/>
  <c r="G150"/>
  <c r="D150"/>
  <c r="C150"/>
  <c r="B150"/>
  <c r="A150"/>
  <c r="L149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L146"/>
  <c r="K146"/>
  <c r="J146"/>
  <c r="I146"/>
  <c r="H146"/>
  <c r="G146"/>
  <c r="D146"/>
  <c r="C146"/>
  <c r="B146"/>
  <c r="A146"/>
  <c r="L145"/>
  <c r="K145"/>
  <c r="J145"/>
  <c r="I145"/>
  <c r="H145"/>
  <c r="G145"/>
  <c r="D145"/>
  <c r="C145"/>
  <c r="B145"/>
  <c r="A145"/>
  <c r="L144"/>
  <c r="K144"/>
  <c r="J144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L132"/>
  <c r="K132"/>
  <c r="J132"/>
  <c r="I132"/>
  <c r="H132"/>
  <c r="G132"/>
  <c r="D132"/>
  <c r="C132"/>
  <c r="B132"/>
  <c r="A132"/>
  <c r="L131"/>
  <c r="K131"/>
  <c r="J131"/>
  <c r="I131"/>
  <c r="H131"/>
  <c r="G131"/>
  <c r="D131"/>
  <c r="C131"/>
  <c r="B131"/>
  <c r="A131"/>
  <c r="L130"/>
  <c r="K130"/>
  <c r="J130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L114"/>
  <c r="K114"/>
  <c r="J114"/>
  <c r="I114"/>
  <c r="H114"/>
  <c r="G114"/>
  <c r="D114"/>
  <c r="C114"/>
  <c r="B114"/>
  <c r="A114"/>
  <c r="L113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L110"/>
  <c r="K110"/>
  <c r="J110"/>
  <c r="I110"/>
  <c r="H110"/>
  <c r="G110"/>
  <c r="D110"/>
  <c r="C110"/>
  <c r="B110"/>
  <c r="A110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B158" i="1"/>
  <c r="B157"/>
  <c r="M157" s="1"/>
  <c r="B156"/>
  <c r="B155"/>
  <c r="M155" s="1"/>
  <c r="B154"/>
  <c r="B153"/>
  <c r="M153" s="1"/>
  <c r="B152"/>
  <c r="B151"/>
  <c r="M151" s="1"/>
  <c r="B150"/>
  <c r="B149"/>
  <c r="M149" s="1"/>
  <c r="B148"/>
  <c r="H148" s="1"/>
  <c r="J148" s="1"/>
  <c r="B147"/>
  <c r="M147" s="1"/>
  <c r="B146"/>
  <c r="B145"/>
  <c r="M145" s="1"/>
  <c r="B143"/>
  <c r="B142"/>
  <c r="M142" s="1"/>
  <c r="B141"/>
  <c r="B140"/>
  <c r="M140" s="1"/>
  <c r="B134"/>
  <c r="B133"/>
  <c r="M133" s="1"/>
  <c r="B132"/>
  <c r="B131"/>
  <c r="M131" s="1"/>
  <c r="B130"/>
  <c r="B129"/>
  <c r="M129" s="1"/>
  <c r="B128"/>
  <c r="B127"/>
  <c r="M127" s="1"/>
  <c r="B126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I121" i="1" l="1"/>
  <c r="K121" s="1"/>
  <c r="I120"/>
  <c r="K120" s="1"/>
  <c r="M119"/>
  <c r="H115"/>
  <c r="J115" s="1"/>
  <c r="M121"/>
  <c r="M118"/>
  <c r="M120"/>
  <c r="M116"/>
  <c r="I112"/>
  <c r="K112" s="1"/>
  <c r="I115"/>
  <c r="K115" s="1"/>
  <c r="M117"/>
  <c r="CU101" i="2"/>
  <c r="I105" i="1"/>
  <c r="K105" s="1"/>
  <c r="CU111" i="2"/>
  <c r="CU118"/>
  <c r="I96" i="1"/>
  <c r="K96" s="1"/>
  <c r="CU112" i="2"/>
  <c r="CU115"/>
  <c r="CU106"/>
  <c r="CU109"/>
  <c r="CU105"/>
  <c r="I94" i="1"/>
  <c r="K94" s="1"/>
  <c r="CU100" i="2"/>
  <c r="CU139"/>
  <c r="I114" i="1"/>
  <c r="K114" s="1"/>
  <c r="CU107" i="2"/>
  <c r="CU98"/>
  <c r="CU108"/>
  <c r="CU136"/>
  <c r="CU119"/>
  <c r="CU104"/>
  <c r="CU114"/>
  <c r="CU113"/>
  <c r="CU110"/>
  <c r="M111" i="1"/>
  <c r="I144"/>
  <c r="K144" s="1"/>
  <c r="CU88" i="2"/>
  <c r="CU96"/>
  <c r="CU121"/>
  <c r="CU120"/>
  <c r="H114" i="1"/>
  <c r="J114" s="1"/>
  <c r="M108"/>
  <c r="M110"/>
  <c r="H105"/>
  <c r="J105" s="1"/>
  <c r="M113"/>
  <c r="I113"/>
  <c r="K113" s="1"/>
  <c r="I108"/>
  <c r="K108" s="1"/>
  <c r="I110"/>
  <c r="K110" s="1"/>
  <c r="I103"/>
  <c r="K103" s="1"/>
  <c r="H103"/>
  <c r="J103" s="1"/>
  <c r="H112"/>
  <c r="J112" s="1"/>
  <c r="M107"/>
  <c r="M109"/>
  <c r="I111"/>
  <c r="K111" s="1"/>
  <c r="I107"/>
  <c r="K107" s="1"/>
  <c r="I109"/>
  <c r="K109" s="1"/>
  <c r="M112"/>
  <c r="M114"/>
  <c r="M104"/>
  <c r="M106"/>
  <c r="I104"/>
  <c r="K104" s="1"/>
  <c r="I106"/>
  <c r="K106" s="1"/>
  <c r="CU116" i="2"/>
  <c r="CU103"/>
  <c r="CU117"/>
  <c r="CU102"/>
  <c r="I102" i="1"/>
  <c r="K102" s="1"/>
  <c r="M139"/>
  <c r="I139"/>
  <c r="K139" s="1"/>
  <c r="M88"/>
  <c r="H102"/>
  <c r="J102" s="1"/>
  <c r="I88"/>
  <c r="K88" s="1"/>
  <c r="M102"/>
  <c r="I100"/>
  <c r="K100" s="1"/>
  <c r="M101"/>
  <c r="I101"/>
  <c r="K101" s="1"/>
  <c r="M100"/>
  <c r="H144"/>
  <c r="J144" s="1"/>
  <c r="M144"/>
  <c r="I98"/>
  <c r="K98" s="1"/>
  <c r="H98"/>
  <c r="J98" s="1"/>
  <c r="H96"/>
  <c r="J96" s="1"/>
  <c r="M97"/>
  <c r="M99"/>
  <c r="I99"/>
  <c r="K99" s="1"/>
  <c r="M95"/>
  <c r="H94"/>
  <c r="J94" s="1"/>
  <c r="I95"/>
  <c r="K95" s="1"/>
  <c r="I97"/>
  <c r="K97" s="1"/>
  <c r="M94"/>
  <c r="M96"/>
  <c r="I156"/>
  <c r="K156" s="1"/>
  <c r="CU157" i="2"/>
  <c r="CU94"/>
  <c r="CU97"/>
  <c r="I154" i="1"/>
  <c r="K154" s="1"/>
  <c r="CU135" i="2"/>
  <c r="CU138"/>
  <c r="CU154"/>
  <c r="CU156"/>
  <c r="CU144"/>
  <c r="CU137"/>
  <c r="CU99"/>
  <c r="CU155"/>
  <c r="CU158"/>
  <c r="I158" i="1"/>
  <c r="K158" s="1"/>
  <c r="CU95" i="2"/>
  <c r="N178" i="4"/>
  <c r="N184"/>
  <c r="N106"/>
  <c r="N139"/>
  <c r="N175"/>
  <c r="N103"/>
  <c r="N115"/>
  <c r="N133"/>
  <c r="M140"/>
  <c r="M176"/>
  <c r="N144"/>
  <c r="N180"/>
  <c r="N145"/>
  <c r="M147"/>
  <c r="N124"/>
  <c r="N160"/>
  <c r="N142"/>
  <c r="N130"/>
  <c r="N131"/>
  <c r="N181"/>
  <c r="M183"/>
  <c r="N113"/>
  <c r="N163"/>
  <c r="N97"/>
  <c r="N127"/>
  <c r="M104"/>
  <c r="M154"/>
  <c r="N109"/>
  <c r="M111"/>
  <c r="M118"/>
  <c r="N166"/>
  <c r="N167"/>
  <c r="N149"/>
  <c r="N169"/>
  <c r="N151"/>
  <c r="N99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51" i="1"/>
  <c r="J151" s="1"/>
  <c r="M136"/>
  <c r="M138"/>
  <c r="I136"/>
  <c r="K136" s="1"/>
  <c r="I138"/>
  <c r="K138" s="1"/>
  <c r="I157"/>
  <c r="K157" s="1"/>
  <c r="M135"/>
  <c r="M137"/>
  <c r="I135"/>
  <c r="K135" s="1"/>
  <c r="I137"/>
  <c r="K137" s="1"/>
  <c r="H141"/>
  <c r="J141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42" i="1"/>
  <c r="J142" s="1"/>
  <c r="H153"/>
  <c r="J153" s="1"/>
  <c r="H140"/>
  <c r="J140" s="1"/>
  <c r="H147"/>
  <c r="J147" s="1"/>
  <c r="H146"/>
  <c r="J146" s="1"/>
  <c r="H154"/>
  <c r="J154" s="1"/>
  <c r="H132"/>
  <c r="J132" s="1"/>
  <c r="H143"/>
  <c r="J143" s="1"/>
  <c r="H130"/>
  <c r="J130" s="1"/>
  <c r="H149"/>
  <c r="J149" s="1"/>
  <c r="H129"/>
  <c r="J129" s="1"/>
  <c r="I155"/>
  <c r="K155" s="1"/>
  <c r="H128"/>
  <c r="J128" s="1"/>
  <c r="H133"/>
  <c r="J133" s="1"/>
  <c r="H158"/>
  <c r="J158" s="1"/>
  <c r="H127"/>
  <c r="J127" s="1"/>
  <c r="H152"/>
  <c r="J152" s="1"/>
  <c r="H157"/>
  <c r="J157" s="1"/>
  <c r="H126"/>
  <c r="J126" s="1"/>
  <c r="H131"/>
  <c r="J131" s="1"/>
  <c r="H156"/>
  <c r="J156" s="1"/>
  <c r="H150"/>
  <c r="J150" s="1"/>
  <c r="H155"/>
  <c r="J155" s="1"/>
  <c r="H134"/>
  <c r="J134" s="1"/>
  <c r="H145"/>
  <c r="J145" s="1"/>
  <c r="M126"/>
  <c r="M128"/>
  <c r="M130"/>
  <c r="M132"/>
  <c r="M134"/>
  <c r="M141"/>
  <c r="M143"/>
  <c r="M146"/>
  <c r="M148"/>
  <c r="M150"/>
  <c r="M152"/>
  <c r="M154"/>
  <c r="M156"/>
  <c r="M158"/>
  <c r="CN147" i="2"/>
  <c r="CO147"/>
  <c r="CP147"/>
  <c r="CQ147"/>
  <c r="CR147"/>
  <c r="CV147"/>
  <c r="I147" i="1" s="1"/>
  <c r="K147" s="1"/>
  <c r="DB147" i="2"/>
  <c r="DC147"/>
  <c r="DD147"/>
  <c r="DE147"/>
  <c r="DF147"/>
  <c r="DG147"/>
  <c r="DH147"/>
  <c r="DI147"/>
  <c r="DJ147"/>
  <c r="DK147"/>
  <c r="DL147"/>
  <c r="DM147"/>
  <c r="DN147"/>
  <c r="DO147"/>
  <c r="DP147"/>
  <c r="DQ147"/>
  <c r="DR147"/>
  <c r="DS147"/>
  <c r="DT147"/>
  <c r="DU147"/>
  <c r="DV147"/>
  <c r="DW147"/>
  <c r="DX147"/>
  <c r="DY147"/>
  <c r="DZ147"/>
  <c r="EA147"/>
  <c r="EB147"/>
  <c r="EC147"/>
  <c r="ED147"/>
  <c r="EE147"/>
  <c r="EF147"/>
  <c r="EG147"/>
  <c r="EH147"/>
  <c r="EI147"/>
  <c r="EJ147"/>
  <c r="EK147"/>
  <c r="EL147"/>
  <c r="EM147"/>
  <c r="EN147"/>
  <c r="EO147"/>
  <c r="EP147"/>
  <c r="EQ147"/>
  <c r="ER147"/>
  <c r="ES147"/>
  <c r="ET147"/>
  <c r="EU147"/>
  <c r="EV147"/>
  <c r="EW147"/>
  <c r="EX147"/>
  <c r="EY147"/>
  <c r="EZ147"/>
  <c r="FA147"/>
  <c r="FB147"/>
  <c r="FC147"/>
  <c r="FD147"/>
  <c r="FE147"/>
  <c r="FF147"/>
  <c r="FG147"/>
  <c r="FH147"/>
  <c r="FI147"/>
  <c r="FJ147"/>
  <c r="FK147"/>
  <c r="FL147"/>
  <c r="FM147"/>
  <c r="FN147"/>
  <c r="FO147"/>
  <c r="FP147"/>
  <c r="FQ147"/>
  <c r="FR147"/>
  <c r="FS147"/>
  <c r="CN148"/>
  <c r="CO148"/>
  <c r="CP148"/>
  <c r="CQ148"/>
  <c r="CR148"/>
  <c r="CV148"/>
  <c r="I148" i="1" s="1"/>
  <c r="K148" s="1"/>
  <c r="DB148" i="2"/>
  <c r="DC148"/>
  <c r="DD148"/>
  <c r="DE148"/>
  <c r="DF148"/>
  <c r="DG148"/>
  <c r="DH148"/>
  <c r="DI148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K148"/>
  <c r="EL148"/>
  <c r="EM148"/>
  <c r="EN148"/>
  <c r="EO148"/>
  <c r="EP148"/>
  <c r="EQ148"/>
  <c r="ER148"/>
  <c r="ES148"/>
  <c r="ET148"/>
  <c r="EU148"/>
  <c r="EV148"/>
  <c r="EW148"/>
  <c r="EX148"/>
  <c r="EY148"/>
  <c r="EZ148"/>
  <c r="FA148"/>
  <c r="FB148"/>
  <c r="FC148"/>
  <c r="FD148"/>
  <c r="FE148"/>
  <c r="FF148"/>
  <c r="FG148"/>
  <c r="FH148"/>
  <c r="FI148"/>
  <c r="FJ148"/>
  <c r="FK148"/>
  <c r="FL148"/>
  <c r="FM148"/>
  <c r="FN148"/>
  <c r="FO148"/>
  <c r="FP148"/>
  <c r="FQ148"/>
  <c r="FR148"/>
  <c r="FS148"/>
  <c r="CN149"/>
  <c r="CO149"/>
  <c r="CP149"/>
  <c r="CQ149"/>
  <c r="CR149"/>
  <c r="CV149"/>
  <c r="I149" i="1" s="1"/>
  <c r="K149" s="1"/>
  <c r="DB149" i="2"/>
  <c r="DC149"/>
  <c r="DD149"/>
  <c r="DE149"/>
  <c r="DF149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L149"/>
  <c r="EM149"/>
  <c r="EN149"/>
  <c r="EO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FH149"/>
  <c r="FI149"/>
  <c r="FJ149"/>
  <c r="FK149"/>
  <c r="FL149"/>
  <c r="FM149"/>
  <c r="FN149"/>
  <c r="FO149"/>
  <c r="FP149"/>
  <c r="FQ149"/>
  <c r="FR149"/>
  <c r="FS149"/>
  <c r="CN150"/>
  <c r="CO150"/>
  <c r="CP150"/>
  <c r="CQ150"/>
  <c r="CR150"/>
  <c r="CV150"/>
  <c r="I150" i="1" s="1"/>
  <c r="K150" s="1"/>
  <c r="DB150" i="2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CN151"/>
  <c r="CO151"/>
  <c r="CP151"/>
  <c r="CQ151"/>
  <c r="CR151"/>
  <c r="CV151"/>
  <c r="I151" i="1" s="1"/>
  <c r="K151" s="1"/>
  <c r="DB151" i="2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CN152"/>
  <c r="CO152"/>
  <c r="CP152"/>
  <c r="CQ152"/>
  <c r="CR152"/>
  <c r="CV152"/>
  <c r="I152" i="1" s="1"/>
  <c r="K152" s="1"/>
  <c r="DB152" i="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CN153"/>
  <c r="CO153"/>
  <c r="CP153"/>
  <c r="CQ153"/>
  <c r="CR153"/>
  <c r="CV153"/>
  <c r="I153" i="1" s="1"/>
  <c r="K153" s="1"/>
  <c r="DB153" i="2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I146" i="1" s="1"/>
  <c r="K146" s="1"/>
  <c r="CR146" i="2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I145" i="1" s="1"/>
  <c r="K145" s="1"/>
  <c r="CR145" i="2"/>
  <c r="CQ145"/>
  <c r="CP145"/>
  <c r="CO145"/>
  <c r="CN145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I143" i="1" s="1"/>
  <c r="K143" s="1"/>
  <c r="CR143" i="2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I142" i="1" s="1"/>
  <c r="K142" s="1"/>
  <c r="CR142" i="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I141" i="1" s="1"/>
  <c r="K141" s="1"/>
  <c r="CR141" i="2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I140" i="1" s="1"/>
  <c r="K140" s="1"/>
  <c r="CR140" i="2"/>
  <c r="CQ140"/>
  <c r="CP140"/>
  <c r="CO140"/>
  <c r="CN140"/>
  <c r="CN126"/>
  <c r="CO126"/>
  <c r="CP126"/>
  <c r="CQ126"/>
  <c r="CR126"/>
  <c r="CV126"/>
  <c r="I126" i="1" s="1"/>
  <c r="K126" s="1"/>
  <c r="DB126" i="2"/>
  <c r="DC126"/>
  <c r="DD126"/>
  <c r="DE126"/>
  <c r="DF126"/>
  <c r="DG126"/>
  <c r="DH126"/>
  <c r="DI126"/>
  <c r="DJ126"/>
  <c r="DK126"/>
  <c r="DL126"/>
  <c r="DM126"/>
  <c r="DN126"/>
  <c r="DO126"/>
  <c r="DP126"/>
  <c r="DQ126"/>
  <c r="DR126"/>
  <c r="DS126"/>
  <c r="DT126"/>
  <c r="DU126"/>
  <c r="DV126"/>
  <c r="DW126"/>
  <c r="DX126"/>
  <c r="DY126"/>
  <c r="DZ126"/>
  <c r="EA126"/>
  <c r="EB126"/>
  <c r="EC126"/>
  <c r="ED126"/>
  <c r="EE126"/>
  <c r="EF126"/>
  <c r="EG126"/>
  <c r="EH126"/>
  <c r="EI126"/>
  <c r="EJ126"/>
  <c r="EK126"/>
  <c r="EL126"/>
  <c r="EM126"/>
  <c r="EN126"/>
  <c r="EO126"/>
  <c r="EP126"/>
  <c r="EQ126"/>
  <c r="ER126"/>
  <c r="ES126"/>
  <c r="ET126"/>
  <c r="EU126"/>
  <c r="EV126"/>
  <c r="EW126"/>
  <c r="EX126"/>
  <c r="EY126"/>
  <c r="EZ126"/>
  <c r="FA126"/>
  <c r="FB126"/>
  <c r="FC126"/>
  <c r="FD126"/>
  <c r="FE126"/>
  <c r="FF126"/>
  <c r="FG126"/>
  <c r="FH126"/>
  <c r="FI126"/>
  <c r="FJ126"/>
  <c r="FK126"/>
  <c r="FL126"/>
  <c r="FM126"/>
  <c r="FN126"/>
  <c r="FO126"/>
  <c r="FP126"/>
  <c r="FQ126"/>
  <c r="FR126"/>
  <c r="FS126"/>
  <c r="CN127"/>
  <c r="CO127"/>
  <c r="CP127"/>
  <c r="CQ127"/>
  <c r="CR127"/>
  <c r="CV127"/>
  <c r="I127" i="1" s="1"/>
  <c r="K127" s="1"/>
  <c r="DB127" i="2"/>
  <c r="DC127"/>
  <c r="DD127"/>
  <c r="DE127"/>
  <c r="DF127"/>
  <c r="DG127"/>
  <c r="DH127"/>
  <c r="DI127"/>
  <c r="DJ127"/>
  <c r="DK127"/>
  <c r="DL127"/>
  <c r="DM127"/>
  <c r="DN127"/>
  <c r="DO127"/>
  <c r="DP127"/>
  <c r="DQ127"/>
  <c r="DR127"/>
  <c r="DS127"/>
  <c r="DT127"/>
  <c r="DU127"/>
  <c r="DV127"/>
  <c r="DW127"/>
  <c r="DX127"/>
  <c r="DY127"/>
  <c r="DZ127"/>
  <c r="EA127"/>
  <c r="EB127"/>
  <c r="EC127"/>
  <c r="ED127"/>
  <c r="EE127"/>
  <c r="EF127"/>
  <c r="EG127"/>
  <c r="EH127"/>
  <c r="EI127"/>
  <c r="EJ127"/>
  <c r="EK127"/>
  <c r="EL127"/>
  <c r="EM127"/>
  <c r="EN127"/>
  <c r="EO127"/>
  <c r="EP127"/>
  <c r="EQ127"/>
  <c r="ER127"/>
  <c r="ES127"/>
  <c r="ET127"/>
  <c r="EU127"/>
  <c r="EV127"/>
  <c r="EW127"/>
  <c r="EX127"/>
  <c r="EY127"/>
  <c r="EZ127"/>
  <c r="FA127"/>
  <c r="FB127"/>
  <c r="FC127"/>
  <c r="FD127"/>
  <c r="FE127"/>
  <c r="FF127"/>
  <c r="FG127"/>
  <c r="FH127"/>
  <c r="FI127"/>
  <c r="FJ127"/>
  <c r="FK127"/>
  <c r="FL127"/>
  <c r="FM127"/>
  <c r="FN127"/>
  <c r="FO127"/>
  <c r="FP127"/>
  <c r="FQ127"/>
  <c r="FR127"/>
  <c r="FS127"/>
  <c r="CN128"/>
  <c r="CO128"/>
  <c r="CP128"/>
  <c r="CQ128"/>
  <c r="CR128"/>
  <c r="CV128"/>
  <c r="I128" i="1" s="1"/>
  <c r="K128" s="1"/>
  <c r="DB128" i="2"/>
  <c r="DC128"/>
  <c r="DD128"/>
  <c r="DE128"/>
  <c r="DF128"/>
  <c r="DG128"/>
  <c r="DH128"/>
  <c r="DI128"/>
  <c r="DJ128"/>
  <c r="DK128"/>
  <c r="DL128"/>
  <c r="DM128"/>
  <c r="DN128"/>
  <c r="DO128"/>
  <c r="DP128"/>
  <c r="DQ128"/>
  <c r="DR128"/>
  <c r="DS128"/>
  <c r="DT128"/>
  <c r="DU128"/>
  <c r="DV128"/>
  <c r="DW128"/>
  <c r="DX128"/>
  <c r="DY128"/>
  <c r="DZ128"/>
  <c r="EA128"/>
  <c r="EB128"/>
  <c r="EC128"/>
  <c r="ED128"/>
  <c r="EE128"/>
  <c r="EF128"/>
  <c r="EG128"/>
  <c r="EH128"/>
  <c r="EI128"/>
  <c r="EJ128"/>
  <c r="EK128"/>
  <c r="EL128"/>
  <c r="EM128"/>
  <c r="EN128"/>
  <c r="EO128"/>
  <c r="EP128"/>
  <c r="EQ128"/>
  <c r="ER128"/>
  <c r="ES128"/>
  <c r="ET128"/>
  <c r="EU128"/>
  <c r="EV128"/>
  <c r="EW128"/>
  <c r="EX128"/>
  <c r="EY128"/>
  <c r="EZ128"/>
  <c r="FA128"/>
  <c r="FB128"/>
  <c r="FC128"/>
  <c r="FD128"/>
  <c r="FE128"/>
  <c r="FF128"/>
  <c r="FG128"/>
  <c r="FH128"/>
  <c r="FI128"/>
  <c r="FJ128"/>
  <c r="FK128"/>
  <c r="FL128"/>
  <c r="FM128"/>
  <c r="FN128"/>
  <c r="FO128"/>
  <c r="FP128"/>
  <c r="FQ128"/>
  <c r="FR128"/>
  <c r="FS128"/>
  <c r="CN129"/>
  <c r="CO129"/>
  <c r="CP129"/>
  <c r="CQ129"/>
  <c r="CR129"/>
  <c r="CV129"/>
  <c r="I129" i="1" s="1"/>
  <c r="K129" s="1"/>
  <c r="DB129" i="2"/>
  <c r="DC129"/>
  <c r="DD129"/>
  <c r="DE129"/>
  <c r="DF129"/>
  <c r="DG129"/>
  <c r="DH129"/>
  <c r="DI129"/>
  <c r="DJ129"/>
  <c r="DK129"/>
  <c r="DL129"/>
  <c r="DM129"/>
  <c r="DN129"/>
  <c r="DO129"/>
  <c r="DP129"/>
  <c r="DQ129"/>
  <c r="DR129"/>
  <c r="DS129"/>
  <c r="DT129"/>
  <c r="DU129"/>
  <c r="DV129"/>
  <c r="DW129"/>
  <c r="DX129"/>
  <c r="DY129"/>
  <c r="DZ129"/>
  <c r="EA129"/>
  <c r="EB129"/>
  <c r="EC129"/>
  <c r="ED129"/>
  <c r="EE129"/>
  <c r="EF129"/>
  <c r="EG129"/>
  <c r="EH129"/>
  <c r="EI129"/>
  <c r="EJ129"/>
  <c r="EK129"/>
  <c r="EL129"/>
  <c r="EM129"/>
  <c r="EN129"/>
  <c r="EO129"/>
  <c r="EP129"/>
  <c r="EQ129"/>
  <c r="ER129"/>
  <c r="ES129"/>
  <c r="ET129"/>
  <c r="EU129"/>
  <c r="EV129"/>
  <c r="EW129"/>
  <c r="EX129"/>
  <c r="EY129"/>
  <c r="EZ129"/>
  <c r="FA129"/>
  <c r="FB129"/>
  <c r="FC129"/>
  <c r="FD129"/>
  <c r="FE129"/>
  <c r="FF129"/>
  <c r="FG129"/>
  <c r="FH129"/>
  <c r="FI129"/>
  <c r="FJ129"/>
  <c r="FK129"/>
  <c r="FL129"/>
  <c r="FM129"/>
  <c r="FN129"/>
  <c r="FO129"/>
  <c r="FP129"/>
  <c r="FQ129"/>
  <c r="FR129"/>
  <c r="FS129"/>
  <c r="CN130"/>
  <c r="CO130"/>
  <c r="CP130"/>
  <c r="CQ130"/>
  <c r="CR130"/>
  <c r="CV130"/>
  <c r="I130" i="1" s="1"/>
  <c r="K130" s="1"/>
  <c r="DB130" i="2"/>
  <c r="DC130"/>
  <c r="DD130"/>
  <c r="DE130"/>
  <c r="DF130"/>
  <c r="DG130"/>
  <c r="DH130"/>
  <c r="DI130"/>
  <c r="DJ130"/>
  <c r="DK130"/>
  <c r="DL130"/>
  <c r="DM130"/>
  <c r="DN130"/>
  <c r="DO130"/>
  <c r="DP130"/>
  <c r="DQ130"/>
  <c r="DR130"/>
  <c r="DS130"/>
  <c r="DT130"/>
  <c r="DU130"/>
  <c r="DV130"/>
  <c r="DW130"/>
  <c r="DX130"/>
  <c r="DY130"/>
  <c r="DZ130"/>
  <c r="EA130"/>
  <c r="EB130"/>
  <c r="EC130"/>
  <c r="ED130"/>
  <c r="EE130"/>
  <c r="EF130"/>
  <c r="EG130"/>
  <c r="EH130"/>
  <c r="EI130"/>
  <c r="EJ130"/>
  <c r="EK130"/>
  <c r="EL130"/>
  <c r="EM130"/>
  <c r="EN130"/>
  <c r="EO130"/>
  <c r="EP130"/>
  <c r="EQ130"/>
  <c r="ER130"/>
  <c r="ES130"/>
  <c r="ET130"/>
  <c r="EU130"/>
  <c r="EV130"/>
  <c r="EW130"/>
  <c r="EX130"/>
  <c r="EY130"/>
  <c r="EZ130"/>
  <c r="FA130"/>
  <c r="FB130"/>
  <c r="FC130"/>
  <c r="FD130"/>
  <c r="FE130"/>
  <c r="FF130"/>
  <c r="FG130"/>
  <c r="FH130"/>
  <c r="FI130"/>
  <c r="FJ130"/>
  <c r="FK130"/>
  <c r="FL130"/>
  <c r="FM130"/>
  <c r="FN130"/>
  <c r="FO130"/>
  <c r="FP130"/>
  <c r="FQ130"/>
  <c r="FR130"/>
  <c r="FS130"/>
  <c r="CN131"/>
  <c r="CO131"/>
  <c r="CP131"/>
  <c r="CQ131"/>
  <c r="CR131"/>
  <c r="CV131"/>
  <c r="I131" i="1" s="1"/>
  <c r="K131" s="1"/>
  <c r="DB131" i="2"/>
  <c r="DC131"/>
  <c r="DD131"/>
  <c r="DE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EK131"/>
  <c r="EL131"/>
  <c r="EM131"/>
  <c r="EN131"/>
  <c r="EO131"/>
  <c r="EP131"/>
  <c r="EQ131"/>
  <c r="ER131"/>
  <c r="ES131"/>
  <c r="ET131"/>
  <c r="EU131"/>
  <c r="EV131"/>
  <c r="EW131"/>
  <c r="EX131"/>
  <c r="EY131"/>
  <c r="EZ131"/>
  <c r="FA131"/>
  <c r="FB131"/>
  <c r="FC131"/>
  <c r="FD131"/>
  <c r="FE131"/>
  <c r="FF131"/>
  <c r="FG131"/>
  <c r="FH131"/>
  <c r="FI131"/>
  <c r="FJ131"/>
  <c r="FK131"/>
  <c r="FL131"/>
  <c r="FM131"/>
  <c r="FN131"/>
  <c r="FO131"/>
  <c r="FP131"/>
  <c r="FQ131"/>
  <c r="FR131"/>
  <c r="FS131"/>
  <c r="CN132"/>
  <c r="CO132"/>
  <c r="CP132"/>
  <c r="CQ132"/>
  <c r="CR132"/>
  <c r="CV132"/>
  <c r="I132" i="1" s="1"/>
  <c r="K132" s="1"/>
  <c r="DB132" i="2"/>
  <c r="DC132"/>
  <c r="DD132"/>
  <c r="DE132"/>
  <c r="DF132"/>
  <c r="DG132"/>
  <c r="DH132"/>
  <c r="DI132"/>
  <c r="DJ132"/>
  <c r="DK132"/>
  <c r="DL132"/>
  <c r="DM132"/>
  <c r="DN132"/>
  <c r="DO132"/>
  <c r="DP132"/>
  <c r="DQ132"/>
  <c r="DR132"/>
  <c r="DS132"/>
  <c r="DT132"/>
  <c r="DU132"/>
  <c r="DV132"/>
  <c r="DW132"/>
  <c r="DX132"/>
  <c r="DY132"/>
  <c r="DZ132"/>
  <c r="EA132"/>
  <c r="EB132"/>
  <c r="EC132"/>
  <c r="ED132"/>
  <c r="EE132"/>
  <c r="EF132"/>
  <c r="EG132"/>
  <c r="EH132"/>
  <c r="EI132"/>
  <c r="EJ132"/>
  <c r="EK132"/>
  <c r="EL132"/>
  <c r="EM132"/>
  <c r="EN132"/>
  <c r="EO132"/>
  <c r="EP132"/>
  <c r="EQ132"/>
  <c r="ER132"/>
  <c r="ES132"/>
  <c r="ET132"/>
  <c r="EU132"/>
  <c r="EV132"/>
  <c r="EW132"/>
  <c r="EX132"/>
  <c r="EY132"/>
  <c r="EZ132"/>
  <c r="FA132"/>
  <c r="FB132"/>
  <c r="FC132"/>
  <c r="FD132"/>
  <c r="FE132"/>
  <c r="FF132"/>
  <c r="FG132"/>
  <c r="FH132"/>
  <c r="FI132"/>
  <c r="FJ132"/>
  <c r="FK132"/>
  <c r="FL132"/>
  <c r="FM132"/>
  <c r="FN132"/>
  <c r="FO132"/>
  <c r="FP132"/>
  <c r="FQ132"/>
  <c r="FR132"/>
  <c r="FS132"/>
  <c r="CN133"/>
  <c r="CO133"/>
  <c r="CP133"/>
  <c r="CQ133"/>
  <c r="CR133"/>
  <c r="CV133"/>
  <c r="I133" i="1" s="1"/>
  <c r="K133" s="1"/>
  <c r="DB133" i="2"/>
  <c r="DC133"/>
  <c r="DD133"/>
  <c r="DE133"/>
  <c r="DF133"/>
  <c r="DG133"/>
  <c r="DH133"/>
  <c r="DI133"/>
  <c r="DJ133"/>
  <c r="DK133"/>
  <c r="DL133"/>
  <c r="DM133"/>
  <c r="DN133"/>
  <c r="DO133"/>
  <c r="DP133"/>
  <c r="DQ133"/>
  <c r="DR133"/>
  <c r="DS133"/>
  <c r="DT133"/>
  <c r="DU133"/>
  <c r="DV133"/>
  <c r="DW133"/>
  <c r="DX133"/>
  <c r="DY133"/>
  <c r="DZ133"/>
  <c r="EA133"/>
  <c r="EB133"/>
  <c r="EC133"/>
  <c r="ED133"/>
  <c r="EE133"/>
  <c r="EF133"/>
  <c r="EG133"/>
  <c r="EH133"/>
  <c r="EI133"/>
  <c r="EJ133"/>
  <c r="EK133"/>
  <c r="EL133"/>
  <c r="EM133"/>
  <c r="EN133"/>
  <c r="EO133"/>
  <c r="EP133"/>
  <c r="EQ133"/>
  <c r="ER133"/>
  <c r="ES133"/>
  <c r="ET133"/>
  <c r="EU133"/>
  <c r="EV133"/>
  <c r="EW133"/>
  <c r="EX133"/>
  <c r="EY133"/>
  <c r="EZ133"/>
  <c r="FA133"/>
  <c r="FB133"/>
  <c r="FC133"/>
  <c r="FD133"/>
  <c r="FE133"/>
  <c r="FF133"/>
  <c r="FG133"/>
  <c r="FH133"/>
  <c r="FI133"/>
  <c r="FJ133"/>
  <c r="FK133"/>
  <c r="FL133"/>
  <c r="FM133"/>
  <c r="FN133"/>
  <c r="FO133"/>
  <c r="FP133"/>
  <c r="FQ133"/>
  <c r="FR133"/>
  <c r="FS133"/>
  <c r="CN134"/>
  <c r="CO134"/>
  <c r="CP134"/>
  <c r="CQ134"/>
  <c r="CR134"/>
  <c r="CV134"/>
  <c r="I134" i="1" s="1"/>
  <c r="K134" s="1"/>
  <c r="DB134" i="2"/>
  <c r="DC134"/>
  <c r="DD134"/>
  <c r="DE134"/>
  <c r="DF134"/>
  <c r="DG134"/>
  <c r="DH134"/>
  <c r="DI134"/>
  <c r="DJ134"/>
  <c r="DK134"/>
  <c r="DL134"/>
  <c r="DM134"/>
  <c r="DN134"/>
  <c r="DO134"/>
  <c r="DP134"/>
  <c r="DQ134"/>
  <c r="DR134"/>
  <c r="DS134"/>
  <c r="DT134"/>
  <c r="DU134"/>
  <c r="DV134"/>
  <c r="DW134"/>
  <c r="DX134"/>
  <c r="DY134"/>
  <c r="DZ134"/>
  <c r="EA134"/>
  <c r="EB134"/>
  <c r="EC134"/>
  <c r="ED134"/>
  <c r="EE134"/>
  <c r="EF134"/>
  <c r="EG134"/>
  <c r="EH134"/>
  <c r="EI134"/>
  <c r="EJ134"/>
  <c r="EK134"/>
  <c r="EL134"/>
  <c r="EM134"/>
  <c r="EN134"/>
  <c r="EO134"/>
  <c r="EP134"/>
  <c r="EQ134"/>
  <c r="ER134"/>
  <c r="ES134"/>
  <c r="ET134"/>
  <c r="EU134"/>
  <c r="EV134"/>
  <c r="EW134"/>
  <c r="EX134"/>
  <c r="EY134"/>
  <c r="EZ134"/>
  <c r="FA134"/>
  <c r="FB134"/>
  <c r="FC134"/>
  <c r="FD134"/>
  <c r="FE134"/>
  <c r="FF134"/>
  <c r="FG134"/>
  <c r="FH134"/>
  <c r="FI134"/>
  <c r="FJ134"/>
  <c r="FK134"/>
  <c r="FL134"/>
  <c r="FM134"/>
  <c r="FN134"/>
  <c r="FO134"/>
  <c r="FP134"/>
  <c r="FQ134"/>
  <c r="FR134"/>
  <c r="FS134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CU153" l="1"/>
  <c r="CU150"/>
  <c r="CU149"/>
  <c r="CU147"/>
  <c r="CU128"/>
  <c r="CU140"/>
  <c r="CU141"/>
  <c r="CU134"/>
  <c r="CU143"/>
  <c r="CU132"/>
  <c r="CU126"/>
  <c r="CU131"/>
  <c r="CU146"/>
  <c r="CU148"/>
  <c r="CU125"/>
  <c r="CU129"/>
  <c r="CU142"/>
  <c r="CU133"/>
  <c r="CU127"/>
  <c r="CU152"/>
  <c r="CU151"/>
  <c r="CU130"/>
  <c r="CU145"/>
  <c r="B125" i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G73" i="4" s="1"/>
  <c r="I72" i="2"/>
  <c r="G72" i="4" s="1"/>
  <c r="I71" i="2"/>
  <c r="G71" i="4" s="1"/>
  <c r="I70" i="2"/>
  <c r="G70" i="4" s="1"/>
  <c r="I69" i="2"/>
  <c r="G69" i="4" s="1"/>
  <c r="I68" i="2"/>
  <c r="G68" i="4" s="1"/>
  <c r="I67" i="2"/>
  <c r="G67" i="4" s="1"/>
  <c r="I66" i="2"/>
  <c r="G66" i="4" s="1"/>
  <c r="I65" i="2"/>
  <c r="G65" i="4" s="1"/>
  <c r="I64" i="2"/>
  <c r="G64" i="4" s="1"/>
  <c r="I63" i="2"/>
  <c r="G63" i="4" s="1"/>
  <c r="I62" i="2"/>
  <c r="G62" i="4" s="1"/>
  <c r="I61" i="2"/>
  <c r="G61" i="4" s="1"/>
  <c r="I60" i="2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G47" i="4" s="1"/>
  <c r="I46" i="2"/>
  <c r="G46" i="4" s="1"/>
  <c r="I45" i="2"/>
  <c r="G45" i="4" s="1"/>
  <c r="I44" i="2"/>
  <c r="G44" i="4" s="1"/>
  <c r="I43" i="2"/>
  <c r="G43" i="4" s="1"/>
  <c r="I42" i="2"/>
  <c r="G42" i="4" s="1"/>
  <c r="I41" i="2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G32" i="4" s="1"/>
  <c r="I31" i="2"/>
  <c r="G31" i="4" s="1"/>
  <c r="I30" i="2"/>
  <c r="G30" i="4" s="1"/>
  <c r="I29" i="2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G10" i="4" s="1"/>
  <c r="I11" i="2"/>
  <c r="G11" i="4" s="1"/>
  <c r="I12" i="2"/>
  <c r="G12" i="4" s="1"/>
  <c r="I13" i="2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G22" i="4" s="1"/>
  <c r="I23" i="2"/>
  <c r="G23" i="4" s="1"/>
  <c r="I24" i="2"/>
  <c r="G24" i="4" s="1"/>
  <c r="I25" i="2"/>
  <c r="G25" i="4" s="1"/>
  <c r="I26" i="2"/>
  <c r="G26" i="4" s="1"/>
  <c r="I3" i="2"/>
  <c r="G3" i="4" s="1"/>
  <c r="G27"/>
  <c r="G52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2" i="1"/>
  <c r="B93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B124" i="1"/>
  <c r="B123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B122" i="1"/>
  <c r="FS122" i="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R122"/>
  <c r="CQ122"/>
  <c r="CP122"/>
  <c r="CO122"/>
  <c r="CN122"/>
  <c r="B91" i="1"/>
  <c r="B90"/>
  <c r="B89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Q80" s="1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8" i="4" l="1"/>
  <c r="M14"/>
  <c r="M6"/>
  <c r="M9"/>
  <c r="M12"/>
  <c r="M15"/>
  <c r="M18"/>
  <c r="M21"/>
  <c r="M17"/>
  <c r="M20"/>
  <c r="M5"/>
  <c r="M11"/>
  <c r="M4"/>
  <c r="M7"/>
  <c r="M10"/>
  <c r="M13"/>
  <c r="M16"/>
  <c r="M19"/>
  <c r="H89" i="1"/>
  <c r="J89" s="1"/>
  <c r="I89"/>
  <c r="H125"/>
  <c r="J125" s="1"/>
  <c r="I125"/>
  <c r="K125" s="1"/>
  <c r="M86"/>
  <c r="M85"/>
  <c r="M84"/>
  <c r="M83"/>
  <c r="M122"/>
  <c r="I122"/>
  <c r="K122" s="1"/>
  <c r="M82"/>
  <c r="M81"/>
  <c r="M124"/>
  <c r="I124"/>
  <c r="K124" s="1"/>
  <c r="M80"/>
  <c r="M123"/>
  <c r="I123"/>
  <c r="M79"/>
  <c r="M92"/>
  <c r="I92"/>
  <c r="H78"/>
  <c r="J78" s="1"/>
  <c r="H91"/>
  <c r="J91" s="1"/>
  <c r="I91"/>
  <c r="M93"/>
  <c r="I93"/>
  <c r="H90"/>
  <c r="J90" s="1"/>
  <c r="I90"/>
  <c r="H92"/>
  <c r="J92" s="1"/>
  <c r="H79"/>
  <c r="J79" s="1"/>
  <c r="M87"/>
  <c r="H93"/>
  <c r="J93" s="1"/>
  <c r="H80"/>
  <c r="J80" s="1"/>
  <c r="M89"/>
  <c r="H122"/>
  <c r="J122" s="1"/>
  <c r="H81"/>
  <c r="J81" s="1"/>
  <c r="M90"/>
  <c r="H123"/>
  <c r="J123" s="1"/>
  <c r="H82"/>
  <c r="J82" s="1"/>
  <c r="M91"/>
  <c r="M78"/>
  <c r="H124"/>
  <c r="J124" s="1"/>
  <c r="H83"/>
  <c r="J83" s="1"/>
  <c r="H84"/>
  <c r="J84" s="1"/>
  <c r="H85"/>
  <c r="J85" s="1"/>
  <c r="H86"/>
  <c r="J86" s="1"/>
  <c r="H87"/>
  <c r="J87" s="1"/>
  <c r="M125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124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2" i="2"/>
  <c r="CU123"/>
  <c r="CU122"/>
  <c r="CU93"/>
  <c r="CU89"/>
  <c r="CU91"/>
  <c r="CU90"/>
  <c r="AB84" i="3"/>
  <c r="AB78"/>
  <c r="AB85"/>
  <c r="AB79"/>
  <c r="AB87"/>
  <c r="AB77"/>
  <c r="AB83"/>
  <c r="AB81"/>
  <c r="AB82"/>
  <c r="AB86"/>
  <c r="AB80"/>
  <c r="K89" i="1" l="1"/>
  <c r="K92"/>
  <c r="K91"/>
  <c r="K90"/>
  <c r="K123"/>
  <c r="K93"/>
  <c r="A3" i="4"/>
  <c r="B3"/>
  <c r="C3"/>
  <c r="D3"/>
  <c r="A46" i="3"/>
  <c r="B46"/>
  <c r="C46"/>
  <c r="Q46" s="1"/>
  <c r="D46"/>
  <c r="R46" s="1"/>
  <c r="W46" s="1"/>
  <c r="E46"/>
  <c r="S46" s="1"/>
  <c r="X46" s="1"/>
  <c r="F46"/>
  <c r="T46" s="1"/>
  <c r="Y46" s="1"/>
  <c r="G46"/>
  <c r="U46" s="1"/>
  <c r="Z46" s="1"/>
  <c r="H46"/>
  <c r="V46" s="1"/>
  <c r="AA46" s="1"/>
  <c r="I46"/>
  <c r="J46"/>
  <c r="K46"/>
  <c r="L46"/>
  <c r="M46"/>
  <c r="N46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Q50" s="1"/>
  <c r="D50"/>
  <c r="R50" s="1"/>
  <c r="W50" s="1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R58" s="1"/>
  <c r="W58" s="1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Q70" s="1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3" l="1"/>
  <c r="M58" i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Q10" s="1"/>
  <c r="D10"/>
  <c r="R10" s="1"/>
  <c r="W10" s="1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R25" s="1"/>
  <c r="W25" s="1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R31" s="1"/>
  <c r="W31" s="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A32"/>
  <c r="B32"/>
  <c r="C32"/>
  <c r="Q32" s="1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Q40" s="1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Q93" s="1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CR66" i="2" l="1"/>
  <c r="H65" i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J11" s="1"/>
  <c r="H29"/>
  <c r="J29" s="1"/>
  <c r="M29"/>
  <c r="H41"/>
  <c r="J41" s="1"/>
  <c r="M41"/>
  <c r="H53"/>
  <c r="M53"/>
  <c r="M10"/>
  <c r="H10"/>
  <c r="H28"/>
  <c r="M28"/>
  <c r="H40"/>
  <c r="J40" s="1"/>
  <c r="M40"/>
  <c r="H52"/>
  <c r="J52" s="1"/>
  <c r="M52"/>
  <c r="M9"/>
  <c r="H9"/>
  <c r="H27"/>
  <c r="M27"/>
  <c r="H39"/>
  <c r="J39" s="1"/>
  <c r="M39"/>
  <c r="H51"/>
  <c r="J51" s="1"/>
  <c r="M51"/>
  <c r="M8"/>
  <c r="H8"/>
  <c r="J8" s="1"/>
  <c r="M26"/>
  <c r="H26"/>
  <c r="J26" s="1"/>
  <c r="M38"/>
  <c r="H38"/>
  <c r="J38" s="1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J6" s="1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53"/>
  <c r="J10"/>
  <c r="J9"/>
  <c r="J27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28" i="1"/>
  <c r="CU45" i="2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M3" i="1" l="1"/>
  <c r="E199" i="8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6"/>
  <c r="E25"/>
  <c r="E24"/>
  <c r="E23"/>
  <c r="E22"/>
  <c r="E21"/>
  <c r="E20"/>
  <c r="E19"/>
  <c r="E18"/>
  <c r="E17"/>
  <c r="E16"/>
  <c r="E15"/>
  <c r="E13"/>
  <c r="E12"/>
  <c r="E11"/>
  <c r="E10"/>
  <c r="E9"/>
  <c r="E8"/>
  <c r="E7"/>
  <c r="E6"/>
  <c r="E5"/>
  <c r="E4"/>
  <c r="E3"/>
  <c r="E2"/>
  <c r="E68" i="7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59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DB160"/>
  <c r="DC160"/>
  <c r="DD160"/>
  <c r="DE160"/>
  <c r="DF160"/>
  <c r="DG160"/>
  <c r="DH160"/>
  <c r="DI160"/>
  <c r="DJ160"/>
  <c r="DK160"/>
  <c r="DL160"/>
  <c r="DM160"/>
  <c r="DN160"/>
  <c r="DO160"/>
  <c r="DP160"/>
  <c r="DQ160"/>
  <c r="DR160"/>
  <c r="DS160"/>
  <c r="DT160"/>
  <c r="DU160"/>
  <c r="DV160"/>
  <c r="DW160"/>
  <c r="DX160"/>
  <c r="DY160"/>
  <c r="DZ160"/>
  <c r="EA160"/>
  <c r="EB160"/>
  <c r="EC160"/>
  <c r="ED160"/>
  <c r="EE160"/>
  <c r="EF160"/>
  <c r="EG160"/>
  <c r="EH160"/>
  <c r="EI160"/>
  <c r="EJ160"/>
  <c r="EK160"/>
  <c r="EL160"/>
  <c r="EM160"/>
  <c r="EN160"/>
  <c r="EO160"/>
  <c r="EP160"/>
  <c r="EQ160"/>
  <c r="ER160"/>
  <c r="ES160"/>
  <c r="ET160"/>
  <c r="EU160"/>
  <c r="EV160"/>
  <c r="EW160"/>
  <c r="EX160"/>
  <c r="EY160"/>
  <c r="EZ160"/>
  <c r="FA160"/>
  <c r="FB160"/>
  <c r="FC160"/>
  <c r="FD160"/>
  <c r="FE160"/>
  <c r="FF160"/>
  <c r="FG160"/>
  <c r="FH160"/>
  <c r="FI160"/>
  <c r="FJ160"/>
  <c r="FK160"/>
  <c r="FL160"/>
  <c r="FM160"/>
  <c r="FN160"/>
  <c r="FO160"/>
  <c r="FP160"/>
  <c r="FQ160"/>
  <c r="FR160"/>
  <c r="FS160"/>
  <c r="DB161"/>
  <c r="DC161"/>
  <c r="DD161"/>
  <c r="DE161"/>
  <c r="DF161"/>
  <c r="DG161"/>
  <c r="DH161"/>
  <c r="DI161"/>
  <c r="DJ161"/>
  <c r="DK161"/>
  <c r="DL161"/>
  <c r="DM161"/>
  <c r="DN161"/>
  <c r="DO161"/>
  <c r="DP161"/>
  <c r="DQ161"/>
  <c r="DR161"/>
  <c r="DS161"/>
  <c r="DT161"/>
  <c r="DU161"/>
  <c r="DV161"/>
  <c r="DW161"/>
  <c r="DX161"/>
  <c r="DY161"/>
  <c r="DZ161"/>
  <c r="EA161"/>
  <c r="EB161"/>
  <c r="EC161"/>
  <c r="ED161"/>
  <c r="EE161"/>
  <c r="EF161"/>
  <c r="EG161"/>
  <c r="EH161"/>
  <c r="EI161"/>
  <c r="EJ161"/>
  <c r="EK161"/>
  <c r="EL161"/>
  <c r="EM161"/>
  <c r="EN161"/>
  <c r="EO161"/>
  <c r="EP161"/>
  <c r="EQ161"/>
  <c r="ER161"/>
  <c r="ES161"/>
  <c r="ET161"/>
  <c r="EU161"/>
  <c r="EV161"/>
  <c r="EW161"/>
  <c r="EX161"/>
  <c r="EY161"/>
  <c r="EZ161"/>
  <c r="FA161"/>
  <c r="FB161"/>
  <c r="FC161"/>
  <c r="FD161"/>
  <c r="FE161"/>
  <c r="FF161"/>
  <c r="FG161"/>
  <c r="FH161"/>
  <c r="FI161"/>
  <c r="FJ161"/>
  <c r="FK161"/>
  <c r="FL161"/>
  <c r="FM161"/>
  <c r="FN161"/>
  <c r="FO161"/>
  <c r="FP161"/>
  <c r="FQ161"/>
  <c r="FR161"/>
  <c r="FS161"/>
  <c r="DB162"/>
  <c r="DC162"/>
  <c r="DD162"/>
  <c r="DE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FA162"/>
  <c r="FB162"/>
  <c r="FC162"/>
  <c r="FD162"/>
  <c r="FE162"/>
  <c r="FF162"/>
  <c r="FG162"/>
  <c r="FH162"/>
  <c r="FI162"/>
  <c r="FJ162"/>
  <c r="FK162"/>
  <c r="FL162"/>
  <c r="FM162"/>
  <c r="FN162"/>
  <c r="FO162"/>
  <c r="FP162"/>
  <c r="FQ162"/>
  <c r="FR162"/>
  <c r="FS162"/>
  <c r="DB163"/>
  <c r="DC163"/>
  <c r="DD163"/>
  <c r="DE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FA163"/>
  <c r="FB163"/>
  <c r="FC163"/>
  <c r="FD163"/>
  <c r="FE163"/>
  <c r="FF163"/>
  <c r="FG163"/>
  <c r="FH163"/>
  <c r="FI163"/>
  <c r="FJ163"/>
  <c r="FK163"/>
  <c r="FL163"/>
  <c r="FM163"/>
  <c r="FN163"/>
  <c r="FO163"/>
  <c r="FP163"/>
  <c r="FQ163"/>
  <c r="FR163"/>
  <c r="FS163"/>
  <c r="DB164"/>
  <c r="DC164"/>
  <c r="DD164"/>
  <c r="DE164"/>
  <c r="DF164"/>
  <c r="DG164"/>
  <c r="DH164"/>
  <c r="DI164"/>
  <c r="DJ164"/>
  <c r="DK164"/>
  <c r="DL164"/>
  <c r="DM164"/>
  <c r="DN164"/>
  <c r="DO164"/>
  <c r="DP164"/>
  <c r="DQ164"/>
  <c r="DR164"/>
  <c r="DS164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FA164"/>
  <c r="FB164"/>
  <c r="FC164"/>
  <c r="FD164"/>
  <c r="FE164"/>
  <c r="FF164"/>
  <c r="FG164"/>
  <c r="FH164"/>
  <c r="FI164"/>
  <c r="FJ164"/>
  <c r="FK164"/>
  <c r="FL164"/>
  <c r="FM164"/>
  <c r="FN164"/>
  <c r="FO164"/>
  <c r="FP164"/>
  <c r="FQ164"/>
  <c r="FR164"/>
  <c r="FS164"/>
  <c r="DB165"/>
  <c r="DC165"/>
  <c r="DD165"/>
  <c r="DE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5"/>
  <c r="FB165"/>
  <c r="FC165"/>
  <c r="FD165"/>
  <c r="FE165"/>
  <c r="FF165"/>
  <c r="FG165"/>
  <c r="FH165"/>
  <c r="FI165"/>
  <c r="FJ165"/>
  <c r="FK165"/>
  <c r="FL165"/>
  <c r="FM165"/>
  <c r="FN165"/>
  <c r="FO165"/>
  <c r="FP165"/>
  <c r="FQ165"/>
  <c r="FR165"/>
  <c r="FS165"/>
  <c r="DB166"/>
  <c r="DC166"/>
  <c r="DD166"/>
  <c r="DE166"/>
  <c r="DF166"/>
  <c r="DG166"/>
  <c r="DH166"/>
  <c r="DI166"/>
  <c r="DJ166"/>
  <c r="DK166"/>
  <c r="DL166"/>
  <c r="DM166"/>
  <c r="DN166"/>
  <c r="DO166"/>
  <c r="DP166"/>
  <c r="DQ166"/>
  <c r="DR166"/>
  <c r="DS166"/>
  <c r="DT166"/>
  <c r="DU166"/>
  <c r="DV166"/>
  <c r="DW166"/>
  <c r="DX166"/>
  <c r="DY166"/>
  <c r="DZ166"/>
  <c r="EA166"/>
  <c r="EB166"/>
  <c r="EC166"/>
  <c r="ED166"/>
  <c r="EE166"/>
  <c r="EF166"/>
  <c r="EG166"/>
  <c r="EH166"/>
  <c r="EI166"/>
  <c r="EJ166"/>
  <c r="EK166"/>
  <c r="EL166"/>
  <c r="EM166"/>
  <c r="EN166"/>
  <c r="EO166"/>
  <c r="EP166"/>
  <c r="EQ166"/>
  <c r="ER166"/>
  <c r="ES166"/>
  <c r="ET166"/>
  <c r="EU166"/>
  <c r="EV166"/>
  <c r="EW166"/>
  <c r="EX166"/>
  <c r="EY166"/>
  <c r="EZ166"/>
  <c r="FA166"/>
  <c r="FB166"/>
  <c r="FC166"/>
  <c r="FD166"/>
  <c r="FE166"/>
  <c r="FF166"/>
  <c r="FG166"/>
  <c r="FH166"/>
  <c r="FI166"/>
  <c r="FJ166"/>
  <c r="FK166"/>
  <c r="FL166"/>
  <c r="FM166"/>
  <c r="FN166"/>
  <c r="FO166"/>
  <c r="FP166"/>
  <c r="FQ166"/>
  <c r="FR166"/>
  <c r="FS166"/>
  <c r="DB167"/>
  <c r="DC167"/>
  <c r="DD167"/>
  <c r="DE167"/>
  <c r="DF167"/>
  <c r="DG167"/>
  <c r="DH167"/>
  <c r="DI167"/>
  <c r="DJ167"/>
  <c r="DK167"/>
  <c r="DL167"/>
  <c r="DM167"/>
  <c r="DN167"/>
  <c r="DO167"/>
  <c r="DP167"/>
  <c r="DQ167"/>
  <c r="DR167"/>
  <c r="DS167"/>
  <c r="DT167"/>
  <c r="DU167"/>
  <c r="DV167"/>
  <c r="DW167"/>
  <c r="DX167"/>
  <c r="DY167"/>
  <c r="DZ167"/>
  <c r="EA167"/>
  <c r="EB167"/>
  <c r="EC167"/>
  <c r="ED167"/>
  <c r="EE167"/>
  <c r="EF167"/>
  <c r="EG167"/>
  <c r="EH167"/>
  <c r="EI167"/>
  <c r="EJ167"/>
  <c r="EK167"/>
  <c r="EL167"/>
  <c r="EM167"/>
  <c r="EN167"/>
  <c r="EO167"/>
  <c r="EP167"/>
  <c r="EQ167"/>
  <c r="ER167"/>
  <c r="ES167"/>
  <c r="ET167"/>
  <c r="EU167"/>
  <c r="EV167"/>
  <c r="EW167"/>
  <c r="EX167"/>
  <c r="EY167"/>
  <c r="EZ167"/>
  <c r="FA167"/>
  <c r="FB167"/>
  <c r="FC167"/>
  <c r="FD167"/>
  <c r="FE167"/>
  <c r="FF167"/>
  <c r="FG167"/>
  <c r="FH167"/>
  <c r="FI167"/>
  <c r="FJ167"/>
  <c r="FK167"/>
  <c r="FL167"/>
  <c r="FM167"/>
  <c r="FN167"/>
  <c r="FO167"/>
  <c r="FP167"/>
  <c r="FQ167"/>
  <c r="FR167"/>
  <c r="FS167"/>
  <c r="DB168"/>
  <c r="DC168"/>
  <c r="DD168"/>
  <c r="DE168"/>
  <c r="DF168"/>
  <c r="DG168"/>
  <c r="DH168"/>
  <c r="DI168"/>
  <c r="DJ168"/>
  <c r="DK168"/>
  <c r="DL168"/>
  <c r="DM168"/>
  <c r="DN168"/>
  <c r="DO168"/>
  <c r="DP168"/>
  <c r="DQ168"/>
  <c r="DR168"/>
  <c r="DS168"/>
  <c r="DT168"/>
  <c r="DU168"/>
  <c r="DV168"/>
  <c r="DW168"/>
  <c r="DX168"/>
  <c r="DY168"/>
  <c r="DZ168"/>
  <c r="EA168"/>
  <c r="EB168"/>
  <c r="EC168"/>
  <c r="ED168"/>
  <c r="EE168"/>
  <c r="EF168"/>
  <c r="EG168"/>
  <c r="EH168"/>
  <c r="EI168"/>
  <c r="EJ168"/>
  <c r="EK168"/>
  <c r="EL168"/>
  <c r="EM168"/>
  <c r="EN168"/>
  <c r="EO168"/>
  <c r="EP168"/>
  <c r="EQ168"/>
  <c r="ER168"/>
  <c r="ES168"/>
  <c r="ET168"/>
  <c r="EU168"/>
  <c r="EV168"/>
  <c r="EW168"/>
  <c r="EX168"/>
  <c r="EY168"/>
  <c r="EZ168"/>
  <c r="FA168"/>
  <c r="FB168"/>
  <c r="FC168"/>
  <c r="FD168"/>
  <c r="FE168"/>
  <c r="FF168"/>
  <c r="FG168"/>
  <c r="FH168"/>
  <c r="FI168"/>
  <c r="FJ168"/>
  <c r="FK168"/>
  <c r="FL168"/>
  <c r="FM168"/>
  <c r="FN168"/>
  <c r="FO168"/>
  <c r="FP168"/>
  <c r="FQ168"/>
  <c r="FR168"/>
  <c r="FS168"/>
  <c r="DB169"/>
  <c r="DC169"/>
  <c r="DD169"/>
  <c r="DE169"/>
  <c r="DF169"/>
  <c r="DG169"/>
  <c r="DH169"/>
  <c r="DI169"/>
  <c r="DJ169"/>
  <c r="DK169"/>
  <c r="DL169"/>
  <c r="DM169"/>
  <c r="DN169"/>
  <c r="DO169"/>
  <c r="DP169"/>
  <c r="DQ169"/>
  <c r="DR169"/>
  <c r="DS169"/>
  <c r="DT169"/>
  <c r="DU169"/>
  <c r="DV169"/>
  <c r="DW169"/>
  <c r="DX169"/>
  <c r="DY169"/>
  <c r="DZ169"/>
  <c r="EA169"/>
  <c r="EB169"/>
  <c r="EC169"/>
  <c r="ED169"/>
  <c r="EE169"/>
  <c r="EF169"/>
  <c r="EG169"/>
  <c r="EH169"/>
  <c r="EI169"/>
  <c r="EJ169"/>
  <c r="EK169"/>
  <c r="EL169"/>
  <c r="EM169"/>
  <c r="EN169"/>
  <c r="EO169"/>
  <c r="EP169"/>
  <c r="EQ169"/>
  <c r="ER169"/>
  <c r="ES169"/>
  <c r="ET169"/>
  <c r="EU169"/>
  <c r="EV169"/>
  <c r="EW169"/>
  <c r="EX169"/>
  <c r="EY169"/>
  <c r="EZ169"/>
  <c r="FA169"/>
  <c r="FB169"/>
  <c r="FC169"/>
  <c r="FD169"/>
  <c r="FE169"/>
  <c r="FF169"/>
  <c r="FG169"/>
  <c r="FH169"/>
  <c r="FI169"/>
  <c r="FJ169"/>
  <c r="FK169"/>
  <c r="FL169"/>
  <c r="FM169"/>
  <c r="FN169"/>
  <c r="FO169"/>
  <c r="FP169"/>
  <c r="FQ169"/>
  <c r="FR169"/>
  <c r="FS169"/>
  <c r="DB170"/>
  <c r="DC170"/>
  <c r="DD170"/>
  <c r="DE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EK170"/>
  <c r="EL170"/>
  <c r="EM170"/>
  <c r="EN170"/>
  <c r="EO170"/>
  <c r="EP170"/>
  <c r="EQ170"/>
  <c r="ER170"/>
  <c r="ES170"/>
  <c r="ET170"/>
  <c r="EU170"/>
  <c r="EV170"/>
  <c r="EW170"/>
  <c r="EX170"/>
  <c r="EY170"/>
  <c r="EZ170"/>
  <c r="FA170"/>
  <c r="FB170"/>
  <c r="FC170"/>
  <c r="FD170"/>
  <c r="FE170"/>
  <c r="FF170"/>
  <c r="FG170"/>
  <c r="FH170"/>
  <c r="FI170"/>
  <c r="FJ170"/>
  <c r="FK170"/>
  <c r="FL170"/>
  <c r="FM170"/>
  <c r="FN170"/>
  <c r="FO170"/>
  <c r="FP170"/>
  <c r="FQ170"/>
  <c r="FR170"/>
  <c r="FS170"/>
  <c r="DB171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DB17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DB173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DB174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DB175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DB176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DB177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DB178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DB179"/>
  <c r="DC179"/>
  <c r="DD179"/>
  <c r="DE179"/>
  <c r="DF179"/>
  <c r="DG179"/>
  <c r="DH179"/>
  <c r="DI179"/>
  <c r="DJ179"/>
  <c r="DK179"/>
  <c r="DL179"/>
  <c r="DM179"/>
  <c r="DN179"/>
  <c r="DO179"/>
  <c r="DP179"/>
  <c r="DQ179"/>
  <c r="DR179"/>
  <c r="DS179"/>
  <c r="DT179"/>
  <c r="DU179"/>
  <c r="DV179"/>
  <c r="DW179"/>
  <c r="DX179"/>
  <c r="DY179"/>
  <c r="DZ179"/>
  <c r="EA179"/>
  <c r="EB179"/>
  <c r="EC179"/>
  <c r="ED179"/>
  <c r="EE179"/>
  <c r="EF179"/>
  <c r="EG179"/>
  <c r="EH179"/>
  <c r="EI179"/>
  <c r="EJ179"/>
  <c r="EK179"/>
  <c r="EL179"/>
  <c r="EM179"/>
  <c r="EN179"/>
  <c r="EO179"/>
  <c r="EP179"/>
  <c r="EQ179"/>
  <c r="ER179"/>
  <c r="ES179"/>
  <c r="ET179"/>
  <c r="EU179"/>
  <c r="EV179"/>
  <c r="EW179"/>
  <c r="EX179"/>
  <c r="EY179"/>
  <c r="EZ179"/>
  <c r="FA179"/>
  <c r="FB179"/>
  <c r="FC179"/>
  <c r="FD179"/>
  <c r="FE179"/>
  <c r="FF179"/>
  <c r="FG179"/>
  <c r="FH179"/>
  <c r="FI179"/>
  <c r="FJ179"/>
  <c r="FK179"/>
  <c r="FL179"/>
  <c r="FM179"/>
  <c r="FN179"/>
  <c r="FO179"/>
  <c r="FP179"/>
  <c r="FQ179"/>
  <c r="FR179"/>
  <c r="FS179"/>
  <c r="DB180"/>
  <c r="DC180"/>
  <c r="DD180"/>
  <c r="DE180"/>
  <c r="DF180"/>
  <c r="DG180"/>
  <c r="DH180"/>
  <c r="DI180"/>
  <c r="DJ180"/>
  <c r="DK180"/>
  <c r="DL180"/>
  <c r="DM180"/>
  <c r="DN180"/>
  <c r="DO180"/>
  <c r="DP180"/>
  <c r="DQ180"/>
  <c r="DR180"/>
  <c r="DS180"/>
  <c r="DT180"/>
  <c r="DU180"/>
  <c r="DV180"/>
  <c r="DW180"/>
  <c r="DX180"/>
  <c r="DY180"/>
  <c r="DZ180"/>
  <c r="EA180"/>
  <c r="EB180"/>
  <c r="EC180"/>
  <c r="ED180"/>
  <c r="EE180"/>
  <c r="EF180"/>
  <c r="EG180"/>
  <c r="EH180"/>
  <c r="EI180"/>
  <c r="EJ180"/>
  <c r="EK180"/>
  <c r="EL180"/>
  <c r="EM180"/>
  <c r="EN180"/>
  <c r="EO180"/>
  <c r="EP180"/>
  <c r="EQ180"/>
  <c r="ER180"/>
  <c r="ES180"/>
  <c r="ET180"/>
  <c r="EU180"/>
  <c r="EV180"/>
  <c r="EW180"/>
  <c r="EX180"/>
  <c r="EY180"/>
  <c r="EZ180"/>
  <c r="FA180"/>
  <c r="FB180"/>
  <c r="FC180"/>
  <c r="FD180"/>
  <c r="FE180"/>
  <c r="FF180"/>
  <c r="FG180"/>
  <c r="FH180"/>
  <c r="FI180"/>
  <c r="FJ180"/>
  <c r="FK180"/>
  <c r="FL180"/>
  <c r="FM180"/>
  <c r="FN180"/>
  <c r="FO180"/>
  <c r="FP180"/>
  <c r="FQ180"/>
  <c r="FR180"/>
  <c r="FS180"/>
  <c r="DB181"/>
  <c r="DC181"/>
  <c r="DD181"/>
  <c r="DE181"/>
  <c r="DF181"/>
  <c r="DG181"/>
  <c r="DH181"/>
  <c r="DI181"/>
  <c r="DJ181"/>
  <c r="DK181"/>
  <c r="DL181"/>
  <c r="DM181"/>
  <c r="DN181"/>
  <c r="DO181"/>
  <c r="DP181"/>
  <c r="DQ181"/>
  <c r="DR181"/>
  <c r="DS181"/>
  <c r="DT181"/>
  <c r="DU181"/>
  <c r="DV181"/>
  <c r="DW181"/>
  <c r="DX181"/>
  <c r="DY181"/>
  <c r="DZ181"/>
  <c r="EA181"/>
  <c r="EB181"/>
  <c r="EC181"/>
  <c r="ED181"/>
  <c r="EE181"/>
  <c r="EF181"/>
  <c r="EG181"/>
  <c r="EH181"/>
  <c r="EI181"/>
  <c r="EJ181"/>
  <c r="EK181"/>
  <c r="EL181"/>
  <c r="EM181"/>
  <c r="EN181"/>
  <c r="EO181"/>
  <c r="EP181"/>
  <c r="EQ181"/>
  <c r="ER181"/>
  <c r="ES181"/>
  <c r="ET181"/>
  <c r="EU181"/>
  <c r="EV181"/>
  <c r="EW181"/>
  <c r="EX181"/>
  <c r="EY181"/>
  <c r="EZ181"/>
  <c r="FA181"/>
  <c r="FB181"/>
  <c r="FC181"/>
  <c r="FD181"/>
  <c r="FE181"/>
  <c r="FF181"/>
  <c r="FG181"/>
  <c r="FH181"/>
  <c r="FI181"/>
  <c r="FJ181"/>
  <c r="FK181"/>
  <c r="FL181"/>
  <c r="FM181"/>
  <c r="FN181"/>
  <c r="FO181"/>
  <c r="FP181"/>
  <c r="FQ181"/>
  <c r="FR181"/>
  <c r="FS181"/>
  <c r="DB182"/>
  <c r="DC182"/>
  <c r="DD182"/>
  <c r="DE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EK182"/>
  <c r="EL182"/>
  <c r="EM182"/>
  <c r="EN182"/>
  <c r="EO182"/>
  <c r="EP182"/>
  <c r="EQ182"/>
  <c r="ER182"/>
  <c r="ES182"/>
  <c r="ET182"/>
  <c r="EU182"/>
  <c r="EV182"/>
  <c r="EW182"/>
  <c r="EX182"/>
  <c r="EY182"/>
  <c r="EZ182"/>
  <c r="FA182"/>
  <c r="FB182"/>
  <c r="FC182"/>
  <c r="FD182"/>
  <c r="FE182"/>
  <c r="FF182"/>
  <c r="FG182"/>
  <c r="FH182"/>
  <c r="FI182"/>
  <c r="FJ182"/>
  <c r="FK182"/>
  <c r="FL182"/>
  <c r="FM182"/>
  <c r="FN182"/>
  <c r="FO182"/>
  <c r="FP182"/>
  <c r="FQ182"/>
  <c r="FR182"/>
  <c r="FS182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FH215"/>
  <c r="FI215"/>
  <c r="FJ215"/>
  <c r="FK215"/>
  <c r="FL215"/>
  <c r="FM215"/>
  <c r="FN215"/>
  <c r="FO215"/>
  <c r="FP215"/>
  <c r="FQ215"/>
  <c r="FR215"/>
  <c r="FS215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FH216"/>
  <c r="FI216"/>
  <c r="FJ216"/>
  <c r="FK216"/>
  <c r="FL216"/>
  <c r="FM216"/>
  <c r="FN216"/>
  <c r="FO216"/>
  <c r="FP216"/>
  <c r="FQ216"/>
  <c r="FR216"/>
  <c r="FS216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FH217"/>
  <c r="FI217"/>
  <c r="FJ217"/>
  <c r="FK217"/>
  <c r="FL217"/>
  <c r="FM217"/>
  <c r="FN217"/>
  <c r="FO217"/>
  <c r="FP217"/>
  <c r="FQ217"/>
  <c r="FR217"/>
  <c r="FS217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FH218"/>
  <c r="FI218"/>
  <c r="FJ218"/>
  <c r="FK218"/>
  <c r="FL218"/>
  <c r="FM218"/>
  <c r="FN218"/>
  <c r="FO218"/>
  <c r="FP218"/>
  <c r="FQ218"/>
  <c r="FR218"/>
  <c r="FS218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FH219"/>
  <c r="FI219"/>
  <c r="FJ219"/>
  <c r="FK219"/>
  <c r="FL219"/>
  <c r="FM219"/>
  <c r="FN219"/>
  <c r="FO219"/>
  <c r="FP219"/>
  <c r="FQ219"/>
  <c r="FR219"/>
  <c r="FS219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FH220"/>
  <c r="FI220"/>
  <c r="FJ220"/>
  <c r="FK220"/>
  <c r="FL220"/>
  <c r="FM220"/>
  <c r="FN220"/>
  <c r="FO220"/>
  <c r="FP220"/>
  <c r="FQ220"/>
  <c r="FR220"/>
  <c r="FS220"/>
  <c r="DB221"/>
  <c r="DC221"/>
  <c r="DD221"/>
  <c r="DE221"/>
  <c r="DF221"/>
  <c r="DG221"/>
  <c r="DH221"/>
  <c r="DI221"/>
  <c r="DJ221"/>
  <c r="DK221"/>
  <c r="DL221"/>
  <c r="DM221"/>
  <c r="DN221"/>
  <c r="DO221"/>
  <c r="DP221"/>
  <c r="DQ221"/>
  <c r="DR221"/>
  <c r="DS221"/>
  <c r="DT221"/>
  <c r="DU221"/>
  <c r="DV221"/>
  <c r="DW221"/>
  <c r="DX221"/>
  <c r="DY221"/>
  <c r="DZ221"/>
  <c r="EA221"/>
  <c r="EB221"/>
  <c r="EC221"/>
  <c r="ED221"/>
  <c r="EE221"/>
  <c r="EF221"/>
  <c r="EG221"/>
  <c r="EH221"/>
  <c r="EI221"/>
  <c r="EJ221"/>
  <c r="EK221"/>
  <c r="EL221"/>
  <c r="EM221"/>
  <c r="EN221"/>
  <c r="EO221"/>
  <c r="EP221"/>
  <c r="EQ221"/>
  <c r="ER221"/>
  <c r="ES221"/>
  <c r="ET221"/>
  <c r="EU221"/>
  <c r="EV221"/>
  <c r="EW221"/>
  <c r="EX221"/>
  <c r="EY221"/>
  <c r="EZ221"/>
  <c r="FA221"/>
  <c r="FB221"/>
  <c r="FC221"/>
  <c r="FD221"/>
  <c r="FE221"/>
  <c r="FF221"/>
  <c r="FG221"/>
  <c r="FH221"/>
  <c r="FI221"/>
  <c r="FJ221"/>
  <c r="FK221"/>
  <c r="FL221"/>
  <c r="FM221"/>
  <c r="FN221"/>
  <c r="FO221"/>
  <c r="FP221"/>
  <c r="FQ221"/>
  <c r="FR221"/>
  <c r="FS221"/>
  <c r="DB222"/>
  <c r="DC222"/>
  <c r="DD222"/>
  <c r="DE222"/>
  <c r="DF222"/>
  <c r="DG222"/>
  <c r="DH222"/>
  <c r="DI222"/>
  <c r="DJ222"/>
  <c r="DK222"/>
  <c r="DL222"/>
  <c r="DM222"/>
  <c r="DN222"/>
  <c r="DO222"/>
  <c r="DP222"/>
  <c r="DQ222"/>
  <c r="DR222"/>
  <c r="DS222"/>
  <c r="DT222"/>
  <c r="DU222"/>
  <c r="DV222"/>
  <c r="DW222"/>
  <c r="DX222"/>
  <c r="DY222"/>
  <c r="DZ222"/>
  <c r="EA222"/>
  <c r="EB222"/>
  <c r="EC222"/>
  <c r="ED222"/>
  <c r="EE222"/>
  <c r="EF222"/>
  <c r="EG222"/>
  <c r="EH222"/>
  <c r="EI222"/>
  <c r="EJ222"/>
  <c r="EK222"/>
  <c r="EL222"/>
  <c r="EM222"/>
  <c r="EN222"/>
  <c r="EO222"/>
  <c r="EP222"/>
  <c r="EQ222"/>
  <c r="ER222"/>
  <c r="ES222"/>
  <c r="ET222"/>
  <c r="EU222"/>
  <c r="EV222"/>
  <c r="EW222"/>
  <c r="EX222"/>
  <c r="EY222"/>
  <c r="EZ222"/>
  <c r="FA222"/>
  <c r="FB222"/>
  <c r="FC222"/>
  <c r="FD222"/>
  <c r="FE222"/>
  <c r="FF222"/>
  <c r="FG222"/>
  <c r="FH222"/>
  <c r="FI222"/>
  <c r="FJ222"/>
  <c r="FK222"/>
  <c r="FL222"/>
  <c r="FM222"/>
  <c r="FN222"/>
  <c r="FO222"/>
  <c r="FP222"/>
  <c r="FQ222"/>
  <c r="FR222"/>
  <c r="FS222"/>
  <c r="DB223"/>
  <c r="DC223"/>
  <c r="DD223"/>
  <c r="DE223"/>
  <c r="DF223"/>
  <c r="DG223"/>
  <c r="DH223"/>
  <c r="DI223"/>
  <c r="DJ223"/>
  <c r="DK223"/>
  <c r="DL223"/>
  <c r="DM223"/>
  <c r="DN223"/>
  <c r="DO223"/>
  <c r="DP223"/>
  <c r="DQ223"/>
  <c r="DR223"/>
  <c r="DS223"/>
  <c r="DT223"/>
  <c r="DU223"/>
  <c r="DV223"/>
  <c r="DW223"/>
  <c r="DX223"/>
  <c r="DY223"/>
  <c r="DZ223"/>
  <c r="EA223"/>
  <c r="EB223"/>
  <c r="EC223"/>
  <c r="ED223"/>
  <c r="EE223"/>
  <c r="EF223"/>
  <c r="EG223"/>
  <c r="EH223"/>
  <c r="EI223"/>
  <c r="EJ223"/>
  <c r="EK223"/>
  <c r="EL223"/>
  <c r="EM223"/>
  <c r="EN223"/>
  <c r="EO223"/>
  <c r="EP223"/>
  <c r="EQ223"/>
  <c r="ER223"/>
  <c r="ES223"/>
  <c r="ET223"/>
  <c r="EU223"/>
  <c r="EV223"/>
  <c r="EW223"/>
  <c r="EX223"/>
  <c r="EY223"/>
  <c r="EZ223"/>
  <c r="FA223"/>
  <c r="FB223"/>
  <c r="FC223"/>
  <c r="FD223"/>
  <c r="FE223"/>
  <c r="FF223"/>
  <c r="FG223"/>
  <c r="FH223"/>
  <c r="FI223"/>
  <c r="FJ223"/>
  <c r="FK223"/>
  <c r="FL223"/>
  <c r="FM223"/>
  <c r="FN223"/>
  <c r="FO223"/>
  <c r="FP223"/>
  <c r="FQ223"/>
  <c r="FR223"/>
  <c r="FS223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202"/>
  <c r="CU178"/>
  <c r="CU166"/>
  <c r="CU160"/>
  <c r="CU220"/>
  <c r="CU214"/>
  <c r="CU208"/>
  <c r="CU196"/>
  <c r="CU190"/>
  <c r="CU184"/>
  <c r="CU172"/>
  <c r="CU83"/>
  <c r="CU219"/>
  <c r="CU213"/>
  <c r="CU207"/>
  <c r="CU201"/>
  <c r="CU195"/>
  <c r="CU189"/>
  <c r="CU183"/>
  <c r="CU177"/>
  <c r="CU171"/>
  <c r="CU165"/>
  <c r="CU159"/>
  <c r="CU82"/>
  <c r="CU218"/>
  <c r="CU212"/>
  <c r="CU206"/>
  <c r="CU200"/>
  <c r="CU194"/>
  <c r="CU188"/>
  <c r="CU182"/>
  <c r="CU176"/>
  <c r="CU170"/>
  <c r="CU164"/>
  <c r="CU223"/>
  <c r="CU217"/>
  <c r="CU211"/>
  <c r="CU205"/>
  <c r="CU199"/>
  <c r="CU193"/>
  <c r="CU187"/>
  <c r="CU181"/>
  <c r="CU175"/>
  <c r="CU169"/>
  <c r="CU163"/>
  <c r="CU222"/>
  <c r="CU216"/>
  <c r="CU210"/>
  <c r="CU204"/>
  <c r="CU198"/>
  <c r="CU192"/>
  <c r="CU186"/>
  <c r="CU180"/>
  <c r="CU174"/>
  <c r="CU168"/>
  <c r="CU162"/>
  <c r="CU85"/>
  <c r="CU79"/>
  <c r="CU3"/>
  <c r="CU221"/>
  <c r="CU215"/>
  <c r="CU209"/>
  <c r="CU203"/>
  <c r="CU197"/>
  <c r="CU191"/>
  <c r="CU185"/>
  <c r="CU179"/>
  <c r="CU173"/>
  <c r="CU167"/>
  <c r="CU161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Q246" s="1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Q248" s="1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209" i="2"/>
  <c r="CO209"/>
  <c r="CP209"/>
  <c r="CQ209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209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Q229" s="1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Q231" s="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Q233" s="1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Q235" s="1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A236"/>
  <c r="B236"/>
  <c r="C236"/>
  <c r="Q236" s="1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206" i="2"/>
  <c r="CO206"/>
  <c r="CP206"/>
  <c r="CQ206"/>
  <c r="CN207"/>
  <c r="CO207"/>
  <c r="CP207"/>
  <c r="CQ207"/>
  <c r="CN208"/>
  <c r="CO208"/>
  <c r="CP208"/>
  <c r="CQ208"/>
  <c r="CR208"/>
  <c r="DB224"/>
  <c r="DC224"/>
  <c r="DD224"/>
  <c r="DE224"/>
  <c r="DF224"/>
  <c r="DG224"/>
  <c r="DH224"/>
  <c r="DI224"/>
  <c r="DJ224"/>
  <c r="DK224"/>
  <c r="DL224"/>
  <c r="DM224"/>
  <c r="DN224"/>
  <c r="DO224"/>
  <c r="DP224"/>
  <c r="DQ224"/>
  <c r="DR224"/>
  <c r="DS224"/>
  <c r="DT224"/>
  <c r="DU224"/>
  <c r="DV224"/>
  <c r="DW224"/>
  <c r="DX224"/>
  <c r="DY224"/>
  <c r="DZ224"/>
  <c r="EA224"/>
  <c r="EB224"/>
  <c r="EC224"/>
  <c r="ED224"/>
  <c r="EE224"/>
  <c r="EF224"/>
  <c r="EG224"/>
  <c r="EH224"/>
  <c r="EI224"/>
  <c r="EJ224"/>
  <c r="EK224"/>
  <c r="EL224"/>
  <c r="EM224"/>
  <c r="EN224"/>
  <c r="EO224"/>
  <c r="EP224"/>
  <c r="EQ224"/>
  <c r="ER224"/>
  <c r="ES224"/>
  <c r="ET224"/>
  <c r="EU224"/>
  <c r="EV224"/>
  <c r="EW224"/>
  <c r="EX224"/>
  <c r="EY224"/>
  <c r="EZ224"/>
  <c r="FA224"/>
  <c r="FB224"/>
  <c r="FC224"/>
  <c r="FD224"/>
  <c r="FE224"/>
  <c r="FF224"/>
  <c r="FG224"/>
  <c r="FH224"/>
  <c r="FI224"/>
  <c r="FJ224"/>
  <c r="FK224"/>
  <c r="FL224"/>
  <c r="FM224"/>
  <c r="FN224"/>
  <c r="FO224"/>
  <c r="FP224"/>
  <c r="FQ224"/>
  <c r="FR224"/>
  <c r="FS224"/>
  <c r="DB225"/>
  <c r="DC225"/>
  <c r="DD225"/>
  <c r="DE225"/>
  <c r="DF225"/>
  <c r="DG225"/>
  <c r="DH225"/>
  <c r="DI225"/>
  <c r="DJ225"/>
  <c r="DK225"/>
  <c r="DL225"/>
  <c r="DM225"/>
  <c r="DN225"/>
  <c r="DO225"/>
  <c r="DP225"/>
  <c r="DQ225"/>
  <c r="DR225"/>
  <c r="DS225"/>
  <c r="DT225"/>
  <c r="DU225"/>
  <c r="DV225"/>
  <c r="DW225"/>
  <c r="DX225"/>
  <c r="DY225"/>
  <c r="DZ225"/>
  <c r="EA225"/>
  <c r="EB225"/>
  <c r="EC225"/>
  <c r="ED225"/>
  <c r="EE225"/>
  <c r="EF225"/>
  <c r="EG225"/>
  <c r="EH225"/>
  <c r="EI225"/>
  <c r="EJ225"/>
  <c r="EK225"/>
  <c r="EL225"/>
  <c r="EM225"/>
  <c r="EN225"/>
  <c r="EO225"/>
  <c r="EP225"/>
  <c r="EQ225"/>
  <c r="ER225"/>
  <c r="ES225"/>
  <c r="ET225"/>
  <c r="EU225"/>
  <c r="EV225"/>
  <c r="EW225"/>
  <c r="EX225"/>
  <c r="EY225"/>
  <c r="EZ225"/>
  <c r="FA225"/>
  <c r="FB225"/>
  <c r="FC225"/>
  <c r="FD225"/>
  <c r="FE225"/>
  <c r="FF225"/>
  <c r="FG225"/>
  <c r="FH225"/>
  <c r="FI225"/>
  <c r="FJ225"/>
  <c r="FK225"/>
  <c r="FL225"/>
  <c r="FM225"/>
  <c r="FN225"/>
  <c r="FO225"/>
  <c r="FP225"/>
  <c r="FQ225"/>
  <c r="FR225"/>
  <c r="FS225"/>
  <c r="DB226"/>
  <c r="DC226"/>
  <c r="DD226"/>
  <c r="DE226"/>
  <c r="DF226"/>
  <c r="DG226"/>
  <c r="DH226"/>
  <c r="DI226"/>
  <c r="DJ226"/>
  <c r="DK226"/>
  <c r="DL226"/>
  <c r="DM226"/>
  <c r="DN226"/>
  <c r="DO226"/>
  <c r="DP226"/>
  <c r="DQ226"/>
  <c r="DR226"/>
  <c r="DS226"/>
  <c r="DT226"/>
  <c r="DU226"/>
  <c r="DV226"/>
  <c r="DW226"/>
  <c r="DX226"/>
  <c r="DY226"/>
  <c r="DZ226"/>
  <c r="EA226"/>
  <c r="EB226"/>
  <c r="EC226"/>
  <c r="ED226"/>
  <c r="EE226"/>
  <c r="EF226"/>
  <c r="EG226"/>
  <c r="EH226"/>
  <c r="EI226"/>
  <c r="EJ226"/>
  <c r="EK226"/>
  <c r="EL226"/>
  <c r="EM226"/>
  <c r="EN226"/>
  <c r="EO226"/>
  <c r="EP226"/>
  <c r="EQ226"/>
  <c r="ER226"/>
  <c r="ES226"/>
  <c r="ET226"/>
  <c r="EU226"/>
  <c r="EV226"/>
  <c r="EW226"/>
  <c r="EX226"/>
  <c r="EY226"/>
  <c r="EZ226"/>
  <c r="FA226"/>
  <c r="FB226"/>
  <c r="FC226"/>
  <c r="FD226"/>
  <c r="FE226"/>
  <c r="FF226"/>
  <c r="FG226"/>
  <c r="FH226"/>
  <c r="FI226"/>
  <c r="FJ226"/>
  <c r="FK226"/>
  <c r="FL226"/>
  <c r="FM226"/>
  <c r="FN226"/>
  <c r="FO226"/>
  <c r="FP226"/>
  <c r="FQ226"/>
  <c r="FR226"/>
  <c r="FS226"/>
  <c r="DB227"/>
  <c r="DC227"/>
  <c r="DD227"/>
  <c r="DE227"/>
  <c r="DF227"/>
  <c r="DG227"/>
  <c r="DH227"/>
  <c r="DI227"/>
  <c r="DJ227"/>
  <c r="DK227"/>
  <c r="DL227"/>
  <c r="DM227"/>
  <c r="DN227"/>
  <c r="DO227"/>
  <c r="DP227"/>
  <c r="DQ227"/>
  <c r="DR227"/>
  <c r="DS227"/>
  <c r="DT227"/>
  <c r="DU227"/>
  <c r="DV227"/>
  <c r="DW227"/>
  <c r="DX227"/>
  <c r="DY227"/>
  <c r="DZ227"/>
  <c r="EA227"/>
  <c r="EB227"/>
  <c r="EC227"/>
  <c r="ED227"/>
  <c r="EE227"/>
  <c r="EF227"/>
  <c r="EG227"/>
  <c r="EH227"/>
  <c r="EI227"/>
  <c r="EJ227"/>
  <c r="EK227"/>
  <c r="EL227"/>
  <c r="EM227"/>
  <c r="EN227"/>
  <c r="EO227"/>
  <c r="EP227"/>
  <c r="EQ227"/>
  <c r="ER227"/>
  <c r="ES227"/>
  <c r="ET227"/>
  <c r="EU227"/>
  <c r="EV227"/>
  <c r="EW227"/>
  <c r="EX227"/>
  <c r="EY227"/>
  <c r="EZ227"/>
  <c r="FA227"/>
  <c r="FB227"/>
  <c r="FC227"/>
  <c r="FD227"/>
  <c r="FE227"/>
  <c r="FF227"/>
  <c r="FG227"/>
  <c r="FH227"/>
  <c r="FI227"/>
  <c r="FJ227"/>
  <c r="FK227"/>
  <c r="FL227"/>
  <c r="FM227"/>
  <c r="FN227"/>
  <c r="FO227"/>
  <c r="FP227"/>
  <c r="FQ227"/>
  <c r="FR227"/>
  <c r="FS227"/>
  <c r="DB228"/>
  <c r="DC228"/>
  <c r="DD228"/>
  <c r="DE228"/>
  <c r="DF228"/>
  <c r="DG228"/>
  <c r="DH228"/>
  <c r="DI228"/>
  <c r="DJ228"/>
  <c r="DK228"/>
  <c r="DL228"/>
  <c r="DM228"/>
  <c r="DN228"/>
  <c r="DO228"/>
  <c r="DP228"/>
  <c r="DQ228"/>
  <c r="DR228"/>
  <c r="DS228"/>
  <c r="DT228"/>
  <c r="DU228"/>
  <c r="DV228"/>
  <c r="DW228"/>
  <c r="DX228"/>
  <c r="DY228"/>
  <c r="DZ228"/>
  <c r="EA228"/>
  <c r="EB228"/>
  <c r="EC228"/>
  <c r="ED228"/>
  <c r="EE228"/>
  <c r="EF228"/>
  <c r="EG228"/>
  <c r="EH228"/>
  <c r="EI228"/>
  <c r="EJ228"/>
  <c r="EK228"/>
  <c r="EL228"/>
  <c r="EM228"/>
  <c r="EN228"/>
  <c r="EO228"/>
  <c r="EP228"/>
  <c r="EQ228"/>
  <c r="ER228"/>
  <c r="ES228"/>
  <c r="ET228"/>
  <c r="EU228"/>
  <c r="EV228"/>
  <c r="EW228"/>
  <c r="EX228"/>
  <c r="EY228"/>
  <c r="EZ228"/>
  <c r="FA228"/>
  <c r="FB228"/>
  <c r="FC228"/>
  <c r="FD228"/>
  <c r="FE228"/>
  <c r="FF228"/>
  <c r="FG228"/>
  <c r="FH228"/>
  <c r="FI228"/>
  <c r="FJ228"/>
  <c r="FK228"/>
  <c r="FL228"/>
  <c r="FM228"/>
  <c r="FN228"/>
  <c r="FO228"/>
  <c r="FP228"/>
  <c r="FQ228"/>
  <c r="FR228"/>
  <c r="FS228"/>
  <c r="DB229"/>
  <c r="DC229"/>
  <c r="DD229"/>
  <c r="DE229"/>
  <c r="DF229"/>
  <c r="DG229"/>
  <c r="DH229"/>
  <c r="DI229"/>
  <c r="DJ229"/>
  <c r="DK229"/>
  <c r="DL229"/>
  <c r="DM229"/>
  <c r="DN229"/>
  <c r="DO229"/>
  <c r="DP229"/>
  <c r="DQ229"/>
  <c r="DR229"/>
  <c r="DS229"/>
  <c r="DT229"/>
  <c r="DU229"/>
  <c r="DV229"/>
  <c r="DW229"/>
  <c r="DX229"/>
  <c r="DY229"/>
  <c r="DZ229"/>
  <c r="EA229"/>
  <c r="EB229"/>
  <c r="EC229"/>
  <c r="ED229"/>
  <c r="EE229"/>
  <c r="EF229"/>
  <c r="EG229"/>
  <c r="EH229"/>
  <c r="EI229"/>
  <c r="EJ229"/>
  <c r="EK229"/>
  <c r="EL229"/>
  <c r="EM229"/>
  <c r="EN229"/>
  <c r="EO229"/>
  <c r="EP229"/>
  <c r="EQ229"/>
  <c r="ER229"/>
  <c r="ES229"/>
  <c r="ET229"/>
  <c r="EU229"/>
  <c r="EV229"/>
  <c r="EW229"/>
  <c r="EX229"/>
  <c r="EY229"/>
  <c r="EZ229"/>
  <c r="FA229"/>
  <c r="FB229"/>
  <c r="FC229"/>
  <c r="FD229"/>
  <c r="FE229"/>
  <c r="FF229"/>
  <c r="FG229"/>
  <c r="FH229"/>
  <c r="FI229"/>
  <c r="FJ229"/>
  <c r="FK229"/>
  <c r="FL229"/>
  <c r="FM229"/>
  <c r="FN229"/>
  <c r="FO229"/>
  <c r="FP229"/>
  <c r="FQ229"/>
  <c r="FR229"/>
  <c r="FS229"/>
  <c r="DB230"/>
  <c r="DC230"/>
  <c r="DD230"/>
  <c r="DE230"/>
  <c r="DF230"/>
  <c r="DG230"/>
  <c r="DH230"/>
  <c r="DI230"/>
  <c r="DJ230"/>
  <c r="DK230"/>
  <c r="DL230"/>
  <c r="DM230"/>
  <c r="DN230"/>
  <c r="DO230"/>
  <c r="DP230"/>
  <c r="DQ230"/>
  <c r="DR230"/>
  <c r="DS230"/>
  <c r="DT230"/>
  <c r="DU230"/>
  <c r="DV230"/>
  <c r="DW230"/>
  <c r="DX230"/>
  <c r="DY230"/>
  <c r="DZ230"/>
  <c r="EA230"/>
  <c r="EB230"/>
  <c r="EC230"/>
  <c r="ED230"/>
  <c r="EE230"/>
  <c r="EF230"/>
  <c r="EG230"/>
  <c r="EH230"/>
  <c r="EI230"/>
  <c r="EJ230"/>
  <c r="EK230"/>
  <c r="EL230"/>
  <c r="EM230"/>
  <c r="EN230"/>
  <c r="EO230"/>
  <c r="EP230"/>
  <c r="EQ230"/>
  <c r="ER230"/>
  <c r="ES230"/>
  <c r="ET230"/>
  <c r="EU230"/>
  <c r="EV230"/>
  <c r="EW230"/>
  <c r="EX230"/>
  <c r="EY230"/>
  <c r="EZ230"/>
  <c r="FA230"/>
  <c r="FB230"/>
  <c r="FC230"/>
  <c r="FD230"/>
  <c r="FE230"/>
  <c r="FF230"/>
  <c r="FG230"/>
  <c r="FH230"/>
  <c r="FI230"/>
  <c r="FJ230"/>
  <c r="FK230"/>
  <c r="FL230"/>
  <c r="FM230"/>
  <c r="FN230"/>
  <c r="FO230"/>
  <c r="FP230"/>
  <c r="FQ230"/>
  <c r="FR230"/>
  <c r="FS230"/>
  <c r="DB231"/>
  <c r="DC231"/>
  <c r="DD231"/>
  <c r="DE231"/>
  <c r="DF231"/>
  <c r="DG231"/>
  <c r="DH231"/>
  <c r="DI231"/>
  <c r="DJ231"/>
  <c r="DK231"/>
  <c r="DL231"/>
  <c r="DM231"/>
  <c r="DN231"/>
  <c r="DO231"/>
  <c r="DP231"/>
  <c r="DQ231"/>
  <c r="DR231"/>
  <c r="DS231"/>
  <c r="DT231"/>
  <c r="DU231"/>
  <c r="DV231"/>
  <c r="DW231"/>
  <c r="DX231"/>
  <c r="DY231"/>
  <c r="DZ231"/>
  <c r="EA231"/>
  <c r="EB231"/>
  <c r="EC231"/>
  <c r="ED231"/>
  <c r="EE231"/>
  <c r="EF231"/>
  <c r="EG231"/>
  <c r="EH231"/>
  <c r="EI231"/>
  <c r="EJ231"/>
  <c r="EK231"/>
  <c r="EL231"/>
  <c r="EM231"/>
  <c r="EN231"/>
  <c r="EO231"/>
  <c r="EP231"/>
  <c r="EQ231"/>
  <c r="ER231"/>
  <c r="ES231"/>
  <c r="ET231"/>
  <c r="EU231"/>
  <c r="EV231"/>
  <c r="EW231"/>
  <c r="EX231"/>
  <c r="EY231"/>
  <c r="EZ231"/>
  <c r="FA231"/>
  <c r="FB231"/>
  <c r="FC231"/>
  <c r="FD231"/>
  <c r="FE231"/>
  <c r="FF231"/>
  <c r="FG231"/>
  <c r="FH231"/>
  <c r="FI231"/>
  <c r="FJ231"/>
  <c r="FK231"/>
  <c r="FL231"/>
  <c r="FM231"/>
  <c r="FN231"/>
  <c r="FO231"/>
  <c r="FP231"/>
  <c r="FQ231"/>
  <c r="FR231"/>
  <c r="FS231"/>
  <c r="DB232"/>
  <c r="DC232"/>
  <c r="DD232"/>
  <c r="DE232"/>
  <c r="DF232"/>
  <c r="DG232"/>
  <c r="DH232"/>
  <c r="DI232"/>
  <c r="DJ232"/>
  <c r="DK232"/>
  <c r="DL232"/>
  <c r="DM232"/>
  <c r="DN232"/>
  <c r="DO232"/>
  <c r="DP232"/>
  <c r="DQ232"/>
  <c r="DR232"/>
  <c r="DS232"/>
  <c r="DT232"/>
  <c r="DU232"/>
  <c r="DV232"/>
  <c r="DW232"/>
  <c r="DX232"/>
  <c r="DY232"/>
  <c r="DZ232"/>
  <c r="EA232"/>
  <c r="EB232"/>
  <c r="EC232"/>
  <c r="ED232"/>
  <c r="EE232"/>
  <c r="EF232"/>
  <c r="EG232"/>
  <c r="EH232"/>
  <c r="EI232"/>
  <c r="EJ232"/>
  <c r="EK232"/>
  <c r="EL232"/>
  <c r="EM232"/>
  <c r="EN232"/>
  <c r="EO232"/>
  <c r="EP232"/>
  <c r="EQ232"/>
  <c r="ER232"/>
  <c r="ES232"/>
  <c r="ET232"/>
  <c r="EU232"/>
  <c r="EV232"/>
  <c r="EW232"/>
  <c r="EX232"/>
  <c r="EY232"/>
  <c r="EZ232"/>
  <c r="FA232"/>
  <c r="FB232"/>
  <c r="FC232"/>
  <c r="FD232"/>
  <c r="FE232"/>
  <c r="FF232"/>
  <c r="FG232"/>
  <c r="FH232"/>
  <c r="FI232"/>
  <c r="FJ232"/>
  <c r="FK232"/>
  <c r="FL232"/>
  <c r="FM232"/>
  <c r="FN232"/>
  <c r="FO232"/>
  <c r="FP232"/>
  <c r="FQ232"/>
  <c r="FR232"/>
  <c r="FS232"/>
  <c r="DB233"/>
  <c r="DC233"/>
  <c r="DD233"/>
  <c r="DE233"/>
  <c r="DF233"/>
  <c r="DG233"/>
  <c r="DH233"/>
  <c r="DI233"/>
  <c r="DJ233"/>
  <c r="DK233"/>
  <c r="DL233"/>
  <c r="DM233"/>
  <c r="DN233"/>
  <c r="DO233"/>
  <c r="DP233"/>
  <c r="DQ233"/>
  <c r="DR233"/>
  <c r="DS233"/>
  <c r="DT233"/>
  <c r="DU233"/>
  <c r="DV233"/>
  <c r="DW233"/>
  <c r="DX233"/>
  <c r="DY233"/>
  <c r="DZ233"/>
  <c r="EA233"/>
  <c r="EB233"/>
  <c r="EC233"/>
  <c r="ED233"/>
  <c r="EE233"/>
  <c r="EF233"/>
  <c r="EG233"/>
  <c r="EH233"/>
  <c r="EI233"/>
  <c r="EJ233"/>
  <c r="EK233"/>
  <c r="EL233"/>
  <c r="EM233"/>
  <c r="EN233"/>
  <c r="EO233"/>
  <c r="EP233"/>
  <c r="EQ233"/>
  <c r="ER233"/>
  <c r="ES233"/>
  <c r="ET233"/>
  <c r="EU233"/>
  <c r="EV233"/>
  <c r="EW233"/>
  <c r="EX233"/>
  <c r="EY233"/>
  <c r="EZ233"/>
  <c r="FA233"/>
  <c r="FB233"/>
  <c r="FC233"/>
  <c r="FD233"/>
  <c r="FE233"/>
  <c r="FF233"/>
  <c r="FG233"/>
  <c r="FH233"/>
  <c r="FI233"/>
  <c r="FJ233"/>
  <c r="FK233"/>
  <c r="FL233"/>
  <c r="FM233"/>
  <c r="FN233"/>
  <c r="FO233"/>
  <c r="FP233"/>
  <c r="FQ233"/>
  <c r="FR233"/>
  <c r="FS233"/>
  <c r="DB234"/>
  <c r="DC234"/>
  <c r="DD234"/>
  <c r="DE234"/>
  <c r="DF234"/>
  <c r="DG234"/>
  <c r="DH234"/>
  <c r="DI234"/>
  <c r="DJ234"/>
  <c r="DK234"/>
  <c r="DL234"/>
  <c r="DM234"/>
  <c r="DN234"/>
  <c r="DO234"/>
  <c r="DP234"/>
  <c r="DQ234"/>
  <c r="DR234"/>
  <c r="DS234"/>
  <c r="DT234"/>
  <c r="DU234"/>
  <c r="DV234"/>
  <c r="DW234"/>
  <c r="DX234"/>
  <c r="DY234"/>
  <c r="DZ234"/>
  <c r="EA234"/>
  <c r="EB234"/>
  <c r="EC234"/>
  <c r="ED234"/>
  <c r="EE234"/>
  <c r="EF234"/>
  <c r="EG234"/>
  <c r="EH234"/>
  <c r="EI234"/>
  <c r="EJ234"/>
  <c r="EK234"/>
  <c r="EL234"/>
  <c r="EM234"/>
  <c r="EN234"/>
  <c r="EO234"/>
  <c r="EP234"/>
  <c r="EQ234"/>
  <c r="ER234"/>
  <c r="ES234"/>
  <c r="ET234"/>
  <c r="EU234"/>
  <c r="EV234"/>
  <c r="EW234"/>
  <c r="EX234"/>
  <c r="EY234"/>
  <c r="EZ234"/>
  <c r="FA234"/>
  <c r="FB234"/>
  <c r="FC234"/>
  <c r="FD234"/>
  <c r="FE234"/>
  <c r="FF234"/>
  <c r="FG234"/>
  <c r="FH234"/>
  <c r="FI234"/>
  <c r="FJ234"/>
  <c r="FK234"/>
  <c r="FL234"/>
  <c r="FM234"/>
  <c r="FN234"/>
  <c r="FO234"/>
  <c r="FP234"/>
  <c r="FQ234"/>
  <c r="FR234"/>
  <c r="FS234"/>
  <c r="DB235"/>
  <c r="DC235"/>
  <c r="DD235"/>
  <c r="DE235"/>
  <c r="DF235"/>
  <c r="DG235"/>
  <c r="DH235"/>
  <c r="DI235"/>
  <c r="DJ235"/>
  <c r="DK235"/>
  <c r="DL235"/>
  <c r="DM235"/>
  <c r="DN235"/>
  <c r="DO235"/>
  <c r="DP235"/>
  <c r="DQ235"/>
  <c r="DR235"/>
  <c r="DS235"/>
  <c r="DT235"/>
  <c r="DU235"/>
  <c r="DV235"/>
  <c r="DW235"/>
  <c r="DX235"/>
  <c r="DY235"/>
  <c r="DZ235"/>
  <c r="EA235"/>
  <c r="EB235"/>
  <c r="EC235"/>
  <c r="ED235"/>
  <c r="EE235"/>
  <c r="EF235"/>
  <c r="EG235"/>
  <c r="EH235"/>
  <c r="EI235"/>
  <c r="EJ235"/>
  <c r="EK235"/>
  <c r="EL235"/>
  <c r="EM235"/>
  <c r="EN235"/>
  <c r="EO235"/>
  <c r="EP235"/>
  <c r="EQ235"/>
  <c r="ER235"/>
  <c r="ES235"/>
  <c r="ET235"/>
  <c r="EU235"/>
  <c r="EV235"/>
  <c r="EW235"/>
  <c r="EX235"/>
  <c r="EY235"/>
  <c r="EZ235"/>
  <c r="FA235"/>
  <c r="FB235"/>
  <c r="FC235"/>
  <c r="FD235"/>
  <c r="FE235"/>
  <c r="FF235"/>
  <c r="FG235"/>
  <c r="FH235"/>
  <c r="FI235"/>
  <c r="FJ235"/>
  <c r="FK235"/>
  <c r="FL235"/>
  <c r="FM235"/>
  <c r="FN235"/>
  <c r="FO235"/>
  <c r="FP235"/>
  <c r="FQ235"/>
  <c r="FR235"/>
  <c r="FS235"/>
  <c r="DB236"/>
  <c r="DC236"/>
  <c r="DD236"/>
  <c r="DE236"/>
  <c r="DF236"/>
  <c r="DG236"/>
  <c r="DH236"/>
  <c r="DI236"/>
  <c r="DJ236"/>
  <c r="DK236"/>
  <c r="DL236"/>
  <c r="DM236"/>
  <c r="DN236"/>
  <c r="DO236"/>
  <c r="DP236"/>
  <c r="DQ236"/>
  <c r="DR236"/>
  <c r="DS236"/>
  <c r="DT236"/>
  <c r="DU236"/>
  <c r="DV236"/>
  <c r="DW236"/>
  <c r="DX236"/>
  <c r="DY236"/>
  <c r="DZ236"/>
  <c r="EA236"/>
  <c r="EB236"/>
  <c r="EC236"/>
  <c r="ED236"/>
  <c r="EE236"/>
  <c r="EF236"/>
  <c r="EG236"/>
  <c r="EH236"/>
  <c r="EI236"/>
  <c r="EJ236"/>
  <c r="EK236"/>
  <c r="EL236"/>
  <c r="EM236"/>
  <c r="EN236"/>
  <c r="EO236"/>
  <c r="EP236"/>
  <c r="EQ236"/>
  <c r="ER236"/>
  <c r="ES236"/>
  <c r="ET236"/>
  <c r="EU236"/>
  <c r="EV236"/>
  <c r="EW236"/>
  <c r="EX236"/>
  <c r="EY236"/>
  <c r="EZ236"/>
  <c r="FA236"/>
  <c r="FB236"/>
  <c r="FC236"/>
  <c r="FD236"/>
  <c r="FE236"/>
  <c r="FF236"/>
  <c r="FG236"/>
  <c r="FH236"/>
  <c r="FI236"/>
  <c r="FJ236"/>
  <c r="FK236"/>
  <c r="FL236"/>
  <c r="FM236"/>
  <c r="FN236"/>
  <c r="FO236"/>
  <c r="FP236"/>
  <c r="FQ236"/>
  <c r="FR236"/>
  <c r="FS236"/>
  <c r="DB237"/>
  <c r="DC237"/>
  <c r="DD237"/>
  <c r="DE237"/>
  <c r="DF237"/>
  <c r="DG237"/>
  <c r="DH237"/>
  <c r="DI237"/>
  <c r="DJ237"/>
  <c r="DK237"/>
  <c r="DL237"/>
  <c r="DM237"/>
  <c r="DN237"/>
  <c r="DO237"/>
  <c r="DP237"/>
  <c r="DQ237"/>
  <c r="DR237"/>
  <c r="DS237"/>
  <c r="DT237"/>
  <c r="DU237"/>
  <c r="DV237"/>
  <c r="DW237"/>
  <c r="DX237"/>
  <c r="DY237"/>
  <c r="DZ237"/>
  <c r="EA237"/>
  <c r="EB237"/>
  <c r="EC237"/>
  <c r="ED237"/>
  <c r="EE237"/>
  <c r="EF237"/>
  <c r="EG237"/>
  <c r="EH237"/>
  <c r="EI237"/>
  <c r="EJ237"/>
  <c r="EK237"/>
  <c r="EL237"/>
  <c r="EM237"/>
  <c r="EN237"/>
  <c r="EO237"/>
  <c r="EP237"/>
  <c r="EQ237"/>
  <c r="ER237"/>
  <c r="ES237"/>
  <c r="ET237"/>
  <c r="EU237"/>
  <c r="EV237"/>
  <c r="EW237"/>
  <c r="EX237"/>
  <c r="EY237"/>
  <c r="EZ237"/>
  <c r="FA237"/>
  <c r="FB237"/>
  <c r="FC237"/>
  <c r="FD237"/>
  <c r="FE237"/>
  <c r="FF237"/>
  <c r="FG237"/>
  <c r="FH237"/>
  <c r="FI237"/>
  <c r="FJ237"/>
  <c r="FK237"/>
  <c r="FL237"/>
  <c r="FM237"/>
  <c r="FN237"/>
  <c r="FO237"/>
  <c r="FP237"/>
  <c r="FQ237"/>
  <c r="FR237"/>
  <c r="FS237"/>
  <c r="DB238"/>
  <c r="DC238"/>
  <c r="DD238"/>
  <c r="DE238"/>
  <c r="DF238"/>
  <c r="DG238"/>
  <c r="DH238"/>
  <c r="DI238"/>
  <c r="DJ238"/>
  <c r="DK238"/>
  <c r="DL238"/>
  <c r="DM238"/>
  <c r="DN238"/>
  <c r="DO238"/>
  <c r="DP238"/>
  <c r="DQ238"/>
  <c r="DR238"/>
  <c r="DS238"/>
  <c r="DT238"/>
  <c r="DU238"/>
  <c r="DV238"/>
  <c r="DW238"/>
  <c r="DX238"/>
  <c r="DY238"/>
  <c r="DZ238"/>
  <c r="EA238"/>
  <c r="EB238"/>
  <c r="EC238"/>
  <c r="ED238"/>
  <c r="EE238"/>
  <c r="EF238"/>
  <c r="EG238"/>
  <c r="EH238"/>
  <c r="EI238"/>
  <c r="EJ238"/>
  <c r="EK238"/>
  <c r="EL238"/>
  <c r="EM238"/>
  <c r="EN238"/>
  <c r="EO238"/>
  <c r="EP238"/>
  <c r="EQ238"/>
  <c r="ER238"/>
  <c r="ES238"/>
  <c r="ET238"/>
  <c r="EU238"/>
  <c r="EV238"/>
  <c r="EW238"/>
  <c r="EX238"/>
  <c r="EY238"/>
  <c r="EZ238"/>
  <c r="FA238"/>
  <c r="FB238"/>
  <c r="FC238"/>
  <c r="FD238"/>
  <c r="FE238"/>
  <c r="FF238"/>
  <c r="FG238"/>
  <c r="FH238"/>
  <c r="FI238"/>
  <c r="FJ238"/>
  <c r="FK238"/>
  <c r="FL238"/>
  <c r="FM238"/>
  <c r="FN238"/>
  <c r="FO238"/>
  <c r="FP238"/>
  <c r="FQ238"/>
  <c r="FR238"/>
  <c r="FS238"/>
  <c r="DB239"/>
  <c r="DC239"/>
  <c r="DD239"/>
  <c r="DE239"/>
  <c r="DF239"/>
  <c r="DG239"/>
  <c r="DH239"/>
  <c r="DI239"/>
  <c r="DJ239"/>
  <c r="DK239"/>
  <c r="DL239"/>
  <c r="DM239"/>
  <c r="DN239"/>
  <c r="DO239"/>
  <c r="DP239"/>
  <c r="DQ239"/>
  <c r="DR239"/>
  <c r="DS239"/>
  <c r="DT239"/>
  <c r="DU239"/>
  <c r="DV239"/>
  <c r="DW239"/>
  <c r="DX239"/>
  <c r="DY239"/>
  <c r="DZ239"/>
  <c r="EA239"/>
  <c r="EB239"/>
  <c r="EC239"/>
  <c r="ED239"/>
  <c r="EE239"/>
  <c r="EF239"/>
  <c r="EG239"/>
  <c r="EH239"/>
  <c r="EI239"/>
  <c r="EJ239"/>
  <c r="EK239"/>
  <c r="EL239"/>
  <c r="EM239"/>
  <c r="EN239"/>
  <c r="EO239"/>
  <c r="EP239"/>
  <c r="EQ239"/>
  <c r="ER239"/>
  <c r="ES239"/>
  <c r="ET239"/>
  <c r="EU239"/>
  <c r="EV239"/>
  <c r="EW239"/>
  <c r="EX239"/>
  <c r="EY239"/>
  <c r="EZ239"/>
  <c r="FA239"/>
  <c r="FB239"/>
  <c r="FC239"/>
  <c r="FD239"/>
  <c r="FE239"/>
  <c r="FF239"/>
  <c r="FG239"/>
  <c r="FH239"/>
  <c r="FI239"/>
  <c r="FJ239"/>
  <c r="FK239"/>
  <c r="FL239"/>
  <c r="FM239"/>
  <c r="FN239"/>
  <c r="FO239"/>
  <c r="FP239"/>
  <c r="FQ239"/>
  <c r="FR239"/>
  <c r="FS239"/>
  <c r="DB240"/>
  <c r="DC240"/>
  <c r="DD240"/>
  <c r="DE240"/>
  <c r="DF240"/>
  <c r="DG240"/>
  <c r="DH240"/>
  <c r="DI240"/>
  <c r="DJ240"/>
  <c r="DK240"/>
  <c r="DL240"/>
  <c r="DM240"/>
  <c r="DN240"/>
  <c r="DO240"/>
  <c r="DP240"/>
  <c r="DQ240"/>
  <c r="DR240"/>
  <c r="DS240"/>
  <c r="DT240"/>
  <c r="DU240"/>
  <c r="DV240"/>
  <c r="DW240"/>
  <c r="DX240"/>
  <c r="DY240"/>
  <c r="DZ240"/>
  <c r="EA240"/>
  <c r="EB240"/>
  <c r="EC240"/>
  <c r="ED240"/>
  <c r="EE240"/>
  <c r="EF240"/>
  <c r="EG240"/>
  <c r="EH240"/>
  <c r="EI240"/>
  <c r="EJ240"/>
  <c r="EK240"/>
  <c r="EL240"/>
  <c r="EM240"/>
  <c r="EN240"/>
  <c r="EO240"/>
  <c r="EP240"/>
  <c r="EQ240"/>
  <c r="ER240"/>
  <c r="ES240"/>
  <c r="ET240"/>
  <c r="EU240"/>
  <c r="EV240"/>
  <c r="EW240"/>
  <c r="EX240"/>
  <c r="EY240"/>
  <c r="EZ240"/>
  <c r="FA240"/>
  <c r="FB240"/>
  <c r="FC240"/>
  <c r="FD240"/>
  <c r="FE240"/>
  <c r="FF240"/>
  <c r="FG240"/>
  <c r="FH240"/>
  <c r="FI240"/>
  <c r="FJ240"/>
  <c r="FK240"/>
  <c r="FL240"/>
  <c r="FM240"/>
  <c r="FN240"/>
  <c r="FO240"/>
  <c r="FP240"/>
  <c r="FQ240"/>
  <c r="FR240"/>
  <c r="FS240"/>
  <c r="DB241"/>
  <c r="DC241"/>
  <c r="DD241"/>
  <c r="DE241"/>
  <c r="DF241"/>
  <c r="DG241"/>
  <c r="DH241"/>
  <c r="DI241"/>
  <c r="DJ241"/>
  <c r="DK241"/>
  <c r="DL241"/>
  <c r="DM241"/>
  <c r="DN241"/>
  <c r="DO241"/>
  <c r="DP241"/>
  <c r="DQ241"/>
  <c r="DR241"/>
  <c r="DS241"/>
  <c r="DT241"/>
  <c r="DU241"/>
  <c r="DV241"/>
  <c r="DW241"/>
  <c r="DX241"/>
  <c r="DY241"/>
  <c r="DZ241"/>
  <c r="EA241"/>
  <c r="EB241"/>
  <c r="EC241"/>
  <c r="ED241"/>
  <c r="EE241"/>
  <c r="EF241"/>
  <c r="EG241"/>
  <c r="EH241"/>
  <c r="EI241"/>
  <c r="EJ241"/>
  <c r="EK241"/>
  <c r="EL241"/>
  <c r="EM241"/>
  <c r="EN241"/>
  <c r="EO241"/>
  <c r="EP241"/>
  <c r="EQ241"/>
  <c r="ER241"/>
  <c r="ES241"/>
  <c r="ET241"/>
  <c r="EU241"/>
  <c r="EV241"/>
  <c r="EW241"/>
  <c r="EX241"/>
  <c r="EY241"/>
  <c r="EZ241"/>
  <c r="FA241"/>
  <c r="FB241"/>
  <c r="FC241"/>
  <c r="FD241"/>
  <c r="FE241"/>
  <c r="FF241"/>
  <c r="FG241"/>
  <c r="FH241"/>
  <c r="FI241"/>
  <c r="FJ241"/>
  <c r="FK241"/>
  <c r="FL241"/>
  <c r="FM241"/>
  <c r="FN241"/>
  <c r="FO241"/>
  <c r="FP241"/>
  <c r="FQ241"/>
  <c r="FR241"/>
  <c r="FS241"/>
  <c r="DB242"/>
  <c r="DC242"/>
  <c r="DD242"/>
  <c r="DE242"/>
  <c r="DF242"/>
  <c r="DG242"/>
  <c r="DH242"/>
  <c r="DI242"/>
  <c r="DJ242"/>
  <c r="DK242"/>
  <c r="DL242"/>
  <c r="DM242"/>
  <c r="DN242"/>
  <c r="DO242"/>
  <c r="DP242"/>
  <c r="DQ242"/>
  <c r="DR242"/>
  <c r="DS242"/>
  <c r="DT242"/>
  <c r="DU242"/>
  <c r="DV242"/>
  <c r="DW242"/>
  <c r="DX242"/>
  <c r="DY242"/>
  <c r="DZ242"/>
  <c r="EA242"/>
  <c r="EB242"/>
  <c r="EC242"/>
  <c r="ED242"/>
  <c r="EE242"/>
  <c r="EF242"/>
  <c r="EG242"/>
  <c r="EH242"/>
  <c r="EI242"/>
  <c r="EJ242"/>
  <c r="EK242"/>
  <c r="EL242"/>
  <c r="EM242"/>
  <c r="EN242"/>
  <c r="EO242"/>
  <c r="EP242"/>
  <c r="EQ242"/>
  <c r="ER242"/>
  <c r="ES242"/>
  <c r="ET242"/>
  <c r="EU242"/>
  <c r="EV242"/>
  <c r="EW242"/>
  <c r="EX242"/>
  <c r="EY242"/>
  <c r="EZ242"/>
  <c r="FA242"/>
  <c r="FB242"/>
  <c r="FC242"/>
  <c r="FD242"/>
  <c r="FE242"/>
  <c r="FF242"/>
  <c r="FG242"/>
  <c r="FH242"/>
  <c r="FI242"/>
  <c r="FJ242"/>
  <c r="FK242"/>
  <c r="FL242"/>
  <c r="FM242"/>
  <c r="FN242"/>
  <c r="FO242"/>
  <c r="FP242"/>
  <c r="FQ242"/>
  <c r="FR242"/>
  <c r="FS242"/>
  <c r="DB243"/>
  <c r="DC243"/>
  <c r="DD243"/>
  <c r="DE243"/>
  <c r="DF243"/>
  <c r="DG243"/>
  <c r="DH243"/>
  <c r="DI243"/>
  <c r="DJ243"/>
  <c r="DK243"/>
  <c r="DL243"/>
  <c r="DM243"/>
  <c r="DN243"/>
  <c r="DO243"/>
  <c r="DP243"/>
  <c r="DQ243"/>
  <c r="DR243"/>
  <c r="DS243"/>
  <c r="DT243"/>
  <c r="DU243"/>
  <c r="DV243"/>
  <c r="DW243"/>
  <c r="DX243"/>
  <c r="DY243"/>
  <c r="DZ243"/>
  <c r="EA243"/>
  <c r="EB243"/>
  <c r="EC243"/>
  <c r="ED243"/>
  <c r="EE243"/>
  <c r="EF243"/>
  <c r="EG243"/>
  <c r="EH243"/>
  <c r="EI243"/>
  <c r="EJ243"/>
  <c r="EK243"/>
  <c r="EL243"/>
  <c r="EM243"/>
  <c r="EN243"/>
  <c r="EO243"/>
  <c r="EP243"/>
  <c r="EQ243"/>
  <c r="ER243"/>
  <c r="ES243"/>
  <c r="ET243"/>
  <c r="EU243"/>
  <c r="EV243"/>
  <c r="EW243"/>
  <c r="EX243"/>
  <c r="EY243"/>
  <c r="EZ243"/>
  <c r="FA243"/>
  <c r="FB243"/>
  <c r="FC243"/>
  <c r="FD243"/>
  <c r="FE243"/>
  <c r="FF243"/>
  <c r="FG243"/>
  <c r="FH243"/>
  <c r="FI243"/>
  <c r="FJ243"/>
  <c r="FK243"/>
  <c r="FL243"/>
  <c r="FM243"/>
  <c r="FN243"/>
  <c r="FO243"/>
  <c r="FP243"/>
  <c r="FQ243"/>
  <c r="FR243"/>
  <c r="FS243"/>
  <c r="DB244"/>
  <c r="DC244"/>
  <c r="DD244"/>
  <c r="DE244"/>
  <c r="DF244"/>
  <c r="DG244"/>
  <c r="DH244"/>
  <c r="DI244"/>
  <c r="DJ244"/>
  <c r="DK244"/>
  <c r="DL244"/>
  <c r="DM244"/>
  <c r="DN244"/>
  <c r="DO244"/>
  <c r="DP244"/>
  <c r="DQ244"/>
  <c r="DR244"/>
  <c r="DS244"/>
  <c r="DT244"/>
  <c r="DU244"/>
  <c r="DV244"/>
  <c r="DW244"/>
  <c r="DX244"/>
  <c r="DY244"/>
  <c r="DZ244"/>
  <c r="EA244"/>
  <c r="EB244"/>
  <c r="EC244"/>
  <c r="ED244"/>
  <c r="EE244"/>
  <c r="EF244"/>
  <c r="EG244"/>
  <c r="EH244"/>
  <c r="EI244"/>
  <c r="EJ244"/>
  <c r="EK244"/>
  <c r="EL244"/>
  <c r="EM244"/>
  <c r="EN244"/>
  <c r="EO244"/>
  <c r="EP244"/>
  <c r="EQ244"/>
  <c r="ER244"/>
  <c r="ES244"/>
  <c r="ET244"/>
  <c r="EU244"/>
  <c r="EV244"/>
  <c r="EW244"/>
  <c r="EX244"/>
  <c r="EY244"/>
  <c r="EZ244"/>
  <c r="FA244"/>
  <c r="FB244"/>
  <c r="FC244"/>
  <c r="FD244"/>
  <c r="FE244"/>
  <c r="FF244"/>
  <c r="FG244"/>
  <c r="FH244"/>
  <c r="FI244"/>
  <c r="FJ244"/>
  <c r="FK244"/>
  <c r="FL244"/>
  <c r="FM244"/>
  <c r="FN244"/>
  <c r="FO244"/>
  <c r="FP244"/>
  <c r="FQ244"/>
  <c r="FR244"/>
  <c r="FS244"/>
  <c r="CR206" l="1"/>
  <c r="CR207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189" i="2"/>
  <c r="CO189"/>
  <c r="CP189"/>
  <c r="CQ189"/>
  <c r="CN190"/>
  <c r="CO190"/>
  <c r="CP190"/>
  <c r="CQ190"/>
  <c r="CN191"/>
  <c r="CO191"/>
  <c r="CP191"/>
  <c r="CQ191"/>
  <c r="CN192"/>
  <c r="CO192"/>
  <c r="CP192"/>
  <c r="CQ192"/>
  <c r="CR192"/>
  <c r="CN193"/>
  <c r="CO193"/>
  <c r="CP193"/>
  <c r="CQ193"/>
  <c r="CN194"/>
  <c r="CO194"/>
  <c r="CP194"/>
  <c r="CQ194"/>
  <c r="CN195"/>
  <c r="CO195"/>
  <c r="CP195"/>
  <c r="CQ195"/>
  <c r="CR195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Q207" s="1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Q211" s="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Q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188" i="2"/>
  <c r="CQ188"/>
  <c r="CP188"/>
  <c r="CO188"/>
  <c r="CN188"/>
  <c r="CR194" l="1"/>
  <c r="CR189"/>
  <c r="CR191"/>
  <c r="CR193"/>
  <c r="CR190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Q192" s="1"/>
  <c r="D192"/>
  <c r="R192" s="1"/>
  <c r="W192" s="1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Q196" s="1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E106" i="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A99" i="3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P6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P52"/>
  <c r="P29"/>
  <c r="P44"/>
  <c r="P39"/>
  <c r="P98"/>
  <c r="P91"/>
  <c r="P23"/>
  <c r="P26"/>
  <c r="P36"/>
  <c r="P45"/>
  <c r="P95"/>
  <c r="P21"/>
  <c r="P97"/>
  <c r="P27"/>
  <c r="P18"/>
  <c r="P30"/>
  <c r="P89"/>
  <c r="P92"/>
  <c r="P22"/>
  <c r="P41"/>
  <c r="P88"/>
  <c r="P96"/>
  <c r="P33"/>
  <c r="P24"/>
  <c r="P43"/>
  <c r="P90"/>
  <c r="P31"/>
  <c r="P20"/>
  <c r="P32"/>
  <c r="P35"/>
  <c r="P38"/>
  <c r="P25"/>
  <c r="P34"/>
  <c r="P37"/>
  <c r="P93"/>
  <c r="P19"/>
  <c r="P94"/>
  <c r="P28"/>
  <c r="P42"/>
  <c r="P40"/>
  <c r="AB154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79" i="2" l="1"/>
  <c r="I79" i="1" s="1"/>
  <c r="K79" s="1"/>
  <c r="CV59" i="2"/>
  <c r="I59" i="1" s="1"/>
  <c r="CV56" i="2"/>
  <c r="I56" i="1" s="1"/>
  <c r="CV62" i="2"/>
  <c r="CV55"/>
  <c r="I55" i="1" s="1"/>
  <c r="CV57" i="2"/>
  <c r="I57" i="1" s="1"/>
  <c r="CV54" i="2"/>
  <c r="CV60"/>
  <c r="CV36"/>
  <c r="CV39"/>
  <c r="CV5"/>
  <c r="CV8"/>
  <c r="CV48"/>
  <c r="CV51"/>
  <c r="CV17"/>
  <c r="CV20"/>
  <c r="CV11"/>
  <c r="CV14"/>
  <c r="CV29"/>
  <c r="CV32"/>
  <c r="CV23"/>
  <c r="CV26"/>
  <c r="CV41"/>
  <c r="I41" i="1" s="1"/>
  <c r="K41" s="1"/>
  <c r="CV44" i="2"/>
  <c r="CV35"/>
  <c r="CV38"/>
  <c r="CV4"/>
  <c r="CV7"/>
  <c r="CV47"/>
  <c r="CV50"/>
  <c r="CV16"/>
  <c r="CV19"/>
  <c r="CV10"/>
  <c r="CV13"/>
  <c r="CV28"/>
  <c r="CV31"/>
  <c r="CV22"/>
  <c r="CV25"/>
  <c r="CV40"/>
  <c r="CV43"/>
  <c r="CV34"/>
  <c r="CV37"/>
  <c r="CV52"/>
  <c r="CV6"/>
  <c r="CV9"/>
  <c r="CV46"/>
  <c r="CV49"/>
  <c r="CV3"/>
  <c r="CV18"/>
  <c r="CV21"/>
  <c r="CV61"/>
  <c r="I61" i="1" s="1"/>
  <c r="CV12" i="2"/>
  <c r="CV15"/>
  <c r="CV30"/>
  <c r="CV33"/>
  <c r="CV58"/>
  <c r="CV24"/>
  <c r="CV27"/>
  <c r="CV42"/>
  <c r="CV45"/>
  <c r="CV69"/>
  <c r="I69" i="1" s="1"/>
  <c r="CV70" i="2"/>
  <c r="I70" i="1" s="1"/>
  <c r="CV68" i="2"/>
  <c r="I68" i="1" s="1"/>
  <c r="CV71" i="2"/>
  <c r="I71" i="1" s="1"/>
  <c r="CV75" i="2"/>
  <c r="I75" i="1" s="1"/>
  <c r="CV77" i="2"/>
  <c r="I77" i="1" s="1"/>
  <c r="CV64" i="2"/>
  <c r="I64" i="1" s="1"/>
  <c r="CV66" i="2"/>
  <c r="I66" i="1" s="1"/>
  <c r="CV76" i="2"/>
  <c r="CV67"/>
  <c r="CV73"/>
  <c r="I73" i="1" s="1"/>
  <c r="CV74" i="2"/>
  <c r="CV65"/>
  <c r="I65" i="1" s="1"/>
  <c r="CV72" i="2"/>
  <c r="I72" i="1" s="1"/>
  <c r="CV53" i="2"/>
  <c r="CV63"/>
  <c r="I63" i="1" s="1"/>
  <c r="I54"/>
  <c r="CV80" i="2"/>
  <c r="I80" i="1" s="1"/>
  <c r="K80" s="1"/>
  <c r="I82"/>
  <c r="K82" s="1"/>
  <c r="CV87" i="2"/>
  <c r="CV85"/>
  <c r="CV83"/>
  <c r="CV78"/>
  <c r="I74" i="1"/>
  <c r="I76"/>
  <c r="I67"/>
  <c r="CV81" i="2"/>
  <c r="CV86"/>
  <c r="CV84"/>
  <c r="I60" i="1"/>
  <c r="I62"/>
  <c r="I58"/>
  <c r="E105" i="6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75" i="2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CR244"/>
  <c r="CQ244"/>
  <c r="CP244"/>
  <c r="CO244"/>
  <c r="CN244"/>
  <c r="CR243"/>
  <c r="CQ243"/>
  <c r="CP243"/>
  <c r="CO243"/>
  <c r="CN243"/>
  <c r="CR242"/>
  <c r="CQ242"/>
  <c r="CP242"/>
  <c r="CO242"/>
  <c r="CN242"/>
  <c r="CR241"/>
  <c r="CQ241"/>
  <c r="CP241"/>
  <c r="CO241"/>
  <c r="CN241"/>
  <c r="CR240"/>
  <c r="CQ240"/>
  <c r="CP240"/>
  <c r="CO240"/>
  <c r="CN240"/>
  <c r="CR239"/>
  <c r="CQ239"/>
  <c r="CP239"/>
  <c r="CO239"/>
  <c r="CN239"/>
  <c r="CR238"/>
  <c r="CQ238"/>
  <c r="CP238"/>
  <c r="CO238"/>
  <c r="CN238"/>
  <c r="CR237"/>
  <c r="CQ237"/>
  <c r="CP237"/>
  <c r="CO237"/>
  <c r="CN237"/>
  <c r="CR236"/>
  <c r="CQ236"/>
  <c r="CP236"/>
  <c r="CO236"/>
  <c r="CN236"/>
  <c r="CR235"/>
  <c r="CQ235"/>
  <c r="CP235"/>
  <c r="CO235"/>
  <c r="CN235"/>
  <c r="CR234"/>
  <c r="CQ234"/>
  <c r="CP234"/>
  <c r="CO234"/>
  <c r="CN234"/>
  <c r="CR233"/>
  <c r="CQ233"/>
  <c r="CP233"/>
  <c r="CO233"/>
  <c r="CN233"/>
  <c r="CR232"/>
  <c r="CQ232"/>
  <c r="CP232"/>
  <c r="CO232"/>
  <c r="CN232"/>
  <c r="CR231"/>
  <c r="CQ231"/>
  <c r="CP231"/>
  <c r="CO231"/>
  <c r="CN231"/>
  <c r="CU230"/>
  <c r="CR230"/>
  <c r="CQ230"/>
  <c r="CP230"/>
  <c r="CO230"/>
  <c r="CN230"/>
  <c r="CR229"/>
  <c r="CQ229"/>
  <c r="CP229"/>
  <c r="CO229"/>
  <c r="CN229"/>
  <c r="CR228"/>
  <c r="CQ228"/>
  <c r="CP228"/>
  <c r="CO228"/>
  <c r="CN228"/>
  <c r="CR227"/>
  <c r="CQ227"/>
  <c r="CP227"/>
  <c r="CO227"/>
  <c r="CN227"/>
  <c r="CR226"/>
  <c r="CQ226"/>
  <c r="CP226"/>
  <c r="CO226"/>
  <c r="CN226"/>
  <c r="CR225"/>
  <c r="CQ225"/>
  <c r="CP225"/>
  <c r="CO225"/>
  <c r="CN225"/>
  <c r="CR224"/>
  <c r="CQ224"/>
  <c r="CP224"/>
  <c r="CO224"/>
  <c r="CN224"/>
  <c r="CR187"/>
  <c r="CQ187"/>
  <c r="CP187"/>
  <c r="CO187"/>
  <c r="CN187"/>
  <c r="CR186"/>
  <c r="CQ186"/>
  <c r="CP186"/>
  <c r="CO186"/>
  <c r="CN186"/>
  <c r="CR185"/>
  <c r="CQ185"/>
  <c r="CP185"/>
  <c r="CO185"/>
  <c r="CN185"/>
  <c r="CR184"/>
  <c r="CQ184"/>
  <c r="CP184"/>
  <c r="CO184"/>
  <c r="CN184"/>
  <c r="CR183"/>
  <c r="CQ183"/>
  <c r="CP183"/>
  <c r="CO183"/>
  <c r="CN183"/>
  <c r="CR182"/>
  <c r="CQ182"/>
  <c r="CP182"/>
  <c r="CO182"/>
  <c r="CN182"/>
  <c r="CR181"/>
  <c r="CQ181"/>
  <c r="CP181"/>
  <c r="CO181"/>
  <c r="CN181"/>
  <c r="CR180"/>
  <c r="CQ180"/>
  <c r="CP180"/>
  <c r="CO180"/>
  <c r="CN180"/>
  <c r="CR179"/>
  <c r="CQ179"/>
  <c r="CP179"/>
  <c r="CO179"/>
  <c r="CN179"/>
  <c r="CR178"/>
  <c r="CQ178"/>
  <c r="CP178"/>
  <c r="CO178"/>
  <c r="CN178"/>
  <c r="CR177"/>
  <c r="CQ177"/>
  <c r="CP177"/>
  <c r="CO177"/>
  <c r="CN177"/>
  <c r="CR176"/>
  <c r="CQ176"/>
  <c r="CP176"/>
  <c r="CO176"/>
  <c r="CN176"/>
  <c r="CR175"/>
  <c r="CQ175"/>
  <c r="CP175"/>
  <c r="CO175"/>
  <c r="CN175"/>
  <c r="CR174"/>
  <c r="CQ174"/>
  <c r="CP174"/>
  <c r="CO174"/>
  <c r="CN174"/>
  <c r="CR173"/>
  <c r="CQ173"/>
  <c r="CP173"/>
  <c r="CO173"/>
  <c r="CN173"/>
  <c r="CR172"/>
  <c r="CQ172"/>
  <c r="CP172"/>
  <c r="CO172"/>
  <c r="CN172"/>
  <c r="CR171"/>
  <c r="CQ171"/>
  <c r="CP171"/>
  <c r="CO171"/>
  <c r="CN171"/>
  <c r="CR170"/>
  <c r="CQ170"/>
  <c r="CP170"/>
  <c r="CO170"/>
  <c r="CN170"/>
  <c r="CR169"/>
  <c r="CQ169"/>
  <c r="CP169"/>
  <c r="CO169"/>
  <c r="CN169"/>
  <c r="CR168"/>
  <c r="CQ168"/>
  <c r="CP168"/>
  <c r="CO168"/>
  <c r="CN168"/>
  <c r="CR167"/>
  <c r="CQ167"/>
  <c r="CP167"/>
  <c r="CO167"/>
  <c r="CN167"/>
  <c r="CR166"/>
  <c r="CQ166"/>
  <c r="CP166"/>
  <c r="CO166"/>
  <c r="CN166"/>
  <c r="CR165"/>
  <c r="CQ165"/>
  <c r="CP165"/>
  <c r="CO165"/>
  <c r="CN165"/>
  <c r="CR164"/>
  <c r="CQ164"/>
  <c r="CP164"/>
  <c r="CO164"/>
  <c r="CN164"/>
  <c r="CR163"/>
  <c r="CQ163"/>
  <c r="CP163"/>
  <c r="CO163"/>
  <c r="CN163"/>
  <c r="CR162"/>
  <c r="CQ162"/>
  <c r="CP162"/>
  <c r="CO162"/>
  <c r="CN162"/>
  <c r="CR161"/>
  <c r="CQ161"/>
  <c r="CP161"/>
  <c r="CO161"/>
  <c r="CN161"/>
  <c r="CR160"/>
  <c r="CQ160"/>
  <c r="CP160"/>
  <c r="CO160"/>
  <c r="CN160"/>
  <c r="CR159"/>
  <c r="CQ159"/>
  <c r="CP159"/>
  <c r="CO159"/>
  <c r="CN159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62" i="2"/>
  <c r="CU270"/>
  <c r="CU271"/>
  <c r="I42" i="1"/>
  <c r="I40"/>
  <c r="I48"/>
  <c r="I28"/>
  <c r="I38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226" i="2"/>
  <c r="CU227"/>
  <c r="CU228"/>
  <c r="CU229"/>
  <c r="CU246"/>
  <c r="CU234"/>
  <c r="CU242"/>
  <c r="CU244"/>
  <c r="CU245"/>
  <c r="CU238"/>
  <c r="CU239"/>
  <c r="CU250"/>
  <c r="CU258"/>
  <c r="CU260"/>
  <c r="CU261"/>
  <c r="CU254"/>
  <c r="CU255"/>
  <c r="CU266"/>
  <c r="CU274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224" i="2"/>
  <c r="CU225"/>
  <c r="CU235"/>
  <c r="CU240"/>
  <c r="CU241"/>
  <c r="CU251"/>
  <c r="CU256"/>
  <c r="CU257"/>
  <c r="CU267"/>
  <c r="CU272"/>
  <c r="CU273"/>
  <c r="G59" i="5"/>
  <c r="M59" s="1"/>
  <c r="CB59" s="1"/>
  <c r="CR3" i="2"/>
  <c r="CU232"/>
  <c r="CU233"/>
  <c r="CU243"/>
  <c r="CU248"/>
  <c r="CU249"/>
  <c r="CU259"/>
  <c r="CU264"/>
  <c r="CU265"/>
  <c r="CU275"/>
  <c r="CU231"/>
  <c r="CU236"/>
  <c r="CU237"/>
  <c r="CU247"/>
  <c r="CU252"/>
  <c r="CU253"/>
  <c r="CU263"/>
  <c r="CU268"/>
  <c r="CU269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I49"/>
  <c r="I4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<sst xmlns="http://schemas.openxmlformats.org/spreadsheetml/2006/main" count="4410" uniqueCount="1031">
  <si>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</si>
  <si>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</si>
  <si>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</si>
  <si>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</si>
  <si>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</si>
  <si>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</si>
  <si>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</si>
  <si>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</si>
  <si>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</si>
  <si>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</si>
  <si>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</si>
  <si>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</si>
  <si>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</si>
  <si>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</si>
  <si>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</si>
  <si>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</si>
  <si>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</si>
  <si>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</si>
  <si>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</si>
  <si>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</si>
  <si>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</si>
  <si>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</si>
  <si>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</si>
  <si>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</si>
  <si>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</si>
  <si>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</si>
  <si>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</si>
  <si>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</si>
  <si>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</si>
  <si>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</si>
  <si>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</si>
  <si>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</si>
  <si>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</si>
  <si>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</si>
  <si>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</si>
  <si>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</si>
  <si>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</si>
  <si>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</si>
  <si>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</si>
  <si>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</si>
  <si>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</si>
  <si>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</si>
  <si>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</si>
  <si>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</si>
  <si>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</si>
  <si>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</si>
  <si>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</si>
  <si>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</si>
  <si>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</si>
  <si>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</si>
  <si>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</si>
  <si>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</si>
  <si>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</si>
  <si>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</si>
  <si>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</si>
  <si>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</si>
  <si>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</si>
  <si>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</si>
  <si>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</si>
  <si>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</si>
  <si>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</si>
  <si>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</si>
  <si>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</si>
  <si>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</si>
  <si>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</si>
  <si>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</si>
  <si>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</si>
  <si>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</si>
  <si>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</si>
  <si>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</si>
  <si>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</si>
  <si>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</si>
  <si>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</si>
  <si>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</si>
  <si>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</si>
  <si>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</si>
  <si>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</si>
  <si>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</si>
  <si>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</si>
  <si>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</si>
  <si>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</si>
  <si>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</si>
  <si>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</si>
  <si>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</si>
  <si>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</si>
  <si>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</si>
  <si>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</si>
  <si>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</si>
  <si>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</si>
  <si>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</si>
  <si>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</si>
  <si>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</si>
  <si>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</si>
  <si>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</si>
  <si>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</si>
  <si>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</si>
  <si>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</si>
  <si>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全属性</t>
  </si>
  <si>
    <t>力量</t>
  </si>
  <si>
    <t>敏捷</t>
  </si>
  <si>
    <t>智力</t>
  </si>
  <si>
    <t>生命上限</t>
  </si>
  <si>
    <t>魔法上限</t>
  </si>
  <si>
    <t>攻击力</t>
  </si>
  <si>
    <t>分裂攻击</t>
  </si>
  <si>
    <t>闪避</t>
  </si>
  <si>
    <t>命中</t>
  </si>
  <si>
    <t>物理防御</t>
  </si>
  <si>
    <t>物理吸血</t>
  </si>
  <si>
    <t>物理暴击</t>
  </si>
  <si>
    <t>暴击伤害</t>
  </si>
  <si>
    <t>物理伤害提高</t>
  </si>
  <si>
    <t>物理抵抗</t>
  </si>
  <si>
    <t>物理穿透</t>
  </si>
  <si>
    <t>生命恢复</t>
  </si>
  <si>
    <t>生命恢复%</t>
  </si>
  <si>
    <t>攻速</t>
  </si>
  <si>
    <t>魔法防御</t>
  </si>
  <si>
    <t>魔法吸血</t>
  </si>
  <si>
    <t>魔法暴击</t>
  </si>
  <si>
    <t>魔法暴击伤害</t>
  </si>
  <si>
    <t>魔法伤害提高</t>
  </si>
  <si>
    <t>魔法抵抗</t>
  </si>
  <si>
    <t>魔法穿透</t>
  </si>
  <si>
    <t>魔法回复</t>
  </si>
  <si>
    <t>魔法恢复%</t>
  </si>
  <si>
    <t>免伤概率</t>
  </si>
  <si>
    <t>杀敌属性</t>
  </si>
  <si>
    <t>杀敌力量</t>
  </si>
  <si>
    <t>杀敌敏捷</t>
  </si>
  <si>
    <t>杀敌智力</t>
  </si>
  <si>
    <t>杀敌攻击</t>
  </si>
  <si>
    <t>杀敌木头</t>
  </si>
  <si>
    <t>攻击真实伤害</t>
  </si>
  <si>
    <t>每秒属性</t>
  </si>
  <si>
    <t>每秒力量</t>
  </si>
  <si>
    <t>每秒敏捷</t>
  </si>
  <si>
    <t>每秒智力</t>
  </si>
  <si>
    <t>每秒攻击</t>
  </si>
  <si>
    <t>每秒金币</t>
  </si>
  <si>
    <t>每秒木头</t>
  </si>
  <si>
    <t>攻击属性</t>
  </si>
  <si>
    <t>攻击力量</t>
  </si>
  <si>
    <t>攻击敏捷</t>
  </si>
  <si>
    <t>攻击智力</t>
  </si>
  <si>
    <t>攻击攻击</t>
  </si>
  <si>
    <t>全属性加成</t>
  </si>
  <si>
    <t>力量加成</t>
  </si>
  <si>
    <t>敏捷加成</t>
  </si>
  <si>
    <t>智力加成</t>
  </si>
  <si>
    <t>攻击加成</t>
  </si>
  <si>
    <t>金币加成</t>
  </si>
  <si>
    <t>木材加成</t>
  </si>
  <si>
    <t>经验率</t>
  </si>
  <si>
    <t>杀敌数增加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</si>
  <si>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</si>
  <si>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</si>
  <si>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</si>
  <si>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</si>
  <si>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</si>
  <si>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</si>
  <si>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</si>
  <si>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</si>
  <si>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</si>
  <si>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</si>
  <si>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</si>
  <si>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</si>
  <si>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</si>
  <si>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</si>
  <si>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</si>
  <si>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</si>
  <si>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</si>
  <si>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</si>
  <si>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</si>
  <si>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</si>
  <si>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</si>
  <si>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</si>
  <si>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</si>
  <si>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</si>
  <si>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</si>
  <si>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</si>
  <si>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</si>
  <si>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</si>
  <si>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</si>
  <si>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</si>
  <si>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</si>
  <si>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E301</t>
  </si>
  <si>
    <t>E302</t>
  </si>
  <si>
    <t>E303</t>
  </si>
  <si>
    <t>E304</t>
  </si>
  <si>
    <t>E305</t>
  </si>
  <si>
    <t>E401</t>
  </si>
  <si>
    <t>E306</t>
  </si>
  <si>
    <t>E307</t>
  </si>
  <si>
    <t>E308</t>
  </si>
  <si>
    <t>E402</t>
  </si>
  <si>
    <t>E309</t>
  </si>
  <si>
    <t>E403</t>
  </si>
  <si>
    <t>E310</t>
  </si>
  <si>
    <t>E311</t>
  </si>
  <si>
    <t>E312</t>
  </si>
  <si>
    <t>E404</t>
  </si>
  <si>
    <t>E313</t>
  </si>
  <si>
    <t>E405</t>
  </si>
  <si>
    <t>E406</t>
  </si>
  <si>
    <t>E407</t>
  </si>
  <si>
    <t>E408</t>
  </si>
  <si>
    <t>E409</t>
  </si>
  <si>
    <t>E410</t>
  </si>
  <si>
    <t>E411</t>
  </si>
  <si>
    <t>E412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</si>
  <si>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</si>
  <si>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</si>
  <si>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</si>
  <si>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</si>
  <si>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</si>
  <si>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</si>
  <si>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</si>
  <si>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</si>
  <si>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</si>
  <si>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</si>
  <si>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</si>
  <si>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</si>
  <si>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</si>
  <si>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</si>
  <si>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</si>
  <si>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E517</t>
  </si>
  <si>
    <t>E518</t>
  </si>
  <si>
    <t>E519</t>
  </si>
  <si>
    <t>E520</t>
  </si>
  <si>
    <t>E522</t>
  </si>
  <si>
    <t>E523</t>
  </si>
  <si>
    <t>E524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</si>
  <si>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</si>
  <si>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</si>
  <si>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</si>
  <si>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</si>
  <si>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</si>
  <si>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</si>
  <si>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</si>
  <si>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</si>
  <si>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</si>
  <si>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</si>
  <si>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</si>
  <si>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</si>
  <si>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</si>
  <si>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</si>
  <si>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</si>
  <si>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</si>
  <si>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</si>
  <si>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</si>
  <si>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</si>
  <si>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</si>
  <si>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</si>
  <si>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</si>
  <si>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</si>
  <si>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</si>
  <si>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</si>
  <si>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</si>
  <si>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</si>
  <si>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</si>
  <si>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</si>
  <si>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</si>
  <si>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</si>
  <si>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</si>
  <si>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</si>
  <si>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</si>
  <si>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</si>
  <si>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</si>
  <si>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</si>
  <si>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</si>
  <si>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</si>
  <si>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</si>
  <si>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</si>
  <si>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</si>
  <si>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</si>
  <si>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</si>
  <si>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</si>
  <si>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</si>
  <si>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</si>
  <si>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</si>
  <si>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</si>
  <si>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</si>
  <si>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</si>
  <si>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</si>
  <si>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</si>
  <si>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</si>
  <si>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</si>
  <si>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</si>
  <si>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</si>
  <si>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</si>
  <si>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</si>
  <si>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</si>
  <si>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</si>
  <si>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</si>
  <si>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</si>
  <si>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</si>
  <si>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</si>
  <si>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</si>
  <si>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</si>
  <si>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</si>
  <si>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</si>
  <si>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</si>
  <si>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</si>
  <si>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</si>
  <si>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</si>
  <si>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</si>
  <si>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E911</t>
  </si>
  <si>
    <t>Z012</t>
  </si>
  <si>
    <t>Z013</t>
  </si>
  <si>
    <t>Z022</t>
  </si>
  <si>
    <t>Z023</t>
  </si>
  <si>
    <t>Z032</t>
  </si>
  <si>
    <t>Z033</t>
  </si>
  <si>
    <t>Z042</t>
  </si>
  <si>
    <t>Z043</t>
  </si>
  <si>
    <t>Z052</t>
  </si>
  <si>
    <t>Z053</t>
  </si>
  <si>
    <t>Z062</t>
  </si>
  <si>
    <t>Z063</t>
  </si>
  <si>
    <t>Z072</t>
  </si>
  <si>
    <t>Z073</t>
  </si>
  <si>
    <t>Z082</t>
  </si>
  <si>
    <t>Z083</t>
  </si>
  <si>
    <t>Z092</t>
  </si>
  <si>
    <t>Z093</t>
  </si>
  <si>
    <t>Z102</t>
  </si>
  <si>
    <t>Z103</t>
  </si>
  <si>
    <t>Z112</t>
  </si>
  <si>
    <t>Z113</t>
  </si>
  <si>
    <t>Z122</t>
  </si>
  <si>
    <t>Z123</t>
  </si>
  <si>
    <t>Z132</t>
  </si>
  <si>
    <t>Z133</t>
  </si>
  <si>
    <t>Z142</t>
  </si>
  <si>
    <t>Z143</t>
  </si>
  <si>
    <t>Z152</t>
  </si>
  <si>
    <t>Z153</t>
  </si>
  <si>
    <t>Z162</t>
  </si>
  <si>
    <t>Z163</t>
  </si>
  <si>
    <t>Z172</t>
  </si>
  <si>
    <t>Z173</t>
  </si>
  <si>
    <t>Z182</t>
  </si>
  <si>
    <t>Z183</t>
  </si>
  <si>
    <t>Z192</t>
  </si>
  <si>
    <t>Z193</t>
  </si>
  <si>
    <t>Z202</t>
  </si>
  <si>
    <t>Z203</t>
  </si>
  <si>
    <t>Z212</t>
  </si>
  <si>
    <t>Z213</t>
  </si>
  <si>
    <t>Z222</t>
  </si>
  <si>
    <t>Z223</t>
  </si>
  <si>
    <t>Z232</t>
  </si>
  <si>
    <t>Z233</t>
  </si>
  <si>
    <t>Z242</t>
  </si>
  <si>
    <t>Z243</t>
  </si>
  <si>
    <t>Z253</t>
  </si>
  <si>
    <t>ReplaceableTextures\\CommandButtons\\BTNScrollOfRegenerationGreen.blp</t>
  </si>
  <si>
    <t>Z272</t>
  </si>
  <si>
    <t>Z273</t>
  </si>
  <si>
    <t>Z282</t>
  </si>
  <si>
    <t>Z283</t>
  </si>
  <si>
    <t>Z292</t>
  </si>
  <si>
    <t>Z293</t>
  </si>
  <si>
    <t>Z302</t>
  </si>
  <si>
    <t>Z303</t>
  </si>
  <si>
    <t>E525</t>
  </si>
  <si>
    <t>E527</t>
  </si>
  <si>
    <t>E528</t>
  </si>
  <si>
    <t>E529</t>
  </si>
  <si>
    <t>E530</t>
  </si>
  <si>
    <t>Z011</t>
  </si>
  <si>
    <t>Z021</t>
  </si>
  <si>
    <t>Z031</t>
  </si>
  <si>
    <t>Z041</t>
  </si>
  <si>
    <t>Z051</t>
  </si>
  <si>
    <t>Z061</t>
  </si>
  <si>
    <t>Z071</t>
  </si>
  <si>
    <t>Z081</t>
  </si>
  <si>
    <t>Z091</t>
  </si>
  <si>
    <t>Z101</t>
  </si>
  <si>
    <t>Z111</t>
  </si>
  <si>
    <t>Z121</t>
  </si>
  <si>
    <t>Z131</t>
  </si>
  <si>
    <t>Z141</t>
  </si>
  <si>
    <t>Z151</t>
  </si>
  <si>
    <t>Z161</t>
  </si>
  <si>
    <t>Z171</t>
  </si>
  <si>
    <t>Z181</t>
  </si>
  <si>
    <t>Z191</t>
  </si>
  <si>
    <t>Z201</t>
  </si>
  <si>
    <t>Z211</t>
  </si>
  <si>
    <t>Z221</t>
  </si>
  <si>
    <t>Z231</t>
  </si>
  <si>
    <t>Z241</t>
  </si>
  <si>
    <t>Z251</t>
  </si>
  <si>
    <t>Z261</t>
  </si>
  <si>
    <t>Z262</t>
  </si>
  <si>
    <t>Z271</t>
  </si>
  <si>
    <t>Z281</t>
  </si>
  <si>
    <t>Z291</t>
  </si>
  <si>
    <t>Z301</t>
  </si>
  <si>
    <t>Z263</t>
  </si>
  <si>
    <t>可以被抵押</t>
    <phoneticPr fontId="15" type="noConversion"/>
  </si>
  <si>
    <t>%</t>
    <phoneticPr fontId="15" type="noConversion"/>
  </si>
  <si>
    <t>C101</t>
  </si>
  <si>
    <t>C102</t>
  </si>
  <si>
    <t>|cFFFFFF00金系-黑暗游侠★★|r</t>
  </si>
  <si>
    <t>C111</t>
  </si>
  <si>
    <t>|cFFFFFF00金系-全能骑士★|r</t>
  </si>
  <si>
    <t>C112</t>
  </si>
  <si>
    <t>C121</t>
  </si>
  <si>
    <t>|cFFFFFF00金系-圣堂刺客★|r</t>
  </si>
  <si>
    <t>C122</t>
  </si>
  <si>
    <t>|cFFFFFF00金系-圣堂刺客★★|r</t>
  </si>
  <si>
    <t>C131</t>
  </si>
  <si>
    <t>|cFFFFFF00金系-沉默术士★|r</t>
  </si>
  <si>
    <t>C132</t>
  </si>
  <si>
    <t>|cFFFFFF00金系-沉默术士★★|r</t>
  </si>
  <si>
    <t>C141</t>
  </si>
  <si>
    <t>|cFFFFFF00金系-剧毒术士★|r</t>
  </si>
  <si>
    <t>C142</t>
  </si>
  <si>
    <t>|cFFFFFF00金系-剧毒术士★★|r</t>
  </si>
  <si>
    <t>C151</t>
  </si>
  <si>
    <t>|cFFFFFF00金系-双头龙★|r</t>
  </si>
  <si>
    <t>C152</t>
  </si>
  <si>
    <t>|cFFFFFF00金系-双头龙★★|r</t>
  </si>
  <si>
    <t>C161</t>
  </si>
  <si>
    <t>|cFFFFFF00金系-风暴之灵★|r</t>
  </si>
  <si>
    <t>C162</t>
  </si>
  <si>
    <t>|cFFFFFF00金系-风暴之灵★★|r</t>
  </si>
  <si>
    <t>C201</t>
  </si>
  <si>
    <t>|cffadff2f木系-月之女祭祀★|r</t>
  </si>
  <si>
    <t>C202</t>
  </si>
  <si>
    <t>|cffadff2f木系-月之女祭祀★★|r</t>
  </si>
  <si>
    <t>C211</t>
  </si>
  <si>
    <t>|cffadff2f木系-月骑士★|r</t>
  </si>
  <si>
    <t>C212</t>
  </si>
  <si>
    <t>|cffadff2f木系-月骑士★★|r</t>
  </si>
  <si>
    <t>C221</t>
  </si>
  <si>
    <t>|cffadff2f木系-隐形刺客★|r</t>
  </si>
  <si>
    <t>C222</t>
  </si>
  <si>
    <t>|cffadff2f木系-隐形刺客★★|r</t>
  </si>
  <si>
    <t>C231</t>
  </si>
  <si>
    <t>|cffadff2f木系-死灵法师★|r</t>
  </si>
  <si>
    <t>C232</t>
  </si>
  <si>
    <t>|cffadff2f木系-死灵法师★★|r</t>
  </si>
  <si>
    <t>C241</t>
  </si>
  <si>
    <t>|cffadff2f木系-圣骑士★|r</t>
  </si>
  <si>
    <t>C242</t>
  </si>
  <si>
    <t>|cffadff2f木系-圣骑士★★|r</t>
  </si>
  <si>
    <t>C251</t>
  </si>
  <si>
    <t>|cffadff2f木系-熊猫酒仙★|r</t>
  </si>
  <si>
    <t>C252</t>
  </si>
  <si>
    <t>|cffadff2f木系-熊猫酒仙★★|r</t>
  </si>
  <si>
    <t>C301</t>
  </si>
  <si>
    <t>|cffff0000火系-火枪手★|r</t>
  </si>
  <si>
    <t>C302</t>
  </si>
  <si>
    <t>|cffff0000火系-火枪手★★|r</t>
  </si>
  <si>
    <t>C311</t>
  </si>
  <si>
    <t>|cffff0000火系-幻影刺客★|r</t>
  </si>
  <si>
    <t>C312</t>
  </si>
  <si>
    <t>|cffff0000火系-幻影刺客★★|r</t>
  </si>
  <si>
    <t>C321</t>
  </si>
  <si>
    <t>|cffff0000火系-斧王★|r</t>
  </si>
  <si>
    <t>C322</t>
  </si>
  <si>
    <t>|cffff0000火系-斧王★★|r</t>
  </si>
  <si>
    <t>C331</t>
  </si>
  <si>
    <t>|cffff0000火系-术士★|r</t>
  </si>
  <si>
    <t>C332</t>
  </si>
  <si>
    <t>|cffff0000火系-术士★★|r</t>
  </si>
  <si>
    <t>C341</t>
  </si>
  <si>
    <t>|cffff0000火系-屠夫★|r</t>
  </si>
  <si>
    <t>C342</t>
  </si>
  <si>
    <t>|cffff0000火系-屠夫★★|r</t>
  </si>
  <si>
    <t>C351</t>
  </si>
  <si>
    <t>|cffff0000火系-冥界亚龙★|r</t>
  </si>
  <si>
    <t>C352</t>
  </si>
  <si>
    <t>|cffff0000火系-冥界亚龙★★|r</t>
  </si>
  <si>
    <t>C361</t>
  </si>
  <si>
    <t>|cffff0000火系-火熊猫★|r</t>
  </si>
  <si>
    <t>C362</t>
  </si>
  <si>
    <t>|cffff0000火系-火熊猫★★|r</t>
  </si>
  <si>
    <t>C401</t>
  </si>
  <si>
    <t>|cff99ccff水系-蛇发女妖★|r</t>
  </si>
  <si>
    <t>C402</t>
  </si>
  <si>
    <t>|cff99ccff水系-蛇发女妖★★|r</t>
  </si>
  <si>
    <t>C411</t>
  </si>
  <si>
    <t>|cff99ccff水系-巫妖★|r</t>
  </si>
  <si>
    <t>C412</t>
  </si>
  <si>
    <t>|cff99ccff水系-巫妖★★|r</t>
  </si>
  <si>
    <t>C421</t>
  </si>
  <si>
    <t>|cff99ccff水系-冰晶室女★|r</t>
  </si>
  <si>
    <t>C422</t>
  </si>
  <si>
    <t>|cff99ccff水系-冰晶室女★★|r</t>
  </si>
  <si>
    <t>C431</t>
  </si>
  <si>
    <t>|cff99ccff水系-暗影牧师★|r</t>
  </si>
  <si>
    <t>C432</t>
  </si>
  <si>
    <t>|cff99ccff水系-暗影牧师★★|r</t>
  </si>
  <si>
    <t>C441</t>
  </si>
  <si>
    <t>|cff99ccff水系-神谕者★|r</t>
  </si>
  <si>
    <t>C442</t>
  </si>
  <si>
    <t>|cff99ccff水系-神谕者★★|r</t>
  </si>
  <si>
    <t>C451</t>
  </si>
  <si>
    <t>|cff99ccff水系-仙女龙★|r</t>
  </si>
  <si>
    <t>C452</t>
  </si>
  <si>
    <t>|cff99ccff水系-仙女龙★★|r</t>
  </si>
  <si>
    <t>C501</t>
  </si>
  <si>
    <t>|CFFFF8000土系-混沌骑士★|r</t>
  </si>
  <si>
    <t>C502</t>
  </si>
  <si>
    <t>|CFFFF8000土系-混沌骑士★★|r</t>
  </si>
  <si>
    <t>C511</t>
  </si>
  <si>
    <t>|CFFFF8000土系-龙骑士★|r</t>
  </si>
  <si>
    <t>C512</t>
  </si>
  <si>
    <t>|CFFFF8000土系-龙骑士★★|r</t>
  </si>
  <si>
    <t>C521</t>
  </si>
  <si>
    <t>|CFFFF8000土系-剑圣★|r</t>
  </si>
  <si>
    <t>C522</t>
  </si>
  <si>
    <t>|CFFFF8000土系-剑圣★★|r</t>
  </si>
  <si>
    <t>C531</t>
  </si>
  <si>
    <t>|CFFFF8000土系-熊战士★|r</t>
  </si>
  <si>
    <t>C532</t>
  </si>
  <si>
    <t>|CFFFF8000土系-熊战士★★|r</t>
  </si>
  <si>
    <t>C541</t>
  </si>
  <si>
    <t>|CFFFF8000土系-山岭巨人★|r</t>
  </si>
  <si>
    <t>C542</t>
  </si>
  <si>
    <t>|CFFFF8000土系-山岭巨人★★|r</t>
  </si>
  <si>
    <t>C551</t>
  </si>
  <si>
    <t>|CFFFF8000土系-骷髅王★|r</t>
  </si>
  <si>
    <t>C552</t>
  </si>
  <si>
    <t>|CFFFF8000土系-骷髅王★★|r</t>
  </si>
  <si>
    <t>C561</t>
  </si>
  <si>
    <t>|CFFFF8000土系-大地之灵★|r</t>
  </si>
  <si>
    <t>C562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</si>
  <si>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</si>
  <si>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</si>
  <si>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</si>
  <si>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</si>
  <si>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</si>
  <si>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</si>
  <si>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</si>
  <si>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</si>
  <si>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</si>
  <si>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</si>
  <si>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</si>
  <si>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</si>
  <si>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</si>
  <si>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</si>
  <si>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</si>
  <si>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</si>
  <si>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</si>
  <si>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</si>
  <si>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</si>
  <si>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</si>
  <si>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使用次数</t>
    <phoneticPr fontId="15" type="noConversion"/>
  </si>
  <si>
    <t>使用完全消失</t>
    <phoneticPr fontId="15" type="noConversion"/>
  </si>
  <si>
    <t>CD间隔组</t>
    <phoneticPr fontId="15" type="noConversion"/>
  </si>
  <si>
    <t>|cFFFFFF00金系-全能骑士★★|r</t>
  </si>
  <si>
    <t>|cFFFFFF00金系-黑暗游侠★|r</t>
  </si>
  <si>
    <t>|CFFFF8000土系-大地之灵★★|r</t>
  </si>
  <si>
    <t>攻击之爪</t>
  </si>
  <si>
    <t>力量手套</t>
  </si>
  <si>
    <t>敏捷便鞋</t>
  </si>
  <si>
    <t>智力斗篷</t>
  </si>
  <si>
    <t>守护戒指</t>
  </si>
  <si>
    <t>铁树枝干</t>
  </si>
  <si>
    <t>恢复戒指</t>
  </si>
  <si>
    <t>能量垂饰</t>
  </si>
  <si>
    <t>魔法面罩</t>
  </si>
  <si>
    <t>攻速手套</t>
  </si>
  <si>
    <t>速度之靴</t>
  </si>
  <si>
    <t>传送权杖</t>
  </si>
  <si>
    <t>|cffadff2f长剑|r</t>
  </si>
  <si>
    <t>|cffadff2f巨人力量腰带|r</t>
  </si>
  <si>
    <t>|cffadff2f敏捷腰带|r</t>
  </si>
  <si>
    <t>|cffadff2f法师长袍|r</t>
  </si>
  <si>
    <t>|cffadff2f板甲|r</t>
  </si>
  <si>
    <t>|cffadff2f贵族圆环|r</t>
  </si>
  <si>
    <t>|cffadff2f生命护符|r</t>
  </si>
  <si>
    <t>|cffadff2f魔法垂饰|r</t>
  </si>
  <si>
    <t>|cffadff2f活力之石|r</t>
  </si>
  <si>
    <t>|cffadff2f短刀|r</t>
  </si>
  <si>
    <t>|cffadff2f风暴狮角|r</t>
  </si>
  <si>
    <t>|cffadff2f流浪者斗篷|r</t>
  </si>
  <si>
    <t>|cff99ccff阔剑|r</t>
  </si>
  <si>
    <t>|cff99ccff国王之冠|r</t>
  </si>
  <si>
    <t>|cff99ccff极限法球|r</t>
  </si>
  <si>
    <t>|cff99ccff吸血面罩|r</t>
  </si>
  <si>
    <t>|cff99ccff腐蚀之球|r</t>
  </si>
  <si>
    <t>|cff99ccff攻速之靴|r</t>
  </si>
  <si>
    <t>|cff99ccff力量之靴|r</t>
  </si>
  <si>
    <t>|cff99ccff敏捷之靴|r</t>
  </si>
  <si>
    <t>|cff99ccff智力之靴|r</t>
  </si>
  <si>
    <t>|cff99ccff战歌之鼓|r</t>
  </si>
  <si>
    <t>|cff99ccff啊利亚之笛|r</t>
  </si>
  <si>
    <t>|cff99ccff穷鬼盾|r</t>
  </si>
  <si>
    <t>|cff99ccff闪避护符|r</t>
  </si>
  <si>
    <t>|cffcc99ff标枪|r</t>
  </si>
  <si>
    <t>|cffcc99ff圆盾|r</t>
  </si>
  <si>
    <t>|cffcc99ff掠夺之手|r</t>
  </si>
  <si>
    <t>|cffcc99ff穿刺飞矛|r</t>
  </si>
  <si>
    <t>|cffcc99ff水晶球|r</t>
  </si>
  <si>
    <t>|cffcc99ff全能之靴|r</t>
  </si>
  <si>
    <t>|cffcc99ff神秘腰带|r</t>
  </si>
  <si>
    <t>|cffcc99ff魔力法杖|r</t>
  </si>
  <si>
    <t>|cffcc99ff生锈的矿铲|r</t>
  </si>
  <si>
    <t>|cffcc99ff古之忍耐姜歌|r</t>
  </si>
  <si>
    <t>|cffcc99ff欢欣之刃|r</t>
  </si>
  <si>
    <t>|cffcc99ff力量之斧|r</t>
  </si>
  <si>
    <t>|CFFFF8000水晶剑|r</t>
  </si>
  <si>
    <t>|CFFFF8000空明杖|r</t>
  </si>
  <si>
    <t>|CFFFF8000挑战头巾|r</t>
  </si>
  <si>
    <t>|CFFFF8000角鹰弓|r</t>
  </si>
  <si>
    <t>|CFFFF8000圣者遗物|r</t>
  </si>
  <si>
    <t>|CFFFF8000掠夺者之斧|r</t>
  </si>
  <si>
    <t>|CFFFF8000疯狂面具|r</t>
  </si>
  <si>
    <t>|CFFFF8000散华|r</t>
  </si>
  <si>
    <t>|CFFFF8000精气之球|r</t>
  </si>
  <si>
    <t>|CFFFF8000传送之书|r</t>
  </si>
  <si>
    <t>|CFFFF8000玄冥盾牌|r</t>
  </si>
  <si>
    <t>|CFFFF8000夜叉|r</t>
  </si>
  <si>
    <t>|cffff0000暗灭|r</t>
  </si>
  <si>
    <t>|cffff0000旋涡|r</t>
  </si>
  <si>
    <t>|cffff0000散夜对剑|r</t>
  </si>
  <si>
    <t>|cffff0000塞尔达头盔|r</t>
  </si>
  <si>
    <t>|cffff0000塞尔达之盾|r</t>
  </si>
  <si>
    <t>|cffff0000刺甲|r</t>
  </si>
  <si>
    <t>|cffff0000紫苑|r</t>
  </si>
  <si>
    <t>|cffff0000红杖|r</t>
  </si>
  <si>
    <t>|cffff0000风杖|r</t>
  </si>
  <si>
    <t>|cffff0000守护面纱|r</t>
  </si>
  <si>
    <t>|cffff0000分身斧|r</t>
  </si>
  <si>
    <t>|cffff0000狂战士之斧|r</t>
  </si>
  <si>
    <t>|cffff0000蝴蝶|r</t>
  </si>
  <si>
    <t>|cffff0000偷袭之锋|r</t>
  </si>
  <si>
    <t>|cffff0000碎颅锤|r</t>
  </si>
  <si>
    <t>|cffff0000塞尔达之眼|r</t>
  </si>
  <si>
    <t>|cffff0000强袭甲|r</t>
  </si>
  <si>
    <t>|cffff0000塞尔达的守护|r</t>
  </si>
  <si>
    <t>|cffff0000死灵书|r</t>
  </si>
  <si>
    <t>|cffff0000哈姆神杖|r</t>
  </si>
  <si>
    <t>杀敌仙力</t>
  </si>
  <si>
    <t>真气</t>
  </si>
  <si>
    <t>心境概率增加</t>
  </si>
  <si>
    <t>杀敌真气</t>
  </si>
  <si>
    <t>攻击真气</t>
  </si>
  <si>
    <t>每秒真气</t>
  </si>
  <si>
    <t>仙力加成</t>
  </si>
  <si>
    <t>E001</t>
    <phoneticPr fontId="15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</si>
  <si>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</si>
  <si>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</si>
  <si>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</si>
  <si>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</si>
  <si>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</si>
  <si>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</si>
  <si>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</si>
  <si>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</si>
  <si>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</si>
  <si>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</si>
  <si>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</si>
  <si>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</si>
  <si>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</si>
  <si>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</si>
  <si>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</si>
  <si>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</si>
  <si>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</si>
  <si>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</si>
  <si>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</si>
  <si>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</si>
  <si>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</si>
  <si>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5" type="noConversion"/>
  </si>
  <si>
    <t>E122</t>
  </si>
  <si>
    <t>E123</t>
  </si>
  <si>
    <t>E124</t>
  </si>
  <si>
    <t>武器lv1</t>
    <phoneticPr fontId="15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</si>
  <si>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</si>
  <si>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</si>
  <si>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</si>
  <si>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</si>
  <si>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</si>
  <si>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</si>
  <si>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</si>
  <si>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</si>
  <si>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</si>
  <si>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</si>
  <si>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</si>
  <si>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</si>
  <si>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</si>
  <si>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</si>
  <si>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</si>
  <si>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</si>
  <si>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</si>
  <si>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</si>
  <si>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</si>
  <si>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</si>
  <si>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</si>
  <si>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</si>
  <si>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</si>
  <si>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</si>
  <si>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</si>
  <si>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</si>
  <si>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</si>
  <si>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</si>
  <si>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</si>
  <si>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</si>
  <si>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</si>
  <si>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</si>
  <si>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</si>
  <si>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</si>
  <si>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</si>
  <si>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</si>
  <si>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</si>
  <si>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</si>
  <si>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</si>
  <si>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</si>
  <si>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</si>
  <si>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</si>
  <si>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</si>
  <si>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</si>
  <si>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</si>
  <si>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</si>
  <si>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</si>
  <si>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</si>
  <si>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</si>
  <si>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</si>
  <si>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</si>
  <si>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</si>
  <si>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</si>
  <si>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5" type="noConversion"/>
  </si>
  <si>
    <t>生命</t>
  </si>
  <si>
    <t>%</t>
  </si>
  <si>
    <t>E101</t>
    <phoneticPr fontId="15" type="noConversion"/>
  </si>
  <si>
    <t>法杖lv1</t>
    <phoneticPr fontId="15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</si>
  <si>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</si>
  <si>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</si>
  <si>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</si>
  <si>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</si>
  <si>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</si>
  <si>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</si>
  <si>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</si>
  <si>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</si>
  <si>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</si>
  <si>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</si>
  <si>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</si>
  <si>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</si>
  <si>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</si>
  <si>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</si>
  <si>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</si>
  <si>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</si>
  <si>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</si>
  <si>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</si>
  <si>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</si>
  <si>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</si>
  <si>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</si>
  <si>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</si>
  <si>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</si>
  <si>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</si>
  <si>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</si>
  <si>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</si>
  <si>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</si>
  <si>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</si>
  <si>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</si>
  <si>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</si>
  <si>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5" type="noConversion"/>
  </si>
  <si>
    <t>E201</t>
    <phoneticPr fontId="15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</si>
  <si>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</si>
  <si>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</si>
  <si>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</si>
  <si>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</si>
  <si>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</si>
  <si>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</si>
  <si>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</si>
  <si>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</si>
  <si>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</si>
  <si>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</si>
  <si>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</si>
  <si>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</si>
  <si>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</si>
  <si>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</si>
  <si>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</si>
  <si>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</si>
  <si>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</si>
  <si>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</si>
  <si>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</si>
  <si>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</si>
  <si>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</si>
  <si>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</si>
  <si>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</si>
  <si>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</si>
  <si>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</si>
  <si>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</si>
  <si>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</si>
  <si>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</si>
  <si>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</si>
  <si>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</si>
  <si>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</si>
  <si>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</si>
  <si>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</si>
  <si>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</si>
  <si>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</si>
  <si>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</si>
  <si>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</si>
  <si>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</si>
  <si>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</si>
  <si>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</si>
  <si>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</si>
  <si>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</si>
  <si>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</si>
  <si>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</si>
  <si>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</si>
  <si>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</si>
  <si>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</si>
  <si>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5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</si>
  <si>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</si>
  <si>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</si>
  <si>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</si>
  <si>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</si>
  <si>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</si>
  <si>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</si>
  <si>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</si>
  <si>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</si>
  <si>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</si>
  <si>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t>ReplaceableTextures\\CommandButtons\\BTNTome.blp</t>
    <phoneticPr fontId="15" type="noConversion"/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</si>
  <si>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5" type="noConversion"/>
  </si>
  <si>
    <t>ReplaceableTextures\\CommandButtons\\BTNOrbOfDarkness.blp</t>
    <phoneticPr fontId="15" type="noConversion"/>
  </si>
  <si>
    <t>随机技能</t>
    <phoneticPr fontId="15" type="noConversion"/>
  </si>
  <si>
    <t>CS02</t>
  </si>
  <si>
    <t>CS03</t>
  </si>
  <si>
    <t>IP01</t>
    <phoneticPr fontId="15" type="noConversion"/>
  </si>
  <si>
    <t>时渊碎片</t>
    <phoneticPr fontId="15" type="noConversion"/>
  </si>
  <si>
    <t>进入时渊副本消耗时渊碎片</t>
  </si>
  <si>
    <t>PowerUp</t>
  </si>
  <si>
    <t>Objects\\InventoryItems\\CrystalShard\\CrystalShard.mdl</t>
    <phoneticPr fontId="15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</si>
  <si>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</si>
  <si>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</si>
  <si>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</si>
  <si>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</si>
  <si>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</si>
  <si>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5" type="noConversion"/>
  </si>
  <si>
    <t>Charged</t>
  </si>
  <si>
    <t>CS04</t>
  </si>
  <si>
    <t>CF01</t>
    <phoneticPr fontId="15" type="noConversion"/>
  </si>
  <si>
    <t>随机法宝</t>
    <phoneticPr fontId="15" type="noConversion"/>
  </si>
  <si>
    <t>随机法宝</t>
    <phoneticPr fontId="15" type="noConversion"/>
  </si>
  <si>
    <t>下一个</t>
    <phoneticPr fontId="15" type="noConversion"/>
  </si>
  <si>
    <t>杀敌数</t>
    <phoneticPr fontId="15" type="noConversion"/>
  </si>
  <si>
    <t>下一级</t>
    <phoneticPr fontId="15" type="noConversion"/>
  </si>
  <si>
    <t>X坐标</t>
    <phoneticPr fontId="15" type="noConversion"/>
  </si>
  <si>
    <t>Y坐标</t>
    <phoneticPr fontId="15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</si>
  <si>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</si>
  <si>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</si>
  <si>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</si>
  <si>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</si>
  <si>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</si>
  <si>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</si>
  <si>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</si>
  <si>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</si>
  <si>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</si>
  <si>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5" type="noConversion"/>
  </si>
  <si>
    <t>境界挑战1</t>
    <phoneticPr fontId="15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</si>
  <si>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</si>
  <si>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</si>
  <si>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</si>
  <si>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</si>
  <si>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</si>
  <si>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</si>
  <si>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</si>
  <si>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</si>
  <si>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</si>
  <si>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</si>
  <si>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</si>
  <si>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</si>
  <si>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</si>
  <si>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</si>
  <si>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</si>
  <si>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</si>
  <si>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</si>
  <si>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</si>
  <si>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5" type="noConversion"/>
  </si>
  <si>
    <t>IS02</t>
  </si>
  <si>
    <t>IS03</t>
  </si>
  <si>
    <t>IS04</t>
  </si>
  <si>
    <t>抽技能B</t>
    <phoneticPr fontId="15" type="noConversion"/>
  </si>
  <si>
    <t>抽技能A</t>
    <phoneticPr fontId="15" type="noConversion"/>
  </si>
  <si>
    <t>抽技能S</t>
    <phoneticPr fontId="15" type="noConversion"/>
  </si>
  <si>
    <t>IH00</t>
    <phoneticPr fontId="15" type="noConversion"/>
  </si>
  <si>
    <t>觉醒兽魂</t>
    <phoneticPr fontId="15" type="noConversion"/>
  </si>
  <si>
    <t>IH01</t>
    <phoneticPr fontId="15" type="noConversion"/>
  </si>
  <si>
    <t>兽魂1</t>
    <phoneticPr fontId="15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</si>
  <si>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</si>
  <si>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</si>
  <si>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</si>
  <si>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</si>
  <si>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</si>
  <si>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</si>
  <si>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</si>
  <si>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</si>
  <si>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</si>
  <si>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</si>
  <si>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</si>
  <si>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</si>
  <si>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</si>
  <si>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</si>
  <si>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5" type="noConversion"/>
  </si>
  <si>
    <t>入群礼包</t>
    <phoneticPr fontId="15" type="noConversion"/>
  </si>
  <si>
    <t>公众号礼包</t>
    <phoneticPr fontId="15" type="noConversion"/>
  </si>
  <si>
    <t>好评礼包</t>
    <phoneticPr fontId="15" type="noConversion"/>
  </si>
  <si>
    <t>老铁礼包</t>
    <phoneticPr fontId="15" type="noConversion"/>
  </si>
  <si>
    <t>工会礼包</t>
    <phoneticPr fontId="15" type="noConversion"/>
  </si>
  <si>
    <t>IB02</t>
  </si>
  <si>
    <t>IB03</t>
  </si>
  <si>
    <t>IB04</t>
  </si>
  <si>
    <t>IB05</t>
  </si>
  <si>
    <t>.</t>
    <phoneticPr fontId="15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</si>
  <si>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</si>
  <si>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</si>
  <si>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</si>
  <si>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</si>
  <si>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</si>
  <si>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</si>
  <si>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</si>
  <si>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</si>
  <si>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</si>
  <si>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5" type="noConversion"/>
  </si>
  <si>
    <t>uE03</t>
    <phoneticPr fontId="15" type="noConversion"/>
  </si>
  <si>
    <t>uE04</t>
    <phoneticPr fontId="15" type="noConversion"/>
  </si>
  <si>
    <t>uE11</t>
    <phoneticPr fontId="15" type="noConversion"/>
  </si>
  <si>
    <t>uE12</t>
    <phoneticPr fontId="15" type="noConversion"/>
  </si>
  <si>
    <t>uE13</t>
    <phoneticPr fontId="15" type="noConversion"/>
  </si>
  <si>
    <t>uE14</t>
    <phoneticPr fontId="15" type="noConversion"/>
  </si>
  <si>
    <t>uE21</t>
    <phoneticPr fontId="15" type="noConversion"/>
  </si>
  <si>
    <t>uE22</t>
    <phoneticPr fontId="15" type="noConversion"/>
  </si>
  <si>
    <t>uE23</t>
    <phoneticPr fontId="15" type="noConversion"/>
  </si>
  <si>
    <t>uE24</t>
    <phoneticPr fontId="15" type="noConversion"/>
  </si>
  <si>
    <t>IS11</t>
    <phoneticPr fontId="15" type="noConversion"/>
  </si>
  <si>
    <t>占星</t>
    <phoneticPr fontId="15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</si>
  <si>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5" type="noConversion"/>
  </si>
  <si>
    <t>I001</t>
    <phoneticPr fontId="15" type="noConversion"/>
  </si>
  <si>
    <t>I002</t>
  </si>
  <si>
    <t>I003</t>
  </si>
  <si>
    <t>I004</t>
  </si>
  <si>
    <t>I005</t>
  </si>
  <si>
    <t>蛋黄月饼</t>
    <phoneticPr fontId="15" type="noConversion"/>
  </si>
  <si>
    <t>豆沙月饼</t>
    <phoneticPr fontId="15" type="noConversion"/>
  </si>
  <si>
    <t>果蔬月饼</t>
    <phoneticPr fontId="15" type="noConversion"/>
  </si>
  <si>
    <t>鲜肉月饼</t>
    <phoneticPr fontId="15" type="noConversion"/>
  </si>
  <si>
    <t>聚宝盆</t>
    <phoneticPr fontId="15" type="noConversion"/>
  </si>
  <si>
    <t>回复80%生命，解除异常状态</t>
  </si>
  <si>
    <t>回复70%蓝量</t>
  </si>
  <si>
    <t>冰皮月饼</t>
    <phoneticPr fontId="15" type="noConversion"/>
  </si>
  <si>
    <t>攻击速度+60%，持续15秒。</t>
    <phoneticPr fontId="15" type="noConversion"/>
  </si>
  <si>
    <t>法术伤害提高40%，持续15秒。</t>
    <phoneticPr fontId="15" type="noConversion"/>
  </si>
  <si>
    <t>物理伤害提高40%，持续15秒。</t>
    <phoneticPr fontId="15" type="noConversion"/>
  </si>
  <si>
    <t>I011</t>
    <phoneticPr fontId="15" type="noConversion"/>
  </si>
  <si>
    <t>I012</t>
  </si>
  <si>
    <t>I013</t>
  </si>
  <si>
    <t>I014</t>
  </si>
  <si>
    <t>聚宝盆lv1</t>
    <phoneticPr fontId="15" type="noConversion"/>
  </si>
  <si>
    <t>聚宝盆lv2</t>
  </si>
  <si>
    <t>聚宝盆lv3</t>
  </si>
  <si>
    <t>聚宝盆lv4</t>
  </si>
  <si>
    <t>D级技能书</t>
    <phoneticPr fontId="15" type="noConversion"/>
  </si>
  <si>
    <t>C级技能书</t>
    <phoneticPr fontId="15" type="noConversion"/>
  </si>
  <si>
    <t>B级技能书</t>
    <phoneticPr fontId="15" type="noConversion"/>
  </si>
  <si>
    <t>A级技能书</t>
    <phoneticPr fontId="15" type="noConversion"/>
  </si>
  <si>
    <t>S级技能书</t>
    <phoneticPr fontId="15" type="noConversion"/>
  </si>
  <si>
    <t>抽技能D</t>
    <phoneticPr fontId="15" type="noConversion"/>
  </si>
  <si>
    <t>抽技能C</t>
    <phoneticPr fontId="15" type="noConversion"/>
  </si>
  <si>
    <t>IS05</t>
  </si>
  <si>
    <t>CS01</t>
    <phoneticPr fontId="15" type="noConversion"/>
  </si>
  <si>
    <t>CS05</t>
  </si>
  <si>
    <t>IN00</t>
    <phoneticPr fontId="15" type="noConversion"/>
  </si>
  <si>
    <t>锦囊</t>
    <phoneticPr fontId="15" type="noConversion"/>
  </si>
  <si>
    <t>快乐刷Q</t>
  </si>
  <si>
    <t>快乐刷W</t>
  </si>
  <si>
    <t>快乐刷E</t>
  </si>
  <si>
    <t>九重锻神丹</t>
  </si>
  <si>
    <t>灭魄血煞丹</t>
  </si>
  <si>
    <t>入微洞虚丹</t>
  </si>
  <si>
    <t>来份快餐</t>
  </si>
  <si>
    <t>抬你一手</t>
  </si>
  <si>
    <t>我刷一会</t>
  </si>
  <si>
    <t>我再刷会</t>
  </si>
  <si>
    <t>奥里给Lo他</t>
  </si>
  <si>
    <t>钱有点多</t>
  </si>
  <si>
    <t>钱有点少</t>
  </si>
  <si>
    <t>精准预判</t>
  </si>
  <si>
    <t>洗一手</t>
  </si>
  <si>
    <t>怼上去</t>
  </si>
  <si>
    <t>来点杀敌</t>
  </si>
  <si>
    <t>真就一点</t>
  </si>
  <si>
    <t>IN01</t>
    <phoneticPr fontId="15" type="noConversion"/>
  </si>
  <si>
    <t>IN02</t>
  </si>
  <si>
    <t>IN03</t>
  </si>
  <si>
    <t>IN04</t>
  </si>
  <si>
    <t>IN05</t>
  </si>
  <si>
    <t>IN06</t>
  </si>
  <si>
    <t>IN07</t>
  </si>
  <si>
    <t>IN08</t>
  </si>
  <si>
    <t>IN09</t>
  </si>
  <si>
    <t>IN10</t>
  </si>
  <si>
    <t>IN11</t>
  </si>
  <si>
    <t>IN12</t>
  </si>
  <si>
    <t>IN13</t>
  </si>
  <si>
    <t>IN14</t>
  </si>
  <si>
    <t>IN15</t>
  </si>
  <si>
    <t>IN16</t>
  </si>
  <si>
    <t>IN17</t>
  </si>
  <si>
    <t>IN18</t>
  </si>
  <si>
    <t>秒杀雷神化身</t>
  </si>
  <si>
    <t>秒杀灾厄</t>
  </si>
  <si>
    <t>秒杀芥子魔</t>
  </si>
  <si>
    <t>每秒回复30%生命值，持续6秒</t>
  </si>
  <si>
    <t>击杀当前存在的进攻怪和Boss，无法在大决战时使用</t>
  </si>
  <si>
    <t>暂停场上已存在的进攻怪10秒</t>
  </si>
  <si>
    <t>暂停场上已存在的进攻怪20秒</t>
  </si>
  <si>
    <t>5秒内提高300%伤害加成</t>
  </si>
  <si>
    <t>获得20000金币</t>
  </si>
  <si>
    <t>获得2000金币</t>
  </si>
  <si>
    <t>获得一个补天石</t>
  </si>
  <si>
    <t>获得一个鸿蒙结晶</t>
  </si>
  <si>
    <t>杀敌数+3000</t>
  </si>
  <si>
    <t>杀敌数+300</t>
  </si>
  <si>
    <r>
      <t>使用后5秒内基地触发无敌，则击杀其600码范围内所有生物。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（不分敌我）</t>
    </r>
    <phoneticPr fontId="15" type="noConversion"/>
  </si>
  <si>
    <r>
      <t>为W技能附魔随机效果。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5" type="noConversion"/>
  </si>
  <si>
    <r>
      <t>为Q技能附魔随机效果。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5" type="noConversion"/>
  </si>
  <si>
    <r>
      <t>为E技能附魔随机效果。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5" type="noConversion"/>
  </si>
  <si>
    <t>开出一个随机锦囊</t>
    <phoneticPr fontId="15" type="noConversion"/>
  </si>
  <si>
    <t>AI04</t>
    <phoneticPr fontId="15" type="noConversion"/>
  </si>
  <si>
    <t>AI05</t>
  </si>
  <si>
    <t>AI06</t>
  </si>
</sst>
</file>

<file path=xl/styles.xml><?xml version="1.0" encoding="utf-8"?>
<styleSheet xmlns="http://schemas.openxmlformats.org/spreadsheetml/2006/main">
  <numFmts count="1">
    <numFmt numFmtId="176" formatCode="0_ "/>
  </numFmts>
  <fonts count="2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9"/>
      <color rgb="FF2B2B2B"/>
      <name val="PingFang SC"/>
      <family val="1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3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11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2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6" fillId="12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8" borderId="2" xfId="4" applyFill="1" applyBorder="1" applyAlignment="1"/>
    <xf numFmtId="0" fontId="1" fillId="10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10" borderId="12" xfId="0" applyFont="1" applyFill="1" applyBorder="1" applyAlignment="1">
      <alignment vertical="center"/>
    </xf>
    <xf numFmtId="0" fontId="16" fillId="12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9" borderId="0" xfId="0" applyFont="1" applyFill="1" applyAlignment="1">
      <alignment horizontal="left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8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9" fillId="13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20" fillId="2" borderId="0" xfId="0" applyNumberFormat="1" applyFont="1" applyFill="1" applyAlignment="1">
      <alignment horizontal="center" vertical="center"/>
    </xf>
    <xf numFmtId="0" fontId="8" fillId="0" borderId="0" xfId="0" applyFont="1"/>
    <xf numFmtId="176" fontId="0" fillId="0" borderId="0" xfId="0" applyNumberFormat="1" applyFont="1" applyFill="1" applyAlignment="1"/>
    <xf numFmtId="0" fontId="1" fillId="0" borderId="0" xfId="0" applyFont="1" applyAlignment="1">
      <alignment vertical="center" wrapText="1"/>
    </xf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44"/>
  <sheetViews>
    <sheetView tabSelected="1" zoomScaleNormal="100" workbookViewId="0">
      <pane xSplit="8" ySplit="2" topLeftCell="J90" activePane="bottomRight" state="frozen"/>
      <selection pane="topRight"/>
      <selection pane="bottomLeft"/>
      <selection pane="bottomRight" activeCell="E107" sqref="E107:E109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357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556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403</v>
      </c>
      <c r="AL1" s="58" t="s">
        <v>33</v>
      </c>
      <c r="AM1" s="58" t="s">
        <v>34</v>
      </c>
      <c r="AN1" s="85" t="s">
        <v>554</v>
      </c>
      <c r="AO1" s="85" t="s">
        <v>555</v>
      </c>
      <c r="AP1" s="57" t="s">
        <v>35</v>
      </c>
    </row>
    <row r="2" spans="1:42" s="57" customFormat="1" ht="12.75" customHeight="1">
      <c r="A2" s="64">
        <f>COUNTA(B:B)+1</f>
        <v>158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670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|cffffcc00属性：|r|n攻击+1000|n|n点击消耗2000金币进行强化</v>
      </c>
      <c r="J3" s="56" t="str">
        <f t="shared" ref="J3" si="0">H3</f>
        <v>武器lv1</v>
      </c>
      <c r="K3" s="56" t="str">
        <f t="shared" ref="K3" si="1">I3</f>
        <v>|cffffcc00属性：|r|n攻击+1000|n|n点击消耗2000金币进行强化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665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670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|cffffcc00属性：|r|n攻击+1512|n|n点击消耗2000金币进行强化</v>
      </c>
      <c r="J4" s="56" t="str">
        <f t="shared" ref="J4:J7" si="2">H4</f>
        <v>武器lv2</v>
      </c>
      <c r="K4" s="56" t="str">
        <f t="shared" ref="K4:K7" si="3">I4</f>
        <v>|cffffcc00属性：|r|n攻击+1512|n|n点击消耗2000金币进行强化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665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670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|cffffcc00属性：|r|n攻击+2024|n|n点击消耗2000金币进行强化</v>
      </c>
      <c r="J5" s="56" t="str">
        <f t="shared" si="2"/>
        <v>武器lv3</v>
      </c>
      <c r="K5" s="56" t="str">
        <f t="shared" si="3"/>
        <v>|cffffcc00属性：|r|n攻击+2024|n|n点击消耗2000金币进行强化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665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670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|cffffcc00属性：|r|n攻击+2536|n|n点击消耗2000金币进行强化</v>
      </c>
      <c r="J6" s="56" t="str">
        <f t="shared" si="2"/>
        <v>武器lv4</v>
      </c>
      <c r="K6" s="56" t="str">
        <f t="shared" si="3"/>
        <v>|cffffcc00属性：|r|n攻击+2536|n|n点击消耗2000金币进行强化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665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670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|cffffcc00属性：|r|n攻击+3048|n|n点击消耗5000金币进行强化</v>
      </c>
      <c r="J7" s="56" t="str">
        <f t="shared" si="2"/>
        <v>武器lv5</v>
      </c>
      <c r="K7" s="56" t="str">
        <f t="shared" si="3"/>
        <v>|cffffcc00属性：|r|n攻击+3048|n|n点击消耗5000金币进行强化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665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670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|cffffcc00属性：|r|n攻击+3816|n攻速+26%|n|n点击消耗10000金币进行强化</v>
      </c>
      <c r="J8" s="56" t="str">
        <f t="shared" ref="J8:J18" si="4">H8</f>
        <v>武器lv6</v>
      </c>
      <c r="K8" s="56" t="str">
        <f t="shared" ref="K8:K18" si="5">I8</f>
        <v>|cffffcc00属性：|r|n攻击+3816|n攻速+26%|n|n点击消耗10000金币进行强化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665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670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|cffffcc00属性：|r|n攻击+4584|n攻速+26%|n|n点击消耗10000金币进行强化</v>
      </c>
      <c r="J9" s="56" t="str">
        <f t="shared" si="4"/>
        <v>武器lv7</v>
      </c>
      <c r="K9" s="56" t="str">
        <f t="shared" si="5"/>
        <v>|cffffcc00属性：|r|n攻击+4584|n攻速+26%|n|n点击消耗10000金币进行强化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665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670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|cffffcc00属性：|r|n攻击+5352|n攻速+26%|n|n点击消耗10000金币进行强化</v>
      </c>
      <c r="J10" s="56" t="str">
        <f t="shared" si="4"/>
        <v>武器lv8</v>
      </c>
      <c r="K10" s="56" t="str">
        <f t="shared" si="5"/>
        <v>|cffffcc00属性：|r|n攻击+5352|n攻速+26%|n|n点击消耗10000金币进行强化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665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670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|cffffcc00属性：|r|n攻击+6120|n攻速+26%|n|n点击消耗10000金币进行强化</v>
      </c>
      <c r="J11" s="56" t="str">
        <f t="shared" si="4"/>
        <v>武器lv9</v>
      </c>
      <c r="K11" s="56" t="str">
        <f t="shared" si="5"/>
        <v>|cffffcc00属性：|r|n攻击+6120|n攻速+26%|n|n点击消耗10000金币进行强化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665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670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|cffffcc00属性：|r|n攻击+6888|n攻速+26%|n|n点击消耗42000金币进行强化</v>
      </c>
      <c r="J12" s="56" t="str">
        <f t="shared" si="4"/>
        <v>武器lv10</v>
      </c>
      <c r="K12" s="56" t="str">
        <f t="shared" si="5"/>
        <v>|cffffcc00属性：|r|n攻击+6888|n攻速+26%|n|n点击消耗42000金币进行强化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665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670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|cffffcc00属性：|r|n攻击+8808|n攻速+35%|n暴击+6%|n|n点击消耗27000金币进行强化</v>
      </c>
      <c r="J13" s="56" t="str">
        <f t="shared" si="4"/>
        <v>武器lv11</v>
      </c>
      <c r="K13" s="56" t="str">
        <f t="shared" si="5"/>
        <v>|cffffcc00属性：|r|n攻击+8808|n攻速+35%|n暴击+6%|n|n点击消耗27000金币进行强化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665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670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|cffffcc00属性：|r|n攻击+10728|n攻速+35%|n暴击+6%|n|n点击消耗27000金币进行强化</v>
      </c>
      <c r="J14" s="56" t="str">
        <f t="shared" si="4"/>
        <v>武器lv12</v>
      </c>
      <c r="K14" s="56" t="str">
        <f t="shared" si="5"/>
        <v>|cffffcc00属性：|r|n攻击+10728|n攻速+35%|n暴击+6%|n|n点击消耗27000金币进行强化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665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670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|cffffcc00属性：|r|n攻击+12648|n攻速+35%|n暴击+6%|n|n点击消耗27000金币进行强化</v>
      </c>
      <c r="J15" s="56" t="str">
        <f t="shared" si="4"/>
        <v>武器lv13</v>
      </c>
      <c r="K15" s="56" t="str">
        <f t="shared" si="5"/>
        <v>|cffffcc00属性：|r|n攻击+12648|n攻速+35%|n暴击+6%|n|n点击消耗27000金币进行强化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665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670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|cffffcc00属性：|r|n攻击+14568|n攻速+35%|n暴击+6%|n|n点击消耗27000金币进行强化</v>
      </c>
      <c r="J16" s="56" t="str">
        <f t="shared" si="4"/>
        <v>武器lv14</v>
      </c>
      <c r="K16" s="56" t="str">
        <f t="shared" si="5"/>
        <v>|cffffcc00属性：|r|n攻击+14568|n攻速+35%|n暴击+6%|n|n点击消耗27000金币进行强化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665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670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|cffffcc00属性：|r|n攻击+16488|n攻速+35%|n暴击+6%|n|n点击消耗150000金币进行强化</v>
      </c>
      <c r="J17" s="56" t="str">
        <f t="shared" si="4"/>
        <v>武器lv15</v>
      </c>
      <c r="K17" s="56" t="str">
        <f t="shared" si="5"/>
        <v>|cffffcc00属性：|r|n攻击+16488|n攻速+35%|n暴击+6%|n|n点击消耗150000金币进行强化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665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670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|cffffcc00属性：|r|n攻击+21288|n攻速+44%|n暴击+9%|n|n点击消耗35000金币进行强化</v>
      </c>
      <c r="J18" s="56" t="str">
        <f t="shared" si="4"/>
        <v>武器lv16</v>
      </c>
      <c r="K18" s="56" t="str">
        <f t="shared" si="5"/>
        <v>|cffffcc00属性：|r|n攻击+21288|n攻速+44%|n暴击+9%|n|n点击消耗35000金币进行强化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665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670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|cffffcc00属性：|r|n攻击+26088|n攻速+44%|n暴击+9%|n|n点击消耗35000金币进行强化</v>
      </c>
      <c r="J19" s="56" t="str">
        <f t="shared" ref="J19:J35" si="6">H19</f>
        <v>武器lv17</v>
      </c>
      <c r="K19" s="56" t="str">
        <f t="shared" ref="K19:K35" si="7">I19</f>
        <v>|cffffcc00属性：|r|n攻击+26088|n攻速+44%|n暴击+9%|n|n点击消耗35000金币进行强化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665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670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|cffffcc00属性：|r|n攻击+30888|n攻速+44%|n暴击+9%|n|n点击消耗35000金币进行强化</v>
      </c>
      <c r="J20" s="56" t="str">
        <f t="shared" si="6"/>
        <v>武器lv18</v>
      </c>
      <c r="K20" s="56" t="str">
        <f t="shared" si="7"/>
        <v>|cffffcc00属性：|r|n攻击+30888|n攻速+44%|n暴击+9%|n|n点击消耗35000金币进行强化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665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670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|cffffcc00属性：|r|n攻击+35688|n攻速+44%|n暴击+9%|n|n点击消耗35000金币进行强化</v>
      </c>
      <c r="J21" s="56" t="str">
        <f t="shared" si="6"/>
        <v>武器lv19</v>
      </c>
      <c r="K21" s="56" t="str">
        <f t="shared" si="7"/>
        <v>|cffffcc00属性：|r|n攻击+35688|n攻速+44%|n暴击+9%|n|n点击消耗35000金币进行强化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665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670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|cffffcc00属性：|r|n攻击+40000|n攻速+44%|n暴击+9%|n|n点击消耗230000金币进行强化</v>
      </c>
      <c r="J22" s="56" t="str">
        <f t="shared" si="6"/>
        <v>武器lv20</v>
      </c>
      <c r="K22" s="56" t="str">
        <f t="shared" si="7"/>
        <v>|cffffcc00属性：|r|n攻击+40000|n攻速+44%|n暴击+9%|n|n点击消耗230000金币进行强化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665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670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|cffffcc00属性：|r|n攻击+52000|n攻速+53%|n暴击+12%|n|n点击消耗42000金币进行强化</v>
      </c>
      <c r="J23" s="56" t="str">
        <f t="shared" si="6"/>
        <v>武器lv21</v>
      </c>
      <c r="K23" s="56" t="str">
        <f t="shared" si="7"/>
        <v>|cffffcc00属性：|r|n攻击+52000|n攻速+53%|n暴击+12%|n|n点击消耗42000金币进行强化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665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670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|cffffcc00属性：|r|n攻击+64000|n攻速+53%|n暴击+12%|n|n点击消耗42000金币进行强化</v>
      </c>
      <c r="J24" s="56" t="str">
        <f t="shared" si="6"/>
        <v>武器lv22</v>
      </c>
      <c r="K24" s="56" t="str">
        <f t="shared" si="7"/>
        <v>|cffffcc00属性：|r|n攻击+64000|n攻速+53%|n暴击+12%|n|n点击消耗42000金币进行强化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665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670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|cffffcc00属性：|r|n攻击+76000|n攻速+53%|n暴击+12%|n|n点击消耗42000金币进行强化</v>
      </c>
      <c r="J25" s="56" t="str">
        <f t="shared" si="6"/>
        <v>武器lv23</v>
      </c>
      <c r="K25" s="56" t="str">
        <f t="shared" si="7"/>
        <v>|cffffcc00属性：|r|n攻击+76000|n攻速+53%|n暴击+12%|n|n点击消耗42000金币进行强化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665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670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|cffffcc00属性：|r|n攻击+88000|n攻速+53%|n暴击+12%|n|n点击消耗42000金币进行强化</v>
      </c>
      <c r="J26" s="56" t="str">
        <f t="shared" si="6"/>
        <v>武器lv24</v>
      </c>
      <c r="K26" s="56" t="str">
        <f t="shared" si="7"/>
        <v>|cffffcc00属性：|r|n攻击+88000|n攻速+53%|n暴击+12%|n|n点击消耗42000金币进行强化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665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|cffffcc00属性：|r|n攻击+100000|n攻速+53%|n暴击+12%|n</v>
      </c>
      <c r="J27" s="56" t="str">
        <f t="shared" si="6"/>
        <v>武器lv25</v>
      </c>
      <c r="K27" s="56" t="str">
        <f t="shared" si="7"/>
        <v>|cffffcc00属性：|r|n攻击+100000|n攻速+53%|n暴击+12%|n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665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670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|cffffcc00属性：|r|n法强+1000|n|n点击消耗2000金币进行强化</v>
      </c>
      <c r="J28" s="56" t="str">
        <f t="shared" si="6"/>
        <v>法杖lv1</v>
      </c>
      <c r="K28" s="56" t="str">
        <f t="shared" si="7"/>
        <v>|cffffcc00属性：|r|n法强+1000|n|n点击消耗2000金币进行强化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665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670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|cffffcc00属性：|r|n法强+1512|n|n点击消耗2000金币进行强化</v>
      </c>
      <c r="J29" s="56" t="str">
        <f t="shared" si="6"/>
        <v>法杖lv2</v>
      </c>
      <c r="K29" s="56" t="str">
        <f t="shared" si="7"/>
        <v>|cffffcc00属性：|r|n法强+1512|n|n点击消耗2000金币进行强化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665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670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|cffffcc00属性：|r|n法强+2024|n|n点击消耗2000金币进行强化</v>
      </c>
      <c r="J30" s="56" t="str">
        <f t="shared" si="6"/>
        <v>法杖lv3</v>
      </c>
      <c r="K30" s="56" t="str">
        <f t="shared" si="7"/>
        <v>|cffffcc00属性：|r|n法强+2024|n|n点击消耗2000金币进行强化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665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670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|cffffcc00属性：|r|n法强+2536|n|n点击消耗2000金币进行强化</v>
      </c>
      <c r="J31" s="56" t="str">
        <f t="shared" si="6"/>
        <v>法杖lv4</v>
      </c>
      <c r="K31" s="56" t="str">
        <f t="shared" si="7"/>
        <v>|cffffcc00属性：|r|n法强+2536|n|n点击消耗2000金币进行强化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665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670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|cffffcc00属性：|r|n法强+3048|n|n点击消耗5000金币进行强化</v>
      </c>
      <c r="J32" s="56" t="str">
        <f t="shared" si="6"/>
        <v>法杖lv5</v>
      </c>
      <c r="K32" s="56" t="str">
        <f t="shared" si="7"/>
        <v>|cffffcc00属性：|r|n法强+3048|n|n点击消耗5000金币进行强化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665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670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|cffffcc00属性：|r|n法强+3816|n冷却缩减+6%|n|n点击消耗10000金币进行强化</v>
      </c>
      <c r="J33" s="56" t="str">
        <f t="shared" si="6"/>
        <v>法杖lv6</v>
      </c>
      <c r="K33" s="56" t="str">
        <f t="shared" si="7"/>
        <v>|cffffcc00属性：|r|n法强+3816|n冷却缩减+6%|n|n点击消耗10000金币进行强化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665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670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|cffffcc00属性：|r|n法强+4584|n冷却缩减+6%|n|n点击消耗10000金币进行强化</v>
      </c>
      <c r="J34" s="56" t="str">
        <f t="shared" si="6"/>
        <v>法杖lv7</v>
      </c>
      <c r="K34" s="56" t="str">
        <f t="shared" si="7"/>
        <v>|cffffcc00属性：|r|n法强+4584|n冷却缩减+6%|n|n点击消耗10000金币进行强化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665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670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|cffffcc00属性：|r|n法强+5352|n冷却缩减+6%|n|n点击消耗10000金币进行强化</v>
      </c>
      <c r="J35" s="56" t="str">
        <f t="shared" si="6"/>
        <v>法杖lv8</v>
      </c>
      <c r="K35" s="56" t="str">
        <f t="shared" si="7"/>
        <v>|cffffcc00属性：|r|n法强+5352|n冷却缩减+6%|n|n点击消耗10000金币进行强化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665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670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|cffffcc00属性：|r|n法强+6120|n冷却缩减+6%|n|n点击消耗10000金币进行强化</v>
      </c>
      <c r="J36" s="56" t="str">
        <f t="shared" ref="J36:J53" si="8">H36</f>
        <v>法杖lv9</v>
      </c>
      <c r="K36" s="56" t="str">
        <f t="shared" ref="K36:K53" si="9">I36</f>
        <v>|cffffcc00属性：|r|n法强+6120|n冷却缩减+6%|n|n点击消耗10000金币进行强化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665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670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|cffffcc00属性：|r|n法强+6888|n冷却缩减+6%|n|n点击消耗42000金币进行强化</v>
      </c>
      <c r="J37" s="56" t="str">
        <f t="shared" si="8"/>
        <v>法杖lv10</v>
      </c>
      <c r="K37" s="56" t="str">
        <f t="shared" si="9"/>
        <v>|cffffcc00属性：|r|n法强+6888|n冷却缩减+6%|n|n点击消耗42000金币进行强化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665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670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|cffffcc00属性：|r|n法强+8808|n伤害加成+6%|n冷却缩减+8%|n|n点击消耗27000金币进行强化</v>
      </c>
      <c r="J38" s="56" t="str">
        <f t="shared" si="8"/>
        <v>法杖lv11</v>
      </c>
      <c r="K38" s="56" t="str">
        <f t="shared" si="9"/>
        <v>|cffffcc00属性：|r|n法强+8808|n伤害加成+6%|n冷却缩减+8%|n|n点击消耗27000金币进行强化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665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670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|cffffcc00属性：|r|n法强+10728|n伤害加成+6%|n冷却缩减+8%|n|n点击消耗27000金币进行强化</v>
      </c>
      <c r="J39" s="56" t="str">
        <f t="shared" si="8"/>
        <v>法杖lv12</v>
      </c>
      <c r="K39" s="56" t="str">
        <f t="shared" si="9"/>
        <v>|cffffcc00属性：|r|n法强+10728|n伤害加成+6%|n冷却缩减+8%|n|n点击消耗27000金币进行强化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665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670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|cffffcc00属性：|r|n法强+12648|n伤害加成+6%|n冷却缩减+8%|n|n点击消耗27000金币进行强化</v>
      </c>
      <c r="J40" s="56" t="str">
        <f t="shared" si="8"/>
        <v>法杖lv13</v>
      </c>
      <c r="K40" s="56" t="str">
        <f t="shared" si="9"/>
        <v>|cffffcc00属性：|r|n法强+12648|n伤害加成+6%|n冷却缩减+8%|n|n点击消耗27000金币进行强化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665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670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|cffffcc00属性：|r|n法强+14568|n伤害加成+6%|n冷却缩减+8%|n|n点击消耗27000金币进行强化</v>
      </c>
      <c r="J41" s="56" t="str">
        <f t="shared" si="8"/>
        <v>法杖lv14</v>
      </c>
      <c r="K41" s="56" t="str">
        <f t="shared" si="9"/>
        <v>|cffffcc00属性：|r|n法强+14568|n伤害加成+6%|n冷却缩减+8%|n|n点击消耗27000金币进行强化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665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670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|cffffcc00属性：|r|n法强+16488|n伤害加成+6%|n冷却缩减+8%|n|n点击消耗150000金币进行强化</v>
      </c>
      <c r="J42" s="56" t="str">
        <f t="shared" si="8"/>
        <v>法杖lv15</v>
      </c>
      <c r="K42" s="56" t="str">
        <f t="shared" si="9"/>
        <v>|cffffcc00属性：|r|n法强+16488|n伤害加成+6%|n冷却缩减+8%|n|n点击消耗150000金币进行强化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665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670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|cffffcc00属性：|r|n法强+21288|n伤害加成+9%|n冷却缩减+10%|n|n点击消耗35000金币进行强化</v>
      </c>
      <c r="J43" s="56" t="str">
        <f t="shared" si="8"/>
        <v>法杖lv16</v>
      </c>
      <c r="K43" s="56" t="str">
        <f t="shared" si="9"/>
        <v>|cffffcc00属性：|r|n法强+21288|n伤害加成+9%|n冷却缩减+10%|n|n点击消耗35000金币进行强化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665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670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|cffffcc00属性：|r|n法强+26088|n伤害加成+9%|n冷却缩减+10%|n|n点击消耗35000金币进行强化</v>
      </c>
      <c r="J44" s="56" t="str">
        <f t="shared" si="8"/>
        <v>法杖lv17</v>
      </c>
      <c r="K44" s="56" t="str">
        <f t="shared" si="9"/>
        <v>|cffffcc00属性：|r|n法强+26088|n伤害加成+9%|n冷却缩减+10%|n|n点击消耗35000金币进行强化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665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670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|cffffcc00属性：|r|n法强+30888|n伤害加成+9%|n冷却缩减+10%|n|n点击消耗35000金币进行强化</v>
      </c>
      <c r="J45" s="56" t="str">
        <f t="shared" si="8"/>
        <v>法杖lv18</v>
      </c>
      <c r="K45" s="56" t="str">
        <f t="shared" si="9"/>
        <v>|cffffcc00属性：|r|n法强+30888|n伤害加成+9%|n冷却缩减+10%|n|n点击消耗35000金币进行强化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665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670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|cffffcc00属性：|r|n法强+35688|n伤害加成+9%|n冷却缩减+10%|n|n点击消耗35000金币进行强化</v>
      </c>
      <c r="J46" s="56" t="str">
        <f t="shared" si="8"/>
        <v>法杖lv19</v>
      </c>
      <c r="K46" s="56" t="str">
        <f t="shared" si="9"/>
        <v>|cffffcc00属性：|r|n法强+35688|n伤害加成+9%|n冷却缩减+10%|n|n点击消耗35000金币进行强化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665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670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|cffffcc00属性：|r|n法强+40000|n伤害加成+9%|n冷却缩减+10%|n|n点击消耗230000金币进行强化</v>
      </c>
      <c r="J47" s="56" t="str">
        <f t="shared" si="8"/>
        <v>法杖lv20</v>
      </c>
      <c r="K47" s="56" t="str">
        <f t="shared" si="9"/>
        <v>|cffffcc00属性：|r|n法强+40000|n伤害加成+9%|n冷却缩减+10%|n|n点击消耗230000金币进行强化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665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670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|cffffcc00属性：|r|n法强+52000|n伤害加成+12%|n冷却缩减+12%|n|n点击消耗42000金币进行强化</v>
      </c>
      <c r="J48" s="56" t="str">
        <f t="shared" si="8"/>
        <v>法杖lv21</v>
      </c>
      <c r="K48" s="56" t="str">
        <f t="shared" si="9"/>
        <v>|cffffcc00属性：|r|n法强+52000|n伤害加成+12%|n冷却缩减+12%|n|n点击消耗42000金币进行强化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665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670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|cffffcc00属性：|r|n法强+64000|n伤害加成+12%|n冷却缩减+12%|n|n点击消耗42000金币进行强化</v>
      </c>
      <c r="J49" s="56" t="str">
        <f t="shared" si="8"/>
        <v>法杖lv22</v>
      </c>
      <c r="K49" s="56" t="str">
        <f t="shared" si="9"/>
        <v>|cffffcc00属性：|r|n法强+64000|n伤害加成+12%|n冷却缩减+12%|n|n点击消耗42000金币进行强化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665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670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|cffffcc00属性：|r|n法强+76000|n伤害加成+12%|n冷却缩减+12%|n|n点击消耗42000金币进行强化</v>
      </c>
      <c r="J50" s="56" t="str">
        <f t="shared" si="8"/>
        <v>法杖lv23</v>
      </c>
      <c r="K50" s="56" t="str">
        <f t="shared" si="9"/>
        <v>|cffffcc00属性：|r|n法强+76000|n伤害加成+12%|n冷却缩减+12%|n|n点击消耗42000金币进行强化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665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670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|cffffcc00属性：|r|n法强+88000|n伤害加成+12%|n冷却缩减+12%|n|n点击消耗42000金币进行强化</v>
      </c>
      <c r="J51" s="56" t="str">
        <f t="shared" si="8"/>
        <v>法杖lv24</v>
      </c>
      <c r="K51" s="56" t="str">
        <f t="shared" si="9"/>
        <v>|cffffcc00属性：|r|n法强+88000|n伤害加成+12%|n冷却缩减+12%|n|n点击消耗42000金币进行强化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665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|cffffcc00属性：|r|n法强+100000|n伤害加成+12%|n冷却缩减+12%|n</v>
      </c>
      <c r="J52" s="56" t="str">
        <f t="shared" si="8"/>
        <v>法杖lv25</v>
      </c>
      <c r="K52" s="56" t="str">
        <f t="shared" si="9"/>
        <v>|cffffcc00属性：|r|n法强+100000|n伤害加成+12%|n冷却缩减+12%|n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665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670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|cffffcc00属性：|r|n护甲+1|n生命值+2000|n生命回复+10|n|n点击消耗2000金币进行强化</v>
      </c>
      <c r="J53" s="56" t="str">
        <f t="shared" si="8"/>
        <v>护甲lv1</v>
      </c>
      <c r="K53" s="56" t="str">
        <f t="shared" si="9"/>
        <v>|cffffcc00属性：|r|n护甲+1|n生命值+2000|n生命回复+10|n|n点击消耗2000金币进行强化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665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670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|cffffcc00属性：|r|n护甲+2|n生命值+3024|n生命回复+15|n|n点击消耗2000金币进行强化</v>
      </c>
      <c r="J54" s="56" t="str">
        <f t="shared" ref="J54:J58" si="10">H54</f>
        <v>护甲lv2</v>
      </c>
      <c r="K54" s="56" t="str">
        <f t="shared" ref="K54:K58" si="11">I54</f>
        <v>|cffffcc00属性：|r|n护甲+2|n生命值+3024|n生命回复+15|n|n点击消耗2000金币进行强化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665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670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|cffffcc00属性：|r|n护甲+3|n生命值+4048|n生命回复+20|n|n点击消耗2000金币进行强化</v>
      </c>
      <c r="J55" s="56" t="str">
        <f t="shared" si="10"/>
        <v>护甲lv3</v>
      </c>
      <c r="K55" s="56" t="str">
        <f t="shared" si="11"/>
        <v>|cffffcc00属性：|r|n护甲+3|n生命值+4048|n生命回复+20|n|n点击消耗2000金币进行强化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665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670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|cffffcc00属性：|r|n护甲+4|n生命值+5072|n生命回复+25|n|n点击消耗2000金币进行强化</v>
      </c>
      <c r="J56" s="56" t="str">
        <f t="shared" si="10"/>
        <v>护甲lv4</v>
      </c>
      <c r="K56" s="56" t="str">
        <f t="shared" si="11"/>
        <v>|cffffcc00属性：|r|n护甲+4|n生命值+5072|n生命回复+25|n|n点击消耗2000金币进行强化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665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670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|cffffcc00属性：|r|n护甲+5|n生命值+6096|n生命回复+30|n|n点击消耗5000金币进行强化</v>
      </c>
      <c r="J57" s="56" t="str">
        <f t="shared" si="10"/>
        <v>护甲lv5</v>
      </c>
      <c r="K57" s="56" t="str">
        <f t="shared" si="11"/>
        <v>|cffffcc00属性：|r|n护甲+5|n生命值+6096|n生命回复+30|n|n点击消耗5000金币进行强化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665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670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|cffffcc00属性：|r|n护甲+7|n生命值+7632|n生命回复+38|n|n点击消耗10000金币进行强化</v>
      </c>
      <c r="J58" s="56" t="str">
        <f t="shared" si="10"/>
        <v>护甲lv6</v>
      </c>
      <c r="K58" s="56" t="str">
        <f t="shared" si="11"/>
        <v>|cffffcc00属性：|r|n护甲+7|n生命值+7632|n生命回复+38|n|n点击消耗10000金币进行强化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665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670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|cffffcc00属性：|r|n护甲+9|n生命值+9168|n生命回复+46|n|n点击消耗10000金币进行强化</v>
      </c>
      <c r="J59" s="56" t="str">
        <f t="shared" ref="J59:J62" si="12">H59</f>
        <v>护甲lv7</v>
      </c>
      <c r="K59" s="56" t="str">
        <f t="shared" ref="K59:K62" si="13">I59</f>
        <v>|cffffcc00属性：|r|n护甲+9|n生命值+9168|n生命回复+46|n|n点击消耗10000金币进行强化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665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670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|cffffcc00属性：|r|n护甲+11|n生命值+10704|n生命回复+54|n|n点击消耗10000金币进行强化</v>
      </c>
      <c r="J60" s="56" t="str">
        <f t="shared" si="12"/>
        <v>护甲lv8</v>
      </c>
      <c r="K60" s="56" t="str">
        <f t="shared" si="13"/>
        <v>|cffffcc00属性：|r|n护甲+11|n生命值+10704|n生命回复+54|n|n点击消耗10000金币进行强化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665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670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|cffffcc00属性：|r|n护甲+13|n生命值+12240|n生命回复+61|n|n点击消耗10000金币进行强化</v>
      </c>
      <c r="J61" s="56" t="str">
        <f t="shared" si="12"/>
        <v>护甲lv9</v>
      </c>
      <c r="K61" s="56" t="str">
        <f t="shared" si="13"/>
        <v>|cffffcc00属性：|r|n护甲+13|n生命值+12240|n生命回复+61|n|n点击消耗10000金币进行强化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665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670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|cffffcc00属性：|r|n护甲+15|n生命值+13776|n生命回复+69|n|n点击消耗42000金币进行强化</v>
      </c>
      <c r="J62" s="56" t="str">
        <f t="shared" si="12"/>
        <v>护甲lv10</v>
      </c>
      <c r="K62" s="56" t="str">
        <f t="shared" si="13"/>
        <v>|cffffcc00属性：|r|n护甲+15|n生命值+13776|n生命回复+69|n|n点击消耗42000金币进行强化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665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670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|cffffcc00属性：|r|n护甲+18|n生命值+17616|n生命回复+88|n|n点击消耗27000金币进行强化</v>
      </c>
      <c r="J63" s="56" t="str">
        <f t="shared" ref="J63:J77" si="14">H63</f>
        <v>护甲lv11</v>
      </c>
      <c r="K63" s="56" t="str">
        <f t="shared" ref="K63:K77" si="15">I63</f>
        <v>|cffffcc00属性：|r|n护甲+18|n生命值+17616|n生命回复+88|n|n点击消耗27000金币进行强化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665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670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|cffffcc00属性：|r|n护甲+21|n生命值+21456|n生命回复+107|n|n点击消耗27000金币进行强化</v>
      </c>
      <c r="J64" s="56" t="str">
        <f t="shared" si="14"/>
        <v>护甲lv12</v>
      </c>
      <c r="K64" s="56" t="str">
        <f t="shared" si="15"/>
        <v>|cffffcc00属性：|r|n护甲+21|n生命值+21456|n生命回复+107|n|n点击消耗27000金币进行强化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665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670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|cffffcc00属性：|r|n护甲+24|n生命值+25296|n生命回复+126|n|n点击消耗27000金币进行强化</v>
      </c>
      <c r="J65" s="56" t="str">
        <f t="shared" si="14"/>
        <v>护甲lv13</v>
      </c>
      <c r="K65" s="56" t="str">
        <f t="shared" si="15"/>
        <v>|cffffcc00属性：|r|n护甲+24|n生命值+25296|n生命回复+126|n|n点击消耗27000金币进行强化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665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670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|cffffcc00属性：|r|n护甲+27|n生命值+29136|n生命回复+146|n|n点击消耗27000金币进行强化</v>
      </c>
      <c r="J66" s="56" t="str">
        <f t="shared" si="14"/>
        <v>护甲lv14</v>
      </c>
      <c r="K66" s="56" t="str">
        <f t="shared" si="15"/>
        <v>|cffffcc00属性：|r|n护甲+27|n生命值+29136|n生命回复+146|n|n点击消耗27000金币进行强化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665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670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|cffffcc00属性：|r|n护甲+30|n生命值+32976|n生命回复+165|n|n点击消耗150000金币进行强化</v>
      </c>
      <c r="J67" s="56" t="str">
        <f t="shared" si="14"/>
        <v>护甲lv15</v>
      </c>
      <c r="K67" s="56" t="str">
        <f t="shared" si="15"/>
        <v>|cffffcc00属性：|r|n护甲+30|n生命值+32976|n生命回复+165|n|n点击消耗150000金币进行强化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665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670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|cffffcc00属性：|r|n护甲+34|n生命值+42576|n生命回复+213|n|n点击消耗35000金币进行强化</v>
      </c>
      <c r="J68" s="56" t="str">
        <f t="shared" si="14"/>
        <v>护甲lv16</v>
      </c>
      <c r="K68" s="56" t="str">
        <f t="shared" si="15"/>
        <v>|cffffcc00属性：|r|n护甲+34|n生命值+42576|n生命回复+213|n|n点击消耗35000金币进行强化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665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670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|cffffcc00属性：|r|n护甲+38|n生命值+52176|n生命回复+261|n|n点击消耗35000金币进行强化</v>
      </c>
      <c r="J69" s="56" t="str">
        <f t="shared" si="14"/>
        <v>护甲lv17</v>
      </c>
      <c r="K69" s="56" t="str">
        <f t="shared" si="15"/>
        <v>|cffffcc00属性：|r|n护甲+38|n生命值+52176|n生命回复+261|n|n点击消耗35000金币进行强化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665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670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|cffffcc00属性：|r|n护甲+42|n生命值+61776|n生命回复+309|n|n点击消耗35000金币进行强化</v>
      </c>
      <c r="J70" s="56" t="str">
        <f t="shared" si="14"/>
        <v>护甲lv18</v>
      </c>
      <c r="K70" s="56" t="str">
        <f t="shared" si="15"/>
        <v>|cffffcc00属性：|r|n护甲+42|n生命值+61776|n生命回复+309|n|n点击消耗35000金币进行强化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665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670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|cffffcc00属性：|r|n护甲+46|n生命值+71376|n生命回复+357|n|n点击消耗35000金币进行强化</v>
      </c>
      <c r="J71" s="56" t="str">
        <f t="shared" si="14"/>
        <v>护甲lv19</v>
      </c>
      <c r="K71" s="56" t="str">
        <f t="shared" si="15"/>
        <v>|cffffcc00属性：|r|n护甲+46|n生命值+71376|n生命回复+357|n|n点击消耗35000金币进行强化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665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670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|cffffcc00属性：|r|n护甲+50|n生命值+80976|n生命回复+405|n|n点击消耗230000金币进行强化</v>
      </c>
      <c r="J72" s="56" t="str">
        <f t="shared" si="14"/>
        <v>护甲lv20</v>
      </c>
      <c r="K72" s="56" t="str">
        <f t="shared" si="15"/>
        <v>|cffffcc00属性：|r|n护甲+50|n生命值+80976|n生命回复+405|n|n点击消耗230000金币进行强化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665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670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|cffffcc00属性：|r|n护甲+55|n生命值+104976|n生命回复+525|n|n点击消耗42000金币进行强化</v>
      </c>
      <c r="J73" s="56" t="str">
        <f t="shared" si="14"/>
        <v>护甲lv21</v>
      </c>
      <c r="K73" s="56" t="str">
        <f t="shared" si="15"/>
        <v>|cffffcc00属性：|r|n护甲+55|n生命值+104976|n生命回复+525|n|n点击消耗42000金币进行强化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665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670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|cffffcc00属性：|r|n护甲+60|n生命值+128976|n生命回复+645|n|n点击消耗42000金币进行强化</v>
      </c>
      <c r="J74" s="56" t="str">
        <f t="shared" si="14"/>
        <v>护甲lv22</v>
      </c>
      <c r="K74" s="56" t="str">
        <f t="shared" si="15"/>
        <v>|cffffcc00属性：|r|n护甲+60|n生命值+128976|n生命回复+645|n|n点击消耗42000金币进行强化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665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670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|cffffcc00属性：|r|n护甲+65|n生命值+152976|n生命回复+765|n|n点击消耗42000金币进行强化</v>
      </c>
      <c r="J75" s="56" t="str">
        <f t="shared" si="14"/>
        <v>护甲lv23</v>
      </c>
      <c r="K75" s="56" t="str">
        <f t="shared" si="15"/>
        <v>|cffffcc00属性：|r|n护甲+65|n生命值+152976|n生命回复+765|n|n点击消耗42000金币进行强化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665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670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|cffffcc00属性：|r|n护甲+70|n生命值+176976|n生命回复+885|n|n点击消耗42000金币进行强化</v>
      </c>
      <c r="J76" s="56" t="str">
        <f t="shared" si="14"/>
        <v>护甲lv24</v>
      </c>
      <c r="K76" s="56" t="str">
        <f t="shared" si="15"/>
        <v>|cffffcc00属性：|r|n护甲+70|n生命值+176976|n生命回复+885|n|n点击消耗42000金币进行强化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665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|cffffcc00属性：|r|n护甲+75|n生命值+200000|n生命回复+1000|n</v>
      </c>
      <c r="J77" s="56" t="str">
        <f t="shared" si="14"/>
        <v>护甲lv25</v>
      </c>
      <c r="K77" s="56" t="str">
        <f t="shared" si="15"/>
        <v>|cffffcc00属性：|r|n护甲+75|n生命值+200000|n生命回复+1000|n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665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670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831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670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831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670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831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670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831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670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831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670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8" si="20">H83</f>
        <v>地级道果</v>
      </c>
      <c r="K83" s="56" t="str">
        <f t="shared" ref="K83:K88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831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670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831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670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831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670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831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670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831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670</v>
      </c>
      <c r="F88" s="63"/>
      <c r="G88" s="63"/>
      <c r="H88" s="63" t="str">
        <f>VLOOKUP(LEFT(RIGHT(B88,5),4),装备!B:CU,2,FALSE)</f>
        <v>D级技能书</v>
      </c>
      <c r="I88" s="63" t="str">
        <f>VLOOKUP(B88,装备!B:CV,99,FALSE)</f>
        <v>随机技能</v>
      </c>
      <c r="J88" s="56" t="str">
        <f t="shared" si="20"/>
        <v>D级技能书</v>
      </c>
      <c r="K88" s="56" t="str">
        <f t="shared" si="21"/>
        <v>随机技能</v>
      </c>
      <c r="L88" s="63"/>
      <c r="M88" s="65" t="str">
        <f>VLOOKUP(LEFT(RIGHT(B88,5),4),装备!B:CU,20,FALSE)</f>
        <v>ReplaceableTextures\\CommandButtons\\BTNTome.blp</v>
      </c>
      <c r="N88" s="83" t="s">
        <v>77</v>
      </c>
      <c r="O88" s="115" t="s">
        <v>823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839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670</v>
      </c>
      <c r="F89" s="63"/>
      <c r="G89" s="63"/>
      <c r="H89" s="63" t="str">
        <f>VLOOKUP(LEFT(RIGHT(B89,5),4),装备!B:CU,2,FALSE)</f>
        <v>C级技能书</v>
      </c>
      <c r="I89" s="63" t="str">
        <f>VLOOKUP(B89,装备!B:CV,99,FALSE)</f>
        <v>随机技能</v>
      </c>
      <c r="J89" s="56" t="str">
        <f t="shared" ref="J89:J93" si="22">H89</f>
        <v>C级技能书</v>
      </c>
      <c r="K89" s="56" t="str">
        <f t="shared" ref="K89:K93" si="23">I89</f>
        <v>随机技能</v>
      </c>
      <c r="L89" s="63"/>
      <c r="M89" s="65" t="str">
        <f>VLOOKUP(LEFT(RIGHT(B89,5),4),装备!B:CU,20,FALSE)</f>
        <v>ReplaceableTextures\\CommandButtons\\BTNTome.blp</v>
      </c>
      <c r="N89" s="83" t="s">
        <v>77</v>
      </c>
      <c r="O89" s="115" t="s">
        <v>823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839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670</v>
      </c>
      <c r="F90" s="63"/>
      <c r="G90" s="63"/>
      <c r="H90" s="63" t="str">
        <f>VLOOKUP(LEFT(RIGHT(B90,5),4),装备!B:CU,2,FALSE)</f>
        <v>B级技能书</v>
      </c>
      <c r="I90" s="63" t="str">
        <f>VLOOKUP(B90,装备!B:CV,99,FALSE)</f>
        <v>随机技能</v>
      </c>
      <c r="J90" s="56" t="str">
        <f t="shared" si="22"/>
        <v>B级技能书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ReplaceableTextures\\CommandButtons\\BTNTome.blp</v>
      </c>
      <c r="N90" s="83" t="s">
        <v>77</v>
      </c>
      <c r="O90" s="115" t="s">
        <v>823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839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670</v>
      </c>
      <c r="F91" s="63"/>
      <c r="G91" s="63"/>
      <c r="H91" s="63" t="str">
        <f>VLOOKUP(LEFT(RIGHT(B91,5),4),装备!B:CU,2,FALSE)</f>
        <v>A级技能书</v>
      </c>
      <c r="I91" s="63" t="str">
        <f>VLOOKUP(B91,装备!B:CV,99,FALSE)</f>
        <v>随机技能</v>
      </c>
      <c r="J91" s="56" t="str">
        <f t="shared" si="22"/>
        <v>A级技能书</v>
      </c>
      <c r="K91" s="56" t="str">
        <f t="shared" si="23"/>
        <v>随机技能</v>
      </c>
      <c r="L91" s="63"/>
      <c r="M91" s="65" t="str">
        <f>VLOOKUP(LEFT(RIGHT(B91,5),4),装备!B:CU,20,FALSE)</f>
        <v>ReplaceableTextures\\CommandButtons\\BTNTome.blp</v>
      </c>
      <c r="N91" s="83" t="s">
        <v>77</v>
      </c>
      <c r="O91" s="115" t="s">
        <v>823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839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CS05</v>
      </c>
      <c r="C92" s="63" t="s">
        <v>36</v>
      </c>
      <c r="D92" s="63" t="s">
        <v>76</v>
      </c>
      <c r="E92" s="66" t="s">
        <v>670</v>
      </c>
      <c r="F92" s="63"/>
      <c r="G92" s="63"/>
      <c r="H92" s="63" t="str">
        <f>VLOOKUP(LEFT(RIGHT(B92,5),4),装备!B:CU,2,FALSE)</f>
        <v>S级技能书</v>
      </c>
      <c r="I92" s="63" t="str">
        <f>VLOOKUP(B92,装备!B:CV,99,FALSE)</f>
        <v>随机技能</v>
      </c>
      <c r="J92" s="56" t="str">
        <f t="shared" ref="J92" si="24">H92</f>
        <v>S级技能书</v>
      </c>
      <c r="K92" s="56" t="str">
        <f t="shared" ref="K92" si="25">I92</f>
        <v>随机技能</v>
      </c>
      <c r="L92" s="63"/>
      <c r="M92" s="65" t="str">
        <f>VLOOKUP(LEFT(RIGHT(B92,5),4),装备!B:CU,20,FALSE)</f>
        <v>ReplaceableTextures\\CommandButtons\\BTNTome.blp</v>
      </c>
      <c r="N92" s="83" t="s">
        <v>77</v>
      </c>
      <c r="O92" s="115" t="s">
        <v>823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839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/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 ht="15" customHeight="1">
      <c r="A93" s="62"/>
      <c r="B93" s="63" t="str">
        <f>装备!B93</f>
        <v>CF01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随机法宝</v>
      </c>
      <c r="I93" s="63" t="str">
        <f>VLOOKUP(B93,装备!B:CV,99,FALSE)</f>
        <v>随机法宝</v>
      </c>
      <c r="J93" s="56" t="str">
        <f t="shared" si="22"/>
        <v>随机法宝</v>
      </c>
      <c r="K93" s="56" t="str">
        <f t="shared" si="23"/>
        <v>随机法宝</v>
      </c>
      <c r="L93" s="63"/>
      <c r="M93" s="65" t="str">
        <f>VLOOKUP(LEFT(RIGHT(B93,5),4),装备!B:CU,20,FALSE)</f>
        <v>ReplaceableTextures\\CommandButtons\\BTNTome.blp</v>
      </c>
      <c r="N93" s="83" t="s">
        <v>77</v>
      </c>
      <c r="O93" s="115" t="s">
        <v>832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831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I001</v>
      </c>
      <c r="C94" s="63" t="s">
        <v>36</v>
      </c>
      <c r="D94" s="63" t="s">
        <v>76</v>
      </c>
      <c r="E94" s="66" t="s">
        <v>670</v>
      </c>
      <c r="F94" s="63"/>
      <c r="G94" s="63"/>
      <c r="H94" s="63" t="str">
        <f>VLOOKUP(LEFT(RIGHT(B94,5),4),装备!B:CU,2,FALSE)</f>
        <v>蛋黄月饼</v>
      </c>
      <c r="I94" s="63" t="str">
        <f>VLOOKUP(B94,装备!B:CV,99,FALSE)</f>
        <v>回复80%生命，解除异常状态</v>
      </c>
      <c r="J94" s="56" t="str">
        <f t="shared" ref="J94:J97" si="26">H94</f>
        <v>蛋黄月饼</v>
      </c>
      <c r="K94" s="56" t="str">
        <f t="shared" ref="K94:K97" si="27">I94</f>
        <v>回复80%生命，解除异常状态</v>
      </c>
      <c r="L94" s="63"/>
      <c r="M94" s="65" t="str">
        <f>VLOOKUP(LEFT(RIGHT(B94,5),4),装备!B:CU,20,FALSE)</f>
        <v>ReplaceableTextures\\CommandButtons\\BTNTome.blp</v>
      </c>
      <c r="N94" s="83" t="s">
        <v>77</v>
      </c>
      <c r="O94" s="115" t="s">
        <v>823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839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/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I002</v>
      </c>
      <c r="C95" s="63" t="s">
        <v>36</v>
      </c>
      <c r="D95" s="63" t="s">
        <v>76</v>
      </c>
      <c r="E95" s="66" t="s">
        <v>670</v>
      </c>
      <c r="F95" s="63"/>
      <c r="G95" s="63"/>
      <c r="H95" s="63" t="str">
        <f>VLOOKUP(LEFT(RIGHT(B95,5),4),装备!B:CU,2,FALSE)</f>
        <v>豆沙月饼</v>
      </c>
      <c r="I95" s="63" t="str">
        <f>VLOOKUP(B95,装备!B:CV,99,FALSE)</f>
        <v>回复70%蓝量</v>
      </c>
      <c r="J95" s="56" t="str">
        <f t="shared" si="26"/>
        <v>豆沙月饼</v>
      </c>
      <c r="K95" s="56" t="str">
        <f t="shared" si="27"/>
        <v>回复70%蓝量</v>
      </c>
      <c r="L95" s="63"/>
      <c r="M95" s="65" t="str">
        <f>VLOOKUP(LEFT(RIGHT(B95,5),4),装备!B:CU,20,FALSE)</f>
        <v>ReplaceableTextures\\CommandButtons\\BTNTome.blp</v>
      </c>
      <c r="N95" s="83" t="s">
        <v>77</v>
      </c>
      <c r="O95" s="115" t="s">
        <v>823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839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/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I003</v>
      </c>
      <c r="C96" s="63" t="s">
        <v>36</v>
      </c>
      <c r="D96" s="63" t="s">
        <v>76</v>
      </c>
      <c r="E96" s="66" t="s">
        <v>670</v>
      </c>
      <c r="F96" s="63"/>
      <c r="G96" s="63"/>
      <c r="H96" s="63" t="str">
        <f>VLOOKUP(LEFT(RIGHT(B96,5),4),装备!B:CU,2,FALSE)</f>
        <v>冰皮月饼</v>
      </c>
      <c r="I96" s="63" t="str">
        <f>VLOOKUP(B96,装备!B:CV,99,FALSE)</f>
        <v>攻击速度+60%，持续15秒。</v>
      </c>
      <c r="J96" s="56" t="str">
        <f t="shared" si="26"/>
        <v>冰皮月饼</v>
      </c>
      <c r="K96" s="56" t="str">
        <f t="shared" si="27"/>
        <v>攻击速度+60%，持续15秒。</v>
      </c>
      <c r="L96" s="63"/>
      <c r="M96" s="65" t="str">
        <f>VLOOKUP(LEFT(RIGHT(B96,5),4),装备!B:CU,20,FALSE)</f>
        <v>ReplaceableTextures\\CommandButtons\\BTNTome.blp</v>
      </c>
      <c r="N96" s="83" t="s">
        <v>77</v>
      </c>
      <c r="O96" s="115" t="s">
        <v>823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839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/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I004</v>
      </c>
      <c r="C97" s="63" t="s">
        <v>36</v>
      </c>
      <c r="D97" s="63" t="s">
        <v>76</v>
      </c>
      <c r="E97" s="66" t="s">
        <v>670</v>
      </c>
      <c r="F97" s="63"/>
      <c r="G97" s="63"/>
      <c r="H97" s="63" t="str">
        <f>VLOOKUP(LEFT(RIGHT(B97,5),4),装备!B:CU,2,FALSE)</f>
        <v>果蔬月饼</v>
      </c>
      <c r="I97" s="63" t="str">
        <f>VLOOKUP(B97,装备!B:CV,99,FALSE)</f>
        <v>法术伤害提高40%，持续15秒。</v>
      </c>
      <c r="J97" s="56" t="str">
        <f t="shared" si="26"/>
        <v>果蔬月饼</v>
      </c>
      <c r="K97" s="56" t="str">
        <f t="shared" si="27"/>
        <v>法术伤害提高40%，持续15秒。</v>
      </c>
      <c r="L97" s="63"/>
      <c r="M97" s="65" t="str">
        <f>VLOOKUP(LEFT(RIGHT(B97,5),4),装备!B:CU,20,FALSE)</f>
        <v>ReplaceableTextures\\CommandButtons\\BTNTome.blp</v>
      </c>
      <c r="N97" s="83" t="s">
        <v>77</v>
      </c>
      <c r="O97" s="115" t="s">
        <v>823</v>
      </c>
      <c r="P97" s="63">
        <v>0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839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/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I005</v>
      </c>
      <c r="C98" s="63" t="s">
        <v>36</v>
      </c>
      <c r="D98" s="63" t="s">
        <v>76</v>
      </c>
      <c r="E98" s="66" t="s">
        <v>670</v>
      </c>
      <c r="F98" s="63"/>
      <c r="G98" s="63"/>
      <c r="H98" s="63" t="str">
        <f>VLOOKUP(LEFT(RIGHT(B98,5),4),装备!B:CU,2,FALSE)</f>
        <v>鲜肉月饼</v>
      </c>
      <c r="I98" s="63" t="str">
        <f>VLOOKUP(B98,装备!B:CV,99,FALSE)</f>
        <v>物理伤害提高40%，持续15秒。</v>
      </c>
      <c r="J98" s="56" t="str">
        <f t="shared" ref="J98:J99" si="28">H98</f>
        <v>鲜肉月饼</v>
      </c>
      <c r="K98" s="56" t="str">
        <f t="shared" ref="K98:K99" si="29">I98</f>
        <v>物理伤害提高40%，持续15秒。</v>
      </c>
      <c r="L98" s="63"/>
      <c r="M98" s="65" t="str">
        <f>VLOOKUP(LEFT(RIGHT(B98,5),4),装备!B:CU,20,FALSE)</f>
        <v>ReplaceableTextures\\CommandButtons\\BTNTome.blp</v>
      </c>
      <c r="N98" s="83" t="s">
        <v>77</v>
      </c>
      <c r="O98" s="115" t="s">
        <v>823</v>
      </c>
      <c r="P98" s="63">
        <v>0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839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/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I011</v>
      </c>
      <c r="C99" s="63" t="s">
        <v>36</v>
      </c>
      <c r="D99" s="63" t="s">
        <v>76</v>
      </c>
      <c r="E99" s="66" t="s">
        <v>670</v>
      </c>
      <c r="F99" s="63"/>
      <c r="G99" s="63"/>
      <c r="H99" s="63" t="str">
        <f>VLOOKUP(LEFT(RIGHT(B99,5),4),装备!B:CU,2,FALSE)</f>
        <v>聚宝盆lv1</v>
      </c>
      <c r="I99" s="63" t="str">
        <f>VLOOKUP(B99,装备!B:CV,99,FALSE)</f>
        <v>聚宝盆</v>
      </c>
      <c r="J99" s="56" t="str">
        <f t="shared" si="28"/>
        <v>聚宝盆lv1</v>
      </c>
      <c r="K99" s="56" t="str">
        <f t="shared" si="29"/>
        <v>聚宝盆</v>
      </c>
      <c r="L99" s="63"/>
      <c r="M99" s="65" t="str">
        <f>VLOOKUP(LEFT(RIGHT(B99,5),4),装备!B:CU,20,FALSE)</f>
        <v>ReplaceableTextures\\CommandButtons\\BTNTome.blp</v>
      </c>
      <c r="N99" s="83" t="s">
        <v>77</v>
      </c>
      <c r="O99" s="115" t="s">
        <v>823</v>
      </c>
      <c r="P99" s="63">
        <v>0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839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/>
      <c r="AJ99" s="63"/>
      <c r="AK99" s="63">
        <v>1</v>
      </c>
      <c r="AL99" s="63">
        <v>1</v>
      </c>
      <c r="AM99" s="83" t="s">
        <v>77</v>
      </c>
      <c r="AN99" s="83">
        <v>1</v>
      </c>
      <c r="AO99" s="83">
        <v>1</v>
      </c>
      <c r="AP99" s="83">
        <v>1</v>
      </c>
    </row>
    <row r="100" spans="1:42">
      <c r="A100" s="62"/>
      <c r="B100" s="63" t="str">
        <f>装备!B100</f>
        <v>I012</v>
      </c>
      <c r="C100" s="63" t="s">
        <v>36</v>
      </c>
      <c r="D100" s="63" t="s">
        <v>76</v>
      </c>
      <c r="E100" s="66" t="s">
        <v>670</v>
      </c>
      <c r="F100" s="63"/>
      <c r="G100" s="63"/>
      <c r="H100" s="63" t="str">
        <f>VLOOKUP(LEFT(RIGHT(B100,5),4),装备!B:CU,2,FALSE)</f>
        <v>聚宝盆lv2</v>
      </c>
      <c r="I100" s="63" t="str">
        <f>VLOOKUP(B100,装备!B:CV,99,FALSE)</f>
        <v>聚宝盆</v>
      </c>
      <c r="J100" s="56" t="str">
        <f t="shared" ref="J100:J101" si="30">H100</f>
        <v>聚宝盆lv2</v>
      </c>
      <c r="K100" s="56" t="str">
        <f t="shared" ref="K100:K101" si="31">I100</f>
        <v>聚宝盆</v>
      </c>
      <c r="L100" s="63"/>
      <c r="M100" s="65" t="str">
        <f>VLOOKUP(LEFT(RIGHT(B100,5),4),装备!B:CU,20,FALSE)</f>
        <v>ReplaceableTextures\\CommandButtons\\BTNTome.blp</v>
      </c>
      <c r="N100" s="83" t="s">
        <v>77</v>
      </c>
      <c r="O100" s="115" t="s">
        <v>823</v>
      </c>
      <c r="P100" s="63">
        <v>0</v>
      </c>
      <c r="Q100" s="63">
        <v>0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839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/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>
        <v>1</v>
      </c>
      <c r="AP100" s="83">
        <v>1</v>
      </c>
    </row>
    <row r="101" spans="1:42">
      <c r="A101" s="62"/>
      <c r="B101" s="63" t="str">
        <f>装备!B101</f>
        <v>I013</v>
      </c>
      <c r="C101" s="63" t="s">
        <v>36</v>
      </c>
      <c r="D101" s="63" t="s">
        <v>76</v>
      </c>
      <c r="E101" s="66" t="s">
        <v>670</v>
      </c>
      <c r="F101" s="63"/>
      <c r="G101" s="63"/>
      <c r="H101" s="63" t="str">
        <f>VLOOKUP(LEFT(RIGHT(B101,5),4),装备!B:CU,2,FALSE)</f>
        <v>聚宝盆lv3</v>
      </c>
      <c r="I101" s="63" t="str">
        <f>VLOOKUP(B101,装备!B:CV,99,FALSE)</f>
        <v>聚宝盆</v>
      </c>
      <c r="J101" s="56" t="str">
        <f t="shared" si="30"/>
        <v>聚宝盆lv3</v>
      </c>
      <c r="K101" s="56" t="str">
        <f t="shared" si="31"/>
        <v>聚宝盆</v>
      </c>
      <c r="L101" s="63"/>
      <c r="M101" s="65" t="str">
        <f>VLOOKUP(LEFT(RIGHT(B101,5),4),装备!B:CU,20,FALSE)</f>
        <v>ReplaceableTextures\\CommandButtons\\BTNTome.blp</v>
      </c>
      <c r="N101" s="83" t="s">
        <v>77</v>
      </c>
      <c r="O101" s="115" t="s">
        <v>823</v>
      </c>
      <c r="P101" s="63">
        <v>0</v>
      </c>
      <c r="Q101" s="63">
        <v>0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839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/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>
        <v>1</v>
      </c>
      <c r="AP101" s="83">
        <v>1</v>
      </c>
    </row>
    <row r="102" spans="1:42">
      <c r="A102" s="62"/>
      <c r="B102" s="63" t="str">
        <f>装备!B102</f>
        <v>I014</v>
      </c>
      <c r="C102" s="63" t="s">
        <v>36</v>
      </c>
      <c r="D102" s="63" t="s">
        <v>76</v>
      </c>
      <c r="E102" s="66" t="s">
        <v>670</v>
      </c>
      <c r="F102" s="63"/>
      <c r="G102" s="63"/>
      <c r="H102" s="63" t="str">
        <f>VLOOKUP(LEFT(RIGHT(B102,5),4),装备!B:CU,2,FALSE)</f>
        <v>聚宝盆lv4</v>
      </c>
      <c r="I102" s="63" t="str">
        <f>VLOOKUP(B102,装备!B:CV,99,FALSE)</f>
        <v>聚宝盆</v>
      </c>
      <c r="J102" s="56" t="str">
        <f t="shared" ref="J102:J105" si="32">H102</f>
        <v>聚宝盆lv4</v>
      </c>
      <c r="K102" s="56" t="str">
        <f t="shared" ref="K102:K105" si="33">I102</f>
        <v>聚宝盆</v>
      </c>
      <c r="L102" s="63"/>
      <c r="M102" s="65" t="str">
        <f>VLOOKUP(LEFT(RIGHT(B102,5),4),装备!B:CU,20,FALSE)</f>
        <v>ReplaceableTextures\\CommandButtons\\BTNTome.blp</v>
      </c>
      <c r="N102" s="83" t="s">
        <v>77</v>
      </c>
      <c r="O102" s="115" t="s">
        <v>823</v>
      </c>
      <c r="P102" s="63">
        <v>0</v>
      </c>
      <c r="Q102" s="63">
        <v>0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839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/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>
        <v>1</v>
      </c>
      <c r="AP102" s="83">
        <v>1</v>
      </c>
    </row>
    <row r="103" spans="1:42">
      <c r="A103" s="62"/>
      <c r="B103" s="63" t="str">
        <f>装备!B103</f>
        <v>IN00</v>
      </c>
      <c r="C103" s="63" t="s">
        <v>36</v>
      </c>
      <c r="D103" s="63" t="s">
        <v>76</v>
      </c>
      <c r="E103" s="66" t="s">
        <v>670</v>
      </c>
      <c r="F103" s="63"/>
      <c r="G103" s="63"/>
      <c r="H103" s="63" t="str">
        <f>VLOOKUP(LEFT(RIGHT(B103,5),4),装备!B:CU,2,FALSE)</f>
        <v>锦囊</v>
      </c>
      <c r="I103" s="63" t="str">
        <f>VLOOKUP(B103,装备!B:CV,99,FALSE)</f>
        <v>开出一个随机锦囊</v>
      </c>
      <c r="J103" s="56" t="str">
        <f t="shared" si="32"/>
        <v>锦囊</v>
      </c>
      <c r="K103" s="56" t="str">
        <f t="shared" si="33"/>
        <v>开出一个随机锦囊</v>
      </c>
      <c r="L103" s="63"/>
      <c r="M103" s="65" t="str">
        <f>VLOOKUP(LEFT(RIGHT(B103,5),4),装备!B:CU,20,FALSE)</f>
        <v>ReplaceableTextures\\CommandButtons\\BTNTome.blp</v>
      </c>
      <c r="N103" s="83" t="s">
        <v>77</v>
      </c>
      <c r="O103" s="115" t="s">
        <v>823</v>
      </c>
      <c r="P103" s="63">
        <v>0</v>
      </c>
      <c r="Q103" s="63">
        <v>0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839</v>
      </c>
      <c r="X103" s="63">
        <v>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/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IN01</v>
      </c>
      <c r="C104" s="63" t="s">
        <v>36</v>
      </c>
      <c r="D104" s="63" t="s">
        <v>76</v>
      </c>
      <c r="E104" s="66" t="s">
        <v>670</v>
      </c>
      <c r="F104" s="63"/>
      <c r="G104" s="63"/>
      <c r="H104" s="63" t="str">
        <f>VLOOKUP(LEFT(RIGHT(B104,5),4),装备!B:CU,2,FALSE)</f>
        <v>快乐刷Q</v>
      </c>
      <c r="I104" s="63" t="str">
        <f>VLOOKUP(B104,装备!B:CV,99,FALSE)</f>
        <v>为Q技能附魔随机效果。\n更换该技能后，附魔效果消失。</v>
      </c>
      <c r="J104" s="56" t="str">
        <f t="shared" si="32"/>
        <v>快乐刷Q</v>
      </c>
      <c r="K104" s="56" t="str">
        <f t="shared" si="33"/>
        <v>为Q技能附魔随机效果。\n更换该技能后，附魔效果消失。</v>
      </c>
      <c r="L104" s="63"/>
      <c r="M104" s="65" t="str">
        <f>VLOOKUP(LEFT(RIGHT(B104,5),4),装备!B:CU,20,FALSE)</f>
        <v>ReplaceableTextures\\CommandButtons\\BTNTome.blp</v>
      </c>
      <c r="N104" s="83" t="s">
        <v>77</v>
      </c>
      <c r="O104" s="115" t="s">
        <v>823</v>
      </c>
      <c r="P104" s="63">
        <v>0</v>
      </c>
      <c r="Q104" s="63">
        <v>0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839</v>
      </c>
      <c r="X104" s="63">
        <v>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/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IN02</v>
      </c>
      <c r="C105" s="63" t="s">
        <v>36</v>
      </c>
      <c r="D105" s="63" t="s">
        <v>76</v>
      </c>
      <c r="E105" s="66" t="s">
        <v>670</v>
      </c>
      <c r="F105" s="63"/>
      <c r="G105" s="63"/>
      <c r="H105" s="63" t="str">
        <f>VLOOKUP(LEFT(RIGHT(B105,5),4),装备!B:CU,2,FALSE)</f>
        <v>快乐刷W</v>
      </c>
      <c r="I105" s="63" t="str">
        <f>VLOOKUP(B105,装备!B:CV,99,FALSE)</f>
        <v>为W技能附魔随机效果。\n更换该技能后，附魔效果消失。</v>
      </c>
      <c r="J105" s="56" t="str">
        <f t="shared" si="32"/>
        <v>快乐刷W</v>
      </c>
      <c r="K105" s="56" t="str">
        <f t="shared" si="33"/>
        <v>为W技能附魔随机效果。\n更换该技能后，附魔效果消失。</v>
      </c>
      <c r="L105" s="63"/>
      <c r="M105" s="65" t="str">
        <f>VLOOKUP(LEFT(RIGHT(B105,5),4),装备!B:CU,20,FALSE)</f>
        <v>ReplaceableTextures\\CommandButtons\\BTNTome.blp</v>
      </c>
      <c r="N105" s="83" t="s">
        <v>77</v>
      </c>
      <c r="O105" s="115" t="s">
        <v>823</v>
      </c>
      <c r="P105" s="63">
        <v>0</v>
      </c>
      <c r="Q105" s="63">
        <v>0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839</v>
      </c>
      <c r="X105" s="63">
        <v>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/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IN03</v>
      </c>
      <c r="C106" s="63" t="s">
        <v>36</v>
      </c>
      <c r="D106" s="63" t="s">
        <v>76</v>
      </c>
      <c r="E106" s="66" t="s">
        <v>670</v>
      </c>
      <c r="F106" s="63"/>
      <c r="G106" s="63"/>
      <c r="H106" s="63" t="str">
        <f>VLOOKUP(LEFT(RIGHT(B106,5),4),装备!B:CU,2,FALSE)</f>
        <v>快乐刷E</v>
      </c>
      <c r="I106" s="63" t="str">
        <f>VLOOKUP(B106,装备!B:CV,99,FALSE)</f>
        <v>为E技能附魔随机效果。\n更换该技能后，附魔效果消失。</v>
      </c>
      <c r="J106" s="56" t="str">
        <f t="shared" ref="J106:J113" si="34">H106</f>
        <v>快乐刷E</v>
      </c>
      <c r="K106" s="56" t="str">
        <f t="shared" ref="K106:K113" si="35">I106</f>
        <v>为E技能附魔随机效果。\n更换该技能后，附魔效果消失。</v>
      </c>
      <c r="L106" s="63"/>
      <c r="M106" s="65" t="str">
        <f>VLOOKUP(LEFT(RIGHT(B106,5),4),装备!B:CU,20,FALSE)</f>
        <v>ReplaceableTextures\\CommandButtons\\BTNTome.blp</v>
      </c>
      <c r="N106" s="83" t="s">
        <v>77</v>
      </c>
      <c r="O106" s="115" t="s">
        <v>823</v>
      </c>
      <c r="P106" s="63">
        <v>0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839</v>
      </c>
      <c r="X106" s="63">
        <v>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/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IN04</v>
      </c>
      <c r="C107" s="63" t="s">
        <v>36</v>
      </c>
      <c r="D107" s="63" t="s">
        <v>76</v>
      </c>
      <c r="E107" s="66" t="s">
        <v>1028</v>
      </c>
      <c r="F107" s="63"/>
      <c r="G107" s="63"/>
      <c r="H107" s="63" t="str">
        <f>VLOOKUP(LEFT(RIGHT(B107,5),4),装备!B:CU,2,FALSE)</f>
        <v>九重锻神丹</v>
      </c>
      <c r="I107" s="63" t="str">
        <f>VLOOKUP(B107,装备!B:CV,99,FALSE)</f>
        <v>秒杀雷神化身</v>
      </c>
      <c r="J107" s="56" t="str">
        <f t="shared" ref="J107:J110" si="36">H107</f>
        <v>九重锻神丹</v>
      </c>
      <c r="K107" s="56" t="str">
        <f t="shared" ref="K107:K110" si="37">I107</f>
        <v>秒杀雷神化身</v>
      </c>
      <c r="L107" s="63"/>
      <c r="M107" s="65" t="str">
        <f>VLOOKUP(LEFT(RIGHT(B107,5),4),装备!B:CU,20,FALSE)</f>
        <v>ReplaceableTextures\\CommandButtons\\BTNTome.blp</v>
      </c>
      <c r="N107" s="83" t="s">
        <v>77</v>
      </c>
      <c r="O107" s="115" t="s">
        <v>823</v>
      </c>
      <c r="P107" s="63">
        <v>0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839</v>
      </c>
      <c r="X107" s="63">
        <v>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/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IN05</v>
      </c>
      <c r="C108" s="63" t="s">
        <v>36</v>
      </c>
      <c r="D108" s="63" t="s">
        <v>76</v>
      </c>
      <c r="E108" s="66" t="s">
        <v>1029</v>
      </c>
      <c r="F108" s="63"/>
      <c r="G108" s="63"/>
      <c r="H108" s="63" t="str">
        <f>VLOOKUP(LEFT(RIGHT(B108,5),4),装备!B:CU,2,FALSE)</f>
        <v>灭魄血煞丹</v>
      </c>
      <c r="I108" s="63" t="str">
        <f>VLOOKUP(B108,装备!B:CV,99,FALSE)</f>
        <v>秒杀灾厄</v>
      </c>
      <c r="J108" s="56" t="str">
        <f t="shared" si="36"/>
        <v>灭魄血煞丹</v>
      </c>
      <c r="K108" s="56" t="str">
        <f t="shared" si="37"/>
        <v>秒杀灾厄</v>
      </c>
      <c r="L108" s="63"/>
      <c r="M108" s="65" t="str">
        <f>VLOOKUP(LEFT(RIGHT(B108,5),4),装备!B:CU,20,FALSE)</f>
        <v>ReplaceableTextures\\CommandButtons\\BTNTome.blp</v>
      </c>
      <c r="N108" s="83" t="s">
        <v>77</v>
      </c>
      <c r="O108" s="115" t="s">
        <v>823</v>
      </c>
      <c r="P108" s="63">
        <v>0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839</v>
      </c>
      <c r="X108" s="63">
        <v>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/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IN06</v>
      </c>
      <c r="C109" s="63" t="s">
        <v>36</v>
      </c>
      <c r="D109" s="63" t="s">
        <v>76</v>
      </c>
      <c r="E109" s="66" t="s">
        <v>1030</v>
      </c>
      <c r="F109" s="63"/>
      <c r="G109" s="63"/>
      <c r="H109" s="63" t="str">
        <f>VLOOKUP(LEFT(RIGHT(B109,5),4),装备!B:CU,2,FALSE)</f>
        <v>入微洞虚丹</v>
      </c>
      <c r="I109" s="63" t="str">
        <f>VLOOKUP(B109,装备!B:CV,99,FALSE)</f>
        <v>秒杀芥子魔</v>
      </c>
      <c r="J109" s="56" t="str">
        <f t="shared" si="36"/>
        <v>入微洞虚丹</v>
      </c>
      <c r="K109" s="56" t="str">
        <f t="shared" si="37"/>
        <v>秒杀芥子魔</v>
      </c>
      <c r="L109" s="63"/>
      <c r="M109" s="65" t="str">
        <f>VLOOKUP(LEFT(RIGHT(B109,5),4),装备!B:CU,20,FALSE)</f>
        <v>ReplaceableTextures\\CommandButtons\\BTNTome.blp</v>
      </c>
      <c r="N109" s="83" t="s">
        <v>77</v>
      </c>
      <c r="O109" s="115" t="s">
        <v>823</v>
      </c>
      <c r="P109" s="63">
        <v>0</v>
      </c>
      <c r="Q109" s="63">
        <v>0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839</v>
      </c>
      <c r="X109" s="63">
        <v>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/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IN07</v>
      </c>
      <c r="C110" s="63" t="s">
        <v>36</v>
      </c>
      <c r="D110" s="63" t="s">
        <v>76</v>
      </c>
      <c r="E110" s="66" t="s">
        <v>670</v>
      </c>
      <c r="F110" s="63"/>
      <c r="G110" s="63"/>
      <c r="H110" s="63" t="str">
        <f>VLOOKUP(LEFT(RIGHT(B110,5),4),装备!B:CU,2,FALSE)</f>
        <v>来份快餐</v>
      </c>
      <c r="I110" s="63" t="str">
        <f>VLOOKUP(B110,装备!B:CV,99,FALSE)</f>
        <v>每秒回复30%生命值，持续6秒</v>
      </c>
      <c r="J110" s="56" t="str">
        <f t="shared" si="36"/>
        <v>来份快餐</v>
      </c>
      <c r="K110" s="56" t="str">
        <f t="shared" si="37"/>
        <v>每秒回复30%生命值，持续6秒</v>
      </c>
      <c r="L110" s="63"/>
      <c r="M110" s="65" t="str">
        <f>VLOOKUP(LEFT(RIGHT(B110,5),4),装备!B:CU,20,FALSE)</f>
        <v>ReplaceableTextures\\CommandButtons\\BTNTome.blp</v>
      </c>
      <c r="N110" s="83" t="s">
        <v>77</v>
      </c>
      <c r="O110" s="115" t="s">
        <v>823</v>
      </c>
      <c r="P110" s="63">
        <v>0</v>
      </c>
      <c r="Q110" s="63">
        <v>0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839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/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IN08</v>
      </c>
      <c r="C111" s="63" t="s">
        <v>36</v>
      </c>
      <c r="D111" s="63" t="s">
        <v>76</v>
      </c>
      <c r="E111" s="66" t="s">
        <v>670</v>
      </c>
      <c r="F111" s="63"/>
      <c r="G111" s="63"/>
      <c r="H111" s="63" t="str">
        <f>VLOOKUP(LEFT(RIGHT(B111,5),4),装备!B:CU,2,FALSE)</f>
        <v>抬你一手</v>
      </c>
      <c r="I111" s="63" t="str">
        <f>VLOOKUP(B111,装备!B:CV,99,FALSE)</f>
        <v>击杀当前存在的进攻怪和Boss，无法在大决战时使用</v>
      </c>
      <c r="J111" s="56" t="str">
        <f t="shared" si="34"/>
        <v>抬你一手</v>
      </c>
      <c r="K111" s="56" t="str">
        <f t="shared" si="35"/>
        <v>击杀当前存在的进攻怪和Boss，无法在大决战时使用</v>
      </c>
      <c r="L111" s="63"/>
      <c r="M111" s="65" t="str">
        <f>VLOOKUP(LEFT(RIGHT(B111,5),4),装备!B:CU,20,FALSE)</f>
        <v>ReplaceableTextures\\CommandButtons\\BTNTome.blp</v>
      </c>
      <c r="N111" s="83" t="s">
        <v>77</v>
      </c>
      <c r="O111" s="115" t="s">
        <v>823</v>
      </c>
      <c r="P111" s="63">
        <v>0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839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/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IN09</v>
      </c>
      <c r="C112" s="63" t="s">
        <v>36</v>
      </c>
      <c r="D112" s="63" t="s">
        <v>76</v>
      </c>
      <c r="E112" s="66" t="s">
        <v>670</v>
      </c>
      <c r="F112" s="63"/>
      <c r="G112" s="63"/>
      <c r="H112" s="63" t="str">
        <f>VLOOKUP(LEFT(RIGHT(B112,5),4),装备!B:CU,2,FALSE)</f>
        <v>我刷一会</v>
      </c>
      <c r="I112" s="63" t="str">
        <f>VLOOKUP(B112,装备!B:CV,99,FALSE)</f>
        <v>暂停场上已存在的进攻怪10秒</v>
      </c>
      <c r="J112" s="56" t="str">
        <f t="shared" si="34"/>
        <v>我刷一会</v>
      </c>
      <c r="K112" s="56" t="str">
        <f t="shared" si="35"/>
        <v>暂停场上已存在的进攻怪10秒</v>
      </c>
      <c r="L112" s="63"/>
      <c r="M112" s="65" t="str">
        <f>VLOOKUP(LEFT(RIGHT(B112,5),4),装备!B:CU,20,FALSE)</f>
        <v>ReplaceableTextures\\CommandButtons\\BTNTome.blp</v>
      </c>
      <c r="N112" s="83" t="s">
        <v>77</v>
      </c>
      <c r="O112" s="115" t="s">
        <v>823</v>
      </c>
      <c r="P112" s="63">
        <v>0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839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/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IN10</v>
      </c>
      <c r="C113" s="63" t="s">
        <v>36</v>
      </c>
      <c r="D113" s="63" t="s">
        <v>76</v>
      </c>
      <c r="E113" s="66" t="s">
        <v>670</v>
      </c>
      <c r="F113" s="63"/>
      <c r="G113" s="63"/>
      <c r="H113" s="63" t="str">
        <f>VLOOKUP(LEFT(RIGHT(B113,5),4),装备!B:CU,2,FALSE)</f>
        <v>我再刷会</v>
      </c>
      <c r="I113" s="63" t="str">
        <f>VLOOKUP(B113,装备!B:CV,99,FALSE)</f>
        <v>暂停场上已存在的进攻怪20秒</v>
      </c>
      <c r="J113" s="56" t="str">
        <f t="shared" si="34"/>
        <v>我再刷会</v>
      </c>
      <c r="K113" s="56" t="str">
        <f t="shared" si="35"/>
        <v>暂停场上已存在的进攻怪20秒</v>
      </c>
      <c r="L113" s="63"/>
      <c r="M113" s="65" t="str">
        <f>VLOOKUP(LEFT(RIGHT(B113,5),4),装备!B:CU,20,FALSE)</f>
        <v>ReplaceableTextures\\CommandButtons\\BTNTome.blp</v>
      </c>
      <c r="N113" s="83" t="s">
        <v>77</v>
      </c>
      <c r="O113" s="115" t="s">
        <v>823</v>
      </c>
      <c r="P113" s="63">
        <v>0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839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/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IN11</v>
      </c>
      <c r="C114" s="63" t="s">
        <v>36</v>
      </c>
      <c r="D114" s="63" t="s">
        <v>76</v>
      </c>
      <c r="E114" s="66" t="s">
        <v>670</v>
      </c>
      <c r="F114" s="63"/>
      <c r="G114" s="63"/>
      <c r="H114" s="63" t="str">
        <f>VLOOKUP(LEFT(RIGHT(B114,5),4),装备!B:CU,2,FALSE)</f>
        <v>奥里给Lo他</v>
      </c>
      <c r="I114" s="63" t="str">
        <f>VLOOKUP(B114,装备!B:CV,99,FALSE)</f>
        <v>5秒内提高300%伤害加成</v>
      </c>
      <c r="J114" s="56" t="str">
        <f t="shared" ref="J114:J120" si="38">H114</f>
        <v>奥里给Lo他</v>
      </c>
      <c r="K114" s="56" t="str">
        <f t="shared" ref="K114:K120" si="39">I114</f>
        <v>5秒内提高300%伤害加成</v>
      </c>
      <c r="L114" s="63"/>
      <c r="M114" s="65" t="str">
        <f>VLOOKUP(LEFT(RIGHT(B114,5),4),装备!B:CU,20,FALSE)</f>
        <v>ReplaceableTextures\\CommandButtons\\BTNTome.blp</v>
      </c>
      <c r="N114" s="83" t="s">
        <v>77</v>
      </c>
      <c r="O114" s="115" t="s">
        <v>823</v>
      </c>
      <c r="P114" s="63">
        <v>0</v>
      </c>
      <c r="Q114" s="63">
        <v>0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839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/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IN12</v>
      </c>
      <c r="C115" s="63" t="s">
        <v>36</v>
      </c>
      <c r="D115" s="63" t="s">
        <v>76</v>
      </c>
      <c r="E115" s="66" t="s">
        <v>670</v>
      </c>
      <c r="F115" s="63"/>
      <c r="G115" s="63"/>
      <c r="H115" s="63" t="str">
        <f>VLOOKUP(LEFT(RIGHT(B115,5),4),装备!B:CU,2,FALSE)</f>
        <v>钱有点多</v>
      </c>
      <c r="I115" s="63" t="str">
        <f>VLOOKUP(B115,装备!B:CV,99,FALSE)</f>
        <v>获得20000金币</v>
      </c>
      <c r="J115" s="56" t="str">
        <f t="shared" si="38"/>
        <v>钱有点多</v>
      </c>
      <c r="K115" s="56" t="str">
        <f t="shared" si="39"/>
        <v>获得20000金币</v>
      </c>
      <c r="L115" s="63"/>
      <c r="M115" s="65" t="str">
        <f>VLOOKUP(LEFT(RIGHT(B115,5),4),装备!B:CU,20,FALSE)</f>
        <v>ReplaceableTextures\\CommandButtons\\BTNTome.blp</v>
      </c>
      <c r="N115" s="83" t="s">
        <v>77</v>
      </c>
      <c r="O115" s="115" t="s">
        <v>823</v>
      </c>
      <c r="P115" s="63">
        <v>0</v>
      </c>
      <c r="Q115" s="63">
        <v>0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839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/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IN13</v>
      </c>
      <c r="C116" s="63" t="s">
        <v>36</v>
      </c>
      <c r="D116" s="63" t="s">
        <v>76</v>
      </c>
      <c r="E116" s="66" t="s">
        <v>670</v>
      </c>
      <c r="F116" s="63"/>
      <c r="G116" s="63"/>
      <c r="H116" s="63" t="str">
        <f>VLOOKUP(LEFT(RIGHT(B116,5),4),装备!B:CU,2,FALSE)</f>
        <v>钱有点少</v>
      </c>
      <c r="I116" s="63" t="str">
        <f>VLOOKUP(B116,装备!B:CV,99,FALSE)</f>
        <v>获得2000金币</v>
      </c>
      <c r="J116" s="56" t="str">
        <f t="shared" si="38"/>
        <v>钱有点少</v>
      </c>
      <c r="K116" s="56" t="str">
        <f t="shared" si="39"/>
        <v>获得2000金币</v>
      </c>
      <c r="L116" s="63"/>
      <c r="M116" s="65" t="str">
        <f>VLOOKUP(LEFT(RIGHT(B116,5),4),装备!B:CU,20,FALSE)</f>
        <v>ReplaceableTextures\\CommandButtons\\BTNTome.blp</v>
      </c>
      <c r="N116" s="83" t="s">
        <v>77</v>
      </c>
      <c r="O116" s="115" t="s">
        <v>823</v>
      </c>
      <c r="P116" s="63">
        <v>0</v>
      </c>
      <c r="Q116" s="63">
        <v>0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839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/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IN14</v>
      </c>
      <c r="C117" s="63" t="s">
        <v>36</v>
      </c>
      <c r="D117" s="63" t="s">
        <v>76</v>
      </c>
      <c r="E117" s="66" t="s">
        <v>670</v>
      </c>
      <c r="F117" s="63"/>
      <c r="G117" s="63"/>
      <c r="H117" s="63" t="str">
        <f>VLOOKUP(LEFT(RIGHT(B117,5),4),装备!B:CU,2,FALSE)</f>
        <v>精准预判</v>
      </c>
      <c r="I117" s="63" t="str">
        <f>VLOOKUP(B117,装备!B:CV,99,FALSE)</f>
        <v>使用后5秒内基地触发无敌，则击杀其600码范围内所有生物。\n（不分敌我）</v>
      </c>
      <c r="J117" s="56" t="str">
        <f t="shared" si="38"/>
        <v>精准预判</v>
      </c>
      <c r="K117" s="56" t="str">
        <f t="shared" si="39"/>
        <v>使用后5秒内基地触发无敌，则击杀其600码范围内所有生物。\n（不分敌我）</v>
      </c>
      <c r="L117" s="63"/>
      <c r="M117" s="65" t="str">
        <f>VLOOKUP(LEFT(RIGHT(B117,5),4),装备!B:CU,20,FALSE)</f>
        <v>ReplaceableTextures\\CommandButtons\\BTNTome.blp</v>
      </c>
      <c r="N117" s="83" t="s">
        <v>77</v>
      </c>
      <c r="O117" s="115" t="s">
        <v>823</v>
      </c>
      <c r="P117" s="63">
        <v>0</v>
      </c>
      <c r="Q117" s="63">
        <v>0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839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/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IN15</v>
      </c>
      <c r="C118" s="63" t="s">
        <v>36</v>
      </c>
      <c r="D118" s="63" t="s">
        <v>76</v>
      </c>
      <c r="E118" s="66" t="s">
        <v>670</v>
      </c>
      <c r="F118" s="63"/>
      <c r="G118" s="63"/>
      <c r="H118" s="63" t="str">
        <f>VLOOKUP(LEFT(RIGHT(B118,5),4),装备!B:CU,2,FALSE)</f>
        <v>洗一手</v>
      </c>
      <c r="I118" s="63" t="str">
        <f>VLOOKUP(B118,装备!B:CV,99,FALSE)</f>
        <v>获得一个补天石</v>
      </c>
      <c r="J118" s="56" t="str">
        <f t="shared" si="38"/>
        <v>洗一手</v>
      </c>
      <c r="K118" s="56" t="str">
        <f t="shared" si="39"/>
        <v>获得一个补天石</v>
      </c>
      <c r="L118" s="63"/>
      <c r="M118" s="65" t="str">
        <f>VLOOKUP(LEFT(RIGHT(B118,5),4),装备!B:CU,20,FALSE)</f>
        <v>ReplaceableTextures\\CommandButtons\\BTNTome.blp</v>
      </c>
      <c r="N118" s="83" t="s">
        <v>77</v>
      </c>
      <c r="O118" s="115" t="s">
        <v>823</v>
      </c>
      <c r="P118" s="63">
        <v>0</v>
      </c>
      <c r="Q118" s="63">
        <v>0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839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/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IN16</v>
      </c>
      <c r="C119" s="63" t="s">
        <v>36</v>
      </c>
      <c r="D119" s="63" t="s">
        <v>76</v>
      </c>
      <c r="E119" s="66" t="s">
        <v>670</v>
      </c>
      <c r="F119" s="63"/>
      <c r="G119" s="63"/>
      <c r="H119" s="63" t="str">
        <f>VLOOKUP(LEFT(RIGHT(B119,5),4),装备!B:CU,2,FALSE)</f>
        <v>怼上去</v>
      </c>
      <c r="I119" s="63" t="str">
        <f>VLOOKUP(B119,装备!B:CV,99,FALSE)</f>
        <v>获得一个鸿蒙结晶</v>
      </c>
      <c r="J119" s="56" t="str">
        <f t="shared" si="38"/>
        <v>怼上去</v>
      </c>
      <c r="K119" s="56" t="str">
        <f t="shared" si="39"/>
        <v>获得一个鸿蒙结晶</v>
      </c>
      <c r="L119" s="63"/>
      <c r="M119" s="65" t="str">
        <f>VLOOKUP(LEFT(RIGHT(B119,5),4),装备!B:CU,20,FALSE)</f>
        <v>ReplaceableTextures\\CommandButtons\\BTNTome.blp</v>
      </c>
      <c r="N119" s="83" t="s">
        <v>77</v>
      </c>
      <c r="O119" s="115" t="s">
        <v>823</v>
      </c>
      <c r="P119" s="63">
        <v>0</v>
      </c>
      <c r="Q119" s="63">
        <v>0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839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/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IN17</v>
      </c>
      <c r="C120" s="63" t="s">
        <v>36</v>
      </c>
      <c r="D120" s="63" t="s">
        <v>76</v>
      </c>
      <c r="E120" s="66" t="s">
        <v>670</v>
      </c>
      <c r="F120" s="63"/>
      <c r="G120" s="63"/>
      <c r="H120" s="63" t="str">
        <f>VLOOKUP(LEFT(RIGHT(B120,5),4),装备!B:CU,2,FALSE)</f>
        <v>来点杀敌</v>
      </c>
      <c r="I120" s="63" t="str">
        <f>VLOOKUP(B120,装备!B:CV,99,FALSE)</f>
        <v>杀敌数+3000</v>
      </c>
      <c r="J120" s="56" t="str">
        <f t="shared" si="38"/>
        <v>来点杀敌</v>
      </c>
      <c r="K120" s="56" t="str">
        <f t="shared" si="39"/>
        <v>杀敌数+3000</v>
      </c>
      <c r="L120" s="63"/>
      <c r="M120" s="65" t="str">
        <f>VLOOKUP(LEFT(RIGHT(B120,5),4),装备!B:CU,20,FALSE)</f>
        <v>ReplaceableTextures\\CommandButtons\\BTNTome.blp</v>
      </c>
      <c r="N120" s="83" t="s">
        <v>77</v>
      </c>
      <c r="O120" s="115" t="s">
        <v>823</v>
      </c>
      <c r="P120" s="63">
        <v>0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839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/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IN18</v>
      </c>
      <c r="C121" s="63" t="s">
        <v>36</v>
      </c>
      <c r="D121" s="63" t="s">
        <v>76</v>
      </c>
      <c r="E121" s="66" t="s">
        <v>670</v>
      </c>
      <c r="F121" s="63"/>
      <c r="G121" s="63"/>
      <c r="H121" s="63" t="str">
        <f>VLOOKUP(LEFT(RIGHT(B121,5),4),装备!B:CU,2,FALSE)</f>
        <v>真就一点</v>
      </c>
      <c r="I121" s="63" t="str">
        <f>VLOOKUP(B121,装备!B:CV,99,FALSE)</f>
        <v>杀敌数+300</v>
      </c>
      <c r="J121" s="56" t="str">
        <f t="shared" ref="J121" si="40">H121</f>
        <v>真就一点</v>
      </c>
      <c r="K121" s="56" t="str">
        <f t="shared" ref="K121" si="41">I121</f>
        <v>杀敌数+300</v>
      </c>
      <c r="L121" s="63"/>
      <c r="M121" s="65" t="str">
        <f>VLOOKUP(LEFT(RIGHT(B121,5),4),装备!B:CU,20,FALSE)</f>
        <v>ReplaceableTextures\\CommandButtons\\BTNTome.blp</v>
      </c>
      <c r="N121" s="83" t="s">
        <v>77</v>
      </c>
      <c r="O121" s="115" t="s">
        <v>823</v>
      </c>
      <c r="P121" s="63">
        <v>0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839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/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IP01</v>
      </c>
      <c r="C122" s="63" t="s">
        <v>36</v>
      </c>
      <c r="D122" s="63" t="s">
        <v>76</v>
      </c>
      <c r="E122" s="66"/>
      <c r="F122" s="63"/>
      <c r="G122" s="63"/>
      <c r="H122" s="63" t="str">
        <f>VLOOKUP(LEFT(RIGHT(B122,5),4),装备!B:CU,2,FALSE)</f>
        <v>时渊碎片</v>
      </c>
      <c r="I122" s="63" t="str">
        <f>VLOOKUP(B122,装备!B:CV,99,FALSE)</f>
        <v>进入时渊副本消耗时渊碎片</v>
      </c>
      <c r="J122" s="56" t="str">
        <f t="shared" ref="J122" si="42">H122</f>
        <v>时渊碎片</v>
      </c>
      <c r="K122" s="56" t="str">
        <f t="shared" ref="K122" si="43">I122</f>
        <v>进入时渊副本消耗时渊碎片</v>
      </c>
      <c r="L122" s="63"/>
      <c r="M122" s="65" t="str">
        <f>VLOOKUP(LEFT(RIGHT(B122,5),4),装备!B:CU,20,FALSE)</f>
        <v>ReplaceableTextures\\CommandButtons\\BTNTome.blp</v>
      </c>
      <c r="N122" s="83" t="s">
        <v>77</v>
      </c>
      <c r="O122" s="115" t="s">
        <v>832</v>
      </c>
      <c r="P122" s="63">
        <v>0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831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>
        <v>1</v>
      </c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IP02</v>
      </c>
      <c r="C123" s="63" t="s">
        <v>36</v>
      </c>
      <c r="D123" s="63" t="s">
        <v>76</v>
      </c>
      <c r="E123" s="66"/>
      <c r="F123" s="63"/>
      <c r="G123" s="63"/>
      <c r="H123" s="63" t="str">
        <f>VLOOKUP(LEFT(RIGHT(B123,5),4),装备!B:CU,2,FALSE)</f>
        <v>补天石</v>
      </c>
      <c r="I123" s="63" t="str">
        <f>VLOOKUP(B123,装备!B:CV,99,FALSE)</f>
        <v>消耗补天石，可重铸指定法宝</v>
      </c>
      <c r="J123" s="56" t="str">
        <f t="shared" ref="J123:J125" si="44">H123</f>
        <v>补天石</v>
      </c>
      <c r="K123" s="56" t="str">
        <f t="shared" ref="K123:K125" si="45">I123</f>
        <v>消耗补天石，可重铸指定法宝</v>
      </c>
      <c r="L123" s="63"/>
      <c r="M123" s="65" t="str">
        <f>VLOOKUP(LEFT(RIGHT(B123,5),4),装备!B:CU,20,FALSE)</f>
        <v>ReplaceableTextures\\CommandButtons\\BTNTome.blp</v>
      </c>
      <c r="N123" s="83" t="s">
        <v>77</v>
      </c>
      <c r="O123" s="115" t="s">
        <v>832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831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>
        <v>1</v>
      </c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IP03</v>
      </c>
      <c r="C124" s="63" t="s">
        <v>36</v>
      </c>
      <c r="D124" s="63" t="s">
        <v>76</v>
      </c>
      <c r="E124" s="66"/>
      <c r="F124" s="63"/>
      <c r="G124" s="63"/>
      <c r="H124" s="63" t="str">
        <f>VLOOKUP(LEFT(RIGHT(B124,5),4),装备!B:CU,2,FALSE)</f>
        <v>鸿蒙结晶</v>
      </c>
      <c r="I124" s="63" t="str">
        <f>VLOOKUP(B124,装备!B:CV,99,FALSE)</f>
        <v>消耗鸿蒙结晶，可将指定法宝锻造为高一品阶的随机法宝。</v>
      </c>
      <c r="J124" s="56" t="str">
        <f t="shared" si="44"/>
        <v>鸿蒙结晶</v>
      </c>
      <c r="K124" s="56" t="str">
        <f t="shared" si="45"/>
        <v>消耗鸿蒙结晶，可将指定法宝锻造为高一品阶的随机法宝。</v>
      </c>
      <c r="L124" s="63"/>
      <c r="M124" s="65" t="str">
        <f>VLOOKUP(LEFT(RIGHT(B124,5),4),装备!B:CU,20,FALSE)</f>
        <v>ReplaceableTextures\\CommandButtons\\BTNTome.blp</v>
      </c>
      <c r="N124" s="83" t="s">
        <v>77</v>
      </c>
      <c r="O124" s="115" t="s">
        <v>832</v>
      </c>
      <c r="P124" s="63">
        <v>0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831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>
        <v>1</v>
      </c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IT01</v>
      </c>
      <c r="C125" s="63" t="s">
        <v>36</v>
      </c>
      <c r="D125" s="63" t="s">
        <v>76</v>
      </c>
      <c r="E125" s="66"/>
      <c r="F125" s="63"/>
      <c r="G125" s="63"/>
      <c r="H125" s="63" t="str">
        <f>VLOOKUP(LEFT(RIGHT(B125,5),4),装备!B:CU,2,FALSE)</f>
        <v>境界挑战1</v>
      </c>
      <c r="I125" s="63" t="str">
        <f>VLOOKUP(B125,装备!B:CV,99,FALSE)</f>
        <v>境界挑战1</v>
      </c>
      <c r="J125" s="56" t="str">
        <f t="shared" si="44"/>
        <v>境界挑战1</v>
      </c>
      <c r="K125" s="56" t="str">
        <f t="shared" si="45"/>
        <v>境界挑战1</v>
      </c>
      <c r="L125" s="63"/>
      <c r="M125" s="65" t="str">
        <f>VLOOKUP(LEFT(RIGHT(B125,5),4),装备!B:CU,20,FALSE)</f>
        <v>ReplaceableTextures\\CommandButtons\\BTNTome.blp</v>
      </c>
      <c r="N125" s="83" t="s">
        <v>77</v>
      </c>
      <c r="O125" s="115" t="s">
        <v>832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831</v>
      </c>
      <c r="X125" s="63">
        <v>0</v>
      </c>
      <c r="Y125" s="83" t="s">
        <v>77</v>
      </c>
      <c r="Z125" s="63">
        <v>0</v>
      </c>
      <c r="AA125" s="63">
        <v>0</v>
      </c>
      <c r="AB125" s="29">
        <v>100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>
        <v>1</v>
      </c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IT02</v>
      </c>
      <c r="C126" s="63" t="s">
        <v>36</v>
      </c>
      <c r="D126" s="63" t="s">
        <v>76</v>
      </c>
      <c r="E126" s="66"/>
      <c r="F126" s="63"/>
      <c r="G126" s="63"/>
      <c r="H126" s="63" t="str">
        <f>VLOOKUP(LEFT(RIGHT(B126,5),4),装备!B:CU,2,FALSE)</f>
        <v>境界挑战2</v>
      </c>
      <c r="I126" s="63" t="str">
        <f>VLOOKUP(B126,装备!B:CV,99,FALSE)</f>
        <v>境界挑战2</v>
      </c>
      <c r="J126" s="56" t="str">
        <f t="shared" ref="J126:J158" si="46">H126</f>
        <v>境界挑战2</v>
      </c>
      <c r="K126" s="56" t="str">
        <f t="shared" ref="K126:K158" si="47">I126</f>
        <v>境界挑战2</v>
      </c>
      <c r="L126" s="63"/>
      <c r="M126" s="65" t="str">
        <f>VLOOKUP(LEFT(RIGHT(B126,5),4),装备!B:CU,20,FALSE)</f>
        <v>ReplaceableTextures\\CommandButtons\\BTNTome.blp</v>
      </c>
      <c r="N126" s="83" t="s">
        <v>77</v>
      </c>
      <c r="O126" s="115" t="s">
        <v>832</v>
      </c>
      <c r="P126" s="63">
        <v>1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831</v>
      </c>
      <c r="X126" s="63">
        <v>0</v>
      </c>
      <c r="Y126" s="83" t="s">
        <v>77</v>
      </c>
      <c r="Z126" s="63">
        <v>0</v>
      </c>
      <c r="AA126" s="63">
        <v>0</v>
      </c>
      <c r="AB126" s="29">
        <v>200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>
        <v>1</v>
      </c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IT03</v>
      </c>
      <c r="C127" s="63" t="s">
        <v>36</v>
      </c>
      <c r="D127" s="63" t="s">
        <v>76</v>
      </c>
      <c r="E127" s="66"/>
      <c r="F127" s="63"/>
      <c r="G127" s="63"/>
      <c r="H127" s="63" t="str">
        <f>VLOOKUP(LEFT(RIGHT(B127,5),4),装备!B:CU,2,FALSE)</f>
        <v>境界挑战3</v>
      </c>
      <c r="I127" s="63" t="str">
        <f>VLOOKUP(B127,装备!B:CV,99,FALSE)</f>
        <v>境界挑战3</v>
      </c>
      <c r="J127" s="56" t="str">
        <f t="shared" si="46"/>
        <v>境界挑战3</v>
      </c>
      <c r="K127" s="56" t="str">
        <f t="shared" si="47"/>
        <v>境界挑战3</v>
      </c>
      <c r="L127" s="63"/>
      <c r="M127" s="65" t="str">
        <f>VLOOKUP(LEFT(RIGHT(B127,5),4),装备!B:CU,20,FALSE)</f>
        <v>ReplaceableTextures\\CommandButtons\\BTNTome.blp</v>
      </c>
      <c r="N127" s="83" t="s">
        <v>77</v>
      </c>
      <c r="O127" s="115" t="s">
        <v>832</v>
      </c>
      <c r="P127" s="63">
        <v>2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831</v>
      </c>
      <c r="X127" s="63">
        <v>0</v>
      </c>
      <c r="Y127" s="83" t="s">
        <v>77</v>
      </c>
      <c r="Z127" s="63">
        <v>0</v>
      </c>
      <c r="AA127" s="63">
        <v>0</v>
      </c>
      <c r="AB127" s="29">
        <v>300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>
        <v>1</v>
      </c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 t="str">
        <f>装备!B128</f>
        <v>IT04</v>
      </c>
      <c r="C128" s="63" t="s">
        <v>36</v>
      </c>
      <c r="D128" s="63" t="s">
        <v>76</v>
      </c>
      <c r="E128" s="66"/>
      <c r="F128" s="63"/>
      <c r="G128" s="63"/>
      <c r="H128" s="63" t="str">
        <f>VLOOKUP(LEFT(RIGHT(B128,5),4),装备!B:CU,2,FALSE)</f>
        <v>境界挑战4</v>
      </c>
      <c r="I128" s="63" t="str">
        <f>VLOOKUP(B128,装备!B:CV,99,FALSE)</f>
        <v>境界挑战4</v>
      </c>
      <c r="J128" s="56" t="str">
        <f t="shared" si="46"/>
        <v>境界挑战4</v>
      </c>
      <c r="K128" s="56" t="str">
        <f t="shared" si="47"/>
        <v>境界挑战4</v>
      </c>
      <c r="L128" s="63"/>
      <c r="M128" s="65" t="str">
        <f>VLOOKUP(LEFT(RIGHT(B128,5),4),装备!B:CU,20,FALSE)</f>
        <v>ReplaceableTextures\\CommandButtons\\BTNTome.blp</v>
      </c>
      <c r="N128" s="83" t="s">
        <v>77</v>
      </c>
      <c r="O128" s="115" t="s">
        <v>832</v>
      </c>
      <c r="P128" s="63">
        <v>3</v>
      </c>
      <c r="Q128" s="63">
        <v>0</v>
      </c>
      <c r="R128" s="83" t="s">
        <v>77</v>
      </c>
      <c r="S128" s="83" t="s">
        <v>77</v>
      </c>
      <c r="T128" s="83" t="s">
        <v>77</v>
      </c>
      <c r="U128" s="83" t="s">
        <v>77</v>
      </c>
      <c r="V128" s="63"/>
      <c r="W128" s="66" t="s">
        <v>831</v>
      </c>
      <c r="X128" s="63">
        <v>0</v>
      </c>
      <c r="Y128" s="83" t="s">
        <v>77</v>
      </c>
      <c r="Z128" s="63">
        <v>0</v>
      </c>
      <c r="AA128" s="63">
        <v>0</v>
      </c>
      <c r="AB128" s="29">
        <v>400</v>
      </c>
      <c r="AC128" s="63">
        <v>1</v>
      </c>
      <c r="AD128" s="63">
        <v>1</v>
      </c>
      <c r="AE128" s="83" t="s">
        <v>77</v>
      </c>
      <c r="AF128" s="83" t="s">
        <v>77</v>
      </c>
      <c r="AG128" s="83" t="s">
        <v>77</v>
      </c>
      <c r="AH128" s="83" t="s">
        <v>77</v>
      </c>
      <c r="AI128" s="83">
        <v>1</v>
      </c>
      <c r="AJ128" s="63"/>
      <c r="AK128" s="63">
        <v>1</v>
      </c>
      <c r="AL128" s="63">
        <v>1</v>
      </c>
      <c r="AM128" s="83" t="s">
        <v>77</v>
      </c>
      <c r="AN128" s="83">
        <v>1</v>
      </c>
      <c r="AO128" s="83">
        <v>1</v>
      </c>
      <c r="AP128" s="83">
        <v>1</v>
      </c>
    </row>
    <row r="129" spans="1:42">
      <c r="A129" s="62"/>
      <c r="B129" s="63" t="str">
        <f>装备!B129</f>
        <v>IT05</v>
      </c>
      <c r="C129" s="63" t="s">
        <v>36</v>
      </c>
      <c r="D129" s="63" t="s">
        <v>76</v>
      </c>
      <c r="E129" s="66"/>
      <c r="F129" s="63"/>
      <c r="G129" s="63"/>
      <c r="H129" s="63" t="str">
        <f>VLOOKUP(LEFT(RIGHT(B129,5),4),装备!B:CU,2,FALSE)</f>
        <v>境界挑战5</v>
      </c>
      <c r="I129" s="63" t="str">
        <f>VLOOKUP(B129,装备!B:CV,99,FALSE)</f>
        <v>境界挑战5</v>
      </c>
      <c r="J129" s="56" t="str">
        <f t="shared" si="46"/>
        <v>境界挑战5</v>
      </c>
      <c r="K129" s="56" t="str">
        <f t="shared" si="47"/>
        <v>境界挑战5</v>
      </c>
      <c r="L129" s="63"/>
      <c r="M129" s="65" t="str">
        <f>VLOOKUP(LEFT(RIGHT(B129,5),4),装备!B:CU,20,FALSE)</f>
        <v>ReplaceableTextures\\CommandButtons\\BTNTome.blp</v>
      </c>
      <c r="N129" s="83" t="s">
        <v>77</v>
      </c>
      <c r="O129" s="115" t="s">
        <v>832</v>
      </c>
      <c r="P129" s="63">
        <v>0</v>
      </c>
      <c r="Q129" s="63">
        <v>1</v>
      </c>
      <c r="R129" s="83" t="s">
        <v>77</v>
      </c>
      <c r="S129" s="83" t="s">
        <v>77</v>
      </c>
      <c r="T129" s="83" t="s">
        <v>77</v>
      </c>
      <c r="U129" s="83" t="s">
        <v>77</v>
      </c>
      <c r="V129" s="63"/>
      <c r="W129" s="66" t="s">
        <v>831</v>
      </c>
      <c r="X129" s="63">
        <v>0</v>
      </c>
      <c r="Y129" s="83" t="s">
        <v>77</v>
      </c>
      <c r="Z129" s="63">
        <v>0</v>
      </c>
      <c r="AA129" s="63">
        <v>0</v>
      </c>
      <c r="AB129" s="29">
        <v>500</v>
      </c>
      <c r="AC129" s="63">
        <v>1</v>
      </c>
      <c r="AD129" s="63">
        <v>1</v>
      </c>
      <c r="AE129" s="83" t="s">
        <v>77</v>
      </c>
      <c r="AF129" s="83" t="s">
        <v>77</v>
      </c>
      <c r="AG129" s="83" t="s">
        <v>77</v>
      </c>
      <c r="AH129" s="83" t="s">
        <v>77</v>
      </c>
      <c r="AI129" s="83">
        <v>1</v>
      </c>
      <c r="AJ129" s="63"/>
      <c r="AK129" s="63">
        <v>1</v>
      </c>
      <c r="AL129" s="63">
        <v>1</v>
      </c>
      <c r="AM129" s="83" t="s">
        <v>77</v>
      </c>
      <c r="AN129" s="83">
        <v>1</v>
      </c>
      <c r="AO129" s="83">
        <v>1</v>
      </c>
      <c r="AP129" s="83">
        <v>1</v>
      </c>
    </row>
    <row r="130" spans="1:42">
      <c r="A130" s="62"/>
      <c r="B130" s="63" t="str">
        <f>装备!B130</f>
        <v>IT06</v>
      </c>
      <c r="C130" s="63" t="s">
        <v>36</v>
      </c>
      <c r="D130" s="63" t="s">
        <v>76</v>
      </c>
      <c r="E130" s="66"/>
      <c r="F130" s="63"/>
      <c r="G130" s="63"/>
      <c r="H130" s="63" t="str">
        <f>VLOOKUP(LEFT(RIGHT(B130,5),4),装备!B:CU,2,FALSE)</f>
        <v>境界挑战6</v>
      </c>
      <c r="I130" s="63" t="str">
        <f>VLOOKUP(B130,装备!B:CV,99,FALSE)</f>
        <v>境界挑战6</v>
      </c>
      <c r="J130" s="56" t="str">
        <f t="shared" si="46"/>
        <v>境界挑战6</v>
      </c>
      <c r="K130" s="56" t="str">
        <f t="shared" si="47"/>
        <v>境界挑战6</v>
      </c>
      <c r="L130" s="63"/>
      <c r="M130" s="65" t="str">
        <f>VLOOKUP(LEFT(RIGHT(B130,5),4),装备!B:CU,20,FALSE)</f>
        <v>ReplaceableTextures\\CommandButtons\\BTNTome.blp</v>
      </c>
      <c r="N130" s="83" t="s">
        <v>77</v>
      </c>
      <c r="O130" s="115" t="s">
        <v>832</v>
      </c>
      <c r="P130" s="63">
        <v>1</v>
      </c>
      <c r="Q130" s="63">
        <v>1</v>
      </c>
      <c r="R130" s="83" t="s">
        <v>77</v>
      </c>
      <c r="S130" s="83" t="s">
        <v>77</v>
      </c>
      <c r="T130" s="83" t="s">
        <v>77</v>
      </c>
      <c r="U130" s="83" t="s">
        <v>77</v>
      </c>
      <c r="V130" s="63"/>
      <c r="W130" s="66" t="s">
        <v>831</v>
      </c>
      <c r="X130" s="63">
        <v>0</v>
      </c>
      <c r="Y130" s="83" t="s">
        <v>77</v>
      </c>
      <c r="Z130" s="63">
        <v>0</v>
      </c>
      <c r="AA130" s="63">
        <v>0</v>
      </c>
      <c r="AB130" s="29">
        <v>600</v>
      </c>
      <c r="AC130" s="63">
        <v>1</v>
      </c>
      <c r="AD130" s="63">
        <v>1</v>
      </c>
      <c r="AE130" s="83" t="s">
        <v>77</v>
      </c>
      <c r="AF130" s="83" t="s">
        <v>77</v>
      </c>
      <c r="AG130" s="83" t="s">
        <v>77</v>
      </c>
      <c r="AH130" s="83" t="s">
        <v>77</v>
      </c>
      <c r="AI130" s="83">
        <v>1</v>
      </c>
      <c r="AJ130" s="63"/>
      <c r="AK130" s="63">
        <v>1</v>
      </c>
      <c r="AL130" s="63">
        <v>1</v>
      </c>
      <c r="AM130" s="83" t="s">
        <v>77</v>
      </c>
      <c r="AN130" s="83">
        <v>1</v>
      </c>
      <c r="AO130" s="83">
        <v>1</v>
      </c>
      <c r="AP130" s="83">
        <v>1</v>
      </c>
    </row>
    <row r="131" spans="1:42">
      <c r="A131" s="62"/>
      <c r="B131" s="63" t="str">
        <f>装备!B131</f>
        <v>IT07</v>
      </c>
      <c r="C131" s="63" t="s">
        <v>36</v>
      </c>
      <c r="D131" s="63" t="s">
        <v>76</v>
      </c>
      <c r="E131" s="66"/>
      <c r="F131" s="63"/>
      <c r="G131" s="63"/>
      <c r="H131" s="63" t="str">
        <f>VLOOKUP(LEFT(RIGHT(B131,5),4),装备!B:CU,2,FALSE)</f>
        <v>境界挑战7</v>
      </c>
      <c r="I131" s="63" t="str">
        <f>VLOOKUP(B131,装备!B:CV,99,FALSE)</f>
        <v>境界挑战7</v>
      </c>
      <c r="J131" s="56" t="str">
        <f t="shared" si="46"/>
        <v>境界挑战7</v>
      </c>
      <c r="K131" s="56" t="str">
        <f t="shared" si="47"/>
        <v>境界挑战7</v>
      </c>
      <c r="L131" s="63"/>
      <c r="M131" s="65" t="str">
        <f>VLOOKUP(LEFT(RIGHT(B131,5),4),装备!B:CU,20,FALSE)</f>
        <v>ReplaceableTextures\\CommandButtons\\BTNTome.blp</v>
      </c>
      <c r="N131" s="83" t="s">
        <v>77</v>
      </c>
      <c r="O131" s="115" t="s">
        <v>832</v>
      </c>
      <c r="P131" s="63">
        <v>2</v>
      </c>
      <c r="Q131" s="63">
        <v>1</v>
      </c>
      <c r="R131" s="83" t="s">
        <v>77</v>
      </c>
      <c r="S131" s="83" t="s">
        <v>77</v>
      </c>
      <c r="T131" s="83" t="s">
        <v>77</v>
      </c>
      <c r="U131" s="83" t="s">
        <v>77</v>
      </c>
      <c r="V131" s="63"/>
      <c r="W131" s="66" t="s">
        <v>831</v>
      </c>
      <c r="X131" s="63">
        <v>0</v>
      </c>
      <c r="Y131" s="83" t="s">
        <v>77</v>
      </c>
      <c r="Z131" s="63">
        <v>0</v>
      </c>
      <c r="AA131" s="63">
        <v>0</v>
      </c>
      <c r="AB131" s="29">
        <v>700</v>
      </c>
      <c r="AC131" s="63">
        <v>1</v>
      </c>
      <c r="AD131" s="63">
        <v>1</v>
      </c>
      <c r="AE131" s="83" t="s">
        <v>77</v>
      </c>
      <c r="AF131" s="83" t="s">
        <v>77</v>
      </c>
      <c r="AG131" s="83" t="s">
        <v>77</v>
      </c>
      <c r="AH131" s="83" t="s">
        <v>77</v>
      </c>
      <c r="AI131" s="83">
        <v>1</v>
      </c>
      <c r="AJ131" s="63"/>
      <c r="AK131" s="63">
        <v>1</v>
      </c>
      <c r="AL131" s="63">
        <v>1</v>
      </c>
      <c r="AM131" s="83" t="s">
        <v>77</v>
      </c>
      <c r="AN131" s="83">
        <v>1</v>
      </c>
      <c r="AO131" s="83">
        <v>1</v>
      </c>
      <c r="AP131" s="83">
        <v>1</v>
      </c>
    </row>
    <row r="132" spans="1:42">
      <c r="A132" s="62"/>
      <c r="B132" s="63" t="str">
        <f>装备!B132</f>
        <v>IT08</v>
      </c>
      <c r="C132" s="63" t="s">
        <v>36</v>
      </c>
      <c r="D132" s="63" t="s">
        <v>76</v>
      </c>
      <c r="E132" s="66"/>
      <c r="F132" s="63"/>
      <c r="G132" s="63"/>
      <c r="H132" s="63" t="str">
        <f>VLOOKUP(LEFT(RIGHT(B132,5),4),装备!B:CU,2,FALSE)</f>
        <v>境界挑战8</v>
      </c>
      <c r="I132" s="63" t="str">
        <f>VLOOKUP(B132,装备!B:CV,99,FALSE)</f>
        <v>境界挑战8</v>
      </c>
      <c r="J132" s="56" t="str">
        <f t="shared" si="46"/>
        <v>境界挑战8</v>
      </c>
      <c r="K132" s="56" t="str">
        <f t="shared" si="47"/>
        <v>境界挑战8</v>
      </c>
      <c r="L132" s="63"/>
      <c r="M132" s="65" t="str">
        <f>VLOOKUP(LEFT(RIGHT(B132,5),4),装备!B:CU,20,FALSE)</f>
        <v>ReplaceableTextures\\CommandButtons\\BTNTome.blp</v>
      </c>
      <c r="N132" s="83" t="s">
        <v>77</v>
      </c>
      <c r="O132" s="115" t="s">
        <v>832</v>
      </c>
      <c r="P132" s="63">
        <v>3</v>
      </c>
      <c r="Q132" s="63">
        <v>1</v>
      </c>
      <c r="R132" s="83" t="s">
        <v>77</v>
      </c>
      <c r="S132" s="83" t="s">
        <v>77</v>
      </c>
      <c r="T132" s="83" t="s">
        <v>77</v>
      </c>
      <c r="U132" s="83" t="s">
        <v>77</v>
      </c>
      <c r="V132" s="63"/>
      <c r="W132" s="66" t="s">
        <v>831</v>
      </c>
      <c r="X132" s="63">
        <v>0</v>
      </c>
      <c r="Y132" s="83" t="s">
        <v>77</v>
      </c>
      <c r="Z132" s="63">
        <v>0</v>
      </c>
      <c r="AA132" s="63">
        <v>0</v>
      </c>
      <c r="AB132" s="29">
        <v>800</v>
      </c>
      <c r="AC132" s="63">
        <v>1</v>
      </c>
      <c r="AD132" s="63">
        <v>1</v>
      </c>
      <c r="AE132" s="83" t="s">
        <v>77</v>
      </c>
      <c r="AF132" s="83" t="s">
        <v>77</v>
      </c>
      <c r="AG132" s="83" t="s">
        <v>77</v>
      </c>
      <c r="AH132" s="83" t="s">
        <v>77</v>
      </c>
      <c r="AI132" s="83">
        <v>1</v>
      </c>
      <c r="AJ132" s="63"/>
      <c r="AK132" s="63">
        <v>1</v>
      </c>
      <c r="AL132" s="63">
        <v>1</v>
      </c>
      <c r="AM132" s="83" t="s">
        <v>77</v>
      </c>
      <c r="AN132" s="83">
        <v>1</v>
      </c>
      <c r="AO132" s="83">
        <v>1</v>
      </c>
      <c r="AP132" s="83">
        <v>1</v>
      </c>
    </row>
    <row r="133" spans="1:42">
      <c r="A133" s="62"/>
      <c r="B133" s="63" t="str">
        <f>装备!B133</f>
        <v>IT09</v>
      </c>
      <c r="C133" s="63" t="s">
        <v>36</v>
      </c>
      <c r="D133" s="63" t="s">
        <v>76</v>
      </c>
      <c r="E133" s="66"/>
      <c r="F133" s="63"/>
      <c r="G133" s="63"/>
      <c r="H133" s="63" t="str">
        <f>VLOOKUP(LEFT(RIGHT(B133,5),4),装备!B:CU,2,FALSE)</f>
        <v>境界挑战9</v>
      </c>
      <c r="I133" s="63" t="str">
        <f>VLOOKUP(B133,装备!B:CV,99,FALSE)</f>
        <v>境界挑战9</v>
      </c>
      <c r="J133" s="56" t="str">
        <f t="shared" si="46"/>
        <v>境界挑战9</v>
      </c>
      <c r="K133" s="56" t="str">
        <f t="shared" si="47"/>
        <v>境界挑战9</v>
      </c>
      <c r="L133" s="63"/>
      <c r="M133" s="65" t="str">
        <f>VLOOKUP(LEFT(RIGHT(B133,5),4),装备!B:CU,20,FALSE)</f>
        <v>ReplaceableTextures\\CommandButtons\\BTNTome.blp</v>
      </c>
      <c r="N133" s="83" t="s">
        <v>77</v>
      </c>
      <c r="O133" s="115" t="s">
        <v>832</v>
      </c>
      <c r="P133" s="63">
        <v>0</v>
      </c>
      <c r="Q133" s="63">
        <v>2</v>
      </c>
      <c r="R133" s="83" t="s">
        <v>77</v>
      </c>
      <c r="S133" s="83" t="s">
        <v>77</v>
      </c>
      <c r="T133" s="83" t="s">
        <v>77</v>
      </c>
      <c r="U133" s="83" t="s">
        <v>77</v>
      </c>
      <c r="V133" s="63"/>
      <c r="W133" s="66" t="s">
        <v>831</v>
      </c>
      <c r="X133" s="63">
        <v>0</v>
      </c>
      <c r="Y133" s="83" t="s">
        <v>77</v>
      </c>
      <c r="Z133" s="63">
        <v>0</v>
      </c>
      <c r="AA133" s="63">
        <v>0</v>
      </c>
      <c r="AB133" s="29">
        <v>900</v>
      </c>
      <c r="AC133" s="63">
        <v>1</v>
      </c>
      <c r="AD133" s="63">
        <v>1</v>
      </c>
      <c r="AE133" s="83" t="s">
        <v>77</v>
      </c>
      <c r="AF133" s="83" t="s">
        <v>77</v>
      </c>
      <c r="AG133" s="83" t="s">
        <v>77</v>
      </c>
      <c r="AH133" s="83" t="s">
        <v>77</v>
      </c>
      <c r="AI133" s="83">
        <v>1</v>
      </c>
      <c r="AJ133" s="63"/>
      <c r="AK133" s="63">
        <v>1</v>
      </c>
      <c r="AL133" s="63">
        <v>1</v>
      </c>
      <c r="AM133" s="83" t="s">
        <v>77</v>
      </c>
      <c r="AN133" s="83">
        <v>1</v>
      </c>
      <c r="AO133" s="83">
        <v>1</v>
      </c>
      <c r="AP133" s="83">
        <v>1</v>
      </c>
    </row>
    <row r="134" spans="1:42">
      <c r="A134" s="62"/>
      <c r="B134" s="63" t="str">
        <f>装备!B134</f>
        <v>IT10</v>
      </c>
      <c r="C134" s="63" t="s">
        <v>36</v>
      </c>
      <c r="D134" s="63" t="s">
        <v>76</v>
      </c>
      <c r="E134" s="66"/>
      <c r="F134" s="63"/>
      <c r="G134" s="63"/>
      <c r="H134" s="63" t="str">
        <f>VLOOKUP(LEFT(RIGHT(B134,5),4),装备!B:CU,2,FALSE)</f>
        <v>境界挑战10</v>
      </c>
      <c r="I134" s="63" t="str">
        <f>VLOOKUP(B134,装备!B:CV,99,FALSE)</f>
        <v>境界挑战10</v>
      </c>
      <c r="J134" s="56" t="str">
        <f t="shared" si="46"/>
        <v>境界挑战10</v>
      </c>
      <c r="K134" s="56" t="str">
        <f t="shared" si="47"/>
        <v>境界挑战10</v>
      </c>
      <c r="L134" s="63"/>
      <c r="M134" s="65" t="str">
        <f>VLOOKUP(LEFT(RIGHT(B134,5),4),装备!B:CU,20,FALSE)</f>
        <v>ReplaceableTextures\\CommandButtons\\BTNTome.blp</v>
      </c>
      <c r="N134" s="83" t="s">
        <v>77</v>
      </c>
      <c r="O134" s="115" t="s">
        <v>832</v>
      </c>
      <c r="P134" s="63">
        <v>1</v>
      </c>
      <c r="Q134" s="63">
        <v>2</v>
      </c>
      <c r="R134" s="83" t="s">
        <v>77</v>
      </c>
      <c r="S134" s="83" t="s">
        <v>77</v>
      </c>
      <c r="T134" s="83" t="s">
        <v>77</v>
      </c>
      <c r="U134" s="83" t="s">
        <v>77</v>
      </c>
      <c r="V134" s="63"/>
      <c r="W134" s="66" t="s">
        <v>831</v>
      </c>
      <c r="X134" s="63">
        <v>0</v>
      </c>
      <c r="Y134" s="83" t="s">
        <v>77</v>
      </c>
      <c r="Z134" s="63">
        <v>0</v>
      </c>
      <c r="AA134" s="63">
        <v>0</v>
      </c>
      <c r="AB134" s="29">
        <v>1000</v>
      </c>
      <c r="AC134" s="63">
        <v>1</v>
      </c>
      <c r="AD134" s="63">
        <v>1</v>
      </c>
      <c r="AE134" s="83" t="s">
        <v>77</v>
      </c>
      <c r="AF134" s="83" t="s">
        <v>77</v>
      </c>
      <c r="AG134" s="83" t="s">
        <v>77</v>
      </c>
      <c r="AH134" s="83" t="s">
        <v>77</v>
      </c>
      <c r="AI134" s="83">
        <v>1</v>
      </c>
      <c r="AJ134" s="63"/>
      <c r="AK134" s="63">
        <v>1</v>
      </c>
      <c r="AL134" s="63">
        <v>1</v>
      </c>
      <c r="AM134" s="83" t="s">
        <v>77</v>
      </c>
      <c r="AN134" s="83">
        <v>1</v>
      </c>
      <c r="AO134" s="83">
        <v>1</v>
      </c>
      <c r="AP134" s="83">
        <v>1</v>
      </c>
    </row>
    <row r="135" spans="1:42">
      <c r="A135" s="62"/>
      <c r="B135" s="63" t="str">
        <f>装备!B135</f>
        <v>IT11</v>
      </c>
      <c r="C135" s="63" t="s">
        <v>36</v>
      </c>
      <c r="D135" s="63" t="s">
        <v>76</v>
      </c>
      <c r="E135" s="66"/>
      <c r="F135" s="63"/>
      <c r="G135" s="63"/>
      <c r="H135" s="63" t="str">
        <f>VLOOKUP(LEFT(RIGHT(B135,5),4),装备!B:CU,2,FALSE)</f>
        <v>境界挑战11</v>
      </c>
      <c r="I135" s="63" t="str">
        <f>VLOOKUP(B135,装备!B:CV,99,FALSE)</f>
        <v>境界挑战11</v>
      </c>
      <c r="J135" s="56" t="str">
        <f t="shared" ref="J135:J139" si="48">H135</f>
        <v>境界挑战11</v>
      </c>
      <c r="K135" s="56" t="str">
        <f t="shared" ref="K135:K139" si="49">I135</f>
        <v>境界挑战11</v>
      </c>
      <c r="L135" s="63"/>
      <c r="M135" s="65" t="str">
        <f>VLOOKUP(LEFT(RIGHT(B135,5),4),装备!B:CU,20,FALSE)</f>
        <v>ReplaceableTextures\\CommandButtons\\BTNTome.blp</v>
      </c>
      <c r="N135" s="83" t="s">
        <v>77</v>
      </c>
      <c r="O135" s="115" t="s">
        <v>832</v>
      </c>
      <c r="P135" s="63">
        <v>2</v>
      </c>
      <c r="Q135" s="63">
        <v>1</v>
      </c>
      <c r="R135" s="83" t="s">
        <v>77</v>
      </c>
      <c r="S135" s="83" t="s">
        <v>77</v>
      </c>
      <c r="T135" s="83" t="s">
        <v>77</v>
      </c>
      <c r="U135" s="83" t="s">
        <v>77</v>
      </c>
      <c r="V135" s="63"/>
      <c r="W135" s="66" t="s">
        <v>831</v>
      </c>
      <c r="X135" s="63">
        <v>0</v>
      </c>
      <c r="Y135" s="83" t="s">
        <v>77</v>
      </c>
      <c r="Z135" s="63">
        <v>0</v>
      </c>
      <c r="AA135" s="63">
        <v>0</v>
      </c>
      <c r="AB135" s="63">
        <v>0</v>
      </c>
      <c r="AC135" s="63">
        <v>1</v>
      </c>
      <c r="AD135" s="63">
        <v>1</v>
      </c>
      <c r="AE135" s="83" t="s">
        <v>77</v>
      </c>
      <c r="AF135" s="83" t="s">
        <v>77</v>
      </c>
      <c r="AG135" s="83" t="s">
        <v>77</v>
      </c>
      <c r="AH135" s="83" t="s">
        <v>77</v>
      </c>
      <c r="AI135" s="83">
        <v>1</v>
      </c>
      <c r="AJ135" s="63"/>
      <c r="AK135" s="63">
        <v>1</v>
      </c>
      <c r="AL135" s="63">
        <v>1</v>
      </c>
      <c r="AM135" s="83" t="s">
        <v>77</v>
      </c>
      <c r="AN135" s="83">
        <v>1</v>
      </c>
      <c r="AO135" s="83">
        <v>1</v>
      </c>
      <c r="AP135" s="83">
        <v>1</v>
      </c>
    </row>
    <row r="136" spans="1:42">
      <c r="A136" s="62"/>
      <c r="B136" s="63" t="str">
        <f>装备!B136</f>
        <v>IT12</v>
      </c>
      <c r="C136" s="63" t="s">
        <v>36</v>
      </c>
      <c r="D136" s="63" t="s">
        <v>76</v>
      </c>
      <c r="E136" s="66"/>
      <c r="F136" s="63"/>
      <c r="G136" s="63"/>
      <c r="H136" s="63" t="str">
        <f>VLOOKUP(LEFT(RIGHT(B136,5),4),装备!B:CU,2,FALSE)</f>
        <v>境界挑战12</v>
      </c>
      <c r="I136" s="63" t="str">
        <f>VLOOKUP(B136,装备!B:CV,99,FALSE)</f>
        <v>境界挑战12</v>
      </c>
      <c r="J136" s="56" t="str">
        <f t="shared" si="48"/>
        <v>境界挑战12</v>
      </c>
      <c r="K136" s="56" t="str">
        <f t="shared" si="49"/>
        <v>境界挑战12</v>
      </c>
      <c r="L136" s="63"/>
      <c r="M136" s="65" t="str">
        <f>VLOOKUP(LEFT(RIGHT(B136,5),4),装备!B:CU,20,FALSE)</f>
        <v>ReplaceableTextures\\CommandButtons\\BTNTome.blp</v>
      </c>
      <c r="N136" s="83" t="s">
        <v>77</v>
      </c>
      <c r="O136" s="115" t="s">
        <v>832</v>
      </c>
      <c r="P136" s="63">
        <v>3</v>
      </c>
      <c r="Q136" s="63">
        <v>1</v>
      </c>
      <c r="R136" s="83" t="s">
        <v>77</v>
      </c>
      <c r="S136" s="83" t="s">
        <v>77</v>
      </c>
      <c r="T136" s="83" t="s">
        <v>77</v>
      </c>
      <c r="U136" s="83" t="s">
        <v>77</v>
      </c>
      <c r="V136" s="63"/>
      <c r="W136" s="66" t="s">
        <v>831</v>
      </c>
      <c r="X136" s="63">
        <v>0</v>
      </c>
      <c r="Y136" s="83" t="s">
        <v>77</v>
      </c>
      <c r="Z136" s="63">
        <v>0</v>
      </c>
      <c r="AA136" s="63">
        <v>0</v>
      </c>
      <c r="AB136" s="63">
        <v>0</v>
      </c>
      <c r="AC136" s="63">
        <v>1</v>
      </c>
      <c r="AD136" s="63">
        <v>1</v>
      </c>
      <c r="AE136" s="83" t="s">
        <v>77</v>
      </c>
      <c r="AF136" s="83" t="s">
        <v>77</v>
      </c>
      <c r="AG136" s="83" t="s">
        <v>77</v>
      </c>
      <c r="AH136" s="83" t="s">
        <v>77</v>
      </c>
      <c r="AI136" s="83">
        <v>1</v>
      </c>
      <c r="AJ136" s="63"/>
      <c r="AK136" s="63">
        <v>1</v>
      </c>
      <c r="AL136" s="63">
        <v>1</v>
      </c>
      <c r="AM136" s="83" t="s">
        <v>77</v>
      </c>
      <c r="AN136" s="83">
        <v>1</v>
      </c>
      <c r="AO136" s="83">
        <v>1</v>
      </c>
      <c r="AP136" s="83">
        <v>1</v>
      </c>
    </row>
    <row r="137" spans="1:42">
      <c r="A137" s="62"/>
      <c r="B137" s="63" t="str">
        <f>装备!B137</f>
        <v>IT13</v>
      </c>
      <c r="C137" s="63" t="s">
        <v>36</v>
      </c>
      <c r="D137" s="63" t="s">
        <v>76</v>
      </c>
      <c r="E137" s="66"/>
      <c r="F137" s="63"/>
      <c r="G137" s="63"/>
      <c r="H137" s="63" t="str">
        <f>VLOOKUP(LEFT(RIGHT(B137,5),4),装备!B:CU,2,FALSE)</f>
        <v>境界挑战13</v>
      </c>
      <c r="I137" s="63" t="str">
        <f>VLOOKUP(B137,装备!B:CV,99,FALSE)</f>
        <v>境界挑战13</v>
      </c>
      <c r="J137" s="56" t="str">
        <f t="shared" si="48"/>
        <v>境界挑战13</v>
      </c>
      <c r="K137" s="56" t="str">
        <f t="shared" si="49"/>
        <v>境界挑战13</v>
      </c>
      <c r="L137" s="63"/>
      <c r="M137" s="65" t="str">
        <f>VLOOKUP(LEFT(RIGHT(B137,5),4),装备!B:CU,20,FALSE)</f>
        <v>ReplaceableTextures\\CommandButtons\\BTNTome.blp</v>
      </c>
      <c r="N137" s="83" t="s">
        <v>77</v>
      </c>
      <c r="O137" s="115" t="s">
        <v>832</v>
      </c>
      <c r="P137" s="63">
        <v>0</v>
      </c>
      <c r="Q137" s="63">
        <v>2</v>
      </c>
      <c r="R137" s="83" t="s">
        <v>77</v>
      </c>
      <c r="S137" s="83" t="s">
        <v>77</v>
      </c>
      <c r="T137" s="83" t="s">
        <v>77</v>
      </c>
      <c r="U137" s="83" t="s">
        <v>77</v>
      </c>
      <c r="V137" s="63"/>
      <c r="W137" s="66" t="s">
        <v>831</v>
      </c>
      <c r="X137" s="63">
        <v>0</v>
      </c>
      <c r="Y137" s="83" t="s">
        <v>77</v>
      </c>
      <c r="Z137" s="63">
        <v>0</v>
      </c>
      <c r="AA137" s="63">
        <v>0</v>
      </c>
      <c r="AB137" s="63">
        <v>0</v>
      </c>
      <c r="AC137" s="63">
        <v>1</v>
      </c>
      <c r="AD137" s="63">
        <v>1</v>
      </c>
      <c r="AE137" s="83" t="s">
        <v>77</v>
      </c>
      <c r="AF137" s="83" t="s">
        <v>77</v>
      </c>
      <c r="AG137" s="83" t="s">
        <v>77</v>
      </c>
      <c r="AH137" s="83" t="s">
        <v>77</v>
      </c>
      <c r="AI137" s="83">
        <v>1</v>
      </c>
      <c r="AJ137" s="63"/>
      <c r="AK137" s="63">
        <v>1</v>
      </c>
      <c r="AL137" s="63">
        <v>1</v>
      </c>
      <c r="AM137" s="83" t="s">
        <v>77</v>
      </c>
      <c r="AN137" s="83">
        <v>1</v>
      </c>
      <c r="AO137" s="83">
        <v>1</v>
      </c>
      <c r="AP137" s="83">
        <v>1</v>
      </c>
    </row>
    <row r="138" spans="1:42">
      <c r="A138" s="62"/>
      <c r="B138" s="63" t="str">
        <f>装备!B138</f>
        <v>IT14</v>
      </c>
      <c r="C138" s="63" t="s">
        <v>36</v>
      </c>
      <c r="D138" s="63" t="s">
        <v>76</v>
      </c>
      <c r="E138" s="66"/>
      <c r="F138" s="63"/>
      <c r="G138" s="63"/>
      <c r="H138" s="63" t="str">
        <f>VLOOKUP(LEFT(RIGHT(B138,5),4),装备!B:CU,2,FALSE)</f>
        <v>境界挑战14</v>
      </c>
      <c r="I138" s="63" t="str">
        <f>VLOOKUP(B138,装备!B:CV,99,FALSE)</f>
        <v>境界挑战14</v>
      </c>
      <c r="J138" s="56" t="str">
        <f t="shared" si="48"/>
        <v>境界挑战14</v>
      </c>
      <c r="K138" s="56" t="str">
        <f t="shared" si="49"/>
        <v>境界挑战14</v>
      </c>
      <c r="L138" s="63"/>
      <c r="M138" s="65" t="str">
        <f>VLOOKUP(LEFT(RIGHT(B138,5),4),装备!B:CU,20,FALSE)</f>
        <v>ReplaceableTextures\\CommandButtons\\BTNTome.blp</v>
      </c>
      <c r="N138" s="83" t="s">
        <v>77</v>
      </c>
      <c r="O138" s="115" t="s">
        <v>832</v>
      </c>
      <c r="P138" s="63">
        <v>1</v>
      </c>
      <c r="Q138" s="63">
        <v>2</v>
      </c>
      <c r="R138" s="83" t="s">
        <v>77</v>
      </c>
      <c r="S138" s="83" t="s">
        <v>77</v>
      </c>
      <c r="T138" s="83" t="s">
        <v>77</v>
      </c>
      <c r="U138" s="83" t="s">
        <v>77</v>
      </c>
      <c r="V138" s="63"/>
      <c r="W138" s="66" t="s">
        <v>831</v>
      </c>
      <c r="X138" s="63">
        <v>0</v>
      </c>
      <c r="Y138" s="83" t="s">
        <v>77</v>
      </c>
      <c r="Z138" s="63">
        <v>0</v>
      </c>
      <c r="AA138" s="63">
        <v>0</v>
      </c>
      <c r="AB138" s="63">
        <v>0</v>
      </c>
      <c r="AC138" s="63">
        <v>1</v>
      </c>
      <c r="AD138" s="63">
        <v>1</v>
      </c>
      <c r="AE138" s="83" t="s">
        <v>77</v>
      </c>
      <c r="AF138" s="83" t="s">
        <v>77</v>
      </c>
      <c r="AG138" s="83" t="s">
        <v>77</v>
      </c>
      <c r="AH138" s="83" t="s">
        <v>77</v>
      </c>
      <c r="AI138" s="83">
        <v>1</v>
      </c>
      <c r="AJ138" s="63"/>
      <c r="AK138" s="63">
        <v>1</v>
      </c>
      <c r="AL138" s="63">
        <v>1</v>
      </c>
      <c r="AM138" s="83" t="s">
        <v>77</v>
      </c>
      <c r="AN138" s="83">
        <v>1</v>
      </c>
      <c r="AO138" s="83">
        <v>1</v>
      </c>
      <c r="AP138" s="83">
        <v>1</v>
      </c>
    </row>
    <row r="139" spans="1:42">
      <c r="A139" s="62"/>
      <c r="B139" s="63" t="str">
        <f>装备!B139</f>
        <v>IS01</v>
      </c>
      <c r="C139" s="63" t="s">
        <v>36</v>
      </c>
      <c r="D139" s="63" t="s">
        <v>76</v>
      </c>
      <c r="E139" s="66"/>
      <c r="F139" s="63"/>
      <c r="G139" s="63"/>
      <c r="H139" s="63" t="str">
        <f>VLOOKUP(LEFT(RIGHT(B139,5),4),装备!B:CU,2,FALSE)</f>
        <v>抽技能D</v>
      </c>
      <c r="I139" s="63" t="str">
        <f>VLOOKUP(B139,装备!B:CV,99,FALSE)</f>
        <v>抽技能D</v>
      </c>
      <c r="J139" s="56" t="str">
        <f t="shared" si="48"/>
        <v>抽技能D</v>
      </c>
      <c r="K139" s="56" t="str">
        <f t="shared" si="49"/>
        <v>抽技能D</v>
      </c>
      <c r="L139" s="63"/>
      <c r="M139" s="65" t="str">
        <f>VLOOKUP(LEFT(RIGHT(B139,5),4),装备!B:CU,20,FALSE)</f>
        <v>ReplaceableTextures\\CommandButtons\\BTNTome.blp</v>
      </c>
      <c r="N139" s="83" t="s">
        <v>77</v>
      </c>
      <c r="O139" s="115" t="s">
        <v>832</v>
      </c>
      <c r="P139" s="63">
        <v>0</v>
      </c>
      <c r="Q139" s="63">
        <v>0</v>
      </c>
      <c r="R139" s="83" t="s">
        <v>77</v>
      </c>
      <c r="S139" s="83" t="s">
        <v>77</v>
      </c>
      <c r="T139" s="83" t="s">
        <v>77</v>
      </c>
      <c r="U139" s="83" t="s">
        <v>77</v>
      </c>
      <c r="V139" s="63"/>
      <c r="W139" s="66" t="s">
        <v>831</v>
      </c>
      <c r="X139" s="63">
        <v>0</v>
      </c>
      <c r="Y139" s="83" t="s">
        <v>77</v>
      </c>
      <c r="Z139" s="63">
        <v>0</v>
      </c>
      <c r="AA139" s="63">
        <v>0</v>
      </c>
      <c r="AB139" s="63">
        <v>0</v>
      </c>
      <c r="AC139" s="63">
        <v>1</v>
      </c>
      <c r="AD139" s="63">
        <v>1</v>
      </c>
      <c r="AE139" s="83" t="s">
        <v>77</v>
      </c>
      <c r="AF139" s="83" t="s">
        <v>77</v>
      </c>
      <c r="AG139" s="83" t="s">
        <v>77</v>
      </c>
      <c r="AH139" s="83" t="s">
        <v>77</v>
      </c>
      <c r="AI139" s="83">
        <v>1</v>
      </c>
      <c r="AJ139" s="63"/>
      <c r="AK139" s="63">
        <v>1</v>
      </c>
      <c r="AL139" s="63">
        <v>1</v>
      </c>
      <c r="AM139" s="83" t="s">
        <v>77</v>
      </c>
      <c r="AN139" s="83">
        <v>1</v>
      </c>
      <c r="AO139" s="83">
        <v>1</v>
      </c>
      <c r="AP139" s="83">
        <v>1</v>
      </c>
    </row>
    <row r="140" spans="1:42">
      <c r="A140" s="62"/>
      <c r="B140" s="63" t="str">
        <f>装备!B140</f>
        <v>IS02</v>
      </c>
      <c r="C140" s="63" t="s">
        <v>36</v>
      </c>
      <c r="D140" s="63" t="s">
        <v>76</v>
      </c>
      <c r="E140" s="66"/>
      <c r="F140" s="63"/>
      <c r="G140" s="63"/>
      <c r="H140" s="63" t="str">
        <f>VLOOKUP(LEFT(RIGHT(B140,5),4),装备!B:CU,2,FALSE)</f>
        <v>抽技能C</v>
      </c>
      <c r="I140" s="63" t="str">
        <f>VLOOKUP(B140,装备!B:CV,99,FALSE)</f>
        <v>抽技能C</v>
      </c>
      <c r="J140" s="56" t="str">
        <f t="shared" si="46"/>
        <v>抽技能C</v>
      </c>
      <c r="K140" s="56" t="str">
        <f t="shared" si="47"/>
        <v>抽技能C</v>
      </c>
      <c r="L140" s="63"/>
      <c r="M140" s="65" t="str">
        <f>VLOOKUP(LEFT(RIGHT(B140,5),4),装备!B:CU,20,FALSE)</f>
        <v>ReplaceableTextures\\CommandButtons\\BTNTome.blp</v>
      </c>
      <c r="N140" s="83" t="s">
        <v>77</v>
      </c>
      <c r="O140" s="115" t="s">
        <v>832</v>
      </c>
      <c r="P140" s="63">
        <v>0</v>
      </c>
      <c r="Q140" s="63">
        <v>0</v>
      </c>
      <c r="R140" s="83" t="s">
        <v>77</v>
      </c>
      <c r="S140" s="83" t="s">
        <v>77</v>
      </c>
      <c r="T140" s="83" t="s">
        <v>77</v>
      </c>
      <c r="U140" s="83" t="s">
        <v>77</v>
      </c>
      <c r="V140" s="63"/>
      <c r="W140" s="66" t="s">
        <v>831</v>
      </c>
      <c r="X140" s="63">
        <v>0</v>
      </c>
      <c r="Y140" s="83" t="s">
        <v>77</v>
      </c>
      <c r="Z140" s="63">
        <v>0</v>
      </c>
      <c r="AA140" s="63">
        <v>0</v>
      </c>
      <c r="AB140" s="63">
        <v>0</v>
      </c>
      <c r="AC140" s="63">
        <v>1</v>
      </c>
      <c r="AD140" s="63">
        <v>1</v>
      </c>
      <c r="AE140" s="83" t="s">
        <v>77</v>
      </c>
      <c r="AF140" s="83" t="s">
        <v>77</v>
      </c>
      <c r="AG140" s="83" t="s">
        <v>77</v>
      </c>
      <c r="AH140" s="83" t="s">
        <v>77</v>
      </c>
      <c r="AI140" s="83">
        <v>1</v>
      </c>
      <c r="AJ140" s="63"/>
      <c r="AK140" s="63">
        <v>1</v>
      </c>
      <c r="AL140" s="63">
        <v>1</v>
      </c>
      <c r="AM140" s="83" t="s">
        <v>77</v>
      </c>
      <c r="AN140" s="83">
        <v>1</v>
      </c>
      <c r="AO140" s="83">
        <v>1</v>
      </c>
      <c r="AP140" s="83">
        <v>1</v>
      </c>
    </row>
    <row r="141" spans="1:42">
      <c r="A141" s="62"/>
      <c r="B141" s="63" t="str">
        <f>装备!B141</f>
        <v>IS03</v>
      </c>
      <c r="C141" s="63" t="s">
        <v>36</v>
      </c>
      <c r="D141" s="63" t="s">
        <v>76</v>
      </c>
      <c r="E141" s="66"/>
      <c r="F141" s="63"/>
      <c r="G141" s="63"/>
      <c r="H141" s="63" t="str">
        <f>VLOOKUP(LEFT(RIGHT(B141,5),4),装备!B:CU,2,FALSE)</f>
        <v>抽技能B</v>
      </c>
      <c r="I141" s="63" t="str">
        <f>VLOOKUP(B141,装备!B:CV,99,FALSE)</f>
        <v>抽技能B</v>
      </c>
      <c r="J141" s="56" t="str">
        <f t="shared" si="46"/>
        <v>抽技能B</v>
      </c>
      <c r="K141" s="56" t="str">
        <f t="shared" si="47"/>
        <v>抽技能B</v>
      </c>
      <c r="L141" s="63"/>
      <c r="M141" s="65" t="str">
        <f>VLOOKUP(LEFT(RIGHT(B141,5),4),装备!B:CU,20,FALSE)</f>
        <v>ReplaceableTextures\\CommandButtons\\BTNTome.blp</v>
      </c>
      <c r="N141" s="83" t="s">
        <v>77</v>
      </c>
      <c r="O141" s="115" t="s">
        <v>832</v>
      </c>
      <c r="P141" s="63">
        <v>1</v>
      </c>
      <c r="Q141" s="63">
        <v>0</v>
      </c>
      <c r="R141" s="83" t="s">
        <v>77</v>
      </c>
      <c r="S141" s="83" t="s">
        <v>77</v>
      </c>
      <c r="T141" s="83" t="s">
        <v>77</v>
      </c>
      <c r="U141" s="83" t="s">
        <v>77</v>
      </c>
      <c r="V141" s="63"/>
      <c r="W141" s="66" t="s">
        <v>831</v>
      </c>
      <c r="X141" s="63">
        <v>0</v>
      </c>
      <c r="Y141" s="83" t="s">
        <v>77</v>
      </c>
      <c r="Z141" s="63">
        <v>0</v>
      </c>
      <c r="AA141" s="63">
        <v>0</v>
      </c>
      <c r="AB141" s="63">
        <v>0</v>
      </c>
      <c r="AC141" s="63">
        <v>1</v>
      </c>
      <c r="AD141" s="63">
        <v>1</v>
      </c>
      <c r="AE141" s="83" t="s">
        <v>77</v>
      </c>
      <c r="AF141" s="83" t="s">
        <v>77</v>
      </c>
      <c r="AG141" s="83" t="s">
        <v>77</v>
      </c>
      <c r="AH141" s="83" t="s">
        <v>77</v>
      </c>
      <c r="AI141" s="83">
        <v>1</v>
      </c>
      <c r="AJ141" s="63"/>
      <c r="AK141" s="63">
        <v>1</v>
      </c>
      <c r="AL141" s="63">
        <v>1</v>
      </c>
      <c r="AM141" s="83" t="s">
        <v>77</v>
      </c>
      <c r="AN141" s="83">
        <v>1</v>
      </c>
      <c r="AO141" s="83">
        <v>1</v>
      </c>
      <c r="AP141" s="83">
        <v>1</v>
      </c>
    </row>
    <row r="142" spans="1:42">
      <c r="A142" s="62"/>
      <c r="B142" s="63" t="str">
        <f>装备!B142</f>
        <v>IS04</v>
      </c>
      <c r="C142" s="63" t="s">
        <v>36</v>
      </c>
      <c r="D142" s="63" t="s">
        <v>76</v>
      </c>
      <c r="E142" s="66"/>
      <c r="F142" s="63"/>
      <c r="G142" s="63"/>
      <c r="H142" s="63" t="str">
        <f>VLOOKUP(LEFT(RIGHT(B142,5),4),装备!B:CU,2,FALSE)</f>
        <v>抽技能A</v>
      </c>
      <c r="I142" s="63" t="str">
        <f>VLOOKUP(B142,装备!B:CV,99,FALSE)</f>
        <v>抽技能A</v>
      </c>
      <c r="J142" s="56" t="str">
        <f t="shared" si="46"/>
        <v>抽技能A</v>
      </c>
      <c r="K142" s="56" t="str">
        <f t="shared" si="47"/>
        <v>抽技能A</v>
      </c>
      <c r="L142" s="63"/>
      <c r="M142" s="65" t="str">
        <f>VLOOKUP(LEFT(RIGHT(B142,5),4),装备!B:CU,20,FALSE)</f>
        <v>ReplaceableTextures\\CommandButtons\\BTNTome.blp</v>
      </c>
      <c r="N142" s="83" t="s">
        <v>77</v>
      </c>
      <c r="O142" s="115" t="s">
        <v>832</v>
      </c>
      <c r="P142" s="63">
        <v>2</v>
      </c>
      <c r="Q142" s="63">
        <v>0</v>
      </c>
      <c r="R142" s="83" t="s">
        <v>77</v>
      </c>
      <c r="S142" s="83" t="s">
        <v>77</v>
      </c>
      <c r="T142" s="83" t="s">
        <v>77</v>
      </c>
      <c r="U142" s="83" t="s">
        <v>77</v>
      </c>
      <c r="V142" s="63"/>
      <c r="W142" s="66" t="s">
        <v>831</v>
      </c>
      <c r="X142" s="63">
        <v>0</v>
      </c>
      <c r="Y142" s="83" t="s">
        <v>77</v>
      </c>
      <c r="Z142" s="63">
        <v>0</v>
      </c>
      <c r="AA142" s="63">
        <v>0</v>
      </c>
      <c r="AB142" s="63">
        <v>0</v>
      </c>
      <c r="AC142" s="63">
        <v>1</v>
      </c>
      <c r="AD142" s="63">
        <v>1</v>
      </c>
      <c r="AE142" s="83" t="s">
        <v>77</v>
      </c>
      <c r="AF142" s="83" t="s">
        <v>77</v>
      </c>
      <c r="AG142" s="83" t="s">
        <v>77</v>
      </c>
      <c r="AH142" s="83" t="s">
        <v>77</v>
      </c>
      <c r="AI142" s="83">
        <v>1</v>
      </c>
      <c r="AJ142" s="63"/>
      <c r="AK142" s="63">
        <v>1</v>
      </c>
      <c r="AL142" s="63">
        <v>1</v>
      </c>
      <c r="AM142" s="83" t="s">
        <v>77</v>
      </c>
      <c r="AN142" s="83">
        <v>1</v>
      </c>
      <c r="AO142" s="83">
        <v>1</v>
      </c>
      <c r="AP142" s="83">
        <v>1</v>
      </c>
    </row>
    <row r="143" spans="1:42">
      <c r="A143" s="62"/>
      <c r="B143" s="63" t="str">
        <f>装备!B143</f>
        <v>IS05</v>
      </c>
      <c r="C143" s="63" t="s">
        <v>36</v>
      </c>
      <c r="D143" s="63" t="s">
        <v>76</v>
      </c>
      <c r="E143" s="66"/>
      <c r="F143" s="63"/>
      <c r="G143" s="63"/>
      <c r="H143" s="63" t="str">
        <f>VLOOKUP(LEFT(RIGHT(B143,5),4),装备!B:CU,2,FALSE)</f>
        <v>抽技能S</v>
      </c>
      <c r="I143" s="63" t="str">
        <f>VLOOKUP(B143,装备!B:CV,99,FALSE)</f>
        <v>抽技能S</v>
      </c>
      <c r="J143" s="56" t="str">
        <f t="shared" si="46"/>
        <v>抽技能S</v>
      </c>
      <c r="K143" s="56" t="str">
        <f t="shared" si="47"/>
        <v>抽技能S</v>
      </c>
      <c r="L143" s="63"/>
      <c r="M143" s="65" t="str">
        <f>VLOOKUP(LEFT(RIGHT(B143,5),4),装备!B:CU,20,FALSE)</f>
        <v>ReplaceableTextures\\CommandButtons\\BTNTome.blp</v>
      </c>
      <c r="N143" s="83" t="s">
        <v>77</v>
      </c>
      <c r="O143" s="115" t="s">
        <v>832</v>
      </c>
      <c r="P143" s="63">
        <v>3</v>
      </c>
      <c r="Q143" s="63">
        <v>0</v>
      </c>
      <c r="R143" s="83" t="s">
        <v>77</v>
      </c>
      <c r="S143" s="83" t="s">
        <v>77</v>
      </c>
      <c r="T143" s="83" t="s">
        <v>77</v>
      </c>
      <c r="U143" s="83" t="s">
        <v>77</v>
      </c>
      <c r="V143" s="63"/>
      <c r="W143" s="66" t="s">
        <v>831</v>
      </c>
      <c r="X143" s="63">
        <v>0</v>
      </c>
      <c r="Y143" s="83" t="s">
        <v>77</v>
      </c>
      <c r="Z143" s="63">
        <v>0</v>
      </c>
      <c r="AA143" s="63">
        <v>0</v>
      </c>
      <c r="AB143" s="63">
        <v>0</v>
      </c>
      <c r="AC143" s="63">
        <v>1</v>
      </c>
      <c r="AD143" s="63">
        <v>1</v>
      </c>
      <c r="AE143" s="83" t="s">
        <v>77</v>
      </c>
      <c r="AF143" s="83" t="s">
        <v>77</v>
      </c>
      <c r="AG143" s="83" t="s">
        <v>77</v>
      </c>
      <c r="AH143" s="83" t="s">
        <v>77</v>
      </c>
      <c r="AI143" s="83">
        <v>1</v>
      </c>
      <c r="AJ143" s="63"/>
      <c r="AK143" s="63">
        <v>1</v>
      </c>
      <c r="AL143" s="63">
        <v>1</v>
      </c>
      <c r="AM143" s="83" t="s">
        <v>77</v>
      </c>
      <c r="AN143" s="83">
        <v>1</v>
      </c>
      <c r="AO143" s="83">
        <v>1</v>
      </c>
      <c r="AP143" s="83">
        <v>1</v>
      </c>
    </row>
    <row r="144" spans="1:42">
      <c r="A144" s="62"/>
      <c r="B144" s="63" t="str">
        <f>装备!B144</f>
        <v>IS11</v>
      </c>
      <c r="C144" s="63" t="s">
        <v>36</v>
      </c>
      <c r="D144" s="63" t="s">
        <v>76</v>
      </c>
      <c r="E144" s="66"/>
      <c r="F144" s="63"/>
      <c r="G144" s="63"/>
      <c r="H144" s="63" t="str">
        <f>VLOOKUP(LEFT(RIGHT(B144,5),4),装备!B:CU,2,FALSE)</f>
        <v>占星</v>
      </c>
      <c r="I144" s="63" t="str">
        <f>VLOOKUP(B144,装备!B:CV,99,FALSE)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J144" s="56" t="str">
        <f t="shared" ref="J144" si="50">H144</f>
        <v>占星</v>
      </c>
      <c r="K144" s="56" t="str">
        <f t="shared" ref="K144" si="51">I144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L144" s="63"/>
      <c r="M144" s="65" t="str">
        <f>VLOOKUP(LEFT(RIGHT(B144,5),4),装备!B:CU,20,FALSE)</f>
        <v>ReplaceableTextures\\CommandButtons\\BTNTome.blp</v>
      </c>
      <c r="N144" s="83" t="s">
        <v>77</v>
      </c>
      <c r="O144" s="115" t="s">
        <v>832</v>
      </c>
      <c r="P144" s="63">
        <v>3</v>
      </c>
      <c r="Q144" s="63">
        <v>0</v>
      </c>
      <c r="R144" s="83" t="s">
        <v>77</v>
      </c>
      <c r="S144" s="83" t="s">
        <v>77</v>
      </c>
      <c r="T144" s="83" t="s">
        <v>77</v>
      </c>
      <c r="U144" s="83" t="s">
        <v>77</v>
      </c>
      <c r="V144" s="63"/>
      <c r="W144" s="66" t="s">
        <v>831</v>
      </c>
      <c r="X144" s="63">
        <v>0</v>
      </c>
      <c r="Y144" s="83" t="s">
        <v>77</v>
      </c>
      <c r="Z144" s="63">
        <v>0</v>
      </c>
      <c r="AA144" s="63">
        <v>0</v>
      </c>
      <c r="AB144" s="63">
        <v>0</v>
      </c>
      <c r="AC144" s="63">
        <v>1</v>
      </c>
      <c r="AD144" s="63">
        <v>1</v>
      </c>
      <c r="AE144" s="83" t="s">
        <v>77</v>
      </c>
      <c r="AF144" s="83" t="s">
        <v>77</v>
      </c>
      <c r="AG144" s="83" t="s">
        <v>77</v>
      </c>
      <c r="AH144" s="83" t="s">
        <v>77</v>
      </c>
      <c r="AI144" s="83">
        <v>1</v>
      </c>
      <c r="AJ144" s="63"/>
      <c r="AK144" s="63">
        <v>1</v>
      </c>
      <c r="AL144" s="63">
        <v>1</v>
      </c>
      <c r="AM144" s="83" t="s">
        <v>77</v>
      </c>
      <c r="AN144" s="83">
        <v>1</v>
      </c>
      <c r="AO144" s="83">
        <v>1</v>
      </c>
      <c r="AP144" s="83">
        <v>1</v>
      </c>
    </row>
    <row r="145" spans="1:42">
      <c r="A145" s="62"/>
      <c r="B145" s="63" t="str">
        <f>装备!B145</f>
        <v>IH00</v>
      </c>
      <c r="C145" s="63" t="s">
        <v>36</v>
      </c>
      <c r="D145" s="63" t="s">
        <v>76</v>
      </c>
      <c r="E145" s="66"/>
      <c r="F145" s="63"/>
      <c r="G145" s="63"/>
      <c r="H145" s="63" t="str">
        <f>VLOOKUP(LEFT(RIGHT(B145,5),4),装备!B:CU,2,FALSE)</f>
        <v>觉醒兽魂</v>
      </c>
      <c r="I145" s="63" t="str">
        <f>VLOOKUP(B145,装备!B:CV,99,FALSE)</f>
        <v>觉醒兽魂</v>
      </c>
      <c r="J145" s="56" t="str">
        <f t="shared" si="46"/>
        <v>觉醒兽魂</v>
      </c>
      <c r="K145" s="56" t="str">
        <f t="shared" si="47"/>
        <v>觉醒兽魂</v>
      </c>
      <c r="L145" s="63"/>
      <c r="M145" s="65" t="str">
        <f>VLOOKUP(LEFT(RIGHT(B145,5),4),装备!B:CU,20,FALSE)</f>
        <v>ReplaceableTextures\\CommandButtons\\BTNTome.blp</v>
      </c>
      <c r="N145" s="83" t="s">
        <v>77</v>
      </c>
      <c r="O145" s="115" t="s">
        <v>832</v>
      </c>
      <c r="P145" s="63">
        <v>3</v>
      </c>
      <c r="Q145" s="63">
        <v>2</v>
      </c>
      <c r="R145" s="83" t="s">
        <v>77</v>
      </c>
      <c r="S145" s="83" t="s">
        <v>77</v>
      </c>
      <c r="T145" s="83" t="s">
        <v>77</v>
      </c>
      <c r="U145" s="83" t="s">
        <v>77</v>
      </c>
      <c r="V145" s="63"/>
      <c r="W145" s="66" t="s">
        <v>831</v>
      </c>
      <c r="X145" s="63">
        <v>0</v>
      </c>
      <c r="Y145" s="83" t="s">
        <v>77</v>
      </c>
      <c r="Z145" s="63">
        <v>0</v>
      </c>
      <c r="AA145" s="63">
        <v>0</v>
      </c>
      <c r="AB145" s="63">
        <v>0</v>
      </c>
      <c r="AC145" s="63">
        <v>1</v>
      </c>
      <c r="AD145" s="63">
        <v>1</v>
      </c>
      <c r="AE145" s="83" t="s">
        <v>77</v>
      </c>
      <c r="AF145" s="83" t="s">
        <v>77</v>
      </c>
      <c r="AG145" s="83" t="s">
        <v>77</v>
      </c>
      <c r="AH145" s="83" t="s">
        <v>77</v>
      </c>
      <c r="AI145" s="83">
        <v>1</v>
      </c>
      <c r="AJ145" s="63"/>
      <c r="AK145" s="63">
        <v>1</v>
      </c>
      <c r="AL145" s="63">
        <v>1</v>
      </c>
      <c r="AM145" s="83" t="s">
        <v>77</v>
      </c>
      <c r="AN145" s="83">
        <v>1</v>
      </c>
      <c r="AO145" s="83">
        <v>1</v>
      </c>
      <c r="AP145" s="83">
        <v>1</v>
      </c>
    </row>
    <row r="146" spans="1:42">
      <c r="A146" s="62"/>
      <c r="B146" s="63" t="str">
        <f>装备!B146</f>
        <v>IH01</v>
      </c>
      <c r="C146" s="63" t="s">
        <v>36</v>
      </c>
      <c r="D146" s="63" t="s">
        <v>76</v>
      </c>
      <c r="E146" s="66"/>
      <c r="F146" s="63"/>
      <c r="G146" s="63"/>
      <c r="H146" s="63" t="str">
        <f>VLOOKUP(LEFT(RIGHT(B146,5),4),装备!B:CU,2,FALSE)</f>
        <v>兽魂1</v>
      </c>
      <c r="I146" s="63" t="str">
        <f>VLOOKUP(B146,装备!B:CV,99,FALSE)</f>
        <v>觉醒兽魂</v>
      </c>
      <c r="J146" s="56" t="str">
        <f t="shared" si="46"/>
        <v>兽魂1</v>
      </c>
      <c r="K146" s="56" t="str">
        <f t="shared" si="47"/>
        <v>觉醒兽魂</v>
      </c>
      <c r="L146" s="63"/>
      <c r="M146" s="65" t="str">
        <f>VLOOKUP(LEFT(RIGHT(B146,5),4),装备!B:CU,20,FALSE)</f>
        <v>ReplaceableTextures\\CommandButtons\\BTNTome.blp</v>
      </c>
      <c r="N146" s="83" t="s">
        <v>77</v>
      </c>
      <c r="O146" s="115" t="s">
        <v>832</v>
      </c>
      <c r="P146" s="63">
        <v>0</v>
      </c>
      <c r="Q146" s="63">
        <v>0</v>
      </c>
      <c r="R146" s="83" t="s">
        <v>77</v>
      </c>
      <c r="S146" s="83" t="s">
        <v>77</v>
      </c>
      <c r="T146" s="83" t="s">
        <v>77</v>
      </c>
      <c r="U146" s="83" t="s">
        <v>77</v>
      </c>
      <c r="V146" s="63"/>
      <c r="W146" s="66" t="s">
        <v>831</v>
      </c>
      <c r="X146" s="63">
        <v>0</v>
      </c>
      <c r="Y146" s="83" t="s">
        <v>77</v>
      </c>
      <c r="Z146" s="63">
        <v>0</v>
      </c>
      <c r="AA146" s="63">
        <v>0</v>
      </c>
      <c r="AB146" s="63">
        <v>0</v>
      </c>
      <c r="AC146" s="63">
        <v>1</v>
      </c>
      <c r="AD146" s="63">
        <v>1</v>
      </c>
      <c r="AE146" s="83" t="s">
        <v>77</v>
      </c>
      <c r="AF146" s="83" t="s">
        <v>77</v>
      </c>
      <c r="AG146" s="83" t="s">
        <v>77</v>
      </c>
      <c r="AH146" s="83" t="s">
        <v>77</v>
      </c>
      <c r="AI146" s="83">
        <v>1</v>
      </c>
      <c r="AJ146" s="63"/>
      <c r="AK146" s="63">
        <v>1</v>
      </c>
      <c r="AL146" s="63">
        <v>1</v>
      </c>
      <c r="AM146" s="83" t="s">
        <v>77</v>
      </c>
      <c r="AN146" s="83">
        <v>1</v>
      </c>
      <c r="AO146" s="83">
        <v>1</v>
      </c>
      <c r="AP146" s="83">
        <v>1</v>
      </c>
    </row>
    <row r="147" spans="1:42">
      <c r="A147" s="62"/>
      <c r="B147" s="63" t="str">
        <f>装备!B147</f>
        <v>IH02</v>
      </c>
      <c r="C147" s="63" t="s">
        <v>36</v>
      </c>
      <c r="D147" s="63" t="s">
        <v>76</v>
      </c>
      <c r="E147" s="66"/>
      <c r="F147" s="63"/>
      <c r="G147" s="63"/>
      <c r="H147" s="63" t="str">
        <f>VLOOKUP(LEFT(RIGHT(B147,5),4),装备!B:CU,2,FALSE)</f>
        <v>兽魂2</v>
      </c>
      <c r="I147" s="63" t="str">
        <f>VLOOKUP(B147,装备!B:CV,99,FALSE)</f>
        <v>觉醒兽魂</v>
      </c>
      <c r="J147" s="56" t="str">
        <f t="shared" si="46"/>
        <v>兽魂2</v>
      </c>
      <c r="K147" s="56" t="str">
        <f t="shared" si="47"/>
        <v>觉醒兽魂</v>
      </c>
      <c r="L147" s="63"/>
      <c r="M147" s="65" t="str">
        <f>VLOOKUP(LEFT(RIGHT(B147,5),4),装备!B:CU,20,FALSE)</f>
        <v>ReplaceableTextures\\CommandButtons\\BTNTome.blp</v>
      </c>
      <c r="N147" s="83" t="s">
        <v>77</v>
      </c>
      <c r="O147" s="115" t="s">
        <v>832</v>
      </c>
      <c r="P147" s="63">
        <v>1</v>
      </c>
      <c r="Q147" s="63">
        <v>0</v>
      </c>
      <c r="R147" s="83" t="s">
        <v>77</v>
      </c>
      <c r="S147" s="83" t="s">
        <v>77</v>
      </c>
      <c r="T147" s="83" t="s">
        <v>77</v>
      </c>
      <c r="U147" s="83" t="s">
        <v>77</v>
      </c>
      <c r="V147" s="63"/>
      <c r="W147" s="66" t="s">
        <v>831</v>
      </c>
      <c r="X147" s="63">
        <v>0</v>
      </c>
      <c r="Y147" s="83" t="s">
        <v>77</v>
      </c>
      <c r="Z147" s="63">
        <v>0</v>
      </c>
      <c r="AA147" s="63">
        <v>0</v>
      </c>
      <c r="AB147" s="63">
        <v>0</v>
      </c>
      <c r="AC147" s="63">
        <v>1</v>
      </c>
      <c r="AD147" s="63">
        <v>1</v>
      </c>
      <c r="AE147" s="83" t="s">
        <v>77</v>
      </c>
      <c r="AF147" s="83" t="s">
        <v>77</v>
      </c>
      <c r="AG147" s="83" t="s">
        <v>77</v>
      </c>
      <c r="AH147" s="83" t="s">
        <v>77</v>
      </c>
      <c r="AI147" s="83">
        <v>1</v>
      </c>
      <c r="AJ147" s="63"/>
      <c r="AK147" s="63">
        <v>1</v>
      </c>
      <c r="AL147" s="63">
        <v>1</v>
      </c>
      <c r="AM147" s="83" t="s">
        <v>77</v>
      </c>
      <c r="AN147" s="83">
        <v>1</v>
      </c>
      <c r="AO147" s="83">
        <v>1</v>
      </c>
      <c r="AP147" s="83">
        <v>1</v>
      </c>
    </row>
    <row r="148" spans="1:42">
      <c r="A148" s="62"/>
      <c r="B148" s="63" t="str">
        <f>装备!B148</f>
        <v>IH03</v>
      </c>
      <c r="C148" s="63" t="s">
        <v>36</v>
      </c>
      <c r="D148" s="63" t="s">
        <v>76</v>
      </c>
      <c r="E148" s="66"/>
      <c r="F148" s="63"/>
      <c r="G148" s="63"/>
      <c r="H148" s="63" t="str">
        <f>VLOOKUP(LEFT(RIGHT(B148,5),4),装备!B:CU,2,FALSE)</f>
        <v>兽魂3</v>
      </c>
      <c r="I148" s="63" t="str">
        <f>VLOOKUP(B148,装备!B:CV,99,FALSE)</f>
        <v>觉醒兽魂</v>
      </c>
      <c r="J148" s="56" t="str">
        <f t="shared" si="46"/>
        <v>兽魂3</v>
      </c>
      <c r="K148" s="56" t="str">
        <f t="shared" si="47"/>
        <v>觉醒兽魂</v>
      </c>
      <c r="L148" s="63"/>
      <c r="M148" s="65" t="str">
        <f>VLOOKUP(LEFT(RIGHT(B148,5),4),装备!B:CU,20,FALSE)</f>
        <v>ReplaceableTextures\\CommandButtons\\BTNTome.blp</v>
      </c>
      <c r="N148" s="83" t="s">
        <v>77</v>
      </c>
      <c r="O148" s="115" t="s">
        <v>832</v>
      </c>
      <c r="P148" s="63">
        <v>2</v>
      </c>
      <c r="Q148" s="63">
        <v>0</v>
      </c>
      <c r="R148" s="83" t="s">
        <v>77</v>
      </c>
      <c r="S148" s="83" t="s">
        <v>77</v>
      </c>
      <c r="T148" s="83" t="s">
        <v>77</v>
      </c>
      <c r="U148" s="83" t="s">
        <v>77</v>
      </c>
      <c r="V148" s="63"/>
      <c r="W148" s="66" t="s">
        <v>831</v>
      </c>
      <c r="X148" s="63">
        <v>0</v>
      </c>
      <c r="Y148" s="83" t="s">
        <v>77</v>
      </c>
      <c r="Z148" s="63">
        <v>0</v>
      </c>
      <c r="AA148" s="63">
        <v>0</v>
      </c>
      <c r="AB148" s="63">
        <v>0</v>
      </c>
      <c r="AC148" s="63">
        <v>1</v>
      </c>
      <c r="AD148" s="63">
        <v>1</v>
      </c>
      <c r="AE148" s="83" t="s">
        <v>77</v>
      </c>
      <c r="AF148" s="83" t="s">
        <v>77</v>
      </c>
      <c r="AG148" s="83" t="s">
        <v>77</v>
      </c>
      <c r="AH148" s="83" t="s">
        <v>77</v>
      </c>
      <c r="AI148" s="83">
        <v>1</v>
      </c>
      <c r="AJ148" s="63"/>
      <c r="AK148" s="63">
        <v>1</v>
      </c>
      <c r="AL148" s="63">
        <v>1</v>
      </c>
      <c r="AM148" s="83" t="s">
        <v>77</v>
      </c>
      <c r="AN148" s="83">
        <v>1</v>
      </c>
      <c r="AO148" s="83">
        <v>1</v>
      </c>
      <c r="AP148" s="83">
        <v>1</v>
      </c>
    </row>
    <row r="149" spans="1:42">
      <c r="A149" s="62"/>
      <c r="B149" s="63" t="str">
        <f>装备!B149</f>
        <v>IH04</v>
      </c>
      <c r="C149" s="63" t="s">
        <v>36</v>
      </c>
      <c r="D149" s="63" t="s">
        <v>76</v>
      </c>
      <c r="E149" s="66"/>
      <c r="F149" s="63"/>
      <c r="G149" s="63"/>
      <c r="H149" s="63" t="str">
        <f>VLOOKUP(LEFT(RIGHT(B149,5),4),装备!B:CU,2,FALSE)</f>
        <v>兽魂4</v>
      </c>
      <c r="I149" s="63" t="str">
        <f>VLOOKUP(B149,装备!B:CV,99,FALSE)</f>
        <v>觉醒兽魂</v>
      </c>
      <c r="J149" s="56" t="str">
        <f t="shared" si="46"/>
        <v>兽魂4</v>
      </c>
      <c r="K149" s="56" t="str">
        <f t="shared" si="47"/>
        <v>觉醒兽魂</v>
      </c>
      <c r="L149" s="63"/>
      <c r="M149" s="65" t="str">
        <f>VLOOKUP(LEFT(RIGHT(B149,5),4),装备!B:CU,20,FALSE)</f>
        <v>ReplaceableTextures\\CommandButtons\\BTNTome.blp</v>
      </c>
      <c r="N149" s="83" t="s">
        <v>77</v>
      </c>
      <c r="O149" s="115" t="s">
        <v>832</v>
      </c>
      <c r="P149" s="63">
        <v>3</v>
      </c>
      <c r="Q149" s="63">
        <v>0</v>
      </c>
      <c r="R149" s="83" t="s">
        <v>77</v>
      </c>
      <c r="S149" s="83" t="s">
        <v>77</v>
      </c>
      <c r="T149" s="83" t="s">
        <v>77</v>
      </c>
      <c r="U149" s="83" t="s">
        <v>77</v>
      </c>
      <c r="V149" s="63"/>
      <c r="W149" s="66" t="s">
        <v>831</v>
      </c>
      <c r="X149" s="63">
        <v>0</v>
      </c>
      <c r="Y149" s="83" t="s">
        <v>77</v>
      </c>
      <c r="Z149" s="63">
        <v>0</v>
      </c>
      <c r="AA149" s="63">
        <v>0</v>
      </c>
      <c r="AB149" s="63">
        <v>0</v>
      </c>
      <c r="AC149" s="63">
        <v>1</v>
      </c>
      <c r="AD149" s="63">
        <v>1</v>
      </c>
      <c r="AE149" s="83" t="s">
        <v>77</v>
      </c>
      <c r="AF149" s="83" t="s">
        <v>77</v>
      </c>
      <c r="AG149" s="83" t="s">
        <v>77</v>
      </c>
      <c r="AH149" s="83" t="s">
        <v>77</v>
      </c>
      <c r="AI149" s="83">
        <v>1</v>
      </c>
      <c r="AJ149" s="63"/>
      <c r="AK149" s="63">
        <v>1</v>
      </c>
      <c r="AL149" s="63">
        <v>1</v>
      </c>
      <c r="AM149" s="83" t="s">
        <v>77</v>
      </c>
      <c r="AN149" s="83">
        <v>1</v>
      </c>
      <c r="AO149" s="83">
        <v>1</v>
      </c>
      <c r="AP149" s="83">
        <v>1</v>
      </c>
    </row>
    <row r="150" spans="1:42">
      <c r="A150" s="62"/>
      <c r="B150" s="63" t="str">
        <f>装备!B150</f>
        <v>IH05</v>
      </c>
      <c r="C150" s="63" t="s">
        <v>36</v>
      </c>
      <c r="D150" s="63" t="s">
        <v>76</v>
      </c>
      <c r="E150" s="66"/>
      <c r="F150" s="63"/>
      <c r="G150" s="63"/>
      <c r="H150" s="63" t="str">
        <f>VLOOKUP(LEFT(RIGHT(B150,5),4),装备!B:CU,2,FALSE)</f>
        <v>兽魂5</v>
      </c>
      <c r="I150" s="63" t="str">
        <f>VLOOKUP(B150,装备!B:CV,99,FALSE)</f>
        <v>觉醒兽魂</v>
      </c>
      <c r="J150" s="56" t="str">
        <f t="shared" si="46"/>
        <v>兽魂5</v>
      </c>
      <c r="K150" s="56" t="str">
        <f t="shared" si="47"/>
        <v>觉醒兽魂</v>
      </c>
      <c r="L150" s="63"/>
      <c r="M150" s="65" t="str">
        <f>VLOOKUP(LEFT(RIGHT(B150,5),4),装备!B:CU,20,FALSE)</f>
        <v>ReplaceableTextures\\CommandButtons\\BTNTome.blp</v>
      </c>
      <c r="N150" s="83" t="s">
        <v>77</v>
      </c>
      <c r="O150" s="115" t="s">
        <v>832</v>
      </c>
      <c r="P150" s="63">
        <v>0</v>
      </c>
      <c r="Q150" s="63">
        <v>1</v>
      </c>
      <c r="R150" s="83" t="s">
        <v>77</v>
      </c>
      <c r="S150" s="83" t="s">
        <v>77</v>
      </c>
      <c r="T150" s="83" t="s">
        <v>77</v>
      </c>
      <c r="U150" s="83" t="s">
        <v>77</v>
      </c>
      <c r="V150" s="63"/>
      <c r="W150" s="66" t="s">
        <v>831</v>
      </c>
      <c r="X150" s="63">
        <v>0</v>
      </c>
      <c r="Y150" s="83" t="s">
        <v>77</v>
      </c>
      <c r="Z150" s="63">
        <v>0</v>
      </c>
      <c r="AA150" s="63">
        <v>0</v>
      </c>
      <c r="AB150" s="63">
        <v>0</v>
      </c>
      <c r="AC150" s="63">
        <v>1</v>
      </c>
      <c r="AD150" s="63">
        <v>1</v>
      </c>
      <c r="AE150" s="83" t="s">
        <v>77</v>
      </c>
      <c r="AF150" s="83" t="s">
        <v>77</v>
      </c>
      <c r="AG150" s="83" t="s">
        <v>77</v>
      </c>
      <c r="AH150" s="83" t="s">
        <v>77</v>
      </c>
      <c r="AI150" s="83">
        <v>1</v>
      </c>
      <c r="AJ150" s="63"/>
      <c r="AK150" s="63">
        <v>1</v>
      </c>
      <c r="AL150" s="63">
        <v>1</v>
      </c>
      <c r="AM150" s="83" t="s">
        <v>77</v>
      </c>
      <c r="AN150" s="83">
        <v>1</v>
      </c>
      <c r="AO150" s="83">
        <v>1</v>
      </c>
      <c r="AP150" s="83">
        <v>1</v>
      </c>
    </row>
    <row r="151" spans="1:42">
      <c r="A151" s="62"/>
      <c r="B151" s="63" t="str">
        <f>装备!B151</f>
        <v>IH06</v>
      </c>
      <c r="C151" s="63" t="s">
        <v>36</v>
      </c>
      <c r="D151" s="63" t="s">
        <v>76</v>
      </c>
      <c r="E151" s="66"/>
      <c r="F151" s="63"/>
      <c r="G151" s="63"/>
      <c r="H151" s="63" t="str">
        <f>VLOOKUP(LEFT(RIGHT(B151,5),4),装备!B:CU,2,FALSE)</f>
        <v>兽魂6</v>
      </c>
      <c r="I151" s="63" t="str">
        <f>VLOOKUP(B151,装备!B:CV,99,FALSE)</f>
        <v>觉醒兽魂</v>
      </c>
      <c r="J151" s="56" t="str">
        <f t="shared" si="46"/>
        <v>兽魂6</v>
      </c>
      <c r="K151" s="56" t="str">
        <f t="shared" si="47"/>
        <v>觉醒兽魂</v>
      </c>
      <c r="L151" s="63"/>
      <c r="M151" s="65" t="str">
        <f>VLOOKUP(LEFT(RIGHT(B151,5),4),装备!B:CU,20,FALSE)</f>
        <v>ReplaceableTextures\\CommandButtons\\BTNTome.blp</v>
      </c>
      <c r="N151" s="83" t="s">
        <v>77</v>
      </c>
      <c r="O151" s="115" t="s">
        <v>832</v>
      </c>
      <c r="P151" s="63">
        <v>1</v>
      </c>
      <c r="Q151" s="63">
        <v>1</v>
      </c>
      <c r="R151" s="83" t="s">
        <v>77</v>
      </c>
      <c r="S151" s="83" t="s">
        <v>77</v>
      </c>
      <c r="T151" s="83" t="s">
        <v>77</v>
      </c>
      <c r="U151" s="83" t="s">
        <v>77</v>
      </c>
      <c r="V151" s="63"/>
      <c r="W151" s="66" t="s">
        <v>831</v>
      </c>
      <c r="X151" s="63">
        <v>0</v>
      </c>
      <c r="Y151" s="83" t="s">
        <v>77</v>
      </c>
      <c r="Z151" s="63">
        <v>0</v>
      </c>
      <c r="AA151" s="63">
        <v>0</v>
      </c>
      <c r="AB151" s="63">
        <v>0</v>
      </c>
      <c r="AC151" s="63">
        <v>1</v>
      </c>
      <c r="AD151" s="63">
        <v>1</v>
      </c>
      <c r="AE151" s="83" t="s">
        <v>77</v>
      </c>
      <c r="AF151" s="83" t="s">
        <v>77</v>
      </c>
      <c r="AG151" s="83" t="s">
        <v>77</v>
      </c>
      <c r="AH151" s="83" t="s">
        <v>77</v>
      </c>
      <c r="AI151" s="83">
        <v>1</v>
      </c>
      <c r="AJ151" s="63"/>
      <c r="AK151" s="63">
        <v>1</v>
      </c>
      <c r="AL151" s="63">
        <v>1</v>
      </c>
      <c r="AM151" s="83" t="s">
        <v>77</v>
      </c>
      <c r="AN151" s="83">
        <v>1</v>
      </c>
      <c r="AO151" s="83">
        <v>1</v>
      </c>
      <c r="AP151" s="83">
        <v>1</v>
      </c>
    </row>
    <row r="152" spans="1:42">
      <c r="A152" s="62"/>
      <c r="B152" s="63" t="str">
        <f>装备!B152</f>
        <v>IH07</v>
      </c>
      <c r="C152" s="63" t="s">
        <v>36</v>
      </c>
      <c r="D152" s="63" t="s">
        <v>76</v>
      </c>
      <c r="E152" s="66"/>
      <c r="F152" s="63"/>
      <c r="G152" s="63"/>
      <c r="H152" s="63" t="str">
        <f>VLOOKUP(LEFT(RIGHT(B152,5),4),装备!B:CU,2,FALSE)</f>
        <v>兽魂7</v>
      </c>
      <c r="I152" s="63" t="str">
        <f>VLOOKUP(B152,装备!B:CV,99,FALSE)</f>
        <v>觉醒兽魂</v>
      </c>
      <c r="J152" s="56" t="str">
        <f t="shared" si="46"/>
        <v>兽魂7</v>
      </c>
      <c r="K152" s="56" t="str">
        <f t="shared" si="47"/>
        <v>觉醒兽魂</v>
      </c>
      <c r="L152" s="63"/>
      <c r="M152" s="65" t="str">
        <f>VLOOKUP(LEFT(RIGHT(B152,5),4),装备!B:CU,20,FALSE)</f>
        <v>ReplaceableTextures\\CommandButtons\\BTNTome.blp</v>
      </c>
      <c r="N152" s="83" t="s">
        <v>77</v>
      </c>
      <c r="O152" s="115" t="s">
        <v>832</v>
      </c>
      <c r="P152" s="63">
        <v>2</v>
      </c>
      <c r="Q152" s="63">
        <v>1</v>
      </c>
      <c r="R152" s="83" t="s">
        <v>77</v>
      </c>
      <c r="S152" s="83" t="s">
        <v>77</v>
      </c>
      <c r="T152" s="83" t="s">
        <v>77</v>
      </c>
      <c r="U152" s="83" t="s">
        <v>77</v>
      </c>
      <c r="V152" s="63"/>
      <c r="W152" s="66" t="s">
        <v>831</v>
      </c>
      <c r="X152" s="63">
        <v>0</v>
      </c>
      <c r="Y152" s="83" t="s">
        <v>77</v>
      </c>
      <c r="Z152" s="63">
        <v>0</v>
      </c>
      <c r="AA152" s="63">
        <v>0</v>
      </c>
      <c r="AB152" s="63">
        <v>0</v>
      </c>
      <c r="AC152" s="63">
        <v>1</v>
      </c>
      <c r="AD152" s="63">
        <v>1</v>
      </c>
      <c r="AE152" s="83" t="s">
        <v>77</v>
      </c>
      <c r="AF152" s="83" t="s">
        <v>77</v>
      </c>
      <c r="AG152" s="83" t="s">
        <v>77</v>
      </c>
      <c r="AH152" s="83" t="s">
        <v>77</v>
      </c>
      <c r="AI152" s="83">
        <v>1</v>
      </c>
      <c r="AJ152" s="63"/>
      <c r="AK152" s="63">
        <v>1</v>
      </c>
      <c r="AL152" s="63">
        <v>1</v>
      </c>
      <c r="AM152" s="83" t="s">
        <v>77</v>
      </c>
      <c r="AN152" s="83">
        <v>1</v>
      </c>
      <c r="AO152" s="83">
        <v>1</v>
      </c>
      <c r="AP152" s="83">
        <v>1</v>
      </c>
    </row>
    <row r="153" spans="1:42">
      <c r="A153" s="62"/>
      <c r="B153" s="63" t="str">
        <f>装备!B153</f>
        <v>IH08</v>
      </c>
      <c r="C153" s="63" t="s">
        <v>36</v>
      </c>
      <c r="D153" s="63" t="s">
        <v>76</v>
      </c>
      <c r="E153" s="66"/>
      <c r="F153" s="63"/>
      <c r="G153" s="63"/>
      <c r="H153" s="63" t="str">
        <f>VLOOKUP(LEFT(RIGHT(B153,5),4),装备!B:CU,2,FALSE)</f>
        <v>兽魂8</v>
      </c>
      <c r="I153" s="63" t="str">
        <f>VLOOKUP(B153,装备!B:CV,99,FALSE)</f>
        <v>觉醒兽魂</v>
      </c>
      <c r="J153" s="56" t="str">
        <f t="shared" si="46"/>
        <v>兽魂8</v>
      </c>
      <c r="K153" s="56" t="str">
        <f t="shared" si="47"/>
        <v>觉醒兽魂</v>
      </c>
      <c r="L153" s="63"/>
      <c r="M153" s="65" t="str">
        <f>VLOOKUP(LEFT(RIGHT(B153,5),4),装备!B:CU,20,FALSE)</f>
        <v>ReplaceableTextures\\CommandButtons\\BTNTome.blp</v>
      </c>
      <c r="N153" s="83" t="s">
        <v>77</v>
      </c>
      <c r="O153" s="115" t="s">
        <v>832</v>
      </c>
      <c r="P153" s="63">
        <v>3</v>
      </c>
      <c r="Q153" s="63">
        <v>1</v>
      </c>
      <c r="R153" s="83" t="s">
        <v>77</v>
      </c>
      <c r="S153" s="83" t="s">
        <v>77</v>
      </c>
      <c r="T153" s="83" t="s">
        <v>77</v>
      </c>
      <c r="U153" s="83" t="s">
        <v>77</v>
      </c>
      <c r="V153" s="63"/>
      <c r="W153" s="66" t="s">
        <v>831</v>
      </c>
      <c r="X153" s="63">
        <v>0</v>
      </c>
      <c r="Y153" s="83" t="s">
        <v>77</v>
      </c>
      <c r="Z153" s="63">
        <v>0</v>
      </c>
      <c r="AA153" s="63">
        <v>0</v>
      </c>
      <c r="AB153" s="63">
        <v>0</v>
      </c>
      <c r="AC153" s="63">
        <v>1</v>
      </c>
      <c r="AD153" s="63">
        <v>1</v>
      </c>
      <c r="AE153" s="83" t="s">
        <v>77</v>
      </c>
      <c r="AF153" s="83" t="s">
        <v>77</v>
      </c>
      <c r="AG153" s="83" t="s">
        <v>77</v>
      </c>
      <c r="AH153" s="83" t="s">
        <v>77</v>
      </c>
      <c r="AI153" s="83">
        <v>1</v>
      </c>
      <c r="AJ153" s="63"/>
      <c r="AK153" s="63">
        <v>1</v>
      </c>
      <c r="AL153" s="63">
        <v>1</v>
      </c>
      <c r="AM153" s="83" t="s">
        <v>77</v>
      </c>
      <c r="AN153" s="83">
        <v>1</v>
      </c>
      <c r="AO153" s="83">
        <v>1</v>
      </c>
      <c r="AP153" s="83">
        <v>1</v>
      </c>
    </row>
    <row r="154" spans="1:42">
      <c r="A154" s="62"/>
      <c r="B154" s="63" t="str">
        <f>装备!B154</f>
        <v>IB01</v>
      </c>
      <c r="C154" s="63" t="s">
        <v>36</v>
      </c>
      <c r="D154" s="63" t="s">
        <v>76</v>
      </c>
      <c r="E154" s="66"/>
      <c r="F154" s="63"/>
      <c r="G154" s="63"/>
      <c r="H154" s="63" t="str">
        <f>VLOOKUP(LEFT(RIGHT(B154,5),4),装备!B:CU,2,FALSE)</f>
        <v>入群礼包</v>
      </c>
      <c r="I154" s="63" t="str">
        <f>VLOOKUP(B154,装备!B:CV,99,FALSE)</f>
        <v>入群礼包</v>
      </c>
      <c r="J154" s="56" t="str">
        <f t="shared" si="46"/>
        <v>入群礼包</v>
      </c>
      <c r="K154" s="56" t="str">
        <f t="shared" si="47"/>
        <v>入群礼包</v>
      </c>
      <c r="L154" s="63"/>
      <c r="M154" s="65" t="str">
        <f>VLOOKUP(LEFT(RIGHT(B154,5),4),装备!B:CU,20,FALSE)</f>
        <v>ReplaceableTextures\\CommandButtons\\BTNTome.blp</v>
      </c>
      <c r="N154" s="83" t="s">
        <v>77</v>
      </c>
      <c r="O154" s="115" t="s">
        <v>832</v>
      </c>
      <c r="P154" s="63">
        <v>0</v>
      </c>
      <c r="Q154" s="63">
        <v>0</v>
      </c>
      <c r="R154" s="83" t="s">
        <v>77</v>
      </c>
      <c r="S154" s="83" t="s">
        <v>77</v>
      </c>
      <c r="T154" s="83" t="s">
        <v>77</v>
      </c>
      <c r="U154" s="83" t="s">
        <v>77</v>
      </c>
      <c r="V154" s="63"/>
      <c r="W154" s="66" t="s">
        <v>831</v>
      </c>
      <c r="X154" s="63">
        <v>0</v>
      </c>
      <c r="Y154" s="83" t="s">
        <v>77</v>
      </c>
      <c r="Z154" s="63">
        <v>0</v>
      </c>
      <c r="AA154" s="63">
        <v>0</v>
      </c>
      <c r="AB154" s="63">
        <v>0</v>
      </c>
      <c r="AC154" s="63">
        <v>1</v>
      </c>
      <c r="AD154" s="63">
        <v>1</v>
      </c>
      <c r="AE154" s="83" t="s">
        <v>77</v>
      </c>
      <c r="AF154" s="83" t="s">
        <v>77</v>
      </c>
      <c r="AG154" s="83" t="s">
        <v>77</v>
      </c>
      <c r="AH154" s="83" t="s">
        <v>77</v>
      </c>
      <c r="AI154" s="83">
        <v>1</v>
      </c>
      <c r="AJ154" s="63"/>
      <c r="AK154" s="63">
        <v>1</v>
      </c>
      <c r="AL154" s="63">
        <v>1</v>
      </c>
      <c r="AM154" s="83" t="s">
        <v>77</v>
      </c>
      <c r="AN154" s="83">
        <v>1</v>
      </c>
      <c r="AO154" s="83">
        <v>1</v>
      </c>
      <c r="AP154" s="83">
        <v>1</v>
      </c>
    </row>
    <row r="155" spans="1:42">
      <c r="A155" s="62"/>
      <c r="B155" s="63" t="str">
        <f>装备!B155</f>
        <v>IB02</v>
      </c>
      <c r="C155" s="63" t="s">
        <v>36</v>
      </c>
      <c r="D155" s="63" t="s">
        <v>76</v>
      </c>
      <c r="E155" s="66"/>
      <c r="F155" s="63"/>
      <c r="G155" s="63"/>
      <c r="H155" s="63" t="str">
        <f>VLOOKUP(LEFT(RIGHT(B155,5),4),装备!B:CU,2,FALSE)</f>
        <v>公众号礼包</v>
      </c>
      <c r="I155" s="63" t="str">
        <f>VLOOKUP(B155,装备!B:CV,99,FALSE)</f>
        <v>公众号礼包</v>
      </c>
      <c r="J155" s="56" t="str">
        <f t="shared" si="46"/>
        <v>公众号礼包</v>
      </c>
      <c r="K155" s="56" t="str">
        <f t="shared" si="47"/>
        <v>公众号礼包</v>
      </c>
      <c r="L155" s="63"/>
      <c r="M155" s="65" t="str">
        <f>VLOOKUP(LEFT(RIGHT(B155,5),4),装备!B:CU,20,FALSE)</f>
        <v>ReplaceableTextures\\CommandButtons\\BTNTome.blp</v>
      </c>
      <c r="N155" s="83" t="s">
        <v>77</v>
      </c>
      <c r="O155" s="115" t="s">
        <v>832</v>
      </c>
      <c r="P155" s="63">
        <v>0</v>
      </c>
      <c r="Q155" s="63">
        <v>0</v>
      </c>
      <c r="R155" s="83" t="s">
        <v>77</v>
      </c>
      <c r="S155" s="83" t="s">
        <v>77</v>
      </c>
      <c r="T155" s="83" t="s">
        <v>77</v>
      </c>
      <c r="U155" s="83" t="s">
        <v>77</v>
      </c>
      <c r="V155" s="63"/>
      <c r="W155" s="66" t="s">
        <v>831</v>
      </c>
      <c r="X155" s="63">
        <v>0</v>
      </c>
      <c r="Y155" s="83" t="s">
        <v>77</v>
      </c>
      <c r="Z155" s="63">
        <v>0</v>
      </c>
      <c r="AA155" s="63">
        <v>0</v>
      </c>
      <c r="AB155" s="63">
        <v>0</v>
      </c>
      <c r="AC155" s="63">
        <v>1</v>
      </c>
      <c r="AD155" s="63">
        <v>1</v>
      </c>
      <c r="AE155" s="83" t="s">
        <v>77</v>
      </c>
      <c r="AF155" s="83" t="s">
        <v>77</v>
      </c>
      <c r="AG155" s="83" t="s">
        <v>77</v>
      </c>
      <c r="AH155" s="83" t="s">
        <v>77</v>
      </c>
      <c r="AI155" s="83">
        <v>1</v>
      </c>
      <c r="AJ155" s="63"/>
      <c r="AK155" s="63">
        <v>1</v>
      </c>
      <c r="AL155" s="63">
        <v>1</v>
      </c>
      <c r="AM155" s="83" t="s">
        <v>77</v>
      </c>
      <c r="AN155" s="83">
        <v>1</v>
      </c>
      <c r="AO155" s="83">
        <v>1</v>
      </c>
      <c r="AP155" s="83">
        <v>1</v>
      </c>
    </row>
    <row r="156" spans="1:42">
      <c r="A156" s="62"/>
      <c r="B156" s="63" t="str">
        <f>装备!B156</f>
        <v>IB03</v>
      </c>
      <c r="C156" s="63" t="s">
        <v>36</v>
      </c>
      <c r="D156" s="63" t="s">
        <v>76</v>
      </c>
      <c r="E156" s="66"/>
      <c r="F156" s="63"/>
      <c r="G156" s="63"/>
      <c r="H156" s="63" t="str">
        <f>VLOOKUP(LEFT(RIGHT(B156,5),4),装备!B:CU,2,FALSE)</f>
        <v>好评礼包</v>
      </c>
      <c r="I156" s="63" t="str">
        <f>VLOOKUP(B156,装备!B:CV,99,FALSE)</f>
        <v>好评礼包</v>
      </c>
      <c r="J156" s="56" t="str">
        <f t="shared" si="46"/>
        <v>好评礼包</v>
      </c>
      <c r="K156" s="56" t="str">
        <f t="shared" si="47"/>
        <v>好评礼包</v>
      </c>
      <c r="L156" s="63"/>
      <c r="M156" s="65" t="str">
        <f>VLOOKUP(LEFT(RIGHT(B156,5),4),装备!B:CU,20,FALSE)</f>
        <v>ReplaceableTextures\\CommandButtons\\BTNTome.blp</v>
      </c>
      <c r="N156" s="83" t="s">
        <v>77</v>
      </c>
      <c r="O156" s="115" t="s">
        <v>832</v>
      </c>
      <c r="P156" s="63">
        <v>0</v>
      </c>
      <c r="Q156" s="63">
        <v>0</v>
      </c>
      <c r="R156" s="83" t="s">
        <v>77</v>
      </c>
      <c r="S156" s="83" t="s">
        <v>77</v>
      </c>
      <c r="T156" s="83" t="s">
        <v>77</v>
      </c>
      <c r="U156" s="83" t="s">
        <v>77</v>
      </c>
      <c r="V156" s="63"/>
      <c r="W156" s="66" t="s">
        <v>831</v>
      </c>
      <c r="X156" s="63">
        <v>0</v>
      </c>
      <c r="Y156" s="83" t="s">
        <v>77</v>
      </c>
      <c r="Z156" s="63">
        <v>0</v>
      </c>
      <c r="AA156" s="63">
        <v>0</v>
      </c>
      <c r="AB156" s="63">
        <v>0</v>
      </c>
      <c r="AC156" s="63">
        <v>1</v>
      </c>
      <c r="AD156" s="63">
        <v>1</v>
      </c>
      <c r="AE156" s="83" t="s">
        <v>77</v>
      </c>
      <c r="AF156" s="83" t="s">
        <v>77</v>
      </c>
      <c r="AG156" s="83" t="s">
        <v>77</v>
      </c>
      <c r="AH156" s="83" t="s">
        <v>77</v>
      </c>
      <c r="AI156" s="83">
        <v>1</v>
      </c>
      <c r="AJ156" s="63"/>
      <c r="AK156" s="63">
        <v>1</v>
      </c>
      <c r="AL156" s="63">
        <v>1</v>
      </c>
      <c r="AM156" s="83" t="s">
        <v>77</v>
      </c>
      <c r="AN156" s="83">
        <v>1</v>
      </c>
      <c r="AO156" s="83">
        <v>1</v>
      </c>
      <c r="AP156" s="83">
        <v>1</v>
      </c>
    </row>
    <row r="157" spans="1:42">
      <c r="A157" s="62"/>
      <c r="B157" s="63" t="str">
        <f>装备!B157</f>
        <v>IB04</v>
      </c>
      <c r="C157" s="63" t="s">
        <v>36</v>
      </c>
      <c r="D157" s="63" t="s">
        <v>76</v>
      </c>
      <c r="E157" s="66"/>
      <c r="F157" s="63"/>
      <c r="G157" s="63"/>
      <c r="H157" s="63" t="str">
        <f>VLOOKUP(LEFT(RIGHT(B157,5),4),装备!B:CU,2,FALSE)</f>
        <v>老铁礼包</v>
      </c>
      <c r="I157" s="63" t="str">
        <f>VLOOKUP(B157,装备!B:CV,99,FALSE)</f>
        <v>老铁礼包</v>
      </c>
      <c r="J157" s="56" t="str">
        <f t="shared" si="46"/>
        <v>老铁礼包</v>
      </c>
      <c r="K157" s="56" t="str">
        <f t="shared" si="47"/>
        <v>老铁礼包</v>
      </c>
      <c r="L157" s="63"/>
      <c r="M157" s="65" t="str">
        <f>VLOOKUP(LEFT(RIGHT(B157,5),4),装备!B:CU,20,FALSE)</f>
        <v>ReplaceableTextures\\CommandButtons\\BTNTome.blp</v>
      </c>
      <c r="N157" s="83" t="s">
        <v>77</v>
      </c>
      <c r="O157" s="115" t="s">
        <v>832</v>
      </c>
      <c r="P157" s="63">
        <v>0</v>
      </c>
      <c r="Q157" s="63">
        <v>0</v>
      </c>
      <c r="R157" s="83" t="s">
        <v>77</v>
      </c>
      <c r="S157" s="83" t="s">
        <v>77</v>
      </c>
      <c r="T157" s="83" t="s">
        <v>77</v>
      </c>
      <c r="U157" s="83" t="s">
        <v>77</v>
      </c>
      <c r="V157" s="63"/>
      <c r="W157" s="66" t="s">
        <v>831</v>
      </c>
      <c r="X157" s="63">
        <v>0</v>
      </c>
      <c r="Y157" s="83" t="s">
        <v>77</v>
      </c>
      <c r="Z157" s="63">
        <v>0</v>
      </c>
      <c r="AA157" s="63">
        <v>0</v>
      </c>
      <c r="AB157" s="63">
        <v>0</v>
      </c>
      <c r="AC157" s="63">
        <v>1</v>
      </c>
      <c r="AD157" s="63">
        <v>1</v>
      </c>
      <c r="AE157" s="83" t="s">
        <v>77</v>
      </c>
      <c r="AF157" s="83" t="s">
        <v>77</v>
      </c>
      <c r="AG157" s="83" t="s">
        <v>77</v>
      </c>
      <c r="AH157" s="83" t="s">
        <v>77</v>
      </c>
      <c r="AI157" s="83">
        <v>1</v>
      </c>
      <c r="AJ157" s="63"/>
      <c r="AK157" s="63">
        <v>1</v>
      </c>
      <c r="AL157" s="63">
        <v>1</v>
      </c>
      <c r="AM157" s="83" t="s">
        <v>77</v>
      </c>
      <c r="AN157" s="83">
        <v>1</v>
      </c>
      <c r="AO157" s="83">
        <v>1</v>
      </c>
      <c r="AP157" s="83">
        <v>1</v>
      </c>
    </row>
    <row r="158" spans="1:42">
      <c r="A158" s="62"/>
      <c r="B158" s="63" t="str">
        <f>装备!B158</f>
        <v>IB05</v>
      </c>
      <c r="C158" s="63" t="s">
        <v>36</v>
      </c>
      <c r="D158" s="63" t="s">
        <v>76</v>
      </c>
      <c r="E158" s="66"/>
      <c r="F158" s="63"/>
      <c r="G158" s="63"/>
      <c r="H158" s="63" t="str">
        <f>VLOOKUP(LEFT(RIGHT(B158,5),4),装备!B:CU,2,FALSE)</f>
        <v>工会礼包</v>
      </c>
      <c r="I158" s="63" t="str">
        <f>VLOOKUP(B158,装备!B:CV,99,FALSE)</f>
        <v>工会礼包</v>
      </c>
      <c r="J158" s="56" t="str">
        <f t="shared" si="46"/>
        <v>工会礼包</v>
      </c>
      <c r="K158" s="56" t="str">
        <f t="shared" si="47"/>
        <v>工会礼包</v>
      </c>
      <c r="L158" s="63"/>
      <c r="M158" s="65" t="str">
        <f>VLOOKUP(LEFT(RIGHT(B158,5),4),装备!B:CU,20,FALSE)</f>
        <v>ReplaceableTextures\\CommandButtons\\BTNTome.blp</v>
      </c>
      <c r="N158" s="83" t="s">
        <v>77</v>
      </c>
      <c r="O158" s="115" t="s">
        <v>832</v>
      </c>
      <c r="P158" s="63">
        <v>0</v>
      </c>
      <c r="Q158" s="63">
        <v>0</v>
      </c>
      <c r="R158" s="83" t="s">
        <v>77</v>
      </c>
      <c r="S158" s="83" t="s">
        <v>77</v>
      </c>
      <c r="T158" s="83" t="s">
        <v>77</v>
      </c>
      <c r="U158" s="83" t="s">
        <v>77</v>
      </c>
      <c r="V158" s="63"/>
      <c r="W158" s="66" t="s">
        <v>831</v>
      </c>
      <c r="X158" s="63">
        <v>0</v>
      </c>
      <c r="Y158" s="83" t="s">
        <v>77</v>
      </c>
      <c r="Z158" s="63">
        <v>0</v>
      </c>
      <c r="AA158" s="63">
        <v>0</v>
      </c>
      <c r="AB158" s="63">
        <v>0</v>
      </c>
      <c r="AC158" s="63">
        <v>1</v>
      </c>
      <c r="AD158" s="63">
        <v>1</v>
      </c>
      <c r="AE158" s="83" t="s">
        <v>77</v>
      </c>
      <c r="AF158" s="83" t="s">
        <v>77</v>
      </c>
      <c r="AG158" s="83" t="s">
        <v>77</v>
      </c>
      <c r="AH158" s="83" t="s">
        <v>77</v>
      </c>
      <c r="AI158" s="83">
        <v>1</v>
      </c>
      <c r="AJ158" s="63"/>
      <c r="AK158" s="63">
        <v>1</v>
      </c>
      <c r="AL158" s="63">
        <v>1</v>
      </c>
      <c r="AM158" s="83" t="s">
        <v>77</v>
      </c>
      <c r="AN158" s="83">
        <v>1</v>
      </c>
      <c r="AO158" s="83">
        <v>1</v>
      </c>
      <c r="AP158" s="83">
        <v>1</v>
      </c>
    </row>
    <row r="159" spans="1:42">
      <c r="A159" s="62"/>
      <c r="B159" s="63"/>
      <c r="C159" s="63"/>
      <c r="D159" s="63"/>
      <c r="E159" s="66"/>
      <c r="F159" s="63"/>
      <c r="G159" s="63"/>
      <c r="H159" s="63"/>
      <c r="I159" s="63"/>
      <c r="J159" s="56"/>
      <c r="K159" s="56"/>
      <c r="L159" s="63"/>
      <c r="M159" s="65"/>
      <c r="N159" s="83"/>
      <c r="O159" s="84"/>
      <c r="P159" s="63"/>
      <c r="Q159" s="63"/>
      <c r="R159" s="83"/>
      <c r="S159" s="83"/>
      <c r="T159" s="83"/>
      <c r="U159" s="83"/>
      <c r="V159" s="63"/>
      <c r="W159" s="83"/>
      <c r="X159" s="63"/>
      <c r="Y159" s="8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</row>
    <row r="160" spans="1:42">
      <c r="A160" s="62"/>
      <c r="B160" s="63"/>
      <c r="C160" s="63"/>
      <c r="D160" s="63"/>
      <c r="E160" s="66"/>
      <c r="F160" s="63"/>
      <c r="G160" s="63"/>
      <c r="H160" s="63"/>
      <c r="I160" s="63"/>
      <c r="J160" s="56"/>
      <c r="K160" s="56"/>
      <c r="L160" s="63"/>
      <c r="M160" s="65"/>
      <c r="N160" s="83"/>
      <c r="O160" s="84"/>
      <c r="P160" s="63"/>
      <c r="Q160" s="63"/>
      <c r="R160" s="83"/>
      <c r="S160" s="83"/>
      <c r="T160" s="83"/>
      <c r="U160" s="83"/>
      <c r="V160" s="63"/>
      <c r="W160" s="83"/>
      <c r="X160" s="63"/>
      <c r="Y160" s="8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</row>
    <row r="161" spans="1:42">
      <c r="A161" s="62"/>
      <c r="B161" s="63"/>
      <c r="C161" s="63"/>
      <c r="D161" s="63"/>
      <c r="E161" s="66"/>
      <c r="F161" s="63"/>
      <c r="G161" s="63"/>
      <c r="H161" s="63"/>
      <c r="I161" s="63"/>
      <c r="J161" s="56"/>
      <c r="K161" s="56"/>
      <c r="L161" s="63"/>
      <c r="M161" s="65"/>
      <c r="N161" s="83"/>
      <c r="O161" s="84"/>
      <c r="P161" s="63"/>
      <c r="Q161" s="63"/>
      <c r="R161" s="83"/>
      <c r="S161" s="83"/>
      <c r="T161" s="83"/>
      <c r="U161" s="83"/>
      <c r="V161" s="63"/>
      <c r="W161" s="83"/>
      <c r="X161" s="63"/>
      <c r="Y161" s="8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</row>
    <row r="162" spans="1:42">
      <c r="A162" s="62"/>
      <c r="B162" s="63"/>
      <c r="C162" s="63"/>
      <c r="D162" s="63"/>
      <c r="E162" s="66"/>
      <c r="F162" s="63"/>
      <c r="G162" s="63"/>
      <c r="H162" s="63"/>
      <c r="I162" s="63"/>
      <c r="J162" s="56"/>
      <c r="K162" s="56"/>
      <c r="L162" s="63"/>
      <c r="M162" s="65"/>
      <c r="N162" s="83"/>
      <c r="O162" s="84"/>
      <c r="P162" s="63"/>
      <c r="Q162" s="63"/>
      <c r="R162" s="83"/>
      <c r="S162" s="83"/>
      <c r="T162" s="83"/>
      <c r="U162" s="83"/>
      <c r="V162" s="63"/>
      <c r="W162" s="83"/>
      <c r="X162" s="63"/>
      <c r="Y162" s="8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</row>
    <row r="163" spans="1:42">
      <c r="A163" s="62"/>
      <c r="B163" s="63"/>
      <c r="C163" s="63"/>
      <c r="D163" s="63"/>
      <c r="E163" s="66"/>
      <c r="F163" s="63"/>
      <c r="G163" s="63"/>
      <c r="H163" s="63"/>
      <c r="I163" s="63"/>
      <c r="J163" s="56"/>
      <c r="K163" s="56"/>
      <c r="L163" s="63"/>
      <c r="M163" s="65"/>
      <c r="N163" s="83"/>
      <c r="O163" s="84"/>
      <c r="P163" s="63"/>
      <c r="Q163" s="63"/>
      <c r="R163" s="83"/>
      <c r="S163" s="83"/>
      <c r="T163" s="83"/>
      <c r="U163" s="83"/>
      <c r="V163" s="63"/>
      <c r="W163" s="83"/>
      <c r="X163" s="63"/>
      <c r="Y163" s="8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</row>
    <row r="164" spans="1:42">
      <c r="A164" s="62"/>
      <c r="B164" s="63"/>
      <c r="C164" s="63"/>
      <c r="D164" s="63"/>
      <c r="E164" s="66"/>
      <c r="F164" s="63"/>
      <c r="G164" s="63"/>
      <c r="H164" s="63"/>
      <c r="I164" s="63"/>
      <c r="J164" s="56"/>
      <c r="K164" s="56"/>
      <c r="L164" s="63"/>
      <c r="M164" s="65"/>
      <c r="N164" s="83"/>
      <c r="O164" s="84"/>
      <c r="P164" s="63"/>
      <c r="Q164" s="63"/>
      <c r="R164" s="83"/>
      <c r="S164" s="83"/>
      <c r="T164" s="83"/>
      <c r="U164" s="83"/>
      <c r="V164" s="63"/>
      <c r="W164" s="83"/>
      <c r="X164" s="63"/>
      <c r="Y164" s="8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</row>
    <row r="165" spans="1:42">
      <c r="A165" s="62"/>
      <c r="B165" s="63"/>
      <c r="C165" s="63"/>
      <c r="D165" s="63"/>
      <c r="E165" s="66"/>
      <c r="F165" s="63"/>
      <c r="G165" s="63"/>
      <c r="H165" s="63"/>
      <c r="I165" s="63"/>
      <c r="J165" s="56"/>
      <c r="K165" s="56"/>
      <c r="L165" s="63"/>
      <c r="M165" s="65"/>
      <c r="N165" s="83"/>
      <c r="O165" s="84"/>
      <c r="P165" s="63"/>
      <c r="Q165" s="63"/>
      <c r="R165" s="83"/>
      <c r="S165" s="83"/>
      <c r="T165" s="83"/>
      <c r="U165" s="83"/>
      <c r="V165" s="63"/>
      <c r="W165" s="83"/>
      <c r="X165" s="63"/>
      <c r="Y165" s="8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</row>
    <row r="166" spans="1:42">
      <c r="A166" s="62"/>
      <c r="B166" s="63"/>
      <c r="C166" s="63"/>
      <c r="D166" s="63"/>
      <c r="E166" s="66"/>
      <c r="F166" s="63"/>
      <c r="G166" s="63"/>
      <c r="H166" s="63"/>
      <c r="I166" s="63"/>
      <c r="J166" s="56"/>
      <c r="K166" s="56"/>
      <c r="L166" s="63"/>
      <c r="M166" s="65"/>
      <c r="N166" s="83"/>
      <c r="O166" s="84"/>
      <c r="P166" s="63"/>
      <c r="Q166" s="63"/>
      <c r="R166" s="83"/>
      <c r="S166" s="83"/>
      <c r="T166" s="83"/>
      <c r="U166" s="83"/>
      <c r="V166" s="63"/>
      <c r="W166" s="83"/>
      <c r="X166" s="63"/>
      <c r="Y166" s="8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</row>
    <row r="167" spans="1:42">
      <c r="A167" s="62"/>
      <c r="B167" s="63"/>
      <c r="C167" s="63"/>
      <c r="D167" s="63"/>
      <c r="E167" s="66"/>
      <c r="F167" s="63"/>
      <c r="G167" s="63"/>
      <c r="H167" s="63"/>
      <c r="I167" s="63"/>
      <c r="J167" s="56"/>
      <c r="K167" s="56"/>
      <c r="L167" s="63"/>
      <c r="M167" s="65"/>
      <c r="N167" s="83"/>
      <c r="O167" s="84"/>
      <c r="P167" s="63"/>
      <c r="Q167" s="63"/>
      <c r="R167" s="83"/>
      <c r="S167" s="83"/>
      <c r="T167" s="83"/>
      <c r="U167" s="83"/>
      <c r="V167" s="63"/>
      <c r="W167" s="83"/>
      <c r="X167" s="63"/>
      <c r="Y167" s="8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</row>
    <row r="168" spans="1:42">
      <c r="A168" s="62"/>
      <c r="B168" s="63"/>
      <c r="C168" s="63"/>
      <c r="D168" s="63"/>
      <c r="E168" s="66"/>
      <c r="F168" s="63"/>
      <c r="G168" s="63"/>
      <c r="H168" s="63"/>
      <c r="I168" s="63"/>
      <c r="J168" s="56"/>
      <c r="K168" s="56"/>
      <c r="L168" s="63"/>
      <c r="M168" s="65"/>
      <c r="N168" s="83"/>
      <c r="O168" s="84"/>
      <c r="P168" s="63"/>
      <c r="Q168" s="63"/>
      <c r="R168" s="83"/>
      <c r="S168" s="83"/>
      <c r="T168" s="83"/>
      <c r="U168" s="83"/>
      <c r="V168" s="63"/>
      <c r="W168" s="83"/>
      <c r="X168" s="63"/>
      <c r="Y168" s="8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</row>
    <row r="169" spans="1:42">
      <c r="A169" s="62"/>
      <c r="B169" s="63"/>
      <c r="C169" s="63"/>
      <c r="D169" s="63"/>
      <c r="E169" s="66"/>
      <c r="F169" s="63"/>
      <c r="G169" s="63"/>
      <c r="H169" s="63"/>
      <c r="I169" s="63"/>
      <c r="J169" s="56"/>
      <c r="K169" s="56"/>
      <c r="L169" s="63"/>
      <c r="M169" s="65"/>
      <c r="N169" s="83"/>
      <c r="O169" s="84"/>
      <c r="P169" s="63"/>
      <c r="Q169" s="63"/>
      <c r="R169" s="83"/>
      <c r="S169" s="83"/>
      <c r="T169" s="83"/>
      <c r="U169" s="83"/>
      <c r="V169" s="63"/>
      <c r="W169" s="83"/>
      <c r="X169" s="63"/>
      <c r="Y169" s="8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</row>
    <row r="170" spans="1:42">
      <c r="A170" s="62"/>
      <c r="B170" s="63"/>
      <c r="C170" s="63"/>
      <c r="D170" s="63"/>
      <c r="E170" s="66"/>
      <c r="F170" s="63"/>
      <c r="G170" s="63"/>
      <c r="H170" s="63"/>
      <c r="I170" s="63"/>
      <c r="J170" s="56"/>
      <c r="K170" s="56"/>
      <c r="L170" s="63"/>
      <c r="M170" s="65"/>
      <c r="N170" s="83"/>
      <c r="O170" s="84"/>
      <c r="P170" s="63"/>
      <c r="Q170" s="63"/>
      <c r="R170" s="83"/>
      <c r="S170" s="83"/>
      <c r="T170" s="83"/>
      <c r="U170" s="83"/>
      <c r="V170" s="63"/>
      <c r="W170" s="83"/>
      <c r="X170" s="63"/>
      <c r="Y170" s="8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</row>
    <row r="171" spans="1:42">
      <c r="A171" s="62"/>
      <c r="B171" s="63"/>
      <c r="C171" s="63"/>
      <c r="D171" s="63"/>
      <c r="E171" s="66"/>
      <c r="F171" s="63"/>
      <c r="G171" s="63"/>
      <c r="H171" s="63"/>
      <c r="I171" s="63"/>
      <c r="J171" s="56"/>
      <c r="K171" s="56"/>
      <c r="L171" s="63"/>
      <c r="M171" s="65"/>
      <c r="N171" s="83"/>
      <c r="O171" s="84"/>
      <c r="P171" s="63"/>
      <c r="Q171" s="63"/>
      <c r="R171" s="83"/>
      <c r="S171" s="83"/>
      <c r="T171" s="83"/>
      <c r="U171" s="83"/>
      <c r="V171" s="63"/>
      <c r="W171" s="83"/>
      <c r="X171" s="63"/>
      <c r="Y171" s="8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</row>
    <row r="172" spans="1:42">
      <c r="A172" s="62"/>
      <c r="B172" s="63"/>
      <c r="C172" s="63"/>
      <c r="D172" s="63"/>
      <c r="E172" s="66"/>
      <c r="F172" s="63"/>
      <c r="G172" s="63"/>
      <c r="H172" s="63"/>
      <c r="I172" s="63"/>
      <c r="J172" s="56"/>
      <c r="K172" s="56"/>
      <c r="L172" s="63"/>
      <c r="M172" s="65"/>
      <c r="N172" s="83"/>
      <c r="O172" s="84"/>
      <c r="P172" s="63"/>
      <c r="Q172" s="63"/>
      <c r="R172" s="83"/>
      <c r="S172" s="83"/>
      <c r="T172" s="83"/>
      <c r="U172" s="83"/>
      <c r="V172" s="63"/>
      <c r="W172" s="83"/>
      <c r="X172" s="63"/>
      <c r="Y172" s="8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</row>
    <row r="173" spans="1:42">
      <c r="A173" s="62"/>
      <c r="B173" s="63"/>
      <c r="C173" s="63"/>
      <c r="D173" s="63"/>
      <c r="E173" s="66"/>
      <c r="F173" s="63"/>
      <c r="G173" s="63"/>
      <c r="H173" s="63"/>
      <c r="I173" s="63"/>
      <c r="J173" s="56"/>
      <c r="K173" s="56"/>
      <c r="L173" s="63"/>
      <c r="M173" s="65"/>
      <c r="N173" s="83"/>
      <c r="O173" s="84"/>
      <c r="P173" s="63"/>
      <c r="Q173" s="63"/>
      <c r="R173" s="83"/>
      <c r="S173" s="83"/>
      <c r="T173" s="83"/>
      <c r="U173" s="83"/>
      <c r="V173" s="63"/>
      <c r="W173" s="83"/>
      <c r="X173" s="63"/>
      <c r="Y173" s="8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</row>
    <row r="174" spans="1:42">
      <c r="A174" s="62"/>
      <c r="B174" s="63"/>
      <c r="C174" s="63"/>
      <c r="D174" s="63"/>
      <c r="E174" s="66"/>
      <c r="F174" s="63"/>
      <c r="G174" s="63"/>
      <c r="H174" s="63"/>
      <c r="I174" s="63"/>
      <c r="J174" s="56"/>
      <c r="K174" s="56"/>
      <c r="L174" s="63"/>
      <c r="M174" s="65"/>
      <c r="N174" s="83"/>
      <c r="O174" s="84"/>
      <c r="P174" s="63"/>
      <c r="Q174" s="63"/>
      <c r="R174" s="83"/>
      <c r="S174" s="83"/>
      <c r="T174" s="83"/>
      <c r="U174" s="83"/>
      <c r="V174" s="63"/>
      <c r="W174" s="83"/>
      <c r="X174" s="63"/>
      <c r="Y174" s="8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</row>
    <row r="175" spans="1:42">
      <c r="A175" s="62"/>
      <c r="B175" s="63"/>
      <c r="C175" s="63"/>
      <c r="D175" s="63"/>
      <c r="E175" s="66"/>
      <c r="F175" s="63"/>
      <c r="G175" s="63"/>
      <c r="H175" s="63"/>
      <c r="I175" s="63"/>
      <c r="J175" s="56"/>
      <c r="K175" s="56"/>
      <c r="L175" s="63"/>
      <c r="M175" s="65"/>
      <c r="N175" s="83"/>
      <c r="O175" s="84"/>
      <c r="P175" s="63"/>
      <c r="Q175" s="63"/>
      <c r="R175" s="83"/>
      <c r="S175" s="83"/>
      <c r="T175" s="83"/>
      <c r="U175" s="83"/>
      <c r="V175" s="63"/>
      <c r="W175" s="83"/>
      <c r="X175" s="63"/>
      <c r="Y175" s="8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</row>
    <row r="176" spans="1:42">
      <c r="A176" s="62"/>
      <c r="B176" s="63"/>
      <c r="C176" s="63"/>
      <c r="D176" s="63"/>
      <c r="E176" s="66"/>
      <c r="F176" s="63"/>
      <c r="G176" s="63"/>
      <c r="H176" s="63"/>
      <c r="I176" s="63"/>
      <c r="J176" s="56"/>
      <c r="K176" s="56"/>
      <c r="L176" s="63"/>
      <c r="M176" s="65"/>
      <c r="N176" s="83"/>
      <c r="O176" s="84"/>
      <c r="P176" s="63"/>
      <c r="Q176" s="63"/>
      <c r="R176" s="83"/>
      <c r="S176" s="83"/>
      <c r="T176" s="83"/>
      <c r="U176" s="83"/>
      <c r="V176" s="63"/>
      <c r="W176" s="83"/>
      <c r="X176" s="63"/>
      <c r="Y176" s="8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</row>
    <row r="177" spans="1:42">
      <c r="A177" s="62"/>
      <c r="B177" s="63"/>
      <c r="C177" s="63"/>
      <c r="D177" s="63"/>
      <c r="E177" s="66"/>
      <c r="F177" s="63"/>
      <c r="G177" s="63"/>
      <c r="H177" s="63"/>
      <c r="I177" s="63"/>
      <c r="J177" s="56"/>
      <c r="K177" s="56"/>
      <c r="L177" s="63"/>
      <c r="M177" s="65"/>
      <c r="N177" s="83"/>
      <c r="O177" s="84"/>
      <c r="P177" s="63"/>
      <c r="Q177" s="63"/>
      <c r="R177" s="83"/>
      <c r="S177" s="83"/>
      <c r="T177" s="83"/>
      <c r="U177" s="83"/>
      <c r="V177" s="63"/>
      <c r="W177" s="83"/>
      <c r="X177" s="63"/>
      <c r="Y177" s="8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</row>
    <row r="178" spans="1:42">
      <c r="A178" s="62"/>
      <c r="B178" s="63"/>
      <c r="C178" s="63"/>
      <c r="D178" s="63"/>
      <c r="E178" s="66"/>
      <c r="F178" s="63"/>
      <c r="G178" s="63"/>
      <c r="H178" s="63"/>
      <c r="I178" s="63"/>
      <c r="J178" s="56"/>
      <c r="K178" s="56"/>
      <c r="L178" s="63"/>
      <c r="M178" s="65"/>
      <c r="N178" s="83"/>
      <c r="O178" s="84"/>
      <c r="P178" s="63"/>
      <c r="Q178" s="63"/>
      <c r="R178" s="83"/>
      <c r="S178" s="83"/>
      <c r="T178" s="83"/>
      <c r="U178" s="83"/>
      <c r="V178" s="63"/>
      <c r="W178" s="83"/>
      <c r="X178" s="63"/>
      <c r="Y178" s="8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</row>
    <row r="179" spans="1:42">
      <c r="A179" s="62"/>
      <c r="B179" s="63"/>
      <c r="C179" s="63"/>
      <c r="D179" s="63"/>
      <c r="E179" s="66"/>
      <c r="F179" s="63"/>
      <c r="G179" s="63"/>
      <c r="H179" s="63"/>
      <c r="I179" s="63"/>
      <c r="J179" s="56"/>
      <c r="K179" s="56"/>
      <c r="L179" s="63"/>
      <c r="M179" s="65"/>
      <c r="N179" s="83"/>
      <c r="O179" s="84"/>
      <c r="P179" s="63"/>
      <c r="Q179" s="63"/>
      <c r="R179" s="83"/>
      <c r="S179" s="83"/>
      <c r="T179" s="83"/>
      <c r="U179" s="83"/>
      <c r="V179" s="63"/>
      <c r="W179" s="83"/>
      <c r="X179" s="63"/>
      <c r="Y179" s="8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</row>
    <row r="180" spans="1:42">
      <c r="A180" s="62"/>
      <c r="B180" s="63"/>
      <c r="C180" s="63"/>
      <c r="D180" s="63"/>
      <c r="E180" s="66"/>
      <c r="F180" s="63"/>
      <c r="G180" s="63"/>
      <c r="H180" s="63"/>
      <c r="I180" s="63"/>
      <c r="J180" s="56"/>
      <c r="K180" s="56"/>
      <c r="L180" s="63"/>
      <c r="M180" s="65"/>
      <c r="N180" s="83"/>
      <c r="O180" s="84"/>
      <c r="P180" s="63"/>
      <c r="Q180" s="63"/>
      <c r="R180" s="83"/>
      <c r="S180" s="83"/>
      <c r="T180" s="83"/>
      <c r="U180" s="83"/>
      <c r="V180" s="63"/>
      <c r="W180" s="83"/>
      <c r="X180" s="63"/>
      <c r="Y180" s="8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</row>
    <row r="181" spans="1:42">
      <c r="A181" s="62"/>
      <c r="B181" s="63"/>
      <c r="C181" s="63"/>
      <c r="D181" s="63"/>
      <c r="E181" s="66"/>
      <c r="F181" s="63"/>
      <c r="G181" s="63"/>
      <c r="H181" s="63"/>
      <c r="I181" s="63"/>
      <c r="J181" s="56"/>
      <c r="K181" s="56"/>
      <c r="L181" s="63"/>
      <c r="M181" s="65"/>
      <c r="N181" s="83"/>
      <c r="O181" s="84"/>
      <c r="P181" s="63"/>
      <c r="Q181" s="63"/>
      <c r="R181" s="83"/>
      <c r="S181" s="83"/>
      <c r="T181" s="83"/>
      <c r="U181" s="83"/>
      <c r="V181" s="63"/>
      <c r="W181" s="83"/>
      <c r="X181" s="63"/>
      <c r="Y181" s="8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</row>
    <row r="182" spans="1:42">
      <c r="A182" s="62"/>
      <c r="B182" s="63"/>
      <c r="C182" s="63"/>
      <c r="D182" s="63"/>
      <c r="E182" s="66"/>
      <c r="F182" s="63"/>
      <c r="G182" s="63"/>
      <c r="H182" s="63"/>
      <c r="I182" s="63"/>
      <c r="J182" s="56"/>
      <c r="K182" s="56"/>
      <c r="L182" s="63"/>
      <c r="M182" s="65"/>
      <c r="N182" s="83"/>
      <c r="O182" s="84"/>
      <c r="P182" s="63"/>
      <c r="Q182" s="63"/>
      <c r="R182" s="83"/>
      <c r="S182" s="83"/>
      <c r="T182" s="83"/>
      <c r="U182" s="83"/>
      <c r="V182" s="63"/>
      <c r="W182" s="83"/>
      <c r="X182" s="63"/>
      <c r="Y182" s="8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</row>
    <row r="183" spans="1:42">
      <c r="A183" s="62"/>
      <c r="B183" s="63"/>
      <c r="C183" s="63"/>
      <c r="D183" s="63"/>
      <c r="E183" s="66"/>
      <c r="F183" s="63"/>
      <c r="G183" s="63"/>
      <c r="H183" s="63"/>
      <c r="I183" s="63"/>
      <c r="J183" s="56"/>
      <c r="K183" s="56"/>
      <c r="L183" s="63"/>
      <c r="M183" s="65"/>
      <c r="N183" s="83"/>
      <c r="O183" s="84"/>
      <c r="P183" s="63"/>
      <c r="Q183" s="63"/>
      <c r="R183" s="83"/>
      <c r="S183" s="83"/>
      <c r="T183" s="83"/>
      <c r="U183" s="83"/>
      <c r="V183" s="63"/>
      <c r="W183" s="83"/>
      <c r="X183" s="63"/>
      <c r="Y183" s="8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</row>
    <row r="184" spans="1:42">
      <c r="A184" s="62"/>
      <c r="B184" s="63"/>
      <c r="C184" s="63"/>
      <c r="D184" s="63"/>
      <c r="E184" s="66"/>
      <c r="F184" s="63"/>
      <c r="G184" s="63"/>
      <c r="H184" s="63"/>
      <c r="I184" s="63"/>
      <c r="J184" s="56"/>
      <c r="K184" s="56"/>
      <c r="L184" s="63"/>
      <c r="M184" s="65"/>
      <c r="N184" s="83"/>
      <c r="O184" s="84"/>
      <c r="P184" s="63"/>
      <c r="Q184" s="63"/>
      <c r="R184" s="83"/>
      <c r="S184" s="83"/>
      <c r="T184" s="83"/>
      <c r="U184" s="83"/>
      <c r="V184" s="63"/>
      <c r="W184" s="83"/>
      <c r="X184" s="63"/>
      <c r="Y184" s="8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</row>
    <row r="185" spans="1:42">
      <c r="A185" s="62"/>
      <c r="B185" s="63"/>
      <c r="C185" s="63"/>
      <c r="D185" s="63"/>
      <c r="E185" s="66"/>
      <c r="F185" s="63"/>
      <c r="G185" s="63"/>
      <c r="H185" s="63"/>
      <c r="I185" s="63"/>
      <c r="J185" s="56"/>
      <c r="K185" s="56"/>
      <c r="L185" s="63"/>
      <c r="M185" s="65"/>
      <c r="N185" s="83"/>
      <c r="O185" s="84"/>
      <c r="P185" s="63"/>
      <c r="Q185" s="63"/>
      <c r="R185" s="83"/>
      <c r="S185" s="83"/>
      <c r="T185" s="83"/>
      <c r="U185" s="83"/>
      <c r="V185" s="63"/>
      <c r="W185" s="83"/>
      <c r="X185" s="63"/>
      <c r="Y185" s="8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</row>
    <row r="186" spans="1:42">
      <c r="A186" s="62"/>
      <c r="B186" s="63"/>
      <c r="C186" s="63"/>
      <c r="D186" s="63"/>
      <c r="E186" s="66"/>
      <c r="F186" s="63"/>
      <c r="G186" s="63"/>
      <c r="H186" s="63"/>
      <c r="I186" s="63"/>
      <c r="J186" s="56"/>
      <c r="K186" s="56"/>
      <c r="L186" s="63"/>
      <c r="M186" s="65"/>
      <c r="N186" s="83"/>
      <c r="O186" s="84"/>
      <c r="P186" s="63"/>
      <c r="Q186" s="63"/>
      <c r="R186" s="83"/>
      <c r="S186" s="83"/>
      <c r="T186" s="83"/>
      <c r="U186" s="83"/>
      <c r="V186" s="63"/>
      <c r="W186" s="83"/>
      <c r="X186" s="63"/>
      <c r="Y186" s="8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</row>
    <row r="187" spans="1:42">
      <c r="A187" s="62"/>
      <c r="B187" s="63"/>
      <c r="C187" s="63"/>
      <c r="D187" s="63"/>
      <c r="E187" s="66"/>
      <c r="F187" s="63"/>
      <c r="G187" s="63"/>
      <c r="H187" s="63"/>
      <c r="I187" s="63"/>
      <c r="J187" s="56"/>
      <c r="K187" s="56"/>
      <c r="L187" s="63"/>
      <c r="M187" s="65"/>
      <c r="N187" s="83"/>
      <c r="O187" s="84"/>
      <c r="P187" s="63"/>
      <c r="Q187" s="63"/>
      <c r="R187" s="83"/>
      <c r="S187" s="83"/>
      <c r="T187" s="83"/>
      <c r="U187" s="83"/>
      <c r="V187" s="63"/>
      <c r="W187" s="83"/>
      <c r="X187" s="63"/>
      <c r="Y187" s="8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</row>
    <row r="188" spans="1:42">
      <c r="A188" s="62"/>
      <c r="B188" s="63"/>
      <c r="C188" s="63"/>
      <c r="D188" s="63"/>
      <c r="E188" s="66"/>
      <c r="F188" s="63"/>
      <c r="G188" s="63"/>
      <c r="H188" s="63"/>
      <c r="I188" s="63"/>
      <c r="J188" s="56"/>
      <c r="K188" s="56"/>
      <c r="L188" s="63"/>
      <c r="M188" s="65"/>
      <c r="N188" s="83"/>
      <c r="O188" s="84"/>
      <c r="P188" s="63"/>
      <c r="Q188" s="63"/>
      <c r="R188" s="83"/>
      <c r="S188" s="83"/>
      <c r="T188" s="83"/>
      <c r="U188" s="83"/>
      <c r="V188" s="63"/>
      <c r="W188" s="83"/>
      <c r="X188" s="63"/>
      <c r="Y188" s="8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</row>
    <row r="189" spans="1:42">
      <c r="A189" s="62"/>
      <c r="B189" s="63"/>
      <c r="C189" s="63"/>
      <c r="D189" s="63"/>
      <c r="E189" s="66"/>
      <c r="F189" s="63"/>
      <c r="G189" s="63"/>
      <c r="H189" s="63"/>
      <c r="I189" s="63"/>
      <c r="J189" s="56"/>
      <c r="K189" s="56"/>
      <c r="L189" s="63"/>
      <c r="M189" s="65"/>
      <c r="N189" s="83"/>
      <c r="O189" s="84"/>
      <c r="P189" s="63"/>
      <c r="Q189" s="63"/>
      <c r="R189" s="83"/>
      <c r="S189" s="83"/>
      <c r="T189" s="83"/>
      <c r="U189" s="83"/>
      <c r="V189" s="63"/>
      <c r="W189" s="83"/>
      <c r="X189" s="63"/>
      <c r="Y189" s="8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</row>
    <row r="190" spans="1:42">
      <c r="A190" s="62"/>
      <c r="B190" s="63"/>
      <c r="C190" s="63"/>
      <c r="D190" s="63"/>
      <c r="E190" s="66"/>
      <c r="F190" s="63"/>
      <c r="G190" s="63"/>
      <c r="H190" s="63"/>
      <c r="I190" s="63"/>
      <c r="J190" s="56"/>
      <c r="K190" s="56"/>
      <c r="L190" s="63"/>
      <c r="M190" s="65"/>
      <c r="N190" s="83"/>
      <c r="O190" s="84"/>
      <c r="P190" s="63"/>
      <c r="Q190" s="63"/>
      <c r="R190" s="83"/>
      <c r="S190" s="83"/>
      <c r="T190" s="83"/>
      <c r="U190" s="83"/>
      <c r="V190" s="63"/>
      <c r="W190" s="83"/>
      <c r="X190" s="63"/>
      <c r="Y190" s="8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</row>
    <row r="191" spans="1:42">
      <c r="A191" s="62"/>
      <c r="B191" s="63"/>
      <c r="C191" s="63"/>
      <c r="D191" s="63"/>
      <c r="E191" s="66"/>
      <c r="F191" s="63"/>
      <c r="G191" s="63"/>
      <c r="H191" s="63"/>
      <c r="I191" s="63"/>
      <c r="J191" s="56"/>
      <c r="K191" s="56"/>
      <c r="L191" s="63"/>
      <c r="M191" s="65"/>
      <c r="N191" s="83"/>
      <c r="O191" s="84"/>
      <c r="P191" s="63"/>
      <c r="Q191" s="63"/>
      <c r="R191" s="83"/>
      <c r="S191" s="83"/>
      <c r="T191" s="83"/>
      <c r="U191" s="83"/>
      <c r="V191" s="63"/>
      <c r="W191" s="83"/>
      <c r="X191" s="63"/>
      <c r="Y191" s="8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</row>
    <row r="192" spans="1:42">
      <c r="A192" s="62"/>
      <c r="B192" s="63"/>
      <c r="C192" s="63"/>
      <c r="D192" s="63"/>
      <c r="E192" s="66"/>
      <c r="F192" s="63"/>
      <c r="G192" s="63"/>
      <c r="H192" s="63"/>
      <c r="I192" s="63"/>
      <c r="J192" s="56"/>
      <c r="K192" s="56"/>
      <c r="L192" s="63"/>
      <c r="M192" s="65"/>
      <c r="N192" s="83"/>
      <c r="O192" s="84"/>
      <c r="P192" s="63"/>
      <c r="Q192" s="63"/>
      <c r="R192" s="83"/>
      <c r="S192" s="83"/>
      <c r="T192" s="83"/>
      <c r="U192" s="83"/>
      <c r="V192" s="63"/>
      <c r="W192" s="83"/>
      <c r="X192" s="63"/>
      <c r="Y192" s="8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</row>
    <row r="193" spans="1:42">
      <c r="A193" s="62"/>
      <c r="B193" s="63"/>
      <c r="C193" s="63"/>
      <c r="D193" s="63"/>
      <c r="E193" s="66"/>
      <c r="F193" s="63"/>
      <c r="G193" s="63"/>
      <c r="H193" s="63"/>
      <c r="I193" s="63"/>
      <c r="J193" s="56"/>
      <c r="K193" s="56"/>
      <c r="L193" s="63"/>
      <c r="M193" s="65"/>
      <c r="N193" s="83"/>
      <c r="O193" s="84"/>
      <c r="P193" s="63"/>
      <c r="Q193" s="63"/>
      <c r="R193" s="83"/>
      <c r="S193" s="83"/>
      <c r="T193" s="83"/>
      <c r="U193" s="83"/>
      <c r="V193" s="63"/>
      <c r="W193" s="83"/>
      <c r="X193" s="63"/>
      <c r="Y193" s="8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</row>
    <row r="194" spans="1:42">
      <c r="A194" s="62"/>
      <c r="B194" s="63"/>
      <c r="C194" s="63"/>
      <c r="D194" s="63"/>
      <c r="E194" s="66"/>
      <c r="F194" s="63"/>
      <c r="G194" s="63"/>
      <c r="H194" s="63"/>
      <c r="I194" s="63"/>
      <c r="J194" s="56"/>
      <c r="K194" s="56"/>
      <c r="L194" s="63"/>
      <c r="M194" s="65"/>
      <c r="N194" s="83"/>
      <c r="O194" s="84"/>
      <c r="P194" s="63"/>
      <c r="Q194" s="63"/>
      <c r="R194" s="83"/>
      <c r="S194" s="83"/>
      <c r="T194" s="83"/>
      <c r="U194" s="83"/>
      <c r="V194" s="63"/>
      <c r="W194" s="83"/>
      <c r="X194" s="63"/>
      <c r="Y194" s="8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</row>
    <row r="195" spans="1:42">
      <c r="A195" s="62"/>
      <c r="B195" s="63"/>
      <c r="C195" s="63"/>
      <c r="D195" s="63"/>
      <c r="E195" s="66"/>
      <c r="F195" s="63"/>
      <c r="G195" s="63"/>
      <c r="H195" s="63"/>
      <c r="I195" s="63"/>
      <c r="J195" s="56"/>
      <c r="K195" s="56"/>
      <c r="L195" s="63"/>
      <c r="M195" s="65"/>
      <c r="N195" s="83"/>
      <c r="O195" s="84"/>
      <c r="P195" s="63"/>
      <c r="Q195" s="63"/>
      <c r="R195" s="83"/>
      <c r="S195" s="83"/>
      <c r="T195" s="83"/>
      <c r="U195" s="83"/>
      <c r="V195" s="63"/>
      <c r="W195" s="83"/>
      <c r="X195" s="63"/>
      <c r="Y195" s="8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</row>
    <row r="196" spans="1:42">
      <c r="A196" s="62"/>
      <c r="B196" s="63"/>
      <c r="C196" s="63"/>
      <c r="D196" s="63"/>
      <c r="E196" s="66"/>
      <c r="F196" s="63"/>
      <c r="G196" s="63"/>
      <c r="H196" s="63"/>
      <c r="I196" s="63"/>
      <c r="J196" s="56"/>
      <c r="K196" s="56"/>
      <c r="L196" s="63"/>
      <c r="M196" s="65"/>
      <c r="N196" s="83"/>
      <c r="O196" s="84"/>
      <c r="P196" s="63"/>
      <c r="Q196" s="63"/>
      <c r="R196" s="83"/>
      <c r="S196" s="83"/>
      <c r="T196" s="83"/>
      <c r="U196" s="83"/>
      <c r="V196" s="63"/>
      <c r="W196" s="83"/>
      <c r="X196" s="63"/>
      <c r="Y196" s="8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</row>
    <row r="197" spans="1:42">
      <c r="A197" s="62"/>
      <c r="B197" s="63"/>
      <c r="C197" s="63"/>
      <c r="D197" s="63"/>
      <c r="E197" s="66"/>
      <c r="F197" s="63"/>
      <c r="G197" s="63"/>
      <c r="H197" s="63"/>
      <c r="I197" s="63"/>
      <c r="J197" s="56"/>
      <c r="K197" s="56"/>
      <c r="L197" s="63"/>
      <c r="M197" s="65"/>
      <c r="N197" s="83"/>
      <c r="O197" s="84"/>
      <c r="P197" s="63"/>
      <c r="Q197" s="63"/>
      <c r="R197" s="83"/>
      <c r="S197" s="83"/>
      <c r="T197" s="83"/>
      <c r="U197" s="83"/>
      <c r="V197" s="63"/>
      <c r="W197" s="83"/>
      <c r="X197" s="63"/>
      <c r="Y197" s="8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</row>
    <row r="198" spans="1:42">
      <c r="A198" s="62"/>
      <c r="B198" s="63"/>
      <c r="C198" s="63"/>
      <c r="D198" s="63"/>
      <c r="E198" s="66"/>
      <c r="F198" s="63"/>
      <c r="G198" s="63"/>
      <c r="H198" s="63"/>
      <c r="I198" s="63"/>
      <c r="J198" s="56"/>
      <c r="K198" s="56"/>
      <c r="L198" s="63"/>
      <c r="M198" s="65"/>
      <c r="N198" s="83"/>
      <c r="O198" s="84"/>
      <c r="P198" s="63"/>
      <c r="Q198" s="63"/>
      <c r="R198" s="83"/>
      <c r="S198" s="83"/>
      <c r="T198" s="83"/>
      <c r="U198" s="83"/>
      <c r="V198" s="63"/>
      <c r="W198" s="66"/>
      <c r="X198" s="63"/>
      <c r="Y198" s="8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</row>
    <row r="199" spans="1:42">
      <c r="A199" s="62"/>
      <c r="B199" s="63"/>
      <c r="C199" s="63"/>
      <c r="D199" s="63"/>
      <c r="E199" s="66"/>
      <c r="F199" s="63"/>
      <c r="G199" s="63"/>
      <c r="H199" s="63"/>
      <c r="I199" s="63"/>
      <c r="J199" s="56"/>
      <c r="K199" s="56"/>
      <c r="L199" s="63"/>
      <c r="M199" s="65"/>
      <c r="N199" s="83"/>
      <c r="O199" s="84"/>
      <c r="P199" s="63"/>
      <c r="Q199" s="63"/>
      <c r="R199" s="83"/>
      <c r="S199" s="83"/>
      <c r="T199" s="83"/>
      <c r="U199" s="83"/>
      <c r="V199" s="63"/>
      <c r="W199" s="66"/>
      <c r="X199" s="63"/>
      <c r="Y199" s="8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</row>
    <row r="200" spans="1:42">
      <c r="A200" s="62"/>
      <c r="B200" s="63"/>
      <c r="C200" s="63"/>
      <c r="D200" s="63"/>
      <c r="E200" s="66"/>
      <c r="F200" s="63"/>
      <c r="G200" s="63"/>
      <c r="H200" s="63"/>
      <c r="I200" s="63"/>
      <c r="J200" s="56"/>
      <c r="K200" s="56"/>
      <c r="L200" s="63"/>
      <c r="M200" s="65"/>
      <c r="N200" s="83"/>
      <c r="O200" s="84"/>
      <c r="P200" s="63"/>
      <c r="Q200" s="63"/>
      <c r="R200" s="83"/>
      <c r="S200" s="83"/>
      <c r="T200" s="83"/>
      <c r="U200" s="83"/>
      <c r="V200" s="63"/>
      <c r="W200" s="66"/>
      <c r="X200" s="63"/>
      <c r="Y200" s="8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</row>
    <row r="201" spans="1:42">
      <c r="A201" s="62"/>
      <c r="B201" s="63"/>
      <c r="C201" s="63"/>
      <c r="D201" s="63"/>
      <c r="E201" s="66"/>
      <c r="F201" s="63"/>
      <c r="G201" s="63"/>
      <c r="H201" s="63"/>
      <c r="I201" s="63"/>
      <c r="J201" s="56"/>
      <c r="K201" s="56"/>
      <c r="L201" s="63"/>
      <c r="M201" s="65"/>
      <c r="N201" s="83"/>
      <c r="O201" s="84"/>
      <c r="P201" s="63"/>
      <c r="Q201" s="63"/>
      <c r="R201" s="83"/>
      <c r="S201" s="83"/>
      <c r="T201" s="83"/>
      <c r="U201" s="83"/>
      <c r="V201" s="63"/>
      <c r="W201" s="66"/>
      <c r="X201" s="63"/>
      <c r="Y201" s="8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</row>
    <row r="202" spans="1:42">
      <c r="A202" s="62"/>
      <c r="B202" s="63"/>
      <c r="C202" s="63"/>
      <c r="D202" s="63"/>
      <c r="E202" s="66"/>
      <c r="F202" s="63"/>
      <c r="G202" s="63"/>
      <c r="H202" s="63"/>
      <c r="I202" s="63"/>
      <c r="J202" s="56"/>
      <c r="K202" s="56"/>
      <c r="L202" s="63"/>
      <c r="M202" s="65"/>
      <c r="N202" s="83"/>
      <c r="O202" s="84"/>
      <c r="P202" s="63"/>
      <c r="Q202" s="63"/>
      <c r="R202" s="83"/>
      <c r="S202" s="83"/>
      <c r="T202" s="83"/>
      <c r="U202" s="83"/>
      <c r="V202" s="63"/>
      <c r="W202" s="66"/>
      <c r="X202" s="63"/>
      <c r="Y202" s="8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</row>
    <row r="203" spans="1:42">
      <c r="A203" s="62"/>
      <c r="B203" s="63"/>
      <c r="C203" s="63"/>
      <c r="D203" s="63"/>
      <c r="E203" s="66"/>
      <c r="F203" s="63"/>
      <c r="G203" s="63"/>
      <c r="H203" s="63"/>
      <c r="I203" s="63"/>
      <c r="J203" s="56"/>
      <c r="K203" s="56"/>
      <c r="L203" s="63"/>
      <c r="M203" s="65"/>
      <c r="N203" s="83"/>
      <c r="O203" s="84"/>
      <c r="P203" s="63"/>
      <c r="Q203" s="63"/>
      <c r="R203" s="83"/>
      <c r="S203" s="83"/>
      <c r="T203" s="83"/>
      <c r="U203" s="83"/>
      <c r="V203" s="63"/>
      <c r="W203" s="66"/>
      <c r="X203" s="63"/>
      <c r="Y203" s="8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</row>
    <row r="204" spans="1:42">
      <c r="A204" s="62"/>
      <c r="B204" s="63"/>
      <c r="C204" s="63"/>
      <c r="D204" s="63"/>
      <c r="E204" s="66"/>
      <c r="F204" s="63"/>
      <c r="G204" s="63"/>
      <c r="H204" s="63"/>
      <c r="I204" s="63"/>
      <c r="J204" s="56"/>
      <c r="K204" s="56"/>
      <c r="L204" s="63"/>
      <c r="M204" s="65"/>
      <c r="N204" s="83"/>
      <c r="O204" s="84"/>
      <c r="P204" s="63"/>
      <c r="Q204" s="63"/>
      <c r="R204" s="83"/>
      <c r="S204" s="83"/>
      <c r="T204" s="83"/>
      <c r="U204" s="83"/>
      <c r="V204" s="63"/>
      <c r="W204" s="66"/>
      <c r="X204" s="63"/>
      <c r="Y204" s="8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</row>
    <row r="205" spans="1:42">
      <c r="A205" s="62"/>
      <c r="B205" s="63"/>
      <c r="C205" s="63"/>
      <c r="D205" s="63"/>
      <c r="E205" s="66"/>
      <c r="F205" s="63"/>
      <c r="G205" s="63"/>
      <c r="H205" s="63"/>
      <c r="I205" s="63"/>
      <c r="J205" s="56"/>
      <c r="K205" s="56"/>
      <c r="L205" s="63"/>
      <c r="M205" s="65"/>
      <c r="N205" s="83"/>
      <c r="O205" s="84"/>
      <c r="P205" s="63"/>
      <c r="Q205" s="63"/>
      <c r="R205" s="83"/>
      <c r="S205" s="83"/>
      <c r="T205" s="83"/>
      <c r="U205" s="83"/>
      <c r="V205" s="63"/>
      <c r="W205" s="66"/>
      <c r="X205" s="63"/>
      <c r="Y205" s="8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</row>
    <row r="206" spans="1:42">
      <c r="A206" s="62"/>
      <c r="B206" s="63"/>
      <c r="C206" s="63"/>
      <c r="D206" s="63"/>
      <c r="E206" s="66"/>
      <c r="F206" s="63"/>
      <c r="G206" s="63"/>
      <c r="H206" s="63"/>
      <c r="I206" s="63"/>
      <c r="J206" s="56"/>
      <c r="K206" s="56"/>
      <c r="L206" s="63"/>
      <c r="M206" s="65"/>
      <c r="N206" s="83"/>
      <c r="O206" s="84"/>
      <c r="P206" s="63"/>
      <c r="Q206" s="63"/>
      <c r="R206" s="83"/>
      <c r="S206" s="83"/>
      <c r="T206" s="83"/>
      <c r="U206" s="83"/>
      <c r="V206" s="63"/>
      <c r="W206" s="66"/>
      <c r="X206" s="63"/>
      <c r="Y206" s="8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</row>
    <row r="207" spans="1:42">
      <c r="A207" s="62"/>
      <c r="B207" s="63"/>
      <c r="C207" s="63"/>
      <c r="D207" s="63"/>
      <c r="E207" s="66"/>
      <c r="F207" s="63"/>
      <c r="G207" s="63"/>
      <c r="H207" s="63"/>
      <c r="I207" s="63"/>
      <c r="J207" s="56"/>
      <c r="K207" s="56"/>
      <c r="L207" s="63"/>
      <c r="M207" s="65"/>
      <c r="N207" s="83"/>
      <c r="O207" s="84"/>
      <c r="P207" s="63"/>
      <c r="Q207" s="63"/>
      <c r="R207" s="83"/>
      <c r="S207" s="83"/>
      <c r="T207" s="83"/>
      <c r="U207" s="83"/>
      <c r="V207" s="63"/>
      <c r="W207" s="66"/>
      <c r="X207" s="63"/>
      <c r="Y207" s="8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</row>
    <row r="208" spans="1:42">
      <c r="A208" s="62"/>
      <c r="B208" s="63"/>
      <c r="C208" s="63"/>
      <c r="D208" s="63"/>
      <c r="E208" s="66"/>
      <c r="F208" s="63"/>
      <c r="G208" s="63"/>
      <c r="H208" s="63"/>
      <c r="I208" s="63"/>
      <c r="J208" s="56"/>
      <c r="K208" s="56"/>
      <c r="L208" s="63"/>
      <c r="M208" s="65"/>
      <c r="N208" s="83"/>
      <c r="O208" s="84"/>
      <c r="P208" s="63"/>
      <c r="Q208" s="63"/>
      <c r="R208" s="83"/>
      <c r="S208" s="83"/>
      <c r="T208" s="83"/>
      <c r="U208" s="83"/>
      <c r="V208" s="63"/>
      <c r="W208" s="66"/>
      <c r="X208" s="63"/>
      <c r="Y208" s="8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</row>
    <row r="209" spans="1:42">
      <c r="A209" s="62"/>
      <c r="B209" s="63"/>
      <c r="C209" s="63"/>
      <c r="D209" s="63"/>
      <c r="E209" s="66"/>
      <c r="F209" s="63"/>
      <c r="G209" s="63"/>
      <c r="H209" s="63"/>
      <c r="I209" s="63"/>
      <c r="J209" s="56"/>
      <c r="K209" s="56"/>
      <c r="L209" s="63"/>
      <c r="M209" s="65"/>
      <c r="N209" s="83"/>
      <c r="O209" s="84"/>
      <c r="P209" s="63"/>
      <c r="Q209" s="63"/>
      <c r="R209" s="83"/>
      <c r="S209" s="83"/>
      <c r="T209" s="83"/>
      <c r="U209" s="83"/>
      <c r="V209" s="63"/>
      <c r="W209" s="66"/>
      <c r="X209" s="63"/>
      <c r="Y209" s="8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</row>
    <row r="210" spans="1:42">
      <c r="A210" s="62"/>
      <c r="B210" s="63"/>
      <c r="C210" s="63"/>
      <c r="D210" s="63"/>
      <c r="E210" s="66"/>
      <c r="F210" s="63"/>
      <c r="G210" s="63"/>
      <c r="H210" s="63"/>
      <c r="I210" s="63"/>
      <c r="J210" s="56"/>
      <c r="K210" s="56"/>
      <c r="L210" s="63"/>
      <c r="M210" s="65"/>
      <c r="N210" s="83"/>
      <c r="O210" s="84"/>
      <c r="P210" s="63"/>
      <c r="Q210" s="63"/>
      <c r="R210" s="83"/>
      <c r="S210" s="83"/>
      <c r="T210" s="83"/>
      <c r="U210" s="83"/>
      <c r="V210" s="63"/>
      <c r="W210" s="66"/>
      <c r="X210" s="63"/>
      <c r="Y210" s="8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</row>
    <row r="211" spans="1:42">
      <c r="A211" s="62"/>
      <c r="B211" s="63"/>
      <c r="C211" s="63"/>
      <c r="D211" s="63"/>
      <c r="E211" s="66"/>
      <c r="F211" s="63"/>
      <c r="G211" s="63"/>
      <c r="H211" s="63"/>
      <c r="I211" s="63"/>
      <c r="J211" s="56"/>
      <c r="K211" s="56"/>
      <c r="L211" s="63"/>
      <c r="M211" s="65"/>
      <c r="N211" s="83"/>
      <c r="O211" s="84"/>
      <c r="P211" s="63"/>
      <c r="Q211" s="63"/>
      <c r="R211" s="83"/>
      <c r="S211" s="83"/>
      <c r="T211" s="83"/>
      <c r="U211" s="83"/>
      <c r="V211" s="63"/>
      <c r="W211" s="66"/>
      <c r="X211" s="63"/>
      <c r="Y211" s="8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</row>
    <row r="212" spans="1:42">
      <c r="A212" s="62"/>
      <c r="B212" s="63"/>
      <c r="C212" s="63"/>
      <c r="D212" s="63"/>
      <c r="E212" s="66"/>
      <c r="F212" s="63"/>
      <c r="G212" s="63"/>
      <c r="H212" s="63"/>
      <c r="I212" s="63"/>
      <c r="J212" s="56"/>
      <c r="K212" s="56"/>
      <c r="L212" s="63"/>
      <c r="M212" s="65"/>
      <c r="N212" s="83"/>
      <c r="O212" s="84"/>
      <c r="P212" s="63"/>
      <c r="Q212" s="63"/>
      <c r="R212" s="83"/>
      <c r="S212" s="83"/>
      <c r="T212" s="83"/>
      <c r="U212" s="83"/>
      <c r="V212" s="63"/>
      <c r="W212" s="66"/>
      <c r="X212" s="63"/>
      <c r="Y212" s="8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</row>
    <row r="213" spans="1:42">
      <c r="A213" s="62"/>
      <c r="B213" s="63"/>
      <c r="C213" s="63"/>
      <c r="D213" s="63"/>
      <c r="E213" s="66"/>
      <c r="F213" s="63"/>
      <c r="G213" s="63"/>
      <c r="H213" s="63"/>
      <c r="I213" s="63"/>
      <c r="J213" s="56"/>
      <c r="K213" s="56"/>
      <c r="L213" s="63"/>
      <c r="M213" s="65"/>
      <c r="N213" s="83"/>
      <c r="O213" s="84"/>
      <c r="P213" s="63"/>
      <c r="Q213" s="63"/>
      <c r="R213" s="83"/>
      <c r="S213" s="83"/>
      <c r="T213" s="83"/>
      <c r="U213" s="83"/>
      <c r="V213" s="63"/>
      <c r="W213" s="66"/>
      <c r="X213" s="63"/>
      <c r="Y213" s="8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</row>
    <row r="214" spans="1:42">
      <c r="A214" s="62"/>
      <c r="B214" s="63"/>
      <c r="C214" s="63"/>
      <c r="D214" s="63"/>
      <c r="E214" s="66"/>
      <c r="F214" s="63"/>
      <c r="G214" s="63"/>
      <c r="H214" s="63"/>
      <c r="I214" s="63"/>
      <c r="J214" s="56"/>
      <c r="K214" s="56"/>
      <c r="L214" s="63"/>
      <c r="M214" s="65"/>
      <c r="N214" s="83"/>
      <c r="O214" s="84"/>
      <c r="P214" s="63"/>
      <c r="Q214" s="63"/>
      <c r="R214" s="83"/>
      <c r="S214" s="83"/>
      <c r="T214" s="83"/>
      <c r="U214" s="83"/>
      <c r="V214" s="63"/>
      <c r="W214" s="83"/>
      <c r="X214" s="63"/>
      <c r="Y214" s="8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</row>
    <row r="215" spans="1:42">
      <c r="A215" s="62"/>
      <c r="B215" s="63"/>
      <c r="C215" s="63"/>
      <c r="D215" s="63"/>
      <c r="E215" s="66"/>
      <c r="F215" s="63"/>
      <c r="G215" s="63"/>
      <c r="H215" s="63"/>
      <c r="I215" s="63"/>
      <c r="J215" s="56"/>
      <c r="K215" s="56"/>
      <c r="L215" s="63"/>
      <c r="M215" s="65"/>
      <c r="N215" s="83"/>
      <c r="O215" s="84"/>
      <c r="P215" s="63"/>
      <c r="Q215" s="63"/>
      <c r="R215" s="83"/>
      <c r="S215" s="83"/>
      <c r="T215" s="83"/>
      <c r="U215" s="83"/>
      <c r="V215" s="63"/>
      <c r="W215" s="83"/>
      <c r="X215" s="63"/>
      <c r="Y215" s="8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</row>
    <row r="216" spans="1:42">
      <c r="A216" s="62"/>
      <c r="B216" s="63"/>
      <c r="C216" s="63"/>
      <c r="D216" s="63"/>
      <c r="E216" s="66"/>
      <c r="F216" s="63"/>
      <c r="G216" s="63"/>
      <c r="H216" s="63"/>
      <c r="I216" s="63"/>
      <c r="J216" s="56"/>
      <c r="K216" s="56"/>
      <c r="L216" s="63"/>
      <c r="M216" s="65"/>
      <c r="N216" s="83"/>
      <c r="O216" s="84"/>
      <c r="P216" s="63"/>
      <c r="Q216" s="63"/>
      <c r="R216" s="83"/>
      <c r="S216" s="83"/>
      <c r="T216" s="83"/>
      <c r="U216" s="83"/>
      <c r="V216" s="63"/>
      <c r="W216" s="66"/>
      <c r="X216" s="63"/>
      <c r="Y216" s="8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</row>
    <row r="217" spans="1:42">
      <c r="A217" s="62"/>
      <c r="B217" s="63"/>
      <c r="C217" s="63"/>
      <c r="D217" s="63"/>
      <c r="E217" s="66"/>
      <c r="F217" s="63"/>
      <c r="G217" s="63"/>
      <c r="H217" s="63"/>
      <c r="I217" s="63"/>
      <c r="J217" s="56"/>
      <c r="K217" s="56"/>
      <c r="L217" s="63"/>
      <c r="M217" s="65"/>
      <c r="N217" s="83"/>
      <c r="O217" s="84"/>
      <c r="P217" s="63"/>
      <c r="Q217" s="63"/>
      <c r="R217" s="83"/>
      <c r="S217" s="83"/>
      <c r="T217" s="83"/>
      <c r="U217" s="83"/>
      <c r="V217" s="63"/>
      <c r="W217" s="66"/>
      <c r="X217" s="63"/>
      <c r="Y217" s="8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</row>
    <row r="218" spans="1:42">
      <c r="A218" s="62"/>
      <c r="B218" s="63"/>
      <c r="C218" s="63"/>
      <c r="D218" s="63"/>
      <c r="E218" s="66"/>
      <c r="F218" s="63"/>
      <c r="G218" s="63"/>
      <c r="H218" s="63"/>
      <c r="I218" s="63"/>
      <c r="J218" s="56"/>
      <c r="K218" s="56"/>
      <c r="L218" s="63"/>
      <c r="M218" s="65"/>
      <c r="N218" s="83"/>
      <c r="O218" s="84"/>
      <c r="P218" s="63"/>
      <c r="Q218" s="63"/>
      <c r="R218" s="83"/>
      <c r="S218" s="83"/>
      <c r="T218" s="83"/>
      <c r="U218" s="83"/>
      <c r="V218" s="63"/>
      <c r="W218" s="66"/>
      <c r="X218" s="63"/>
      <c r="Y218" s="8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</row>
    <row r="219" spans="1:42">
      <c r="A219" s="62"/>
      <c r="B219" s="63"/>
      <c r="C219" s="63"/>
      <c r="D219" s="63"/>
      <c r="E219" s="66"/>
      <c r="F219" s="63"/>
      <c r="G219" s="63"/>
      <c r="H219" s="63"/>
      <c r="I219" s="63"/>
      <c r="J219" s="56"/>
      <c r="K219" s="56"/>
      <c r="L219" s="63"/>
      <c r="M219" s="65"/>
      <c r="N219" s="83"/>
      <c r="O219" s="84"/>
      <c r="P219" s="63"/>
      <c r="Q219" s="63"/>
      <c r="R219" s="83"/>
      <c r="S219" s="83"/>
      <c r="T219" s="83"/>
      <c r="U219" s="83"/>
      <c r="V219" s="63"/>
      <c r="W219" s="66"/>
      <c r="X219" s="63"/>
      <c r="Y219" s="8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</row>
    <row r="220" spans="1:42">
      <c r="A220" s="62"/>
      <c r="B220" s="63"/>
      <c r="C220" s="63"/>
      <c r="D220" s="63"/>
      <c r="E220" s="66"/>
      <c r="F220" s="63"/>
      <c r="G220" s="63"/>
      <c r="H220" s="63"/>
      <c r="I220" s="63"/>
      <c r="J220" s="56"/>
      <c r="K220" s="56"/>
      <c r="L220" s="63"/>
      <c r="M220" s="65"/>
      <c r="N220" s="83"/>
      <c r="O220" s="84"/>
      <c r="P220" s="63"/>
      <c r="Q220" s="63"/>
      <c r="R220" s="83"/>
      <c r="S220" s="83"/>
      <c r="T220" s="83"/>
      <c r="U220" s="83"/>
      <c r="V220" s="63"/>
      <c r="W220" s="83"/>
      <c r="X220" s="63"/>
      <c r="Y220" s="8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</row>
    <row r="221" spans="1:42">
      <c r="A221" s="62"/>
      <c r="B221" s="63"/>
      <c r="C221" s="63"/>
      <c r="D221" s="63"/>
      <c r="E221" s="66"/>
      <c r="F221" s="63"/>
      <c r="G221" s="63"/>
      <c r="H221" s="63"/>
      <c r="I221" s="63"/>
      <c r="J221" s="56"/>
      <c r="K221" s="56"/>
      <c r="L221" s="63"/>
      <c r="M221" s="65"/>
      <c r="N221" s="83"/>
      <c r="O221" s="84"/>
      <c r="P221" s="63"/>
      <c r="Q221" s="63"/>
      <c r="R221" s="83"/>
      <c r="S221" s="83"/>
      <c r="T221" s="83"/>
      <c r="U221" s="83"/>
      <c r="V221" s="63"/>
      <c r="W221" s="83"/>
      <c r="X221" s="63"/>
      <c r="Y221" s="8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</row>
    <row r="222" spans="1:42">
      <c r="A222" s="62"/>
      <c r="B222" s="63"/>
      <c r="C222" s="63"/>
      <c r="D222" s="63"/>
      <c r="E222" s="66"/>
      <c r="F222" s="63"/>
      <c r="G222" s="63"/>
      <c r="H222" s="63"/>
      <c r="I222" s="63"/>
      <c r="J222" s="56"/>
      <c r="K222" s="56"/>
      <c r="L222" s="63"/>
      <c r="M222" s="65"/>
      <c r="N222" s="83"/>
      <c r="O222" s="84"/>
      <c r="P222" s="63"/>
      <c r="Q222" s="63"/>
      <c r="R222" s="83"/>
      <c r="S222" s="83"/>
      <c r="T222" s="83"/>
      <c r="U222" s="83"/>
      <c r="V222" s="63"/>
      <c r="W222" s="83"/>
      <c r="X222" s="63"/>
      <c r="Y222" s="8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</row>
    <row r="223" spans="1:42">
      <c r="A223" s="62"/>
      <c r="B223" s="63"/>
      <c r="C223" s="63"/>
      <c r="D223" s="63"/>
      <c r="E223" s="66"/>
      <c r="F223" s="63"/>
      <c r="G223" s="63"/>
      <c r="H223" s="63"/>
      <c r="I223" s="63"/>
      <c r="J223" s="56"/>
      <c r="K223" s="56"/>
      <c r="L223" s="63"/>
      <c r="M223" s="65"/>
      <c r="N223" s="83"/>
      <c r="O223" s="84"/>
      <c r="P223" s="63"/>
      <c r="Q223" s="63"/>
      <c r="R223" s="83"/>
      <c r="S223" s="83"/>
      <c r="T223" s="83"/>
      <c r="U223" s="83"/>
      <c r="V223" s="63"/>
      <c r="W223" s="83"/>
      <c r="X223" s="63"/>
      <c r="Y223" s="8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</row>
    <row r="224" spans="1:42">
      <c r="A224" s="62"/>
      <c r="B224" s="63"/>
      <c r="C224" s="63"/>
      <c r="D224" s="63"/>
      <c r="E224" s="66"/>
      <c r="F224" s="63"/>
      <c r="G224" s="63"/>
      <c r="H224" s="63"/>
      <c r="I224" s="63"/>
      <c r="J224" s="56"/>
      <c r="K224" s="56"/>
      <c r="L224" s="63"/>
      <c r="M224" s="65"/>
      <c r="N224" s="83"/>
      <c r="O224" s="84"/>
      <c r="P224" s="63"/>
      <c r="Q224" s="63"/>
      <c r="R224" s="83"/>
      <c r="S224" s="83"/>
      <c r="T224" s="83"/>
      <c r="U224" s="83"/>
      <c r="V224" s="63"/>
      <c r="W224" s="83"/>
      <c r="X224" s="63"/>
      <c r="Y224" s="8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</row>
    <row r="225" spans="1:42">
      <c r="A225" s="62"/>
      <c r="B225" s="63"/>
      <c r="C225" s="63"/>
      <c r="D225" s="63"/>
      <c r="E225" s="66"/>
      <c r="F225" s="63"/>
      <c r="G225" s="63"/>
      <c r="H225" s="63"/>
      <c r="I225" s="63"/>
      <c r="J225" s="56"/>
      <c r="K225" s="56"/>
      <c r="L225" s="63"/>
      <c r="M225" s="65"/>
      <c r="N225" s="83"/>
      <c r="O225" s="84"/>
      <c r="P225" s="63"/>
      <c r="Q225" s="63"/>
      <c r="R225" s="83"/>
      <c r="S225" s="83"/>
      <c r="T225" s="83"/>
      <c r="U225" s="83"/>
      <c r="V225" s="63"/>
      <c r="W225" s="83"/>
      <c r="X225" s="63"/>
      <c r="Y225" s="8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</row>
    <row r="226" spans="1:42">
      <c r="A226" s="62"/>
      <c r="B226" s="63"/>
      <c r="C226" s="63"/>
      <c r="D226" s="63"/>
      <c r="E226" s="66"/>
      <c r="F226" s="63"/>
      <c r="G226" s="63"/>
      <c r="H226" s="63"/>
      <c r="I226" s="63"/>
      <c r="J226" s="56"/>
      <c r="K226" s="56"/>
      <c r="L226" s="63"/>
      <c r="M226" s="65"/>
      <c r="N226" s="83"/>
      <c r="O226" s="84"/>
      <c r="P226" s="63"/>
      <c r="Q226" s="63"/>
      <c r="R226" s="83"/>
      <c r="S226" s="83"/>
      <c r="T226" s="83"/>
      <c r="U226" s="83"/>
      <c r="V226" s="63"/>
      <c r="W226" s="83"/>
      <c r="X226" s="63"/>
      <c r="Y226" s="8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</row>
    <row r="227" spans="1:42">
      <c r="A227" s="62"/>
      <c r="B227" s="63"/>
      <c r="C227" s="63"/>
      <c r="D227" s="63"/>
      <c r="E227" s="66"/>
      <c r="F227" s="63"/>
      <c r="G227" s="63"/>
      <c r="H227" s="63"/>
      <c r="I227" s="63"/>
      <c r="J227" s="56"/>
      <c r="K227" s="56"/>
      <c r="L227" s="63"/>
      <c r="M227" s="65"/>
      <c r="N227" s="83"/>
      <c r="O227" s="84"/>
      <c r="P227" s="63"/>
      <c r="Q227" s="63"/>
      <c r="R227" s="83"/>
      <c r="S227" s="83"/>
      <c r="T227" s="83"/>
      <c r="U227" s="83"/>
      <c r="V227" s="63"/>
      <c r="W227" s="83"/>
      <c r="X227" s="63"/>
      <c r="Y227" s="8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</row>
    <row r="228" spans="1:42">
      <c r="A228" s="62"/>
      <c r="B228" s="63"/>
      <c r="C228" s="63"/>
      <c r="D228" s="63"/>
      <c r="E228" s="66"/>
      <c r="F228" s="63"/>
      <c r="G228" s="63"/>
      <c r="H228" s="63"/>
      <c r="I228" s="63"/>
      <c r="J228" s="56"/>
      <c r="K228" s="56"/>
      <c r="L228" s="63"/>
      <c r="M228" s="65"/>
      <c r="N228" s="83"/>
      <c r="O228" s="84"/>
      <c r="P228" s="63"/>
      <c r="Q228" s="63"/>
      <c r="R228" s="83"/>
      <c r="S228" s="83"/>
      <c r="T228" s="83"/>
      <c r="U228" s="83"/>
      <c r="V228" s="63"/>
      <c r="W228" s="83"/>
      <c r="X228" s="63"/>
      <c r="Y228" s="8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</row>
    <row r="229" spans="1:42">
      <c r="A229" s="62"/>
      <c r="B229" s="63"/>
      <c r="C229" s="63"/>
      <c r="D229" s="63"/>
      <c r="E229" s="66"/>
      <c r="F229" s="63"/>
      <c r="G229" s="63"/>
      <c r="H229" s="63"/>
      <c r="I229" s="63"/>
      <c r="J229" s="56"/>
      <c r="K229" s="56"/>
      <c r="L229" s="63"/>
      <c r="M229" s="65"/>
      <c r="N229" s="83"/>
      <c r="O229" s="84"/>
      <c r="P229" s="63"/>
      <c r="Q229" s="63"/>
      <c r="R229" s="83"/>
      <c r="S229" s="83"/>
      <c r="T229" s="83"/>
      <c r="U229" s="83"/>
      <c r="V229" s="63"/>
      <c r="W229" s="83"/>
      <c r="X229" s="63"/>
      <c r="Y229" s="8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</row>
    <row r="230" spans="1:42">
      <c r="A230" s="62"/>
      <c r="B230" s="63"/>
      <c r="C230" s="63"/>
      <c r="D230" s="63"/>
      <c r="E230" s="66"/>
      <c r="F230" s="63"/>
      <c r="G230" s="63"/>
      <c r="H230" s="63"/>
      <c r="I230" s="63"/>
      <c r="J230" s="56"/>
      <c r="K230" s="56"/>
      <c r="L230" s="63"/>
      <c r="M230" s="65"/>
      <c r="N230" s="83"/>
      <c r="O230" s="84"/>
      <c r="P230" s="63"/>
      <c r="Q230" s="63"/>
      <c r="R230" s="83"/>
      <c r="S230" s="83"/>
      <c r="T230" s="83"/>
      <c r="U230" s="83"/>
      <c r="V230" s="63"/>
      <c r="W230" s="83"/>
      <c r="X230" s="63"/>
      <c r="Y230" s="8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</row>
    <row r="231" spans="1:42">
      <c r="A231" s="62"/>
      <c r="B231" s="63"/>
      <c r="C231" s="63"/>
      <c r="D231" s="63"/>
      <c r="E231" s="66"/>
      <c r="F231" s="63"/>
      <c r="G231" s="63"/>
      <c r="H231" s="63"/>
      <c r="I231" s="63"/>
      <c r="J231" s="56"/>
      <c r="K231" s="56"/>
      <c r="L231" s="63"/>
      <c r="M231" s="65"/>
      <c r="N231" s="83"/>
      <c r="O231" s="84"/>
      <c r="P231" s="63"/>
      <c r="Q231" s="63"/>
      <c r="R231" s="83"/>
      <c r="S231" s="83"/>
      <c r="T231" s="83"/>
      <c r="U231" s="83"/>
      <c r="V231" s="63"/>
      <c r="W231" s="83"/>
      <c r="X231" s="63"/>
      <c r="Y231" s="8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</row>
    <row r="232" spans="1:42">
      <c r="A232" s="62"/>
      <c r="B232" s="63"/>
      <c r="C232" s="63"/>
      <c r="D232" s="63"/>
      <c r="E232" s="66"/>
      <c r="F232" s="63"/>
      <c r="G232" s="63"/>
      <c r="H232" s="63"/>
      <c r="I232" s="63"/>
      <c r="J232" s="56"/>
      <c r="K232" s="56"/>
      <c r="L232" s="63"/>
      <c r="M232" s="65"/>
      <c r="N232" s="83"/>
      <c r="O232" s="84"/>
      <c r="P232" s="63"/>
      <c r="Q232" s="63"/>
      <c r="R232" s="83"/>
      <c r="S232" s="83"/>
      <c r="T232" s="83"/>
      <c r="U232" s="83"/>
      <c r="V232" s="63"/>
      <c r="W232" s="83"/>
      <c r="X232" s="63"/>
      <c r="Y232" s="8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</row>
    <row r="233" spans="1:42">
      <c r="A233" s="62"/>
      <c r="B233" s="63"/>
      <c r="C233" s="63"/>
      <c r="D233" s="63"/>
      <c r="E233" s="66"/>
      <c r="F233" s="63"/>
      <c r="G233" s="63"/>
      <c r="H233" s="63"/>
      <c r="I233" s="63"/>
      <c r="J233" s="56"/>
      <c r="K233" s="56"/>
      <c r="L233" s="63"/>
      <c r="M233" s="65"/>
      <c r="N233" s="83"/>
      <c r="O233" s="84"/>
      <c r="P233" s="63"/>
      <c r="Q233" s="63"/>
      <c r="R233" s="83"/>
      <c r="S233" s="83"/>
      <c r="T233" s="83"/>
      <c r="U233" s="83"/>
      <c r="V233" s="63"/>
      <c r="W233" s="83"/>
      <c r="X233" s="63"/>
      <c r="Y233" s="8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</row>
    <row r="234" spans="1:42">
      <c r="B234" s="67"/>
      <c r="C234" s="63"/>
      <c r="D234" s="63"/>
      <c r="E234" s="66"/>
      <c r="H234" s="63"/>
      <c r="J234" s="56"/>
      <c r="K234" s="63"/>
      <c r="L234" s="63"/>
      <c r="O234" s="65"/>
      <c r="P234" s="63"/>
      <c r="Q234" s="63"/>
      <c r="W234" s="58"/>
      <c r="X234" s="58"/>
      <c r="Z234" s="63"/>
      <c r="AA234" s="63"/>
      <c r="AB234" s="58"/>
      <c r="AC234" s="63"/>
      <c r="AD234" s="63"/>
      <c r="AI234" s="63"/>
      <c r="AJ234" s="63"/>
      <c r="AK234" s="63"/>
      <c r="AO234" s="63"/>
      <c r="AP234" s="63"/>
    </row>
    <row r="235" spans="1:42">
      <c r="B235" s="67"/>
      <c r="C235" s="63"/>
      <c r="D235" s="63"/>
      <c r="E235" s="66"/>
      <c r="H235" s="63"/>
      <c r="J235" s="56"/>
      <c r="K235" s="63"/>
      <c r="L235" s="63"/>
      <c r="O235" s="65"/>
      <c r="P235" s="63"/>
      <c r="Q235" s="63"/>
      <c r="W235" s="58"/>
      <c r="X235" s="58"/>
      <c r="Z235" s="63"/>
      <c r="AA235" s="63"/>
      <c r="AB235" s="58"/>
      <c r="AC235" s="63"/>
      <c r="AD235" s="63"/>
      <c r="AI235" s="63"/>
      <c r="AJ235" s="63"/>
      <c r="AK235" s="63"/>
      <c r="AO235" s="63"/>
      <c r="AP235" s="63"/>
    </row>
    <row r="236" spans="1:42">
      <c r="B236" s="67"/>
      <c r="C236" s="63"/>
      <c r="D236" s="63"/>
      <c r="E236" s="66"/>
      <c r="H236" s="63"/>
      <c r="J236" s="56"/>
      <c r="K236" s="63"/>
      <c r="L236" s="63"/>
      <c r="O236" s="65"/>
      <c r="P236" s="63"/>
      <c r="Q236" s="63"/>
      <c r="W236" s="58"/>
      <c r="X236" s="58"/>
      <c r="Z236" s="63"/>
      <c r="AA236" s="63"/>
      <c r="AB236" s="58"/>
      <c r="AC236" s="63"/>
      <c r="AD236" s="63"/>
      <c r="AI236" s="63"/>
      <c r="AJ236" s="63"/>
      <c r="AK236" s="63"/>
      <c r="AO236" s="63"/>
      <c r="AP236" s="63"/>
    </row>
    <row r="237" spans="1:42">
      <c r="B237" s="67"/>
      <c r="C237" s="63"/>
      <c r="D237" s="63"/>
      <c r="E237" s="66"/>
      <c r="H237" s="63"/>
      <c r="J237" s="56"/>
      <c r="K237" s="63"/>
      <c r="L237" s="63"/>
      <c r="O237" s="65"/>
      <c r="P237" s="63"/>
      <c r="Q237" s="63"/>
      <c r="W237" s="58"/>
      <c r="X237" s="58"/>
      <c r="Z237" s="63"/>
      <c r="AA237" s="63"/>
      <c r="AB237" s="58"/>
      <c r="AC237" s="63"/>
      <c r="AD237" s="63"/>
      <c r="AI237" s="63"/>
      <c r="AJ237" s="63"/>
      <c r="AK237" s="63"/>
      <c r="AO237" s="63"/>
      <c r="AP237" s="63"/>
    </row>
    <row r="238" spans="1:42">
      <c r="B238" s="67"/>
      <c r="C238" s="63"/>
      <c r="D238" s="63"/>
      <c r="E238" s="66"/>
      <c r="H238" s="63"/>
      <c r="J238" s="56"/>
      <c r="K238" s="63"/>
      <c r="L238" s="63"/>
      <c r="O238" s="65"/>
      <c r="P238" s="63"/>
      <c r="Q238" s="63"/>
      <c r="W238" s="58"/>
      <c r="X238" s="58"/>
      <c r="Z238" s="63"/>
      <c r="AA238" s="63"/>
      <c r="AB238" s="58"/>
      <c r="AC238" s="63"/>
      <c r="AD238" s="63"/>
      <c r="AI238" s="63"/>
      <c r="AJ238" s="63"/>
      <c r="AK238" s="63"/>
      <c r="AO238" s="63"/>
      <c r="AP238" s="63"/>
    </row>
    <row r="239" spans="1:42">
      <c r="B239" s="67"/>
      <c r="C239" s="63"/>
      <c r="D239" s="63"/>
      <c r="E239" s="66"/>
      <c r="H239" s="63"/>
      <c r="J239" s="56"/>
      <c r="K239" s="63"/>
      <c r="L239" s="63"/>
      <c r="O239" s="65"/>
      <c r="P239" s="63"/>
      <c r="Q239" s="63"/>
      <c r="W239" s="58"/>
      <c r="X239" s="58"/>
      <c r="Z239" s="63"/>
      <c r="AA239" s="63"/>
      <c r="AB239" s="58"/>
      <c r="AC239" s="63"/>
      <c r="AD239" s="63"/>
      <c r="AI239" s="63"/>
      <c r="AJ239" s="63"/>
      <c r="AK239" s="63"/>
      <c r="AO239" s="63"/>
      <c r="AP239" s="63"/>
    </row>
    <row r="240" spans="1:42">
      <c r="B240" s="67"/>
      <c r="C240" s="63"/>
      <c r="D240" s="63"/>
      <c r="E240" s="66"/>
      <c r="H240" s="63"/>
      <c r="J240" s="56"/>
      <c r="K240" s="63"/>
      <c r="L240" s="63"/>
      <c r="O240" s="65"/>
      <c r="P240" s="63"/>
      <c r="Q240" s="63"/>
      <c r="W240" s="58"/>
      <c r="X240" s="58"/>
      <c r="Z240" s="63"/>
      <c r="AA240" s="63"/>
      <c r="AB240" s="58"/>
      <c r="AC240" s="63"/>
      <c r="AD240" s="63"/>
      <c r="AI240" s="63"/>
      <c r="AJ240" s="63"/>
      <c r="AK240" s="63"/>
      <c r="AO240" s="63"/>
      <c r="AP240" s="63"/>
    </row>
    <row r="241" spans="2:42">
      <c r="B241" s="67"/>
      <c r="C241" s="63"/>
      <c r="D241" s="63"/>
      <c r="E241" s="66"/>
      <c r="H241" s="63"/>
      <c r="J241" s="56"/>
      <c r="K241" s="63"/>
      <c r="L241" s="63"/>
      <c r="O241" s="65"/>
      <c r="P241" s="63"/>
      <c r="Q241" s="63"/>
      <c r="W241" s="58"/>
      <c r="X241" s="58"/>
      <c r="Z241" s="63"/>
      <c r="AA241" s="63"/>
      <c r="AB241" s="58"/>
      <c r="AC241" s="63"/>
      <c r="AD241" s="63"/>
      <c r="AI241" s="63"/>
      <c r="AJ241" s="63"/>
      <c r="AK241" s="63"/>
      <c r="AO241" s="63"/>
      <c r="AP241" s="63"/>
    </row>
    <row r="242" spans="2:42">
      <c r="B242" s="67"/>
      <c r="C242" s="63"/>
      <c r="D242" s="63"/>
      <c r="E242" s="66"/>
      <c r="H242" s="63"/>
      <c r="J242" s="56"/>
      <c r="K242" s="63"/>
      <c r="L242" s="63"/>
      <c r="O242" s="65"/>
      <c r="P242" s="63"/>
      <c r="Q242" s="63"/>
      <c r="W242" s="58"/>
      <c r="X242" s="58"/>
      <c r="Z242" s="63"/>
      <c r="AA242" s="63"/>
      <c r="AB242" s="58"/>
      <c r="AC242" s="63"/>
      <c r="AD242" s="63"/>
      <c r="AI242" s="63"/>
      <c r="AJ242" s="63"/>
      <c r="AK242" s="63"/>
      <c r="AO242" s="63"/>
      <c r="AP242" s="63"/>
    </row>
    <row r="243" spans="2:42">
      <c r="B243" s="67"/>
      <c r="C243" s="63"/>
      <c r="D243" s="63"/>
      <c r="E243" s="66"/>
      <c r="H243" s="63"/>
      <c r="J243" s="56"/>
      <c r="K243" s="63"/>
      <c r="L243" s="63"/>
      <c r="O243" s="65"/>
      <c r="P243" s="63"/>
      <c r="Q243" s="63"/>
      <c r="W243" s="58"/>
      <c r="X243" s="58"/>
      <c r="Z243" s="63"/>
      <c r="AA243" s="63"/>
      <c r="AB243" s="58"/>
      <c r="AC243" s="63"/>
      <c r="AD243" s="63"/>
      <c r="AI243" s="63"/>
      <c r="AJ243" s="63"/>
      <c r="AK243" s="63"/>
      <c r="AO243" s="63"/>
      <c r="AP243" s="63"/>
    </row>
    <row r="244" spans="2:42">
      <c r="B244" s="67"/>
      <c r="C244" s="63"/>
      <c r="D244" s="63"/>
      <c r="E244" s="66"/>
      <c r="H244" s="63"/>
      <c r="J244" s="56"/>
      <c r="K244" s="63"/>
      <c r="L244" s="63"/>
      <c r="O244" s="65"/>
      <c r="P244" s="63"/>
      <c r="Q244" s="63"/>
      <c r="W244" s="58"/>
      <c r="X244" s="58"/>
      <c r="Z244" s="63"/>
      <c r="AA244" s="63"/>
      <c r="AB244" s="58"/>
      <c r="AC244" s="63"/>
      <c r="AD244" s="63"/>
      <c r="AI244" s="63"/>
      <c r="AJ244" s="63"/>
      <c r="AK244" s="63"/>
      <c r="AO244" s="63"/>
      <c r="AP244" s="63"/>
    </row>
    <row r="245" spans="2:42">
      <c r="B245" s="67"/>
      <c r="C245" s="63"/>
      <c r="D245" s="63"/>
      <c r="E245" s="66"/>
      <c r="H245" s="63"/>
      <c r="J245" s="56"/>
      <c r="K245" s="63"/>
      <c r="L245" s="63"/>
      <c r="O245" s="65"/>
      <c r="P245" s="63"/>
      <c r="Q245" s="63"/>
      <c r="W245" s="58"/>
      <c r="X245" s="58"/>
      <c r="Z245" s="63"/>
      <c r="AA245" s="63"/>
      <c r="AB245" s="58"/>
      <c r="AC245" s="63"/>
      <c r="AD245" s="63"/>
      <c r="AI245" s="63"/>
      <c r="AJ245" s="63"/>
      <c r="AK245" s="63"/>
      <c r="AO245" s="63"/>
      <c r="AP245" s="63"/>
    </row>
    <row r="246" spans="2:42">
      <c r="B246" s="67"/>
      <c r="C246" s="63"/>
      <c r="D246" s="63"/>
      <c r="E246" s="66"/>
      <c r="H246" s="63"/>
      <c r="J246" s="56"/>
      <c r="K246" s="63"/>
      <c r="L246" s="63"/>
      <c r="O246" s="65"/>
      <c r="P246" s="63"/>
      <c r="Q246" s="63"/>
      <c r="W246" s="58"/>
      <c r="X246" s="58"/>
      <c r="Z246" s="63"/>
      <c r="AA246" s="63"/>
      <c r="AB246" s="58"/>
      <c r="AC246" s="63"/>
      <c r="AD246" s="63"/>
      <c r="AI246" s="63"/>
      <c r="AJ246" s="63"/>
      <c r="AK246" s="63"/>
      <c r="AO246" s="63"/>
      <c r="AP246" s="63"/>
    </row>
    <row r="247" spans="2:42">
      <c r="B247" s="67"/>
      <c r="C247" s="63"/>
      <c r="D247" s="63"/>
      <c r="E247" s="66"/>
      <c r="H247" s="63"/>
      <c r="J247" s="56"/>
      <c r="K247" s="63"/>
      <c r="L247" s="63"/>
      <c r="O247" s="65"/>
      <c r="P247" s="63"/>
      <c r="Q247" s="63"/>
      <c r="W247" s="58"/>
      <c r="X247" s="58"/>
      <c r="Z247" s="63"/>
      <c r="AA247" s="63"/>
      <c r="AB247" s="58"/>
      <c r="AC247" s="63"/>
      <c r="AD247" s="63"/>
      <c r="AI247" s="63"/>
      <c r="AJ247" s="63"/>
      <c r="AK247" s="63"/>
      <c r="AO247" s="63"/>
      <c r="AP247" s="63"/>
    </row>
    <row r="248" spans="2:42">
      <c r="B248" s="67"/>
      <c r="C248" s="63"/>
      <c r="D248" s="63"/>
      <c r="E248" s="66"/>
      <c r="H248" s="63"/>
      <c r="J248" s="56"/>
      <c r="K248" s="63"/>
      <c r="L248" s="63"/>
      <c r="O248" s="65"/>
      <c r="P248" s="63"/>
      <c r="Q248" s="63"/>
      <c r="W248" s="58"/>
      <c r="X248" s="58"/>
      <c r="Z248" s="63"/>
      <c r="AA248" s="63"/>
      <c r="AB248" s="58"/>
      <c r="AC248" s="63"/>
      <c r="AD248" s="63"/>
      <c r="AI248" s="63"/>
      <c r="AJ248" s="63"/>
      <c r="AK248" s="63"/>
      <c r="AO248" s="63"/>
      <c r="AP248" s="63"/>
    </row>
    <row r="249" spans="2:42">
      <c r="B249" s="67"/>
      <c r="C249" s="63"/>
      <c r="D249" s="63"/>
      <c r="E249" s="66"/>
      <c r="H249" s="63"/>
      <c r="J249" s="56"/>
      <c r="K249" s="63"/>
      <c r="L249" s="63"/>
      <c r="O249" s="65"/>
      <c r="P249" s="63"/>
      <c r="Q249" s="63"/>
      <c r="W249" s="58"/>
      <c r="X249" s="58"/>
      <c r="Z249" s="63"/>
      <c r="AA249" s="63"/>
      <c r="AB249" s="58"/>
      <c r="AC249" s="63"/>
      <c r="AD249" s="63"/>
      <c r="AI249" s="63"/>
      <c r="AJ249" s="63"/>
      <c r="AK249" s="63"/>
      <c r="AO249" s="63"/>
      <c r="AP249" s="63"/>
    </row>
    <row r="250" spans="2:42">
      <c r="B250" s="67"/>
      <c r="C250" s="63"/>
      <c r="D250" s="63"/>
      <c r="E250" s="66"/>
      <c r="H250" s="63"/>
      <c r="J250" s="56"/>
      <c r="K250" s="63"/>
      <c r="L250" s="63"/>
      <c r="O250" s="65"/>
      <c r="P250" s="63"/>
      <c r="Q250" s="63"/>
      <c r="W250" s="58"/>
      <c r="X250" s="58"/>
      <c r="Z250" s="63"/>
      <c r="AA250" s="63"/>
      <c r="AB250" s="58"/>
      <c r="AC250" s="63"/>
      <c r="AD250" s="63"/>
      <c r="AI250" s="63"/>
      <c r="AJ250" s="63"/>
      <c r="AK250" s="63"/>
      <c r="AO250" s="63"/>
      <c r="AP250" s="63"/>
    </row>
    <row r="251" spans="2:42">
      <c r="B251" s="67"/>
      <c r="C251" s="63"/>
      <c r="D251" s="63"/>
      <c r="E251" s="66"/>
      <c r="H251" s="63"/>
      <c r="J251" s="56"/>
      <c r="K251" s="63"/>
      <c r="L251" s="63"/>
      <c r="O251" s="65"/>
      <c r="P251" s="63"/>
      <c r="Q251" s="63"/>
      <c r="W251" s="58"/>
      <c r="X251" s="58"/>
      <c r="Z251" s="63"/>
      <c r="AA251" s="63"/>
      <c r="AB251" s="58"/>
      <c r="AC251" s="63"/>
      <c r="AD251" s="63"/>
      <c r="AI251" s="63"/>
      <c r="AJ251" s="63"/>
      <c r="AK251" s="63"/>
      <c r="AO251" s="63"/>
      <c r="AP251" s="63"/>
    </row>
    <row r="252" spans="2:42">
      <c r="B252" s="67"/>
      <c r="C252" s="63"/>
      <c r="D252" s="63"/>
      <c r="E252" s="66"/>
      <c r="H252" s="63"/>
      <c r="J252" s="56"/>
      <c r="K252" s="63"/>
      <c r="L252" s="63"/>
      <c r="O252" s="65"/>
      <c r="P252" s="63"/>
      <c r="Q252" s="63"/>
      <c r="W252" s="58"/>
      <c r="X252" s="58"/>
      <c r="Z252" s="63"/>
      <c r="AA252" s="63"/>
      <c r="AB252" s="58"/>
      <c r="AC252" s="63"/>
      <c r="AD252" s="63"/>
      <c r="AI252" s="63"/>
      <c r="AJ252" s="63"/>
      <c r="AK252" s="63"/>
      <c r="AO252" s="63"/>
      <c r="AP252" s="63"/>
    </row>
    <row r="253" spans="2:42">
      <c r="B253" s="67"/>
      <c r="C253" s="63"/>
      <c r="D253" s="63"/>
      <c r="E253" s="66"/>
      <c r="H253" s="63"/>
      <c r="J253" s="56"/>
      <c r="K253" s="63"/>
      <c r="L253" s="63"/>
      <c r="O253" s="65"/>
      <c r="P253" s="63"/>
      <c r="Q253" s="63"/>
      <c r="W253" s="58"/>
      <c r="X253" s="58"/>
      <c r="Z253" s="63"/>
      <c r="AA253" s="63"/>
      <c r="AB253" s="58"/>
      <c r="AC253" s="63"/>
      <c r="AD253" s="63"/>
      <c r="AI253" s="63"/>
      <c r="AJ253" s="63"/>
      <c r="AK253" s="63"/>
      <c r="AO253" s="63"/>
      <c r="AP253" s="63"/>
    </row>
    <row r="254" spans="2:42">
      <c r="B254" s="67"/>
      <c r="C254" s="63"/>
      <c r="D254" s="63"/>
      <c r="E254" s="66"/>
      <c r="H254" s="63"/>
      <c r="J254" s="56"/>
      <c r="K254" s="63"/>
      <c r="L254" s="63"/>
      <c r="O254" s="65"/>
      <c r="P254" s="63"/>
      <c r="Q254" s="63"/>
      <c r="W254" s="58"/>
      <c r="X254" s="58"/>
      <c r="Z254" s="63"/>
      <c r="AA254" s="63"/>
      <c r="AB254" s="58"/>
      <c r="AC254" s="63"/>
      <c r="AD254" s="63"/>
      <c r="AI254" s="63"/>
      <c r="AJ254" s="63"/>
      <c r="AK254" s="63"/>
      <c r="AO254" s="63"/>
      <c r="AP254" s="63"/>
    </row>
    <row r="255" spans="2:42">
      <c r="B255" s="67"/>
      <c r="C255" s="63"/>
      <c r="D255" s="63"/>
      <c r="E255" s="66"/>
      <c r="H255" s="63"/>
      <c r="J255" s="56"/>
      <c r="K255" s="63"/>
      <c r="L255" s="63"/>
      <c r="O255" s="65"/>
      <c r="P255" s="63"/>
      <c r="Q255" s="63"/>
      <c r="W255" s="58"/>
      <c r="X255" s="58"/>
      <c r="Z255" s="63"/>
      <c r="AA255" s="63"/>
      <c r="AB255" s="58"/>
      <c r="AC255" s="63"/>
      <c r="AD255" s="63"/>
      <c r="AI255" s="63"/>
      <c r="AJ255" s="63"/>
      <c r="AK255" s="63"/>
      <c r="AO255" s="63"/>
      <c r="AP255" s="63"/>
    </row>
    <row r="256" spans="2:42">
      <c r="B256" s="67"/>
      <c r="C256" s="63"/>
      <c r="D256" s="63"/>
      <c r="E256" s="66"/>
      <c r="H256" s="63"/>
      <c r="J256" s="56"/>
      <c r="K256" s="63"/>
      <c r="L256" s="63"/>
      <c r="O256" s="65"/>
      <c r="P256" s="63"/>
      <c r="Q256" s="63"/>
      <c r="W256" s="58"/>
      <c r="X256" s="58"/>
      <c r="Z256" s="63"/>
      <c r="AA256" s="63"/>
      <c r="AB256" s="58"/>
      <c r="AC256" s="63"/>
      <c r="AD256" s="63"/>
      <c r="AI256" s="63"/>
      <c r="AJ256" s="63"/>
      <c r="AK256" s="63"/>
      <c r="AO256" s="63"/>
      <c r="AP256" s="63"/>
    </row>
    <row r="257" spans="2:42">
      <c r="B257" s="67"/>
      <c r="C257" s="63"/>
      <c r="D257" s="63"/>
      <c r="E257" s="66"/>
      <c r="H257" s="63"/>
      <c r="J257" s="56"/>
      <c r="K257" s="63"/>
      <c r="L257" s="63"/>
      <c r="O257" s="65"/>
      <c r="P257" s="63"/>
      <c r="Q257" s="63"/>
      <c r="W257" s="58"/>
      <c r="X257" s="58"/>
      <c r="Z257" s="63"/>
      <c r="AA257" s="63"/>
      <c r="AB257" s="58"/>
      <c r="AC257" s="63"/>
      <c r="AD257" s="63"/>
      <c r="AI257" s="63"/>
      <c r="AJ257" s="63"/>
      <c r="AK257" s="63"/>
      <c r="AO257" s="63"/>
      <c r="AP257" s="63"/>
    </row>
    <row r="258" spans="2:42">
      <c r="B258" s="67"/>
      <c r="C258" s="63"/>
      <c r="D258" s="63"/>
      <c r="E258" s="66"/>
      <c r="H258" s="63"/>
      <c r="J258" s="56"/>
      <c r="K258" s="63"/>
      <c r="L258" s="63"/>
      <c r="O258" s="65"/>
      <c r="P258" s="63"/>
      <c r="Q258" s="63"/>
      <c r="W258" s="58"/>
      <c r="X258" s="58"/>
      <c r="Z258" s="63"/>
      <c r="AA258" s="63"/>
      <c r="AB258" s="58"/>
      <c r="AC258" s="63"/>
      <c r="AD258" s="63"/>
      <c r="AI258" s="63"/>
      <c r="AJ258" s="63"/>
      <c r="AK258" s="63"/>
      <c r="AO258" s="63"/>
      <c r="AP258" s="63"/>
    </row>
    <row r="259" spans="2:42">
      <c r="B259" s="67"/>
      <c r="C259" s="63"/>
      <c r="D259" s="63"/>
      <c r="E259" s="66"/>
      <c r="H259" s="63"/>
      <c r="J259" s="56"/>
      <c r="K259" s="63"/>
      <c r="L259" s="63"/>
      <c r="O259" s="65"/>
      <c r="P259" s="63"/>
      <c r="Q259" s="63"/>
      <c r="W259" s="58"/>
      <c r="X259" s="58"/>
      <c r="Z259" s="63"/>
      <c r="AA259" s="63"/>
      <c r="AB259" s="58"/>
      <c r="AC259" s="63"/>
      <c r="AD259" s="63"/>
      <c r="AI259" s="63"/>
      <c r="AJ259" s="63"/>
      <c r="AK259" s="63"/>
      <c r="AO259" s="63"/>
      <c r="AP259" s="63"/>
    </row>
    <row r="260" spans="2:42">
      <c r="B260" s="67"/>
      <c r="C260" s="63"/>
      <c r="D260" s="63"/>
      <c r="E260" s="66"/>
      <c r="H260" s="63"/>
      <c r="J260" s="56"/>
      <c r="K260" s="63"/>
      <c r="L260" s="63"/>
      <c r="O260" s="65"/>
      <c r="P260" s="63"/>
      <c r="Q260" s="63"/>
      <c r="W260" s="58"/>
      <c r="X260" s="58"/>
      <c r="Z260" s="63"/>
      <c r="AA260" s="63"/>
      <c r="AB260" s="58"/>
      <c r="AC260" s="63"/>
      <c r="AD260" s="63"/>
      <c r="AI260" s="63"/>
      <c r="AJ260" s="63"/>
      <c r="AK260" s="63"/>
      <c r="AO260" s="63"/>
      <c r="AP260" s="63"/>
    </row>
    <row r="261" spans="2:42">
      <c r="B261" s="67"/>
      <c r="C261" s="63"/>
      <c r="D261" s="63"/>
      <c r="E261" s="66"/>
      <c r="H261" s="63"/>
      <c r="J261" s="56"/>
      <c r="K261" s="63"/>
      <c r="L261" s="63"/>
      <c r="O261" s="65"/>
      <c r="P261" s="63"/>
      <c r="Q261" s="63"/>
      <c r="W261" s="58"/>
      <c r="X261" s="58"/>
      <c r="Z261" s="63"/>
      <c r="AA261" s="63"/>
      <c r="AB261" s="58"/>
      <c r="AC261" s="63"/>
      <c r="AD261" s="63"/>
      <c r="AI261" s="63"/>
      <c r="AJ261" s="63"/>
      <c r="AK261" s="63"/>
      <c r="AO261" s="63"/>
      <c r="AP261" s="63"/>
    </row>
    <row r="262" spans="2:42">
      <c r="B262" s="67"/>
      <c r="C262" s="63"/>
      <c r="D262" s="63"/>
      <c r="E262" s="66"/>
      <c r="H262" s="63"/>
      <c r="J262" s="56"/>
      <c r="K262" s="63"/>
      <c r="L262" s="63"/>
      <c r="O262" s="65"/>
      <c r="P262" s="63"/>
      <c r="Q262" s="63"/>
      <c r="W262" s="58"/>
      <c r="X262" s="58"/>
      <c r="Z262" s="63"/>
      <c r="AA262" s="63"/>
      <c r="AB262" s="58"/>
      <c r="AC262" s="63"/>
      <c r="AD262" s="63"/>
      <c r="AI262" s="63"/>
      <c r="AJ262" s="63"/>
      <c r="AK262" s="63"/>
      <c r="AO262" s="63"/>
      <c r="AP262" s="63"/>
    </row>
    <row r="263" spans="2:42">
      <c r="B263" s="67"/>
      <c r="C263" s="63"/>
      <c r="D263" s="63"/>
      <c r="E263" s="66"/>
      <c r="H263" s="63"/>
      <c r="J263" s="56"/>
      <c r="K263" s="63"/>
      <c r="L263" s="63"/>
      <c r="O263" s="65"/>
      <c r="P263" s="63"/>
      <c r="Q263" s="63"/>
      <c r="W263" s="58"/>
      <c r="X263" s="58"/>
      <c r="Z263" s="63"/>
      <c r="AA263" s="63"/>
      <c r="AB263" s="58"/>
      <c r="AC263" s="63"/>
      <c r="AD263" s="63"/>
      <c r="AI263" s="63"/>
      <c r="AJ263" s="63"/>
      <c r="AK263" s="63"/>
      <c r="AO263" s="63"/>
      <c r="AP263" s="63"/>
    </row>
    <row r="264" spans="2:42">
      <c r="B264" s="67"/>
      <c r="C264" s="63"/>
      <c r="D264" s="63"/>
      <c r="E264" s="66"/>
      <c r="H264" s="63"/>
      <c r="J264" s="56"/>
      <c r="K264" s="63"/>
      <c r="L264" s="63"/>
      <c r="O264" s="65"/>
      <c r="P264" s="63"/>
      <c r="Q264" s="63"/>
      <c r="W264" s="58"/>
      <c r="X264" s="58"/>
      <c r="Z264" s="63"/>
      <c r="AA264" s="63"/>
      <c r="AB264" s="58"/>
      <c r="AC264" s="63"/>
      <c r="AD264" s="63"/>
      <c r="AI264" s="63"/>
      <c r="AJ264" s="63"/>
      <c r="AK264" s="63"/>
      <c r="AO264" s="63"/>
      <c r="AP264" s="63"/>
    </row>
    <row r="265" spans="2:42">
      <c r="B265" s="67"/>
      <c r="C265" s="63"/>
      <c r="D265" s="63"/>
      <c r="E265" s="66"/>
      <c r="H265" s="63"/>
      <c r="J265" s="56"/>
      <c r="K265" s="63"/>
      <c r="L265" s="63"/>
      <c r="O265" s="65"/>
      <c r="P265" s="63"/>
      <c r="Q265" s="63"/>
      <c r="W265" s="58"/>
      <c r="X265" s="58"/>
      <c r="Z265" s="63"/>
      <c r="AA265" s="63"/>
      <c r="AB265" s="58"/>
      <c r="AC265" s="63"/>
      <c r="AD265" s="63"/>
      <c r="AI265" s="63"/>
      <c r="AJ265" s="63"/>
      <c r="AK265" s="63"/>
      <c r="AO265" s="63"/>
      <c r="AP265" s="63"/>
    </row>
    <row r="266" spans="2:42">
      <c r="B266" s="67"/>
      <c r="C266" s="63"/>
      <c r="D266" s="63"/>
      <c r="E266" s="66"/>
      <c r="H266" s="63"/>
      <c r="J266" s="56"/>
      <c r="K266" s="63"/>
      <c r="L266" s="63"/>
      <c r="O266" s="65"/>
      <c r="P266" s="63"/>
      <c r="Q266" s="63"/>
      <c r="W266" s="58"/>
      <c r="X266" s="58"/>
      <c r="Z266" s="63"/>
      <c r="AA266" s="63"/>
      <c r="AB266" s="58"/>
      <c r="AC266" s="63"/>
      <c r="AD266" s="63"/>
      <c r="AI266" s="63"/>
      <c r="AJ266" s="63"/>
      <c r="AK266" s="63"/>
      <c r="AO266" s="63"/>
      <c r="AP266" s="63"/>
    </row>
    <row r="267" spans="2:42">
      <c r="B267" s="67"/>
      <c r="C267" s="63"/>
      <c r="D267" s="63"/>
      <c r="E267" s="66"/>
      <c r="H267" s="63"/>
      <c r="J267" s="56"/>
      <c r="K267" s="63"/>
      <c r="L267" s="63"/>
      <c r="O267" s="65"/>
      <c r="P267" s="63"/>
      <c r="Q267" s="63"/>
      <c r="W267" s="58"/>
      <c r="X267" s="58"/>
      <c r="Z267" s="63"/>
      <c r="AA267" s="63"/>
      <c r="AB267" s="58"/>
      <c r="AC267" s="63"/>
      <c r="AD267" s="63"/>
      <c r="AI267" s="63"/>
      <c r="AJ267" s="63"/>
      <c r="AK267" s="63"/>
      <c r="AO267" s="63"/>
      <c r="AP267" s="63"/>
    </row>
    <row r="268" spans="2:42">
      <c r="B268" s="67"/>
      <c r="C268" s="63"/>
      <c r="D268" s="63"/>
      <c r="E268" s="66"/>
      <c r="H268" s="63"/>
      <c r="J268" s="56"/>
      <c r="K268" s="63"/>
      <c r="L268" s="63"/>
      <c r="O268" s="65"/>
      <c r="P268" s="63"/>
      <c r="Q268" s="63"/>
      <c r="W268" s="58"/>
      <c r="X268" s="58"/>
      <c r="Z268" s="63"/>
      <c r="AA268" s="63"/>
      <c r="AB268" s="58"/>
      <c r="AC268" s="63"/>
      <c r="AD268" s="63"/>
      <c r="AI268" s="63"/>
      <c r="AJ268" s="63"/>
      <c r="AK268" s="63"/>
      <c r="AO268" s="63"/>
      <c r="AP268" s="63"/>
    </row>
    <row r="269" spans="2:42">
      <c r="B269" s="67"/>
      <c r="C269" s="63"/>
      <c r="D269" s="63"/>
      <c r="E269" s="66"/>
      <c r="H269" s="63"/>
      <c r="J269" s="56"/>
      <c r="K269" s="63"/>
      <c r="L269" s="63"/>
      <c r="O269" s="65"/>
      <c r="P269" s="63"/>
      <c r="Q269" s="63"/>
      <c r="W269" s="58"/>
      <c r="X269" s="58"/>
      <c r="Z269" s="63"/>
      <c r="AA269" s="63"/>
      <c r="AB269" s="58"/>
      <c r="AC269" s="63"/>
      <c r="AD269" s="63"/>
      <c r="AI269" s="63"/>
      <c r="AJ269" s="63"/>
      <c r="AK269" s="63"/>
      <c r="AO269" s="63"/>
      <c r="AP269" s="63"/>
    </row>
    <row r="270" spans="2:42">
      <c r="B270" s="67"/>
      <c r="C270" s="63"/>
      <c r="D270" s="63"/>
      <c r="E270" s="66"/>
      <c r="H270" s="63"/>
      <c r="J270" s="56"/>
      <c r="K270" s="63"/>
      <c r="L270" s="63"/>
      <c r="O270" s="65"/>
      <c r="P270" s="63"/>
      <c r="Q270" s="63"/>
      <c r="W270" s="58"/>
      <c r="X270" s="58"/>
      <c r="Z270" s="63"/>
      <c r="AA270" s="63"/>
      <c r="AB270" s="58"/>
      <c r="AC270" s="63"/>
      <c r="AD270" s="63"/>
      <c r="AI270" s="63"/>
      <c r="AJ270" s="63"/>
      <c r="AK270" s="63"/>
      <c r="AO270" s="63"/>
      <c r="AP270" s="63"/>
    </row>
    <row r="271" spans="2:42">
      <c r="B271" s="67"/>
      <c r="C271" s="63"/>
      <c r="D271" s="63"/>
      <c r="E271" s="66"/>
      <c r="H271" s="63"/>
      <c r="J271" s="56"/>
      <c r="K271" s="63"/>
      <c r="L271" s="63"/>
      <c r="O271" s="65"/>
      <c r="P271" s="63"/>
      <c r="Q271" s="63"/>
      <c r="W271" s="58"/>
      <c r="X271" s="58"/>
      <c r="Z271" s="63"/>
      <c r="AA271" s="63"/>
      <c r="AB271" s="58"/>
      <c r="AC271" s="63"/>
      <c r="AD271" s="63"/>
      <c r="AI271" s="63"/>
      <c r="AJ271" s="63"/>
      <c r="AK271" s="63"/>
      <c r="AO271" s="63"/>
      <c r="AP271" s="63"/>
    </row>
    <row r="272" spans="2:42">
      <c r="B272" s="67"/>
      <c r="C272" s="63"/>
      <c r="D272" s="63"/>
      <c r="E272" s="66"/>
      <c r="H272" s="63"/>
      <c r="J272" s="56"/>
      <c r="K272" s="63"/>
      <c r="L272" s="63"/>
      <c r="O272" s="65"/>
      <c r="P272" s="63"/>
      <c r="Q272" s="63"/>
      <c r="W272" s="58"/>
      <c r="X272" s="58"/>
      <c r="Z272" s="63"/>
      <c r="AA272" s="63"/>
      <c r="AB272" s="58"/>
      <c r="AC272" s="63"/>
      <c r="AD272" s="63"/>
      <c r="AI272" s="63"/>
      <c r="AJ272" s="63"/>
      <c r="AK272" s="63"/>
      <c r="AO272" s="63"/>
      <c r="AP272" s="63"/>
    </row>
    <row r="273" spans="2:42">
      <c r="B273" s="67"/>
      <c r="C273" s="63"/>
      <c r="D273" s="63"/>
      <c r="E273" s="66"/>
      <c r="H273" s="63"/>
      <c r="J273" s="56"/>
      <c r="K273" s="63"/>
      <c r="L273" s="63"/>
      <c r="O273" s="65"/>
      <c r="P273" s="63"/>
      <c r="Q273" s="63"/>
      <c r="W273" s="58"/>
      <c r="X273" s="58"/>
      <c r="Z273" s="63"/>
      <c r="AA273" s="63"/>
      <c r="AB273" s="58"/>
      <c r="AC273" s="63"/>
      <c r="AD273" s="63"/>
      <c r="AI273" s="63"/>
      <c r="AJ273" s="63"/>
      <c r="AK273" s="63"/>
      <c r="AO273" s="63"/>
      <c r="AP273" s="63"/>
    </row>
    <row r="274" spans="2:42">
      <c r="B274" s="67"/>
      <c r="C274" s="63"/>
      <c r="D274" s="63"/>
      <c r="E274" s="66"/>
      <c r="H274" s="63"/>
      <c r="J274" s="56"/>
      <c r="K274" s="63"/>
      <c r="L274" s="63"/>
      <c r="O274" s="65"/>
      <c r="P274" s="63"/>
      <c r="Q274" s="63"/>
      <c r="W274" s="58"/>
      <c r="X274" s="58"/>
      <c r="Z274" s="63"/>
      <c r="AA274" s="63"/>
      <c r="AB274" s="58"/>
      <c r="AC274" s="63"/>
      <c r="AD274" s="63"/>
      <c r="AI274" s="63"/>
      <c r="AJ274" s="63"/>
      <c r="AK274" s="63"/>
      <c r="AO274" s="63"/>
      <c r="AP274" s="63"/>
    </row>
    <row r="275" spans="2:42">
      <c r="B275" s="67"/>
      <c r="C275" s="63"/>
      <c r="D275" s="63"/>
      <c r="E275" s="66"/>
      <c r="H275" s="63"/>
      <c r="J275" s="56"/>
      <c r="K275" s="63"/>
      <c r="L275" s="63"/>
      <c r="O275" s="65"/>
      <c r="P275" s="63"/>
      <c r="Q275" s="63"/>
      <c r="W275" s="58"/>
      <c r="X275" s="58"/>
      <c r="Z275" s="63"/>
      <c r="AA275" s="63"/>
      <c r="AB275" s="58"/>
      <c r="AC275" s="63"/>
      <c r="AD275" s="63"/>
      <c r="AI275" s="63"/>
      <c r="AJ275" s="63"/>
      <c r="AK275" s="63"/>
      <c r="AO275" s="63"/>
      <c r="AP275" s="63"/>
    </row>
    <row r="276" spans="2:42">
      <c r="B276" s="67"/>
      <c r="C276" s="63"/>
      <c r="D276" s="63"/>
      <c r="E276" s="66"/>
      <c r="H276" s="63"/>
      <c r="J276" s="56"/>
      <c r="K276" s="63"/>
      <c r="L276" s="63"/>
      <c r="O276" s="65"/>
      <c r="P276" s="63"/>
      <c r="Q276" s="63"/>
      <c r="W276" s="58"/>
      <c r="X276" s="58"/>
      <c r="Z276" s="63"/>
      <c r="AA276" s="63"/>
      <c r="AB276" s="58"/>
      <c r="AC276" s="63"/>
      <c r="AD276" s="63"/>
      <c r="AI276" s="63"/>
      <c r="AJ276" s="63"/>
      <c r="AK276" s="63"/>
      <c r="AO276" s="63"/>
      <c r="AP276" s="63"/>
    </row>
    <row r="277" spans="2:42">
      <c r="B277" s="67"/>
      <c r="C277" s="63"/>
      <c r="D277" s="63"/>
      <c r="E277" s="66"/>
      <c r="H277" s="63"/>
      <c r="J277" s="56"/>
      <c r="K277" s="63"/>
      <c r="L277" s="63"/>
      <c r="O277" s="65"/>
      <c r="P277" s="63"/>
      <c r="Q277" s="63"/>
      <c r="W277" s="58"/>
      <c r="X277" s="58"/>
      <c r="Z277" s="63"/>
      <c r="AA277" s="63"/>
      <c r="AB277" s="58"/>
      <c r="AC277" s="63"/>
      <c r="AD277" s="63"/>
      <c r="AI277" s="63"/>
      <c r="AJ277" s="63"/>
      <c r="AK277" s="63"/>
      <c r="AO277" s="63"/>
      <c r="AP277" s="63"/>
    </row>
    <row r="278" spans="2:42">
      <c r="B278" s="67"/>
      <c r="C278" s="63"/>
      <c r="D278" s="63"/>
      <c r="E278" s="66"/>
      <c r="H278" s="63"/>
      <c r="J278" s="56"/>
      <c r="K278" s="63"/>
      <c r="L278" s="63"/>
      <c r="O278" s="65"/>
      <c r="P278" s="63"/>
      <c r="Q278" s="63"/>
      <c r="W278" s="58"/>
      <c r="X278" s="58"/>
      <c r="Z278" s="63"/>
      <c r="AA278" s="63"/>
      <c r="AB278" s="58"/>
      <c r="AC278" s="63"/>
      <c r="AD278" s="63"/>
      <c r="AI278" s="63"/>
      <c r="AJ278" s="63"/>
      <c r="AK278" s="63"/>
      <c r="AO278" s="63"/>
      <c r="AP278" s="63"/>
    </row>
    <row r="279" spans="2:42">
      <c r="B279" s="67"/>
      <c r="C279" s="63"/>
      <c r="D279" s="63"/>
      <c r="E279" s="66"/>
      <c r="H279" s="63"/>
      <c r="J279" s="56"/>
      <c r="K279" s="63"/>
      <c r="L279" s="63"/>
      <c r="O279" s="65"/>
      <c r="P279" s="63"/>
      <c r="Q279" s="63"/>
      <c r="W279" s="58"/>
      <c r="X279" s="58"/>
      <c r="Z279" s="63"/>
      <c r="AA279" s="63"/>
      <c r="AB279" s="58"/>
      <c r="AC279" s="63"/>
      <c r="AD279" s="63"/>
      <c r="AI279" s="63"/>
      <c r="AJ279" s="63"/>
      <c r="AK279" s="63"/>
      <c r="AO279" s="63"/>
      <c r="AP279" s="63"/>
    </row>
    <row r="280" spans="2:42">
      <c r="B280" s="67"/>
      <c r="C280" s="63"/>
      <c r="D280" s="63"/>
      <c r="E280" s="66"/>
      <c r="H280" s="63"/>
      <c r="J280" s="56"/>
      <c r="K280" s="63"/>
      <c r="L280" s="63"/>
      <c r="O280" s="65"/>
      <c r="P280" s="63"/>
      <c r="Q280" s="63"/>
      <c r="W280" s="58"/>
      <c r="X280" s="58"/>
      <c r="Z280" s="63"/>
      <c r="AA280" s="63"/>
      <c r="AB280" s="58"/>
      <c r="AC280" s="63"/>
      <c r="AD280" s="63"/>
      <c r="AI280" s="63"/>
      <c r="AJ280" s="63"/>
      <c r="AK280" s="63"/>
      <c r="AO280" s="63"/>
      <c r="AP280" s="63"/>
    </row>
    <row r="281" spans="2:42">
      <c r="B281" s="67"/>
      <c r="C281" s="63"/>
      <c r="D281" s="63"/>
      <c r="E281" s="66"/>
      <c r="H281" s="63"/>
      <c r="J281" s="56"/>
      <c r="K281" s="63"/>
      <c r="L281" s="63"/>
      <c r="O281" s="65"/>
      <c r="P281" s="63"/>
      <c r="Q281" s="63"/>
      <c r="W281" s="58"/>
      <c r="X281" s="58"/>
      <c r="Z281" s="63"/>
      <c r="AA281" s="63"/>
      <c r="AB281" s="58"/>
      <c r="AC281" s="63"/>
      <c r="AD281" s="63"/>
      <c r="AI281" s="63"/>
      <c r="AJ281" s="63"/>
      <c r="AK281" s="63"/>
      <c r="AO281" s="63"/>
      <c r="AP281" s="63"/>
    </row>
    <row r="282" spans="2:42">
      <c r="B282" s="67"/>
      <c r="C282" s="63"/>
      <c r="D282" s="63"/>
      <c r="E282" s="66"/>
      <c r="H282" s="63"/>
      <c r="J282" s="56"/>
      <c r="K282" s="63"/>
      <c r="L282" s="63"/>
      <c r="O282" s="65"/>
      <c r="P282" s="63"/>
      <c r="Q282" s="63"/>
      <c r="W282" s="58"/>
      <c r="X282" s="58"/>
      <c r="Z282" s="63"/>
      <c r="AA282" s="63"/>
      <c r="AB282" s="58"/>
      <c r="AC282" s="63"/>
      <c r="AD282" s="63"/>
      <c r="AI282" s="63"/>
      <c r="AJ282" s="63"/>
      <c r="AK282" s="63"/>
      <c r="AO282" s="63"/>
      <c r="AP282" s="63"/>
    </row>
    <row r="283" spans="2:42">
      <c r="B283" s="67"/>
      <c r="C283" s="63"/>
      <c r="D283" s="63"/>
      <c r="E283" s="66"/>
      <c r="H283" s="63"/>
      <c r="J283" s="56"/>
      <c r="K283" s="63"/>
      <c r="L283" s="63"/>
      <c r="O283" s="65"/>
      <c r="P283" s="63"/>
      <c r="Q283" s="63"/>
      <c r="W283" s="58"/>
      <c r="X283" s="58"/>
      <c r="Z283" s="63"/>
      <c r="AA283" s="63"/>
      <c r="AB283" s="58"/>
      <c r="AC283" s="63"/>
      <c r="AD283" s="63"/>
      <c r="AI283" s="63"/>
      <c r="AJ283" s="63"/>
      <c r="AK283" s="63"/>
      <c r="AO283" s="63"/>
      <c r="AP283" s="63"/>
    </row>
    <row r="284" spans="2:42">
      <c r="B284" s="67"/>
      <c r="C284" s="63"/>
      <c r="D284" s="63"/>
      <c r="E284" s="66"/>
      <c r="H284" s="63"/>
      <c r="J284" s="56"/>
      <c r="K284" s="63"/>
      <c r="L284" s="63"/>
      <c r="O284" s="65"/>
      <c r="P284" s="63"/>
      <c r="Q284" s="63"/>
      <c r="W284" s="58"/>
      <c r="X284" s="58"/>
      <c r="Z284" s="63"/>
      <c r="AA284" s="63"/>
      <c r="AB284" s="58"/>
      <c r="AC284" s="63"/>
      <c r="AD284" s="63"/>
      <c r="AI284" s="63"/>
      <c r="AJ284" s="63"/>
      <c r="AK284" s="63"/>
      <c r="AO284" s="63"/>
      <c r="AP284" s="63"/>
    </row>
    <row r="285" spans="2:42">
      <c r="B285" s="67"/>
      <c r="C285" s="63"/>
      <c r="D285" s="63"/>
      <c r="E285" s="66"/>
      <c r="H285" s="63"/>
      <c r="J285" s="56"/>
      <c r="K285" s="63"/>
      <c r="L285" s="63"/>
      <c r="O285" s="65"/>
      <c r="P285" s="63"/>
      <c r="Q285" s="63"/>
      <c r="W285" s="58"/>
      <c r="X285" s="58"/>
      <c r="Z285" s="63"/>
      <c r="AA285" s="63"/>
      <c r="AB285" s="58"/>
      <c r="AC285" s="63"/>
      <c r="AD285" s="63"/>
      <c r="AI285" s="63"/>
      <c r="AJ285" s="63"/>
      <c r="AK285" s="63"/>
      <c r="AO285" s="63"/>
      <c r="AP285" s="63"/>
    </row>
    <row r="286" spans="2:42">
      <c r="B286" s="67"/>
      <c r="C286" s="63"/>
      <c r="D286" s="63"/>
      <c r="E286" s="66"/>
      <c r="H286" s="63"/>
      <c r="J286" s="56"/>
      <c r="K286" s="63"/>
      <c r="L286" s="63"/>
      <c r="O286" s="65"/>
      <c r="P286" s="63"/>
      <c r="Q286" s="63"/>
      <c r="W286" s="58"/>
      <c r="X286" s="58"/>
      <c r="Z286" s="63"/>
      <c r="AA286" s="63"/>
      <c r="AB286" s="58"/>
      <c r="AC286" s="63"/>
      <c r="AD286" s="63"/>
      <c r="AI286" s="63"/>
      <c r="AJ286" s="63"/>
      <c r="AK286" s="63"/>
      <c r="AO286" s="63"/>
      <c r="AP286" s="63"/>
    </row>
    <row r="287" spans="2:42">
      <c r="B287" s="58"/>
      <c r="C287" s="63"/>
      <c r="D287" s="63"/>
      <c r="E287" s="66"/>
      <c r="H287" s="63"/>
      <c r="J287" s="56"/>
      <c r="K287" s="63"/>
      <c r="L287" s="63"/>
      <c r="M287" s="68"/>
      <c r="O287" s="65"/>
      <c r="P287" s="63"/>
      <c r="Q287" s="63"/>
      <c r="W287" s="63"/>
      <c r="X287" s="63"/>
      <c r="Z287" s="63"/>
      <c r="AA287" s="63"/>
      <c r="AB287" s="58"/>
      <c r="AC287" s="63"/>
      <c r="AD287" s="63"/>
      <c r="AJ287" s="63"/>
      <c r="AK287" s="63"/>
      <c r="AO287" s="63"/>
      <c r="AP287" s="63"/>
    </row>
    <row r="288" spans="2:42">
      <c r="B288" s="58"/>
      <c r="C288" s="63"/>
      <c r="D288" s="63"/>
      <c r="E288" s="66"/>
      <c r="H288" s="63"/>
      <c r="J288" s="56"/>
      <c r="K288" s="63"/>
      <c r="L288" s="63"/>
      <c r="M288" s="68"/>
      <c r="O288" s="65"/>
      <c r="P288" s="63"/>
      <c r="Q288" s="63"/>
      <c r="W288" s="63"/>
      <c r="X288" s="63"/>
      <c r="Z288" s="63"/>
      <c r="AA288" s="63"/>
      <c r="AB288" s="58"/>
      <c r="AC288" s="63"/>
      <c r="AD288" s="63"/>
      <c r="AJ288" s="63"/>
      <c r="AK288" s="63"/>
      <c r="AO288" s="63"/>
      <c r="AP288" s="63"/>
    </row>
    <row r="289" spans="2:42">
      <c r="B289" s="58"/>
      <c r="C289" s="63"/>
      <c r="D289" s="63"/>
      <c r="E289" s="66"/>
      <c r="H289" s="63"/>
      <c r="J289" s="56"/>
      <c r="K289" s="63"/>
      <c r="L289" s="63"/>
      <c r="M289" s="68"/>
      <c r="O289" s="65"/>
      <c r="P289" s="63"/>
      <c r="Q289" s="63"/>
      <c r="W289" s="63"/>
      <c r="X289" s="63"/>
      <c r="Z289" s="63"/>
      <c r="AA289" s="63"/>
      <c r="AB289" s="58"/>
      <c r="AC289" s="63"/>
      <c r="AD289" s="63"/>
      <c r="AJ289" s="63"/>
      <c r="AK289" s="63"/>
      <c r="AO289" s="63"/>
      <c r="AP289" s="63"/>
    </row>
    <row r="290" spans="2:42">
      <c r="B290" s="58"/>
      <c r="C290" s="63"/>
      <c r="D290" s="63"/>
      <c r="E290" s="66"/>
      <c r="H290" s="63"/>
      <c r="J290" s="56"/>
      <c r="K290" s="63"/>
      <c r="L290" s="63"/>
      <c r="M290" s="68"/>
      <c r="O290" s="65"/>
      <c r="P290" s="63"/>
      <c r="Q290" s="63"/>
      <c r="W290" s="63"/>
      <c r="X290" s="63"/>
      <c r="Z290" s="63"/>
      <c r="AA290" s="63"/>
      <c r="AB290" s="58"/>
      <c r="AC290" s="63"/>
      <c r="AD290" s="63"/>
      <c r="AJ290" s="63"/>
      <c r="AK290" s="63"/>
      <c r="AO290" s="63"/>
      <c r="AP290" s="63"/>
    </row>
    <row r="291" spans="2:42">
      <c r="B291" s="58"/>
      <c r="C291" s="63"/>
      <c r="D291" s="63"/>
      <c r="E291" s="66"/>
      <c r="H291" s="63"/>
      <c r="J291" s="56"/>
      <c r="K291" s="63"/>
      <c r="L291" s="63"/>
      <c r="M291" s="68"/>
      <c r="O291" s="65"/>
      <c r="P291" s="63"/>
      <c r="Q291" s="63"/>
      <c r="W291" s="63"/>
      <c r="X291" s="63"/>
      <c r="Z291" s="63"/>
      <c r="AA291" s="63"/>
      <c r="AB291" s="58"/>
      <c r="AC291" s="63"/>
      <c r="AD291" s="63"/>
      <c r="AJ291" s="63"/>
      <c r="AK291" s="63"/>
      <c r="AO291" s="63"/>
      <c r="AP291" s="63"/>
    </row>
    <row r="292" spans="2:42">
      <c r="B292" s="58"/>
      <c r="C292" s="63"/>
      <c r="D292" s="63"/>
      <c r="E292" s="66"/>
      <c r="H292" s="63"/>
      <c r="J292" s="56"/>
      <c r="K292" s="63"/>
      <c r="L292" s="63"/>
      <c r="M292" s="68"/>
      <c r="O292" s="65"/>
      <c r="P292" s="63"/>
      <c r="Q292" s="63"/>
      <c r="W292" s="63"/>
      <c r="X292" s="63"/>
      <c r="Z292" s="63"/>
      <c r="AA292" s="63"/>
      <c r="AB292" s="58"/>
      <c r="AC292" s="63"/>
      <c r="AD292" s="63"/>
      <c r="AJ292" s="63"/>
      <c r="AK292" s="63"/>
      <c r="AO292" s="63"/>
      <c r="AP292" s="63"/>
    </row>
    <row r="293" spans="2:42">
      <c r="B293" s="58"/>
      <c r="C293" s="63"/>
      <c r="D293" s="63"/>
      <c r="E293" s="66"/>
      <c r="H293" s="63"/>
      <c r="J293" s="56"/>
      <c r="K293" s="63"/>
      <c r="L293" s="63"/>
      <c r="M293" s="68"/>
      <c r="P293" s="63"/>
      <c r="Q293" s="63"/>
      <c r="W293" s="63"/>
      <c r="X293" s="63"/>
      <c r="Z293" s="63"/>
      <c r="AA293" s="63"/>
      <c r="AC293" s="63"/>
      <c r="AD293" s="63"/>
      <c r="AI293" s="63"/>
      <c r="AJ293" s="63"/>
      <c r="AK293" s="63"/>
      <c r="AO293" s="63"/>
      <c r="AP293" s="63"/>
    </row>
    <row r="294" spans="2:42">
      <c r="B294" s="58"/>
      <c r="C294" s="63"/>
      <c r="D294" s="63"/>
      <c r="E294" s="66"/>
      <c r="H294" s="63"/>
      <c r="J294" s="56"/>
      <c r="K294" s="63"/>
      <c r="L294" s="63"/>
      <c r="M294" s="68"/>
      <c r="P294" s="63"/>
      <c r="Q294" s="63"/>
      <c r="W294" s="63"/>
      <c r="X294" s="63"/>
      <c r="Z294" s="63"/>
      <c r="AA294" s="63"/>
      <c r="AC294" s="63"/>
      <c r="AD294" s="63"/>
      <c r="AI294" s="63"/>
      <c r="AJ294" s="63"/>
      <c r="AK294" s="63"/>
      <c r="AO294" s="63"/>
      <c r="AP294" s="63"/>
    </row>
    <row r="295" spans="2:42">
      <c r="B295" s="58"/>
      <c r="C295" s="63"/>
      <c r="D295" s="63"/>
      <c r="E295" s="66"/>
      <c r="H295" s="63"/>
      <c r="J295" s="56"/>
      <c r="K295" s="63"/>
      <c r="L295" s="63"/>
      <c r="M295" s="68"/>
      <c r="P295" s="63"/>
      <c r="Q295" s="63"/>
      <c r="W295" s="63"/>
      <c r="X295" s="63"/>
      <c r="Z295" s="63"/>
      <c r="AA295" s="63"/>
      <c r="AC295" s="63"/>
      <c r="AD295" s="63"/>
      <c r="AI295" s="63"/>
      <c r="AJ295" s="63"/>
      <c r="AK295" s="63"/>
      <c r="AO295" s="63"/>
      <c r="AP295" s="63"/>
    </row>
    <row r="296" spans="2:42">
      <c r="B296" s="58"/>
      <c r="C296" s="63"/>
      <c r="D296" s="63"/>
      <c r="E296" s="66"/>
      <c r="H296" s="63"/>
      <c r="J296" s="56"/>
      <c r="K296" s="63"/>
      <c r="L296" s="63"/>
      <c r="M296" s="68"/>
      <c r="P296" s="63"/>
      <c r="Q296" s="63"/>
      <c r="W296" s="63"/>
      <c r="X296" s="63"/>
      <c r="Z296" s="63"/>
      <c r="AA296" s="63"/>
      <c r="AC296" s="63"/>
      <c r="AD296" s="63"/>
      <c r="AI296" s="63"/>
      <c r="AJ296" s="63"/>
      <c r="AK296" s="63"/>
      <c r="AO296" s="63"/>
      <c r="AP296" s="63"/>
    </row>
    <row r="297" spans="2:42">
      <c r="B297" s="58"/>
      <c r="C297" s="63"/>
      <c r="D297" s="63"/>
      <c r="E297" s="66"/>
      <c r="H297" s="63"/>
      <c r="J297" s="56"/>
      <c r="K297" s="63"/>
      <c r="L297" s="63"/>
      <c r="M297" s="68"/>
      <c r="P297" s="63"/>
      <c r="Q297" s="63"/>
      <c r="W297" s="63"/>
      <c r="X297" s="63"/>
      <c r="Z297" s="63"/>
      <c r="AA297" s="63"/>
      <c r="AC297" s="63"/>
      <c r="AD297" s="63"/>
      <c r="AI297" s="63"/>
      <c r="AJ297" s="63"/>
      <c r="AK297" s="63"/>
      <c r="AO297" s="63"/>
      <c r="AP297" s="63"/>
    </row>
    <row r="298" spans="2:42">
      <c r="B298" s="58"/>
      <c r="C298" s="63"/>
      <c r="D298" s="63"/>
      <c r="E298" s="66"/>
      <c r="H298" s="63"/>
      <c r="J298" s="69"/>
      <c r="K298" s="58"/>
      <c r="L298" s="63"/>
      <c r="M298" s="68"/>
      <c r="O298" s="65"/>
      <c r="P298" s="63"/>
      <c r="Q298" s="63"/>
      <c r="W298" s="58"/>
      <c r="X298" s="63"/>
      <c r="Z298" s="63"/>
      <c r="AA298" s="63"/>
      <c r="AB298" s="63"/>
      <c r="AC298" s="63"/>
      <c r="AD298" s="63"/>
      <c r="AI298" s="63"/>
      <c r="AJ298" s="63"/>
      <c r="AK298" s="63"/>
      <c r="AO298" s="63"/>
      <c r="AP298" s="63"/>
    </row>
    <row r="299" spans="2:42">
      <c r="B299" s="58"/>
      <c r="C299" s="63"/>
      <c r="D299" s="63"/>
      <c r="E299" s="66"/>
      <c r="H299" s="63"/>
      <c r="J299" s="69"/>
      <c r="K299" s="58"/>
      <c r="L299" s="63"/>
      <c r="M299" s="68"/>
      <c r="O299" s="65"/>
      <c r="P299" s="63"/>
      <c r="Q299" s="63"/>
      <c r="W299" s="58"/>
      <c r="X299" s="63"/>
      <c r="Z299" s="63"/>
      <c r="AA299" s="63"/>
      <c r="AB299" s="63"/>
      <c r="AC299" s="63"/>
      <c r="AD299" s="63"/>
      <c r="AI299" s="63"/>
      <c r="AJ299" s="63"/>
      <c r="AK299" s="63"/>
      <c r="AO299" s="63"/>
      <c r="AP299" s="63"/>
    </row>
    <row r="300" spans="2:42">
      <c r="B300" s="58"/>
      <c r="C300" s="63"/>
      <c r="D300" s="63"/>
      <c r="E300" s="66"/>
      <c r="H300" s="63"/>
      <c r="J300" s="69"/>
      <c r="K300" s="58"/>
      <c r="L300" s="63"/>
      <c r="M300" s="68"/>
      <c r="O300" s="65"/>
      <c r="P300" s="63"/>
      <c r="Q300" s="63"/>
      <c r="W300" s="58"/>
      <c r="X300" s="63"/>
      <c r="Z300" s="63"/>
      <c r="AA300" s="63"/>
      <c r="AB300" s="63"/>
      <c r="AC300" s="63"/>
      <c r="AD300" s="63"/>
      <c r="AI300" s="63"/>
      <c r="AJ300" s="63"/>
      <c r="AK300" s="63"/>
      <c r="AO300" s="63"/>
      <c r="AP300" s="63"/>
    </row>
    <row r="301" spans="2:42">
      <c r="B301" s="58"/>
      <c r="C301" s="63"/>
      <c r="D301" s="63"/>
      <c r="E301" s="66"/>
      <c r="H301" s="63"/>
      <c r="J301" s="69"/>
      <c r="K301" s="58"/>
      <c r="L301" s="63"/>
      <c r="M301" s="68"/>
      <c r="O301" s="65"/>
      <c r="P301" s="63"/>
      <c r="Q301" s="63"/>
      <c r="W301" s="58"/>
      <c r="X301" s="63"/>
      <c r="Z301" s="63"/>
      <c r="AA301" s="63"/>
      <c r="AB301" s="63"/>
      <c r="AC301" s="63"/>
      <c r="AD301" s="63"/>
      <c r="AI301" s="63"/>
      <c r="AJ301" s="63"/>
      <c r="AK301" s="63"/>
      <c r="AO301" s="63"/>
      <c r="AP301" s="63"/>
    </row>
    <row r="302" spans="2:42">
      <c r="B302" s="58"/>
      <c r="C302" s="63"/>
      <c r="D302" s="63"/>
      <c r="E302" s="66"/>
      <c r="H302" s="63"/>
      <c r="J302" s="69"/>
      <c r="K302" s="58"/>
      <c r="L302" s="63"/>
      <c r="M302" s="68"/>
      <c r="O302" s="65"/>
      <c r="P302" s="63"/>
      <c r="Q302" s="63"/>
      <c r="R302" s="58"/>
      <c r="S302" s="58"/>
      <c r="T302" s="58"/>
      <c r="W302" s="58"/>
      <c r="X302" s="63"/>
      <c r="Z302" s="63"/>
      <c r="AA302" s="63"/>
      <c r="AB302" s="63"/>
      <c r="AC302" s="63"/>
      <c r="AD302" s="63"/>
      <c r="AI302" s="63"/>
      <c r="AJ302" s="63"/>
      <c r="AK302" s="63"/>
      <c r="AO302" s="63"/>
      <c r="AP302" s="63"/>
    </row>
    <row r="303" spans="2:42">
      <c r="B303" s="58"/>
      <c r="C303" s="63"/>
      <c r="D303" s="63"/>
      <c r="E303" s="66"/>
      <c r="H303" s="63"/>
      <c r="J303" s="69"/>
      <c r="K303" s="58"/>
      <c r="L303" s="63"/>
      <c r="M303" s="68"/>
      <c r="O303" s="65"/>
      <c r="P303" s="63"/>
      <c r="Q303" s="63"/>
      <c r="R303" s="58"/>
      <c r="S303" s="58"/>
      <c r="T303" s="58"/>
      <c r="W303" s="58"/>
      <c r="X303" s="63"/>
      <c r="Z303" s="63"/>
      <c r="AA303" s="63"/>
      <c r="AB303" s="63"/>
      <c r="AC303" s="63"/>
      <c r="AD303" s="63"/>
      <c r="AI303" s="63"/>
      <c r="AJ303" s="63"/>
      <c r="AK303" s="63"/>
      <c r="AO303" s="63"/>
      <c r="AP303" s="63"/>
    </row>
    <row r="304" spans="2:42">
      <c r="B304" s="58"/>
      <c r="C304" s="63"/>
      <c r="D304" s="63"/>
      <c r="E304" s="66"/>
      <c r="H304" s="63"/>
      <c r="J304" s="69"/>
      <c r="K304" s="58"/>
      <c r="L304" s="63"/>
      <c r="M304" s="68"/>
      <c r="O304" s="65"/>
      <c r="P304" s="63"/>
      <c r="Q304" s="63"/>
      <c r="R304" s="58"/>
      <c r="S304" s="58"/>
      <c r="T304" s="58"/>
      <c r="W304" s="58"/>
      <c r="X304" s="63"/>
      <c r="Z304" s="63"/>
      <c r="AA304" s="63"/>
      <c r="AB304" s="63"/>
      <c r="AC304" s="63"/>
      <c r="AD304" s="63"/>
      <c r="AI304" s="63"/>
      <c r="AJ304" s="63"/>
      <c r="AK304" s="63"/>
      <c r="AO304" s="63"/>
      <c r="AP304" s="63"/>
    </row>
    <row r="305" spans="2:42">
      <c r="B305" s="58"/>
      <c r="C305" s="63"/>
      <c r="D305" s="63"/>
      <c r="E305" s="66"/>
      <c r="H305" s="63"/>
      <c r="J305" s="69"/>
      <c r="K305" s="58"/>
      <c r="L305" s="63"/>
      <c r="M305" s="68"/>
      <c r="O305" s="65"/>
      <c r="P305" s="63"/>
      <c r="Q305" s="63"/>
      <c r="R305" s="58"/>
      <c r="S305" s="58"/>
      <c r="T305" s="58"/>
      <c r="W305" s="58"/>
      <c r="X305" s="63"/>
      <c r="Z305" s="63"/>
      <c r="AA305" s="63"/>
      <c r="AB305" s="63"/>
      <c r="AC305" s="63"/>
      <c r="AD305" s="63"/>
      <c r="AI305" s="63"/>
      <c r="AJ305" s="63"/>
      <c r="AK305" s="63"/>
      <c r="AO305" s="63"/>
      <c r="AP305" s="63"/>
    </row>
    <row r="306" spans="2:42">
      <c r="B306" s="58"/>
      <c r="C306" s="63"/>
      <c r="D306" s="63"/>
      <c r="E306" s="66"/>
      <c r="H306" s="63"/>
      <c r="J306" s="69"/>
      <c r="K306" s="58"/>
      <c r="L306" s="63"/>
      <c r="M306" s="68"/>
      <c r="O306" s="65"/>
      <c r="P306" s="63"/>
      <c r="Q306" s="63"/>
      <c r="R306" s="58"/>
      <c r="S306" s="58"/>
      <c r="T306" s="58"/>
      <c r="W306" s="58"/>
      <c r="X306" s="63"/>
      <c r="Z306" s="63"/>
      <c r="AA306" s="63"/>
      <c r="AB306" s="63"/>
      <c r="AC306" s="63"/>
      <c r="AD306" s="63"/>
      <c r="AI306" s="63"/>
      <c r="AJ306" s="63"/>
      <c r="AK306" s="63"/>
      <c r="AO306" s="63"/>
      <c r="AP306" s="63"/>
    </row>
    <row r="307" spans="2:42">
      <c r="B307" s="58"/>
      <c r="C307" s="63"/>
      <c r="D307" s="63"/>
      <c r="E307" s="66"/>
      <c r="H307" s="63"/>
      <c r="J307" s="69"/>
      <c r="K307" s="58"/>
      <c r="L307" s="63"/>
      <c r="M307" s="68"/>
      <c r="O307" s="65"/>
      <c r="P307" s="63"/>
      <c r="Q307" s="63"/>
      <c r="R307" s="58"/>
      <c r="S307" s="58"/>
      <c r="T307" s="58"/>
      <c r="W307" s="58"/>
      <c r="X307" s="63"/>
      <c r="Z307" s="63"/>
      <c r="AA307" s="63"/>
      <c r="AB307" s="63"/>
      <c r="AC307" s="63"/>
      <c r="AD307" s="63"/>
      <c r="AI307" s="63"/>
      <c r="AJ307" s="63"/>
      <c r="AK307" s="63"/>
      <c r="AO307" s="63"/>
      <c r="AP307" s="63"/>
    </row>
    <row r="308" spans="2:42">
      <c r="B308" s="58"/>
      <c r="C308" s="63"/>
      <c r="D308" s="63"/>
      <c r="E308" s="66"/>
      <c r="H308" s="63"/>
      <c r="J308" s="69"/>
      <c r="K308" s="58"/>
      <c r="L308" s="63"/>
      <c r="M308" s="68"/>
      <c r="O308" s="65"/>
      <c r="P308" s="63"/>
      <c r="Q308" s="63"/>
      <c r="R308" s="58"/>
      <c r="S308" s="58"/>
      <c r="T308" s="58"/>
      <c r="W308" s="58"/>
      <c r="X308" s="63"/>
      <c r="Z308" s="63"/>
      <c r="AA308" s="63"/>
      <c r="AB308" s="63"/>
      <c r="AC308" s="63"/>
      <c r="AD308" s="63"/>
      <c r="AI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J309" s="69"/>
      <c r="K309" s="58"/>
      <c r="L309" s="63"/>
      <c r="M309" s="68"/>
      <c r="O309" s="65"/>
      <c r="P309" s="63"/>
      <c r="Q309" s="63"/>
      <c r="R309" s="58"/>
      <c r="S309" s="58"/>
      <c r="T309" s="58"/>
      <c r="W309" s="58"/>
      <c r="X309" s="63"/>
      <c r="Z309" s="63"/>
      <c r="AA309" s="63"/>
      <c r="AB309" s="63"/>
      <c r="AC309" s="63"/>
      <c r="AD309" s="63"/>
      <c r="AI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J310" s="69"/>
      <c r="K310" s="58"/>
      <c r="L310" s="63"/>
      <c r="M310" s="68"/>
      <c r="O310" s="65"/>
      <c r="P310" s="63"/>
      <c r="Q310" s="63"/>
      <c r="R310" s="58"/>
      <c r="S310" s="58"/>
      <c r="T310" s="58"/>
      <c r="W310" s="58"/>
      <c r="X310" s="63"/>
      <c r="Z310" s="63"/>
      <c r="AA310" s="63"/>
      <c r="AB310" s="63"/>
      <c r="AC310" s="63"/>
      <c r="AD310" s="63"/>
      <c r="AI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J311" s="69"/>
      <c r="K311" s="58"/>
      <c r="L311" s="63"/>
      <c r="M311" s="68"/>
      <c r="O311" s="65"/>
      <c r="P311" s="63"/>
      <c r="Q311" s="63"/>
      <c r="R311" s="58"/>
      <c r="S311" s="58"/>
      <c r="T311" s="58"/>
      <c r="W311" s="58"/>
      <c r="X311" s="63"/>
      <c r="Z311" s="63"/>
      <c r="AA311" s="63"/>
      <c r="AB311" s="63"/>
      <c r="AC311" s="63"/>
      <c r="AD311" s="63"/>
      <c r="AI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69"/>
      <c r="K312" s="58"/>
      <c r="L312" s="63"/>
      <c r="M312" s="68"/>
      <c r="O312" s="65"/>
      <c r="P312" s="63"/>
      <c r="Q312" s="63"/>
      <c r="R312" s="58"/>
      <c r="S312" s="58"/>
      <c r="T312" s="58"/>
      <c r="W312" s="58"/>
      <c r="X312" s="63"/>
      <c r="Z312" s="63"/>
      <c r="AA312" s="63"/>
      <c r="AB312" s="63"/>
      <c r="AC312" s="63"/>
      <c r="AD312" s="63"/>
      <c r="AI312" s="63"/>
      <c r="AJ312" s="63"/>
      <c r="AK312" s="63"/>
      <c r="AO312" s="63"/>
      <c r="AP312" s="63"/>
    </row>
    <row r="313" spans="2:42">
      <c r="B313" s="58"/>
      <c r="C313" s="63"/>
      <c r="D313" s="63"/>
      <c r="E313" s="66"/>
      <c r="H313" s="63"/>
      <c r="J313" s="69"/>
      <c r="K313" s="58"/>
      <c r="L313" s="63"/>
      <c r="M313" s="68"/>
      <c r="O313" s="65"/>
      <c r="P313" s="63"/>
      <c r="Q313" s="63"/>
      <c r="R313" s="58"/>
      <c r="S313" s="58"/>
      <c r="T313" s="58"/>
      <c r="W313" s="58"/>
      <c r="X313" s="63"/>
      <c r="Z313" s="63"/>
      <c r="AA313" s="63"/>
      <c r="AB313" s="63"/>
      <c r="AC313" s="63"/>
      <c r="AD313" s="63"/>
      <c r="AI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J314" s="69"/>
      <c r="K314" s="58"/>
      <c r="L314" s="63"/>
      <c r="M314" s="68"/>
      <c r="O314" s="65"/>
      <c r="P314" s="63"/>
      <c r="Q314" s="63"/>
      <c r="R314" s="63"/>
      <c r="S314" s="63"/>
      <c r="T314" s="63"/>
      <c r="W314" s="58"/>
      <c r="X314" s="63"/>
      <c r="Z314" s="63"/>
      <c r="AA314" s="63"/>
      <c r="AB314" s="63"/>
      <c r="AC314" s="63"/>
      <c r="AD314" s="63"/>
      <c r="AI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J315" s="69"/>
      <c r="K315" s="58"/>
      <c r="L315" s="63"/>
      <c r="M315" s="68"/>
      <c r="O315" s="65"/>
      <c r="P315" s="63"/>
      <c r="Q315" s="63"/>
      <c r="R315" s="63"/>
      <c r="S315" s="63"/>
      <c r="T315" s="63"/>
      <c r="W315" s="58"/>
      <c r="X315" s="63"/>
      <c r="Z315" s="63"/>
      <c r="AA315" s="63"/>
      <c r="AB315" s="63"/>
      <c r="AC315" s="63"/>
      <c r="AD315" s="63"/>
      <c r="AI315" s="63"/>
      <c r="AJ315" s="63"/>
      <c r="AK315" s="63"/>
      <c r="AO315" s="63"/>
      <c r="AP315" s="63"/>
    </row>
    <row r="316" spans="2:42" s="57" customFormat="1">
      <c r="E316" s="66"/>
      <c r="H316" s="63"/>
      <c r="J316" s="56"/>
      <c r="AB316" s="63"/>
    </row>
    <row r="317" spans="2:42" s="57" customFormat="1">
      <c r="E317" s="66"/>
      <c r="H317" s="63"/>
      <c r="J317" s="56"/>
      <c r="AB317" s="63"/>
    </row>
    <row r="318" spans="2:42" s="57" customFormat="1">
      <c r="E318" s="66"/>
      <c r="H318" s="63"/>
      <c r="J318" s="56"/>
      <c r="AB318" s="63"/>
    </row>
    <row r="319" spans="2:42" s="57" customFormat="1">
      <c r="E319" s="66"/>
      <c r="H319" s="63"/>
      <c r="J319" s="56"/>
      <c r="AB319" s="63"/>
    </row>
    <row r="320" spans="2:42" s="57" customFormat="1">
      <c r="E320" s="66"/>
      <c r="H320" s="63"/>
      <c r="J320" s="56"/>
      <c r="AB320" s="63"/>
    </row>
    <row r="321" spans="2:42" s="57" customFormat="1">
      <c r="E321" s="66"/>
      <c r="H321" s="63"/>
      <c r="J321" s="56"/>
      <c r="AB321" s="63"/>
    </row>
    <row r="322" spans="2:42" s="57" customFormat="1">
      <c r="E322" s="66"/>
      <c r="H322" s="63"/>
      <c r="J322" s="56"/>
      <c r="AB322" s="63"/>
    </row>
    <row r="323" spans="2:42" s="57" customFormat="1">
      <c r="E323" s="66"/>
      <c r="H323" s="63"/>
      <c r="J323" s="56"/>
      <c r="AB323" s="63"/>
    </row>
    <row r="324" spans="2:42" s="57" customFormat="1">
      <c r="E324" s="66"/>
      <c r="H324" s="63"/>
      <c r="J324" s="56"/>
      <c r="AB324" s="63"/>
    </row>
    <row r="325" spans="2:42" s="57" customFormat="1">
      <c r="E325" s="66"/>
      <c r="H325" s="63"/>
      <c r="J325" s="56"/>
      <c r="AB325" s="63"/>
    </row>
    <row r="326" spans="2:42" s="57" customFormat="1">
      <c r="E326" s="66"/>
      <c r="H326" s="63"/>
      <c r="J326" s="56"/>
      <c r="AB326" s="63"/>
    </row>
    <row r="327" spans="2:42" s="57" customFormat="1">
      <c r="E327" s="66"/>
      <c r="H327" s="63"/>
      <c r="J327" s="56"/>
      <c r="AB327" s="63"/>
    </row>
    <row r="328" spans="2:42" s="57" customFormat="1">
      <c r="E328" s="66"/>
      <c r="H328" s="63"/>
      <c r="J328" s="56"/>
      <c r="AB328" s="63"/>
    </row>
    <row r="329" spans="2:42" s="57" customFormat="1">
      <c r="E329" s="66"/>
      <c r="H329" s="63"/>
      <c r="J329" s="56"/>
      <c r="AB329" s="63"/>
    </row>
    <row r="330" spans="2:42" s="57" customFormat="1">
      <c r="E330" s="66"/>
      <c r="H330" s="63"/>
      <c r="J330" s="56"/>
      <c r="AB330" s="63"/>
    </row>
    <row r="331" spans="2:42" s="57" customFormat="1">
      <c r="E331" s="66"/>
      <c r="H331" s="63"/>
      <c r="J331" s="56"/>
      <c r="AB331" s="63"/>
    </row>
    <row r="332" spans="2:42" s="57" customFormat="1">
      <c r="E332" s="66"/>
      <c r="H332" s="63"/>
      <c r="J332" s="56"/>
      <c r="AB332" s="63"/>
    </row>
    <row r="333" spans="2:42" s="57" customFormat="1">
      <c r="E333" s="66"/>
      <c r="H333" s="63"/>
      <c r="J333" s="56"/>
      <c r="AB333" s="63"/>
    </row>
    <row r="334" spans="2:42">
      <c r="B334" s="58"/>
      <c r="C334" s="63"/>
      <c r="D334" s="63"/>
      <c r="E334" s="66"/>
      <c r="H334" s="63"/>
      <c r="J334" s="56"/>
      <c r="K334" s="63"/>
      <c r="L334" s="63"/>
      <c r="O334" s="65"/>
      <c r="P334" s="63"/>
      <c r="Q334" s="63"/>
      <c r="W334" s="63"/>
      <c r="X334" s="63"/>
      <c r="Z334" s="63"/>
      <c r="AA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I335" s="57"/>
      <c r="J335" s="56"/>
      <c r="K335" s="63"/>
      <c r="L335" s="63"/>
      <c r="M335" s="57"/>
      <c r="O335" s="65"/>
      <c r="P335" s="63"/>
      <c r="Q335" s="63"/>
      <c r="W335" s="63"/>
      <c r="X335" s="63"/>
      <c r="Z335" s="63"/>
      <c r="AA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I336" s="57"/>
      <c r="J336" s="56"/>
      <c r="K336" s="63"/>
      <c r="L336" s="63"/>
      <c r="M336" s="57"/>
      <c r="O336" s="65"/>
      <c r="P336" s="63"/>
      <c r="Q336" s="63"/>
      <c r="W336" s="63"/>
      <c r="X336" s="63"/>
      <c r="Z336" s="63"/>
      <c r="AA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I337" s="57"/>
      <c r="J337" s="56"/>
      <c r="K337" s="63"/>
      <c r="L337" s="63"/>
      <c r="M337" s="57"/>
      <c r="O337" s="65"/>
      <c r="P337" s="63"/>
      <c r="Q337" s="63"/>
      <c r="W337" s="63"/>
      <c r="X337" s="63"/>
      <c r="Z337" s="63"/>
      <c r="AA337" s="63"/>
      <c r="AC337" s="63"/>
      <c r="AD337" s="63"/>
      <c r="AI337" s="63"/>
      <c r="AJ337" s="63"/>
      <c r="AK337" s="63"/>
      <c r="AO337" s="63"/>
      <c r="AP337" s="63"/>
    </row>
    <row r="338" spans="2:42">
      <c r="B338" s="58"/>
      <c r="C338" s="63"/>
      <c r="D338" s="63"/>
      <c r="E338" s="66"/>
      <c r="H338" s="63"/>
      <c r="I338" s="57"/>
      <c r="J338" s="57"/>
      <c r="K338" s="63"/>
      <c r="L338" s="63"/>
      <c r="M338" s="57"/>
      <c r="O338" s="65"/>
      <c r="P338" s="63"/>
      <c r="Q338" s="63"/>
      <c r="W338" s="63"/>
      <c r="X338" s="63"/>
      <c r="Z338" s="63"/>
      <c r="AA338" s="63"/>
      <c r="AC338" s="63"/>
      <c r="AD338" s="63"/>
      <c r="AI338" s="63"/>
      <c r="AJ338" s="63"/>
      <c r="AK338" s="63"/>
      <c r="AO338" s="63"/>
      <c r="AP338" s="63"/>
    </row>
    <row r="339" spans="2:42">
      <c r="B339" s="58"/>
      <c r="C339" s="63"/>
      <c r="D339" s="63"/>
      <c r="E339" s="66"/>
      <c r="H339" s="63"/>
      <c r="I339" s="57"/>
      <c r="J339" s="57"/>
      <c r="K339" s="63"/>
      <c r="L339" s="63"/>
      <c r="M339" s="57"/>
      <c r="O339" s="65"/>
      <c r="P339" s="63"/>
      <c r="Q339" s="63"/>
      <c r="W339" s="63"/>
      <c r="X339" s="63"/>
      <c r="Z339" s="63"/>
      <c r="AA339" s="63"/>
      <c r="AC339" s="63"/>
      <c r="AD339" s="63"/>
      <c r="AI339" s="63"/>
      <c r="AJ339" s="63"/>
      <c r="AK339" s="63"/>
      <c r="AO339" s="63"/>
      <c r="AP339" s="63"/>
    </row>
    <row r="340" spans="2:42">
      <c r="B340" s="58"/>
      <c r="C340" s="63"/>
      <c r="D340" s="63"/>
      <c r="E340" s="66"/>
      <c r="H340" s="63"/>
      <c r="I340" s="57"/>
      <c r="J340" s="57"/>
      <c r="K340" s="63"/>
      <c r="L340" s="63"/>
      <c r="M340" s="57"/>
      <c r="O340" s="65"/>
      <c r="P340" s="63"/>
      <c r="Q340" s="63"/>
      <c r="W340" s="63"/>
      <c r="X340" s="63"/>
      <c r="Z340" s="63"/>
      <c r="AA340" s="63"/>
      <c r="AC340" s="63"/>
      <c r="AD340" s="63"/>
      <c r="AI340" s="63"/>
      <c r="AJ340" s="63"/>
      <c r="AK340" s="63"/>
      <c r="AO340" s="63"/>
      <c r="AP340" s="63"/>
    </row>
    <row r="341" spans="2:42">
      <c r="B341" s="58"/>
      <c r="C341" s="63"/>
      <c r="D341" s="63"/>
      <c r="E341" s="66"/>
      <c r="H341" s="63"/>
      <c r="I341" s="57"/>
      <c r="J341" s="58"/>
      <c r="K341" s="63"/>
      <c r="L341" s="63"/>
      <c r="M341" s="57"/>
      <c r="O341" s="65"/>
      <c r="P341" s="63"/>
      <c r="Q341" s="63"/>
      <c r="W341" s="63"/>
      <c r="X341" s="63"/>
      <c r="Z341" s="63"/>
      <c r="AA341" s="63"/>
      <c r="AC341" s="63"/>
      <c r="AD341" s="63"/>
      <c r="AI341" s="63"/>
      <c r="AJ341" s="63"/>
      <c r="AK341" s="63"/>
      <c r="AO341" s="63"/>
      <c r="AP341" s="63"/>
    </row>
    <row r="342" spans="2:42">
      <c r="B342" s="58"/>
      <c r="C342" s="63"/>
      <c r="D342" s="63"/>
      <c r="E342" s="66"/>
      <c r="H342" s="63"/>
      <c r="I342" s="57"/>
      <c r="J342" s="58"/>
      <c r="K342" s="63"/>
      <c r="L342" s="63"/>
      <c r="M342" s="57"/>
      <c r="O342" s="65"/>
      <c r="P342" s="63"/>
      <c r="Q342" s="63"/>
      <c r="W342" s="63"/>
      <c r="X342" s="63"/>
      <c r="Z342" s="63"/>
      <c r="AA342" s="63"/>
      <c r="AC342" s="63"/>
      <c r="AD342" s="63"/>
      <c r="AI342" s="63"/>
      <c r="AJ342" s="63"/>
      <c r="AK342" s="63"/>
      <c r="AO342" s="63"/>
      <c r="AP342" s="63"/>
    </row>
    <row r="343" spans="2:42">
      <c r="B343" s="58"/>
      <c r="C343" s="63"/>
      <c r="D343" s="63"/>
      <c r="E343" s="66"/>
      <c r="H343" s="63"/>
      <c r="J343" s="56"/>
      <c r="K343" s="63"/>
      <c r="L343" s="63"/>
      <c r="M343" s="68"/>
      <c r="O343" s="65"/>
      <c r="P343" s="63"/>
      <c r="Q343" s="63"/>
      <c r="W343" s="58"/>
      <c r="X343" s="63"/>
      <c r="Z343" s="63"/>
      <c r="AA343" s="63"/>
      <c r="AC343" s="63"/>
      <c r="AD343" s="63"/>
      <c r="AI343" s="63"/>
      <c r="AJ343" s="63"/>
      <c r="AK343" s="63"/>
      <c r="AO343" s="63"/>
      <c r="AP343" s="63"/>
    </row>
    <row r="344" spans="2:42">
      <c r="B344" s="58"/>
      <c r="C344" s="63"/>
      <c r="D344" s="63"/>
      <c r="E344" s="66"/>
      <c r="H344" s="63"/>
      <c r="J344" s="56"/>
      <c r="K344" s="63"/>
      <c r="L344" s="63"/>
      <c r="M344" s="68"/>
      <c r="O344" s="65"/>
      <c r="P344" s="63"/>
      <c r="Q344" s="63"/>
      <c r="W344" s="58"/>
      <c r="X344" s="63"/>
      <c r="Z344" s="63"/>
      <c r="AA344" s="63"/>
      <c r="AC344" s="63"/>
      <c r="AD344" s="63"/>
      <c r="AI344" s="63"/>
      <c r="AJ344" s="63"/>
      <c r="AK344" s="63"/>
      <c r="AO344" s="63"/>
      <c r="AP344" s="63"/>
    </row>
    <row r="345" spans="2:42">
      <c r="B345" s="58"/>
      <c r="C345" s="63"/>
      <c r="D345" s="63"/>
      <c r="E345" s="66"/>
      <c r="H345" s="63"/>
      <c r="J345" s="56"/>
      <c r="K345" s="63"/>
      <c r="L345" s="63"/>
      <c r="M345" s="68"/>
      <c r="O345" s="65"/>
      <c r="P345" s="63"/>
      <c r="Q345" s="63"/>
      <c r="W345" s="58"/>
      <c r="X345" s="63"/>
      <c r="Z345" s="63"/>
      <c r="AA345" s="63"/>
      <c r="AC345" s="63"/>
      <c r="AD345" s="63"/>
      <c r="AI345" s="63"/>
      <c r="AJ345" s="63"/>
      <c r="AK345" s="63"/>
      <c r="AO345" s="63"/>
      <c r="AP345" s="63"/>
    </row>
    <row r="346" spans="2:42">
      <c r="B346" s="58"/>
      <c r="C346" s="63"/>
      <c r="D346" s="63"/>
      <c r="E346" s="66"/>
      <c r="H346" s="63"/>
      <c r="J346" s="56"/>
      <c r="K346" s="63"/>
      <c r="L346" s="63"/>
      <c r="M346" s="68"/>
      <c r="O346" s="65"/>
      <c r="P346" s="63"/>
      <c r="Q346" s="63"/>
      <c r="W346" s="58"/>
      <c r="X346" s="63"/>
      <c r="Z346" s="63"/>
      <c r="AA346" s="63"/>
      <c r="AC346" s="63"/>
      <c r="AD346" s="63"/>
      <c r="AI346" s="63"/>
      <c r="AJ346" s="63"/>
      <c r="AK346" s="63"/>
      <c r="AO346" s="63"/>
      <c r="AP346" s="63"/>
    </row>
    <row r="347" spans="2:42">
      <c r="B347" s="58"/>
      <c r="C347" s="63"/>
      <c r="D347" s="63"/>
      <c r="E347" s="66"/>
      <c r="H347" s="63"/>
      <c r="J347" s="56"/>
      <c r="K347" s="63"/>
      <c r="L347" s="63"/>
      <c r="M347" s="70"/>
      <c r="O347" s="65"/>
      <c r="P347" s="63"/>
      <c r="Q347" s="63"/>
      <c r="W347" s="63"/>
      <c r="X347" s="63"/>
      <c r="Z347" s="63"/>
      <c r="AA347" s="63"/>
      <c r="AC347" s="63"/>
      <c r="AD347" s="63"/>
      <c r="AI347" s="63"/>
      <c r="AJ347" s="63"/>
      <c r="AK347" s="63"/>
      <c r="AO347" s="63"/>
      <c r="AP347" s="63"/>
    </row>
    <row r="348" spans="2:42">
      <c r="B348" s="58"/>
      <c r="C348" s="63"/>
      <c r="D348" s="63"/>
      <c r="E348" s="66"/>
      <c r="H348" s="63"/>
      <c r="J348" s="56"/>
      <c r="K348" s="63"/>
      <c r="L348" s="63"/>
      <c r="M348" s="70"/>
      <c r="O348" s="65"/>
      <c r="P348" s="63"/>
      <c r="Q348" s="63"/>
      <c r="W348" s="63"/>
      <c r="X348" s="63"/>
      <c r="Z348" s="63"/>
      <c r="AA348" s="63"/>
      <c r="AC348" s="63"/>
      <c r="AD348" s="63"/>
      <c r="AI348" s="63"/>
      <c r="AJ348" s="63"/>
      <c r="AK348" s="63"/>
      <c r="AO348" s="63"/>
      <c r="AP348" s="63"/>
    </row>
    <row r="349" spans="2:42">
      <c r="B349" s="58"/>
      <c r="C349" s="63"/>
      <c r="D349" s="63"/>
      <c r="E349" s="66"/>
      <c r="H349" s="63"/>
      <c r="J349" s="56"/>
      <c r="K349" s="63"/>
      <c r="L349" s="63"/>
      <c r="M349" s="70"/>
      <c r="O349" s="65"/>
      <c r="P349" s="63"/>
      <c r="Q349" s="63"/>
      <c r="W349" s="63"/>
      <c r="X349" s="63"/>
      <c r="Z349" s="63"/>
      <c r="AA349" s="63"/>
      <c r="AC349" s="63"/>
      <c r="AD349" s="63"/>
      <c r="AI349" s="63"/>
      <c r="AJ349" s="63"/>
      <c r="AK349" s="63"/>
      <c r="AO349" s="63"/>
      <c r="AP349" s="63"/>
    </row>
    <row r="350" spans="2:42">
      <c r="B350" s="58"/>
      <c r="C350" s="63"/>
      <c r="D350" s="63"/>
      <c r="E350" s="66"/>
      <c r="H350" s="63"/>
      <c r="J350" s="56"/>
      <c r="K350" s="63"/>
      <c r="L350" s="63"/>
      <c r="M350" s="70"/>
      <c r="O350" s="65"/>
      <c r="P350" s="63"/>
      <c r="Q350" s="63"/>
      <c r="W350" s="63"/>
      <c r="X350" s="63"/>
      <c r="Z350" s="63"/>
      <c r="AA350" s="63"/>
      <c r="AC350" s="63"/>
      <c r="AD350" s="63"/>
      <c r="AI350" s="63"/>
      <c r="AJ350" s="63"/>
      <c r="AK350" s="63"/>
      <c r="AO350" s="63"/>
      <c r="AP350" s="63"/>
    </row>
    <row r="351" spans="2:42">
      <c r="B351" s="58"/>
      <c r="C351" s="63"/>
      <c r="D351" s="63"/>
      <c r="E351" s="66"/>
      <c r="H351" s="63"/>
      <c r="J351" s="56"/>
      <c r="K351" s="63"/>
      <c r="L351" s="63"/>
      <c r="M351" s="70"/>
      <c r="O351" s="65"/>
      <c r="P351" s="63"/>
      <c r="Q351" s="63"/>
      <c r="W351" s="63"/>
      <c r="X351" s="63"/>
      <c r="Z351" s="63"/>
      <c r="AA351" s="63"/>
      <c r="AC351" s="63"/>
      <c r="AD351" s="63"/>
      <c r="AI351" s="63"/>
      <c r="AJ351" s="63"/>
      <c r="AK351" s="63"/>
      <c r="AO351" s="63"/>
      <c r="AP351" s="63"/>
    </row>
    <row r="352" spans="2:42">
      <c r="B352" s="58"/>
      <c r="C352" s="63"/>
      <c r="D352" s="63"/>
      <c r="E352" s="66"/>
      <c r="H352" s="63"/>
      <c r="J352" s="56"/>
      <c r="K352" s="63"/>
      <c r="L352" s="63"/>
      <c r="M352" s="70"/>
      <c r="O352" s="65"/>
      <c r="P352" s="63"/>
      <c r="Q352" s="63"/>
      <c r="W352" s="63"/>
      <c r="X352" s="63"/>
      <c r="Z352" s="63"/>
      <c r="AA352" s="63"/>
      <c r="AC352" s="63"/>
      <c r="AD352" s="63"/>
      <c r="AI352" s="63"/>
      <c r="AJ352" s="63"/>
      <c r="AK352" s="63"/>
      <c r="AO352" s="63"/>
      <c r="AP352" s="63"/>
    </row>
    <row r="353" spans="2:42">
      <c r="B353" s="58"/>
      <c r="C353" s="63"/>
      <c r="D353" s="63"/>
      <c r="E353" s="66"/>
      <c r="H353" s="63"/>
      <c r="J353" s="56"/>
      <c r="K353" s="63"/>
      <c r="L353" s="63"/>
      <c r="M353" s="70"/>
      <c r="O353" s="65"/>
      <c r="P353" s="63"/>
      <c r="Q353" s="63"/>
      <c r="W353" s="63"/>
      <c r="X353" s="63"/>
      <c r="Z353" s="63"/>
      <c r="AA353" s="63"/>
      <c r="AC353" s="63"/>
      <c r="AD353" s="63"/>
      <c r="AI353" s="63"/>
      <c r="AJ353" s="63"/>
      <c r="AK353" s="63"/>
      <c r="AO353" s="63"/>
      <c r="AP353" s="63"/>
    </row>
    <row r="354" spans="2:42">
      <c r="B354" s="58"/>
      <c r="C354" s="63"/>
      <c r="D354" s="63"/>
      <c r="E354" s="66"/>
      <c r="H354" s="63"/>
      <c r="J354" s="56"/>
      <c r="K354" s="63"/>
      <c r="L354" s="63"/>
      <c r="M354" s="70"/>
      <c r="O354" s="65"/>
      <c r="P354" s="63"/>
      <c r="Q354" s="63"/>
      <c r="W354" s="63"/>
      <c r="X354" s="63"/>
      <c r="Z354" s="63"/>
      <c r="AA354" s="63"/>
      <c r="AC354" s="63"/>
      <c r="AD354" s="63"/>
      <c r="AI354" s="63"/>
      <c r="AJ354" s="63"/>
      <c r="AK354" s="63"/>
      <c r="AO354" s="63"/>
      <c r="AP354" s="63"/>
    </row>
    <row r="355" spans="2:42">
      <c r="B355" s="57"/>
      <c r="C355" s="63"/>
      <c r="D355" s="63"/>
      <c r="E355" s="66"/>
      <c r="H355" s="63"/>
      <c r="J355" s="56"/>
      <c r="K355" s="63"/>
      <c r="L355" s="63"/>
      <c r="M355" s="70"/>
      <c r="O355" s="65"/>
      <c r="P355" s="63"/>
      <c r="Q355" s="63"/>
      <c r="W355" s="63"/>
      <c r="X355" s="63"/>
      <c r="Z355" s="63"/>
      <c r="AA355" s="63"/>
      <c r="AC355" s="63"/>
      <c r="AD355" s="63"/>
      <c r="AI355" s="63"/>
      <c r="AJ355" s="63"/>
      <c r="AK355" s="63"/>
      <c r="AO355" s="63"/>
      <c r="AP355" s="63"/>
    </row>
    <row r="356" spans="2:42">
      <c r="B356" s="57"/>
      <c r="C356" s="63"/>
      <c r="D356" s="63"/>
      <c r="E356" s="66"/>
      <c r="H356" s="63"/>
      <c r="J356" s="56"/>
      <c r="K356" s="63"/>
      <c r="L356" s="63"/>
      <c r="M356" s="70"/>
      <c r="O356" s="65"/>
      <c r="P356" s="63"/>
      <c r="Q356" s="63"/>
      <c r="W356" s="63"/>
      <c r="X356" s="63"/>
      <c r="Z356" s="63"/>
      <c r="AA356" s="63"/>
      <c r="AC356" s="63"/>
      <c r="AD356" s="63"/>
      <c r="AI356" s="63"/>
      <c r="AJ356" s="63"/>
      <c r="AK356" s="63"/>
      <c r="AO356" s="63"/>
      <c r="AP356" s="63"/>
    </row>
    <row r="357" spans="2:42">
      <c r="B357" s="57"/>
      <c r="C357" s="63"/>
      <c r="D357" s="63"/>
      <c r="E357" s="66"/>
      <c r="H357" s="63"/>
      <c r="J357" s="56"/>
      <c r="K357" s="63"/>
      <c r="L357" s="63"/>
      <c r="M357" s="70"/>
      <c r="O357" s="65"/>
      <c r="P357" s="63"/>
      <c r="Q357" s="63"/>
      <c r="W357" s="63"/>
      <c r="X357" s="63"/>
      <c r="Z357" s="63"/>
      <c r="AA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I358" s="57"/>
      <c r="J358" s="56"/>
      <c r="K358" s="63"/>
      <c r="L358" s="63"/>
      <c r="M358" s="68"/>
      <c r="O358" s="65"/>
      <c r="P358" s="63"/>
      <c r="Q358" s="63"/>
      <c r="W358" s="58"/>
      <c r="X358" s="63"/>
      <c r="Z358" s="63"/>
      <c r="AA358" s="63"/>
      <c r="AC358" s="63"/>
      <c r="AD358" s="63"/>
      <c r="AJ358" s="63"/>
      <c r="AK358" s="63"/>
    </row>
    <row r="359" spans="2:42">
      <c r="B359" s="58"/>
      <c r="C359" s="63"/>
      <c r="D359" s="63"/>
      <c r="E359" s="66"/>
      <c r="H359" s="63"/>
      <c r="J359" s="56"/>
      <c r="K359" s="63"/>
      <c r="L359" s="63"/>
      <c r="M359" s="68"/>
      <c r="O359" s="65"/>
      <c r="P359" s="63"/>
      <c r="Q359" s="63"/>
      <c r="W359" s="58"/>
      <c r="X359" s="63"/>
      <c r="Z359" s="63"/>
      <c r="AA359" s="63"/>
      <c r="AC359" s="63"/>
      <c r="AD359" s="63"/>
      <c r="AJ359" s="63"/>
      <c r="AK359" s="63"/>
    </row>
    <row r="360" spans="2:42">
      <c r="B360" s="58"/>
      <c r="C360" s="63"/>
      <c r="D360" s="63"/>
      <c r="E360" s="66"/>
      <c r="H360" s="63"/>
      <c r="J360" s="56"/>
      <c r="K360" s="63"/>
      <c r="L360" s="63"/>
      <c r="M360" s="68"/>
      <c r="O360" s="65"/>
      <c r="P360" s="63"/>
      <c r="Q360" s="63"/>
      <c r="W360" s="58"/>
      <c r="X360" s="63"/>
      <c r="Z360" s="63"/>
      <c r="AA360" s="63"/>
      <c r="AC360" s="63"/>
      <c r="AD360" s="63"/>
      <c r="AJ360" s="63"/>
      <c r="AK360" s="63"/>
    </row>
    <row r="361" spans="2:42">
      <c r="B361" s="58"/>
      <c r="C361" s="63"/>
      <c r="D361" s="63"/>
      <c r="E361" s="66"/>
      <c r="H361" s="63"/>
      <c r="J361" s="56"/>
      <c r="K361" s="63"/>
      <c r="L361" s="63"/>
      <c r="M361" s="68"/>
      <c r="O361" s="65"/>
      <c r="P361" s="63"/>
      <c r="Q361" s="63"/>
      <c r="W361" s="58"/>
      <c r="X361" s="63"/>
      <c r="Z361" s="63"/>
      <c r="AA361" s="63"/>
      <c r="AC361" s="63"/>
      <c r="AD361" s="63"/>
      <c r="AJ361" s="63"/>
      <c r="AK361" s="63"/>
    </row>
    <row r="362" spans="2:42">
      <c r="B362" s="58"/>
      <c r="C362" s="63"/>
      <c r="D362" s="63"/>
      <c r="E362" s="66"/>
      <c r="H362" s="63"/>
      <c r="J362" s="56"/>
      <c r="K362" s="63"/>
      <c r="L362" s="63"/>
      <c r="P362" s="63"/>
      <c r="Q362" s="63"/>
      <c r="W362" s="58"/>
      <c r="X362" s="63"/>
      <c r="Z362" s="63"/>
      <c r="AA362" s="63"/>
      <c r="AC362" s="63"/>
      <c r="AD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J363" s="56"/>
      <c r="K363" s="63"/>
      <c r="L363" s="63"/>
      <c r="P363" s="63"/>
      <c r="Q363" s="63"/>
      <c r="W363" s="63"/>
      <c r="X363" s="63"/>
      <c r="Z363" s="63"/>
      <c r="AA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L364" s="63"/>
      <c r="P364" s="63"/>
      <c r="Q364" s="63"/>
      <c r="W364" s="63"/>
      <c r="X364" s="63"/>
      <c r="Z364" s="63"/>
      <c r="AA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P365" s="63"/>
      <c r="Q365" s="63"/>
      <c r="W365" s="63"/>
      <c r="X365" s="63"/>
      <c r="Z365" s="63"/>
      <c r="AA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P366" s="63"/>
      <c r="Q366" s="63"/>
      <c r="W366" s="63"/>
      <c r="X366" s="63"/>
      <c r="Z366" s="63"/>
      <c r="AA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P367" s="63"/>
      <c r="Q367" s="63"/>
      <c r="W367" s="63"/>
      <c r="X367" s="63"/>
      <c r="Z367" s="63"/>
      <c r="AA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L368" s="63"/>
      <c r="P368" s="63"/>
      <c r="Q368" s="63"/>
      <c r="W368" s="63"/>
      <c r="X368" s="63"/>
      <c r="Z368" s="63"/>
      <c r="AA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L369" s="63"/>
      <c r="P369" s="63"/>
      <c r="Q369" s="63"/>
      <c r="W369" s="63"/>
      <c r="X369" s="63"/>
      <c r="Z369" s="63"/>
      <c r="AA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L370" s="63"/>
      <c r="P370" s="63"/>
      <c r="Q370" s="63"/>
      <c r="W370" s="63"/>
      <c r="X370" s="63"/>
      <c r="Z370" s="63"/>
      <c r="AA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L371" s="63"/>
      <c r="P371" s="63"/>
      <c r="Q371" s="63"/>
      <c r="W371" s="63"/>
      <c r="X371" s="63"/>
      <c r="Z371" s="63"/>
      <c r="AA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L372" s="63"/>
      <c r="O372" s="65"/>
      <c r="P372" s="63"/>
      <c r="Q372" s="63"/>
      <c r="W372" s="63"/>
      <c r="X372" s="63"/>
      <c r="Z372" s="63"/>
      <c r="AA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L373" s="63"/>
      <c r="O373" s="65"/>
      <c r="P373" s="63"/>
      <c r="Q373" s="63"/>
      <c r="W373" s="63"/>
      <c r="X373" s="63"/>
      <c r="Z373" s="63"/>
      <c r="AA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L374" s="63"/>
      <c r="O374" s="65"/>
      <c r="P374" s="63"/>
      <c r="Q374" s="63"/>
      <c r="W374" s="63"/>
      <c r="X374" s="63"/>
      <c r="Z374" s="63"/>
      <c r="AA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L375" s="63"/>
      <c r="M375"/>
      <c r="O375" s="65"/>
      <c r="P375" s="63"/>
      <c r="Q375" s="63"/>
      <c r="W375" s="63"/>
      <c r="X375" s="63"/>
      <c r="Z375" s="63"/>
      <c r="AA375" s="63"/>
      <c r="AB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L376" s="63"/>
      <c r="M376"/>
      <c r="O376" s="65"/>
      <c r="P376" s="63"/>
      <c r="Q376" s="63"/>
      <c r="W376" s="63"/>
      <c r="X376" s="63"/>
      <c r="Z376" s="63"/>
      <c r="AA376" s="63"/>
      <c r="AB376" s="63"/>
      <c r="AC376" s="63"/>
      <c r="AD376" s="63"/>
      <c r="AI376" s="63"/>
      <c r="AJ376" s="63"/>
      <c r="AK376" s="63"/>
      <c r="AO376" s="63"/>
      <c r="AP376" s="63"/>
    </row>
    <row r="377" spans="2:42">
      <c r="B377" s="58"/>
      <c r="C377" s="63"/>
      <c r="D377" s="63"/>
      <c r="E377" s="66"/>
      <c r="H377" s="63"/>
      <c r="J377" s="56"/>
      <c r="K377" s="63"/>
      <c r="L377" s="63"/>
      <c r="M377"/>
      <c r="O377" s="65"/>
      <c r="P377" s="63"/>
      <c r="Q377" s="63"/>
      <c r="W377" s="63"/>
      <c r="X377" s="63"/>
      <c r="Z377" s="63"/>
      <c r="AA377" s="63"/>
      <c r="AB377" s="63"/>
      <c r="AC377" s="63"/>
      <c r="AD377" s="63"/>
      <c r="AI377" s="63"/>
      <c r="AJ377" s="63"/>
      <c r="AK377" s="63"/>
      <c r="AO377" s="63"/>
      <c r="AP377" s="63"/>
    </row>
    <row r="378" spans="2:42">
      <c r="B378" s="58"/>
      <c r="C378" s="63"/>
      <c r="D378" s="63"/>
      <c r="E378" s="66"/>
      <c r="H378" s="63"/>
      <c r="J378" s="56"/>
      <c r="K378" s="63"/>
      <c r="L378" s="63"/>
      <c r="M378"/>
      <c r="O378" s="65"/>
      <c r="P378" s="63"/>
      <c r="Q378" s="63"/>
      <c r="W378" s="63"/>
      <c r="X378" s="63"/>
      <c r="Z378" s="63"/>
      <c r="AA378" s="63"/>
      <c r="AB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J379" s="56"/>
      <c r="K379" s="63"/>
      <c r="L379" s="63"/>
      <c r="M379"/>
      <c r="O379" s="65"/>
      <c r="P379" s="63"/>
      <c r="Q379" s="63"/>
      <c r="W379" s="63"/>
      <c r="X379" s="63"/>
      <c r="Z379" s="63"/>
      <c r="AA379" s="63"/>
      <c r="AB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J380" s="56"/>
      <c r="K380" s="63"/>
      <c r="L380" s="63"/>
      <c r="M380"/>
      <c r="O380" s="65"/>
      <c r="P380" s="63"/>
      <c r="Q380" s="63"/>
      <c r="W380" s="63"/>
      <c r="X380" s="63"/>
      <c r="Z380" s="63"/>
      <c r="AA380" s="63"/>
      <c r="AB380" s="63"/>
      <c r="AC380" s="63"/>
      <c r="AD380" s="63"/>
      <c r="AI380" s="63"/>
      <c r="AJ380" s="63"/>
      <c r="AK380" s="63"/>
      <c r="AO380" s="63"/>
      <c r="AP380" s="63"/>
    </row>
    <row r="381" spans="2:42">
      <c r="B381" s="58"/>
      <c r="C381" s="63"/>
      <c r="D381" s="63"/>
      <c r="E381" s="66"/>
      <c r="H381" s="63"/>
      <c r="J381" s="56"/>
      <c r="K381" s="63"/>
      <c r="L381" s="63"/>
      <c r="M381"/>
      <c r="O381" s="65"/>
      <c r="P381" s="63"/>
      <c r="Q381" s="63"/>
      <c r="W381" s="63"/>
      <c r="X381" s="63"/>
      <c r="Z381" s="63"/>
      <c r="AA381" s="63"/>
      <c r="AB381" s="63"/>
      <c r="AC381" s="63"/>
      <c r="AD381" s="63"/>
      <c r="AI381" s="63"/>
      <c r="AJ381" s="63"/>
      <c r="AK381" s="63"/>
      <c r="AO381" s="63"/>
      <c r="AP381" s="63"/>
    </row>
    <row r="382" spans="2:42">
      <c r="B382" s="58"/>
      <c r="C382" s="63"/>
      <c r="D382" s="63"/>
      <c r="E382" s="66"/>
      <c r="H382" s="63"/>
      <c r="J382" s="56"/>
      <c r="K382" s="63"/>
      <c r="L382" s="63"/>
      <c r="M382"/>
      <c r="O382" s="65"/>
      <c r="P382" s="63"/>
      <c r="Q382" s="63"/>
      <c r="W382" s="63"/>
      <c r="X382" s="63"/>
      <c r="Z382" s="63"/>
      <c r="AA382" s="63"/>
      <c r="AB382" s="63"/>
      <c r="AC382" s="63"/>
      <c r="AD382" s="63"/>
      <c r="AI382" s="63"/>
      <c r="AJ382" s="63"/>
      <c r="AK382" s="63"/>
      <c r="AO382" s="63"/>
      <c r="AP382" s="63"/>
    </row>
    <row r="383" spans="2:42">
      <c r="B383" s="58"/>
      <c r="C383" s="63"/>
      <c r="D383" s="63"/>
      <c r="E383" s="66"/>
      <c r="H383" s="63"/>
      <c r="J383" s="56"/>
      <c r="K383" s="63"/>
      <c r="L383" s="63"/>
      <c r="M383"/>
      <c r="O383" s="65"/>
      <c r="P383" s="63"/>
      <c r="Q383" s="63"/>
      <c r="W383" s="63"/>
      <c r="X383" s="63"/>
      <c r="Z383" s="63"/>
      <c r="AA383" s="63"/>
      <c r="AB383" s="63"/>
      <c r="AC383" s="63"/>
      <c r="AD383" s="63"/>
      <c r="AI383" s="63"/>
      <c r="AJ383" s="63"/>
      <c r="AK383" s="63"/>
      <c r="AO383" s="63"/>
      <c r="AP383" s="63"/>
    </row>
    <row r="384" spans="2:42">
      <c r="B384" s="58"/>
      <c r="C384" s="63"/>
      <c r="D384" s="63"/>
      <c r="E384" s="66"/>
      <c r="H384" s="63"/>
      <c r="J384" s="56"/>
      <c r="K384" s="63"/>
      <c r="L384" s="63"/>
      <c r="M384"/>
      <c r="O384" s="65"/>
      <c r="P384" s="63"/>
      <c r="Q384" s="63"/>
      <c r="W384" s="63"/>
      <c r="X384" s="63"/>
      <c r="Z384" s="63"/>
      <c r="AA384" s="63"/>
      <c r="AB384" s="63"/>
      <c r="AC384" s="63"/>
      <c r="AD384" s="63"/>
      <c r="AI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L385" s="63"/>
      <c r="M385"/>
      <c r="O385" s="65"/>
      <c r="P385" s="63"/>
      <c r="Q385" s="63"/>
      <c r="W385" s="63"/>
      <c r="X385" s="63"/>
      <c r="Z385" s="63"/>
      <c r="AA385" s="63"/>
      <c r="AB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L386" s="63"/>
      <c r="M386"/>
      <c r="O386" s="65"/>
      <c r="P386" s="63"/>
      <c r="Q386" s="63"/>
      <c r="W386" s="63"/>
      <c r="X386" s="63"/>
      <c r="Z386" s="63"/>
      <c r="AA386" s="63"/>
      <c r="AB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L387" s="63"/>
      <c r="M387"/>
      <c r="O387" s="65"/>
      <c r="P387" s="63"/>
      <c r="Q387" s="63"/>
      <c r="W387" s="63"/>
      <c r="X387" s="63"/>
      <c r="Z387" s="63"/>
      <c r="AA387" s="63"/>
      <c r="AB387" s="63"/>
      <c r="AC387" s="63"/>
      <c r="AD387" s="63"/>
      <c r="AI387" s="63"/>
      <c r="AJ387" s="63"/>
      <c r="AK387" s="63"/>
      <c r="AO387" s="63"/>
      <c r="AP387" s="63"/>
    </row>
    <row r="388" spans="2:42">
      <c r="B388" s="58"/>
      <c r="C388" s="63"/>
      <c r="D388" s="63"/>
      <c r="E388" s="66"/>
      <c r="H388" s="63"/>
      <c r="J388" s="56"/>
      <c r="K388" s="63"/>
      <c r="L388" s="63"/>
      <c r="M388"/>
      <c r="O388" s="65"/>
      <c r="P388" s="63"/>
      <c r="Q388" s="63"/>
      <c r="W388" s="63"/>
      <c r="X388" s="63"/>
      <c r="Z388" s="63"/>
      <c r="AA388" s="63"/>
      <c r="AB388" s="63"/>
      <c r="AC388" s="63"/>
      <c r="AD388" s="63"/>
      <c r="AI388" s="63"/>
      <c r="AJ388" s="63"/>
      <c r="AK388" s="63"/>
      <c r="AO388" s="63"/>
      <c r="AP388" s="63"/>
    </row>
    <row r="389" spans="2:42">
      <c r="B389" s="58"/>
      <c r="C389" s="63"/>
      <c r="D389" s="63"/>
      <c r="E389" s="66"/>
      <c r="H389" s="63"/>
      <c r="J389" s="56"/>
      <c r="K389" s="63"/>
      <c r="L389" s="63"/>
      <c r="M389"/>
      <c r="O389" s="65"/>
      <c r="P389" s="63"/>
      <c r="Q389" s="63"/>
      <c r="W389" s="63"/>
      <c r="X389" s="63"/>
      <c r="Z389" s="63"/>
      <c r="AA389" s="63"/>
      <c r="AB389" s="63"/>
      <c r="AC389" s="63"/>
      <c r="AD389" s="63"/>
      <c r="AI389" s="63"/>
      <c r="AJ389" s="63"/>
      <c r="AK389" s="63"/>
      <c r="AO389" s="63"/>
      <c r="AP389" s="63"/>
    </row>
    <row r="390" spans="2:42">
      <c r="B390" s="58"/>
      <c r="C390" s="63"/>
      <c r="D390" s="63"/>
      <c r="E390" s="66"/>
      <c r="H390" s="63"/>
      <c r="J390" s="56"/>
      <c r="K390" s="63"/>
      <c r="L390" s="63"/>
      <c r="M390"/>
      <c r="O390" s="65"/>
      <c r="P390" s="63"/>
      <c r="Q390" s="63"/>
      <c r="W390" s="63"/>
      <c r="X390" s="63"/>
      <c r="Z390" s="63"/>
      <c r="AA390" s="63"/>
      <c r="AB390" s="63"/>
      <c r="AC390" s="63"/>
      <c r="AD390" s="63"/>
      <c r="AI390" s="63"/>
      <c r="AJ390" s="63"/>
      <c r="AK390" s="63"/>
      <c r="AO390" s="63"/>
      <c r="AP390" s="63"/>
    </row>
    <row r="391" spans="2:42">
      <c r="B391" s="58"/>
      <c r="C391" s="63"/>
      <c r="D391" s="63"/>
      <c r="E391" s="66"/>
      <c r="H391" s="63"/>
      <c r="J391" s="56"/>
      <c r="K391" s="63"/>
      <c r="L391" s="63"/>
      <c r="M391"/>
      <c r="O391" s="65"/>
      <c r="P391" s="63"/>
      <c r="Q391" s="63"/>
      <c r="W391" s="63"/>
      <c r="X391" s="63"/>
      <c r="Z391" s="63"/>
      <c r="AA391" s="63"/>
      <c r="AB391" s="63"/>
      <c r="AC391" s="63"/>
      <c r="AD391" s="63"/>
      <c r="AI391" s="63"/>
      <c r="AJ391" s="63"/>
      <c r="AK391" s="63"/>
      <c r="AO391" s="63"/>
      <c r="AP391" s="63"/>
    </row>
    <row r="392" spans="2:42">
      <c r="B392" s="58"/>
      <c r="C392" s="63"/>
      <c r="D392" s="63"/>
      <c r="E392" s="66"/>
      <c r="H392" s="63"/>
      <c r="J392" s="56"/>
      <c r="K392" s="63"/>
      <c r="L392" s="63"/>
      <c r="M392"/>
      <c r="O392" s="65"/>
      <c r="P392" s="63"/>
      <c r="Q392" s="63"/>
      <c r="W392" s="63"/>
      <c r="X392" s="63"/>
      <c r="Z392" s="63"/>
      <c r="AA392" s="63"/>
      <c r="AB392" s="63"/>
      <c r="AC392" s="63"/>
      <c r="AD392" s="63"/>
      <c r="AI392" s="63"/>
      <c r="AJ392" s="63"/>
      <c r="AK392" s="63"/>
      <c r="AO392" s="63"/>
      <c r="AP392" s="63"/>
    </row>
    <row r="393" spans="2:42">
      <c r="B393" s="58"/>
      <c r="C393" s="63"/>
      <c r="D393" s="63"/>
      <c r="E393" s="66"/>
      <c r="H393" s="63"/>
      <c r="J393" s="56"/>
      <c r="K393" s="63"/>
      <c r="L393" s="63"/>
      <c r="M393"/>
      <c r="O393" s="65"/>
      <c r="P393" s="63"/>
      <c r="Q393" s="63"/>
      <c r="W393" s="63"/>
      <c r="X393" s="63"/>
      <c r="Z393" s="63"/>
      <c r="AA393" s="63"/>
      <c r="AB393" s="63"/>
      <c r="AC393" s="63"/>
      <c r="AD393" s="63"/>
      <c r="AI393" s="63"/>
      <c r="AJ393" s="63"/>
      <c r="AK393" s="63"/>
      <c r="AO393" s="63"/>
      <c r="AP393" s="63"/>
    </row>
    <row r="394" spans="2:42">
      <c r="B394" s="58"/>
      <c r="C394" s="63"/>
      <c r="D394" s="63"/>
      <c r="E394" s="66"/>
      <c r="H394" s="63"/>
      <c r="J394" s="56"/>
      <c r="K394" s="63"/>
      <c r="L394" s="63"/>
      <c r="M394"/>
      <c r="O394" s="65"/>
      <c r="P394" s="63"/>
      <c r="Q394" s="63"/>
      <c r="W394" s="63"/>
      <c r="X394" s="63"/>
      <c r="Z394" s="63"/>
      <c r="AA394" s="63"/>
      <c r="AB394" s="63"/>
      <c r="AC394" s="63"/>
      <c r="AD394" s="63"/>
      <c r="AI394" s="63"/>
      <c r="AJ394" s="63"/>
      <c r="AK394" s="63"/>
      <c r="AO394" s="63"/>
      <c r="AP394" s="63"/>
    </row>
    <row r="395" spans="2:42">
      <c r="B395" s="58"/>
      <c r="C395" s="63"/>
      <c r="D395" s="63"/>
      <c r="E395" s="66"/>
      <c r="H395" s="63"/>
      <c r="J395" s="56"/>
      <c r="K395" s="63"/>
      <c r="L395" s="63"/>
      <c r="M395"/>
      <c r="O395" s="65"/>
      <c r="P395" s="63"/>
      <c r="Q395" s="63"/>
      <c r="W395" s="63"/>
      <c r="X395" s="63"/>
      <c r="Z395" s="63"/>
      <c r="AA395" s="63"/>
      <c r="AB395" s="63"/>
      <c r="AC395" s="63"/>
      <c r="AD395" s="63"/>
      <c r="AI395" s="63"/>
      <c r="AJ395" s="63"/>
      <c r="AK395" s="63"/>
      <c r="AO395" s="63"/>
      <c r="AP395" s="63"/>
    </row>
    <row r="396" spans="2:42">
      <c r="B396" s="58"/>
      <c r="C396" s="63"/>
      <c r="D396" s="63"/>
      <c r="E396" s="66"/>
      <c r="H396" s="63"/>
      <c r="J396" s="56"/>
      <c r="K396" s="63"/>
      <c r="L396" s="63"/>
      <c r="M396"/>
      <c r="O396" s="65"/>
      <c r="P396" s="63"/>
      <c r="Q396" s="63"/>
      <c r="W396" s="63"/>
      <c r="X396" s="63"/>
      <c r="Z396" s="63"/>
      <c r="AA396" s="63"/>
      <c r="AB396" s="63"/>
      <c r="AC396" s="63"/>
      <c r="AD396" s="63"/>
      <c r="AI396" s="63"/>
      <c r="AJ396" s="63"/>
      <c r="AK396" s="63"/>
      <c r="AO396" s="63"/>
      <c r="AP396" s="63"/>
    </row>
    <row r="397" spans="2:42">
      <c r="B397" s="58"/>
      <c r="C397" s="63"/>
      <c r="D397" s="63"/>
      <c r="E397" s="66"/>
      <c r="H397" s="63"/>
      <c r="J397" s="56"/>
      <c r="K397" s="63"/>
      <c r="L397" s="63"/>
      <c r="M397"/>
      <c r="O397" s="65"/>
      <c r="P397" s="63"/>
      <c r="Q397" s="63"/>
      <c r="W397" s="63"/>
      <c r="X397" s="63"/>
      <c r="Z397" s="63"/>
      <c r="AA397" s="63"/>
      <c r="AB397" s="63"/>
      <c r="AC397" s="63"/>
      <c r="AD397" s="63"/>
      <c r="AI397" s="63"/>
      <c r="AJ397" s="63"/>
      <c r="AK397" s="63"/>
      <c r="AO397" s="63"/>
      <c r="AP397" s="63"/>
    </row>
    <row r="398" spans="2:42">
      <c r="B398" s="58"/>
      <c r="C398" s="63"/>
      <c r="D398" s="63"/>
      <c r="E398" s="66"/>
      <c r="H398" s="63"/>
      <c r="J398" s="56"/>
      <c r="K398" s="63"/>
      <c r="L398" s="63"/>
      <c r="M398"/>
      <c r="O398" s="65"/>
      <c r="P398" s="63"/>
      <c r="Q398" s="63"/>
      <c r="W398" s="63"/>
      <c r="X398" s="63"/>
      <c r="Z398" s="63"/>
      <c r="AA398" s="63"/>
      <c r="AB398" s="63"/>
      <c r="AC398" s="63"/>
      <c r="AD398" s="63"/>
      <c r="AI398" s="63"/>
      <c r="AJ398" s="63"/>
      <c r="AK398" s="63"/>
      <c r="AO398" s="63"/>
      <c r="AP398" s="63"/>
    </row>
    <row r="399" spans="2:42">
      <c r="B399" s="58"/>
      <c r="C399" s="63"/>
      <c r="D399" s="63"/>
      <c r="E399" s="66"/>
      <c r="H399" s="63"/>
      <c r="J399" s="56"/>
      <c r="K399" s="63"/>
      <c r="M399" s="71"/>
      <c r="P399" s="63"/>
      <c r="Q399" s="63"/>
      <c r="W399" s="63"/>
      <c r="X399" s="63"/>
      <c r="Z399" s="63"/>
      <c r="AA399" s="63"/>
      <c r="AB399" s="63"/>
      <c r="AC399" s="63"/>
      <c r="AD399" s="63"/>
      <c r="AI399" s="63"/>
      <c r="AJ399" s="63"/>
      <c r="AK399" s="63"/>
      <c r="AO399" s="63"/>
      <c r="AP399" s="63"/>
    </row>
    <row r="400" spans="2:42">
      <c r="B400" s="58"/>
      <c r="C400" s="63"/>
      <c r="D400" s="63"/>
      <c r="E400" s="66"/>
      <c r="H400" s="63"/>
      <c r="J400" s="56"/>
      <c r="K400" s="63"/>
      <c r="M400" s="71"/>
      <c r="P400" s="63"/>
      <c r="Q400" s="63"/>
      <c r="W400" s="63"/>
      <c r="X400" s="63"/>
      <c r="Z400" s="63"/>
      <c r="AA400" s="63"/>
      <c r="AB400" s="63"/>
      <c r="AC400" s="63"/>
      <c r="AD400" s="63"/>
      <c r="AI400" s="63"/>
      <c r="AJ400" s="63"/>
      <c r="AK400" s="63"/>
      <c r="AO400" s="63"/>
      <c r="AP400" s="63"/>
    </row>
    <row r="401" spans="2:42">
      <c r="B401" s="58"/>
      <c r="C401" s="63"/>
      <c r="D401" s="63"/>
      <c r="E401" s="66"/>
      <c r="H401" s="63"/>
      <c r="J401" s="56"/>
      <c r="K401" s="63"/>
      <c r="M401" s="71"/>
      <c r="P401" s="63"/>
      <c r="Q401" s="63"/>
      <c r="W401" s="63"/>
      <c r="X401" s="63"/>
      <c r="Z401" s="63"/>
      <c r="AA401" s="63"/>
      <c r="AB401" s="63"/>
      <c r="AC401" s="63"/>
      <c r="AD401" s="63"/>
      <c r="AI401" s="63"/>
      <c r="AJ401" s="63"/>
      <c r="AK401" s="63"/>
      <c r="AO401" s="63"/>
      <c r="AP401" s="63"/>
    </row>
    <row r="402" spans="2:42">
      <c r="B402" s="58"/>
      <c r="C402" s="63"/>
      <c r="D402" s="63"/>
      <c r="E402" s="66"/>
      <c r="H402" s="63"/>
      <c r="J402" s="56"/>
      <c r="K402" s="63"/>
      <c r="M402" s="71"/>
      <c r="P402" s="63"/>
      <c r="Q402" s="63"/>
      <c r="W402" s="63"/>
      <c r="X402" s="63"/>
      <c r="Z402" s="63"/>
      <c r="AA402" s="63"/>
      <c r="AB402" s="63"/>
      <c r="AC402" s="63"/>
      <c r="AD402" s="63"/>
      <c r="AI402" s="63"/>
      <c r="AJ402" s="63"/>
      <c r="AK402" s="63"/>
      <c r="AO402" s="63"/>
      <c r="AP402" s="63"/>
    </row>
    <row r="403" spans="2:42">
      <c r="B403" s="58"/>
      <c r="C403" s="63"/>
      <c r="D403" s="63"/>
      <c r="E403" s="66"/>
      <c r="H403" s="63"/>
      <c r="J403" s="56"/>
      <c r="K403" s="63"/>
      <c r="M403" s="71"/>
      <c r="P403" s="63"/>
      <c r="Q403" s="63"/>
      <c r="W403" s="58"/>
      <c r="X403" s="63"/>
      <c r="Z403" s="63"/>
      <c r="AA403" s="63"/>
      <c r="AC403" s="63"/>
      <c r="AD403" s="63"/>
      <c r="AI403" s="63"/>
      <c r="AJ403" s="63"/>
      <c r="AK403" s="63"/>
      <c r="AO403" s="63"/>
      <c r="AP403" s="63"/>
    </row>
    <row r="404" spans="2:42">
      <c r="B404" s="58"/>
      <c r="C404" s="63"/>
      <c r="D404" s="63"/>
      <c r="E404" s="66"/>
      <c r="H404" s="63"/>
      <c r="J404" s="56"/>
      <c r="K404" s="63"/>
      <c r="M404" s="71"/>
      <c r="P404" s="63"/>
      <c r="Q404" s="63"/>
      <c r="W404" s="58"/>
      <c r="X404" s="63"/>
      <c r="Z404" s="63"/>
      <c r="AA404" s="63"/>
      <c r="AC404" s="63"/>
      <c r="AD404" s="63"/>
      <c r="AI404" s="63"/>
      <c r="AJ404" s="63"/>
      <c r="AK404" s="63"/>
      <c r="AO404" s="63"/>
      <c r="AP404" s="63"/>
    </row>
    <row r="405" spans="2:42">
      <c r="B405" s="58"/>
      <c r="C405" s="63"/>
      <c r="D405" s="63"/>
      <c r="E405" s="66"/>
      <c r="H405" s="63"/>
      <c r="J405" s="56"/>
      <c r="K405" s="63"/>
      <c r="M405" s="71"/>
      <c r="P405" s="63"/>
      <c r="Q405" s="63"/>
      <c r="W405" s="58"/>
      <c r="X405" s="63"/>
      <c r="Z405" s="63"/>
      <c r="AA405" s="63"/>
      <c r="AC405" s="63"/>
      <c r="AD405" s="63"/>
      <c r="AI405" s="63"/>
      <c r="AJ405" s="63"/>
      <c r="AK405" s="63"/>
      <c r="AO405" s="63"/>
      <c r="AP405" s="63"/>
    </row>
    <row r="406" spans="2:42">
      <c r="B406" s="58"/>
      <c r="C406" s="63"/>
      <c r="D406" s="63"/>
      <c r="E406" s="66"/>
      <c r="H406" s="63"/>
      <c r="J406" s="56"/>
      <c r="K406" s="63"/>
      <c r="M406" s="71"/>
      <c r="P406" s="63"/>
      <c r="Q406" s="63"/>
      <c r="W406" s="63"/>
      <c r="X406" s="63"/>
      <c r="Z406" s="63"/>
      <c r="AA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M407" s="71"/>
      <c r="P407" s="63"/>
      <c r="Q407" s="63"/>
      <c r="W407" s="63"/>
      <c r="X407" s="63"/>
      <c r="Z407" s="63"/>
      <c r="AA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M408" s="71"/>
      <c r="P408" s="63"/>
      <c r="Q408" s="63"/>
      <c r="W408" s="63"/>
      <c r="X408" s="63"/>
      <c r="Z408" s="63"/>
      <c r="AA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M409" s="71"/>
      <c r="P409" s="63"/>
      <c r="Q409" s="63"/>
      <c r="W409" s="63"/>
      <c r="X409" s="63"/>
      <c r="Z409" s="63"/>
      <c r="AA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M410" s="71"/>
      <c r="P410" s="63"/>
      <c r="Q410" s="63"/>
      <c r="W410" s="63"/>
      <c r="X410" s="63"/>
      <c r="Z410" s="63"/>
      <c r="AA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M411" s="71"/>
      <c r="P411" s="63"/>
      <c r="Q411" s="63"/>
      <c r="W411" s="63"/>
      <c r="X411" s="63"/>
      <c r="Z411" s="63"/>
      <c r="AA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M412" s="71"/>
      <c r="P412" s="63"/>
      <c r="Q412" s="63"/>
      <c r="W412" s="63"/>
      <c r="X412" s="63"/>
      <c r="Z412" s="63"/>
      <c r="AA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M413" s="71"/>
      <c r="P413" s="63"/>
      <c r="Q413" s="63"/>
      <c r="W413" s="63"/>
      <c r="X413" s="63"/>
      <c r="Z413" s="63"/>
      <c r="AA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J414" s="56"/>
      <c r="K414" s="63"/>
      <c r="M414" s="71"/>
      <c r="P414" s="63"/>
      <c r="Q414" s="63"/>
      <c r="W414" s="63"/>
      <c r="X414" s="63"/>
      <c r="Z414" s="63"/>
      <c r="AA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J415" s="56"/>
      <c r="K415" s="63"/>
      <c r="M415" s="71"/>
      <c r="P415" s="63"/>
      <c r="Q415" s="63"/>
      <c r="W415" s="63"/>
      <c r="X415" s="63"/>
      <c r="Z415" s="63"/>
      <c r="AA415" s="63"/>
      <c r="AC415" s="63"/>
      <c r="AD415" s="63"/>
      <c r="AI415" s="63"/>
      <c r="AJ415" s="63"/>
      <c r="AK415" s="63"/>
      <c r="AO415" s="63"/>
      <c r="AP415" s="63"/>
    </row>
    <row r="416" spans="2:42">
      <c r="B416" s="58"/>
      <c r="C416" s="63"/>
      <c r="D416" s="63"/>
      <c r="E416" s="66"/>
      <c r="H416" s="63"/>
      <c r="J416" s="56"/>
      <c r="K416" s="63"/>
      <c r="M416" s="71"/>
      <c r="P416" s="63"/>
      <c r="Q416" s="63"/>
      <c r="W416" s="63"/>
      <c r="X416" s="63"/>
      <c r="Z416" s="63"/>
      <c r="AA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J417" s="56"/>
      <c r="K417" s="63"/>
      <c r="M417" s="71"/>
      <c r="P417" s="63"/>
      <c r="Q417" s="63"/>
      <c r="W417" s="63"/>
      <c r="X417" s="63"/>
      <c r="Z417" s="63"/>
      <c r="AA417" s="63"/>
      <c r="AC417" s="63"/>
      <c r="AD417" s="63"/>
      <c r="AI417" s="63"/>
      <c r="AJ417" s="63"/>
      <c r="AK417" s="63"/>
      <c r="AO417" s="63"/>
      <c r="AP417" s="63"/>
    </row>
    <row r="418" spans="2:42">
      <c r="B418" s="58"/>
      <c r="C418" s="63"/>
      <c r="D418" s="63"/>
      <c r="E418" s="66"/>
      <c r="H418" s="63"/>
      <c r="J418" s="56"/>
      <c r="K418" s="63"/>
      <c r="M418" s="71"/>
      <c r="P418" s="63"/>
      <c r="Q418" s="63"/>
      <c r="W418" s="63"/>
      <c r="X418" s="63"/>
      <c r="Z418" s="63"/>
      <c r="AA418" s="63"/>
      <c r="AC418" s="63"/>
      <c r="AD418" s="63"/>
      <c r="AI418" s="63"/>
      <c r="AJ418" s="63"/>
      <c r="AK418" s="63"/>
      <c r="AO418" s="63"/>
      <c r="AP418" s="63"/>
    </row>
    <row r="419" spans="2:42">
      <c r="B419" s="57"/>
      <c r="C419" s="63"/>
      <c r="D419" s="63"/>
      <c r="E419" s="66"/>
      <c r="H419" s="63"/>
      <c r="I419" s="57"/>
      <c r="J419" s="56"/>
      <c r="K419" s="63"/>
      <c r="L419" s="63"/>
      <c r="M419" s="71"/>
      <c r="O419" s="65"/>
      <c r="P419" s="63"/>
      <c r="Q419" s="63"/>
      <c r="W419" s="63"/>
      <c r="X419" s="63"/>
      <c r="Z419" s="63"/>
      <c r="AA419" s="63"/>
      <c r="AC419" s="63"/>
      <c r="AD419" s="63"/>
      <c r="AI419" s="63"/>
      <c r="AJ419" s="63"/>
      <c r="AK419" s="63"/>
      <c r="AO419" s="63"/>
      <c r="AP419" s="63"/>
    </row>
    <row r="420" spans="2:42">
      <c r="B420" s="57"/>
      <c r="C420" s="63"/>
      <c r="D420" s="63"/>
      <c r="E420" s="66"/>
      <c r="H420" s="63"/>
      <c r="I420" s="57"/>
      <c r="J420" s="56"/>
      <c r="K420" s="63"/>
      <c r="L420" s="63"/>
      <c r="M420" s="71"/>
      <c r="O420" s="65"/>
      <c r="P420" s="63"/>
      <c r="Q420" s="63"/>
      <c r="W420" s="63"/>
      <c r="X420" s="63"/>
      <c r="Z420" s="63"/>
      <c r="AA420" s="63"/>
      <c r="AC420" s="63"/>
      <c r="AD420" s="63"/>
      <c r="AI420" s="63"/>
      <c r="AJ420" s="63"/>
      <c r="AK420" s="63"/>
      <c r="AO420" s="63"/>
      <c r="AP420" s="63"/>
    </row>
    <row r="421" spans="2:42">
      <c r="B421" s="57"/>
      <c r="C421" s="63"/>
      <c r="D421" s="63"/>
      <c r="E421" s="66"/>
      <c r="H421" s="63"/>
      <c r="I421" s="57"/>
      <c r="J421" s="56"/>
      <c r="K421" s="63"/>
      <c r="L421" s="63"/>
      <c r="M421" s="71"/>
      <c r="O421" s="65"/>
      <c r="P421" s="63"/>
      <c r="Q421" s="63"/>
      <c r="W421" s="63"/>
      <c r="X421" s="63"/>
      <c r="Z421" s="63"/>
      <c r="AA421" s="63"/>
      <c r="AC421" s="63"/>
      <c r="AD421" s="63"/>
      <c r="AI421" s="63"/>
      <c r="AJ421" s="63"/>
      <c r="AK421" s="63"/>
      <c r="AO421" s="63"/>
      <c r="AP421" s="63"/>
    </row>
    <row r="422" spans="2:42">
      <c r="B422" s="57"/>
      <c r="C422" s="63"/>
      <c r="D422" s="63"/>
      <c r="E422" s="66"/>
      <c r="H422" s="63"/>
      <c r="I422" s="57"/>
      <c r="J422" s="56"/>
      <c r="K422" s="63"/>
      <c r="L422" s="63"/>
      <c r="M422" s="71"/>
      <c r="O422" s="65"/>
      <c r="P422" s="63"/>
      <c r="Q422" s="63"/>
      <c r="W422" s="63"/>
      <c r="X422" s="63"/>
      <c r="Z422" s="63"/>
      <c r="AA422" s="63"/>
      <c r="AC422" s="63"/>
      <c r="AD422" s="63"/>
      <c r="AI422" s="63"/>
      <c r="AJ422" s="63"/>
      <c r="AK422" s="63"/>
      <c r="AO422" s="63"/>
      <c r="AP422" s="63"/>
    </row>
    <row r="423" spans="2:42">
      <c r="B423" s="57"/>
      <c r="C423" s="63"/>
      <c r="D423" s="63"/>
      <c r="E423" s="66"/>
      <c r="H423" s="63"/>
      <c r="I423" s="57"/>
      <c r="J423" s="56"/>
      <c r="K423" s="63"/>
      <c r="L423" s="63"/>
      <c r="M423" s="71"/>
      <c r="O423" s="65"/>
      <c r="P423" s="63"/>
      <c r="Q423" s="63"/>
      <c r="W423" s="63"/>
      <c r="X423" s="63"/>
      <c r="Z423" s="63"/>
      <c r="AA423" s="63"/>
      <c r="AC423" s="63"/>
      <c r="AD423" s="63"/>
      <c r="AI423" s="63"/>
      <c r="AJ423" s="63"/>
      <c r="AK423" s="63"/>
      <c r="AO423" s="63"/>
      <c r="AP423" s="63"/>
    </row>
    <row r="424" spans="2:42">
      <c r="B424" s="57"/>
      <c r="C424" s="63"/>
      <c r="D424" s="63"/>
      <c r="E424" s="66"/>
      <c r="H424" s="63"/>
      <c r="I424" s="57"/>
      <c r="J424" s="56"/>
      <c r="K424" s="63"/>
      <c r="L424" s="63"/>
      <c r="M424" s="71"/>
      <c r="O424" s="65"/>
      <c r="P424" s="63"/>
      <c r="Q424" s="63"/>
      <c r="W424" s="63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7"/>
      <c r="C425" s="63"/>
      <c r="D425" s="63"/>
      <c r="E425" s="66"/>
      <c r="H425" s="63"/>
      <c r="I425" s="57"/>
      <c r="J425" s="56"/>
      <c r="K425" s="63"/>
      <c r="L425" s="63"/>
      <c r="M425" s="71"/>
      <c r="O425" s="65"/>
      <c r="P425" s="63"/>
      <c r="Q425" s="63"/>
      <c r="W425" s="63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7"/>
      <c r="C426" s="63"/>
      <c r="D426" s="63"/>
      <c r="E426" s="66"/>
      <c r="H426" s="63"/>
      <c r="I426" s="57"/>
      <c r="J426" s="56"/>
      <c r="K426" s="63"/>
      <c r="L426" s="63"/>
      <c r="M426" s="71"/>
      <c r="O426" s="65"/>
      <c r="P426" s="63"/>
      <c r="Q426" s="63"/>
      <c r="W426" s="63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7"/>
      <c r="C427" s="63"/>
      <c r="D427" s="63"/>
      <c r="E427" s="66"/>
      <c r="H427" s="63"/>
      <c r="I427" s="57"/>
      <c r="J427" s="56"/>
      <c r="K427" s="63"/>
      <c r="L427" s="63"/>
      <c r="M427" s="71"/>
      <c r="O427" s="65"/>
      <c r="P427" s="63"/>
      <c r="Q427" s="63"/>
      <c r="W427" s="63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7"/>
      <c r="C428" s="63"/>
      <c r="D428" s="63"/>
      <c r="E428" s="66"/>
      <c r="H428" s="63"/>
      <c r="I428" s="57"/>
      <c r="J428" s="56"/>
      <c r="K428" s="63"/>
      <c r="L428" s="63"/>
      <c r="M428" s="71"/>
      <c r="O428" s="65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7"/>
      <c r="C429" s="63"/>
      <c r="D429" s="63"/>
      <c r="E429" s="66"/>
      <c r="H429" s="63"/>
      <c r="I429" s="57"/>
      <c r="J429" s="56"/>
      <c r="K429" s="63"/>
      <c r="L429" s="63"/>
      <c r="M429" s="71"/>
      <c r="O429" s="65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7"/>
      <c r="C430" s="63"/>
      <c r="D430" s="63"/>
      <c r="E430" s="66"/>
      <c r="H430" s="63"/>
      <c r="I430" s="57"/>
      <c r="J430" s="56"/>
      <c r="K430" s="63"/>
      <c r="L430" s="63"/>
      <c r="M430" s="71"/>
      <c r="O430" s="65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7"/>
      <c r="C431" s="63"/>
      <c r="D431" s="63"/>
      <c r="E431" s="66"/>
      <c r="H431" s="63"/>
      <c r="I431" s="57"/>
      <c r="J431" s="56"/>
      <c r="K431" s="63"/>
      <c r="L431" s="63"/>
      <c r="M431" s="71"/>
      <c r="O431" s="65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7"/>
      <c r="C432" s="63"/>
      <c r="D432" s="63"/>
      <c r="E432" s="66"/>
      <c r="H432" s="63"/>
      <c r="I432" s="57"/>
      <c r="J432" s="56"/>
      <c r="K432" s="63"/>
      <c r="L432" s="63"/>
      <c r="M432" s="71"/>
      <c r="O432" s="65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7"/>
      <c r="C433" s="63"/>
      <c r="D433" s="63"/>
      <c r="E433" s="66"/>
      <c r="H433" s="63"/>
      <c r="I433" s="57"/>
      <c r="J433" s="56"/>
      <c r="K433" s="63"/>
      <c r="L433" s="63"/>
      <c r="M433" s="71"/>
      <c r="O433" s="65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7"/>
      <c r="C434" s="63"/>
      <c r="D434" s="63"/>
      <c r="E434" s="66"/>
      <c r="H434" s="63"/>
      <c r="I434" s="57"/>
      <c r="J434" s="56"/>
      <c r="K434" s="63"/>
      <c r="L434" s="63"/>
      <c r="M434" s="71"/>
      <c r="O434" s="65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7"/>
      <c r="C435" s="63"/>
      <c r="D435" s="63"/>
      <c r="E435" s="66"/>
      <c r="H435" s="63"/>
      <c r="I435" s="57"/>
      <c r="J435" s="56"/>
      <c r="K435" s="63"/>
      <c r="L435" s="63"/>
      <c r="M435" s="71"/>
      <c r="O435" s="65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7"/>
      <c r="C436" s="63"/>
      <c r="D436" s="63"/>
      <c r="E436" s="66"/>
      <c r="H436" s="63"/>
      <c r="I436" s="57"/>
      <c r="J436" s="56"/>
      <c r="K436" s="63"/>
      <c r="L436" s="63"/>
      <c r="M436" s="71"/>
      <c r="O436" s="65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7"/>
      <c r="C437" s="63"/>
      <c r="D437" s="63"/>
      <c r="E437" s="66"/>
      <c r="H437" s="63"/>
      <c r="I437" s="57"/>
      <c r="J437" s="56"/>
      <c r="K437" s="63"/>
      <c r="L437" s="63"/>
      <c r="M437" s="71"/>
      <c r="O437" s="65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J438" s="56"/>
      <c r="K438" s="63"/>
      <c r="L438" s="63"/>
      <c r="O438" s="65"/>
      <c r="P438" s="63"/>
      <c r="Q438" s="63"/>
      <c r="W438" s="58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J439" s="56"/>
      <c r="K439" s="63"/>
      <c r="L439" s="63"/>
      <c r="O439" s="65"/>
      <c r="P439" s="63"/>
      <c r="Q439" s="63"/>
      <c r="W439" s="58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J440" s="56"/>
      <c r="K440" s="63"/>
      <c r="L440" s="63"/>
      <c r="O440" s="65"/>
      <c r="P440" s="63"/>
      <c r="Q440" s="63"/>
      <c r="W440" s="58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8"/>
      <c r="C441" s="63"/>
      <c r="D441" s="63"/>
      <c r="E441" s="66"/>
      <c r="H441" s="63"/>
      <c r="J441" s="56"/>
      <c r="K441" s="63"/>
      <c r="L441" s="63"/>
      <c r="O441" s="65"/>
      <c r="P441" s="63"/>
      <c r="Q441" s="63"/>
      <c r="W441" s="58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8"/>
      <c r="C442" s="63"/>
      <c r="D442" s="63"/>
      <c r="E442" s="66"/>
      <c r="H442" s="63"/>
      <c r="J442" s="56"/>
      <c r="K442" s="63"/>
      <c r="L442" s="63"/>
      <c r="O442" s="65"/>
      <c r="P442" s="63"/>
      <c r="Q442" s="63"/>
      <c r="W442" s="58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8"/>
      <c r="C443" s="63"/>
      <c r="D443" s="63"/>
      <c r="E443" s="66"/>
      <c r="H443" s="63"/>
      <c r="J443" s="56"/>
      <c r="K443" s="63"/>
      <c r="L443" s="63"/>
      <c r="O443" s="65"/>
      <c r="P443" s="63"/>
      <c r="Q443" s="63"/>
      <c r="W443" s="58"/>
      <c r="X443" s="63"/>
      <c r="Z443" s="63"/>
      <c r="AA443" s="63"/>
      <c r="AC443" s="63"/>
      <c r="AD443" s="63"/>
      <c r="AI443" s="63"/>
      <c r="AJ443" s="63"/>
      <c r="AK443" s="63"/>
      <c r="AO443" s="63"/>
      <c r="AP443" s="63"/>
    </row>
    <row r="444" spans="2:42">
      <c r="B444" s="58"/>
      <c r="C444" s="63"/>
      <c r="D444" s="63"/>
      <c r="E444" s="66"/>
      <c r="H444" s="63"/>
      <c r="J444" s="56"/>
      <c r="K444" s="63"/>
      <c r="L444" s="63"/>
      <c r="O444" s="65"/>
      <c r="P444" s="63"/>
      <c r="Q444" s="63"/>
      <c r="W444" s="58"/>
      <c r="X444" s="63"/>
      <c r="Z444" s="63"/>
      <c r="AA444" s="63"/>
      <c r="AC444" s="63"/>
      <c r="AD444" s="63"/>
      <c r="AI444" s="63"/>
      <c r="AJ444" s="63"/>
      <c r="AK444" s="63"/>
      <c r="AO444" s="63"/>
      <c r="AP444" s="63"/>
    </row>
    <row r="445" spans="2:42">
      <c r="B445" s="58"/>
      <c r="C445" s="63"/>
      <c r="D445" s="63"/>
      <c r="E445" s="66"/>
      <c r="H445" s="63"/>
      <c r="J445" s="56"/>
      <c r="K445" s="63"/>
      <c r="L445" s="63"/>
      <c r="O445" s="65"/>
      <c r="P445" s="63"/>
      <c r="Q445" s="63"/>
      <c r="W445" s="58"/>
      <c r="X445" s="63"/>
      <c r="Z445" s="63"/>
      <c r="AA445" s="63"/>
      <c r="AC445" s="63"/>
      <c r="AD445" s="63"/>
      <c r="AI445" s="63"/>
      <c r="AJ445" s="63"/>
      <c r="AK445" s="63"/>
      <c r="AO445" s="63"/>
      <c r="AP445" s="63"/>
    </row>
    <row r="446" spans="2:42">
      <c r="B446" s="58"/>
      <c r="C446" s="63"/>
      <c r="D446" s="63"/>
      <c r="E446" s="66"/>
      <c r="H446" s="63"/>
      <c r="J446" s="56"/>
      <c r="K446" s="63"/>
      <c r="L446" s="63"/>
      <c r="O446" s="65"/>
      <c r="P446" s="63"/>
      <c r="Q446" s="63"/>
      <c r="W446" s="58"/>
      <c r="X446" s="63"/>
      <c r="Z446" s="63"/>
      <c r="AA446" s="63"/>
      <c r="AC446" s="63"/>
      <c r="AD446" s="63"/>
      <c r="AI446" s="63"/>
      <c r="AJ446" s="63"/>
      <c r="AK446" s="63"/>
      <c r="AO446" s="63"/>
      <c r="AP446" s="63"/>
    </row>
    <row r="447" spans="2:42">
      <c r="B447" s="58"/>
      <c r="C447" s="63"/>
      <c r="D447" s="63"/>
      <c r="E447" s="66"/>
      <c r="H447" s="63"/>
      <c r="J447" s="56"/>
      <c r="K447" s="63"/>
      <c r="L447" s="63"/>
      <c r="O447" s="65"/>
      <c r="P447" s="63"/>
      <c r="Q447" s="63"/>
      <c r="W447" s="58"/>
      <c r="X447" s="63"/>
      <c r="Z447" s="63"/>
      <c r="AA447" s="63"/>
      <c r="AC447" s="63"/>
      <c r="AD447" s="63"/>
      <c r="AI447" s="63"/>
      <c r="AJ447" s="63"/>
      <c r="AK447" s="63"/>
      <c r="AO447" s="63"/>
      <c r="AP447" s="63"/>
    </row>
    <row r="448" spans="2:42">
      <c r="B448" s="58"/>
      <c r="C448" s="63"/>
      <c r="D448" s="63"/>
      <c r="E448" s="66"/>
      <c r="H448" s="63"/>
      <c r="J448" s="56"/>
      <c r="K448" s="63"/>
      <c r="L448" s="63"/>
      <c r="O448" s="65"/>
      <c r="P448" s="63"/>
      <c r="Q448" s="63"/>
      <c r="W448" s="58"/>
      <c r="X448" s="63"/>
      <c r="Z448" s="63"/>
      <c r="AA448" s="63"/>
      <c r="AC448" s="63"/>
      <c r="AD448" s="63"/>
      <c r="AI448" s="63"/>
      <c r="AJ448" s="63"/>
      <c r="AK448" s="63"/>
      <c r="AO448" s="63"/>
      <c r="AP448" s="63"/>
    </row>
    <row r="449" spans="2:42">
      <c r="B449" s="58"/>
      <c r="C449" s="63"/>
      <c r="D449" s="63"/>
      <c r="E449" s="66"/>
      <c r="H449" s="63"/>
      <c r="I449" s="63"/>
      <c r="J449" s="56"/>
      <c r="K449" s="63"/>
      <c r="L449" s="63"/>
      <c r="N449" s="58"/>
      <c r="O449" s="65"/>
      <c r="P449" s="63"/>
      <c r="Q449" s="63"/>
      <c r="W449" s="63"/>
      <c r="X449" s="63"/>
      <c r="Z449" s="63"/>
      <c r="AA449" s="63"/>
      <c r="AC449" s="63"/>
      <c r="AD449" s="63"/>
      <c r="AI449" s="63"/>
      <c r="AJ449" s="63"/>
      <c r="AK449" s="63"/>
      <c r="AO449" s="63"/>
      <c r="AP449" s="63"/>
    </row>
    <row r="450" spans="2:42">
      <c r="B450" s="58"/>
      <c r="C450" s="63"/>
      <c r="D450" s="63"/>
      <c r="E450" s="66"/>
      <c r="H450" s="63"/>
      <c r="I450" s="63"/>
      <c r="J450" s="56"/>
      <c r="K450" s="63"/>
      <c r="L450" s="63"/>
      <c r="N450" s="58"/>
      <c r="O450" s="65"/>
      <c r="P450" s="63"/>
      <c r="Q450" s="63"/>
      <c r="W450" s="63"/>
      <c r="X450" s="63"/>
      <c r="Z450" s="63"/>
      <c r="AA450" s="63"/>
      <c r="AC450" s="63"/>
      <c r="AD450" s="63"/>
      <c r="AI450" s="63"/>
      <c r="AJ450" s="63"/>
      <c r="AK450" s="63"/>
      <c r="AO450" s="63"/>
      <c r="AP450" s="63"/>
    </row>
    <row r="451" spans="2:42">
      <c r="B451" s="58"/>
      <c r="C451" s="63"/>
      <c r="D451" s="63"/>
      <c r="E451" s="66"/>
      <c r="H451" s="63"/>
      <c r="I451" s="63"/>
      <c r="J451" s="56"/>
      <c r="K451" s="63"/>
      <c r="L451" s="63"/>
      <c r="N451" s="58"/>
      <c r="O451" s="65"/>
      <c r="P451" s="63"/>
      <c r="Q451" s="63"/>
      <c r="W451" s="63"/>
      <c r="X451" s="63"/>
      <c r="Z451" s="63"/>
      <c r="AA451" s="63"/>
      <c r="AC451" s="63"/>
      <c r="AD451" s="63"/>
      <c r="AI451" s="63"/>
      <c r="AJ451" s="63"/>
      <c r="AK451" s="63"/>
      <c r="AO451" s="63"/>
      <c r="AP451" s="63"/>
    </row>
    <row r="452" spans="2:42">
      <c r="B452" s="58"/>
      <c r="C452" s="63"/>
      <c r="D452" s="63"/>
      <c r="E452" s="66"/>
      <c r="H452" s="63"/>
      <c r="I452" s="63"/>
      <c r="J452" s="56"/>
      <c r="K452" s="63"/>
      <c r="L452" s="63"/>
      <c r="N452" s="58"/>
      <c r="O452" s="65"/>
      <c r="P452" s="63"/>
      <c r="Q452" s="63"/>
      <c r="W452" s="63"/>
      <c r="X452" s="63"/>
      <c r="Z452" s="63"/>
      <c r="AA452" s="63"/>
      <c r="AC452" s="63"/>
      <c r="AD452" s="63"/>
      <c r="AI452" s="63"/>
      <c r="AJ452" s="63"/>
      <c r="AK452" s="63"/>
      <c r="AO452" s="63"/>
      <c r="AP452" s="63"/>
    </row>
    <row r="453" spans="2:42" s="59" customFormat="1">
      <c r="B453" s="72"/>
      <c r="C453" s="73"/>
      <c r="D453" s="73"/>
      <c r="E453" s="66"/>
      <c r="H453" s="63"/>
      <c r="I453" s="73"/>
      <c r="J453" s="74"/>
      <c r="K453" s="73"/>
      <c r="L453" s="73"/>
      <c r="M453" s="68"/>
      <c r="P453" s="73"/>
      <c r="Q453" s="73"/>
      <c r="W453" s="73"/>
      <c r="X453" s="73"/>
      <c r="Z453" s="73"/>
      <c r="AA453" s="63"/>
      <c r="AC453" s="73"/>
      <c r="AD453" s="73"/>
      <c r="AI453" s="73"/>
      <c r="AJ453" s="73"/>
      <c r="AK453" s="73"/>
      <c r="AN453" s="72"/>
      <c r="AO453" s="73"/>
      <c r="AP453" s="73"/>
    </row>
    <row r="454" spans="2:42" s="59" customFormat="1">
      <c r="B454" s="72"/>
      <c r="C454" s="73"/>
      <c r="D454" s="73"/>
      <c r="E454" s="66"/>
      <c r="H454" s="63"/>
      <c r="I454" s="73"/>
      <c r="J454" s="74"/>
      <c r="K454" s="73"/>
      <c r="L454" s="73"/>
      <c r="M454" s="68"/>
      <c r="P454" s="73"/>
      <c r="Q454" s="73"/>
      <c r="W454" s="73"/>
      <c r="X454" s="73"/>
      <c r="Z454" s="73"/>
      <c r="AA454" s="63"/>
      <c r="AC454" s="73"/>
      <c r="AD454" s="73"/>
      <c r="AI454" s="73"/>
      <c r="AJ454" s="73"/>
      <c r="AK454" s="73"/>
      <c r="AN454" s="72"/>
      <c r="AO454" s="73"/>
      <c r="AP454" s="73"/>
    </row>
    <row r="455" spans="2:42">
      <c r="B455" s="58"/>
      <c r="C455" s="63"/>
      <c r="D455" s="63"/>
      <c r="E455" s="66"/>
      <c r="H455" s="63"/>
      <c r="I455" s="63"/>
      <c r="J455" s="56"/>
      <c r="K455" s="63"/>
      <c r="L455" s="63"/>
      <c r="P455" s="63"/>
      <c r="Q455" s="63"/>
      <c r="W455" s="63"/>
      <c r="X455" s="63"/>
      <c r="Z455" s="63"/>
      <c r="AA455" s="63"/>
      <c r="AC455" s="63"/>
      <c r="AD455" s="63"/>
      <c r="AI455" s="63"/>
      <c r="AJ455" s="63"/>
      <c r="AK455" s="63"/>
      <c r="AO455" s="63"/>
      <c r="AP455" s="63"/>
    </row>
    <row r="456" spans="2:42">
      <c r="B456" s="58"/>
      <c r="C456" s="63"/>
      <c r="D456" s="63"/>
      <c r="E456" s="66"/>
      <c r="H456" s="63"/>
      <c r="I456" s="63"/>
      <c r="J456" s="56"/>
      <c r="K456" s="63"/>
      <c r="L456" s="63"/>
      <c r="P456" s="63"/>
      <c r="Q456" s="63"/>
      <c r="W456" s="63"/>
      <c r="X456" s="63"/>
      <c r="Z456" s="63"/>
      <c r="AA456" s="63"/>
      <c r="AC456" s="63"/>
      <c r="AD456" s="63"/>
      <c r="AI456" s="63"/>
      <c r="AJ456" s="63"/>
      <c r="AK456" s="63"/>
      <c r="AO456" s="63"/>
      <c r="AP456" s="63"/>
    </row>
    <row r="457" spans="2:42">
      <c r="B457" s="58"/>
      <c r="C457" s="63"/>
      <c r="D457" s="63"/>
      <c r="E457" s="66"/>
      <c r="H457" s="63"/>
      <c r="I457" s="63"/>
      <c r="J457" s="56"/>
      <c r="K457" s="63"/>
      <c r="L457" s="63"/>
      <c r="P457" s="63"/>
      <c r="Q457" s="63"/>
      <c r="W457" s="63"/>
      <c r="X457" s="63"/>
      <c r="Z457" s="63"/>
      <c r="AA457" s="63"/>
      <c r="AC457" s="63"/>
      <c r="AD457" s="63"/>
      <c r="AI457" s="63"/>
      <c r="AJ457" s="63"/>
      <c r="AK457" s="63"/>
      <c r="AO457" s="63"/>
      <c r="AP457" s="63"/>
    </row>
    <row r="458" spans="2:42">
      <c r="B458" s="58"/>
      <c r="C458" s="63"/>
      <c r="D458" s="63"/>
      <c r="E458" s="66"/>
      <c r="H458" s="63"/>
      <c r="I458" s="63"/>
      <c r="J458" s="56"/>
      <c r="K458" s="63"/>
      <c r="L458" s="63"/>
      <c r="P458" s="63"/>
      <c r="Q458" s="63"/>
      <c r="W458" s="63"/>
      <c r="X458" s="63"/>
      <c r="Z458" s="63"/>
      <c r="AA458" s="63"/>
      <c r="AC458" s="63"/>
      <c r="AD458" s="63"/>
      <c r="AI458" s="63"/>
      <c r="AJ458" s="63"/>
      <c r="AK458" s="63"/>
      <c r="AO458" s="63"/>
      <c r="AP458" s="63"/>
    </row>
    <row r="459" spans="2:42">
      <c r="B459" s="58"/>
      <c r="C459" s="63"/>
      <c r="D459" s="63"/>
      <c r="E459" s="66"/>
      <c r="H459" s="63"/>
      <c r="I459" s="63"/>
      <c r="J459" s="56"/>
      <c r="K459" s="63"/>
      <c r="L459" s="63"/>
      <c r="P459" s="63"/>
      <c r="Q459" s="63"/>
      <c r="W459" s="63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58"/>
      <c r="C460" s="63"/>
      <c r="D460" s="63"/>
      <c r="E460" s="66"/>
      <c r="H460" s="63"/>
      <c r="I460" s="63"/>
      <c r="J460" s="56"/>
      <c r="K460" s="63"/>
      <c r="L460" s="63"/>
      <c r="P460" s="63"/>
      <c r="Q460" s="63"/>
      <c r="W460" s="63"/>
      <c r="X460" s="63"/>
      <c r="Z460" s="63"/>
      <c r="AA460" s="63"/>
      <c r="AC460" s="63"/>
      <c r="AD460" s="63"/>
      <c r="AI460" s="63"/>
      <c r="AJ460" s="63"/>
      <c r="AK460" s="63"/>
      <c r="AO460" s="63"/>
      <c r="AP460" s="63"/>
    </row>
    <row r="461" spans="2:42">
      <c r="B461" s="58"/>
      <c r="C461" s="63"/>
      <c r="D461" s="63"/>
      <c r="E461" s="66"/>
      <c r="H461" s="63"/>
      <c r="I461" s="63"/>
      <c r="J461" s="56"/>
      <c r="K461" s="63"/>
      <c r="L461" s="63"/>
      <c r="P461" s="63"/>
      <c r="Q461" s="63"/>
      <c r="W461" s="63"/>
      <c r="X461" s="63"/>
      <c r="Z461" s="63"/>
      <c r="AA461" s="63"/>
      <c r="AC461" s="63"/>
      <c r="AD461" s="63"/>
      <c r="AI461" s="63"/>
      <c r="AJ461" s="63"/>
      <c r="AK461" s="63"/>
      <c r="AO461" s="63"/>
      <c r="AP461" s="63"/>
    </row>
    <row r="462" spans="2:42">
      <c r="B462" s="58"/>
      <c r="C462" s="63"/>
      <c r="D462" s="63"/>
      <c r="E462" s="66"/>
      <c r="H462" s="63"/>
      <c r="I462" s="63"/>
      <c r="J462" s="56"/>
      <c r="K462" s="63"/>
      <c r="L462" s="63"/>
      <c r="P462" s="63"/>
      <c r="Q462" s="63"/>
      <c r="W462" s="63"/>
      <c r="X462" s="63"/>
      <c r="Z462" s="63"/>
      <c r="AA462" s="63"/>
      <c r="AC462" s="63"/>
      <c r="AD462" s="63"/>
      <c r="AI462" s="63"/>
      <c r="AJ462" s="63"/>
      <c r="AK462" s="63"/>
      <c r="AO462" s="63"/>
      <c r="AP462" s="63"/>
    </row>
    <row r="463" spans="2:42">
      <c r="B463" s="58"/>
      <c r="C463" s="63"/>
      <c r="D463" s="63"/>
      <c r="E463" s="66"/>
      <c r="H463" s="63"/>
      <c r="I463" s="63"/>
      <c r="J463" s="56"/>
      <c r="K463" s="63"/>
      <c r="L463" s="63"/>
      <c r="P463" s="63"/>
      <c r="Q463" s="63"/>
      <c r="W463" s="63"/>
      <c r="X463" s="63"/>
      <c r="Z463" s="63"/>
      <c r="AA463" s="63"/>
      <c r="AC463" s="63"/>
      <c r="AD463" s="63"/>
      <c r="AI463" s="63"/>
      <c r="AJ463" s="63"/>
      <c r="AK463" s="63"/>
      <c r="AO463" s="63"/>
      <c r="AP463" s="63"/>
    </row>
    <row r="464" spans="2:42">
      <c r="B464" s="58"/>
      <c r="C464" s="63"/>
      <c r="D464" s="63"/>
      <c r="E464" s="66"/>
      <c r="H464" s="63"/>
      <c r="I464" s="63"/>
      <c r="J464" s="56"/>
      <c r="K464" s="63"/>
      <c r="L464" s="63"/>
      <c r="P464" s="63"/>
      <c r="Q464" s="63"/>
      <c r="W464" s="63"/>
      <c r="X464" s="63"/>
      <c r="Z464" s="63"/>
      <c r="AA464" s="63"/>
      <c r="AC464" s="63"/>
      <c r="AD464" s="63"/>
      <c r="AI464" s="63"/>
      <c r="AJ464" s="63"/>
      <c r="AK464" s="63"/>
      <c r="AO464" s="63"/>
      <c r="AP464" s="63"/>
    </row>
    <row r="465" spans="2:42">
      <c r="B465" s="58"/>
      <c r="C465" s="63"/>
      <c r="D465" s="63"/>
      <c r="E465" s="66"/>
      <c r="H465" s="63"/>
      <c r="I465" s="63"/>
      <c r="J465" s="56"/>
      <c r="K465" s="63"/>
      <c r="L465" s="63"/>
      <c r="P465" s="63"/>
      <c r="Q465" s="63"/>
      <c r="W465" s="63"/>
      <c r="X465" s="63"/>
      <c r="Z465" s="63"/>
      <c r="AA465" s="63"/>
      <c r="AC465" s="63"/>
      <c r="AD465" s="63"/>
      <c r="AI465" s="63"/>
      <c r="AJ465" s="63"/>
      <c r="AK465" s="63"/>
      <c r="AO465" s="63"/>
      <c r="AP465" s="63"/>
    </row>
    <row r="466" spans="2:42">
      <c r="B466" s="58"/>
      <c r="C466" s="63"/>
      <c r="D466" s="63"/>
      <c r="E466" s="66"/>
      <c r="H466" s="63"/>
      <c r="I466" s="63"/>
      <c r="J466" s="56"/>
      <c r="K466" s="63"/>
      <c r="L466" s="63"/>
      <c r="P466" s="63"/>
      <c r="Q466" s="63"/>
      <c r="W466" s="63"/>
      <c r="X466" s="63"/>
      <c r="Z466" s="63"/>
      <c r="AA466" s="63"/>
      <c r="AC466" s="63"/>
      <c r="AD466" s="63"/>
      <c r="AI466" s="63"/>
      <c r="AJ466" s="63"/>
      <c r="AK466" s="63"/>
      <c r="AO466" s="63"/>
      <c r="AP466" s="63"/>
    </row>
    <row r="467" spans="2:42">
      <c r="B467" s="58"/>
      <c r="C467" s="63"/>
      <c r="D467" s="63"/>
      <c r="E467" s="66"/>
      <c r="H467" s="63"/>
      <c r="I467" s="63"/>
      <c r="J467" s="56"/>
      <c r="K467" s="63"/>
      <c r="L467" s="63"/>
      <c r="P467" s="63"/>
      <c r="Q467" s="63"/>
      <c r="W467" s="63"/>
      <c r="X467" s="63"/>
      <c r="Z467" s="63"/>
      <c r="AA467" s="63"/>
      <c r="AC467" s="63"/>
      <c r="AD467" s="63"/>
      <c r="AI467" s="63"/>
      <c r="AJ467" s="63"/>
      <c r="AK467" s="63"/>
      <c r="AO467" s="63"/>
      <c r="AP467" s="63"/>
    </row>
    <row r="468" spans="2:42">
      <c r="B468" s="58"/>
      <c r="C468" s="63"/>
      <c r="D468" s="63"/>
      <c r="E468" s="66"/>
      <c r="H468" s="63"/>
      <c r="I468" s="63"/>
      <c r="J468" s="56"/>
      <c r="K468" s="63"/>
      <c r="L468" s="63"/>
      <c r="P468" s="63"/>
      <c r="Q468" s="63"/>
      <c r="W468" s="63"/>
      <c r="X468" s="63"/>
      <c r="Z468" s="63"/>
      <c r="AA468" s="63"/>
      <c r="AC468" s="63"/>
      <c r="AD468" s="63"/>
      <c r="AI468" s="63"/>
      <c r="AJ468" s="63"/>
      <c r="AK468" s="63"/>
      <c r="AO468" s="63"/>
      <c r="AP468" s="63"/>
    </row>
    <row r="469" spans="2:42">
      <c r="B469" s="58"/>
      <c r="C469" s="63"/>
      <c r="D469" s="63"/>
      <c r="E469" s="66"/>
      <c r="H469" s="63"/>
      <c r="I469" s="63"/>
      <c r="J469" s="56"/>
      <c r="K469" s="63"/>
      <c r="L469" s="63"/>
      <c r="P469" s="63"/>
      <c r="Q469" s="63"/>
      <c r="W469" s="63"/>
      <c r="X469" s="63"/>
      <c r="Z469" s="63"/>
      <c r="AA469" s="63"/>
      <c r="AC469" s="63"/>
      <c r="AD469" s="63"/>
      <c r="AI469" s="63"/>
      <c r="AJ469" s="63"/>
      <c r="AK469" s="63"/>
      <c r="AO469" s="63"/>
      <c r="AP469" s="63"/>
    </row>
    <row r="470" spans="2:42">
      <c r="B470" s="58"/>
      <c r="C470" s="63"/>
      <c r="D470" s="63"/>
      <c r="E470" s="66"/>
      <c r="H470" s="63"/>
      <c r="I470" s="63"/>
      <c r="J470" s="56"/>
      <c r="K470" s="63"/>
      <c r="L470" s="63"/>
      <c r="P470" s="63"/>
      <c r="Q470" s="63"/>
      <c r="W470" s="63"/>
      <c r="X470" s="63"/>
      <c r="Z470" s="63"/>
      <c r="AA470" s="63"/>
      <c r="AC470" s="63"/>
      <c r="AD470" s="63"/>
      <c r="AI470" s="63"/>
      <c r="AJ470" s="63"/>
      <c r="AK470" s="63"/>
      <c r="AO470" s="63"/>
      <c r="AP470" s="63"/>
    </row>
    <row r="471" spans="2:42">
      <c r="B471" s="58"/>
      <c r="C471" s="63"/>
      <c r="D471" s="63"/>
      <c r="E471" s="66"/>
      <c r="H471" s="63"/>
      <c r="I471" s="63"/>
      <c r="J471" s="56"/>
      <c r="K471" s="63"/>
      <c r="L471" s="63"/>
      <c r="P471" s="63"/>
      <c r="Q471" s="63"/>
      <c r="W471" s="63"/>
      <c r="X471" s="63"/>
      <c r="Z471" s="63"/>
      <c r="AA471" s="63"/>
      <c r="AC471" s="63"/>
      <c r="AD471" s="63"/>
      <c r="AI471" s="63"/>
      <c r="AJ471" s="63"/>
      <c r="AK471" s="63"/>
      <c r="AO471" s="63"/>
      <c r="AP471" s="63"/>
    </row>
    <row r="472" spans="2:42">
      <c r="B472" s="58"/>
      <c r="C472" s="63"/>
      <c r="D472" s="63"/>
      <c r="E472" s="66"/>
      <c r="H472" s="63"/>
      <c r="I472" s="63"/>
      <c r="J472" s="56"/>
      <c r="K472" s="63"/>
      <c r="L472" s="63"/>
      <c r="P472" s="63"/>
      <c r="Q472" s="63"/>
      <c r="W472" s="63"/>
      <c r="X472" s="63"/>
      <c r="Z472" s="63"/>
      <c r="AA472" s="63"/>
      <c r="AC472" s="63"/>
      <c r="AD472" s="63"/>
      <c r="AI472" s="63"/>
      <c r="AJ472" s="63"/>
      <c r="AK472" s="63"/>
      <c r="AO472" s="63"/>
      <c r="AP472" s="63"/>
    </row>
    <row r="473" spans="2:42">
      <c r="B473" s="58"/>
      <c r="C473" s="63"/>
      <c r="D473" s="63"/>
      <c r="E473" s="66"/>
      <c r="H473" s="63"/>
      <c r="I473" s="63"/>
      <c r="J473" s="56"/>
      <c r="K473" s="63"/>
      <c r="L473" s="63"/>
      <c r="P473" s="63"/>
      <c r="Q473" s="63"/>
      <c r="W473" s="63"/>
      <c r="X473" s="63"/>
      <c r="Z473" s="63"/>
      <c r="AA473" s="63"/>
      <c r="AC473" s="63"/>
      <c r="AD473" s="63"/>
      <c r="AI473" s="63"/>
      <c r="AJ473" s="63"/>
      <c r="AK473" s="63"/>
      <c r="AO473" s="63"/>
      <c r="AP473" s="63"/>
    </row>
    <row r="474" spans="2:42">
      <c r="B474" s="58"/>
      <c r="C474" s="63"/>
      <c r="D474" s="63"/>
      <c r="E474" s="66"/>
      <c r="H474" s="63"/>
      <c r="I474" s="57"/>
      <c r="J474" s="56"/>
      <c r="K474" s="63"/>
      <c r="L474" s="63"/>
      <c r="P474" s="63"/>
      <c r="Q474" s="63"/>
      <c r="V474" s="63"/>
      <c r="W474" s="58"/>
      <c r="X474" s="63"/>
      <c r="Z474" s="63"/>
      <c r="AA474" s="63"/>
      <c r="AB474" s="63"/>
      <c r="AC474" s="63"/>
      <c r="AD474" s="63"/>
      <c r="AI474" s="63"/>
      <c r="AJ474" s="63"/>
      <c r="AK474" s="63"/>
      <c r="AO474" s="63"/>
      <c r="AP474" s="63"/>
    </row>
    <row r="475" spans="2:42">
      <c r="B475" s="58"/>
      <c r="C475" s="63"/>
      <c r="D475" s="63"/>
      <c r="E475" s="66"/>
      <c r="H475" s="63"/>
      <c r="I475" s="56"/>
      <c r="J475" s="56"/>
      <c r="K475" s="63"/>
      <c r="L475" s="63"/>
      <c r="P475" s="63"/>
      <c r="Q475" s="63"/>
      <c r="V475" s="63"/>
      <c r="W475" s="58"/>
      <c r="X475" s="63"/>
      <c r="Z475" s="63"/>
      <c r="AA475" s="63"/>
      <c r="AB475" s="63"/>
      <c r="AC475" s="63"/>
      <c r="AD475" s="63"/>
      <c r="AI475" s="63"/>
      <c r="AJ475" s="63"/>
      <c r="AK475" s="63"/>
      <c r="AO475" s="63"/>
      <c r="AP475" s="63"/>
    </row>
    <row r="476" spans="2:42">
      <c r="B476" s="58"/>
      <c r="C476" s="63"/>
      <c r="D476" s="63"/>
      <c r="E476" s="66"/>
      <c r="H476" s="63"/>
      <c r="I476" s="56"/>
      <c r="J476" s="56"/>
      <c r="K476" s="63"/>
      <c r="L476" s="63"/>
      <c r="P476" s="63"/>
      <c r="Q476" s="63"/>
      <c r="V476" s="63"/>
      <c r="W476" s="58"/>
      <c r="X476" s="63"/>
      <c r="Z476" s="63"/>
      <c r="AA476" s="63"/>
      <c r="AB476" s="63"/>
      <c r="AC476" s="63"/>
      <c r="AD476" s="63"/>
      <c r="AI476" s="63"/>
      <c r="AJ476" s="63"/>
      <c r="AK476" s="63"/>
      <c r="AO476" s="63"/>
      <c r="AP476" s="63"/>
    </row>
    <row r="477" spans="2:42">
      <c r="B477" s="58"/>
      <c r="C477" s="63"/>
      <c r="D477" s="63"/>
      <c r="E477" s="66"/>
      <c r="H477" s="63"/>
      <c r="I477" s="56"/>
      <c r="J477" s="56"/>
      <c r="K477" s="63"/>
      <c r="L477" s="63"/>
      <c r="P477" s="63"/>
      <c r="Q477" s="63"/>
      <c r="V477" s="63"/>
      <c r="W477" s="58"/>
      <c r="X477" s="63"/>
      <c r="Z477" s="63"/>
      <c r="AA477" s="63"/>
      <c r="AB477" s="63"/>
      <c r="AC477" s="63"/>
      <c r="AD477" s="63"/>
      <c r="AI477" s="63"/>
      <c r="AJ477" s="63"/>
      <c r="AK477" s="63"/>
      <c r="AO477" s="63"/>
      <c r="AP477" s="63"/>
    </row>
    <row r="478" spans="2:42">
      <c r="B478" s="58"/>
      <c r="C478" s="63"/>
      <c r="D478" s="63"/>
      <c r="E478" s="66"/>
      <c r="H478" s="63"/>
      <c r="I478" s="56"/>
      <c r="J478" s="56"/>
      <c r="K478" s="63"/>
      <c r="L478" s="63"/>
      <c r="P478" s="63"/>
      <c r="Q478" s="63"/>
      <c r="V478" s="63"/>
      <c r="W478" s="58"/>
      <c r="X478" s="63"/>
      <c r="Z478" s="63"/>
      <c r="AA478" s="63"/>
      <c r="AB478" s="63"/>
      <c r="AC478" s="63"/>
      <c r="AD478" s="63"/>
      <c r="AI478" s="63"/>
      <c r="AJ478" s="63"/>
      <c r="AK478" s="63"/>
      <c r="AO478" s="63"/>
      <c r="AP478" s="63"/>
    </row>
    <row r="479" spans="2:42">
      <c r="B479" s="58"/>
      <c r="C479" s="63"/>
      <c r="D479" s="63"/>
      <c r="E479" s="66"/>
      <c r="H479" s="63"/>
      <c r="I479" s="56"/>
      <c r="J479" s="56"/>
      <c r="K479" s="63"/>
      <c r="L479" s="63"/>
      <c r="P479" s="63"/>
      <c r="Q479" s="63"/>
      <c r="V479" s="63"/>
      <c r="W479" s="58"/>
      <c r="X479" s="63"/>
      <c r="Z479" s="63"/>
      <c r="AA479" s="63"/>
      <c r="AB479" s="63"/>
      <c r="AC479" s="63"/>
      <c r="AD479" s="63"/>
      <c r="AI479" s="63"/>
      <c r="AJ479" s="63"/>
      <c r="AK479" s="63"/>
      <c r="AO479" s="63"/>
      <c r="AP479" s="63"/>
    </row>
    <row r="480" spans="2:42">
      <c r="B480" s="58"/>
      <c r="C480" s="63"/>
      <c r="D480" s="63"/>
      <c r="E480" s="66"/>
      <c r="H480" s="63"/>
      <c r="I480" s="56"/>
      <c r="J480" s="56"/>
      <c r="K480" s="63"/>
      <c r="L480" s="63"/>
      <c r="P480" s="63"/>
      <c r="Q480" s="63"/>
      <c r="V480" s="63"/>
      <c r="W480" s="58"/>
      <c r="X480" s="63"/>
      <c r="Z480" s="63"/>
      <c r="AA480" s="63"/>
      <c r="AB480" s="63"/>
      <c r="AC480" s="63"/>
      <c r="AD480" s="63"/>
      <c r="AI480" s="63"/>
      <c r="AJ480" s="63"/>
      <c r="AK480" s="63"/>
      <c r="AO480" s="63"/>
      <c r="AP480" s="63"/>
    </row>
    <row r="481" spans="2:42">
      <c r="B481" s="58"/>
      <c r="C481" s="63"/>
      <c r="D481" s="63"/>
      <c r="E481" s="66"/>
      <c r="H481" s="63"/>
      <c r="I481" s="56"/>
      <c r="J481" s="56"/>
      <c r="K481" s="63"/>
      <c r="L481" s="63"/>
      <c r="P481" s="63"/>
      <c r="Q481" s="63"/>
      <c r="V481" s="63"/>
      <c r="W481" s="58"/>
      <c r="X481" s="63"/>
      <c r="Z481" s="63"/>
      <c r="AA481" s="63"/>
      <c r="AB481" s="63"/>
      <c r="AC481" s="63"/>
      <c r="AD481" s="63"/>
      <c r="AI481" s="63"/>
      <c r="AJ481" s="63"/>
      <c r="AK481" s="63"/>
      <c r="AO481" s="63"/>
      <c r="AP481" s="63"/>
    </row>
    <row r="482" spans="2:42">
      <c r="B482" s="58"/>
      <c r="C482" s="63"/>
      <c r="D482" s="63"/>
      <c r="E482" s="66"/>
      <c r="H482" s="63"/>
      <c r="I482" s="56"/>
      <c r="J482" s="56"/>
      <c r="K482" s="63"/>
      <c r="L482" s="63"/>
      <c r="P482" s="63"/>
      <c r="Q482" s="63"/>
      <c r="V482" s="63"/>
      <c r="W482" s="58"/>
      <c r="X482" s="63"/>
      <c r="Z482" s="63"/>
      <c r="AA482" s="63"/>
      <c r="AB482" s="63"/>
      <c r="AC482" s="63"/>
      <c r="AD482" s="63"/>
      <c r="AI482" s="63"/>
      <c r="AJ482" s="63"/>
      <c r="AK482" s="63"/>
      <c r="AO482" s="63"/>
      <c r="AP482" s="63"/>
    </row>
    <row r="483" spans="2:42">
      <c r="B483" s="63"/>
      <c r="C483" s="63"/>
      <c r="D483" s="63"/>
      <c r="E483" s="66"/>
      <c r="F483" s="63"/>
      <c r="G483" s="63"/>
      <c r="H483" s="63"/>
      <c r="I483" s="63"/>
      <c r="J483" s="56"/>
      <c r="K483" s="56"/>
      <c r="L483" s="63"/>
      <c r="M483" s="65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</row>
    <row r="484" spans="2:42">
      <c r="B484" s="63"/>
      <c r="C484" s="63"/>
      <c r="D484" s="63"/>
      <c r="E484" s="66"/>
      <c r="F484" s="63"/>
      <c r="G484" s="63"/>
      <c r="H484" s="63"/>
      <c r="I484" s="63"/>
      <c r="J484" s="56"/>
      <c r="K484" s="56"/>
      <c r="L484" s="63"/>
      <c r="M484" s="65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</row>
    <row r="485" spans="2:42">
      <c r="B485" s="63"/>
      <c r="C485" s="63"/>
      <c r="D485" s="63"/>
      <c r="E485" s="66"/>
      <c r="F485" s="63"/>
      <c r="G485" s="63"/>
      <c r="H485" s="63"/>
      <c r="I485" s="63"/>
      <c r="J485" s="56"/>
      <c r="K485" s="56"/>
      <c r="L485" s="63"/>
      <c r="M485" s="65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</row>
    <row r="486" spans="2:42">
      <c r="B486" s="63"/>
      <c r="C486" s="63"/>
      <c r="D486" s="63"/>
      <c r="E486" s="66"/>
      <c r="F486" s="63"/>
      <c r="G486" s="63"/>
      <c r="H486" s="63"/>
      <c r="I486" s="63"/>
      <c r="J486" s="56"/>
      <c r="K486" s="56"/>
      <c r="L486" s="63"/>
      <c r="M486" s="65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</row>
    <row r="487" spans="2:42">
      <c r="B487" s="63"/>
      <c r="C487" s="63"/>
      <c r="D487" s="63"/>
      <c r="E487" s="66"/>
      <c r="F487" s="63"/>
      <c r="G487" s="63"/>
      <c r="H487" s="63"/>
      <c r="I487" s="63"/>
      <c r="J487" s="56"/>
      <c r="K487" s="56"/>
      <c r="L487" s="63"/>
      <c r="M487" s="65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</row>
    <row r="488" spans="2:42">
      <c r="B488" s="63"/>
      <c r="C488" s="63"/>
      <c r="D488" s="63"/>
      <c r="E488" s="66"/>
      <c r="F488" s="63"/>
      <c r="G488" s="63"/>
      <c r="H488" s="63"/>
      <c r="I488" s="63"/>
      <c r="J488" s="56"/>
      <c r="K488" s="56"/>
      <c r="L488" s="63"/>
      <c r="M488" s="65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</row>
    <row r="489" spans="2:42">
      <c r="B489" s="63"/>
      <c r="C489" s="63"/>
      <c r="D489" s="63"/>
      <c r="E489" s="66"/>
      <c r="F489" s="63"/>
      <c r="G489" s="63"/>
      <c r="H489" s="63"/>
      <c r="I489" s="63"/>
      <c r="J489" s="56"/>
      <c r="K489" s="56"/>
      <c r="L489" s="63"/>
      <c r="M489" s="65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</row>
    <row r="490" spans="2:42">
      <c r="B490" s="63"/>
      <c r="C490" s="63"/>
      <c r="D490" s="63"/>
      <c r="E490" s="66"/>
      <c r="H490" s="63"/>
      <c r="I490" s="56"/>
      <c r="J490" s="56"/>
      <c r="K490" s="63"/>
      <c r="L490" s="63"/>
      <c r="M490" s="75"/>
      <c r="O490" s="63"/>
      <c r="P490" s="63"/>
      <c r="Q490" s="63"/>
      <c r="W490" s="63"/>
      <c r="X490" s="63"/>
      <c r="Z490" s="63"/>
      <c r="AA490" s="63"/>
      <c r="AC490" s="63"/>
      <c r="AD490" s="63"/>
      <c r="AI490" s="63"/>
      <c r="AJ490" s="63"/>
      <c r="AK490" s="63"/>
      <c r="AO490" s="63"/>
      <c r="AP490" s="63"/>
    </row>
    <row r="491" spans="2:42">
      <c r="B491" s="63"/>
      <c r="C491" s="63"/>
      <c r="D491" s="63"/>
      <c r="E491" s="66"/>
      <c r="H491" s="63"/>
      <c r="I491" s="56"/>
      <c r="J491" s="56"/>
      <c r="K491" s="63"/>
      <c r="L491" s="63"/>
      <c r="M491" s="75"/>
      <c r="O491" s="63"/>
      <c r="P491" s="63"/>
      <c r="Q491" s="63"/>
      <c r="W491" s="63"/>
      <c r="X491" s="63"/>
      <c r="Z491" s="63"/>
      <c r="AA491" s="63"/>
      <c r="AC491" s="63"/>
      <c r="AD491" s="63"/>
      <c r="AI491" s="63"/>
      <c r="AJ491" s="63"/>
      <c r="AK491" s="63"/>
      <c r="AO491" s="63"/>
      <c r="AP491" s="63"/>
    </row>
    <row r="492" spans="2:42">
      <c r="B492" s="63"/>
      <c r="C492" s="63"/>
      <c r="D492" s="63"/>
      <c r="E492" s="66"/>
      <c r="H492" s="63"/>
      <c r="I492" s="56"/>
      <c r="J492" s="56"/>
      <c r="K492" s="63"/>
      <c r="L492" s="63"/>
      <c r="M492" s="76"/>
      <c r="O492" s="63"/>
      <c r="P492" s="63"/>
      <c r="Q492" s="63"/>
      <c r="W492" s="63"/>
      <c r="X492" s="63"/>
      <c r="Z492" s="63"/>
      <c r="AA492" s="63"/>
      <c r="AC492" s="63"/>
      <c r="AD492" s="63"/>
      <c r="AI492" s="58"/>
      <c r="AJ492" s="63"/>
      <c r="AK492" s="63"/>
      <c r="AO492" s="63"/>
      <c r="AP492" s="63"/>
    </row>
    <row r="493" spans="2:42">
      <c r="B493" s="63"/>
      <c r="C493" s="63"/>
      <c r="D493" s="63"/>
      <c r="E493" s="66"/>
      <c r="H493" s="63"/>
      <c r="I493" s="56"/>
      <c r="J493" s="56"/>
      <c r="K493" s="63"/>
      <c r="L493" s="63"/>
      <c r="M493" s="75"/>
      <c r="O493" s="63"/>
      <c r="P493" s="63"/>
      <c r="Q493" s="63"/>
      <c r="W493" s="63"/>
      <c r="X493" s="63"/>
      <c r="Z493" s="63"/>
      <c r="AA493" s="63"/>
      <c r="AC493" s="63"/>
      <c r="AD493" s="63"/>
      <c r="AI493" s="58"/>
      <c r="AJ493" s="63"/>
      <c r="AK493" s="63"/>
      <c r="AO493" s="63"/>
      <c r="AP493" s="63"/>
    </row>
    <row r="494" spans="2:42">
      <c r="B494" s="63"/>
      <c r="C494" s="63"/>
      <c r="D494" s="63"/>
      <c r="E494" s="66"/>
      <c r="H494" s="63"/>
      <c r="I494" s="56"/>
      <c r="J494" s="56"/>
      <c r="K494" s="63"/>
      <c r="L494" s="63"/>
      <c r="M494" s="75"/>
      <c r="O494" s="63"/>
      <c r="P494" s="63"/>
      <c r="Q494" s="63"/>
      <c r="W494" s="63"/>
      <c r="X494" s="63"/>
      <c r="Z494" s="63"/>
      <c r="AA494" s="63"/>
      <c r="AC494" s="63"/>
      <c r="AD494" s="63"/>
      <c r="AI494" s="63"/>
      <c r="AJ494" s="63"/>
      <c r="AK494" s="63"/>
      <c r="AO494" s="63"/>
      <c r="AP494" s="63"/>
    </row>
    <row r="495" spans="2:42">
      <c r="B495" s="63"/>
      <c r="C495" s="63"/>
      <c r="D495" s="63"/>
      <c r="E495" s="66"/>
      <c r="H495" s="63"/>
      <c r="I495" s="63"/>
      <c r="J495" s="56"/>
      <c r="K495" s="63"/>
      <c r="L495" s="63"/>
      <c r="M495" s="75"/>
      <c r="N495" s="58"/>
      <c r="O495" s="77"/>
      <c r="P495" s="63"/>
      <c r="Q495" s="63"/>
      <c r="W495" s="63"/>
      <c r="X495" s="63"/>
      <c r="Z495" s="63"/>
      <c r="AA495" s="63"/>
      <c r="AB495" s="63"/>
      <c r="AC495" s="63"/>
      <c r="AD495" s="63"/>
      <c r="AJ495" s="63"/>
      <c r="AK495" s="63"/>
      <c r="AO495" s="63"/>
      <c r="AP495" s="63"/>
    </row>
    <row r="496" spans="2:42">
      <c r="B496" s="63"/>
      <c r="C496" s="63"/>
      <c r="D496" s="63"/>
      <c r="E496" s="66"/>
      <c r="H496" s="63"/>
      <c r="I496" s="63"/>
      <c r="J496" s="56"/>
      <c r="K496" s="63"/>
      <c r="L496" s="63"/>
      <c r="M496" s="75"/>
      <c r="N496" s="58"/>
      <c r="O496" s="77"/>
      <c r="P496" s="63"/>
      <c r="Q496" s="63"/>
      <c r="W496" s="63"/>
      <c r="X496" s="63"/>
      <c r="Z496" s="63"/>
      <c r="AA496" s="63"/>
      <c r="AB496" s="63"/>
      <c r="AC496" s="63"/>
      <c r="AD496" s="63"/>
      <c r="AJ496" s="63"/>
      <c r="AK496" s="63"/>
      <c r="AO496" s="63"/>
      <c r="AP496" s="63"/>
    </row>
    <row r="497" spans="2:42">
      <c r="B497" s="63"/>
      <c r="C497" s="63"/>
      <c r="D497" s="63"/>
      <c r="E497" s="66"/>
      <c r="H497" s="63"/>
      <c r="I497" s="63"/>
      <c r="J497" s="56"/>
      <c r="K497" s="63"/>
      <c r="L497" s="63"/>
      <c r="M497" s="75"/>
      <c r="N497" s="58"/>
      <c r="O497" s="77"/>
      <c r="P497" s="63"/>
      <c r="Q497" s="63"/>
      <c r="W497" s="63"/>
      <c r="X497" s="63"/>
      <c r="Z497" s="63"/>
      <c r="AA497" s="63"/>
      <c r="AB497" s="63"/>
      <c r="AC497" s="63"/>
      <c r="AD497" s="63"/>
      <c r="AJ497" s="63"/>
      <c r="AK497" s="63"/>
      <c r="AO497" s="63"/>
      <c r="AP497" s="63"/>
    </row>
    <row r="498" spans="2:42">
      <c r="B498" s="63"/>
      <c r="C498" s="63"/>
      <c r="D498" s="63"/>
      <c r="E498" s="66"/>
      <c r="H498" s="63"/>
      <c r="I498" s="63"/>
      <c r="J498" s="56"/>
      <c r="K498" s="63"/>
      <c r="L498" s="63"/>
      <c r="M498" s="75"/>
      <c r="N498" s="58"/>
      <c r="O498" s="77"/>
      <c r="P498" s="63"/>
      <c r="Q498" s="63"/>
      <c r="W498" s="63"/>
      <c r="X498" s="63"/>
      <c r="Z498" s="63"/>
      <c r="AA498" s="63"/>
      <c r="AB498" s="63"/>
      <c r="AC498" s="63"/>
      <c r="AD498" s="63"/>
      <c r="AJ498" s="63"/>
      <c r="AK498" s="63"/>
      <c r="AO498" s="63"/>
      <c r="AP498" s="63"/>
    </row>
    <row r="499" spans="2:42">
      <c r="B499" s="63"/>
      <c r="C499" s="63"/>
      <c r="D499" s="63"/>
      <c r="E499" s="66"/>
      <c r="H499" s="63"/>
      <c r="I499" s="63"/>
      <c r="J499" s="56"/>
      <c r="K499" s="63"/>
      <c r="L499" s="63"/>
      <c r="M499" s="75"/>
      <c r="N499" s="58"/>
      <c r="O499" s="77"/>
      <c r="P499" s="63"/>
      <c r="Q499" s="63"/>
      <c r="W499" s="63"/>
      <c r="X499" s="63"/>
      <c r="Z499" s="63"/>
      <c r="AA499" s="63"/>
      <c r="AB499" s="63"/>
      <c r="AC499" s="63"/>
      <c r="AD499" s="63"/>
      <c r="AJ499" s="63"/>
      <c r="AK499" s="63"/>
      <c r="AO499" s="63"/>
      <c r="AP499" s="63"/>
    </row>
    <row r="500" spans="2:42">
      <c r="B500" s="63"/>
      <c r="C500" s="63"/>
      <c r="D500" s="63"/>
      <c r="E500" s="66"/>
      <c r="H500" s="63"/>
      <c r="I500" s="63"/>
      <c r="J500" s="56"/>
      <c r="K500" s="63"/>
      <c r="L500" s="63"/>
      <c r="M500" s="75"/>
      <c r="N500" s="58"/>
      <c r="O500" s="77"/>
      <c r="P500" s="63"/>
      <c r="Q500" s="63"/>
      <c r="W500" s="63"/>
      <c r="X500" s="63"/>
      <c r="Z500" s="63"/>
      <c r="AA500" s="63"/>
      <c r="AB500" s="63"/>
      <c r="AC500" s="63"/>
      <c r="AD500" s="63"/>
      <c r="AJ500" s="63"/>
      <c r="AK500" s="63"/>
      <c r="AO500" s="63"/>
      <c r="AP500" s="63"/>
    </row>
    <row r="501" spans="2:42">
      <c r="B501" s="63"/>
      <c r="C501" s="63"/>
      <c r="D501" s="63"/>
      <c r="E501" s="66"/>
      <c r="H501" s="63"/>
      <c r="I501" s="63"/>
      <c r="J501" s="56"/>
      <c r="K501" s="63"/>
      <c r="L501" s="63"/>
      <c r="M501" s="75"/>
      <c r="N501" s="58"/>
      <c r="O501" s="77"/>
      <c r="P501" s="63"/>
      <c r="Q501" s="63"/>
      <c r="W501" s="63"/>
      <c r="X501" s="63"/>
      <c r="Z501" s="63"/>
      <c r="AA501" s="63"/>
      <c r="AB501" s="63"/>
      <c r="AC501" s="63"/>
      <c r="AD501" s="63"/>
      <c r="AJ501" s="63"/>
      <c r="AK501" s="63"/>
      <c r="AO501" s="63"/>
      <c r="AP501" s="63"/>
    </row>
    <row r="502" spans="2:42">
      <c r="B502" s="63"/>
      <c r="C502" s="63"/>
      <c r="D502" s="63"/>
      <c r="E502" s="66"/>
      <c r="H502" s="63"/>
      <c r="I502" s="63"/>
      <c r="J502" s="56"/>
      <c r="K502" s="63"/>
      <c r="L502" s="63"/>
      <c r="M502" s="75"/>
      <c r="N502" s="58"/>
      <c r="O502" s="77"/>
      <c r="P502" s="63"/>
      <c r="Q502" s="63"/>
      <c r="W502" s="63"/>
      <c r="X502" s="63"/>
      <c r="Z502" s="63"/>
      <c r="AA502" s="63"/>
      <c r="AB502" s="63"/>
      <c r="AC502" s="63"/>
      <c r="AD502" s="63"/>
      <c r="AJ502" s="63"/>
      <c r="AK502" s="63"/>
      <c r="AO502" s="63"/>
      <c r="AP502" s="63"/>
    </row>
    <row r="503" spans="2:42">
      <c r="B503" s="63"/>
      <c r="C503" s="63"/>
      <c r="D503" s="63"/>
      <c r="E503" s="66"/>
      <c r="H503" s="63"/>
      <c r="I503" s="63"/>
      <c r="J503" s="56"/>
      <c r="K503" s="63"/>
      <c r="L503" s="63"/>
      <c r="M503" s="75"/>
      <c r="N503" s="58"/>
      <c r="O503" s="77"/>
      <c r="P503" s="63"/>
      <c r="Q503" s="63"/>
      <c r="W503" s="63"/>
      <c r="X503" s="63"/>
      <c r="Z503" s="63"/>
      <c r="AA503" s="63"/>
      <c r="AB503" s="63"/>
      <c r="AC503" s="63"/>
      <c r="AD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H504" s="63"/>
      <c r="I504" s="63"/>
      <c r="J504" s="56"/>
      <c r="K504" s="63"/>
      <c r="L504" s="63"/>
      <c r="M504" s="75"/>
      <c r="N504" s="58"/>
      <c r="O504" s="77"/>
      <c r="P504" s="63"/>
      <c r="Q504" s="63"/>
      <c r="W504" s="63"/>
      <c r="X504" s="63"/>
      <c r="Z504" s="63"/>
      <c r="AA504" s="63"/>
      <c r="AB504" s="63"/>
      <c r="AC504" s="63"/>
      <c r="AD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H505" s="63"/>
      <c r="I505" s="63"/>
      <c r="J505" s="56"/>
      <c r="K505" s="63"/>
      <c r="L505" s="63"/>
      <c r="M505" s="75"/>
      <c r="N505" s="58"/>
      <c r="O505" s="77"/>
      <c r="P505" s="63"/>
      <c r="Q505" s="63"/>
      <c r="W505" s="63"/>
      <c r="X505" s="63"/>
      <c r="Z505" s="63"/>
      <c r="AA505" s="63"/>
      <c r="AB505" s="63"/>
      <c r="AC505" s="63"/>
      <c r="AD505" s="63"/>
      <c r="AJ505" s="63"/>
      <c r="AK505" s="63"/>
      <c r="AO505" s="63"/>
      <c r="AP505" s="63"/>
    </row>
    <row r="506" spans="2:42">
      <c r="B506" s="63"/>
      <c r="C506" s="63"/>
      <c r="D506" s="63"/>
      <c r="E506" s="66"/>
      <c r="H506" s="63"/>
      <c r="I506" s="63"/>
      <c r="J506" s="56"/>
      <c r="K506" s="63"/>
      <c r="L506" s="63"/>
      <c r="M506" s="75"/>
      <c r="N506" s="58"/>
      <c r="O506" s="77"/>
      <c r="P506" s="63"/>
      <c r="Q506" s="63"/>
      <c r="W506" s="63"/>
      <c r="X506" s="63"/>
      <c r="Z506" s="63"/>
      <c r="AA506" s="63"/>
      <c r="AB506" s="63"/>
      <c r="AC506" s="63"/>
      <c r="AD506" s="63"/>
      <c r="AJ506" s="63"/>
      <c r="AK506" s="63"/>
      <c r="AO506" s="63"/>
      <c r="AP506" s="63"/>
    </row>
    <row r="507" spans="2:42">
      <c r="B507" s="63"/>
      <c r="C507" s="63"/>
      <c r="D507" s="63"/>
      <c r="E507" s="66"/>
      <c r="H507" s="63"/>
      <c r="I507" s="63"/>
      <c r="J507" s="56"/>
      <c r="K507" s="63"/>
      <c r="L507" s="63"/>
      <c r="M507" s="75"/>
      <c r="N507" s="58"/>
      <c r="O507" s="77"/>
      <c r="P507" s="63"/>
      <c r="Q507" s="63"/>
      <c r="W507" s="63"/>
      <c r="X507" s="63"/>
      <c r="Z507" s="63"/>
      <c r="AA507" s="63"/>
      <c r="AB507" s="63"/>
      <c r="AC507" s="63"/>
      <c r="AD507" s="63"/>
      <c r="AJ507" s="63"/>
      <c r="AK507" s="63"/>
      <c r="AO507" s="63"/>
      <c r="AP507" s="63"/>
    </row>
    <row r="508" spans="2:42">
      <c r="B508" s="63"/>
      <c r="C508" s="63"/>
      <c r="D508" s="63"/>
      <c r="E508" s="66"/>
      <c r="H508" s="63"/>
      <c r="I508" s="63"/>
      <c r="J508" s="56"/>
      <c r="K508" s="63"/>
      <c r="L508" s="63"/>
      <c r="M508" s="75"/>
      <c r="N508" s="58"/>
      <c r="O508" s="77"/>
      <c r="P508" s="63"/>
      <c r="Q508" s="63"/>
      <c r="W508" s="63"/>
      <c r="X508" s="63"/>
      <c r="Z508" s="63"/>
      <c r="AA508" s="63"/>
      <c r="AB508" s="63"/>
      <c r="AC508" s="63"/>
      <c r="AD508" s="63"/>
      <c r="AJ508" s="63"/>
      <c r="AK508" s="63"/>
      <c r="AO508" s="63"/>
      <c r="AP508" s="63"/>
    </row>
    <row r="509" spans="2:42">
      <c r="B509" s="63"/>
      <c r="C509" s="63"/>
      <c r="D509" s="63"/>
      <c r="E509" s="66"/>
      <c r="H509" s="63"/>
      <c r="I509" s="63"/>
      <c r="J509" s="56"/>
      <c r="K509" s="63"/>
      <c r="L509" s="63"/>
      <c r="M509" s="75"/>
      <c r="N509" s="58"/>
      <c r="O509" s="77"/>
      <c r="P509" s="63"/>
      <c r="Q509" s="63"/>
      <c r="W509" s="63"/>
      <c r="X509" s="63"/>
      <c r="Z509" s="63"/>
      <c r="AA509" s="63"/>
      <c r="AB509" s="63"/>
      <c r="AC509" s="63"/>
      <c r="AD509" s="63"/>
      <c r="AJ509" s="63"/>
      <c r="AK509" s="63"/>
      <c r="AO509" s="63"/>
      <c r="AP509" s="63"/>
    </row>
    <row r="510" spans="2:42">
      <c r="B510" s="63"/>
      <c r="C510" s="63"/>
      <c r="D510" s="63"/>
      <c r="E510" s="66"/>
      <c r="H510" s="63"/>
      <c r="I510" s="63"/>
      <c r="J510" s="56"/>
      <c r="K510" s="63"/>
      <c r="L510" s="63"/>
      <c r="M510" s="75"/>
      <c r="N510" s="58"/>
      <c r="O510" s="77"/>
      <c r="P510" s="63"/>
      <c r="Q510" s="63"/>
      <c r="W510" s="63"/>
      <c r="X510" s="63"/>
      <c r="Z510" s="63"/>
      <c r="AA510" s="63"/>
      <c r="AB510" s="63"/>
      <c r="AC510" s="63"/>
      <c r="AD510" s="63"/>
      <c r="AJ510" s="63"/>
      <c r="AK510" s="63"/>
      <c r="AO510" s="63"/>
      <c r="AP510" s="63"/>
    </row>
    <row r="511" spans="2:42">
      <c r="B511" s="63"/>
      <c r="C511" s="63"/>
      <c r="D511" s="63"/>
      <c r="E511" s="66"/>
      <c r="H511" s="63"/>
      <c r="I511" s="63"/>
      <c r="J511" s="56"/>
      <c r="K511" s="63"/>
      <c r="L511" s="63"/>
      <c r="M511" s="75"/>
      <c r="N511" s="58"/>
      <c r="O511" s="77"/>
      <c r="P511" s="63"/>
      <c r="Q511" s="63"/>
      <c r="W511" s="63"/>
      <c r="X511" s="63"/>
      <c r="Z511" s="63"/>
      <c r="AA511" s="63"/>
      <c r="AB511" s="63"/>
      <c r="AC511" s="63"/>
      <c r="AD511" s="63"/>
      <c r="AJ511" s="63"/>
      <c r="AK511" s="63"/>
      <c r="AO511" s="63"/>
      <c r="AP511" s="63"/>
    </row>
    <row r="512" spans="2:42">
      <c r="B512" s="63"/>
      <c r="C512" s="63"/>
      <c r="D512" s="63"/>
      <c r="E512" s="66"/>
      <c r="H512" s="63"/>
      <c r="I512" s="63"/>
      <c r="J512" s="56"/>
      <c r="K512" s="63"/>
      <c r="L512" s="63"/>
      <c r="M512" s="75"/>
      <c r="N512" s="58"/>
      <c r="O512" s="77"/>
      <c r="P512" s="63"/>
      <c r="Q512" s="63"/>
      <c r="W512" s="63"/>
      <c r="X512" s="63"/>
      <c r="Z512" s="63"/>
      <c r="AA512" s="63"/>
      <c r="AB512" s="63"/>
      <c r="AC512" s="63"/>
      <c r="AD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63"/>
      <c r="J513" s="56"/>
      <c r="K513" s="63"/>
      <c r="L513" s="63"/>
      <c r="M513" s="75"/>
      <c r="N513" s="58"/>
      <c r="O513" s="77"/>
      <c r="P513" s="63"/>
      <c r="Q513" s="63"/>
      <c r="W513" s="63"/>
      <c r="X513" s="63"/>
      <c r="Z513" s="63"/>
      <c r="AA513" s="63"/>
      <c r="AB513" s="63"/>
      <c r="AC513" s="63"/>
      <c r="AD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63"/>
      <c r="J514" s="56"/>
      <c r="K514" s="63"/>
      <c r="L514" s="63"/>
      <c r="M514" s="75"/>
      <c r="N514" s="58"/>
      <c r="O514" s="77"/>
      <c r="P514" s="63"/>
      <c r="Q514" s="63"/>
      <c r="W514" s="63"/>
      <c r="X514" s="63"/>
      <c r="Z514" s="63"/>
      <c r="AA514" s="63"/>
      <c r="AB514" s="63"/>
      <c r="AC514" s="63"/>
      <c r="AD514" s="63"/>
      <c r="AJ514" s="63"/>
      <c r="AK514" s="63"/>
      <c r="AO514" s="63"/>
      <c r="AP514" s="63"/>
    </row>
    <row r="515" spans="2:42">
      <c r="B515" s="63"/>
      <c r="C515" s="63"/>
      <c r="D515" s="63"/>
      <c r="E515" s="66"/>
      <c r="H515" s="63"/>
      <c r="I515" s="63"/>
      <c r="J515" s="56"/>
      <c r="K515" s="63"/>
      <c r="L515" s="63"/>
      <c r="M515" s="76"/>
      <c r="N515" s="58"/>
      <c r="O515" s="77"/>
      <c r="P515" s="63"/>
      <c r="Q515" s="63"/>
      <c r="W515" s="63"/>
      <c r="X515" s="63"/>
      <c r="Z515" s="63"/>
      <c r="AA515" s="63"/>
      <c r="AB515" s="63"/>
      <c r="AC515" s="63"/>
      <c r="AD515" s="63"/>
      <c r="AJ515" s="63"/>
      <c r="AK515" s="63"/>
      <c r="AO515" s="63"/>
      <c r="AP515" s="63"/>
    </row>
    <row r="516" spans="2:42">
      <c r="B516" s="63"/>
      <c r="C516" s="63"/>
      <c r="D516" s="63"/>
      <c r="E516" s="66"/>
      <c r="H516" s="63"/>
      <c r="I516" s="63"/>
      <c r="J516" s="56"/>
      <c r="K516" s="63"/>
      <c r="L516" s="63"/>
      <c r="M516" s="76"/>
      <c r="N516" s="58"/>
      <c r="O516" s="77"/>
      <c r="P516" s="63"/>
      <c r="Q516" s="63"/>
      <c r="W516" s="63"/>
      <c r="X516" s="63"/>
      <c r="Z516" s="63"/>
      <c r="AA516" s="63"/>
      <c r="AB516" s="63"/>
      <c r="AC516" s="63"/>
      <c r="AD516" s="63"/>
      <c r="AJ516" s="63"/>
      <c r="AK516" s="63"/>
      <c r="AO516" s="63"/>
      <c r="AP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L517" s="63"/>
      <c r="M517" s="76"/>
      <c r="N517" s="58"/>
      <c r="O517" s="77"/>
      <c r="P517" s="63"/>
      <c r="Q517" s="63"/>
      <c r="W517" s="63"/>
      <c r="X517" s="63"/>
      <c r="Z517" s="63"/>
      <c r="AA517" s="63"/>
      <c r="AB517" s="63"/>
      <c r="AC517" s="63"/>
      <c r="AD517" s="63"/>
      <c r="AJ517" s="63"/>
      <c r="AK517" s="63"/>
      <c r="AO517" s="63"/>
      <c r="AP517" s="63"/>
    </row>
    <row r="518" spans="2:42">
      <c r="B518" s="63"/>
      <c r="C518" s="63"/>
      <c r="D518" s="63"/>
      <c r="E518" s="66"/>
      <c r="H518" s="63"/>
      <c r="I518" s="63"/>
      <c r="J518" s="56"/>
      <c r="K518" s="63"/>
      <c r="L518" s="63"/>
      <c r="M518" s="76"/>
      <c r="N518" s="58"/>
      <c r="O518" s="77"/>
      <c r="P518" s="63"/>
      <c r="Q518" s="63"/>
      <c r="W518" s="63"/>
      <c r="X518" s="63"/>
      <c r="Z518" s="63"/>
      <c r="AA518" s="63"/>
      <c r="AB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L519" s="63"/>
      <c r="M519" s="76"/>
      <c r="N519" s="58"/>
      <c r="O519" s="77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L520" s="63"/>
      <c r="M520" s="76"/>
      <c r="N520" s="58"/>
      <c r="O520" s="77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L521" s="63"/>
      <c r="M521" s="76"/>
      <c r="N521" s="58"/>
      <c r="O521" s="77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>
      <c r="B522" s="63"/>
      <c r="C522" s="63"/>
      <c r="D522" s="63"/>
      <c r="E522" s="66"/>
      <c r="H522" s="63"/>
      <c r="I522" s="63"/>
      <c r="J522" s="56"/>
      <c r="K522" s="63"/>
      <c r="L522" s="63"/>
      <c r="M522" s="76"/>
      <c r="N522" s="58"/>
      <c r="O522" s="77"/>
      <c r="P522" s="63"/>
      <c r="Q522" s="63"/>
      <c r="W522" s="63"/>
      <c r="X522" s="63"/>
      <c r="Z522" s="63"/>
      <c r="AA522" s="63"/>
      <c r="AB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L523" s="63"/>
      <c r="M523" s="76"/>
      <c r="N523" s="58"/>
      <c r="O523" s="77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6"/>
      <c r="N524" s="58"/>
      <c r="O524" s="77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5"/>
      <c r="N525" s="58"/>
      <c r="O525" s="77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75"/>
      <c r="N526" s="58"/>
      <c r="O526" s="77"/>
      <c r="P526" s="63"/>
      <c r="Q526" s="63"/>
      <c r="W526" s="63"/>
      <c r="X526" s="63"/>
      <c r="Z526" s="63"/>
      <c r="AA526" s="63"/>
      <c r="AB526" s="63"/>
      <c r="AC526" s="63"/>
      <c r="AD526" s="63"/>
      <c r="AJ526" s="63"/>
      <c r="AK526" s="63"/>
      <c r="AO526" s="63"/>
      <c r="AP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75"/>
      <c r="N527" s="58"/>
      <c r="O527" s="77"/>
      <c r="P527" s="63"/>
      <c r="Q527" s="63"/>
      <c r="W527" s="63"/>
      <c r="X527" s="63"/>
      <c r="Z527" s="63"/>
      <c r="AA527" s="63"/>
      <c r="AB527" s="63"/>
      <c r="AC527" s="63"/>
      <c r="AD527" s="63"/>
      <c r="AJ527" s="63"/>
      <c r="AK527" s="63"/>
      <c r="AO527" s="63"/>
      <c r="AP527" s="63"/>
    </row>
    <row r="528" spans="2:42">
      <c r="B528" s="63"/>
      <c r="C528" s="63"/>
      <c r="D528" s="63"/>
      <c r="E528" s="66"/>
      <c r="H528" s="63"/>
      <c r="I528" s="63"/>
      <c r="J528" s="56"/>
      <c r="K528" s="63"/>
      <c r="L528" s="63"/>
      <c r="M528" s="75"/>
      <c r="N528" s="58"/>
      <c r="O528" s="77"/>
      <c r="P528" s="63"/>
      <c r="Q528" s="63"/>
      <c r="W528" s="63"/>
      <c r="X528" s="63"/>
      <c r="Z528" s="63"/>
      <c r="AA528" s="63"/>
      <c r="AB528" s="63"/>
      <c r="AC528" s="63"/>
      <c r="AD528" s="63"/>
      <c r="AJ528" s="63"/>
      <c r="AK528" s="63"/>
      <c r="AO528" s="63"/>
      <c r="AP528" s="63"/>
    </row>
    <row r="529" spans="2:42">
      <c r="B529" s="63"/>
      <c r="C529" s="63"/>
      <c r="D529" s="63"/>
      <c r="E529" s="66"/>
      <c r="H529" s="63"/>
      <c r="I529" s="63"/>
      <c r="J529" s="56"/>
      <c r="K529" s="63"/>
      <c r="L529" s="63"/>
      <c r="M529" s="75"/>
      <c r="N529" s="58"/>
      <c r="O529" s="77"/>
      <c r="P529" s="63"/>
      <c r="Q529" s="63"/>
      <c r="W529" s="63"/>
      <c r="X529" s="63"/>
      <c r="Z529" s="63"/>
      <c r="AA529" s="63"/>
      <c r="AB529" s="63"/>
      <c r="AC529" s="63"/>
      <c r="AD529" s="63"/>
      <c r="AJ529" s="63"/>
      <c r="AK529" s="63"/>
      <c r="AO529" s="63"/>
      <c r="AP529" s="63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75"/>
      <c r="N530" s="58"/>
      <c r="O530" s="77"/>
      <c r="P530" s="63"/>
      <c r="Q530" s="63"/>
      <c r="W530" s="63"/>
      <c r="X530" s="63"/>
      <c r="Z530" s="63"/>
      <c r="AA530" s="63"/>
      <c r="AB530" s="63"/>
      <c r="AC530" s="63"/>
      <c r="AD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75"/>
      <c r="N531" s="58"/>
      <c r="O531" s="77"/>
      <c r="P531" s="63"/>
      <c r="Q531" s="63"/>
      <c r="W531" s="63"/>
      <c r="X531" s="63"/>
      <c r="Z531" s="63"/>
      <c r="AA531" s="63"/>
      <c r="AB531" s="63"/>
      <c r="AC531" s="63"/>
      <c r="AD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75"/>
      <c r="N532" s="58"/>
      <c r="O532" s="77"/>
      <c r="P532" s="63"/>
      <c r="Q532" s="63"/>
      <c r="W532" s="63"/>
      <c r="X532" s="63"/>
      <c r="Z532" s="63"/>
      <c r="AA532" s="63"/>
      <c r="AB532" s="63"/>
      <c r="AC532" s="63"/>
      <c r="AD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75"/>
      <c r="N533" s="58"/>
      <c r="O533" s="77"/>
      <c r="P533" s="63"/>
      <c r="Q533" s="63"/>
      <c r="W533" s="63"/>
      <c r="X533" s="63"/>
      <c r="Z533" s="63"/>
      <c r="AA533" s="63"/>
      <c r="AB533" s="63"/>
      <c r="AC533" s="63"/>
      <c r="AD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75"/>
      <c r="N534" s="58"/>
      <c r="O534" s="77"/>
      <c r="P534" s="63"/>
      <c r="Q534" s="63"/>
      <c r="W534" s="63"/>
      <c r="X534" s="63"/>
      <c r="Z534" s="63"/>
      <c r="AA534" s="63"/>
      <c r="AB534" s="63"/>
      <c r="AC534" s="63"/>
      <c r="AD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M535" s="75"/>
      <c r="N535" s="58"/>
      <c r="O535" s="77"/>
      <c r="P535" s="63"/>
      <c r="Q535" s="63"/>
      <c r="W535" s="63"/>
      <c r="X535" s="63"/>
      <c r="Z535" s="63"/>
      <c r="AA535" s="63"/>
      <c r="AB535" s="63"/>
      <c r="AC535" s="63"/>
      <c r="AD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M536" s="75"/>
      <c r="N536" s="58"/>
      <c r="O536" s="77"/>
      <c r="P536" s="63"/>
      <c r="Q536" s="63"/>
      <c r="W536" s="63"/>
      <c r="X536" s="63"/>
      <c r="Z536" s="63"/>
      <c r="AA536" s="63"/>
      <c r="AB536" s="63"/>
      <c r="AC536" s="63"/>
      <c r="AD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M537" s="75"/>
      <c r="N537" s="58"/>
      <c r="O537" s="77"/>
      <c r="P537" s="63"/>
      <c r="Q537" s="63"/>
      <c r="W537" s="63"/>
      <c r="X537" s="63"/>
      <c r="Z537" s="63"/>
      <c r="AA537" s="63"/>
      <c r="AB537" s="63"/>
      <c r="AC537" s="63"/>
      <c r="AD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M538" s="75"/>
      <c r="N538" s="58"/>
      <c r="O538" s="77"/>
      <c r="P538" s="63"/>
      <c r="Q538" s="63"/>
      <c r="W538" s="63"/>
      <c r="X538" s="63"/>
      <c r="Z538" s="63"/>
      <c r="AA538" s="63"/>
      <c r="AB538" s="63"/>
      <c r="AC538" s="63"/>
      <c r="AD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M539" s="75"/>
      <c r="N539" s="58"/>
      <c r="O539" s="77"/>
      <c r="P539" s="63"/>
      <c r="Q539" s="63"/>
      <c r="W539" s="63"/>
      <c r="X539" s="63"/>
      <c r="Z539" s="63"/>
      <c r="AA539" s="63"/>
      <c r="AB539" s="63"/>
      <c r="AC539" s="63"/>
      <c r="AD539" s="63"/>
      <c r="AJ539" s="63"/>
      <c r="AK539" s="63"/>
      <c r="AO539" s="63"/>
      <c r="AP539" s="63"/>
    </row>
    <row r="540" spans="2:42">
      <c r="B540" s="63"/>
      <c r="C540" s="63"/>
      <c r="D540" s="63"/>
      <c r="E540" s="66"/>
      <c r="H540" s="63"/>
      <c r="I540" s="63"/>
      <c r="J540" s="56"/>
      <c r="K540" s="63"/>
      <c r="M540" s="75"/>
      <c r="N540" s="58"/>
      <c r="O540" s="77"/>
      <c r="P540" s="63"/>
      <c r="Q540" s="63"/>
      <c r="W540" s="63"/>
      <c r="X540" s="63"/>
      <c r="Z540" s="63"/>
      <c r="AA540" s="63"/>
      <c r="AB540" s="63"/>
      <c r="AC540" s="63"/>
      <c r="AD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M541" s="75"/>
      <c r="N541" s="58"/>
      <c r="O541" s="77"/>
      <c r="P541" s="63"/>
      <c r="Q541" s="63"/>
      <c r="W541" s="63"/>
      <c r="X541" s="63"/>
      <c r="Z541" s="63"/>
      <c r="AA541" s="63"/>
      <c r="AB541" s="63"/>
      <c r="AC541" s="63"/>
      <c r="AD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M542" s="75"/>
      <c r="N542" s="58"/>
      <c r="O542" s="77"/>
      <c r="P542" s="63"/>
      <c r="Q542" s="63"/>
      <c r="W542" s="63"/>
      <c r="X542" s="63"/>
      <c r="Z542" s="63"/>
      <c r="AA542" s="63"/>
      <c r="AB542" s="63"/>
      <c r="AC542" s="63"/>
      <c r="AD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M543" s="75"/>
      <c r="N543" s="58"/>
      <c r="O543" s="77"/>
      <c r="P543" s="63"/>
      <c r="Q543" s="63"/>
      <c r="W543" s="63"/>
      <c r="X543" s="63"/>
      <c r="Z543" s="63"/>
      <c r="AA543" s="63"/>
      <c r="AB543" s="63"/>
      <c r="AC543" s="63"/>
      <c r="AD543" s="63"/>
      <c r="AJ543" s="63"/>
      <c r="AK543" s="63"/>
      <c r="AO543" s="63"/>
      <c r="AP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M544" s="75"/>
      <c r="N544" s="58"/>
      <c r="O544" s="77"/>
      <c r="P544" s="63"/>
      <c r="Q544" s="63"/>
      <c r="W544" s="63"/>
      <c r="X544" s="63"/>
      <c r="Z544" s="63"/>
      <c r="AA544" s="63"/>
      <c r="AB544" s="63"/>
      <c r="AC544" s="63"/>
      <c r="AD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M545" s="77"/>
      <c r="O545" s="62"/>
      <c r="P545" s="63"/>
      <c r="Q545" s="63"/>
      <c r="V545" s="63"/>
      <c r="W545" s="58"/>
      <c r="X545" s="63"/>
      <c r="Z545" s="63"/>
      <c r="AA545" s="63"/>
      <c r="AC545" s="63"/>
      <c r="AD545" s="63"/>
      <c r="AJ545" s="63"/>
      <c r="AK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M546" s="77"/>
      <c r="O546" s="62"/>
      <c r="P546" s="63"/>
      <c r="Q546" s="63"/>
      <c r="V546" s="63"/>
      <c r="W546" s="58"/>
      <c r="X546" s="63"/>
      <c r="Z546" s="63"/>
      <c r="AA546" s="63"/>
      <c r="AB546" s="63"/>
      <c r="AC546" s="63"/>
      <c r="AD546" s="63"/>
      <c r="AJ546" s="63"/>
      <c r="AK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M547" s="77"/>
      <c r="O547" s="62"/>
      <c r="P547" s="63"/>
      <c r="Q547" s="63"/>
      <c r="V547" s="63"/>
      <c r="W547" s="58"/>
      <c r="X547" s="63"/>
      <c r="Z547" s="63"/>
      <c r="AA547" s="63"/>
      <c r="AB547" s="63"/>
      <c r="AC547" s="63"/>
      <c r="AD547" s="63"/>
      <c r="AJ547" s="63"/>
      <c r="AK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M548" s="77"/>
      <c r="O548" s="62"/>
      <c r="P548" s="63"/>
      <c r="Q548" s="63"/>
      <c r="V548" s="63"/>
      <c r="W548" s="58"/>
      <c r="X548" s="63"/>
      <c r="Z548" s="63"/>
      <c r="AA548" s="63"/>
      <c r="AB548" s="63"/>
      <c r="AC548" s="63"/>
      <c r="AD548" s="63"/>
      <c r="AJ548" s="63"/>
      <c r="AK548" s="63"/>
    </row>
    <row r="549" spans="2:42" s="60" customFormat="1">
      <c r="B549" s="78"/>
      <c r="C549" s="78"/>
      <c r="D549" s="78"/>
      <c r="E549" s="66"/>
      <c r="H549" s="63"/>
      <c r="I549" s="78"/>
      <c r="J549" s="79"/>
      <c r="K549" s="78"/>
      <c r="L549" s="78"/>
      <c r="M549" s="80"/>
      <c r="O549" s="81"/>
      <c r="P549" s="78"/>
      <c r="Q549" s="78"/>
      <c r="V549" s="78"/>
      <c r="W549" s="82"/>
      <c r="X549" s="78"/>
      <c r="Z549" s="78"/>
      <c r="AA549" s="78"/>
      <c r="AC549" s="78"/>
      <c r="AD549" s="78"/>
      <c r="AJ549" s="78"/>
      <c r="AK549" s="78"/>
      <c r="AN549" s="82"/>
    </row>
    <row r="550" spans="2:42" s="60" customFormat="1">
      <c r="B550" s="78"/>
      <c r="C550" s="78"/>
      <c r="D550" s="78"/>
      <c r="E550" s="66"/>
      <c r="H550" s="63"/>
      <c r="I550" s="78"/>
      <c r="J550" s="79"/>
      <c r="K550" s="78"/>
      <c r="L550" s="78"/>
      <c r="M550" s="80"/>
      <c r="O550" s="81"/>
      <c r="P550" s="78"/>
      <c r="Q550" s="78"/>
      <c r="V550" s="78"/>
      <c r="W550" s="82"/>
      <c r="X550" s="78"/>
      <c r="Z550" s="78"/>
      <c r="AA550" s="78"/>
      <c r="AC550" s="78"/>
      <c r="AD550" s="78"/>
      <c r="AJ550" s="78"/>
      <c r="AK550" s="78"/>
      <c r="AN550" s="82"/>
    </row>
    <row r="551" spans="2:42" s="60" customFormat="1">
      <c r="B551" s="78"/>
      <c r="C551" s="78"/>
      <c r="D551" s="78"/>
      <c r="E551" s="66"/>
      <c r="H551" s="63"/>
      <c r="I551" s="78"/>
      <c r="J551" s="79"/>
      <c r="K551" s="78"/>
      <c r="L551" s="78"/>
      <c r="M551" s="80"/>
      <c r="O551" s="81"/>
      <c r="P551" s="78"/>
      <c r="Q551" s="78"/>
      <c r="V551" s="78"/>
      <c r="W551" s="82"/>
      <c r="X551" s="78"/>
      <c r="Z551" s="78"/>
      <c r="AA551" s="78"/>
      <c r="AC551" s="78"/>
      <c r="AD551" s="78"/>
      <c r="AJ551" s="78"/>
      <c r="AK551" s="78"/>
      <c r="AN551" s="82"/>
    </row>
    <row r="552" spans="2:42" s="60" customFormat="1">
      <c r="B552" s="78"/>
      <c r="C552" s="78"/>
      <c r="D552" s="78"/>
      <c r="E552" s="66"/>
      <c r="H552" s="63"/>
      <c r="I552" s="78"/>
      <c r="J552" s="79"/>
      <c r="K552" s="78"/>
      <c r="L552" s="78"/>
      <c r="M552" s="80"/>
      <c r="O552" s="81"/>
      <c r="P552" s="78"/>
      <c r="Q552" s="78"/>
      <c r="V552" s="78"/>
      <c r="W552" s="82"/>
      <c r="X552" s="78"/>
      <c r="Z552" s="78"/>
      <c r="AA552" s="78"/>
      <c r="AC552" s="78"/>
      <c r="AD552" s="78"/>
      <c r="AJ552" s="78"/>
      <c r="AK552" s="78"/>
      <c r="AN552" s="82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M553" s="77"/>
      <c r="O553" s="62"/>
      <c r="P553" s="63"/>
      <c r="Q553" s="63"/>
      <c r="W553" s="63"/>
      <c r="X553" s="63"/>
      <c r="Z553" s="63"/>
      <c r="AA553" s="63"/>
      <c r="AC553" s="63"/>
      <c r="AD553" s="63"/>
      <c r="AJ553" s="63"/>
      <c r="AK553" s="63"/>
      <c r="AO553" s="63"/>
      <c r="AP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M554" s="77"/>
      <c r="O554" s="62"/>
      <c r="P554" s="63"/>
      <c r="Q554" s="63"/>
      <c r="W554" s="63"/>
      <c r="X554" s="63"/>
      <c r="Z554" s="63"/>
      <c r="AA554" s="63"/>
      <c r="AB554" s="63"/>
      <c r="AC554" s="63"/>
      <c r="AD554" s="63"/>
      <c r="AJ554" s="63"/>
      <c r="AK554" s="63"/>
      <c r="AO554" s="63"/>
      <c r="AP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M555" s="77"/>
      <c r="O555" s="62"/>
      <c r="P555" s="63"/>
      <c r="Q555" s="63"/>
      <c r="W555" s="63"/>
      <c r="X555" s="63"/>
      <c r="Z555" s="63"/>
      <c r="AA555" s="63"/>
      <c r="AB555" s="63"/>
      <c r="AC555" s="63"/>
      <c r="AD555" s="63"/>
      <c r="AJ555" s="63"/>
      <c r="AK555" s="63"/>
      <c r="AO555" s="63"/>
      <c r="AP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L556" s="63"/>
      <c r="M556" s="77"/>
      <c r="O556" s="62"/>
      <c r="P556" s="63"/>
      <c r="Q556" s="63"/>
      <c r="W556" s="63"/>
      <c r="X556" s="63"/>
      <c r="Z556" s="63"/>
      <c r="AA556" s="63"/>
      <c r="AB556" s="63"/>
      <c r="AC556" s="63"/>
      <c r="AD556" s="63"/>
      <c r="AJ556" s="63"/>
      <c r="AK556" s="63"/>
      <c r="AO556" s="63"/>
      <c r="AP556" s="63"/>
    </row>
    <row r="557" spans="2:42" s="60" customFormat="1">
      <c r="B557" s="78"/>
      <c r="C557" s="78"/>
      <c r="D557" s="78"/>
      <c r="E557" s="66"/>
      <c r="H557" s="63"/>
      <c r="I557" s="78"/>
      <c r="J557" s="79"/>
      <c r="K557" s="78"/>
      <c r="L557" s="78"/>
      <c r="M557" s="80"/>
      <c r="O557" s="81"/>
      <c r="P557" s="78"/>
      <c r="Q557" s="78"/>
      <c r="W557" s="78"/>
      <c r="X557" s="78"/>
      <c r="Z557" s="78"/>
      <c r="AA557" s="78"/>
      <c r="AC557" s="78"/>
      <c r="AD557" s="78"/>
      <c r="AJ557" s="78"/>
      <c r="AK557" s="78"/>
      <c r="AN557" s="82"/>
      <c r="AO557" s="78"/>
      <c r="AP557" s="78"/>
    </row>
    <row r="558" spans="2:42" s="60" customFormat="1">
      <c r="B558" s="78"/>
      <c r="C558" s="78"/>
      <c r="D558" s="78"/>
      <c r="E558" s="66"/>
      <c r="H558" s="63"/>
      <c r="I558" s="78"/>
      <c r="J558" s="79"/>
      <c r="K558" s="78"/>
      <c r="L558" s="78"/>
      <c r="M558" s="80"/>
      <c r="O558" s="81"/>
      <c r="P558" s="78"/>
      <c r="Q558" s="78"/>
      <c r="W558" s="78"/>
      <c r="X558" s="78"/>
      <c r="Z558" s="78"/>
      <c r="AA558" s="78"/>
      <c r="AC558" s="78"/>
      <c r="AD558" s="78"/>
      <c r="AJ558" s="78"/>
      <c r="AK558" s="78"/>
      <c r="AN558" s="82"/>
      <c r="AO558" s="78"/>
      <c r="AP558" s="78"/>
    </row>
    <row r="559" spans="2:42" s="60" customFormat="1">
      <c r="B559" s="78"/>
      <c r="C559" s="78"/>
      <c r="D559" s="78"/>
      <c r="E559" s="66"/>
      <c r="H559" s="63"/>
      <c r="I559" s="78"/>
      <c r="J559" s="79"/>
      <c r="K559" s="78"/>
      <c r="L559" s="78"/>
      <c r="M559" s="80"/>
      <c r="O559" s="81"/>
      <c r="P559" s="78"/>
      <c r="Q559" s="78"/>
      <c r="W559" s="78"/>
      <c r="X559" s="78"/>
      <c r="Z559" s="78"/>
      <c r="AA559" s="78"/>
      <c r="AC559" s="78"/>
      <c r="AD559" s="78"/>
      <c r="AJ559" s="78"/>
      <c r="AK559" s="78"/>
      <c r="AN559" s="82"/>
      <c r="AO559" s="78"/>
      <c r="AP559" s="78"/>
    </row>
    <row r="560" spans="2:42" s="60" customFormat="1">
      <c r="B560" s="78"/>
      <c r="C560" s="78"/>
      <c r="D560" s="78"/>
      <c r="E560" s="66"/>
      <c r="H560" s="63"/>
      <c r="I560" s="78"/>
      <c r="J560" s="79"/>
      <c r="K560" s="78"/>
      <c r="L560" s="78"/>
      <c r="M560" s="80"/>
      <c r="O560" s="81"/>
      <c r="P560" s="78"/>
      <c r="Q560" s="78"/>
      <c r="W560" s="78"/>
      <c r="X560" s="78"/>
      <c r="Z560" s="78"/>
      <c r="AA560" s="78"/>
      <c r="AC560" s="78"/>
      <c r="AD560" s="78"/>
      <c r="AJ560" s="78"/>
      <c r="AK560" s="78"/>
      <c r="AN560" s="82"/>
      <c r="AO560" s="78"/>
      <c r="AP560" s="78"/>
    </row>
    <row r="561" spans="2:42">
      <c r="B561" s="63"/>
      <c r="C561" s="63"/>
      <c r="D561" s="63"/>
      <c r="E561" s="66"/>
      <c r="H561" s="63"/>
      <c r="I561" s="63"/>
      <c r="J561" s="56"/>
      <c r="K561" s="63"/>
      <c r="L561" s="63"/>
      <c r="M561" s="65"/>
      <c r="O561" s="63"/>
      <c r="P561" s="63"/>
      <c r="Q561" s="63"/>
      <c r="W561" s="63"/>
      <c r="X561" s="63"/>
      <c r="Z561" s="63"/>
      <c r="AA561" s="63"/>
      <c r="AC561" s="63"/>
      <c r="AD561" s="63"/>
      <c r="AI561" s="63"/>
      <c r="AJ561" s="63"/>
      <c r="AK561" s="63"/>
      <c r="AO561" s="63"/>
      <c r="AP561" s="63"/>
    </row>
    <row r="562" spans="2:42">
      <c r="B562" s="63"/>
      <c r="C562" s="63"/>
      <c r="D562" s="63"/>
      <c r="E562" s="66"/>
      <c r="H562" s="63"/>
      <c r="I562" s="63"/>
      <c r="J562" s="56"/>
      <c r="K562" s="63"/>
      <c r="L562" s="63"/>
      <c r="M562" s="65"/>
      <c r="O562" s="63"/>
      <c r="P562" s="63"/>
      <c r="Q562" s="63"/>
      <c r="W562" s="63"/>
      <c r="X562" s="63"/>
      <c r="Z562" s="63"/>
      <c r="AA562" s="63"/>
      <c r="AC562" s="63"/>
      <c r="AD562" s="63"/>
      <c r="AI562" s="63"/>
      <c r="AJ562" s="63"/>
      <c r="AK562" s="63"/>
      <c r="AO562" s="63"/>
      <c r="AP562" s="63"/>
    </row>
    <row r="563" spans="2:42">
      <c r="B563" s="63"/>
      <c r="C563" s="63"/>
      <c r="D563" s="63"/>
      <c r="E563" s="66"/>
      <c r="H563" s="63"/>
      <c r="I563" s="63"/>
      <c r="J563" s="56"/>
      <c r="K563" s="63"/>
      <c r="L563" s="63"/>
      <c r="M563" s="65"/>
      <c r="O563" s="63"/>
      <c r="P563" s="63"/>
      <c r="Q563" s="63"/>
      <c r="W563" s="63"/>
      <c r="X563" s="63"/>
      <c r="Z563" s="63"/>
      <c r="AA563" s="63"/>
      <c r="AC563" s="63"/>
      <c r="AD563" s="63"/>
      <c r="AI563" s="63"/>
      <c r="AJ563" s="63"/>
      <c r="AK563" s="63"/>
      <c r="AO563" s="63"/>
      <c r="AP563" s="63"/>
    </row>
    <row r="564" spans="2:42">
      <c r="B564" s="63"/>
      <c r="C564" s="63"/>
      <c r="D564" s="63"/>
      <c r="E564" s="66"/>
      <c r="H564" s="63"/>
      <c r="I564" s="63"/>
      <c r="J564" s="56"/>
      <c r="K564" s="63"/>
      <c r="L564" s="63"/>
      <c r="M564" s="65"/>
      <c r="O564" s="63"/>
      <c r="P564" s="63"/>
      <c r="Q564" s="63"/>
      <c r="W564" s="63"/>
      <c r="X564" s="63"/>
      <c r="Z564" s="63"/>
      <c r="AA564" s="63"/>
      <c r="AC564" s="63"/>
      <c r="AD564" s="63"/>
      <c r="AI564" s="63"/>
      <c r="AJ564" s="63"/>
      <c r="AK564" s="63"/>
      <c r="AO564" s="63"/>
      <c r="AP564" s="63"/>
    </row>
    <row r="565" spans="2:42">
      <c r="B565" s="63"/>
      <c r="C565" s="63"/>
      <c r="D565" s="63"/>
      <c r="E565" s="66"/>
      <c r="H565" s="63"/>
      <c r="I565" s="63"/>
      <c r="J565" s="56"/>
      <c r="K565" s="63"/>
      <c r="L565" s="63"/>
      <c r="M565" s="65"/>
      <c r="O565" s="63"/>
      <c r="P565" s="63"/>
      <c r="Q565" s="63"/>
      <c r="W565" s="63"/>
      <c r="X565" s="63"/>
      <c r="Z565" s="63"/>
      <c r="AA565" s="63"/>
      <c r="AC565" s="63"/>
      <c r="AD565" s="63"/>
      <c r="AI565" s="63"/>
      <c r="AJ565" s="63"/>
      <c r="AK565" s="63"/>
      <c r="AO565" s="63"/>
      <c r="AP565" s="63"/>
    </row>
    <row r="566" spans="2:42">
      <c r="B566" s="63"/>
      <c r="C566" s="63"/>
      <c r="D566" s="63"/>
      <c r="E566" s="66"/>
      <c r="H566" s="63"/>
      <c r="I566" s="63"/>
      <c r="J566" s="56"/>
      <c r="K566" s="63"/>
      <c r="L566" s="63"/>
      <c r="M566" s="65"/>
      <c r="O566" s="63"/>
      <c r="P566" s="63"/>
      <c r="Q566" s="63"/>
      <c r="W566" s="63"/>
      <c r="X566" s="63"/>
      <c r="Z566" s="63"/>
      <c r="AA566" s="63"/>
      <c r="AC566" s="63"/>
      <c r="AD566" s="63"/>
      <c r="AI566" s="63"/>
      <c r="AJ566" s="63"/>
      <c r="AK566" s="63"/>
      <c r="AO566" s="63"/>
      <c r="AP566" s="63"/>
    </row>
    <row r="567" spans="2:42">
      <c r="B567" s="63"/>
      <c r="C567" s="63"/>
      <c r="D567" s="63"/>
      <c r="E567" s="66"/>
      <c r="H567" s="63"/>
      <c r="I567" s="63"/>
      <c r="J567" s="56"/>
      <c r="K567" s="63"/>
      <c r="L567" s="63"/>
      <c r="M567" s="65"/>
      <c r="O567" s="63"/>
      <c r="P567" s="63"/>
      <c r="Q567" s="63"/>
      <c r="W567" s="63"/>
      <c r="X567" s="63"/>
      <c r="Z567" s="63"/>
      <c r="AA567" s="63"/>
      <c r="AC567" s="63"/>
      <c r="AD567" s="63"/>
      <c r="AI567" s="63"/>
      <c r="AJ567" s="63"/>
      <c r="AK567" s="63"/>
      <c r="AO567" s="63"/>
      <c r="AP567" s="63"/>
    </row>
    <row r="568" spans="2:42">
      <c r="B568" s="63"/>
      <c r="C568" s="63"/>
      <c r="D568" s="63"/>
      <c r="E568" s="66"/>
      <c r="H568" s="63"/>
      <c r="I568" s="63"/>
      <c r="J568" s="56"/>
      <c r="K568" s="63"/>
      <c r="L568" s="63"/>
      <c r="M568" s="65"/>
      <c r="O568" s="63"/>
      <c r="P568" s="63"/>
      <c r="Q568" s="63"/>
      <c r="W568" s="63"/>
      <c r="X568" s="63"/>
      <c r="Z568" s="63"/>
      <c r="AA568" s="63"/>
      <c r="AC568" s="63"/>
      <c r="AD568" s="63"/>
      <c r="AI568" s="63"/>
      <c r="AJ568" s="63"/>
      <c r="AK568" s="63"/>
      <c r="AO568" s="63"/>
      <c r="AP568" s="63"/>
    </row>
    <row r="569" spans="2:42">
      <c r="B569" s="63"/>
      <c r="C569" s="63"/>
      <c r="D569" s="63"/>
      <c r="E569" s="66"/>
      <c r="H569" s="63"/>
      <c r="I569" s="63"/>
      <c r="J569" s="56"/>
      <c r="K569" s="63"/>
      <c r="L569" s="63"/>
      <c r="M569" s="65"/>
      <c r="O569" s="63"/>
      <c r="P569" s="63"/>
      <c r="Q569" s="63"/>
      <c r="W569" s="63"/>
      <c r="X569" s="63"/>
      <c r="Z569" s="63"/>
      <c r="AA569" s="63"/>
      <c r="AC569" s="63"/>
      <c r="AD569" s="63"/>
      <c r="AI569" s="63"/>
      <c r="AJ569" s="63"/>
      <c r="AK569" s="63"/>
      <c r="AO569" s="63"/>
      <c r="AP569" s="63"/>
    </row>
    <row r="570" spans="2:42">
      <c r="B570" s="63"/>
      <c r="C570" s="63"/>
      <c r="D570" s="63"/>
      <c r="E570" s="66"/>
      <c r="H570" s="63"/>
      <c r="I570" s="63"/>
      <c r="J570" s="56"/>
      <c r="K570" s="63"/>
      <c r="L570" s="63"/>
      <c r="M570" s="65"/>
      <c r="O570" s="63"/>
      <c r="P570" s="63"/>
      <c r="Q570" s="63"/>
      <c r="W570" s="63"/>
      <c r="X570" s="63"/>
      <c r="Z570" s="63"/>
      <c r="AA570" s="63"/>
      <c r="AC570" s="63"/>
      <c r="AD570" s="63"/>
      <c r="AI570" s="63"/>
      <c r="AJ570" s="63"/>
      <c r="AK570" s="63"/>
      <c r="AO570" s="63"/>
      <c r="AP570" s="63"/>
    </row>
    <row r="571" spans="2:42">
      <c r="B571" s="63"/>
      <c r="C571" s="63"/>
      <c r="D571" s="63"/>
      <c r="E571" s="66"/>
      <c r="H571" s="63"/>
      <c r="I571" s="63"/>
      <c r="J571" s="56"/>
      <c r="K571" s="63"/>
      <c r="L571" s="63"/>
      <c r="M571" s="65"/>
      <c r="O571" s="63"/>
      <c r="P571" s="63"/>
      <c r="Q571" s="63"/>
      <c r="W571" s="63"/>
      <c r="X571" s="63"/>
      <c r="Z571" s="63"/>
      <c r="AA571" s="63"/>
      <c r="AC571" s="63"/>
      <c r="AD571" s="63"/>
      <c r="AI571" s="63"/>
      <c r="AJ571" s="63"/>
      <c r="AK571" s="63"/>
      <c r="AO571" s="63"/>
      <c r="AP571" s="63"/>
    </row>
    <row r="572" spans="2:42">
      <c r="B572" s="63"/>
      <c r="C572" s="63"/>
      <c r="D572" s="63"/>
      <c r="E572" s="66"/>
      <c r="H572" s="63"/>
      <c r="I572" s="63"/>
      <c r="J572" s="56"/>
      <c r="K572" s="63"/>
      <c r="L572" s="63"/>
      <c r="M572" s="65"/>
      <c r="O572" s="63"/>
      <c r="P572" s="63"/>
      <c r="Q572" s="63"/>
      <c r="W572" s="63"/>
      <c r="X572" s="63"/>
      <c r="Z572" s="63"/>
      <c r="AA572" s="63"/>
      <c r="AC572" s="63"/>
      <c r="AD572" s="63"/>
      <c r="AI572" s="63"/>
      <c r="AJ572" s="63"/>
      <c r="AK572" s="63"/>
      <c r="AO572" s="63"/>
      <c r="AP572" s="63"/>
    </row>
    <row r="573" spans="2:42">
      <c r="B573" s="63"/>
      <c r="C573" s="63"/>
      <c r="D573" s="63"/>
      <c r="E573" s="66"/>
      <c r="H573" s="63"/>
      <c r="I573" s="63"/>
      <c r="J573" s="56"/>
      <c r="K573" s="63"/>
      <c r="L573" s="63"/>
      <c r="M573" s="65"/>
      <c r="O573" s="63"/>
      <c r="P573" s="63"/>
      <c r="Q573" s="63"/>
      <c r="W573" s="63"/>
      <c r="X573" s="63"/>
      <c r="Z573" s="63"/>
      <c r="AA573" s="63"/>
      <c r="AC573" s="63"/>
      <c r="AD573" s="63"/>
      <c r="AI573" s="63"/>
      <c r="AJ573" s="63"/>
      <c r="AK573" s="63"/>
      <c r="AO573" s="63"/>
      <c r="AP573" s="63"/>
    </row>
    <row r="574" spans="2:42">
      <c r="B574" s="63"/>
      <c r="C574" s="63"/>
      <c r="D574" s="63"/>
      <c r="E574" s="66"/>
      <c r="H574" s="63"/>
      <c r="I574" s="63"/>
      <c r="J574" s="56"/>
      <c r="K574" s="63"/>
      <c r="L574" s="63"/>
      <c r="M574" s="65"/>
      <c r="O574" s="63"/>
      <c r="P574" s="63"/>
      <c r="Q574" s="63"/>
      <c r="W574" s="63"/>
      <c r="X574" s="63"/>
      <c r="Z574" s="63"/>
      <c r="AA574" s="63"/>
      <c r="AC574" s="63"/>
      <c r="AD574" s="63"/>
      <c r="AI574" s="63"/>
      <c r="AJ574" s="63"/>
      <c r="AK574" s="63"/>
      <c r="AO574" s="63"/>
      <c r="AP574" s="63"/>
    </row>
    <row r="575" spans="2:42">
      <c r="B575" s="56"/>
      <c r="C575" s="63"/>
      <c r="D575" s="63"/>
      <c r="E575" s="66"/>
      <c r="H575" s="63"/>
      <c r="I575" s="56"/>
      <c r="J575" s="56"/>
      <c r="K575" s="63"/>
      <c r="L575" s="63"/>
      <c r="M575" s="65"/>
      <c r="O575" s="63"/>
      <c r="P575" s="63"/>
      <c r="Q575" s="63"/>
      <c r="W575" s="63"/>
      <c r="X575" s="63"/>
      <c r="Z575" s="63"/>
      <c r="AA575" s="63"/>
      <c r="AC575" s="63"/>
      <c r="AD575" s="63"/>
      <c r="AI575" s="63"/>
      <c r="AJ575" s="63"/>
      <c r="AK575" s="63"/>
      <c r="AO575" s="63"/>
      <c r="AP575" s="63"/>
    </row>
    <row r="576" spans="2:42">
      <c r="B576" s="63"/>
      <c r="C576" s="63"/>
      <c r="D576" s="63"/>
      <c r="E576" s="66"/>
      <c r="H576" s="63"/>
      <c r="I576" s="63"/>
      <c r="J576" s="56"/>
      <c r="K576" s="63"/>
      <c r="L576" s="63"/>
      <c r="O576" s="62"/>
      <c r="P576" s="63"/>
      <c r="Q576" s="63"/>
      <c r="V576" s="63"/>
      <c r="W576" s="58"/>
      <c r="X576" s="63"/>
      <c r="Z576" s="63"/>
      <c r="AA576" s="63"/>
      <c r="AC576" s="63"/>
      <c r="AD576" s="63"/>
      <c r="AI576" s="63"/>
      <c r="AJ576" s="63"/>
      <c r="AK576" s="63"/>
      <c r="AO576" s="63"/>
      <c r="AP576" s="63"/>
    </row>
    <row r="577" spans="2:42">
      <c r="B577" s="63"/>
      <c r="C577" s="63"/>
      <c r="D577" s="63"/>
      <c r="E577" s="66"/>
      <c r="H577" s="63"/>
      <c r="I577" s="63"/>
      <c r="J577" s="56"/>
      <c r="K577" s="63"/>
      <c r="L577" s="63"/>
      <c r="P577" s="63"/>
      <c r="Q577" s="63"/>
      <c r="W577" s="63"/>
      <c r="X577" s="63"/>
      <c r="Z577" s="63"/>
      <c r="AA577" s="63"/>
      <c r="AC577" s="63"/>
      <c r="AD577" s="63"/>
      <c r="AI577" s="63"/>
      <c r="AJ577" s="63"/>
      <c r="AK577" s="63"/>
      <c r="AO577" s="63"/>
      <c r="AP577" s="63"/>
    </row>
    <row r="578" spans="2:42">
      <c r="B578" s="63"/>
      <c r="C578" s="63"/>
      <c r="D578" s="63"/>
      <c r="E578" s="66"/>
      <c r="H578" s="63"/>
      <c r="I578" s="63"/>
      <c r="J578" s="56"/>
      <c r="K578" s="63"/>
      <c r="L578" s="63"/>
      <c r="P578" s="63"/>
      <c r="Q578" s="63"/>
      <c r="W578" s="63"/>
      <c r="X578" s="63"/>
      <c r="Z578" s="63"/>
      <c r="AA578" s="63"/>
      <c r="AC578" s="63"/>
      <c r="AD578" s="63"/>
      <c r="AI578" s="63"/>
      <c r="AJ578" s="63"/>
      <c r="AK578" s="63"/>
      <c r="AO578" s="63"/>
      <c r="AP578" s="63"/>
    </row>
    <row r="579" spans="2:42">
      <c r="B579" s="63"/>
      <c r="C579" s="63"/>
      <c r="D579" s="63"/>
      <c r="E579" s="66"/>
      <c r="H579" s="63"/>
      <c r="I579" s="63"/>
      <c r="J579" s="56"/>
      <c r="K579" s="63"/>
      <c r="L579" s="63"/>
      <c r="P579" s="63"/>
      <c r="Q579" s="63"/>
      <c r="W579" s="63"/>
      <c r="X579" s="63"/>
      <c r="Z579" s="63"/>
      <c r="AA579" s="63"/>
      <c r="AC579" s="63"/>
      <c r="AD579" s="63"/>
      <c r="AI579" s="63"/>
      <c r="AJ579" s="63"/>
      <c r="AK579" s="63"/>
      <c r="AO579" s="63"/>
      <c r="AP579" s="63"/>
    </row>
    <row r="580" spans="2:42">
      <c r="B580" s="63"/>
      <c r="C580" s="63"/>
      <c r="D580" s="63"/>
      <c r="E580" s="66"/>
      <c r="H580" s="63"/>
      <c r="I580" s="63"/>
      <c r="J580" s="56"/>
      <c r="K580" s="63"/>
      <c r="L580" s="63"/>
      <c r="P580" s="63"/>
      <c r="Q580" s="63"/>
      <c r="W580" s="63"/>
      <c r="X580" s="63"/>
      <c r="Z580" s="63"/>
      <c r="AA580" s="63"/>
      <c r="AC580" s="63"/>
      <c r="AD580" s="63"/>
      <c r="AI580" s="63"/>
      <c r="AJ580" s="63"/>
      <c r="AK580" s="63"/>
      <c r="AO580" s="63"/>
      <c r="AP580" s="63"/>
    </row>
    <row r="581" spans="2:42">
      <c r="B581" s="63"/>
      <c r="C581" s="63"/>
      <c r="D581" s="63"/>
      <c r="E581" s="66"/>
      <c r="H581" s="63"/>
      <c r="I581" s="63"/>
      <c r="J581" s="56"/>
      <c r="K581" s="63"/>
      <c r="L581" s="63"/>
      <c r="P581" s="63"/>
      <c r="Q581" s="63"/>
      <c r="W581" s="63"/>
      <c r="X581" s="63"/>
      <c r="Z581" s="63"/>
      <c r="AA581" s="63"/>
      <c r="AC581" s="63"/>
      <c r="AD581" s="63"/>
      <c r="AI581" s="63"/>
      <c r="AJ581" s="63"/>
      <c r="AK581" s="63"/>
      <c r="AO581" s="63"/>
      <c r="AP581" s="63"/>
    </row>
    <row r="582" spans="2:42">
      <c r="B582" s="63"/>
      <c r="C582" s="63"/>
      <c r="D582" s="63"/>
      <c r="E582" s="66"/>
      <c r="H582" s="63"/>
      <c r="I582" s="63"/>
      <c r="J582" s="56"/>
      <c r="K582" s="63"/>
      <c r="L582" s="63"/>
      <c r="P582" s="63"/>
      <c r="Q582" s="63"/>
      <c r="W582" s="63"/>
      <c r="X582" s="63"/>
      <c r="Z582" s="63"/>
      <c r="AA582" s="63"/>
      <c r="AC582" s="63"/>
      <c r="AD582" s="63"/>
      <c r="AI582" s="63"/>
      <c r="AJ582" s="63"/>
      <c r="AK582" s="63"/>
      <c r="AO582" s="63"/>
      <c r="AP582" s="63"/>
    </row>
    <row r="583" spans="2:42">
      <c r="B583" s="63"/>
      <c r="C583" s="63"/>
      <c r="D583" s="63"/>
      <c r="E583" s="66"/>
      <c r="H583" s="63"/>
      <c r="I583" s="63"/>
      <c r="J583" s="56"/>
      <c r="K583" s="63"/>
      <c r="L583" s="63"/>
      <c r="P583" s="63"/>
      <c r="Q583" s="63"/>
      <c r="W583" s="63"/>
      <c r="X583" s="63"/>
      <c r="Z583" s="63"/>
      <c r="AA583" s="63"/>
      <c r="AC583" s="63"/>
      <c r="AD583" s="63"/>
      <c r="AI583" s="63"/>
      <c r="AJ583" s="63"/>
      <c r="AK583" s="63"/>
      <c r="AO583" s="63"/>
      <c r="AP583" s="63"/>
    </row>
    <row r="584" spans="2:42">
      <c r="B584" s="63"/>
      <c r="C584" s="63"/>
      <c r="D584" s="63"/>
      <c r="E584" s="66"/>
      <c r="H584" s="63"/>
      <c r="I584" s="63"/>
      <c r="J584" s="56"/>
      <c r="K584" s="63"/>
      <c r="L584" s="63"/>
      <c r="P584" s="63"/>
      <c r="Q584" s="63"/>
      <c r="W584" s="63"/>
      <c r="X584" s="63"/>
      <c r="Z584" s="63"/>
      <c r="AA584" s="63"/>
      <c r="AC584" s="63"/>
      <c r="AD584" s="63"/>
      <c r="AI584" s="63"/>
      <c r="AJ584" s="63"/>
      <c r="AK584" s="63"/>
      <c r="AO584" s="63"/>
      <c r="AP584" s="63"/>
    </row>
    <row r="585" spans="2:42">
      <c r="B585" s="63"/>
      <c r="C585" s="63"/>
      <c r="D585" s="63"/>
      <c r="E585" s="66"/>
      <c r="H585" s="63"/>
      <c r="I585" s="63"/>
      <c r="J585" s="56"/>
      <c r="K585" s="63"/>
      <c r="L585" s="63"/>
      <c r="P585" s="63"/>
      <c r="Q585" s="63"/>
      <c r="W585" s="63"/>
      <c r="X585" s="63"/>
      <c r="Z585" s="63"/>
      <c r="AA585" s="63"/>
      <c r="AC585" s="63"/>
      <c r="AD585" s="63"/>
      <c r="AI585" s="63"/>
      <c r="AJ585" s="63"/>
      <c r="AK585" s="63"/>
    </row>
    <row r="586" spans="2:42">
      <c r="B586" s="63"/>
      <c r="C586" s="63"/>
      <c r="D586" s="63"/>
      <c r="E586" s="66"/>
      <c r="H586" s="63"/>
      <c r="I586" s="63"/>
      <c r="J586" s="56"/>
      <c r="K586" s="63"/>
      <c r="L586" s="63"/>
      <c r="P586" s="63"/>
      <c r="Q586" s="63"/>
      <c r="R586" s="58"/>
      <c r="S586" s="58"/>
      <c r="T586" s="58"/>
      <c r="W586" s="63"/>
      <c r="X586" s="63"/>
      <c r="Z586" s="63"/>
      <c r="AA586" s="63"/>
      <c r="AC586" s="63"/>
      <c r="AD586" s="63"/>
      <c r="AI586" s="63"/>
      <c r="AJ586" s="63"/>
      <c r="AK586" s="63"/>
      <c r="AO586" s="63"/>
      <c r="AP586" s="63"/>
    </row>
    <row r="587" spans="2:42">
      <c r="B587" s="63"/>
      <c r="C587" s="63"/>
      <c r="D587" s="63"/>
      <c r="E587" s="66"/>
      <c r="H587" s="63"/>
      <c r="I587" s="63"/>
      <c r="J587" s="56"/>
      <c r="K587" s="63"/>
      <c r="L587" s="63"/>
      <c r="P587" s="63"/>
      <c r="Q587" s="63"/>
      <c r="R587" s="58"/>
      <c r="S587" s="58"/>
      <c r="T587" s="58"/>
      <c r="W587" s="63"/>
      <c r="X587" s="63"/>
      <c r="Z587" s="63"/>
      <c r="AA587" s="63"/>
      <c r="AC587" s="63"/>
      <c r="AD587" s="63"/>
      <c r="AJ587" s="63"/>
      <c r="AK587" s="63"/>
      <c r="AO587" s="63"/>
      <c r="AP587" s="63"/>
    </row>
    <row r="588" spans="2:42">
      <c r="B588" s="63"/>
      <c r="C588" s="63"/>
      <c r="D588" s="63"/>
      <c r="E588" s="66"/>
      <c r="H588" s="63"/>
      <c r="I588" s="63"/>
      <c r="J588" s="56"/>
      <c r="K588" s="63"/>
      <c r="L588" s="63"/>
      <c r="P588" s="63"/>
      <c r="Q588" s="63"/>
      <c r="R588" s="58"/>
      <c r="S588" s="58"/>
      <c r="T588" s="58"/>
      <c r="W588" s="63"/>
      <c r="X588" s="63"/>
      <c r="Z588" s="63"/>
      <c r="AA588" s="63"/>
      <c r="AC588" s="63"/>
      <c r="AD588" s="63"/>
      <c r="AJ588" s="63"/>
      <c r="AK588" s="63"/>
    </row>
    <row r="589" spans="2:42">
      <c r="B589" s="63"/>
      <c r="C589" s="63"/>
      <c r="D589" s="63"/>
      <c r="E589" s="66"/>
      <c r="H589" s="63"/>
      <c r="I589" s="63"/>
      <c r="J589" s="56"/>
      <c r="K589" s="63"/>
      <c r="L589" s="63"/>
      <c r="P589" s="63"/>
      <c r="Q589" s="63"/>
      <c r="R589" s="58"/>
      <c r="S589" s="58"/>
      <c r="T589" s="58"/>
      <c r="W589" s="63"/>
      <c r="X589" s="63"/>
      <c r="Z589" s="63"/>
      <c r="AA589" s="63"/>
      <c r="AC589" s="63"/>
      <c r="AD589" s="63"/>
      <c r="AJ589" s="63"/>
      <c r="AK589" s="63"/>
    </row>
    <row r="590" spans="2:42">
      <c r="B590" s="63"/>
      <c r="C590" s="63"/>
      <c r="D590" s="63"/>
      <c r="E590" s="66"/>
      <c r="H590" s="63"/>
      <c r="I590" s="63"/>
      <c r="J590" s="56"/>
      <c r="K590" s="63"/>
      <c r="L590" s="63"/>
      <c r="P590" s="63"/>
      <c r="Q590" s="63"/>
      <c r="R590" s="58"/>
      <c r="S590" s="58"/>
      <c r="T590" s="58"/>
      <c r="W590" s="63"/>
      <c r="X590" s="63"/>
      <c r="Z590" s="63"/>
      <c r="AA590" s="63"/>
      <c r="AC590" s="63"/>
      <c r="AD590" s="63"/>
      <c r="AJ590" s="63"/>
      <c r="AK590" s="63"/>
    </row>
    <row r="591" spans="2:42">
      <c r="B591" s="63"/>
      <c r="C591" s="63"/>
      <c r="D591" s="63"/>
      <c r="E591" s="66"/>
      <c r="H591" s="63"/>
      <c r="I591" s="63"/>
      <c r="J591" s="56"/>
      <c r="K591" s="63"/>
      <c r="L591" s="63"/>
      <c r="P591" s="63"/>
      <c r="Q591" s="63"/>
      <c r="R591" s="58"/>
      <c r="S591" s="58"/>
      <c r="T591" s="58"/>
      <c r="W591" s="63"/>
      <c r="X591" s="63"/>
      <c r="Z591" s="63"/>
      <c r="AA591" s="63"/>
      <c r="AC591" s="63"/>
      <c r="AD591" s="63"/>
      <c r="AJ591" s="63"/>
      <c r="AK591" s="63"/>
    </row>
    <row r="592" spans="2:42">
      <c r="B592" s="63"/>
      <c r="C592" s="63"/>
      <c r="D592" s="63"/>
      <c r="E592" s="66"/>
      <c r="H592" s="63"/>
      <c r="I592" s="63"/>
      <c r="J592" s="56"/>
      <c r="K592" s="63"/>
      <c r="L592" s="63"/>
      <c r="P592" s="63"/>
      <c r="Q592" s="63"/>
      <c r="R592" s="58"/>
      <c r="S592" s="58"/>
      <c r="T592" s="58"/>
      <c r="W592" s="63"/>
      <c r="X592" s="63"/>
      <c r="Z592" s="63"/>
      <c r="AA592" s="63"/>
      <c r="AC592" s="63"/>
      <c r="AD592" s="63"/>
      <c r="AJ592" s="63"/>
      <c r="AK592" s="63"/>
    </row>
    <row r="593" spans="2:41">
      <c r="B593" s="63"/>
      <c r="C593" s="63"/>
      <c r="D593" s="63"/>
      <c r="E593" s="66"/>
      <c r="H593" s="63"/>
      <c r="I593" s="63"/>
      <c r="J593" s="56"/>
      <c r="K593" s="63"/>
      <c r="L593" s="63"/>
      <c r="P593" s="63"/>
      <c r="Q593" s="63"/>
      <c r="R593" s="58"/>
      <c r="S593" s="58"/>
      <c r="T593" s="58"/>
      <c r="W593" s="63"/>
      <c r="X593" s="63"/>
      <c r="Z593" s="63"/>
      <c r="AA593" s="63"/>
      <c r="AC593" s="63"/>
      <c r="AD593" s="63"/>
      <c r="AJ593" s="63"/>
      <c r="AK593" s="63"/>
    </row>
    <row r="594" spans="2:41">
      <c r="B594" s="63"/>
      <c r="C594" s="63"/>
      <c r="D594" s="63"/>
      <c r="E594" s="66"/>
      <c r="H594" s="63"/>
      <c r="I594" s="63"/>
      <c r="J594" s="56"/>
      <c r="K594" s="63"/>
      <c r="L594" s="63"/>
      <c r="P594" s="63"/>
      <c r="Q594" s="63"/>
      <c r="R594" s="58"/>
      <c r="S594" s="58"/>
      <c r="T594" s="58"/>
      <c r="W594" s="63"/>
      <c r="X594" s="63"/>
      <c r="Z594" s="63"/>
      <c r="AA594" s="63"/>
      <c r="AC594" s="63"/>
      <c r="AD594" s="63"/>
      <c r="AJ594" s="63"/>
      <c r="AK594" s="63"/>
    </row>
    <row r="595" spans="2:41">
      <c r="B595" s="63"/>
      <c r="C595" s="63"/>
      <c r="D595" s="63"/>
      <c r="E595" s="66"/>
      <c r="H595" s="63"/>
      <c r="I595" s="62"/>
      <c r="J595" s="56"/>
      <c r="K595" s="63"/>
      <c r="M595" s="71"/>
      <c r="W595" s="63"/>
      <c r="Z595" s="63"/>
      <c r="AA595" s="63"/>
      <c r="AC595" s="63"/>
      <c r="AD595" s="63"/>
      <c r="AI595" s="63"/>
      <c r="AO595" s="63"/>
    </row>
    <row r="596" spans="2:41">
      <c r="B596" s="63"/>
      <c r="C596" s="63"/>
      <c r="D596" s="63"/>
      <c r="E596" s="66"/>
      <c r="H596" s="63"/>
      <c r="I596" s="62"/>
      <c r="J596" s="56"/>
      <c r="K596" s="63"/>
      <c r="M596" s="71"/>
      <c r="W596" s="63"/>
      <c r="Z596" s="63"/>
      <c r="AA596" s="63"/>
      <c r="AC596" s="63"/>
      <c r="AD596" s="63"/>
      <c r="AI596" s="63"/>
      <c r="AO596" s="63"/>
    </row>
    <row r="597" spans="2:41">
      <c r="B597" s="63"/>
      <c r="C597" s="63"/>
      <c r="D597" s="63"/>
      <c r="E597" s="66"/>
      <c r="H597" s="63"/>
      <c r="I597" s="62"/>
      <c r="J597" s="56"/>
      <c r="K597" s="63"/>
      <c r="M597" s="71"/>
      <c r="W597" s="63"/>
      <c r="Z597" s="63"/>
      <c r="AA597" s="63"/>
      <c r="AC597" s="63"/>
      <c r="AD597" s="63"/>
      <c r="AI597" s="63"/>
      <c r="AO597" s="63"/>
    </row>
    <row r="598" spans="2:41">
      <c r="B598" s="63"/>
      <c r="C598" s="63"/>
      <c r="D598" s="63"/>
      <c r="E598" s="66"/>
      <c r="H598" s="63"/>
      <c r="I598" s="62"/>
      <c r="J598" s="56"/>
      <c r="K598" s="63"/>
      <c r="M598" s="71"/>
      <c r="W598" s="63"/>
      <c r="Z598" s="63"/>
      <c r="AA598" s="63"/>
      <c r="AC598" s="63"/>
      <c r="AD598" s="63"/>
      <c r="AI598" s="63"/>
      <c r="AO598" s="63"/>
    </row>
    <row r="599" spans="2:41">
      <c r="B599" s="63"/>
      <c r="C599" s="63"/>
      <c r="D599" s="63"/>
      <c r="E599" s="66"/>
      <c r="H599" s="63"/>
      <c r="I599" s="62"/>
      <c r="J599" s="56"/>
      <c r="K599" s="63"/>
      <c r="M599" s="71"/>
      <c r="W599" s="63"/>
      <c r="Z599" s="63"/>
      <c r="AA599" s="63"/>
      <c r="AC599" s="63"/>
      <c r="AD599" s="63"/>
      <c r="AI599" s="63"/>
      <c r="AO599" s="63"/>
    </row>
    <row r="600" spans="2:41">
      <c r="B600" s="63"/>
      <c r="C600" s="63"/>
      <c r="D600" s="63"/>
      <c r="E600" s="66"/>
      <c r="H600" s="63"/>
      <c r="I600" s="62"/>
      <c r="J600" s="56"/>
      <c r="K600" s="63"/>
      <c r="M600" s="71"/>
      <c r="W600" s="63"/>
      <c r="Z600" s="63"/>
      <c r="AA600" s="63"/>
      <c r="AC600" s="63"/>
      <c r="AD600" s="63"/>
      <c r="AI600" s="63"/>
      <c r="AO600" s="63"/>
    </row>
    <row r="601" spans="2:41">
      <c r="B601" s="63"/>
      <c r="C601" s="63"/>
      <c r="D601" s="63"/>
      <c r="E601" s="66"/>
      <c r="H601" s="63"/>
      <c r="I601" s="62"/>
      <c r="J601" s="56"/>
      <c r="K601" s="63"/>
      <c r="M601" s="71"/>
      <c r="W601" s="63"/>
      <c r="Z601" s="63"/>
      <c r="AA601" s="63"/>
      <c r="AC601" s="63"/>
      <c r="AD601" s="63"/>
      <c r="AI601" s="63"/>
      <c r="AO601" s="63"/>
    </row>
    <row r="602" spans="2:41">
      <c r="B602" s="63"/>
      <c r="C602" s="63"/>
      <c r="D602" s="63"/>
      <c r="E602" s="66"/>
      <c r="H602" s="63"/>
      <c r="I602" s="62"/>
      <c r="J602" s="56"/>
      <c r="K602" s="63"/>
      <c r="M602" s="71"/>
      <c r="W602" s="63"/>
      <c r="Z602" s="63"/>
      <c r="AA602" s="63"/>
      <c r="AC602" s="63"/>
      <c r="AD602" s="63"/>
      <c r="AI602" s="63"/>
      <c r="AO602" s="63"/>
    </row>
    <row r="603" spans="2:41">
      <c r="B603" s="63"/>
      <c r="C603" s="63"/>
      <c r="D603" s="63"/>
      <c r="E603" s="66"/>
      <c r="H603" s="63"/>
      <c r="J603" s="56"/>
      <c r="K603" s="63"/>
    </row>
    <row r="604" spans="2:41">
      <c r="B604" s="63"/>
      <c r="C604" s="63"/>
      <c r="D604" s="63"/>
      <c r="E604" s="66"/>
      <c r="H604" s="63"/>
      <c r="J604" s="56"/>
      <c r="K604" s="58"/>
    </row>
    <row r="605" spans="2:41">
      <c r="E605" s="66"/>
      <c r="J605" s="56"/>
    </row>
    <row r="606" spans="2:41">
      <c r="E606" s="66"/>
      <c r="J606" s="56"/>
    </row>
    <row r="607" spans="2:41">
      <c r="E607" s="66"/>
      <c r="J607" s="56"/>
    </row>
    <row r="608" spans="2:41">
      <c r="E608" s="66"/>
      <c r="J608" s="56"/>
    </row>
    <row r="609" spans="5:10">
      <c r="E609" s="66"/>
      <c r="J609" s="56"/>
    </row>
    <row r="610" spans="5:10">
      <c r="E610" s="66"/>
      <c r="J610" s="56"/>
    </row>
    <row r="611" spans="5:10">
      <c r="E611" s="66"/>
      <c r="J611" s="56"/>
    </row>
    <row r="612" spans="5:10">
      <c r="E612" s="66"/>
      <c r="J612" s="56"/>
    </row>
    <row r="613" spans="5:10">
      <c r="E613" s="66"/>
      <c r="J613" s="56"/>
    </row>
    <row r="614" spans="5:10">
      <c r="E614" s="66"/>
      <c r="J614" s="56"/>
    </row>
    <row r="615" spans="5:10">
      <c r="E615" s="66"/>
      <c r="J615" s="56"/>
    </row>
    <row r="616" spans="5:10">
      <c r="E616" s="66"/>
      <c r="J616" s="56"/>
    </row>
    <row r="617" spans="5:10">
      <c r="E617" s="66"/>
      <c r="J617" s="56"/>
    </row>
    <row r="618" spans="5:10">
      <c r="E618" s="66"/>
      <c r="J618" s="56"/>
    </row>
    <row r="619" spans="5:10">
      <c r="E619" s="66"/>
      <c r="J619" s="56"/>
    </row>
    <row r="620" spans="5:10">
      <c r="E620" s="66"/>
      <c r="J620" s="56"/>
    </row>
    <row r="621" spans="5:10">
      <c r="E621" s="66"/>
      <c r="J621" s="56"/>
    </row>
    <row r="622" spans="5:10">
      <c r="E622" s="66"/>
      <c r="J622" s="56"/>
    </row>
    <row r="623" spans="5:10">
      <c r="E623" s="66"/>
      <c r="J623" s="56"/>
    </row>
    <row r="624" spans="5:10">
      <c r="E624" s="66"/>
      <c r="J624" s="56"/>
    </row>
    <row r="625" spans="5:10">
      <c r="E625" s="66"/>
      <c r="J625" s="56"/>
    </row>
    <row r="626" spans="5:10">
      <c r="E626" s="66"/>
      <c r="J626" s="56"/>
    </row>
    <row r="627" spans="5:10">
      <c r="E627" s="66"/>
      <c r="J627" s="56"/>
    </row>
    <row r="628" spans="5:10">
      <c r="E628" s="66"/>
      <c r="J628" s="56"/>
    </row>
    <row r="629" spans="5:10">
      <c r="E629" s="66"/>
      <c r="J629" s="56"/>
    </row>
    <row r="630" spans="5:10">
      <c r="E630" s="66"/>
      <c r="J630" s="56"/>
    </row>
    <row r="631" spans="5:10">
      <c r="E631" s="66"/>
      <c r="J631" s="56"/>
    </row>
    <row r="632" spans="5:10">
      <c r="E632" s="66"/>
      <c r="J632" s="56"/>
    </row>
    <row r="633" spans="5:10">
      <c r="E633" s="66"/>
      <c r="J633" s="56"/>
    </row>
    <row r="634" spans="5:10">
      <c r="E634" s="66"/>
      <c r="J634" s="56"/>
    </row>
    <row r="635" spans="5:10">
      <c r="E635" s="66"/>
      <c r="J635" s="56"/>
    </row>
    <row r="636" spans="5:10">
      <c r="E636" s="66"/>
      <c r="J636" s="56"/>
    </row>
    <row r="637" spans="5:10">
      <c r="E637" s="66"/>
      <c r="J637" s="56"/>
    </row>
    <row r="638" spans="5:10">
      <c r="E638" s="66"/>
      <c r="J638" s="56"/>
    </row>
    <row r="639" spans="5:10">
      <c r="E639" s="66"/>
      <c r="J639" s="56"/>
    </row>
    <row r="640" spans="5:10">
      <c r="E640" s="66"/>
      <c r="J640" s="56"/>
    </row>
    <row r="641" spans="5:10">
      <c r="E641" s="66"/>
      <c r="J641" s="56"/>
    </row>
    <row r="642" spans="5:10">
      <c r="E642" s="66"/>
      <c r="J642" s="56"/>
    </row>
    <row r="643" spans="5:10">
      <c r="E643" s="66"/>
    </row>
    <row r="644" spans="5:10">
      <c r="E644" s="66"/>
    </row>
  </sheetData>
  <autoFilter ref="A1:AP642"/>
  <phoneticPr fontId="15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75"/>
  <sheetViews>
    <sheetView zoomScaleNormal="100" workbookViewId="0">
      <pane xSplit="5" ySplit="2" topLeftCell="F93" activePane="bottomRight" state="frozen"/>
      <selection pane="topRight"/>
      <selection pane="bottomLeft"/>
      <selection pane="bottomRight" activeCell="C105" sqref="C105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10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5" t="s">
        <v>79</v>
      </c>
      <c r="G1" s="125"/>
      <c r="H1" s="125"/>
      <c r="I1" s="125"/>
      <c r="J1" s="125"/>
      <c r="K1" s="125"/>
      <c r="L1" s="125"/>
      <c r="M1" s="125"/>
      <c r="N1" s="125"/>
      <c r="O1" s="125"/>
      <c r="P1" s="126" t="s">
        <v>80</v>
      </c>
      <c r="Q1" s="127"/>
      <c r="R1" s="127"/>
      <c r="S1" s="128"/>
      <c r="T1" s="129" t="s">
        <v>7</v>
      </c>
      <c r="U1" s="129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730</v>
      </c>
      <c r="DK1" t="s">
        <v>730</v>
      </c>
      <c r="DL1" t="s">
        <v>730</v>
      </c>
      <c r="DM1" t="s">
        <v>730</v>
      </c>
      <c r="DN1" t="s">
        <v>730</v>
      </c>
      <c r="DO1" t="s">
        <v>730</v>
      </c>
      <c r="DP1" t="s">
        <v>730</v>
      </c>
      <c r="DQ1" t="s">
        <v>730</v>
      </c>
      <c r="DR1" t="s">
        <v>730</v>
      </c>
      <c r="DS1" t="s">
        <v>730</v>
      </c>
      <c r="DT1" t="s">
        <v>730</v>
      </c>
      <c r="DU1" t="s">
        <v>730</v>
      </c>
      <c r="DV1" t="s">
        <v>730</v>
      </c>
      <c r="DW1" t="s">
        <v>730</v>
      </c>
      <c r="DX1" t="s">
        <v>730</v>
      </c>
      <c r="DY1" t="s">
        <v>730</v>
      </c>
      <c r="DZ1" t="s">
        <v>730</v>
      </c>
      <c r="EA1"/>
      <c r="EB1"/>
      <c r="EC1"/>
      <c r="ED1"/>
      <c r="EE1"/>
      <c r="EF1" t="s">
        <v>730</v>
      </c>
      <c r="EG1" t="s">
        <v>730</v>
      </c>
      <c r="EH1" t="s">
        <v>730</v>
      </c>
      <c r="FJ1" s="86" t="s">
        <v>404</v>
      </c>
      <c r="FK1" s="86" t="s">
        <v>404</v>
      </c>
      <c r="FL1" s="86" t="s">
        <v>404</v>
      </c>
      <c r="FM1" s="86" t="s">
        <v>404</v>
      </c>
      <c r="FN1" s="86" t="s">
        <v>404</v>
      </c>
      <c r="FO1" s="86" t="s">
        <v>404</v>
      </c>
      <c r="FP1" s="86" t="s">
        <v>404</v>
      </c>
      <c r="FQ1" s="86" t="s">
        <v>404</v>
      </c>
      <c r="FR1" s="86" t="s">
        <v>404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845</v>
      </c>
      <c r="I2" s="9" t="s">
        <v>844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9" t="s">
        <v>95</v>
      </c>
      <c r="U2" s="26" t="s">
        <v>96</v>
      </c>
      <c r="V2" t="s">
        <v>707</v>
      </c>
      <c r="W2" t="s">
        <v>708</v>
      </c>
      <c r="X2" t="s">
        <v>709</v>
      </c>
      <c r="Y2" t="s">
        <v>710</v>
      </c>
      <c r="Z2" t="s">
        <v>22</v>
      </c>
      <c r="AA2" t="s">
        <v>711</v>
      </c>
      <c r="AB2" t="s">
        <v>712</v>
      </c>
      <c r="AC2" t="s">
        <v>124</v>
      </c>
      <c r="AD2" t="s">
        <v>116</v>
      </c>
      <c r="AE2" t="s">
        <v>105</v>
      </c>
      <c r="AF2" t="s">
        <v>713</v>
      </c>
      <c r="AG2" t="s">
        <v>714</v>
      </c>
      <c r="AH2" t="s">
        <v>113</v>
      </c>
      <c r="AI2" t="s">
        <v>715</v>
      </c>
      <c r="AJ2" t="s">
        <v>716</v>
      </c>
      <c r="AK2" t="s">
        <v>717</v>
      </c>
      <c r="AL2" t="s">
        <v>718</v>
      </c>
      <c r="AM2" t="s">
        <v>719</v>
      </c>
      <c r="AN2" t="s">
        <v>720</v>
      </c>
      <c r="AO2" t="s">
        <v>721</v>
      </c>
      <c r="AP2" t="s">
        <v>722</v>
      </c>
      <c r="AQ2" t="s">
        <v>723</v>
      </c>
      <c r="AR2" t="s">
        <v>724</v>
      </c>
      <c r="AS2" t="s">
        <v>725</v>
      </c>
      <c r="AT2" t="s">
        <v>726</v>
      </c>
      <c r="AU2" t="s">
        <v>727</v>
      </c>
      <c r="AV2" s="1" t="s">
        <v>728</v>
      </c>
      <c r="AW2"/>
      <c r="AX2"/>
      <c r="AY2"/>
      <c r="AZ2" t="s">
        <v>729</v>
      </c>
      <c r="BA2" t="s">
        <v>707</v>
      </c>
      <c r="BB2" t="s">
        <v>708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155</v>
      </c>
      <c r="CO2" s="7" t="s">
        <v>156</v>
      </c>
      <c r="CP2" s="7" t="s">
        <v>157</v>
      </c>
      <c r="CQ2" s="7" t="s">
        <v>158</v>
      </c>
      <c r="CR2" s="7" t="s">
        <v>159</v>
      </c>
      <c r="CS2" s="7" t="s">
        <v>160</v>
      </c>
      <c r="CT2" s="7" t="s">
        <v>161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648</v>
      </c>
      <c r="C3" s="5" t="s">
        <v>674</v>
      </c>
      <c r="D3" s="31"/>
      <c r="E3" s="39"/>
      <c r="F3" s="40">
        <v>2000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1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12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InitEquipData('E001',,"",,E002,2000,,'','','','','','',"ReplaceableTextures\\CommandButtons\\BTNE002.blp")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</v>
      </c>
      <c r="CV3" s="29" t="str">
        <f>"|cffffcc00属性：|r"&amp;CU3&amp;VLOOKUP(A3,合成公式!A:P,16,FALSE)&amp;T3&amp;"|n点击消耗"&amp;F3&amp;"金币进行强化"</f>
        <v>|cffffcc00属性：|r|n攻击+1000|n|n点击消耗2000金币进行强化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/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649</v>
      </c>
      <c r="C4" s="5" t="s">
        <v>675</v>
      </c>
      <c r="D4" s="31"/>
      <c r="E4" s="39"/>
      <c r="F4" s="40">
        <v>2000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1"/>
      <c r="U4" s="32" t="str">
        <f t="shared" ref="U4:U7" si="80">"ReplaceableTextures\\CommandButtons\\BTN"&amp;B4&amp;".blp"</f>
        <v>ReplaceableTextures\\CommandButtons\\BTNE002.blp</v>
      </c>
      <c r="V4" s="43">
        <v>1512</v>
      </c>
      <c r="W4" s="43"/>
      <c r="X4" s="43"/>
      <c r="Y4" s="43"/>
      <c r="Z4" s="43"/>
      <c r="AA4" s="43"/>
      <c r="AB4" s="43"/>
      <c r="AC4" s="43"/>
      <c r="AD4" s="12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InitUnitState('E002',1512,,,,,,,,,)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InitEquipData('E002',,"",,E003,2000,,'','','','','','',"ReplaceableTextures\\CommandButtons\\BTNE003.blp")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|n攻击+1512|n</v>
      </c>
      <c r="CV4" s="29" t="str">
        <f>"|cffffcc00属性：|r"&amp;CU4&amp;VLOOKUP(A4,合成公式!A:P,16,FALSE)&amp;T4&amp;"|n点击消耗"&amp;F4&amp;"金币进行强化"</f>
        <v>|cffffcc00属性：|r|n攻击+1512|n|n点击消耗2000金币进行强化</v>
      </c>
      <c r="DB4" s="30" t="str">
        <f t="shared" ref="DB4:DB7" si="82">IF(V4="","","|n"&amp;DB$2&amp;"+"&amp;V4&amp;DB$1)</f>
        <v>|n攻击+1512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/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650</v>
      </c>
      <c r="C5" s="5" t="s">
        <v>676</v>
      </c>
      <c r="D5" s="31"/>
      <c r="E5" s="39"/>
      <c r="F5" s="40">
        <v>2000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1"/>
      <c r="U5" s="32" t="str">
        <f t="shared" si="80"/>
        <v>ReplaceableTextures\\CommandButtons\\BTNE003.blp</v>
      </c>
      <c r="V5" s="43">
        <v>2024</v>
      </c>
      <c r="W5" s="43"/>
      <c r="X5" s="43"/>
      <c r="Y5" s="43"/>
      <c r="Z5" s="43"/>
      <c r="AA5" s="43"/>
      <c r="AB5" s="43"/>
      <c r="AC5" s="43"/>
      <c r="AD5" s="12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InitUnitState('E003',2024,,,,,,,,,)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InitEquipData('E003',,"",,E004,2000,,'','','','','','',"ReplaceableTextures\\CommandButtons\\BTNE004.blp")</v>
      </c>
      <c r="CS5" s="44"/>
      <c r="CT5" s="44"/>
      <c r="CU5" s="45" t="str">
        <f t="shared" si="81"/>
        <v>|n攻击+2024|n</v>
      </c>
      <c r="CV5" s="29" t="str">
        <f>"|cffffcc00属性：|r"&amp;CU5&amp;VLOOKUP(A5,合成公式!A:P,16,FALSE)&amp;T5&amp;"|n点击消耗"&amp;F5&amp;"金币进行强化"</f>
        <v>|cffffcc00属性：|r|n攻击+2024|n|n点击消耗2000金币进行强化</v>
      </c>
      <c r="DB5" s="30" t="str">
        <f t="shared" si="82"/>
        <v>|n攻击+2024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/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651</v>
      </c>
      <c r="C6" s="5" t="s">
        <v>677</v>
      </c>
      <c r="D6" s="31"/>
      <c r="E6" s="39"/>
      <c r="F6" s="40">
        <v>2000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1"/>
      <c r="U6" s="32" t="str">
        <f t="shared" si="80"/>
        <v>ReplaceableTextures\\CommandButtons\\BTNE004.blp</v>
      </c>
      <c r="V6" s="43">
        <v>2536</v>
      </c>
      <c r="W6" s="43"/>
      <c r="X6" s="43"/>
      <c r="Y6" s="43"/>
      <c r="Z6" s="43"/>
      <c r="AA6" s="43"/>
      <c r="AB6" s="43"/>
      <c r="AC6" s="43"/>
      <c r="AD6" s="12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InitUnitState('E004',2536,,,,,,,,,)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InitEquipData('E004',,"",,E005,2000,,'','','','','','',"ReplaceableTextures\\CommandButtons\\BTNE005.blp")</v>
      </c>
      <c r="CS6" s="44"/>
      <c r="CT6" s="44"/>
      <c r="CU6" s="45" t="str">
        <f t="shared" si="81"/>
        <v>|n攻击+2536|n</v>
      </c>
      <c r="CV6" s="29" t="str">
        <f>"|cffffcc00属性：|r"&amp;CU6&amp;VLOOKUP(A6,合成公式!A:P,16,FALSE)&amp;T6&amp;"|n点击消耗"&amp;F6&amp;"金币进行强化"</f>
        <v>|cffffcc00属性：|r|n攻击+2536|n|n点击消耗2000金币进行强化</v>
      </c>
      <c r="DB6" s="30" t="str">
        <f t="shared" si="82"/>
        <v>|n攻击+2536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/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652</v>
      </c>
      <c r="C7" s="5" t="s">
        <v>678</v>
      </c>
      <c r="D7" s="31"/>
      <c r="E7" s="39"/>
      <c r="F7" s="40">
        <v>5000</v>
      </c>
      <c r="G7" s="38"/>
      <c r="H7" s="121" t="s">
        <v>922</v>
      </c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1"/>
      <c r="U7" s="32" t="str">
        <f t="shared" si="80"/>
        <v>ReplaceableTextures\\CommandButtons\\BTNE005.blp</v>
      </c>
      <c r="V7" s="43">
        <v>3048</v>
      </c>
      <c r="W7" s="43"/>
      <c r="X7" s="43"/>
      <c r="Y7" s="43"/>
      <c r="Z7" s="43"/>
      <c r="AA7" s="43"/>
      <c r="AB7" s="43"/>
      <c r="AC7" s="43"/>
      <c r="AD7" s="12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InitUnitState('E005',3048,,,,,,,,,)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InitEquipData('E005',,"",,E006,5000,,'','','','','','',"ReplaceableTextures\\CommandButtons\\BTNE006.blp")</v>
      </c>
      <c r="CS7" s="44"/>
      <c r="CT7" s="44"/>
      <c r="CU7" s="45" t="str">
        <f t="shared" si="81"/>
        <v>|n攻击+3048|n</v>
      </c>
      <c r="CV7" s="29" t="str">
        <f>"|cffffcc00属性：|r"&amp;CU7&amp;VLOOKUP(A7,合成公式!A:P,16,FALSE)&amp;T7&amp;"|n点击消耗"&amp;F7&amp;"金币进行强化"</f>
        <v>|cffffcc00属性：|r|n攻击+3048|n|n点击消耗5000金币进行强化</v>
      </c>
      <c r="DB7" s="30" t="str">
        <f t="shared" si="82"/>
        <v>|n攻击+3048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/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653</v>
      </c>
      <c r="C8" s="5" t="s">
        <v>679</v>
      </c>
      <c r="D8" s="31"/>
      <c r="E8" s="39"/>
      <c r="F8" s="40">
        <v>10000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1"/>
      <c r="U8" s="32" t="str">
        <f t="shared" ref="U8:U18" si="152">"ReplaceableTextures\\CommandButtons\\BTN"&amp;B8&amp;".blp"</f>
        <v>ReplaceableTextures\\CommandButtons\\BTNE006.blp</v>
      </c>
      <c r="V8" s="43">
        <v>3816</v>
      </c>
      <c r="W8" s="43"/>
      <c r="X8" s="43"/>
      <c r="Y8" s="43"/>
      <c r="Z8" s="43"/>
      <c r="AA8" s="43"/>
      <c r="AB8" s="43"/>
      <c r="AC8" s="43"/>
      <c r="AD8" s="123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InitUnitState('E006',3816,,,,,,,,26,)</v>
      </c>
      <c r="CO8" s="44" t="str">
        <f t="shared" si="4"/>
        <v>InitUnitNormal('E006',,,,,,,,,,)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InitEquipData('E006',,"",,E007,10000,,'','','','','','',"ReplaceableTextures\\CommandButtons\\BTNE007.blp")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|n攻击+3816|n攻速+26%|n</v>
      </c>
      <c r="CV8" s="29" t="str">
        <f>"|cffffcc00属性：|r"&amp;CU8&amp;VLOOKUP(A8,合成公式!A:P,16,FALSE)&amp;T8&amp;"|n点击消耗"&amp;F8&amp;"金币进行强化"</f>
        <v>|cffffcc00属性：|r|n攻击+3816|n攻速+26%|n|n点击消耗10000金币进行强化</v>
      </c>
      <c r="DB8" s="30" t="str">
        <f t="shared" ref="DB8:DB18" si="154">IF(V8="","","|n"&amp;DB$2&amp;"+"&amp;V8&amp;DB$1)</f>
        <v>|n攻击+3816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/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654</v>
      </c>
      <c r="C9" s="5" t="s">
        <v>680</v>
      </c>
      <c r="D9" s="31"/>
      <c r="E9" s="39"/>
      <c r="F9" s="40">
        <v>10000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1"/>
      <c r="U9" s="32" t="str">
        <f t="shared" si="152"/>
        <v>ReplaceableTextures\\CommandButtons\\BTNE007.blp</v>
      </c>
      <c r="V9" s="43">
        <v>4584</v>
      </c>
      <c r="W9" s="43"/>
      <c r="X9" s="43"/>
      <c r="Y9" s="43"/>
      <c r="Z9" s="43"/>
      <c r="AA9" s="43"/>
      <c r="AB9" s="43"/>
      <c r="AC9" s="43"/>
      <c r="AD9" s="123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InitUnitState('E007',4584,,,,,,,,26,)</v>
      </c>
      <c r="CO9" s="44" t="str">
        <f t="shared" si="4"/>
        <v>InitUnitNormal('E007',,,,,,,,,,)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InitEquipData('E007',,"",,E008,10000,,'','','','','','',"ReplaceableTextures\\CommandButtons\\BTNE008.blp")</v>
      </c>
      <c r="CS9" s="44"/>
      <c r="CT9" s="44"/>
      <c r="CU9" s="45" t="str">
        <f t="shared" si="153"/>
        <v>|n攻击+4584|n攻速+26%|n</v>
      </c>
      <c r="CV9" s="29" t="str">
        <f>"|cffffcc00属性：|r"&amp;CU9&amp;VLOOKUP(A9,合成公式!A:P,16,FALSE)&amp;T9&amp;"|n点击消耗"&amp;F9&amp;"金币进行强化"</f>
        <v>|cffffcc00属性：|r|n攻击+4584|n攻速+26%|n|n点击消耗10000金币进行强化</v>
      </c>
      <c r="DB9" s="30" t="str">
        <f t="shared" si="154"/>
        <v>|n攻击+4584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/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655</v>
      </c>
      <c r="C10" s="5" t="s">
        <v>681</v>
      </c>
      <c r="D10" s="31"/>
      <c r="E10" s="39"/>
      <c r="F10" s="40">
        <v>10000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1"/>
      <c r="U10" s="32" t="str">
        <f t="shared" si="152"/>
        <v>ReplaceableTextures\\CommandButtons\\BTNE008.blp</v>
      </c>
      <c r="V10" s="43">
        <v>5352</v>
      </c>
      <c r="W10" s="43"/>
      <c r="X10" s="43"/>
      <c r="Y10" s="43"/>
      <c r="Z10" s="43"/>
      <c r="AA10" s="43"/>
      <c r="AB10" s="43"/>
      <c r="AC10" s="43"/>
      <c r="AD10" s="123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InitUnitState('E008',5352,,,,,,,,26,)</v>
      </c>
      <c r="CO10" s="44" t="str">
        <f t="shared" si="4"/>
        <v>InitUnitNormal('E008',,,,,,,,,,)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InitEquipData('E008',,"",,E009,10000,,'','','','','','',"ReplaceableTextures\\CommandButtons\\BTNE009.blp")</v>
      </c>
      <c r="CS10" s="44"/>
      <c r="CT10" s="44"/>
      <c r="CU10" s="45" t="str">
        <f t="shared" si="153"/>
        <v>|n攻击+5352|n攻速+26%|n</v>
      </c>
      <c r="CV10" s="29" t="str">
        <f>"|cffffcc00属性：|r"&amp;CU10&amp;VLOOKUP(A10,合成公式!A:P,16,FALSE)&amp;T10&amp;"|n点击消耗"&amp;F10&amp;"金币进行强化"</f>
        <v>|cffffcc00属性：|r|n攻击+5352|n攻速+26%|n|n点击消耗10000金币进行强化</v>
      </c>
      <c r="DB10" s="30" t="str">
        <f t="shared" si="154"/>
        <v>|n攻击+5352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/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656</v>
      </c>
      <c r="C11" s="5" t="s">
        <v>682</v>
      </c>
      <c r="D11" s="31"/>
      <c r="E11" s="39"/>
      <c r="F11" s="40">
        <v>10000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1"/>
      <c r="U11" s="32" t="str">
        <f t="shared" si="152"/>
        <v>ReplaceableTextures\\CommandButtons\\BTNE009.blp</v>
      </c>
      <c r="V11" s="43">
        <v>6120</v>
      </c>
      <c r="W11" s="43"/>
      <c r="X11" s="43"/>
      <c r="Y11" s="43"/>
      <c r="Z11" s="43"/>
      <c r="AA11" s="43"/>
      <c r="AB11" s="43"/>
      <c r="AC11" s="43"/>
      <c r="AD11" s="123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InitUnitState('E009',6120,,,,,,,,26,)</v>
      </c>
      <c r="CO11" s="44" t="str">
        <f t="shared" si="4"/>
        <v>InitUnitNormal('E009',,,,,,,,,,)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InitEquipData('E009',,"",,E010,10000,,'','','','','','',"ReplaceableTextures\\CommandButtons\\BTNE010.blp")</v>
      </c>
      <c r="CS11" s="44"/>
      <c r="CT11" s="44"/>
      <c r="CU11" s="45" t="str">
        <f t="shared" si="153"/>
        <v>|n攻击+6120|n攻速+26%|n</v>
      </c>
      <c r="CV11" s="29" t="str">
        <f>"|cffffcc00属性：|r"&amp;CU11&amp;VLOOKUP(A11,合成公式!A:P,16,FALSE)&amp;T11&amp;"|n点击消耗"&amp;F11&amp;"金币进行强化"</f>
        <v>|cffffcc00属性：|r|n攻击+6120|n攻速+26%|n|n点击消耗10000金币进行强化</v>
      </c>
      <c r="DB11" s="30" t="str">
        <f t="shared" si="154"/>
        <v>|n攻击+6120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/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657</v>
      </c>
      <c r="C12" s="5" t="s">
        <v>683</v>
      </c>
      <c r="D12" s="31"/>
      <c r="E12" s="39"/>
      <c r="F12" s="40">
        <v>42000</v>
      </c>
      <c r="G12" s="38"/>
      <c r="H12" s="121" t="s">
        <v>923</v>
      </c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1"/>
      <c r="U12" s="32" t="str">
        <f t="shared" si="152"/>
        <v>ReplaceableTextures\\CommandButtons\\BTNE010.blp</v>
      </c>
      <c r="V12" s="43">
        <v>6888</v>
      </c>
      <c r="W12" s="43"/>
      <c r="X12" s="43"/>
      <c r="Y12" s="43"/>
      <c r="Z12" s="43"/>
      <c r="AA12" s="43"/>
      <c r="AB12" s="43"/>
      <c r="AC12" s="43"/>
      <c r="AD12" s="123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InitUnitState('E010',6888,,,,,,,,26,)</v>
      </c>
      <c r="CO12" s="44" t="str">
        <f t="shared" si="4"/>
        <v>InitUnitNormal('E010',,,,,,,,,,)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InitEquipData('E010',,"",,E011,42000,,'','','','','','',"ReplaceableTextures\\CommandButtons\\BTNE011.blp")</v>
      </c>
      <c r="CS12" s="44"/>
      <c r="CT12" s="44"/>
      <c r="CU12" s="45" t="str">
        <f t="shared" si="153"/>
        <v>|n攻击+6888|n攻速+26%|n</v>
      </c>
      <c r="CV12" s="29" t="str">
        <f>"|cffffcc00属性：|r"&amp;CU12&amp;VLOOKUP(A12,合成公式!A:P,16,FALSE)&amp;T12&amp;"|n点击消耗"&amp;F12&amp;"金币进行强化"</f>
        <v>|cffffcc00属性：|r|n攻击+6888|n攻速+26%|n|n点击消耗42000金币进行强化</v>
      </c>
      <c r="DB12" s="30" t="str">
        <f t="shared" si="154"/>
        <v>|n攻击+6888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/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658</v>
      </c>
      <c r="C13" s="5" t="s">
        <v>684</v>
      </c>
      <c r="D13" s="31"/>
      <c r="E13" s="39"/>
      <c r="F13" s="40">
        <v>27000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1"/>
      <c r="U13" s="32" t="str">
        <f t="shared" si="152"/>
        <v>ReplaceableTextures\\CommandButtons\\BTNE011.blp</v>
      </c>
      <c r="V13" s="43">
        <v>8808</v>
      </c>
      <c r="W13" s="43"/>
      <c r="X13" s="43"/>
      <c r="Y13" s="43"/>
      <c r="Z13" s="43"/>
      <c r="AA13" s="43"/>
      <c r="AB13" s="43"/>
      <c r="AC13" s="43"/>
      <c r="AD13" s="123">
        <v>35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InitUnitState('E011',8808,,,,,,,,35,)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InitEquipData('E011',,"",,E012,27000,,'','','','','','',"ReplaceableTextures\\CommandButtons\\BTNE012.blp")</v>
      </c>
      <c r="CS13" s="44"/>
      <c r="CT13" s="44"/>
      <c r="CU13" s="45" t="str">
        <f t="shared" si="153"/>
        <v>|n攻击+8808|n攻速+35%|n暴击+6%|n</v>
      </c>
      <c r="CV13" s="29" t="str">
        <f>"|cffffcc00属性：|r"&amp;CU13&amp;VLOOKUP(A13,合成公式!A:P,16,FALSE)&amp;T13&amp;"|n点击消耗"&amp;F13&amp;"金币进行强化"</f>
        <v>|cffffcc00属性：|r|n攻击+8808|n攻速+35%|n暴击+6%|n|n点击消耗27000金币进行强化</v>
      </c>
      <c r="DB13" s="30" t="str">
        <f t="shared" si="154"/>
        <v>|n攻击+8808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|n攻速+35%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659</v>
      </c>
      <c r="C14" s="5" t="s">
        <v>685</v>
      </c>
      <c r="D14" s="31"/>
      <c r="E14" s="39"/>
      <c r="F14" s="40">
        <v>27000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1"/>
      <c r="U14" s="32" t="str">
        <f t="shared" si="152"/>
        <v>ReplaceableTextures\\CommandButtons\\BTNE012.blp</v>
      </c>
      <c r="V14" s="43">
        <v>10728</v>
      </c>
      <c r="W14" s="43"/>
      <c r="X14" s="43"/>
      <c r="Y14" s="43"/>
      <c r="Z14" s="43"/>
      <c r="AA14" s="43"/>
      <c r="AB14" s="43"/>
      <c r="AC14" s="43"/>
      <c r="AD14" s="123">
        <v>35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InitUnitState('E012',10728,,,,,,,,35,)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InitEquipData('E012',,"",,E013,27000,,'','','','','','',"ReplaceableTextures\\CommandButtons\\BTNE013.blp")</v>
      </c>
      <c r="CS14" s="44"/>
      <c r="CT14" s="44"/>
      <c r="CU14" s="45" t="str">
        <f t="shared" si="153"/>
        <v>|n攻击+10728|n攻速+35%|n暴击+6%|n</v>
      </c>
      <c r="CV14" s="29" t="str">
        <f>"|cffffcc00属性：|r"&amp;CU14&amp;VLOOKUP(A14,合成公式!A:P,16,FALSE)&amp;T14&amp;"|n点击消耗"&amp;F14&amp;"金币进行强化"</f>
        <v>|cffffcc00属性：|r|n攻击+10728|n攻速+35%|n暴击+6%|n|n点击消耗27000金币进行强化</v>
      </c>
      <c r="DB14" s="30" t="str">
        <f t="shared" si="154"/>
        <v>|n攻击+10728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|n攻速+35%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660</v>
      </c>
      <c r="C15" s="5" t="s">
        <v>686</v>
      </c>
      <c r="D15" s="31"/>
      <c r="E15" s="39"/>
      <c r="F15" s="40">
        <v>27000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1"/>
      <c r="U15" s="32" t="str">
        <f t="shared" si="152"/>
        <v>ReplaceableTextures\\CommandButtons\\BTNE013.blp</v>
      </c>
      <c r="V15" s="43">
        <v>12648</v>
      </c>
      <c r="W15" s="43"/>
      <c r="X15" s="43"/>
      <c r="Y15" s="43"/>
      <c r="Z15" s="43"/>
      <c r="AA15" s="43"/>
      <c r="AB15" s="43"/>
      <c r="AC15" s="43"/>
      <c r="AD15" s="123">
        <v>35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InitUnitState('E013',12648,,,,,,,,35,)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InitEquipData('E013',,"",,E014,27000,,'','','','','','',"ReplaceableTextures\\CommandButtons\\BTNE014.blp")</v>
      </c>
      <c r="CS15" s="44"/>
      <c r="CT15" s="44"/>
      <c r="CU15" s="45" t="str">
        <f t="shared" si="153"/>
        <v>|n攻击+12648|n攻速+35%|n暴击+6%|n</v>
      </c>
      <c r="CV15" s="29" t="str">
        <f>"|cffffcc00属性：|r"&amp;CU15&amp;VLOOKUP(A15,合成公式!A:P,16,FALSE)&amp;T15&amp;"|n点击消耗"&amp;F15&amp;"金币进行强化"</f>
        <v>|cffffcc00属性：|r|n攻击+12648|n攻速+35%|n暴击+6%|n|n点击消耗27000金币进行强化</v>
      </c>
      <c r="DB15" s="30" t="str">
        <f t="shared" si="154"/>
        <v>|n攻击+12648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|n攻速+35%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661</v>
      </c>
      <c r="C16" s="5" t="s">
        <v>687</v>
      </c>
      <c r="D16" s="31"/>
      <c r="E16" s="39"/>
      <c r="F16" s="40">
        <v>27000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1"/>
      <c r="U16" s="32" t="str">
        <f t="shared" si="152"/>
        <v>ReplaceableTextures\\CommandButtons\\BTNE014.blp</v>
      </c>
      <c r="V16" s="43">
        <v>14568</v>
      </c>
      <c r="W16" s="43"/>
      <c r="X16" s="43"/>
      <c r="Y16" s="43"/>
      <c r="Z16" s="43"/>
      <c r="AA16" s="43"/>
      <c r="AB16" s="43"/>
      <c r="AC16" s="43"/>
      <c r="AD16" s="123">
        <v>35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InitUnitState('E014',14568,,,,,,,,35,)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InitEquipData('E014',,"",,E015,27000,,'','','','','','',"ReplaceableTextures\\CommandButtons\\BTNE015.blp")</v>
      </c>
      <c r="CS16" s="44"/>
      <c r="CT16" s="44"/>
      <c r="CU16" s="45" t="str">
        <f t="shared" si="153"/>
        <v>|n攻击+14568|n攻速+35%|n暴击+6%|n</v>
      </c>
      <c r="CV16" s="29" t="str">
        <f>"|cffffcc00属性：|r"&amp;CU16&amp;VLOOKUP(A16,合成公式!A:P,16,FALSE)&amp;T16&amp;"|n点击消耗"&amp;F16&amp;"金币进行强化"</f>
        <v>|cffffcc00属性：|r|n攻击+14568|n攻速+35%|n暴击+6%|n|n点击消耗27000金币进行强化</v>
      </c>
      <c r="DB16" s="30" t="str">
        <f t="shared" si="154"/>
        <v>|n攻击+14568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|n攻速+35%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662</v>
      </c>
      <c r="C17" s="5" t="s">
        <v>688</v>
      </c>
      <c r="D17" s="31"/>
      <c r="E17" s="39"/>
      <c r="F17" s="40">
        <v>150000</v>
      </c>
      <c r="G17" s="38"/>
      <c r="H17" s="121" t="s">
        <v>924</v>
      </c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1"/>
      <c r="U17" s="32" t="str">
        <f t="shared" si="152"/>
        <v>ReplaceableTextures\\CommandButtons\\BTNE015.blp</v>
      </c>
      <c r="V17" s="43">
        <v>16488</v>
      </c>
      <c r="W17" s="43"/>
      <c r="X17" s="43"/>
      <c r="Y17" s="43"/>
      <c r="Z17" s="43"/>
      <c r="AA17" s="43"/>
      <c r="AB17" s="43"/>
      <c r="AC17" s="43"/>
      <c r="AD17" s="123">
        <v>35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InitUnitState('E015',16488,,,,,,,,35,)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InitEquipData('E015',,"",,E016,150000,,'','','','','','',"ReplaceableTextures\\CommandButtons\\BTNE016.blp")</v>
      </c>
      <c r="CS17" s="44"/>
      <c r="CT17" s="44"/>
      <c r="CU17" s="45" t="str">
        <f t="shared" si="153"/>
        <v>|n攻击+16488|n攻速+35%|n暴击+6%|n</v>
      </c>
      <c r="CV17" s="29" t="str">
        <f>"|cffffcc00属性：|r"&amp;CU17&amp;VLOOKUP(A17,合成公式!A:P,16,FALSE)&amp;T17&amp;"|n点击消耗"&amp;F17&amp;"金币进行强化"</f>
        <v>|cffffcc00属性：|r|n攻击+16488|n攻速+35%|n暴击+6%|n|n点击消耗150000金币进行强化</v>
      </c>
      <c r="DB17" s="30" t="str">
        <f t="shared" si="154"/>
        <v>|n攻击+16488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|n攻速+35%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663</v>
      </c>
      <c r="C18" s="5" t="s">
        <v>689</v>
      </c>
      <c r="D18" s="31"/>
      <c r="E18" s="39"/>
      <c r="F18" s="40">
        <v>35000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1"/>
      <c r="U18" s="32" t="str">
        <f t="shared" si="152"/>
        <v>ReplaceableTextures\\CommandButtons\\BTNE016.blp</v>
      </c>
      <c r="V18" s="43">
        <v>21288</v>
      </c>
      <c r="W18" s="43"/>
      <c r="X18" s="43"/>
      <c r="Y18" s="43"/>
      <c r="Z18" s="43"/>
      <c r="AA18" s="43"/>
      <c r="AB18" s="43"/>
      <c r="AC18" s="43"/>
      <c r="AD18" s="123">
        <v>44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InitUnitState('E016',21288,,,,,,,,44,)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InitEquipData('E016',,"",,E017,35000,,'','','','','','',"ReplaceableTextures\\CommandButtons\\BTNE017.blp")</v>
      </c>
      <c r="CS18" s="44"/>
      <c r="CT18" s="44"/>
      <c r="CU18" s="45" t="str">
        <f t="shared" si="153"/>
        <v>|n攻击+21288|n攻速+44%|n暴击+9%|n</v>
      </c>
      <c r="CV18" s="29" t="str">
        <f>"|cffffcc00属性：|r"&amp;CU18&amp;VLOOKUP(A18,合成公式!A:P,16,FALSE)&amp;T18&amp;"|n点击消耗"&amp;F18&amp;"金币进行强化"</f>
        <v>|cffffcc00属性：|r|n攻击+21288|n攻速+44%|n暴击+9%|n|n点击消耗35000金币进行强化</v>
      </c>
      <c r="DB18" s="30" t="str">
        <f t="shared" si="154"/>
        <v>|n攻击+21288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|n攻速+44%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664</v>
      </c>
      <c r="C19" s="5" t="s">
        <v>690</v>
      </c>
      <c r="D19" s="31"/>
      <c r="E19" s="39"/>
      <c r="F19" s="40">
        <v>35000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1"/>
      <c r="U19" s="32" t="str">
        <f t="shared" ref="U19:U35" si="224">"ReplaceableTextures\\CommandButtons\\BTN"&amp;B19&amp;".blp"</f>
        <v>ReplaceableTextures\\CommandButtons\\BTNE017.blp</v>
      </c>
      <c r="V19" s="43">
        <v>26088</v>
      </c>
      <c r="W19" s="43"/>
      <c r="X19" s="43"/>
      <c r="Y19" s="43"/>
      <c r="Z19" s="43"/>
      <c r="AA19" s="43"/>
      <c r="AB19" s="43"/>
      <c r="AC19" s="43"/>
      <c r="AD19" s="123">
        <v>44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InitUnitState('E017',26088,,,,,,,,44,)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InitEquipData('E017',,"",,E018,35000,,'','','','','','',"ReplaceableTextures\\CommandButtons\\BTNE018.blp")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29" t="str">
        <f>"|cffffcc00属性：|r"&amp;CU19&amp;VLOOKUP(A19,合成公式!A:P,16,FALSE)&amp;T19&amp;"|n点击消耗"&amp;F19&amp;"金币进行强化"</f>
        <v>|cffffcc00属性：|r|n攻击+26088|n攻速+44%|n暴击+9%|n|n点击消耗35000金币进行强化</v>
      </c>
      <c r="DB19" s="30" t="str">
        <f t="shared" ref="DB19:DB35" si="226">IF(V19="","","|n"&amp;DB$2&amp;"+"&amp;V19&amp;DB$1)</f>
        <v>|n攻击+26088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|n攻速+44%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691</v>
      </c>
      <c r="C20" s="5" t="s">
        <v>692</v>
      </c>
      <c r="D20" s="31"/>
      <c r="E20" s="39"/>
      <c r="F20" s="40">
        <v>35000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1"/>
      <c r="U20" s="32" t="str">
        <f t="shared" si="224"/>
        <v>ReplaceableTextures\\CommandButtons\\BTNE018.blp</v>
      </c>
      <c r="V20" s="43">
        <v>30888</v>
      </c>
      <c r="W20" s="43"/>
      <c r="X20" s="43"/>
      <c r="Y20" s="43"/>
      <c r="Z20" s="43"/>
      <c r="AA20" s="43"/>
      <c r="AB20" s="43"/>
      <c r="AC20" s="43"/>
      <c r="AD20" s="123">
        <v>44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InitUnitState('E018',30888,,,,,,,,44,)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InitEquipData('E018',,"",,E019,35000,,'','','','','','',"ReplaceableTextures\\CommandButtons\\BTNE019.blp")</v>
      </c>
      <c r="CS20" s="44"/>
      <c r="CT20" s="44"/>
      <c r="CU20" s="45" t="str">
        <f t="shared" si="225"/>
        <v>|n攻击+30888|n攻速+44%|n暴击+9%|n</v>
      </c>
      <c r="CV20" s="29" t="str">
        <f>"|cffffcc00属性：|r"&amp;CU20&amp;VLOOKUP(A20,合成公式!A:P,16,FALSE)&amp;T20&amp;"|n点击消耗"&amp;F20&amp;"金币进行强化"</f>
        <v>|cffffcc00属性：|r|n攻击+30888|n攻速+44%|n暴击+9%|n|n点击消耗35000金币进行强化</v>
      </c>
      <c r="DB20" s="30" t="str">
        <f t="shared" si="226"/>
        <v>|n攻击+30888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|n攻速+44%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693</v>
      </c>
      <c r="C21" s="5" t="s">
        <v>694</v>
      </c>
      <c r="D21" s="31"/>
      <c r="E21" s="39"/>
      <c r="F21" s="40">
        <v>35000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1"/>
      <c r="U21" s="32" t="str">
        <f t="shared" si="224"/>
        <v>ReplaceableTextures\\CommandButtons\\BTNE019.blp</v>
      </c>
      <c r="V21" s="43">
        <v>35688</v>
      </c>
      <c r="W21" s="43"/>
      <c r="X21" s="43"/>
      <c r="Y21" s="43"/>
      <c r="Z21" s="43"/>
      <c r="AA21" s="43"/>
      <c r="AB21" s="43"/>
      <c r="AC21" s="43"/>
      <c r="AD21" s="123">
        <v>44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InitUnitState('E019',35688,,,,,,,,44,)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InitEquipData('E019',,"",,E020,35000,,'','','','','','',"ReplaceableTextures\\CommandButtons\\BTNE020.blp")</v>
      </c>
      <c r="CS21" s="44"/>
      <c r="CT21" s="44"/>
      <c r="CU21" s="45" t="str">
        <f t="shared" si="225"/>
        <v>|n攻击+35688|n攻速+44%|n暴击+9%|n</v>
      </c>
      <c r="CV21" s="29" t="str">
        <f>"|cffffcc00属性：|r"&amp;CU21&amp;VLOOKUP(A21,合成公式!A:P,16,FALSE)&amp;T21&amp;"|n点击消耗"&amp;F21&amp;"金币进行强化"</f>
        <v>|cffffcc00属性：|r|n攻击+35688|n攻速+44%|n暴击+9%|n|n点击消耗35000金币进行强化</v>
      </c>
      <c r="DB21" s="30" t="str">
        <f t="shared" si="226"/>
        <v>|n攻击+35688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|n攻速+44%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695</v>
      </c>
      <c r="C22" s="5" t="s">
        <v>696</v>
      </c>
      <c r="D22" s="31"/>
      <c r="E22" s="39"/>
      <c r="F22" s="40">
        <v>230000</v>
      </c>
      <c r="G22" s="38"/>
      <c r="H22" s="121" t="s">
        <v>925</v>
      </c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1"/>
      <c r="U22" s="32" t="str">
        <f t="shared" si="224"/>
        <v>ReplaceableTextures\\CommandButtons\\BTNE020.blp</v>
      </c>
      <c r="V22" s="43">
        <v>40000</v>
      </c>
      <c r="W22" s="43"/>
      <c r="X22" s="43"/>
      <c r="Y22" s="43"/>
      <c r="Z22" s="43"/>
      <c r="AA22" s="43"/>
      <c r="AB22" s="43"/>
      <c r="AC22" s="43"/>
      <c r="AD22" s="123">
        <v>44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InitUnitState('E020',40000,,,,,,,,44,)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InitEquipData('E020',,"",,E021,230000,,'','','','','','',"ReplaceableTextures\\CommandButtons\\BTNE021.blp")</v>
      </c>
      <c r="CS22" s="44"/>
      <c r="CT22" s="44"/>
      <c r="CU22" s="45" t="str">
        <f t="shared" si="225"/>
        <v>|n攻击+40000|n攻速+44%|n暴击+9%|n</v>
      </c>
      <c r="CV22" s="29" t="str">
        <f>"|cffffcc00属性：|r"&amp;CU22&amp;VLOOKUP(A22,合成公式!A:P,16,FALSE)&amp;T22&amp;"|n点击消耗"&amp;F22&amp;"金币进行强化"</f>
        <v>|cffffcc00属性：|r|n攻击+40000|n攻速+44%|n暴击+9%|n|n点击消耗230000金币进行强化</v>
      </c>
      <c r="DB22" s="30" t="str">
        <f t="shared" si="226"/>
        <v>|n攻击+40000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|n攻速+44%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697</v>
      </c>
      <c r="C23" s="5" t="s">
        <v>698</v>
      </c>
      <c r="D23" s="31"/>
      <c r="E23" s="39"/>
      <c r="F23" s="40">
        <v>42000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1"/>
      <c r="U23" s="32" t="str">
        <f t="shared" si="224"/>
        <v>ReplaceableTextures\\CommandButtons\\BTNE021.blp</v>
      </c>
      <c r="V23" s="43">
        <v>52000</v>
      </c>
      <c r="W23" s="43"/>
      <c r="X23" s="43"/>
      <c r="Y23" s="43"/>
      <c r="Z23" s="43"/>
      <c r="AA23" s="43"/>
      <c r="AB23" s="43"/>
      <c r="AC23" s="43"/>
      <c r="AD23" s="123">
        <v>53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InitUnitState('E021',52000,,,,,,,,53,)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InitEquipData('E021',,"",,E022,42000,,'','','','','','',"ReplaceableTextures\\CommandButtons\\BTNE022.blp")</v>
      </c>
      <c r="CS23" s="44"/>
      <c r="CT23" s="44"/>
      <c r="CU23" s="45" t="str">
        <f t="shared" si="225"/>
        <v>|n攻击+52000|n攻速+53%|n暴击+12%|n</v>
      </c>
      <c r="CV23" s="29" t="str">
        <f>"|cffffcc00属性：|r"&amp;CU23&amp;VLOOKUP(A23,合成公式!A:P,16,FALSE)&amp;T23&amp;"|n点击消耗"&amp;F23&amp;"金币进行强化"</f>
        <v>|cffffcc00属性：|r|n攻击+52000|n攻速+53%|n暴击+12%|n|n点击消耗42000金币进行强化</v>
      </c>
      <c r="DB23" s="30" t="str">
        <f t="shared" si="226"/>
        <v>|n攻击+52000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|n攻速+53%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699</v>
      </c>
      <c r="C24" s="5" t="s">
        <v>700</v>
      </c>
      <c r="D24" s="31"/>
      <c r="E24" s="39"/>
      <c r="F24" s="40">
        <v>42000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1"/>
      <c r="U24" s="32" t="str">
        <f t="shared" si="224"/>
        <v>ReplaceableTextures\\CommandButtons\\BTNE022.blp</v>
      </c>
      <c r="V24" s="43">
        <v>64000</v>
      </c>
      <c r="W24" s="43"/>
      <c r="X24" s="43"/>
      <c r="Y24" s="43"/>
      <c r="Z24" s="43"/>
      <c r="AA24" s="43"/>
      <c r="AB24" s="43"/>
      <c r="AC24" s="43"/>
      <c r="AD24" s="123">
        <v>53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InitUnitState('E022',64000,,,,,,,,53,)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InitEquipData('E022',,"",,E023,42000,,'','','','','','',"ReplaceableTextures\\CommandButtons\\BTNE023.blp")</v>
      </c>
      <c r="CS24" s="44"/>
      <c r="CT24" s="44"/>
      <c r="CU24" s="45" t="str">
        <f t="shared" si="225"/>
        <v>|n攻击+64000|n攻速+53%|n暴击+12%|n</v>
      </c>
      <c r="CV24" s="29" t="str">
        <f>"|cffffcc00属性：|r"&amp;CU24&amp;VLOOKUP(A24,合成公式!A:P,16,FALSE)&amp;T24&amp;"|n点击消耗"&amp;F24&amp;"金币进行强化"</f>
        <v>|cffffcc00属性：|r|n攻击+64000|n攻速+53%|n暴击+12%|n|n点击消耗42000金币进行强化</v>
      </c>
      <c r="DB24" s="30" t="str">
        <f t="shared" si="226"/>
        <v>|n攻击+64000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|n攻速+53%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701</v>
      </c>
      <c r="C25" s="5" t="s">
        <v>702</v>
      </c>
      <c r="D25" s="31"/>
      <c r="E25" s="39"/>
      <c r="F25" s="40">
        <v>42000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1"/>
      <c r="U25" s="32" t="str">
        <f t="shared" si="224"/>
        <v>ReplaceableTextures\\CommandButtons\\BTNE023.blp</v>
      </c>
      <c r="V25" s="43">
        <v>76000</v>
      </c>
      <c r="W25" s="43"/>
      <c r="X25" s="43"/>
      <c r="Y25" s="43"/>
      <c r="Z25" s="43"/>
      <c r="AA25" s="43"/>
      <c r="AB25" s="43"/>
      <c r="AC25" s="43"/>
      <c r="AD25" s="123">
        <v>53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InitUnitState('E023',76000,,,,,,,,53,)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InitEquipData('E023',,"",,E024,42000,,'','','','','','',"ReplaceableTextures\\CommandButtons\\BTNE024.blp")</v>
      </c>
      <c r="CS25" s="44"/>
      <c r="CT25" s="44"/>
      <c r="CU25" s="45" t="str">
        <f t="shared" si="225"/>
        <v>|n攻击+76000|n攻速+53%|n暴击+12%|n</v>
      </c>
      <c r="CV25" s="29" t="str">
        <f>"|cffffcc00属性：|r"&amp;CU25&amp;VLOOKUP(A25,合成公式!A:P,16,FALSE)&amp;T25&amp;"|n点击消耗"&amp;F25&amp;"金币进行强化"</f>
        <v>|cffffcc00属性：|r|n攻击+76000|n攻速+53%|n暴击+12%|n|n点击消耗42000金币进行强化</v>
      </c>
      <c r="DB25" s="30" t="str">
        <f t="shared" si="226"/>
        <v>|n攻击+76000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|n攻速+53%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703</v>
      </c>
      <c r="C26" s="5" t="s">
        <v>704</v>
      </c>
      <c r="D26" s="31"/>
      <c r="E26" s="39"/>
      <c r="F26" s="40">
        <v>42000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1"/>
      <c r="U26" s="32" t="str">
        <f t="shared" si="224"/>
        <v>ReplaceableTextures\\CommandButtons\\BTNE024.blp</v>
      </c>
      <c r="V26" s="43">
        <v>88000</v>
      </c>
      <c r="W26" s="43"/>
      <c r="X26" s="43"/>
      <c r="Y26" s="43"/>
      <c r="Z26" s="43"/>
      <c r="AA26" s="43"/>
      <c r="AB26" s="43"/>
      <c r="AC26" s="43"/>
      <c r="AD26" s="123">
        <v>53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InitUnitState('E024',88000,,,,,,,,53,)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InitEquipData('E024',,"",,E025,42000,,'','','','','','',"ReplaceableTextures\\CommandButtons\\BTNE025.blp")</v>
      </c>
      <c r="CS26" s="44"/>
      <c r="CT26" s="44"/>
      <c r="CU26" s="45" t="str">
        <f t="shared" si="225"/>
        <v>|n攻击+88000|n攻速+53%|n暴击+12%|n</v>
      </c>
      <c r="CV26" s="29" t="str">
        <f>"|cffffcc00属性：|r"&amp;CU26&amp;VLOOKUP(A26,合成公式!A:P,16,FALSE)&amp;T26&amp;"|n点击消耗"&amp;F26&amp;"金币进行强化"</f>
        <v>|cffffcc00属性：|r|n攻击+88000|n攻速+53%|n暴击+12%|n|n点击消耗42000金币进行强化</v>
      </c>
      <c r="DB26" s="30" t="str">
        <f t="shared" si="226"/>
        <v>|n攻击+88000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|n攻速+53%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705</v>
      </c>
      <c r="C27" s="5" t="s">
        <v>706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1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123">
        <v>53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InitUnitState('E025',100000,,,,,,,,53,)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|n攻击+100000|n攻速+53%|n暴击+12%|n</v>
      </c>
      <c r="CV27" s="29" t="str">
        <f>"|cffffcc00属性：|r"&amp;CU27&amp;VLOOKUP(A27,合成公式!A:P,16,FALSE)&amp;T27</f>
        <v>|cffffcc00属性：|r|n攻击+100000|n攻速+53%|n暴击+12%|n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|n攻速+53%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731</v>
      </c>
      <c r="C28" s="5" t="s">
        <v>732</v>
      </c>
      <c r="D28" s="31"/>
      <c r="E28" s="39"/>
      <c r="F28" s="40">
        <v>2000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1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InitUnitMagic('E101',,,,,,,,,,)</v>
      </c>
      <c r="CQ28" s="44" t="str">
        <f t="shared" si="6"/>
        <v>InitUnitAdd('E101',,,,,,,,,,)</v>
      </c>
      <c r="CR28" s="44" t="str">
        <f t="shared" si="7"/>
        <v>InitEquipData('E101',,"",,E102,2000,,'','','','','','',"ReplaceableTextures\\CommandButtons\\BTNE102.blp")</v>
      </c>
      <c r="CS28" s="44"/>
      <c r="CT28" s="44"/>
      <c r="CU28" s="45" t="str">
        <f t="shared" si="225"/>
        <v>|n法强+1000|n</v>
      </c>
      <c r="CV28" s="29" t="str">
        <f>"|cffffcc00属性：|r"&amp;CU28&amp;VLOOKUP(A28,合成公式!A:P,16,FALSE)&amp;T28&amp;"|n点击消耗"&amp;F28&amp;"金币进行强化"</f>
        <v>|cffffcc00属性：|r|n法强+1000|n|n点击消耗2000金币进行强化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/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175</v>
      </c>
      <c r="C29" s="5" t="s">
        <v>733</v>
      </c>
      <c r="D29" s="31"/>
      <c r="E29" s="39"/>
      <c r="F29" s="40">
        <v>2000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1"/>
      <c r="U29" s="32" t="str">
        <f t="shared" si="224"/>
        <v>ReplaceableTextures\\CommandButtons\\BTNE102.blp</v>
      </c>
      <c r="V29" s="43"/>
      <c r="W29" s="43">
        <v>1512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InitUnitState('E102',,1512,,,,,,,,)</v>
      </c>
      <c r="CO29" s="44" t="str">
        <f t="shared" si="4"/>
        <v>InitUnitNormal('E102',,,,,,,,,,)</v>
      </c>
      <c r="CP29" s="44" t="str">
        <f t="shared" si="5"/>
        <v>InitUnitMagic('E102',,,,,,,,,,)</v>
      </c>
      <c r="CQ29" s="44" t="str">
        <f t="shared" si="6"/>
        <v>InitUnitAdd('E102',,,,,,,,,,)</v>
      </c>
      <c r="CR29" s="44" t="str">
        <f t="shared" si="7"/>
        <v>InitEquipData('E102',,"",,E103,2000,,'','','','','','',"ReplaceableTextures\\CommandButtons\\BTNE103.blp")</v>
      </c>
      <c r="CS29" s="44"/>
      <c r="CT29" s="44"/>
      <c r="CU29" s="45" t="str">
        <f t="shared" si="225"/>
        <v>|n法强+1512|n</v>
      </c>
      <c r="CV29" s="29" t="str">
        <f>"|cffffcc00属性：|r"&amp;CU29&amp;VLOOKUP(A29,合成公式!A:P,16,FALSE)&amp;T29&amp;"|n点击消耗"&amp;F29&amp;"金币进行强化"</f>
        <v>|cffffcc00属性：|r|n法强+1512|n|n点击消耗2000金币进行强化</v>
      </c>
      <c r="DB29" s="30" t="str">
        <f t="shared" si="226"/>
        <v/>
      </c>
      <c r="DC29" s="30" t="str">
        <f t="shared" si="227"/>
        <v>|n法强+1512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/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176</v>
      </c>
      <c r="C30" s="5" t="s">
        <v>734</v>
      </c>
      <c r="D30" s="31"/>
      <c r="E30" s="39"/>
      <c r="F30" s="40">
        <v>2000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1"/>
      <c r="U30" s="32" t="str">
        <f t="shared" si="224"/>
        <v>ReplaceableTextures\\CommandButtons\\BTNE103.blp</v>
      </c>
      <c r="V30" s="43"/>
      <c r="W30" s="43">
        <v>2024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InitUnitState('E103',,2024,,,,,,,,)</v>
      </c>
      <c r="CO30" s="44" t="str">
        <f t="shared" si="4"/>
        <v>InitUnitNormal('E103',,,,,,,,,,)</v>
      </c>
      <c r="CP30" s="44" t="str">
        <f t="shared" si="5"/>
        <v>InitUnitMagic('E103',,,,,,,,,,)</v>
      </c>
      <c r="CQ30" s="44" t="str">
        <f t="shared" si="6"/>
        <v>InitUnitAdd('E103',,,,,,,,,,)</v>
      </c>
      <c r="CR30" s="44" t="str">
        <f t="shared" si="7"/>
        <v>InitEquipData('E103',,"",,E104,2000,,'','','','','','',"ReplaceableTextures\\CommandButtons\\BTNE104.blp")</v>
      </c>
      <c r="CS30" s="44"/>
      <c r="CT30" s="44"/>
      <c r="CU30" s="45" t="str">
        <f t="shared" si="225"/>
        <v>|n法强+2024|n</v>
      </c>
      <c r="CV30" s="29" t="str">
        <f>"|cffffcc00属性：|r"&amp;CU30&amp;VLOOKUP(A30,合成公式!A:P,16,FALSE)&amp;T30&amp;"|n点击消耗"&amp;F30&amp;"金币进行强化"</f>
        <v>|cffffcc00属性：|r|n法强+2024|n|n点击消耗2000金币进行强化</v>
      </c>
      <c r="DB30" s="30" t="str">
        <f t="shared" si="226"/>
        <v/>
      </c>
      <c r="DC30" s="30" t="str">
        <f t="shared" si="227"/>
        <v>|n法强+2024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/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177</v>
      </c>
      <c r="C31" s="5" t="s">
        <v>735</v>
      </c>
      <c r="D31" s="31"/>
      <c r="E31" s="39"/>
      <c r="F31" s="40">
        <v>2000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1"/>
      <c r="U31" s="32" t="str">
        <f t="shared" si="224"/>
        <v>ReplaceableTextures\\CommandButtons\\BTNE104.blp</v>
      </c>
      <c r="V31" s="43"/>
      <c r="W31" s="43">
        <v>2536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InitUnitState('E104',,2536,,,,,,,,)</v>
      </c>
      <c r="CO31" s="44" t="str">
        <f t="shared" si="4"/>
        <v>InitUnitNormal('E104',,,,,,,,,,)</v>
      </c>
      <c r="CP31" s="44" t="str">
        <f t="shared" si="5"/>
        <v>InitUnitMagic('E104',,,,,,,,,,)</v>
      </c>
      <c r="CQ31" s="44" t="str">
        <f t="shared" si="6"/>
        <v>InitUnitAdd('E104',,,,,,,,,,)</v>
      </c>
      <c r="CR31" s="44" t="str">
        <f t="shared" si="7"/>
        <v>InitEquipData('E104',,"",,E105,2000,,'','','','','','',"ReplaceableTextures\\CommandButtons\\BTNE105.blp")</v>
      </c>
      <c r="CS31" s="44"/>
      <c r="CT31" s="44"/>
      <c r="CU31" s="45" t="str">
        <f t="shared" si="225"/>
        <v>|n法强+2536|n</v>
      </c>
      <c r="CV31" s="29" t="str">
        <f>"|cffffcc00属性：|r"&amp;CU31&amp;VLOOKUP(A31,合成公式!A:P,16,FALSE)&amp;T31&amp;"|n点击消耗"&amp;F31&amp;"金币进行强化"</f>
        <v>|cffffcc00属性：|r|n法强+2536|n|n点击消耗2000金币进行强化</v>
      </c>
      <c r="DB31" s="30" t="str">
        <f t="shared" si="226"/>
        <v/>
      </c>
      <c r="DC31" s="30" t="str">
        <f t="shared" si="227"/>
        <v>|n法强+2536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/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178</v>
      </c>
      <c r="C32" s="5" t="s">
        <v>736</v>
      </c>
      <c r="D32" s="31"/>
      <c r="E32" s="39"/>
      <c r="F32" s="40">
        <v>5000</v>
      </c>
      <c r="G32" s="38"/>
      <c r="H32" s="121" t="s">
        <v>926</v>
      </c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1"/>
      <c r="U32" s="32" t="str">
        <f t="shared" si="224"/>
        <v>ReplaceableTextures\\CommandButtons\\BTNE105.blp</v>
      </c>
      <c r="V32" s="43"/>
      <c r="W32" s="43">
        <v>3048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InitUnitState('E105',,3048,,,,,,,,)</v>
      </c>
      <c r="CO32" s="44" t="str">
        <f t="shared" si="4"/>
        <v>InitUnitNormal('E105',,,,,,,,,,)</v>
      </c>
      <c r="CP32" s="44" t="str">
        <f t="shared" si="5"/>
        <v>InitUnitMagic('E105',,,,,,,,,,)</v>
      </c>
      <c r="CQ32" s="44" t="str">
        <f t="shared" si="6"/>
        <v>InitUnitAdd('E105',,,,,,,,,,)</v>
      </c>
      <c r="CR32" s="44" t="str">
        <f t="shared" si="7"/>
        <v>InitEquipData('E105',,"",,E106,5000,,'','','','','','',"ReplaceableTextures\\CommandButtons\\BTNE106.blp")</v>
      </c>
      <c r="CS32" s="44"/>
      <c r="CT32" s="44"/>
      <c r="CU32" s="45" t="str">
        <f t="shared" si="225"/>
        <v>|n法强+3048|n</v>
      </c>
      <c r="CV32" s="29" t="str">
        <f>"|cffffcc00属性：|r"&amp;CU32&amp;VLOOKUP(A32,合成公式!A:P,16,FALSE)&amp;T32&amp;"|n点击消耗"&amp;F32&amp;"金币进行强化"</f>
        <v>|cffffcc00属性：|r|n法强+3048|n|n点击消耗5000金币进行强化</v>
      </c>
      <c r="DB32" s="30" t="str">
        <f t="shared" si="226"/>
        <v/>
      </c>
      <c r="DC32" s="30" t="str">
        <f t="shared" si="227"/>
        <v>|n法强+3048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/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179</v>
      </c>
      <c r="C33" s="5" t="s">
        <v>737</v>
      </c>
      <c r="D33" s="31"/>
      <c r="E33" s="39"/>
      <c r="F33" s="40">
        <v>10000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1"/>
      <c r="U33" s="32" t="str">
        <f t="shared" si="224"/>
        <v>ReplaceableTextures\\CommandButtons\\BTNE106.blp</v>
      </c>
      <c r="V33" s="43"/>
      <c r="W33" s="43">
        <v>3816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InitUnitState('E106',,3816,,,,,,,,)</v>
      </c>
      <c r="CO33" s="44" t="str">
        <f t="shared" si="4"/>
        <v>InitUnitNormal('E106',,,,,,,,,,)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InitEquipData('E106',,"",,E107,10000,,'','','','','','',"ReplaceableTextures\\CommandButtons\\BTNE107.blp")</v>
      </c>
      <c r="CS33" s="44"/>
      <c r="CT33" s="44"/>
      <c r="CU33" s="45" t="str">
        <f t="shared" si="225"/>
        <v>|n法强+3816|n冷却缩减+6%|n</v>
      </c>
      <c r="CV33" s="29" t="str">
        <f>"|cffffcc00属性：|r"&amp;CU33&amp;VLOOKUP(A33,合成公式!A:P,16,FALSE)&amp;T33&amp;"|n点击消耗"&amp;F33&amp;"金币进行强化"</f>
        <v>|cffffcc00属性：|r|n法强+3816|n冷却缩减+6%|n|n点击消耗10000金币进行强化</v>
      </c>
      <c r="DB33" s="30" t="str">
        <f t="shared" si="226"/>
        <v/>
      </c>
      <c r="DC33" s="30" t="str">
        <f t="shared" si="227"/>
        <v>|n法强+3816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/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180</v>
      </c>
      <c r="C34" s="5" t="s">
        <v>738</v>
      </c>
      <c r="D34" s="31"/>
      <c r="E34" s="39"/>
      <c r="F34" s="40">
        <v>10000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1"/>
      <c r="U34" s="32" t="str">
        <f t="shared" si="224"/>
        <v>ReplaceableTextures\\CommandButtons\\BTNE107.blp</v>
      </c>
      <c r="V34" s="43"/>
      <c r="W34" s="43">
        <v>4584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InitUnitState('E107',,4584,,,,,,,,)</v>
      </c>
      <c r="CO34" s="44" t="str">
        <f t="shared" si="4"/>
        <v>InitUnitNormal('E107',,,,,,,,,,)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InitEquipData('E107',,"",,E108,10000,,'','','','','','',"ReplaceableTextures\\CommandButtons\\BTNE108.blp")</v>
      </c>
      <c r="CS34" s="44"/>
      <c r="CT34" s="44"/>
      <c r="CU34" s="45" t="str">
        <f t="shared" si="225"/>
        <v>|n法强+4584|n冷却缩减+6%|n</v>
      </c>
      <c r="CV34" s="29" t="str">
        <f>"|cffffcc00属性：|r"&amp;CU34&amp;VLOOKUP(A34,合成公式!A:P,16,FALSE)&amp;T34&amp;"|n点击消耗"&amp;F34&amp;"金币进行强化"</f>
        <v>|cffffcc00属性：|r|n法强+4584|n冷却缩减+6%|n|n点击消耗10000金币进行强化</v>
      </c>
      <c r="DB34" s="30" t="str">
        <f t="shared" si="226"/>
        <v/>
      </c>
      <c r="DC34" s="30" t="str">
        <f t="shared" si="227"/>
        <v>|n法强+4584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/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181</v>
      </c>
      <c r="C35" s="5" t="s">
        <v>739</v>
      </c>
      <c r="D35" s="31"/>
      <c r="E35" s="39"/>
      <c r="F35" s="40">
        <v>10000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1"/>
      <c r="U35" s="32" t="str">
        <f t="shared" si="224"/>
        <v>ReplaceableTextures\\CommandButtons\\BTNE108.blp</v>
      </c>
      <c r="V35" s="43"/>
      <c r="W35" s="43">
        <v>5352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InitEquipData('E108',,"",,E109,10000,,'','','','','','',"ReplaceableTextures\\CommandButtons\\BTNE109.blp")</v>
      </c>
      <c r="CS35" s="44"/>
      <c r="CT35" s="44"/>
      <c r="CU35" s="45" t="str">
        <f t="shared" si="225"/>
        <v>|n法强+5352|n冷却缩减+6%|n</v>
      </c>
      <c r="CV35" s="29" t="str">
        <f>"|cffffcc00属性：|r"&amp;CU35&amp;VLOOKUP(A35,合成公式!A:P,16,FALSE)&amp;T35&amp;"|n点击消耗"&amp;F35&amp;"金币进行强化"</f>
        <v>|cffffcc00属性：|r|n法强+5352|n冷却缩减+6%|n|n点击消耗10000金币进行强化</v>
      </c>
      <c r="DB35" s="30" t="str">
        <f t="shared" si="226"/>
        <v/>
      </c>
      <c r="DC35" s="30" t="str">
        <f t="shared" si="227"/>
        <v>|n法强+5352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/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182</v>
      </c>
      <c r="C36" s="5" t="s">
        <v>740</v>
      </c>
      <c r="D36" s="31"/>
      <c r="E36" s="39"/>
      <c r="F36" s="40">
        <v>10000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1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6120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InitUnitState('E109',,6120,,,,,,,,)</v>
      </c>
      <c r="CO36" s="44" t="str">
        <f t="shared" si="298"/>
        <v>InitUnitNormal('E109',,,,,,,,,,)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InitEquipData('E109',,"",,E110,10000,,'','','','','','',"ReplaceableTextures\\CommandButtons\\BTNE110.blp")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29" t="str">
        <f>"|cffffcc00属性：|r"&amp;CU36&amp;VLOOKUP(A36,合成公式!A:P,16,FALSE)&amp;T36&amp;"|n点击消耗"&amp;F36&amp;"金币进行强化"</f>
        <v>|cffffcc00属性：|r|n法强+6120|n冷却缩减+6%|n|n点击消耗10000金币进行强化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|n法强+6120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/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183</v>
      </c>
      <c r="C37" s="5" t="s">
        <v>741</v>
      </c>
      <c r="D37" s="31"/>
      <c r="E37" s="39"/>
      <c r="F37" s="40">
        <v>42000</v>
      </c>
      <c r="G37" s="38"/>
      <c r="H37" s="121" t="s">
        <v>927</v>
      </c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1"/>
      <c r="U37" s="32" t="str">
        <f t="shared" si="302"/>
        <v>ReplaceableTextures\\CommandButtons\\BTNE110.blp</v>
      </c>
      <c r="V37" s="43"/>
      <c r="W37" s="43">
        <v>6888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InitUnitState('E110',,6888,,,,,,,,)</v>
      </c>
      <c r="CO37" s="44" t="str">
        <f t="shared" si="298"/>
        <v>InitUnitNormal('E110',,,,,,,,,,)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InitEquipData('E110',,"",,E111,42000,,'','','','','','',"ReplaceableTextures\\CommandButtons\\BTNE111.blp")</v>
      </c>
      <c r="CS37" s="44"/>
      <c r="CT37" s="44"/>
      <c r="CU37" s="45" t="str">
        <f t="shared" si="303"/>
        <v>|n法强+6888|n冷却缩减+6%|n</v>
      </c>
      <c r="CV37" s="29" t="str">
        <f>"|cffffcc00属性：|r"&amp;CU37&amp;VLOOKUP(A37,合成公式!A:P,16,FALSE)&amp;T37&amp;"|n点击消耗"&amp;F37&amp;"金币进行强化"</f>
        <v>|cffffcc00属性：|r|n法强+6888|n冷却缩减+6%|n|n点击消耗42000金币进行强化</v>
      </c>
      <c r="DB37" s="30" t="str">
        <f t="shared" si="304"/>
        <v/>
      </c>
      <c r="DC37" s="30" t="str">
        <f t="shared" si="305"/>
        <v>|n法强+6888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/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184</v>
      </c>
      <c r="C38" s="5" t="s">
        <v>742</v>
      </c>
      <c r="D38" s="31"/>
      <c r="E38" s="39"/>
      <c r="F38" s="40">
        <v>27000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1"/>
      <c r="U38" s="32" t="str">
        <f t="shared" si="302"/>
        <v>ReplaceableTextures\\CommandButtons\\BTNE111.blp</v>
      </c>
      <c r="V38" s="43"/>
      <c r="W38" s="43">
        <v>8808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8</v>
      </c>
      <c r="AU38" s="43"/>
      <c r="AV38" s="43"/>
      <c r="AW38" s="43"/>
      <c r="AX38" s="43"/>
      <c r="AY38" s="43"/>
      <c r="AZ38" s="43"/>
      <c r="BA38" s="43"/>
      <c r="BB38" s="4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InitUnitState('E111',,8808,,,,,,,,)</v>
      </c>
      <c r="CO38" s="44" t="str">
        <f t="shared" si="298"/>
        <v>InitUnitNormal('E111',,,,,,,6,,,)</v>
      </c>
      <c r="CP38" s="44" t="str">
        <f t="shared" si="299"/>
        <v>InitUnitMagic('E111',,,,,8,,,,,)</v>
      </c>
      <c r="CQ38" s="44" t="str">
        <f t="shared" si="300"/>
        <v>InitUnitAdd('E111',,,,,,,,,,)</v>
      </c>
      <c r="CR38" s="44" t="str">
        <f t="shared" si="301"/>
        <v>InitEquipData('E111',,"",,E112,27000,,'','','','','','',"ReplaceableTextures\\CommandButtons\\BTNE112.blp")</v>
      </c>
      <c r="CS38" s="44"/>
      <c r="CT38" s="44"/>
      <c r="CU38" s="45" t="str">
        <f t="shared" si="303"/>
        <v>|n法强+8808|n伤害加成+6%|n冷却缩减+8%|n</v>
      </c>
      <c r="CV38" s="29" t="str">
        <f>"|cffffcc00属性：|r"&amp;CU38&amp;VLOOKUP(A38,合成公式!A:P,16,FALSE)&amp;T38&amp;"|n点击消耗"&amp;F38&amp;"金币进行强化"</f>
        <v>|cffffcc00属性：|r|n法强+8808|n伤害加成+6%|n冷却缩减+8%|n|n点击消耗27000金币进行强化</v>
      </c>
      <c r="DB38" s="30" t="str">
        <f t="shared" si="304"/>
        <v/>
      </c>
      <c r="DC38" s="30" t="str">
        <f t="shared" si="305"/>
        <v>|n法强+8808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|n冷却缩减+8%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185</v>
      </c>
      <c r="C39" s="5" t="s">
        <v>743</v>
      </c>
      <c r="D39" s="31"/>
      <c r="E39" s="39"/>
      <c r="F39" s="40">
        <v>27000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1"/>
      <c r="U39" s="32" t="str">
        <f t="shared" si="302"/>
        <v>ReplaceableTextures\\CommandButtons\\BTNE112.blp</v>
      </c>
      <c r="V39" s="43"/>
      <c r="W39" s="43">
        <v>10728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8</v>
      </c>
      <c r="AU39" s="43"/>
      <c r="AV39" s="43"/>
      <c r="AW39" s="43"/>
      <c r="AX39" s="43"/>
      <c r="AY39" s="43"/>
      <c r="AZ39" s="43"/>
      <c r="BA39" s="43"/>
      <c r="BB39" s="4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InitUnitState('E112',,10728,,,,,,,,)</v>
      </c>
      <c r="CO39" s="44" t="str">
        <f t="shared" si="298"/>
        <v>InitUnitNormal('E112',,,,,,,6,,,)</v>
      </c>
      <c r="CP39" s="44" t="str">
        <f t="shared" si="299"/>
        <v>InitUnitMagic('E112',,,,,8,,,,,)</v>
      </c>
      <c r="CQ39" s="44" t="str">
        <f t="shared" si="300"/>
        <v>InitUnitAdd('E112',,,,,,,,,,)</v>
      </c>
      <c r="CR39" s="44" t="str">
        <f t="shared" si="301"/>
        <v>InitEquipData('E112',,"",,E113,27000,,'','','','','','',"ReplaceableTextures\\CommandButtons\\BTNE113.blp")</v>
      </c>
      <c r="CS39" s="44"/>
      <c r="CT39" s="44"/>
      <c r="CU39" s="45" t="str">
        <f t="shared" si="303"/>
        <v>|n法强+10728|n伤害加成+6%|n冷却缩减+8%|n</v>
      </c>
      <c r="CV39" s="29" t="str">
        <f>"|cffffcc00属性：|r"&amp;CU39&amp;VLOOKUP(A39,合成公式!A:P,16,FALSE)&amp;T39&amp;"|n点击消耗"&amp;F39&amp;"金币进行强化"</f>
        <v>|cffffcc00属性：|r|n法强+10728|n伤害加成+6%|n冷却缩减+8%|n|n点击消耗27000金币进行强化</v>
      </c>
      <c r="DB39" s="30" t="str">
        <f t="shared" si="304"/>
        <v/>
      </c>
      <c r="DC39" s="30" t="str">
        <f t="shared" si="305"/>
        <v>|n法强+10728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|n冷却缩减+8%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666</v>
      </c>
      <c r="C40" s="5" t="s">
        <v>744</v>
      </c>
      <c r="D40" s="31"/>
      <c r="E40" s="39"/>
      <c r="F40" s="40">
        <v>27000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1"/>
      <c r="U40" s="32" t="str">
        <f t="shared" si="302"/>
        <v>ReplaceableTextures\\CommandButtons\\BTNE113.blp</v>
      </c>
      <c r="V40" s="43"/>
      <c r="W40" s="43">
        <v>12648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8</v>
      </c>
      <c r="AU40" s="43"/>
      <c r="AV40" s="43"/>
      <c r="AW40" s="43"/>
      <c r="AX40" s="43"/>
      <c r="AY40" s="43"/>
      <c r="AZ40" s="43"/>
      <c r="BA40" s="43"/>
      <c r="BB40" s="4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InitUnitState('E113',,12648,,,,,,,,)</v>
      </c>
      <c r="CO40" s="44" t="str">
        <f t="shared" si="298"/>
        <v>InitUnitNormal('E113',,,,,,,6,,,)</v>
      </c>
      <c r="CP40" s="44" t="str">
        <f t="shared" si="299"/>
        <v>InitUnitMagic('E113',,,,,8,,,,,)</v>
      </c>
      <c r="CQ40" s="44" t="str">
        <f t="shared" si="300"/>
        <v>InitUnitAdd('E113',,,,,,,,,,)</v>
      </c>
      <c r="CR40" s="44" t="str">
        <f t="shared" si="301"/>
        <v>InitEquipData('E113',,"",,E114,27000,,'','','','','','',"ReplaceableTextures\\CommandButtons\\BTNE114.blp")</v>
      </c>
      <c r="CS40" s="44"/>
      <c r="CT40" s="44"/>
      <c r="CU40" s="45" t="str">
        <f t="shared" si="303"/>
        <v>|n法强+12648|n伤害加成+6%|n冷却缩减+8%|n</v>
      </c>
      <c r="CV40" s="29" t="str">
        <f>"|cffffcc00属性：|r"&amp;CU40&amp;VLOOKUP(A40,合成公式!A:P,16,FALSE)&amp;T40&amp;"|n点击消耗"&amp;F40&amp;"金币进行强化"</f>
        <v>|cffffcc00属性：|r|n法强+12648|n伤害加成+6%|n冷却缩减+8%|n|n点击消耗27000金币进行强化</v>
      </c>
      <c r="DB40" s="30" t="str">
        <f t="shared" si="304"/>
        <v/>
      </c>
      <c r="DC40" s="30" t="str">
        <f t="shared" si="305"/>
        <v>|n法强+12648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|n冷却缩减+8%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667</v>
      </c>
      <c r="C41" s="5" t="s">
        <v>745</v>
      </c>
      <c r="D41" s="31"/>
      <c r="E41" s="39"/>
      <c r="F41" s="40">
        <v>27000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1"/>
      <c r="U41" s="32" t="str">
        <f t="shared" si="302"/>
        <v>ReplaceableTextures\\CommandButtons\\BTNE114.blp</v>
      </c>
      <c r="V41" s="43"/>
      <c r="W41" s="43">
        <v>14568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8</v>
      </c>
      <c r="AU41" s="43"/>
      <c r="AV41" s="43"/>
      <c r="AW41" s="43"/>
      <c r="AX41" s="43"/>
      <c r="AY41" s="43"/>
      <c r="AZ41" s="43"/>
      <c r="BA41" s="43"/>
      <c r="BB41" s="4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InitUnitState('E114',,14568,,,,,,,,)</v>
      </c>
      <c r="CO41" s="44" t="str">
        <f t="shared" si="298"/>
        <v>InitUnitNormal('E114',,,,,,,6,,,)</v>
      </c>
      <c r="CP41" s="44" t="str">
        <f t="shared" si="299"/>
        <v>InitUnitMagic('E114',,,,,8,,,,,)</v>
      </c>
      <c r="CQ41" s="44" t="str">
        <f t="shared" si="300"/>
        <v>InitUnitAdd('E114',,,,,,,,,,)</v>
      </c>
      <c r="CR41" s="44" t="str">
        <f t="shared" si="301"/>
        <v>InitEquipData('E114',,"",,E115,27000,,'','','','','','',"ReplaceableTextures\\CommandButtons\\BTNE115.blp")</v>
      </c>
      <c r="CS41" s="44"/>
      <c r="CT41" s="44"/>
      <c r="CU41" s="45" t="str">
        <f t="shared" si="303"/>
        <v>|n法强+14568|n伤害加成+6%|n冷却缩减+8%|n</v>
      </c>
      <c r="CV41" s="29" t="str">
        <f>"|cffffcc00属性：|r"&amp;CU41&amp;VLOOKUP(A41,合成公式!A:P,16,FALSE)&amp;T41&amp;"|n点击消耗"&amp;F41&amp;"金币进行强化"</f>
        <v>|cffffcc00属性：|r|n法强+14568|n伤害加成+6%|n冷却缩减+8%|n|n点击消耗27000金币进行强化</v>
      </c>
      <c r="DB41" s="30" t="str">
        <f t="shared" si="304"/>
        <v/>
      </c>
      <c r="DC41" s="30" t="str">
        <f t="shared" si="305"/>
        <v>|n法强+14568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|n冷却缩减+8%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668</v>
      </c>
      <c r="C42" s="5" t="s">
        <v>746</v>
      </c>
      <c r="D42" s="31"/>
      <c r="E42" s="39"/>
      <c r="F42" s="40">
        <v>150000</v>
      </c>
      <c r="G42" s="38"/>
      <c r="H42" s="121" t="s">
        <v>928</v>
      </c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1"/>
      <c r="U42" s="32" t="str">
        <f t="shared" si="302"/>
        <v>ReplaceableTextures\\CommandButtons\\BTNE115.blp</v>
      </c>
      <c r="V42" s="43"/>
      <c r="W42" s="43">
        <v>16488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8</v>
      </c>
      <c r="AU42" s="43"/>
      <c r="AV42" s="43"/>
      <c r="AW42" s="43"/>
      <c r="AX42" s="43"/>
      <c r="AY42" s="43"/>
      <c r="AZ42" s="43"/>
      <c r="BA42" s="43"/>
      <c r="BB42" s="4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InitUnitState('E115',,16488,,,,,,,,)</v>
      </c>
      <c r="CO42" s="44" t="str">
        <f t="shared" si="298"/>
        <v>InitUnitNormal('E115',,,,,,,6,,,)</v>
      </c>
      <c r="CP42" s="44" t="str">
        <f t="shared" si="299"/>
        <v>InitUnitMagic('E115',,,,,8,,,,,)</v>
      </c>
      <c r="CQ42" s="44" t="str">
        <f t="shared" si="300"/>
        <v>InitUnitAdd('E115',,,,,,,,,,)</v>
      </c>
      <c r="CR42" s="44" t="str">
        <f t="shared" si="301"/>
        <v>InitEquipData('E115',,"",,E116,150000,,'','','','','','',"ReplaceableTextures\\CommandButtons\\BTNE116.blp")</v>
      </c>
      <c r="CS42" s="44"/>
      <c r="CT42" s="44"/>
      <c r="CU42" s="45" t="str">
        <f t="shared" si="303"/>
        <v>|n法强+16488|n伤害加成+6%|n冷却缩减+8%|n</v>
      </c>
      <c r="CV42" s="29" t="str">
        <f>"|cffffcc00属性：|r"&amp;CU42&amp;VLOOKUP(A42,合成公式!A:P,16,FALSE)&amp;T42&amp;"|n点击消耗"&amp;F42&amp;"金币进行强化"</f>
        <v>|cffffcc00属性：|r|n法强+16488|n伤害加成+6%|n冷却缩减+8%|n|n点击消耗150000金币进行强化</v>
      </c>
      <c r="DB42" s="30" t="str">
        <f t="shared" si="304"/>
        <v/>
      </c>
      <c r="DC42" s="30" t="str">
        <f t="shared" si="305"/>
        <v>|n法强+16488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|n冷却缩减+8%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669</v>
      </c>
      <c r="C43" s="5" t="s">
        <v>747</v>
      </c>
      <c r="D43" s="31"/>
      <c r="E43" s="39"/>
      <c r="F43" s="40">
        <v>35000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1"/>
      <c r="U43" s="32" t="str">
        <f t="shared" si="302"/>
        <v>ReplaceableTextures\\CommandButtons\\BTNE116.blp</v>
      </c>
      <c r="V43" s="43"/>
      <c r="W43" s="43">
        <v>21288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10</v>
      </c>
      <c r="AU43" s="43"/>
      <c r="AV43" s="43"/>
      <c r="AW43" s="43"/>
      <c r="AX43" s="43"/>
      <c r="AY43" s="43"/>
      <c r="AZ43" s="43"/>
      <c r="BA43" s="43"/>
      <c r="BB43" s="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InitUnitState('E116',,21288,,,,,,,,)</v>
      </c>
      <c r="CO43" s="44" t="str">
        <f t="shared" si="298"/>
        <v>InitUnitNormal('E116',,,,,,,9,,,)</v>
      </c>
      <c r="CP43" s="44" t="str">
        <f t="shared" si="299"/>
        <v>InitUnitMagic('E116',,,,,10,,,,,)</v>
      </c>
      <c r="CQ43" s="44" t="str">
        <f t="shared" si="300"/>
        <v>InitUnitAdd('E116',,,,,,,,,,)</v>
      </c>
      <c r="CR43" s="44" t="str">
        <f t="shared" si="301"/>
        <v>InitEquipData('E116',,"",,E117,35000,,'','','','','','',"ReplaceableTextures\\CommandButtons\\BTNE117.blp")</v>
      </c>
      <c r="CS43" s="44"/>
      <c r="CT43" s="44"/>
      <c r="CU43" s="45" t="str">
        <f t="shared" si="303"/>
        <v>|n法强+21288|n伤害加成+9%|n冷却缩减+10%|n</v>
      </c>
      <c r="CV43" s="29" t="str">
        <f>"|cffffcc00属性：|r"&amp;CU43&amp;VLOOKUP(A43,合成公式!A:P,16,FALSE)&amp;T43&amp;"|n点击消耗"&amp;F43&amp;"金币进行强化"</f>
        <v>|cffffcc00属性：|r|n法强+21288|n伤害加成+9%|n冷却缩减+10%|n|n点击消耗35000金币进行强化</v>
      </c>
      <c r="DB43" s="30" t="str">
        <f t="shared" si="304"/>
        <v/>
      </c>
      <c r="DC43" s="30" t="str">
        <f t="shared" si="305"/>
        <v>|n法强+21288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|n冷却缩减+10%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748</v>
      </c>
      <c r="C44" s="5" t="s">
        <v>749</v>
      </c>
      <c r="D44" s="31"/>
      <c r="E44" s="39"/>
      <c r="F44" s="40">
        <v>35000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1"/>
      <c r="U44" s="32" t="str">
        <f t="shared" si="302"/>
        <v>ReplaceableTextures\\CommandButtons\\BTNE117.blp</v>
      </c>
      <c r="V44" s="43"/>
      <c r="W44" s="43">
        <v>26088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10</v>
      </c>
      <c r="AU44" s="43"/>
      <c r="AV44" s="43"/>
      <c r="AW44" s="43"/>
      <c r="AX44" s="43"/>
      <c r="AY44" s="43"/>
      <c r="AZ44" s="43"/>
      <c r="BA44" s="43"/>
      <c r="BB44" s="4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InitUnitState('E117',,26088,,,,,,,,)</v>
      </c>
      <c r="CO44" s="44" t="str">
        <f t="shared" si="298"/>
        <v>InitUnitNormal('E117',,,,,,,9,,,)</v>
      </c>
      <c r="CP44" s="44" t="str">
        <f t="shared" si="299"/>
        <v>InitUnitMagic('E117',,,,,10,,,,,)</v>
      </c>
      <c r="CQ44" s="44" t="str">
        <f t="shared" si="300"/>
        <v>InitUnitAdd('E117',,,,,,,,,,)</v>
      </c>
      <c r="CR44" s="44" t="str">
        <f t="shared" si="301"/>
        <v>InitEquipData('E117',,"",,E118,35000,,'','','','','','',"ReplaceableTextures\\CommandButtons\\BTNE118.blp")</v>
      </c>
      <c r="CS44" s="44"/>
      <c r="CT44" s="44"/>
      <c r="CU44" s="45" t="str">
        <f t="shared" si="303"/>
        <v>|n法强+26088|n伤害加成+9%|n冷却缩减+10%|n</v>
      </c>
      <c r="CV44" s="29" t="str">
        <f>"|cffffcc00属性：|r"&amp;CU44&amp;VLOOKUP(A44,合成公式!A:P,16,FALSE)&amp;T44&amp;"|n点击消耗"&amp;F44&amp;"金币进行强化"</f>
        <v>|cffffcc00属性：|r|n法强+26088|n伤害加成+9%|n冷却缩减+10%|n|n点击消耗35000金币进行强化</v>
      </c>
      <c r="DB44" s="30" t="str">
        <f t="shared" si="304"/>
        <v/>
      </c>
      <c r="DC44" s="30" t="str">
        <f t="shared" si="305"/>
        <v>|n法强+26088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|n冷却缩减+10%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750</v>
      </c>
      <c r="C45" s="5" t="s">
        <v>751</v>
      </c>
      <c r="D45" s="31"/>
      <c r="E45" s="39"/>
      <c r="F45" s="40">
        <v>35000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1"/>
      <c r="U45" s="32" t="str">
        <f t="shared" si="302"/>
        <v>ReplaceableTextures\\CommandButtons\\BTNE118.blp</v>
      </c>
      <c r="V45" s="43"/>
      <c r="W45" s="43">
        <v>30888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10</v>
      </c>
      <c r="AU45" s="43"/>
      <c r="AV45" s="43"/>
      <c r="AW45" s="43"/>
      <c r="AX45" s="43"/>
      <c r="AY45" s="43"/>
      <c r="AZ45" s="43"/>
      <c r="BA45" s="43"/>
      <c r="BB45" s="4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InitUnitState('E118',,30888,,,,,,,,)</v>
      </c>
      <c r="CO45" s="44" t="str">
        <f t="shared" si="298"/>
        <v>InitUnitNormal('E118',,,,,,,9,,,)</v>
      </c>
      <c r="CP45" s="44" t="str">
        <f t="shared" si="299"/>
        <v>InitUnitMagic('E118',,,,,10,,,,,)</v>
      </c>
      <c r="CQ45" s="44" t="str">
        <f t="shared" si="300"/>
        <v>InitUnitAdd('E118',,,,,,,,,,)</v>
      </c>
      <c r="CR45" s="44" t="str">
        <f t="shared" si="301"/>
        <v>InitEquipData('E118',,"",,E119,35000,,'','','','','','',"ReplaceableTextures\\CommandButtons\\BTNE119.blp")</v>
      </c>
      <c r="CS45" s="44"/>
      <c r="CT45" s="44"/>
      <c r="CU45" s="45" t="str">
        <f t="shared" si="303"/>
        <v>|n法强+30888|n伤害加成+9%|n冷却缩减+10%|n</v>
      </c>
      <c r="CV45" s="29" t="str">
        <f>"|cffffcc00属性：|r"&amp;CU45&amp;VLOOKUP(A45,合成公式!A:P,16,FALSE)&amp;T45&amp;"|n点击消耗"&amp;F45&amp;"金币进行强化"</f>
        <v>|cffffcc00属性：|r|n法强+30888|n伤害加成+9%|n冷却缩减+10%|n|n点击消耗35000金币进行强化</v>
      </c>
      <c r="DB45" s="30" t="str">
        <f t="shared" si="304"/>
        <v/>
      </c>
      <c r="DC45" s="30" t="str">
        <f t="shared" si="305"/>
        <v>|n法强+30888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|n冷却缩减+10%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752</v>
      </c>
      <c r="C46" s="5" t="s">
        <v>753</v>
      </c>
      <c r="D46" s="31"/>
      <c r="E46" s="39"/>
      <c r="F46" s="40">
        <v>35000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1"/>
      <c r="U46" s="32" t="str">
        <f t="shared" si="302"/>
        <v>ReplaceableTextures\\CommandButtons\\BTNE119.blp</v>
      </c>
      <c r="V46" s="43"/>
      <c r="W46" s="43">
        <v>35688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10</v>
      </c>
      <c r="AU46" s="43"/>
      <c r="AV46" s="43"/>
      <c r="AW46" s="43"/>
      <c r="AX46" s="43"/>
      <c r="AY46" s="43"/>
      <c r="AZ46" s="43"/>
      <c r="BA46" s="43"/>
      <c r="BB46" s="4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InitUnitState('E119',,35688,,,,,,,,)</v>
      </c>
      <c r="CO46" s="44" t="str">
        <f t="shared" si="298"/>
        <v>InitUnitNormal('E119',,,,,,,9,,,)</v>
      </c>
      <c r="CP46" s="44" t="str">
        <f t="shared" si="299"/>
        <v>InitUnitMagic('E119',,,,,10,,,,,)</v>
      </c>
      <c r="CQ46" s="44" t="str">
        <f t="shared" si="300"/>
        <v>InitUnitAdd('E119',,,,,,,,,,)</v>
      </c>
      <c r="CR46" s="44" t="str">
        <f t="shared" si="301"/>
        <v>InitEquipData('E119',,"",,E120,35000,,'','','','','','',"ReplaceableTextures\\CommandButtons\\BTNE120.blp")</v>
      </c>
      <c r="CS46" s="44"/>
      <c r="CT46" s="44"/>
      <c r="CU46" s="45" t="str">
        <f t="shared" si="303"/>
        <v>|n法强+35688|n伤害加成+9%|n冷却缩减+10%|n</v>
      </c>
      <c r="CV46" s="29" t="str">
        <f>"|cffffcc00属性：|r"&amp;CU46&amp;VLOOKUP(A46,合成公式!A:P,16,FALSE)&amp;T46&amp;"|n点击消耗"&amp;F46&amp;"金币进行强化"</f>
        <v>|cffffcc00属性：|r|n法强+35688|n伤害加成+9%|n冷却缩减+10%|n|n点击消耗35000金币进行强化</v>
      </c>
      <c r="DB46" s="30" t="str">
        <f t="shared" si="304"/>
        <v/>
      </c>
      <c r="DC46" s="30" t="str">
        <f t="shared" si="305"/>
        <v>|n法强+35688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|n冷却缩减+10%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754</v>
      </c>
      <c r="C47" s="5" t="s">
        <v>755</v>
      </c>
      <c r="D47" s="31"/>
      <c r="E47" s="39"/>
      <c r="F47" s="40">
        <v>230000</v>
      </c>
      <c r="G47" s="38"/>
      <c r="H47" s="121" t="s">
        <v>929</v>
      </c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1"/>
      <c r="U47" s="32" t="str">
        <f t="shared" si="302"/>
        <v>ReplaceableTextures\\CommandButtons\\BTNE120.blp</v>
      </c>
      <c r="V47" s="43"/>
      <c r="W47" s="43">
        <v>40000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10</v>
      </c>
      <c r="AU47" s="43"/>
      <c r="AV47" s="43"/>
      <c r="AW47" s="43"/>
      <c r="AX47" s="43"/>
      <c r="AY47" s="43"/>
      <c r="AZ47" s="43"/>
      <c r="BA47" s="43"/>
      <c r="BB47" s="4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InitUnitState('E120',,40000,,,,,,,,)</v>
      </c>
      <c r="CO47" s="44" t="str">
        <f t="shared" si="298"/>
        <v>InitUnitNormal('E120',,,,,,,9,,,)</v>
      </c>
      <c r="CP47" s="44" t="str">
        <f t="shared" si="299"/>
        <v>InitUnitMagic('E120',,,,,10,,,,,)</v>
      </c>
      <c r="CQ47" s="44" t="str">
        <f t="shared" si="300"/>
        <v>InitUnitAdd('E120',,,,,,,,,,)</v>
      </c>
      <c r="CR47" s="44" t="str">
        <f t="shared" si="301"/>
        <v>InitEquipData('E120',,"",,E121,230000,,'','','','','','',"ReplaceableTextures\\CommandButtons\\BTNE121.blp")</v>
      </c>
      <c r="CS47" s="44"/>
      <c r="CT47" s="44"/>
      <c r="CU47" s="45" t="str">
        <f t="shared" si="303"/>
        <v>|n法强+40000|n伤害加成+9%|n冷却缩减+10%|n</v>
      </c>
      <c r="CV47" s="29" t="str">
        <f>"|cffffcc00属性：|r"&amp;CU47&amp;VLOOKUP(A47,合成公式!A:P,16,FALSE)&amp;T47&amp;"|n点击消耗"&amp;F47&amp;"金币进行强化"</f>
        <v>|cffffcc00属性：|r|n法强+40000|n伤害加成+9%|n冷却缩减+10%|n|n点击消耗230000金币进行强化</v>
      </c>
      <c r="DB47" s="30" t="str">
        <f t="shared" si="304"/>
        <v/>
      </c>
      <c r="DC47" s="30" t="str">
        <f t="shared" si="305"/>
        <v>|n法强+40000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|n冷却缩减+10%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756</v>
      </c>
      <c r="C48" s="5" t="s">
        <v>757</v>
      </c>
      <c r="D48" s="31"/>
      <c r="E48" s="39"/>
      <c r="F48" s="40">
        <v>42000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1"/>
      <c r="U48" s="32" t="str">
        <f t="shared" si="302"/>
        <v>ReplaceableTextures\\CommandButtons\\BTNE121.blp</v>
      </c>
      <c r="V48" s="43"/>
      <c r="W48" s="43">
        <v>52000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12</v>
      </c>
      <c r="AU48" s="43"/>
      <c r="AV48" s="43"/>
      <c r="AW48" s="43"/>
      <c r="AX48" s="43"/>
      <c r="AY48" s="43"/>
      <c r="AZ48" s="43"/>
      <c r="BA48" s="43"/>
      <c r="BB48" s="4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InitUnitState('E121',,52000,,,,,,,,)</v>
      </c>
      <c r="CO48" s="44" t="str">
        <f t="shared" si="298"/>
        <v>InitUnitNormal('E121',,,,,,,12,,,)</v>
      </c>
      <c r="CP48" s="44" t="str">
        <f t="shared" si="299"/>
        <v>InitUnitMagic('E121',,,,,12,,,,,)</v>
      </c>
      <c r="CQ48" s="44" t="str">
        <f t="shared" si="300"/>
        <v>InitUnitAdd('E121',,,,,,,,,,)</v>
      </c>
      <c r="CR48" s="44" t="str">
        <f t="shared" si="301"/>
        <v>InitEquipData('E121',,"",,E122,42000,,'','','','','','',"ReplaceableTextures\\CommandButtons\\BTNE122.blp")</v>
      </c>
      <c r="CS48" s="44"/>
      <c r="CT48" s="44"/>
      <c r="CU48" s="45" t="str">
        <f t="shared" si="303"/>
        <v>|n法强+52000|n伤害加成+12%|n冷却缩减+12%|n</v>
      </c>
      <c r="CV48" s="29" t="str">
        <f>"|cffffcc00属性：|r"&amp;CU48&amp;VLOOKUP(A48,合成公式!A:P,16,FALSE)&amp;T48&amp;"|n点击消耗"&amp;F48&amp;"金币进行强化"</f>
        <v>|cffffcc00属性：|r|n法强+52000|n伤害加成+12%|n冷却缩减+12%|n|n点击消耗42000金币进行强化</v>
      </c>
      <c r="DB48" s="30" t="str">
        <f t="shared" si="304"/>
        <v/>
      </c>
      <c r="DC48" s="30" t="str">
        <f t="shared" si="305"/>
        <v>|n法强+52000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|n冷却缩减+12%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671</v>
      </c>
      <c r="C49" s="5" t="s">
        <v>758</v>
      </c>
      <c r="D49" s="31"/>
      <c r="E49" s="39"/>
      <c r="F49" s="40">
        <v>42000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1"/>
      <c r="U49" s="32" t="str">
        <f t="shared" si="302"/>
        <v>ReplaceableTextures\\CommandButtons\\BTNE122.blp</v>
      </c>
      <c r="V49" s="43"/>
      <c r="W49" s="43">
        <v>64000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12</v>
      </c>
      <c r="AU49" s="43"/>
      <c r="AV49" s="43"/>
      <c r="AW49" s="43"/>
      <c r="AX49" s="43"/>
      <c r="AY49" s="43"/>
      <c r="AZ49" s="43"/>
      <c r="BA49" s="43"/>
      <c r="BB49" s="4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InitUnitState('E122',,64000,,,,,,,,)</v>
      </c>
      <c r="CO49" s="44" t="str">
        <f t="shared" si="298"/>
        <v>InitUnitNormal('E122',,,,,,,12,,,)</v>
      </c>
      <c r="CP49" s="44" t="str">
        <f t="shared" si="299"/>
        <v>InitUnitMagic('E122',,,,,12,,,,,)</v>
      </c>
      <c r="CQ49" s="44" t="str">
        <f t="shared" si="300"/>
        <v>InitUnitAdd('E122',,,,,,,,,,)</v>
      </c>
      <c r="CR49" s="44" t="str">
        <f t="shared" si="301"/>
        <v>InitEquipData('E122',,"",,E123,42000,,'','','','','','',"ReplaceableTextures\\CommandButtons\\BTNE123.blp")</v>
      </c>
      <c r="CS49" s="44"/>
      <c r="CT49" s="44"/>
      <c r="CU49" s="45" t="str">
        <f t="shared" si="303"/>
        <v>|n法强+64000|n伤害加成+12%|n冷却缩减+12%|n</v>
      </c>
      <c r="CV49" s="29" t="str">
        <f>"|cffffcc00属性：|r"&amp;CU49&amp;VLOOKUP(A49,合成公式!A:P,16,FALSE)&amp;T49&amp;"|n点击消耗"&amp;F49&amp;"金币进行强化"</f>
        <v>|cffffcc00属性：|r|n法强+64000|n伤害加成+12%|n冷却缩减+12%|n|n点击消耗42000金币进行强化</v>
      </c>
      <c r="DB49" s="30" t="str">
        <f t="shared" si="304"/>
        <v/>
      </c>
      <c r="DC49" s="30" t="str">
        <f t="shared" si="305"/>
        <v>|n法强+64000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|n冷却缩减+12%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672</v>
      </c>
      <c r="C50" s="5" t="s">
        <v>759</v>
      </c>
      <c r="D50" s="31"/>
      <c r="E50" s="39"/>
      <c r="F50" s="40">
        <v>42000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1"/>
      <c r="U50" s="32" t="str">
        <f t="shared" si="302"/>
        <v>ReplaceableTextures\\CommandButtons\\BTNE123.blp</v>
      </c>
      <c r="V50" s="43"/>
      <c r="W50" s="43">
        <v>76000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12</v>
      </c>
      <c r="AU50" s="43"/>
      <c r="AV50" s="43"/>
      <c r="AW50" s="43"/>
      <c r="AX50" s="43"/>
      <c r="AY50" s="43"/>
      <c r="AZ50" s="43"/>
      <c r="BA50" s="43"/>
      <c r="BB50" s="4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InitUnitState('E123',,76000,,,,,,,,)</v>
      </c>
      <c r="CO50" s="44" t="str">
        <f t="shared" si="298"/>
        <v>InitUnitNormal('E123',,,,,,,12,,,)</v>
      </c>
      <c r="CP50" s="44" t="str">
        <f t="shared" si="299"/>
        <v>InitUnitMagic('E123',,,,,12,,,,,)</v>
      </c>
      <c r="CQ50" s="44" t="str">
        <f t="shared" si="300"/>
        <v>InitUnitAdd('E123',,,,,,,,,,)</v>
      </c>
      <c r="CR50" s="44" t="str">
        <f t="shared" si="301"/>
        <v>InitEquipData('E123',,"",,E124,42000,,'','','','','','',"ReplaceableTextures\\CommandButtons\\BTNE124.blp")</v>
      </c>
      <c r="CS50" s="44"/>
      <c r="CT50" s="44"/>
      <c r="CU50" s="45" t="str">
        <f t="shared" si="303"/>
        <v>|n法强+76000|n伤害加成+12%|n冷却缩减+12%|n</v>
      </c>
      <c r="CV50" s="29" t="str">
        <f>"|cffffcc00属性：|r"&amp;CU50&amp;VLOOKUP(A50,合成公式!A:P,16,FALSE)&amp;T50&amp;"|n点击消耗"&amp;F50&amp;"金币进行强化"</f>
        <v>|cffffcc00属性：|r|n法强+76000|n伤害加成+12%|n冷却缩减+12%|n|n点击消耗42000金币进行强化</v>
      </c>
      <c r="DB50" s="30" t="str">
        <f t="shared" si="304"/>
        <v/>
      </c>
      <c r="DC50" s="30" t="str">
        <f t="shared" si="305"/>
        <v>|n法强+76000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|n冷却缩减+12%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673</v>
      </c>
      <c r="C51" s="5" t="s">
        <v>760</v>
      </c>
      <c r="D51" s="31"/>
      <c r="E51" s="39"/>
      <c r="F51" s="40">
        <v>42000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1"/>
      <c r="U51" s="32" t="str">
        <f t="shared" si="302"/>
        <v>ReplaceableTextures\\CommandButtons\\BTNE124.blp</v>
      </c>
      <c r="V51" s="43"/>
      <c r="W51" s="43">
        <v>88000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12</v>
      </c>
      <c r="AU51" s="43"/>
      <c r="AV51" s="43"/>
      <c r="AW51" s="43"/>
      <c r="AX51" s="43"/>
      <c r="AY51" s="43"/>
      <c r="AZ51" s="43"/>
      <c r="BA51" s="43"/>
      <c r="BB51" s="4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InitUnitState('E124',,88000,,,,,,,,)</v>
      </c>
      <c r="CO51" s="44" t="str">
        <f t="shared" si="298"/>
        <v>InitUnitNormal('E124',,,,,,,12,,,)</v>
      </c>
      <c r="CP51" s="44" t="str">
        <f t="shared" si="299"/>
        <v>InitUnitMagic('E124',,,,,12,,,,,)</v>
      </c>
      <c r="CQ51" s="44" t="str">
        <f t="shared" si="300"/>
        <v>InitUnitAdd('E124',,,,,,,,,,)</v>
      </c>
      <c r="CR51" s="44" t="str">
        <f t="shared" si="301"/>
        <v>InitEquipData('E124',,"",,E125,42000,,'','','','','','',"ReplaceableTextures\\CommandButtons\\BTNE125.blp")</v>
      </c>
      <c r="CS51" s="44"/>
      <c r="CT51" s="44"/>
      <c r="CU51" s="45" t="str">
        <f t="shared" si="303"/>
        <v>|n法强+88000|n伤害加成+12%|n冷却缩减+12%|n</v>
      </c>
      <c r="CV51" s="29" t="str">
        <f>"|cffffcc00属性：|r"&amp;CU51&amp;VLOOKUP(A51,合成公式!A:P,16,FALSE)&amp;T51&amp;"|n点击消耗"&amp;F51&amp;"金币进行强化"</f>
        <v>|cffffcc00属性：|r|n法强+88000|n伤害加成+12%|n冷却缩减+12%|n|n点击消耗42000金币进行强化</v>
      </c>
      <c r="DB51" s="30" t="str">
        <f t="shared" si="304"/>
        <v/>
      </c>
      <c r="DC51" s="30" t="str">
        <f t="shared" si="305"/>
        <v>|n法强+88000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|n冷却缩减+12%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761</v>
      </c>
      <c r="C52" s="5" t="s">
        <v>762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1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12</v>
      </c>
      <c r="AU52" s="43"/>
      <c r="AV52" s="43"/>
      <c r="AW52" s="43"/>
      <c r="AX52" s="43"/>
      <c r="AY52" s="43"/>
      <c r="AZ52" s="43"/>
      <c r="BA52" s="43"/>
      <c r="BB52" s="4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InitUnitMagic('E125',,,,,12,,,,,)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|n法强+100000|n伤害加成+12%|n冷却缩减+12%|n</v>
      </c>
      <c r="CV52" s="29" t="str">
        <f>"|cffffcc00属性：|r"&amp;CU52&amp;VLOOKUP(A52,合成公式!A:P,16,FALSE)&amp;T52</f>
        <v>|cffffcc00属性：|r|n法强+100000|n伤害加成+12%|n冷却缩减+12%|n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|n冷却缩减+12%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764</v>
      </c>
      <c r="C53" s="5" t="s">
        <v>763</v>
      </c>
      <c r="D53" s="31"/>
      <c r="E53" s="39"/>
      <c r="F53" s="40">
        <v>2000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1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>
        <v>10</v>
      </c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InitUnitState('E201',,,1,,2000,,10,,,)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InitEquipData('E201',,"",,E202,2000,,'','','','','','',"ReplaceableTextures\\CommandButtons\\BTNE211.blp")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|n护甲+1|n生命值+2000|n生命回复+10|n</v>
      </c>
      <c r="CV53" s="29" t="str">
        <f>"|cffffcc00属性：|r"&amp;CU53&amp;VLOOKUP(A53,合成公式!A:P,16,FALSE)&amp;T53&amp;"|n点击消耗"&amp;F53&amp;"金币进行强化"</f>
        <v>|cffffcc00属性：|r|n护甲+1|n生命值+2000|n生命回复+10|n|n点击消耗2000金币进行强化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>|n生命回复+10</v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163</v>
      </c>
      <c r="C54" s="5" t="s">
        <v>765</v>
      </c>
      <c r="D54" s="31"/>
      <c r="E54" s="39"/>
      <c r="F54" s="40">
        <v>2000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1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3024</v>
      </c>
      <c r="AA54" s="43"/>
      <c r="AB54" s="43">
        <v>15</v>
      </c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InitUnitState('E202',,,2,,3024,,15,,,)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InitEquipData('E202',,"",,E203,2000,,'','','','','','',"ReplaceableTextures\\CommandButtons\\BTNE211.blp")</v>
      </c>
      <c r="CS54" s="44"/>
      <c r="CT54" s="44"/>
      <c r="CU54" s="45" t="str">
        <f t="shared" si="375"/>
        <v>|n护甲+2|n生命值+3024|n生命回复+15|n</v>
      </c>
      <c r="CV54" s="29" t="str">
        <f>"|cffffcc00属性：|r"&amp;CU54&amp;VLOOKUP(A54,合成公式!A:P,16,FALSE)&amp;T54&amp;"|n点击消耗"&amp;F54&amp;"金币进行强化"</f>
        <v>|cffffcc00属性：|r|n护甲+2|n生命值+3024|n生命回复+15|n|n点击消耗2000金币进行强化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|n生命值+3024</v>
      </c>
      <c r="DG54" s="30" t="str">
        <f t="shared" si="381"/>
        <v/>
      </c>
      <c r="DH54" s="30" t="str">
        <f t="shared" si="382"/>
        <v>|n生命回复+15</v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164</v>
      </c>
      <c r="C55" s="5" t="s">
        <v>766</v>
      </c>
      <c r="D55" s="31"/>
      <c r="E55" s="39"/>
      <c r="F55" s="40">
        <v>2000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1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4048</v>
      </c>
      <c r="AA55" s="43"/>
      <c r="AB55" s="43">
        <v>20</v>
      </c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InitUnitState('E203',,,3,,4048,,20,,,)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InitEquipData('E203',,"",,E204,2000,,'','','','','','',"ReplaceableTextures\\CommandButtons\\BTNE212.blp")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|n护甲+3|n生命值+4048|n生命回复+20|n</v>
      </c>
      <c r="CV55" s="29" t="str">
        <f>"|cffffcc00属性：|r"&amp;CU55&amp;VLOOKUP(A55,合成公式!A:P,16,FALSE)&amp;T55&amp;"|n点击消耗"&amp;F55&amp;"金币进行强化"</f>
        <v>|cffffcc00属性：|r|n护甲+3|n生命值+4048|n生命回复+20|n|n点击消耗2000金币进行强化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|n生命值+4048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>|n生命回复+20</v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165</v>
      </c>
      <c r="C56" s="5" t="s">
        <v>767</v>
      </c>
      <c r="D56" s="31"/>
      <c r="E56" s="39"/>
      <c r="F56" s="40">
        <v>2000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1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5072</v>
      </c>
      <c r="AA56" s="43"/>
      <c r="AB56" s="43">
        <v>25</v>
      </c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InitUnitState('E204',,,4,,5072,,25,,,)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InitEquipData('E204',,"",,E205,2000,,'','','','','','',"ReplaceableTextures\\CommandButtons\\BTNE213.blp")</v>
      </c>
      <c r="CS56" s="44"/>
      <c r="CT56" s="44"/>
      <c r="CU56" s="45" t="str">
        <f t="shared" si="449"/>
        <v>|n护甲+4|n生命值+5072|n生命回复+25|n</v>
      </c>
      <c r="CV56" s="29" t="str">
        <f>"|cffffcc00属性：|r"&amp;CU56&amp;VLOOKUP(A56,合成公式!A:P,16,FALSE)&amp;T56&amp;"|n点击消耗"&amp;F56&amp;"金币进行强化"</f>
        <v>|cffffcc00属性：|r|n护甲+4|n生命值+5072|n生命回复+25|n|n点击消耗2000金币进行强化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|n生命值+5072</v>
      </c>
      <c r="DG56" s="30" t="str">
        <f t="shared" si="455"/>
        <v/>
      </c>
      <c r="DH56" s="30" t="str">
        <f t="shared" si="456"/>
        <v>|n生命回复+25</v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166</v>
      </c>
      <c r="C57" s="5" t="s">
        <v>768</v>
      </c>
      <c r="D57" s="31"/>
      <c r="E57" s="39"/>
      <c r="F57" s="40">
        <v>5000</v>
      </c>
      <c r="G57" s="38"/>
      <c r="H57" s="121" t="s">
        <v>930</v>
      </c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1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6096</v>
      </c>
      <c r="AA57" s="43"/>
      <c r="AB57" s="43">
        <v>30</v>
      </c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InitUnitState('E205',,,5,,6096,,30,,,)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InitEquipData('E205',,"",,E206,5000,,'','','','','','',"ReplaceableTextures\\CommandButtons\\BTNE214.blp")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|n护甲+5|n生命值+6096|n生命回复+30|n</v>
      </c>
      <c r="CV57" s="29" t="str">
        <f>"|cffffcc00属性：|r"&amp;CU57&amp;VLOOKUP(A57,合成公式!A:P,16,FALSE)&amp;T57&amp;"|n点击消耗"&amp;F57&amp;"金币进行强化"</f>
        <v>|cffffcc00属性：|r|n护甲+5|n生命值+6096|n生命回复+30|n|n点击消耗5000金币进行强化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|n生命值+6096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>|n生命回复+30</v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167</v>
      </c>
      <c r="C58" s="5" t="s">
        <v>769</v>
      </c>
      <c r="D58" s="31"/>
      <c r="E58" s="39"/>
      <c r="F58" s="40">
        <v>10000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1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7632</v>
      </c>
      <c r="AA58" s="43"/>
      <c r="AB58" s="43">
        <v>38</v>
      </c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InitUnitState('E206',,,7,,7632,,38,,,)</v>
      </c>
      <c r="CO58" s="44" t="str">
        <f t="shared" si="298"/>
        <v>InitUnitNormal('E206',,,,,,,,,,)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InitEquipData('E206',,"",,E207,10000,,'','','','','','',"ReplaceableTextures\\CommandButtons\\BTNE215.blp")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|n护甲+7|n生命值+7632|n生命回复+38|n</v>
      </c>
      <c r="CV58" s="29" t="str">
        <f>"|cffffcc00属性：|r"&amp;CU58&amp;VLOOKUP(A58,合成公式!A:P,16,FALSE)&amp;T58&amp;"|n点击消耗"&amp;F58&amp;"金币进行强化"</f>
        <v>|cffffcc00属性：|r|n护甲+7|n生命值+7632|n生命回复+38|n|n点击消耗10000金币进行强化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|n生命值+7632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>|n生命回复+38</v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/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168</v>
      </c>
      <c r="C59" s="5" t="s">
        <v>770</v>
      </c>
      <c r="D59" s="31"/>
      <c r="E59" s="39"/>
      <c r="F59" s="40">
        <v>10000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1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9168</v>
      </c>
      <c r="AA59" s="43"/>
      <c r="AB59" s="43">
        <v>46</v>
      </c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InitUnitState('E207',,,9,,9168,,46,,,)</v>
      </c>
      <c r="CO59" s="44" t="str">
        <f t="shared" si="298"/>
        <v>InitUnitNormal('E207',,,,,,,,,,)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InitEquipData('E207',,"",,E208,10000,,'','','','','','',"ReplaceableTextures\\CommandButtons\\BTNE216.blp")</v>
      </c>
      <c r="CS59" s="44"/>
      <c r="CT59" s="44"/>
      <c r="CU59" s="45" t="str">
        <f t="shared" si="593"/>
        <v>|n护甲+9|n生命值+9168|n生命回复+46|n</v>
      </c>
      <c r="CV59" s="29" t="str">
        <f>"|cffffcc00属性：|r"&amp;CU59&amp;VLOOKUP(A59,合成公式!A:P,16,FALSE)&amp;T59&amp;"|n点击消耗"&amp;F59&amp;"金币进行强化"</f>
        <v>|cffffcc00属性：|r|n护甲+9|n生命值+9168|n生命回复+46|n|n点击消耗10000金币进行强化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|n生命值+9168</v>
      </c>
      <c r="DG59" s="30" t="str">
        <f t="shared" si="599"/>
        <v/>
      </c>
      <c r="DH59" s="30" t="str">
        <f t="shared" si="600"/>
        <v>|n生命回复+46</v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/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169</v>
      </c>
      <c r="C60" s="5" t="s">
        <v>771</v>
      </c>
      <c r="D60" s="31"/>
      <c r="E60" s="39"/>
      <c r="F60" s="40">
        <v>10000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1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10704</v>
      </c>
      <c r="AA60" s="43"/>
      <c r="AB60" s="43">
        <v>54</v>
      </c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InitUnitState('E208',,,11,,10704,,54,,,)</v>
      </c>
      <c r="CO60" s="44" t="str">
        <f t="shared" si="298"/>
        <v>InitUnitNormal('E208',,,,,,,,,,)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InitEquipData('E208',,"",,E209,10000,,'','','','','','',"ReplaceableTextures\\CommandButtons\\BTNE217.blp")</v>
      </c>
      <c r="CS60" s="44"/>
      <c r="CT60" s="44"/>
      <c r="CU60" s="45" t="str">
        <f t="shared" si="593"/>
        <v>|n护甲+11|n生命值+10704|n生命回复+54|n</v>
      </c>
      <c r="CV60" s="29" t="str">
        <f>"|cffffcc00属性：|r"&amp;CU60&amp;VLOOKUP(A60,合成公式!A:P,16,FALSE)&amp;T60&amp;"|n点击消耗"&amp;F60&amp;"金币进行强化"</f>
        <v>|cffffcc00属性：|r|n护甲+11|n生命值+10704|n生命回复+54|n|n点击消耗10000金币进行强化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|n生命值+10704</v>
      </c>
      <c r="DG60" s="30" t="str">
        <f t="shared" si="599"/>
        <v/>
      </c>
      <c r="DH60" s="30" t="str">
        <f t="shared" si="600"/>
        <v>|n生命回复+54</v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/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170</v>
      </c>
      <c r="C61" s="5" t="s">
        <v>772</v>
      </c>
      <c r="D61" s="31"/>
      <c r="E61" s="39"/>
      <c r="F61" s="40">
        <v>10000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1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12240</v>
      </c>
      <c r="AA61" s="43"/>
      <c r="AB61" s="43">
        <v>61</v>
      </c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InitUnitState('E209',,,13,,12240,,61,,,)</v>
      </c>
      <c r="CO61" s="44" t="str">
        <f t="shared" si="298"/>
        <v>InitUnitNormal('E209',,,,,,,,,,)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InitEquipData('E209',,"",,E210,10000,,'','','','','','',"ReplaceableTextures\\CommandButtons\\BTNE218.blp")</v>
      </c>
      <c r="CS61" s="44"/>
      <c r="CT61" s="44"/>
      <c r="CU61" s="45" t="str">
        <f t="shared" si="593"/>
        <v>|n护甲+13|n生命值+12240|n生命回复+61|n</v>
      </c>
      <c r="CV61" s="29" t="str">
        <f>"|cffffcc00属性：|r"&amp;CU61&amp;VLOOKUP(A61,合成公式!A:P,16,FALSE)&amp;T61&amp;"|n点击消耗"&amp;F61&amp;"金币进行强化"</f>
        <v>|cffffcc00属性：|r|n护甲+13|n生命值+12240|n生命回复+61|n|n点击消耗10000金币进行强化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|n生命值+12240</v>
      </c>
      <c r="DG61" s="30" t="str">
        <f t="shared" si="599"/>
        <v/>
      </c>
      <c r="DH61" s="30" t="str">
        <f t="shared" si="600"/>
        <v>|n生命回复+61</v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/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171</v>
      </c>
      <c r="C62" s="5" t="s">
        <v>773</v>
      </c>
      <c r="D62" s="31"/>
      <c r="E62" s="39"/>
      <c r="F62" s="40">
        <v>42000</v>
      </c>
      <c r="G62" s="38"/>
      <c r="H62" s="121" t="s">
        <v>931</v>
      </c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1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13776</v>
      </c>
      <c r="AA62" s="43"/>
      <c r="AB62" s="43">
        <v>69</v>
      </c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InitUnitState('E210',,,15,,13776,,69,,,)</v>
      </c>
      <c r="CO62" s="44" t="str">
        <f t="shared" si="298"/>
        <v>InitUnitNormal('E210',,,,,,,,,,)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InitEquipData('E210',,"",,E211,42000,,'','','','','','',"ReplaceableTextures\\CommandButtons\\BTNE219.blp")</v>
      </c>
      <c r="CS62" s="44"/>
      <c r="CT62" s="44"/>
      <c r="CU62" s="45" t="str">
        <f t="shared" si="593"/>
        <v>|n护甲+15|n生命值+13776|n生命回复+69|n</v>
      </c>
      <c r="CV62" s="29" t="str">
        <f>"|cffffcc00属性：|r"&amp;CU62&amp;VLOOKUP(A62,合成公式!A:P,16,FALSE)&amp;T62&amp;"|n点击消耗"&amp;F62&amp;"金币进行强化"</f>
        <v>|cffffcc00属性：|r|n护甲+15|n生命值+13776|n生命回复+69|n|n点击消耗42000金币进行强化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|n生命值+13776</v>
      </c>
      <c r="DG62" s="30" t="str">
        <f t="shared" si="599"/>
        <v/>
      </c>
      <c r="DH62" s="30" t="str">
        <f t="shared" si="600"/>
        <v>|n生命回复+69</v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/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172</v>
      </c>
      <c r="C63" s="5" t="s">
        <v>774</v>
      </c>
      <c r="D63" s="31"/>
      <c r="E63" s="39"/>
      <c r="F63" s="40">
        <v>27000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2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17616</v>
      </c>
      <c r="AA63" s="43"/>
      <c r="AB63" s="43">
        <v>88</v>
      </c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InitUnitState('E211',,,18,,17616,,88,,,)</v>
      </c>
      <c r="CO63" s="44" t="str">
        <f t="shared" si="298"/>
        <v>InitUnitNormal('E211',,,,,,,,,,)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InitEquipData('E211',,"",,E212,27000,,'','','','','','',"ReplaceableTextures\\CommandButtons\\BTNE212.blp")</v>
      </c>
      <c r="CS63" s="44"/>
      <c r="CT63" s="44"/>
      <c r="CU63" s="45" t="str">
        <f t="shared" ref="CU63:CU88" si="665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|n护甲+18|n生命值+17616|n生命回复+88|n</v>
      </c>
      <c r="CV63" s="29" t="str">
        <f>"|cffffcc00属性：|r"&amp;CU63&amp;VLOOKUP(A63,合成公式!A:P,16,FALSE)&amp;T63&amp;"|n点击消耗"&amp;F63&amp;"金币进行强化"</f>
        <v>|cffffcc00属性：|r|n护甲+18|n生命值+17616|n生命回复+88|n|n点击消耗27000金币进行强化</v>
      </c>
      <c r="DB63" s="30" t="str">
        <f t="shared" ref="DB63:DB88" si="666">IF(V63="","","|n"&amp;DB$2&amp;"+"&amp;V63&amp;DB$1)</f>
        <v/>
      </c>
      <c r="DC63" s="30" t="str">
        <f t="shared" ref="DC63:DC88" si="667">IF(W63="","","|n"&amp;DC$2&amp;"+"&amp;W63&amp;DC$1)</f>
        <v/>
      </c>
      <c r="DD63" s="30" t="str">
        <f t="shared" ref="DD63:DD88" si="668">IF(X63="","","|n"&amp;DD$2&amp;"+"&amp;X63&amp;DD$1)</f>
        <v>|n护甲+18</v>
      </c>
      <c r="DE63" s="30" t="str">
        <f t="shared" ref="DE63:DE88" si="669">IF(Y63="","","|n"&amp;DE$2&amp;"+"&amp;Y63&amp;DE$1)</f>
        <v/>
      </c>
      <c r="DF63" s="30" t="str">
        <f t="shared" ref="DF63:DF88" si="670">IF(Z63="","","|n"&amp;DF$2&amp;"+"&amp;Z63&amp;DF$1)</f>
        <v>|n生命值+17616</v>
      </c>
      <c r="DG63" s="30" t="str">
        <f t="shared" ref="DG63:DG88" si="671">IF(AA63="","","|n"&amp;DG$2&amp;"+"&amp;AA63&amp;DG$1)</f>
        <v/>
      </c>
      <c r="DH63" s="30" t="str">
        <f t="shared" ref="DH63:DH88" si="672">IF(AB63="","","|n"&amp;DH$2&amp;"+"&amp;AB63&amp;DH$1)</f>
        <v>|n生命回复+88</v>
      </c>
      <c r="DI63" s="30" t="str">
        <f t="shared" ref="DI63:DI88" si="673">IF(AC63="","","|n"&amp;DI$2&amp;"+"&amp;AC63&amp;DI$1)</f>
        <v/>
      </c>
      <c r="DJ63" s="30" t="str">
        <f t="shared" ref="DJ63:DJ88" si="674">IF(AD63="","","|n"&amp;DJ$2&amp;"+"&amp;AD63&amp;DJ$1)</f>
        <v/>
      </c>
      <c r="DK63" s="30" t="str">
        <f t="shared" ref="DK63:DK88" si="675">IF(AE63="","","|n"&amp;DK$2&amp;"+"&amp;AE63&amp;DK$1)</f>
        <v/>
      </c>
      <c r="DL63" s="30" t="str">
        <f t="shared" ref="DL63:DL88" si="676">IF(AF63="","","|n"&amp;DL$2&amp;"+"&amp;AF63&amp;DL$1)</f>
        <v/>
      </c>
      <c r="DM63" s="30" t="str">
        <f t="shared" ref="DM63:DM88" si="677">IF(AG63="","","|n"&amp;DM$2&amp;"+"&amp;AG63&amp;DM$1)</f>
        <v/>
      </c>
      <c r="DN63" s="30" t="str">
        <f t="shared" ref="DN63:DN88" si="678">IF(AH63="","","|n"&amp;DN$2&amp;"+"&amp;AH63&amp;DN$1)</f>
        <v/>
      </c>
      <c r="DO63" s="30" t="str">
        <f t="shared" ref="DO63:DO88" si="679">IF(AI63="","","|n"&amp;DO$2&amp;"+"&amp;AI63&amp;DO$1)</f>
        <v/>
      </c>
      <c r="DP63" s="30" t="str">
        <f t="shared" ref="DP63:DP88" si="680">IF(AJ63="","","|n"&amp;DP$2&amp;"+"&amp;AJ63&amp;DP$1)</f>
        <v/>
      </c>
      <c r="DQ63" s="30" t="str">
        <f t="shared" ref="DQ63:DQ88" si="681">IF(AK63="","","|n"&amp;DQ$2&amp;"+"&amp;AK63&amp;DQ$1)</f>
        <v/>
      </c>
      <c r="DR63" s="30" t="str">
        <f t="shared" ref="DR63:DR88" si="682">IF(AL63="","","|n"&amp;DR$2&amp;"+"&amp;AL63&amp;DR$1)</f>
        <v/>
      </c>
      <c r="DS63" s="30" t="str">
        <f t="shared" ref="DS63:DS88" si="683">IF(AM63="","","|n"&amp;DS$2&amp;"+"&amp;AM63&amp;DS$1)</f>
        <v/>
      </c>
      <c r="DT63" s="30" t="str">
        <f t="shared" ref="DT63:DT88" si="684">IF(AN63="","","|n"&amp;DT$2&amp;"+"&amp;AN63&amp;DT$1)</f>
        <v/>
      </c>
      <c r="DU63" s="30" t="str">
        <f t="shared" ref="DU63:DU88" si="685">IF(AO63="","","|n"&amp;DU$2&amp;"+"&amp;AO63&amp;DU$1)</f>
        <v/>
      </c>
      <c r="DV63" s="30" t="str">
        <f t="shared" ref="DV63:DV88" si="686">IF(AP63="","","|n"&amp;DV$2&amp;"+"&amp;AP63&amp;DV$1)</f>
        <v/>
      </c>
      <c r="DW63" s="30" t="str">
        <f t="shared" ref="DW63:DW88" si="687">IF(AQ63="","","|n"&amp;DW$2&amp;"+"&amp;AQ63&amp;DW$1)</f>
        <v/>
      </c>
      <c r="DX63" s="30" t="str">
        <f t="shared" ref="DX63:DX88" si="688">IF(AR63="","","|n"&amp;DX$2&amp;"+"&amp;AR63&amp;DX$1)</f>
        <v/>
      </c>
      <c r="DY63" s="30" t="str">
        <f t="shared" ref="DY63:DY88" si="689">IF(AS63="","","|n"&amp;DY$2&amp;"+"&amp;AS63&amp;DY$1)</f>
        <v/>
      </c>
      <c r="DZ63" s="30" t="str">
        <f t="shared" ref="DZ63:DZ88" si="690">IF(AT63="","","|n"&amp;DZ$2&amp;"+"&amp;AT63&amp;DZ$1)</f>
        <v/>
      </c>
      <c r="EA63" s="30" t="str">
        <f t="shared" ref="EA63:EA88" si="691">IF(AU63="","","|n"&amp;EA$2&amp;"+"&amp;AU63&amp;EA$1)</f>
        <v/>
      </c>
      <c r="EB63" s="30" t="str">
        <f t="shared" ref="EB63:EB88" si="692">IF(AV63="","","|n"&amp;EB$2&amp;"+"&amp;AV63&amp;EB$1)</f>
        <v/>
      </c>
      <c r="EC63" s="30" t="str">
        <f t="shared" ref="EC63:EC88" si="693">IF(AW63="","","|n"&amp;EC$2&amp;"+"&amp;AW63&amp;EC$1)</f>
        <v/>
      </c>
      <c r="ED63" s="30" t="str">
        <f t="shared" ref="ED63:ED88" si="694">IF(AX63="","","|n"&amp;ED$2&amp;"+"&amp;AX63&amp;ED$1)</f>
        <v/>
      </c>
      <c r="EE63" s="30" t="str">
        <f t="shared" ref="EE63:EE88" si="695">IF(AY63="","","|n"&amp;EE$2&amp;"+"&amp;AY63&amp;EE$1)</f>
        <v/>
      </c>
      <c r="EF63" s="30" t="str">
        <f t="shared" ref="EF63:EF88" si="696">IF(AZ63="","","|n"&amp;EF$2&amp;"+"&amp;AZ63&amp;EF$1)</f>
        <v/>
      </c>
      <c r="EG63" s="30" t="str">
        <f t="shared" ref="EG63:EG88" si="697">IF(BA63="","","|n"&amp;EG$2&amp;"+"&amp;BA63&amp;EG$1)</f>
        <v/>
      </c>
      <c r="EH63" s="30" t="str">
        <f t="shared" ref="EH63:EH88" si="698">IF(BB63="","","|n"&amp;EH$2&amp;"+"&amp;BB63&amp;EH$1)</f>
        <v/>
      </c>
      <c r="EI63" s="30" t="str">
        <f t="shared" ref="EI63:EI88" si="699">IF(BC63="","","|n"&amp;EI$2&amp;"+"&amp;BC63&amp;EI$1)</f>
        <v/>
      </c>
      <c r="EJ63" s="30" t="str">
        <f t="shared" ref="EJ63:EJ88" si="700">IF(BD63="","","|n"&amp;EJ$2&amp;"+"&amp;BD63&amp;EJ$1)</f>
        <v/>
      </c>
      <c r="EK63" s="30" t="str">
        <f t="shared" ref="EK63:EK88" si="701">IF(BE63="","","|n"&amp;EK$2&amp;"+"&amp;BE63&amp;EK$1)</f>
        <v/>
      </c>
      <c r="EL63" s="30" t="str">
        <f t="shared" ref="EL63:EL88" si="702">IF(BF63="","","|n"&amp;EL$2&amp;"+"&amp;BF63&amp;EL$1)</f>
        <v/>
      </c>
      <c r="EM63" s="30" t="str">
        <f t="shared" ref="EM63:EM88" si="703">IF(BG63="","","|n"&amp;EM$2&amp;"+"&amp;BG63&amp;EM$1)</f>
        <v/>
      </c>
      <c r="EN63" s="30" t="str">
        <f t="shared" ref="EN63:EN88" si="704">IF(BH63="","","|n"&amp;EN$2&amp;"+"&amp;BH63&amp;EN$1)</f>
        <v/>
      </c>
      <c r="EO63" s="30" t="str">
        <f t="shared" ref="EO63:EO88" si="705">IF(BI63="","","|n"&amp;EO$2&amp;"+"&amp;BI63&amp;EO$1)</f>
        <v/>
      </c>
      <c r="EP63" s="30" t="str">
        <f t="shared" ref="EP63:EP88" si="706">IF(BJ63="","","|n"&amp;EP$2&amp;"+"&amp;BJ63&amp;EP$1)</f>
        <v/>
      </c>
      <c r="EQ63" s="30" t="str">
        <f t="shared" ref="EQ63:EQ88" si="707">IF(BK63="","","|n"&amp;EQ$2&amp;"+"&amp;BK63&amp;EQ$1)</f>
        <v/>
      </c>
      <c r="ER63" s="30" t="str">
        <f t="shared" ref="ER63:ER88" si="708">IF(BL63="","","|n"&amp;ER$2&amp;"+"&amp;BL63&amp;ER$1)</f>
        <v/>
      </c>
      <c r="ES63" s="30" t="str">
        <f t="shared" ref="ES63:ES88" si="709">IF(BM63="","","|n"&amp;ES$2&amp;"+"&amp;BM63&amp;ES$1)</f>
        <v/>
      </c>
      <c r="ET63" s="30" t="str">
        <f t="shared" ref="ET63:ET88" si="710">IF(BN63="","","|n"&amp;ET$2&amp;"+"&amp;BN63&amp;ET$1)</f>
        <v/>
      </c>
      <c r="EU63" s="30" t="str">
        <f t="shared" ref="EU63:EU88" si="711">IF(BO63="","","|n"&amp;EU$2&amp;"+"&amp;BO63&amp;EU$1)</f>
        <v/>
      </c>
      <c r="EV63" s="30" t="str">
        <f t="shared" ref="EV63:EV88" si="712">IF(BP63="","","|n"&amp;EV$2&amp;"+"&amp;BP63&amp;EV$1)</f>
        <v/>
      </c>
      <c r="EW63" s="30" t="str">
        <f t="shared" ref="EW63:EW88" si="713">IF(BQ63="","","|n"&amp;EW$2&amp;"+"&amp;BQ63&amp;EW$1)</f>
        <v/>
      </c>
      <c r="EX63" s="30" t="str">
        <f t="shared" ref="EX63:EX88" si="714">IF(BR63="","","|n"&amp;EX$2&amp;"+"&amp;BR63&amp;EX$1)</f>
        <v/>
      </c>
      <c r="EY63" s="30" t="str">
        <f t="shared" ref="EY63:EY88" si="715">IF(BS63="","","|n"&amp;EY$2&amp;"+"&amp;BS63&amp;EY$1)</f>
        <v/>
      </c>
      <c r="EZ63" s="30" t="str">
        <f t="shared" ref="EZ63:EZ88" si="716">IF(BT63="","","|n"&amp;EZ$2&amp;"+"&amp;BT63&amp;EZ$1)</f>
        <v/>
      </c>
      <c r="FA63" s="30" t="str">
        <f t="shared" ref="FA63:FA88" si="717">IF(BU63="","","|n"&amp;FA$2&amp;"+"&amp;BU63&amp;FA$1)</f>
        <v/>
      </c>
      <c r="FB63" s="30" t="str">
        <f t="shared" ref="FB63:FB88" si="718">IF(BV63="","","|n"&amp;FB$2&amp;"+"&amp;BV63&amp;FB$1)</f>
        <v/>
      </c>
      <c r="FC63" s="30" t="str">
        <f t="shared" ref="FC63:FC88" si="719">IF(BW63="","","|n"&amp;FC$2&amp;"+"&amp;BW63&amp;FC$1)</f>
        <v/>
      </c>
      <c r="FD63" s="30" t="str">
        <f t="shared" ref="FD63:FD88" si="720">IF(BX63="","","|n"&amp;FD$2&amp;"+"&amp;BX63&amp;FD$1)</f>
        <v/>
      </c>
      <c r="FE63" s="30" t="str">
        <f t="shared" ref="FE63:FE88" si="721">IF(BY63="","","|n"&amp;FE$2&amp;"+"&amp;BY63&amp;FE$1)</f>
        <v/>
      </c>
      <c r="FF63" s="30" t="str">
        <f t="shared" ref="FF63:FF88" si="722">IF(BZ63="","","|n"&amp;FF$2&amp;"+"&amp;BZ63&amp;FF$1)</f>
        <v/>
      </c>
      <c r="FG63" s="30" t="str">
        <f t="shared" ref="FG63:FG88" si="723">IF(CA63="","","|n"&amp;FG$2&amp;"+"&amp;CA63&amp;FG$1)</f>
        <v/>
      </c>
      <c r="FH63" s="30" t="str">
        <f t="shared" ref="FH63:FH88" si="724">IF(CB63="","","|n"&amp;FH$2&amp;"+"&amp;CB63&amp;FH$1)</f>
        <v/>
      </c>
      <c r="FI63" s="30" t="str">
        <f t="shared" ref="FI63:FI88" si="725">IF(CC63="","","|n"&amp;FI$2&amp;"+"&amp;CC63&amp;FI$1)</f>
        <v/>
      </c>
      <c r="FJ63" s="30" t="str">
        <f t="shared" ref="FJ63:FJ88" si="726">IF(CD63="","","|n"&amp;FJ$2&amp;"+"&amp;CD63&amp;FJ$1)</f>
        <v/>
      </c>
      <c r="FK63" s="30" t="str">
        <f t="shared" ref="FK63:FK88" si="727">IF(CE63="","","|n"&amp;FK$2&amp;"+"&amp;CE63&amp;FK$1)</f>
        <v/>
      </c>
      <c r="FL63" s="30" t="str">
        <f t="shared" ref="FL63:FL88" si="728">IF(CF63="","","|n"&amp;FL$2&amp;"+"&amp;CF63&amp;FL$1)</f>
        <v/>
      </c>
      <c r="FM63" s="30" t="str">
        <f t="shared" ref="FM63:FM88" si="729">IF(CG63="","","|n"&amp;FM$2&amp;"+"&amp;CG63&amp;FM$1)</f>
        <v/>
      </c>
      <c r="FN63" s="30" t="str">
        <f t="shared" ref="FN63:FN88" si="730">IF(CH63="","","|n"&amp;FN$2&amp;"+"&amp;CH63&amp;FN$1)</f>
        <v/>
      </c>
      <c r="FO63" s="30" t="str">
        <f t="shared" ref="FO63:FO88" si="731">IF(CI63="","","|n"&amp;FO$2&amp;"+"&amp;CI63&amp;FO$1)</f>
        <v/>
      </c>
      <c r="FP63" s="30" t="str">
        <f t="shared" ref="FP63:FP88" si="732">IF(CJ63="","","|n"&amp;FP$2&amp;"+"&amp;CJ63&amp;FP$1)</f>
        <v/>
      </c>
      <c r="FQ63" s="30" t="str">
        <f t="shared" ref="FQ63:FQ88" si="733">IF(CK63="","","|n"&amp;FQ$2&amp;"+"&amp;CK63&amp;FQ$1)</f>
        <v/>
      </c>
      <c r="FR63" s="30" t="str">
        <f t="shared" ref="FR63:FR88" si="734">IF(CL63="","","|n"&amp;FR$2&amp;"+"&amp;CL63&amp;FR$1)</f>
        <v/>
      </c>
      <c r="FS63" s="30" t="str">
        <f t="shared" ref="FS63:FS88" si="735">IF(CM63="","","|n"&amp;FS$2&amp;"+"&amp;CM63&amp;FS$1)</f>
        <v/>
      </c>
    </row>
    <row r="64" spans="1:175" s="24" customFormat="1" ht="16.5">
      <c r="A64" s="5"/>
      <c r="B64" s="36" t="s">
        <v>173</v>
      </c>
      <c r="C64" s="5" t="s">
        <v>775</v>
      </c>
      <c r="D64" s="31"/>
      <c r="E64" s="39"/>
      <c r="F64" s="40">
        <v>27000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2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21456</v>
      </c>
      <c r="AA64" s="43"/>
      <c r="AB64" s="43">
        <v>107</v>
      </c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InitUnitState('E212',,,21,,21456,,107,,,)</v>
      </c>
      <c r="CO64" s="44" t="str">
        <f t="shared" si="298"/>
        <v>InitUnitNormal('E212',,,,,,,,,,)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InitEquipData('E212',,"",,E213,27000,,'','','','','','',"ReplaceableTextures\\CommandButtons\\BTNE213.blp")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|n护甲+21|n生命值+21456|n生命回复+107|n</v>
      </c>
      <c r="CV64" s="29" t="str">
        <f>"|cffffcc00属性：|r"&amp;CU64&amp;VLOOKUP(A64,合成公式!A:P,16,FALSE)&amp;T64&amp;"|n点击消耗"&amp;F64&amp;"金币进行强化"</f>
        <v>|cffffcc00属性：|r|n护甲+21|n生命值+21456|n生命回复+107|n|n点击消耗27000金币进行强化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|n生命值+21456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>|n生命回复+107</v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/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776</v>
      </c>
      <c r="C65" s="5" t="s">
        <v>777</v>
      </c>
      <c r="D65" s="31"/>
      <c r="E65" s="39"/>
      <c r="F65" s="40">
        <v>27000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2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25296</v>
      </c>
      <c r="AA65" s="43"/>
      <c r="AB65" s="43">
        <v>126</v>
      </c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InitUnitState('E213',,,24,,25296,,126,,,)</v>
      </c>
      <c r="CO65" s="44" t="str">
        <f t="shared" si="298"/>
        <v>InitUnitNormal('E213',,,,,,,,,,)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InitEquipData('E213',,"",,E214,27000,,'','','','','','',"ReplaceableTextures\\CommandButtons\\BTNE214.blp")</v>
      </c>
      <c r="CS65" s="44"/>
      <c r="CT65" s="44"/>
      <c r="CU65" s="45" t="str">
        <f t="shared" si="737"/>
        <v>|n护甲+24|n生命值+25296|n生命回复+126|n</v>
      </c>
      <c r="CV65" s="29" t="str">
        <f>"|cffffcc00属性：|r"&amp;CU65&amp;VLOOKUP(A65,合成公式!A:P,16,FALSE)&amp;T65&amp;"|n点击消耗"&amp;F65&amp;"金币进行强化"</f>
        <v>|cffffcc00属性：|r|n护甲+24|n生命值+25296|n生命回复+126|n|n点击消耗27000金币进行强化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|n生命值+25296</v>
      </c>
      <c r="DG65" s="30" t="str">
        <f t="shared" si="743"/>
        <v/>
      </c>
      <c r="DH65" s="30" t="str">
        <f t="shared" si="744"/>
        <v>|n生命回复+126</v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/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778</v>
      </c>
      <c r="C66" s="5" t="s">
        <v>779</v>
      </c>
      <c r="D66" s="31"/>
      <c r="E66" s="39"/>
      <c r="F66" s="40">
        <v>27000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2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29136</v>
      </c>
      <c r="AA66" s="43"/>
      <c r="AB66" s="43">
        <v>146</v>
      </c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InitUnitState('E214',,,27,,29136,,146,,,)</v>
      </c>
      <c r="CO66" s="44" t="str">
        <f t="shared" si="298"/>
        <v>InitUnitNormal('E214',,,,,,,,,,)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InitEquipData('E214',,"",,E215,27000,,'','','','','','',"ReplaceableTextures\\CommandButtons\\BTNE215.blp")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|n护甲+27|n生命值+29136|n生命回复+146|n</v>
      </c>
      <c r="CV66" s="29" t="str">
        <f>"|cffffcc00属性：|r"&amp;CU66&amp;VLOOKUP(A66,合成公式!A:P,16,FALSE)&amp;T66&amp;"|n点击消耗"&amp;F66&amp;"金币进行强化"</f>
        <v>|cffffcc00属性：|r|n护甲+27|n生命值+29136|n生命回复+146|n|n点击消耗27000金币进行强化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|n生命值+29136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>|n生命回复+146</v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/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780</v>
      </c>
      <c r="C67" s="5" t="s">
        <v>781</v>
      </c>
      <c r="D67" s="31"/>
      <c r="E67" s="39"/>
      <c r="F67" s="40">
        <v>150000</v>
      </c>
      <c r="G67" s="38"/>
      <c r="H67" s="121" t="s">
        <v>932</v>
      </c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2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32976</v>
      </c>
      <c r="AA67" s="43"/>
      <c r="AB67" s="43">
        <v>165</v>
      </c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InitUnitState('E215',,,30,,32976,,165,,,)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InitEquipData('E215',,"",,E216,150000,,'','','','','','',"ReplaceableTextures\\CommandButtons\\BTNE216.blp")</v>
      </c>
      <c r="CS67" s="44"/>
      <c r="CT67" s="44"/>
      <c r="CU67" s="45" t="str">
        <f t="shared" si="809"/>
        <v>|n护甲+30|n生命值+32976|n生命回复+165|n</v>
      </c>
      <c r="CV67" s="29" t="str">
        <f>"|cffffcc00属性：|r"&amp;CU67&amp;VLOOKUP(A67,合成公式!A:P,16,FALSE)&amp;T67&amp;"|n点击消耗"&amp;F67&amp;"金币进行强化"</f>
        <v>|cffffcc00属性：|r|n护甲+30|n生命值+32976|n生命回复+165|n|n点击消耗150000金币进行强化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|n生命值+32976</v>
      </c>
      <c r="DG67" s="30" t="str">
        <f t="shared" si="815"/>
        <v/>
      </c>
      <c r="DH67" s="30" t="str">
        <f t="shared" si="816"/>
        <v>|n生命回复+165</v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/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782</v>
      </c>
      <c r="C68" s="5" t="s">
        <v>783</v>
      </c>
      <c r="D68" s="31"/>
      <c r="E68" s="39"/>
      <c r="F68" s="40">
        <v>35000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2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42576</v>
      </c>
      <c r="AA68" s="43"/>
      <c r="AB68" s="43">
        <v>213</v>
      </c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InitUnitState('E216',,,34,,42576,,213,,,)</v>
      </c>
      <c r="CO68" s="44" t="str">
        <f t="shared" si="881"/>
        <v>InitUnitNormal('E216',,,,,,,,,,)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InitEquipData('E216',,"",,E217,35000,,'','','','','','',"ReplaceableTextures\\CommandButtons\\BTNE217.blp")</v>
      </c>
      <c r="CS68" s="44"/>
      <c r="CT68" s="44"/>
      <c r="CU68" s="45" t="str">
        <f t="shared" si="809"/>
        <v>|n护甲+34|n生命值+42576|n生命回复+213|n</v>
      </c>
      <c r="CV68" s="29" t="str">
        <f>"|cffffcc00属性：|r"&amp;CU68&amp;VLOOKUP(A68,合成公式!A:P,16,FALSE)&amp;T68&amp;"|n点击消耗"&amp;F68&amp;"金币进行强化"</f>
        <v>|cffffcc00属性：|r|n护甲+34|n生命值+42576|n生命回复+213|n|n点击消耗35000金币进行强化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|n生命值+42576</v>
      </c>
      <c r="DG68" s="30" t="str">
        <f t="shared" si="815"/>
        <v/>
      </c>
      <c r="DH68" s="30" t="str">
        <f t="shared" si="816"/>
        <v>|n生命回复+213</v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/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784</v>
      </c>
      <c r="C69" s="5" t="s">
        <v>785</v>
      </c>
      <c r="D69" s="31"/>
      <c r="E69" s="39"/>
      <c r="F69" s="40">
        <v>35000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2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52176</v>
      </c>
      <c r="AA69" s="43"/>
      <c r="AB69" s="43">
        <v>261</v>
      </c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InitUnitState('E217',,,38,,52176,,261,,,)</v>
      </c>
      <c r="CO69" s="44" t="str">
        <f t="shared" si="881"/>
        <v>InitUnitNormal('E217',,,,,,,,,,)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InitEquipData('E217',,"",,E218,35000,,'','','','','','',"ReplaceableTextures\\CommandButtons\\BTNE218.blp")</v>
      </c>
      <c r="CS69" s="44"/>
      <c r="CT69" s="44"/>
      <c r="CU69" s="45" t="str">
        <f t="shared" si="809"/>
        <v>|n护甲+38|n生命值+52176|n生命回复+261|n</v>
      </c>
      <c r="CV69" s="29" t="str">
        <f>"|cffffcc00属性：|r"&amp;CU69&amp;VLOOKUP(A69,合成公式!A:P,16,FALSE)&amp;T69&amp;"|n点击消耗"&amp;F69&amp;"金币进行强化"</f>
        <v>|cffffcc00属性：|r|n护甲+38|n生命值+52176|n生命回复+261|n|n点击消耗35000金币进行强化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|n生命值+52176</v>
      </c>
      <c r="DG69" s="30" t="str">
        <f t="shared" si="815"/>
        <v/>
      </c>
      <c r="DH69" s="30" t="str">
        <f t="shared" si="816"/>
        <v>|n生命回复+261</v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/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786</v>
      </c>
      <c r="C70" s="5" t="s">
        <v>787</v>
      </c>
      <c r="D70" s="31"/>
      <c r="E70" s="39"/>
      <c r="F70" s="40">
        <v>35000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2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61776</v>
      </c>
      <c r="AA70" s="43"/>
      <c r="AB70" s="43">
        <v>309</v>
      </c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InitUnitState('E218',,,42,,61776,,309,,,)</v>
      </c>
      <c r="CO70" s="44" t="str">
        <f t="shared" si="881"/>
        <v>InitUnitNormal('E218',,,,,,,,,,)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InitEquipData('E218',,"",,E219,35000,,'','','','','','',"ReplaceableTextures\\CommandButtons\\BTNE219.blp")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|n护甲+42|n生命值+61776|n生命回复+309|n</v>
      </c>
      <c r="CV70" s="29" t="str">
        <f>"|cffffcc00属性：|r"&amp;CU70&amp;VLOOKUP(A70,合成公式!A:P,16,FALSE)&amp;T70&amp;"|n点击消耗"&amp;F70&amp;"金币进行强化"</f>
        <v>|cffffcc00属性：|r|n护甲+42|n生命值+61776|n生命回复+309|n|n点击消耗35000金币进行强化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|n生命值+61776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>|n生命回复+309</v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/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788</v>
      </c>
      <c r="C71" s="5" t="s">
        <v>789</v>
      </c>
      <c r="D71" s="31"/>
      <c r="E71" s="39"/>
      <c r="F71" s="40">
        <v>35000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2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71376</v>
      </c>
      <c r="AA71" s="43"/>
      <c r="AB71" s="43">
        <v>357</v>
      </c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InitUnitState('E219',,,46,,71376,,357,,,)</v>
      </c>
      <c r="CO71" s="44" t="str">
        <f t="shared" si="881"/>
        <v>InitUnitNormal('E219',,,,,,,,,,)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InitEquipData('E219',,"",,E220,35000,,'','','','','','',"ReplaceableTextures\\CommandButtons\\BTNE220.blp")</v>
      </c>
      <c r="CS71" s="44"/>
      <c r="CT71" s="44"/>
      <c r="CU71" s="45" t="str">
        <f t="shared" si="885"/>
        <v>|n护甲+46|n生命值+71376|n生命回复+357|n</v>
      </c>
      <c r="CV71" s="29" t="str">
        <f>"|cffffcc00属性：|r"&amp;CU71&amp;VLOOKUP(A71,合成公式!A:P,16,FALSE)&amp;T71&amp;"|n点击消耗"&amp;F71&amp;"金币进行强化"</f>
        <v>|cffffcc00属性：|r|n护甲+46|n生命值+71376|n生命回复+357|n|n点击消耗35000金币进行强化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|n生命值+71376</v>
      </c>
      <c r="DG71" s="30" t="str">
        <f t="shared" si="891"/>
        <v/>
      </c>
      <c r="DH71" s="30" t="str">
        <f t="shared" si="892"/>
        <v>|n生命回复+357</v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/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790</v>
      </c>
      <c r="C72" s="5" t="s">
        <v>791</v>
      </c>
      <c r="D72" s="31"/>
      <c r="E72" s="39"/>
      <c r="F72" s="40">
        <v>230000</v>
      </c>
      <c r="G72" s="38"/>
      <c r="H72" s="121" t="s">
        <v>933</v>
      </c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2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80976</v>
      </c>
      <c r="AA72" s="43"/>
      <c r="AB72" s="43">
        <v>405</v>
      </c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InitUnitState('E220',,,50,,80976,,405,,,)</v>
      </c>
      <c r="CO72" s="44" t="str">
        <f t="shared" si="881"/>
        <v>InitUnitNormal('E220',,,,,,,,,,)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InitEquipData('E220',,"",,E221,230000,,'','','','','','',"ReplaceableTextures\\CommandButtons\\BTNE221.blp")</v>
      </c>
      <c r="CS72" s="44"/>
      <c r="CT72" s="44"/>
      <c r="CU72" s="45" t="str">
        <f t="shared" si="885"/>
        <v>|n护甲+50|n生命值+80976|n生命回复+405|n</v>
      </c>
      <c r="CV72" s="29" t="str">
        <f>"|cffffcc00属性：|r"&amp;CU72&amp;VLOOKUP(A72,合成公式!A:P,16,FALSE)&amp;T72&amp;"|n点击消耗"&amp;F72&amp;"金币进行强化"</f>
        <v>|cffffcc00属性：|r|n护甲+50|n生命值+80976|n生命回复+405|n|n点击消耗230000金币进行强化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|n生命值+80976</v>
      </c>
      <c r="DG72" s="30" t="str">
        <f t="shared" si="891"/>
        <v/>
      </c>
      <c r="DH72" s="30" t="str">
        <f t="shared" si="892"/>
        <v>|n生命回复+405</v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/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792</v>
      </c>
      <c r="C73" s="5" t="s">
        <v>793</v>
      </c>
      <c r="D73" s="31"/>
      <c r="E73" s="39"/>
      <c r="F73" s="40">
        <v>42000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2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104976</v>
      </c>
      <c r="AA73" s="43"/>
      <c r="AB73" s="43">
        <v>525</v>
      </c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InitUnitState('E221',,,55,,104976,,525,,,)</v>
      </c>
      <c r="CO73" s="44" t="str">
        <f t="shared" si="881"/>
        <v>InitUnitNormal('E221',,,,,,,,,,)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InitEquipData('E221',,"",,E222,42000,,'','','','','','',"ReplaceableTextures\\CommandButtons\\BTNE222.blp")</v>
      </c>
      <c r="CS73" s="44"/>
      <c r="CT73" s="44"/>
      <c r="CU73" s="45" t="str">
        <f t="shared" si="885"/>
        <v>|n护甲+55|n生命值+104976|n生命回复+525|n</v>
      </c>
      <c r="CV73" s="29" t="str">
        <f>"|cffffcc00属性：|r"&amp;CU73&amp;VLOOKUP(A73,合成公式!A:P,16,FALSE)&amp;T73&amp;"|n点击消耗"&amp;F73&amp;"金币进行强化"</f>
        <v>|cffffcc00属性：|r|n护甲+55|n生命值+104976|n生命回复+525|n|n点击消耗42000金币进行强化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|n生命值+104976</v>
      </c>
      <c r="DG73" s="30" t="str">
        <f t="shared" si="891"/>
        <v/>
      </c>
      <c r="DH73" s="30" t="str">
        <f t="shared" si="892"/>
        <v>|n生命回复+525</v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/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794</v>
      </c>
      <c r="C74" s="5" t="s">
        <v>795</v>
      </c>
      <c r="D74" s="31"/>
      <c r="E74" s="39"/>
      <c r="F74" s="40">
        <v>42000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2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128976</v>
      </c>
      <c r="AA74" s="43"/>
      <c r="AB74" s="43">
        <v>645</v>
      </c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InitUnitState('E222',,,60,,128976,,645,,,)</v>
      </c>
      <c r="CO74" s="44" t="str">
        <f t="shared" si="881"/>
        <v>InitUnitNormal('E222',,,,,,,,,,)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InitEquipData('E222',,"",,E223,42000,,'','','','','','',"ReplaceableTextures\\CommandButtons\\BTNE223.blp")</v>
      </c>
      <c r="CS74" s="44"/>
      <c r="CT74" s="44"/>
      <c r="CU74" s="45" t="str">
        <f t="shared" si="885"/>
        <v>|n护甲+60|n生命值+128976|n生命回复+645|n</v>
      </c>
      <c r="CV74" s="29" t="str">
        <f>"|cffffcc00属性：|r"&amp;CU74&amp;VLOOKUP(A74,合成公式!A:P,16,FALSE)&amp;T74&amp;"|n点击消耗"&amp;F74&amp;"金币进行强化"</f>
        <v>|cffffcc00属性：|r|n护甲+60|n生命值+128976|n生命回复+645|n|n点击消耗42000金币进行强化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|n生命值+128976</v>
      </c>
      <c r="DG74" s="30" t="str">
        <f t="shared" si="891"/>
        <v/>
      </c>
      <c r="DH74" s="30" t="str">
        <f t="shared" si="892"/>
        <v>|n生命回复+645</v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/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796</v>
      </c>
      <c r="C75" s="5" t="s">
        <v>797</v>
      </c>
      <c r="D75" s="31"/>
      <c r="E75" s="39"/>
      <c r="F75" s="40">
        <v>42000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2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152976</v>
      </c>
      <c r="AA75" s="43"/>
      <c r="AB75" s="43">
        <v>765</v>
      </c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InitUnitState('E223',,,65,,152976,,765,,,)</v>
      </c>
      <c r="CO75" s="44" t="str">
        <f t="shared" si="881"/>
        <v>InitUnitNormal('E223',,,,,,,,,,)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InitEquipData('E223',,"",,E224,42000,,'','','','','','',"ReplaceableTextures\\CommandButtons\\BTNE224.blp")</v>
      </c>
      <c r="CS75" s="44"/>
      <c r="CT75" s="44"/>
      <c r="CU75" s="45" t="str">
        <f t="shared" si="885"/>
        <v>|n护甲+65|n生命值+152976|n生命回复+765|n</v>
      </c>
      <c r="CV75" s="29" t="str">
        <f>"|cffffcc00属性：|r"&amp;CU75&amp;VLOOKUP(A75,合成公式!A:P,16,FALSE)&amp;T75&amp;"|n点击消耗"&amp;F75&amp;"金币进行强化"</f>
        <v>|cffffcc00属性：|r|n护甲+65|n生命值+152976|n生命回复+765|n|n点击消耗42000金币进行强化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|n生命值+152976</v>
      </c>
      <c r="DG75" s="30" t="str">
        <f t="shared" si="891"/>
        <v/>
      </c>
      <c r="DH75" s="30" t="str">
        <f t="shared" si="892"/>
        <v>|n生命回复+765</v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/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798</v>
      </c>
      <c r="C76" s="5" t="s">
        <v>799</v>
      </c>
      <c r="D76" s="31"/>
      <c r="E76" s="39"/>
      <c r="F76" s="40">
        <v>42000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2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176976</v>
      </c>
      <c r="AA76" s="43"/>
      <c r="AB76" s="43">
        <v>885</v>
      </c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InitUnitState('E224',,,70,,176976,,885,,,)</v>
      </c>
      <c r="CO76" s="44" t="str">
        <f t="shared" si="881"/>
        <v>InitUnitNormal('E224',,,,,,,,,,)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InitEquipData('E224',,"",,E225,42000,,'','','','','','',"ReplaceableTextures\\CommandButtons\\BTNE225.blp")</v>
      </c>
      <c r="CS76" s="44"/>
      <c r="CT76" s="44"/>
      <c r="CU76" s="45" t="str">
        <f t="shared" si="885"/>
        <v>|n护甲+70|n生命值+176976|n生命回复+885|n</v>
      </c>
      <c r="CV76" s="29" t="str">
        <f>"|cffffcc00属性：|r"&amp;CU76&amp;VLOOKUP(A76,合成公式!A:P,16,FALSE)&amp;T76&amp;"|n点击消耗"&amp;F76&amp;"金币进行强化"</f>
        <v>|cffffcc00属性：|r|n护甲+70|n生命值+176976|n生命回复+885|n|n点击消耗42000金币进行强化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|n生命值+176976</v>
      </c>
      <c r="DG76" s="30" t="str">
        <f t="shared" si="891"/>
        <v/>
      </c>
      <c r="DH76" s="30" t="str">
        <f t="shared" si="892"/>
        <v>|n生命回复+885</v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/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800</v>
      </c>
      <c r="C77" s="5" t="s">
        <v>801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2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>
        <v>1000</v>
      </c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InitUnitState('E225',,,75,,200000,,1000,,,)</v>
      </c>
      <c r="CO77" s="44" t="str">
        <f t="shared" si="881"/>
        <v>InitUnitNormal('E225',,,,,,,,,,)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|n护甲+75|n生命值+200000|n生命回复+1000|n</v>
      </c>
      <c r="CV77" s="29" t="str">
        <f>"|cffffcc00属性：|r"&amp;CU77&amp;VLOOKUP(A77,合成公式!A:P,16,FALSE)&amp;T77</f>
        <v>|cffffcc00属性：|r|n护甲+75|n生命值+200000|n生命回复+1000|n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>|n生命回复+1000</v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/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812</v>
      </c>
      <c r="C78" s="49" t="s">
        <v>802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20"/>
      <c r="U78" s="37" t="s">
        <v>849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813</v>
      </c>
      <c r="C79" s="49" t="s">
        <v>803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20"/>
      <c r="U79" s="37" t="s">
        <v>850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814</v>
      </c>
      <c r="C80" s="4" t="s">
        <v>804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1"/>
      <c r="U80" s="37" t="s">
        <v>851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815</v>
      </c>
      <c r="C81" s="4" t="s">
        <v>805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1"/>
      <c r="U81" s="37" t="s">
        <v>852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816</v>
      </c>
      <c r="C82" s="4" t="s">
        <v>806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1"/>
      <c r="U82" s="37" t="s">
        <v>853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817</v>
      </c>
      <c r="C83" s="5" t="s">
        <v>807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1"/>
      <c r="U83" s="37" t="s">
        <v>854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818</v>
      </c>
      <c r="C84" s="5" t="s">
        <v>808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2"/>
      <c r="U84" s="37" t="s">
        <v>855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819</v>
      </c>
      <c r="C85" s="5" t="s">
        <v>809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1"/>
      <c r="U85" s="37" t="s">
        <v>856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820</v>
      </c>
      <c r="C86" s="5" t="s">
        <v>810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1"/>
      <c r="U86" s="37" t="s">
        <v>857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821</v>
      </c>
      <c r="C87" s="5" t="s">
        <v>811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1"/>
      <c r="U87" s="37" t="s">
        <v>824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1"/>
      <c r="B88" s="111" t="s">
        <v>969</v>
      </c>
      <c r="C88" s="111" t="s">
        <v>961</v>
      </c>
      <c r="T88" s="114" t="s">
        <v>825</v>
      </c>
      <c r="U88" s="37" t="s">
        <v>822</v>
      </c>
      <c r="CN88" s="7" t="str">
        <f t="shared" ref="CN88" si="956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" si="957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" si="958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" si="959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InitEquipData('CS01',,"",,,,,'','','','','','',"ReplaceableTextures\\CommandButtons\\BTNTome.blp")</v>
      </c>
      <c r="CU88" s="45" t="str">
        <f t="shared" si="665"/>
        <v>|n</v>
      </c>
      <c r="CV88" s="29" t="str">
        <f t="shared" ref="CV88" si="960">T88</f>
        <v>随机技能</v>
      </c>
      <c r="CW88" s="24"/>
      <c r="CX88" s="24"/>
      <c r="CY88" s="24"/>
      <c r="CZ88" s="24"/>
      <c r="DA88" s="24"/>
      <c r="DB88" s="30" t="str">
        <f t="shared" si="666"/>
        <v/>
      </c>
      <c r="DC88" s="30" t="str">
        <f t="shared" si="667"/>
        <v/>
      </c>
      <c r="DD88" s="30" t="str">
        <f t="shared" si="668"/>
        <v/>
      </c>
      <c r="DE88" s="30" t="str">
        <f t="shared" si="669"/>
        <v/>
      </c>
      <c r="DF88" s="30" t="str">
        <f t="shared" si="670"/>
        <v/>
      </c>
      <c r="DG88" s="30" t="str">
        <f t="shared" si="671"/>
        <v/>
      </c>
      <c r="DH88" s="30" t="str">
        <f t="shared" si="672"/>
        <v/>
      </c>
      <c r="DI88" s="30" t="str">
        <f t="shared" si="673"/>
        <v/>
      </c>
      <c r="DJ88" s="30" t="str">
        <f t="shared" si="674"/>
        <v/>
      </c>
      <c r="DK88" s="30" t="str">
        <f t="shared" si="675"/>
        <v/>
      </c>
      <c r="DL88" s="30" t="str">
        <f t="shared" si="676"/>
        <v/>
      </c>
      <c r="DM88" s="30" t="str">
        <f t="shared" si="677"/>
        <v/>
      </c>
      <c r="DN88" s="30" t="str">
        <f t="shared" si="678"/>
        <v/>
      </c>
      <c r="DO88" s="30" t="str">
        <f t="shared" si="679"/>
        <v/>
      </c>
      <c r="DP88" s="30" t="str">
        <f t="shared" si="680"/>
        <v/>
      </c>
      <c r="DQ88" s="30" t="str">
        <f t="shared" si="681"/>
        <v/>
      </c>
      <c r="DR88" s="30" t="str">
        <f t="shared" si="682"/>
        <v/>
      </c>
      <c r="DS88" s="30" t="str">
        <f t="shared" si="683"/>
        <v/>
      </c>
      <c r="DT88" s="30" t="str">
        <f t="shared" si="684"/>
        <v/>
      </c>
      <c r="DU88" s="30" t="str">
        <f t="shared" si="685"/>
        <v/>
      </c>
      <c r="DV88" s="30" t="str">
        <f t="shared" si="686"/>
        <v/>
      </c>
      <c r="DW88" s="30" t="str">
        <f t="shared" si="687"/>
        <v/>
      </c>
      <c r="DX88" s="30" t="str">
        <f t="shared" si="688"/>
        <v/>
      </c>
      <c r="DY88" s="30" t="str">
        <f t="shared" si="689"/>
        <v/>
      </c>
      <c r="DZ88" s="30" t="str">
        <f t="shared" si="690"/>
        <v/>
      </c>
      <c r="EA88" s="30" t="str">
        <f t="shared" si="691"/>
        <v/>
      </c>
      <c r="EB88" s="30" t="str">
        <f t="shared" si="692"/>
        <v/>
      </c>
      <c r="EC88" s="30" t="str">
        <f t="shared" si="693"/>
        <v/>
      </c>
      <c r="ED88" s="30" t="str">
        <f t="shared" si="694"/>
        <v/>
      </c>
      <c r="EE88" s="30" t="str">
        <f t="shared" si="695"/>
        <v/>
      </c>
      <c r="EF88" s="30" t="str">
        <f t="shared" si="696"/>
        <v/>
      </c>
      <c r="EG88" s="30" t="str">
        <f t="shared" si="697"/>
        <v/>
      </c>
      <c r="EH88" s="30" t="str">
        <f t="shared" si="698"/>
        <v/>
      </c>
      <c r="EI88" s="30" t="str">
        <f t="shared" si="699"/>
        <v/>
      </c>
      <c r="EJ88" s="30" t="str">
        <f t="shared" si="700"/>
        <v/>
      </c>
      <c r="EK88" s="30" t="str">
        <f t="shared" si="701"/>
        <v/>
      </c>
      <c r="EL88" s="30" t="str">
        <f t="shared" si="702"/>
        <v/>
      </c>
      <c r="EM88" s="30" t="str">
        <f t="shared" si="703"/>
        <v/>
      </c>
      <c r="EN88" s="30" t="str">
        <f t="shared" si="704"/>
        <v/>
      </c>
      <c r="EO88" s="30" t="str">
        <f t="shared" si="705"/>
        <v/>
      </c>
      <c r="EP88" s="30" t="str">
        <f t="shared" si="706"/>
        <v/>
      </c>
      <c r="EQ88" s="30" t="str">
        <f t="shared" si="707"/>
        <v/>
      </c>
      <c r="ER88" s="30" t="str">
        <f t="shared" si="708"/>
        <v/>
      </c>
      <c r="ES88" s="30" t="str">
        <f t="shared" si="709"/>
        <v/>
      </c>
      <c r="ET88" s="30" t="str">
        <f t="shared" si="710"/>
        <v/>
      </c>
      <c r="EU88" s="30" t="str">
        <f t="shared" si="711"/>
        <v/>
      </c>
      <c r="EV88" s="30" t="str">
        <f t="shared" si="712"/>
        <v/>
      </c>
      <c r="EW88" s="30" t="str">
        <f t="shared" si="713"/>
        <v/>
      </c>
      <c r="EX88" s="30" t="str">
        <f t="shared" si="714"/>
        <v/>
      </c>
      <c r="EY88" s="30" t="str">
        <f t="shared" si="715"/>
        <v/>
      </c>
      <c r="EZ88" s="30" t="str">
        <f t="shared" si="716"/>
        <v/>
      </c>
      <c r="FA88" s="30" t="str">
        <f t="shared" si="717"/>
        <v/>
      </c>
      <c r="FB88" s="30" t="str">
        <f t="shared" si="718"/>
        <v/>
      </c>
      <c r="FC88" s="30" t="str">
        <f t="shared" si="719"/>
        <v/>
      </c>
      <c r="FD88" s="30" t="str">
        <f t="shared" si="720"/>
        <v/>
      </c>
      <c r="FE88" s="30" t="str">
        <f t="shared" si="721"/>
        <v/>
      </c>
      <c r="FF88" s="30" t="str">
        <f t="shared" si="722"/>
        <v/>
      </c>
      <c r="FG88" s="30" t="str">
        <f t="shared" si="723"/>
        <v/>
      </c>
      <c r="FH88" s="30" t="str">
        <f t="shared" si="724"/>
        <v/>
      </c>
      <c r="FI88" s="30" t="str">
        <f t="shared" si="725"/>
        <v/>
      </c>
      <c r="FJ88" s="30" t="str">
        <f t="shared" si="726"/>
        <v/>
      </c>
      <c r="FK88" s="30" t="str">
        <f t="shared" si="727"/>
        <v/>
      </c>
      <c r="FL88" s="30" t="str">
        <f t="shared" si="728"/>
        <v/>
      </c>
      <c r="FM88" s="30" t="str">
        <f t="shared" si="729"/>
        <v/>
      </c>
      <c r="FN88" s="30" t="str">
        <f t="shared" si="730"/>
        <v/>
      </c>
      <c r="FO88" s="30" t="str">
        <f t="shared" si="731"/>
        <v/>
      </c>
      <c r="FP88" s="30" t="str">
        <f t="shared" si="732"/>
        <v/>
      </c>
      <c r="FQ88" s="30" t="str">
        <f t="shared" si="733"/>
        <v/>
      </c>
      <c r="FR88" s="30" t="str">
        <f t="shared" si="734"/>
        <v/>
      </c>
      <c r="FS88" s="30" t="str">
        <f t="shared" si="735"/>
        <v/>
      </c>
    </row>
    <row r="89" spans="1:175" ht="16.5">
      <c r="A89" s="111"/>
      <c r="B89" s="111" t="s">
        <v>826</v>
      </c>
      <c r="C89" s="111" t="s">
        <v>962</v>
      </c>
      <c r="T89" s="114" t="s">
        <v>825</v>
      </c>
      <c r="U89" s="37" t="s">
        <v>822</v>
      </c>
      <c r="CN89" s="7" t="str">
        <f t="shared" ref="CN89:CN124" si="961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7" t="str">
        <f t="shared" ref="CO89:CO124" si="962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7" t="str">
        <f t="shared" ref="CP89:CP124" si="963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7" t="str">
        <f t="shared" ref="CQ89:CQ124" si="964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InitEquipData('CS02',,"",,,,,'','','','','','',"ReplaceableTextures\\CommandButtons\\BTNTome.blp")</v>
      </c>
      <c r="CU89" s="45" t="str">
        <f t="shared" ref="CU89" si="965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" si="966">T89</f>
        <v>随机技能</v>
      </c>
      <c r="CW89" s="24"/>
      <c r="CX89" s="24"/>
      <c r="CY89" s="24"/>
      <c r="CZ89" s="24"/>
      <c r="DA89" s="24"/>
      <c r="DB89" s="30" t="str">
        <f t="shared" ref="DB89" si="967">IF(V89="","","|n"&amp;DB$2&amp;"+"&amp;V89&amp;DB$1)</f>
        <v/>
      </c>
      <c r="DC89" s="30" t="str">
        <f t="shared" ref="DC89" si="968">IF(W89="","","|n"&amp;DC$2&amp;"+"&amp;W89&amp;DC$1)</f>
        <v/>
      </c>
      <c r="DD89" s="30" t="str">
        <f t="shared" ref="DD89" si="969">IF(X89="","","|n"&amp;DD$2&amp;"+"&amp;X89&amp;DD$1)</f>
        <v/>
      </c>
      <c r="DE89" s="30" t="str">
        <f t="shared" ref="DE89" si="970">IF(Y89="","","|n"&amp;DE$2&amp;"+"&amp;Y89&amp;DE$1)</f>
        <v/>
      </c>
      <c r="DF89" s="30" t="str">
        <f t="shared" ref="DF89" si="971">IF(Z89="","","|n"&amp;DF$2&amp;"+"&amp;Z89&amp;DF$1)</f>
        <v/>
      </c>
      <c r="DG89" s="30" t="str">
        <f t="shared" ref="DG89" si="972">IF(AA89="","","|n"&amp;DG$2&amp;"+"&amp;AA89&amp;DG$1)</f>
        <v/>
      </c>
      <c r="DH89" s="30" t="str">
        <f t="shared" ref="DH89" si="973">IF(AB89="","","|n"&amp;DH$2&amp;"+"&amp;AB89&amp;DH$1)</f>
        <v/>
      </c>
      <c r="DI89" s="30" t="str">
        <f t="shared" ref="DI89" si="974">IF(AC89="","","|n"&amp;DI$2&amp;"+"&amp;AC89&amp;DI$1)</f>
        <v/>
      </c>
      <c r="DJ89" s="30" t="str">
        <f t="shared" ref="DJ89" si="975">IF(AD89="","","|n"&amp;DJ$2&amp;"+"&amp;AD89&amp;DJ$1)</f>
        <v/>
      </c>
      <c r="DK89" s="30" t="str">
        <f t="shared" ref="DK89" si="976">IF(AE89="","","|n"&amp;DK$2&amp;"+"&amp;AE89&amp;DK$1)</f>
        <v/>
      </c>
      <c r="DL89" s="30" t="str">
        <f t="shared" ref="DL89" si="977">IF(AF89="","","|n"&amp;DL$2&amp;"+"&amp;AF89&amp;DL$1)</f>
        <v/>
      </c>
      <c r="DM89" s="30" t="str">
        <f t="shared" ref="DM89" si="978">IF(AG89="","","|n"&amp;DM$2&amp;"+"&amp;AG89&amp;DM$1)</f>
        <v/>
      </c>
      <c r="DN89" s="30" t="str">
        <f t="shared" ref="DN89" si="979">IF(AH89="","","|n"&amp;DN$2&amp;"+"&amp;AH89&amp;DN$1)</f>
        <v/>
      </c>
      <c r="DO89" s="30" t="str">
        <f t="shared" ref="DO89" si="980">IF(AI89="","","|n"&amp;DO$2&amp;"+"&amp;AI89&amp;DO$1)</f>
        <v/>
      </c>
      <c r="DP89" s="30" t="str">
        <f t="shared" ref="DP89" si="981">IF(AJ89="","","|n"&amp;DP$2&amp;"+"&amp;AJ89&amp;DP$1)</f>
        <v/>
      </c>
      <c r="DQ89" s="30" t="str">
        <f t="shared" ref="DQ89" si="982">IF(AK89="","","|n"&amp;DQ$2&amp;"+"&amp;AK89&amp;DQ$1)</f>
        <v/>
      </c>
      <c r="DR89" s="30" t="str">
        <f t="shared" ref="DR89" si="983">IF(AL89="","","|n"&amp;DR$2&amp;"+"&amp;AL89&amp;DR$1)</f>
        <v/>
      </c>
      <c r="DS89" s="30" t="str">
        <f t="shared" ref="DS89" si="984">IF(AM89="","","|n"&amp;DS$2&amp;"+"&amp;AM89&amp;DS$1)</f>
        <v/>
      </c>
      <c r="DT89" s="30" t="str">
        <f t="shared" ref="DT89" si="985">IF(AN89="","","|n"&amp;DT$2&amp;"+"&amp;AN89&amp;DT$1)</f>
        <v/>
      </c>
      <c r="DU89" s="30" t="str">
        <f t="shared" ref="DU89" si="986">IF(AO89="","","|n"&amp;DU$2&amp;"+"&amp;AO89&amp;DU$1)</f>
        <v/>
      </c>
      <c r="DV89" s="30" t="str">
        <f t="shared" ref="DV89" si="987">IF(AP89="","","|n"&amp;DV$2&amp;"+"&amp;AP89&amp;DV$1)</f>
        <v/>
      </c>
      <c r="DW89" s="30" t="str">
        <f t="shared" ref="DW89" si="988">IF(AQ89="","","|n"&amp;DW$2&amp;"+"&amp;AQ89&amp;DW$1)</f>
        <v/>
      </c>
      <c r="DX89" s="30" t="str">
        <f t="shared" ref="DX89" si="989">IF(AR89="","","|n"&amp;DX$2&amp;"+"&amp;AR89&amp;DX$1)</f>
        <v/>
      </c>
      <c r="DY89" s="30" t="str">
        <f t="shared" ref="DY89" si="990">IF(AS89="","","|n"&amp;DY$2&amp;"+"&amp;AS89&amp;DY$1)</f>
        <v/>
      </c>
      <c r="DZ89" s="30" t="str">
        <f t="shared" ref="DZ89" si="991">IF(AT89="","","|n"&amp;DZ$2&amp;"+"&amp;AT89&amp;DZ$1)</f>
        <v/>
      </c>
      <c r="EA89" s="30" t="str">
        <f t="shared" ref="EA89" si="992">IF(AU89="","","|n"&amp;EA$2&amp;"+"&amp;AU89&amp;EA$1)</f>
        <v/>
      </c>
      <c r="EB89" s="30" t="str">
        <f t="shared" ref="EB89" si="993">IF(AV89="","","|n"&amp;EB$2&amp;"+"&amp;AV89&amp;EB$1)</f>
        <v/>
      </c>
      <c r="EC89" s="30" t="str">
        <f t="shared" ref="EC89" si="994">IF(AW89="","","|n"&amp;EC$2&amp;"+"&amp;AW89&amp;EC$1)</f>
        <v/>
      </c>
      <c r="ED89" s="30" t="str">
        <f t="shared" ref="ED89" si="995">IF(AX89="","","|n"&amp;ED$2&amp;"+"&amp;AX89&amp;ED$1)</f>
        <v/>
      </c>
      <c r="EE89" s="30" t="str">
        <f t="shared" ref="EE89" si="996">IF(AY89="","","|n"&amp;EE$2&amp;"+"&amp;AY89&amp;EE$1)</f>
        <v/>
      </c>
      <c r="EF89" s="30" t="str">
        <f t="shared" ref="EF89" si="997">IF(AZ89="","","|n"&amp;EF$2&amp;"+"&amp;AZ89&amp;EF$1)</f>
        <v/>
      </c>
      <c r="EG89" s="30" t="str">
        <f t="shared" ref="EG89" si="998">IF(BA89="","","|n"&amp;EG$2&amp;"+"&amp;BA89&amp;EG$1)</f>
        <v/>
      </c>
      <c r="EH89" s="30" t="str">
        <f t="shared" ref="EH89" si="999">IF(BB89="","","|n"&amp;EH$2&amp;"+"&amp;BB89&amp;EH$1)</f>
        <v/>
      </c>
      <c r="EI89" s="30" t="str">
        <f t="shared" ref="EI89" si="1000">IF(BC89="","","|n"&amp;EI$2&amp;"+"&amp;BC89&amp;EI$1)</f>
        <v/>
      </c>
      <c r="EJ89" s="30" t="str">
        <f t="shared" ref="EJ89" si="1001">IF(BD89="","","|n"&amp;EJ$2&amp;"+"&amp;BD89&amp;EJ$1)</f>
        <v/>
      </c>
      <c r="EK89" s="30" t="str">
        <f t="shared" ref="EK89" si="1002">IF(BE89="","","|n"&amp;EK$2&amp;"+"&amp;BE89&amp;EK$1)</f>
        <v/>
      </c>
      <c r="EL89" s="30" t="str">
        <f t="shared" ref="EL89" si="1003">IF(BF89="","","|n"&amp;EL$2&amp;"+"&amp;BF89&amp;EL$1)</f>
        <v/>
      </c>
      <c r="EM89" s="30" t="str">
        <f t="shared" ref="EM89" si="1004">IF(BG89="","","|n"&amp;EM$2&amp;"+"&amp;BG89&amp;EM$1)</f>
        <v/>
      </c>
      <c r="EN89" s="30" t="str">
        <f t="shared" ref="EN89" si="1005">IF(BH89="","","|n"&amp;EN$2&amp;"+"&amp;BH89&amp;EN$1)</f>
        <v/>
      </c>
      <c r="EO89" s="30" t="str">
        <f t="shared" ref="EO89" si="1006">IF(BI89="","","|n"&amp;EO$2&amp;"+"&amp;BI89&amp;EO$1)</f>
        <v/>
      </c>
      <c r="EP89" s="30" t="str">
        <f t="shared" ref="EP89" si="1007">IF(BJ89="","","|n"&amp;EP$2&amp;"+"&amp;BJ89&amp;EP$1)</f>
        <v/>
      </c>
      <c r="EQ89" s="30" t="str">
        <f t="shared" ref="EQ89" si="1008">IF(BK89="","","|n"&amp;EQ$2&amp;"+"&amp;BK89&amp;EQ$1)</f>
        <v/>
      </c>
      <c r="ER89" s="30" t="str">
        <f t="shared" ref="ER89" si="1009">IF(BL89="","","|n"&amp;ER$2&amp;"+"&amp;BL89&amp;ER$1)</f>
        <v/>
      </c>
      <c r="ES89" s="30" t="str">
        <f t="shared" ref="ES89" si="1010">IF(BM89="","","|n"&amp;ES$2&amp;"+"&amp;BM89&amp;ES$1)</f>
        <v/>
      </c>
      <c r="ET89" s="30" t="str">
        <f t="shared" ref="ET89" si="1011">IF(BN89="","","|n"&amp;ET$2&amp;"+"&amp;BN89&amp;ET$1)</f>
        <v/>
      </c>
      <c r="EU89" s="30" t="str">
        <f t="shared" ref="EU89" si="1012">IF(BO89="","","|n"&amp;EU$2&amp;"+"&amp;BO89&amp;EU$1)</f>
        <v/>
      </c>
      <c r="EV89" s="30" t="str">
        <f t="shared" ref="EV89" si="1013">IF(BP89="","","|n"&amp;EV$2&amp;"+"&amp;BP89&amp;EV$1)</f>
        <v/>
      </c>
      <c r="EW89" s="30" t="str">
        <f t="shared" ref="EW89" si="1014">IF(BQ89="","","|n"&amp;EW$2&amp;"+"&amp;BQ89&amp;EW$1)</f>
        <v/>
      </c>
      <c r="EX89" s="30" t="str">
        <f t="shared" ref="EX89" si="1015">IF(BR89="","","|n"&amp;EX$2&amp;"+"&amp;BR89&amp;EX$1)</f>
        <v/>
      </c>
      <c r="EY89" s="30" t="str">
        <f t="shared" ref="EY89" si="1016">IF(BS89="","","|n"&amp;EY$2&amp;"+"&amp;BS89&amp;EY$1)</f>
        <v/>
      </c>
      <c r="EZ89" s="30" t="str">
        <f t="shared" ref="EZ89" si="1017">IF(BT89="","","|n"&amp;EZ$2&amp;"+"&amp;BT89&amp;EZ$1)</f>
        <v/>
      </c>
      <c r="FA89" s="30" t="str">
        <f t="shared" ref="FA89" si="1018">IF(BU89="","","|n"&amp;FA$2&amp;"+"&amp;BU89&amp;FA$1)</f>
        <v/>
      </c>
      <c r="FB89" s="30" t="str">
        <f t="shared" ref="FB89" si="1019">IF(BV89="","","|n"&amp;FB$2&amp;"+"&amp;BV89&amp;FB$1)</f>
        <v/>
      </c>
      <c r="FC89" s="30" t="str">
        <f t="shared" ref="FC89" si="1020">IF(BW89="","","|n"&amp;FC$2&amp;"+"&amp;BW89&amp;FC$1)</f>
        <v/>
      </c>
      <c r="FD89" s="30" t="str">
        <f t="shared" ref="FD89" si="1021">IF(BX89="","","|n"&amp;FD$2&amp;"+"&amp;BX89&amp;FD$1)</f>
        <v/>
      </c>
      <c r="FE89" s="30" t="str">
        <f t="shared" ref="FE89" si="1022">IF(BY89="","","|n"&amp;FE$2&amp;"+"&amp;BY89&amp;FE$1)</f>
        <v/>
      </c>
      <c r="FF89" s="30" t="str">
        <f t="shared" ref="FF89" si="1023">IF(BZ89="","","|n"&amp;FF$2&amp;"+"&amp;BZ89&amp;FF$1)</f>
        <v/>
      </c>
      <c r="FG89" s="30" t="str">
        <f t="shared" ref="FG89" si="1024">IF(CA89="","","|n"&amp;FG$2&amp;"+"&amp;CA89&amp;FG$1)</f>
        <v/>
      </c>
      <c r="FH89" s="30" t="str">
        <f t="shared" ref="FH89" si="1025">IF(CB89="","","|n"&amp;FH$2&amp;"+"&amp;CB89&amp;FH$1)</f>
        <v/>
      </c>
      <c r="FI89" s="30" t="str">
        <f t="shared" ref="FI89" si="1026">IF(CC89="","","|n"&amp;FI$2&amp;"+"&amp;CC89&amp;FI$1)</f>
        <v/>
      </c>
      <c r="FJ89" s="30" t="str">
        <f t="shared" ref="FJ89" si="1027">IF(CD89="","","|n"&amp;FJ$2&amp;"+"&amp;CD89&amp;FJ$1)</f>
        <v/>
      </c>
      <c r="FK89" s="30" t="str">
        <f t="shared" ref="FK89" si="1028">IF(CE89="","","|n"&amp;FK$2&amp;"+"&amp;CE89&amp;FK$1)</f>
        <v/>
      </c>
      <c r="FL89" s="30" t="str">
        <f t="shared" ref="FL89" si="1029">IF(CF89="","","|n"&amp;FL$2&amp;"+"&amp;CF89&amp;FL$1)</f>
        <v/>
      </c>
      <c r="FM89" s="30" t="str">
        <f t="shared" ref="FM89" si="1030">IF(CG89="","","|n"&amp;FM$2&amp;"+"&amp;CG89&amp;FM$1)</f>
        <v/>
      </c>
      <c r="FN89" s="30" t="str">
        <f t="shared" ref="FN89" si="1031">IF(CH89="","","|n"&amp;FN$2&amp;"+"&amp;CH89&amp;FN$1)</f>
        <v/>
      </c>
      <c r="FO89" s="30" t="str">
        <f t="shared" ref="FO89" si="1032">IF(CI89="","","|n"&amp;FO$2&amp;"+"&amp;CI89&amp;FO$1)</f>
        <v/>
      </c>
      <c r="FP89" s="30" t="str">
        <f t="shared" ref="FP89" si="1033">IF(CJ89="","","|n"&amp;FP$2&amp;"+"&amp;CJ89&amp;FP$1)</f>
        <v/>
      </c>
      <c r="FQ89" s="30" t="str">
        <f t="shared" ref="FQ89" si="1034">IF(CK89="","","|n"&amp;FQ$2&amp;"+"&amp;CK89&amp;FQ$1)</f>
        <v/>
      </c>
      <c r="FR89" s="30" t="str">
        <f t="shared" ref="FR89" si="1035">IF(CL89="","","|n"&amp;FR$2&amp;"+"&amp;CL89&amp;FR$1)</f>
        <v/>
      </c>
      <c r="FS89" s="30" t="str">
        <f t="shared" ref="FS89" si="1036">IF(CM89="","","|n"&amp;FS$2&amp;"+"&amp;CM89&amp;FS$1)</f>
        <v/>
      </c>
    </row>
    <row r="90" spans="1:175" ht="16.5">
      <c r="A90" s="111"/>
      <c r="B90" s="111" t="s">
        <v>827</v>
      </c>
      <c r="C90" s="111" t="s">
        <v>963</v>
      </c>
      <c r="T90" s="114" t="s">
        <v>825</v>
      </c>
      <c r="U90" s="37" t="s">
        <v>822</v>
      </c>
      <c r="CN90" s="7" t="str">
        <f t="shared" si="961"/>
        <v>InitUnitState('CS03',,,,,,,,,,)</v>
      </c>
      <c r="CO90" s="7" t="str">
        <f t="shared" si="962"/>
        <v>InitUnitNormal('CS03',,,,,,,,,,)</v>
      </c>
      <c r="CP90" s="7" t="str">
        <f t="shared" si="963"/>
        <v>InitUnitMagic('CS03',,,,,,,,,,)</v>
      </c>
      <c r="CQ90" s="7" t="str">
        <f t="shared" si="964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InitEquipData('CS03',,"",,,,,'','','','','','',"ReplaceableTextures\\CommandButtons\\BTNTome.blp")</v>
      </c>
      <c r="CU90" s="45" t="str">
        <f t="shared" ref="CU90:CU91" si="1037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29" t="str">
        <f t="shared" ref="CV90:CV91" si="1038">T90</f>
        <v>随机技能</v>
      </c>
      <c r="CW90" s="24"/>
      <c r="CX90" s="24"/>
      <c r="CY90" s="24"/>
      <c r="CZ90" s="24"/>
      <c r="DA90" s="24"/>
      <c r="DB90" s="30" t="str">
        <f t="shared" ref="DB90:DB91" si="1039">IF(V90="","","|n"&amp;DB$2&amp;"+"&amp;V90&amp;DB$1)</f>
        <v/>
      </c>
      <c r="DC90" s="30" t="str">
        <f t="shared" ref="DC90:DC91" si="1040">IF(W90="","","|n"&amp;DC$2&amp;"+"&amp;W90&amp;DC$1)</f>
        <v/>
      </c>
      <c r="DD90" s="30" t="str">
        <f t="shared" ref="DD90:DD91" si="1041">IF(X90="","","|n"&amp;DD$2&amp;"+"&amp;X90&amp;DD$1)</f>
        <v/>
      </c>
      <c r="DE90" s="30" t="str">
        <f t="shared" ref="DE90:DE91" si="1042">IF(Y90="","","|n"&amp;DE$2&amp;"+"&amp;Y90&amp;DE$1)</f>
        <v/>
      </c>
      <c r="DF90" s="30" t="str">
        <f t="shared" ref="DF90:DF91" si="1043">IF(Z90="","","|n"&amp;DF$2&amp;"+"&amp;Z90&amp;DF$1)</f>
        <v/>
      </c>
      <c r="DG90" s="30" t="str">
        <f t="shared" ref="DG90:DG91" si="1044">IF(AA90="","","|n"&amp;DG$2&amp;"+"&amp;AA90&amp;DG$1)</f>
        <v/>
      </c>
      <c r="DH90" s="30" t="str">
        <f t="shared" ref="DH90:DH91" si="1045">IF(AB90="","","|n"&amp;DH$2&amp;"+"&amp;AB90&amp;DH$1)</f>
        <v/>
      </c>
      <c r="DI90" s="30" t="str">
        <f t="shared" ref="DI90:DI91" si="1046">IF(AC90="","","|n"&amp;DI$2&amp;"+"&amp;AC90&amp;DI$1)</f>
        <v/>
      </c>
      <c r="DJ90" s="30" t="str">
        <f t="shared" ref="DJ90:DJ91" si="1047">IF(AD90="","","|n"&amp;DJ$2&amp;"+"&amp;AD90&amp;DJ$1)</f>
        <v/>
      </c>
      <c r="DK90" s="30" t="str">
        <f t="shared" ref="DK90:DK91" si="1048">IF(AE90="","","|n"&amp;DK$2&amp;"+"&amp;AE90&amp;DK$1)</f>
        <v/>
      </c>
      <c r="DL90" s="30" t="str">
        <f t="shared" ref="DL90:DL91" si="1049">IF(AF90="","","|n"&amp;DL$2&amp;"+"&amp;AF90&amp;DL$1)</f>
        <v/>
      </c>
      <c r="DM90" s="30" t="str">
        <f t="shared" ref="DM90:DM91" si="1050">IF(AG90="","","|n"&amp;DM$2&amp;"+"&amp;AG90&amp;DM$1)</f>
        <v/>
      </c>
      <c r="DN90" s="30" t="str">
        <f t="shared" ref="DN90:DN91" si="1051">IF(AH90="","","|n"&amp;DN$2&amp;"+"&amp;AH90&amp;DN$1)</f>
        <v/>
      </c>
      <c r="DO90" s="30" t="str">
        <f t="shared" ref="DO90:DO91" si="1052">IF(AI90="","","|n"&amp;DO$2&amp;"+"&amp;AI90&amp;DO$1)</f>
        <v/>
      </c>
      <c r="DP90" s="30" t="str">
        <f t="shared" ref="DP90:DP91" si="1053">IF(AJ90="","","|n"&amp;DP$2&amp;"+"&amp;AJ90&amp;DP$1)</f>
        <v/>
      </c>
      <c r="DQ90" s="30" t="str">
        <f t="shared" ref="DQ90:DQ91" si="1054">IF(AK90="","","|n"&amp;DQ$2&amp;"+"&amp;AK90&amp;DQ$1)</f>
        <v/>
      </c>
      <c r="DR90" s="30" t="str">
        <f t="shared" ref="DR90:DR91" si="1055">IF(AL90="","","|n"&amp;DR$2&amp;"+"&amp;AL90&amp;DR$1)</f>
        <v/>
      </c>
      <c r="DS90" s="30" t="str">
        <f t="shared" ref="DS90:DS91" si="1056">IF(AM90="","","|n"&amp;DS$2&amp;"+"&amp;AM90&amp;DS$1)</f>
        <v/>
      </c>
      <c r="DT90" s="30" t="str">
        <f t="shared" ref="DT90:DT91" si="1057">IF(AN90="","","|n"&amp;DT$2&amp;"+"&amp;AN90&amp;DT$1)</f>
        <v/>
      </c>
      <c r="DU90" s="30" t="str">
        <f t="shared" ref="DU90:DU91" si="1058">IF(AO90="","","|n"&amp;DU$2&amp;"+"&amp;AO90&amp;DU$1)</f>
        <v/>
      </c>
      <c r="DV90" s="30" t="str">
        <f t="shared" ref="DV90:DV91" si="1059">IF(AP90="","","|n"&amp;DV$2&amp;"+"&amp;AP90&amp;DV$1)</f>
        <v/>
      </c>
      <c r="DW90" s="30" t="str">
        <f t="shared" ref="DW90:DW91" si="1060">IF(AQ90="","","|n"&amp;DW$2&amp;"+"&amp;AQ90&amp;DW$1)</f>
        <v/>
      </c>
      <c r="DX90" s="30" t="str">
        <f t="shared" ref="DX90:DX91" si="1061">IF(AR90="","","|n"&amp;DX$2&amp;"+"&amp;AR90&amp;DX$1)</f>
        <v/>
      </c>
      <c r="DY90" s="30" t="str">
        <f t="shared" ref="DY90:DY91" si="1062">IF(AS90="","","|n"&amp;DY$2&amp;"+"&amp;AS90&amp;DY$1)</f>
        <v/>
      </c>
      <c r="DZ90" s="30" t="str">
        <f t="shared" ref="DZ90:DZ91" si="1063">IF(AT90="","","|n"&amp;DZ$2&amp;"+"&amp;AT90&amp;DZ$1)</f>
        <v/>
      </c>
      <c r="EA90" s="30" t="str">
        <f t="shared" ref="EA90:EA91" si="1064">IF(AU90="","","|n"&amp;EA$2&amp;"+"&amp;AU90&amp;EA$1)</f>
        <v/>
      </c>
      <c r="EB90" s="30" t="str">
        <f t="shared" ref="EB90:EB91" si="1065">IF(AV90="","","|n"&amp;EB$2&amp;"+"&amp;AV90&amp;EB$1)</f>
        <v/>
      </c>
      <c r="EC90" s="30" t="str">
        <f t="shared" ref="EC90:EC91" si="1066">IF(AW90="","","|n"&amp;EC$2&amp;"+"&amp;AW90&amp;EC$1)</f>
        <v/>
      </c>
      <c r="ED90" s="30" t="str">
        <f t="shared" ref="ED90:ED91" si="1067">IF(AX90="","","|n"&amp;ED$2&amp;"+"&amp;AX90&amp;ED$1)</f>
        <v/>
      </c>
      <c r="EE90" s="30" t="str">
        <f t="shared" ref="EE90:EE91" si="1068">IF(AY90="","","|n"&amp;EE$2&amp;"+"&amp;AY90&amp;EE$1)</f>
        <v/>
      </c>
      <c r="EF90" s="30" t="str">
        <f t="shared" ref="EF90:EF91" si="1069">IF(AZ90="","","|n"&amp;EF$2&amp;"+"&amp;AZ90&amp;EF$1)</f>
        <v/>
      </c>
      <c r="EG90" s="30" t="str">
        <f t="shared" ref="EG90:EG91" si="1070">IF(BA90="","","|n"&amp;EG$2&amp;"+"&amp;BA90&amp;EG$1)</f>
        <v/>
      </c>
      <c r="EH90" s="30" t="str">
        <f t="shared" ref="EH90:EH91" si="1071">IF(BB90="","","|n"&amp;EH$2&amp;"+"&amp;BB90&amp;EH$1)</f>
        <v/>
      </c>
      <c r="EI90" s="30" t="str">
        <f t="shared" ref="EI90:EI91" si="1072">IF(BC90="","","|n"&amp;EI$2&amp;"+"&amp;BC90&amp;EI$1)</f>
        <v/>
      </c>
      <c r="EJ90" s="30" t="str">
        <f t="shared" ref="EJ90:EJ91" si="1073">IF(BD90="","","|n"&amp;EJ$2&amp;"+"&amp;BD90&amp;EJ$1)</f>
        <v/>
      </c>
      <c r="EK90" s="30" t="str">
        <f t="shared" ref="EK90:EK91" si="1074">IF(BE90="","","|n"&amp;EK$2&amp;"+"&amp;BE90&amp;EK$1)</f>
        <v/>
      </c>
      <c r="EL90" s="30" t="str">
        <f t="shared" ref="EL90:EL91" si="1075">IF(BF90="","","|n"&amp;EL$2&amp;"+"&amp;BF90&amp;EL$1)</f>
        <v/>
      </c>
      <c r="EM90" s="30" t="str">
        <f t="shared" ref="EM90:EM91" si="1076">IF(BG90="","","|n"&amp;EM$2&amp;"+"&amp;BG90&amp;EM$1)</f>
        <v/>
      </c>
      <c r="EN90" s="30" t="str">
        <f t="shared" ref="EN90:EN91" si="1077">IF(BH90="","","|n"&amp;EN$2&amp;"+"&amp;BH90&amp;EN$1)</f>
        <v/>
      </c>
      <c r="EO90" s="30" t="str">
        <f t="shared" ref="EO90:EO91" si="1078">IF(BI90="","","|n"&amp;EO$2&amp;"+"&amp;BI90&amp;EO$1)</f>
        <v/>
      </c>
      <c r="EP90" s="30" t="str">
        <f t="shared" ref="EP90:EP91" si="1079">IF(BJ90="","","|n"&amp;EP$2&amp;"+"&amp;BJ90&amp;EP$1)</f>
        <v/>
      </c>
      <c r="EQ90" s="30" t="str">
        <f t="shared" ref="EQ90:EQ91" si="1080">IF(BK90="","","|n"&amp;EQ$2&amp;"+"&amp;BK90&amp;EQ$1)</f>
        <v/>
      </c>
      <c r="ER90" s="30" t="str">
        <f t="shared" ref="ER90:ER91" si="1081">IF(BL90="","","|n"&amp;ER$2&amp;"+"&amp;BL90&amp;ER$1)</f>
        <v/>
      </c>
      <c r="ES90" s="30" t="str">
        <f t="shared" ref="ES90:ES91" si="1082">IF(BM90="","","|n"&amp;ES$2&amp;"+"&amp;BM90&amp;ES$1)</f>
        <v/>
      </c>
      <c r="ET90" s="30" t="str">
        <f t="shared" ref="ET90:ET91" si="1083">IF(BN90="","","|n"&amp;ET$2&amp;"+"&amp;BN90&amp;ET$1)</f>
        <v/>
      </c>
      <c r="EU90" s="30" t="str">
        <f t="shared" ref="EU90:EU91" si="1084">IF(BO90="","","|n"&amp;EU$2&amp;"+"&amp;BO90&amp;EU$1)</f>
        <v/>
      </c>
      <c r="EV90" s="30" t="str">
        <f t="shared" ref="EV90:EV91" si="1085">IF(BP90="","","|n"&amp;EV$2&amp;"+"&amp;BP90&amp;EV$1)</f>
        <v/>
      </c>
      <c r="EW90" s="30" t="str">
        <f t="shared" ref="EW90:EW91" si="1086">IF(BQ90="","","|n"&amp;EW$2&amp;"+"&amp;BQ90&amp;EW$1)</f>
        <v/>
      </c>
      <c r="EX90" s="30" t="str">
        <f t="shared" ref="EX90:EX91" si="1087">IF(BR90="","","|n"&amp;EX$2&amp;"+"&amp;BR90&amp;EX$1)</f>
        <v/>
      </c>
      <c r="EY90" s="30" t="str">
        <f t="shared" ref="EY90:EY91" si="1088">IF(BS90="","","|n"&amp;EY$2&amp;"+"&amp;BS90&amp;EY$1)</f>
        <v/>
      </c>
      <c r="EZ90" s="30" t="str">
        <f t="shared" ref="EZ90:EZ91" si="1089">IF(BT90="","","|n"&amp;EZ$2&amp;"+"&amp;BT90&amp;EZ$1)</f>
        <v/>
      </c>
      <c r="FA90" s="30" t="str">
        <f t="shared" ref="FA90:FA91" si="1090">IF(BU90="","","|n"&amp;FA$2&amp;"+"&amp;BU90&amp;FA$1)</f>
        <v/>
      </c>
      <c r="FB90" s="30" t="str">
        <f t="shared" ref="FB90:FB91" si="1091">IF(BV90="","","|n"&amp;FB$2&amp;"+"&amp;BV90&amp;FB$1)</f>
        <v/>
      </c>
      <c r="FC90" s="30" t="str">
        <f t="shared" ref="FC90:FC91" si="1092">IF(BW90="","","|n"&amp;FC$2&amp;"+"&amp;BW90&amp;FC$1)</f>
        <v/>
      </c>
      <c r="FD90" s="30" t="str">
        <f t="shared" ref="FD90:FD91" si="1093">IF(BX90="","","|n"&amp;FD$2&amp;"+"&amp;BX90&amp;FD$1)</f>
        <v/>
      </c>
      <c r="FE90" s="30" t="str">
        <f t="shared" ref="FE90:FE91" si="1094">IF(BY90="","","|n"&amp;FE$2&amp;"+"&amp;BY90&amp;FE$1)</f>
        <v/>
      </c>
      <c r="FF90" s="30" t="str">
        <f t="shared" ref="FF90:FF91" si="1095">IF(BZ90="","","|n"&amp;FF$2&amp;"+"&amp;BZ90&amp;FF$1)</f>
        <v/>
      </c>
      <c r="FG90" s="30" t="str">
        <f t="shared" ref="FG90:FG91" si="1096">IF(CA90="","","|n"&amp;FG$2&amp;"+"&amp;CA90&amp;FG$1)</f>
        <v/>
      </c>
      <c r="FH90" s="30" t="str">
        <f t="shared" ref="FH90:FH91" si="1097">IF(CB90="","","|n"&amp;FH$2&amp;"+"&amp;CB90&amp;FH$1)</f>
        <v/>
      </c>
      <c r="FI90" s="30" t="str">
        <f t="shared" ref="FI90:FI91" si="1098">IF(CC90="","","|n"&amp;FI$2&amp;"+"&amp;CC90&amp;FI$1)</f>
        <v/>
      </c>
      <c r="FJ90" s="30" t="str">
        <f t="shared" ref="FJ90:FJ91" si="1099">IF(CD90="","","|n"&amp;FJ$2&amp;"+"&amp;CD90&amp;FJ$1)</f>
        <v/>
      </c>
      <c r="FK90" s="30" t="str">
        <f t="shared" ref="FK90:FK91" si="1100">IF(CE90="","","|n"&amp;FK$2&amp;"+"&amp;CE90&amp;FK$1)</f>
        <v/>
      </c>
      <c r="FL90" s="30" t="str">
        <f t="shared" ref="FL90:FL91" si="1101">IF(CF90="","","|n"&amp;FL$2&amp;"+"&amp;CF90&amp;FL$1)</f>
        <v/>
      </c>
      <c r="FM90" s="30" t="str">
        <f t="shared" ref="FM90:FM91" si="1102">IF(CG90="","","|n"&amp;FM$2&amp;"+"&amp;CG90&amp;FM$1)</f>
        <v/>
      </c>
      <c r="FN90" s="30" t="str">
        <f t="shared" ref="FN90:FN91" si="1103">IF(CH90="","","|n"&amp;FN$2&amp;"+"&amp;CH90&amp;FN$1)</f>
        <v/>
      </c>
      <c r="FO90" s="30" t="str">
        <f t="shared" ref="FO90:FO91" si="1104">IF(CI90="","","|n"&amp;FO$2&amp;"+"&amp;CI90&amp;FO$1)</f>
        <v/>
      </c>
      <c r="FP90" s="30" t="str">
        <f t="shared" ref="FP90:FP91" si="1105">IF(CJ90="","","|n"&amp;FP$2&amp;"+"&amp;CJ90&amp;FP$1)</f>
        <v/>
      </c>
      <c r="FQ90" s="30" t="str">
        <f t="shared" ref="FQ90:FQ91" si="1106">IF(CK90="","","|n"&amp;FQ$2&amp;"+"&amp;CK90&amp;FQ$1)</f>
        <v/>
      </c>
      <c r="FR90" s="30" t="str">
        <f t="shared" ref="FR90:FR91" si="1107">IF(CL90="","","|n"&amp;FR$2&amp;"+"&amp;CL90&amp;FR$1)</f>
        <v/>
      </c>
      <c r="FS90" s="30" t="str">
        <f t="shared" ref="FS90:FS91" si="1108">IF(CM90="","","|n"&amp;FS$2&amp;"+"&amp;CM90&amp;FS$1)</f>
        <v/>
      </c>
    </row>
    <row r="91" spans="1:175" ht="16.5">
      <c r="A91" s="111"/>
      <c r="B91" s="111" t="s">
        <v>840</v>
      </c>
      <c r="C91" s="111" t="s">
        <v>964</v>
      </c>
      <c r="T91" s="114" t="s">
        <v>825</v>
      </c>
      <c r="U91" s="37" t="s">
        <v>822</v>
      </c>
      <c r="CN91" s="7" t="str">
        <f t="shared" si="961"/>
        <v>InitUnitState('CS04',,,,,,,,,,)</v>
      </c>
      <c r="CO91" s="7" t="str">
        <f t="shared" si="962"/>
        <v>InitUnitNormal('CS04',,,,,,,,,,)</v>
      </c>
      <c r="CP91" s="7" t="str">
        <f t="shared" si="963"/>
        <v>InitUnitMagic('CS04',,,,,,,,,,)</v>
      </c>
      <c r="CQ91" s="7" t="str">
        <f t="shared" si="964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122&amp;CR$1&amp;")"</f>
        <v>InitEquipData('CS04',,"",,,,,'','','','','','',"ReplaceableTextures\\CommandButtons\\BTNTome.blp")</v>
      </c>
      <c r="CU91" s="45" t="str">
        <f t="shared" si="1037"/>
        <v>|n</v>
      </c>
      <c r="CV91" s="29" t="str">
        <f t="shared" si="1038"/>
        <v>随机技能</v>
      </c>
      <c r="CW91" s="24"/>
      <c r="CX91" s="24"/>
      <c r="CY91" s="24"/>
      <c r="CZ91" s="24"/>
      <c r="DA91" s="24"/>
      <c r="DB91" s="30" t="str">
        <f t="shared" si="1039"/>
        <v/>
      </c>
      <c r="DC91" s="30" t="str">
        <f t="shared" si="1040"/>
        <v/>
      </c>
      <c r="DD91" s="30" t="str">
        <f t="shared" si="1041"/>
        <v/>
      </c>
      <c r="DE91" s="30" t="str">
        <f t="shared" si="1042"/>
        <v/>
      </c>
      <c r="DF91" s="30" t="str">
        <f t="shared" si="1043"/>
        <v/>
      </c>
      <c r="DG91" s="30" t="str">
        <f t="shared" si="1044"/>
        <v/>
      </c>
      <c r="DH91" s="30" t="str">
        <f t="shared" si="1045"/>
        <v/>
      </c>
      <c r="DI91" s="30" t="str">
        <f t="shared" si="1046"/>
        <v/>
      </c>
      <c r="DJ91" s="30" t="str">
        <f t="shared" si="1047"/>
        <v/>
      </c>
      <c r="DK91" s="30" t="str">
        <f t="shared" si="1048"/>
        <v/>
      </c>
      <c r="DL91" s="30" t="str">
        <f t="shared" si="1049"/>
        <v/>
      </c>
      <c r="DM91" s="30" t="str">
        <f t="shared" si="1050"/>
        <v/>
      </c>
      <c r="DN91" s="30" t="str">
        <f t="shared" si="1051"/>
        <v/>
      </c>
      <c r="DO91" s="30" t="str">
        <f t="shared" si="1052"/>
        <v/>
      </c>
      <c r="DP91" s="30" t="str">
        <f t="shared" si="1053"/>
        <v/>
      </c>
      <c r="DQ91" s="30" t="str">
        <f t="shared" si="1054"/>
        <v/>
      </c>
      <c r="DR91" s="30" t="str">
        <f t="shared" si="1055"/>
        <v/>
      </c>
      <c r="DS91" s="30" t="str">
        <f t="shared" si="1056"/>
        <v/>
      </c>
      <c r="DT91" s="30" t="str">
        <f t="shared" si="1057"/>
        <v/>
      </c>
      <c r="DU91" s="30" t="str">
        <f t="shared" si="1058"/>
        <v/>
      </c>
      <c r="DV91" s="30" t="str">
        <f t="shared" si="1059"/>
        <v/>
      </c>
      <c r="DW91" s="30" t="str">
        <f t="shared" si="1060"/>
        <v/>
      </c>
      <c r="DX91" s="30" t="str">
        <f t="shared" si="1061"/>
        <v/>
      </c>
      <c r="DY91" s="30" t="str">
        <f t="shared" si="1062"/>
        <v/>
      </c>
      <c r="DZ91" s="30" t="str">
        <f t="shared" si="1063"/>
        <v/>
      </c>
      <c r="EA91" s="30" t="str">
        <f t="shared" si="1064"/>
        <v/>
      </c>
      <c r="EB91" s="30" t="str">
        <f t="shared" si="1065"/>
        <v/>
      </c>
      <c r="EC91" s="30" t="str">
        <f t="shared" si="1066"/>
        <v/>
      </c>
      <c r="ED91" s="30" t="str">
        <f t="shared" si="1067"/>
        <v/>
      </c>
      <c r="EE91" s="30" t="str">
        <f t="shared" si="1068"/>
        <v/>
      </c>
      <c r="EF91" s="30" t="str">
        <f t="shared" si="1069"/>
        <v/>
      </c>
      <c r="EG91" s="30" t="str">
        <f t="shared" si="1070"/>
        <v/>
      </c>
      <c r="EH91" s="30" t="str">
        <f t="shared" si="1071"/>
        <v/>
      </c>
      <c r="EI91" s="30" t="str">
        <f t="shared" si="1072"/>
        <v/>
      </c>
      <c r="EJ91" s="30" t="str">
        <f t="shared" si="1073"/>
        <v/>
      </c>
      <c r="EK91" s="30" t="str">
        <f t="shared" si="1074"/>
        <v/>
      </c>
      <c r="EL91" s="30" t="str">
        <f t="shared" si="1075"/>
        <v/>
      </c>
      <c r="EM91" s="30" t="str">
        <f t="shared" si="1076"/>
        <v/>
      </c>
      <c r="EN91" s="30" t="str">
        <f t="shared" si="1077"/>
        <v/>
      </c>
      <c r="EO91" s="30" t="str">
        <f t="shared" si="1078"/>
        <v/>
      </c>
      <c r="EP91" s="30" t="str">
        <f t="shared" si="1079"/>
        <v/>
      </c>
      <c r="EQ91" s="30" t="str">
        <f t="shared" si="1080"/>
        <v/>
      </c>
      <c r="ER91" s="30" t="str">
        <f t="shared" si="1081"/>
        <v/>
      </c>
      <c r="ES91" s="30" t="str">
        <f t="shared" si="1082"/>
        <v/>
      </c>
      <c r="ET91" s="30" t="str">
        <f t="shared" si="1083"/>
        <v/>
      </c>
      <c r="EU91" s="30" t="str">
        <f t="shared" si="1084"/>
        <v/>
      </c>
      <c r="EV91" s="30" t="str">
        <f t="shared" si="1085"/>
        <v/>
      </c>
      <c r="EW91" s="30" t="str">
        <f t="shared" si="1086"/>
        <v/>
      </c>
      <c r="EX91" s="30" t="str">
        <f t="shared" si="1087"/>
        <v/>
      </c>
      <c r="EY91" s="30" t="str">
        <f t="shared" si="1088"/>
        <v/>
      </c>
      <c r="EZ91" s="30" t="str">
        <f t="shared" si="1089"/>
        <v/>
      </c>
      <c r="FA91" s="30" t="str">
        <f t="shared" si="1090"/>
        <v/>
      </c>
      <c r="FB91" s="30" t="str">
        <f t="shared" si="1091"/>
        <v/>
      </c>
      <c r="FC91" s="30" t="str">
        <f t="shared" si="1092"/>
        <v/>
      </c>
      <c r="FD91" s="30" t="str">
        <f t="shared" si="1093"/>
        <v/>
      </c>
      <c r="FE91" s="30" t="str">
        <f t="shared" si="1094"/>
        <v/>
      </c>
      <c r="FF91" s="30" t="str">
        <f t="shared" si="1095"/>
        <v/>
      </c>
      <c r="FG91" s="30" t="str">
        <f t="shared" si="1096"/>
        <v/>
      </c>
      <c r="FH91" s="30" t="str">
        <f t="shared" si="1097"/>
        <v/>
      </c>
      <c r="FI91" s="30" t="str">
        <f t="shared" si="1098"/>
        <v/>
      </c>
      <c r="FJ91" s="30" t="str">
        <f t="shared" si="1099"/>
        <v/>
      </c>
      <c r="FK91" s="30" t="str">
        <f t="shared" si="1100"/>
        <v/>
      </c>
      <c r="FL91" s="30" t="str">
        <f t="shared" si="1101"/>
        <v/>
      </c>
      <c r="FM91" s="30" t="str">
        <f t="shared" si="1102"/>
        <v/>
      </c>
      <c r="FN91" s="30" t="str">
        <f t="shared" si="1103"/>
        <v/>
      </c>
      <c r="FO91" s="30" t="str">
        <f t="shared" si="1104"/>
        <v/>
      </c>
      <c r="FP91" s="30" t="str">
        <f t="shared" si="1105"/>
        <v/>
      </c>
      <c r="FQ91" s="30" t="str">
        <f t="shared" si="1106"/>
        <v/>
      </c>
      <c r="FR91" s="30" t="str">
        <f t="shared" si="1107"/>
        <v/>
      </c>
      <c r="FS91" s="30" t="str">
        <f t="shared" si="1108"/>
        <v/>
      </c>
    </row>
    <row r="92" spans="1:175" ht="16.5">
      <c r="A92" s="111"/>
      <c r="B92" s="111" t="s">
        <v>970</v>
      </c>
      <c r="C92" s="111" t="s">
        <v>965</v>
      </c>
      <c r="T92" s="114" t="s">
        <v>825</v>
      </c>
      <c r="U92" s="37" t="s">
        <v>822</v>
      </c>
      <c r="CN92" s="7" t="str">
        <f t="shared" si="961"/>
        <v>InitUnitState('CS05',,,,,,,,,,)</v>
      </c>
      <c r="CO92" s="7" t="str">
        <f t="shared" si="962"/>
        <v>InitUnitNormal('CS05',,,,,,,,,,)</v>
      </c>
      <c r="CP92" s="7" t="str">
        <f t="shared" si="963"/>
        <v>InitUnitMagic('CS05',,,,,,,,,,)</v>
      </c>
      <c r="CQ92" s="7" t="str">
        <f t="shared" si="964"/>
        <v>InitUnitAdd('CS05',,,,,,,,,,)</v>
      </c>
      <c r="CR92" s="7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123&amp;CR$1&amp;")"</f>
        <v>InitEquipData('CS05',,"",,,,,'','','','','','',"ReplaceableTextures\\CommandButtons\\BTNTome.blp")</v>
      </c>
      <c r="CU92" s="45" t="str">
        <f t="shared" ref="CU92:CU94" si="1109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29" t="str">
        <f t="shared" ref="CV92:CV94" si="1110">T92</f>
        <v>随机技能</v>
      </c>
      <c r="CW92" s="24"/>
      <c r="CX92" s="24"/>
      <c r="CY92" s="24"/>
      <c r="CZ92" s="24"/>
      <c r="DA92" s="24"/>
      <c r="DB92" s="30" t="str">
        <f t="shared" ref="DB92:DB94" si="1111">IF(V92="","","|n"&amp;DB$2&amp;"+"&amp;V92&amp;DB$1)</f>
        <v/>
      </c>
      <c r="DC92" s="30" t="str">
        <f t="shared" ref="DC92:DC94" si="1112">IF(W92="","","|n"&amp;DC$2&amp;"+"&amp;W92&amp;DC$1)</f>
        <v/>
      </c>
      <c r="DD92" s="30" t="str">
        <f t="shared" ref="DD92:DD94" si="1113">IF(X92="","","|n"&amp;DD$2&amp;"+"&amp;X92&amp;DD$1)</f>
        <v/>
      </c>
      <c r="DE92" s="30" t="str">
        <f t="shared" ref="DE92:DE94" si="1114">IF(Y92="","","|n"&amp;DE$2&amp;"+"&amp;Y92&amp;DE$1)</f>
        <v/>
      </c>
      <c r="DF92" s="30" t="str">
        <f t="shared" ref="DF92:DF94" si="1115">IF(Z92="","","|n"&amp;DF$2&amp;"+"&amp;Z92&amp;DF$1)</f>
        <v/>
      </c>
      <c r="DG92" s="30" t="str">
        <f t="shared" ref="DG92:DG94" si="1116">IF(AA92="","","|n"&amp;DG$2&amp;"+"&amp;AA92&amp;DG$1)</f>
        <v/>
      </c>
      <c r="DH92" s="30" t="str">
        <f t="shared" ref="DH92:DH94" si="1117">IF(AB92="","","|n"&amp;DH$2&amp;"+"&amp;AB92&amp;DH$1)</f>
        <v/>
      </c>
      <c r="DI92" s="30" t="str">
        <f t="shared" ref="DI92:DI94" si="1118">IF(AC92="","","|n"&amp;DI$2&amp;"+"&amp;AC92&amp;DI$1)</f>
        <v/>
      </c>
      <c r="DJ92" s="30" t="str">
        <f t="shared" ref="DJ92:DJ94" si="1119">IF(AD92="","","|n"&amp;DJ$2&amp;"+"&amp;AD92&amp;DJ$1)</f>
        <v/>
      </c>
      <c r="DK92" s="30" t="str">
        <f t="shared" ref="DK92:DK94" si="1120">IF(AE92="","","|n"&amp;DK$2&amp;"+"&amp;AE92&amp;DK$1)</f>
        <v/>
      </c>
      <c r="DL92" s="30" t="str">
        <f t="shared" ref="DL92:DL94" si="1121">IF(AF92="","","|n"&amp;DL$2&amp;"+"&amp;AF92&amp;DL$1)</f>
        <v/>
      </c>
      <c r="DM92" s="30" t="str">
        <f t="shared" ref="DM92:DM94" si="1122">IF(AG92="","","|n"&amp;DM$2&amp;"+"&amp;AG92&amp;DM$1)</f>
        <v/>
      </c>
      <c r="DN92" s="30" t="str">
        <f t="shared" ref="DN92:DN94" si="1123">IF(AH92="","","|n"&amp;DN$2&amp;"+"&amp;AH92&amp;DN$1)</f>
        <v/>
      </c>
      <c r="DO92" s="30" t="str">
        <f t="shared" ref="DO92:DO94" si="1124">IF(AI92="","","|n"&amp;DO$2&amp;"+"&amp;AI92&amp;DO$1)</f>
        <v/>
      </c>
      <c r="DP92" s="30" t="str">
        <f t="shared" ref="DP92:DP94" si="1125">IF(AJ92="","","|n"&amp;DP$2&amp;"+"&amp;AJ92&amp;DP$1)</f>
        <v/>
      </c>
      <c r="DQ92" s="30" t="str">
        <f t="shared" ref="DQ92:DQ94" si="1126">IF(AK92="","","|n"&amp;DQ$2&amp;"+"&amp;AK92&amp;DQ$1)</f>
        <v/>
      </c>
      <c r="DR92" s="30" t="str">
        <f t="shared" ref="DR92:DR94" si="1127">IF(AL92="","","|n"&amp;DR$2&amp;"+"&amp;AL92&amp;DR$1)</f>
        <v/>
      </c>
      <c r="DS92" s="30" t="str">
        <f t="shared" ref="DS92:DS94" si="1128">IF(AM92="","","|n"&amp;DS$2&amp;"+"&amp;AM92&amp;DS$1)</f>
        <v/>
      </c>
      <c r="DT92" s="30" t="str">
        <f t="shared" ref="DT92:DT94" si="1129">IF(AN92="","","|n"&amp;DT$2&amp;"+"&amp;AN92&amp;DT$1)</f>
        <v/>
      </c>
      <c r="DU92" s="30" t="str">
        <f t="shared" ref="DU92:DU94" si="1130">IF(AO92="","","|n"&amp;DU$2&amp;"+"&amp;AO92&amp;DU$1)</f>
        <v/>
      </c>
      <c r="DV92" s="30" t="str">
        <f t="shared" ref="DV92:DV94" si="1131">IF(AP92="","","|n"&amp;DV$2&amp;"+"&amp;AP92&amp;DV$1)</f>
        <v/>
      </c>
      <c r="DW92" s="30" t="str">
        <f t="shared" ref="DW92:DW94" si="1132">IF(AQ92="","","|n"&amp;DW$2&amp;"+"&amp;AQ92&amp;DW$1)</f>
        <v/>
      </c>
      <c r="DX92" s="30" t="str">
        <f t="shared" ref="DX92:DX94" si="1133">IF(AR92="","","|n"&amp;DX$2&amp;"+"&amp;AR92&amp;DX$1)</f>
        <v/>
      </c>
      <c r="DY92" s="30" t="str">
        <f t="shared" ref="DY92:DY94" si="1134">IF(AS92="","","|n"&amp;DY$2&amp;"+"&amp;AS92&amp;DY$1)</f>
        <v/>
      </c>
      <c r="DZ92" s="30" t="str">
        <f t="shared" ref="DZ92:DZ94" si="1135">IF(AT92="","","|n"&amp;DZ$2&amp;"+"&amp;AT92&amp;DZ$1)</f>
        <v/>
      </c>
      <c r="EA92" s="30" t="str">
        <f t="shared" ref="EA92:EA94" si="1136">IF(AU92="","","|n"&amp;EA$2&amp;"+"&amp;AU92&amp;EA$1)</f>
        <v/>
      </c>
      <c r="EB92" s="30" t="str">
        <f t="shared" ref="EB92:EB94" si="1137">IF(AV92="","","|n"&amp;EB$2&amp;"+"&amp;AV92&amp;EB$1)</f>
        <v/>
      </c>
      <c r="EC92" s="30" t="str">
        <f t="shared" ref="EC92:EC94" si="1138">IF(AW92="","","|n"&amp;EC$2&amp;"+"&amp;AW92&amp;EC$1)</f>
        <v/>
      </c>
      <c r="ED92" s="30" t="str">
        <f t="shared" ref="ED92:ED94" si="1139">IF(AX92="","","|n"&amp;ED$2&amp;"+"&amp;AX92&amp;ED$1)</f>
        <v/>
      </c>
      <c r="EE92" s="30" t="str">
        <f t="shared" ref="EE92:EE94" si="1140">IF(AY92="","","|n"&amp;EE$2&amp;"+"&amp;AY92&amp;EE$1)</f>
        <v/>
      </c>
      <c r="EF92" s="30" t="str">
        <f t="shared" ref="EF92:EF94" si="1141">IF(AZ92="","","|n"&amp;EF$2&amp;"+"&amp;AZ92&amp;EF$1)</f>
        <v/>
      </c>
      <c r="EG92" s="30" t="str">
        <f t="shared" ref="EG92:EG94" si="1142">IF(BA92="","","|n"&amp;EG$2&amp;"+"&amp;BA92&amp;EG$1)</f>
        <v/>
      </c>
      <c r="EH92" s="30" t="str">
        <f t="shared" ref="EH92:EH94" si="1143">IF(BB92="","","|n"&amp;EH$2&amp;"+"&amp;BB92&amp;EH$1)</f>
        <v/>
      </c>
      <c r="EI92" s="30" t="str">
        <f t="shared" ref="EI92:EI94" si="1144">IF(BC92="","","|n"&amp;EI$2&amp;"+"&amp;BC92&amp;EI$1)</f>
        <v/>
      </c>
      <c r="EJ92" s="30" t="str">
        <f t="shared" ref="EJ92:EJ94" si="1145">IF(BD92="","","|n"&amp;EJ$2&amp;"+"&amp;BD92&amp;EJ$1)</f>
        <v/>
      </c>
      <c r="EK92" s="30" t="str">
        <f t="shared" ref="EK92:EK94" si="1146">IF(BE92="","","|n"&amp;EK$2&amp;"+"&amp;BE92&amp;EK$1)</f>
        <v/>
      </c>
      <c r="EL92" s="30" t="str">
        <f t="shared" ref="EL92:EL94" si="1147">IF(BF92="","","|n"&amp;EL$2&amp;"+"&amp;BF92&amp;EL$1)</f>
        <v/>
      </c>
      <c r="EM92" s="30" t="str">
        <f t="shared" ref="EM92:EM94" si="1148">IF(BG92="","","|n"&amp;EM$2&amp;"+"&amp;BG92&amp;EM$1)</f>
        <v/>
      </c>
      <c r="EN92" s="30" t="str">
        <f t="shared" ref="EN92:EN94" si="1149">IF(BH92="","","|n"&amp;EN$2&amp;"+"&amp;BH92&amp;EN$1)</f>
        <v/>
      </c>
      <c r="EO92" s="30" t="str">
        <f t="shared" ref="EO92:EO94" si="1150">IF(BI92="","","|n"&amp;EO$2&amp;"+"&amp;BI92&amp;EO$1)</f>
        <v/>
      </c>
      <c r="EP92" s="30" t="str">
        <f t="shared" ref="EP92:EP94" si="1151">IF(BJ92="","","|n"&amp;EP$2&amp;"+"&amp;BJ92&amp;EP$1)</f>
        <v/>
      </c>
      <c r="EQ92" s="30" t="str">
        <f t="shared" ref="EQ92:EQ94" si="1152">IF(BK92="","","|n"&amp;EQ$2&amp;"+"&amp;BK92&amp;EQ$1)</f>
        <v/>
      </c>
      <c r="ER92" s="30" t="str">
        <f t="shared" ref="ER92:ER94" si="1153">IF(BL92="","","|n"&amp;ER$2&amp;"+"&amp;BL92&amp;ER$1)</f>
        <v/>
      </c>
      <c r="ES92" s="30" t="str">
        <f t="shared" ref="ES92:ES94" si="1154">IF(BM92="","","|n"&amp;ES$2&amp;"+"&amp;BM92&amp;ES$1)</f>
        <v/>
      </c>
      <c r="ET92" s="30" t="str">
        <f t="shared" ref="ET92:ET94" si="1155">IF(BN92="","","|n"&amp;ET$2&amp;"+"&amp;BN92&amp;ET$1)</f>
        <v/>
      </c>
      <c r="EU92" s="30" t="str">
        <f t="shared" ref="EU92:EU94" si="1156">IF(BO92="","","|n"&amp;EU$2&amp;"+"&amp;BO92&amp;EU$1)</f>
        <v/>
      </c>
      <c r="EV92" s="30" t="str">
        <f t="shared" ref="EV92:EV94" si="1157">IF(BP92="","","|n"&amp;EV$2&amp;"+"&amp;BP92&amp;EV$1)</f>
        <v/>
      </c>
      <c r="EW92" s="30" t="str">
        <f t="shared" ref="EW92:EW94" si="1158">IF(BQ92="","","|n"&amp;EW$2&amp;"+"&amp;BQ92&amp;EW$1)</f>
        <v/>
      </c>
      <c r="EX92" s="30" t="str">
        <f t="shared" ref="EX92:EX94" si="1159">IF(BR92="","","|n"&amp;EX$2&amp;"+"&amp;BR92&amp;EX$1)</f>
        <v/>
      </c>
      <c r="EY92" s="30" t="str">
        <f t="shared" ref="EY92:EY94" si="1160">IF(BS92="","","|n"&amp;EY$2&amp;"+"&amp;BS92&amp;EY$1)</f>
        <v/>
      </c>
      <c r="EZ92" s="30" t="str">
        <f t="shared" ref="EZ92:EZ94" si="1161">IF(BT92="","","|n"&amp;EZ$2&amp;"+"&amp;BT92&amp;EZ$1)</f>
        <v/>
      </c>
      <c r="FA92" s="30" t="str">
        <f t="shared" ref="FA92:FA94" si="1162">IF(BU92="","","|n"&amp;FA$2&amp;"+"&amp;BU92&amp;FA$1)</f>
        <v/>
      </c>
      <c r="FB92" s="30" t="str">
        <f t="shared" ref="FB92:FB94" si="1163">IF(BV92="","","|n"&amp;FB$2&amp;"+"&amp;BV92&amp;FB$1)</f>
        <v/>
      </c>
      <c r="FC92" s="30" t="str">
        <f t="shared" ref="FC92:FC94" si="1164">IF(BW92="","","|n"&amp;FC$2&amp;"+"&amp;BW92&amp;FC$1)</f>
        <v/>
      </c>
      <c r="FD92" s="30" t="str">
        <f t="shared" ref="FD92:FD94" si="1165">IF(BX92="","","|n"&amp;FD$2&amp;"+"&amp;BX92&amp;FD$1)</f>
        <v/>
      </c>
      <c r="FE92" s="30" t="str">
        <f t="shared" ref="FE92:FE94" si="1166">IF(BY92="","","|n"&amp;FE$2&amp;"+"&amp;BY92&amp;FE$1)</f>
        <v/>
      </c>
      <c r="FF92" s="30" t="str">
        <f t="shared" ref="FF92:FF94" si="1167">IF(BZ92="","","|n"&amp;FF$2&amp;"+"&amp;BZ92&amp;FF$1)</f>
        <v/>
      </c>
      <c r="FG92" s="30" t="str">
        <f t="shared" ref="FG92:FG94" si="1168">IF(CA92="","","|n"&amp;FG$2&amp;"+"&amp;CA92&amp;FG$1)</f>
        <v/>
      </c>
      <c r="FH92" s="30" t="str">
        <f t="shared" ref="FH92:FH94" si="1169">IF(CB92="","","|n"&amp;FH$2&amp;"+"&amp;CB92&amp;FH$1)</f>
        <v/>
      </c>
      <c r="FI92" s="30" t="str">
        <f t="shared" ref="FI92:FI94" si="1170">IF(CC92="","","|n"&amp;FI$2&amp;"+"&amp;CC92&amp;FI$1)</f>
        <v/>
      </c>
      <c r="FJ92" s="30" t="str">
        <f t="shared" ref="FJ92:FJ94" si="1171">IF(CD92="","","|n"&amp;FJ$2&amp;"+"&amp;CD92&amp;FJ$1)</f>
        <v/>
      </c>
      <c r="FK92" s="30" t="str">
        <f t="shared" ref="FK92:FK94" si="1172">IF(CE92="","","|n"&amp;FK$2&amp;"+"&amp;CE92&amp;FK$1)</f>
        <v/>
      </c>
      <c r="FL92" s="30" t="str">
        <f t="shared" ref="FL92:FL94" si="1173">IF(CF92="","","|n"&amp;FL$2&amp;"+"&amp;CF92&amp;FL$1)</f>
        <v/>
      </c>
      <c r="FM92" s="30" t="str">
        <f t="shared" ref="FM92:FM94" si="1174">IF(CG92="","","|n"&amp;FM$2&amp;"+"&amp;CG92&amp;FM$1)</f>
        <v/>
      </c>
      <c r="FN92" s="30" t="str">
        <f t="shared" ref="FN92:FN94" si="1175">IF(CH92="","","|n"&amp;FN$2&amp;"+"&amp;CH92&amp;FN$1)</f>
        <v/>
      </c>
      <c r="FO92" s="30" t="str">
        <f t="shared" ref="FO92:FO94" si="1176">IF(CI92="","","|n"&amp;FO$2&amp;"+"&amp;CI92&amp;FO$1)</f>
        <v/>
      </c>
      <c r="FP92" s="30" t="str">
        <f t="shared" ref="FP92:FP94" si="1177">IF(CJ92="","","|n"&amp;FP$2&amp;"+"&amp;CJ92&amp;FP$1)</f>
        <v/>
      </c>
      <c r="FQ92" s="30" t="str">
        <f t="shared" ref="FQ92:FQ94" si="1178">IF(CK92="","","|n"&amp;FQ$2&amp;"+"&amp;CK92&amp;FQ$1)</f>
        <v/>
      </c>
      <c r="FR92" s="30" t="str">
        <f t="shared" ref="FR92:FR94" si="1179">IF(CL92="","","|n"&amp;FR$2&amp;"+"&amp;CL92&amp;FR$1)</f>
        <v/>
      </c>
      <c r="FS92" s="30" t="str">
        <f t="shared" ref="FS92:FS94" si="1180">IF(CM92="","","|n"&amp;FS$2&amp;"+"&amp;CM92&amp;FS$1)</f>
        <v/>
      </c>
    </row>
    <row r="93" spans="1:175" ht="16.5">
      <c r="A93" s="119"/>
      <c r="B93" s="111" t="s">
        <v>841</v>
      </c>
      <c r="C93" s="119" t="s">
        <v>842</v>
      </c>
      <c r="T93" s="114" t="s">
        <v>843</v>
      </c>
      <c r="U93" s="37" t="s">
        <v>822</v>
      </c>
      <c r="CN93" s="7" t="str">
        <f t="shared" si="961"/>
        <v>InitUnitState('CF01',,,,,,,,,,)</v>
      </c>
      <c r="CO93" s="7" t="str">
        <f t="shared" si="962"/>
        <v>InitUnitNormal('CF01',,,,,,,,,,)</v>
      </c>
      <c r="CP93" s="7" t="str">
        <f t="shared" si="963"/>
        <v>InitUnitMagic('CF01',,,,,,,,,,)</v>
      </c>
      <c r="CQ93" s="7" t="str">
        <f t="shared" si="964"/>
        <v>InitUnitAdd('CF01',,,,,,,,,,)</v>
      </c>
      <c r="CR93" s="7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45" t="str">
        <f t="shared" si="1109"/>
        <v>|n</v>
      </c>
      <c r="CV93" s="29" t="str">
        <f t="shared" si="1110"/>
        <v>随机法宝</v>
      </c>
      <c r="CW93" s="24"/>
      <c r="CX93" s="24"/>
      <c r="CY93" s="24"/>
      <c r="CZ93" s="24"/>
      <c r="DA93" s="24"/>
      <c r="DB93" s="30" t="str">
        <f t="shared" si="1111"/>
        <v/>
      </c>
      <c r="DC93" s="30" t="str">
        <f t="shared" si="1112"/>
        <v/>
      </c>
      <c r="DD93" s="30" t="str">
        <f t="shared" si="1113"/>
        <v/>
      </c>
      <c r="DE93" s="30" t="str">
        <f t="shared" si="1114"/>
        <v/>
      </c>
      <c r="DF93" s="30" t="str">
        <f t="shared" si="1115"/>
        <v/>
      </c>
      <c r="DG93" s="30" t="str">
        <f t="shared" si="1116"/>
        <v/>
      </c>
      <c r="DH93" s="30" t="str">
        <f t="shared" si="1117"/>
        <v/>
      </c>
      <c r="DI93" s="30" t="str">
        <f t="shared" si="1118"/>
        <v/>
      </c>
      <c r="DJ93" s="30" t="str">
        <f t="shared" si="1119"/>
        <v/>
      </c>
      <c r="DK93" s="30" t="str">
        <f t="shared" si="1120"/>
        <v/>
      </c>
      <c r="DL93" s="30" t="str">
        <f t="shared" si="1121"/>
        <v/>
      </c>
      <c r="DM93" s="30" t="str">
        <f t="shared" si="1122"/>
        <v/>
      </c>
      <c r="DN93" s="30" t="str">
        <f t="shared" si="1123"/>
        <v/>
      </c>
      <c r="DO93" s="30" t="str">
        <f t="shared" si="1124"/>
        <v/>
      </c>
      <c r="DP93" s="30" t="str">
        <f t="shared" si="1125"/>
        <v/>
      </c>
      <c r="DQ93" s="30" t="str">
        <f t="shared" si="1126"/>
        <v/>
      </c>
      <c r="DR93" s="30" t="str">
        <f t="shared" si="1127"/>
        <v/>
      </c>
      <c r="DS93" s="30" t="str">
        <f t="shared" si="1128"/>
        <v/>
      </c>
      <c r="DT93" s="30" t="str">
        <f t="shared" si="1129"/>
        <v/>
      </c>
      <c r="DU93" s="30" t="str">
        <f t="shared" si="1130"/>
        <v/>
      </c>
      <c r="DV93" s="30" t="str">
        <f t="shared" si="1131"/>
        <v/>
      </c>
      <c r="DW93" s="30" t="str">
        <f t="shared" si="1132"/>
        <v/>
      </c>
      <c r="DX93" s="30" t="str">
        <f t="shared" si="1133"/>
        <v/>
      </c>
      <c r="DY93" s="30" t="str">
        <f t="shared" si="1134"/>
        <v/>
      </c>
      <c r="DZ93" s="30" t="str">
        <f t="shared" si="1135"/>
        <v/>
      </c>
      <c r="EA93" s="30" t="str">
        <f t="shared" si="1136"/>
        <v/>
      </c>
      <c r="EB93" s="30" t="str">
        <f t="shared" si="1137"/>
        <v/>
      </c>
      <c r="EC93" s="30" t="str">
        <f t="shared" si="1138"/>
        <v/>
      </c>
      <c r="ED93" s="30" t="str">
        <f t="shared" si="1139"/>
        <v/>
      </c>
      <c r="EE93" s="30" t="str">
        <f t="shared" si="1140"/>
        <v/>
      </c>
      <c r="EF93" s="30" t="str">
        <f t="shared" si="1141"/>
        <v/>
      </c>
      <c r="EG93" s="30" t="str">
        <f t="shared" si="1142"/>
        <v/>
      </c>
      <c r="EH93" s="30" t="str">
        <f t="shared" si="1143"/>
        <v/>
      </c>
      <c r="EI93" s="30" t="str">
        <f t="shared" si="1144"/>
        <v/>
      </c>
      <c r="EJ93" s="30" t="str">
        <f t="shared" si="1145"/>
        <v/>
      </c>
      <c r="EK93" s="30" t="str">
        <f t="shared" si="1146"/>
        <v/>
      </c>
      <c r="EL93" s="30" t="str">
        <f t="shared" si="1147"/>
        <v/>
      </c>
      <c r="EM93" s="30" t="str">
        <f t="shared" si="1148"/>
        <v/>
      </c>
      <c r="EN93" s="30" t="str">
        <f t="shared" si="1149"/>
        <v/>
      </c>
      <c r="EO93" s="30" t="str">
        <f t="shared" si="1150"/>
        <v/>
      </c>
      <c r="EP93" s="30" t="str">
        <f t="shared" si="1151"/>
        <v/>
      </c>
      <c r="EQ93" s="30" t="str">
        <f t="shared" si="1152"/>
        <v/>
      </c>
      <c r="ER93" s="30" t="str">
        <f t="shared" si="1153"/>
        <v/>
      </c>
      <c r="ES93" s="30" t="str">
        <f t="shared" si="1154"/>
        <v/>
      </c>
      <c r="ET93" s="30" t="str">
        <f t="shared" si="1155"/>
        <v/>
      </c>
      <c r="EU93" s="30" t="str">
        <f t="shared" si="1156"/>
        <v/>
      </c>
      <c r="EV93" s="30" t="str">
        <f t="shared" si="1157"/>
        <v/>
      </c>
      <c r="EW93" s="30" t="str">
        <f t="shared" si="1158"/>
        <v/>
      </c>
      <c r="EX93" s="30" t="str">
        <f t="shared" si="1159"/>
        <v/>
      </c>
      <c r="EY93" s="30" t="str">
        <f t="shared" si="1160"/>
        <v/>
      </c>
      <c r="EZ93" s="30" t="str">
        <f t="shared" si="1161"/>
        <v/>
      </c>
      <c r="FA93" s="30" t="str">
        <f t="shared" si="1162"/>
        <v/>
      </c>
      <c r="FB93" s="30" t="str">
        <f t="shared" si="1163"/>
        <v/>
      </c>
      <c r="FC93" s="30" t="str">
        <f t="shared" si="1164"/>
        <v/>
      </c>
      <c r="FD93" s="30" t="str">
        <f t="shared" si="1165"/>
        <v/>
      </c>
      <c r="FE93" s="30" t="str">
        <f t="shared" si="1166"/>
        <v/>
      </c>
      <c r="FF93" s="30" t="str">
        <f t="shared" si="1167"/>
        <v/>
      </c>
      <c r="FG93" s="30" t="str">
        <f t="shared" si="1168"/>
        <v/>
      </c>
      <c r="FH93" s="30" t="str">
        <f t="shared" si="1169"/>
        <v/>
      </c>
      <c r="FI93" s="30" t="str">
        <f t="shared" si="1170"/>
        <v/>
      </c>
      <c r="FJ93" s="30" t="str">
        <f t="shared" si="1171"/>
        <v/>
      </c>
      <c r="FK93" s="30" t="str">
        <f t="shared" si="1172"/>
        <v/>
      </c>
      <c r="FL93" s="30" t="str">
        <f t="shared" si="1173"/>
        <v/>
      </c>
      <c r="FM93" s="30" t="str">
        <f t="shared" si="1174"/>
        <v/>
      </c>
      <c r="FN93" s="30" t="str">
        <f t="shared" si="1175"/>
        <v/>
      </c>
      <c r="FO93" s="30" t="str">
        <f t="shared" si="1176"/>
        <v/>
      </c>
      <c r="FP93" s="30" t="str">
        <f t="shared" si="1177"/>
        <v/>
      </c>
      <c r="FQ93" s="30" t="str">
        <f t="shared" si="1178"/>
        <v/>
      </c>
      <c r="FR93" s="30" t="str">
        <f t="shared" si="1179"/>
        <v/>
      </c>
      <c r="FS93" s="30" t="str">
        <f t="shared" si="1180"/>
        <v/>
      </c>
    </row>
    <row r="94" spans="1:175" ht="16.5">
      <c r="A94" s="111"/>
      <c r="B94" s="111" t="s">
        <v>937</v>
      </c>
      <c r="C94" s="111" t="s">
        <v>942</v>
      </c>
      <c r="T94" s="122" t="s">
        <v>947</v>
      </c>
      <c r="U94" s="37" t="s">
        <v>822</v>
      </c>
      <c r="CN94" s="7" t="str">
        <f t="shared" ref="CN94" si="1181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7" t="str">
        <f t="shared" ref="CO94" si="1182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7" t="str">
        <f t="shared" ref="CP94" si="1183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7" t="str">
        <f t="shared" ref="CQ94" si="1184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122&amp;CR$1&amp;")"</f>
        <v>InitEquipData('I001',,"",,,,,'','','','','','',"ReplaceableTextures\\CommandButtons\\BTNTome.blp")</v>
      </c>
      <c r="CU94" s="45" t="str">
        <f t="shared" si="1109"/>
        <v>|n</v>
      </c>
      <c r="CV94" s="29" t="str">
        <f t="shared" si="1110"/>
        <v>回复80%生命，解除异常状态</v>
      </c>
      <c r="CW94" s="24"/>
      <c r="CX94" s="24"/>
      <c r="CY94" s="24"/>
      <c r="CZ94" s="24"/>
      <c r="DA94" s="24"/>
      <c r="DB94" s="30" t="str">
        <f t="shared" si="1111"/>
        <v/>
      </c>
      <c r="DC94" s="30" t="str">
        <f t="shared" si="1112"/>
        <v/>
      </c>
      <c r="DD94" s="30" t="str">
        <f t="shared" si="1113"/>
        <v/>
      </c>
      <c r="DE94" s="30" t="str">
        <f t="shared" si="1114"/>
        <v/>
      </c>
      <c r="DF94" s="30" t="str">
        <f t="shared" si="1115"/>
        <v/>
      </c>
      <c r="DG94" s="30" t="str">
        <f t="shared" si="1116"/>
        <v/>
      </c>
      <c r="DH94" s="30" t="str">
        <f t="shared" si="1117"/>
        <v/>
      </c>
      <c r="DI94" s="30" t="str">
        <f t="shared" si="1118"/>
        <v/>
      </c>
      <c r="DJ94" s="30" t="str">
        <f t="shared" si="1119"/>
        <v/>
      </c>
      <c r="DK94" s="30" t="str">
        <f t="shared" si="1120"/>
        <v/>
      </c>
      <c r="DL94" s="30" t="str">
        <f t="shared" si="1121"/>
        <v/>
      </c>
      <c r="DM94" s="30" t="str">
        <f t="shared" si="1122"/>
        <v/>
      </c>
      <c r="DN94" s="30" t="str">
        <f t="shared" si="1123"/>
        <v/>
      </c>
      <c r="DO94" s="30" t="str">
        <f t="shared" si="1124"/>
        <v/>
      </c>
      <c r="DP94" s="30" t="str">
        <f t="shared" si="1125"/>
        <v/>
      </c>
      <c r="DQ94" s="30" t="str">
        <f t="shared" si="1126"/>
        <v/>
      </c>
      <c r="DR94" s="30" t="str">
        <f t="shared" si="1127"/>
        <v/>
      </c>
      <c r="DS94" s="30" t="str">
        <f t="shared" si="1128"/>
        <v/>
      </c>
      <c r="DT94" s="30" t="str">
        <f t="shared" si="1129"/>
        <v/>
      </c>
      <c r="DU94" s="30" t="str">
        <f t="shared" si="1130"/>
        <v/>
      </c>
      <c r="DV94" s="30" t="str">
        <f t="shared" si="1131"/>
        <v/>
      </c>
      <c r="DW94" s="30" t="str">
        <f t="shared" si="1132"/>
        <v/>
      </c>
      <c r="DX94" s="30" t="str">
        <f t="shared" si="1133"/>
        <v/>
      </c>
      <c r="DY94" s="30" t="str">
        <f t="shared" si="1134"/>
        <v/>
      </c>
      <c r="DZ94" s="30" t="str">
        <f t="shared" si="1135"/>
        <v/>
      </c>
      <c r="EA94" s="30" t="str">
        <f t="shared" si="1136"/>
        <v/>
      </c>
      <c r="EB94" s="30" t="str">
        <f t="shared" si="1137"/>
        <v/>
      </c>
      <c r="EC94" s="30" t="str">
        <f t="shared" si="1138"/>
        <v/>
      </c>
      <c r="ED94" s="30" t="str">
        <f t="shared" si="1139"/>
        <v/>
      </c>
      <c r="EE94" s="30" t="str">
        <f t="shared" si="1140"/>
        <v/>
      </c>
      <c r="EF94" s="30" t="str">
        <f t="shared" si="1141"/>
        <v/>
      </c>
      <c r="EG94" s="30" t="str">
        <f t="shared" si="1142"/>
        <v/>
      </c>
      <c r="EH94" s="30" t="str">
        <f t="shared" si="1143"/>
        <v/>
      </c>
      <c r="EI94" s="30" t="str">
        <f t="shared" si="1144"/>
        <v/>
      </c>
      <c r="EJ94" s="30" t="str">
        <f t="shared" si="1145"/>
        <v/>
      </c>
      <c r="EK94" s="30" t="str">
        <f t="shared" si="1146"/>
        <v/>
      </c>
      <c r="EL94" s="30" t="str">
        <f t="shared" si="1147"/>
        <v/>
      </c>
      <c r="EM94" s="30" t="str">
        <f t="shared" si="1148"/>
        <v/>
      </c>
      <c r="EN94" s="30" t="str">
        <f t="shared" si="1149"/>
        <v/>
      </c>
      <c r="EO94" s="30" t="str">
        <f t="shared" si="1150"/>
        <v/>
      </c>
      <c r="EP94" s="30" t="str">
        <f t="shared" si="1151"/>
        <v/>
      </c>
      <c r="EQ94" s="30" t="str">
        <f t="shared" si="1152"/>
        <v/>
      </c>
      <c r="ER94" s="30" t="str">
        <f t="shared" si="1153"/>
        <v/>
      </c>
      <c r="ES94" s="30" t="str">
        <f t="shared" si="1154"/>
        <v/>
      </c>
      <c r="ET94" s="30" t="str">
        <f t="shared" si="1155"/>
        <v/>
      </c>
      <c r="EU94" s="30" t="str">
        <f t="shared" si="1156"/>
        <v/>
      </c>
      <c r="EV94" s="30" t="str">
        <f t="shared" si="1157"/>
        <v/>
      </c>
      <c r="EW94" s="30" t="str">
        <f t="shared" si="1158"/>
        <v/>
      </c>
      <c r="EX94" s="30" t="str">
        <f t="shared" si="1159"/>
        <v/>
      </c>
      <c r="EY94" s="30" t="str">
        <f t="shared" si="1160"/>
        <v/>
      </c>
      <c r="EZ94" s="30" t="str">
        <f t="shared" si="1161"/>
        <v/>
      </c>
      <c r="FA94" s="30" t="str">
        <f t="shared" si="1162"/>
        <v/>
      </c>
      <c r="FB94" s="30" t="str">
        <f t="shared" si="1163"/>
        <v/>
      </c>
      <c r="FC94" s="30" t="str">
        <f t="shared" si="1164"/>
        <v/>
      </c>
      <c r="FD94" s="30" t="str">
        <f t="shared" si="1165"/>
        <v/>
      </c>
      <c r="FE94" s="30" t="str">
        <f t="shared" si="1166"/>
        <v/>
      </c>
      <c r="FF94" s="30" t="str">
        <f t="shared" si="1167"/>
        <v/>
      </c>
      <c r="FG94" s="30" t="str">
        <f t="shared" si="1168"/>
        <v/>
      </c>
      <c r="FH94" s="30" t="str">
        <f t="shared" si="1169"/>
        <v/>
      </c>
      <c r="FI94" s="30" t="str">
        <f t="shared" si="1170"/>
        <v/>
      </c>
      <c r="FJ94" s="30" t="str">
        <f t="shared" si="1171"/>
        <v/>
      </c>
      <c r="FK94" s="30" t="str">
        <f t="shared" si="1172"/>
        <v/>
      </c>
      <c r="FL94" s="30" t="str">
        <f t="shared" si="1173"/>
        <v/>
      </c>
      <c r="FM94" s="30" t="str">
        <f t="shared" si="1174"/>
        <v/>
      </c>
      <c r="FN94" s="30" t="str">
        <f t="shared" si="1175"/>
        <v/>
      </c>
      <c r="FO94" s="30" t="str">
        <f t="shared" si="1176"/>
        <v/>
      </c>
      <c r="FP94" s="30" t="str">
        <f t="shared" si="1177"/>
        <v/>
      </c>
      <c r="FQ94" s="30" t="str">
        <f t="shared" si="1178"/>
        <v/>
      </c>
      <c r="FR94" s="30" t="str">
        <f t="shared" si="1179"/>
        <v/>
      </c>
      <c r="FS94" s="30" t="str">
        <f t="shared" si="1180"/>
        <v/>
      </c>
    </row>
    <row r="95" spans="1:175" ht="16.5">
      <c r="A95" s="111"/>
      <c r="B95" s="111" t="s">
        <v>938</v>
      </c>
      <c r="C95" s="111" t="s">
        <v>943</v>
      </c>
      <c r="T95" s="122" t="s">
        <v>948</v>
      </c>
      <c r="U95" s="37" t="s">
        <v>822</v>
      </c>
      <c r="CN95" s="7" t="str">
        <f t="shared" ref="CN95:CN96" si="1185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7" t="str">
        <f t="shared" ref="CO95:CO96" si="1186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7" t="str">
        <f t="shared" ref="CP95:CP96" si="1187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7" t="str">
        <f t="shared" ref="CQ95:CQ96" si="1188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123&amp;CR$1&amp;")"</f>
        <v>InitEquipData('I002',,"",,,,,'','','','','','',"ReplaceableTextures\\CommandButtons\\BTNTome.blp")</v>
      </c>
      <c r="CU95" s="45" t="str">
        <f t="shared" ref="CU95:CU96" si="1189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29" t="str">
        <f t="shared" ref="CV95:CV96" si="1190">T95</f>
        <v>回复70%蓝量</v>
      </c>
      <c r="CW95" s="24"/>
      <c r="CX95" s="24"/>
      <c r="CY95" s="24"/>
      <c r="CZ95" s="24"/>
      <c r="DA95" s="24"/>
      <c r="DB95" s="30" t="str">
        <f t="shared" ref="DB95:DB96" si="1191">IF(V95="","","|n"&amp;DB$2&amp;"+"&amp;V95&amp;DB$1)</f>
        <v/>
      </c>
      <c r="DC95" s="30" t="str">
        <f t="shared" ref="DC95:DC96" si="1192">IF(W95="","","|n"&amp;DC$2&amp;"+"&amp;W95&amp;DC$1)</f>
        <v/>
      </c>
      <c r="DD95" s="30" t="str">
        <f t="shared" ref="DD95:DD96" si="1193">IF(X95="","","|n"&amp;DD$2&amp;"+"&amp;X95&amp;DD$1)</f>
        <v/>
      </c>
      <c r="DE95" s="30" t="str">
        <f t="shared" ref="DE95:DE96" si="1194">IF(Y95="","","|n"&amp;DE$2&amp;"+"&amp;Y95&amp;DE$1)</f>
        <v/>
      </c>
      <c r="DF95" s="30" t="str">
        <f t="shared" ref="DF95:DF96" si="1195">IF(Z95="","","|n"&amp;DF$2&amp;"+"&amp;Z95&amp;DF$1)</f>
        <v/>
      </c>
      <c r="DG95" s="30" t="str">
        <f t="shared" ref="DG95:DG96" si="1196">IF(AA95="","","|n"&amp;DG$2&amp;"+"&amp;AA95&amp;DG$1)</f>
        <v/>
      </c>
      <c r="DH95" s="30" t="str">
        <f t="shared" ref="DH95:DH96" si="1197">IF(AB95="","","|n"&amp;DH$2&amp;"+"&amp;AB95&amp;DH$1)</f>
        <v/>
      </c>
      <c r="DI95" s="30" t="str">
        <f t="shared" ref="DI95:DI96" si="1198">IF(AC95="","","|n"&amp;DI$2&amp;"+"&amp;AC95&amp;DI$1)</f>
        <v/>
      </c>
      <c r="DJ95" s="30" t="str">
        <f t="shared" ref="DJ95:DJ96" si="1199">IF(AD95="","","|n"&amp;DJ$2&amp;"+"&amp;AD95&amp;DJ$1)</f>
        <v/>
      </c>
      <c r="DK95" s="30" t="str">
        <f t="shared" ref="DK95:DK96" si="1200">IF(AE95="","","|n"&amp;DK$2&amp;"+"&amp;AE95&amp;DK$1)</f>
        <v/>
      </c>
      <c r="DL95" s="30" t="str">
        <f t="shared" ref="DL95:DL96" si="1201">IF(AF95="","","|n"&amp;DL$2&amp;"+"&amp;AF95&amp;DL$1)</f>
        <v/>
      </c>
      <c r="DM95" s="30" t="str">
        <f t="shared" ref="DM95:DM96" si="1202">IF(AG95="","","|n"&amp;DM$2&amp;"+"&amp;AG95&amp;DM$1)</f>
        <v/>
      </c>
      <c r="DN95" s="30" t="str">
        <f t="shared" ref="DN95:DN96" si="1203">IF(AH95="","","|n"&amp;DN$2&amp;"+"&amp;AH95&amp;DN$1)</f>
        <v/>
      </c>
      <c r="DO95" s="30" t="str">
        <f t="shared" ref="DO95:DO96" si="1204">IF(AI95="","","|n"&amp;DO$2&amp;"+"&amp;AI95&amp;DO$1)</f>
        <v/>
      </c>
      <c r="DP95" s="30" t="str">
        <f t="shared" ref="DP95:DP96" si="1205">IF(AJ95="","","|n"&amp;DP$2&amp;"+"&amp;AJ95&amp;DP$1)</f>
        <v/>
      </c>
      <c r="DQ95" s="30" t="str">
        <f t="shared" ref="DQ95:DQ96" si="1206">IF(AK95="","","|n"&amp;DQ$2&amp;"+"&amp;AK95&amp;DQ$1)</f>
        <v/>
      </c>
      <c r="DR95" s="30" t="str">
        <f t="shared" ref="DR95:DR96" si="1207">IF(AL95="","","|n"&amp;DR$2&amp;"+"&amp;AL95&amp;DR$1)</f>
        <v/>
      </c>
      <c r="DS95" s="30" t="str">
        <f t="shared" ref="DS95:DS96" si="1208">IF(AM95="","","|n"&amp;DS$2&amp;"+"&amp;AM95&amp;DS$1)</f>
        <v/>
      </c>
      <c r="DT95" s="30" t="str">
        <f t="shared" ref="DT95:DT96" si="1209">IF(AN95="","","|n"&amp;DT$2&amp;"+"&amp;AN95&amp;DT$1)</f>
        <v/>
      </c>
      <c r="DU95" s="30" t="str">
        <f t="shared" ref="DU95:DU96" si="1210">IF(AO95="","","|n"&amp;DU$2&amp;"+"&amp;AO95&amp;DU$1)</f>
        <v/>
      </c>
      <c r="DV95" s="30" t="str">
        <f t="shared" ref="DV95:DV96" si="1211">IF(AP95="","","|n"&amp;DV$2&amp;"+"&amp;AP95&amp;DV$1)</f>
        <v/>
      </c>
      <c r="DW95" s="30" t="str">
        <f t="shared" ref="DW95:DW96" si="1212">IF(AQ95="","","|n"&amp;DW$2&amp;"+"&amp;AQ95&amp;DW$1)</f>
        <v/>
      </c>
      <c r="DX95" s="30" t="str">
        <f t="shared" ref="DX95:DX96" si="1213">IF(AR95="","","|n"&amp;DX$2&amp;"+"&amp;AR95&amp;DX$1)</f>
        <v/>
      </c>
      <c r="DY95" s="30" t="str">
        <f t="shared" ref="DY95:DY96" si="1214">IF(AS95="","","|n"&amp;DY$2&amp;"+"&amp;AS95&amp;DY$1)</f>
        <v/>
      </c>
      <c r="DZ95" s="30" t="str">
        <f t="shared" ref="DZ95:DZ96" si="1215">IF(AT95="","","|n"&amp;DZ$2&amp;"+"&amp;AT95&amp;DZ$1)</f>
        <v/>
      </c>
      <c r="EA95" s="30" t="str">
        <f t="shared" ref="EA95:EA96" si="1216">IF(AU95="","","|n"&amp;EA$2&amp;"+"&amp;AU95&amp;EA$1)</f>
        <v/>
      </c>
      <c r="EB95" s="30" t="str">
        <f t="shared" ref="EB95:EB96" si="1217">IF(AV95="","","|n"&amp;EB$2&amp;"+"&amp;AV95&amp;EB$1)</f>
        <v/>
      </c>
      <c r="EC95" s="30" t="str">
        <f t="shared" ref="EC95:EC96" si="1218">IF(AW95="","","|n"&amp;EC$2&amp;"+"&amp;AW95&amp;EC$1)</f>
        <v/>
      </c>
      <c r="ED95" s="30" t="str">
        <f t="shared" ref="ED95:ED96" si="1219">IF(AX95="","","|n"&amp;ED$2&amp;"+"&amp;AX95&amp;ED$1)</f>
        <v/>
      </c>
      <c r="EE95" s="30" t="str">
        <f t="shared" ref="EE95:EE96" si="1220">IF(AY95="","","|n"&amp;EE$2&amp;"+"&amp;AY95&amp;EE$1)</f>
        <v/>
      </c>
      <c r="EF95" s="30" t="str">
        <f t="shared" ref="EF95:EF96" si="1221">IF(AZ95="","","|n"&amp;EF$2&amp;"+"&amp;AZ95&amp;EF$1)</f>
        <v/>
      </c>
      <c r="EG95" s="30" t="str">
        <f t="shared" ref="EG95:EG96" si="1222">IF(BA95="","","|n"&amp;EG$2&amp;"+"&amp;BA95&amp;EG$1)</f>
        <v/>
      </c>
      <c r="EH95" s="30" t="str">
        <f t="shared" ref="EH95:EH96" si="1223">IF(BB95="","","|n"&amp;EH$2&amp;"+"&amp;BB95&amp;EH$1)</f>
        <v/>
      </c>
      <c r="EI95" s="30" t="str">
        <f t="shared" ref="EI95:EI96" si="1224">IF(BC95="","","|n"&amp;EI$2&amp;"+"&amp;BC95&amp;EI$1)</f>
        <v/>
      </c>
      <c r="EJ95" s="30" t="str">
        <f t="shared" ref="EJ95:EJ96" si="1225">IF(BD95="","","|n"&amp;EJ$2&amp;"+"&amp;BD95&amp;EJ$1)</f>
        <v/>
      </c>
      <c r="EK95" s="30" t="str">
        <f t="shared" ref="EK95:EK96" si="1226">IF(BE95="","","|n"&amp;EK$2&amp;"+"&amp;BE95&amp;EK$1)</f>
        <v/>
      </c>
      <c r="EL95" s="30" t="str">
        <f t="shared" ref="EL95:EL96" si="1227">IF(BF95="","","|n"&amp;EL$2&amp;"+"&amp;BF95&amp;EL$1)</f>
        <v/>
      </c>
      <c r="EM95" s="30" t="str">
        <f t="shared" ref="EM95:EM96" si="1228">IF(BG95="","","|n"&amp;EM$2&amp;"+"&amp;BG95&amp;EM$1)</f>
        <v/>
      </c>
      <c r="EN95" s="30" t="str">
        <f t="shared" ref="EN95:EN96" si="1229">IF(BH95="","","|n"&amp;EN$2&amp;"+"&amp;BH95&amp;EN$1)</f>
        <v/>
      </c>
      <c r="EO95" s="30" t="str">
        <f t="shared" ref="EO95:EO96" si="1230">IF(BI95="","","|n"&amp;EO$2&amp;"+"&amp;BI95&amp;EO$1)</f>
        <v/>
      </c>
      <c r="EP95" s="30" t="str">
        <f t="shared" ref="EP95:EP96" si="1231">IF(BJ95="","","|n"&amp;EP$2&amp;"+"&amp;BJ95&amp;EP$1)</f>
        <v/>
      </c>
      <c r="EQ95" s="30" t="str">
        <f t="shared" ref="EQ95:EQ96" si="1232">IF(BK95="","","|n"&amp;EQ$2&amp;"+"&amp;BK95&amp;EQ$1)</f>
        <v/>
      </c>
      <c r="ER95" s="30" t="str">
        <f t="shared" ref="ER95:ER96" si="1233">IF(BL95="","","|n"&amp;ER$2&amp;"+"&amp;BL95&amp;ER$1)</f>
        <v/>
      </c>
      <c r="ES95" s="30" t="str">
        <f t="shared" ref="ES95:ES96" si="1234">IF(BM95="","","|n"&amp;ES$2&amp;"+"&amp;BM95&amp;ES$1)</f>
        <v/>
      </c>
      <c r="ET95" s="30" t="str">
        <f t="shared" ref="ET95:ET96" si="1235">IF(BN95="","","|n"&amp;ET$2&amp;"+"&amp;BN95&amp;ET$1)</f>
        <v/>
      </c>
      <c r="EU95" s="30" t="str">
        <f t="shared" ref="EU95:EU96" si="1236">IF(BO95="","","|n"&amp;EU$2&amp;"+"&amp;BO95&amp;EU$1)</f>
        <v/>
      </c>
      <c r="EV95" s="30" t="str">
        <f t="shared" ref="EV95:EV96" si="1237">IF(BP95="","","|n"&amp;EV$2&amp;"+"&amp;BP95&amp;EV$1)</f>
        <v/>
      </c>
      <c r="EW95" s="30" t="str">
        <f t="shared" ref="EW95:EW96" si="1238">IF(BQ95="","","|n"&amp;EW$2&amp;"+"&amp;BQ95&amp;EW$1)</f>
        <v/>
      </c>
      <c r="EX95" s="30" t="str">
        <f t="shared" ref="EX95:EX96" si="1239">IF(BR95="","","|n"&amp;EX$2&amp;"+"&amp;BR95&amp;EX$1)</f>
        <v/>
      </c>
      <c r="EY95" s="30" t="str">
        <f t="shared" ref="EY95:EY96" si="1240">IF(BS95="","","|n"&amp;EY$2&amp;"+"&amp;BS95&amp;EY$1)</f>
        <v/>
      </c>
      <c r="EZ95" s="30" t="str">
        <f t="shared" ref="EZ95:EZ96" si="1241">IF(BT95="","","|n"&amp;EZ$2&amp;"+"&amp;BT95&amp;EZ$1)</f>
        <v/>
      </c>
      <c r="FA95" s="30" t="str">
        <f t="shared" ref="FA95:FA96" si="1242">IF(BU95="","","|n"&amp;FA$2&amp;"+"&amp;BU95&amp;FA$1)</f>
        <v/>
      </c>
      <c r="FB95" s="30" t="str">
        <f t="shared" ref="FB95:FB96" si="1243">IF(BV95="","","|n"&amp;FB$2&amp;"+"&amp;BV95&amp;FB$1)</f>
        <v/>
      </c>
      <c r="FC95" s="30" t="str">
        <f t="shared" ref="FC95:FC96" si="1244">IF(BW95="","","|n"&amp;FC$2&amp;"+"&amp;BW95&amp;FC$1)</f>
        <v/>
      </c>
      <c r="FD95" s="30" t="str">
        <f t="shared" ref="FD95:FD96" si="1245">IF(BX95="","","|n"&amp;FD$2&amp;"+"&amp;BX95&amp;FD$1)</f>
        <v/>
      </c>
      <c r="FE95" s="30" t="str">
        <f t="shared" ref="FE95:FE96" si="1246">IF(BY95="","","|n"&amp;FE$2&amp;"+"&amp;BY95&amp;FE$1)</f>
        <v/>
      </c>
      <c r="FF95" s="30" t="str">
        <f t="shared" ref="FF95:FF96" si="1247">IF(BZ95="","","|n"&amp;FF$2&amp;"+"&amp;BZ95&amp;FF$1)</f>
        <v/>
      </c>
      <c r="FG95" s="30" t="str">
        <f t="shared" ref="FG95:FG96" si="1248">IF(CA95="","","|n"&amp;FG$2&amp;"+"&amp;CA95&amp;FG$1)</f>
        <v/>
      </c>
      <c r="FH95" s="30" t="str">
        <f t="shared" ref="FH95:FH96" si="1249">IF(CB95="","","|n"&amp;FH$2&amp;"+"&amp;CB95&amp;FH$1)</f>
        <v/>
      </c>
      <c r="FI95" s="30" t="str">
        <f t="shared" ref="FI95:FI96" si="1250">IF(CC95="","","|n"&amp;FI$2&amp;"+"&amp;CC95&amp;FI$1)</f>
        <v/>
      </c>
      <c r="FJ95" s="30" t="str">
        <f t="shared" ref="FJ95:FJ96" si="1251">IF(CD95="","","|n"&amp;FJ$2&amp;"+"&amp;CD95&amp;FJ$1)</f>
        <v/>
      </c>
      <c r="FK95" s="30" t="str">
        <f t="shared" ref="FK95:FK96" si="1252">IF(CE95="","","|n"&amp;FK$2&amp;"+"&amp;CE95&amp;FK$1)</f>
        <v/>
      </c>
      <c r="FL95" s="30" t="str">
        <f t="shared" ref="FL95:FL96" si="1253">IF(CF95="","","|n"&amp;FL$2&amp;"+"&amp;CF95&amp;FL$1)</f>
        <v/>
      </c>
      <c r="FM95" s="30" t="str">
        <f t="shared" ref="FM95:FM96" si="1254">IF(CG95="","","|n"&amp;FM$2&amp;"+"&amp;CG95&amp;FM$1)</f>
        <v/>
      </c>
      <c r="FN95" s="30" t="str">
        <f t="shared" ref="FN95:FN96" si="1255">IF(CH95="","","|n"&amp;FN$2&amp;"+"&amp;CH95&amp;FN$1)</f>
        <v/>
      </c>
      <c r="FO95" s="30" t="str">
        <f t="shared" ref="FO95:FO96" si="1256">IF(CI95="","","|n"&amp;FO$2&amp;"+"&amp;CI95&amp;FO$1)</f>
        <v/>
      </c>
      <c r="FP95" s="30" t="str">
        <f t="shared" ref="FP95:FP96" si="1257">IF(CJ95="","","|n"&amp;FP$2&amp;"+"&amp;CJ95&amp;FP$1)</f>
        <v/>
      </c>
      <c r="FQ95" s="30" t="str">
        <f t="shared" ref="FQ95:FQ96" si="1258">IF(CK95="","","|n"&amp;FQ$2&amp;"+"&amp;CK95&amp;FQ$1)</f>
        <v/>
      </c>
      <c r="FR95" s="30" t="str">
        <f t="shared" ref="FR95:FR96" si="1259">IF(CL95="","","|n"&amp;FR$2&amp;"+"&amp;CL95&amp;FR$1)</f>
        <v/>
      </c>
      <c r="FS95" s="30" t="str">
        <f t="shared" ref="FS95:FS96" si="1260">IF(CM95="","","|n"&amp;FS$2&amp;"+"&amp;CM95&amp;FS$1)</f>
        <v/>
      </c>
    </row>
    <row r="96" spans="1:175" ht="16.5">
      <c r="A96" s="111"/>
      <c r="B96" s="111" t="s">
        <v>939</v>
      </c>
      <c r="C96" s="111" t="s">
        <v>949</v>
      </c>
      <c r="T96" s="122" t="s">
        <v>950</v>
      </c>
      <c r="U96" s="37" t="s">
        <v>822</v>
      </c>
      <c r="CN96" s="7" t="str">
        <f t="shared" si="1185"/>
        <v>InitUnitState('I003',,,,,,,,,,)</v>
      </c>
      <c r="CO96" s="7" t="str">
        <f t="shared" si="1186"/>
        <v>InitUnitNormal('I003',,,,,,,,,,)</v>
      </c>
      <c r="CP96" s="7" t="str">
        <f t="shared" si="1187"/>
        <v>InitUnitMagic('I003',,,,,,,,,,)</v>
      </c>
      <c r="CQ96" s="7" t="str">
        <f t="shared" si="1188"/>
        <v>InitUnitAdd('I003',,,,,,,,,,)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124&amp;CR$1&amp;")"</f>
        <v>InitEquipData('I003',,"",,,,,'','','','','','',"ReplaceableTextures\\CommandButtons\\BTNTome.blp")</v>
      </c>
      <c r="CU96" s="45" t="str">
        <f t="shared" si="1189"/>
        <v>|n</v>
      </c>
      <c r="CV96" s="29" t="str">
        <f t="shared" si="1190"/>
        <v>攻击速度+60%，持续15秒。</v>
      </c>
      <c r="CW96" s="24"/>
      <c r="CX96" s="24"/>
      <c r="CY96" s="24"/>
      <c r="CZ96" s="24"/>
      <c r="DA96" s="24"/>
      <c r="DB96" s="30" t="str">
        <f t="shared" si="1191"/>
        <v/>
      </c>
      <c r="DC96" s="30" t="str">
        <f t="shared" si="1192"/>
        <v/>
      </c>
      <c r="DD96" s="30" t="str">
        <f t="shared" si="1193"/>
        <v/>
      </c>
      <c r="DE96" s="30" t="str">
        <f t="shared" si="1194"/>
        <v/>
      </c>
      <c r="DF96" s="30" t="str">
        <f t="shared" si="1195"/>
        <v/>
      </c>
      <c r="DG96" s="30" t="str">
        <f t="shared" si="1196"/>
        <v/>
      </c>
      <c r="DH96" s="30" t="str">
        <f t="shared" si="1197"/>
        <v/>
      </c>
      <c r="DI96" s="30" t="str">
        <f t="shared" si="1198"/>
        <v/>
      </c>
      <c r="DJ96" s="30" t="str">
        <f t="shared" si="1199"/>
        <v/>
      </c>
      <c r="DK96" s="30" t="str">
        <f t="shared" si="1200"/>
        <v/>
      </c>
      <c r="DL96" s="30" t="str">
        <f t="shared" si="1201"/>
        <v/>
      </c>
      <c r="DM96" s="30" t="str">
        <f t="shared" si="1202"/>
        <v/>
      </c>
      <c r="DN96" s="30" t="str">
        <f t="shared" si="1203"/>
        <v/>
      </c>
      <c r="DO96" s="30" t="str">
        <f t="shared" si="1204"/>
        <v/>
      </c>
      <c r="DP96" s="30" t="str">
        <f t="shared" si="1205"/>
        <v/>
      </c>
      <c r="DQ96" s="30" t="str">
        <f t="shared" si="1206"/>
        <v/>
      </c>
      <c r="DR96" s="30" t="str">
        <f t="shared" si="1207"/>
        <v/>
      </c>
      <c r="DS96" s="30" t="str">
        <f t="shared" si="1208"/>
        <v/>
      </c>
      <c r="DT96" s="30" t="str">
        <f t="shared" si="1209"/>
        <v/>
      </c>
      <c r="DU96" s="30" t="str">
        <f t="shared" si="1210"/>
        <v/>
      </c>
      <c r="DV96" s="30" t="str">
        <f t="shared" si="1211"/>
        <v/>
      </c>
      <c r="DW96" s="30" t="str">
        <f t="shared" si="1212"/>
        <v/>
      </c>
      <c r="DX96" s="30" t="str">
        <f t="shared" si="1213"/>
        <v/>
      </c>
      <c r="DY96" s="30" t="str">
        <f t="shared" si="1214"/>
        <v/>
      </c>
      <c r="DZ96" s="30" t="str">
        <f t="shared" si="1215"/>
        <v/>
      </c>
      <c r="EA96" s="30" t="str">
        <f t="shared" si="1216"/>
        <v/>
      </c>
      <c r="EB96" s="30" t="str">
        <f t="shared" si="1217"/>
        <v/>
      </c>
      <c r="EC96" s="30" t="str">
        <f t="shared" si="1218"/>
        <v/>
      </c>
      <c r="ED96" s="30" t="str">
        <f t="shared" si="1219"/>
        <v/>
      </c>
      <c r="EE96" s="30" t="str">
        <f t="shared" si="1220"/>
        <v/>
      </c>
      <c r="EF96" s="30" t="str">
        <f t="shared" si="1221"/>
        <v/>
      </c>
      <c r="EG96" s="30" t="str">
        <f t="shared" si="1222"/>
        <v/>
      </c>
      <c r="EH96" s="30" t="str">
        <f t="shared" si="1223"/>
        <v/>
      </c>
      <c r="EI96" s="30" t="str">
        <f t="shared" si="1224"/>
        <v/>
      </c>
      <c r="EJ96" s="30" t="str">
        <f t="shared" si="1225"/>
        <v/>
      </c>
      <c r="EK96" s="30" t="str">
        <f t="shared" si="1226"/>
        <v/>
      </c>
      <c r="EL96" s="30" t="str">
        <f t="shared" si="1227"/>
        <v/>
      </c>
      <c r="EM96" s="30" t="str">
        <f t="shared" si="1228"/>
        <v/>
      </c>
      <c r="EN96" s="30" t="str">
        <f t="shared" si="1229"/>
        <v/>
      </c>
      <c r="EO96" s="30" t="str">
        <f t="shared" si="1230"/>
        <v/>
      </c>
      <c r="EP96" s="30" t="str">
        <f t="shared" si="1231"/>
        <v/>
      </c>
      <c r="EQ96" s="30" t="str">
        <f t="shared" si="1232"/>
        <v/>
      </c>
      <c r="ER96" s="30" t="str">
        <f t="shared" si="1233"/>
        <v/>
      </c>
      <c r="ES96" s="30" t="str">
        <f t="shared" si="1234"/>
        <v/>
      </c>
      <c r="ET96" s="30" t="str">
        <f t="shared" si="1235"/>
        <v/>
      </c>
      <c r="EU96" s="30" t="str">
        <f t="shared" si="1236"/>
        <v/>
      </c>
      <c r="EV96" s="30" t="str">
        <f t="shared" si="1237"/>
        <v/>
      </c>
      <c r="EW96" s="30" t="str">
        <f t="shared" si="1238"/>
        <v/>
      </c>
      <c r="EX96" s="30" t="str">
        <f t="shared" si="1239"/>
        <v/>
      </c>
      <c r="EY96" s="30" t="str">
        <f t="shared" si="1240"/>
        <v/>
      </c>
      <c r="EZ96" s="30" t="str">
        <f t="shared" si="1241"/>
        <v/>
      </c>
      <c r="FA96" s="30" t="str">
        <f t="shared" si="1242"/>
        <v/>
      </c>
      <c r="FB96" s="30" t="str">
        <f t="shared" si="1243"/>
        <v/>
      </c>
      <c r="FC96" s="30" t="str">
        <f t="shared" si="1244"/>
        <v/>
      </c>
      <c r="FD96" s="30" t="str">
        <f t="shared" si="1245"/>
        <v/>
      </c>
      <c r="FE96" s="30" t="str">
        <f t="shared" si="1246"/>
        <v/>
      </c>
      <c r="FF96" s="30" t="str">
        <f t="shared" si="1247"/>
        <v/>
      </c>
      <c r="FG96" s="30" t="str">
        <f t="shared" si="1248"/>
        <v/>
      </c>
      <c r="FH96" s="30" t="str">
        <f t="shared" si="1249"/>
        <v/>
      </c>
      <c r="FI96" s="30" t="str">
        <f t="shared" si="1250"/>
        <v/>
      </c>
      <c r="FJ96" s="30" t="str">
        <f t="shared" si="1251"/>
        <v/>
      </c>
      <c r="FK96" s="30" t="str">
        <f t="shared" si="1252"/>
        <v/>
      </c>
      <c r="FL96" s="30" t="str">
        <f t="shared" si="1253"/>
        <v/>
      </c>
      <c r="FM96" s="30" t="str">
        <f t="shared" si="1254"/>
        <v/>
      </c>
      <c r="FN96" s="30" t="str">
        <f t="shared" si="1255"/>
        <v/>
      </c>
      <c r="FO96" s="30" t="str">
        <f t="shared" si="1256"/>
        <v/>
      </c>
      <c r="FP96" s="30" t="str">
        <f t="shared" si="1257"/>
        <v/>
      </c>
      <c r="FQ96" s="30" t="str">
        <f t="shared" si="1258"/>
        <v/>
      </c>
      <c r="FR96" s="30" t="str">
        <f t="shared" si="1259"/>
        <v/>
      </c>
      <c r="FS96" s="30" t="str">
        <f t="shared" si="1260"/>
        <v/>
      </c>
    </row>
    <row r="97" spans="1:175" ht="16.5">
      <c r="A97" s="111"/>
      <c r="B97" s="111" t="s">
        <v>940</v>
      </c>
      <c r="C97" s="111" t="s">
        <v>944</v>
      </c>
      <c r="T97" s="122" t="s">
        <v>951</v>
      </c>
      <c r="U97" s="37" t="s">
        <v>822</v>
      </c>
      <c r="CN97" s="7" t="str">
        <f t="shared" ref="CN97:CN99" si="1261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7" t="str">
        <f t="shared" ref="CO97:CO99" si="1262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7" t="str">
        <f t="shared" ref="CP97:CP99" si="1263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7" t="str">
        <f t="shared" ref="CQ97:CQ99" si="1264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7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125&amp;CR$1&amp;")"</f>
        <v>InitEquipData('I004',,"",,,,,'','','','','','',"ReplaceableTextures\\CommandButtons\\BTNTome.blp")</v>
      </c>
      <c r="CU97" s="45" t="str">
        <f t="shared" ref="CU97:CU99" si="1265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99" si="1266">T97</f>
        <v>法术伤害提高40%，持续15秒。</v>
      </c>
      <c r="CW97" s="24"/>
      <c r="CX97" s="24"/>
      <c r="CY97" s="24"/>
      <c r="CZ97" s="24"/>
      <c r="DA97" s="24"/>
      <c r="DB97" s="30" t="str">
        <f t="shared" ref="DB97:DB99" si="1267">IF(V97="","","|n"&amp;DB$2&amp;"+"&amp;V97&amp;DB$1)</f>
        <v/>
      </c>
      <c r="DC97" s="30" t="str">
        <f t="shared" ref="DC97:DC99" si="1268">IF(W97="","","|n"&amp;DC$2&amp;"+"&amp;W97&amp;DC$1)</f>
        <v/>
      </c>
      <c r="DD97" s="30" t="str">
        <f t="shared" ref="DD97:DD99" si="1269">IF(X97="","","|n"&amp;DD$2&amp;"+"&amp;X97&amp;DD$1)</f>
        <v/>
      </c>
      <c r="DE97" s="30" t="str">
        <f t="shared" ref="DE97:DE99" si="1270">IF(Y97="","","|n"&amp;DE$2&amp;"+"&amp;Y97&amp;DE$1)</f>
        <v/>
      </c>
      <c r="DF97" s="30" t="str">
        <f t="shared" ref="DF97:DF99" si="1271">IF(Z97="","","|n"&amp;DF$2&amp;"+"&amp;Z97&amp;DF$1)</f>
        <v/>
      </c>
      <c r="DG97" s="30" t="str">
        <f t="shared" ref="DG97:DG99" si="1272">IF(AA97="","","|n"&amp;DG$2&amp;"+"&amp;AA97&amp;DG$1)</f>
        <v/>
      </c>
      <c r="DH97" s="30" t="str">
        <f t="shared" ref="DH97:DH99" si="1273">IF(AB97="","","|n"&amp;DH$2&amp;"+"&amp;AB97&amp;DH$1)</f>
        <v/>
      </c>
      <c r="DI97" s="30" t="str">
        <f t="shared" ref="DI97:DI99" si="1274">IF(AC97="","","|n"&amp;DI$2&amp;"+"&amp;AC97&amp;DI$1)</f>
        <v/>
      </c>
      <c r="DJ97" s="30" t="str">
        <f t="shared" ref="DJ97:DJ99" si="1275">IF(AD97="","","|n"&amp;DJ$2&amp;"+"&amp;AD97&amp;DJ$1)</f>
        <v/>
      </c>
      <c r="DK97" s="30" t="str">
        <f t="shared" ref="DK97:DK99" si="1276">IF(AE97="","","|n"&amp;DK$2&amp;"+"&amp;AE97&amp;DK$1)</f>
        <v/>
      </c>
      <c r="DL97" s="30" t="str">
        <f t="shared" ref="DL97:DL99" si="1277">IF(AF97="","","|n"&amp;DL$2&amp;"+"&amp;AF97&amp;DL$1)</f>
        <v/>
      </c>
      <c r="DM97" s="30" t="str">
        <f t="shared" ref="DM97:DM99" si="1278">IF(AG97="","","|n"&amp;DM$2&amp;"+"&amp;AG97&amp;DM$1)</f>
        <v/>
      </c>
      <c r="DN97" s="30" t="str">
        <f t="shared" ref="DN97:DN99" si="1279">IF(AH97="","","|n"&amp;DN$2&amp;"+"&amp;AH97&amp;DN$1)</f>
        <v/>
      </c>
      <c r="DO97" s="30" t="str">
        <f t="shared" ref="DO97:DO99" si="1280">IF(AI97="","","|n"&amp;DO$2&amp;"+"&amp;AI97&amp;DO$1)</f>
        <v/>
      </c>
      <c r="DP97" s="30" t="str">
        <f t="shared" ref="DP97:DP99" si="1281">IF(AJ97="","","|n"&amp;DP$2&amp;"+"&amp;AJ97&amp;DP$1)</f>
        <v/>
      </c>
      <c r="DQ97" s="30" t="str">
        <f t="shared" ref="DQ97:DQ99" si="1282">IF(AK97="","","|n"&amp;DQ$2&amp;"+"&amp;AK97&amp;DQ$1)</f>
        <v/>
      </c>
      <c r="DR97" s="30" t="str">
        <f t="shared" ref="DR97:DR99" si="1283">IF(AL97="","","|n"&amp;DR$2&amp;"+"&amp;AL97&amp;DR$1)</f>
        <v/>
      </c>
      <c r="DS97" s="30" t="str">
        <f t="shared" ref="DS97:DS99" si="1284">IF(AM97="","","|n"&amp;DS$2&amp;"+"&amp;AM97&amp;DS$1)</f>
        <v/>
      </c>
      <c r="DT97" s="30" t="str">
        <f t="shared" ref="DT97:DT99" si="1285">IF(AN97="","","|n"&amp;DT$2&amp;"+"&amp;AN97&amp;DT$1)</f>
        <v/>
      </c>
      <c r="DU97" s="30" t="str">
        <f t="shared" ref="DU97:DU99" si="1286">IF(AO97="","","|n"&amp;DU$2&amp;"+"&amp;AO97&amp;DU$1)</f>
        <v/>
      </c>
      <c r="DV97" s="30" t="str">
        <f t="shared" ref="DV97:DV99" si="1287">IF(AP97="","","|n"&amp;DV$2&amp;"+"&amp;AP97&amp;DV$1)</f>
        <v/>
      </c>
      <c r="DW97" s="30" t="str">
        <f t="shared" ref="DW97:DW99" si="1288">IF(AQ97="","","|n"&amp;DW$2&amp;"+"&amp;AQ97&amp;DW$1)</f>
        <v/>
      </c>
      <c r="DX97" s="30" t="str">
        <f t="shared" ref="DX97:DX99" si="1289">IF(AR97="","","|n"&amp;DX$2&amp;"+"&amp;AR97&amp;DX$1)</f>
        <v/>
      </c>
      <c r="DY97" s="30" t="str">
        <f t="shared" ref="DY97:DY99" si="1290">IF(AS97="","","|n"&amp;DY$2&amp;"+"&amp;AS97&amp;DY$1)</f>
        <v/>
      </c>
      <c r="DZ97" s="30" t="str">
        <f t="shared" ref="DZ97:DZ99" si="1291">IF(AT97="","","|n"&amp;DZ$2&amp;"+"&amp;AT97&amp;DZ$1)</f>
        <v/>
      </c>
      <c r="EA97" s="30" t="str">
        <f t="shared" ref="EA97:EA99" si="1292">IF(AU97="","","|n"&amp;EA$2&amp;"+"&amp;AU97&amp;EA$1)</f>
        <v/>
      </c>
      <c r="EB97" s="30" t="str">
        <f t="shared" ref="EB97:EB99" si="1293">IF(AV97="","","|n"&amp;EB$2&amp;"+"&amp;AV97&amp;EB$1)</f>
        <v/>
      </c>
      <c r="EC97" s="30" t="str">
        <f t="shared" ref="EC97:EC99" si="1294">IF(AW97="","","|n"&amp;EC$2&amp;"+"&amp;AW97&amp;EC$1)</f>
        <v/>
      </c>
      <c r="ED97" s="30" t="str">
        <f t="shared" ref="ED97:ED99" si="1295">IF(AX97="","","|n"&amp;ED$2&amp;"+"&amp;AX97&amp;ED$1)</f>
        <v/>
      </c>
      <c r="EE97" s="30" t="str">
        <f t="shared" ref="EE97:EE99" si="1296">IF(AY97="","","|n"&amp;EE$2&amp;"+"&amp;AY97&amp;EE$1)</f>
        <v/>
      </c>
      <c r="EF97" s="30" t="str">
        <f t="shared" ref="EF97:EF99" si="1297">IF(AZ97="","","|n"&amp;EF$2&amp;"+"&amp;AZ97&amp;EF$1)</f>
        <v/>
      </c>
      <c r="EG97" s="30" t="str">
        <f t="shared" ref="EG97:EG99" si="1298">IF(BA97="","","|n"&amp;EG$2&amp;"+"&amp;BA97&amp;EG$1)</f>
        <v/>
      </c>
      <c r="EH97" s="30" t="str">
        <f t="shared" ref="EH97:EH99" si="1299">IF(BB97="","","|n"&amp;EH$2&amp;"+"&amp;BB97&amp;EH$1)</f>
        <v/>
      </c>
      <c r="EI97" s="30" t="str">
        <f t="shared" ref="EI97:EI99" si="1300">IF(BC97="","","|n"&amp;EI$2&amp;"+"&amp;BC97&amp;EI$1)</f>
        <v/>
      </c>
      <c r="EJ97" s="30" t="str">
        <f t="shared" ref="EJ97:EJ99" si="1301">IF(BD97="","","|n"&amp;EJ$2&amp;"+"&amp;BD97&amp;EJ$1)</f>
        <v/>
      </c>
      <c r="EK97" s="30" t="str">
        <f t="shared" ref="EK97:EK99" si="1302">IF(BE97="","","|n"&amp;EK$2&amp;"+"&amp;BE97&amp;EK$1)</f>
        <v/>
      </c>
      <c r="EL97" s="30" t="str">
        <f t="shared" ref="EL97:EL99" si="1303">IF(BF97="","","|n"&amp;EL$2&amp;"+"&amp;BF97&amp;EL$1)</f>
        <v/>
      </c>
      <c r="EM97" s="30" t="str">
        <f t="shared" ref="EM97:EM99" si="1304">IF(BG97="","","|n"&amp;EM$2&amp;"+"&amp;BG97&amp;EM$1)</f>
        <v/>
      </c>
      <c r="EN97" s="30" t="str">
        <f t="shared" ref="EN97:EN99" si="1305">IF(BH97="","","|n"&amp;EN$2&amp;"+"&amp;BH97&amp;EN$1)</f>
        <v/>
      </c>
      <c r="EO97" s="30" t="str">
        <f t="shared" ref="EO97:EO99" si="1306">IF(BI97="","","|n"&amp;EO$2&amp;"+"&amp;BI97&amp;EO$1)</f>
        <v/>
      </c>
      <c r="EP97" s="30" t="str">
        <f t="shared" ref="EP97:EP99" si="1307">IF(BJ97="","","|n"&amp;EP$2&amp;"+"&amp;BJ97&amp;EP$1)</f>
        <v/>
      </c>
      <c r="EQ97" s="30" t="str">
        <f t="shared" ref="EQ97:EQ99" si="1308">IF(BK97="","","|n"&amp;EQ$2&amp;"+"&amp;BK97&amp;EQ$1)</f>
        <v/>
      </c>
      <c r="ER97" s="30" t="str">
        <f t="shared" ref="ER97:ER99" si="1309">IF(BL97="","","|n"&amp;ER$2&amp;"+"&amp;BL97&amp;ER$1)</f>
        <v/>
      </c>
      <c r="ES97" s="30" t="str">
        <f t="shared" ref="ES97:ES99" si="1310">IF(BM97="","","|n"&amp;ES$2&amp;"+"&amp;BM97&amp;ES$1)</f>
        <v/>
      </c>
      <c r="ET97" s="30" t="str">
        <f t="shared" ref="ET97:ET99" si="1311">IF(BN97="","","|n"&amp;ET$2&amp;"+"&amp;BN97&amp;ET$1)</f>
        <v/>
      </c>
      <c r="EU97" s="30" t="str">
        <f t="shared" ref="EU97:EU99" si="1312">IF(BO97="","","|n"&amp;EU$2&amp;"+"&amp;BO97&amp;EU$1)</f>
        <v/>
      </c>
      <c r="EV97" s="30" t="str">
        <f t="shared" ref="EV97:EV99" si="1313">IF(BP97="","","|n"&amp;EV$2&amp;"+"&amp;BP97&amp;EV$1)</f>
        <v/>
      </c>
      <c r="EW97" s="30" t="str">
        <f t="shared" ref="EW97:EW99" si="1314">IF(BQ97="","","|n"&amp;EW$2&amp;"+"&amp;BQ97&amp;EW$1)</f>
        <v/>
      </c>
      <c r="EX97" s="30" t="str">
        <f t="shared" ref="EX97:EX99" si="1315">IF(BR97="","","|n"&amp;EX$2&amp;"+"&amp;BR97&amp;EX$1)</f>
        <v/>
      </c>
      <c r="EY97" s="30" t="str">
        <f t="shared" ref="EY97:EY99" si="1316">IF(BS97="","","|n"&amp;EY$2&amp;"+"&amp;BS97&amp;EY$1)</f>
        <v/>
      </c>
      <c r="EZ97" s="30" t="str">
        <f t="shared" ref="EZ97:EZ99" si="1317">IF(BT97="","","|n"&amp;EZ$2&amp;"+"&amp;BT97&amp;EZ$1)</f>
        <v/>
      </c>
      <c r="FA97" s="30" t="str">
        <f t="shared" ref="FA97:FA99" si="1318">IF(BU97="","","|n"&amp;FA$2&amp;"+"&amp;BU97&amp;FA$1)</f>
        <v/>
      </c>
      <c r="FB97" s="30" t="str">
        <f t="shared" ref="FB97:FB99" si="1319">IF(BV97="","","|n"&amp;FB$2&amp;"+"&amp;BV97&amp;FB$1)</f>
        <v/>
      </c>
      <c r="FC97" s="30" t="str">
        <f t="shared" ref="FC97:FC99" si="1320">IF(BW97="","","|n"&amp;FC$2&amp;"+"&amp;BW97&amp;FC$1)</f>
        <v/>
      </c>
      <c r="FD97" s="30" t="str">
        <f t="shared" ref="FD97:FD99" si="1321">IF(BX97="","","|n"&amp;FD$2&amp;"+"&amp;BX97&amp;FD$1)</f>
        <v/>
      </c>
      <c r="FE97" s="30" t="str">
        <f t="shared" ref="FE97:FE99" si="1322">IF(BY97="","","|n"&amp;FE$2&amp;"+"&amp;BY97&amp;FE$1)</f>
        <v/>
      </c>
      <c r="FF97" s="30" t="str">
        <f t="shared" ref="FF97:FF99" si="1323">IF(BZ97="","","|n"&amp;FF$2&amp;"+"&amp;BZ97&amp;FF$1)</f>
        <v/>
      </c>
      <c r="FG97" s="30" t="str">
        <f t="shared" ref="FG97:FG99" si="1324">IF(CA97="","","|n"&amp;FG$2&amp;"+"&amp;CA97&amp;FG$1)</f>
        <v/>
      </c>
      <c r="FH97" s="30" t="str">
        <f t="shared" ref="FH97:FH99" si="1325">IF(CB97="","","|n"&amp;FH$2&amp;"+"&amp;CB97&amp;FH$1)</f>
        <v/>
      </c>
      <c r="FI97" s="30" t="str">
        <f t="shared" ref="FI97:FI99" si="1326">IF(CC97="","","|n"&amp;FI$2&amp;"+"&amp;CC97&amp;FI$1)</f>
        <v/>
      </c>
      <c r="FJ97" s="30" t="str">
        <f t="shared" ref="FJ97:FJ99" si="1327">IF(CD97="","","|n"&amp;FJ$2&amp;"+"&amp;CD97&amp;FJ$1)</f>
        <v/>
      </c>
      <c r="FK97" s="30" t="str">
        <f t="shared" ref="FK97:FK99" si="1328">IF(CE97="","","|n"&amp;FK$2&amp;"+"&amp;CE97&amp;FK$1)</f>
        <v/>
      </c>
      <c r="FL97" s="30" t="str">
        <f t="shared" ref="FL97:FL99" si="1329">IF(CF97="","","|n"&amp;FL$2&amp;"+"&amp;CF97&amp;FL$1)</f>
        <v/>
      </c>
      <c r="FM97" s="30" t="str">
        <f t="shared" ref="FM97:FM99" si="1330">IF(CG97="","","|n"&amp;FM$2&amp;"+"&amp;CG97&amp;FM$1)</f>
        <v/>
      </c>
      <c r="FN97" s="30" t="str">
        <f t="shared" ref="FN97:FN99" si="1331">IF(CH97="","","|n"&amp;FN$2&amp;"+"&amp;CH97&amp;FN$1)</f>
        <v/>
      </c>
      <c r="FO97" s="30" t="str">
        <f t="shared" ref="FO97:FO99" si="1332">IF(CI97="","","|n"&amp;FO$2&amp;"+"&amp;CI97&amp;FO$1)</f>
        <v/>
      </c>
      <c r="FP97" s="30" t="str">
        <f t="shared" ref="FP97:FP99" si="1333">IF(CJ97="","","|n"&amp;FP$2&amp;"+"&amp;CJ97&amp;FP$1)</f>
        <v/>
      </c>
      <c r="FQ97" s="30" t="str">
        <f t="shared" ref="FQ97:FQ99" si="1334">IF(CK97="","","|n"&amp;FQ$2&amp;"+"&amp;CK97&amp;FQ$1)</f>
        <v/>
      </c>
      <c r="FR97" s="30" t="str">
        <f t="shared" ref="FR97:FR99" si="1335">IF(CL97="","","|n"&amp;FR$2&amp;"+"&amp;CL97&amp;FR$1)</f>
        <v/>
      </c>
      <c r="FS97" s="30" t="str">
        <f t="shared" ref="FS97:FS99" si="1336">IF(CM97="","","|n"&amp;FS$2&amp;"+"&amp;CM97&amp;FS$1)</f>
        <v/>
      </c>
    </row>
    <row r="98" spans="1:175" ht="16.5">
      <c r="A98" s="111"/>
      <c r="B98" s="111" t="s">
        <v>941</v>
      </c>
      <c r="C98" s="111" t="s">
        <v>945</v>
      </c>
      <c r="T98" s="122" t="s">
        <v>952</v>
      </c>
      <c r="U98" s="37" t="s">
        <v>822</v>
      </c>
      <c r="CN98" s="7" t="str">
        <f t="shared" ref="CN98" si="1337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7" t="str">
        <f t="shared" ref="CO98" si="1338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7" t="str">
        <f t="shared" ref="CP98" si="1339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7" t="str">
        <f t="shared" ref="CQ98" si="1340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7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126&amp;CR$1&amp;")"</f>
        <v>InitEquipData('I005',,"",,,,,'','','','','','',"ReplaceableTextures\\CommandButtons\\BTNTome.blp")</v>
      </c>
      <c r="CU98" s="45" t="str">
        <f t="shared" ref="CU98" si="1341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29" t="str">
        <f t="shared" ref="CV98" si="1342">T98</f>
        <v>物理伤害提高40%，持续15秒。</v>
      </c>
      <c r="CW98" s="24"/>
      <c r="CX98" s="24"/>
      <c r="CY98" s="24"/>
      <c r="CZ98" s="24"/>
      <c r="DA98" s="24"/>
      <c r="DB98" s="30" t="str">
        <f t="shared" ref="DB98" si="1343">IF(V98="","","|n"&amp;DB$2&amp;"+"&amp;V98&amp;DB$1)</f>
        <v/>
      </c>
      <c r="DC98" s="30" t="str">
        <f t="shared" ref="DC98" si="1344">IF(W98="","","|n"&amp;DC$2&amp;"+"&amp;W98&amp;DC$1)</f>
        <v/>
      </c>
      <c r="DD98" s="30" t="str">
        <f t="shared" ref="DD98" si="1345">IF(X98="","","|n"&amp;DD$2&amp;"+"&amp;X98&amp;DD$1)</f>
        <v/>
      </c>
      <c r="DE98" s="30" t="str">
        <f t="shared" ref="DE98" si="1346">IF(Y98="","","|n"&amp;DE$2&amp;"+"&amp;Y98&amp;DE$1)</f>
        <v/>
      </c>
      <c r="DF98" s="30" t="str">
        <f t="shared" ref="DF98" si="1347">IF(Z98="","","|n"&amp;DF$2&amp;"+"&amp;Z98&amp;DF$1)</f>
        <v/>
      </c>
      <c r="DG98" s="30" t="str">
        <f t="shared" ref="DG98" si="1348">IF(AA98="","","|n"&amp;DG$2&amp;"+"&amp;AA98&amp;DG$1)</f>
        <v/>
      </c>
      <c r="DH98" s="30" t="str">
        <f t="shared" ref="DH98" si="1349">IF(AB98="","","|n"&amp;DH$2&amp;"+"&amp;AB98&amp;DH$1)</f>
        <v/>
      </c>
      <c r="DI98" s="30" t="str">
        <f t="shared" ref="DI98" si="1350">IF(AC98="","","|n"&amp;DI$2&amp;"+"&amp;AC98&amp;DI$1)</f>
        <v/>
      </c>
      <c r="DJ98" s="30" t="str">
        <f t="shared" ref="DJ98" si="1351">IF(AD98="","","|n"&amp;DJ$2&amp;"+"&amp;AD98&amp;DJ$1)</f>
        <v/>
      </c>
      <c r="DK98" s="30" t="str">
        <f t="shared" ref="DK98" si="1352">IF(AE98="","","|n"&amp;DK$2&amp;"+"&amp;AE98&amp;DK$1)</f>
        <v/>
      </c>
      <c r="DL98" s="30" t="str">
        <f t="shared" ref="DL98" si="1353">IF(AF98="","","|n"&amp;DL$2&amp;"+"&amp;AF98&amp;DL$1)</f>
        <v/>
      </c>
      <c r="DM98" s="30" t="str">
        <f t="shared" ref="DM98" si="1354">IF(AG98="","","|n"&amp;DM$2&amp;"+"&amp;AG98&amp;DM$1)</f>
        <v/>
      </c>
      <c r="DN98" s="30" t="str">
        <f t="shared" ref="DN98" si="1355">IF(AH98="","","|n"&amp;DN$2&amp;"+"&amp;AH98&amp;DN$1)</f>
        <v/>
      </c>
      <c r="DO98" s="30" t="str">
        <f t="shared" ref="DO98" si="1356">IF(AI98="","","|n"&amp;DO$2&amp;"+"&amp;AI98&amp;DO$1)</f>
        <v/>
      </c>
      <c r="DP98" s="30" t="str">
        <f t="shared" ref="DP98" si="1357">IF(AJ98="","","|n"&amp;DP$2&amp;"+"&amp;AJ98&amp;DP$1)</f>
        <v/>
      </c>
      <c r="DQ98" s="30" t="str">
        <f t="shared" ref="DQ98" si="1358">IF(AK98="","","|n"&amp;DQ$2&amp;"+"&amp;AK98&amp;DQ$1)</f>
        <v/>
      </c>
      <c r="DR98" s="30" t="str">
        <f t="shared" ref="DR98" si="1359">IF(AL98="","","|n"&amp;DR$2&amp;"+"&amp;AL98&amp;DR$1)</f>
        <v/>
      </c>
      <c r="DS98" s="30" t="str">
        <f t="shared" ref="DS98" si="1360">IF(AM98="","","|n"&amp;DS$2&amp;"+"&amp;AM98&amp;DS$1)</f>
        <v/>
      </c>
      <c r="DT98" s="30" t="str">
        <f t="shared" ref="DT98" si="1361">IF(AN98="","","|n"&amp;DT$2&amp;"+"&amp;AN98&amp;DT$1)</f>
        <v/>
      </c>
      <c r="DU98" s="30" t="str">
        <f t="shared" ref="DU98" si="1362">IF(AO98="","","|n"&amp;DU$2&amp;"+"&amp;AO98&amp;DU$1)</f>
        <v/>
      </c>
      <c r="DV98" s="30" t="str">
        <f t="shared" ref="DV98" si="1363">IF(AP98="","","|n"&amp;DV$2&amp;"+"&amp;AP98&amp;DV$1)</f>
        <v/>
      </c>
      <c r="DW98" s="30" t="str">
        <f t="shared" ref="DW98" si="1364">IF(AQ98="","","|n"&amp;DW$2&amp;"+"&amp;AQ98&amp;DW$1)</f>
        <v/>
      </c>
      <c r="DX98" s="30" t="str">
        <f t="shared" ref="DX98" si="1365">IF(AR98="","","|n"&amp;DX$2&amp;"+"&amp;AR98&amp;DX$1)</f>
        <v/>
      </c>
      <c r="DY98" s="30" t="str">
        <f t="shared" ref="DY98" si="1366">IF(AS98="","","|n"&amp;DY$2&amp;"+"&amp;AS98&amp;DY$1)</f>
        <v/>
      </c>
      <c r="DZ98" s="30" t="str">
        <f t="shared" ref="DZ98" si="1367">IF(AT98="","","|n"&amp;DZ$2&amp;"+"&amp;AT98&amp;DZ$1)</f>
        <v/>
      </c>
      <c r="EA98" s="30" t="str">
        <f t="shared" ref="EA98" si="1368">IF(AU98="","","|n"&amp;EA$2&amp;"+"&amp;AU98&amp;EA$1)</f>
        <v/>
      </c>
      <c r="EB98" s="30" t="str">
        <f t="shared" ref="EB98" si="1369">IF(AV98="","","|n"&amp;EB$2&amp;"+"&amp;AV98&amp;EB$1)</f>
        <v/>
      </c>
      <c r="EC98" s="30" t="str">
        <f t="shared" ref="EC98" si="1370">IF(AW98="","","|n"&amp;EC$2&amp;"+"&amp;AW98&amp;EC$1)</f>
        <v/>
      </c>
      <c r="ED98" s="30" t="str">
        <f t="shared" ref="ED98" si="1371">IF(AX98="","","|n"&amp;ED$2&amp;"+"&amp;AX98&amp;ED$1)</f>
        <v/>
      </c>
      <c r="EE98" s="30" t="str">
        <f t="shared" ref="EE98" si="1372">IF(AY98="","","|n"&amp;EE$2&amp;"+"&amp;AY98&amp;EE$1)</f>
        <v/>
      </c>
      <c r="EF98" s="30" t="str">
        <f t="shared" ref="EF98" si="1373">IF(AZ98="","","|n"&amp;EF$2&amp;"+"&amp;AZ98&amp;EF$1)</f>
        <v/>
      </c>
      <c r="EG98" s="30" t="str">
        <f t="shared" ref="EG98" si="1374">IF(BA98="","","|n"&amp;EG$2&amp;"+"&amp;BA98&amp;EG$1)</f>
        <v/>
      </c>
      <c r="EH98" s="30" t="str">
        <f t="shared" ref="EH98" si="1375">IF(BB98="","","|n"&amp;EH$2&amp;"+"&amp;BB98&amp;EH$1)</f>
        <v/>
      </c>
      <c r="EI98" s="30" t="str">
        <f t="shared" ref="EI98" si="1376">IF(BC98="","","|n"&amp;EI$2&amp;"+"&amp;BC98&amp;EI$1)</f>
        <v/>
      </c>
      <c r="EJ98" s="30" t="str">
        <f t="shared" ref="EJ98" si="1377">IF(BD98="","","|n"&amp;EJ$2&amp;"+"&amp;BD98&amp;EJ$1)</f>
        <v/>
      </c>
      <c r="EK98" s="30" t="str">
        <f t="shared" ref="EK98" si="1378">IF(BE98="","","|n"&amp;EK$2&amp;"+"&amp;BE98&amp;EK$1)</f>
        <v/>
      </c>
      <c r="EL98" s="30" t="str">
        <f t="shared" ref="EL98" si="1379">IF(BF98="","","|n"&amp;EL$2&amp;"+"&amp;BF98&amp;EL$1)</f>
        <v/>
      </c>
      <c r="EM98" s="30" t="str">
        <f t="shared" ref="EM98" si="1380">IF(BG98="","","|n"&amp;EM$2&amp;"+"&amp;BG98&amp;EM$1)</f>
        <v/>
      </c>
      <c r="EN98" s="30" t="str">
        <f t="shared" ref="EN98" si="1381">IF(BH98="","","|n"&amp;EN$2&amp;"+"&amp;BH98&amp;EN$1)</f>
        <v/>
      </c>
      <c r="EO98" s="30" t="str">
        <f t="shared" ref="EO98" si="1382">IF(BI98="","","|n"&amp;EO$2&amp;"+"&amp;BI98&amp;EO$1)</f>
        <v/>
      </c>
      <c r="EP98" s="30" t="str">
        <f t="shared" ref="EP98" si="1383">IF(BJ98="","","|n"&amp;EP$2&amp;"+"&amp;BJ98&amp;EP$1)</f>
        <v/>
      </c>
      <c r="EQ98" s="30" t="str">
        <f t="shared" ref="EQ98" si="1384">IF(BK98="","","|n"&amp;EQ$2&amp;"+"&amp;BK98&amp;EQ$1)</f>
        <v/>
      </c>
      <c r="ER98" s="30" t="str">
        <f t="shared" ref="ER98" si="1385">IF(BL98="","","|n"&amp;ER$2&amp;"+"&amp;BL98&amp;ER$1)</f>
        <v/>
      </c>
      <c r="ES98" s="30" t="str">
        <f t="shared" ref="ES98" si="1386">IF(BM98="","","|n"&amp;ES$2&amp;"+"&amp;BM98&amp;ES$1)</f>
        <v/>
      </c>
      <c r="ET98" s="30" t="str">
        <f t="shared" ref="ET98" si="1387">IF(BN98="","","|n"&amp;ET$2&amp;"+"&amp;BN98&amp;ET$1)</f>
        <v/>
      </c>
      <c r="EU98" s="30" t="str">
        <f t="shared" ref="EU98" si="1388">IF(BO98="","","|n"&amp;EU$2&amp;"+"&amp;BO98&amp;EU$1)</f>
        <v/>
      </c>
      <c r="EV98" s="30" t="str">
        <f t="shared" ref="EV98" si="1389">IF(BP98="","","|n"&amp;EV$2&amp;"+"&amp;BP98&amp;EV$1)</f>
        <v/>
      </c>
      <c r="EW98" s="30" t="str">
        <f t="shared" ref="EW98" si="1390">IF(BQ98="","","|n"&amp;EW$2&amp;"+"&amp;BQ98&amp;EW$1)</f>
        <v/>
      </c>
      <c r="EX98" s="30" t="str">
        <f t="shared" ref="EX98" si="1391">IF(BR98="","","|n"&amp;EX$2&amp;"+"&amp;BR98&amp;EX$1)</f>
        <v/>
      </c>
      <c r="EY98" s="30" t="str">
        <f t="shared" ref="EY98" si="1392">IF(BS98="","","|n"&amp;EY$2&amp;"+"&amp;BS98&amp;EY$1)</f>
        <v/>
      </c>
      <c r="EZ98" s="30" t="str">
        <f t="shared" ref="EZ98" si="1393">IF(BT98="","","|n"&amp;EZ$2&amp;"+"&amp;BT98&amp;EZ$1)</f>
        <v/>
      </c>
      <c r="FA98" s="30" t="str">
        <f t="shared" ref="FA98" si="1394">IF(BU98="","","|n"&amp;FA$2&amp;"+"&amp;BU98&amp;FA$1)</f>
        <v/>
      </c>
      <c r="FB98" s="30" t="str">
        <f t="shared" ref="FB98" si="1395">IF(BV98="","","|n"&amp;FB$2&amp;"+"&amp;BV98&amp;FB$1)</f>
        <v/>
      </c>
      <c r="FC98" s="30" t="str">
        <f t="shared" ref="FC98" si="1396">IF(BW98="","","|n"&amp;FC$2&amp;"+"&amp;BW98&amp;FC$1)</f>
        <v/>
      </c>
      <c r="FD98" s="30" t="str">
        <f t="shared" ref="FD98" si="1397">IF(BX98="","","|n"&amp;FD$2&amp;"+"&amp;BX98&amp;FD$1)</f>
        <v/>
      </c>
      <c r="FE98" s="30" t="str">
        <f t="shared" ref="FE98" si="1398">IF(BY98="","","|n"&amp;FE$2&amp;"+"&amp;BY98&amp;FE$1)</f>
        <v/>
      </c>
      <c r="FF98" s="30" t="str">
        <f t="shared" ref="FF98" si="1399">IF(BZ98="","","|n"&amp;FF$2&amp;"+"&amp;BZ98&amp;FF$1)</f>
        <v/>
      </c>
      <c r="FG98" s="30" t="str">
        <f t="shared" ref="FG98" si="1400">IF(CA98="","","|n"&amp;FG$2&amp;"+"&amp;CA98&amp;FG$1)</f>
        <v/>
      </c>
      <c r="FH98" s="30" t="str">
        <f t="shared" ref="FH98" si="1401">IF(CB98="","","|n"&amp;FH$2&amp;"+"&amp;CB98&amp;FH$1)</f>
        <v/>
      </c>
      <c r="FI98" s="30" t="str">
        <f t="shared" ref="FI98" si="1402">IF(CC98="","","|n"&amp;FI$2&amp;"+"&amp;CC98&amp;FI$1)</f>
        <v/>
      </c>
      <c r="FJ98" s="30" t="str">
        <f t="shared" ref="FJ98" si="1403">IF(CD98="","","|n"&amp;FJ$2&amp;"+"&amp;CD98&amp;FJ$1)</f>
        <v/>
      </c>
      <c r="FK98" s="30" t="str">
        <f t="shared" ref="FK98" si="1404">IF(CE98="","","|n"&amp;FK$2&amp;"+"&amp;CE98&amp;FK$1)</f>
        <v/>
      </c>
      <c r="FL98" s="30" t="str">
        <f t="shared" ref="FL98" si="1405">IF(CF98="","","|n"&amp;FL$2&amp;"+"&amp;CF98&amp;FL$1)</f>
        <v/>
      </c>
      <c r="FM98" s="30" t="str">
        <f t="shared" ref="FM98" si="1406">IF(CG98="","","|n"&amp;FM$2&amp;"+"&amp;CG98&amp;FM$1)</f>
        <v/>
      </c>
      <c r="FN98" s="30" t="str">
        <f t="shared" ref="FN98" si="1407">IF(CH98="","","|n"&amp;FN$2&amp;"+"&amp;CH98&amp;FN$1)</f>
        <v/>
      </c>
      <c r="FO98" s="30" t="str">
        <f t="shared" ref="FO98" si="1408">IF(CI98="","","|n"&amp;FO$2&amp;"+"&amp;CI98&amp;FO$1)</f>
        <v/>
      </c>
      <c r="FP98" s="30" t="str">
        <f t="shared" ref="FP98" si="1409">IF(CJ98="","","|n"&amp;FP$2&amp;"+"&amp;CJ98&amp;FP$1)</f>
        <v/>
      </c>
      <c r="FQ98" s="30" t="str">
        <f t="shared" ref="FQ98" si="1410">IF(CK98="","","|n"&amp;FQ$2&amp;"+"&amp;CK98&amp;FQ$1)</f>
        <v/>
      </c>
      <c r="FR98" s="30" t="str">
        <f t="shared" ref="FR98" si="1411">IF(CL98="","","|n"&amp;FR$2&amp;"+"&amp;CL98&amp;FR$1)</f>
        <v/>
      </c>
      <c r="FS98" s="30" t="str">
        <f t="shared" ref="FS98" si="1412">IF(CM98="","","|n"&amp;FS$2&amp;"+"&amp;CM98&amp;FS$1)</f>
        <v/>
      </c>
    </row>
    <row r="99" spans="1:175" ht="16.5">
      <c r="A99" s="111"/>
      <c r="B99" s="111" t="s">
        <v>953</v>
      </c>
      <c r="C99" s="111" t="s">
        <v>957</v>
      </c>
      <c r="T99" s="114" t="s">
        <v>946</v>
      </c>
      <c r="U99" s="37" t="s">
        <v>822</v>
      </c>
      <c r="CN99" s="7" t="str">
        <f t="shared" si="1261"/>
        <v>InitUnitState('I011',,,,,,,,,,)</v>
      </c>
      <c r="CO99" s="7" t="str">
        <f t="shared" si="1262"/>
        <v>InitUnitNormal('I011',,,,,,,,,,)</v>
      </c>
      <c r="CP99" s="7" t="str">
        <f t="shared" si="1263"/>
        <v>InitUnitMagic('I011',,,,,,,,,,)</v>
      </c>
      <c r="CQ99" s="7" t="str">
        <f t="shared" si="1264"/>
        <v>InitUnitAdd('I011',,,,,,,,,,)</v>
      </c>
      <c r="CR99" s="7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126&amp;CR$1&amp;")"</f>
        <v>InitEquipData('I011',,"",,,,,'','','','','','',"ReplaceableTextures\\CommandButtons\\BTNTome.blp")</v>
      </c>
      <c r="CU99" s="45" t="str">
        <f t="shared" si="1265"/>
        <v>|n</v>
      </c>
      <c r="CV99" s="29" t="str">
        <f t="shared" si="1266"/>
        <v>聚宝盆</v>
      </c>
      <c r="CW99" s="24"/>
      <c r="CX99" s="24"/>
      <c r="CY99" s="24"/>
      <c r="CZ99" s="24"/>
      <c r="DA99" s="24"/>
      <c r="DB99" s="30" t="str">
        <f t="shared" si="1267"/>
        <v/>
      </c>
      <c r="DC99" s="30" t="str">
        <f t="shared" si="1268"/>
        <v/>
      </c>
      <c r="DD99" s="30" t="str">
        <f t="shared" si="1269"/>
        <v/>
      </c>
      <c r="DE99" s="30" t="str">
        <f t="shared" si="1270"/>
        <v/>
      </c>
      <c r="DF99" s="30" t="str">
        <f t="shared" si="1271"/>
        <v/>
      </c>
      <c r="DG99" s="30" t="str">
        <f t="shared" si="1272"/>
        <v/>
      </c>
      <c r="DH99" s="30" t="str">
        <f t="shared" si="1273"/>
        <v/>
      </c>
      <c r="DI99" s="30" t="str">
        <f t="shared" si="1274"/>
        <v/>
      </c>
      <c r="DJ99" s="30" t="str">
        <f t="shared" si="1275"/>
        <v/>
      </c>
      <c r="DK99" s="30" t="str">
        <f t="shared" si="1276"/>
        <v/>
      </c>
      <c r="DL99" s="30" t="str">
        <f t="shared" si="1277"/>
        <v/>
      </c>
      <c r="DM99" s="30" t="str">
        <f t="shared" si="1278"/>
        <v/>
      </c>
      <c r="DN99" s="30" t="str">
        <f t="shared" si="1279"/>
        <v/>
      </c>
      <c r="DO99" s="30" t="str">
        <f t="shared" si="1280"/>
        <v/>
      </c>
      <c r="DP99" s="30" t="str">
        <f t="shared" si="1281"/>
        <v/>
      </c>
      <c r="DQ99" s="30" t="str">
        <f t="shared" si="1282"/>
        <v/>
      </c>
      <c r="DR99" s="30" t="str">
        <f t="shared" si="1283"/>
        <v/>
      </c>
      <c r="DS99" s="30" t="str">
        <f t="shared" si="1284"/>
        <v/>
      </c>
      <c r="DT99" s="30" t="str">
        <f t="shared" si="1285"/>
        <v/>
      </c>
      <c r="DU99" s="30" t="str">
        <f t="shared" si="1286"/>
        <v/>
      </c>
      <c r="DV99" s="30" t="str">
        <f t="shared" si="1287"/>
        <v/>
      </c>
      <c r="DW99" s="30" t="str">
        <f t="shared" si="1288"/>
        <v/>
      </c>
      <c r="DX99" s="30" t="str">
        <f t="shared" si="1289"/>
        <v/>
      </c>
      <c r="DY99" s="30" t="str">
        <f t="shared" si="1290"/>
        <v/>
      </c>
      <c r="DZ99" s="30" t="str">
        <f t="shared" si="1291"/>
        <v/>
      </c>
      <c r="EA99" s="30" t="str">
        <f t="shared" si="1292"/>
        <v/>
      </c>
      <c r="EB99" s="30" t="str">
        <f t="shared" si="1293"/>
        <v/>
      </c>
      <c r="EC99" s="30" t="str">
        <f t="shared" si="1294"/>
        <v/>
      </c>
      <c r="ED99" s="30" t="str">
        <f t="shared" si="1295"/>
        <v/>
      </c>
      <c r="EE99" s="30" t="str">
        <f t="shared" si="1296"/>
        <v/>
      </c>
      <c r="EF99" s="30" t="str">
        <f t="shared" si="1297"/>
        <v/>
      </c>
      <c r="EG99" s="30" t="str">
        <f t="shared" si="1298"/>
        <v/>
      </c>
      <c r="EH99" s="30" t="str">
        <f t="shared" si="1299"/>
        <v/>
      </c>
      <c r="EI99" s="30" t="str">
        <f t="shared" si="1300"/>
        <v/>
      </c>
      <c r="EJ99" s="30" t="str">
        <f t="shared" si="1301"/>
        <v/>
      </c>
      <c r="EK99" s="30" t="str">
        <f t="shared" si="1302"/>
        <v/>
      </c>
      <c r="EL99" s="30" t="str">
        <f t="shared" si="1303"/>
        <v/>
      </c>
      <c r="EM99" s="30" t="str">
        <f t="shared" si="1304"/>
        <v/>
      </c>
      <c r="EN99" s="30" t="str">
        <f t="shared" si="1305"/>
        <v/>
      </c>
      <c r="EO99" s="30" t="str">
        <f t="shared" si="1306"/>
        <v/>
      </c>
      <c r="EP99" s="30" t="str">
        <f t="shared" si="1307"/>
        <v/>
      </c>
      <c r="EQ99" s="30" t="str">
        <f t="shared" si="1308"/>
        <v/>
      </c>
      <c r="ER99" s="30" t="str">
        <f t="shared" si="1309"/>
        <v/>
      </c>
      <c r="ES99" s="30" t="str">
        <f t="shared" si="1310"/>
        <v/>
      </c>
      <c r="ET99" s="30" t="str">
        <f t="shared" si="1311"/>
        <v/>
      </c>
      <c r="EU99" s="30" t="str">
        <f t="shared" si="1312"/>
        <v/>
      </c>
      <c r="EV99" s="30" t="str">
        <f t="shared" si="1313"/>
        <v/>
      </c>
      <c r="EW99" s="30" t="str">
        <f t="shared" si="1314"/>
        <v/>
      </c>
      <c r="EX99" s="30" t="str">
        <f t="shared" si="1315"/>
        <v/>
      </c>
      <c r="EY99" s="30" t="str">
        <f t="shared" si="1316"/>
        <v/>
      </c>
      <c r="EZ99" s="30" t="str">
        <f t="shared" si="1317"/>
        <v/>
      </c>
      <c r="FA99" s="30" t="str">
        <f t="shared" si="1318"/>
        <v/>
      </c>
      <c r="FB99" s="30" t="str">
        <f t="shared" si="1319"/>
        <v/>
      </c>
      <c r="FC99" s="30" t="str">
        <f t="shared" si="1320"/>
        <v/>
      </c>
      <c r="FD99" s="30" t="str">
        <f t="shared" si="1321"/>
        <v/>
      </c>
      <c r="FE99" s="30" t="str">
        <f t="shared" si="1322"/>
        <v/>
      </c>
      <c r="FF99" s="30" t="str">
        <f t="shared" si="1323"/>
        <v/>
      </c>
      <c r="FG99" s="30" t="str">
        <f t="shared" si="1324"/>
        <v/>
      </c>
      <c r="FH99" s="30" t="str">
        <f t="shared" si="1325"/>
        <v/>
      </c>
      <c r="FI99" s="30" t="str">
        <f t="shared" si="1326"/>
        <v/>
      </c>
      <c r="FJ99" s="30" t="str">
        <f t="shared" si="1327"/>
        <v/>
      </c>
      <c r="FK99" s="30" t="str">
        <f t="shared" si="1328"/>
        <v/>
      </c>
      <c r="FL99" s="30" t="str">
        <f t="shared" si="1329"/>
        <v/>
      </c>
      <c r="FM99" s="30" t="str">
        <f t="shared" si="1330"/>
        <v/>
      </c>
      <c r="FN99" s="30" t="str">
        <f t="shared" si="1331"/>
        <v/>
      </c>
      <c r="FO99" s="30" t="str">
        <f t="shared" si="1332"/>
        <v/>
      </c>
      <c r="FP99" s="30" t="str">
        <f t="shared" si="1333"/>
        <v/>
      </c>
      <c r="FQ99" s="30" t="str">
        <f t="shared" si="1334"/>
        <v/>
      </c>
      <c r="FR99" s="30" t="str">
        <f t="shared" si="1335"/>
        <v/>
      </c>
      <c r="FS99" s="30" t="str">
        <f t="shared" si="1336"/>
        <v/>
      </c>
    </row>
    <row r="100" spans="1:175" ht="16.5">
      <c r="A100" s="111"/>
      <c r="B100" s="111" t="s">
        <v>954</v>
      </c>
      <c r="C100" s="111" t="s">
        <v>958</v>
      </c>
      <c r="T100" s="114" t="s">
        <v>946</v>
      </c>
      <c r="U100" s="37" t="s">
        <v>822</v>
      </c>
      <c r="CN100" s="7" t="str">
        <f t="shared" ref="CN100:CN101" si="1413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7" t="str">
        <f t="shared" ref="CO100:CO101" si="1414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7" t="str">
        <f t="shared" ref="CP100:CP101" si="1415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7" t="str">
        <f t="shared" ref="CQ100:CQ101" si="1416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7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127&amp;CR$1&amp;")"</f>
        <v>InitEquipData('I012',,"",,,,,'','','','','','',"ReplaceableTextures\\CommandButtons\\BTNTome.blp")</v>
      </c>
      <c r="CU100" s="45" t="str">
        <f t="shared" ref="CU100:CU101" si="1417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29" t="str">
        <f t="shared" ref="CV100:CV101" si="1418">T100</f>
        <v>聚宝盆</v>
      </c>
      <c r="CW100" s="24"/>
      <c r="CX100" s="24"/>
      <c r="CY100" s="24"/>
      <c r="CZ100" s="24"/>
      <c r="DA100" s="24"/>
      <c r="DB100" s="30" t="str">
        <f t="shared" ref="DB100:DB101" si="1419">IF(V100="","","|n"&amp;DB$2&amp;"+"&amp;V100&amp;DB$1)</f>
        <v/>
      </c>
      <c r="DC100" s="30" t="str">
        <f t="shared" ref="DC100:DC101" si="1420">IF(W100="","","|n"&amp;DC$2&amp;"+"&amp;W100&amp;DC$1)</f>
        <v/>
      </c>
      <c r="DD100" s="30" t="str">
        <f t="shared" ref="DD100:DD101" si="1421">IF(X100="","","|n"&amp;DD$2&amp;"+"&amp;X100&amp;DD$1)</f>
        <v/>
      </c>
      <c r="DE100" s="30" t="str">
        <f t="shared" ref="DE100:DE101" si="1422">IF(Y100="","","|n"&amp;DE$2&amp;"+"&amp;Y100&amp;DE$1)</f>
        <v/>
      </c>
      <c r="DF100" s="30" t="str">
        <f t="shared" ref="DF100:DF101" si="1423">IF(Z100="","","|n"&amp;DF$2&amp;"+"&amp;Z100&amp;DF$1)</f>
        <v/>
      </c>
      <c r="DG100" s="30" t="str">
        <f t="shared" ref="DG100:DG101" si="1424">IF(AA100="","","|n"&amp;DG$2&amp;"+"&amp;AA100&amp;DG$1)</f>
        <v/>
      </c>
      <c r="DH100" s="30" t="str">
        <f t="shared" ref="DH100:DH101" si="1425">IF(AB100="","","|n"&amp;DH$2&amp;"+"&amp;AB100&amp;DH$1)</f>
        <v/>
      </c>
      <c r="DI100" s="30" t="str">
        <f t="shared" ref="DI100:DI101" si="1426">IF(AC100="","","|n"&amp;DI$2&amp;"+"&amp;AC100&amp;DI$1)</f>
        <v/>
      </c>
      <c r="DJ100" s="30" t="str">
        <f t="shared" ref="DJ100:DJ101" si="1427">IF(AD100="","","|n"&amp;DJ$2&amp;"+"&amp;AD100&amp;DJ$1)</f>
        <v/>
      </c>
      <c r="DK100" s="30" t="str">
        <f t="shared" ref="DK100:DK101" si="1428">IF(AE100="","","|n"&amp;DK$2&amp;"+"&amp;AE100&amp;DK$1)</f>
        <v/>
      </c>
      <c r="DL100" s="30" t="str">
        <f t="shared" ref="DL100:DL101" si="1429">IF(AF100="","","|n"&amp;DL$2&amp;"+"&amp;AF100&amp;DL$1)</f>
        <v/>
      </c>
      <c r="DM100" s="30" t="str">
        <f t="shared" ref="DM100:DM101" si="1430">IF(AG100="","","|n"&amp;DM$2&amp;"+"&amp;AG100&amp;DM$1)</f>
        <v/>
      </c>
      <c r="DN100" s="30" t="str">
        <f t="shared" ref="DN100:DN101" si="1431">IF(AH100="","","|n"&amp;DN$2&amp;"+"&amp;AH100&amp;DN$1)</f>
        <v/>
      </c>
      <c r="DO100" s="30" t="str">
        <f t="shared" ref="DO100:DO101" si="1432">IF(AI100="","","|n"&amp;DO$2&amp;"+"&amp;AI100&amp;DO$1)</f>
        <v/>
      </c>
      <c r="DP100" s="30" t="str">
        <f t="shared" ref="DP100:DP101" si="1433">IF(AJ100="","","|n"&amp;DP$2&amp;"+"&amp;AJ100&amp;DP$1)</f>
        <v/>
      </c>
      <c r="DQ100" s="30" t="str">
        <f t="shared" ref="DQ100:DQ101" si="1434">IF(AK100="","","|n"&amp;DQ$2&amp;"+"&amp;AK100&amp;DQ$1)</f>
        <v/>
      </c>
      <c r="DR100" s="30" t="str">
        <f t="shared" ref="DR100:DR101" si="1435">IF(AL100="","","|n"&amp;DR$2&amp;"+"&amp;AL100&amp;DR$1)</f>
        <v/>
      </c>
      <c r="DS100" s="30" t="str">
        <f t="shared" ref="DS100:DS101" si="1436">IF(AM100="","","|n"&amp;DS$2&amp;"+"&amp;AM100&amp;DS$1)</f>
        <v/>
      </c>
      <c r="DT100" s="30" t="str">
        <f t="shared" ref="DT100:DT101" si="1437">IF(AN100="","","|n"&amp;DT$2&amp;"+"&amp;AN100&amp;DT$1)</f>
        <v/>
      </c>
      <c r="DU100" s="30" t="str">
        <f t="shared" ref="DU100:DU101" si="1438">IF(AO100="","","|n"&amp;DU$2&amp;"+"&amp;AO100&amp;DU$1)</f>
        <v/>
      </c>
      <c r="DV100" s="30" t="str">
        <f t="shared" ref="DV100:DV101" si="1439">IF(AP100="","","|n"&amp;DV$2&amp;"+"&amp;AP100&amp;DV$1)</f>
        <v/>
      </c>
      <c r="DW100" s="30" t="str">
        <f t="shared" ref="DW100:DW101" si="1440">IF(AQ100="","","|n"&amp;DW$2&amp;"+"&amp;AQ100&amp;DW$1)</f>
        <v/>
      </c>
      <c r="DX100" s="30" t="str">
        <f t="shared" ref="DX100:DX101" si="1441">IF(AR100="","","|n"&amp;DX$2&amp;"+"&amp;AR100&amp;DX$1)</f>
        <v/>
      </c>
      <c r="DY100" s="30" t="str">
        <f t="shared" ref="DY100:DY101" si="1442">IF(AS100="","","|n"&amp;DY$2&amp;"+"&amp;AS100&amp;DY$1)</f>
        <v/>
      </c>
      <c r="DZ100" s="30" t="str">
        <f t="shared" ref="DZ100:DZ101" si="1443">IF(AT100="","","|n"&amp;DZ$2&amp;"+"&amp;AT100&amp;DZ$1)</f>
        <v/>
      </c>
      <c r="EA100" s="30" t="str">
        <f t="shared" ref="EA100:EA101" si="1444">IF(AU100="","","|n"&amp;EA$2&amp;"+"&amp;AU100&amp;EA$1)</f>
        <v/>
      </c>
      <c r="EB100" s="30" t="str">
        <f t="shared" ref="EB100:EB101" si="1445">IF(AV100="","","|n"&amp;EB$2&amp;"+"&amp;AV100&amp;EB$1)</f>
        <v/>
      </c>
      <c r="EC100" s="30" t="str">
        <f t="shared" ref="EC100:EC101" si="1446">IF(AW100="","","|n"&amp;EC$2&amp;"+"&amp;AW100&amp;EC$1)</f>
        <v/>
      </c>
      <c r="ED100" s="30" t="str">
        <f t="shared" ref="ED100:ED101" si="1447">IF(AX100="","","|n"&amp;ED$2&amp;"+"&amp;AX100&amp;ED$1)</f>
        <v/>
      </c>
      <c r="EE100" s="30" t="str">
        <f t="shared" ref="EE100:EE101" si="1448">IF(AY100="","","|n"&amp;EE$2&amp;"+"&amp;AY100&amp;EE$1)</f>
        <v/>
      </c>
      <c r="EF100" s="30" t="str">
        <f t="shared" ref="EF100:EF101" si="1449">IF(AZ100="","","|n"&amp;EF$2&amp;"+"&amp;AZ100&amp;EF$1)</f>
        <v/>
      </c>
      <c r="EG100" s="30" t="str">
        <f t="shared" ref="EG100:EG101" si="1450">IF(BA100="","","|n"&amp;EG$2&amp;"+"&amp;BA100&amp;EG$1)</f>
        <v/>
      </c>
      <c r="EH100" s="30" t="str">
        <f t="shared" ref="EH100:EH101" si="1451">IF(BB100="","","|n"&amp;EH$2&amp;"+"&amp;BB100&amp;EH$1)</f>
        <v/>
      </c>
      <c r="EI100" s="30" t="str">
        <f t="shared" ref="EI100:EI101" si="1452">IF(BC100="","","|n"&amp;EI$2&amp;"+"&amp;BC100&amp;EI$1)</f>
        <v/>
      </c>
      <c r="EJ100" s="30" t="str">
        <f t="shared" ref="EJ100:EJ101" si="1453">IF(BD100="","","|n"&amp;EJ$2&amp;"+"&amp;BD100&amp;EJ$1)</f>
        <v/>
      </c>
      <c r="EK100" s="30" t="str">
        <f t="shared" ref="EK100:EK101" si="1454">IF(BE100="","","|n"&amp;EK$2&amp;"+"&amp;BE100&amp;EK$1)</f>
        <v/>
      </c>
      <c r="EL100" s="30" t="str">
        <f t="shared" ref="EL100:EL101" si="1455">IF(BF100="","","|n"&amp;EL$2&amp;"+"&amp;BF100&amp;EL$1)</f>
        <v/>
      </c>
      <c r="EM100" s="30" t="str">
        <f t="shared" ref="EM100:EM101" si="1456">IF(BG100="","","|n"&amp;EM$2&amp;"+"&amp;BG100&amp;EM$1)</f>
        <v/>
      </c>
      <c r="EN100" s="30" t="str">
        <f t="shared" ref="EN100:EN101" si="1457">IF(BH100="","","|n"&amp;EN$2&amp;"+"&amp;BH100&amp;EN$1)</f>
        <v/>
      </c>
      <c r="EO100" s="30" t="str">
        <f t="shared" ref="EO100:EO101" si="1458">IF(BI100="","","|n"&amp;EO$2&amp;"+"&amp;BI100&amp;EO$1)</f>
        <v/>
      </c>
      <c r="EP100" s="30" t="str">
        <f t="shared" ref="EP100:EP101" si="1459">IF(BJ100="","","|n"&amp;EP$2&amp;"+"&amp;BJ100&amp;EP$1)</f>
        <v/>
      </c>
      <c r="EQ100" s="30" t="str">
        <f t="shared" ref="EQ100:EQ101" si="1460">IF(BK100="","","|n"&amp;EQ$2&amp;"+"&amp;BK100&amp;EQ$1)</f>
        <v/>
      </c>
      <c r="ER100" s="30" t="str">
        <f t="shared" ref="ER100:ER101" si="1461">IF(BL100="","","|n"&amp;ER$2&amp;"+"&amp;BL100&amp;ER$1)</f>
        <v/>
      </c>
      <c r="ES100" s="30" t="str">
        <f t="shared" ref="ES100:ES101" si="1462">IF(BM100="","","|n"&amp;ES$2&amp;"+"&amp;BM100&amp;ES$1)</f>
        <v/>
      </c>
      <c r="ET100" s="30" t="str">
        <f t="shared" ref="ET100:ET101" si="1463">IF(BN100="","","|n"&amp;ET$2&amp;"+"&amp;BN100&amp;ET$1)</f>
        <v/>
      </c>
      <c r="EU100" s="30" t="str">
        <f t="shared" ref="EU100:EU101" si="1464">IF(BO100="","","|n"&amp;EU$2&amp;"+"&amp;BO100&amp;EU$1)</f>
        <v/>
      </c>
      <c r="EV100" s="30" t="str">
        <f t="shared" ref="EV100:EV101" si="1465">IF(BP100="","","|n"&amp;EV$2&amp;"+"&amp;BP100&amp;EV$1)</f>
        <v/>
      </c>
      <c r="EW100" s="30" t="str">
        <f t="shared" ref="EW100:EW101" si="1466">IF(BQ100="","","|n"&amp;EW$2&amp;"+"&amp;BQ100&amp;EW$1)</f>
        <v/>
      </c>
      <c r="EX100" s="30" t="str">
        <f t="shared" ref="EX100:EX101" si="1467">IF(BR100="","","|n"&amp;EX$2&amp;"+"&amp;BR100&amp;EX$1)</f>
        <v/>
      </c>
      <c r="EY100" s="30" t="str">
        <f t="shared" ref="EY100:EY101" si="1468">IF(BS100="","","|n"&amp;EY$2&amp;"+"&amp;BS100&amp;EY$1)</f>
        <v/>
      </c>
      <c r="EZ100" s="30" t="str">
        <f t="shared" ref="EZ100:EZ101" si="1469">IF(BT100="","","|n"&amp;EZ$2&amp;"+"&amp;BT100&amp;EZ$1)</f>
        <v/>
      </c>
      <c r="FA100" s="30" t="str">
        <f t="shared" ref="FA100:FA101" si="1470">IF(BU100="","","|n"&amp;FA$2&amp;"+"&amp;BU100&amp;FA$1)</f>
        <v/>
      </c>
      <c r="FB100" s="30" t="str">
        <f t="shared" ref="FB100:FB101" si="1471">IF(BV100="","","|n"&amp;FB$2&amp;"+"&amp;BV100&amp;FB$1)</f>
        <v/>
      </c>
      <c r="FC100" s="30" t="str">
        <f t="shared" ref="FC100:FC101" si="1472">IF(BW100="","","|n"&amp;FC$2&amp;"+"&amp;BW100&amp;FC$1)</f>
        <v/>
      </c>
      <c r="FD100" s="30" t="str">
        <f t="shared" ref="FD100:FD101" si="1473">IF(BX100="","","|n"&amp;FD$2&amp;"+"&amp;BX100&amp;FD$1)</f>
        <v/>
      </c>
      <c r="FE100" s="30" t="str">
        <f t="shared" ref="FE100:FE101" si="1474">IF(BY100="","","|n"&amp;FE$2&amp;"+"&amp;BY100&amp;FE$1)</f>
        <v/>
      </c>
      <c r="FF100" s="30" t="str">
        <f t="shared" ref="FF100:FF101" si="1475">IF(BZ100="","","|n"&amp;FF$2&amp;"+"&amp;BZ100&amp;FF$1)</f>
        <v/>
      </c>
      <c r="FG100" s="30" t="str">
        <f t="shared" ref="FG100:FG101" si="1476">IF(CA100="","","|n"&amp;FG$2&amp;"+"&amp;CA100&amp;FG$1)</f>
        <v/>
      </c>
      <c r="FH100" s="30" t="str">
        <f t="shared" ref="FH100:FH101" si="1477">IF(CB100="","","|n"&amp;FH$2&amp;"+"&amp;CB100&amp;FH$1)</f>
        <v/>
      </c>
      <c r="FI100" s="30" t="str">
        <f t="shared" ref="FI100:FI101" si="1478">IF(CC100="","","|n"&amp;FI$2&amp;"+"&amp;CC100&amp;FI$1)</f>
        <v/>
      </c>
      <c r="FJ100" s="30" t="str">
        <f t="shared" ref="FJ100:FJ101" si="1479">IF(CD100="","","|n"&amp;FJ$2&amp;"+"&amp;CD100&amp;FJ$1)</f>
        <v/>
      </c>
      <c r="FK100" s="30" t="str">
        <f t="shared" ref="FK100:FK101" si="1480">IF(CE100="","","|n"&amp;FK$2&amp;"+"&amp;CE100&amp;FK$1)</f>
        <v/>
      </c>
      <c r="FL100" s="30" t="str">
        <f t="shared" ref="FL100:FL101" si="1481">IF(CF100="","","|n"&amp;FL$2&amp;"+"&amp;CF100&amp;FL$1)</f>
        <v/>
      </c>
      <c r="FM100" s="30" t="str">
        <f t="shared" ref="FM100:FM101" si="1482">IF(CG100="","","|n"&amp;FM$2&amp;"+"&amp;CG100&amp;FM$1)</f>
        <v/>
      </c>
      <c r="FN100" s="30" t="str">
        <f t="shared" ref="FN100:FN101" si="1483">IF(CH100="","","|n"&amp;FN$2&amp;"+"&amp;CH100&amp;FN$1)</f>
        <v/>
      </c>
      <c r="FO100" s="30" t="str">
        <f t="shared" ref="FO100:FO101" si="1484">IF(CI100="","","|n"&amp;FO$2&amp;"+"&amp;CI100&amp;FO$1)</f>
        <v/>
      </c>
      <c r="FP100" s="30" t="str">
        <f t="shared" ref="FP100:FP101" si="1485">IF(CJ100="","","|n"&amp;FP$2&amp;"+"&amp;CJ100&amp;FP$1)</f>
        <v/>
      </c>
      <c r="FQ100" s="30" t="str">
        <f t="shared" ref="FQ100:FQ101" si="1486">IF(CK100="","","|n"&amp;FQ$2&amp;"+"&amp;CK100&amp;FQ$1)</f>
        <v/>
      </c>
      <c r="FR100" s="30" t="str">
        <f t="shared" ref="FR100:FR101" si="1487">IF(CL100="","","|n"&amp;FR$2&amp;"+"&amp;CL100&amp;FR$1)</f>
        <v/>
      </c>
      <c r="FS100" s="30" t="str">
        <f t="shared" ref="FS100:FS101" si="1488">IF(CM100="","","|n"&amp;FS$2&amp;"+"&amp;CM100&amp;FS$1)</f>
        <v/>
      </c>
    </row>
    <row r="101" spans="1:175" ht="16.5">
      <c r="A101" s="111"/>
      <c r="B101" s="111" t="s">
        <v>955</v>
      </c>
      <c r="C101" s="111" t="s">
        <v>959</v>
      </c>
      <c r="T101" s="114" t="s">
        <v>946</v>
      </c>
      <c r="U101" s="37" t="s">
        <v>822</v>
      </c>
      <c r="CN101" s="7" t="str">
        <f t="shared" si="1413"/>
        <v>InitUnitState('I013',,,,,,,,,,)</v>
      </c>
      <c r="CO101" s="7" t="str">
        <f t="shared" si="1414"/>
        <v>InitUnitNormal('I013',,,,,,,,,,)</v>
      </c>
      <c r="CP101" s="7" t="str">
        <f t="shared" si="1415"/>
        <v>InitUnitMagic('I013',,,,,,,,,,)</v>
      </c>
      <c r="CQ101" s="7" t="str">
        <f t="shared" si="1416"/>
        <v>InitUnitAdd('I013',,,,,,,,,,)</v>
      </c>
      <c r="CR101" s="7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128&amp;CR$1&amp;")"</f>
        <v>InitEquipData('I013',,"",,,,,'','','','','','',"ReplaceableTextures\\CommandButtons\\BTNTome.blp")</v>
      </c>
      <c r="CU101" s="45" t="str">
        <f t="shared" si="1417"/>
        <v>|n</v>
      </c>
      <c r="CV101" s="29" t="str">
        <f t="shared" si="1418"/>
        <v>聚宝盆</v>
      </c>
      <c r="CW101" s="24"/>
      <c r="CX101" s="24"/>
      <c r="CY101" s="24"/>
      <c r="CZ101" s="24"/>
      <c r="DA101" s="24"/>
      <c r="DB101" s="30" t="str">
        <f t="shared" si="1419"/>
        <v/>
      </c>
      <c r="DC101" s="30" t="str">
        <f t="shared" si="1420"/>
        <v/>
      </c>
      <c r="DD101" s="30" t="str">
        <f t="shared" si="1421"/>
        <v/>
      </c>
      <c r="DE101" s="30" t="str">
        <f t="shared" si="1422"/>
        <v/>
      </c>
      <c r="DF101" s="30" t="str">
        <f t="shared" si="1423"/>
        <v/>
      </c>
      <c r="DG101" s="30" t="str">
        <f t="shared" si="1424"/>
        <v/>
      </c>
      <c r="DH101" s="30" t="str">
        <f t="shared" si="1425"/>
        <v/>
      </c>
      <c r="DI101" s="30" t="str">
        <f t="shared" si="1426"/>
        <v/>
      </c>
      <c r="DJ101" s="30" t="str">
        <f t="shared" si="1427"/>
        <v/>
      </c>
      <c r="DK101" s="30" t="str">
        <f t="shared" si="1428"/>
        <v/>
      </c>
      <c r="DL101" s="30" t="str">
        <f t="shared" si="1429"/>
        <v/>
      </c>
      <c r="DM101" s="30" t="str">
        <f t="shared" si="1430"/>
        <v/>
      </c>
      <c r="DN101" s="30" t="str">
        <f t="shared" si="1431"/>
        <v/>
      </c>
      <c r="DO101" s="30" t="str">
        <f t="shared" si="1432"/>
        <v/>
      </c>
      <c r="DP101" s="30" t="str">
        <f t="shared" si="1433"/>
        <v/>
      </c>
      <c r="DQ101" s="30" t="str">
        <f t="shared" si="1434"/>
        <v/>
      </c>
      <c r="DR101" s="30" t="str">
        <f t="shared" si="1435"/>
        <v/>
      </c>
      <c r="DS101" s="30" t="str">
        <f t="shared" si="1436"/>
        <v/>
      </c>
      <c r="DT101" s="30" t="str">
        <f t="shared" si="1437"/>
        <v/>
      </c>
      <c r="DU101" s="30" t="str">
        <f t="shared" si="1438"/>
        <v/>
      </c>
      <c r="DV101" s="30" t="str">
        <f t="shared" si="1439"/>
        <v/>
      </c>
      <c r="DW101" s="30" t="str">
        <f t="shared" si="1440"/>
        <v/>
      </c>
      <c r="DX101" s="30" t="str">
        <f t="shared" si="1441"/>
        <v/>
      </c>
      <c r="DY101" s="30" t="str">
        <f t="shared" si="1442"/>
        <v/>
      </c>
      <c r="DZ101" s="30" t="str">
        <f t="shared" si="1443"/>
        <v/>
      </c>
      <c r="EA101" s="30" t="str">
        <f t="shared" si="1444"/>
        <v/>
      </c>
      <c r="EB101" s="30" t="str">
        <f t="shared" si="1445"/>
        <v/>
      </c>
      <c r="EC101" s="30" t="str">
        <f t="shared" si="1446"/>
        <v/>
      </c>
      <c r="ED101" s="30" t="str">
        <f t="shared" si="1447"/>
        <v/>
      </c>
      <c r="EE101" s="30" t="str">
        <f t="shared" si="1448"/>
        <v/>
      </c>
      <c r="EF101" s="30" t="str">
        <f t="shared" si="1449"/>
        <v/>
      </c>
      <c r="EG101" s="30" t="str">
        <f t="shared" si="1450"/>
        <v/>
      </c>
      <c r="EH101" s="30" t="str">
        <f t="shared" si="1451"/>
        <v/>
      </c>
      <c r="EI101" s="30" t="str">
        <f t="shared" si="1452"/>
        <v/>
      </c>
      <c r="EJ101" s="30" t="str">
        <f t="shared" si="1453"/>
        <v/>
      </c>
      <c r="EK101" s="30" t="str">
        <f t="shared" si="1454"/>
        <v/>
      </c>
      <c r="EL101" s="30" t="str">
        <f t="shared" si="1455"/>
        <v/>
      </c>
      <c r="EM101" s="30" t="str">
        <f t="shared" si="1456"/>
        <v/>
      </c>
      <c r="EN101" s="30" t="str">
        <f t="shared" si="1457"/>
        <v/>
      </c>
      <c r="EO101" s="30" t="str">
        <f t="shared" si="1458"/>
        <v/>
      </c>
      <c r="EP101" s="30" t="str">
        <f t="shared" si="1459"/>
        <v/>
      </c>
      <c r="EQ101" s="30" t="str">
        <f t="shared" si="1460"/>
        <v/>
      </c>
      <c r="ER101" s="30" t="str">
        <f t="shared" si="1461"/>
        <v/>
      </c>
      <c r="ES101" s="30" t="str">
        <f t="shared" si="1462"/>
        <v/>
      </c>
      <c r="ET101" s="30" t="str">
        <f t="shared" si="1463"/>
        <v/>
      </c>
      <c r="EU101" s="30" t="str">
        <f t="shared" si="1464"/>
        <v/>
      </c>
      <c r="EV101" s="30" t="str">
        <f t="shared" si="1465"/>
        <v/>
      </c>
      <c r="EW101" s="30" t="str">
        <f t="shared" si="1466"/>
        <v/>
      </c>
      <c r="EX101" s="30" t="str">
        <f t="shared" si="1467"/>
        <v/>
      </c>
      <c r="EY101" s="30" t="str">
        <f t="shared" si="1468"/>
        <v/>
      </c>
      <c r="EZ101" s="30" t="str">
        <f t="shared" si="1469"/>
        <v/>
      </c>
      <c r="FA101" s="30" t="str">
        <f t="shared" si="1470"/>
        <v/>
      </c>
      <c r="FB101" s="30" t="str">
        <f t="shared" si="1471"/>
        <v/>
      </c>
      <c r="FC101" s="30" t="str">
        <f t="shared" si="1472"/>
        <v/>
      </c>
      <c r="FD101" s="30" t="str">
        <f t="shared" si="1473"/>
        <v/>
      </c>
      <c r="FE101" s="30" t="str">
        <f t="shared" si="1474"/>
        <v/>
      </c>
      <c r="FF101" s="30" t="str">
        <f t="shared" si="1475"/>
        <v/>
      </c>
      <c r="FG101" s="30" t="str">
        <f t="shared" si="1476"/>
        <v/>
      </c>
      <c r="FH101" s="30" t="str">
        <f t="shared" si="1477"/>
        <v/>
      </c>
      <c r="FI101" s="30" t="str">
        <f t="shared" si="1478"/>
        <v/>
      </c>
      <c r="FJ101" s="30" t="str">
        <f t="shared" si="1479"/>
        <v/>
      </c>
      <c r="FK101" s="30" t="str">
        <f t="shared" si="1480"/>
        <v/>
      </c>
      <c r="FL101" s="30" t="str">
        <f t="shared" si="1481"/>
        <v/>
      </c>
      <c r="FM101" s="30" t="str">
        <f t="shared" si="1482"/>
        <v/>
      </c>
      <c r="FN101" s="30" t="str">
        <f t="shared" si="1483"/>
        <v/>
      </c>
      <c r="FO101" s="30" t="str">
        <f t="shared" si="1484"/>
        <v/>
      </c>
      <c r="FP101" s="30" t="str">
        <f t="shared" si="1485"/>
        <v/>
      </c>
      <c r="FQ101" s="30" t="str">
        <f t="shared" si="1486"/>
        <v/>
      </c>
      <c r="FR101" s="30" t="str">
        <f t="shared" si="1487"/>
        <v/>
      </c>
      <c r="FS101" s="30" t="str">
        <f t="shared" si="1488"/>
        <v/>
      </c>
    </row>
    <row r="102" spans="1:175" ht="16.5">
      <c r="A102" s="111"/>
      <c r="B102" s="111" t="s">
        <v>956</v>
      </c>
      <c r="C102" s="111" t="s">
        <v>960</v>
      </c>
      <c r="T102" s="114" t="s">
        <v>946</v>
      </c>
      <c r="U102" s="37" t="s">
        <v>822</v>
      </c>
      <c r="CN102" s="7" t="str">
        <f t="shared" ref="CN102:CN117" si="1489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7" t="str">
        <f t="shared" ref="CO102:CO117" si="1490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7" t="str">
        <f t="shared" ref="CP102:CP117" si="1491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7" t="str">
        <f t="shared" ref="CQ102:CQ117" si="1492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7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129&amp;CR$1&amp;")"</f>
        <v>InitEquipData('I014',,"",,,,,'','','','','','',"ReplaceableTextures\\CommandButtons\\BTNTome.blp")</v>
      </c>
      <c r="CU102" s="45" t="str">
        <f t="shared" ref="CU102:CU117" si="1493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29" t="str">
        <f t="shared" ref="CV102:CV117" si="1494">T102</f>
        <v>聚宝盆</v>
      </c>
      <c r="CW102" s="24"/>
      <c r="CX102" s="24"/>
      <c r="CY102" s="24"/>
      <c r="CZ102" s="24"/>
      <c r="DA102" s="24"/>
      <c r="DB102" s="30" t="str">
        <f t="shared" ref="DB102:DB117" si="1495">IF(V102="","","|n"&amp;DB$2&amp;"+"&amp;V102&amp;DB$1)</f>
        <v/>
      </c>
      <c r="DC102" s="30" t="str">
        <f t="shared" ref="DC102:DC117" si="1496">IF(W102="","","|n"&amp;DC$2&amp;"+"&amp;W102&amp;DC$1)</f>
        <v/>
      </c>
      <c r="DD102" s="30" t="str">
        <f t="shared" ref="DD102:DD117" si="1497">IF(X102="","","|n"&amp;DD$2&amp;"+"&amp;X102&amp;DD$1)</f>
        <v/>
      </c>
      <c r="DE102" s="30" t="str">
        <f t="shared" ref="DE102:DE117" si="1498">IF(Y102="","","|n"&amp;DE$2&amp;"+"&amp;Y102&amp;DE$1)</f>
        <v/>
      </c>
      <c r="DF102" s="30" t="str">
        <f t="shared" ref="DF102:DF117" si="1499">IF(Z102="","","|n"&amp;DF$2&amp;"+"&amp;Z102&amp;DF$1)</f>
        <v/>
      </c>
      <c r="DG102" s="30" t="str">
        <f t="shared" ref="DG102:DG117" si="1500">IF(AA102="","","|n"&amp;DG$2&amp;"+"&amp;AA102&amp;DG$1)</f>
        <v/>
      </c>
      <c r="DH102" s="30" t="str">
        <f t="shared" ref="DH102:DH117" si="1501">IF(AB102="","","|n"&amp;DH$2&amp;"+"&amp;AB102&amp;DH$1)</f>
        <v/>
      </c>
      <c r="DI102" s="30" t="str">
        <f t="shared" ref="DI102:DI117" si="1502">IF(AC102="","","|n"&amp;DI$2&amp;"+"&amp;AC102&amp;DI$1)</f>
        <v/>
      </c>
      <c r="DJ102" s="30" t="str">
        <f t="shared" ref="DJ102:DJ117" si="1503">IF(AD102="","","|n"&amp;DJ$2&amp;"+"&amp;AD102&amp;DJ$1)</f>
        <v/>
      </c>
      <c r="DK102" s="30" t="str">
        <f t="shared" ref="DK102:DK117" si="1504">IF(AE102="","","|n"&amp;DK$2&amp;"+"&amp;AE102&amp;DK$1)</f>
        <v/>
      </c>
      <c r="DL102" s="30" t="str">
        <f t="shared" ref="DL102:DL117" si="1505">IF(AF102="","","|n"&amp;DL$2&amp;"+"&amp;AF102&amp;DL$1)</f>
        <v/>
      </c>
      <c r="DM102" s="30" t="str">
        <f t="shared" ref="DM102:DM117" si="1506">IF(AG102="","","|n"&amp;DM$2&amp;"+"&amp;AG102&amp;DM$1)</f>
        <v/>
      </c>
      <c r="DN102" s="30" t="str">
        <f t="shared" ref="DN102:DN117" si="1507">IF(AH102="","","|n"&amp;DN$2&amp;"+"&amp;AH102&amp;DN$1)</f>
        <v/>
      </c>
      <c r="DO102" s="30" t="str">
        <f t="shared" ref="DO102:DO117" si="1508">IF(AI102="","","|n"&amp;DO$2&amp;"+"&amp;AI102&amp;DO$1)</f>
        <v/>
      </c>
      <c r="DP102" s="30" t="str">
        <f t="shared" ref="DP102:DP117" si="1509">IF(AJ102="","","|n"&amp;DP$2&amp;"+"&amp;AJ102&amp;DP$1)</f>
        <v/>
      </c>
      <c r="DQ102" s="30" t="str">
        <f t="shared" ref="DQ102:DQ117" si="1510">IF(AK102="","","|n"&amp;DQ$2&amp;"+"&amp;AK102&amp;DQ$1)</f>
        <v/>
      </c>
      <c r="DR102" s="30" t="str">
        <f t="shared" ref="DR102:DR117" si="1511">IF(AL102="","","|n"&amp;DR$2&amp;"+"&amp;AL102&amp;DR$1)</f>
        <v/>
      </c>
      <c r="DS102" s="30" t="str">
        <f t="shared" ref="DS102:DS117" si="1512">IF(AM102="","","|n"&amp;DS$2&amp;"+"&amp;AM102&amp;DS$1)</f>
        <v/>
      </c>
      <c r="DT102" s="30" t="str">
        <f t="shared" ref="DT102:DT117" si="1513">IF(AN102="","","|n"&amp;DT$2&amp;"+"&amp;AN102&amp;DT$1)</f>
        <v/>
      </c>
      <c r="DU102" s="30" t="str">
        <f t="shared" ref="DU102:DU117" si="1514">IF(AO102="","","|n"&amp;DU$2&amp;"+"&amp;AO102&amp;DU$1)</f>
        <v/>
      </c>
      <c r="DV102" s="30" t="str">
        <f t="shared" ref="DV102:DV117" si="1515">IF(AP102="","","|n"&amp;DV$2&amp;"+"&amp;AP102&amp;DV$1)</f>
        <v/>
      </c>
      <c r="DW102" s="30" t="str">
        <f t="shared" ref="DW102:DW117" si="1516">IF(AQ102="","","|n"&amp;DW$2&amp;"+"&amp;AQ102&amp;DW$1)</f>
        <v/>
      </c>
      <c r="DX102" s="30" t="str">
        <f t="shared" ref="DX102:DX117" si="1517">IF(AR102="","","|n"&amp;DX$2&amp;"+"&amp;AR102&amp;DX$1)</f>
        <v/>
      </c>
      <c r="DY102" s="30" t="str">
        <f t="shared" ref="DY102:DY117" si="1518">IF(AS102="","","|n"&amp;DY$2&amp;"+"&amp;AS102&amp;DY$1)</f>
        <v/>
      </c>
      <c r="DZ102" s="30" t="str">
        <f t="shared" ref="DZ102:DZ117" si="1519">IF(AT102="","","|n"&amp;DZ$2&amp;"+"&amp;AT102&amp;DZ$1)</f>
        <v/>
      </c>
      <c r="EA102" s="30" t="str">
        <f t="shared" ref="EA102:EA117" si="1520">IF(AU102="","","|n"&amp;EA$2&amp;"+"&amp;AU102&amp;EA$1)</f>
        <v/>
      </c>
      <c r="EB102" s="30" t="str">
        <f t="shared" ref="EB102:EB117" si="1521">IF(AV102="","","|n"&amp;EB$2&amp;"+"&amp;AV102&amp;EB$1)</f>
        <v/>
      </c>
      <c r="EC102" s="30" t="str">
        <f t="shared" ref="EC102:EC117" si="1522">IF(AW102="","","|n"&amp;EC$2&amp;"+"&amp;AW102&amp;EC$1)</f>
        <v/>
      </c>
      <c r="ED102" s="30" t="str">
        <f t="shared" ref="ED102:ED117" si="1523">IF(AX102="","","|n"&amp;ED$2&amp;"+"&amp;AX102&amp;ED$1)</f>
        <v/>
      </c>
      <c r="EE102" s="30" t="str">
        <f t="shared" ref="EE102:EE117" si="1524">IF(AY102="","","|n"&amp;EE$2&amp;"+"&amp;AY102&amp;EE$1)</f>
        <v/>
      </c>
      <c r="EF102" s="30" t="str">
        <f t="shared" ref="EF102:EF117" si="1525">IF(AZ102="","","|n"&amp;EF$2&amp;"+"&amp;AZ102&amp;EF$1)</f>
        <v/>
      </c>
      <c r="EG102" s="30" t="str">
        <f t="shared" ref="EG102:EG117" si="1526">IF(BA102="","","|n"&amp;EG$2&amp;"+"&amp;BA102&amp;EG$1)</f>
        <v/>
      </c>
      <c r="EH102" s="30" t="str">
        <f t="shared" ref="EH102:EH117" si="1527">IF(BB102="","","|n"&amp;EH$2&amp;"+"&amp;BB102&amp;EH$1)</f>
        <v/>
      </c>
      <c r="EI102" s="30" t="str">
        <f t="shared" ref="EI102:EI117" si="1528">IF(BC102="","","|n"&amp;EI$2&amp;"+"&amp;BC102&amp;EI$1)</f>
        <v/>
      </c>
      <c r="EJ102" s="30" t="str">
        <f t="shared" ref="EJ102:EJ117" si="1529">IF(BD102="","","|n"&amp;EJ$2&amp;"+"&amp;BD102&amp;EJ$1)</f>
        <v/>
      </c>
      <c r="EK102" s="30" t="str">
        <f t="shared" ref="EK102:EK117" si="1530">IF(BE102="","","|n"&amp;EK$2&amp;"+"&amp;BE102&amp;EK$1)</f>
        <v/>
      </c>
      <c r="EL102" s="30" t="str">
        <f t="shared" ref="EL102:EL117" si="1531">IF(BF102="","","|n"&amp;EL$2&amp;"+"&amp;BF102&amp;EL$1)</f>
        <v/>
      </c>
      <c r="EM102" s="30" t="str">
        <f t="shared" ref="EM102:EM117" si="1532">IF(BG102="","","|n"&amp;EM$2&amp;"+"&amp;BG102&amp;EM$1)</f>
        <v/>
      </c>
      <c r="EN102" s="30" t="str">
        <f t="shared" ref="EN102:EN117" si="1533">IF(BH102="","","|n"&amp;EN$2&amp;"+"&amp;BH102&amp;EN$1)</f>
        <v/>
      </c>
      <c r="EO102" s="30" t="str">
        <f t="shared" ref="EO102:EO117" si="1534">IF(BI102="","","|n"&amp;EO$2&amp;"+"&amp;BI102&amp;EO$1)</f>
        <v/>
      </c>
      <c r="EP102" s="30" t="str">
        <f t="shared" ref="EP102:EP117" si="1535">IF(BJ102="","","|n"&amp;EP$2&amp;"+"&amp;BJ102&amp;EP$1)</f>
        <v/>
      </c>
      <c r="EQ102" s="30" t="str">
        <f t="shared" ref="EQ102:EQ117" si="1536">IF(BK102="","","|n"&amp;EQ$2&amp;"+"&amp;BK102&amp;EQ$1)</f>
        <v/>
      </c>
      <c r="ER102" s="30" t="str">
        <f t="shared" ref="ER102:ER117" si="1537">IF(BL102="","","|n"&amp;ER$2&amp;"+"&amp;BL102&amp;ER$1)</f>
        <v/>
      </c>
      <c r="ES102" s="30" t="str">
        <f t="shared" ref="ES102:ES117" si="1538">IF(BM102="","","|n"&amp;ES$2&amp;"+"&amp;BM102&amp;ES$1)</f>
        <v/>
      </c>
      <c r="ET102" s="30" t="str">
        <f t="shared" ref="ET102:ET117" si="1539">IF(BN102="","","|n"&amp;ET$2&amp;"+"&amp;BN102&amp;ET$1)</f>
        <v/>
      </c>
      <c r="EU102" s="30" t="str">
        <f t="shared" ref="EU102:EU117" si="1540">IF(BO102="","","|n"&amp;EU$2&amp;"+"&amp;BO102&amp;EU$1)</f>
        <v/>
      </c>
      <c r="EV102" s="30" t="str">
        <f t="shared" ref="EV102:EV117" si="1541">IF(BP102="","","|n"&amp;EV$2&amp;"+"&amp;BP102&amp;EV$1)</f>
        <v/>
      </c>
      <c r="EW102" s="30" t="str">
        <f t="shared" ref="EW102:EW117" si="1542">IF(BQ102="","","|n"&amp;EW$2&amp;"+"&amp;BQ102&amp;EW$1)</f>
        <v/>
      </c>
      <c r="EX102" s="30" t="str">
        <f t="shared" ref="EX102:EX117" si="1543">IF(BR102="","","|n"&amp;EX$2&amp;"+"&amp;BR102&amp;EX$1)</f>
        <v/>
      </c>
      <c r="EY102" s="30" t="str">
        <f t="shared" ref="EY102:EY117" si="1544">IF(BS102="","","|n"&amp;EY$2&amp;"+"&amp;BS102&amp;EY$1)</f>
        <v/>
      </c>
      <c r="EZ102" s="30" t="str">
        <f t="shared" ref="EZ102:EZ117" si="1545">IF(BT102="","","|n"&amp;EZ$2&amp;"+"&amp;BT102&amp;EZ$1)</f>
        <v/>
      </c>
      <c r="FA102" s="30" t="str">
        <f t="shared" ref="FA102:FA117" si="1546">IF(BU102="","","|n"&amp;FA$2&amp;"+"&amp;BU102&amp;FA$1)</f>
        <v/>
      </c>
      <c r="FB102" s="30" t="str">
        <f t="shared" ref="FB102:FB117" si="1547">IF(BV102="","","|n"&amp;FB$2&amp;"+"&amp;BV102&amp;FB$1)</f>
        <v/>
      </c>
      <c r="FC102" s="30" t="str">
        <f t="shared" ref="FC102:FC117" si="1548">IF(BW102="","","|n"&amp;FC$2&amp;"+"&amp;BW102&amp;FC$1)</f>
        <v/>
      </c>
      <c r="FD102" s="30" t="str">
        <f t="shared" ref="FD102:FD117" si="1549">IF(BX102="","","|n"&amp;FD$2&amp;"+"&amp;BX102&amp;FD$1)</f>
        <v/>
      </c>
      <c r="FE102" s="30" t="str">
        <f t="shared" ref="FE102:FE117" si="1550">IF(BY102="","","|n"&amp;FE$2&amp;"+"&amp;BY102&amp;FE$1)</f>
        <v/>
      </c>
      <c r="FF102" s="30" t="str">
        <f t="shared" ref="FF102:FF117" si="1551">IF(BZ102="","","|n"&amp;FF$2&amp;"+"&amp;BZ102&amp;FF$1)</f>
        <v/>
      </c>
      <c r="FG102" s="30" t="str">
        <f t="shared" ref="FG102:FG117" si="1552">IF(CA102="","","|n"&amp;FG$2&amp;"+"&amp;CA102&amp;FG$1)</f>
        <v/>
      </c>
      <c r="FH102" s="30" t="str">
        <f t="shared" ref="FH102:FH117" si="1553">IF(CB102="","","|n"&amp;FH$2&amp;"+"&amp;CB102&amp;FH$1)</f>
        <v/>
      </c>
      <c r="FI102" s="30" t="str">
        <f t="shared" ref="FI102:FI117" si="1554">IF(CC102="","","|n"&amp;FI$2&amp;"+"&amp;CC102&amp;FI$1)</f>
        <v/>
      </c>
      <c r="FJ102" s="30" t="str">
        <f t="shared" ref="FJ102:FJ117" si="1555">IF(CD102="","","|n"&amp;FJ$2&amp;"+"&amp;CD102&amp;FJ$1)</f>
        <v/>
      </c>
      <c r="FK102" s="30" t="str">
        <f t="shared" ref="FK102:FK117" si="1556">IF(CE102="","","|n"&amp;FK$2&amp;"+"&amp;CE102&amp;FK$1)</f>
        <v/>
      </c>
      <c r="FL102" s="30" t="str">
        <f t="shared" ref="FL102:FL117" si="1557">IF(CF102="","","|n"&amp;FL$2&amp;"+"&amp;CF102&amp;FL$1)</f>
        <v/>
      </c>
      <c r="FM102" s="30" t="str">
        <f t="shared" ref="FM102:FM117" si="1558">IF(CG102="","","|n"&amp;FM$2&amp;"+"&amp;CG102&amp;FM$1)</f>
        <v/>
      </c>
      <c r="FN102" s="30" t="str">
        <f t="shared" ref="FN102:FN117" si="1559">IF(CH102="","","|n"&amp;FN$2&amp;"+"&amp;CH102&amp;FN$1)</f>
        <v/>
      </c>
      <c r="FO102" s="30" t="str">
        <f t="shared" ref="FO102:FO117" si="1560">IF(CI102="","","|n"&amp;FO$2&amp;"+"&amp;CI102&amp;FO$1)</f>
        <v/>
      </c>
      <c r="FP102" s="30" t="str">
        <f t="shared" ref="FP102:FP117" si="1561">IF(CJ102="","","|n"&amp;FP$2&amp;"+"&amp;CJ102&amp;FP$1)</f>
        <v/>
      </c>
      <c r="FQ102" s="30" t="str">
        <f t="shared" ref="FQ102:FQ117" si="1562">IF(CK102="","","|n"&amp;FQ$2&amp;"+"&amp;CK102&amp;FQ$1)</f>
        <v/>
      </c>
      <c r="FR102" s="30" t="str">
        <f t="shared" ref="FR102:FR117" si="1563">IF(CL102="","","|n"&amp;FR$2&amp;"+"&amp;CL102&amp;FR$1)</f>
        <v/>
      </c>
      <c r="FS102" s="30" t="str">
        <f t="shared" ref="FS102:FS117" si="1564">IF(CM102="","","|n"&amp;FS$2&amp;"+"&amp;CM102&amp;FS$1)</f>
        <v/>
      </c>
    </row>
    <row r="103" spans="1:175" ht="16.5">
      <c r="A103" s="111"/>
      <c r="B103" s="111" t="s">
        <v>971</v>
      </c>
      <c r="C103" s="111" t="s">
        <v>972</v>
      </c>
      <c r="T103" s="114" t="s">
        <v>1027</v>
      </c>
      <c r="U103" s="37" t="s">
        <v>822</v>
      </c>
      <c r="CN103" s="7" t="str">
        <f t="shared" si="1489"/>
        <v>InitUnitState('IN00',,,,,,,,,,)</v>
      </c>
      <c r="CO103" s="7" t="str">
        <f t="shared" si="1490"/>
        <v>InitUnitNormal('IN00',,,,,,,,,,)</v>
      </c>
      <c r="CP103" s="7" t="str">
        <f t="shared" si="1491"/>
        <v>InitUnitMagic('IN00',,,,,,,,,,)</v>
      </c>
      <c r="CQ103" s="7" t="str">
        <f t="shared" si="1492"/>
        <v>InitUnitAdd('IN00',,,,,,,,,,)</v>
      </c>
      <c r="CR103" s="7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InitEquipData('IN00',,"",,,,,'','','','','','',"ReplaceableTextures\\CommandButtons\\BTNTome.blp")</v>
      </c>
      <c r="CU103" s="45" t="str">
        <f t="shared" si="1493"/>
        <v>|n</v>
      </c>
      <c r="CV103" s="29" t="str">
        <f t="shared" si="1494"/>
        <v>开出一个随机锦囊</v>
      </c>
      <c r="CW103" s="24"/>
      <c r="CX103" s="24"/>
      <c r="CY103" s="24"/>
      <c r="CZ103" s="24"/>
      <c r="DA103" s="24"/>
      <c r="DB103" s="30" t="str">
        <f t="shared" si="1495"/>
        <v/>
      </c>
      <c r="DC103" s="30" t="str">
        <f t="shared" si="1496"/>
        <v/>
      </c>
      <c r="DD103" s="30" t="str">
        <f t="shared" si="1497"/>
        <v/>
      </c>
      <c r="DE103" s="30" t="str">
        <f t="shared" si="1498"/>
        <v/>
      </c>
      <c r="DF103" s="30" t="str">
        <f t="shared" si="1499"/>
        <v/>
      </c>
      <c r="DG103" s="30" t="str">
        <f t="shared" si="1500"/>
        <v/>
      </c>
      <c r="DH103" s="30" t="str">
        <f t="shared" si="1501"/>
        <v/>
      </c>
      <c r="DI103" s="30" t="str">
        <f t="shared" si="1502"/>
        <v/>
      </c>
      <c r="DJ103" s="30" t="str">
        <f t="shared" si="1503"/>
        <v/>
      </c>
      <c r="DK103" s="30" t="str">
        <f t="shared" si="1504"/>
        <v/>
      </c>
      <c r="DL103" s="30" t="str">
        <f t="shared" si="1505"/>
        <v/>
      </c>
      <c r="DM103" s="30" t="str">
        <f t="shared" si="1506"/>
        <v/>
      </c>
      <c r="DN103" s="30" t="str">
        <f t="shared" si="1507"/>
        <v/>
      </c>
      <c r="DO103" s="30" t="str">
        <f t="shared" si="1508"/>
        <v/>
      </c>
      <c r="DP103" s="30" t="str">
        <f t="shared" si="1509"/>
        <v/>
      </c>
      <c r="DQ103" s="30" t="str">
        <f t="shared" si="1510"/>
        <v/>
      </c>
      <c r="DR103" s="30" t="str">
        <f t="shared" si="1511"/>
        <v/>
      </c>
      <c r="DS103" s="30" t="str">
        <f t="shared" si="1512"/>
        <v/>
      </c>
      <c r="DT103" s="30" t="str">
        <f t="shared" si="1513"/>
        <v/>
      </c>
      <c r="DU103" s="30" t="str">
        <f t="shared" si="1514"/>
        <v/>
      </c>
      <c r="DV103" s="30" t="str">
        <f t="shared" si="1515"/>
        <v/>
      </c>
      <c r="DW103" s="30" t="str">
        <f t="shared" si="1516"/>
        <v/>
      </c>
      <c r="DX103" s="30" t="str">
        <f t="shared" si="1517"/>
        <v/>
      </c>
      <c r="DY103" s="30" t="str">
        <f t="shared" si="1518"/>
        <v/>
      </c>
      <c r="DZ103" s="30" t="str">
        <f t="shared" si="1519"/>
        <v/>
      </c>
      <c r="EA103" s="30" t="str">
        <f t="shared" si="1520"/>
        <v/>
      </c>
      <c r="EB103" s="30" t="str">
        <f t="shared" si="1521"/>
        <v/>
      </c>
      <c r="EC103" s="30" t="str">
        <f t="shared" si="1522"/>
        <v/>
      </c>
      <c r="ED103" s="30" t="str">
        <f t="shared" si="1523"/>
        <v/>
      </c>
      <c r="EE103" s="30" t="str">
        <f t="shared" si="1524"/>
        <v/>
      </c>
      <c r="EF103" s="30" t="str">
        <f t="shared" si="1525"/>
        <v/>
      </c>
      <c r="EG103" s="30" t="str">
        <f t="shared" si="1526"/>
        <v/>
      </c>
      <c r="EH103" s="30" t="str">
        <f t="shared" si="1527"/>
        <v/>
      </c>
      <c r="EI103" s="30" t="str">
        <f t="shared" si="1528"/>
        <v/>
      </c>
      <c r="EJ103" s="30" t="str">
        <f t="shared" si="1529"/>
        <v/>
      </c>
      <c r="EK103" s="30" t="str">
        <f t="shared" si="1530"/>
        <v/>
      </c>
      <c r="EL103" s="30" t="str">
        <f t="shared" si="1531"/>
        <v/>
      </c>
      <c r="EM103" s="30" t="str">
        <f t="shared" si="1532"/>
        <v/>
      </c>
      <c r="EN103" s="30" t="str">
        <f t="shared" si="1533"/>
        <v/>
      </c>
      <c r="EO103" s="30" t="str">
        <f t="shared" si="1534"/>
        <v/>
      </c>
      <c r="EP103" s="30" t="str">
        <f t="shared" si="1535"/>
        <v/>
      </c>
      <c r="EQ103" s="30" t="str">
        <f t="shared" si="1536"/>
        <v/>
      </c>
      <c r="ER103" s="30" t="str">
        <f t="shared" si="1537"/>
        <v/>
      </c>
      <c r="ES103" s="30" t="str">
        <f t="shared" si="1538"/>
        <v/>
      </c>
      <c r="ET103" s="30" t="str">
        <f t="shared" si="1539"/>
        <v/>
      </c>
      <c r="EU103" s="30" t="str">
        <f t="shared" si="1540"/>
        <v/>
      </c>
      <c r="EV103" s="30" t="str">
        <f t="shared" si="1541"/>
        <v/>
      </c>
      <c r="EW103" s="30" t="str">
        <f t="shared" si="1542"/>
        <v/>
      </c>
      <c r="EX103" s="30" t="str">
        <f t="shared" si="1543"/>
        <v/>
      </c>
      <c r="EY103" s="30" t="str">
        <f t="shared" si="1544"/>
        <v/>
      </c>
      <c r="EZ103" s="30" t="str">
        <f t="shared" si="1545"/>
        <v/>
      </c>
      <c r="FA103" s="30" t="str">
        <f t="shared" si="1546"/>
        <v/>
      </c>
      <c r="FB103" s="30" t="str">
        <f t="shared" si="1547"/>
        <v/>
      </c>
      <c r="FC103" s="30" t="str">
        <f t="shared" si="1548"/>
        <v/>
      </c>
      <c r="FD103" s="30" t="str">
        <f t="shared" si="1549"/>
        <v/>
      </c>
      <c r="FE103" s="30" t="str">
        <f t="shared" si="1550"/>
        <v/>
      </c>
      <c r="FF103" s="30" t="str">
        <f t="shared" si="1551"/>
        <v/>
      </c>
      <c r="FG103" s="30" t="str">
        <f t="shared" si="1552"/>
        <v/>
      </c>
      <c r="FH103" s="30" t="str">
        <f t="shared" si="1553"/>
        <v/>
      </c>
      <c r="FI103" s="30" t="str">
        <f t="shared" si="1554"/>
        <v/>
      </c>
      <c r="FJ103" s="30" t="str">
        <f t="shared" si="1555"/>
        <v/>
      </c>
      <c r="FK103" s="30" t="str">
        <f t="shared" si="1556"/>
        <v/>
      </c>
      <c r="FL103" s="30" t="str">
        <f t="shared" si="1557"/>
        <v/>
      </c>
      <c r="FM103" s="30" t="str">
        <f t="shared" si="1558"/>
        <v/>
      </c>
      <c r="FN103" s="30" t="str">
        <f t="shared" si="1559"/>
        <v/>
      </c>
      <c r="FO103" s="30" t="str">
        <f t="shared" si="1560"/>
        <v/>
      </c>
      <c r="FP103" s="30" t="str">
        <f t="shared" si="1561"/>
        <v/>
      </c>
      <c r="FQ103" s="30" t="str">
        <f t="shared" si="1562"/>
        <v/>
      </c>
      <c r="FR103" s="30" t="str">
        <f t="shared" si="1563"/>
        <v/>
      </c>
      <c r="FS103" s="30" t="str">
        <f t="shared" si="1564"/>
        <v/>
      </c>
    </row>
    <row r="104" spans="1:175" ht="16.5">
      <c r="A104" s="111"/>
      <c r="B104" s="111" t="s">
        <v>991</v>
      </c>
      <c r="C104" s="29" t="s">
        <v>973</v>
      </c>
      <c r="T104" s="124" t="s">
        <v>1025</v>
      </c>
      <c r="U104" s="37" t="s">
        <v>822</v>
      </c>
      <c r="CN104" s="7" t="str">
        <f t="shared" si="1489"/>
        <v>InitUnitState('IN01',,,,,,,,,,)</v>
      </c>
      <c r="CO104" s="7" t="str">
        <f t="shared" si="1490"/>
        <v>InitUnitNormal('IN01',,,,,,,,,,)</v>
      </c>
      <c r="CP104" s="7" t="str">
        <f t="shared" si="1491"/>
        <v>InitUnitMagic('IN01',,,,,,,,,,)</v>
      </c>
      <c r="CQ104" s="7" t="str">
        <f t="shared" si="1492"/>
        <v>InitUnitAdd('IN01',,,,,,,,,,)</v>
      </c>
      <c r="CR104" s="7" t="str">
        <f t="shared" ref="CR104:CR121" si="1565"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119&amp;CR$1&amp;")"</f>
        <v>InitEquipData('IN01',,"",,,,,'','','','','','',"ReplaceableTextures\\CommandButtons\\BTNTome.blp")</v>
      </c>
      <c r="CU104" s="45" t="str">
        <f t="shared" si="1493"/>
        <v>|n</v>
      </c>
      <c r="CV104" s="29" t="str">
        <f t="shared" si="1494"/>
        <v>为Q技能附魔随机效果。\n更换该技能后，附魔效果消失。</v>
      </c>
      <c r="CW104" s="24"/>
      <c r="CX104" s="24"/>
      <c r="CY104" s="24"/>
      <c r="CZ104" s="24"/>
      <c r="DA104" s="24"/>
      <c r="DB104" s="30" t="str">
        <f t="shared" si="1495"/>
        <v/>
      </c>
      <c r="DC104" s="30" t="str">
        <f t="shared" si="1496"/>
        <v/>
      </c>
      <c r="DD104" s="30" t="str">
        <f t="shared" si="1497"/>
        <v/>
      </c>
      <c r="DE104" s="30" t="str">
        <f t="shared" si="1498"/>
        <v/>
      </c>
      <c r="DF104" s="30" t="str">
        <f t="shared" si="1499"/>
        <v/>
      </c>
      <c r="DG104" s="30" t="str">
        <f t="shared" si="1500"/>
        <v/>
      </c>
      <c r="DH104" s="30" t="str">
        <f t="shared" si="1501"/>
        <v/>
      </c>
      <c r="DI104" s="30" t="str">
        <f t="shared" si="1502"/>
        <v/>
      </c>
      <c r="DJ104" s="30" t="str">
        <f t="shared" si="1503"/>
        <v/>
      </c>
      <c r="DK104" s="30" t="str">
        <f t="shared" si="1504"/>
        <v/>
      </c>
      <c r="DL104" s="30" t="str">
        <f t="shared" si="1505"/>
        <v/>
      </c>
      <c r="DM104" s="30" t="str">
        <f t="shared" si="1506"/>
        <v/>
      </c>
      <c r="DN104" s="30" t="str">
        <f t="shared" si="1507"/>
        <v/>
      </c>
      <c r="DO104" s="30" t="str">
        <f t="shared" si="1508"/>
        <v/>
      </c>
      <c r="DP104" s="30" t="str">
        <f t="shared" si="1509"/>
        <v/>
      </c>
      <c r="DQ104" s="30" t="str">
        <f t="shared" si="1510"/>
        <v/>
      </c>
      <c r="DR104" s="30" t="str">
        <f t="shared" si="1511"/>
        <v/>
      </c>
      <c r="DS104" s="30" t="str">
        <f t="shared" si="1512"/>
        <v/>
      </c>
      <c r="DT104" s="30" t="str">
        <f t="shared" si="1513"/>
        <v/>
      </c>
      <c r="DU104" s="30" t="str">
        <f t="shared" si="1514"/>
        <v/>
      </c>
      <c r="DV104" s="30" t="str">
        <f t="shared" si="1515"/>
        <v/>
      </c>
      <c r="DW104" s="30" t="str">
        <f t="shared" si="1516"/>
        <v/>
      </c>
      <c r="DX104" s="30" t="str">
        <f t="shared" si="1517"/>
        <v/>
      </c>
      <c r="DY104" s="30" t="str">
        <f t="shared" si="1518"/>
        <v/>
      </c>
      <c r="DZ104" s="30" t="str">
        <f t="shared" si="1519"/>
        <v/>
      </c>
      <c r="EA104" s="30" t="str">
        <f t="shared" si="1520"/>
        <v/>
      </c>
      <c r="EB104" s="30" t="str">
        <f t="shared" si="1521"/>
        <v/>
      </c>
      <c r="EC104" s="30" t="str">
        <f t="shared" si="1522"/>
        <v/>
      </c>
      <c r="ED104" s="30" t="str">
        <f t="shared" si="1523"/>
        <v/>
      </c>
      <c r="EE104" s="30" t="str">
        <f t="shared" si="1524"/>
        <v/>
      </c>
      <c r="EF104" s="30" t="str">
        <f t="shared" si="1525"/>
        <v/>
      </c>
      <c r="EG104" s="30" t="str">
        <f t="shared" si="1526"/>
        <v/>
      </c>
      <c r="EH104" s="30" t="str">
        <f t="shared" si="1527"/>
        <v/>
      </c>
      <c r="EI104" s="30" t="str">
        <f t="shared" si="1528"/>
        <v/>
      </c>
      <c r="EJ104" s="30" t="str">
        <f t="shared" si="1529"/>
        <v/>
      </c>
      <c r="EK104" s="30" t="str">
        <f t="shared" si="1530"/>
        <v/>
      </c>
      <c r="EL104" s="30" t="str">
        <f t="shared" si="1531"/>
        <v/>
      </c>
      <c r="EM104" s="30" t="str">
        <f t="shared" si="1532"/>
        <v/>
      </c>
      <c r="EN104" s="30" t="str">
        <f t="shared" si="1533"/>
        <v/>
      </c>
      <c r="EO104" s="30" t="str">
        <f t="shared" si="1534"/>
        <v/>
      </c>
      <c r="EP104" s="30" t="str">
        <f t="shared" si="1535"/>
        <v/>
      </c>
      <c r="EQ104" s="30" t="str">
        <f t="shared" si="1536"/>
        <v/>
      </c>
      <c r="ER104" s="30" t="str">
        <f t="shared" si="1537"/>
        <v/>
      </c>
      <c r="ES104" s="30" t="str">
        <f t="shared" si="1538"/>
        <v/>
      </c>
      <c r="ET104" s="30" t="str">
        <f t="shared" si="1539"/>
        <v/>
      </c>
      <c r="EU104" s="30" t="str">
        <f t="shared" si="1540"/>
        <v/>
      </c>
      <c r="EV104" s="30" t="str">
        <f t="shared" si="1541"/>
        <v/>
      </c>
      <c r="EW104" s="30" t="str">
        <f t="shared" si="1542"/>
        <v/>
      </c>
      <c r="EX104" s="30" t="str">
        <f t="shared" si="1543"/>
        <v/>
      </c>
      <c r="EY104" s="30" t="str">
        <f t="shared" si="1544"/>
        <v/>
      </c>
      <c r="EZ104" s="30" t="str">
        <f t="shared" si="1545"/>
        <v/>
      </c>
      <c r="FA104" s="30" t="str">
        <f t="shared" si="1546"/>
        <v/>
      </c>
      <c r="FB104" s="30" t="str">
        <f t="shared" si="1547"/>
        <v/>
      </c>
      <c r="FC104" s="30" t="str">
        <f t="shared" si="1548"/>
        <v/>
      </c>
      <c r="FD104" s="30" t="str">
        <f t="shared" si="1549"/>
        <v/>
      </c>
      <c r="FE104" s="30" t="str">
        <f t="shared" si="1550"/>
        <v/>
      </c>
      <c r="FF104" s="30" t="str">
        <f t="shared" si="1551"/>
        <v/>
      </c>
      <c r="FG104" s="30" t="str">
        <f t="shared" si="1552"/>
        <v/>
      </c>
      <c r="FH104" s="30" t="str">
        <f t="shared" si="1553"/>
        <v/>
      </c>
      <c r="FI104" s="30" t="str">
        <f t="shared" si="1554"/>
        <v/>
      </c>
      <c r="FJ104" s="30" t="str">
        <f t="shared" si="1555"/>
        <v/>
      </c>
      <c r="FK104" s="30" t="str">
        <f t="shared" si="1556"/>
        <v/>
      </c>
      <c r="FL104" s="30" t="str">
        <f t="shared" si="1557"/>
        <v/>
      </c>
      <c r="FM104" s="30" t="str">
        <f t="shared" si="1558"/>
        <v/>
      </c>
      <c r="FN104" s="30" t="str">
        <f t="shared" si="1559"/>
        <v/>
      </c>
      <c r="FO104" s="30" t="str">
        <f t="shared" si="1560"/>
        <v/>
      </c>
      <c r="FP104" s="30" t="str">
        <f t="shared" si="1561"/>
        <v/>
      </c>
      <c r="FQ104" s="30" t="str">
        <f t="shared" si="1562"/>
        <v/>
      </c>
      <c r="FR104" s="30" t="str">
        <f t="shared" si="1563"/>
        <v/>
      </c>
      <c r="FS104" s="30" t="str">
        <f t="shared" si="1564"/>
        <v/>
      </c>
    </row>
    <row r="105" spans="1:175" ht="16.5">
      <c r="A105" s="111"/>
      <c r="B105" s="111" t="s">
        <v>992</v>
      </c>
      <c r="C105" s="29" t="s">
        <v>974</v>
      </c>
      <c r="T105" s="124" t="s">
        <v>1024</v>
      </c>
      <c r="U105" s="37" t="s">
        <v>822</v>
      </c>
      <c r="CN105" s="7" t="str">
        <f t="shared" si="1489"/>
        <v>InitUnitState('IN02',,,,,,,,,,)</v>
      </c>
      <c r="CO105" s="7" t="str">
        <f t="shared" si="1490"/>
        <v>InitUnitNormal('IN02',,,,,,,,,,)</v>
      </c>
      <c r="CP105" s="7" t="str">
        <f t="shared" si="1491"/>
        <v>InitUnitMagic('IN02',,,,,,,,,,)</v>
      </c>
      <c r="CQ105" s="7" t="str">
        <f t="shared" si="1492"/>
        <v>InitUnitAdd('IN02',,,,,,,,,,)</v>
      </c>
      <c r="CR105" s="7" t="str">
        <f t="shared" si="1565"/>
        <v>InitEquipData('IN02',,"",,,,,'','','','','','',"ReplaceableTextures\\CommandButtons\\BTNTome.blp")</v>
      </c>
      <c r="CU105" s="45" t="str">
        <f t="shared" si="1493"/>
        <v>|n</v>
      </c>
      <c r="CV105" s="29" t="str">
        <f t="shared" si="1494"/>
        <v>为W技能附魔随机效果。\n更换该技能后，附魔效果消失。</v>
      </c>
      <c r="CW105" s="24"/>
      <c r="CX105" s="24"/>
      <c r="CY105" s="24"/>
      <c r="CZ105" s="24"/>
      <c r="DA105" s="24"/>
      <c r="DB105" s="30" t="str">
        <f t="shared" si="1495"/>
        <v/>
      </c>
      <c r="DC105" s="30" t="str">
        <f t="shared" si="1496"/>
        <v/>
      </c>
      <c r="DD105" s="30" t="str">
        <f t="shared" si="1497"/>
        <v/>
      </c>
      <c r="DE105" s="30" t="str">
        <f t="shared" si="1498"/>
        <v/>
      </c>
      <c r="DF105" s="30" t="str">
        <f t="shared" si="1499"/>
        <v/>
      </c>
      <c r="DG105" s="30" t="str">
        <f t="shared" si="1500"/>
        <v/>
      </c>
      <c r="DH105" s="30" t="str">
        <f t="shared" si="1501"/>
        <v/>
      </c>
      <c r="DI105" s="30" t="str">
        <f t="shared" si="1502"/>
        <v/>
      </c>
      <c r="DJ105" s="30" t="str">
        <f t="shared" si="1503"/>
        <v/>
      </c>
      <c r="DK105" s="30" t="str">
        <f t="shared" si="1504"/>
        <v/>
      </c>
      <c r="DL105" s="30" t="str">
        <f t="shared" si="1505"/>
        <v/>
      </c>
      <c r="DM105" s="30" t="str">
        <f t="shared" si="1506"/>
        <v/>
      </c>
      <c r="DN105" s="30" t="str">
        <f t="shared" si="1507"/>
        <v/>
      </c>
      <c r="DO105" s="30" t="str">
        <f t="shared" si="1508"/>
        <v/>
      </c>
      <c r="DP105" s="30" t="str">
        <f t="shared" si="1509"/>
        <v/>
      </c>
      <c r="DQ105" s="30" t="str">
        <f t="shared" si="1510"/>
        <v/>
      </c>
      <c r="DR105" s="30" t="str">
        <f t="shared" si="1511"/>
        <v/>
      </c>
      <c r="DS105" s="30" t="str">
        <f t="shared" si="1512"/>
        <v/>
      </c>
      <c r="DT105" s="30" t="str">
        <f t="shared" si="1513"/>
        <v/>
      </c>
      <c r="DU105" s="30" t="str">
        <f t="shared" si="1514"/>
        <v/>
      </c>
      <c r="DV105" s="30" t="str">
        <f t="shared" si="1515"/>
        <v/>
      </c>
      <c r="DW105" s="30" t="str">
        <f t="shared" si="1516"/>
        <v/>
      </c>
      <c r="DX105" s="30" t="str">
        <f t="shared" si="1517"/>
        <v/>
      </c>
      <c r="DY105" s="30" t="str">
        <f t="shared" si="1518"/>
        <v/>
      </c>
      <c r="DZ105" s="30" t="str">
        <f t="shared" si="1519"/>
        <v/>
      </c>
      <c r="EA105" s="30" t="str">
        <f t="shared" si="1520"/>
        <v/>
      </c>
      <c r="EB105" s="30" t="str">
        <f t="shared" si="1521"/>
        <v/>
      </c>
      <c r="EC105" s="30" t="str">
        <f t="shared" si="1522"/>
        <v/>
      </c>
      <c r="ED105" s="30" t="str">
        <f t="shared" si="1523"/>
        <v/>
      </c>
      <c r="EE105" s="30" t="str">
        <f t="shared" si="1524"/>
        <v/>
      </c>
      <c r="EF105" s="30" t="str">
        <f t="shared" si="1525"/>
        <v/>
      </c>
      <c r="EG105" s="30" t="str">
        <f t="shared" si="1526"/>
        <v/>
      </c>
      <c r="EH105" s="30" t="str">
        <f t="shared" si="1527"/>
        <v/>
      </c>
      <c r="EI105" s="30" t="str">
        <f t="shared" si="1528"/>
        <v/>
      </c>
      <c r="EJ105" s="30" t="str">
        <f t="shared" si="1529"/>
        <v/>
      </c>
      <c r="EK105" s="30" t="str">
        <f t="shared" si="1530"/>
        <v/>
      </c>
      <c r="EL105" s="30" t="str">
        <f t="shared" si="1531"/>
        <v/>
      </c>
      <c r="EM105" s="30" t="str">
        <f t="shared" si="1532"/>
        <v/>
      </c>
      <c r="EN105" s="30" t="str">
        <f t="shared" si="1533"/>
        <v/>
      </c>
      <c r="EO105" s="30" t="str">
        <f t="shared" si="1534"/>
        <v/>
      </c>
      <c r="EP105" s="30" t="str">
        <f t="shared" si="1535"/>
        <v/>
      </c>
      <c r="EQ105" s="30" t="str">
        <f t="shared" si="1536"/>
        <v/>
      </c>
      <c r="ER105" s="30" t="str">
        <f t="shared" si="1537"/>
        <v/>
      </c>
      <c r="ES105" s="30" t="str">
        <f t="shared" si="1538"/>
        <v/>
      </c>
      <c r="ET105" s="30" t="str">
        <f t="shared" si="1539"/>
        <v/>
      </c>
      <c r="EU105" s="30" t="str">
        <f t="shared" si="1540"/>
        <v/>
      </c>
      <c r="EV105" s="30" t="str">
        <f t="shared" si="1541"/>
        <v/>
      </c>
      <c r="EW105" s="30" t="str">
        <f t="shared" si="1542"/>
        <v/>
      </c>
      <c r="EX105" s="30" t="str">
        <f t="shared" si="1543"/>
        <v/>
      </c>
      <c r="EY105" s="30" t="str">
        <f t="shared" si="1544"/>
        <v/>
      </c>
      <c r="EZ105" s="30" t="str">
        <f t="shared" si="1545"/>
        <v/>
      </c>
      <c r="FA105" s="30" t="str">
        <f t="shared" si="1546"/>
        <v/>
      </c>
      <c r="FB105" s="30" t="str">
        <f t="shared" si="1547"/>
        <v/>
      </c>
      <c r="FC105" s="30" t="str">
        <f t="shared" si="1548"/>
        <v/>
      </c>
      <c r="FD105" s="30" t="str">
        <f t="shared" si="1549"/>
        <v/>
      </c>
      <c r="FE105" s="30" t="str">
        <f t="shared" si="1550"/>
        <v/>
      </c>
      <c r="FF105" s="30" t="str">
        <f t="shared" si="1551"/>
        <v/>
      </c>
      <c r="FG105" s="30" t="str">
        <f t="shared" si="1552"/>
        <v/>
      </c>
      <c r="FH105" s="30" t="str">
        <f t="shared" si="1553"/>
        <v/>
      </c>
      <c r="FI105" s="30" t="str">
        <f t="shared" si="1554"/>
        <v/>
      </c>
      <c r="FJ105" s="30" t="str">
        <f t="shared" si="1555"/>
        <v/>
      </c>
      <c r="FK105" s="30" t="str">
        <f t="shared" si="1556"/>
        <v/>
      </c>
      <c r="FL105" s="30" t="str">
        <f t="shared" si="1557"/>
        <v/>
      </c>
      <c r="FM105" s="30" t="str">
        <f t="shared" si="1558"/>
        <v/>
      </c>
      <c r="FN105" s="30" t="str">
        <f t="shared" si="1559"/>
        <v/>
      </c>
      <c r="FO105" s="30" t="str">
        <f t="shared" si="1560"/>
        <v/>
      </c>
      <c r="FP105" s="30" t="str">
        <f t="shared" si="1561"/>
        <v/>
      </c>
      <c r="FQ105" s="30" t="str">
        <f t="shared" si="1562"/>
        <v/>
      </c>
      <c r="FR105" s="30" t="str">
        <f t="shared" si="1563"/>
        <v/>
      </c>
      <c r="FS105" s="30" t="str">
        <f t="shared" si="1564"/>
        <v/>
      </c>
    </row>
    <row r="106" spans="1:175" ht="16.5">
      <c r="A106" s="111"/>
      <c r="B106" s="111" t="s">
        <v>993</v>
      </c>
      <c r="C106" s="29" t="s">
        <v>975</v>
      </c>
      <c r="T106" s="124" t="s">
        <v>1026</v>
      </c>
      <c r="U106" s="37" t="s">
        <v>822</v>
      </c>
      <c r="CN106" s="7" t="str">
        <f t="shared" si="1489"/>
        <v>InitUnitState('IN03',,,,,,,,,,)</v>
      </c>
      <c r="CO106" s="7" t="str">
        <f t="shared" si="1490"/>
        <v>InitUnitNormal('IN03',,,,,,,,,,)</v>
      </c>
      <c r="CP106" s="7" t="str">
        <f t="shared" si="1491"/>
        <v>InitUnitMagic('IN03',,,,,,,,,,)</v>
      </c>
      <c r="CQ106" s="7" t="str">
        <f t="shared" si="1492"/>
        <v>InitUnitAdd('IN03',,,,,,,,,,)</v>
      </c>
      <c r="CR106" s="7" t="str">
        <f t="shared" si="1565"/>
        <v>InitEquipData('IN03',,"",,,,,'','','','','','',"ReplaceableTextures\\CommandButtons\\BTNTome.blp")</v>
      </c>
      <c r="CU106" s="45" t="str">
        <f t="shared" si="1493"/>
        <v>|n</v>
      </c>
      <c r="CV106" s="29" t="str">
        <f t="shared" si="1494"/>
        <v>为E技能附魔随机效果。\n更换该技能后，附魔效果消失。</v>
      </c>
      <c r="CW106" s="24"/>
      <c r="CX106" s="24"/>
      <c r="CY106" s="24"/>
      <c r="CZ106" s="24"/>
      <c r="DA106" s="24"/>
      <c r="DB106" s="30" t="str">
        <f t="shared" si="1495"/>
        <v/>
      </c>
      <c r="DC106" s="30" t="str">
        <f t="shared" si="1496"/>
        <v/>
      </c>
      <c r="DD106" s="30" t="str">
        <f t="shared" si="1497"/>
        <v/>
      </c>
      <c r="DE106" s="30" t="str">
        <f t="shared" si="1498"/>
        <v/>
      </c>
      <c r="DF106" s="30" t="str">
        <f t="shared" si="1499"/>
        <v/>
      </c>
      <c r="DG106" s="30" t="str">
        <f t="shared" si="1500"/>
        <v/>
      </c>
      <c r="DH106" s="30" t="str">
        <f t="shared" si="1501"/>
        <v/>
      </c>
      <c r="DI106" s="30" t="str">
        <f t="shared" si="1502"/>
        <v/>
      </c>
      <c r="DJ106" s="30" t="str">
        <f t="shared" si="1503"/>
        <v/>
      </c>
      <c r="DK106" s="30" t="str">
        <f t="shared" si="1504"/>
        <v/>
      </c>
      <c r="DL106" s="30" t="str">
        <f t="shared" si="1505"/>
        <v/>
      </c>
      <c r="DM106" s="30" t="str">
        <f t="shared" si="1506"/>
        <v/>
      </c>
      <c r="DN106" s="30" t="str">
        <f t="shared" si="1507"/>
        <v/>
      </c>
      <c r="DO106" s="30" t="str">
        <f t="shared" si="1508"/>
        <v/>
      </c>
      <c r="DP106" s="30" t="str">
        <f t="shared" si="1509"/>
        <v/>
      </c>
      <c r="DQ106" s="30" t="str">
        <f t="shared" si="1510"/>
        <v/>
      </c>
      <c r="DR106" s="30" t="str">
        <f t="shared" si="1511"/>
        <v/>
      </c>
      <c r="DS106" s="30" t="str">
        <f t="shared" si="1512"/>
        <v/>
      </c>
      <c r="DT106" s="30" t="str">
        <f t="shared" si="1513"/>
        <v/>
      </c>
      <c r="DU106" s="30" t="str">
        <f t="shared" si="1514"/>
        <v/>
      </c>
      <c r="DV106" s="30" t="str">
        <f t="shared" si="1515"/>
        <v/>
      </c>
      <c r="DW106" s="30" t="str">
        <f t="shared" si="1516"/>
        <v/>
      </c>
      <c r="DX106" s="30" t="str">
        <f t="shared" si="1517"/>
        <v/>
      </c>
      <c r="DY106" s="30" t="str">
        <f t="shared" si="1518"/>
        <v/>
      </c>
      <c r="DZ106" s="30" t="str">
        <f t="shared" si="1519"/>
        <v/>
      </c>
      <c r="EA106" s="30" t="str">
        <f t="shared" si="1520"/>
        <v/>
      </c>
      <c r="EB106" s="30" t="str">
        <f t="shared" si="1521"/>
        <v/>
      </c>
      <c r="EC106" s="30" t="str">
        <f t="shared" si="1522"/>
        <v/>
      </c>
      <c r="ED106" s="30" t="str">
        <f t="shared" si="1523"/>
        <v/>
      </c>
      <c r="EE106" s="30" t="str">
        <f t="shared" si="1524"/>
        <v/>
      </c>
      <c r="EF106" s="30" t="str">
        <f t="shared" si="1525"/>
        <v/>
      </c>
      <c r="EG106" s="30" t="str">
        <f t="shared" si="1526"/>
        <v/>
      </c>
      <c r="EH106" s="30" t="str">
        <f t="shared" si="1527"/>
        <v/>
      </c>
      <c r="EI106" s="30" t="str">
        <f t="shared" si="1528"/>
        <v/>
      </c>
      <c r="EJ106" s="30" t="str">
        <f t="shared" si="1529"/>
        <v/>
      </c>
      <c r="EK106" s="30" t="str">
        <f t="shared" si="1530"/>
        <v/>
      </c>
      <c r="EL106" s="30" t="str">
        <f t="shared" si="1531"/>
        <v/>
      </c>
      <c r="EM106" s="30" t="str">
        <f t="shared" si="1532"/>
        <v/>
      </c>
      <c r="EN106" s="30" t="str">
        <f t="shared" si="1533"/>
        <v/>
      </c>
      <c r="EO106" s="30" t="str">
        <f t="shared" si="1534"/>
        <v/>
      </c>
      <c r="EP106" s="30" t="str">
        <f t="shared" si="1535"/>
        <v/>
      </c>
      <c r="EQ106" s="30" t="str">
        <f t="shared" si="1536"/>
        <v/>
      </c>
      <c r="ER106" s="30" t="str">
        <f t="shared" si="1537"/>
        <v/>
      </c>
      <c r="ES106" s="30" t="str">
        <f t="shared" si="1538"/>
        <v/>
      </c>
      <c r="ET106" s="30" t="str">
        <f t="shared" si="1539"/>
        <v/>
      </c>
      <c r="EU106" s="30" t="str">
        <f t="shared" si="1540"/>
        <v/>
      </c>
      <c r="EV106" s="30" t="str">
        <f t="shared" si="1541"/>
        <v/>
      </c>
      <c r="EW106" s="30" t="str">
        <f t="shared" si="1542"/>
        <v/>
      </c>
      <c r="EX106" s="30" t="str">
        <f t="shared" si="1543"/>
        <v/>
      </c>
      <c r="EY106" s="30" t="str">
        <f t="shared" si="1544"/>
        <v/>
      </c>
      <c r="EZ106" s="30" t="str">
        <f t="shared" si="1545"/>
        <v/>
      </c>
      <c r="FA106" s="30" t="str">
        <f t="shared" si="1546"/>
        <v/>
      </c>
      <c r="FB106" s="30" t="str">
        <f t="shared" si="1547"/>
        <v/>
      </c>
      <c r="FC106" s="30" t="str">
        <f t="shared" si="1548"/>
        <v/>
      </c>
      <c r="FD106" s="30" t="str">
        <f t="shared" si="1549"/>
        <v/>
      </c>
      <c r="FE106" s="30" t="str">
        <f t="shared" si="1550"/>
        <v/>
      </c>
      <c r="FF106" s="30" t="str">
        <f t="shared" si="1551"/>
        <v/>
      </c>
      <c r="FG106" s="30" t="str">
        <f t="shared" si="1552"/>
        <v/>
      </c>
      <c r="FH106" s="30" t="str">
        <f t="shared" si="1553"/>
        <v/>
      </c>
      <c r="FI106" s="30" t="str">
        <f t="shared" si="1554"/>
        <v/>
      </c>
      <c r="FJ106" s="30" t="str">
        <f t="shared" si="1555"/>
        <v/>
      </c>
      <c r="FK106" s="30" t="str">
        <f t="shared" si="1556"/>
        <v/>
      </c>
      <c r="FL106" s="30" t="str">
        <f t="shared" si="1557"/>
        <v/>
      </c>
      <c r="FM106" s="30" t="str">
        <f t="shared" si="1558"/>
        <v/>
      </c>
      <c r="FN106" s="30" t="str">
        <f t="shared" si="1559"/>
        <v/>
      </c>
      <c r="FO106" s="30" t="str">
        <f t="shared" si="1560"/>
        <v/>
      </c>
      <c r="FP106" s="30" t="str">
        <f t="shared" si="1561"/>
        <v/>
      </c>
      <c r="FQ106" s="30" t="str">
        <f t="shared" si="1562"/>
        <v/>
      </c>
      <c r="FR106" s="30" t="str">
        <f t="shared" si="1563"/>
        <v/>
      </c>
      <c r="FS106" s="30" t="str">
        <f t="shared" si="1564"/>
        <v/>
      </c>
    </row>
    <row r="107" spans="1:175" ht="16.5">
      <c r="A107" s="111"/>
      <c r="B107" s="111" t="s">
        <v>994</v>
      </c>
      <c r="C107" s="29" t="s">
        <v>976</v>
      </c>
      <c r="T107" s="29" t="s">
        <v>1009</v>
      </c>
      <c r="U107" s="37" t="s">
        <v>822</v>
      </c>
      <c r="CN107" s="7" t="str">
        <f t="shared" si="1489"/>
        <v>InitUnitState('IN04',,,,,,,,,,)</v>
      </c>
      <c r="CO107" s="7" t="str">
        <f t="shared" si="1490"/>
        <v>InitUnitNormal('IN04',,,,,,,,,,)</v>
      </c>
      <c r="CP107" s="7" t="str">
        <f t="shared" si="1491"/>
        <v>InitUnitMagic('IN04',,,,,,,,,,)</v>
      </c>
      <c r="CQ107" s="7" t="str">
        <f t="shared" si="1492"/>
        <v>InitUnitAdd('IN04',,,,,,,,,,)</v>
      </c>
      <c r="CR107" s="7" t="str">
        <f t="shared" si="1565"/>
        <v>InitEquipData('IN04',,"",,,,,'','','','','','',"ReplaceableTextures\\CommandButtons\\BTNTome.blp")</v>
      </c>
      <c r="CU107" s="45" t="str">
        <f t="shared" si="1493"/>
        <v>|n</v>
      </c>
      <c r="CV107" s="29" t="str">
        <f t="shared" si="1494"/>
        <v>秒杀雷神化身</v>
      </c>
      <c r="CW107" s="24"/>
      <c r="CX107" s="24"/>
      <c r="CY107" s="24"/>
      <c r="CZ107" s="24"/>
      <c r="DA107" s="24"/>
      <c r="DB107" s="30" t="str">
        <f t="shared" si="1495"/>
        <v/>
      </c>
      <c r="DC107" s="30" t="str">
        <f t="shared" si="1496"/>
        <v/>
      </c>
      <c r="DD107" s="30" t="str">
        <f t="shared" si="1497"/>
        <v/>
      </c>
      <c r="DE107" s="30" t="str">
        <f t="shared" si="1498"/>
        <v/>
      </c>
      <c r="DF107" s="30" t="str">
        <f t="shared" si="1499"/>
        <v/>
      </c>
      <c r="DG107" s="30" t="str">
        <f t="shared" si="1500"/>
        <v/>
      </c>
      <c r="DH107" s="30" t="str">
        <f t="shared" si="1501"/>
        <v/>
      </c>
      <c r="DI107" s="30" t="str">
        <f t="shared" si="1502"/>
        <v/>
      </c>
      <c r="DJ107" s="30" t="str">
        <f t="shared" si="1503"/>
        <v/>
      </c>
      <c r="DK107" s="30" t="str">
        <f t="shared" si="1504"/>
        <v/>
      </c>
      <c r="DL107" s="30" t="str">
        <f t="shared" si="1505"/>
        <v/>
      </c>
      <c r="DM107" s="30" t="str">
        <f t="shared" si="1506"/>
        <v/>
      </c>
      <c r="DN107" s="30" t="str">
        <f t="shared" si="1507"/>
        <v/>
      </c>
      <c r="DO107" s="30" t="str">
        <f t="shared" si="1508"/>
        <v/>
      </c>
      <c r="DP107" s="30" t="str">
        <f t="shared" si="1509"/>
        <v/>
      </c>
      <c r="DQ107" s="30" t="str">
        <f t="shared" si="1510"/>
        <v/>
      </c>
      <c r="DR107" s="30" t="str">
        <f t="shared" si="1511"/>
        <v/>
      </c>
      <c r="DS107" s="30" t="str">
        <f t="shared" si="1512"/>
        <v/>
      </c>
      <c r="DT107" s="30" t="str">
        <f t="shared" si="1513"/>
        <v/>
      </c>
      <c r="DU107" s="30" t="str">
        <f t="shared" si="1514"/>
        <v/>
      </c>
      <c r="DV107" s="30" t="str">
        <f t="shared" si="1515"/>
        <v/>
      </c>
      <c r="DW107" s="30" t="str">
        <f t="shared" si="1516"/>
        <v/>
      </c>
      <c r="DX107" s="30" t="str">
        <f t="shared" si="1517"/>
        <v/>
      </c>
      <c r="DY107" s="30" t="str">
        <f t="shared" si="1518"/>
        <v/>
      </c>
      <c r="DZ107" s="30" t="str">
        <f t="shared" si="1519"/>
        <v/>
      </c>
      <c r="EA107" s="30" t="str">
        <f t="shared" si="1520"/>
        <v/>
      </c>
      <c r="EB107" s="30" t="str">
        <f t="shared" si="1521"/>
        <v/>
      </c>
      <c r="EC107" s="30" t="str">
        <f t="shared" si="1522"/>
        <v/>
      </c>
      <c r="ED107" s="30" t="str">
        <f t="shared" si="1523"/>
        <v/>
      </c>
      <c r="EE107" s="30" t="str">
        <f t="shared" si="1524"/>
        <v/>
      </c>
      <c r="EF107" s="30" t="str">
        <f t="shared" si="1525"/>
        <v/>
      </c>
      <c r="EG107" s="30" t="str">
        <f t="shared" si="1526"/>
        <v/>
      </c>
      <c r="EH107" s="30" t="str">
        <f t="shared" si="1527"/>
        <v/>
      </c>
      <c r="EI107" s="30" t="str">
        <f t="shared" si="1528"/>
        <v/>
      </c>
      <c r="EJ107" s="30" t="str">
        <f t="shared" si="1529"/>
        <v/>
      </c>
      <c r="EK107" s="30" t="str">
        <f t="shared" si="1530"/>
        <v/>
      </c>
      <c r="EL107" s="30" t="str">
        <f t="shared" si="1531"/>
        <v/>
      </c>
      <c r="EM107" s="30" t="str">
        <f t="shared" si="1532"/>
        <v/>
      </c>
      <c r="EN107" s="30" t="str">
        <f t="shared" si="1533"/>
        <v/>
      </c>
      <c r="EO107" s="30" t="str">
        <f t="shared" si="1534"/>
        <v/>
      </c>
      <c r="EP107" s="30" t="str">
        <f t="shared" si="1535"/>
        <v/>
      </c>
      <c r="EQ107" s="30" t="str">
        <f t="shared" si="1536"/>
        <v/>
      </c>
      <c r="ER107" s="30" t="str">
        <f t="shared" si="1537"/>
        <v/>
      </c>
      <c r="ES107" s="30" t="str">
        <f t="shared" si="1538"/>
        <v/>
      </c>
      <c r="ET107" s="30" t="str">
        <f t="shared" si="1539"/>
        <v/>
      </c>
      <c r="EU107" s="30" t="str">
        <f t="shared" si="1540"/>
        <v/>
      </c>
      <c r="EV107" s="30" t="str">
        <f t="shared" si="1541"/>
        <v/>
      </c>
      <c r="EW107" s="30" t="str">
        <f t="shared" si="1542"/>
        <v/>
      </c>
      <c r="EX107" s="30" t="str">
        <f t="shared" si="1543"/>
        <v/>
      </c>
      <c r="EY107" s="30" t="str">
        <f t="shared" si="1544"/>
        <v/>
      </c>
      <c r="EZ107" s="30" t="str">
        <f t="shared" si="1545"/>
        <v/>
      </c>
      <c r="FA107" s="30" t="str">
        <f t="shared" si="1546"/>
        <v/>
      </c>
      <c r="FB107" s="30" t="str">
        <f t="shared" si="1547"/>
        <v/>
      </c>
      <c r="FC107" s="30" t="str">
        <f t="shared" si="1548"/>
        <v/>
      </c>
      <c r="FD107" s="30" t="str">
        <f t="shared" si="1549"/>
        <v/>
      </c>
      <c r="FE107" s="30" t="str">
        <f t="shared" si="1550"/>
        <v/>
      </c>
      <c r="FF107" s="30" t="str">
        <f t="shared" si="1551"/>
        <v/>
      </c>
      <c r="FG107" s="30" t="str">
        <f t="shared" si="1552"/>
        <v/>
      </c>
      <c r="FH107" s="30" t="str">
        <f t="shared" si="1553"/>
        <v/>
      </c>
      <c r="FI107" s="30" t="str">
        <f t="shared" si="1554"/>
        <v/>
      </c>
      <c r="FJ107" s="30" t="str">
        <f t="shared" si="1555"/>
        <v/>
      </c>
      <c r="FK107" s="30" t="str">
        <f t="shared" si="1556"/>
        <v/>
      </c>
      <c r="FL107" s="30" t="str">
        <f t="shared" si="1557"/>
        <v/>
      </c>
      <c r="FM107" s="30" t="str">
        <f t="shared" si="1558"/>
        <v/>
      </c>
      <c r="FN107" s="30" t="str">
        <f t="shared" si="1559"/>
        <v/>
      </c>
      <c r="FO107" s="30" t="str">
        <f t="shared" si="1560"/>
        <v/>
      </c>
      <c r="FP107" s="30" t="str">
        <f t="shared" si="1561"/>
        <v/>
      </c>
      <c r="FQ107" s="30" t="str">
        <f t="shared" si="1562"/>
        <v/>
      </c>
      <c r="FR107" s="30" t="str">
        <f t="shared" si="1563"/>
        <v/>
      </c>
      <c r="FS107" s="30" t="str">
        <f t="shared" si="1564"/>
        <v/>
      </c>
    </row>
    <row r="108" spans="1:175" ht="16.5">
      <c r="A108" s="111"/>
      <c r="B108" s="111" t="s">
        <v>995</v>
      </c>
      <c r="C108" s="29" t="s">
        <v>977</v>
      </c>
      <c r="T108" s="29" t="s">
        <v>1010</v>
      </c>
      <c r="U108" s="37" t="s">
        <v>822</v>
      </c>
      <c r="CN108" s="7" t="str">
        <f t="shared" si="1489"/>
        <v>InitUnitState('IN05',,,,,,,,,,)</v>
      </c>
      <c r="CO108" s="7" t="str">
        <f t="shared" si="1490"/>
        <v>InitUnitNormal('IN05',,,,,,,,,,)</v>
      </c>
      <c r="CP108" s="7" t="str">
        <f t="shared" si="1491"/>
        <v>InitUnitMagic('IN05',,,,,,,,,,)</v>
      </c>
      <c r="CQ108" s="7" t="str">
        <f t="shared" si="1492"/>
        <v>InitUnitAdd('IN05',,,,,,,,,,)</v>
      </c>
      <c r="CR108" s="7" t="str">
        <f t="shared" si="1565"/>
        <v>InitEquipData('IN05',,"",,,,,'','','','','','',"ReplaceableTextures\\CommandButtons\\BTNTome.blp")</v>
      </c>
      <c r="CU108" s="45" t="str">
        <f t="shared" si="1493"/>
        <v>|n</v>
      </c>
      <c r="CV108" s="29" t="str">
        <f t="shared" si="1494"/>
        <v>秒杀灾厄</v>
      </c>
      <c r="CW108" s="24"/>
      <c r="CX108" s="24"/>
      <c r="CY108" s="24"/>
      <c r="CZ108" s="24"/>
      <c r="DA108" s="24"/>
      <c r="DB108" s="30" t="str">
        <f t="shared" si="1495"/>
        <v/>
      </c>
      <c r="DC108" s="30" t="str">
        <f t="shared" si="1496"/>
        <v/>
      </c>
      <c r="DD108" s="30" t="str">
        <f t="shared" si="1497"/>
        <v/>
      </c>
      <c r="DE108" s="30" t="str">
        <f t="shared" si="1498"/>
        <v/>
      </c>
      <c r="DF108" s="30" t="str">
        <f t="shared" si="1499"/>
        <v/>
      </c>
      <c r="DG108" s="30" t="str">
        <f t="shared" si="1500"/>
        <v/>
      </c>
      <c r="DH108" s="30" t="str">
        <f t="shared" si="1501"/>
        <v/>
      </c>
      <c r="DI108" s="30" t="str">
        <f t="shared" si="1502"/>
        <v/>
      </c>
      <c r="DJ108" s="30" t="str">
        <f t="shared" si="1503"/>
        <v/>
      </c>
      <c r="DK108" s="30" t="str">
        <f t="shared" si="1504"/>
        <v/>
      </c>
      <c r="DL108" s="30" t="str">
        <f t="shared" si="1505"/>
        <v/>
      </c>
      <c r="DM108" s="30" t="str">
        <f t="shared" si="1506"/>
        <v/>
      </c>
      <c r="DN108" s="30" t="str">
        <f t="shared" si="1507"/>
        <v/>
      </c>
      <c r="DO108" s="30" t="str">
        <f t="shared" si="1508"/>
        <v/>
      </c>
      <c r="DP108" s="30" t="str">
        <f t="shared" si="1509"/>
        <v/>
      </c>
      <c r="DQ108" s="30" t="str">
        <f t="shared" si="1510"/>
        <v/>
      </c>
      <c r="DR108" s="30" t="str">
        <f t="shared" si="1511"/>
        <v/>
      </c>
      <c r="DS108" s="30" t="str">
        <f t="shared" si="1512"/>
        <v/>
      </c>
      <c r="DT108" s="30" t="str">
        <f t="shared" si="1513"/>
        <v/>
      </c>
      <c r="DU108" s="30" t="str">
        <f t="shared" si="1514"/>
        <v/>
      </c>
      <c r="DV108" s="30" t="str">
        <f t="shared" si="1515"/>
        <v/>
      </c>
      <c r="DW108" s="30" t="str">
        <f t="shared" si="1516"/>
        <v/>
      </c>
      <c r="DX108" s="30" t="str">
        <f t="shared" si="1517"/>
        <v/>
      </c>
      <c r="DY108" s="30" t="str">
        <f t="shared" si="1518"/>
        <v/>
      </c>
      <c r="DZ108" s="30" t="str">
        <f t="shared" si="1519"/>
        <v/>
      </c>
      <c r="EA108" s="30" t="str">
        <f t="shared" si="1520"/>
        <v/>
      </c>
      <c r="EB108" s="30" t="str">
        <f t="shared" si="1521"/>
        <v/>
      </c>
      <c r="EC108" s="30" t="str">
        <f t="shared" si="1522"/>
        <v/>
      </c>
      <c r="ED108" s="30" t="str">
        <f t="shared" si="1523"/>
        <v/>
      </c>
      <c r="EE108" s="30" t="str">
        <f t="shared" si="1524"/>
        <v/>
      </c>
      <c r="EF108" s="30" t="str">
        <f t="shared" si="1525"/>
        <v/>
      </c>
      <c r="EG108" s="30" t="str">
        <f t="shared" si="1526"/>
        <v/>
      </c>
      <c r="EH108" s="30" t="str">
        <f t="shared" si="1527"/>
        <v/>
      </c>
      <c r="EI108" s="30" t="str">
        <f t="shared" si="1528"/>
        <v/>
      </c>
      <c r="EJ108" s="30" t="str">
        <f t="shared" si="1529"/>
        <v/>
      </c>
      <c r="EK108" s="30" t="str">
        <f t="shared" si="1530"/>
        <v/>
      </c>
      <c r="EL108" s="30" t="str">
        <f t="shared" si="1531"/>
        <v/>
      </c>
      <c r="EM108" s="30" t="str">
        <f t="shared" si="1532"/>
        <v/>
      </c>
      <c r="EN108" s="30" t="str">
        <f t="shared" si="1533"/>
        <v/>
      </c>
      <c r="EO108" s="30" t="str">
        <f t="shared" si="1534"/>
        <v/>
      </c>
      <c r="EP108" s="30" t="str">
        <f t="shared" si="1535"/>
        <v/>
      </c>
      <c r="EQ108" s="30" t="str">
        <f t="shared" si="1536"/>
        <v/>
      </c>
      <c r="ER108" s="30" t="str">
        <f t="shared" si="1537"/>
        <v/>
      </c>
      <c r="ES108" s="30" t="str">
        <f t="shared" si="1538"/>
        <v/>
      </c>
      <c r="ET108" s="30" t="str">
        <f t="shared" si="1539"/>
        <v/>
      </c>
      <c r="EU108" s="30" t="str">
        <f t="shared" si="1540"/>
        <v/>
      </c>
      <c r="EV108" s="30" t="str">
        <f t="shared" si="1541"/>
        <v/>
      </c>
      <c r="EW108" s="30" t="str">
        <f t="shared" si="1542"/>
        <v/>
      </c>
      <c r="EX108" s="30" t="str">
        <f t="shared" si="1543"/>
        <v/>
      </c>
      <c r="EY108" s="30" t="str">
        <f t="shared" si="1544"/>
        <v/>
      </c>
      <c r="EZ108" s="30" t="str">
        <f t="shared" si="1545"/>
        <v/>
      </c>
      <c r="FA108" s="30" t="str">
        <f t="shared" si="1546"/>
        <v/>
      </c>
      <c r="FB108" s="30" t="str">
        <f t="shared" si="1547"/>
        <v/>
      </c>
      <c r="FC108" s="30" t="str">
        <f t="shared" si="1548"/>
        <v/>
      </c>
      <c r="FD108" s="30" t="str">
        <f t="shared" si="1549"/>
        <v/>
      </c>
      <c r="FE108" s="30" t="str">
        <f t="shared" si="1550"/>
        <v/>
      </c>
      <c r="FF108" s="30" t="str">
        <f t="shared" si="1551"/>
        <v/>
      </c>
      <c r="FG108" s="30" t="str">
        <f t="shared" si="1552"/>
        <v/>
      </c>
      <c r="FH108" s="30" t="str">
        <f t="shared" si="1553"/>
        <v/>
      </c>
      <c r="FI108" s="30" t="str">
        <f t="shared" si="1554"/>
        <v/>
      </c>
      <c r="FJ108" s="30" t="str">
        <f t="shared" si="1555"/>
        <v/>
      </c>
      <c r="FK108" s="30" t="str">
        <f t="shared" si="1556"/>
        <v/>
      </c>
      <c r="FL108" s="30" t="str">
        <f t="shared" si="1557"/>
        <v/>
      </c>
      <c r="FM108" s="30" t="str">
        <f t="shared" si="1558"/>
        <v/>
      </c>
      <c r="FN108" s="30" t="str">
        <f t="shared" si="1559"/>
        <v/>
      </c>
      <c r="FO108" s="30" t="str">
        <f t="shared" si="1560"/>
        <v/>
      </c>
      <c r="FP108" s="30" t="str">
        <f t="shared" si="1561"/>
        <v/>
      </c>
      <c r="FQ108" s="30" t="str">
        <f t="shared" si="1562"/>
        <v/>
      </c>
      <c r="FR108" s="30" t="str">
        <f t="shared" si="1563"/>
        <v/>
      </c>
      <c r="FS108" s="30" t="str">
        <f t="shared" si="1564"/>
        <v/>
      </c>
    </row>
    <row r="109" spans="1:175" ht="16.5">
      <c r="A109" s="111"/>
      <c r="B109" s="111" t="s">
        <v>996</v>
      </c>
      <c r="C109" s="29" t="s">
        <v>978</v>
      </c>
      <c r="T109" s="29" t="s">
        <v>1011</v>
      </c>
      <c r="U109" s="37" t="s">
        <v>822</v>
      </c>
      <c r="CN109" s="7" t="str">
        <f t="shared" si="1489"/>
        <v>InitUnitState('IN06',,,,,,,,,,)</v>
      </c>
      <c r="CO109" s="7" t="str">
        <f t="shared" si="1490"/>
        <v>InitUnitNormal('IN06',,,,,,,,,,)</v>
      </c>
      <c r="CP109" s="7" t="str">
        <f t="shared" si="1491"/>
        <v>InitUnitMagic('IN06',,,,,,,,,,)</v>
      </c>
      <c r="CQ109" s="7" t="str">
        <f t="shared" si="1492"/>
        <v>InitUnitAdd('IN06',,,,,,,,,,)</v>
      </c>
      <c r="CR109" s="7" t="str">
        <f t="shared" si="1565"/>
        <v>InitEquipData('IN06',,"",,,,,'','','','','','',"ReplaceableTextures\\CommandButtons\\BTNTome.blp")</v>
      </c>
      <c r="CU109" s="45" t="str">
        <f t="shared" si="1493"/>
        <v>|n</v>
      </c>
      <c r="CV109" s="29" t="str">
        <f t="shared" si="1494"/>
        <v>秒杀芥子魔</v>
      </c>
      <c r="CW109" s="24"/>
      <c r="CX109" s="24"/>
      <c r="CY109" s="24"/>
      <c r="CZ109" s="24"/>
      <c r="DA109" s="24"/>
      <c r="DB109" s="30" t="str">
        <f t="shared" si="1495"/>
        <v/>
      </c>
      <c r="DC109" s="30" t="str">
        <f t="shared" si="1496"/>
        <v/>
      </c>
      <c r="DD109" s="30" t="str">
        <f t="shared" si="1497"/>
        <v/>
      </c>
      <c r="DE109" s="30" t="str">
        <f t="shared" si="1498"/>
        <v/>
      </c>
      <c r="DF109" s="30" t="str">
        <f t="shared" si="1499"/>
        <v/>
      </c>
      <c r="DG109" s="30" t="str">
        <f t="shared" si="1500"/>
        <v/>
      </c>
      <c r="DH109" s="30" t="str">
        <f t="shared" si="1501"/>
        <v/>
      </c>
      <c r="DI109" s="30" t="str">
        <f t="shared" si="1502"/>
        <v/>
      </c>
      <c r="DJ109" s="30" t="str">
        <f t="shared" si="1503"/>
        <v/>
      </c>
      <c r="DK109" s="30" t="str">
        <f t="shared" si="1504"/>
        <v/>
      </c>
      <c r="DL109" s="30" t="str">
        <f t="shared" si="1505"/>
        <v/>
      </c>
      <c r="DM109" s="30" t="str">
        <f t="shared" si="1506"/>
        <v/>
      </c>
      <c r="DN109" s="30" t="str">
        <f t="shared" si="1507"/>
        <v/>
      </c>
      <c r="DO109" s="30" t="str">
        <f t="shared" si="1508"/>
        <v/>
      </c>
      <c r="DP109" s="30" t="str">
        <f t="shared" si="1509"/>
        <v/>
      </c>
      <c r="DQ109" s="30" t="str">
        <f t="shared" si="1510"/>
        <v/>
      </c>
      <c r="DR109" s="30" t="str">
        <f t="shared" si="1511"/>
        <v/>
      </c>
      <c r="DS109" s="30" t="str">
        <f t="shared" si="1512"/>
        <v/>
      </c>
      <c r="DT109" s="30" t="str">
        <f t="shared" si="1513"/>
        <v/>
      </c>
      <c r="DU109" s="30" t="str">
        <f t="shared" si="1514"/>
        <v/>
      </c>
      <c r="DV109" s="30" t="str">
        <f t="shared" si="1515"/>
        <v/>
      </c>
      <c r="DW109" s="30" t="str">
        <f t="shared" si="1516"/>
        <v/>
      </c>
      <c r="DX109" s="30" t="str">
        <f t="shared" si="1517"/>
        <v/>
      </c>
      <c r="DY109" s="30" t="str">
        <f t="shared" si="1518"/>
        <v/>
      </c>
      <c r="DZ109" s="30" t="str">
        <f t="shared" si="1519"/>
        <v/>
      </c>
      <c r="EA109" s="30" t="str">
        <f t="shared" si="1520"/>
        <v/>
      </c>
      <c r="EB109" s="30" t="str">
        <f t="shared" si="1521"/>
        <v/>
      </c>
      <c r="EC109" s="30" t="str">
        <f t="shared" si="1522"/>
        <v/>
      </c>
      <c r="ED109" s="30" t="str">
        <f t="shared" si="1523"/>
        <v/>
      </c>
      <c r="EE109" s="30" t="str">
        <f t="shared" si="1524"/>
        <v/>
      </c>
      <c r="EF109" s="30" t="str">
        <f t="shared" si="1525"/>
        <v/>
      </c>
      <c r="EG109" s="30" t="str">
        <f t="shared" si="1526"/>
        <v/>
      </c>
      <c r="EH109" s="30" t="str">
        <f t="shared" si="1527"/>
        <v/>
      </c>
      <c r="EI109" s="30" t="str">
        <f t="shared" si="1528"/>
        <v/>
      </c>
      <c r="EJ109" s="30" t="str">
        <f t="shared" si="1529"/>
        <v/>
      </c>
      <c r="EK109" s="30" t="str">
        <f t="shared" si="1530"/>
        <v/>
      </c>
      <c r="EL109" s="30" t="str">
        <f t="shared" si="1531"/>
        <v/>
      </c>
      <c r="EM109" s="30" t="str">
        <f t="shared" si="1532"/>
        <v/>
      </c>
      <c r="EN109" s="30" t="str">
        <f t="shared" si="1533"/>
        <v/>
      </c>
      <c r="EO109" s="30" t="str">
        <f t="shared" si="1534"/>
        <v/>
      </c>
      <c r="EP109" s="30" t="str">
        <f t="shared" si="1535"/>
        <v/>
      </c>
      <c r="EQ109" s="30" t="str">
        <f t="shared" si="1536"/>
        <v/>
      </c>
      <c r="ER109" s="30" t="str">
        <f t="shared" si="1537"/>
        <v/>
      </c>
      <c r="ES109" s="30" t="str">
        <f t="shared" si="1538"/>
        <v/>
      </c>
      <c r="ET109" s="30" t="str">
        <f t="shared" si="1539"/>
        <v/>
      </c>
      <c r="EU109" s="30" t="str">
        <f t="shared" si="1540"/>
        <v/>
      </c>
      <c r="EV109" s="30" t="str">
        <f t="shared" si="1541"/>
        <v/>
      </c>
      <c r="EW109" s="30" t="str">
        <f t="shared" si="1542"/>
        <v/>
      </c>
      <c r="EX109" s="30" t="str">
        <f t="shared" si="1543"/>
        <v/>
      </c>
      <c r="EY109" s="30" t="str">
        <f t="shared" si="1544"/>
        <v/>
      </c>
      <c r="EZ109" s="30" t="str">
        <f t="shared" si="1545"/>
        <v/>
      </c>
      <c r="FA109" s="30" t="str">
        <f t="shared" si="1546"/>
        <v/>
      </c>
      <c r="FB109" s="30" t="str">
        <f t="shared" si="1547"/>
        <v/>
      </c>
      <c r="FC109" s="30" t="str">
        <f t="shared" si="1548"/>
        <v/>
      </c>
      <c r="FD109" s="30" t="str">
        <f t="shared" si="1549"/>
        <v/>
      </c>
      <c r="FE109" s="30" t="str">
        <f t="shared" si="1550"/>
        <v/>
      </c>
      <c r="FF109" s="30" t="str">
        <f t="shared" si="1551"/>
        <v/>
      </c>
      <c r="FG109" s="30" t="str">
        <f t="shared" si="1552"/>
        <v/>
      </c>
      <c r="FH109" s="30" t="str">
        <f t="shared" si="1553"/>
        <v/>
      </c>
      <c r="FI109" s="30" t="str">
        <f t="shared" si="1554"/>
        <v/>
      </c>
      <c r="FJ109" s="30" t="str">
        <f t="shared" si="1555"/>
        <v/>
      </c>
      <c r="FK109" s="30" t="str">
        <f t="shared" si="1556"/>
        <v/>
      </c>
      <c r="FL109" s="30" t="str">
        <f t="shared" si="1557"/>
        <v/>
      </c>
      <c r="FM109" s="30" t="str">
        <f t="shared" si="1558"/>
        <v/>
      </c>
      <c r="FN109" s="30" t="str">
        <f t="shared" si="1559"/>
        <v/>
      </c>
      <c r="FO109" s="30" t="str">
        <f t="shared" si="1560"/>
        <v/>
      </c>
      <c r="FP109" s="30" t="str">
        <f t="shared" si="1561"/>
        <v/>
      </c>
      <c r="FQ109" s="30" t="str">
        <f t="shared" si="1562"/>
        <v/>
      </c>
      <c r="FR109" s="30" t="str">
        <f t="shared" si="1563"/>
        <v/>
      </c>
      <c r="FS109" s="30" t="str">
        <f t="shared" si="1564"/>
        <v/>
      </c>
    </row>
    <row r="110" spans="1:175" ht="16.5">
      <c r="A110" s="111"/>
      <c r="B110" s="111" t="s">
        <v>997</v>
      </c>
      <c r="C110" s="29" t="s">
        <v>979</v>
      </c>
      <c r="T110" s="29" t="s">
        <v>1012</v>
      </c>
      <c r="U110" s="37" t="s">
        <v>822</v>
      </c>
      <c r="CN110" s="7" t="str">
        <f t="shared" ref="CN110:CN115" si="1566">"InitUnitState('"&amp;B110&amp;"',"&amp;V110&amp;","&amp;W110&amp;","&amp;X110&amp;","&amp;Y110&amp;","&amp;Z110&amp;","&amp;AA110&amp;","&amp;AB110&amp;","&amp;AC110&amp;","&amp;AD110&amp;","&amp;AE110&amp;")"</f>
        <v>InitUnitState('IN07',,,,,,,,,,)</v>
      </c>
      <c r="CO110" s="7" t="str">
        <f t="shared" ref="CO110:CO115" si="1567">"InitUnitNormal('"&amp;B110&amp;"',"&amp;AF110&amp;","&amp;AG110&amp;","&amp;AH110&amp;","&amp;AI110&amp;","&amp;AJ110&amp;","&amp;AK110&amp;","&amp;AL110&amp;","&amp;AM110&amp;","&amp;AN110&amp;","&amp;AO110&amp;")"</f>
        <v>InitUnitNormal('IN07',,,,,,,,,,)</v>
      </c>
      <c r="CP110" s="7" t="str">
        <f t="shared" ref="CP110:CP115" si="1568">"InitUnitMagic('"&amp;B110&amp;"',"&amp;AP110&amp;","&amp;AQ110&amp;","&amp;AR110&amp;","&amp;AS110&amp;","&amp;AT110&amp;","&amp;AU110&amp;","&amp;AV110&amp;","&amp;AW110&amp;","&amp;BI110&amp;","&amp;BJ110&amp;")"</f>
        <v>InitUnitMagic('IN07',,,,,,,,,,)</v>
      </c>
      <c r="CQ110" s="7" t="str">
        <f t="shared" ref="CQ110:CQ115" si="1569">"InitUnitAdd('"&amp;B110&amp;"',"&amp;BK110&amp;","&amp;BL110&amp;","&amp;BM110&amp;","&amp;BN110&amp;","&amp;BO110&amp;","&amp;BP110&amp;","&amp;BQ110&amp;","&amp;BR110&amp;","&amp;BS110&amp;","&amp;BT110&amp;")"</f>
        <v>InitUnitAdd('IN07',,,,,,,,,,)</v>
      </c>
      <c r="CR110" s="7" t="str">
        <f t="shared" si="1565"/>
        <v>InitEquipData('IN07',,"",,,,,'','','','','','',"ReplaceableTextures\\CommandButtons\\BTNTome.blp")</v>
      </c>
      <c r="CU110" s="45" t="str">
        <f t="shared" ref="CU110:CU115" si="1570">CONCATENATE(DB110,DC110,DD110,DE110,DF110,DG110,DH110,DI110,DJ110,DK110,DL110,DM110,DN110,DO110,DP110,DQ110,DR110,DS110,DT110,DU110,DV110,DW110,DX110,DY110,DZ110,EA110,EB110,EC110,ED110,EE110,EF110,EG110,EH110,EI110,EJ110,EK110,EL110,EM110,EN110,EO110,EP110&amp;"|n")</f>
        <v>|n</v>
      </c>
      <c r="CV110" s="29" t="str">
        <f t="shared" ref="CV110:CV115" si="1571">T110</f>
        <v>每秒回复30%生命值，持续6秒</v>
      </c>
      <c r="CW110" s="24"/>
      <c r="CX110" s="24"/>
      <c r="CY110" s="24"/>
      <c r="CZ110" s="24"/>
      <c r="DA110" s="24"/>
      <c r="DB110" s="30" t="str">
        <f t="shared" ref="DB110:DB115" si="1572">IF(V110="","","|n"&amp;DB$2&amp;"+"&amp;V110&amp;DB$1)</f>
        <v/>
      </c>
      <c r="DC110" s="30" t="str">
        <f t="shared" ref="DC110:DC115" si="1573">IF(W110="","","|n"&amp;DC$2&amp;"+"&amp;W110&amp;DC$1)</f>
        <v/>
      </c>
      <c r="DD110" s="30" t="str">
        <f t="shared" ref="DD110:DD115" si="1574">IF(X110="","","|n"&amp;DD$2&amp;"+"&amp;X110&amp;DD$1)</f>
        <v/>
      </c>
      <c r="DE110" s="30" t="str">
        <f t="shared" ref="DE110:DE115" si="1575">IF(Y110="","","|n"&amp;DE$2&amp;"+"&amp;Y110&amp;DE$1)</f>
        <v/>
      </c>
      <c r="DF110" s="30" t="str">
        <f t="shared" ref="DF110:DF115" si="1576">IF(Z110="","","|n"&amp;DF$2&amp;"+"&amp;Z110&amp;DF$1)</f>
        <v/>
      </c>
      <c r="DG110" s="30" t="str">
        <f t="shared" ref="DG110:DG115" si="1577">IF(AA110="","","|n"&amp;DG$2&amp;"+"&amp;AA110&amp;DG$1)</f>
        <v/>
      </c>
      <c r="DH110" s="30" t="str">
        <f t="shared" ref="DH110:DH115" si="1578">IF(AB110="","","|n"&amp;DH$2&amp;"+"&amp;AB110&amp;DH$1)</f>
        <v/>
      </c>
      <c r="DI110" s="30" t="str">
        <f t="shared" ref="DI110:DI115" si="1579">IF(AC110="","","|n"&amp;DI$2&amp;"+"&amp;AC110&amp;DI$1)</f>
        <v/>
      </c>
      <c r="DJ110" s="30" t="str">
        <f t="shared" ref="DJ110:DJ115" si="1580">IF(AD110="","","|n"&amp;DJ$2&amp;"+"&amp;AD110&amp;DJ$1)</f>
        <v/>
      </c>
      <c r="DK110" s="30" t="str">
        <f t="shared" ref="DK110:DK115" si="1581">IF(AE110="","","|n"&amp;DK$2&amp;"+"&amp;AE110&amp;DK$1)</f>
        <v/>
      </c>
      <c r="DL110" s="30" t="str">
        <f t="shared" ref="DL110:DL115" si="1582">IF(AF110="","","|n"&amp;DL$2&amp;"+"&amp;AF110&amp;DL$1)</f>
        <v/>
      </c>
      <c r="DM110" s="30" t="str">
        <f t="shared" ref="DM110:DM115" si="1583">IF(AG110="","","|n"&amp;DM$2&amp;"+"&amp;AG110&amp;DM$1)</f>
        <v/>
      </c>
      <c r="DN110" s="30" t="str">
        <f t="shared" ref="DN110:DN115" si="1584">IF(AH110="","","|n"&amp;DN$2&amp;"+"&amp;AH110&amp;DN$1)</f>
        <v/>
      </c>
      <c r="DO110" s="30" t="str">
        <f t="shared" ref="DO110:DO115" si="1585">IF(AI110="","","|n"&amp;DO$2&amp;"+"&amp;AI110&amp;DO$1)</f>
        <v/>
      </c>
      <c r="DP110" s="30" t="str">
        <f t="shared" ref="DP110:DP115" si="1586">IF(AJ110="","","|n"&amp;DP$2&amp;"+"&amp;AJ110&amp;DP$1)</f>
        <v/>
      </c>
      <c r="DQ110" s="30" t="str">
        <f t="shared" ref="DQ110:DQ115" si="1587">IF(AK110="","","|n"&amp;DQ$2&amp;"+"&amp;AK110&amp;DQ$1)</f>
        <v/>
      </c>
      <c r="DR110" s="30" t="str">
        <f t="shared" ref="DR110:DR115" si="1588">IF(AL110="","","|n"&amp;DR$2&amp;"+"&amp;AL110&amp;DR$1)</f>
        <v/>
      </c>
      <c r="DS110" s="30" t="str">
        <f t="shared" ref="DS110:DS115" si="1589">IF(AM110="","","|n"&amp;DS$2&amp;"+"&amp;AM110&amp;DS$1)</f>
        <v/>
      </c>
      <c r="DT110" s="30" t="str">
        <f t="shared" ref="DT110:DT115" si="1590">IF(AN110="","","|n"&amp;DT$2&amp;"+"&amp;AN110&amp;DT$1)</f>
        <v/>
      </c>
      <c r="DU110" s="30" t="str">
        <f t="shared" ref="DU110:DU115" si="1591">IF(AO110="","","|n"&amp;DU$2&amp;"+"&amp;AO110&amp;DU$1)</f>
        <v/>
      </c>
      <c r="DV110" s="30" t="str">
        <f t="shared" ref="DV110:DV115" si="1592">IF(AP110="","","|n"&amp;DV$2&amp;"+"&amp;AP110&amp;DV$1)</f>
        <v/>
      </c>
      <c r="DW110" s="30" t="str">
        <f t="shared" ref="DW110:DW115" si="1593">IF(AQ110="","","|n"&amp;DW$2&amp;"+"&amp;AQ110&amp;DW$1)</f>
        <v/>
      </c>
      <c r="DX110" s="30" t="str">
        <f t="shared" ref="DX110:DX115" si="1594">IF(AR110="","","|n"&amp;DX$2&amp;"+"&amp;AR110&amp;DX$1)</f>
        <v/>
      </c>
      <c r="DY110" s="30" t="str">
        <f t="shared" ref="DY110:DY115" si="1595">IF(AS110="","","|n"&amp;DY$2&amp;"+"&amp;AS110&amp;DY$1)</f>
        <v/>
      </c>
      <c r="DZ110" s="30" t="str">
        <f t="shared" ref="DZ110:DZ115" si="1596">IF(AT110="","","|n"&amp;DZ$2&amp;"+"&amp;AT110&amp;DZ$1)</f>
        <v/>
      </c>
      <c r="EA110" s="30" t="str">
        <f t="shared" ref="EA110:EA115" si="1597">IF(AU110="","","|n"&amp;EA$2&amp;"+"&amp;AU110&amp;EA$1)</f>
        <v/>
      </c>
      <c r="EB110" s="30" t="str">
        <f t="shared" ref="EB110:EB115" si="1598">IF(AV110="","","|n"&amp;EB$2&amp;"+"&amp;AV110&amp;EB$1)</f>
        <v/>
      </c>
      <c r="EC110" s="30" t="str">
        <f t="shared" ref="EC110:EC115" si="1599">IF(AW110="","","|n"&amp;EC$2&amp;"+"&amp;AW110&amp;EC$1)</f>
        <v/>
      </c>
      <c r="ED110" s="30" t="str">
        <f t="shared" ref="ED110:ED115" si="1600">IF(AX110="","","|n"&amp;ED$2&amp;"+"&amp;AX110&amp;ED$1)</f>
        <v/>
      </c>
      <c r="EE110" s="30" t="str">
        <f t="shared" ref="EE110:EE115" si="1601">IF(AY110="","","|n"&amp;EE$2&amp;"+"&amp;AY110&amp;EE$1)</f>
        <v/>
      </c>
      <c r="EF110" s="30" t="str">
        <f t="shared" ref="EF110:EF115" si="1602">IF(AZ110="","","|n"&amp;EF$2&amp;"+"&amp;AZ110&amp;EF$1)</f>
        <v/>
      </c>
      <c r="EG110" s="30" t="str">
        <f t="shared" ref="EG110:EG115" si="1603">IF(BA110="","","|n"&amp;EG$2&amp;"+"&amp;BA110&amp;EG$1)</f>
        <v/>
      </c>
      <c r="EH110" s="30" t="str">
        <f t="shared" ref="EH110:EH115" si="1604">IF(BB110="","","|n"&amp;EH$2&amp;"+"&amp;BB110&amp;EH$1)</f>
        <v/>
      </c>
      <c r="EI110" s="30" t="str">
        <f t="shared" ref="EI110:EI115" si="1605">IF(BC110="","","|n"&amp;EI$2&amp;"+"&amp;BC110&amp;EI$1)</f>
        <v/>
      </c>
      <c r="EJ110" s="30" t="str">
        <f t="shared" ref="EJ110:EJ115" si="1606">IF(BD110="","","|n"&amp;EJ$2&amp;"+"&amp;BD110&amp;EJ$1)</f>
        <v/>
      </c>
      <c r="EK110" s="30" t="str">
        <f t="shared" ref="EK110:EK115" si="1607">IF(BE110="","","|n"&amp;EK$2&amp;"+"&amp;BE110&amp;EK$1)</f>
        <v/>
      </c>
      <c r="EL110" s="30" t="str">
        <f t="shared" ref="EL110:EL115" si="1608">IF(BF110="","","|n"&amp;EL$2&amp;"+"&amp;BF110&amp;EL$1)</f>
        <v/>
      </c>
      <c r="EM110" s="30" t="str">
        <f t="shared" ref="EM110:EM115" si="1609">IF(BG110="","","|n"&amp;EM$2&amp;"+"&amp;BG110&amp;EM$1)</f>
        <v/>
      </c>
      <c r="EN110" s="30" t="str">
        <f t="shared" ref="EN110:EN115" si="1610">IF(BH110="","","|n"&amp;EN$2&amp;"+"&amp;BH110&amp;EN$1)</f>
        <v/>
      </c>
      <c r="EO110" s="30" t="str">
        <f t="shared" ref="EO110:EO115" si="1611">IF(BI110="","","|n"&amp;EO$2&amp;"+"&amp;BI110&amp;EO$1)</f>
        <v/>
      </c>
      <c r="EP110" s="30" t="str">
        <f t="shared" ref="EP110:EP115" si="1612">IF(BJ110="","","|n"&amp;EP$2&amp;"+"&amp;BJ110&amp;EP$1)</f>
        <v/>
      </c>
      <c r="EQ110" s="30" t="str">
        <f t="shared" ref="EQ110:EQ115" si="1613">IF(BK110="","","|n"&amp;EQ$2&amp;"+"&amp;BK110&amp;EQ$1)</f>
        <v/>
      </c>
      <c r="ER110" s="30" t="str">
        <f t="shared" ref="ER110:ER115" si="1614">IF(BL110="","","|n"&amp;ER$2&amp;"+"&amp;BL110&amp;ER$1)</f>
        <v/>
      </c>
      <c r="ES110" s="30" t="str">
        <f t="shared" ref="ES110:ES115" si="1615">IF(BM110="","","|n"&amp;ES$2&amp;"+"&amp;BM110&amp;ES$1)</f>
        <v/>
      </c>
      <c r="ET110" s="30" t="str">
        <f t="shared" ref="ET110:ET115" si="1616">IF(BN110="","","|n"&amp;ET$2&amp;"+"&amp;BN110&amp;ET$1)</f>
        <v/>
      </c>
      <c r="EU110" s="30" t="str">
        <f t="shared" ref="EU110:EU115" si="1617">IF(BO110="","","|n"&amp;EU$2&amp;"+"&amp;BO110&amp;EU$1)</f>
        <v/>
      </c>
      <c r="EV110" s="30" t="str">
        <f t="shared" ref="EV110:EV115" si="1618">IF(BP110="","","|n"&amp;EV$2&amp;"+"&amp;BP110&amp;EV$1)</f>
        <v/>
      </c>
      <c r="EW110" s="30" t="str">
        <f t="shared" ref="EW110:EW115" si="1619">IF(BQ110="","","|n"&amp;EW$2&amp;"+"&amp;BQ110&amp;EW$1)</f>
        <v/>
      </c>
      <c r="EX110" s="30" t="str">
        <f t="shared" ref="EX110:EX115" si="1620">IF(BR110="","","|n"&amp;EX$2&amp;"+"&amp;BR110&amp;EX$1)</f>
        <v/>
      </c>
      <c r="EY110" s="30" t="str">
        <f t="shared" ref="EY110:EY115" si="1621">IF(BS110="","","|n"&amp;EY$2&amp;"+"&amp;BS110&amp;EY$1)</f>
        <v/>
      </c>
      <c r="EZ110" s="30" t="str">
        <f t="shared" ref="EZ110:EZ115" si="1622">IF(BT110="","","|n"&amp;EZ$2&amp;"+"&amp;BT110&amp;EZ$1)</f>
        <v/>
      </c>
      <c r="FA110" s="30" t="str">
        <f t="shared" ref="FA110:FA115" si="1623">IF(BU110="","","|n"&amp;FA$2&amp;"+"&amp;BU110&amp;FA$1)</f>
        <v/>
      </c>
      <c r="FB110" s="30" t="str">
        <f t="shared" ref="FB110:FB115" si="1624">IF(BV110="","","|n"&amp;FB$2&amp;"+"&amp;BV110&amp;FB$1)</f>
        <v/>
      </c>
      <c r="FC110" s="30" t="str">
        <f t="shared" ref="FC110:FC115" si="1625">IF(BW110="","","|n"&amp;FC$2&amp;"+"&amp;BW110&amp;FC$1)</f>
        <v/>
      </c>
      <c r="FD110" s="30" t="str">
        <f t="shared" ref="FD110:FD115" si="1626">IF(BX110="","","|n"&amp;FD$2&amp;"+"&amp;BX110&amp;FD$1)</f>
        <v/>
      </c>
      <c r="FE110" s="30" t="str">
        <f t="shared" ref="FE110:FE115" si="1627">IF(BY110="","","|n"&amp;FE$2&amp;"+"&amp;BY110&amp;FE$1)</f>
        <v/>
      </c>
      <c r="FF110" s="30" t="str">
        <f t="shared" ref="FF110:FF115" si="1628">IF(BZ110="","","|n"&amp;FF$2&amp;"+"&amp;BZ110&amp;FF$1)</f>
        <v/>
      </c>
      <c r="FG110" s="30" t="str">
        <f t="shared" ref="FG110:FG115" si="1629">IF(CA110="","","|n"&amp;FG$2&amp;"+"&amp;CA110&amp;FG$1)</f>
        <v/>
      </c>
      <c r="FH110" s="30" t="str">
        <f t="shared" ref="FH110:FH115" si="1630">IF(CB110="","","|n"&amp;FH$2&amp;"+"&amp;CB110&amp;FH$1)</f>
        <v/>
      </c>
      <c r="FI110" s="30" t="str">
        <f t="shared" ref="FI110:FI115" si="1631">IF(CC110="","","|n"&amp;FI$2&amp;"+"&amp;CC110&amp;FI$1)</f>
        <v/>
      </c>
      <c r="FJ110" s="30" t="str">
        <f t="shared" ref="FJ110:FJ115" si="1632">IF(CD110="","","|n"&amp;FJ$2&amp;"+"&amp;CD110&amp;FJ$1)</f>
        <v/>
      </c>
      <c r="FK110" s="30" t="str">
        <f t="shared" ref="FK110:FK115" si="1633">IF(CE110="","","|n"&amp;FK$2&amp;"+"&amp;CE110&amp;FK$1)</f>
        <v/>
      </c>
      <c r="FL110" s="30" t="str">
        <f t="shared" ref="FL110:FL115" si="1634">IF(CF110="","","|n"&amp;FL$2&amp;"+"&amp;CF110&amp;FL$1)</f>
        <v/>
      </c>
      <c r="FM110" s="30" t="str">
        <f t="shared" ref="FM110:FM115" si="1635">IF(CG110="","","|n"&amp;FM$2&amp;"+"&amp;CG110&amp;FM$1)</f>
        <v/>
      </c>
      <c r="FN110" s="30" t="str">
        <f t="shared" ref="FN110:FN115" si="1636">IF(CH110="","","|n"&amp;FN$2&amp;"+"&amp;CH110&amp;FN$1)</f>
        <v/>
      </c>
      <c r="FO110" s="30" t="str">
        <f t="shared" ref="FO110:FO115" si="1637">IF(CI110="","","|n"&amp;FO$2&amp;"+"&amp;CI110&amp;FO$1)</f>
        <v/>
      </c>
      <c r="FP110" s="30" t="str">
        <f t="shared" ref="FP110:FP115" si="1638">IF(CJ110="","","|n"&amp;FP$2&amp;"+"&amp;CJ110&amp;FP$1)</f>
        <v/>
      </c>
      <c r="FQ110" s="30" t="str">
        <f t="shared" ref="FQ110:FQ115" si="1639">IF(CK110="","","|n"&amp;FQ$2&amp;"+"&amp;CK110&amp;FQ$1)</f>
        <v/>
      </c>
      <c r="FR110" s="30" t="str">
        <f t="shared" ref="FR110:FR115" si="1640">IF(CL110="","","|n"&amp;FR$2&amp;"+"&amp;CL110&amp;FR$1)</f>
        <v/>
      </c>
      <c r="FS110" s="30" t="str">
        <f t="shared" ref="FS110:FS115" si="1641">IF(CM110="","","|n"&amp;FS$2&amp;"+"&amp;CM110&amp;FS$1)</f>
        <v/>
      </c>
    </row>
    <row r="111" spans="1:175" ht="16.5">
      <c r="A111" s="111"/>
      <c r="B111" s="111" t="s">
        <v>998</v>
      </c>
      <c r="C111" s="29" t="s">
        <v>980</v>
      </c>
      <c r="T111" s="29" t="s">
        <v>1013</v>
      </c>
      <c r="U111" s="37" t="s">
        <v>822</v>
      </c>
      <c r="CN111" s="7" t="str">
        <f t="shared" si="1566"/>
        <v>InitUnitState('IN08',,,,,,,,,,)</v>
      </c>
      <c r="CO111" s="7" t="str">
        <f t="shared" si="1567"/>
        <v>InitUnitNormal('IN08',,,,,,,,,,)</v>
      </c>
      <c r="CP111" s="7" t="str">
        <f t="shared" si="1568"/>
        <v>InitUnitMagic('IN08',,,,,,,,,,)</v>
      </c>
      <c r="CQ111" s="7" t="str">
        <f t="shared" si="1569"/>
        <v>InitUnitAdd('IN08',,,,,,,,,,)</v>
      </c>
      <c r="CR111" s="7" t="str">
        <f t="shared" si="1565"/>
        <v>InitEquipData('IN08',,"",,,,,'','','','','','',"ReplaceableTextures\\CommandButtons\\BTNTome.blp")</v>
      </c>
      <c r="CU111" s="45" t="str">
        <f t="shared" si="1570"/>
        <v>|n</v>
      </c>
      <c r="CV111" s="29" t="str">
        <f t="shared" si="1571"/>
        <v>击杀当前存在的进攻怪和Boss，无法在大决战时使用</v>
      </c>
      <c r="CW111" s="24"/>
      <c r="CX111" s="24"/>
      <c r="CY111" s="24"/>
      <c r="CZ111" s="24"/>
      <c r="DA111" s="24"/>
      <c r="DB111" s="30" t="str">
        <f t="shared" si="1572"/>
        <v/>
      </c>
      <c r="DC111" s="30" t="str">
        <f t="shared" si="1573"/>
        <v/>
      </c>
      <c r="DD111" s="30" t="str">
        <f t="shared" si="1574"/>
        <v/>
      </c>
      <c r="DE111" s="30" t="str">
        <f t="shared" si="1575"/>
        <v/>
      </c>
      <c r="DF111" s="30" t="str">
        <f t="shared" si="1576"/>
        <v/>
      </c>
      <c r="DG111" s="30" t="str">
        <f t="shared" si="1577"/>
        <v/>
      </c>
      <c r="DH111" s="30" t="str">
        <f t="shared" si="1578"/>
        <v/>
      </c>
      <c r="DI111" s="30" t="str">
        <f t="shared" si="1579"/>
        <v/>
      </c>
      <c r="DJ111" s="30" t="str">
        <f t="shared" si="1580"/>
        <v/>
      </c>
      <c r="DK111" s="30" t="str">
        <f t="shared" si="1581"/>
        <v/>
      </c>
      <c r="DL111" s="30" t="str">
        <f t="shared" si="1582"/>
        <v/>
      </c>
      <c r="DM111" s="30" t="str">
        <f t="shared" si="1583"/>
        <v/>
      </c>
      <c r="DN111" s="30" t="str">
        <f t="shared" si="1584"/>
        <v/>
      </c>
      <c r="DO111" s="30" t="str">
        <f t="shared" si="1585"/>
        <v/>
      </c>
      <c r="DP111" s="30" t="str">
        <f t="shared" si="1586"/>
        <v/>
      </c>
      <c r="DQ111" s="30" t="str">
        <f t="shared" si="1587"/>
        <v/>
      </c>
      <c r="DR111" s="30" t="str">
        <f t="shared" si="1588"/>
        <v/>
      </c>
      <c r="DS111" s="30" t="str">
        <f t="shared" si="1589"/>
        <v/>
      </c>
      <c r="DT111" s="30" t="str">
        <f t="shared" si="1590"/>
        <v/>
      </c>
      <c r="DU111" s="30" t="str">
        <f t="shared" si="1591"/>
        <v/>
      </c>
      <c r="DV111" s="30" t="str">
        <f t="shared" si="1592"/>
        <v/>
      </c>
      <c r="DW111" s="30" t="str">
        <f t="shared" si="1593"/>
        <v/>
      </c>
      <c r="DX111" s="30" t="str">
        <f t="shared" si="1594"/>
        <v/>
      </c>
      <c r="DY111" s="30" t="str">
        <f t="shared" si="1595"/>
        <v/>
      </c>
      <c r="DZ111" s="30" t="str">
        <f t="shared" si="1596"/>
        <v/>
      </c>
      <c r="EA111" s="30" t="str">
        <f t="shared" si="1597"/>
        <v/>
      </c>
      <c r="EB111" s="30" t="str">
        <f t="shared" si="1598"/>
        <v/>
      </c>
      <c r="EC111" s="30" t="str">
        <f t="shared" si="1599"/>
        <v/>
      </c>
      <c r="ED111" s="30" t="str">
        <f t="shared" si="1600"/>
        <v/>
      </c>
      <c r="EE111" s="30" t="str">
        <f t="shared" si="1601"/>
        <v/>
      </c>
      <c r="EF111" s="30" t="str">
        <f t="shared" si="1602"/>
        <v/>
      </c>
      <c r="EG111" s="30" t="str">
        <f t="shared" si="1603"/>
        <v/>
      </c>
      <c r="EH111" s="30" t="str">
        <f t="shared" si="1604"/>
        <v/>
      </c>
      <c r="EI111" s="30" t="str">
        <f t="shared" si="1605"/>
        <v/>
      </c>
      <c r="EJ111" s="30" t="str">
        <f t="shared" si="1606"/>
        <v/>
      </c>
      <c r="EK111" s="30" t="str">
        <f t="shared" si="1607"/>
        <v/>
      </c>
      <c r="EL111" s="30" t="str">
        <f t="shared" si="1608"/>
        <v/>
      </c>
      <c r="EM111" s="30" t="str">
        <f t="shared" si="1609"/>
        <v/>
      </c>
      <c r="EN111" s="30" t="str">
        <f t="shared" si="1610"/>
        <v/>
      </c>
      <c r="EO111" s="30" t="str">
        <f t="shared" si="1611"/>
        <v/>
      </c>
      <c r="EP111" s="30" t="str">
        <f t="shared" si="1612"/>
        <v/>
      </c>
      <c r="EQ111" s="30" t="str">
        <f t="shared" si="1613"/>
        <v/>
      </c>
      <c r="ER111" s="30" t="str">
        <f t="shared" si="1614"/>
        <v/>
      </c>
      <c r="ES111" s="30" t="str">
        <f t="shared" si="1615"/>
        <v/>
      </c>
      <c r="ET111" s="30" t="str">
        <f t="shared" si="1616"/>
        <v/>
      </c>
      <c r="EU111" s="30" t="str">
        <f t="shared" si="1617"/>
        <v/>
      </c>
      <c r="EV111" s="30" t="str">
        <f t="shared" si="1618"/>
        <v/>
      </c>
      <c r="EW111" s="30" t="str">
        <f t="shared" si="1619"/>
        <v/>
      </c>
      <c r="EX111" s="30" t="str">
        <f t="shared" si="1620"/>
        <v/>
      </c>
      <c r="EY111" s="30" t="str">
        <f t="shared" si="1621"/>
        <v/>
      </c>
      <c r="EZ111" s="30" t="str">
        <f t="shared" si="1622"/>
        <v/>
      </c>
      <c r="FA111" s="30" t="str">
        <f t="shared" si="1623"/>
        <v/>
      </c>
      <c r="FB111" s="30" t="str">
        <f t="shared" si="1624"/>
        <v/>
      </c>
      <c r="FC111" s="30" t="str">
        <f t="shared" si="1625"/>
        <v/>
      </c>
      <c r="FD111" s="30" t="str">
        <f t="shared" si="1626"/>
        <v/>
      </c>
      <c r="FE111" s="30" t="str">
        <f t="shared" si="1627"/>
        <v/>
      </c>
      <c r="FF111" s="30" t="str">
        <f t="shared" si="1628"/>
        <v/>
      </c>
      <c r="FG111" s="30" t="str">
        <f t="shared" si="1629"/>
        <v/>
      </c>
      <c r="FH111" s="30" t="str">
        <f t="shared" si="1630"/>
        <v/>
      </c>
      <c r="FI111" s="30" t="str">
        <f t="shared" si="1631"/>
        <v/>
      </c>
      <c r="FJ111" s="30" t="str">
        <f t="shared" si="1632"/>
        <v/>
      </c>
      <c r="FK111" s="30" t="str">
        <f t="shared" si="1633"/>
        <v/>
      </c>
      <c r="FL111" s="30" t="str">
        <f t="shared" si="1634"/>
        <v/>
      </c>
      <c r="FM111" s="30" t="str">
        <f t="shared" si="1635"/>
        <v/>
      </c>
      <c r="FN111" s="30" t="str">
        <f t="shared" si="1636"/>
        <v/>
      </c>
      <c r="FO111" s="30" t="str">
        <f t="shared" si="1637"/>
        <v/>
      </c>
      <c r="FP111" s="30" t="str">
        <f t="shared" si="1638"/>
        <v/>
      </c>
      <c r="FQ111" s="30" t="str">
        <f t="shared" si="1639"/>
        <v/>
      </c>
      <c r="FR111" s="30" t="str">
        <f t="shared" si="1640"/>
        <v/>
      </c>
      <c r="FS111" s="30" t="str">
        <f t="shared" si="1641"/>
        <v/>
      </c>
    </row>
    <row r="112" spans="1:175" ht="16.5">
      <c r="A112" s="111"/>
      <c r="B112" s="111" t="s">
        <v>999</v>
      </c>
      <c r="C112" s="29" t="s">
        <v>981</v>
      </c>
      <c r="T112" s="29" t="s">
        <v>1014</v>
      </c>
      <c r="U112" s="37" t="s">
        <v>822</v>
      </c>
      <c r="CN112" s="7" t="str">
        <f t="shared" si="1566"/>
        <v>InitUnitState('IN09',,,,,,,,,,)</v>
      </c>
      <c r="CO112" s="7" t="str">
        <f t="shared" si="1567"/>
        <v>InitUnitNormal('IN09',,,,,,,,,,)</v>
      </c>
      <c r="CP112" s="7" t="str">
        <f t="shared" si="1568"/>
        <v>InitUnitMagic('IN09',,,,,,,,,,)</v>
      </c>
      <c r="CQ112" s="7" t="str">
        <f t="shared" si="1569"/>
        <v>InitUnitAdd('IN09',,,,,,,,,,)</v>
      </c>
      <c r="CR112" s="7" t="str">
        <f t="shared" si="1565"/>
        <v>InitEquipData('IN09',,"",,,,,'','','','','','',"ReplaceableTextures\\CommandButtons\\BTNTome.blp")</v>
      </c>
      <c r="CU112" s="45" t="str">
        <f t="shared" si="1570"/>
        <v>|n</v>
      </c>
      <c r="CV112" s="29" t="str">
        <f t="shared" si="1571"/>
        <v>暂停场上已存在的进攻怪10秒</v>
      </c>
      <c r="CW112" s="24"/>
      <c r="CX112" s="24"/>
      <c r="CY112" s="24"/>
      <c r="CZ112" s="24"/>
      <c r="DA112" s="24"/>
      <c r="DB112" s="30" t="str">
        <f t="shared" si="1572"/>
        <v/>
      </c>
      <c r="DC112" s="30" t="str">
        <f t="shared" si="1573"/>
        <v/>
      </c>
      <c r="DD112" s="30" t="str">
        <f t="shared" si="1574"/>
        <v/>
      </c>
      <c r="DE112" s="30" t="str">
        <f t="shared" si="1575"/>
        <v/>
      </c>
      <c r="DF112" s="30" t="str">
        <f t="shared" si="1576"/>
        <v/>
      </c>
      <c r="DG112" s="30" t="str">
        <f t="shared" si="1577"/>
        <v/>
      </c>
      <c r="DH112" s="30" t="str">
        <f t="shared" si="1578"/>
        <v/>
      </c>
      <c r="DI112" s="30" t="str">
        <f t="shared" si="1579"/>
        <v/>
      </c>
      <c r="DJ112" s="30" t="str">
        <f t="shared" si="1580"/>
        <v/>
      </c>
      <c r="DK112" s="30" t="str">
        <f t="shared" si="1581"/>
        <v/>
      </c>
      <c r="DL112" s="30" t="str">
        <f t="shared" si="1582"/>
        <v/>
      </c>
      <c r="DM112" s="30" t="str">
        <f t="shared" si="1583"/>
        <v/>
      </c>
      <c r="DN112" s="30" t="str">
        <f t="shared" si="1584"/>
        <v/>
      </c>
      <c r="DO112" s="30" t="str">
        <f t="shared" si="1585"/>
        <v/>
      </c>
      <c r="DP112" s="30" t="str">
        <f t="shared" si="1586"/>
        <v/>
      </c>
      <c r="DQ112" s="30" t="str">
        <f t="shared" si="1587"/>
        <v/>
      </c>
      <c r="DR112" s="30" t="str">
        <f t="shared" si="1588"/>
        <v/>
      </c>
      <c r="DS112" s="30" t="str">
        <f t="shared" si="1589"/>
        <v/>
      </c>
      <c r="DT112" s="30" t="str">
        <f t="shared" si="1590"/>
        <v/>
      </c>
      <c r="DU112" s="30" t="str">
        <f t="shared" si="1591"/>
        <v/>
      </c>
      <c r="DV112" s="30" t="str">
        <f t="shared" si="1592"/>
        <v/>
      </c>
      <c r="DW112" s="30" t="str">
        <f t="shared" si="1593"/>
        <v/>
      </c>
      <c r="DX112" s="30" t="str">
        <f t="shared" si="1594"/>
        <v/>
      </c>
      <c r="DY112" s="30" t="str">
        <f t="shared" si="1595"/>
        <v/>
      </c>
      <c r="DZ112" s="30" t="str">
        <f t="shared" si="1596"/>
        <v/>
      </c>
      <c r="EA112" s="30" t="str">
        <f t="shared" si="1597"/>
        <v/>
      </c>
      <c r="EB112" s="30" t="str">
        <f t="shared" si="1598"/>
        <v/>
      </c>
      <c r="EC112" s="30" t="str">
        <f t="shared" si="1599"/>
        <v/>
      </c>
      <c r="ED112" s="30" t="str">
        <f t="shared" si="1600"/>
        <v/>
      </c>
      <c r="EE112" s="30" t="str">
        <f t="shared" si="1601"/>
        <v/>
      </c>
      <c r="EF112" s="30" t="str">
        <f t="shared" si="1602"/>
        <v/>
      </c>
      <c r="EG112" s="30" t="str">
        <f t="shared" si="1603"/>
        <v/>
      </c>
      <c r="EH112" s="30" t="str">
        <f t="shared" si="1604"/>
        <v/>
      </c>
      <c r="EI112" s="30" t="str">
        <f t="shared" si="1605"/>
        <v/>
      </c>
      <c r="EJ112" s="30" t="str">
        <f t="shared" si="1606"/>
        <v/>
      </c>
      <c r="EK112" s="30" t="str">
        <f t="shared" si="1607"/>
        <v/>
      </c>
      <c r="EL112" s="30" t="str">
        <f t="shared" si="1608"/>
        <v/>
      </c>
      <c r="EM112" s="30" t="str">
        <f t="shared" si="1609"/>
        <v/>
      </c>
      <c r="EN112" s="30" t="str">
        <f t="shared" si="1610"/>
        <v/>
      </c>
      <c r="EO112" s="30" t="str">
        <f t="shared" si="1611"/>
        <v/>
      </c>
      <c r="EP112" s="30" t="str">
        <f t="shared" si="1612"/>
        <v/>
      </c>
      <c r="EQ112" s="30" t="str">
        <f t="shared" si="1613"/>
        <v/>
      </c>
      <c r="ER112" s="30" t="str">
        <f t="shared" si="1614"/>
        <v/>
      </c>
      <c r="ES112" s="30" t="str">
        <f t="shared" si="1615"/>
        <v/>
      </c>
      <c r="ET112" s="30" t="str">
        <f t="shared" si="1616"/>
        <v/>
      </c>
      <c r="EU112" s="30" t="str">
        <f t="shared" si="1617"/>
        <v/>
      </c>
      <c r="EV112" s="30" t="str">
        <f t="shared" si="1618"/>
        <v/>
      </c>
      <c r="EW112" s="30" t="str">
        <f t="shared" si="1619"/>
        <v/>
      </c>
      <c r="EX112" s="30" t="str">
        <f t="shared" si="1620"/>
        <v/>
      </c>
      <c r="EY112" s="30" t="str">
        <f t="shared" si="1621"/>
        <v/>
      </c>
      <c r="EZ112" s="30" t="str">
        <f t="shared" si="1622"/>
        <v/>
      </c>
      <c r="FA112" s="30" t="str">
        <f t="shared" si="1623"/>
        <v/>
      </c>
      <c r="FB112" s="30" t="str">
        <f t="shared" si="1624"/>
        <v/>
      </c>
      <c r="FC112" s="30" t="str">
        <f t="shared" si="1625"/>
        <v/>
      </c>
      <c r="FD112" s="30" t="str">
        <f t="shared" si="1626"/>
        <v/>
      </c>
      <c r="FE112" s="30" t="str">
        <f t="shared" si="1627"/>
        <v/>
      </c>
      <c r="FF112" s="30" t="str">
        <f t="shared" si="1628"/>
        <v/>
      </c>
      <c r="FG112" s="30" t="str">
        <f t="shared" si="1629"/>
        <v/>
      </c>
      <c r="FH112" s="30" t="str">
        <f t="shared" si="1630"/>
        <v/>
      </c>
      <c r="FI112" s="30" t="str">
        <f t="shared" si="1631"/>
        <v/>
      </c>
      <c r="FJ112" s="30" t="str">
        <f t="shared" si="1632"/>
        <v/>
      </c>
      <c r="FK112" s="30" t="str">
        <f t="shared" si="1633"/>
        <v/>
      </c>
      <c r="FL112" s="30" t="str">
        <f t="shared" si="1634"/>
        <v/>
      </c>
      <c r="FM112" s="30" t="str">
        <f t="shared" si="1635"/>
        <v/>
      </c>
      <c r="FN112" s="30" t="str">
        <f t="shared" si="1636"/>
        <v/>
      </c>
      <c r="FO112" s="30" t="str">
        <f t="shared" si="1637"/>
        <v/>
      </c>
      <c r="FP112" s="30" t="str">
        <f t="shared" si="1638"/>
        <v/>
      </c>
      <c r="FQ112" s="30" t="str">
        <f t="shared" si="1639"/>
        <v/>
      </c>
      <c r="FR112" s="30" t="str">
        <f t="shared" si="1640"/>
        <v/>
      </c>
      <c r="FS112" s="30" t="str">
        <f t="shared" si="1641"/>
        <v/>
      </c>
    </row>
    <row r="113" spans="1:175" ht="16.5">
      <c r="A113" s="111"/>
      <c r="B113" s="111" t="s">
        <v>1000</v>
      </c>
      <c r="C113" s="29" t="s">
        <v>982</v>
      </c>
      <c r="T113" s="29" t="s">
        <v>1015</v>
      </c>
      <c r="U113" s="37" t="s">
        <v>822</v>
      </c>
      <c r="CN113" s="7" t="str">
        <f t="shared" si="1566"/>
        <v>InitUnitState('IN10',,,,,,,,,,)</v>
      </c>
      <c r="CO113" s="7" t="str">
        <f t="shared" si="1567"/>
        <v>InitUnitNormal('IN10',,,,,,,,,,)</v>
      </c>
      <c r="CP113" s="7" t="str">
        <f t="shared" si="1568"/>
        <v>InitUnitMagic('IN10',,,,,,,,,,)</v>
      </c>
      <c r="CQ113" s="7" t="str">
        <f t="shared" si="1569"/>
        <v>InitUnitAdd('IN10',,,,,,,,,,)</v>
      </c>
      <c r="CR113" s="7" t="str">
        <f t="shared" si="1565"/>
        <v>InitEquipData('IN10',,"",,,,,'','','','','','',"ReplaceableTextures\\CommandButtons\\BTNTome.blp")</v>
      </c>
      <c r="CU113" s="45" t="str">
        <f t="shared" si="1570"/>
        <v>|n</v>
      </c>
      <c r="CV113" s="29" t="str">
        <f t="shared" si="1571"/>
        <v>暂停场上已存在的进攻怪20秒</v>
      </c>
      <c r="CW113" s="24"/>
      <c r="CX113" s="24"/>
      <c r="CY113" s="24"/>
      <c r="CZ113" s="24"/>
      <c r="DA113" s="24"/>
      <c r="DB113" s="30" t="str">
        <f t="shared" si="1572"/>
        <v/>
      </c>
      <c r="DC113" s="30" t="str">
        <f t="shared" si="1573"/>
        <v/>
      </c>
      <c r="DD113" s="30" t="str">
        <f t="shared" si="1574"/>
        <v/>
      </c>
      <c r="DE113" s="30" t="str">
        <f t="shared" si="1575"/>
        <v/>
      </c>
      <c r="DF113" s="30" t="str">
        <f t="shared" si="1576"/>
        <v/>
      </c>
      <c r="DG113" s="30" t="str">
        <f t="shared" si="1577"/>
        <v/>
      </c>
      <c r="DH113" s="30" t="str">
        <f t="shared" si="1578"/>
        <v/>
      </c>
      <c r="DI113" s="30" t="str">
        <f t="shared" si="1579"/>
        <v/>
      </c>
      <c r="DJ113" s="30" t="str">
        <f t="shared" si="1580"/>
        <v/>
      </c>
      <c r="DK113" s="30" t="str">
        <f t="shared" si="1581"/>
        <v/>
      </c>
      <c r="DL113" s="30" t="str">
        <f t="shared" si="1582"/>
        <v/>
      </c>
      <c r="DM113" s="30" t="str">
        <f t="shared" si="1583"/>
        <v/>
      </c>
      <c r="DN113" s="30" t="str">
        <f t="shared" si="1584"/>
        <v/>
      </c>
      <c r="DO113" s="30" t="str">
        <f t="shared" si="1585"/>
        <v/>
      </c>
      <c r="DP113" s="30" t="str">
        <f t="shared" si="1586"/>
        <v/>
      </c>
      <c r="DQ113" s="30" t="str">
        <f t="shared" si="1587"/>
        <v/>
      </c>
      <c r="DR113" s="30" t="str">
        <f t="shared" si="1588"/>
        <v/>
      </c>
      <c r="DS113" s="30" t="str">
        <f t="shared" si="1589"/>
        <v/>
      </c>
      <c r="DT113" s="30" t="str">
        <f t="shared" si="1590"/>
        <v/>
      </c>
      <c r="DU113" s="30" t="str">
        <f t="shared" si="1591"/>
        <v/>
      </c>
      <c r="DV113" s="30" t="str">
        <f t="shared" si="1592"/>
        <v/>
      </c>
      <c r="DW113" s="30" t="str">
        <f t="shared" si="1593"/>
        <v/>
      </c>
      <c r="DX113" s="30" t="str">
        <f t="shared" si="1594"/>
        <v/>
      </c>
      <c r="DY113" s="30" t="str">
        <f t="shared" si="1595"/>
        <v/>
      </c>
      <c r="DZ113" s="30" t="str">
        <f t="shared" si="1596"/>
        <v/>
      </c>
      <c r="EA113" s="30" t="str">
        <f t="shared" si="1597"/>
        <v/>
      </c>
      <c r="EB113" s="30" t="str">
        <f t="shared" si="1598"/>
        <v/>
      </c>
      <c r="EC113" s="30" t="str">
        <f t="shared" si="1599"/>
        <v/>
      </c>
      <c r="ED113" s="30" t="str">
        <f t="shared" si="1600"/>
        <v/>
      </c>
      <c r="EE113" s="30" t="str">
        <f t="shared" si="1601"/>
        <v/>
      </c>
      <c r="EF113" s="30" t="str">
        <f t="shared" si="1602"/>
        <v/>
      </c>
      <c r="EG113" s="30" t="str">
        <f t="shared" si="1603"/>
        <v/>
      </c>
      <c r="EH113" s="30" t="str">
        <f t="shared" si="1604"/>
        <v/>
      </c>
      <c r="EI113" s="30" t="str">
        <f t="shared" si="1605"/>
        <v/>
      </c>
      <c r="EJ113" s="30" t="str">
        <f t="shared" si="1606"/>
        <v/>
      </c>
      <c r="EK113" s="30" t="str">
        <f t="shared" si="1607"/>
        <v/>
      </c>
      <c r="EL113" s="30" t="str">
        <f t="shared" si="1608"/>
        <v/>
      </c>
      <c r="EM113" s="30" t="str">
        <f t="shared" si="1609"/>
        <v/>
      </c>
      <c r="EN113" s="30" t="str">
        <f t="shared" si="1610"/>
        <v/>
      </c>
      <c r="EO113" s="30" t="str">
        <f t="shared" si="1611"/>
        <v/>
      </c>
      <c r="EP113" s="30" t="str">
        <f t="shared" si="1612"/>
        <v/>
      </c>
      <c r="EQ113" s="30" t="str">
        <f t="shared" si="1613"/>
        <v/>
      </c>
      <c r="ER113" s="30" t="str">
        <f t="shared" si="1614"/>
        <v/>
      </c>
      <c r="ES113" s="30" t="str">
        <f t="shared" si="1615"/>
        <v/>
      </c>
      <c r="ET113" s="30" t="str">
        <f t="shared" si="1616"/>
        <v/>
      </c>
      <c r="EU113" s="30" t="str">
        <f t="shared" si="1617"/>
        <v/>
      </c>
      <c r="EV113" s="30" t="str">
        <f t="shared" si="1618"/>
        <v/>
      </c>
      <c r="EW113" s="30" t="str">
        <f t="shared" si="1619"/>
        <v/>
      </c>
      <c r="EX113" s="30" t="str">
        <f t="shared" si="1620"/>
        <v/>
      </c>
      <c r="EY113" s="30" t="str">
        <f t="shared" si="1621"/>
        <v/>
      </c>
      <c r="EZ113" s="30" t="str">
        <f t="shared" si="1622"/>
        <v/>
      </c>
      <c r="FA113" s="30" t="str">
        <f t="shared" si="1623"/>
        <v/>
      </c>
      <c r="FB113" s="30" t="str">
        <f t="shared" si="1624"/>
        <v/>
      </c>
      <c r="FC113" s="30" t="str">
        <f t="shared" si="1625"/>
        <v/>
      </c>
      <c r="FD113" s="30" t="str">
        <f t="shared" si="1626"/>
        <v/>
      </c>
      <c r="FE113" s="30" t="str">
        <f t="shared" si="1627"/>
        <v/>
      </c>
      <c r="FF113" s="30" t="str">
        <f t="shared" si="1628"/>
        <v/>
      </c>
      <c r="FG113" s="30" t="str">
        <f t="shared" si="1629"/>
        <v/>
      </c>
      <c r="FH113" s="30" t="str">
        <f t="shared" si="1630"/>
        <v/>
      </c>
      <c r="FI113" s="30" t="str">
        <f t="shared" si="1631"/>
        <v/>
      </c>
      <c r="FJ113" s="30" t="str">
        <f t="shared" si="1632"/>
        <v/>
      </c>
      <c r="FK113" s="30" t="str">
        <f t="shared" si="1633"/>
        <v/>
      </c>
      <c r="FL113" s="30" t="str">
        <f t="shared" si="1634"/>
        <v/>
      </c>
      <c r="FM113" s="30" t="str">
        <f t="shared" si="1635"/>
        <v/>
      </c>
      <c r="FN113" s="30" t="str">
        <f t="shared" si="1636"/>
        <v/>
      </c>
      <c r="FO113" s="30" t="str">
        <f t="shared" si="1637"/>
        <v/>
      </c>
      <c r="FP113" s="30" t="str">
        <f t="shared" si="1638"/>
        <v/>
      </c>
      <c r="FQ113" s="30" t="str">
        <f t="shared" si="1639"/>
        <v/>
      </c>
      <c r="FR113" s="30" t="str">
        <f t="shared" si="1640"/>
        <v/>
      </c>
      <c r="FS113" s="30" t="str">
        <f t="shared" si="1641"/>
        <v/>
      </c>
    </row>
    <row r="114" spans="1:175" ht="16.5">
      <c r="A114" s="111"/>
      <c r="B114" s="111" t="s">
        <v>1001</v>
      </c>
      <c r="C114" s="29" t="s">
        <v>983</v>
      </c>
      <c r="T114" s="29" t="s">
        <v>1016</v>
      </c>
      <c r="U114" s="37" t="s">
        <v>822</v>
      </c>
      <c r="CN114" s="7" t="str">
        <f t="shared" si="1566"/>
        <v>InitUnitState('IN11',,,,,,,,,,)</v>
      </c>
      <c r="CO114" s="7" t="str">
        <f t="shared" si="1567"/>
        <v>InitUnitNormal('IN11',,,,,,,,,,)</v>
      </c>
      <c r="CP114" s="7" t="str">
        <f t="shared" si="1568"/>
        <v>InitUnitMagic('IN11',,,,,,,,,,)</v>
      </c>
      <c r="CQ114" s="7" t="str">
        <f t="shared" si="1569"/>
        <v>InitUnitAdd('IN11',,,,,,,,,,)</v>
      </c>
      <c r="CR114" s="7" t="str">
        <f t="shared" si="1565"/>
        <v>InitEquipData('IN11',,"",,,,,'','','','','','',"ReplaceableTextures\\CommandButtons\\BTNTome.blp")</v>
      </c>
      <c r="CU114" s="45" t="str">
        <f t="shared" si="1570"/>
        <v>|n</v>
      </c>
      <c r="CV114" s="29" t="str">
        <f t="shared" si="1571"/>
        <v>5秒内提高300%伤害加成</v>
      </c>
      <c r="CW114" s="24"/>
      <c r="CX114" s="24"/>
      <c r="CY114" s="24"/>
      <c r="CZ114" s="24"/>
      <c r="DA114" s="24"/>
      <c r="DB114" s="30" t="str">
        <f t="shared" si="1572"/>
        <v/>
      </c>
      <c r="DC114" s="30" t="str">
        <f t="shared" si="1573"/>
        <v/>
      </c>
      <c r="DD114" s="30" t="str">
        <f t="shared" si="1574"/>
        <v/>
      </c>
      <c r="DE114" s="30" t="str">
        <f t="shared" si="1575"/>
        <v/>
      </c>
      <c r="DF114" s="30" t="str">
        <f t="shared" si="1576"/>
        <v/>
      </c>
      <c r="DG114" s="30" t="str">
        <f t="shared" si="1577"/>
        <v/>
      </c>
      <c r="DH114" s="30" t="str">
        <f t="shared" si="1578"/>
        <v/>
      </c>
      <c r="DI114" s="30" t="str">
        <f t="shared" si="1579"/>
        <v/>
      </c>
      <c r="DJ114" s="30" t="str">
        <f t="shared" si="1580"/>
        <v/>
      </c>
      <c r="DK114" s="30" t="str">
        <f t="shared" si="1581"/>
        <v/>
      </c>
      <c r="DL114" s="30" t="str">
        <f t="shared" si="1582"/>
        <v/>
      </c>
      <c r="DM114" s="30" t="str">
        <f t="shared" si="1583"/>
        <v/>
      </c>
      <c r="DN114" s="30" t="str">
        <f t="shared" si="1584"/>
        <v/>
      </c>
      <c r="DO114" s="30" t="str">
        <f t="shared" si="1585"/>
        <v/>
      </c>
      <c r="DP114" s="30" t="str">
        <f t="shared" si="1586"/>
        <v/>
      </c>
      <c r="DQ114" s="30" t="str">
        <f t="shared" si="1587"/>
        <v/>
      </c>
      <c r="DR114" s="30" t="str">
        <f t="shared" si="1588"/>
        <v/>
      </c>
      <c r="DS114" s="30" t="str">
        <f t="shared" si="1589"/>
        <v/>
      </c>
      <c r="DT114" s="30" t="str">
        <f t="shared" si="1590"/>
        <v/>
      </c>
      <c r="DU114" s="30" t="str">
        <f t="shared" si="1591"/>
        <v/>
      </c>
      <c r="DV114" s="30" t="str">
        <f t="shared" si="1592"/>
        <v/>
      </c>
      <c r="DW114" s="30" t="str">
        <f t="shared" si="1593"/>
        <v/>
      </c>
      <c r="DX114" s="30" t="str">
        <f t="shared" si="1594"/>
        <v/>
      </c>
      <c r="DY114" s="30" t="str">
        <f t="shared" si="1595"/>
        <v/>
      </c>
      <c r="DZ114" s="30" t="str">
        <f t="shared" si="1596"/>
        <v/>
      </c>
      <c r="EA114" s="30" t="str">
        <f t="shared" si="1597"/>
        <v/>
      </c>
      <c r="EB114" s="30" t="str">
        <f t="shared" si="1598"/>
        <v/>
      </c>
      <c r="EC114" s="30" t="str">
        <f t="shared" si="1599"/>
        <v/>
      </c>
      <c r="ED114" s="30" t="str">
        <f t="shared" si="1600"/>
        <v/>
      </c>
      <c r="EE114" s="30" t="str">
        <f t="shared" si="1601"/>
        <v/>
      </c>
      <c r="EF114" s="30" t="str">
        <f t="shared" si="1602"/>
        <v/>
      </c>
      <c r="EG114" s="30" t="str">
        <f t="shared" si="1603"/>
        <v/>
      </c>
      <c r="EH114" s="30" t="str">
        <f t="shared" si="1604"/>
        <v/>
      </c>
      <c r="EI114" s="30" t="str">
        <f t="shared" si="1605"/>
        <v/>
      </c>
      <c r="EJ114" s="30" t="str">
        <f t="shared" si="1606"/>
        <v/>
      </c>
      <c r="EK114" s="30" t="str">
        <f t="shared" si="1607"/>
        <v/>
      </c>
      <c r="EL114" s="30" t="str">
        <f t="shared" si="1608"/>
        <v/>
      </c>
      <c r="EM114" s="30" t="str">
        <f t="shared" si="1609"/>
        <v/>
      </c>
      <c r="EN114" s="30" t="str">
        <f t="shared" si="1610"/>
        <v/>
      </c>
      <c r="EO114" s="30" t="str">
        <f t="shared" si="1611"/>
        <v/>
      </c>
      <c r="EP114" s="30" t="str">
        <f t="shared" si="1612"/>
        <v/>
      </c>
      <c r="EQ114" s="30" t="str">
        <f t="shared" si="1613"/>
        <v/>
      </c>
      <c r="ER114" s="30" t="str">
        <f t="shared" si="1614"/>
        <v/>
      </c>
      <c r="ES114" s="30" t="str">
        <f t="shared" si="1615"/>
        <v/>
      </c>
      <c r="ET114" s="30" t="str">
        <f t="shared" si="1616"/>
        <v/>
      </c>
      <c r="EU114" s="30" t="str">
        <f t="shared" si="1617"/>
        <v/>
      </c>
      <c r="EV114" s="30" t="str">
        <f t="shared" si="1618"/>
        <v/>
      </c>
      <c r="EW114" s="30" t="str">
        <f t="shared" si="1619"/>
        <v/>
      </c>
      <c r="EX114" s="30" t="str">
        <f t="shared" si="1620"/>
        <v/>
      </c>
      <c r="EY114" s="30" t="str">
        <f t="shared" si="1621"/>
        <v/>
      </c>
      <c r="EZ114" s="30" t="str">
        <f t="shared" si="1622"/>
        <v/>
      </c>
      <c r="FA114" s="30" t="str">
        <f t="shared" si="1623"/>
        <v/>
      </c>
      <c r="FB114" s="30" t="str">
        <f t="shared" si="1624"/>
        <v/>
      </c>
      <c r="FC114" s="30" t="str">
        <f t="shared" si="1625"/>
        <v/>
      </c>
      <c r="FD114" s="30" t="str">
        <f t="shared" si="1626"/>
        <v/>
      </c>
      <c r="FE114" s="30" t="str">
        <f t="shared" si="1627"/>
        <v/>
      </c>
      <c r="FF114" s="30" t="str">
        <f t="shared" si="1628"/>
        <v/>
      </c>
      <c r="FG114" s="30" t="str">
        <f t="shared" si="1629"/>
        <v/>
      </c>
      <c r="FH114" s="30" t="str">
        <f t="shared" si="1630"/>
        <v/>
      </c>
      <c r="FI114" s="30" t="str">
        <f t="shared" si="1631"/>
        <v/>
      </c>
      <c r="FJ114" s="30" t="str">
        <f t="shared" si="1632"/>
        <v/>
      </c>
      <c r="FK114" s="30" t="str">
        <f t="shared" si="1633"/>
        <v/>
      </c>
      <c r="FL114" s="30" t="str">
        <f t="shared" si="1634"/>
        <v/>
      </c>
      <c r="FM114" s="30" t="str">
        <f t="shared" si="1635"/>
        <v/>
      </c>
      <c r="FN114" s="30" t="str">
        <f t="shared" si="1636"/>
        <v/>
      </c>
      <c r="FO114" s="30" t="str">
        <f t="shared" si="1637"/>
        <v/>
      </c>
      <c r="FP114" s="30" t="str">
        <f t="shared" si="1638"/>
        <v/>
      </c>
      <c r="FQ114" s="30" t="str">
        <f t="shared" si="1639"/>
        <v/>
      </c>
      <c r="FR114" s="30" t="str">
        <f t="shared" si="1640"/>
        <v/>
      </c>
      <c r="FS114" s="30" t="str">
        <f t="shared" si="1641"/>
        <v/>
      </c>
    </row>
    <row r="115" spans="1:175" ht="16.5">
      <c r="A115" s="111"/>
      <c r="B115" s="111" t="s">
        <v>1002</v>
      </c>
      <c r="C115" s="29" t="s">
        <v>984</v>
      </c>
      <c r="T115" s="29" t="s">
        <v>1017</v>
      </c>
      <c r="U115" s="37" t="s">
        <v>822</v>
      </c>
      <c r="CN115" s="7" t="str">
        <f t="shared" si="1566"/>
        <v>InitUnitState('IN12',,,,,,,,,,)</v>
      </c>
      <c r="CO115" s="7" t="str">
        <f t="shared" si="1567"/>
        <v>InitUnitNormal('IN12',,,,,,,,,,)</v>
      </c>
      <c r="CP115" s="7" t="str">
        <f t="shared" si="1568"/>
        <v>InitUnitMagic('IN12',,,,,,,,,,)</v>
      </c>
      <c r="CQ115" s="7" t="str">
        <f t="shared" si="1569"/>
        <v>InitUnitAdd('IN12',,,,,,,,,,)</v>
      </c>
      <c r="CR115" s="7" t="str">
        <f t="shared" si="1565"/>
        <v>InitEquipData('IN12',,"",,,,,'','','','','','',"ReplaceableTextures\\CommandButtons\\BTNTome.blp")</v>
      </c>
      <c r="CU115" s="45" t="str">
        <f t="shared" si="1570"/>
        <v>|n</v>
      </c>
      <c r="CV115" s="29" t="str">
        <f t="shared" si="1571"/>
        <v>获得20000金币</v>
      </c>
      <c r="CW115" s="24"/>
      <c r="CX115" s="24"/>
      <c r="CY115" s="24"/>
      <c r="CZ115" s="24"/>
      <c r="DA115" s="24"/>
      <c r="DB115" s="30" t="str">
        <f t="shared" si="1572"/>
        <v/>
      </c>
      <c r="DC115" s="30" t="str">
        <f t="shared" si="1573"/>
        <v/>
      </c>
      <c r="DD115" s="30" t="str">
        <f t="shared" si="1574"/>
        <v/>
      </c>
      <c r="DE115" s="30" t="str">
        <f t="shared" si="1575"/>
        <v/>
      </c>
      <c r="DF115" s="30" t="str">
        <f t="shared" si="1576"/>
        <v/>
      </c>
      <c r="DG115" s="30" t="str">
        <f t="shared" si="1577"/>
        <v/>
      </c>
      <c r="DH115" s="30" t="str">
        <f t="shared" si="1578"/>
        <v/>
      </c>
      <c r="DI115" s="30" t="str">
        <f t="shared" si="1579"/>
        <v/>
      </c>
      <c r="DJ115" s="30" t="str">
        <f t="shared" si="1580"/>
        <v/>
      </c>
      <c r="DK115" s="30" t="str">
        <f t="shared" si="1581"/>
        <v/>
      </c>
      <c r="DL115" s="30" t="str">
        <f t="shared" si="1582"/>
        <v/>
      </c>
      <c r="DM115" s="30" t="str">
        <f t="shared" si="1583"/>
        <v/>
      </c>
      <c r="DN115" s="30" t="str">
        <f t="shared" si="1584"/>
        <v/>
      </c>
      <c r="DO115" s="30" t="str">
        <f t="shared" si="1585"/>
        <v/>
      </c>
      <c r="DP115" s="30" t="str">
        <f t="shared" si="1586"/>
        <v/>
      </c>
      <c r="DQ115" s="30" t="str">
        <f t="shared" si="1587"/>
        <v/>
      </c>
      <c r="DR115" s="30" t="str">
        <f t="shared" si="1588"/>
        <v/>
      </c>
      <c r="DS115" s="30" t="str">
        <f t="shared" si="1589"/>
        <v/>
      </c>
      <c r="DT115" s="30" t="str">
        <f t="shared" si="1590"/>
        <v/>
      </c>
      <c r="DU115" s="30" t="str">
        <f t="shared" si="1591"/>
        <v/>
      </c>
      <c r="DV115" s="30" t="str">
        <f t="shared" si="1592"/>
        <v/>
      </c>
      <c r="DW115" s="30" t="str">
        <f t="shared" si="1593"/>
        <v/>
      </c>
      <c r="DX115" s="30" t="str">
        <f t="shared" si="1594"/>
        <v/>
      </c>
      <c r="DY115" s="30" t="str">
        <f t="shared" si="1595"/>
        <v/>
      </c>
      <c r="DZ115" s="30" t="str">
        <f t="shared" si="1596"/>
        <v/>
      </c>
      <c r="EA115" s="30" t="str">
        <f t="shared" si="1597"/>
        <v/>
      </c>
      <c r="EB115" s="30" t="str">
        <f t="shared" si="1598"/>
        <v/>
      </c>
      <c r="EC115" s="30" t="str">
        <f t="shared" si="1599"/>
        <v/>
      </c>
      <c r="ED115" s="30" t="str">
        <f t="shared" si="1600"/>
        <v/>
      </c>
      <c r="EE115" s="30" t="str">
        <f t="shared" si="1601"/>
        <v/>
      </c>
      <c r="EF115" s="30" t="str">
        <f t="shared" si="1602"/>
        <v/>
      </c>
      <c r="EG115" s="30" t="str">
        <f t="shared" si="1603"/>
        <v/>
      </c>
      <c r="EH115" s="30" t="str">
        <f t="shared" si="1604"/>
        <v/>
      </c>
      <c r="EI115" s="30" t="str">
        <f t="shared" si="1605"/>
        <v/>
      </c>
      <c r="EJ115" s="30" t="str">
        <f t="shared" si="1606"/>
        <v/>
      </c>
      <c r="EK115" s="30" t="str">
        <f t="shared" si="1607"/>
        <v/>
      </c>
      <c r="EL115" s="30" t="str">
        <f t="shared" si="1608"/>
        <v/>
      </c>
      <c r="EM115" s="30" t="str">
        <f t="shared" si="1609"/>
        <v/>
      </c>
      <c r="EN115" s="30" t="str">
        <f t="shared" si="1610"/>
        <v/>
      </c>
      <c r="EO115" s="30" t="str">
        <f t="shared" si="1611"/>
        <v/>
      </c>
      <c r="EP115" s="30" t="str">
        <f t="shared" si="1612"/>
        <v/>
      </c>
      <c r="EQ115" s="30" t="str">
        <f t="shared" si="1613"/>
        <v/>
      </c>
      <c r="ER115" s="30" t="str">
        <f t="shared" si="1614"/>
        <v/>
      </c>
      <c r="ES115" s="30" t="str">
        <f t="shared" si="1615"/>
        <v/>
      </c>
      <c r="ET115" s="30" t="str">
        <f t="shared" si="1616"/>
        <v/>
      </c>
      <c r="EU115" s="30" t="str">
        <f t="shared" si="1617"/>
        <v/>
      </c>
      <c r="EV115" s="30" t="str">
        <f t="shared" si="1618"/>
        <v/>
      </c>
      <c r="EW115" s="30" t="str">
        <f t="shared" si="1619"/>
        <v/>
      </c>
      <c r="EX115" s="30" t="str">
        <f t="shared" si="1620"/>
        <v/>
      </c>
      <c r="EY115" s="30" t="str">
        <f t="shared" si="1621"/>
        <v/>
      </c>
      <c r="EZ115" s="30" t="str">
        <f t="shared" si="1622"/>
        <v/>
      </c>
      <c r="FA115" s="30" t="str">
        <f t="shared" si="1623"/>
        <v/>
      </c>
      <c r="FB115" s="30" t="str">
        <f t="shared" si="1624"/>
        <v/>
      </c>
      <c r="FC115" s="30" t="str">
        <f t="shared" si="1625"/>
        <v/>
      </c>
      <c r="FD115" s="30" t="str">
        <f t="shared" si="1626"/>
        <v/>
      </c>
      <c r="FE115" s="30" t="str">
        <f t="shared" si="1627"/>
        <v/>
      </c>
      <c r="FF115" s="30" t="str">
        <f t="shared" si="1628"/>
        <v/>
      </c>
      <c r="FG115" s="30" t="str">
        <f t="shared" si="1629"/>
        <v/>
      </c>
      <c r="FH115" s="30" t="str">
        <f t="shared" si="1630"/>
        <v/>
      </c>
      <c r="FI115" s="30" t="str">
        <f t="shared" si="1631"/>
        <v/>
      </c>
      <c r="FJ115" s="30" t="str">
        <f t="shared" si="1632"/>
        <v/>
      </c>
      <c r="FK115" s="30" t="str">
        <f t="shared" si="1633"/>
        <v/>
      </c>
      <c r="FL115" s="30" t="str">
        <f t="shared" si="1634"/>
        <v/>
      </c>
      <c r="FM115" s="30" t="str">
        <f t="shared" si="1635"/>
        <v/>
      </c>
      <c r="FN115" s="30" t="str">
        <f t="shared" si="1636"/>
        <v/>
      </c>
      <c r="FO115" s="30" t="str">
        <f t="shared" si="1637"/>
        <v/>
      </c>
      <c r="FP115" s="30" t="str">
        <f t="shared" si="1638"/>
        <v/>
      </c>
      <c r="FQ115" s="30" t="str">
        <f t="shared" si="1639"/>
        <v/>
      </c>
      <c r="FR115" s="30" t="str">
        <f t="shared" si="1640"/>
        <v/>
      </c>
      <c r="FS115" s="30" t="str">
        <f t="shared" si="1641"/>
        <v/>
      </c>
    </row>
    <row r="116" spans="1:175" ht="16.5">
      <c r="A116" s="111"/>
      <c r="B116" s="111" t="s">
        <v>1003</v>
      </c>
      <c r="C116" s="29" t="s">
        <v>985</v>
      </c>
      <c r="T116" s="29" t="s">
        <v>1018</v>
      </c>
      <c r="U116" s="37" t="s">
        <v>822</v>
      </c>
      <c r="CN116" s="7" t="str">
        <f t="shared" si="1489"/>
        <v>InitUnitState('IN13',,,,,,,,,,)</v>
      </c>
      <c r="CO116" s="7" t="str">
        <f t="shared" si="1490"/>
        <v>InitUnitNormal('IN13',,,,,,,,,,)</v>
      </c>
      <c r="CP116" s="7" t="str">
        <f t="shared" si="1491"/>
        <v>InitUnitMagic('IN13',,,,,,,,,,)</v>
      </c>
      <c r="CQ116" s="7" t="str">
        <f t="shared" si="1492"/>
        <v>InitUnitAdd('IN13',,,,,,,,,,)</v>
      </c>
      <c r="CR116" s="7" t="str">
        <f t="shared" si="1565"/>
        <v>InitEquipData('IN13',,"",,,,,'','','','','','',"ReplaceableTextures\\CommandButtons\\BTNTome.blp")</v>
      </c>
      <c r="CU116" s="45" t="str">
        <f t="shared" si="1493"/>
        <v>|n</v>
      </c>
      <c r="CV116" s="29" t="str">
        <f t="shared" si="1494"/>
        <v>获得2000金币</v>
      </c>
      <c r="CW116" s="24"/>
      <c r="CX116" s="24"/>
      <c r="CY116" s="24"/>
      <c r="CZ116" s="24"/>
      <c r="DA116" s="24"/>
      <c r="DB116" s="30" t="str">
        <f t="shared" si="1495"/>
        <v/>
      </c>
      <c r="DC116" s="30" t="str">
        <f t="shared" si="1496"/>
        <v/>
      </c>
      <c r="DD116" s="30" t="str">
        <f t="shared" si="1497"/>
        <v/>
      </c>
      <c r="DE116" s="30" t="str">
        <f t="shared" si="1498"/>
        <v/>
      </c>
      <c r="DF116" s="30" t="str">
        <f t="shared" si="1499"/>
        <v/>
      </c>
      <c r="DG116" s="30" t="str">
        <f t="shared" si="1500"/>
        <v/>
      </c>
      <c r="DH116" s="30" t="str">
        <f t="shared" si="1501"/>
        <v/>
      </c>
      <c r="DI116" s="30" t="str">
        <f t="shared" si="1502"/>
        <v/>
      </c>
      <c r="DJ116" s="30" t="str">
        <f t="shared" si="1503"/>
        <v/>
      </c>
      <c r="DK116" s="30" t="str">
        <f t="shared" si="1504"/>
        <v/>
      </c>
      <c r="DL116" s="30" t="str">
        <f t="shared" si="1505"/>
        <v/>
      </c>
      <c r="DM116" s="30" t="str">
        <f t="shared" si="1506"/>
        <v/>
      </c>
      <c r="DN116" s="30" t="str">
        <f t="shared" si="1507"/>
        <v/>
      </c>
      <c r="DO116" s="30" t="str">
        <f t="shared" si="1508"/>
        <v/>
      </c>
      <c r="DP116" s="30" t="str">
        <f t="shared" si="1509"/>
        <v/>
      </c>
      <c r="DQ116" s="30" t="str">
        <f t="shared" si="1510"/>
        <v/>
      </c>
      <c r="DR116" s="30" t="str">
        <f t="shared" si="1511"/>
        <v/>
      </c>
      <c r="DS116" s="30" t="str">
        <f t="shared" si="1512"/>
        <v/>
      </c>
      <c r="DT116" s="30" t="str">
        <f t="shared" si="1513"/>
        <v/>
      </c>
      <c r="DU116" s="30" t="str">
        <f t="shared" si="1514"/>
        <v/>
      </c>
      <c r="DV116" s="30" t="str">
        <f t="shared" si="1515"/>
        <v/>
      </c>
      <c r="DW116" s="30" t="str">
        <f t="shared" si="1516"/>
        <v/>
      </c>
      <c r="DX116" s="30" t="str">
        <f t="shared" si="1517"/>
        <v/>
      </c>
      <c r="DY116" s="30" t="str">
        <f t="shared" si="1518"/>
        <v/>
      </c>
      <c r="DZ116" s="30" t="str">
        <f t="shared" si="1519"/>
        <v/>
      </c>
      <c r="EA116" s="30" t="str">
        <f t="shared" si="1520"/>
        <v/>
      </c>
      <c r="EB116" s="30" t="str">
        <f t="shared" si="1521"/>
        <v/>
      </c>
      <c r="EC116" s="30" t="str">
        <f t="shared" si="1522"/>
        <v/>
      </c>
      <c r="ED116" s="30" t="str">
        <f t="shared" si="1523"/>
        <v/>
      </c>
      <c r="EE116" s="30" t="str">
        <f t="shared" si="1524"/>
        <v/>
      </c>
      <c r="EF116" s="30" t="str">
        <f t="shared" si="1525"/>
        <v/>
      </c>
      <c r="EG116" s="30" t="str">
        <f t="shared" si="1526"/>
        <v/>
      </c>
      <c r="EH116" s="30" t="str">
        <f t="shared" si="1527"/>
        <v/>
      </c>
      <c r="EI116" s="30" t="str">
        <f t="shared" si="1528"/>
        <v/>
      </c>
      <c r="EJ116" s="30" t="str">
        <f t="shared" si="1529"/>
        <v/>
      </c>
      <c r="EK116" s="30" t="str">
        <f t="shared" si="1530"/>
        <v/>
      </c>
      <c r="EL116" s="30" t="str">
        <f t="shared" si="1531"/>
        <v/>
      </c>
      <c r="EM116" s="30" t="str">
        <f t="shared" si="1532"/>
        <v/>
      </c>
      <c r="EN116" s="30" t="str">
        <f t="shared" si="1533"/>
        <v/>
      </c>
      <c r="EO116" s="30" t="str">
        <f t="shared" si="1534"/>
        <v/>
      </c>
      <c r="EP116" s="30" t="str">
        <f t="shared" si="1535"/>
        <v/>
      </c>
      <c r="EQ116" s="30" t="str">
        <f t="shared" si="1536"/>
        <v/>
      </c>
      <c r="ER116" s="30" t="str">
        <f t="shared" si="1537"/>
        <v/>
      </c>
      <c r="ES116" s="30" t="str">
        <f t="shared" si="1538"/>
        <v/>
      </c>
      <c r="ET116" s="30" t="str">
        <f t="shared" si="1539"/>
        <v/>
      </c>
      <c r="EU116" s="30" t="str">
        <f t="shared" si="1540"/>
        <v/>
      </c>
      <c r="EV116" s="30" t="str">
        <f t="shared" si="1541"/>
        <v/>
      </c>
      <c r="EW116" s="30" t="str">
        <f t="shared" si="1542"/>
        <v/>
      </c>
      <c r="EX116" s="30" t="str">
        <f t="shared" si="1543"/>
        <v/>
      </c>
      <c r="EY116" s="30" t="str">
        <f t="shared" si="1544"/>
        <v/>
      </c>
      <c r="EZ116" s="30" t="str">
        <f t="shared" si="1545"/>
        <v/>
      </c>
      <c r="FA116" s="30" t="str">
        <f t="shared" si="1546"/>
        <v/>
      </c>
      <c r="FB116" s="30" t="str">
        <f t="shared" si="1547"/>
        <v/>
      </c>
      <c r="FC116" s="30" t="str">
        <f t="shared" si="1548"/>
        <v/>
      </c>
      <c r="FD116" s="30" t="str">
        <f t="shared" si="1549"/>
        <v/>
      </c>
      <c r="FE116" s="30" t="str">
        <f t="shared" si="1550"/>
        <v/>
      </c>
      <c r="FF116" s="30" t="str">
        <f t="shared" si="1551"/>
        <v/>
      </c>
      <c r="FG116" s="30" t="str">
        <f t="shared" si="1552"/>
        <v/>
      </c>
      <c r="FH116" s="30" t="str">
        <f t="shared" si="1553"/>
        <v/>
      </c>
      <c r="FI116" s="30" t="str">
        <f t="shared" si="1554"/>
        <v/>
      </c>
      <c r="FJ116" s="30" t="str">
        <f t="shared" si="1555"/>
        <v/>
      </c>
      <c r="FK116" s="30" t="str">
        <f t="shared" si="1556"/>
        <v/>
      </c>
      <c r="FL116" s="30" t="str">
        <f t="shared" si="1557"/>
        <v/>
      </c>
      <c r="FM116" s="30" t="str">
        <f t="shared" si="1558"/>
        <v/>
      </c>
      <c r="FN116" s="30" t="str">
        <f t="shared" si="1559"/>
        <v/>
      </c>
      <c r="FO116" s="30" t="str">
        <f t="shared" si="1560"/>
        <v/>
      </c>
      <c r="FP116" s="30" t="str">
        <f t="shared" si="1561"/>
        <v/>
      </c>
      <c r="FQ116" s="30" t="str">
        <f t="shared" si="1562"/>
        <v/>
      </c>
      <c r="FR116" s="30" t="str">
        <f t="shared" si="1563"/>
        <v/>
      </c>
      <c r="FS116" s="30" t="str">
        <f t="shared" si="1564"/>
        <v/>
      </c>
    </row>
    <row r="117" spans="1:175" ht="16.5">
      <c r="A117" s="111"/>
      <c r="B117" s="111" t="s">
        <v>1004</v>
      </c>
      <c r="C117" s="29" t="s">
        <v>986</v>
      </c>
      <c r="T117" s="124" t="s">
        <v>1023</v>
      </c>
      <c r="U117" s="37" t="s">
        <v>822</v>
      </c>
      <c r="CN117" s="7" t="str">
        <f t="shared" si="1489"/>
        <v>InitUnitState('IN14',,,,,,,,,,)</v>
      </c>
      <c r="CO117" s="7" t="str">
        <f t="shared" si="1490"/>
        <v>InitUnitNormal('IN14',,,,,,,,,,)</v>
      </c>
      <c r="CP117" s="7" t="str">
        <f t="shared" si="1491"/>
        <v>InitUnitMagic('IN14',,,,,,,,,,)</v>
      </c>
      <c r="CQ117" s="7" t="str">
        <f t="shared" si="1492"/>
        <v>InitUnitAdd('IN14',,,,,,,,,,)</v>
      </c>
      <c r="CR117" s="7" t="str">
        <f t="shared" si="1565"/>
        <v>InitEquipData('IN14',,"",,,,,'','','','','','',"ReplaceableTextures\\CommandButtons\\BTNTome.blp")</v>
      </c>
      <c r="CU117" s="45" t="str">
        <f t="shared" si="1493"/>
        <v>|n</v>
      </c>
      <c r="CV117" s="29" t="str">
        <f t="shared" si="1494"/>
        <v>使用后5秒内基地触发无敌，则击杀其600码范围内所有生物。\n（不分敌我）</v>
      </c>
      <c r="CW117" s="24"/>
      <c r="CX117" s="24"/>
      <c r="CY117" s="24"/>
      <c r="CZ117" s="24"/>
      <c r="DA117" s="24"/>
      <c r="DB117" s="30" t="str">
        <f t="shared" si="1495"/>
        <v/>
      </c>
      <c r="DC117" s="30" t="str">
        <f t="shared" si="1496"/>
        <v/>
      </c>
      <c r="DD117" s="30" t="str">
        <f t="shared" si="1497"/>
        <v/>
      </c>
      <c r="DE117" s="30" t="str">
        <f t="shared" si="1498"/>
        <v/>
      </c>
      <c r="DF117" s="30" t="str">
        <f t="shared" si="1499"/>
        <v/>
      </c>
      <c r="DG117" s="30" t="str">
        <f t="shared" si="1500"/>
        <v/>
      </c>
      <c r="DH117" s="30" t="str">
        <f t="shared" si="1501"/>
        <v/>
      </c>
      <c r="DI117" s="30" t="str">
        <f t="shared" si="1502"/>
        <v/>
      </c>
      <c r="DJ117" s="30" t="str">
        <f t="shared" si="1503"/>
        <v/>
      </c>
      <c r="DK117" s="30" t="str">
        <f t="shared" si="1504"/>
        <v/>
      </c>
      <c r="DL117" s="30" t="str">
        <f t="shared" si="1505"/>
        <v/>
      </c>
      <c r="DM117" s="30" t="str">
        <f t="shared" si="1506"/>
        <v/>
      </c>
      <c r="DN117" s="30" t="str">
        <f t="shared" si="1507"/>
        <v/>
      </c>
      <c r="DO117" s="30" t="str">
        <f t="shared" si="1508"/>
        <v/>
      </c>
      <c r="DP117" s="30" t="str">
        <f t="shared" si="1509"/>
        <v/>
      </c>
      <c r="DQ117" s="30" t="str">
        <f t="shared" si="1510"/>
        <v/>
      </c>
      <c r="DR117" s="30" t="str">
        <f t="shared" si="1511"/>
        <v/>
      </c>
      <c r="DS117" s="30" t="str">
        <f t="shared" si="1512"/>
        <v/>
      </c>
      <c r="DT117" s="30" t="str">
        <f t="shared" si="1513"/>
        <v/>
      </c>
      <c r="DU117" s="30" t="str">
        <f t="shared" si="1514"/>
        <v/>
      </c>
      <c r="DV117" s="30" t="str">
        <f t="shared" si="1515"/>
        <v/>
      </c>
      <c r="DW117" s="30" t="str">
        <f t="shared" si="1516"/>
        <v/>
      </c>
      <c r="DX117" s="30" t="str">
        <f t="shared" si="1517"/>
        <v/>
      </c>
      <c r="DY117" s="30" t="str">
        <f t="shared" si="1518"/>
        <v/>
      </c>
      <c r="DZ117" s="30" t="str">
        <f t="shared" si="1519"/>
        <v/>
      </c>
      <c r="EA117" s="30" t="str">
        <f t="shared" si="1520"/>
        <v/>
      </c>
      <c r="EB117" s="30" t="str">
        <f t="shared" si="1521"/>
        <v/>
      </c>
      <c r="EC117" s="30" t="str">
        <f t="shared" si="1522"/>
        <v/>
      </c>
      <c r="ED117" s="30" t="str">
        <f t="shared" si="1523"/>
        <v/>
      </c>
      <c r="EE117" s="30" t="str">
        <f t="shared" si="1524"/>
        <v/>
      </c>
      <c r="EF117" s="30" t="str">
        <f t="shared" si="1525"/>
        <v/>
      </c>
      <c r="EG117" s="30" t="str">
        <f t="shared" si="1526"/>
        <v/>
      </c>
      <c r="EH117" s="30" t="str">
        <f t="shared" si="1527"/>
        <v/>
      </c>
      <c r="EI117" s="30" t="str">
        <f t="shared" si="1528"/>
        <v/>
      </c>
      <c r="EJ117" s="30" t="str">
        <f t="shared" si="1529"/>
        <v/>
      </c>
      <c r="EK117" s="30" t="str">
        <f t="shared" si="1530"/>
        <v/>
      </c>
      <c r="EL117" s="30" t="str">
        <f t="shared" si="1531"/>
        <v/>
      </c>
      <c r="EM117" s="30" t="str">
        <f t="shared" si="1532"/>
        <v/>
      </c>
      <c r="EN117" s="30" t="str">
        <f t="shared" si="1533"/>
        <v/>
      </c>
      <c r="EO117" s="30" t="str">
        <f t="shared" si="1534"/>
        <v/>
      </c>
      <c r="EP117" s="30" t="str">
        <f t="shared" si="1535"/>
        <v/>
      </c>
      <c r="EQ117" s="30" t="str">
        <f t="shared" si="1536"/>
        <v/>
      </c>
      <c r="ER117" s="30" t="str">
        <f t="shared" si="1537"/>
        <v/>
      </c>
      <c r="ES117" s="30" t="str">
        <f t="shared" si="1538"/>
        <v/>
      </c>
      <c r="ET117" s="30" t="str">
        <f t="shared" si="1539"/>
        <v/>
      </c>
      <c r="EU117" s="30" t="str">
        <f t="shared" si="1540"/>
        <v/>
      </c>
      <c r="EV117" s="30" t="str">
        <f t="shared" si="1541"/>
        <v/>
      </c>
      <c r="EW117" s="30" t="str">
        <f t="shared" si="1542"/>
        <v/>
      </c>
      <c r="EX117" s="30" t="str">
        <f t="shared" si="1543"/>
        <v/>
      </c>
      <c r="EY117" s="30" t="str">
        <f t="shared" si="1544"/>
        <v/>
      </c>
      <c r="EZ117" s="30" t="str">
        <f t="shared" si="1545"/>
        <v/>
      </c>
      <c r="FA117" s="30" t="str">
        <f t="shared" si="1546"/>
        <v/>
      </c>
      <c r="FB117" s="30" t="str">
        <f t="shared" si="1547"/>
        <v/>
      </c>
      <c r="FC117" s="30" t="str">
        <f t="shared" si="1548"/>
        <v/>
      </c>
      <c r="FD117" s="30" t="str">
        <f t="shared" si="1549"/>
        <v/>
      </c>
      <c r="FE117" s="30" t="str">
        <f t="shared" si="1550"/>
        <v/>
      </c>
      <c r="FF117" s="30" t="str">
        <f t="shared" si="1551"/>
        <v/>
      </c>
      <c r="FG117" s="30" t="str">
        <f t="shared" si="1552"/>
        <v/>
      </c>
      <c r="FH117" s="30" t="str">
        <f t="shared" si="1553"/>
        <v/>
      </c>
      <c r="FI117" s="30" t="str">
        <f t="shared" si="1554"/>
        <v/>
      </c>
      <c r="FJ117" s="30" t="str">
        <f t="shared" si="1555"/>
        <v/>
      </c>
      <c r="FK117" s="30" t="str">
        <f t="shared" si="1556"/>
        <v/>
      </c>
      <c r="FL117" s="30" t="str">
        <f t="shared" si="1557"/>
        <v/>
      </c>
      <c r="FM117" s="30" t="str">
        <f t="shared" si="1558"/>
        <v/>
      </c>
      <c r="FN117" s="30" t="str">
        <f t="shared" si="1559"/>
        <v/>
      </c>
      <c r="FO117" s="30" t="str">
        <f t="shared" si="1560"/>
        <v/>
      </c>
      <c r="FP117" s="30" t="str">
        <f t="shared" si="1561"/>
        <v/>
      </c>
      <c r="FQ117" s="30" t="str">
        <f t="shared" si="1562"/>
        <v/>
      </c>
      <c r="FR117" s="30" t="str">
        <f t="shared" si="1563"/>
        <v/>
      </c>
      <c r="FS117" s="30" t="str">
        <f t="shared" si="1564"/>
        <v/>
      </c>
    </row>
    <row r="118" spans="1:175" ht="16.5">
      <c r="A118" s="111"/>
      <c r="B118" s="111" t="s">
        <v>1005</v>
      </c>
      <c r="C118" s="29" t="s">
        <v>987</v>
      </c>
      <c r="T118" s="29" t="s">
        <v>1019</v>
      </c>
      <c r="U118" s="37" t="s">
        <v>822</v>
      </c>
      <c r="CN118" s="7" t="str">
        <f t="shared" ref="CN118:CN120" si="1642">"InitUnitState('"&amp;B118&amp;"',"&amp;V118&amp;","&amp;W118&amp;","&amp;X118&amp;","&amp;Y118&amp;","&amp;Z118&amp;","&amp;AA118&amp;","&amp;AB118&amp;","&amp;AC118&amp;","&amp;AD118&amp;","&amp;AE118&amp;")"</f>
        <v>InitUnitState('IN15',,,,,,,,,,)</v>
      </c>
      <c r="CO118" s="7" t="str">
        <f t="shared" ref="CO118:CO120" si="1643">"InitUnitNormal('"&amp;B118&amp;"',"&amp;AF118&amp;","&amp;AG118&amp;","&amp;AH118&amp;","&amp;AI118&amp;","&amp;AJ118&amp;","&amp;AK118&amp;","&amp;AL118&amp;","&amp;AM118&amp;","&amp;AN118&amp;","&amp;AO118&amp;")"</f>
        <v>InitUnitNormal('IN15',,,,,,,,,,)</v>
      </c>
      <c r="CP118" s="7" t="str">
        <f t="shared" ref="CP118:CP120" si="1644">"InitUnitMagic('"&amp;B118&amp;"',"&amp;AP118&amp;","&amp;AQ118&amp;","&amp;AR118&amp;","&amp;AS118&amp;","&amp;AT118&amp;","&amp;AU118&amp;","&amp;AV118&amp;","&amp;AW118&amp;","&amp;BI118&amp;","&amp;BJ118&amp;")"</f>
        <v>InitUnitMagic('IN15',,,,,,,,,,)</v>
      </c>
      <c r="CQ118" s="7" t="str">
        <f t="shared" ref="CQ118:CQ120" si="1645">"InitUnitAdd('"&amp;B118&amp;"',"&amp;BK118&amp;","&amp;BL118&amp;","&amp;BM118&amp;","&amp;BN118&amp;","&amp;BO118&amp;","&amp;BP118&amp;","&amp;BQ118&amp;","&amp;BR118&amp;","&amp;BS118&amp;","&amp;BT118&amp;")"</f>
        <v>InitUnitAdd('IN15',,,,,,,,,,)</v>
      </c>
      <c r="CR118" s="7" t="str">
        <f t="shared" si="1565"/>
        <v>InitEquipData('IN15',,"",,,,,'','','','','','',"ReplaceableTextures\\CommandButtons\\BTNTome.blp")</v>
      </c>
      <c r="CU118" s="45" t="str">
        <f t="shared" ref="CU118:CU120" si="1646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29" t="str">
        <f t="shared" ref="CV118:CV120" si="1647">T118</f>
        <v>获得一个补天石</v>
      </c>
      <c r="CW118" s="24"/>
      <c r="CX118" s="24"/>
      <c r="CY118" s="24"/>
      <c r="CZ118" s="24"/>
      <c r="DA118" s="24"/>
      <c r="DB118" s="30" t="str">
        <f t="shared" ref="DB118:DB120" si="1648">IF(V118="","","|n"&amp;DB$2&amp;"+"&amp;V118&amp;DB$1)</f>
        <v/>
      </c>
      <c r="DC118" s="30" t="str">
        <f t="shared" ref="DC118:DC120" si="1649">IF(W118="","","|n"&amp;DC$2&amp;"+"&amp;W118&amp;DC$1)</f>
        <v/>
      </c>
      <c r="DD118" s="30" t="str">
        <f t="shared" ref="DD118:DD120" si="1650">IF(X118="","","|n"&amp;DD$2&amp;"+"&amp;X118&amp;DD$1)</f>
        <v/>
      </c>
      <c r="DE118" s="30" t="str">
        <f t="shared" ref="DE118:DE120" si="1651">IF(Y118="","","|n"&amp;DE$2&amp;"+"&amp;Y118&amp;DE$1)</f>
        <v/>
      </c>
      <c r="DF118" s="30" t="str">
        <f t="shared" ref="DF118:DF120" si="1652">IF(Z118="","","|n"&amp;DF$2&amp;"+"&amp;Z118&amp;DF$1)</f>
        <v/>
      </c>
      <c r="DG118" s="30" t="str">
        <f t="shared" ref="DG118:DG120" si="1653">IF(AA118="","","|n"&amp;DG$2&amp;"+"&amp;AA118&amp;DG$1)</f>
        <v/>
      </c>
      <c r="DH118" s="30" t="str">
        <f t="shared" ref="DH118:DH120" si="1654">IF(AB118="","","|n"&amp;DH$2&amp;"+"&amp;AB118&amp;DH$1)</f>
        <v/>
      </c>
      <c r="DI118" s="30" t="str">
        <f t="shared" ref="DI118:DI120" si="1655">IF(AC118="","","|n"&amp;DI$2&amp;"+"&amp;AC118&amp;DI$1)</f>
        <v/>
      </c>
      <c r="DJ118" s="30" t="str">
        <f t="shared" ref="DJ118:DJ120" si="1656">IF(AD118="","","|n"&amp;DJ$2&amp;"+"&amp;AD118&amp;DJ$1)</f>
        <v/>
      </c>
      <c r="DK118" s="30" t="str">
        <f t="shared" ref="DK118:DK120" si="1657">IF(AE118="","","|n"&amp;DK$2&amp;"+"&amp;AE118&amp;DK$1)</f>
        <v/>
      </c>
      <c r="DL118" s="30" t="str">
        <f t="shared" ref="DL118:DL120" si="1658">IF(AF118="","","|n"&amp;DL$2&amp;"+"&amp;AF118&amp;DL$1)</f>
        <v/>
      </c>
      <c r="DM118" s="30" t="str">
        <f t="shared" ref="DM118:DM120" si="1659">IF(AG118="","","|n"&amp;DM$2&amp;"+"&amp;AG118&amp;DM$1)</f>
        <v/>
      </c>
      <c r="DN118" s="30" t="str">
        <f t="shared" ref="DN118:DN120" si="1660">IF(AH118="","","|n"&amp;DN$2&amp;"+"&amp;AH118&amp;DN$1)</f>
        <v/>
      </c>
      <c r="DO118" s="30" t="str">
        <f t="shared" ref="DO118:DO120" si="1661">IF(AI118="","","|n"&amp;DO$2&amp;"+"&amp;AI118&amp;DO$1)</f>
        <v/>
      </c>
      <c r="DP118" s="30" t="str">
        <f t="shared" ref="DP118:DP120" si="1662">IF(AJ118="","","|n"&amp;DP$2&amp;"+"&amp;AJ118&amp;DP$1)</f>
        <v/>
      </c>
      <c r="DQ118" s="30" t="str">
        <f t="shared" ref="DQ118:DQ120" si="1663">IF(AK118="","","|n"&amp;DQ$2&amp;"+"&amp;AK118&amp;DQ$1)</f>
        <v/>
      </c>
      <c r="DR118" s="30" t="str">
        <f t="shared" ref="DR118:DR120" si="1664">IF(AL118="","","|n"&amp;DR$2&amp;"+"&amp;AL118&amp;DR$1)</f>
        <v/>
      </c>
      <c r="DS118" s="30" t="str">
        <f t="shared" ref="DS118:DS120" si="1665">IF(AM118="","","|n"&amp;DS$2&amp;"+"&amp;AM118&amp;DS$1)</f>
        <v/>
      </c>
      <c r="DT118" s="30" t="str">
        <f t="shared" ref="DT118:DT120" si="1666">IF(AN118="","","|n"&amp;DT$2&amp;"+"&amp;AN118&amp;DT$1)</f>
        <v/>
      </c>
      <c r="DU118" s="30" t="str">
        <f t="shared" ref="DU118:DU120" si="1667">IF(AO118="","","|n"&amp;DU$2&amp;"+"&amp;AO118&amp;DU$1)</f>
        <v/>
      </c>
      <c r="DV118" s="30" t="str">
        <f t="shared" ref="DV118:DV120" si="1668">IF(AP118="","","|n"&amp;DV$2&amp;"+"&amp;AP118&amp;DV$1)</f>
        <v/>
      </c>
      <c r="DW118" s="30" t="str">
        <f t="shared" ref="DW118:DW120" si="1669">IF(AQ118="","","|n"&amp;DW$2&amp;"+"&amp;AQ118&amp;DW$1)</f>
        <v/>
      </c>
      <c r="DX118" s="30" t="str">
        <f t="shared" ref="DX118:DX120" si="1670">IF(AR118="","","|n"&amp;DX$2&amp;"+"&amp;AR118&amp;DX$1)</f>
        <v/>
      </c>
      <c r="DY118" s="30" t="str">
        <f t="shared" ref="DY118:DY120" si="1671">IF(AS118="","","|n"&amp;DY$2&amp;"+"&amp;AS118&amp;DY$1)</f>
        <v/>
      </c>
      <c r="DZ118" s="30" t="str">
        <f t="shared" ref="DZ118:DZ120" si="1672">IF(AT118="","","|n"&amp;DZ$2&amp;"+"&amp;AT118&amp;DZ$1)</f>
        <v/>
      </c>
      <c r="EA118" s="30" t="str">
        <f t="shared" ref="EA118:EA120" si="1673">IF(AU118="","","|n"&amp;EA$2&amp;"+"&amp;AU118&amp;EA$1)</f>
        <v/>
      </c>
      <c r="EB118" s="30" t="str">
        <f t="shared" ref="EB118:EB120" si="1674">IF(AV118="","","|n"&amp;EB$2&amp;"+"&amp;AV118&amp;EB$1)</f>
        <v/>
      </c>
      <c r="EC118" s="30" t="str">
        <f t="shared" ref="EC118:EC120" si="1675">IF(AW118="","","|n"&amp;EC$2&amp;"+"&amp;AW118&amp;EC$1)</f>
        <v/>
      </c>
      <c r="ED118" s="30" t="str">
        <f t="shared" ref="ED118:ED120" si="1676">IF(AX118="","","|n"&amp;ED$2&amp;"+"&amp;AX118&amp;ED$1)</f>
        <v/>
      </c>
      <c r="EE118" s="30" t="str">
        <f t="shared" ref="EE118:EE120" si="1677">IF(AY118="","","|n"&amp;EE$2&amp;"+"&amp;AY118&amp;EE$1)</f>
        <v/>
      </c>
      <c r="EF118" s="30" t="str">
        <f t="shared" ref="EF118:EF120" si="1678">IF(AZ118="","","|n"&amp;EF$2&amp;"+"&amp;AZ118&amp;EF$1)</f>
        <v/>
      </c>
      <c r="EG118" s="30" t="str">
        <f t="shared" ref="EG118:EG120" si="1679">IF(BA118="","","|n"&amp;EG$2&amp;"+"&amp;BA118&amp;EG$1)</f>
        <v/>
      </c>
      <c r="EH118" s="30" t="str">
        <f t="shared" ref="EH118:EH120" si="1680">IF(BB118="","","|n"&amp;EH$2&amp;"+"&amp;BB118&amp;EH$1)</f>
        <v/>
      </c>
      <c r="EI118" s="30" t="str">
        <f t="shared" ref="EI118:EI120" si="1681">IF(BC118="","","|n"&amp;EI$2&amp;"+"&amp;BC118&amp;EI$1)</f>
        <v/>
      </c>
      <c r="EJ118" s="30" t="str">
        <f t="shared" ref="EJ118:EJ120" si="1682">IF(BD118="","","|n"&amp;EJ$2&amp;"+"&amp;BD118&amp;EJ$1)</f>
        <v/>
      </c>
      <c r="EK118" s="30" t="str">
        <f t="shared" ref="EK118:EK120" si="1683">IF(BE118="","","|n"&amp;EK$2&amp;"+"&amp;BE118&amp;EK$1)</f>
        <v/>
      </c>
      <c r="EL118" s="30" t="str">
        <f t="shared" ref="EL118:EL120" si="1684">IF(BF118="","","|n"&amp;EL$2&amp;"+"&amp;BF118&amp;EL$1)</f>
        <v/>
      </c>
      <c r="EM118" s="30" t="str">
        <f t="shared" ref="EM118:EM120" si="1685">IF(BG118="","","|n"&amp;EM$2&amp;"+"&amp;BG118&amp;EM$1)</f>
        <v/>
      </c>
      <c r="EN118" s="30" t="str">
        <f t="shared" ref="EN118:EN120" si="1686">IF(BH118="","","|n"&amp;EN$2&amp;"+"&amp;BH118&amp;EN$1)</f>
        <v/>
      </c>
      <c r="EO118" s="30" t="str">
        <f t="shared" ref="EO118:EO120" si="1687">IF(BI118="","","|n"&amp;EO$2&amp;"+"&amp;BI118&amp;EO$1)</f>
        <v/>
      </c>
      <c r="EP118" s="30" t="str">
        <f t="shared" ref="EP118:EP120" si="1688">IF(BJ118="","","|n"&amp;EP$2&amp;"+"&amp;BJ118&amp;EP$1)</f>
        <v/>
      </c>
      <c r="EQ118" s="30" t="str">
        <f t="shared" ref="EQ118:EQ120" si="1689">IF(BK118="","","|n"&amp;EQ$2&amp;"+"&amp;BK118&amp;EQ$1)</f>
        <v/>
      </c>
      <c r="ER118" s="30" t="str">
        <f t="shared" ref="ER118:ER120" si="1690">IF(BL118="","","|n"&amp;ER$2&amp;"+"&amp;BL118&amp;ER$1)</f>
        <v/>
      </c>
      <c r="ES118" s="30" t="str">
        <f t="shared" ref="ES118:ES120" si="1691">IF(BM118="","","|n"&amp;ES$2&amp;"+"&amp;BM118&amp;ES$1)</f>
        <v/>
      </c>
      <c r="ET118" s="30" t="str">
        <f t="shared" ref="ET118:ET120" si="1692">IF(BN118="","","|n"&amp;ET$2&amp;"+"&amp;BN118&amp;ET$1)</f>
        <v/>
      </c>
      <c r="EU118" s="30" t="str">
        <f t="shared" ref="EU118:EU120" si="1693">IF(BO118="","","|n"&amp;EU$2&amp;"+"&amp;BO118&amp;EU$1)</f>
        <v/>
      </c>
      <c r="EV118" s="30" t="str">
        <f t="shared" ref="EV118:EV120" si="1694">IF(BP118="","","|n"&amp;EV$2&amp;"+"&amp;BP118&amp;EV$1)</f>
        <v/>
      </c>
      <c r="EW118" s="30" t="str">
        <f t="shared" ref="EW118:EW120" si="1695">IF(BQ118="","","|n"&amp;EW$2&amp;"+"&amp;BQ118&amp;EW$1)</f>
        <v/>
      </c>
      <c r="EX118" s="30" t="str">
        <f t="shared" ref="EX118:EX120" si="1696">IF(BR118="","","|n"&amp;EX$2&amp;"+"&amp;BR118&amp;EX$1)</f>
        <v/>
      </c>
      <c r="EY118" s="30" t="str">
        <f t="shared" ref="EY118:EY120" si="1697">IF(BS118="","","|n"&amp;EY$2&amp;"+"&amp;BS118&amp;EY$1)</f>
        <v/>
      </c>
      <c r="EZ118" s="30" t="str">
        <f t="shared" ref="EZ118:EZ120" si="1698">IF(BT118="","","|n"&amp;EZ$2&amp;"+"&amp;BT118&amp;EZ$1)</f>
        <v/>
      </c>
      <c r="FA118" s="30" t="str">
        <f t="shared" ref="FA118:FA120" si="1699">IF(BU118="","","|n"&amp;FA$2&amp;"+"&amp;BU118&amp;FA$1)</f>
        <v/>
      </c>
      <c r="FB118" s="30" t="str">
        <f t="shared" ref="FB118:FB120" si="1700">IF(BV118="","","|n"&amp;FB$2&amp;"+"&amp;BV118&amp;FB$1)</f>
        <v/>
      </c>
      <c r="FC118" s="30" t="str">
        <f t="shared" ref="FC118:FC120" si="1701">IF(BW118="","","|n"&amp;FC$2&amp;"+"&amp;BW118&amp;FC$1)</f>
        <v/>
      </c>
      <c r="FD118" s="30" t="str">
        <f t="shared" ref="FD118:FD120" si="1702">IF(BX118="","","|n"&amp;FD$2&amp;"+"&amp;BX118&amp;FD$1)</f>
        <v/>
      </c>
      <c r="FE118" s="30" t="str">
        <f t="shared" ref="FE118:FE120" si="1703">IF(BY118="","","|n"&amp;FE$2&amp;"+"&amp;BY118&amp;FE$1)</f>
        <v/>
      </c>
      <c r="FF118" s="30" t="str">
        <f t="shared" ref="FF118:FF120" si="1704">IF(BZ118="","","|n"&amp;FF$2&amp;"+"&amp;BZ118&amp;FF$1)</f>
        <v/>
      </c>
      <c r="FG118" s="30" t="str">
        <f t="shared" ref="FG118:FG120" si="1705">IF(CA118="","","|n"&amp;FG$2&amp;"+"&amp;CA118&amp;FG$1)</f>
        <v/>
      </c>
      <c r="FH118" s="30" t="str">
        <f t="shared" ref="FH118:FH120" si="1706">IF(CB118="","","|n"&amp;FH$2&amp;"+"&amp;CB118&amp;FH$1)</f>
        <v/>
      </c>
      <c r="FI118" s="30" t="str">
        <f t="shared" ref="FI118:FI120" si="1707">IF(CC118="","","|n"&amp;FI$2&amp;"+"&amp;CC118&amp;FI$1)</f>
        <v/>
      </c>
      <c r="FJ118" s="30" t="str">
        <f t="shared" ref="FJ118:FJ120" si="1708">IF(CD118="","","|n"&amp;FJ$2&amp;"+"&amp;CD118&amp;FJ$1)</f>
        <v/>
      </c>
      <c r="FK118" s="30" t="str">
        <f t="shared" ref="FK118:FK120" si="1709">IF(CE118="","","|n"&amp;FK$2&amp;"+"&amp;CE118&amp;FK$1)</f>
        <v/>
      </c>
      <c r="FL118" s="30" t="str">
        <f t="shared" ref="FL118:FL120" si="1710">IF(CF118="","","|n"&amp;FL$2&amp;"+"&amp;CF118&amp;FL$1)</f>
        <v/>
      </c>
      <c r="FM118" s="30" t="str">
        <f t="shared" ref="FM118:FM120" si="1711">IF(CG118="","","|n"&amp;FM$2&amp;"+"&amp;CG118&amp;FM$1)</f>
        <v/>
      </c>
      <c r="FN118" s="30" t="str">
        <f t="shared" ref="FN118:FN120" si="1712">IF(CH118="","","|n"&amp;FN$2&amp;"+"&amp;CH118&amp;FN$1)</f>
        <v/>
      </c>
      <c r="FO118" s="30" t="str">
        <f t="shared" ref="FO118:FO120" si="1713">IF(CI118="","","|n"&amp;FO$2&amp;"+"&amp;CI118&amp;FO$1)</f>
        <v/>
      </c>
      <c r="FP118" s="30" t="str">
        <f t="shared" ref="FP118:FP120" si="1714">IF(CJ118="","","|n"&amp;FP$2&amp;"+"&amp;CJ118&amp;FP$1)</f>
        <v/>
      </c>
      <c r="FQ118" s="30" t="str">
        <f t="shared" ref="FQ118:FQ120" si="1715">IF(CK118="","","|n"&amp;FQ$2&amp;"+"&amp;CK118&amp;FQ$1)</f>
        <v/>
      </c>
      <c r="FR118" s="30" t="str">
        <f t="shared" ref="FR118:FR120" si="1716">IF(CL118="","","|n"&amp;FR$2&amp;"+"&amp;CL118&amp;FR$1)</f>
        <v/>
      </c>
      <c r="FS118" s="30" t="str">
        <f t="shared" ref="FS118:FS120" si="1717">IF(CM118="","","|n"&amp;FS$2&amp;"+"&amp;CM118&amp;FS$1)</f>
        <v/>
      </c>
    </row>
    <row r="119" spans="1:175" ht="16.5">
      <c r="A119" s="111"/>
      <c r="B119" s="111" t="s">
        <v>1006</v>
      </c>
      <c r="C119" s="29" t="s">
        <v>988</v>
      </c>
      <c r="T119" s="29" t="s">
        <v>1020</v>
      </c>
      <c r="U119" s="37" t="s">
        <v>822</v>
      </c>
      <c r="CN119" s="7" t="str">
        <f t="shared" si="1642"/>
        <v>InitUnitState('IN16',,,,,,,,,,)</v>
      </c>
      <c r="CO119" s="7" t="str">
        <f t="shared" si="1643"/>
        <v>InitUnitNormal('IN16',,,,,,,,,,)</v>
      </c>
      <c r="CP119" s="7" t="str">
        <f t="shared" si="1644"/>
        <v>InitUnitMagic('IN16',,,,,,,,,,)</v>
      </c>
      <c r="CQ119" s="7" t="str">
        <f t="shared" si="1645"/>
        <v>InitUnitAdd('IN16',,,,,,,,,,)</v>
      </c>
      <c r="CR119" s="7" t="str">
        <f t="shared" si="1565"/>
        <v>InitEquipData('IN16',,"",,,,,'','','','','','',"ReplaceableTextures\\CommandButtons\\BTNTome.blp")</v>
      </c>
      <c r="CU119" s="45" t="str">
        <f t="shared" si="1646"/>
        <v>|n</v>
      </c>
      <c r="CV119" s="29" t="str">
        <f t="shared" si="1647"/>
        <v>获得一个鸿蒙结晶</v>
      </c>
      <c r="CW119" s="24"/>
      <c r="CX119" s="24"/>
      <c r="CY119" s="24"/>
      <c r="CZ119" s="24"/>
      <c r="DA119" s="24"/>
      <c r="DB119" s="30" t="str">
        <f t="shared" si="1648"/>
        <v/>
      </c>
      <c r="DC119" s="30" t="str">
        <f t="shared" si="1649"/>
        <v/>
      </c>
      <c r="DD119" s="30" t="str">
        <f t="shared" si="1650"/>
        <v/>
      </c>
      <c r="DE119" s="30" t="str">
        <f t="shared" si="1651"/>
        <v/>
      </c>
      <c r="DF119" s="30" t="str">
        <f t="shared" si="1652"/>
        <v/>
      </c>
      <c r="DG119" s="30" t="str">
        <f t="shared" si="1653"/>
        <v/>
      </c>
      <c r="DH119" s="30" t="str">
        <f t="shared" si="1654"/>
        <v/>
      </c>
      <c r="DI119" s="30" t="str">
        <f t="shared" si="1655"/>
        <v/>
      </c>
      <c r="DJ119" s="30" t="str">
        <f t="shared" si="1656"/>
        <v/>
      </c>
      <c r="DK119" s="30" t="str">
        <f t="shared" si="1657"/>
        <v/>
      </c>
      <c r="DL119" s="30" t="str">
        <f t="shared" si="1658"/>
        <v/>
      </c>
      <c r="DM119" s="30" t="str">
        <f t="shared" si="1659"/>
        <v/>
      </c>
      <c r="DN119" s="30" t="str">
        <f t="shared" si="1660"/>
        <v/>
      </c>
      <c r="DO119" s="30" t="str">
        <f t="shared" si="1661"/>
        <v/>
      </c>
      <c r="DP119" s="30" t="str">
        <f t="shared" si="1662"/>
        <v/>
      </c>
      <c r="DQ119" s="30" t="str">
        <f t="shared" si="1663"/>
        <v/>
      </c>
      <c r="DR119" s="30" t="str">
        <f t="shared" si="1664"/>
        <v/>
      </c>
      <c r="DS119" s="30" t="str">
        <f t="shared" si="1665"/>
        <v/>
      </c>
      <c r="DT119" s="30" t="str">
        <f t="shared" si="1666"/>
        <v/>
      </c>
      <c r="DU119" s="30" t="str">
        <f t="shared" si="1667"/>
        <v/>
      </c>
      <c r="DV119" s="30" t="str">
        <f t="shared" si="1668"/>
        <v/>
      </c>
      <c r="DW119" s="30" t="str">
        <f t="shared" si="1669"/>
        <v/>
      </c>
      <c r="DX119" s="30" t="str">
        <f t="shared" si="1670"/>
        <v/>
      </c>
      <c r="DY119" s="30" t="str">
        <f t="shared" si="1671"/>
        <v/>
      </c>
      <c r="DZ119" s="30" t="str">
        <f t="shared" si="1672"/>
        <v/>
      </c>
      <c r="EA119" s="30" t="str">
        <f t="shared" si="1673"/>
        <v/>
      </c>
      <c r="EB119" s="30" t="str">
        <f t="shared" si="1674"/>
        <v/>
      </c>
      <c r="EC119" s="30" t="str">
        <f t="shared" si="1675"/>
        <v/>
      </c>
      <c r="ED119" s="30" t="str">
        <f t="shared" si="1676"/>
        <v/>
      </c>
      <c r="EE119" s="30" t="str">
        <f t="shared" si="1677"/>
        <v/>
      </c>
      <c r="EF119" s="30" t="str">
        <f t="shared" si="1678"/>
        <v/>
      </c>
      <c r="EG119" s="30" t="str">
        <f t="shared" si="1679"/>
        <v/>
      </c>
      <c r="EH119" s="30" t="str">
        <f t="shared" si="1680"/>
        <v/>
      </c>
      <c r="EI119" s="30" t="str">
        <f t="shared" si="1681"/>
        <v/>
      </c>
      <c r="EJ119" s="30" t="str">
        <f t="shared" si="1682"/>
        <v/>
      </c>
      <c r="EK119" s="30" t="str">
        <f t="shared" si="1683"/>
        <v/>
      </c>
      <c r="EL119" s="30" t="str">
        <f t="shared" si="1684"/>
        <v/>
      </c>
      <c r="EM119" s="30" t="str">
        <f t="shared" si="1685"/>
        <v/>
      </c>
      <c r="EN119" s="30" t="str">
        <f t="shared" si="1686"/>
        <v/>
      </c>
      <c r="EO119" s="30" t="str">
        <f t="shared" si="1687"/>
        <v/>
      </c>
      <c r="EP119" s="30" t="str">
        <f t="shared" si="1688"/>
        <v/>
      </c>
      <c r="EQ119" s="30" t="str">
        <f t="shared" si="1689"/>
        <v/>
      </c>
      <c r="ER119" s="30" t="str">
        <f t="shared" si="1690"/>
        <v/>
      </c>
      <c r="ES119" s="30" t="str">
        <f t="shared" si="1691"/>
        <v/>
      </c>
      <c r="ET119" s="30" t="str">
        <f t="shared" si="1692"/>
        <v/>
      </c>
      <c r="EU119" s="30" t="str">
        <f t="shared" si="1693"/>
        <v/>
      </c>
      <c r="EV119" s="30" t="str">
        <f t="shared" si="1694"/>
        <v/>
      </c>
      <c r="EW119" s="30" t="str">
        <f t="shared" si="1695"/>
        <v/>
      </c>
      <c r="EX119" s="30" t="str">
        <f t="shared" si="1696"/>
        <v/>
      </c>
      <c r="EY119" s="30" t="str">
        <f t="shared" si="1697"/>
        <v/>
      </c>
      <c r="EZ119" s="30" t="str">
        <f t="shared" si="1698"/>
        <v/>
      </c>
      <c r="FA119" s="30" t="str">
        <f t="shared" si="1699"/>
        <v/>
      </c>
      <c r="FB119" s="30" t="str">
        <f t="shared" si="1700"/>
        <v/>
      </c>
      <c r="FC119" s="30" t="str">
        <f t="shared" si="1701"/>
        <v/>
      </c>
      <c r="FD119" s="30" t="str">
        <f t="shared" si="1702"/>
        <v/>
      </c>
      <c r="FE119" s="30" t="str">
        <f t="shared" si="1703"/>
        <v/>
      </c>
      <c r="FF119" s="30" t="str">
        <f t="shared" si="1704"/>
        <v/>
      </c>
      <c r="FG119" s="30" t="str">
        <f t="shared" si="1705"/>
        <v/>
      </c>
      <c r="FH119" s="30" t="str">
        <f t="shared" si="1706"/>
        <v/>
      </c>
      <c r="FI119" s="30" t="str">
        <f t="shared" si="1707"/>
        <v/>
      </c>
      <c r="FJ119" s="30" t="str">
        <f t="shared" si="1708"/>
        <v/>
      </c>
      <c r="FK119" s="30" t="str">
        <f t="shared" si="1709"/>
        <v/>
      </c>
      <c r="FL119" s="30" t="str">
        <f t="shared" si="1710"/>
        <v/>
      </c>
      <c r="FM119" s="30" t="str">
        <f t="shared" si="1711"/>
        <v/>
      </c>
      <c r="FN119" s="30" t="str">
        <f t="shared" si="1712"/>
        <v/>
      </c>
      <c r="FO119" s="30" t="str">
        <f t="shared" si="1713"/>
        <v/>
      </c>
      <c r="FP119" s="30" t="str">
        <f t="shared" si="1714"/>
        <v/>
      </c>
      <c r="FQ119" s="30" t="str">
        <f t="shared" si="1715"/>
        <v/>
      </c>
      <c r="FR119" s="30" t="str">
        <f t="shared" si="1716"/>
        <v/>
      </c>
      <c r="FS119" s="30" t="str">
        <f t="shared" si="1717"/>
        <v/>
      </c>
    </row>
    <row r="120" spans="1:175" ht="16.5">
      <c r="A120" s="111"/>
      <c r="B120" s="111" t="s">
        <v>1007</v>
      </c>
      <c r="C120" s="29" t="s">
        <v>989</v>
      </c>
      <c r="T120" s="29" t="s">
        <v>1021</v>
      </c>
      <c r="U120" s="37" t="s">
        <v>822</v>
      </c>
      <c r="CN120" s="7" t="str">
        <f t="shared" si="1642"/>
        <v>InitUnitState('IN17',,,,,,,,,,)</v>
      </c>
      <c r="CO120" s="7" t="str">
        <f t="shared" si="1643"/>
        <v>InitUnitNormal('IN17',,,,,,,,,,)</v>
      </c>
      <c r="CP120" s="7" t="str">
        <f t="shared" si="1644"/>
        <v>InitUnitMagic('IN17',,,,,,,,,,)</v>
      </c>
      <c r="CQ120" s="7" t="str">
        <f t="shared" si="1645"/>
        <v>InitUnitAdd('IN17',,,,,,,,,,)</v>
      </c>
      <c r="CR120" s="7" t="str">
        <f t="shared" si="1565"/>
        <v>InitEquipData('IN17',,"",,,,,'','','','','','',"ReplaceableTextures\\CommandButtons\\BTNTome.blp")</v>
      </c>
      <c r="CU120" s="45" t="str">
        <f t="shared" si="1646"/>
        <v>|n</v>
      </c>
      <c r="CV120" s="29" t="str">
        <f t="shared" si="1647"/>
        <v>杀敌数+3000</v>
      </c>
      <c r="CW120" s="24"/>
      <c r="CX120" s="24"/>
      <c r="CY120" s="24"/>
      <c r="CZ120" s="24"/>
      <c r="DA120" s="24"/>
      <c r="DB120" s="30" t="str">
        <f t="shared" si="1648"/>
        <v/>
      </c>
      <c r="DC120" s="30" t="str">
        <f t="shared" si="1649"/>
        <v/>
      </c>
      <c r="DD120" s="30" t="str">
        <f t="shared" si="1650"/>
        <v/>
      </c>
      <c r="DE120" s="30" t="str">
        <f t="shared" si="1651"/>
        <v/>
      </c>
      <c r="DF120" s="30" t="str">
        <f t="shared" si="1652"/>
        <v/>
      </c>
      <c r="DG120" s="30" t="str">
        <f t="shared" si="1653"/>
        <v/>
      </c>
      <c r="DH120" s="30" t="str">
        <f t="shared" si="1654"/>
        <v/>
      </c>
      <c r="DI120" s="30" t="str">
        <f t="shared" si="1655"/>
        <v/>
      </c>
      <c r="DJ120" s="30" t="str">
        <f t="shared" si="1656"/>
        <v/>
      </c>
      <c r="DK120" s="30" t="str">
        <f t="shared" si="1657"/>
        <v/>
      </c>
      <c r="DL120" s="30" t="str">
        <f t="shared" si="1658"/>
        <v/>
      </c>
      <c r="DM120" s="30" t="str">
        <f t="shared" si="1659"/>
        <v/>
      </c>
      <c r="DN120" s="30" t="str">
        <f t="shared" si="1660"/>
        <v/>
      </c>
      <c r="DO120" s="30" t="str">
        <f t="shared" si="1661"/>
        <v/>
      </c>
      <c r="DP120" s="30" t="str">
        <f t="shared" si="1662"/>
        <v/>
      </c>
      <c r="DQ120" s="30" t="str">
        <f t="shared" si="1663"/>
        <v/>
      </c>
      <c r="DR120" s="30" t="str">
        <f t="shared" si="1664"/>
        <v/>
      </c>
      <c r="DS120" s="30" t="str">
        <f t="shared" si="1665"/>
        <v/>
      </c>
      <c r="DT120" s="30" t="str">
        <f t="shared" si="1666"/>
        <v/>
      </c>
      <c r="DU120" s="30" t="str">
        <f t="shared" si="1667"/>
        <v/>
      </c>
      <c r="DV120" s="30" t="str">
        <f t="shared" si="1668"/>
        <v/>
      </c>
      <c r="DW120" s="30" t="str">
        <f t="shared" si="1669"/>
        <v/>
      </c>
      <c r="DX120" s="30" t="str">
        <f t="shared" si="1670"/>
        <v/>
      </c>
      <c r="DY120" s="30" t="str">
        <f t="shared" si="1671"/>
        <v/>
      </c>
      <c r="DZ120" s="30" t="str">
        <f t="shared" si="1672"/>
        <v/>
      </c>
      <c r="EA120" s="30" t="str">
        <f t="shared" si="1673"/>
        <v/>
      </c>
      <c r="EB120" s="30" t="str">
        <f t="shared" si="1674"/>
        <v/>
      </c>
      <c r="EC120" s="30" t="str">
        <f t="shared" si="1675"/>
        <v/>
      </c>
      <c r="ED120" s="30" t="str">
        <f t="shared" si="1676"/>
        <v/>
      </c>
      <c r="EE120" s="30" t="str">
        <f t="shared" si="1677"/>
        <v/>
      </c>
      <c r="EF120" s="30" t="str">
        <f t="shared" si="1678"/>
        <v/>
      </c>
      <c r="EG120" s="30" t="str">
        <f t="shared" si="1679"/>
        <v/>
      </c>
      <c r="EH120" s="30" t="str">
        <f t="shared" si="1680"/>
        <v/>
      </c>
      <c r="EI120" s="30" t="str">
        <f t="shared" si="1681"/>
        <v/>
      </c>
      <c r="EJ120" s="30" t="str">
        <f t="shared" si="1682"/>
        <v/>
      </c>
      <c r="EK120" s="30" t="str">
        <f t="shared" si="1683"/>
        <v/>
      </c>
      <c r="EL120" s="30" t="str">
        <f t="shared" si="1684"/>
        <v/>
      </c>
      <c r="EM120" s="30" t="str">
        <f t="shared" si="1685"/>
        <v/>
      </c>
      <c r="EN120" s="30" t="str">
        <f t="shared" si="1686"/>
        <v/>
      </c>
      <c r="EO120" s="30" t="str">
        <f t="shared" si="1687"/>
        <v/>
      </c>
      <c r="EP120" s="30" t="str">
        <f t="shared" si="1688"/>
        <v/>
      </c>
      <c r="EQ120" s="30" t="str">
        <f t="shared" si="1689"/>
        <v/>
      </c>
      <c r="ER120" s="30" t="str">
        <f t="shared" si="1690"/>
        <v/>
      </c>
      <c r="ES120" s="30" t="str">
        <f t="shared" si="1691"/>
        <v/>
      </c>
      <c r="ET120" s="30" t="str">
        <f t="shared" si="1692"/>
        <v/>
      </c>
      <c r="EU120" s="30" t="str">
        <f t="shared" si="1693"/>
        <v/>
      </c>
      <c r="EV120" s="30" t="str">
        <f t="shared" si="1694"/>
        <v/>
      </c>
      <c r="EW120" s="30" t="str">
        <f t="shared" si="1695"/>
        <v/>
      </c>
      <c r="EX120" s="30" t="str">
        <f t="shared" si="1696"/>
        <v/>
      </c>
      <c r="EY120" s="30" t="str">
        <f t="shared" si="1697"/>
        <v/>
      </c>
      <c r="EZ120" s="30" t="str">
        <f t="shared" si="1698"/>
        <v/>
      </c>
      <c r="FA120" s="30" t="str">
        <f t="shared" si="1699"/>
        <v/>
      </c>
      <c r="FB120" s="30" t="str">
        <f t="shared" si="1700"/>
        <v/>
      </c>
      <c r="FC120" s="30" t="str">
        <f t="shared" si="1701"/>
        <v/>
      </c>
      <c r="FD120" s="30" t="str">
        <f t="shared" si="1702"/>
        <v/>
      </c>
      <c r="FE120" s="30" t="str">
        <f t="shared" si="1703"/>
        <v/>
      </c>
      <c r="FF120" s="30" t="str">
        <f t="shared" si="1704"/>
        <v/>
      </c>
      <c r="FG120" s="30" t="str">
        <f t="shared" si="1705"/>
        <v/>
      </c>
      <c r="FH120" s="30" t="str">
        <f t="shared" si="1706"/>
        <v/>
      </c>
      <c r="FI120" s="30" t="str">
        <f t="shared" si="1707"/>
        <v/>
      </c>
      <c r="FJ120" s="30" t="str">
        <f t="shared" si="1708"/>
        <v/>
      </c>
      <c r="FK120" s="30" t="str">
        <f t="shared" si="1709"/>
        <v/>
      </c>
      <c r="FL120" s="30" t="str">
        <f t="shared" si="1710"/>
        <v/>
      </c>
      <c r="FM120" s="30" t="str">
        <f t="shared" si="1711"/>
        <v/>
      </c>
      <c r="FN120" s="30" t="str">
        <f t="shared" si="1712"/>
        <v/>
      </c>
      <c r="FO120" s="30" t="str">
        <f t="shared" si="1713"/>
        <v/>
      </c>
      <c r="FP120" s="30" t="str">
        <f t="shared" si="1714"/>
        <v/>
      </c>
      <c r="FQ120" s="30" t="str">
        <f t="shared" si="1715"/>
        <v/>
      </c>
      <c r="FR120" s="30" t="str">
        <f t="shared" si="1716"/>
        <v/>
      </c>
      <c r="FS120" s="30" t="str">
        <f t="shared" si="1717"/>
        <v/>
      </c>
    </row>
    <row r="121" spans="1:175" ht="16.5">
      <c r="A121" s="111"/>
      <c r="B121" s="111" t="s">
        <v>1008</v>
      </c>
      <c r="C121" s="29" t="s">
        <v>990</v>
      </c>
      <c r="T121" s="29" t="s">
        <v>1022</v>
      </c>
      <c r="U121" s="37" t="s">
        <v>822</v>
      </c>
      <c r="CN121" s="7" t="str">
        <f t="shared" ref="CN121" si="1718">"InitUnitState('"&amp;B121&amp;"',"&amp;V121&amp;","&amp;W121&amp;","&amp;X121&amp;","&amp;Y121&amp;","&amp;Z121&amp;","&amp;AA121&amp;","&amp;AB121&amp;","&amp;AC121&amp;","&amp;AD121&amp;","&amp;AE121&amp;")"</f>
        <v>InitUnitState('IN18',,,,,,,,,,)</v>
      </c>
      <c r="CO121" s="7" t="str">
        <f t="shared" ref="CO121" si="1719">"InitUnitNormal('"&amp;B121&amp;"',"&amp;AF121&amp;","&amp;AG121&amp;","&amp;AH121&amp;","&amp;AI121&amp;","&amp;AJ121&amp;","&amp;AK121&amp;","&amp;AL121&amp;","&amp;AM121&amp;","&amp;AN121&amp;","&amp;AO121&amp;")"</f>
        <v>InitUnitNormal('IN18',,,,,,,,,,)</v>
      </c>
      <c r="CP121" s="7" t="str">
        <f t="shared" ref="CP121" si="1720">"InitUnitMagic('"&amp;B121&amp;"',"&amp;AP121&amp;","&amp;AQ121&amp;","&amp;AR121&amp;","&amp;AS121&amp;","&amp;AT121&amp;","&amp;AU121&amp;","&amp;AV121&amp;","&amp;AW121&amp;","&amp;BI121&amp;","&amp;BJ121&amp;")"</f>
        <v>InitUnitMagic('IN18',,,,,,,,,,)</v>
      </c>
      <c r="CQ121" s="7" t="str">
        <f t="shared" ref="CQ121" si="1721">"InitUnitAdd('"&amp;B121&amp;"',"&amp;BK121&amp;","&amp;BL121&amp;","&amp;BM121&amp;","&amp;BN121&amp;","&amp;BO121&amp;","&amp;BP121&amp;","&amp;BQ121&amp;","&amp;BR121&amp;","&amp;BS121&amp;","&amp;BT121&amp;")"</f>
        <v>InitUnitAdd('IN18',,,,,,,,,,)</v>
      </c>
      <c r="CR121" s="7" t="str">
        <f t="shared" si="1565"/>
        <v>InitEquipData('IN18',,"",,,,,'','','','','','',"ReplaceableTextures\\CommandButtons\\BTNTome.blp")</v>
      </c>
      <c r="CU121" s="45" t="str">
        <f t="shared" ref="CU121" si="1722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29" t="str">
        <f t="shared" ref="CV121" si="1723">T121</f>
        <v>杀敌数+300</v>
      </c>
      <c r="CW121" s="24"/>
      <c r="CX121" s="24"/>
      <c r="CY121" s="24"/>
      <c r="CZ121" s="24"/>
      <c r="DA121" s="24"/>
      <c r="DB121" s="30" t="str">
        <f t="shared" ref="DB121" si="1724">IF(V121="","","|n"&amp;DB$2&amp;"+"&amp;V121&amp;DB$1)</f>
        <v/>
      </c>
      <c r="DC121" s="30" t="str">
        <f t="shared" ref="DC121" si="1725">IF(W121="","","|n"&amp;DC$2&amp;"+"&amp;W121&amp;DC$1)</f>
        <v/>
      </c>
      <c r="DD121" s="30" t="str">
        <f t="shared" ref="DD121" si="1726">IF(X121="","","|n"&amp;DD$2&amp;"+"&amp;X121&amp;DD$1)</f>
        <v/>
      </c>
      <c r="DE121" s="30" t="str">
        <f t="shared" ref="DE121" si="1727">IF(Y121="","","|n"&amp;DE$2&amp;"+"&amp;Y121&amp;DE$1)</f>
        <v/>
      </c>
      <c r="DF121" s="30" t="str">
        <f t="shared" ref="DF121" si="1728">IF(Z121="","","|n"&amp;DF$2&amp;"+"&amp;Z121&amp;DF$1)</f>
        <v/>
      </c>
      <c r="DG121" s="30" t="str">
        <f t="shared" ref="DG121" si="1729">IF(AA121="","","|n"&amp;DG$2&amp;"+"&amp;AA121&amp;DG$1)</f>
        <v/>
      </c>
      <c r="DH121" s="30" t="str">
        <f t="shared" ref="DH121" si="1730">IF(AB121="","","|n"&amp;DH$2&amp;"+"&amp;AB121&amp;DH$1)</f>
        <v/>
      </c>
      <c r="DI121" s="30" t="str">
        <f t="shared" ref="DI121" si="1731">IF(AC121="","","|n"&amp;DI$2&amp;"+"&amp;AC121&amp;DI$1)</f>
        <v/>
      </c>
      <c r="DJ121" s="30" t="str">
        <f t="shared" ref="DJ121" si="1732">IF(AD121="","","|n"&amp;DJ$2&amp;"+"&amp;AD121&amp;DJ$1)</f>
        <v/>
      </c>
      <c r="DK121" s="30" t="str">
        <f t="shared" ref="DK121" si="1733">IF(AE121="","","|n"&amp;DK$2&amp;"+"&amp;AE121&amp;DK$1)</f>
        <v/>
      </c>
      <c r="DL121" s="30" t="str">
        <f t="shared" ref="DL121" si="1734">IF(AF121="","","|n"&amp;DL$2&amp;"+"&amp;AF121&amp;DL$1)</f>
        <v/>
      </c>
      <c r="DM121" s="30" t="str">
        <f t="shared" ref="DM121" si="1735">IF(AG121="","","|n"&amp;DM$2&amp;"+"&amp;AG121&amp;DM$1)</f>
        <v/>
      </c>
      <c r="DN121" s="30" t="str">
        <f t="shared" ref="DN121" si="1736">IF(AH121="","","|n"&amp;DN$2&amp;"+"&amp;AH121&amp;DN$1)</f>
        <v/>
      </c>
      <c r="DO121" s="30" t="str">
        <f t="shared" ref="DO121" si="1737">IF(AI121="","","|n"&amp;DO$2&amp;"+"&amp;AI121&amp;DO$1)</f>
        <v/>
      </c>
      <c r="DP121" s="30" t="str">
        <f t="shared" ref="DP121" si="1738">IF(AJ121="","","|n"&amp;DP$2&amp;"+"&amp;AJ121&amp;DP$1)</f>
        <v/>
      </c>
      <c r="DQ121" s="30" t="str">
        <f t="shared" ref="DQ121" si="1739">IF(AK121="","","|n"&amp;DQ$2&amp;"+"&amp;AK121&amp;DQ$1)</f>
        <v/>
      </c>
      <c r="DR121" s="30" t="str">
        <f t="shared" ref="DR121" si="1740">IF(AL121="","","|n"&amp;DR$2&amp;"+"&amp;AL121&amp;DR$1)</f>
        <v/>
      </c>
      <c r="DS121" s="30" t="str">
        <f t="shared" ref="DS121" si="1741">IF(AM121="","","|n"&amp;DS$2&amp;"+"&amp;AM121&amp;DS$1)</f>
        <v/>
      </c>
      <c r="DT121" s="30" t="str">
        <f t="shared" ref="DT121" si="1742">IF(AN121="","","|n"&amp;DT$2&amp;"+"&amp;AN121&amp;DT$1)</f>
        <v/>
      </c>
      <c r="DU121" s="30" t="str">
        <f t="shared" ref="DU121" si="1743">IF(AO121="","","|n"&amp;DU$2&amp;"+"&amp;AO121&amp;DU$1)</f>
        <v/>
      </c>
      <c r="DV121" s="30" t="str">
        <f t="shared" ref="DV121" si="1744">IF(AP121="","","|n"&amp;DV$2&amp;"+"&amp;AP121&amp;DV$1)</f>
        <v/>
      </c>
      <c r="DW121" s="30" t="str">
        <f t="shared" ref="DW121" si="1745">IF(AQ121="","","|n"&amp;DW$2&amp;"+"&amp;AQ121&amp;DW$1)</f>
        <v/>
      </c>
      <c r="DX121" s="30" t="str">
        <f t="shared" ref="DX121" si="1746">IF(AR121="","","|n"&amp;DX$2&amp;"+"&amp;AR121&amp;DX$1)</f>
        <v/>
      </c>
      <c r="DY121" s="30" t="str">
        <f t="shared" ref="DY121" si="1747">IF(AS121="","","|n"&amp;DY$2&amp;"+"&amp;AS121&amp;DY$1)</f>
        <v/>
      </c>
      <c r="DZ121" s="30" t="str">
        <f t="shared" ref="DZ121" si="1748">IF(AT121="","","|n"&amp;DZ$2&amp;"+"&amp;AT121&amp;DZ$1)</f>
        <v/>
      </c>
      <c r="EA121" s="30" t="str">
        <f t="shared" ref="EA121" si="1749">IF(AU121="","","|n"&amp;EA$2&amp;"+"&amp;AU121&amp;EA$1)</f>
        <v/>
      </c>
      <c r="EB121" s="30" t="str">
        <f t="shared" ref="EB121" si="1750">IF(AV121="","","|n"&amp;EB$2&amp;"+"&amp;AV121&amp;EB$1)</f>
        <v/>
      </c>
      <c r="EC121" s="30" t="str">
        <f t="shared" ref="EC121" si="1751">IF(AW121="","","|n"&amp;EC$2&amp;"+"&amp;AW121&amp;EC$1)</f>
        <v/>
      </c>
      <c r="ED121" s="30" t="str">
        <f t="shared" ref="ED121" si="1752">IF(AX121="","","|n"&amp;ED$2&amp;"+"&amp;AX121&amp;ED$1)</f>
        <v/>
      </c>
      <c r="EE121" s="30" t="str">
        <f t="shared" ref="EE121" si="1753">IF(AY121="","","|n"&amp;EE$2&amp;"+"&amp;AY121&amp;EE$1)</f>
        <v/>
      </c>
      <c r="EF121" s="30" t="str">
        <f t="shared" ref="EF121" si="1754">IF(AZ121="","","|n"&amp;EF$2&amp;"+"&amp;AZ121&amp;EF$1)</f>
        <v/>
      </c>
      <c r="EG121" s="30" t="str">
        <f t="shared" ref="EG121" si="1755">IF(BA121="","","|n"&amp;EG$2&amp;"+"&amp;BA121&amp;EG$1)</f>
        <v/>
      </c>
      <c r="EH121" s="30" t="str">
        <f t="shared" ref="EH121" si="1756">IF(BB121="","","|n"&amp;EH$2&amp;"+"&amp;BB121&amp;EH$1)</f>
        <v/>
      </c>
      <c r="EI121" s="30" t="str">
        <f t="shared" ref="EI121" si="1757">IF(BC121="","","|n"&amp;EI$2&amp;"+"&amp;BC121&amp;EI$1)</f>
        <v/>
      </c>
      <c r="EJ121" s="30" t="str">
        <f t="shared" ref="EJ121" si="1758">IF(BD121="","","|n"&amp;EJ$2&amp;"+"&amp;BD121&amp;EJ$1)</f>
        <v/>
      </c>
      <c r="EK121" s="30" t="str">
        <f t="shared" ref="EK121" si="1759">IF(BE121="","","|n"&amp;EK$2&amp;"+"&amp;BE121&amp;EK$1)</f>
        <v/>
      </c>
      <c r="EL121" s="30" t="str">
        <f t="shared" ref="EL121" si="1760">IF(BF121="","","|n"&amp;EL$2&amp;"+"&amp;BF121&amp;EL$1)</f>
        <v/>
      </c>
      <c r="EM121" s="30" t="str">
        <f t="shared" ref="EM121" si="1761">IF(BG121="","","|n"&amp;EM$2&amp;"+"&amp;BG121&amp;EM$1)</f>
        <v/>
      </c>
      <c r="EN121" s="30" t="str">
        <f t="shared" ref="EN121" si="1762">IF(BH121="","","|n"&amp;EN$2&amp;"+"&amp;BH121&amp;EN$1)</f>
        <v/>
      </c>
      <c r="EO121" s="30" t="str">
        <f t="shared" ref="EO121" si="1763">IF(BI121="","","|n"&amp;EO$2&amp;"+"&amp;BI121&amp;EO$1)</f>
        <v/>
      </c>
      <c r="EP121" s="30" t="str">
        <f t="shared" ref="EP121" si="1764">IF(BJ121="","","|n"&amp;EP$2&amp;"+"&amp;BJ121&amp;EP$1)</f>
        <v/>
      </c>
      <c r="EQ121" s="30" t="str">
        <f t="shared" ref="EQ121" si="1765">IF(BK121="","","|n"&amp;EQ$2&amp;"+"&amp;BK121&amp;EQ$1)</f>
        <v/>
      </c>
      <c r="ER121" s="30" t="str">
        <f t="shared" ref="ER121" si="1766">IF(BL121="","","|n"&amp;ER$2&amp;"+"&amp;BL121&amp;ER$1)</f>
        <v/>
      </c>
      <c r="ES121" s="30" t="str">
        <f t="shared" ref="ES121" si="1767">IF(BM121="","","|n"&amp;ES$2&amp;"+"&amp;BM121&amp;ES$1)</f>
        <v/>
      </c>
      <c r="ET121" s="30" t="str">
        <f t="shared" ref="ET121" si="1768">IF(BN121="","","|n"&amp;ET$2&amp;"+"&amp;BN121&amp;ET$1)</f>
        <v/>
      </c>
      <c r="EU121" s="30" t="str">
        <f t="shared" ref="EU121" si="1769">IF(BO121="","","|n"&amp;EU$2&amp;"+"&amp;BO121&amp;EU$1)</f>
        <v/>
      </c>
      <c r="EV121" s="30" t="str">
        <f t="shared" ref="EV121" si="1770">IF(BP121="","","|n"&amp;EV$2&amp;"+"&amp;BP121&amp;EV$1)</f>
        <v/>
      </c>
      <c r="EW121" s="30" t="str">
        <f t="shared" ref="EW121" si="1771">IF(BQ121="","","|n"&amp;EW$2&amp;"+"&amp;BQ121&amp;EW$1)</f>
        <v/>
      </c>
      <c r="EX121" s="30" t="str">
        <f t="shared" ref="EX121" si="1772">IF(BR121="","","|n"&amp;EX$2&amp;"+"&amp;BR121&amp;EX$1)</f>
        <v/>
      </c>
      <c r="EY121" s="30" t="str">
        <f t="shared" ref="EY121" si="1773">IF(BS121="","","|n"&amp;EY$2&amp;"+"&amp;BS121&amp;EY$1)</f>
        <v/>
      </c>
      <c r="EZ121" s="30" t="str">
        <f t="shared" ref="EZ121" si="1774">IF(BT121="","","|n"&amp;EZ$2&amp;"+"&amp;BT121&amp;EZ$1)</f>
        <v/>
      </c>
      <c r="FA121" s="30" t="str">
        <f t="shared" ref="FA121" si="1775">IF(BU121="","","|n"&amp;FA$2&amp;"+"&amp;BU121&amp;FA$1)</f>
        <v/>
      </c>
      <c r="FB121" s="30" t="str">
        <f t="shared" ref="FB121" si="1776">IF(BV121="","","|n"&amp;FB$2&amp;"+"&amp;BV121&amp;FB$1)</f>
        <v/>
      </c>
      <c r="FC121" s="30" t="str">
        <f t="shared" ref="FC121" si="1777">IF(BW121="","","|n"&amp;FC$2&amp;"+"&amp;BW121&amp;FC$1)</f>
        <v/>
      </c>
      <c r="FD121" s="30" t="str">
        <f t="shared" ref="FD121" si="1778">IF(BX121="","","|n"&amp;FD$2&amp;"+"&amp;BX121&amp;FD$1)</f>
        <v/>
      </c>
      <c r="FE121" s="30" t="str">
        <f t="shared" ref="FE121" si="1779">IF(BY121="","","|n"&amp;FE$2&amp;"+"&amp;BY121&amp;FE$1)</f>
        <v/>
      </c>
      <c r="FF121" s="30" t="str">
        <f t="shared" ref="FF121" si="1780">IF(BZ121="","","|n"&amp;FF$2&amp;"+"&amp;BZ121&amp;FF$1)</f>
        <v/>
      </c>
      <c r="FG121" s="30" t="str">
        <f t="shared" ref="FG121" si="1781">IF(CA121="","","|n"&amp;FG$2&amp;"+"&amp;CA121&amp;FG$1)</f>
        <v/>
      </c>
      <c r="FH121" s="30" t="str">
        <f t="shared" ref="FH121" si="1782">IF(CB121="","","|n"&amp;FH$2&amp;"+"&amp;CB121&amp;FH$1)</f>
        <v/>
      </c>
      <c r="FI121" s="30" t="str">
        <f t="shared" ref="FI121" si="1783">IF(CC121="","","|n"&amp;FI$2&amp;"+"&amp;CC121&amp;FI$1)</f>
        <v/>
      </c>
      <c r="FJ121" s="30" t="str">
        <f t="shared" ref="FJ121" si="1784">IF(CD121="","","|n"&amp;FJ$2&amp;"+"&amp;CD121&amp;FJ$1)</f>
        <v/>
      </c>
      <c r="FK121" s="30" t="str">
        <f t="shared" ref="FK121" si="1785">IF(CE121="","","|n"&amp;FK$2&amp;"+"&amp;CE121&amp;FK$1)</f>
        <v/>
      </c>
      <c r="FL121" s="30" t="str">
        <f t="shared" ref="FL121" si="1786">IF(CF121="","","|n"&amp;FL$2&amp;"+"&amp;CF121&amp;FL$1)</f>
        <v/>
      </c>
      <c r="FM121" s="30" t="str">
        <f t="shared" ref="FM121" si="1787">IF(CG121="","","|n"&amp;FM$2&amp;"+"&amp;CG121&amp;FM$1)</f>
        <v/>
      </c>
      <c r="FN121" s="30" t="str">
        <f t="shared" ref="FN121" si="1788">IF(CH121="","","|n"&amp;FN$2&amp;"+"&amp;CH121&amp;FN$1)</f>
        <v/>
      </c>
      <c r="FO121" s="30" t="str">
        <f t="shared" ref="FO121" si="1789">IF(CI121="","","|n"&amp;FO$2&amp;"+"&amp;CI121&amp;FO$1)</f>
        <v/>
      </c>
      <c r="FP121" s="30" t="str">
        <f t="shared" ref="FP121" si="1790">IF(CJ121="","","|n"&amp;FP$2&amp;"+"&amp;CJ121&amp;FP$1)</f>
        <v/>
      </c>
      <c r="FQ121" s="30" t="str">
        <f t="shared" ref="FQ121" si="1791">IF(CK121="","","|n"&amp;FQ$2&amp;"+"&amp;CK121&amp;FQ$1)</f>
        <v/>
      </c>
      <c r="FR121" s="30" t="str">
        <f t="shared" ref="FR121" si="1792">IF(CL121="","","|n"&amp;FR$2&amp;"+"&amp;CL121&amp;FR$1)</f>
        <v/>
      </c>
      <c r="FS121" s="30" t="str">
        <f t="shared" ref="FS121" si="1793">IF(CM121="","","|n"&amp;FS$2&amp;"+"&amp;CM121&amp;FS$1)</f>
        <v/>
      </c>
    </row>
    <row r="122" spans="1:175" ht="16.5">
      <c r="A122" s="111"/>
      <c r="B122" s="111" t="s">
        <v>828</v>
      </c>
      <c r="C122" s="111" t="s">
        <v>829</v>
      </c>
      <c r="T122" s="116" t="s">
        <v>830</v>
      </c>
      <c r="U122" s="37" t="s">
        <v>822</v>
      </c>
      <c r="CN122" s="7" t="str">
        <f t="shared" si="961"/>
        <v>InitUnitState('IP01',,,,,,,,,,)</v>
      </c>
      <c r="CO122" s="7" t="str">
        <f t="shared" si="962"/>
        <v>InitUnitNormal('IP01',,,,,,,,,,)</v>
      </c>
      <c r="CP122" s="7" t="str">
        <f t="shared" si="963"/>
        <v>InitUnitMagic('IP01',,,,,,,,,,)</v>
      </c>
      <c r="CQ122" s="7" t="str">
        <f t="shared" si="964"/>
        <v>InitUnitAdd('IP01',,,,,,,,,,)</v>
      </c>
      <c r="CR122" s="7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InitEquipData('IP01',,"",,,,,'','','','','','',"ReplaceableTextures\\CommandButtons\\BTNTome.blp")</v>
      </c>
      <c r="CU122" s="45" t="str">
        <f t="shared" ref="CU122" si="179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29" t="str">
        <f t="shared" ref="CV122" si="1795">T122</f>
        <v>进入时渊副本消耗时渊碎片</v>
      </c>
      <c r="CW122" s="24"/>
      <c r="CX122" s="24"/>
      <c r="CY122" s="24"/>
      <c r="CZ122" s="24"/>
      <c r="DA122" s="24"/>
      <c r="DB122" s="30" t="str">
        <f t="shared" ref="DB122" si="1796">IF(V122="","","|n"&amp;DB$2&amp;"+"&amp;V122&amp;DB$1)</f>
        <v/>
      </c>
      <c r="DC122" s="30" t="str">
        <f t="shared" ref="DC122" si="1797">IF(W122="","","|n"&amp;DC$2&amp;"+"&amp;W122&amp;DC$1)</f>
        <v/>
      </c>
      <c r="DD122" s="30" t="str">
        <f t="shared" ref="DD122" si="1798">IF(X122="","","|n"&amp;DD$2&amp;"+"&amp;X122&amp;DD$1)</f>
        <v/>
      </c>
      <c r="DE122" s="30" t="str">
        <f t="shared" ref="DE122" si="1799">IF(Y122="","","|n"&amp;DE$2&amp;"+"&amp;Y122&amp;DE$1)</f>
        <v/>
      </c>
      <c r="DF122" s="30" t="str">
        <f t="shared" ref="DF122" si="1800">IF(Z122="","","|n"&amp;DF$2&amp;"+"&amp;Z122&amp;DF$1)</f>
        <v/>
      </c>
      <c r="DG122" s="30" t="str">
        <f t="shared" ref="DG122" si="1801">IF(AA122="","","|n"&amp;DG$2&amp;"+"&amp;AA122&amp;DG$1)</f>
        <v/>
      </c>
      <c r="DH122" s="30" t="str">
        <f t="shared" ref="DH122" si="1802">IF(AB122="","","|n"&amp;DH$2&amp;"+"&amp;AB122&amp;DH$1)</f>
        <v/>
      </c>
      <c r="DI122" s="30" t="str">
        <f t="shared" ref="DI122" si="1803">IF(AC122="","","|n"&amp;DI$2&amp;"+"&amp;AC122&amp;DI$1)</f>
        <v/>
      </c>
      <c r="DJ122" s="30" t="str">
        <f t="shared" ref="DJ122" si="1804">IF(AD122="","","|n"&amp;DJ$2&amp;"+"&amp;AD122&amp;DJ$1)</f>
        <v/>
      </c>
      <c r="DK122" s="30" t="str">
        <f t="shared" ref="DK122" si="1805">IF(AE122="","","|n"&amp;DK$2&amp;"+"&amp;AE122&amp;DK$1)</f>
        <v/>
      </c>
      <c r="DL122" s="30" t="str">
        <f t="shared" ref="DL122" si="1806">IF(AF122="","","|n"&amp;DL$2&amp;"+"&amp;AF122&amp;DL$1)</f>
        <v/>
      </c>
      <c r="DM122" s="30" t="str">
        <f t="shared" ref="DM122" si="1807">IF(AG122="","","|n"&amp;DM$2&amp;"+"&amp;AG122&amp;DM$1)</f>
        <v/>
      </c>
      <c r="DN122" s="30" t="str">
        <f t="shared" ref="DN122" si="1808">IF(AH122="","","|n"&amp;DN$2&amp;"+"&amp;AH122&amp;DN$1)</f>
        <v/>
      </c>
      <c r="DO122" s="30" t="str">
        <f t="shared" ref="DO122" si="1809">IF(AI122="","","|n"&amp;DO$2&amp;"+"&amp;AI122&amp;DO$1)</f>
        <v/>
      </c>
      <c r="DP122" s="30" t="str">
        <f t="shared" ref="DP122" si="1810">IF(AJ122="","","|n"&amp;DP$2&amp;"+"&amp;AJ122&amp;DP$1)</f>
        <v/>
      </c>
      <c r="DQ122" s="30" t="str">
        <f t="shared" ref="DQ122" si="1811">IF(AK122="","","|n"&amp;DQ$2&amp;"+"&amp;AK122&amp;DQ$1)</f>
        <v/>
      </c>
      <c r="DR122" s="30" t="str">
        <f t="shared" ref="DR122" si="1812">IF(AL122="","","|n"&amp;DR$2&amp;"+"&amp;AL122&amp;DR$1)</f>
        <v/>
      </c>
      <c r="DS122" s="30" t="str">
        <f t="shared" ref="DS122" si="1813">IF(AM122="","","|n"&amp;DS$2&amp;"+"&amp;AM122&amp;DS$1)</f>
        <v/>
      </c>
      <c r="DT122" s="30" t="str">
        <f t="shared" ref="DT122" si="1814">IF(AN122="","","|n"&amp;DT$2&amp;"+"&amp;AN122&amp;DT$1)</f>
        <v/>
      </c>
      <c r="DU122" s="30" t="str">
        <f t="shared" ref="DU122" si="1815">IF(AO122="","","|n"&amp;DU$2&amp;"+"&amp;AO122&amp;DU$1)</f>
        <v/>
      </c>
      <c r="DV122" s="30" t="str">
        <f t="shared" ref="DV122" si="1816">IF(AP122="","","|n"&amp;DV$2&amp;"+"&amp;AP122&amp;DV$1)</f>
        <v/>
      </c>
      <c r="DW122" s="30" t="str">
        <f t="shared" ref="DW122" si="1817">IF(AQ122="","","|n"&amp;DW$2&amp;"+"&amp;AQ122&amp;DW$1)</f>
        <v/>
      </c>
      <c r="DX122" s="30" t="str">
        <f t="shared" ref="DX122" si="1818">IF(AR122="","","|n"&amp;DX$2&amp;"+"&amp;AR122&amp;DX$1)</f>
        <v/>
      </c>
      <c r="DY122" s="30" t="str">
        <f t="shared" ref="DY122" si="1819">IF(AS122="","","|n"&amp;DY$2&amp;"+"&amp;AS122&amp;DY$1)</f>
        <v/>
      </c>
      <c r="DZ122" s="30" t="str">
        <f t="shared" ref="DZ122" si="1820">IF(AT122="","","|n"&amp;DZ$2&amp;"+"&amp;AT122&amp;DZ$1)</f>
        <v/>
      </c>
      <c r="EA122" s="30" t="str">
        <f t="shared" ref="EA122" si="1821">IF(AU122="","","|n"&amp;EA$2&amp;"+"&amp;AU122&amp;EA$1)</f>
        <v/>
      </c>
      <c r="EB122" s="30" t="str">
        <f t="shared" ref="EB122" si="1822">IF(AV122="","","|n"&amp;EB$2&amp;"+"&amp;AV122&amp;EB$1)</f>
        <v/>
      </c>
      <c r="EC122" s="30" t="str">
        <f t="shared" ref="EC122" si="1823">IF(AW122="","","|n"&amp;EC$2&amp;"+"&amp;AW122&amp;EC$1)</f>
        <v/>
      </c>
      <c r="ED122" s="30" t="str">
        <f t="shared" ref="ED122" si="1824">IF(AX122="","","|n"&amp;ED$2&amp;"+"&amp;AX122&amp;ED$1)</f>
        <v/>
      </c>
      <c r="EE122" s="30" t="str">
        <f t="shared" ref="EE122" si="1825">IF(AY122="","","|n"&amp;EE$2&amp;"+"&amp;AY122&amp;EE$1)</f>
        <v/>
      </c>
      <c r="EF122" s="30" t="str">
        <f t="shared" ref="EF122" si="1826">IF(AZ122="","","|n"&amp;EF$2&amp;"+"&amp;AZ122&amp;EF$1)</f>
        <v/>
      </c>
      <c r="EG122" s="30" t="str">
        <f t="shared" ref="EG122" si="1827">IF(BA122="","","|n"&amp;EG$2&amp;"+"&amp;BA122&amp;EG$1)</f>
        <v/>
      </c>
      <c r="EH122" s="30" t="str">
        <f t="shared" ref="EH122" si="1828">IF(BB122="","","|n"&amp;EH$2&amp;"+"&amp;BB122&amp;EH$1)</f>
        <v/>
      </c>
      <c r="EI122" s="30" t="str">
        <f t="shared" ref="EI122" si="1829">IF(BC122="","","|n"&amp;EI$2&amp;"+"&amp;BC122&amp;EI$1)</f>
        <v/>
      </c>
      <c r="EJ122" s="30" t="str">
        <f t="shared" ref="EJ122" si="1830">IF(BD122="","","|n"&amp;EJ$2&amp;"+"&amp;BD122&amp;EJ$1)</f>
        <v/>
      </c>
      <c r="EK122" s="30" t="str">
        <f t="shared" ref="EK122" si="1831">IF(BE122="","","|n"&amp;EK$2&amp;"+"&amp;BE122&amp;EK$1)</f>
        <v/>
      </c>
      <c r="EL122" s="30" t="str">
        <f t="shared" ref="EL122" si="1832">IF(BF122="","","|n"&amp;EL$2&amp;"+"&amp;BF122&amp;EL$1)</f>
        <v/>
      </c>
      <c r="EM122" s="30" t="str">
        <f t="shared" ref="EM122" si="1833">IF(BG122="","","|n"&amp;EM$2&amp;"+"&amp;BG122&amp;EM$1)</f>
        <v/>
      </c>
      <c r="EN122" s="30" t="str">
        <f t="shared" ref="EN122" si="1834">IF(BH122="","","|n"&amp;EN$2&amp;"+"&amp;BH122&amp;EN$1)</f>
        <v/>
      </c>
      <c r="EO122" s="30" t="str">
        <f t="shared" ref="EO122" si="1835">IF(BI122="","","|n"&amp;EO$2&amp;"+"&amp;BI122&amp;EO$1)</f>
        <v/>
      </c>
      <c r="EP122" s="30" t="str">
        <f t="shared" ref="EP122" si="1836">IF(BJ122="","","|n"&amp;EP$2&amp;"+"&amp;BJ122&amp;EP$1)</f>
        <v/>
      </c>
      <c r="EQ122" s="30" t="str">
        <f t="shared" ref="EQ122" si="1837">IF(BK122="","","|n"&amp;EQ$2&amp;"+"&amp;BK122&amp;EQ$1)</f>
        <v/>
      </c>
      <c r="ER122" s="30" t="str">
        <f t="shared" ref="ER122" si="1838">IF(BL122="","","|n"&amp;ER$2&amp;"+"&amp;BL122&amp;ER$1)</f>
        <v/>
      </c>
      <c r="ES122" s="30" t="str">
        <f t="shared" ref="ES122" si="1839">IF(BM122="","","|n"&amp;ES$2&amp;"+"&amp;BM122&amp;ES$1)</f>
        <v/>
      </c>
      <c r="ET122" s="30" t="str">
        <f t="shared" ref="ET122" si="1840">IF(BN122="","","|n"&amp;ET$2&amp;"+"&amp;BN122&amp;ET$1)</f>
        <v/>
      </c>
      <c r="EU122" s="30" t="str">
        <f t="shared" ref="EU122" si="1841">IF(BO122="","","|n"&amp;EU$2&amp;"+"&amp;BO122&amp;EU$1)</f>
        <v/>
      </c>
      <c r="EV122" s="30" t="str">
        <f t="shared" ref="EV122" si="1842">IF(BP122="","","|n"&amp;EV$2&amp;"+"&amp;BP122&amp;EV$1)</f>
        <v/>
      </c>
      <c r="EW122" s="30" t="str">
        <f t="shared" ref="EW122" si="1843">IF(BQ122="","","|n"&amp;EW$2&amp;"+"&amp;BQ122&amp;EW$1)</f>
        <v/>
      </c>
      <c r="EX122" s="30" t="str">
        <f t="shared" ref="EX122" si="1844">IF(BR122="","","|n"&amp;EX$2&amp;"+"&amp;BR122&amp;EX$1)</f>
        <v/>
      </c>
      <c r="EY122" s="30" t="str">
        <f t="shared" ref="EY122" si="1845">IF(BS122="","","|n"&amp;EY$2&amp;"+"&amp;BS122&amp;EY$1)</f>
        <v/>
      </c>
      <c r="EZ122" s="30" t="str">
        <f t="shared" ref="EZ122" si="1846">IF(BT122="","","|n"&amp;EZ$2&amp;"+"&amp;BT122&amp;EZ$1)</f>
        <v/>
      </c>
      <c r="FA122" s="30" t="str">
        <f t="shared" ref="FA122" si="1847">IF(BU122="","","|n"&amp;FA$2&amp;"+"&amp;BU122&amp;FA$1)</f>
        <v/>
      </c>
      <c r="FB122" s="30" t="str">
        <f t="shared" ref="FB122" si="1848">IF(BV122="","","|n"&amp;FB$2&amp;"+"&amp;BV122&amp;FB$1)</f>
        <v/>
      </c>
      <c r="FC122" s="30" t="str">
        <f t="shared" ref="FC122" si="1849">IF(BW122="","","|n"&amp;FC$2&amp;"+"&amp;BW122&amp;FC$1)</f>
        <v/>
      </c>
      <c r="FD122" s="30" t="str">
        <f t="shared" ref="FD122" si="1850">IF(BX122="","","|n"&amp;FD$2&amp;"+"&amp;BX122&amp;FD$1)</f>
        <v/>
      </c>
      <c r="FE122" s="30" t="str">
        <f t="shared" ref="FE122" si="1851">IF(BY122="","","|n"&amp;FE$2&amp;"+"&amp;BY122&amp;FE$1)</f>
        <v/>
      </c>
      <c r="FF122" s="30" t="str">
        <f t="shared" ref="FF122" si="1852">IF(BZ122="","","|n"&amp;FF$2&amp;"+"&amp;BZ122&amp;FF$1)</f>
        <v/>
      </c>
      <c r="FG122" s="30" t="str">
        <f t="shared" ref="FG122" si="1853">IF(CA122="","","|n"&amp;FG$2&amp;"+"&amp;CA122&amp;FG$1)</f>
        <v/>
      </c>
      <c r="FH122" s="30" t="str">
        <f t="shared" ref="FH122" si="1854">IF(CB122="","","|n"&amp;FH$2&amp;"+"&amp;CB122&amp;FH$1)</f>
        <v/>
      </c>
      <c r="FI122" s="30" t="str">
        <f t="shared" ref="FI122" si="1855">IF(CC122="","","|n"&amp;FI$2&amp;"+"&amp;CC122&amp;FI$1)</f>
        <v/>
      </c>
      <c r="FJ122" s="30" t="str">
        <f t="shared" ref="FJ122" si="1856">IF(CD122="","","|n"&amp;FJ$2&amp;"+"&amp;CD122&amp;FJ$1)</f>
        <v/>
      </c>
      <c r="FK122" s="30" t="str">
        <f t="shared" ref="FK122" si="1857">IF(CE122="","","|n"&amp;FK$2&amp;"+"&amp;CE122&amp;FK$1)</f>
        <v/>
      </c>
      <c r="FL122" s="30" t="str">
        <f t="shared" ref="FL122" si="1858">IF(CF122="","","|n"&amp;FL$2&amp;"+"&amp;CF122&amp;FL$1)</f>
        <v/>
      </c>
      <c r="FM122" s="30" t="str">
        <f t="shared" ref="FM122" si="1859">IF(CG122="","","|n"&amp;FM$2&amp;"+"&amp;CG122&amp;FM$1)</f>
        <v/>
      </c>
      <c r="FN122" s="30" t="str">
        <f t="shared" ref="FN122" si="1860">IF(CH122="","","|n"&amp;FN$2&amp;"+"&amp;CH122&amp;FN$1)</f>
        <v/>
      </c>
      <c r="FO122" s="30" t="str">
        <f t="shared" ref="FO122" si="1861">IF(CI122="","","|n"&amp;FO$2&amp;"+"&amp;CI122&amp;FO$1)</f>
        <v/>
      </c>
      <c r="FP122" s="30" t="str">
        <f t="shared" ref="FP122" si="1862">IF(CJ122="","","|n"&amp;FP$2&amp;"+"&amp;CJ122&amp;FP$1)</f>
        <v/>
      </c>
      <c r="FQ122" s="30" t="str">
        <f t="shared" ref="FQ122" si="1863">IF(CK122="","","|n"&amp;FQ$2&amp;"+"&amp;CK122&amp;FQ$1)</f>
        <v/>
      </c>
      <c r="FR122" s="30" t="str">
        <f t="shared" ref="FR122" si="1864">IF(CL122="","","|n"&amp;FR$2&amp;"+"&amp;CL122&amp;FR$1)</f>
        <v/>
      </c>
      <c r="FS122" s="30" t="str">
        <f t="shared" ref="FS122" si="1865">IF(CM122="","","|n"&amp;FS$2&amp;"+"&amp;CM122&amp;FS$1)</f>
        <v/>
      </c>
    </row>
    <row r="123" spans="1:175" ht="16.5">
      <c r="A123" s="117"/>
      <c r="B123" s="111" t="s">
        <v>833</v>
      </c>
      <c r="C123" s="117" t="s">
        <v>835</v>
      </c>
      <c r="T123" s="118" t="s">
        <v>837</v>
      </c>
      <c r="U123" s="37" t="s">
        <v>822</v>
      </c>
      <c r="CN123" s="7" t="str">
        <f t="shared" si="961"/>
        <v>InitUnitState('IP02',,,,,,,,,,)</v>
      </c>
      <c r="CO123" s="7" t="str">
        <f t="shared" si="962"/>
        <v>InitUnitNormal('IP02',,,,,,,,,,)</v>
      </c>
      <c r="CP123" s="7" t="str">
        <f t="shared" si="963"/>
        <v>InitUnitMagic('IP02',,,,,,,,,,)</v>
      </c>
      <c r="CQ123" s="7" t="str">
        <f t="shared" si="964"/>
        <v>InitUnitAdd('IP02',,,,,,,,,,)</v>
      </c>
      <c r="CR123" s="7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InitEquipData('IP02',,"",,,,,'','','','','','',"ReplaceableTextures\\CommandButtons\\BTNTome.blp")</v>
      </c>
      <c r="CU123" s="45" t="str">
        <f t="shared" ref="CU123:CU124" si="1866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:CV124" si="1867">T123</f>
        <v>消耗补天石，可重铸指定法宝</v>
      </c>
      <c r="CW123" s="24"/>
      <c r="CX123" s="24"/>
      <c r="CY123" s="24"/>
      <c r="CZ123" s="24"/>
      <c r="DA123" s="24"/>
      <c r="DB123" s="30" t="str">
        <f t="shared" ref="DB123:DB124" si="1868">IF(V123="","","|n"&amp;DB$2&amp;"+"&amp;V123&amp;DB$1)</f>
        <v/>
      </c>
      <c r="DC123" s="30" t="str">
        <f t="shared" ref="DC123:DC124" si="1869">IF(W123="","","|n"&amp;DC$2&amp;"+"&amp;W123&amp;DC$1)</f>
        <v/>
      </c>
      <c r="DD123" s="30" t="str">
        <f t="shared" ref="DD123:DD124" si="1870">IF(X123="","","|n"&amp;DD$2&amp;"+"&amp;X123&amp;DD$1)</f>
        <v/>
      </c>
      <c r="DE123" s="30" t="str">
        <f t="shared" ref="DE123:DE124" si="1871">IF(Y123="","","|n"&amp;DE$2&amp;"+"&amp;Y123&amp;DE$1)</f>
        <v/>
      </c>
      <c r="DF123" s="30" t="str">
        <f t="shared" ref="DF123:DF124" si="1872">IF(Z123="","","|n"&amp;DF$2&amp;"+"&amp;Z123&amp;DF$1)</f>
        <v/>
      </c>
      <c r="DG123" s="30" t="str">
        <f t="shared" ref="DG123:DG124" si="1873">IF(AA123="","","|n"&amp;DG$2&amp;"+"&amp;AA123&amp;DG$1)</f>
        <v/>
      </c>
      <c r="DH123" s="30" t="str">
        <f t="shared" ref="DH123:DH124" si="1874">IF(AB123="","","|n"&amp;DH$2&amp;"+"&amp;AB123&amp;DH$1)</f>
        <v/>
      </c>
      <c r="DI123" s="30" t="str">
        <f t="shared" ref="DI123:DI124" si="1875">IF(AC123="","","|n"&amp;DI$2&amp;"+"&amp;AC123&amp;DI$1)</f>
        <v/>
      </c>
      <c r="DJ123" s="30" t="str">
        <f t="shared" ref="DJ123:DJ124" si="1876">IF(AD123="","","|n"&amp;DJ$2&amp;"+"&amp;AD123&amp;DJ$1)</f>
        <v/>
      </c>
      <c r="DK123" s="30" t="str">
        <f t="shared" ref="DK123:DK124" si="1877">IF(AE123="","","|n"&amp;DK$2&amp;"+"&amp;AE123&amp;DK$1)</f>
        <v/>
      </c>
      <c r="DL123" s="30" t="str">
        <f t="shared" ref="DL123:DL124" si="1878">IF(AF123="","","|n"&amp;DL$2&amp;"+"&amp;AF123&amp;DL$1)</f>
        <v/>
      </c>
      <c r="DM123" s="30" t="str">
        <f t="shared" ref="DM123:DM124" si="1879">IF(AG123="","","|n"&amp;DM$2&amp;"+"&amp;AG123&amp;DM$1)</f>
        <v/>
      </c>
      <c r="DN123" s="30" t="str">
        <f t="shared" ref="DN123:DN124" si="1880">IF(AH123="","","|n"&amp;DN$2&amp;"+"&amp;AH123&amp;DN$1)</f>
        <v/>
      </c>
      <c r="DO123" s="30" t="str">
        <f t="shared" ref="DO123:DO124" si="1881">IF(AI123="","","|n"&amp;DO$2&amp;"+"&amp;AI123&amp;DO$1)</f>
        <v/>
      </c>
      <c r="DP123" s="30" t="str">
        <f t="shared" ref="DP123:DP124" si="1882">IF(AJ123="","","|n"&amp;DP$2&amp;"+"&amp;AJ123&amp;DP$1)</f>
        <v/>
      </c>
      <c r="DQ123" s="30" t="str">
        <f t="shared" ref="DQ123:DQ124" si="1883">IF(AK123="","","|n"&amp;DQ$2&amp;"+"&amp;AK123&amp;DQ$1)</f>
        <v/>
      </c>
      <c r="DR123" s="30" t="str">
        <f t="shared" ref="DR123:DR124" si="1884">IF(AL123="","","|n"&amp;DR$2&amp;"+"&amp;AL123&amp;DR$1)</f>
        <v/>
      </c>
      <c r="DS123" s="30" t="str">
        <f t="shared" ref="DS123:DS124" si="1885">IF(AM123="","","|n"&amp;DS$2&amp;"+"&amp;AM123&amp;DS$1)</f>
        <v/>
      </c>
      <c r="DT123" s="30" t="str">
        <f t="shared" ref="DT123:DT124" si="1886">IF(AN123="","","|n"&amp;DT$2&amp;"+"&amp;AN123&amp;DT$1)</f>
        <v/>
      </c>
      <c r="DU123" s="30" t="str">
        <f t="shared" ref="DU123:DU124" si="1887">IF(AO123="","","|n"&amp;DU$2&amp;"+"&amp;AO123&amp;DU$1)</f>
        <v/>
      </c>
      <c r="DV123" s="30" t="str">
        <f t="shared" ref="DV123:DV124" si="1888">IF(AP123="","","|n"&amp;DV$2&amp;"+"&amp;AP123&amp;DV$1)</f>
        <v/>
      </c>
      <c r="DW123" s="30" t="str">
        <f t="shared" ref="DW123:DW124" si="1889">IF(AQ123="","","|n"&amp;DW$2&amp;"+"&amp;AQ123&amp;DW$1)</f>
        <v/>
      </c>
      <c r="DX123" s="30" t="str">
        <f t="shared" ref="DX123:DX124" si="1890">IF(AR123="","","|n"&amp;DX$2&amp;"+"&amp;AR123&amp;DX$1)</f>
        <v/>
      </c>
      <c r="DY123" s="30" t="str">
        <f t="shared" ref="DY123:DY124" si="1891">IF(AS123="","","|n"&amp;DY$2&amp;"+"&amp;AS123&amp;DY$1)</f>
        <v/>
      </c>
      <c r="DZ123" s="30" t="str">
        <f t="shared" ref="DZ123:DZ124" si="1892">IF(AT123="","","|n"&amp;DZ$2&amp;"+"&amp;AT123&amp;DZ$1)</f>
        <v/>
      </c>
      <c r="EA123" s="30" t="str">
        <f t="shared" ref="EA123:EA124" si="1893">IF(AU123="","","|n"&amp;EA$2&amp;"+"&amp;AU123&amp;EA$1)</f>
        <v/>
      </c>
      <c r="EB123" s="30" t="str">
        <f t="shared" ref="EB123:EB124" si="1894">IF(AV123="","","|n"&amp;EB$2&amp;"+"&amp;AV123&amp;EB$1)</f>
        <v/>
      </c>
      <c r="EC123" s="30" t="str">
        <f t="shared" ref="EC123:EC124" si="1895">IF(AW123="","","|n"&amp;EC$2&amp;"+"&amp;AW123&amp;EC$1)</f>
        <v/>
      </c>
      <c r="ED123" s="30" t="str">
        <f t="shared" ref="ED123:ED124" si="1896">IF(AX123="","","|n"&amp;ED$2&amp;"+"&amp;AX123&amp;ED$1)</f>
        <v/>
      </c>
      <c r="EE123" s="30" t="str">
        <f t="shared" ref="EE123:EE124" si="1897">IF(AY123="","","|n"&amp;EE$2&amp;"+"&amp;AY123&amp;EE$1)</f>
        <v/>
      </c>
      <c r="EF123" s="30" t="str">
        <f t="shared" ref="EF123:EF124" si="1898">IF(AZ123="","","|n"&amp;EF$2&amp;"+"&amp;AZ123&amp;EF$1)</f>
        <v/>
      </c>
      <c r="EG123" s="30" t="str">
        <f t="shared" ref="EG123:EG124" si="1899">IF(BA123="","","|n"&amp;EG$2&amp;"+"&amp;BA123&amp;EG$1)</f>
        <v/>
      </c>
      <c r="EH123" s="30" t="str">
        <f t="shared" ref="EH123:EH124" si="1900">IF(BB123="","","|n"&amp;EH$2&amp;"+"&amp;BB123&amp;EH$1)</f>
        <v/>
      </c>
      <c r="EI123" s="30" t="str">
        <f t="shared" ref="EI123:EI124" si="1901">IF(BC123="","","|n"&amp;EI$2&amp;"+"&amp;BC123&amp;EI$1)</f>
        <v/>
      </c>
      <c r="EJ123" s="30" t="str">
        <f t="shared" ref="EJ123:EJ124" si="1902">IF(BD123="","","|n"&amp;EJ$2&amp;"+"&amp;BD123&amp;EJ$1)</f>
        <v/>
      </c>
      <c r="EK123" s="30" t="str">
        <f t="shared" ref="EK123:EK124" si="1903">IF(BE123="","","|n"&amp;EK$2&amp;"+"&amp;BE123&amp;EK$1)</f>
        <v/>
      </c>
      <c r="EL123" s="30" t="str">
        <f t="shared" ref="EL123:EL124" si="1904">IF(BF123="","","|n"&amp;EL$2&amp;"+"&amp;BF123&amp;EL$1)</f>
        <v/>
      </c>
      <c r="EM123" s="30" t="str">
        <f t="shared" ref="EM123:EM124" si="1905">IF(BG123="","","|n"&amp;EM$2&amp;"+"&amp;BG123&amp;EM$1)</f>
        <v/>
      </c>
      <c r="EN123" s="30" t="str">
        <f t="shared" ref="EN123:EN124" si="1906">IF(BH123="","","|n"&amp;EN$2&amp;"+"&amp;BH123&amp;EN$1)</f>
        <v/>
      </c>
      <c r="EO123" s="30" t="str">
        <f t="shared" ref="EO123:EO124" si="1907">IF(BI123="","","|n"&amp;EO$2&amp;"+"&amp;BI123&amp;EO$1)</f>
        <v/>
      </c>
      <c r="EP123" s="30" t="str">
        <f t="shared" ref="EP123:EP124" si="1908">IF(BJ123="","","|n"&amp;EP$2&amp;"+"&amp;BJ123&amp;EP$1)</f>
        <v/>
      </c>
      <c r="EQ123" s="30" t="str">
        <f t="shared" ref="EQ123:EQ124" si="1909">IF(BK123="","","|n"&amp;EQ$2&amp;"+"&amp;BK123&amp;EQ$1)</f>
        <v/>
      </c>
      <c r="ER123" s="30" t="str">
        <f t="shared" ref="ER123:ER124" si="1910">IF(BL123="","","|n"&amp;ER$2&amp;"+"&amp;BL123&amp;ER$1)</f>
        <v/>
      </c>
      <c r="ES123" s="30" t="str">
        <f t="shared" ref="ES123:ES124" si="1911">IF(BM123="","","|n"&amp;ES$2&amp;"+"&amp;BM123&amp;ES$1)</f>
        <v/>
      </c>
      <c r="ET123" s="30" t="str">
        <f t="shared" ref="ET123:ET124" si="1912">IF(BN123="","","|n"&amp;ET$2&amp;"+"&amp;BN123&amp;ET$1)</f>
        <v/>
      </c>
      <c r="EU123" s="30" t="str">
        <f t="shared" ref="EU123:EU124" si="1913">IF(BO123="","","|n"&amp;EU$2&amp;"+"&amp;BO123&amp;EU$1)</f>
        <v/>
      </c>
      <c r="EV123" s="30" t="str">
        <f t="shared" ref="EV123:EV124" si="1914">IF(BP123="","","|n"&amp;EV$2&amp;"+"&amp;BP123&amp;EV$1)</f>
        <v/>
      </c>
      <c r="EW123" s="30" t="str">
        <f t="shared" ref="EW123:EW124" si="1915">IF(BQ123="","","|n"&amp;EW$2&amp;"+"&amp;BQ123&amp;EW$1)</f>
        <v/>
      </c>
      <c r="EX123" s="30" t="str">
        <f t="shared" ref="EX123:EX124" si="1916">IF(BR123="","","|n"&amp;EX$2&amp;"+"&amp;BR123&amp;EX$1)</f>
        <v/>
      </c>
      <c r="EY123" s="30" t="str">
        <f t="shared" ref="EY123:EY124" si="1917">IF(BS123="","","|n"&amp;EY$2&amp;"+"&amp;BS123&amp;EY$1)</f>
        <v/>
      </c>
      <c r="EZ123" s="30" t="str">
        <f t="shared" ref="EZ123:EZ124" si="1918">IF(BT123="","","|n"&amp;EZ$2&amp;"+"&amp;BT123&amp;EZ$1)</f>
        <v/>
      </c>
      <c r="FA123" s="30" t="str">
        <f t="shared" ref="FA123:FA124" si="1919">IF(BU123="","","|n"&amp;FA$2&amp;"+"&amp;BU123&amp;FA$1)</f>
        <v/>
      </c>
      <c r="FB123" s="30" t="str">
        <f t="shared" ref="FB123:FB124" si="1920">IF(BV123="","","|n"&amp;FB$2&amp;"+"&amp;BV123&amp;FB$1)</f>
        <v/>
      </c>
      <c r="FC123" s="30" t="str">
        <f t="shared" ref="FC123:FC124" si="1921">IF(BW123="","","|n"&amp;FC$2&amp;"+"&amp;BW123&amp;FC$1)</f>
        <v/>
      </c>
      <c r="FD123" s="30" t="str">
        <f t="shared" ref="FD123:FD124" si="1922">IF(BX123="","","|n"&amp;FD$2&amp;"+"&amp;BX123&amp;FD$1)</f>
        <v/>
      </c>
      <c r="FE123" s="30" t="str">
        <f t="shared" ref="FE123:FE124" si="1923">IF(BY123="","","|n"&amp;FE$2&amp;"+"&amp;BY123&amp;FE$1)</f>
        <v/>
      </c>
      <c r="FF123" s="30" t="str">
        <f t="shared" ref="FF123:FF124" si="1924">IF(BZ123="","","|n"&amp;FF$2&amp;"+"&amp;BZ123&amp;FF$1)</f>
        <v/>
      </c>
      <c r="FG123" s="30" t="str">
        <f t="shared" ref="FG123:FG124" si="1925">IF(CA123="","","|n"&amp;FG$2&amp;"+"&amp;CA123&amp;FG$1)</f>
        <v/>
      </c>
      <c r="FH123" s="30" t="str">
        <f t="shared" ref="FH123:FH124" si="1926">IF(CB123="","","|n"&amp;FH$2&amp;"+"&amp;CB123&amp;FH$1)</f>
        <v/>
      </c>
      <c r="FI123" s="30" t="str">
        <f t="shared" ref="FI123:FI124" si="1927">IF(CC123="","","|n"&amp;FI$2&amp;"+"&amp;CC123&amp;FI$1)</f>
        <v/>
      </c>
      <c r="FJ123" s="30" t="str">
        <f t="shared" ref="FJ123:FJ124" si="1928">IF(CD123="","","|n"&amp;FJ$2&amp;"+"&amp;CD123&amp;FJ$1)</f>
        <v/>
      </c>
      <c r="FK123" s="30" t="str">
        <f t="shared" ref="FK123:FK124" si="1929">IF(CE123="","","|n"&amp;FK$2&amp;"+"&amp;CE123&amp;FK$1)</f>
        <v/>
      </c>
      <c r="FL123" s="30" t="str">
        <f t="shared" ref="FL123:FL124" si="1930">IF(CF123="","","|n"&amp;FL$2&amp;"+"&amp;CF123&amp;FL$1)</f>
        <v/>
      </c>
      <c r="FM123" s="30" t="str">
        <f t="shared" ref="FM123:FM124" si="1931">IF(CG123="","","|n"&amp;FM$2&amp;"+"&amp;CG123&amp;FM$1)</f>
        <v/>
      </c>
      <c r="FN123" s="30" t="str">
        <f t="shared" ref="FN123:FN124" si="1932">IF(CH123="","","|n"&amp;FN$2&amp;"+"&amp;CH123&amp;FN$1)</f>
        <v/>
      </c>
      <c r="FO123" s="30" t="str">
        <f t="shared" ref="FO123:FO124" si="1933">IF(CI123="","","|n"&amp;FO$2&amp;"+"&amp;CI123&amp;FO$1)</f>
        <v/>
      </c>
      <c r="FP123" s="30" t="str">
        <f t="shared" ref="FP123:FP124" si="1934">IF(CJ123="","","|n"&amp;FP$2&amp;"+"&amp;CJ123&amp;FP$1)</f>
        <v/>
      </c>
      <c r="FQ123" s="30" t="str">
        <f t="shared" ref="FQ123:FQ124" si="1935">IF(CK123="","","|n"&amp;FQ$2&amp;"+"&amp;CK123&amp;FQ$1)</f>
        <v/>
      </c>
      <c r="FR123" s="30" t="str">
        <f t="shared" ref="FR123:FR124" si="1936">IF(CL123="","","|n"&amp;FR$2&amp;"+"&amp;CL123&amp;FR$1)</f>
        <v/>
      </c>
      <c r="FS123" s="30" t="str">
        <f t="shared" ref="FS123:FS124" si="1937">IF(CM123="","","|n"&amp;FS$2&amp;"+"&amp;CM123&amp;FS$1)</f>
        <v/>
      </c>
    </row>
    <row r="124" spans="1:175" ht="16.5">
      <c r="A124" s="117"/>
      <c r="B124" s="111" t="s">
        <v>834</v>
      </c>
      <c r="C124" s="117" t="s">
        <v>836</v>
      </c>
      <c r="T124" s="117" t="s">
        <v>838</v>
      </c>
      <c r="U124" s="37" t="s">
        <v>822</v>
      </c>
      <c r="CN124" s="7" t="str">
        <f t="shared" si="961"/>
        <v>InitUnitState('IP03',,,,,,,,,,)</v>
      </c>
      <c r="CO124" s="7" t="str">
        <f t="shared" si="962"/>
        <v>InitUnitNormal('IP03',,,,,,,,,,)</v>
      </c>
      <c r="CP124" s="7" t="str">
        <f t="shared" si="963"/>
        <v>InitUnitMagic('IP03',,,,,,,,,,)</v>
      </c>
      <c r="CQ124" s="7" t="str">
        <f t="shared" si="964"/>
        <v>InitUnitAdd('IP03',,,,,,,,,,)</v>
      </c>
      <c r="CR124" s="7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InitEquipData('IP03',,"",,,,,'','','','','','',"ReplaceableTextures\\CommandButtons\\BTNTome.blp")</v>
      </c>
      <c r="CU124" s="45" t="str">
        <f t="shared" si="1866"/>
        <v>|n</v>
      </c>
      <c r="CV124" s="29" t="str">
        <f t="shared" si="1867"/>
        <v>消耗鸿蒙结晶，可将指定法宝锻造为高一品阶的随机法宝。</v>
      </c>
      <c r="CW124" s="24"/>
      <c r="CX124" s="24"/>
      <c r="CY124" s="24"/>
      <c r="CZ124" s="24"/>
      <c r="DA124" s="24"/>
      <c r="DB124" s="30" t="str">
        <f t="shared" si="1868"/>
        <v/>
      </c>
      <c r="DC124" s="30" t="str">
        <f t="shared" si="1869"/>
        <v/>
      </c>
      <c r="DD124" s="30" t="str">
        <f t="shared" si="1870"/>
        <v/>
      </c>
      <c r="DE124" s="30" t="str">
        <f t="shared" si="1871"/>
        <v/>
      </c>
      <c r="DF124" s="30" t="str">
        <f t="shared" si="1872"/>
        <v/>
      </c>
      <c r="DG124" s="30" t="str">
        <f t="shared" si="1873"/>
        <v/>
      </c>
      <c r="DH124" s="30" t="str">
        <f t="shared" si="1874"/>
        <v/>
      </c>
      <c r="DI124" s="30" t="str">
        <f t="shared" si="1875"/>
        <v/>
      </c>
      <c r="DJ124" s="30" t="str">
        <f t="shared" si="1876"/>
        <v/>
      </c>
      <c r="DK124" s="30" t="str">
        <f t="shared" si="1877"/>
        <v/>
      </c>
      <c r="DL124" s="30" t="str">
        <f t="shared" si="1878"/>
        <v/>
      </c>
      <c r="DM124" s="30" t="str">
        <f t="shared" si="1879"/>
        <v/>
      </c>
      <c r="DN124" s="30" t="str">
        <f t="shared" si="1880"/>
        <v/>
      </c>
      <c r="DO124" s="30" t="str">
        <f t="shared" si="1881"/>
        <v/>
      </c>
      <c r="DP124" s="30" t="str">
        <f t="shared" si="1882"/>
        <v/>
      </c>
      <c r="DQ124" s="30" t="str">
        <f t="shared" si="1883"/>
        <v/>
      </c>
      <c r="DR124" s="30" t="str">
        <f t="shared" si="1884"/>
        <v/>
      </c>
      <c r="DS124" s="30" t="str">
        <f t="shared" si="1885"/>
        <v/>
      </c>
      <c r="DT124" s="30" t="str">
        <f t="shared" si="1886"/>
        <v/>
      </c>
      <c r="DU124" s="30" t="str">
        <f t="shared" si="1887"/>
        <v/>
      </c>
      <c r="DV124" s="30" t="str">
        <f t="shared" si="1888"/>
        <v/>
      </c>
      <c r="DW124" s="30" t="str">
        <f t="shared" si="1889"/>
        <v/>
      </c>
      <c r="DX124" s="30" t="str">
        <f t="shared" si="1890"/>
        <v/>
      </c>
      <c r="DY124" s="30" t="str">
        <f t="shared" si="1891"/>
        <v/>
      </c>
      <c r="DZ124" s="30" t="str">
        <f t="shared" si="1892"/>
        <v/>
      </c>
      <c r="EA124" s="30" t="str">
        <f t="shared" si="1893"/>
        <v/>
      </c>
      <c r="EB124" s="30" t="str">
        <f t="shared" si="1894"/>
        <v/>
      </c>
      <c r="EC124" s="30" t="str">
        <f t="shared" si="1895"/>
        <v/>
      </c>
      <c r="ED124" s="30" t="str">
        <f t="shared" si="1896"/>
        <v/>
      </c>
      <c r="EE124" s="30" t="str">
        <f t="shared" si="1897"/>
        <v/>
      </c>
      <c r="EF124" s="30" t="str">
        <f t="shared" si="1898"/>
        <v/>
      </c>
      <c r="EG124" s="30" t="str">
        <f t="shared" si="1899"/>
        <v/>
      </c>
      <c r="EH124" s="30" t="str">
        <f t="shared" si="1900"/>
        <v/>
      </c>
      <c r="EI124" s="30" t="str">
        <f t="shared" si="1901"/>
        <v/>
      </c>
      <c r="EJ124" s="30" t="str">
        <f t="shared" si="1902"/>
        <v/>
      </c>
      <c r="EK124" s="30" t="str">
        <f t="shared" si="1903"/>
        <v/>
      </c>
      <c r="EL124" s="30" t="str">
        <f t="shared" si="1904"/>
        <v/>
      </c>
      <c r="EM124" s="30" t="str">
        <f t="shared" si="1905"/>
        <v/>
      </c>
      <c r="EN124" s="30" t="str">
        <f t="shared" si="1906"/>
        <v/>
      </c>
      <c r="EO124" s="30" t="str">
        <f t="shared" si="1907"/>
        <v/>
      </c>
      <c r="EP124" s="30" t="str">
        <f t="shared" si="1908"/>
        <v/>
      </c>
      <c r="EQ124" s="30" t="str">
        <f t="shared" si="1909"/>
        <v/>
      </c>
      <c r="ER124" s="30" t="str">
        <f t="shared" si="1910"/>
        <v/>
      </c>
      <c r="ES124" s="30" t="str">
        <f t="shared" si="1911"/>
        <v/>
      </c>
      <c r="ET124" s="30" t="str">
        <f t="shared" si="1912"/>
        <v/>
      </c>
      <c r="EU124" s="30" t="str">
        <f t="shared" si="1913"/>
        <v/>
      </c>
      <c r="EV124" s="30" t="str">
        <f t="shared" si="1914"/>
        <v/>
      </c>
      <c r="EW124" s="30" t="str">
        <f t="shared" si="1915"/>
        <v/>
      </c>
      <c r="EX124" s="30" t="str">
        <f t="shared" si="1916"/>
        <v/>
      </c>
      <c r="EY124" s="30" t="str">
        <f t="shared" si="1917"/>
        <v/>
      </c>
      <c r="EZ124" s="30" t="str">
        <f t="shared" si="1918"/>
        <v/>
      </c>
      <c r="FA124" s="30" t="str">
        <f t="shared" si="1919"/>
        <v/>
      </c>
      <c r="FB124" s="30" t="str">
        <f t="shared" si="1920"/>
        <v/>
      </c>
      <c r="FC124" s="30" t="str">
        <f t="shared" si="1921"/>
        <v/>
      </c>
      <c r="FD124" s="30" t="str">
        <f t="shared" si="1922"/>
        <v/>
      </c>
      <c r="FE124" s="30" t="str">
        <f t="shared" si="1923"/>
        <v/>
      </c>
      <c r="FF124" s="30" t="str">
        <f t="shared" si="1924"/>
        <v/>
      </c>
      <c r="FG124" s="30" t="str">
        <f t="shared" si="1925"/>
        <v/>
      </c>
      <c r="FH124" s="30" t="str">
        <f t="shared" si="1926"/>
        <v/>
      </c>
      <c r="FI124" s="30" t="str">
        <f t="shared" si="1927"/>
        <v/>
      </c>
      <c r="FJ124" s="30" t="str">
        <f t="shared" si="1928"/>
        <v/>
      </c>
      <c r="FK124" s="30" t="str">
        <f t="shared" si="1929"/>
        <v/>
      </c>
      <c r="FL124" s="30" t="str">
        <f t="shared" si="1930"/>
        <v/>
      </c>
      <c r="FM124" s="30" t="str">
        <f t="shared" si="1931"/>
        <v/>
      </c>
      <c r="FN124" s="30" t="str">
        <f t="shared" si="1932"/>
        <v/>
      </c>
      <c r="FO124" s="30" t="str">
        <f t="shared" si="1933"/>
        <v/>
      </c>
      <c r="FP124" s="30" t="str">
        <f t="shared" si="1934"/>
        <v/>
      </c>
      <c r="FQ124" s="30" t="str">
        <f t="shared" si="1935"/>
        <v/>
      </c>
      <c r="FR124" s="30" t="str">
        <f t="shared" si="1936"/>
        <v/>
      </c>
      <c r="FS124" s="30" t="str">
        <f t="shared" si="1937"/>
        <v/>
      </c>
    </row>
    <row r="125" spans="1:175" ht="16.5">
      <c r="A125" s="117"/>
      <c r="B125" s="111" t="s">
        <v>858</v>
      </c>
      <c r="C125" s="117" t="s">
        <v>859</v>
      </c>
      <c r="R125" s="25">
        <v>-7657</v>
      </c>
      <c r="S125" s="25">
        <v>-4635</v>
      </c>
      <c r="T125" s="117" t="s">
        <v>859</v>
      </c>
      <c r="U125" s="37" t="s">
        <v>822</v>
      </c>
      <c r="CN125" s="7" t="str">
        <f t="shared" ref="CN125" si="1938">"InitUnitState('"&amp;B125&amp;"',"&amp;V125&amp;","&amp;W125&amp;","&amp;X125&amp;","&amp;Y125&amp;","&amp;Z125&amp;","&amp;AA125&amp;","&amp;AB125&amp;","&amp;AC125&amp;","&amp;AD125&amp;","&amp;AE125&amp;")"</f>
        <v>InitUnitState('IT01',,,,,,,,,,)</v>
      </c>
      <c r="CO125" s="7" t="str">
        <f t="shared" ref="CO125" si="1939">"InitUnitNormal('"&amp;B125&amp;"',"&amp;AF125&amp;","&amp;AG125&amp;","&amp;AH125&amp;","&amp;AI125&amp;","&amp;AJ125&amp;","&amp;AK125&amp;","&amp;AL125&amp;","&amp;AM125&amp;","&amp;AN125&amp;","&amp;AO125&amp;")"</f>
        <v>InitUnitNormal('IT01',,,,,,,,,,)</v>
      </c>
      <c r="CP125" s="7" t="str">
        <f t="shared" ref="CP125" si="1940">"InitUnitMagic('"&amp;B125&amp;"',"&amp;AP125&amp;","&amp;AQ125&amp;","&amp;AR125&amp;","&amp;AS125&amp;","&amp;AT125&amp;","&amp;AU125&amp;","&amp;AV125&amp;","&amp;AW125&amp;","&amp;BI125&amp;","&amp;BJ125&amp;")"</f>
        <v>InitUnitMagic('IT01',,,,,,,,,,)</v>
      </c>
      <c r="CQ125" s="7" t="str">
        <f t="shared" ref="CQ125" si="1941">"InitUnitAdd('"&amp;B125&amp;"',"&amp;BK125&amp;","&amp;BL125&amp;","&amp;BM125&amp;","&amp;BN125&amp;","&amp;BO125&amp;","&amp;BP125&amp;","&amp;BQ125&amp;","&amp;BR125&amp;","&amp;BS125&amp;","&amp;BT125&amp;")"</f>
        <v>InitUnitAdd('IT01',,,,,,,,,,)</v>
      </c>
      <c r="CR125" s="7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InitEquipData('IT01',,"",,,,,'','','','','','',"ReplaceableTextures\\CommandButtons\\BTNTome.blp")</v>
      </c>
      <c r="CU125" s="45" t="str">
        <f t="shared" ref="CU125" si="1942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29" t="str">
        <f t="shared" ref="CV125" si="1943">T125</f>
        <v>境界挑战1</v>
      </c>
      <c r="CW125" s="24"/>
      <c r="CX125" s="24"/>
      <c r="CY125" s="24"/>
      <c r="CZ125" s="24"/>
      <c r="DA125" s="24"/>
      <c r="DB125" s="30" t="str">
        <f t="shared" ref="DB125" si="1944">IF(V125="","","|n"&amp;DB$2&amp;"+"&amp;V125&amp;DB$1)</f>
        <v/>
      </c>
      <c r="DC125" s="30" t="str">
        <f t="shared" ref="DC125" si="1945">IF(W125="","","|n"&amp;DC$2&amp;"+"&amp;W125&amp;DC$1)</f>
        <v/>
      </c>
      <c r="DD125" s="30" t="str">
        <f t="shared" ref="DD125" si="1946">IF(X125="","","|n"&amp;DD$2&amp;"+"&amp;X125&amp;DD$1)</f>
        <v/>
      </c>
      <c r="DE125" s="30" t="str">
        <f t="shared" ref="DE125" si="1947">IF(Y125="","","|n"&amp;DE$2&amp;"+"&amp;Y125&amp;DE$1)</f>
        <v/>
      </c>
      <c r="DF125" s="30" t="str">
        <f t="shared" ref="DF125" si="1948">IF(Z125="","","|n"&amp;DF$2&amp;"+"&amp;Z125&amp;DF$1)</f>
        <v/>
      </c>
      <c r="DG125" s="30" t="str">
        <f t="shared" ref="DG125" si="1949">IF(AA125="","","|n"&amp;DG$2&amp;"+"&amp;AA125&amp;DG$1)</f>
        <v/>
      </c>
      <c r="DH125" s="30" t="str">
        <f t="shared" ref="DH125" si="1950">IF(AB125="","","|n"&amp;DH$2&amp;"+"&amp;AB125&amp;DH$1)</f>
        <v/>
      </c>
      <c r="DI125" s="30" t="str">
        <f t="shared" ref="DI125" si="1951">IF(AC125="","","|n"&amp;DI$2&amp;"+"&amp;AC125&amp;DI$1)</f>
        <v/>
      </c>
      <c r="DJ125" s="30" t="str">
        <f t="shared" ref="DJ125" si="1952">IF(AD125="","","|n"&amp;DJ$2&amp;"+"&amp;AD125&amp;DJ$1)</f>
        <v/>
      </c>
      <c r="DK125" s="30" t="str">
        <f t="shared" ref="DK125" si="1953">IF(AE125="","","|n"&amp;DK$2&amp;"+"&amp;AE125&amp;DK$1)</f>
        <v/>
      </c>
      <c r="DL125" s="30" t="str">
        <f t="shared" ref="DL125" si="1954">IF(AF125="","","|n"&amp;DL$2&amp;"+"&amp;AF125&amp;DL$1)</f>
        <v/>
      </c>
      <c r="DM125" s="30" t="str">
        <f t="shared" ref="DM125" si="1955">IF(AG125="","","|n"&amp;DM$2&amp;"+"&amp;AG125&amp;DM$1)</f>
        <v/>
      </c>
      <c r="DN125" s="30" t="str">
        <f t="shared" ref="DN125" si="1956">IF(AH125="","","|n"&amp;DN$2&amp;"+"&amp;AH125&amp;DN$1)</f>
        <v/>
      </c>
      <c r="DO125" s="30" t="str">
        <f t="shared" ref="DO125" si="1957">IF(AI125="","","|n"&amp;DO$2&amp;"+"&amp;AI125&amp;DO$1)</f>
        <v/>
      </c>
      <c r="DP125" s="30" t="str">
        <f t="shared" ref="DP125" si="1958">IF(AJ125="","","|n"&amp;DP$2&amp;"+"&amp;AJ125&amp;DP$1)</f>
        <v/>
      </c>
      <c r="DQ125" s="30" t="str">
        <f t="shared" ref="DQ125" si="1959">IF(AK125="","","|n"&amp;DQ$2&amp;"+"&amp;AK125&amp;DQ$1)</f>
        <v/>
      </c>
      <c r="DR125" s="30" t="str">
        <f t="shared" ref="DR125" si="1960">IF(AL125="","","|n"&amp;DR$2&amp;"+"&amp;AL125&amp;DR$1)</f>
        <v/>
      </c>
      <c r="DS125" s="30" t="str">
        <f t="shared" ref="DS125" si="1961">IF(AM125="","","|n"&amp;DS$2&amp;"+"&amp;AM125&amp;DS$1)</f>
        <v/>
      </c>
      <c r="DT125" s="30" t="str">
        <f t="shared" ref="DT125" si="1962">IF(AN125="","","|n"&amp;DT$2&amp;"+"&amp;AN125&amp;DT$1)</f>
        <v/>
      </c>
      <c r="DU125" s="30" t="str">
        <f t="shared" ref="DU125" si="1963">IF(AO125="","","|n"&amp;DU$2&amp;"+"&amp;AO125&amp;DU$1)</f>
        <v/>
      </c>
      <c r="DV125" s="30" t="str">
        <f t="shared" ref="DV125" si="1964">IF(AP125="","","|n"&amp;DV$2&amp;"+"&amp;AP125&amp;DV$1)</f>
        <v/>
      </c>
      <c r="DW125" s="30" t="str">
        <f t="shared" ref="DW125" si="1965">IF(AQ125="","","|n"&amp;DW$2&amp;"+"&amp;AQ125&amp;DW$1)</f>
        <v/>
      </c>
      <c r="DX125" s="30" t="str">
        <f t="shared" ref="DX125" si="1966">IF(AR125="","","|n"&amp;DX$2&amp;"+"&amp;AR125&amp;DX$1)</f>
        <v/>
      </c>
      <c r="DY125" s="30" t="str">
        <f t="shared" ref="DY125" si="1967">IF(AS125="","","|n"&amp;DY$2&amp;"+"&amp;AS125&amp;DY$1)</f>
        <v/>
      </c>
      <c r="DZ125" s="30" t="str">
        <f t="shared" ref="DZ125" si="1968">IF(AT125="","","|n"&amp;DZ$2&amp;"+"&amp;AT125&amp;DZ$1)</f>
        <v/>
      </c>
      <c r="EA125" s="30" t="str">
        <f t="shared" ref="EA125" si="1969">IF(AU125="","","|n"&amp;EA$2&amp;"+"&amp;AU125&amp;EA$1)</f>
        <v/>
      </c>
      <c r="EB125" s="30" t="str">
        <f t="shared" ref="EB125" si="1970">IF(AV125="","","|n"&amp;EB$2&amp;"+"&amp;AV125&amp;EB$1)</f>
        <v/>
      </c>
      <c r="EC125" s="30" t="str">
        <f t="shared" ref="EC125" si="1971">IF(AW125="","","|n"&amp;EC$2&amp;"+"&amp;AW125&amp;EC$1)</f>
        <v/>
      </c>
      <c r="ED125" s="30" t="str">
        <f t="shared" ref="ED125" si="1972">IF(AX125="","","|n"&amp;ED$2&amp;"+"&amp;AX125&amp;ED$1)</f>
        <v/>
      </c>
      <c r="EE125" s="30" t="str">
        <f t="shared" ref="EE125" si="1973">IF(AY125="","","|n"&amp;EE$2&amp;"+"&amp;AY125&amp;EE$1)</f>
        <v/>
      </c>
      <c r="EF125" s="30" t="str">
        <f t="shared" ref="EF125" si="1974">IF(AZ125="","","|n"&amp;EF$2&amp;"+"&amp;AZ125&amp;EF$1)</f>
        <v/>
      </c>
      <c r="EG125" s="30" t="str">
        <f t="shared" ref="EG125" si="1975">IF(BA125="","","|n"&amp;EG$2&amp;"+"&amp;BA125&amp;EG$1)</f>
        <v/>
      </c>
      <c r="EH125" s="30" t="str">
        <f t="shared" ref="EH125" si="1976">IF(BB125="","","|n"&amp;EH$2&amp;"+"&amp;BB125&amp;EH$1)</f>
        <v/>
      </c>
      <c r="EI125" s="30" t="str">
        <f t="shared" ref="EI125" si="1977">IF(BC125="","","|n"&amp;EI$2&amp;"+"&amp;BC125&amp;EI$1)</f>
        <v/>
      </c>
      <c r="EJ125" s="30" t="str">
        <f t="shared" ref="EJ125" si="1978">IF(BD125="","","|n"&amp;EJ$2&amp;"+"&amp;BD125&amp;EJ$1)</f>
        <v/>
      </c>
      <c r="EK125" s="30" t="str">
        <f t="shared" ref="EK125" si="1979">IF(BE125="","","|n"&amp;EK$2&amp;"+"&amp;BE125&amp;EK$1)</f>
        <v/>
      </c>
      <c r="EL125" s="30" t="str">
        <f t="shared" ref="EL125" si="1980">IF(BF125="","","|n"&amp;EL$2&amp;"+"&amp;BF125&amp;EL$1)</f>
        <v/>
      </c>
      <c r="EM125" s="30" t="str">
        <f t="shared" ref="EM125" si="1981">IF(BG125="","","|n"&amp;EM$2&amp;"+"&amp;BG125&amp;EM$1)</f>
        <v/>
      </c>
      <c r="EN125" s="30" t="str">
        <f t="shared" ref="EN125" si="1982">IF(BH125="","","|n"&amp;EN$2&amp;"+"&amp;BH125&amp;EN$1)</f>
        <v/>
      </c>
      <c r="EO125" s="30" t="str">
        <f t="shared" ref="EO125" si="1983">IF(BI125="","","|n"&amp;EO$2&amp;"+"&amp;BI125&amp;EO$1)</f>
        <v/>
      </c>
      <c r="EP125" s="30" t="str">
        <f t="shared" ref="EP125" si="1984">IF(BJ125="","","|n"&amp;EP$2&amp;"+"&amp;BJ125&amp;EP$1)</f>
        <v/>
      </c>
      <c r="EQ125" s="30" t="str">
        <f t="shared" ref="EQ125" si="1985">IF(BK125="","","|n"&amp;EQ$2&amp;"+"&amp;BK125&amp;EQ$1)</f>
        <v/>
      </c>
      <c r="ER125" s="30" t="str">
        <f t="shared" ref="ER125" si="1986">IF(BL125="","","|n"&amp;ER$2&amp;"+"&amp;BL125&amp;ER$1)</f>
        <v/>
      </c>
      <c r="ES125" s="30" t="str">
        <f t="shared" ref="ES125" si="1987">IF(BM125="","","|n"&amp;ES$2&amp;"+"&amp;BM125&amp;ES$1)</f>
        <v/>
      </c>
      <c r="ET125" s="30" t="str">
        <f t="shared" ref="ET125" si="1988">IF(BN125="","","|n"&amp;ET$2&amp;"+"&amp;BN125&amp;ET$1)</f>
        <v/>
      </c>
      <c r="EU125" s="30" t="str">
        <f t="shared" ref="EU125" si="1989">IF(BO125="","","|n"&amp;EU$2&amp;"+"&amp;BO125&amp;EU$1)</f>
        <v/>
      </c>
      <c r="EV125" s="30" t="str">
        <f t="shared" ref="EV125" si="1990">IF(BP125="","","|n"&amp;EV$2&amp;"+"&amp;BP125&amp;EV$1)</f>
        <v/>
      </c>
      <c r="EW125" s="30" t="str">
        <f t="shared" ref="EW125" si="1991">IF(BQ125="","","|n"&amp;EW$2&amp;"+"&amp;BQ125&amp;EW$1)</f>
        <v/>
      </c>
      <c r="EX125" s="30" t="str">
        <f t="shared" ref="EX125" si="1992">IF(BR125="","","|n"&amp;EX$2&amp;"+"&amp;BR125&amp;EX$1)</f>
        <v/>
      </c>
      <c r="EY125" s="30" t="str">
        <f t="shared" ref="EY125" si="1993">IF(BS125="","","|n"&amp;EY$2&amp;"+"&amp;BS125&amp;EY$1)</f>
        <v/>
      </c>
      <c r="EZ125" s="30" t="str">
        <f t="shared" ref="EZ125" si="1994">IF(BT125="","","|n"&amp;EZ$2&amp;"+"&amp;BT125&amp;EZ$1)</f>
        <v/>
      </c>
      <c r="FA125" s="30" t="str">
        <f t="shared" ref="FA125" si="1995">IF(BU125="","","|n"&amp;FA$2&amp;"+"&amp;BU125&amp;FA$1)</f>
        <v/>
      </c>
      <c r="FB125" s="30" t="str">
        <f t="shared" ref="FB125" si="1996">IF(BV125="","","|n"&amp;FB$2&amp;"+"&amp;BV125&amp;FB$1)</f>
        <v/>
      </c>
      <c r="FC125" s="30" t="str">
        <f t="shared" ref="FC125" si="1997">IF(BW125="","","|n"&amp;FC$2&amp;"+"&amp;BW125&amp;FC$1)</f>
        <v/>
      </c>
      <c r="FD125" s="30" t="str">
        <f t="shared" ref="FD125" si="1998">IF(BX125="","","|n"&amp;FD$2&amp;"+"&amp;BX125&amp;FD$1)</f>
        <v/>
      </c>
      <c r="FE125" s="30" t="str">
        <f t="shared" ref="FE125" si="1999">IF(BY125="","","|n"&amp;FE$2&amp;"+"&amp;BY125&amp;FE$1)</f>
        <v/>
      </c>
      <c r="FF125" s="30" t="str">
        <f t="shared" ref="FF125" si="2000">IF(BZ125="","","|n"&amp;FF$2&amp;"+"&amp;BZ125&amp;FF$1)</f>
        <v/>
      </c>
      <c r="FG125" s="30" t="str">
        <f t="shared" ref="FG125" si="2001">IF(CA125="","","|n"&amp;FG$2&amp;"+"&amp;CA125&amp;FG$1)</f>
        <v/>
      </c>
      <c r="FH125" s="30" t="str">
        <f t="shared" ref="FH125" si="2002">IF(CB125="","","|n"&amp;FH$2&amp;"+"&amp;CB125&amp;FH$1)</f>
        <v/>
      </c>
      <c r="FI125" s="30" t="str">
        <f t="shared" ref="FI125" si="2003">IF(CC125="","","|n"&amp;FI$2&amp;"+"&amp;CC125&amp;FI$1)</f>
        <v/>
      </c>
      <c r="FJ125" s="30" t="str">
        <f t="shared" ref="FJ125" si="2004">IF(CD125="","","|n"&amp;FJ$2&amp;"+"&amp;CD125&amp;FJ$1)</f>
        <v/>
      </c>
      <c r="FK125" s="30" t="str">
        <f t="shared" ref="FK125" si="2005">IF(CE125="","","|n"&amp;FK$2&amp;"+"&amp;CE125&amp;FK$1)</f>
        <v/>
      </c>
      <c r="FL125" s="30" t="str">
        <f t="shared" ref="FL125" si="2006">IF(CF125="","","|n"&amp;FL$2&amp;"+"&amp;CF125&amp;FL$1)</f>
        <v/>
      </c>
      <c r="FM125" s="30" t="str">
        <f t="shared" ref="FM125" si="2007">IF(CG125="","","|n"&amp;FM$2&amp;"+"&amp;CG125&amp;FM$1)</f>
        <v/>
      </c>
      <c r="FN125" s="30" t="str">
        <f t="shared" ref="FN125" si="2008">IF(CH125="","","|n"&amp;FN$2&amp;"+"&amp;CH125&amp;FN$1)</f>
        <v/>
      </c>
      <c r="FO125" s="30" t="str">
        <f t="shared" ref="FO125" si="2009">IF(CI125="","","|n"&amp;FO$2&amp;"+"&amp;CI125&amp;FO$1)</f>
        <v/>
      </c>
      <c r="FP125" s="30" t="str">
        <f t="shared" ref="FP125" si="2010">IF(CJ125="","","|n"&amp;FP$2&amp;"+"&amp;CJ125&amp;FP$1)</f>
        <v/>
      </c>
      <c r="FQ125" s="30" t="str">
        <f t="shared" ref="FQ125" si="2011">IF(CK125="","","|n"&amp;FQ$2&amp;"+"&amp;CK125&amp;FQ$1)</f>
        <v/>
      </c>
      <c r="FR125" s="30" t="str">
        <f t="shared" ref="FR125" si="2012">IF(CL125="","","|n"&amp;FR$2&amp;"+"&amp;CL125&amp;FR$1)</f>
        <v/>
      </c>
      <c r="FS125" s="30" t="str">
        <f t="shared" ref="FS125" si="2013">IF(CM125="","","|n"&amp;FS$2&amp;"+"&amp;CM125&amp;FS$1)</f>
        <v/>
      </c>
    </row>
    <row r="126" spans="1:175" ht="16.5">
      <c r="A126" s="117"/>
      <c r="B126" s="111" t="s">
        <v>860</v>
      </c>
      <c r="C126" s="117" t="s">
        <v>861</v>
      </c>
      <c r="R126" s="25">
        <v>-7872</v>
      </c>
      <c r="S126" s="25">
        <v>-2816</v>
      </c>
      <c r="T126" s="117" t="s">
        <v>861</v>
      </c>
      <c r="U126" s="37" t="s">
        <v>822</v>
      </c>
      <c r="CN126" s="7" t="str">
        <f t="shared" ref="CN126:CN140" si="2014">"InitUnitState('"&amp;B126&amp;"',"&amp;V126&amp;","&amp;W126&amp;","&amp;X126&amp;","&amp;Y126&amp;","&amp;Z126&amp;","&amp;AA126&amp;","&amp;AB126&amp;","&amp;AC126&amp;","&amp;AD126&amp;","&amp;AE126&amp;")"</f>
        <v>InitUnitState('IT02',,,,,,,,,,)</v>
      </c>
      <c r="CO126" s="7" t="str">
        <f t="shared" ref="CO126:CO140" si="2015">"InitUnitNormal('"&amp;B126&amp;"',"&amp;AF126&amp;","&amp;AG126&amp;","&amp;AH126&amp;","&amp;AI126&amp;","&amp;AJ126&amp;","&amp;AK126&amp;","&amp;AL126&amp;","&amp;AM126&amp;","&amp;AN126&amp;","&amp;AO126&amp;")"</f>
        <v>InitUnitNormal('IT02',,,,,,,,,,)</v>
      </c>
      <c r="CP126" s="7" t="str">
        <f t="shared" ref="CP126:CP140" si="2016">"InitUnitMagic('"&amp;B126&amp;"',"&amp;AP126&amp;","&amp;AQ126&amp;","&amp;AR126&amp;","&amp;AS126&amp;","&amp;AT126&amp;","&amp;AU126&amp;","&amp;AV126&amp;","&amp;AW126&amp;","&amp;BI126&amp;","&amp;BJ126&amp;")"</f>
        <v>InitUnitMagic('IT02',,,,,,,,,,)</v>
      </c>
      <c r="CQ126" s="7" t="str">
        <f t="shared" ref="CQ126:CQ140" si="2017">"InitUnitAdd('"&amp;B126&amp;"',"&amp;BK126&amp;","&amp;BL126&amp;","&amp;BM126&amp;","&amp;BN126&amp;","&amp;BO126&amp;","&amp;BP126&amp;","&amp;BQ126&amp;","&amp;BR126&amp;","&amp;BS126&amp;","&amp;BT126&amp;")"</f>
        <v>InitUnitAdd('IT02',,,,,,,,,,)</v>
      </c>
      <c r="CR126" s="7" t="str">
        <f t="shared" ref="CR126:CR133" si="2018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InitEquipData('IT02',,"",,,,,'','','','','','',"ReplaceableTextures\\CommandButtons\\BTNTome.blp")</v>
      </c>
      <c r="CU126" s="45" t="str">
        <f t="shared" ref="CU126:CU140" si="2019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29" t="str">
        <f t="shared" ref="CV126:CV140" si="2020">T126</f>
        <v>境界挑战2</v>
      </c>
      <c r="CW126" s="24"/>
      <c r="CX126" s="24"/>
      <c r="CY126" s="24"/>
      <c r="CZ126" s="24"/>
      <c r="DA126" s="24"/>
      <c r="DB126" s="30" t="str">
        <f t="shared" ref="DB126:DB140" si="2021">IF(V126="","","|n"&amp;DB$2&amp;"+"&amp;V126&amp;DB$1)</f>
        <v/>
      </c>
      <c r="DC126" s="30" t="str">
        <f t="shared" ref="DC126:DC140" si="2022">IF(W126="","","|n"&amp;DC$2&amp;"+"&amp;W126&amp;DC$1)</f>
        <v/>
      </c>
      <c r="DD126" s="30" t="str">
        <f t="shared" ref="DD126:DD140" si="2023">IF(X126="","","|n"&amp;DD$2&amp;"+"&amp;X126&amp;DD$1)</f>
        <v/>
      </c>
      <c r="DE126" s="30" t="str">
        <f t="shared" ref="DE126:DE140" si="2024">IF(Y126="","","|n"&amp;DE$2&amp;"+"&amp;Y126&amp;DE$1)</f>
        <v/>
      </c>
      <c r="DF126" s="30" t="str">
        <f t="shared" ref="DF126:DF140" si="2025">IF(Z126="","","|n"&amp;DF$2&amp;"+"&amp;Z126&amp;DF$1)</f>
        <v/>
      </c>
      <c r="DG126" s="30" t="str">
        <f t="shared" ref="DG126:DG140" si="2026">IF(AA126="","","|n"&amp;DG$2&amp;"+"&amp;AA126&amp;DG$1)</f>
        <v/>
      </c>
      <c r="DH126" s="30" t="str">
        <f t="shared" ref="DH126:DH140" si="2027">IF(AB126="","","|n"&amp;DH$2&amp;"+"&amp;AB126&amp;DH$1)</f>
        <v/>
      </c>
      <c r="DI126" s="30" t="str">
        <f t="shared" ref="DI126:DI140" si="2028">IF(AC126="","","|n"&amp;DI$2&amp;"+"&amp;AC126&amp;DI$1)</f>
        <v/>
      </c>
      <c r="DJ126" s="30" t="str">
        <f t="shared" ref="DJ126:DJ140" si="2029">IF(AD126="","","|n"&amp;DJ$2&amp;"+"&amp;AD126&amp;DJ$1)</f>
        <v/>
      </c>
      <c r="DK126" s="30" t="str">
        <f t="shared" ref="DK126:DK140" si="2030">IF(AE126="","","|n"&amp;DK$2&amp;"+"&amp;AE126&amp;DK$1)</f>
        <v/>
      </c>
      <c r="DL126" s="30" t="str">
        <f t="shared" ref="DL126:DL140" si="2031">IF(AF126="","","|n"&amp;DL$2&amp;"+"&amp;AF126&amp;DL$1)</f>
        <v/>
      </c>
      <c r="DM126" s="30" t="str">
        <f t="shared" ref="DM126:DM140" si="2032">IF(AG126="","","|n"&amp;DM$2&amp;"+"&amp;AG126&amp;DM$1)</f>
        <v/>
      </c>
      <c r="DN126" s="30" t="str">
        <f t="shared" ref="DN126:DN140" si="2033">IF(AH126="","","|n"&amp;DN$2&amp;"+"&amp;AH126&amp;DN$1)</f>
        <v/>
      </c>
      <c r="DO126" s="30" t="str">
        <f t="shared" ref="DO126:DO140" si="2034">IF(AI126="","","|n"&amp;DO$2&amp;"+"&amp;AI126&amp;DO$1)</f>
        <v/>
      </c>
      <c r="DP126" s="30" t="str">
        <f t="shared" ref="DP126:DP140" si="2035">IF(AJ126="","","|n"&amp;DP$2&amp;"+"&amp;AJ126&amp;DP$1)</f>
        <v/>
      </c>
      <c r="DQ126" s="30" t="str">
        <f t="shared" ref="DQ126:DQ140" si="2036">IF(AK126="","","|n"&amp;DQ$2&amp;"+"&amp;AK126&amp;DQ$1)</f>
        <v/>
      </c>
      <c r="DR126" s="30" t="str">
        <f t="shared" ref="DR126:DR140" si="2037">IF(AL126="","","|n"&amp;DR$2&amp;"+"&amp;AL126&amp;DR$1)</f>
        <v/>
      </c>
      <c r="DS126" s="30" t="str">
        <f t="shared" ref="DS126:DS140" si="2038">IF(AM126="","","|n"&amp;DS$2&amp;"+"&amp;AM126&amp;DS$1)</f>
        <v/>
      </c>
      <c r="DT126" s="30" t="str">
        <f t="shared" ref="DT126:DT140" si="2039">IF(AN126="","","|n"&amp;DT$2&amp;"+"&amp;AN126&amp;DT$1)</f>
        <v/>
      </c>
      <c r="DU126" s="30" t="str">
        <f t="shared" ref="DU126:DU140" si="2040">IF(AO126="","","|n"&amp;DU$2&amp;"+"&amp;AO126&amp;DU$1)</f>
        <v/>
      </c>
      <c r="DV126" s="30" t="str">
        <f t="shared" ref="DV126:DV140" si="2041">IF(AP126="","","|n"&amp;DV$2&amp;"+"&amp;AP126&amp;DV$1)</f>
        <v/>
      </c>
      <c r="DW126" s="30" t="str">
        <f t="shared" ref="DW126:DW140" si="2042">IF(AQ126="","","|n"&amp;DW$2&amp;"+"&amp;AQ126&amp;DW$1)</f>
        <v/>
      </c>
      <c r="DX126" s="30" t="str">
        <f t="shared" ref="DX126:DX140" si="2043">IF(AR126="","","|n"&amp;DX$2&amp;"+"&amp;AR126&amp;DX$1)</f>
        <v/>
      </c>
      <c r="DY126" s="30" t="str">
        <f t="shared" ref="DY126:DY140" si="2044">IF(AS126="","","|n"&amp;DY$2&amp;"+"&amp;AS126&amp;DY$1)</f>
        <v/>
      </c>
      <c r="DZ126" s="30" t="str">
        <f t="shared" ref="DZ126:DZ140" si="2045">IF(AT126="","","|n"&amp;DZ$2&amp;"+"&amp;AT126&amp;DZ$1)</f>
        <v/>
      </c>
      <c r="EA126" s="30" t="str">
        <f t="shared" ref="EA126:EA140" si="2046">IF(AU126="","","|n"&amp;EA$2&amp;"+"&amp;AU126&amp;EA$1)</f>
        <v/>
      </c>
      <c r="EB126" s="30" t="str">
        <f t="shared" ref="EB126:EB140" si="2047">IF(AV126="","","|n"&amp;EB$2&amp;"+"&amp;AV126&amp;EB$1)</f>
        <v/>
      </c>
      <c r="EC126" s="30" t="str">
        <f t="shared" ref="EC126:EC140" si="2048">IF(AW126="","","|n"&amp;EC$2&amp;"+"&amp;AW126&amp;EC$1)</f>
        <v/>
      </c>
      <c r="ED126" s="30" t="str">
        <f t="shared" ref="ED126:ED140" si="2049">IF(AX126="","","|n"&amp;ED$2&amp;"+"&amp;AX126&amp;ED$1)</f>
        <v/>
      </c>
      <c r="EE126" s="30" t="str">
        <f t="shared" ref="EE126:EE140" si="2050">IF(AY126="","","|n"&amp;EE$2&amp;"+"&amp;AY126&amp;EE$1)</f>
        <v/>
      </c>
      <c r="EF126" s="30" t="str">
        <f t="shared" ref="EF126:EF140" si="2051">IF(AZ126="","","|n"&amp;EF$2&amp;"+"&amp;AZ126&amp;EF$1)</f>
        <v/>
      </c>
      <c r="EG126" s="30" t="str">
        <f t="shared" ref="EG126:EG140" si="2052">IF(BA126="","","|n"&amp;EG$2&amp;"+"&amp;BA126&amp;EG$1)</f>
        <v/>
      </c>
      <c r="EH126" s="30" t="str">
        <f t="shared" ref="EH126:EH140" si="2053">IF(BB126="","","|n"&amp;EH$2&amp;"+"&amp;BB126&amp;EH$1)</f>
        <v/>
      </c>
      <c r="EI126" s="30" t="str">
        <f t="shared" ref="EI126:EI140" si="2054">IF(BC126="","","|n"&amp;EI$2&amp;"+"&amp;BC126&amp;EI$1)</f>
        <v/>
      </c>
      <c r="EJ126" s="30" t="str">
        <f t="shared" ref="EJ126:EJ140" si="2055">IF(BD126="","","|n"&amp;EJ$2&amp;"+"&amp;BD126&amp;EJ$1)</f>
        <v/>
      </c>
      <c r="EK126" s="30" t="str">
        <f t="shared" ref="EK126:EK140" si="2056">IF(BE126="","","|n"&amp;EK$2&amp;"+"&amp;BE126&amp;EK$1)</f>
        <v/>
      </c>
      <c r="EL126" s="30" t="str">
        <f t="shared" ref="EL126:EL140" si="2057">IF(BF126="","","|n"&amp;EL$2&amp;"+"&amp;BF126&amp;EL$1)</f>
        <v/>
      </c>
      <c r="EM126" s="30" t="str">
        <f t="shared" ref="EM126:EM140" si="2058">IF(BG126="","","|n"&amp;EM$2&amp;"+"&amp;BG126&amp;EM$1)</f>
        <v/>
      </c>
      <c r="EN126" s="30" t="str">
        <f t="shared" ref="EN126:EN140" si="2059">IF(BH126="","","|n"&amp;EN$2&amp;"+"&amp;BH126&amp;EN$1)</f>
        <v/>
      </c>
      <c r="EO126" s="30" t="str">
        <f t="shared" ref="EO126:EO140" si="2060">IF(BI126="","","|n"&amp;EO$2&amp;"+"&amp;BI126&amp;EO$1)</f>
        <v/>
      </c>
      <c r="EP126" s="30" t="str">
        <f t="shared" ref="EP126:EP140" si="2061">IF(BJ126="","","|n"&amp;EP$2&amp;"+"&amp;BJ126&amp;EP$1)</f>
        <v/>
      </c>
      <c r="EQ126" s="30" t="str">
        <f t="shared" ref="EQ126:EQ140" si="2062">IF(BK126="","","|n"&amp;EQ$2&amp;"+"&amp;BK126&amp;EQ$1)</f>
        <v/>
      </c>
      <c r="ER126" s="30" t="str">
        <f t="shared" ref="ER126:ER140" si="2063">IF(BL126="","","|n"&amp;ER$2&amp;"+"&amp;BL126&amp;ER$1)</f>
        <v/>
      </c>
      <c r="ES126" s="30" t="str">
        <f t="shared" ref="ES126:ES140" si="2064">IF(BM126="","","|n"&amp;ES$2&amp;"+"&amp;BM126&amp;ES$1)</f>
        <v/>
      </c>
      <c r="ET126" s="30" t="str">
        <f t="shared" ref="ET126:ET140" si="2065">IF(BN126="","","|n"&amp;ET$2&amp;"+"&amp;BN126&amp;ET$1)</f>
        <v/>
      </c>
      <c r="EU126" s="30" t="str">
        <f t="shared" ref="EU126:EU140" si="2066">IF(BO126="","","|n"&amp;EU$2&amp;"+"&amp;BO126&amp;EU$1)</f>
        <v/>
      </c>
      <c r="EV126" s="30" t="str">
        <f t="shared" ref="EV126:EV140" si="2067">IF(BP126="","","|n"&amp;EV$2&amp;"+"&amp;BP126&amp;EV$1)</f>
        <v/>
      </c>
      <c r="EW126" s="30" t="str">
        <f t="shared" ref="EW126:EW140" si="2068">IF(BQ126="","","|n"&amp;EW$2&amp;"+"&amp;BQ126&amp;EW$1)</f>
        <v/>
      </c>
      <c r="EX126" s="30" t="str">
        <f t="shared" ref="EX126:EX140" si="2069">IF(BR126="","","|n"&amp;EX$2&amp;"+"&amp;BR126&amp;EX$1)</f>
        <v/>
      </c>
      <c r="EY126" s="30" t="str">
        <f t="shared" ref="EY126:EY140" si="2070">IF(BS126="","","|n"&amp;EY$2&amp;"+"&amp;BS126&amp;EY$1)</f>
        <v/>
      </c>
      <c r="EZ126" s="30" t="str">
        <f t="shared" ref="EZ126:EZ140" si="2071">IF(BT126="","","|n"&amp;EZ$2&amp;"+"&amp;BT126&amp;EZ$1)</f>
        <v/>
      </c>
      <c r="FA126" s="30" t="str">
        <f t="shared" ref="FA126:FA140" si="2072">IF(BU126="","","|n"&amp;FA$2&amp;"+"&amp;BU126&amp;FA$1)</f>
        <v/>
      </c>
      <c r="FB126" s="30" t="str">
        <f t="shared" ref="FB126:FB140" si="2073">IF(BV126="","","|n"&amp;FB$2&amp;"+"&amp;BV126&amp;FB$1)</f>
        <v/>
      </c>
      <c r="FC126" s="30" t="str">
        <f t="shared" ref="FC126:FC140" si="2074">IF(BW126="","","|n"&amp;FC$2&amp;"+"&amp;BW126&amp;FC$1)</f>
        <v/>
      </c>
      <c r="FD126" s="30" t="str">
        <f t="shared" ref="FD126:FD140" si="2075">IF(BX126="","","|n"&amp;FD$2&amp;"+"&amp;BX126&amp;FD$1)</f>
        <v/>
      </c>
      <c r="FE126" s="30" t="str">
        <f t="shared" ref="FE126:FE140" si="2076">IF(BY126="","","|n"&amp;FE$2&amp;"+"&amp;BY126&amp;FE$1)</f>
        <v/>
      </c>
      <c r="FF126" s="30" t="str">
        <f t="shared" ref="FF126:FF140" si="2077">IF(BZ126="","","|n"&amp;FF$2&amp;"+"&amp;BZ126&amp;FF$1)</f>
        <v/>
      </c>
      <c r="FG126" s="30" t="str">
        <f t="shared" ref="FG126:FG140" si="2078">IF(CA126="","","|n"&amp;FG$2&amp;"+"&amp;CA126&amp;FG$1)</f>
        <v/>
      </c>
      <c r="FH126" s="30" t="str">
        <f t="shared" ref="FH126:FH140" si="2079">IF(CB126="","","|n"&amp;FH$2&amp;"+"&amp;CB126&amp;FH$1)</f>
        <v/>
      </c>
      <c r="FI126" s="30" t="str">
        <f t="shared" ref="FI126:FI140" si="2080">IF(CC126="","","|n"&amp;FI$2&amp;"+"&amp;CC126&amp;FI$1)</f>
        <v/>
      </c>
      <c r="FJ126" s="30" t="str">
        <f t="shared" ref="FJ126:FJ140" si="2081">IF(CD126="","","|n"&amp;FJ$2&amp;"+"&amp;CD126&amp;FJ$1)</f>
        <v/>
      </c>
      <c r="FK126" s="30" t="str">
        <f t="shared" ref="FK126:FK140" si="2082">IF(CE126="","","|n"&amp;FK$2&amp;"+"&amp;CE126&amp;FK$1)</f>
        <v/>
      </c>
      <c r="FL126" s="30" t="str">
        <f t="shared" ref="FL126:FL140" si="2083">IF(CF126="","","|n"&amp;FL$2&amp;"+"&amp;CF126&amp;FL$1)</f>
        <v/>
      </c>
      <c r="FM126" s="30" t="str">
        <f t="shared" ref="FM126:FM140" si="2084">IF(CG126="","","|n"&amp;FM$2&amp;"+"&amp;CG126&amp;FM$1)</f>
        <v/>
      </c>
      <c r="FN126" s="30" t="str">
        <f t="shared" ref="FN126:FN140" si="2085">IF(CH126="","","|n"&amp;FN$2&amp;"+"&amp;CH126&amp;FN$1)</f>
        <v/>
      </c>
      <c r="FO126" s="30" t="str">
        <f t="shared" ref="FO126:FO140" si="2086">IF(CI126="","","|n"&amp;FO$2&amp;"+"&amp;CI126&amp;FO$1)</f>
        <v/>
      </c>
      <c r="FP126" s="30" t="str">
        <f t="shared" ref="FP126:FP140" si="2087">IF(CJ126="","","|n"&amp;FP$2&amp;"+"&amp;CJ126&amp;FP$1)</f>
        <v/>
      </c>
      <c r="FQ126" s="30" t="str">
        <f t="shared" ref="FQ126:FQ140" si="2088">IF(CK126="","","|n"&amp;FQ$2&amp;"+"&amp;CK126&amp;FQ$1)</f>
        <v/>
      </c>
      <c r="FR126" s="30" t="str">
        <f t="shared" ref="FR126:FR140" si="2089">IF(CL126="","","|n"&amp;FR$2&amp;"+"&amp;CL126&amp;FR$1)</f>
        <v/>
      </c>
      <c r="FS126" s="30" t="str">
        <f t="shared" ref="FS126:FS140" si="2090">IF(CM126="","","|n"&amp;FS$2&amp;"+"&amp;CM126&amp;FS$1)</f>
        <v/>
      </c>
    </row>
    <row r="127" spans="1:175" ht="16.5">
      <c r="A127" s="117"/>
      <c r="B127" s="111" t="s">
        <v>862</v>
      </c>
      <c r="C127" s="117" t="s">
        <v>863</v>
      </c>
      <c r="R127" s="25">
        <v>-8048</v>
      </c>
      <c r="S127" s="25">
        <v>-1563</v>
      </c>
      <c r="T127" s="117" t="s">
        <v>863</v>
      </c>
      <c r="U127" s="37" t="s">
        <v>822</v>
      </c>
      <c r="CN127" s="7" t="str">
        <f t="shared" si="2014"/>
        <v>InitUnitState('IT03',,,,,,,,,,)</v>
      </c>
      <c r="CO127" s="7" t="str">
        <f t="shared" si="2015"/>
        <v>InitUnitNormal('IT03',,,,,,,,,,)</v>
      </c>
      <c r="CP127" s="7" t="str">
        <f t="shared" si="2016"/>
        <v>InitUnitMagic('IT03',,,,,,,,,,)</v>
      </c>
      <c r="CQ127" s="7" t="str">
        <f t="shared" si="2017"/>
        <v>InitUnitAdd('IT03',,,,,,,,,,)</v>
      </c>
      <c r="CR127" s="7" t="str">
        <f t="shared" si="2018"/>
        <v>InitEquipData('IT03',,"",,,,,'','','','','','',"ReplaceableTextures\\CommandButtons\\BTNTome.blp")</v>
      </c>
      <c r="CU127" s="45" t="str">
        <f t="shared" si="2019"/>
        <v>|n</v>
      </c>
      <c r="CV127" s="29" t="str">
        <f t="shared" si="2020"/>
        <v>境界挑战3</v>
      </c>
      <c r="CW127" s="24"/>
      <c r="CX127" s="24"/>
      <c r="CY127" s="24"/>
      <c r="CZ127" s="24"/>
      <c r="DA127" s="24"/>
      <c r="DB127" s="30" t="str">
        <f t="shared" si="2021"/>
        <v/>
      </c>
      <c r="DC127" s="30" t="str">
        <f t="shared" si="2022"/>
        <v/>
      </c>
      <c r="DD127" s="30" t="str">
        <f t="shared" si="2023"/>
        <v/>
      </c>
      <c r="DE127" s="30" t="str">
        <f t="shared" si="2024"/>
        <v/>
      </c>
      <c r="DF127" s="30" t="str">
        <f t="shared" si="2025"/>
        <v/>
      </c>
      <c r="DG127" s="30" t="str">
        <f t="shared" si="2026"/>
        <v/>
      </c>
      <c r="DH127" s="30" t="str">
        <f t="shared" si="2027"/>
        <v/>
      </c>
      <c r="DI127" s="30" t="str">
        <f t="shared" si="2028"/>
        <v/>
      </c>
      <c r="DJ127" s="30" t="str">
        <f t="shared" si="2029"/>
        <v/>
      </c>
      <c r="DK127" s="30" t="str">
        <f t="shared" si="2030"/>
        <v/>
      </c>
      <c r="DL127" s="30" t="str">
        <f t="shared" si="2031"/>
        <v/>
      </c>
      <c r="DM127" s="30" t="str">
        <f t="shared" si="2032"/>
        <v/>
      </c>
      <c r="DN127" s="30" t="str">
        <f t="shared" si="2033"/>
        <v/>
      </c>
      <c r="DO127" s="30" t="str">
        <f t="shared" si="2034"/>
        <v/>
      </c>
      <c r="DP127" s="30" t="str">
        <f t="shared" si="2035"/>
        <v/>
      </c>
      <c r="DQ127" s="30" t="str">
        <f t="shared" si="2036"/>
        <v/>
      </c>
      <c r="DR127" s="30" t="str">
        <f t="shared" si="2037"/>
        <v/>
      </c>
      <c r="DS127" s="30" t="str">
        <f t="shared" si="2038"/>
        <v/>
      </c>
      <c r="DT127" s="30" t="str">
        <f t="shared" si="2039"/>
        <v/>
      </c>
      <c r="DU127" s="30" t="str">
        <f t="shared" si="2040"/>
        <v/>
      </c>
      <c r="DV127" s="30" t="str">
        <f t="shared" si="2041"/>
        <v/>
      </c>
      <c r="DW127" s="30" t="str">
        <f t="shared" si="2042"/>
        <v/>
      </c>
      <c r="DX127" s="30" t="str">
        <f t="shared" si="2043"/>
        <v/>
      </c>
      <c r="DY127" s="30" t="str">
        <f t="shared" si="2044"/>
        <v/>
      </c>
      <c r="DZ127" s="30" t="str">
        <f t="shared" si="2045"/>
        <v/>
      </c>
      <c r="EA127" s="30" t="str">
        <f t="shared" si="2046"/>
        <v/>
      </c>
      <c r="EB127" s="30" t="str">
        <f t="shared" si="2047"/>
        <v/>
      </c>
      <c r="EC127" s="30" t="str">
        <f t="shared" si="2048"/>
        <v/>
      </c>
      <c r="ED127" s="30" t="str">
        <f t="shared" si="2049"/>
        <v/>
      </c>
      <c r="EE127" s="30" t="str">
        <f t="shared" si="2050"/>
        <v/>
      </c>
      <c r="EF127" s="30" t="str">
        <f t="shared" si="2051"/>
        <v/>
      </c>
      <c r="EG127" s="30" t="str">
        <f t="shared" si="2052"/>
        <v/>
      </c>
      <c r="EH127" s="30" t="str">
        <f t="shared" si="2053"/>
        <v/>
      </c>
      <c r="EI127" s="30" t="str">
        <f t="shared" si="2054"/>
        <v/>
      </c>
      <c r="EJ127" s="30" t="str">
        <f t="shared" si="2055"/>
        <v/>
      </c>
      <c r="EK127" s="30" t="str">
        <f t="shared" si="2056"/>
        <v/>
      </c>
      <c r="EL127" s="30" t="str">
        <f t="shared" si="2057"/>
        <v/>
      </c>
      <c r="EM127" s="30" t="str">
        <f t="shared" si="2058"/>
        <v/>
      </c>
      <c r="EN127" s="30" t="str">
        <f t="shared" si="2059"/>
        <v/>
      </c>
      <c r="EO127" s="30" t="str">
        <f t="shared" si="2060"/>
        <v/>
      </c>
      <c r="EP127" s="30" t="str">
        <f t="shared" si="2061"/>
        <v/>
      </c>
      <c r="EQ127" s="30" t="str">
        <f t="shared" si="2062"/>
        <v/>
      </c>
      <c r="ER127" s="30" t="str">
        <f t="shared" si="2063"/>
        <v/>
      </c>
      <c r="ES127" s="30" t="str">
        <f t="shared" si="2064"/>
        <v/>
      </c>
      <c r="ET127" s="30" t="str">
        <f t="shared" si="2065"/>
        <v/>
      </c>
      <c r="EU127" s="30" t="str">
        <f t="shared" si="2066"/>
        <v/>
      </c>
      <c r="EV127" s="30" t="str">
        <f t="shared" si="2067"/>
        <v/>
      </c>
      <c r="EW127" s="30" t="str">
        <f t="shared" si="2068"/>
        <v/>
      </c>
      <c r="EX127" s="30" t="str">
        <f t="shared" si="2069"/>
        <v/>
      </c>
      <c r="EY127" s="30" t="str">
        <f t="shared" si="2070"/>
        <v/>
      </c>
      <c r="EZ127" s="30" t="str">
        <f t="shared" si="2071"/>
        <v/>
      </c>
      <c r="FA127" s="30" t="str">
        <f t="shared" si="2072"/>
        <v/>
      </c>
      <c r="FB127" s="30" t="str">
        <f t="shared" si="2073"/>
        <v/>
      </c>
      <c r="FC127" s="30" t="str">
        <f t="shared" si="2074"/>
        <v/>
      </c>
      <c r="FD127" s="30" t="str">
        <f t="shared" si="2075"/>
        <v/>
      </c>
      <c r="FE127" s="30" t="str">
        <f t="shared" si="2076"/>
        <v/>
      </c>
      <c r="FF127" s="30" t="str">
        <f t="shared" si="2077"/>
        <v/>
      </c>
      <c r="FG127" s="30" t="str">
        <f t="shared" si="2078"/>
        <v/>
      </c>
      <c r="FH127" s="30" t="str">
        <f t="shared" si="2079"/>
        <v/>
      </c>
      <c r="FI127" s="30" t="str">
        <f t="shared" si="2080"/>
        <v/>
      </c>
      <c r="FJ127" s="30" t="str">
        <f t="shared" si="2081"/>
        <v/>
      </c>
      <c r="FK127" s="30" t="str">
        <f t="shared" si="2082"/>
        <v/>
      </c>
      <c r="FL127" s="30" t="str">
        <f t="shared" si="2083"/>
        <v/>
      </c>
      <c r="FM127" s="30" t="str">
        <f t="shared" si="2084"/>
        <v/>
      </c>
      <c r="FN127" s="30" t="str">
        <f t="shared" si="2085"/>
        <v/>
      </c>
      <c r="FO127" s="30" t="str">
        <f t="shared" si="2086"/>
        <v/>
      </c>
      <c r="FP127" s="30" t="str">
        <f t="shared" si="2087"/>
        <v/>
      </c>
      <c r="FQ127" s="30" t="str">
        <f t="shared" si="2088"/>
        <v/>
      </c>
      <c r="FR127" s="30" t="str">
        <f t="shared" si="2089"/>
        <v/>
      </c>
      <c r="FS127" s="30" t="str">
        <f t="shared" si="2090"/>
        <v/>
      </c>
    </row>
    <row r="128" spans="1:175" ht="16.5">
      <c r="A128" s="117"/>
      <c r="B128" s="111" t="s">
        <v>864</v>
      </c>
      <c r="C128" s="117" t="s">
        <v>865</v>
      </c>
      <c r="R128" s="25">
        <v>-7794</v>
      </c>
      <c r="S128" s="25">
        <v>195</v>
      </c>
      <c r="T128" s="117" t="s">
        <v>865</v>
      </c>
      <c r="U128" s="37" t="s">
        <v>822</v>
      </c>
      <c r="CN128" s="7" t="str">
        <f t="shared" si="2014"/>
        <v>InitUnitState('IT04',,,,,,,,,,)</v>
      </c>
      <c r="CO128" s="7" t="str">
        <f t="shared" si="2015"/>
        <v>InitUnitNormal('IT04',,,,,,,,,,)</v>
      </c>
      <c r="CP128" s="7" t="str">
        <f t="shared" si="2016"/>
        <v>InitUnitMagic('IT04',,,,,,,,,,)</v>
      </c>
      <c r="CQ128" s="7" t="str">
        <f t="shared" si="2017"/>
        <v>InitUnitAdd('IT04',,,,,,,,,,)</v>
      </c>
      <c r="CR128" s="7" t="str">
        <f t="shared" si="2018"/>
        <v>InitEquipData('IT04',,"",,,,,'','','','','','',"ReplaceableTextures\\CommandButtons\\BTNTome.blp")</v>
      </c>
      <c r="CU128" s="45" t="str">
        <f t="shared" si="2019"/>
        <v>|n</v>
      </c>
      <c r="CV128" s="29" t="str">
        <f t="shared" si="2020"/>
        <v>境界挑战4</v>
      </c>
      <c r="CW128" s="24"/>
      <c r="CX128" s="24"/>
      <c r="CY128" s="24"/>
      <c r="CZ128" s="24"/>
      <c r="DA128" s="24"/>
      <c r="DB128" s="30" t="str">
        <f t="shared" si="2021"/>
        <v/>
      </c>
      <c r="DC128" s="30" t="str">
        <f t="shared" si="2022"/>
        <v/>
      </c>
      <c r="DD128" s="30" t="str">
        <f t="shared" si="2023"/>
        <v/>
      </c>
      <c r="DE128" s="30" t="str">
        <f t="shared" si="2024"/>
        <v/>
      </c>
      <c r="DF128" s="30" t="str">
        <f t="shared" si="2025"/>
        <v/>
      </c>
      <c r="DG128" s="30" t="str">
        <f t="shared" si="2026"/>
        <v/>
      </c>
      <c r="DH128" s="30" t="str">
        <f t="shared" si="2027"/>
        <v/>
      </c>
      <c r="DI128" s="30" t="str">
        <f t="shared" si="2028"/>
        <v/>
      </c>
      <c r="DJ128" s="30" t="str">
        <f t="shared" si="2029"/>
        <v/>
      </c>
      <c r="DK128" s="30" t="str">
        <f t="shared" si="2030"/>
        <v/>
      </c>
      <c r="DL128" s="30" t="str">
        <f t="shared" si="2031"/>
        <v/>
      </c>
      <c r="DM128" s="30" t="str">
        <f t="shared" si="2032"/>
        <v/>
      </c>
      <c r="DN128" s="30" t="str">
        <f t="shared" si="2033"/>
        <v/>
      </c>
      <c r="DO128" s="30" t="str">
        <f t="shared" si="2034"/>
        <v/>
      </c>
      <c r="DP128" s="30" t="str">
        <f t="shared" si="2035"/>
        <v/>
      </c>
      <c r="DQ128" s="30" t="str">
        <f t="shared" si="2036"/>
        <v/>
      </c>
      <c r="DR128" s="30" t="str">
        <f t="shared" si="2037"/>
        <v/>
      </c>
      <c r="DS128" s="30" t="str">
        <f t="shared" si="2038"/>
        <v/>
      </c>
      <c r="DT128" s="30" t="str">
        <f t="shared" si="2039"/>
        <v/>
      </c>
      <c r="DU128" s="30" t="str">
        <f t="shared" si="2040"/>
        <v/>
      </c>
      <c r="DV128" s="30" t="str">
        <f t="shared" si="2041"/>
        <v/>
      </c>
      <c r="DW128" s="30" t="str">
        <f t="shared" si="2042"/>
        <v/>
      </c>
      <c r="DX128" s="30" t="str">
        <f t="shared" si="2043"/>
        <v/>
      </c>
      <c r="DY128" s="30" t="str">
        <f t="shared" si="2044"/>
        <v/>
      </c>
      <c r="DZ128" s="30" t="str">
        <f t="shared" si="2045"/>
        <v/>
      </c>
      <c r="EA128" s="30" t="str">
        <f t="shared" si="2046"/>
        <v/>
      </c>
      <c r="EB128" s="30" t="str">
        <f t="shared" si="2047"/>
        <v/>
      </c>
      <c r="EC128" s="30" t="str">
        <f t="shared" si="2048"/>
        <v/>
      </c>
      <c r="ED128" s="30" t="str">
        <f t="shared" si="2049"/>
        <v/>
      </c>
      <c r="EE128" s="30" t="str">
        <f t="shared" si="2050"/>
        <v/>
      </c>
      <c r="EF128" s="30" t="str">
        <f t="shared" si="2051"/>
        <v/>
      </c>
      <c r="EG128" s="30" t="str">
        <f t="shared" si="2052"/>
        <v/>
      </c>
      <c r="EH128" s="30" t="str">
        <f t="shared" si="2053"/>
        <v/>
      </c>
      <c r="EI128" s="30" t="str">
        <f t="shared" si="2054"/>
        <v/>
      </c>
      <c r="EJ128" s="30" t="str">
        <f t="shared" si="2055"/>
        <v/>
      </c>
      <c r="EK128" s="30" t="str">
        <f t="shared" si="2056"/>
        <v/>
      </c>
      <c r="EL128" s="30" t="str">
        <f t="shared" si="2057"/>
        <v/>
      </c>
      <c r="EM128" s="30" t="str">
        <f t="shared" si="2058"/>
        <v/>
      </c>
      <c r="EN128" s="30" t="str">
        <f t="shared" si="2059"/>
        <v/>
      </c>
      <c r="EO128" s="30" t="str">
        <f t="shared" si="2060"/>
        <v/>
      </c>
      <c r="EP128" s="30" t="str">
        <f t="shared" si="2061"/>
        <v/>
      </c>
      <c r="EQ128" s="30" t="str">
        <f t="shared" si="2062"/>
        <v/>
      </c>
      <c r="ER128" s="30" t="str">
        <f t="shared" si="2063"/>
        <v/>
      </c>
      <c r="ES128" s="30" t="str">
        <f t="shared" si="2064"/>
        <v/>
      </c>
      <c r="ET128" s="30" t="str">
        <f t="shared" si="2065"/>
        <v/>
      </c>
      <c r="EU128" s="30" t="str">
        <f t="shared" si="2066"/>
        <v/>
      </c>
      <c r="EV128" s="30" t="str">
        <f t="shared" si="2067"/>
        <v/>
      </c>
      <c r="EW128" s="30" t="str">
        <f t="shared" si="2068"/>
        <v/>
      </c>
      <c r="EX128" s="30" t="str">
        <f t="shared" si="2069"/>
        <v/>
      </c>
      <c r="EY128" s="30" t="str">
        <f t="shared" si="2070"/>
        <v/>
      </c>
      <c r="EZ128" s="30" t="str">
        <f t="shared" si="2071"/>
        <v/>
      </c>
      <c r="FA128" s="30" t="str">
        <f t="shared" si="2072"/>
        <v/>
      </c>
      <c r="FB128" s="30" t="str">
        <f t="shared" si="2073"/>
        <v/>
      </c>
      <c r="FC128" s="30" t="str">
        <f t="shared" si="2074"/>
        <v/>
      </c>
      <c r="FD128" s="30" t="str">
        <f t="shared" si="2075"/>
        <v/>
      </c>
      <c r="FE128" s="30" t="str">
        <f t="shared" si="2076"/>
        <v/>
      </c>
      <c r="FF128" s="30" t="str">
        <f t="shared" si="2077"/>
        <v/>
      </c>
      <c r="FG128" s="30" t="str">
        <f t="shared" si="2078"/>
        <v/>
      </c>
      <c r="FH128" s="30" t="str">
        <f t="shared" si="2079"/>
        <v/>
      </c>
      <c r="FI128" s="30" t="str">
        <f t="shared" si="2080"/>
        <v/>
      </c>
      <c r="FJ128" s="30" t="str">
        <f t="shared" si="2081"/>
        <v/>
      </c>
      <c r="FK128" s="30" t="str">
        <f t="shared" si="2082"/>
        <v/>
      </c>
      <c r="FL128" s="30" t="str">
        <f t="shared" si="2083"/>
        <v/>
      </c>
      <c r="FM128" s="30" t="str">
        <f t="shared" si="2084"/>
        <v/>
      </c>
      <c r="FN128" s="30" t="str">
        <f t="shared" si="2085"/>
        <v/>
      </c>
      <c r="FO128" s="30" t="str">
        <f t="shared" si="2086"/>
        <v/>
      </c>
      <c r="FP128" s="30" t="str">
        <f t="shared" si="2087"/>
        <v/>
      </c>
      <c r="FQ128" s="30" t="str">
        <f t="shared" si="2088"/>
        <v/>
      </c>
      <c r="FR128" s="30" t="str">
        <f t="shared" si="2089"/>
        <v/>
      </c>
      <c r="FS128" s="30" t="str">
        <f t="shared" si="2090"/>
        <v/>
      </c>
    </row>
    <row r="129" spans="1:175" ht="16.5">
      <c r="A129" s="117"/>
      <c r="B129" s="111" t="s">
        <v>866</v>
      </c>
      <c r="C129" s="117" t="s">
        <v>867</v>
      </c>
      <c r="R129" s="25">
        <v>-8110</v>
      </c>
      <c r="S129" s="25">
        <v>1810</v>
      </c>
      <c r="T129" s="117" t="s">
        <v>867</v>
      </c>
      <c r="U129" s="37" t="s">
        <v>822</v>
      </c>
      <c r="CN129" s="7" t="str">
        <f t="shared" si="2014"/>
        <v>InitUnitState('IT05',,,,,,,,,,)</v>
      </c>
      <c r="CO129" s="7" t="str">
        <f t="shared" si="2015"/>
        <v>InitUnitNormal('IT05',,,,,,,,,,)</v>
      </c>
      <c r="CP129" s="7" t="str">
        <f t="shared" si="2016"/>
        <v>InitUnitMagic('IT05',,,,,,,,,,)</v>
      </c>
      <c r="CQ129" s="7" t="str">
        <f t="shared" si="2017"/>
        <v>InitUnitAdd('IT05',,,,,,,,,,)</v>
      </c>
      <c r="CR129" s="7" t="str">
        <f t="shared" si="2018"/>
        <v>InitEquipData('IT05',,"",,,,,'','','','','','',"ReplaceableTextures\\CommandButtons\\BTNTome.blp")</v>
      </c>
      <c r="CU129" s="45" t="str">
        <f t="shared" si="2019"/>
        <v>|n</v>
      </c>
      <c r="CV129" s="29" t="str">
        <f t="shared" si="2020"/>
        <v>境界挑战5</v>
      </c>
      <c r="CW129" s="24"/>
      <c r="CX129" s="24"/>
      <c r="CY129" s="24"/>
      <c r="CZ129" s="24"/>
      <c r="DA129" s="24"/>
      <c r="DB129" s="30" t="str">
        <f t="shared" si="2021"/>
        <v/>
      </c>
      <c r="DC129" s="30" t="str">
        <f t="shared" si="2022"/>
        <v/>
      </c>
      <c r="DD129" s="30" t="str">
        <f t="shared" si="2023"/>
        <v/>
      </c>
      <c r="DE129" s="30" t="str">
        <f t="shared" si="2024"/>
        <v/>
      </c>
      <c r="DF129" s="30" t="str">
        <f t="shared" si="2025"/>
        <v/>
      </c>
      <c r="DG129" s="30" t="str">
        <f t="shared" si="2026"/>
        <v/>
      </c>
      <c r="DH129" s="30" t="str">
        <f t="shared" si="2027"/>
        <v/>
      </c>
      <c r="DI129" s="30" t="str">
        <f t="shared" si="2028"/>
        <v/>
      </c>
      <c r="DJ129" s="30" t="str">
        <f t="shared" si="2029"/>
        <v/>
      </c>
      <c r="DK129" s="30" t="str">
        <f t="shared" si="2030"/>
        <v/>
      </c>
      <c r="DL129" s="30" t="str">
        <f t="shared" si="2031"/>
        <v/>
      </c>
      <c r="DM129" s="30" t="str">
        <f t="shared" si="2032"/>
        <v/>
      </c>
      <c r="DN129" s="30" t="str">
        <f t="shared" si="2033"/>
        <v/>
      </c>
      <c r="DO129" s="30" t="str">
        <f t="shared" si="2034"/>
        <v/>
      </c>
      <c r="DP129" s="30" t="str">
        <f t="shared" si="2035"/>
        <v/>
      </c>
      <c r="DQ129" s="30" t="str">
        <f t="shared" si="2036"/>
        <v/>
      </c>
      <c r="DR129" s="30" t="str">
        <f t="shared" si="2037"/>
        <v/>
      </c>
      <c r="DS129" s="30" t="str">
        <f t="shared" si="2038"/>
        <v/>
      </c>
      <c r="DT129" s="30" t="str">
        <f t="shared" si="2039"/>
        <v/>
      </c>
      <c r="DU129" s="30" t="str">
        <f t="shared" si="2040"/>
        <v/>
      </c>
      <c r="DV129" s="30" t="str">
        <f t="shared" si="2041"/>
        <v/>
      </c>
      <c r="DW129" s="30" t="str">
        <f t="shared" si="2042"/>
        <v/>
      </c>
      <c r="DX129" s="30" t="str">
        <f t="shared" si="2043"/>
        <v/>
      </c>
      <c r="DY129" s="30" t="str">
        <f t="shared" si="2044"/>
        <v/>
      </c>
      <c r="DZ129" s="30" t="str">
        <f t="shared" si="2045"/>
        <v/>
      </c>
      <c r="EA129" s="30" t="str">
        <f t="shared" si="2046"/>
        <v/>
      </c>
      <c r="EB129" s="30" t="str">
        <f t="shared" si="2047"/>
        <v/>
      </c>
      <c r="EC129" s="30" t="str">
        <f t="shared" si="2048"/>
        <v/>
      </c>
      <c r="ED129" s="30" t="str">
        <f t="shared" si="2049"/>
        <v/>
      </c>
      <c r="EE129" s="30" t="str">
        <f t="shared" si="2050"/>
        <v/>
      </c>
      <c r="EF129" s="30" t="str">
        <f t="shared" si="2051"/>
        <v/>
      </c>
      <c r="EG129" s="30" t="str">
        <f t="shared" si="2052"/>
        <v/>
      </c>
      <c r="EH129" s="30" t="str">
        <f t="shared" si="2053"/>
        <v/>
      </c>
      <c r="EI129" s="30" t="str">
        <f t="shared" si="2054"/>
        <v/>
      </c>
      <c r="EJ129" s="30" t="str">
        <f t="shared" si="2055"/>
        <v/>
      </c>
      <c r="EK129" s="30" t="str">
        <f t="shared" si="2056"/>
        <v/>
      </c>
      <c r="EL129" s="30" t="str">
        <f t="shared" si="2057"/>
        <v/>
      </c>
      <c r="EM129" s="30" t="str">
        <f t="shared" si="2058"/>
        <v/>
      </c>
      <c r="EN129" s="30" t="str">
        <f t="shared" si="2059"/>
        <v/>
      </c>
      <c r="EO129" s="30" t="str">
        <f t="shared" si="2060"/>
        <v/>
      </c>
      <c r="EP129" s="30" t="str">
        <f t="shared" si="2061"/>
        <v/>
      </c>
      <c r="EQ129" s="30" t="str">
        <f t="shared" si="2062"/>
        <v/>
      </c>
      <c r="ER129" s="30" t="str">
        <f t="shared" si="2063"/>
        <v/>
      </c>
      <c r="ES129" s="30" t="str">
        <f t="shared" si="2064"/>
        <v/>
      </c>
      <c r="ET129" s="30" t="str">
        <f t="shared" si="2065"/>
        <v/>
      </c>
      <c r="EU129" s="30" t="str">
        <f t="shared" si="2066"/>
        <v/>
      </c>
      <c r="EV129" s="30" t="str">
        <f t="shared" si="2067"/>
        <v/>
      </c>
      <c r="EW129" s="30" t="str">
        <f t="shared" si="2068"/>
        <v/>
      </c>
      <c r="EX129" s="30" t="str">
        <f t="shared" si="2069"/>
        <v/>
      </c>
      <c r="EY129" s="30" t="str">
        <f t="shared" si="2070"/>
        <v/>
      </c>
      <c r="EZ129" s="30" t="str">
        <f t="shared" si="2071"/>
        <v/>
      </c>
      <c r="FA129" s="30" t="str">
        <f t="shared" si="2072"/>
        <v/>
      </c>
      <c r="FB129" s="30" t="str">
        <f t="shared" si="2073"/>
        <v/>
      </c>
      <c r="FC129" s="30" t="str">
        <f t="shared" si="2074"/>
        <v/>
      </c>
      <c r="FD129" s="30" t="str">
        <f t="shared" si="2075"/>
        <v/>
      </c>
      <c r="FE129" s="30" t="str">
        <f t="shared" si="2076"/>
        <v/>
      </c>
      <c r="FF129" s="30" t="str">
        <f t="shared" si="2077"/>
        <v/>
      </c>
      <c r="FG129" s="30" t="str">
        <f t="shared" si="2078"/>
        <v/>
      </c>
      <c r="FH129" s="30" t="str">
        <f t="shared" si="2079"/>
        <v/>
      </c>
      <c r="FI129" s="30" t="str">
        <f t="shared" si="2080"/>
        <v/>
      </c>
      <c r="FJ129" s="30" t="str">
        <f t="shared" si="2081"/>
        <v/>
      </c>
      <c r="FK129" s="30" t="str">
        <f t="shared" si="2082"/>
        <v/>
      </c>
      <c r="FL129" s="30" t="str">
        <f t="shared" si="2083"/>
        <v/>
      </c>
      <c r="FM129" s="30" t="str">
        <f t="shared" si="2084"/>
        <v/>
      </c>
      <c r="FN129" s="30" t="str">
        <f t="shared" si="2085"/>
        <v/>
      </c>
      <c r="FO129" s="30" t="str">
        <f t="shared" si="2086"/>
        <v/>
      </c>
      <c r="FP129" s="30" t="str">
        <f t="shared" si="2087"/>
        <v/>
      </c>
      <c r="FQ129" s="30" t="str">
        <f t="shared" si="2088"/>
        <v/>
      </c>
      <c r="FR129" s="30" t="str">
        <f t="shared" si="2089"/>
        <v/>
      </c>
      <c r="FS129" s="30" t="str">
        <f t="shared" si="2090"/>
        <v/>
      </c>
    </row>
    <row r="130" spans="1:175" ht="16.5">
      <c r="A130" s="117"/>
      <c r="B130" s="111" t="s">
        <v>868</v>
      </c>
      <c r="C130" s="117" t="s">
        <v>869</v>
      </c>
      <c r="R130" s="25">
        <v>-7896</v>
      </c>
      <c r="S130" s="25">
        <v>3839</v>
      </c>
      <c r="T130" s="117" t="s">
        <v>869</v>
      </c>
      <c r="U130" s="37" t="s">
        <v>822</v>
      </c>
      <c r="CN130" s="7" t="str">
        <f t="shared" si="2014"/>
        <v>InitUnitState('IT06',,,,,,,,,,)</v>
      </c>
      <c r="CO130" s="7" t="str">
        <f t="shared" si="2015"/>
        <v>InitUnitNormal('IT06',,,,,,,,,,)</v>
      </c>
      <c r="CP130" s="7" t="str">
        <f t="shared" si="2016"/>
        <v>InitUnitMagic('IT06',,,,,,,,,,)</v>
      </c>
      <c r="CQ130" s="7" t="str">
        <f t="shared" si="2017"/>
        <v>InitUnitAdd('IT06',,,,,,,,,,)</v>
      </c>
      <c r="CR130" s="7" t="str">
        <f t="shared" si="2018"/>
        <v>InitEquipData('IT06',,"",,,,,'','','','','','',"ReplaceableTextures\\CommandButtons\\BTNTome.blp")</v>
      </c>
      <c r="CU130" s="45" t="str">
        <f t="shared" si="2019"/>
        <v>|n</v>
      </c>
      <c r="CV130" s="29" t="str">
        <f t="shared" si="2020"/>
        <v>境界挑战6</v>
      </c>
      <c r="CW130" s="24"/>
      <c r="CX130" s="24"/>
      <c r="CY130" s="24"/>
      <c r="CZ130" s="24"/>
      <c r="DA130" s="24"/>
      <c r="DB130" s="30" t="str">
        <f t="shared" si="2021"/>
        <v/>
      </c>
      <c r="DC130" s="30" t="str">
        <f t="shared" si="2022"/>
        <v/>
      </c>
      <c r="DD130" s="30" t="str">
        <f t="shared" si="2023"/>
        <v/>
      </c>
      <c r="DE130" s="30" t="str">
        <f t="shared" si="2024"/>
        <v/>
      </c>
      <c r="DF130" s="30" t="str">
        <f t="shared" si="2025"/>
        <v/>
      </c>
      <c r="DG130" s="30" t="str">
        <f t="shared" si="2026"/>
        <v/>
      </c>
      <c r="DH130" s="30" t="str">
        <f t="shared" si="2027"/>
        <v/>
      </c>
      <c r="DI130" s="30" t="str">
        <f t="shared" si="2028"/>
        <v/>
      </c>
      <c r="DJ130" s="30" t="str">
        <f t="shared" si="2029"/>
        <v/>
      </c>
      <c r="DK130" s="30" t="str">
        <f t="shared" si="2030"/>
        <v/>
      </c>
      <c r="DL130" s="30" t="str">
        <f t="shared" si="2031"/>
        <v/>
      </c>
      <c r="DM130" s="30" t="str">
        <f t="shared" si="2032"/>
        <v/>
      </c>
      <c r="DN130" s="30" t="str">
        <f t="shared" si="2033"/>
        <v/>
      </c>
      <c r="DO130" s="30" t="str">
        <f t="shared" si="2034"/>
        <v/>
      </c>
      <c r="DP130" s="30" t="str">
        <f t="shared" si="2035"/>
        <v/>
      </c>
      <c r="DQ130" s="30" t="str">
        <f t="shared" si="2036"/>
        <v/>
      </c>
      <c r="DR130" s="30" t="str">
        <f t="shared" si="2037"/>
        <v/>
      </c>
      <c r="DS130" s="30" t="str">
        <f t="shared" si="2038"/>
        <v/>
      </c>
      <c r="DT130" s="30" t="str">
        <f t="shared" si="2039"/>
        <v/>
      </c>
      <c r="DU130" s="30" t="str">
        <f t="shared" si="2040"/>
        <v/>
      </c>
      <c r="DV130" s="30" t="str">
        <f t="shared" si="2041"/>
        <v/>
      </c>
      <c r="DW130" s="30" t="str">
        <f t="shared" si="2042"/>
        <v/>
      </c>
      <c r="DX130" s="30" t="str">
        <f t="shared" si="2043"/>
        <v/>
      </c>
      <c r="DY130" s="30" t="str">
        <f t="shared" si="2044"/>
        <v/>
      </c>
      <c r="DZ130" s="30" t="str">
        <f t="shared" si="2045"/>
        <v/>
      </c>
      <c r="EA130" s="30" t="str">
        <f t="shared" si="2046"/>
        <v/>
      </c>
      <c r="EB130" s="30" t="str">
        <f t="shared" si="2047"/>
        <v/>
      </c>
      <c r="EC130" s="30" t="str">
        <f t="shared" si="2048"/>
        <v/>
      </c>
      <c r="ED130" s="30" t="str">
        <f t="shared" si="2049"/>
        <v/>
      </c>
      <c r="EE130" s="30" t="str">
        <f t="shared" si="2050"/>
        <v/>
      </c>
      <c r="EF130" s="30" t="str">
        <f t="shared" si="2051"/>
        <v/>
      </c>
      <c r="EG130" s="30" t="str">
        <f t="shared" si="2052"/>
        <v/>
      </c>
      <c r="EH130" s="30" t="str">
        <f t="shared" si="2053"/>
        <v/>
      </c>
      <c r="EI130" s="30" t="str">
        <f t="shared" si="2054"/>
        <v/>
      </c>
      <c r="EJ130" s="30" t="str">
        <f t="shared" si="2055"/>
        <v/>
      </c>
      <c r="EK130" s="30" t="str">
        <f t="shared" si="2056"/>
        <v/>
      </c>
      <c r="EL130" s="30" t="str">
        <f t="shared" si="2057"/>
        <v/>
      </c>
      <c r="EM130" s="30" t="str">
        <f t="shared" si="2058"/>
        <v/>
      </c>
      <c r="EN130" s="30" t="str">
        <f t="shared" si="2059"/>
        <v/>
      </c>
      <c r="EO130" s="30" t="str">
        <f t="shared" si="2060"/>
        <v/>
      </c>
      <c r="EP130" s="30" t="str">
        <f t="shared" si="2061"/>
        <v/>
      </c>
      <c r="EQ130" s="30" t="str">
        <f t="shared" si="2062"/>
        <v/>
      </c>
      <c r="ER130" s="30" t="str">
        <f t="shared" si="2063"/>
        <v/>
      </c>
      <c r="ES130" s="30" t="str">
        <f t="shared" si="2064"/>
        <v/>
      </c>
      <c r="ET130" s="30" t="str">
        <f t="shared" si="2065"/>
        <v/>
      </c>
      <c r="EU130" s="30" t="str">
        <f t="shared" si="2066"/>
        <v/>
      </c>
      <c r="EV130" s="30" t="str">
        <f t="shared" si="2067"/>
        <v/>
      </c>
      <c r="EW130" s="30" t="str">
        <f t="shared" si="2068"/>
        <v/>
      </c>
      <c r="EX130" s="30" t="str">
        <f t="shared" si="2069"/>
        <v/>
      </c>
      <c r="EY130" s="30" t="str">
        <f t="shared" si="2070"/>
        <v/>
      </c>
      <c r="EZ130" s="30" t="str">
        <f t="shared" si="2071"/>
        <v/>
      </c>
      <c r="FA130" s="30" t="str">
        <f t="shared" si="2072"/>
        <v/>
      </c>
      <c r="FB130" s="30" t="str">
        <f t="shared" si="2073"/>
        <v/>
      </c>
      <c r="FC130" s="30" t="str">
        <f t="shared" si="2074"/>
        <v/>
      </c>
      <c r="FD130" s="30" t="str">
        <f t="shared" si="2075"/>
        <v/>
      </c>
      <c r="FE130" s="30" t="str">
        <f t="shared" si="2076"/>
        <v/>
      </c>
      <c r="FF130" s="30" t="str">
        <f t="shared" si="2077"/>
        <v/>
      </c>
      <c r="FG130" s="30" t="str">
        <f t="shared" si="2078"/>
        <v/>
      </c>
      <c r="FH130" s="30" t="str">
        <f t="shared" si="2079"/>
        <v/>
      </c>
      <c r="FI130" s="30" t="str">
        <f t="shared" si="2080"/>
        <v/>
      </c>
      <c r="FJ130" s="30" t="str">
        <f t="shared" si="2081"/>
        <v/>
      </c>
      <c r="FK130" s="30" t="str">
        <f t="shared" si="2082"/>
        <v/>
      </c>
      <c r="FL130" s="30" t="str">
        <f t="shared" si="2083"/>
        <v/>
      </c>
      <c r="FM130" s="30" t="str">
        <f t="shared" si="2084"/>
        <v/>
      </c>
      <c r="FN130" s="30" t="str">
        <f t="shared" si="2085"/>
        <v/>
      </c>
      <c r="FO130" s="30" t="str">
        <f t="shared" si="2086"/>
        <v/>
      </c>
      <c r="FP130" s="30" t="str">
        <f t="shared" si="2087"/>
        <v/>
      </c>
      <c r="FQ130" s="30" t="str">
        <f t="shared" si="2088"/>
        <v/>
      </c>
      <c r="FR130" s="30" t="str">
        <f t="shared" si="2089"/>
        <v/>
      </c>
      <c r="FS130" s="30" t="str">
        <f t="shared" si="2090"/>
        <v/>
      </c>
    </row>
    <row r="131" spans="1:175" ht="16.5">
      <c r="A131" s="117"/>
      <c r="B131" s="111" t="s">
        <v>870</v>
      </c>
      <c r="C131" s="117" t="s">
        <v>871</v>
      </c>
      <c r="R131" s="25">
        <v>-7896</v>
      </c>
      <c r="S131" s="25">
        <v>5906</v>
      </c>
      <c r="T131" s="117" t="s">
        <v>871</v>
      </c>
      <c r="U131" s="37" t="s">
        <v>822</v>
      </c>
      <c r="CN131" s="7" t="str">
        <f t="shared" si="2014"/>
        <v>InitUnitState('IT07',,,,,,,,,,)</v>
      </c>
      <c r="CO131" s="7" t="str">
        <f t="shared" si="2015"/>
        <v>InitUnitNormal('IT07',,,,,,,,,,)</v>
      </c>
      <c r="CP131" s="7" t="str">
        <f t="shared" si="2016"/>
        <v>InitUnitMagic('IT07',,,,,,,,,,)</v>
      </c>
      <c r="CQ131" s="7" t="str">
        <f t="shared" si="2017"/>
        <v>InitUnitAdd('IT07',,,,,,,,,,)</v>
      </c>
      <c r="CR131" s="7" t="str">
        <f t="shared" si="2018"/>
        <v>InitEquipData('IT07',,"",,,,,'','','','','','',"ReplaceableTextures\\CommandButtons\\BTNTome.blp")</v>
      </c>
      <c r="CU131" s="45" t="str">
        <f t="shared" si="2019"/>
        <v>|n</v>
      </c>
      <c r="CV131" s="29" t="str">
        <f t="shared" si="2020"/>
        <v>境界挑战7</v>
      </c>
      <c r="CW131" s="24"/>
      <c r="CX131" s="24"/>
      <c r="CY131" s="24"/>
      <c r="CZ131" s="24"/>
      <c r="DA131" s="24"/>
      <c r="DB131" s="30" t="str">
        <f t="shared" si="2021"/>
        <v/>
      </c>
      <c r="DC131" s="30" t="str">
        <f t="shared" si="2022"/>
        <v/>
      </c>
      <c r="DD131" s="30" t="str">
        <f t="shared" si="2023"/>
        <v/>
      </c>
      <c r="DE131" s="30" t="str">
        <f t="shared" si="2024"/>
        <v/>
      </c>
      <c r="DF131" s="30" t="str">
        <f t="shared" si="2025"/>
        <v/>
      </c>
      <c r="DG131" s="30" t="str">
        <f t="shared" si="2026"/>
        <v/>
      </c>
      <c r="DH131" s="30" t="str">
        <f t="shared" si="2027"/>
        <v/>
      </c>
      <c r="DI131" s="30" t="str">
        <f t="shared" si="2028"/>
        <v/>
      </c>
      <c r="DJ131" s="30" t="str">
        <f t="shared" si="2029"/>
        <v/>
      </c>
      <c r="DK131" s="30" t="str">
        <f t="shared" si="2030"/>
        <v/>
      </c>
      <c r="DL131" s="30" t="str">
        <f t="shared" si="2031"/>
        <v/>
      </c>
      <c r="DM131" s="30" t="str">
        <f t="shared" si="2032"/>
        <v/>
      </c>
      <c r="DN131" s="30" t="str">
        <f t="shared" si="2033"/>
        <v/>
      </c>
      <c r="DO131" s="30" t="str">
        <f t="shared" si="2034"/>
        <v/>
      </c>
      <c r="DP131" s="30" t="str">
        <f t="shared" si="2035"/>
        <v/>
      </c>
      <c r="DQ131" s="30" t="str">
        <f t="shared" si="2036"/>
        <v/>
      </c>
      <c r="DR131" s="30" t="str">
        <f t="shared" si="2037"/>
        <v/>
      </c>
      <c r="DS131" s="30" t="str">
        <f t="shared" si="2038"/>
        <v/>
      </c>
      <c r="DT131" s="30" t="str">
        <f t="shared" si="2039"/>
        <v/>
      </c>
      <c r="DU131" s="30" t="str">
        <f t="shared" si="2040"/>
        <v/>
      </c>
      <c r="DV131" s="30" t="str">
        <f t="shared" si="2041"/>
        <v/>
      </c>
      <c r="DW131" s="30" t="str">
        <f t="shared" si="2042"/>
        <v/>
      </c>
      <c r="DX131" s="30" t="str">
        <f t="shared" si="2043"/>
        <v/>
      </c>
      <c r="DY131" s="30" t="str">
        <f t="shared" si="2044"/>
        <v/>
      </c>
      <c r="DZ131" s="30" t="str">
        <f t="shared" si="2045"/>
        <v/>
      </c>
      <c r="EA131" s="30" t="str">
        <f t="shared" si="2046"/>
        <v/>
      </c>
      <c r="EB131" s="30" t="str">
        <f t="shared" si="2047"/>
        <v/>
      </c>
      <c r="EC131" s="30" t="str">
        <f t="shared" si="2048"/>
        <v/>
      </c>
      <c r="ED131" s="30" t="str">
        <f t="shared" si="2049"/>
        <v/>
      </c>
      <c r="EE131" s="30" t="str">
        <f t="shared" si="2050"/>
        <v/>
      </c>
      <c r="EF131" s="30" t="str">
        <f t="shared" si="2051"/>
        <v/>
      </c>
      <c r="EG131" s="30" t="str">
        <f t="shared" si="2052"/>
        <v/>
      </c>
      <c r="EH131" s="30" t="str">
        <f t="shared" si="2053"/>
        <v/>
      </c>
      <c r="EI131" s="30" t="str">
        <f t="shared" si="2054"/>
        <v/>
      </c>
      <c r="EJ131" s="30" t="str">
        <f t="shared" si="2055"/>
        <v/>
      </c>
      <c r="EK131" s="30" t="str">
        <f t="shared" si="2056"/>
        <v/>
      </c>
      <c r="EL131" s="30" t="str">
        <f t="shared" si="2057"/>
        <v/>
      </c>
      <c r="EM131" s="30" t="str">
        <f t="shared" si="2058"/>
        <v/>
      </c>
      <c r="EN131" s="30" t="str">
        <f t="shared" si="2059"/>
        <v/>
      </c>
      <c r="EO131" s="30" t="str">
        <f t="shared" si="2060"/>
        <v/>
      </c>
      <c r="EP131" s="30" t="str">
        <f t="shared" si="2061"/>
        <v/>
      </c>
      <c r="EQ131" s="30" t="str">
        <f t="shared" si="2062"/>
        <v/>
      </c>
      <c r="ER131" s="30" t="str">
        <f t="shared" si="2063"/>
        <v/>
      </c>
      <c r="ES131" s="30" t="str">
        <f t="shared" si="2064"/>
        <v/>
      </c>
      <c r="ET131" s="30" t="str">
        <f t="shared" si="2065"/>
        <v/>
      </c>
      <c r="EU131" s="30" t="str">
        <f t="shared" si="2066"/>
        <v/>
      </c>
      <c r="EV131" s="30" t="str">
        <f t="shared" si="2067"/>
        <v/>
      </c>
      <c r="EW131" s="30" t="str">
        <f t="shared" si="2068"/>
        <v/>
      </c>
      <c r="EX131" s="30" t="str">
        <f t="shared" si="2069"/>
        <v/>
      </c>
      <c r="EY131" s="30" t="str">
        <f t="shared" si="2070"/>
        <v/>
      </c>
      <c r="EZ131" s="30" t="str">
        <f t="shared" si="2071"/>
        <v/>
      </c>
      <c r="FA131" s="30" t="str">
        <f t="shared" si="2072"/>
        <v/>
      </c>
      <c r="FB131" s="30" t="str">
        <f t="shared" si="2073"/>
        <v/>
      </c>
      <c r="FC131" s="30" t="str">
        <f t="shared" si="2074"/>
        <v/>
      </c>
      <c r="FD131" s="30" t="str">
        <f t="shared" si="2075"/>
        <v/>
      </c>
      <c r="FE131" s="30" t="str">
        <f t="shared" si="2076"/>
        <v/>
      </c>
      <c r="FF131" s="30" t="str">
        <f t="shared" si="2077"/>
        <v/>
      </c>
      <c r="FG131" s="30" t="str">
        <f t="shared" si="2078"/>
        <v/>
      </c>
      <c r="FH131" s="30" t="str">
        <f t="shared" si="2079"/>
        <v/>
      </c>
      <c r="FI131" s="30" t="str">
        <f t="shared" si="2080"/>
        <v/>
      </c>
      <c r="FJ131" s="30" t="str">
        <f t="shared" si="2081"/>
        <v/>
      </c>
      <c r="FK131" s="30" t="str">
        <f t="shared" si="2082"/>
        <v/>
      </c>
      <c r="FL131" s="30" t="str">
        <f t="shared" si="2083"/>
        <v/>
      </c>
      <c r="FM131" s="30" t="str">
        <f t="shared" si="2084"/>
        <v/>
      </c>
      <c r="FN131" s="30" t="str">
        <f t="shared" si="2085"/>
        <v/>
      </c>
      <c r="FO131" s="30" t="str">
        <f t="shared" si="2086"/>
        <v/>
      </c>
      <c r="FP131" s="30" t="str">
        <f t="shared" si="2087"/>
        <v/>
      </c>
      <c r="FQ131" s="30" t="str">
        <f t="shared" si="2088"/>
        <v/>
      </c>
      <c r="FR131" s="30" t="str">
        <f t="shared" si="2089"/>
        <v/>
      </c>
      <c r="FS131" s="30" t="str">
        <f t="shared" si="2090"/>
        <v/>
      </c>
    </row>
    <row r="132" spans="1:175" ht="16.5">
      <c r="A132" s="117" t="s">
        <v>913</v>
      </c>
      <c r="B132" s="111" t="s">
        <v>872</v>
      </c>
      <c r="C132" s="117" t="s">
        <v>873</v>
      </c>
      <c r="R132" s="25">
        <v>-7970</v>
      </c>
      <c r="S132" s="25">
        <v>7965</v>
      </c>
      <c r="T132" s="117" t="s">
        <v>873</v>
      </c>
      <c r="U132" s="37" t="s">
        <v>822</v>
      </c>
      <c r="CN132" s="7" t="str">
        <f t="shared" si="2014"/>
        <v>InitUnitState('IT08',,,,,,,,,,)</v>
      </c>
      <c r="CO132" s="7" t="str">
        <f t="shared" si="2015"/>
        <v>InitUnitNormal('IT08',,,,,,,,,,)</v>
      </c>
      <c r="CP132" s="7" t="str">
        <f t="shared" si="2016"/>
        <v>InitUnitMagic('IT08',,,,,,,,,,)</v>
      </c>
      <c r="CQ132" s="7" t="str">
        <f t="shared" si="2017"/>
        <v>InitUnitAdd('IT08',,,,,,,,,,)</v>
      </c>
      <c r="CR132" s="7" t="str">
        <f t="shared" si="2018"/>
        <v>InitEquipData('IT08',,".",,,,,'','','','','','',"ReplaceableTextures\\CommandButtons\\BTNTome.blp")</v>
      </c>
      <c r="CU132" s="45" t="str">
        <f t="shared" si="2019"/>
        <v>|n</v>
      </c>
      <c r="CV132" s="29" t="str">
        <f t="shared" si="2020"/>
        <v>境界挑战8</v>
      </c>
      <c r="CW132" s="24"/>
      <c r="CX132" s="24"/>
      <c r="CY132" s="24"/>
      <c r="CZ132" s="24"/>
      <c r="DA132" s="24"/>
      <c r="DB132" s="30" t="str">
        <f t="shared" si="2021"/>
        <v/>
      </c>
      <c r="DC132" s="30" t="str">
        <f t="shared" si="2022"/>
        <v/>
      </c>
      <c r="DD132" s="30" t="str">
        <f t="shared" si="2023"/>
        <v/>
      </c>
      <c r="DE132" s="30" t="str">
        <f t="shared" si="2024"/>
        <v/>
      </c>
      <c r="DF132" s="30" t="str">
        <f t="shared" si="2025"/>
        <v/>
      </c>
      <c r="DG132" s="30" t="str">
        <f t="shared" si="2026"/>
        <v/>
      </c>
      <c r="DH132" s="30" t="str">
        <f t="shared" si="2027"/>
        <v/>
      </c>
      <c r="DI132" s="30" t="str">
        <f t="shared" si="2028"/>
        <v/>
      </c>
      <c r="DJ132" s="30" t="str">
        <f t="shared" si="2029"/>
        <v/>
      </c>
      <c r="DK132" s="30" t="str">
        <f t="shared" si="2030"/>
        <v/>
      </c>
      <c r="DL132" s="30" t="str">
        <f t="shared" si="2031"/>
        <v/>
      </c>
      <c r="DM132" s="30" t="str">
        <f t="shared" si="2032"/>
        <v/>
      </c>
      <c r="DN132" s="30" t="str">
        <f t="shared" si="2033"/>
        <v/>
      </c>
      <c r="DO132" s="30" t="str">
        <f t="shared" si="2034"/>
        <v/>
      </c>
      <c r="DP132" s="30" t="str">
        <f t="shared" si="2035"/>
        <v/>
      </c>
      <c r="DQ132" s="30" t="str">
        <f t="shared" si="2036"/>
        <v/>
      </c>
      <c r="DR132" s="30" t="str">
        <f t="shared" si="2037"/>
        <v/>
      </c>
      <c r="DS132" s="30" t="str">
        <f t="shared" si="2038"/>
        <v/>
      </c>
      <c r="DT132" s="30" t="str">
        <f t="shared" si="2039"/>
        <v/>
      </c>
      <c r="DU132" s="30" t="str">
        <f t="shared" si="2040"/>
        <v/>
      </c>
      <c r="DV132" s="30" t="str">
        <f t="shared" si="2041"/>
        <v/>
      </c>
      <c r="DW132" s="30" t="str">
        <f t="shared" si="2042"/>
        <v/>
      </c>
      <c r="DX132" s="30" t="str">
        <f t="shared" si="2043"/>
        <v/>
      </c>
      <c r="DY132" s="30" t="str">
        <f t="shared" si="2044"/>
        <v/>
      </c>
      <c r="DZ132" s="30" t="str">
        <f t="shared" si="2045"/>
        <v/>
      </c>
      <c r="EA132" s="30" t="str">
        <f t="shared" si="2046"/>
        <v/>
      </c>
      <c r="EB132" s="30" t="str">
        <f t="shared" si="2047"/>
        <v/>
      </c>
      <c r="EC132" s="30" t="str">
        <f t="shared" si="2048"/>
        <v/>
      </c>
      <c r="ED132" s="30" t="str">
        <f t="shared" si="2049"/>
        <v/>
      </c>
      <c r="EE132" s="30" t="str">
        <f t="shared" si="2050"/>
        <v/>
      </c>
      <c r="EF132" s="30" t="str">
        <f t="shared" si="2051"/>
        <v/>
      </c>
      <c r="EG132" s="30" t="str">
        <f t="shared" si="2052"/>
        <v/>
      </c>
      <c r="EH132" s="30" t="str">
        <f t="shared" si="2053"/>
        <v/>
      </c>
      <c r="EI132" s="30" t="str">
        <f t="shared" si="2054"/>
        <v/>
      </c>
      <c r="EJ132" s="30" t="str">
        <f t="shared" si="2055"/>
        <v/>
      </c>
      <c r="EK132" s="30" t="str">
        <f t="shared" si="2056"/>
        <v/>
      </c>
      <c r="EL132" s="30" t="str">
        <f t="shared" si="2057"/>
        <v/>
      </c>
      <c r="EM132" s="30" t="str">
        <f t="shared" si="2058"/>
        <v/>
      </c>
      <c r="EN132" s="30" t="str">
        <f t="shared" si="2059"/>
        <v/>
      </c>
      <c r="EO132" s="30" t="str">
        <f t="shared" si="2060"/>
        <v/>
      </c>
      <c r="EP132" s="30" t="str">
        <f t="shared" si="2061"/>
        <v/>
      </c>
      <c r="EQ132" s="30" t="str">
        <f t="shared" si="2062"/>
        <v/>
      </c>
      <c r="ER132" s="30" t="str">
        <f t="shared" si="2063"/>
        <v/>
      </c>
      <c r="ES132" s="30" t="str">
        <f t="shared" si="2064"/>
        <v/>
      </c>
      <c r="ET132" s="30" t="str">
        <f t="shared" si="2065"/>
        <v/>
      </c>
      <c r="EU132" s="30" t="str">
        <f t="shared" si="2066"/>
        <v/>
      </c>
      <c r="EV132" s="30" t="str">
        <f t="shared" si="2067"/>
        <v/>
      </c>
      <c r="EW132" s="30" t="str">
        <f t="shared" si="2068"/>
        <v/>
      </c>
      <c r="EX132" s="30" t="str">
        <f t="shared" si="2069"/>
        <v/>
      </c>
      <c r="EY132" s="30" t="str">
        <f t="shared" si="2070"/>
        <v/>
      </c>
      <c r="EZ132" s="30" t="str">
        <f t="shared" si="2071"/>
        <v/>
      </c>
      <c r="FA132" s="30" t="str">
        <f t="shared" si="2072"/>
        <v/>
      </c>
      <c r="FB132" s="30" t="str">
        <f t="shared" si="2073"/>
        <v/>
      </c>
      <c r="FC132" s="30" t="str">
        <f t="shared" si="2074"/>
        <v/>
      </c>
      <c r="FD132" s="30" t="str">
        <f t="shared" si="2075"/>
        <v/>
      </c>
      <c r="FE132" s="30" t="str">
        <f t="shared" si="2076"/>
        <v/>
      </c>
      <c r="FF132" s="30" t="str">
        <f t="shared" si="2077"/>
        <v/>
      </c>
      <c r="FG132" s="30" t="str">
        <f t="shared" si="2078"/>
        <v/>
      </c>
      <c r="FH132" s="30" t="str">
        <f t="shared" si="2079"/>
        <v/>
      </c>
      <c r="FI132" s="30" t="str">
        <f t="shared" si="2080"/>
        <v/>
      </c>
      <c r="FJ132" s="30" t="str">
        <f t="shared" si="2081"/>
        <v/>
      </c>
      <c r="FK132" s="30" t="str">
        <f t="shared" si="2082"/>
        <v/>
      </c>
      <c r="FL132" s="30" t="str">
        <f t="shared" si="2083"/>
        <v/>
      </c>
      <c r="FM132" s="30" t="str">
        <f t="shared" si="2084"/>
        <v/>
      </c>
      <c r="FN132" s="30" t="str">
        <f t="shared" si="2085"/>
        <v/>
      </c>
      <c r="FO132" s="30" t="str">
        <f t="shared" si="2086"/>
        <v/>
      </c>
      <c r="FP132" s="30" t="str">
        <f t="shared" si="2087"/>
        <v/>
      </c>
      <c r="FQ132" s="30" t="str">
        <f t="shared" si="2088"/>
        <v/>
      </c>
      <c r="FR132" s="30" t="str">
        <f t="shared" si="2089"/>
        <v/>
      </c>
      <c r="FS132" s="30" t="str">
        <f t="shared" si="2090"/>
        <v/>
      </c>
    </row>
    <row r="133" spans="1:175" ht="16.5">
      <c r="A133" s="117"/>
      <c r="B133" s="111" t="s">
        <v>874</v>
      </c>
      <c r="C133" s="117" t="s">
        <v>875</v>
      </c>
      <c r="R133" s="25">
        <v>1891</v>
      </c>
      <c r="S133" s="25">
        <v>-8026</v>
      </c>
      <c r="T133" s="117" t="s">
        <v>875</v>
      </c>
      <c r="U133" s="37" t="s">
        <v>822</v>
      </c>
      <c r="CN133" s="7" t="str">
        <f t="shared" si="2014"/>
        <v>InitUnitState('IT09',,,,,,,,,,)</v>
      </c>
      <c r="CO133" s="7" t="str">
        <f t="shared" si="2015"/>
        <v>InitUnitNormal('IT09',,,,,,,,,,)</v>
      </c>
      <c r="CP133" s="7" t="str">
        <f t="shared" si="2016"/>
        <v>InitUnitMagic('IT09',,,,,,,,,,)</v>
      </c>
      <c r="CQ133" s="7" t="str">
        <f t="shared" si="2017"/>
        <v>InitUnitAdd('IT09',,,,,,,,,,)</v>
      </c>
      <c r="CR133" s="7" t="str">
        <f t="shared" si="2018"/>
        <v>InitEquipData('IT09',,"",,,,,'','','','','','',"ReplaceableTextures\\CommandButtons\\BTNTome.blp")</v>
      </c>
      <c r="CU133" s="45" t="str">
        <f t="shared" si="2019"/>
        <v>|n</v>
      </c>
      <c r="CV133" s="29" t="str">
        <f t="shared" si="2020"/>
        <v>境界挑战9</v>
      </c>
      <c r="CW133" s="24"/>
      <c r="CX133" s="24"/>
      <c r="CY133" s="24"/>
      <c r="CZ133" s="24"/>
      <c r="DA133" s="24"/>
      <c r="DB133" s="30" t="str">
        <f t="shared" si="2021"/>
        <v/>
      </c>
      <c r="DC133" s="30" t="str">
        <f t="shared" si="2022"/>
        <v/>
      </c>
      <c r="DD133" s="30" t="str">
        <f t="shared" si="2023"/>
        <v/>
      </c>
      <c r="DE133" s="30" t="str">
        <f t="shared" si="2024"/>
        <v/>
      </c>
      <c r="DF133" s="30" t="str">
        <f t="shared" si="2025"/>
        <v/>
      </c>
      <c r="DG133" s="30" t="str">
        <f t="shared" si="2026"/>
        <v/>
      </c>
      <c r="DH133" s="30" t="str">
        <f t="shared" si="2027"/>
        <v/>
      </c>
      <c r="DI133" s="30" t="str">
        <f t="shared" si="2028"/>
        <v/>
      </c>
      <c r="DJ133" s="30" t="str">
        <f t="shared" si="2029"/>
        <v/>
      </c>
      <c r="DK133" s="30" t="str">
        <f t="shared" si="2030"/>
        <v/>
      </c>
      <c r="DL133" s="30" t="str">
        <f t="shared" si="2031"/>
        <v/>
      </c>
      <c r="DM133" s="30" t="str">
        <f t="shared" si="2032"/>
        <v/>
      </c>
      <c r="DN133" s="30" t="str">
        <f t="shared" si="2033"/>
        <v/>
      </c>
      <c r="DO133" s="30" t="str">
        <f t="shared" si="2034"/>
        <v/>
      </c>
      <c r="DP133" s="30" t="str">
        <f t="shared" si="2035"/>
        <v/>
      </c>
      <c r="DQ133" s="30" t="str">
        <f t="shared" si="2036"/>
        <v/>
      </c>
      <c r="DR133" s="30" t="str">
        <f t="shared" si="2037"/>
        <v/>
      </c>
      <c r="DS133" s="30" t="str">
        <f t="shared" si="2038"/>
        <v/>
      </c>
      <c r="DT133" s="30" t="str">
        <f t="shared" si="2039"/>
        <v/>
      </c>
      <c r="DU133" s="30" t="str">
        <f t="shared" si="2040"/>
        <v/>
      </c>
      <c r="DV133" s="30" t="str">
        <f t="shared" si="2041"/>
        <v/>
      </c>
      <c r="DW133" s="30" t="str">
        <f t="shared" si="2042"/>
        <v/>
      </c>
      <c r="DX133" s="30" t="str">
        <f t="shared" si="2043"/>
        <v/>
      </c>
      <c r="DY133" s="30" t="str">
        <f t="shared" si="2044"/>
        <v/>
      </c>
      <c r="DZ133" s="30" t="str">
        <f t="shared" si="2045"/>
        <v/>
      </c>
      <c r="EA133" s="30" t="str">
        <f t="shared" si="2046"/>
        <v/>
      </c>
      <c r="EB133" s="30" t="str">
        <f t="shared" si="2047"/>
        <v/>
      </c>
      <c r="EC133" s="30" t="str">
        <f t="shared" si="2048"/>
        <v/>
      </c>
      <c r="ED133" s="30" t="str">
        <f t="shared" si="2049"/>
        <v/>
      </c>
      <c r="EE133" s="30" t="str">
        <f t="shared" si="2050"/>
        <v/>
      </c>
      <c r="EF133" s="30" t="str">
        <f t="shared" si="2051"/>
        <v/>
      </c>
      <c r="EG133" s="30" t="str">
        <f t="shared" si="2052"/>
        <v/>
      </c>
      <c r="EH133" s="30" t="str">
        <f t="shared" si="2053"/>
        <v/>
      </c>
      <c r="EI133" s="30" t="str">
        <f t="shared" si="2054"/>
        <v/>
      </c>
      <c r="EJ133" s="30" t="str">
        <f t="shared" si="2055"/>
        <v/>
      </c>
      <c r="EK133" s="30" t="str">
        <f t="shared" si="2056"/>
        <v/>
      </c>
      <c r="EL133" s="30" t="str">
        <f t="shared" si="2057"/>
        <v/>
      </c>
      <c r="EM133" s="30" t="str">
        <f t="shared" si="2058"/>
        <v/>
      </c>
      <c r="EN133" s="30" t="str">
        <f t="shared" si="2059"/>
        <v/>
      </c>
      <c r="EO133" s="30" t="str">
        <f t="shared" si="2060"/>
        <v/>
      </c>
      <c r="EP133" s="30" t="str">
        <f t="shared" si="2061"/>
        <v/>
      </c>
      <c r="EQ133" s="30" t="str">
        <f t="shared" si="2062"/>
        <v/>
      </c>
      <c r="ER133" s="30" t="str">
        <f t="shared" si="2063"/>
        <v/>
      </c>
      <c r="ES133" s="30" t="str">
        <f t="shared" si="2064"/>
        <v/>
      </c>
      <c r="ET133" s="30" t="str">
        <f t="shared" si="2065"/>
        <v/>
      </c>
      <c r="EU133" s="30" t="str">
        <f t="shared" si="2066"/>
        <v/>
      </c>
      <c r="EV133" s="30" t="str">
        <f t="shared" si="2067"/>
        <v/>
      </c>
      <c r="EW133" s="30" t="str">
        <f t="shared" si="2068"/>
        <v/>
      </c>
      <c r="EX133" s="30" t="str">
        <f t="shared" si="2069"/>
        <v/>
      </c>
      <c r="EY133" s="30" t="str">
        <f t="shared" si="2070"/>
        <v/>
      </c>
      <c r="EZ133" s="30" t="str">
        <f t="shared" si="2071"/>
        <v/>
      </c>
      <c r="FA133" s="30" t="str">
        <f t="shared" si="2072"/>
        <v/>
      </c>
      <c r="FB133" s="30" t="str">
        <f t="shared" si="2073"/>
        <v/>
      </c>
      <c r="FC133" s="30" t="str">
        <f t="shared" si="2074"/>
        <v/>
      </c>
      <c r="FD133" s="30" t="str">
        <f t="shared" si="2075"/>
        <v/>
      </c>
      <c r="FE133" s="30" t="str">
        <f t="shared" si="2076"/>
        <v/>
      </c>
      <c r="FF133" s="30" t="str">
        <f t="shared" si="2077"/>
        <v/>
      </c>
      <c r="FG133" s="30" t="str">
        <f t="shared" si="2078"/>
        <v/>
      </c>
      <c r="FH133" s="30" t="str">
        <f t="shared" si="2079"/>
        <v/>
      </c>
      <c r="FI133" s="30" t="str">
        <f t="shared" si="2080"/>
        <v/>
      </c>
      <c r="FJ133" s="30" t="str">
        <f t="shared" si="2081"/>
        <v/>
      </c>
      <c r="FK133" s="30" t="str">
        <f t="shared" si="2082"/>
        <v/>
      </c>
      <c r="FL133" s="30" t="str">
        <f t="shared" si="2083"/>
        <v/>
      </c>
      <c r="FM133" s="30" t="str">
        <f t="shared" si="2084"/>
        <v/>
      </c>
      <c r="FN133" s="30" t="str">
        <f t="shared" si="2085"/>
        <v/>
      </c>
      <c r="FO133" s="30" t="str">
        <f t="shared" si="2086"/>
        <v/>
      </c>
      <c r="FP133" s="30" t="str">
        <f t="shared" si="2087"/>
        <v/>
      </c>
      <c r="FQ133" s="30" t="str">
        <f t="shared" si="2088"/>
        <v/>
      </c>
      <c r="FR133" s="30" t="str">
        <f t="shared" si="2089"/>
        <v/>
      </c>
      <c r="FS133" s="30" t="str">
        <f t="shared" si="2090"/>
        <v/>
      </c>
    </row>
    <row r="134" spans="1:175" ht="16.5">
      <c r="A134" s="117"/>
      <c r="B134" s="111" t="s">
        <v>876</v>
      </c>
      <c r="C134" s="117" t="s">
        <v>877</v>
      </c>
      <c r="R134" s="25">
        <v>4814</v>
      </c>
      <c r="S134" s="25">
        <v>-8830</v>
      </c>
      <c r="T134" s="117" t="s">
        <v>877</v>
      </c>
      <c r="U134" s="37" t="s">
        <v>822</v>
      </c>
      <c r="CN134" s="7" t="str">
        <f t="shared" si="2014"/>
        <v>InitUnitState('IT10',,,,,,,,,,)</v>
      </c>
      <c r="CO134" s="7" t="str">
        <f t="shared" si="2015"/>
        <v>InitUnitNormal('IT10',,,,,,,,,,)</v>
      </c>
      <c r="CP134" s="7" t="str">
        <f t="shared" si="2016"/>
        <v>InitUnitMagic('IT10',,,,,,,,,,)</v>
      </c>
      <c r="CQ134" s="7" t="str">
        <f t="shared" si="2017"/>
        <v>InitUnitAdd('IT10',,,,,,,,,,)</v>
      </c>
      <c r="CR134" s="7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140&amp;CR$1&amp;")"</f>
        <v>InitEquipData('IT10',,"",,,,,'','','','','','',"ReplaceableTextures\\CommandButtons\\BTNTome.blp")</v>
      </c>
      <c r="CU134" s="45" t="str">
        <f t="shared" si="2019"/>
        <v>|n</v>
      </c>
      <c r="CV134" s="29" t="str">
        <f t="shared" si="2020"/>
        <v>境界挑战10</v>
      </c>
      <c r="CW134" s="24"/>
      <c r="CX134" s="24"/>
      <c r="CY134" s="24"/>
      <c r="CZ134" s="24"/>
      <c r="DA134" s="24"/>
      <c r="DB134" s="30" t="str">
        <f t="shared" si="2021"/>
        <v/>
      </c>
      <c r="DC134" s="30" t="str">
        <f t="shared" si="2022"/>
        <v/>
      </c>
      <c r="DD134" s="30" t="str">
        <f t="shared" si="2023"/>
        <v/>
      </c>
      <c r="DE134" s="30" t="str">
        <f t="shared" si="2024"/>
        <v/>
      </c>
      <c r="DF134" s="30" t="str">
        <f t="shared" si="2025"/>
        <v/>
      </c>
      <c r="DG134" s="30" t="str">
        <f t="shared" si="2026"/>
        <v/>
      </c>
      <c r="DH134" s="30" t="str">
        <f t="shared" si="2027"/>
        <v/>
      </c>
      <c r="DI134" s="30" t="str">
        <f t="shared" si="2028"/>
        <v/>
      </c>
      <c r="DJ134" s="30" t="str">
        <f t="shared" si="2029"/>
        <v/>
      </c>
      <c r="DK134" s="30" t="str">
        <f t="shared" si="2030"/>
        <v/>
      </c>
      <c r="DL134" s="30" t="str">
        <f t="shared" si="2031"/>
        <v/>
      </c>
      <c r="DM134" s="30" t="str">
        <f t="shared" si="2032"/>
        <v/>
      </c>
      <c r="DN134" s="30" t="str">
        <f t="shared" si="2033"/>
        <v/>
      </c>
      <c r="DO134" s="30" t="str">
        <f t="shared" si="2034"/>
        <v/>
      </c>
      <c r="DP134" s="30" t="str">
        <f t="shared" si="2035"/>
        <v/>
      </c>
      <c r="DQ134" s="30" t="str">
        <f t="shared" si="2036"/>
        <v/>
      </c>
      <c r="DR134" s="30" t="str">
        <f t="shared" si="2037"/>
        <v/>
      </c>
      <c r="DS134" s="30" t="str">
        <f t="shared" si="2038"/>
        <v/>
      </c>
      <c r="DT134" s="30" t="str">
        <f t="shared" si="2039"/>
        <v/>
      </c>
      <c r="DU134" s="30" t="str">
        <f t="shared" si="2040"/>
        <v/>
      </c>
      <c r="DV134" s="30" t="str">
        <f t="shared" si="2041"/>
        <v/>
      </c>
      <c r="DW134" s="30" t="str">
        <f t="shared" si="2042"/>
        <v/>
      </c>
      <c r="DX134" s="30" t="str">
        <f t="shared" si="2043"/>
        <v/>
      </c>
      <c r="DY134" s="30" t="str">
        <f t="shared" si="2044"/>
        <v/>
      </c>
      <c r="DZ134" s="30" t="str">
        <f t="shared" si="2045"/>
        <v/>
      </c>
      <c r="EA134" s="30" t="str">
        <f t="shared" si="2046"/>
        <v/>
      </c>
      <c r="EB134" s="30" t="str">
        <f t="shared" si="2047"/>
        <v/>
      </c>
      <c r="EC134" s="30" t="str">
        <f t="shared" si="2048"/>
        <v/>
      </c>
      <c r="ED134" s="30" t="str">
        <f t="shared" si="2049"/>
        <v/>
      </c>
      <c r="EE134" s="30" t="str">
        <f t="shared" si="2050"/>
        <v/>
      </c>
      <c r="EF134" s="30" t="str">
        <f t="shared" si="2051"/>
        <v/>
      </c>
      <c r="EG134" s="30" t="str">
        <f t="shared" si="2052"/>
        <v/>
      </c>
      <c r="EH134" s="30" t="str">
        <f t="shared" si="2053"/>
        <v/>
      </c>
      <c r="EI134" s="30" t="str">
        <f t="shared" si="2054"/>
        <v/>
      </c>
      <c r="EJ134" s="30" t="str">
        <f t="shared" si="2055"/>
        <v/>
      </c>
      <c r="EK134" s="30" t="str">
        <f t="shared" si="2056"/>
        <v/>
      </c>
      <c r="EL134" s="30" t="str">
        <f t="shared" si="2057"/>
        <v/>
      </c>
      <c r="EM134" s="30" t="str">
        <f t="shared" si="2058"/>
        <v/>
      </c>
      <c r="EN134" s="30" t="str">
        <f t="shared" si="2059"/>
        <v/>
      </c>
      <c r="EO134" s="30" t="str">
        <f t="shared" si="2060"/>
        <v/>
      </c>
      <c r="EP134" s="30" t="str">
        <f t="shared" si="2061"/>
        <v/>
      </c>
      <c r="EQ134" s="30" t="str">
        <f t="shared" si="2062"/>
        <v/>
      </c>
      <c r="ER134" s="30" t="str">
        <f t="shared" si="2063"/>
        <v/>
      </c>
      <c r="ES134" s="30" t="str">
        <f t="shared" si="2064"/>
        <v/>
      </c>
      <c r="ET134" s="30" t="str">
        <f t="shared" si="2065"/>
        <v/>
      </c>
      <c r="EU134" s="30" t="str">
        <f t="shared" si="2066"/>
        <v/>
      </c>
      <c r="EV134" s="30" t="str">
        <f t="shared" si="2067"/>
        <v/>
      </c>
      <c r="EW134" s="30" t="str">
        <f t="shared" si="2068"/>
        <v/>
      </c>
      <c r="EX134" s="30" t="str">
        <f t="shared" si="2069"/>
        <v/>
      </c>
      <c r="EY134" s="30" t="str">
        <f t="shared" si="2070"/>
        <v/>
      </c>
      <c r="EZ134" s="30" t="str">
        <f t="shared" si="2071"/>
        <v/>
      </c>
      <c r="FA134" s="30" t="str">
        <f t="shared" si="2072"/>
        <v/>
      </c>
      <c r="FB134" s="30" t="str">
        <f t="shared" si="2073"/>
        <v/>
      </c>
      <c r="FC134" s="30" t="str">
        <f t="shared" si="2074"/>
        <v/>
      </c>
      <c r="FD134" s="30" t="str">
        <f t="shared" si="2075"/>
        <v/>
      </c>
      <c r="FE134" s="30" t="str">
        <f t="shared" si="2076"/>
        <v/>
      </c>
      <c r="FF134" s="30" t="str">
        <f t="shared" si="2077"/>
        <v/>
      </c>
      <c r="FG134" s="30" t="str">
        <f t="shared" si="2078"/>
        <v/>
      </c>
      <c r="FH134" s="30" t="str">
        <f t="shared" si="2079"/>
        <v/>
      </c>
      <c r="FI134" s="30" t="str">
        <f t="shared" si="2080"/>
        <v/>
      </c>
      <c r="FJ134" s="30" t="str">
        <f t="shared" si="2081"/>
        <v/>
      </c>
      <c r="FK134" s="30" t="str">
        <f t="shared" si="2082"/>
        <v/>
      </c>
      <c r="FL134" s="30" t="str">
        <f t="shared" si="2083"/>
        <v/>
      </c>
      <c r="FM134" s="30" t="str">
        <f t="shared" si="2084"/>
        <v/>
      </c>
      <c r="FN134" s="30" t="str">
        <f t="shared" si="2085"/>
        <v/>
      </c>
      <c r="FO134" s="30" t="str">
        <f t="shared" si="2086"/>
        <v/>
      </c>
      <c r="FP134" s="30" t="str">
        <f t="shared" si="2087"/>
        <v/>
      </c>
      <c r="FQ134" s="30" t="str">
        <f t="shared" si="2088"/>
        <v/>
      </c>
      <c r="FR134" s="30" t="str">
        <f t="shared" si="2089"/>
        <v/>
      </c>
      <c r="FS134" s="30" t="str">
        <f t="shared" si="2090"/>
        <v/>
      </c>
    </row>
    <row r="135" spans="1:175" ht="16.5">
      <c r="A135" s="117" t="s">
        <v>913</v>
      </c>
      <c r="B135" s="111" t="s">
        <v>914</v>
      </c>
      <c r="C135" s="117" t="s">
        <v>918</v>
      </c>
      <c r="R135" s="25">
        <v>7429</v>
      </c>
      <c r="S135" s="25">
        <v>-8773</v>
      </c>
      <c r="T135" s="117" t="s">
        <v>918</v>
      </c>
      <c r="U135" s="37" t="s">
        <v>822</v>
      </c>
      <c r="CN135" s="7" t="str">
        <f t="shared" ref="CN135:CN137" si="2091">"InitUnitState('"&amp;B135&amp;"',"&amp;V135&amp;","&amp;W135&amp;","&amp;X135&amp;","&amp;Y135&amp;","&amp;Z135&amp;","&amp;AA135&amp;","&amp;AB135&amp;","&amp;AC135&amp;","&amp;AD135&amp;","&amp;AE135&amp;")"</f>
        <v>InitUnitState('IT11',,,,,,,,,,)</v>
      </c>
      <c r="CO135" s="7" t="str">
        <f t="shared" ref="CO135:CO137" si="2092">"InitUnitNormal('"&amp;B135&amp;"',"&amp;AF135&amp;","&amp;AG135&amp;","&amp;AH135&amp;","&amp;AI135&amp;","&amp;AJ135&amp;","&amp;AK135&amp;","&amp;AL135&amp;","&amp;AM135&amp;","&amp;AN135&amp;","&amp;AO135&amp;")"</f>
        <v>InitUnitNormal('IT11',,,,,,,,,,)</v>
      </c>
      <c r="CP135" s="7" t="str">
        <f t="shared" ref="CP135:CP137" si="2093">"InitUnitMagic('"&amp;B135&amp;"',"&amp;AP135&amp;","&amp;AQ135&amp;","&amp;AR135&amp;","&amp;AS135&amp;","&amp;AT135&amp;","&amp;AU135&amp;","&amp;AV135&amp;","&amp;AW135&amp;","&amp;BI135&amp;","&amp;BJ135&amp;")"</f>
        <v>InitUnitMagic('IT11',,,,,,,,,,)</v>
      </c>
      <c r="CQ135" s="7" t="str">
        <f t="shared" ref="CQ135:CQ137" si="2094">"InitUnitAdd('"&amp;B135&amp;"',"&amp;BK135&amp;","&amp;BL135&amp;","&amp;BM135&amp;","&amp;BN135&amp;","&amp;BO135&amp;","&amp;BP135&amp;","&amp;BQ135&amp;","&amp;BR135&amp;","&amp;BS135&amp;","&amp;BT135&amp;")"</f>
        <v>InitUnitAdd('IT11',,,,,,,,,,)</v>
      </c>
      <c r="CR135" s="7" t="str">
        <f t="shared" ref="CR135:CR136" si="2095"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InitEquipData('IT11',,".",,,,,'','','','','','',"ReplaceableTextures\\CommandButtons\\BTNTome.blp")</v>
      </c>
      <c r="CU135" s="45" t="str">
        <f t="shared" ref="CU135:CU137" si="209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29" t="str">
        <f t="shared" ref="CV135:CV137" si="2097">T135</f>
        <v>境界挑战11</v>
      </c>
      <c r="CW135" s="24"/>
      <c r="CX135" s="24"/>
      <c r="CY135" s="24"/>
      <c r="CZ135" s="24"/>
      <c r="DA135" s="24"/>
      <c r="DB135" s="30" t="str">
        <f t="shared" ref="DB135:DB137" si="2098">IF(V135="","","|n"&amp;DB$2&amp;"+"&amp;V135&amp;DB$1)</f>
        <v/>
      </c>
      <c r="DC135" s="30" t="str">
        <f t="shared" ref="DC135:DC137" si="2099">IF(W135="","","|n"&amp;DC$2&amp;"+"&amp;W135&amp;DC$1)</f>
        <v/>
      </c>
      <c r="DD135" s="30" t="str">
        <f t="shared" ref="DD135:DD137" si="2100">IF(X135="","","|n"&amp;DD$2&amp;"+"&amp;X135&amp;DD$1)</f>
        <v/>
      </c>
      <c r="DE135" s="30" t="str">
        <f t="shared" ref="DE135:DE137" si="2101">IF(Y135="","","|n"&amp;DE$2&amp;"+"&amp;Y135&amp;DE$1)</f>
        <v/>
      </c>
      <c r="DF135" s="30" t="str">
        <f t="shared" ref="DF135:DF137" si="2102">IF(Z135="","","|n"&amp;DF$2&amp;"+"&amp;Z135&amp;DF$1)</f>
        <v/>
      </c>
      <c r="DG135" s="30" t="str">
        <f t="shared" ref="DG135:DG137" si="2103">IF(AA135="","","|n"&amp;DG$2&amp;"+"&amp;AA135&amp;DG$1)</f>
        <v/>
      </c>
      <c r="DH135" s="30" t="str">
        <f t="shared" ref="DH135:DH137" si="2104">IF(AB135="","","|n"&amp;DH$2&amp;"+"&amp;AB135&amp;DH$1)</f>
        <v/>
      </c>
      <c r="DI135" s="30" t="str">
        <f t="shared" ref="DI135:DI137" si="2105">IF(AC135="","","|n"&amp;DI$2&amp;"+"&amp;AC135&amp;DI$1)</f>
        <v/>
      </c>
      <c r="DJ135" s="30" t="str">
        <f t="shared" ref="DJ135:DJ137" si="2106">IF(AD135="","","|n"&amp;DJ$2&amp;"+"&amp;AD135&amp;DJ$1)</f>
        <v/>
      </c>
      <c r="DK135" s="30" t="str">
        <f t="shared" ref="DK135:DK137" si="2107">IF(AE135="","","|n"&amp;DK$2&amp;"+"&amp;AE135&amp;DK$1)</f>
        <v/>
      </c>
      <c r="DL135" s="30" t="str">
        <f t="shared" ref="DL135:DL137" si="2108">IF(AF135="","","|n"&amp;DL$2&amp;"+"&amp;AF135&amp;DL$1)</f>
        <v/>
      </c>
      <c r="DM135" s="30" t="str">
        <f t="shared" ref="DM135:DM137" si="2109">IF(AG135="","","|n"&amp;DM$2&amp;"+"&amp;AG135&amp;DM$1)</f>
        <v/>
      </c>
      <c r="DN135" s="30" t="str">
        <f t="shared" ref="DN135:DN137" si="2110">IF(AH135="","","|n"&amp;DN$2&amp;"+"&amp;AH135&amp;DN$1)</f>
        <v/>
      </c>
      <c r="DO135" s="30" t="str">
        <f t="shared" ref="DO135:DO137" si="2111">IF(AI135="","","|n"&amp;DO$2&amp;"+"&amp;AI135&amp;DO$1)</f>
        <v/>
      </c>
      <c r="DP135" s="30" t="str">
        <f t="shared" ref="DP135:DP137" si="2112">IF(AJ135="","","|n"&amp;DP$2&amp;"+"&amp;AJ135&amp;DP$1)</f>
        <v/>
      </c>
      <c r="DQ135" s="30" t="str">
        <f t="shared" ref="DQ135:DQ137" si="2113">IF(AK135="","","|n"&amp;DQ$2&amp;"+"&amp;AK135&amp;DQ$1)</f>
        <v/>
      </c>
      <c r="DR135" s="30" t="str">
        <f t="shared" ref="DR135:DR137" si="2114">IF(AL135="","","|n"&amp;DR$2&amp;"+"&amp;AL135&amp;DR$1)</f>
        <v/>
      </c>
      <c r="DS135" s="30" t="str">
        <f t="shared" ref="DS135:DS137" si="2115">IF(AM135="","","|n"&amp;DS$2&amp;"+"&amp;AM135&amp;DS$1)</f>
        <v/>
      </c>
      <c r="DT135" s="30" t="str">
        <f t="shared" ref="DT135:DT137" si="2116">IF(AN135="","","|n"&amp;DT$2&amp;"+"&amp;AN135&amp;DT$1)</f>
        <v/>
      </c>
      <c r="DU135" s="30" t="str">
        <f t="shared" ref="DU135:DU137" si="2117">IF(AO135="","","|n"&amp;DU$2&amp;"+"&amp;AO135&amp;DU$1)</f>
        <v/>
      </c>
      <c r="DV135" s="30" t="str">
        <f t="shared" ref="DV135:DV137" si="2118">IF(AP135="","","|n"&amp;DV$2&amp;"+"&amp;AP135&amp;DV$1)</f>
        <v/>
      </c>
      <c r="DW135" s="30" t="str">
        <f t="shared" ref="DW135:DW137" si="2119">IF(AQ135="","","|n"&amp;DW$2&amp;"+"&amp;AQ135&amp;DW$1)</f>
        <v/>
      </c>
      <c r="DX135" s="30" t="str">
        <f t="shared" ref="DX135:DX137" si="2120">IF(AR135="","","|n"&amp;DX$2&amp;"+"&amp;AR135&amp;DX$1)</f>
        <v/>
      </c>
      <c r="DY135" s="30" t="str">
        <f t="shared" ref="DY135:DY137" si="2121">IF(AS135="","","|n"&amp;DY$2&amp;"+"&amp;AS135&amp;DY$1)</f>
        <v/>
      </c>
      <c r="DZ135" s="30" t="str">
        <f t="shared" ref="DZ135:DZ137" si="2122">IF(AT135="","","|n"&amp;DZ$2&amp;"+"&amp;AT135&amp;DZ$1)</f>
        <v/>
      </c>
      <c r="EA135" s="30" t="str">
        <f t="shared" ref="EA135:EA137" si="2123">IF(AU135="","","|n"&amp;EA$2&amp;"+"&amp;AU135&amp;EA$1)</f>
        <v/>
      </c>
      <c r="EB135" s="30" t="str">
        <f t="shared" ref="EB135:EB137" si="2124">IF(AV135="","","|n"&amp;EB$2&amp;"+"&amp;AV135&amp;EB$1)</f>
        <v/>
      </c>
      <c r="EC135" s="30" t="str">
        <f t="shared" ref="EC135:EC137" si="2125">IF(AW135="","","|n"&amp;EC$2&amp;"+"&amp;AW135&amp;EC$1)</f>
        <v/>
      </c>
      <c r="ED135" s="30" t="str">
        <f t="shared" ref="ED135:ED137" si="2126">IF(AX135="","","|n"&amp;ED$2&amp;"+"&amp;AX135&amp;ED$1)</f>
        <v/>
      </c>
      <c r="EE135" s="30" t="str">
        <f t="shared" ref="EE135:EE137" si="2127">IF(AY135="","","|n"&amp;EE$2&amp;"+"&amp;AY135&amp;EE$1)</f>
        <v/>
      </c>
      <c r="EF135" s="30" t="str">
        <f t="shared" ref="EF135:EF137" si="2128">IF(AZ135="","","|n"&amp;EF$2&amp;"+"&amp;AZ135&amp;EF$1)</f>
        <v/>
      </c>
      <c r="EG135" s="30" t="str">
        <f t="shared" ref="EG135:EG137" si="2129">IF(BA135="","","|n"&amp;EG$2&amp;"+"&amp;BA135&amp;EG$1)</f>
        <v/>
      </c>
      <c r="EH135" s="30" t="str">
        <f t="shared" ref="EH135:EH137" si="2130">IF(BB135="","","|n"&amp;EH$2&amp;"+"&amp;BB135&amp;EH$1)</f>
        <v/>
      </c>
      <c r="EI135" s="30" t="str">
        <f t="shared" ref="EI135:EI137" si="2131">IF(BC135="","","|n"&amp;EI$2&amp;"+"&amp;BC135&amp;EI$1)</f>
        <v/>
      </c>
      <c r="EJ135" s="30" t="str">
        <f t="shared" ref="EJ135:EJ137" si="2132">IF(BD135="","","|n"&amp;EJ$2&amp;"+"&amp;BD135&amp;EJ$1)</f>
        <v/>
      </c>
      <c r="EK135" s="30" t="str">
        <f t="shared" ref="EK135:EK137" si="2133">IF(BE135="","","|n"&amp;EK$2&amp;"+"&amp;BE135&amp;EK$1)</f>
        <v/>
      </c>
      <c r="EL135" s="30" t="str">
        <f t="shared" ref="EL135:EL137" si="2134">IF(BF135="","","|n"&amp;EL$2&amp;"+"&amp;BF135&amp;EL$1)</f>
        <v/>
      </c>
      <c r="EM135" s="30" t="str">
        <f t="shared" ref="EM135:EM137" si="2135">IF(BG135="","","|n"&amp;EM$2&amp;"+"&amp;BG135&amp;EM$1)</f>
        <v/>
      </c>
      <c r="EN135" s="30" t="str">
        <f t="shared" ref="EN135:EN137" si="2136">IF(BH135="","","|n"&amp;EN$2&amp;"+"&amp;BH135&amp;EN$1)</f>
        <v/>
      </c>
      <c r="EO135" s="30" t="str">
        <f t="shared" ref="EO135:EO137" si="2137">IF(BI135="","","|n"&amp;EO$2&amp;"+"&amp;BI135&amp;EO$1)</f>
        <v/>
      </c>
      <c r="EP135" s="30" t="str">
        <f t="shared" ref="EP135:EP137" si="2138">IF(BJ135="","","|n"&amp;EP$2&amp;"+"&amp;BJ135&amp;EP$1)</f>
        <v/>
      </c>
      <c r="EQ135" s="30" t="str">
        <f t="shared" ref="EQ135:EQ137" si="2139">IF(BK135="","","|n"&amp;EQ$2&amp;"+"&amp;BK135&amp;EQ$1)</f>
        <v/>
      </c>
      <c r="ER135" s="30" t="str">
        <f t="shared" ref="ER135:ER137" si="2140">IF(BL135="","","|n"&amp;ER$2&amp;"+"&amp;BL135&amp;ER$1)</f>
        <v/>
      </c>
      <c r="ES135" s="30" t="str">
        <f t="shared" ref="ES135:ES137" si="2141">IF(BM135="","","|n"&amp;ES$2&amp;"+"&amp;BM135&amp;ES$1)</f>
        <v/>
      </c>
      <c r="ET135" s="30" t="str">
        <f t="shared" ref="ET135:ET137" si="2142">IF(BN135="","","|n"&amp;ET$2&amp;"+"&amp;BN135&amp;ET$1)</f>
        <v/>
      </c>
      <c r="EU135" s="30" t="str">
        <f t="shared" ref="EU135:EU137" si="2143">IF(BO135="","","|n"&amp;EU$2&amp;"+"&amp;BO135&amp;EU$1)</f>
        <v/>
      </c>
      <c r="EV135" s="30" t="str">
        <f t="shared" ref="EV135:EV137" si="2144">IF(BP135="","","|n"&amp;EV$2&amp;"+"&amp;BP135&amp;EV$1)</f>
        <v/>
      </c>
      <c r="EW135" s="30" t="str">
        <f t="shared" ref="EW135:EW137" si="2145">IF(BQ135="","","|n"&amp;EW$2&amp;"+"&amp;BQ135&amp;EW$1)</f>
        <v/>
      </c>
      <c r="EX135" s="30" t="str">
        <f t="shared" ref="EX135:EX137" si="2146">IF(BR135="","","|n"&amp;EX$2&amp;"+"&amp;BR135&amp;EX$1)</f>
        <v/>
      </c>
      <c r="EY135" s="30" t="str">
        <f t="shared" ref="EY135:EY137" si="2147">IF(BS135="","","|n"&amp;EY$2&amp;"+"&amp;BS135&amp;EY$1)</f>
        <v/>
      </c>
      <c r="EZ135" s="30" t="str">
        <f t="shared" ref="EZ135:EZ137" si="2148">IF(BT135="","","|n"&amp;EZ$2&amp;"+"&amp;BT135&amp;EZ$1)</f>
        <v/>
      </c>
      <c r="FA135" s="30" t="str">
        <f t="shared" ref="FA135:FA137" si="2149">IF(BU135="","","|n"&amp;FA$2&amp;"+"&amp;BU135&amp;FA$1)</f>
        <v/>
      </c>
      <c r="FB135" s="30" t="str">
        <f t="shared" ref="FB135:FB137" si="2150">IF(BV135="","","|n"&amp;FB$2&amp;"+"&amp;BV135&amp;FB$1)</f>
        <v/>
      </c>
      <c r="FC135" s="30" t="str">
        <f t="shared" ref="FC135:FC137" si="2151">IF(BW135="","","|n"&amp;FC$2&amp;"+"&amp;BW135&amp;FC$1)</f>
        <v/>
      </c>
      <c r="FD135" s="30" t="str">
        <f t="shared" ref="FD135:FD137" si="2152">IF(BX135="","","|n"&amp;FD$2&amp;"+"&amp;BX135&amp;FD$1)</f>
        <v/>
      </c>
      <c r="FE135" s="30" t="str">
        <f t="shared" ref="FE135:FE137" si="2153">IF(BY135="","","|n"&amp;FE$2&amp;"+"&amp;BY135&amp;FE$1)</f>
        <v/>
      </c>
      <c r="FF135" s="30" t="str">
        <f t="shared" ref="FF135:FF137" si="2154">IF(BZ135="","","|n"&amp;FF$2&amp;"+"&amp;BZ135&amp;FF$1)</f>
        <v/>
      </c>
      <c r="FG135" s="30" t="str">
        <f t="shared" ref="FG135:FG137" si="2155">IF(CA135="","","|n"&amp;FG$2&amp;"+"&amp;CA135&amp;FG$1)</f>
        <v/>
      </c>
      <c r="FH135" s="30" t="str">
        <f t="shared" ref="FH135:FH137" si="2156">IF(CB135="","","|n"&amp;FH$2&amp;"+"&amp;CB135&amp;FH$1)</f>
        <v/>
      </c>
      <c r="FI135" s="30" t="str">
        <f t="shared" ref="FI135:FI137" si="2157">IF(CC135="","","|n"&amp;FI$2&amp;"+"&amp;CC135&amp;FI$1)</f>
        <v/>
      </c>
      <c r="FJ135" s="30" t="str">
        <f t="shared" ref="FJ135:FJ137" si="2158">IF(CD135="","","|n"&amp;FJ$2&amp;"+"&amp;CD135&amp;FJ$1)</f>
        <v/>
      </c>
      <c r="FK135" s="30" t="str">
        <f t="shared" ref="FK135:FK137" si="2159">IF(CE135="","","|n"&amp;FK$2&amp;"+"&amp;CE135&amp;FK$1)</f>
        <v/>
      </c>
      <c r="FL135" s="30" t="str">
        <f t="shared" ref="FL135:FL137" si="2160">IF(CF135="","","|n"&amp;FL$2&amp;"+"&amp;CF135&amp;FL$1)</f>
        <v/>
      </c>
      <c r="FM135" s="30" t="str">
        <f t="shared" ref="FM135:FM137" si="2161">IF(CG135="","","|n"&amp;FM$2&amp;"+"&amp;CG135&amp;FM$1)</f>
        <v/>
      </c>
      <c r="FN135" s="30" t="str">
        <f t="shared" ref="FN135:FN137" si="2162">IF(CH135="","","|n"&amp;FN$2&amp;"+"&amp;CH135&amp;FN$1)</f>
        <v/>
      </c>
      <c r="FO135" s="30" t="str">
        <f t="shared" ref="FO135:FO137" si="2163">IF(CI135="","","|n"&amp;FO$2&amp;"+"&amp;CI135&amp;FO$1)</f>
        <v/>
      </c>
      <c r="FP135" s="30" t="str">
        <f t="shared" ref="FP135:FP137" si="2164">IF(CJ135="","","|n"&amp;FP$2&amp;"+"&amp;CJ135&amp;FP$1)</f>
        <v/>
      </c>
      <c r="FQ135" s="30" t="str">
        <f t="shared" ref="FQ135:FQ137" si="2165">IF(CK135="","","|n"&amp;FQ$2&amp;"+"&amp;CK135&amp;FQ$1)</f>
        <v/>
      </c>
      <c r="FR135" s="30" t="str">
        <f t="shared" ref="FR135:FR137" si="2166">IF(CL135="","","|n"&amp;FR$2&amp;"+"&amp;CL135&amp;FR$1)</f>
        <v/>
      </c>
      <c r="FS135" s="30" t="str">
        <f t="shared" ref="FS135:FS137" si="2167">IF(CM135="","","|n"&amp;FS$2&amp;"+"&amp;CM135&amp;FS$1)</f>
        <v/>
      </c>
    </row>
    <row r="136" spans="1:175" ht="16.5">
      <c r="A136" s="117"/>
      <c r="B136" s="111" t="s">
        <v>915</v>
      </c>
      <c r="C136" s="117" t="s">
        <v>919</v>
      </c>
      <c r="R136" s="25">
        <v>1840</v>
      </c>
      <c r="S136" s="25">
        <v>-5224</v>
      </c>
      <c r="T136" s="117" t="s">
        <v>919</v>
      </c>
      <c r="U136" s="37" t="s">
        <v>822</v>
      </c>
      <c r="CN136" s="7" t="str">
        <f t="shared" si="2091"/>
        <v>InitUnitState('IT12',,,,,,,,,,)</v>
      </c>
      <c r="CO136" s="7" t="str">
        <f t="shared" si="2092"/>
        <v>InitUnitNormal('IT12',,,,,,,,,,)</v>
      </c>
      <c r="CP136" s="7" t="str">
        <f t="shared" si="2093"/>
        <v>InitUnitMagic('IT12',,,,,,,,,,)</v>
      </c>
      <c r="CQ136" s="7" t="str">
        <f t="shared" si="2094"/>
        <v>InitUnitAdd('IT12',,,,,,,,,,)</v>
      </c>
      <c r="CR136" s="7" t="str">
        <f t="shared" si="2095"/>
        <v>InitEquipData('IT12',,"",,,,,'','','','','','',"ReplaceableTextures\\CommandButtons\\BTNTome.blp")</v>
      </c>
      <c r="CU136" s="45" t="str">
        <f t="shared" si="2096"/>
        <v>|n</v>
      </c>
      <c r="CV136" s="29" t="str">
        <f t="shared" si="2097"/>
        <v>境界挑战12</v>
      </c>
      <c r="CW136" s="24"/>
      <c r="CX136" s="24"/>
      <c r="CY136" s="24"/>
      <c r="CZ136" s="24"/>
      <c r="DA136" s="24"/>
      <c r="DB136" s="30" t="str">
        <f t="shared" si="2098"/>
        <v/>
      </c>
      <c r="DC136" s="30" t="str">
        <f t="shared" si="2099"/>
        <v/>
      </c>
      <c r="DD136" s="30" t="str">
        <f t="shared" si="2100"/>
        <v/>
      </c>
      <c r="DE136" s="30" t="str">
        <f t="shared" si="2101"/>
        <v/>
      </c>
      <c r="DF136" s="30" t="str">
        <f t="shared" si="2102"/>
        <v/>
      </c>
      <c r="DG136" s="30" t="str">
        <f t="shared" si="2103"/>
        <v/>
      </c>
      <c r="DH136" s="30" t="str">
        <f t="shared" si="2104"/>
        <v/>
      </c>
      <c r="DI136" s="30" t="str">
        <f t="shared" si="2105"/>
        <v/>
      </c>
      <c r="DJ136" s="30" t="str">
        <f t="shared" si="2106"/>
        <v/>
      </c>
      <c r="DK136" s="30" t="str">
        <f t="shared" si="2107"/>
        <v/>
      </c>
      <c r="DL136" s="30" t="str">
        <f t="shared" si="2108"/>
        <v/>
      </c>
      <c r="DM136" s="30" t="str">
        <f t="shared" si="2109"/>
        <v/>
      </c>
      <c r="DN136" s="30" t="str">
        <f t="shared" si="2110"/>
        <v/>
      </c>
      <c r="DO136" s="30" t="str">
        <f t="shared" si="2111"/>
        <v/>
      </c>
      <c r="DP136" s="30" t="str">
        <f t="shared" si="2112"/>
        <v/>
      </c>
      <c r="DQ136" s="30" t="str">
        <f t="shared" si="2113"/>
        <v/>
      </c>
      <c r="DR136" s="30" t="str">
        <f t="shared" si="2114"/>
        <v/>
      </c>
      <c r="DS136" s="30" t="str">
        <f t="shared" si="2115"/>
        <v/>
      </c>
      <c r="DT136" s="30" t="str">
        <f t="shared" si="2116"/>
        <v/>
      </c>
      <c r="DU136" s="30" t="str">
        <f t="shared" si="2117"/>
        <v/>
      </c>
      <c r="DV136" s="30" t="str">
        <f t="shared" si="2118"/>
        <v/>
      </c>
      <c r="DW136" s="30" t="str">
        <f t="shared" si="2119"/>
        <v/>
      </c>
      <c r="DX136" s="30" t="str">
        <f t="shared" si="2120"/>
        <v/>
      </c>
      <c r="DY136" s="30" t="str">
        <f t="shared" si="2121"/>
        <v/>
      </c>
      <c r="DZ136" s="30" t="str">
        <f t="shared" si="2122"/>
        <v/>
      </c>
      <c r="EA136" s="30" t="str">
        <f t="shared" si="2123"/>
        <v/>
      </c>
      <c r="EB136" s="30" t="str">
        <f t="shared" si="2124"/>
        <v/>
      </c>
      <c r="EC136" s="30" t="str">
        <f t="shared" si="2125"/>
        <v/>
      </c>
      <c r="ED136" s="30" t="str">
        <f t="shared" si="2126"/>
        <v/>
      </c>
      <c r="EE136" s="30" t="str">
        <f t="shared" si="2127"/>
        <v/>
      </c>
      <c r="EF136" s="30" t="str">
        <f t="shared" si="2128"/>
        <v/>
      </c>
      <c r="EG136" s="30" t="str">
        <f t="shared" si="2129"/>
        <v/>
      </c>
      <c r="EH136" s="30" t="str">
        <f t="shared" si="2130"/>
        <v/>
      </c>
      <c r="EI136" s="30" t="str">
        <f t="shared" si="2131"/>
        <v/>
      </c>
      <c r="EJ136" s="30" t="str">
        <f t="shared" si="2132"/>
        <v/>
      </c>
      <c r="EK136" s="30" t="str">
        <f t="shared" si="2133"/>
        <v/>
      </c>
      <c r="EL136" s="30" t="str">
        <f t="shared" si="2134"/>
        <v/>
      </c>
      <c r="EM136" s="30" t="str">
        <f t="shared" si="2135"/>
        <v/>
      </c>
      <c r="EN136" s="30" t="str">
        <f t="shared" si="2136"/>
        <v/>
      </c>
      <c r="EO136" s="30" t="str">
        <f t="shared" si="2137"/>
        <v/>
      </c>
      <c r="EP136" s="30" t="str">
        <f t="shared" si="2138"/>
        <v/>
      </c>
      <c r="EQ136" s="30" t="str">
        <f t="shared" si="2139"/>
        <v/>
      </c>
      <c r="ER136" s="30" t="str">
        <f t="shared" si="2140"/>
        <v/>
      </c>
      <c r="ES136" s="30" t="str">
        <f t="shared" si="2141"/>
        <v/>
      </c>
      <c r="ET136" s="30" t="str">
        <f t="shared" si="2142"/>
        <v/>
      </c>
      <c r="EU136" s="30" t="str">
        <f t="shared" si="2143"/>
        <v/>
      </c>
      <c r="EV136" s="30" t="str">
        <f t="shared" si="2144"/>
        <v/>
      </c>
      <c r="EW136" s="30" t="str">
        <f t="shared" si="2145"/>
        <v/>
      </c>
      <c r="EX136" s="30" t="str">
        <f t="shared" si="2146"/>
        <v/>
      </c>
      <c r="EY136" s="30" t="str">
        <f t="shared" si="2147"/>
        <v/>
      </c>
      <c r="EZ136" s="30" t="str">
        <f t="shared" si="2148"/>
        <v/>
      </c>
      <c r="FA136" s="30" t="str">
        <f t="shared" si="2149"/>
        <v/>
      </c>
      <c r="FB136" s="30" t="str">
        <f t="shared" si="2150"/>
        <v/>
      </c>
      <c r="FC136" s="30" t="str">
        <f t="shared" si="2151"/>
        <v/>
      </c>
      <c r="FD136" s="30" t="str">
        <f t="shared" si="2152"/>
        <v/>
      </c>
      <c r="FE136" s="30" t="str">
        <f t="shared" si="2153"/>
        <v/>
      </c>
      <c r="FF136" s="30" t="str">
        <f t="shared" si="2154"/>
        <v/>
      </c>
      <c r="FG136" s="30" t="str">
        <f t="shared" si="2155"/>
        <v/>
      </c>
      <c r="FH136" s="30" t="str">
        <f t="shared" si="2156"/>
        <v/>
      </c>
      <c r="FI136" s="30" t="str">
        <f t="shared" si="2157"/>
        <v/>
      </c>
      <c r="FJ136" s="30" t="str">
        <f t="shared" si="2158"/>
        <v/>
      </c>
      <c r="FK136" s="30" t="str">
        <f t="shared" si="2159"/>
        <v/>
      </c>
      <c r="FL136" s="30" t="str">
        <f t="shared" si="2160"/>
        <v/>
      </c>
      <c r="FM136" s="30" t="str">
        <f t="shared" si="2161"/>
        <v/>
      </c>
      <c r="FN136" s="30" t="str">
        <f t="shared" si="2162"/>
        <v/>
      </c>
      <c r="FO136" s="30" t="str">
        <f t="shared" si="2163"/>
        <v/>
      </c>
      <c r="FP136" s="30" t="str">
        <f t="shared" si="2164"/>
        <v/>
      </c>
      <c r="FQ136" s="30" t="str">
        <f t="shared" si="2165"/>
        <v/>
      </c>
      <c r="FR136" s="30" t="str">
        <f t="shared" si="2166"/>
        <v/>
      </c>
      <c r="FS136" s="30" t="str">
        <f t="shared" si="2167"/>
        <v/>
      </c>
    </row>
    <row r="137" spans="1:175" ht="16.5">
      <c r="A137" s="117"/>
      <c r="B137" s="111" t="s">
        <v>916</v>
      </c>
      <c r="C137" s="117" t="s">
        <v>920</v>
      </c>
      <c r="R137" s="25">
        <v>4398</v>
      </c>
      <c r="S137" s="25">
        <v>-5206</v>
      </c>
      <c r="T137" s="117" t="s">
        <v>920</v>
      </c>
      <c r="U137" s="37" t="s">
        <v>822</v>
      </c>
      <c r="CN137" s="7" t="str">
        <f t="shared" si="2091"/>
        <v>InitUnitState('IT13',,,,,,,,,,)</v>
      </c>
      <c r="CO137" s="7" t="str">
        <f t="shared" si="2092"/>
        <v>InitUnitNormal('IT13',,,,,,,,,,)</v>
      </c>
      <c r="CP137" s="7" t="str">
        <f t="shared" si="2093"/>
        <v>InitUnitMagic('IT13',,,,,,,,,,)</v>
      </c>
      <c r="CQ137" s="7" t="str">
        <f t="shared" si="2094"/>
        <v>InitUnitAdd('IT13',,,,,,,,,,)</v>
      </c>
      <c r="CR137" s="7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143&amp;CR$1&amp;")"</f>
        <v>InitEquipData('IT13',,"",,,,,'','','','','','',"ReplaceableTextures\\CommandButtons\\BTNTome.blp")</v>
      </c>
      <c r="CU137" s="45" t="str">
        <f t="shared" si="2096"/>
        <v>|n</v>
      </c>
      <c r="CV137" s="29" t="str">
        <f t="shared" si="2097"/>
        <v>境界挑战13</v>
      </c>
      <c r="CW137" s="24"/>
      <c r="CX137" s="24"/>
      <c r="CY137" s="24"/>
      <c r="CZ137" s="24"/>
      <c r="DA137" s="24"/>
      <c r="DB137" s="30" t="str">
        <f t="shared" si="2098"/>
        <v/>
      </c>
      <c r="DC137" s="30" t="str">
        <f t="shared" si="2099"/>
        <v/>
      </c>
      <c r="DD137" s="30" t="str">
        <f t="shared" si="2100"/>
        <v/>
      </c>
      <c r="DE137" s="30" t="str">
        <f t="shared" si="2101"/>
        <v/>
      </c>
      <c r="DF137" s="30" t="str">
        <f t="shared" si="2102"/>
        <v/>
      </c>
      <c r="DG137" s="30" t="str">
        <f t="shared" si="2103"/>
        <v/>
      </c>
      <c r="DH137" s="30" t="str">
        <f t="shared" si="2104"/>
        <v/>
      </c>
      <c r="DI137" s="30" t="str">
        <f t="shared" si="2105"/>
        <v/>
      </c>
      <c r="DJ137" s="30" t="str">
        <f t="shared" si="2106"/>
        <v/>
      </c>
      <c r="DK137" s="30" t="str">
        <f t="shared" si="2107"/>
        <v/>
      </c>
      <c r="DL137" s="30" t="str">
        <f t="shared" si="2108"/>
        <v/>
      </c>
      <c r="DM137" s="30" t="str">
        <f t="shared" si="2109"/>
        <v/>
      </c>
      <c r="DN137" s="30" t="str">
        <f t="shared" si="2110"/>
        <v/>
      </c>
      <c r="DO137" s="30" t="str">
        <f t="shared" si="2111"/>
        <v/>
      </c>
      <c r="DP137" s="30" t="str">
        <f t="shared" si="2112"/>
        <v/>
      </c>
      <c r="DQ137" s="30" t="str">
        <f t="shared" si="2113"/>
        <v/>
      </c>
      <c r="DR137" s="30" t="str">
        <f t="shared" si="2114"/>
        <v/>
      </c>
      <c r="DS137" s="30" t="str">
        <f t="shared" si="2115"/>
        <v/>
      </c>
      <c r="DT137" s="30" t="str">
        <f t="shared" si="2116"/>
        <v/>
      </c>
      <c r="DU137" s="30" t="str">
        <f t="shared" si="2117"/>
        <v/>
      </c>
      <c r="DV137" s="30" t="str">
        <f t="shared" si="2118"/>
        <v/>
      </c>
      <c r="DW137" s="30" t="str">
        <f t="shared" si="2119"/>
        <v/>
      </c>
      <c r="DX137" s="30" t="str">
        <f t="shared" si="2120"/>
        <v/>
      </c>
      <c r="DY137" s="30" t="str">
        <f t="shared" si="2121"/>
        <v/>
      </c>
      <c r="DZ137" s="30" t="str">
        <f t="shared" si="2122"/>
        <v/>
      </c>
      <c r="EA137" s="30" t="str">
        <f t="shared" si="2123"/>
        <v/>
      </c>
      <c r="EB137" s="30" t="str">
        <f t="shared" si="2124"/>
        <v/>
      </c>
      <c r="EC137" s="30" t="str">
        <f t="shared" si="2125"/>
        <v/>
      </c>
      <c r="ED137" s="30" t="str">
        <f t="shared" si="2126"/>
        <v/>
      </c>
      <c r="EE137" s="30" t="str">
        <f t="shared" si="2127"/>
        <v/>
      </c>
      <c r="EF137" s="30" t="str">
        <f t="shared" si="2128"/>
        <v/>
      </c>
      <c r="EG137" s="30" t="str">
        <f t="shared" si="2129"/>
        <v/>
      </c>
      <c r="EH137" s="30" t="str">
        <f t="shared" si="2130"/>
        <v/>
      </c>
      <c r="EI137" s="30" t="str">
        <f t="shared" si="2131"/>
        <v/>
      </c>
      <c r="EJ137" s="30" t="str">
        <f t="shared" si="2132"/>
        <v/>
      </c>
      <c r="EK137" s="30" t="str">
        <f t="shared" si="2133"/>
        <v/>
      </c>
      <c r="EL137" s="30" t="str">
        <f t="shared" si="2134"/>
        <v/>
      </c>
      <c r="EM137" s="30" t="str">
        <f t="shared" si="2135"/>
        <v/>
      </c>
      <c r="EN137" s="30" t="str">
        <f t="shared" si="2136"/>
        <v/>
      </c>
      <c r="EO137" s="30" t="str">
        <f t="shared" si="2137"/>
        <v/>
      </c>
      <c r="EP137" s="30" t="str">
        <f t="shared" si="2138"/>
        <v/>
      </c>
      <c r="EQ137" s="30" t="str">
        <f t="shared" si="2139"/>
        <v/>
      </c>
      <c r="ER137" s="30" t="str">
        <f t="shared" si="2140"/>
        <v/>
      </c>
      <c r="ES137" s="30" t="str">
        <f t="shared" si="2141"/>
        <v/>
      </c>
      <c r="ET137" s="30" t="str">
        <f t="shared" si="2142"/>
        <v/>
      </c>
      <c r="EU137" s="30" t="str">
        <f t="shared" si="2143"/>
        <v/>
      </c>
      <c r="EV137" s="30" t="str">
        <f t="shared" si="2144"/>
        <v/>
      </c>
      <c r="EW137" s="30" t="str">
        <f t="shared" si="2145"/>
        <v/>
      </c>
      <c r="EX137" s="30" t="str">
        <f t="shared" si="2146"/>
        <v/>
      </c>
      <c r="EY137" s="30" t="str">
        <f t="shared" si="2147"/>
        <v/>
      </c>
      <c r="EZ137" s="30" t="str">
        <f t="shared" si="2148"/>
        <v/>
      </c>
      <c r="FA137" s="30" t="str">
        <f t="shared" si="2149"/>
        <v/>
      </c>
      <c r="FB137" s="30" t="str">
        <f t="shared" si="2150"/>
        <v/>
      </c>
      <c r="FC137" s="30" t="str">
        <f t="shared" si="2151"/>
        <v/>
      </c>
      <c r="FD137" s="30" t="str">
        <f t="shared" si="2152"/>
        <v/>
      </c>
      <c r="FE137" s="30" t="str">
        <f t="shared" si="2153"/>
        <v/>
      </c>
      <c r="FF137" s="30" t="str">
        <f t="shared" si="2154"/>
        <v/>
      </c>
      <c r="FG137" s="30" t="str">
        <f t="shared" si="2155"/>
        <v/>
      </c>
      <c r="FH137" s="30" t="str">
        <f t="shared" si="2156"/>
        <v/>
      </c>
      <c r="FI137" s="30" t="str">
        <f t="shared" si="2157"/>
        <v/>
      </c>
      <c r="FJ137" s="30" t="str">
        <f t="shared" si="2158"/>
        <v/>
      </c>
      <c r="FK137" s="30" t="str">
        <f t="shared" si="2159"/>
        <v/>
      </c>
      <c r="FL137" s="30" t="str">
        <f t="shared" si="2160"/>
        <v/>
      </c>
      <c r="FM137" s="30" t="str">
        <f t="shared" si="2161"/>
        <v/>
      </c>
      <c r="FN137" s="30" t="str">
        <f t="shared" si="2162"/>
        <v/>
      </c>
      <c r="FO137" s="30" t="str">
        <f t="shared" si="2163"/>
        <v/>
      </c>
      <c r="FP137" s="30" t="str">
        <f t="shared" si="2164"/>
        <v/>
      </c>
      <c r="FQ137" s="30" t="str">
        <f t="shared" si="2165"/>
        <v/>
      </c>
      <c r="FR137" s="30" t="str">
        <f t="shared" si="2166"/>
        <v/>
      </c>
      <c r="FS137" s="30" t="str">
        <f t="shared" si="2167"/>
        <v/>
      </c>
    </row>
    <row r="138" spans="1:175" ht="16.5">
      <c r="A138" s="117"/>
      <c r="B138" s="111" t="s">
        <v>917</v>
      </c>
      <c r="C138" s="117" t="s">
        <v>921</v>
      </c>
      <c r="R138" s="25">
        <v>7548</v>
      </c>
      <c r="S138" s="25">
        <v>-6605</v>
      </c>
      <c r="T138" s="117" t="s">
        <v>921</v>
      </c>
      <c r="U138" s="37" t="s">
        <v>822</v>
      </c>
      <c r="CN138" s="7" t="str">
        <f t="shared" ref="CN138:CN139" si="2168">"InitUnitState('"&amp;B138&amp;"',"&amp;V138&amp;","&amp;W138&amp;","&amp;X138&amp;","&amp;Y138&amp;","&amp;Z138&amp;","&amp;AA138&amp;","&amp;AB138&amp;","&amp;AC138&amp;","&amp;AD138&amp;","&amp;AE138&amp;")"</f>
        <v>InitUnitState('IT14',,,,,,,,,,)</v>
      </c>
      <c r="CO138" s="7" t="str">
        <f t="shared" ref="CO138:CO139" si="2169">"InitUnitNormal('"&amp;B138&amp;"',"&amp;AF138&amp;","&amp;AG138&amp;","&amp;AH138&amp;","&amp;AI138&amp;","&amp;AJ138&amp;","&amp;AK138&amp;","&amp;AL138&amp;","&amp;AM138&amp;","&amp;AN138&amp;","&amp;AO138&amp;")"</f>
        <v>InitUnitNormal('IT14',,,,,,,,,,)</v>
      </c>
      <c r="CP138" s="7" t="str">
        <f t="shared" ref="CP138:CP139" si="2170">"InitUnitMagic('"&amp;B138&amp;"',"&amp;AP138&amp;","&amp;AQ138&amp;","&amp;AR138&amp;","&amp;AS138&amp;","&amp;AT138&amp;","&amp;AU138&amp;","&amp;AV138&amp;","&amp;AW138&amp;","&amp;BI138&amp;","&amp;BJ138&amp;")"</f>
        <v>InitUnitMagic('IT14',,,,,,,,,,)</v>
      </c>
      <c r="CQ138" s="7" t="str">
        <f t="shared" ref="CQ138:CQ139" si="2171">"InitUnitAdd('"&amp;B138&amp;"',"&amp;BK138&amp;","&amp;BL138&amp;","&amp;BM138&amp;","&amp;BN138&amp;","&amp;BO138&amp;","&amp;BP138&amp;","&amp;BQ138&amp;","&amp;BR138&amp;","&amp;BS138&amp;","&amp;BT138&amp;")"</f>
        <v>InitUnitAdd('IT14',,,,,,,,,,)</v>
      </c>
      <c r="CR138" s="7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145&amp;CR$1&amp;")"</f>
        <v>InitEquipData('IT14',,"",,,,,'','','','','','',"ReplaceableTextures\\CommandButtons\\BTNTome.blp")</v>
      </c>
      <c r="CU138" s="45" t="str">
        <f t="shared" ref="CU138:CU139" si="2172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29" t="str">
        <f t="shared" ref="CV138:CV139" si="2173">T138</f>
        <v>境界挑战14</v>
      </c>
      <c r="CW138" s="24"/>
      <c r="CX138" s="24"/>
      <c r="CY138" s="24"/>
      <c r="CZ138" s="24"/>
      <c r="DA138" s="24"/>
      <c r="DB138" s="30" t="str">
        <f t="shared" ref="DB138:DB139" si="2174">IF(V138="","","|n"&amp;DB$2&amp;"+"&amp;V138&amp;DB$1)</f>
        <v/>
      </c>
      <c r="DC138" s="30" t="str">
        <f t="shared" ref="DC138:DC139" si="2175">IF(W138="","","|n"&amp;DC$2&amp;"+"&amp;W138&amp;DC$1)</f>
        <v/>
      </c>
      <c r="DD138" s="30" t="str">
        <f t="shared" ref="DD138:DD139" si="2176">IF(X138="","","|n"&amp;DD$2&amp;"+"&amp;X138&amp;DD$1)</f>
        <v/>
      </c>
      <c r="DE138" s="30" t="str">
        <f t="shared" ref="DE138:DE139" si="2177">IF(Y138="","","|n"&amp;DE$2&amp;"+"&amp;Y138&amp;DE$1)</f>
        <v/>
      </c>
      <c r="DF138" s="30" t="str">
        <f t="shared" ref="DF138:DF139" si="2178">IF(Z138="","","|n"&amp;DF$2&amp;"+"&amp;Z138&amp;DF$1)</f>
        <v/>
      </c>
      <c r="DG138" s="30" t="str">
        <f t="shared" ref="DG138:DG139" si="2179">IF(AA138="","","|n"&amp;DG$2&amp;"+"&amp;AA138&amp;DG$1)</f>
        <v/>
      </c>
      <c r="DH138" s="30" t="str">
        <f t="shared" ref="DH138:DH139" si="2180">IF(AB138="","","|n"&amp;DH$2&amp;"+"&amp;AB138&amp;DH$1)</f>
        <v/>
      </c>
      <c r="DI138" s="30" t="str">
        <f t="shared" ref="DI138:DI139" si="2181">IF(AC138="","","|n"&amp;DI$2&amp;"+"&amp;AC138&amp;DI$1)</f>
        <v/>
      </c>
      <c r="DJ138" s="30" t="str">
        <f t="shared" ref="DJ138:DJ139" si="2182">IF(AD138="","","|n"&amp;DJ$2&amp;"+"&amp;AD138&amp;DJ$1)</f>
        <v/>
      </c>
      <c r="DK138" s="30" t="str">
        <f t="shared" ref="DK138:DK139" si="2183">IF(AE138="","","|n"&amp;DK$2&amp;"+"&amp;AE138&amp;DK$1)</f>
        <v/>
      </c>
      <c r="DL138" s="30" t="str">
        <f t="shared" ref="DL138:DL139" si="2184">IF(AF138="","","|n"&amp;DL$2&amp;"+"&amp;AF138&amp;DL$1)</f>
        <v/>
      </c>
      <c r="DM138" s="30" t="str">
        <f t="shared" ref="DM138:DM139" si="2185">IF(AG138="","","|n"&amp;DM$2&amp;"+"&amp;AG138&amp;DM$1)</f>
        <v/>
      </c>
      <c r="DN138" s="30" t="str">
        <f t="shared" ref="DN138:DN139" si="2186">IF(AH138="","","|n"&amp;DN$2&amp;"+"&amp;AH138&amp;DN$1)</f>
        <v/>
      </c>
      <c r="DO138" s="30" t="str">
        <f t="shared" ref="DO138:DO139" si="2187">IF(AI138="","","|n"&amp;DO$2&amp;"+"&amp;AI138&amp;DO$1)</f>
        <v/>
      </c>
      <c r="DP138" s="30" t="str">
        <f t="shared" ref="DP138:DP139" si="2188">IF(AJ138="","","|n"&amp;DP$2&amp;"+"&amp;AJ138&amp;DP$1)</f>
        <v/>
      </c>
      <c r="DQ138" s="30" t="str">
        <f t="shared" ref="DQ138:DQ139" si="2189">IF(AK138="","","|n"&amp;DQ$2&amp;"+"&amp;AK138&amp;DQ$1)</f>
        <v/>
      </c>
      <c r="DR138" s="30" t="str">
        <f t="shared" ref="DR138:DR139" si="2190">IF(AL138="","","|n"&amp;DR$2&amp;"+"&amp;AL138&amp;DR$1)</f>
        <v/>
      </c>
      <c r="DS138" s="30" t="str">
        <f t="shared" ref="DS138:DS139" si="2191">IF(AM138="","","|n"&amp;DS$2&amp;"+"&amp;AM138&amp;DS$1)</f>
        <v/>
      </c>
      <c r="DT138" s="30" t="str">
        <f t="shared" ref="DT138:DT139" si="2192">IF(AN138="","","|n"&amp;DT$2&amp;"+"&amp;AN138&amp;DT$1)</f>
        <v/>
      </c>
      <c r="DU138" s="30" t="str">
        <f t="shared" ref="DU138:DU139" si="2193">IF(AO138="","","|n"&amp;DU$2&amp;"+"&amp;AO138&amp;DU$1)</f>
        <v/>
      </c>
      <c r="DV138" s="30" t="str">
        <f t="shared" ref="DV138:DV139" si="2194">IF(AP138="","","|n"&amp;DV$2&amp;"+"&amp;AP138&amp;DV$1)</f>
        <v/>
      </c>
      <c r="DW138" s="30" t="str">
        <f t="shared" ref="DW138:DW139" si="2195">IF(AQ138="","","|n"&amp;DW$2&amp;"+"&amp;AQ138&amp;DW$1)</f>
        <v/>
      </c>
      <c r="DX138" s="30" t="str">
        <f t="shared" ref="DX138:DX139" si="2196">IF(AR138="","","|n"&amp;DX$2&amp;"+"&amp;AR138&amp;DX$1)</f>
        <v/>
      </c>
      <c r="DY138" s="30" t="str">
        <f t="shared" ref="DY138:DY139" si="2197">IF(AS138="","","|n"&amp;DY$2&amp;"+"&amp;AS138&amp;DY$1)</f>
        <v/>
      </c>
      <c r="DZ138" s="30" t="str">
        <f t="shared" ref="DZ138:DZ139" si="2198">IF(AT138="","","|n"&amp;DZ$2&amp;"+"&amp;AT138&amp;DZ$1)</f>
        <v/>
      </c>
      <c r="EA138" s="30" t="str">
        <f t="shared" ref="EA138:EA139" si="2199">IF(AU138="","","|n"&amp;EA$2&amp;"+"&amp;AU138&amp;EA$1)</f>
        <v/>
      </c>
      <c r="EB138" s="30" t="str">
        <f t="shared" ref="EB138:EB139" si="2200">IF(AV138="","","|n"&amp;EB$2&amp;"+"&amp;AV138&amp;EB$1)</f>
        <v/>
      </c>
      <c r="EC138" s="30" t="str">
        <f t="shared" ref="EC138:EC139" si="2201">IF(AW138="","","|n"&amp;EC$2&amp;"+"&amp;AW138&amp;EC$1)</f>
        <v/>
      </c>
      <c r="ED138" s="30" t="str">
        <f t="shared" ref="ED138:ED139" si="2202">IF(AX138="","","|n"&amp;ED$2&amp;"+"&amp;AX138&amp;ED$1)</f>
        <v/>
      </c>
      <c r="EE138" s="30" t="str">
        <f t="shared" ref="EE138:EE139" si="2203">IF(AY138="","","|n"&amp;EE$2&amp;"+"&amp;AY138&amp;EE$1)</f>
        <v/>
      </c>
      <c r="EF138" s="30" t="str">
        <f t="shared" ref="EF138:EF139" si="2204">IF(AZ138="","","|n"&amp;EF$2&amp;"+"&amp;AZ138&amp;EF$1)</f>
        <v/>
      </c>
      <c r="EG138" s="30" t="str">
        <f t="shared" ref="EG138:EG139" si="2205">IF(BA138="","","|n"&amp;EG$2&amp;"+"&amp;BA138&amp;EG$1)</f>
        <v/>
      </c>
      <c r="EH138" s="30" t="str">
        <f t="shared" ref="EH138:EH139" si="2206">IF(BB138="","","|n"&amp;EH$2&amp;"+"&amp;BB138&amp;EH$1)</f>
        <v/>
      </c>
      <c r="EI138" s="30" t="str">
        <f t="shared" ref="EI138:EI139" si="2207">IF(BC138="","","|n"&amp;EI$2&amp;"+"&amp;BC138&amp;EI$1)</f>
        <v/>
      </c>
      <c r="EJ138" s="30" t="str">
        <f t="shared" ref="EJ138:EJ139" si="2208">IF(BD138="","","|n"&amp;EJ$2&amp;"+"&amp;BD138&amp;EJ$1)</f>
        <v/>
      </c>
      <c r="EK138" s="30" t="str">
        <f t="shared" ref="EK138:EK139" si="2209">IF(BE138="","","|n"&amp;EK$2&amp;"+"&amp;BE138&amp;EK$1)</f>
        <v/>
      </c>
      <c r="EL138" s="30" t="str">
        <f t="shared" ref="EL138:EL139" si="2210">IF(BF138="","","|n"&amp;EL$2&amp;"+"&amp;BF138&amp;EL$1)</f>
        <v/>
      </c>
      <c r="EM138" s="30" t="str">
        <f t="shared" ref="EM138:EM139" si="2211">IF(BG138="","","|n"&amp;EM$2&amp;"+"&amp;BG138&amp;EM$1)</f>
        <v/>
      </c>
      <c r="EN138" s="30" t="str">
        <f t="shared" ref="EN138:EN139" si="2212">IF(BH138="","","|n"&amp;EN$2&amp;"+"&amp;BH138&amp;EN$1)</f>
        <v/>
      </c>
      <c r="EO138" s="30" t="str">
        <f t="shared" ref="EO138:EO139" si="2213">IF(BI138="","","|n"&amp;EO$2&amp;"+"&amp;BI138&amp;EO$1)</f>
        <v/>
      </c>
      <c r="EP138" s="30" t="str">
        <f t="shared" ref="EP138:EP139" si="2214">IF(BJ138="","","|n"&amp;EP$2&amp;"+"&amp;BJ138&amp;EP$1)</f>
        <v/>
      </c>
      <c r="EQ138" s="30" t="str">
        <f t="shared" ref="EQ138:EQ139" si="2215">IF(BK138="","","|n"&amp;EQ$2&amp;"+"&amp;BK138&amp;EQ$1)</f>
        <v/>
      </c>
      <c r="ER138" s="30" t="str">
        <f t="shared" ref="ER138:ER139" si="2216">IF(BL138="","","|n"&amp;ER$2&amp;"+"&amp;BL138&amp;ER$1)</f>
        <v/>
      </c>
      <c r="ES138" s="30" t="str">
        <f t="shared" ref="ES138:ES139" si="2217">IF(BM138="","","|n"&amp;ES$2&amp;"+"&amp;BM138&amp;ES$1)</f>
        <v/>
      </c>
      <c r="ET138" s="30" t="str">
        <f t="shared" ref="ET138:ET139" si="2218">IF(BN138="","","|n"&amp;ET$2&amp;"+"&amp;BN138&amp;ET$1)</f>
        <v/>
      </c>
      <c r="EU138" s="30" t="str">
        <f t="shared" ref="EU138:EU139" si="2219">IF(BO138="","","|n"&amp;EU$2&amp;"+"&amp;BO138&amp;EU$1)</f>
        <v/>
      </c>
      <c r="EV138" s="30" t="str">
        <f t="shared" ref="EV138:EV139" si="2220">IF(BP138="","","|n"&amp;EV$2&amp;"+"&amp;BP138&amp;EV$1)</f>
        <v/>
      </c>
      <c r="EW138" s="30" t="str">
        <f t="shared" ref="EW138:EW139" si="2221">IF(BQ138="","","|n"&amp;EW$2&amp;"+"&amp;BQ138&amp;EW$1)</f>
        <v/>
      </c>
      <c r="EX138" s="30" t="str">
        <f t="shared" ref="EX138:EX139" si="2222">IF(BR138="","","|n"&amp;EX$2&amp;"+"&amp;BR138&amp;EX$1)</f>
        <v/>
      </c>
      <c r="EY138" s="30" t="str">
        <f t="shared" ref="EY138:EY139" si="2223">IF(BS138="","","|n"&amp;EY$2&amp;"+"&amp;BS138&amp;EY$1)</f>
        <v/>
      </c>
      <c r="EZ138" s="30" t="str">
        <f t="shared" ref="EZ138:EZ139" si="2224">IF(BT138="","","|n"&amp;EZ$2&amp;"+"&amp;BT138&amp;EZ$1)</f>
        <v/>
      </c>
      <c r="FA138" s="30" t="str">
        <f t="shared" ref="FA138:FA139" si="2225">IF(BU138="","","|n"&amp;FA$2&amp;"+"&amp;BU138&amp;FA$1)</f>
        <v/>
      </c>
      <c r="FB138" s="30" t="str">
        <f t="shared" ref="FB138:FB139" si="2226">IF(BV138="","","|n"&amp;FB$2&amp;"+"&amp;BV138&amp;FB$1)</f>
        <v/>
      </c>
      <c r="FC138" s="30" t="str">
        <f t="shared" ref="FC138:FC139" si="2227">IF(BW138="","","|n"&amp;FC$2&amp;"+"&amp;BW138&amp;FC$1)</f>
        <v/>
      </c>
      <c r="FD138" s="30" t="str">
        <f t="shared" ref="FD138:FD139" si="2228">IF(BX138="","","|n"&amp;FD$2&amp;"+"&amp;BX138&amp;FD$1)</f>
        <v/>
      </c>
      <c r="FE138" s="30" t="str">
        <f t="shared" ref="FE138:FE139" si="2229">IF(BY138="","","|n"&amp;FE$2&amp;"+"&amp;BY138&amp;FE$1)</f>
        <v/>
      </c>
      <c r="FF138" s="30" t="str">
        <f t="shared" ref="FF138:FF139" si="2230">IF(BZ138="","","|n"&amp;FF$2&amp;"+"&amp;BZ138&amp;FF$1)</f>
        <v/>
      </c>
      <c r="FG138" s="30" t="str">
        <f t="shared" ref="FG138:FG139" si="2231">IF(CA138="","","|n"&amp;FG$2&amp;"+"&amp;CA138&amp;FG$1)</f>
        <v/>
      </c>
      <c r="FH138" s="30" t="str">
        <f t="shared" ref="FH138:FH139" si="2232">IF(CB138="","","|n"&amp;FH$2&amp;"+"&amp;CB138&amp;FH$1)</f>
        <v/>
      </c>
      <c r="FI138" s="30" t="str">
        <f t="shared" ref="FI138:FI139" si="2233">IF(CC138="","","|n"&amp;FI$2&amp;"+"&amp;CC138&amp;FI$1)</f>
        <v/>
      </c>
      <c r="FJ138" s="30" t="str">
        <f t="shared" ref="FJ138:FJ139" si="2234">IF(CD138="","","|n"&amp;FJ$2&amp;"+"&amp;CD138&amp;FJ$1)</f>
        <v/>
      </c>
      <c r="FK138" s="30" t="str">
        <f t="shared" ref="FK138:FK139" si="2235">IF(CE138="","","|n"&amp;FK$2&amp;"+"&amp;CE138&amp;FK$1)</f>
        <v/>
      </c>
      <c r="FL138" s="30" t="str">
        <f t="shared" ref="FL138:FL139" si="2236">IF(CF138="","","|n"&amp;FL$2&amp;"+"&amp;CF138&amp;FL$1)</f>
        <v/>
      </c>
      <c r="FM138" s="30" t="str">
        <f t="shared" ref="FM138:FM139" si="2237">IF(CG138="","","|n"&amp;FM$2&amp;"+"&amp;CG138&amp;FM$1)</f>
        <v/>
      </c>
      <c r="FN138" s="30" t="str">
        <f t="shared" ref="FN138:FN139" si="2238">IF(CH138="","","|n"&amp;FN$2&amp;"+"&amp;CH138&amp;FN$1)</f>
        <v/>
      </c>
      <c r="FO138" s="30" t="str">
        <f t="shared" ref="FO138:FO139" si="2239">IF(CI138="","","|n"&amp;FO$2&amp;"+"&amp;CI138&amp;FO$1)</f>
        <v/>
      </c>
      <c r="FP138" s="30" t="str">
        <f t="shared" ref="FP138:FP139" si="2240">IF(CJ138="","","|n"&amp;FP$2&amp;"+"&amp;CJ138&amp;FP$1)</f>
        <v/>
      </c>
      <c r="FQ138" s="30" t="str">
        <f t="shared" ref="FQ138:FQ139" si="2241">IF(CK138="","","|n"&amp;FQ$2&amp;"+"&amp;CK138&amp;FQ$1)</f>
        <v/>
      </c>
      <c r="FR138" s="30" t="str">
        <f t="shared" ref="FR138:FR139" si="2242">IF(CL138="","","|n"&amp;FR$2&amp;"+"&amp;CL138&amp;FR$1)</f>
        <v/>
      </c>
      <c r="FS138" s="30" t="str">
        <f t="shared" ref="FS138:FS139" si="2243">IF(CM138="","","|n"&amp;FS$2&amp;"+"&amp;CM138&amp;FS$1)</f>
        <v/>
      </c>
    </row>
    <row r="139" spans="1:175" ht="16.5">
      <c r="A139" s="117"/>
      <c r="B139" s="111" t="s">
        <v>878</v>
      </c>
      <c r="C139" s="117" t="s">
        <v>966</v>
      </c>
      <c r="T139" s="117" t="s">
        <v>966</v>
      </c>
      <c r="U139" s="37" t="s">
        <v>822</v>
      </c>
      <c r="CN139" s="7" t="str">
        <f t="shared" si="2168"/>
        <v>InitUnitState('IS01',,,,,,,,,,)</v>
      </c>
      <c r="CO139" s="7" t="str">
        <f t="shared" si="2169"/>
        <v>InitUnitNormal('IS01',,,,,,,,,,)</v>
      </c>
      <c r="CP139" s="7" t="str">
        <f t="shared" si="2170"/>
        <v>InitUnitMagic('IS01',,,,,,,,,,)</v>
      </c>
      <c r="CQ139" s="7" t="str">
        <f t="shared" si="2171"/>
        <v>InitUnitAdd('IS01',,,,,,,,,,)</v>
      </c>
      <c r="CR139" s="7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InitEquipData('IS01',,"",,,,,'','','','','','',"ReplaceableTextures\\CommandButtons\\BTNTome.blp")</v>
      </c>
      <c r="CU139" s="45" t="str">
        <f t="shared" si="2172"/>
        <v>|n</v>
      </c>
      <c r="CV139" s="29" t="str">
        <f t="shared" si="2173"/>
        <v>抽技能D</v>
      </c>
      <c r="CW139" s="24"/>
      <c r="CX139" s="24"/>
      <c r="CY139" s="24"/>
      <c r="CZ139" s="24"/>
      <c r="DA139" s="24"/>
      <c r="DB139" s="30" t="str">
        <f t="shared" si="2174"/>
        <v/>
      </c>
      <c r="DC139" s="30" t="str">
        <f t="shared" si="2175"/>
        <v/>
      </c>
      <c r="DD139" s="30" t="str">
        <f t="shared" si="2176"/>
        <v/>
      </c>
      <c r="DE139" s="30" t="str">
        <f t="shared" si="2177"/>
        <v/>
      </c>
      <c r="DF139" s="30" t="str">
        <f t="shared" si="2178"/>
        <v/>
      </c>
      <c r="DG139" s="30" t="str">
        <f t="shared" si="2179"/>
        <v/>
      </c>
      <c r="DH139" s="30" t="str">
        <f t="shared" si="2180"/>
        <v/>
      </c>
      <c r="DI139" s="30" t="str">
        <f t="shared" si="2181"/>
        <v/>
      </c>
      <c r="DJ139" s="30" t="str">
        <f t="shared" si="2182"/>
        <v/>
      </c>
      <c r="DK139" s="30" t="str">
        <f t="shared" si="2183"/>
        <v/>
      </c>
      <c r="DL139" s="30" t="str">
        <f t="shared" si="2184"/>
        <v/>
      </c>
      <c r="DM139" s="30" t="str">
        <f t="shared" si="2185"/>
        <v/>
      </c>
      <c r="DN139" s="30" t="str">
        <f t="shared" si="2186"/>
        <v/>
      </c>
      <c r="DO139" s="30" t="str">
        <f t="shared" si="2187"/>
        <v/>
      </c>
      <c r="DP139" s="30" t="str">
        <f t="shared" si="2188"/>
        <v/>
      </c>
      <c r="DQ139" s="30" t="str">
        <f t="shared" si="2189"/>
        <v/>
      </c>
      <c r="DR139" s="30" t="str">
        <f t="shared" si="2190"/>
        <v/>
      </c>
      <c r="DS139" s="30" t="str">
        <f t="shared" si="2191"/>
        <v/>
      </c>
      <c r="DT139" s="30" t="str">
        <f t="shared" si="2192"/>
        <v/>
      </c>
      <c r="DU139" s="30" t="str">
        <f t="shared" si="2193"/>
        <v/>
      </c>
      <c r="DV139" s="30" t="str">
        <f t="shared" si="2194"/>
        <v/>
      </c>
      <c r="DW139" s="30" t="str">
        <f t="shared" si="2195"/>
        <v/>
      </c>
      <c r="DX139" s="30" t="str">
        <f t="shared" si="2196"/>
        <v/>
      </c>
      <c r="DY139" s="30" t="str">
        <f t="shared" si="2197"/>
        <v/>
      </c>
      <c r="DZ139" s="30" t="str">
        <f t="shared" si="2198"/>
        <v/>
      </c>
      <c r="EA139" s="30" t="str">
        <f t="shared" si="2199"/>
        <v/>
      </c>
      <c r="EB139" s="30" t="str">
        <f t="shared" si="2200"/>
        <v/>
      </c>
      <c r="EC139" s="30" t="str">
        <f t="shared" si="2201"/>
        <v/>
      </c>
      <c r="ED139" s="30" t="str">
        <f t="shared" si="2202"/>
        <v/>
      </c>
      <c r="EE139" s="30" t="str">
        <f t="shared" si="2203"/>
        <v/>
      </c>
      <c r="EF139" s="30" t="str">
        <f t="shared" si="2204"/>
        <v/>
      </c>
      <c r="EG139" s="30" t="str">
        <f t="shared" si="2205"/>
        <v/>
      </c>
      <c r="EH139" s="30" t="str">
        <f t="shared" si="2206"/>
        <v/>
      </c>
      <c r="EI139" s="30" t="str">
        <f t="shared" si="2207"/>
        <v/>
      </c>
      <c r="EJ139" s="30" t="str">
        <f t="shared" si="2208"/>
        <v/>
      </c>
      <c r="EK139" s="30" t="str">
        <f t="shared" si="2209"/>
        <v/>
      </c>
      <c r="EL139" s="30" t="str">
        <f t="shared" si="2210"/>
        <v/>
      </c>
      <c r="EM139" s="30" t="str">
        <f t="shared" si="2211"/>
        <v/>
      </c>
      <c r="EN139" s="30" t="str">
        <f t="shared" si="2212"/>
        <v/>
      </c>
      <c r="EO139" s="30" t="str">
        <f t="shared" si="2213"/>
        <v/>
      </c>
      <c r="EP139" s="30" t="str">
        <f t="shared" si="2214"/>
        <v/>
      </c>
      <c r="EQ139" s="30" t="str">
        <f t="shared" si="2215"/>
        <v/>
      </c>
      <c r="ER139" s="30" t="str">
        <f t="shared" si="2216"/>
        <v/>
      </c>
      <c r="ES139" s="30" t="str">
        <f t="shared" si="2217"/>
        <v/>
      </c>
      <c r="ET139" s="30" t="str">
        <f t="shared" si="2218"/>
        <v/>
      </c>
      <c r="EU139" s="30" t="str">
        <f t="shared" si="2219"/>
        <v/>
      </c>
      <c r="EV139" s="30" t="str">
        <f t="shared" si="2220"/>
        <v/>
      </c>
      <c r="EW139" s="30" t="str">
        <f t="shared" si="2221"/>
        <v/>
      </c>
      <c r="EX139" s="30" t="str">
        <f t="shared" si="2222"/>
        <v/>
      </c>
      <c r="EY139" s="30" t="str">
        <f t="shared" si="2223"/>
        <v/>
      </c>
      <c r="EZ139" s="30" t="str">
        <f t="shared" si="2224"/>
        <v/>
      </c>
      <c r="FA139" s="30" t="str">
        <f t="shared" si="2225"/>
        <v/>
      </c>
      <c r="FB139" s="30" t="str">
        <f t="shared" si="2226"/>
        <v/>
      </c>
      <c r="FC139" s="30" t="str">
        <f t="shared" si="2227"/>
        <v/>
      </c>
      <c r="FD139" s="30" t="str">
        <f t="shared" si="2228"/>
        <v/>
      </c>
      <c r="FE139" s="30" t="str">
        <f t="shared" si="2229"/>
        <v/>
      </c>
      <c r="FF139" s="30" t="str">
        <f t="shared" si="2230"/>
        <v/>
      </c>
      <c r="FG139" s="30" t="str">
        <f t="shared" si="2231"/>
        <v/>
      </c>
      <c r="FH139" s="30" t="str">
        <f t="shared" si="2232"/>
        <v/>
      </c>
      <c r="FI139" s="30" t="str">
        <f t="shared" si="2233"/>
        <v/>
      </c>
      <c r="FJ139" s="30" t="str">
        <f t="shared" si="2234"/>
        <v/>
      </c>
      <c r="FK139" s="30" t="str">
        <f t="shared" si="2235"/>
        <v/>
      </c>
      <c r="FL139" s="30" t="str">
        <f t="shared" si="2236"/>
        <v/>
      </c>
      <c r="FM139" s="30" t="str">
        <f t="shared" si="2237"/>
        <v/>
      </c>
      <c r="FN139" s="30" t="str">
        <f t="shared" si="2238"/>
        <v/>
      </c>
      <c r="FO139" s="30" t="str">
        <f t="shared" si="2239"/>
        <v/>
      </c>
      <c r="FP139" s="30" t="str">
        <f t="shared" si="2240"/>
        <v/>
      </c>
      <c r="FQ139" s="30" t="str">
        <f t="shared" si="2241"/>
        <v/>
      </c>
      <c r="FR139" s="30" t="str">
        <f t="shared" si="2242"/>
        <v/>
      </c>
      <c r="FS139" s="30" t="str">
        <f t="shared" si="2243"/>
        <v/>
      </c>
    </row>
    <row r="140" spans="1:175" ht="16.5">
      <c r="A140" s="117"/>
      <c r="B140" s="111" t="s">
        <v>879</v>
      </c>
      <c r="C140" s="117" t="s">
        <v>967</v>
      </c>
      <c r="T140" s="117" t="s">
        <v>967</v>
      </c>
      <c r="U140" s="37" t="s">
        <v>822</v>
      </c>
      <c r="CN140" s="7" t="str">
        <f t="shared" si="2014"/>
        <v>InitUnitState('IS02',,,,,,,,,,)</v>
      </c>
      <c r="CO140" s="7" t="str">
        <f t="shared" si="2015"/>
        <v>InitUnitNormal('IS02',,,,,,,,,,)</v>
      </c>
      <c r="CP140" s="7" t="str">
        <f t="shared" si="2016"/>
        <v>InitUnitMagic('IS02',,,,,,,,,,)</v>
      </c>
      <c r="CQ140" s="7" t="str">
        <f t="shared" si="2017"/>
        <v>InitUnitAdd('IS02',,,,,,,,,,)</v>
      </c>
      <c r="CR140" s="7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InitEquipData('IS02',,"",,,,,'','','','','','',"ReplaceableTextures\\CommandButtons\\BTNTome.blp")</v>
      </c>
      <c r="CU140" s="45" t="str">
        <f t="shared" si="2019"/>
        <v>|n</v>
      </c>
      <c r="CV140" s="29" t="str">
        <f t="shared" si="2020"/>
        <v>抽技能C</v>
      </c>
      <c r="CW140" s="24"/>
      <c r="CX140" s="24"/>
      <c r="CY140" s="24"/>
      <c r="CZ140" s="24"/>
      <c r="DA140" s="24"/>
      <c r="DB140" s="30" t="str">
        <f t="shared" si="2021"/>
        <v/>
      </c>
      <c r="DC140" s="30" t="str">
        <f t="shared" si="2022"/>
        <v/>
      </c>
      <c r="DD140" s="30" t="str">
        <f t="shared" si="2023"/>
        <v/>
      </c>
      <c r="DE140" s="30" t="str">
        <f t="shared" si="2024"/>
        <v/>
      </c>
      <c r="DF140" s="30" t="str">
        <f t="shared" si="2025"/>
        <v/>
      </c>
      <c r="DG140" s="30" t="str">
        <f t="shared" si="2026"/>
        <v/>
      </c>
      <c r="DH140" s="30" t="str">
        <f t="shared" si="2027"/>
        <v/>
      </c>
      <c r="DI140" s="30" t="str">
        <f t="shared" si="2028"/>
        <v/>
      </c>
      <c r="DJ140" s="30" t="str">
        <f t="shared" si="2029"/>
        <v/>
      </c>
      <c r="DK140" s="30" t="str">
        <f t="shared" si="2030"/>
        <v/>
      </c>
      <c r="DL140" s="30" t="str">
        <f t="shared" si="2031"/>
        <v/>
      </c>
      <c r="DM140" s="30" t="str">
        <f t="shared" si="2032"/>
        <v/>
      </c>
      <c r="DN140" s="30" t="str">
        <f t="shared" si="2033"/>
        <v/>
      </c>
      <c r="DO140" s="30" t="str">
        <f t="shared" si="2034"/>
        <v/>
      </c>
      <c r="DP140" s="30" t="str">
        <f t="shared" si="2035"/>
        <v/>
      </c>
      <c r="DQ140" s="30" t="str">
        <f t="shared" si="2036"/>
        <v/>
      </c>
      <c r="DR140" s="30" t="str">
        <f t="shared" si="2037"/>
        <v/>
      </c>
      <c r="DS140" s="30" t="str">
        <f t="shared" si="2038"/>
        <v/>
      </c>
      <c r="DT140" s="30" t="str">
        <f t="shared" si="2039"/>
        <v/>
      </c>
      <c r="DU140" s="30" t="str">
        <f t="shared" si="2040"/>
        <v/>
      </c>
      <c r="DV140" s="30" t="str">
        <f t="shared" si="2041"/>
        <v/>
      </c>
      <c r="DW140" s="30" t="str">
        <f t="shared" si="2042"/>
        <v/>
      </c>
      <c r="DX140" s="30" t="str">
        <f t="shared" si="2043"/>
        <v/>
      </c>
      <c r="DY140" s="30" t="str">
        <f t="shared" si="2044"/>
        <v/>
      </c>
      <c r="DZ140" s="30" t="str">
        <f t="shared" si="2045"/>
        <v/>
      </c>
      <c r="EA140" s="30" t="str">
        <f t="shared" si="2046"/>
        <v/>
      </c>
      <c r="EB140" s="30" t="str">
        <f t="shared" si="2047"/>
        <v/>
      </c>
      <c r="EC140" s="30" t="str">
        <f t="shared" si="2048"/>
        <v/>
      </c>
      <c r="ED140" s="30" t="str">
        <f t="shared" si="2049"/>
        <v/>
      </c>
      <c r="EE140" s="30" t="str">
        <f t="shared" si="2050"/>
        <v/>
      </c>
      <c r="EF140" s="30" t="str">
        <f t="shared" si="2051"/>
        <v/>
      </c>
      <c r="EG140" s="30" t="str">
        <f t="shared" si="2052"/>
        <v/>
      </c>
      <c r="EH140" s="30" t="str">
        <f t="shared" si="2053"/>
        <v/>
      </c>
      <c r="EI140" s="30" t="str">
        <f t="shared" si="2054"/>
        <v/>
      </c>
      <c r="EJ140" s="30" t="str">
        <f t="shared" si="2055"/>
        <v/>
      </c>
      <c r="EK140" s="30" t="str">
        <f t="shared" si="2056"/>
        <v/>
      </c>
      <c r="EL140" s="30" t="str">
        <f t="shared" si="2057"/>
        <v/>
      </c>
      <c r="EM140" s="30" t="str">
        <f t="shared" si="2058"/>
        <v/>
      </c>
      <c r="EN140" s="30" t="str">
        <f t="shared" si="2059"/>
        <v/>
      </c>
      <c r="EO140" s="30" t="str">
        <f t="shared" si="2060"/>
        <v/>
      </c>
      <c r="EP140" s="30" t="str">
        <f t="shared" si="2061"/>
        <v/>
      </c>
      <c r="EQ140" s="30" t="str">
        <f t="shared" si="2062"/>
        <v/>
      </c>
      <c r="ER140" s="30" t="str">
        <f t="shared" si="2063"/>
        <v/>
      </c>
      <c r="ES140" s="30" t="str">
        <f t="shared" si="2064"/>
        <v/>
      </c>
      <c r="ET140" s="30" t="str">
        <f t="shared" si="2065"/>
        <v/>
      </c>
      <c r="EU140" s="30" t="str">
        <f t="shared" si="2066"/>
        <v/>
      </c>
      <c r="EV140" s="30" t="str">
        <f t="shared" si="2067"/>
        <v/>
      </c>
      <c r="EW140" s="30" t="str">
        <f t="shared" si="2068"/>
        <v/>
      </c>
      <c r="EX140" s="30" t="str">
        <f t="shared" si="2069"/>
        <v/>
      </c>
      <c r="EY140" s="30" t="str">
        <f t="shared" si="2070"/>
        <v/>
      </c>
      <c r="EZ140" s="30" t="str">
        <f t="shared" si="2071"/>
        <v/>
      </c>
      <c r="FA140" s="30" t="str">
        <f t="shared" si="2072"/>
        <v/>
      </c>
      <c r="FB140" s="30" t="str">
        <f t="shared" si="2073"/>
        <v/>
      </c>
      <c r="FC140" s="30" t="str">
        <f t="shared" si="2074"/>
        <v/>
      </c>
      <c r="FD140" s="30" t="str">
        <f t="shared" si="2075"/>
        <v/>
      </c>
      <c r="FE140" s="30" t="str">
        <f t="shared" si="2076"/>
        <v/>
      </c>
      <c r="FF140" s="30" t="str">
        <f t="shared" si="2077"/>
        <v/>
      </c>
      <c r="FG140" s="30" t="str">
        <f t="shared" si="2078"/>
        <v/>
      </c>
      <c r="FH140" s="30" t="str">
        <f t="shared" si="2079"/>
        <v/>
      </c>
      <c r="FI140" s="30" t="str">
        <f t="shared" si="2080"/>
        <v/>
      </c>
      <c r="FJ140" s="30" t="str">
        <f t="shared" si="2081"/>
        <v/>
      </c>
      <c r="FK140" s="30" t="str">
        <f t="shared" si="2082"/>
        <v/>
      </c>
      <c r="FL140" s="30" t="str">
        <f t="shared" si="2083"/>
        <v/>
      </c>
      <c r="FM140" s="30" t="str">
        <f t="shared" si="2084"/>
        <v/>
      </c>
      <c r="FN140" s="30" t="str">
        <f t="shared" si="2085"/>
        <v/>
      </c>
      <c r="FO140" s="30" t="str">
        <f t="shared" si="2086"/>
        <v/>
      </c>
      <c r="FP140" s="30" t="str">
        <f t="shared" si="2087"/>
        <v/>
      </c>
      <c r="FQ140" s="30" t="str">
        <f t="shared" si="2088"/>
        <v/>
      </c>
      <c r="FR140" s="30" t="str">
        <f t="shared" si="2089"/>
        <v/>
      </c>
      <c r="FS140" s="30" t="str">
        <f t="shared" si="2090"/>
        <v/>
      </c>
    </row>
    <row r="141" spans="1:175" ht="16.5">
      <c r="A141" s="117"/>
      <c r="B141" s="111" t="s">
        <v>880</v>
      </c>
      <c r="C141" s="117" t="s">
        <v>882</v>
      </c>
      <c r="T141" s="117" t="s">
        <v>882</v>
      </c>
      <c r="U141" s="37" t="s">
        <v>822</v>
      </c>
      <c r="CN141" s="7" t="str">
        <f t="shared" ref="CN141:CN145" si="2244">"InitUnitState('"&amp;B141&amp;"',"&amp;V141&amp;","&amp;W141&amp;","&amp;X141&amp;","&amp;Y141&amp;","&amp;Z141&amp;","&amp;AA141&amp;","&amp;AB141&amp;","&amp;AC141&amp;","&amp;AD141&amp;","&amp;AE141&amp;")"</f>
        <v>InitUnitState('IS03',,,,,,,,,,)</v>
      </c>
      <c r="CO141" s="7" t="str">
        <f t="shared" ref="CO141:CO145" si="2245">"InitUnitNormal('"&amp;B141&amp;"',"&amp;AF141&amp;","&amp;AG141&amp;","&amp;AH141&amp;","&amp;AI141&amp;","&amp;AJ141&amp;","&amp;AK141&amp;","&amp;AL141&amp;","&amp;AM141&amp;","&amp;AN141&amp;","&amp;AO141&amp;")"</f>
        <v>InitUnitNormal('IS03',,,,,,,,,,)</v>
      </c>
      <c r="CP141" s="7" t="str">
        <f t="shared" ref="CP141:CP145" si="2246">"InitUnitMagic('"&amp;B141&amp;"',"&amp;AP141&amp;","&amp;AQ141&amp;","&amp;AR141&amp;","&amp;AS141&amp;","&amp;AT141&amp;","&amp;AU141&amp;","&amp;AV141&amp;","&amp;AW141&amp;","&amp;BI141&amp;","&amp;BJ141&amp;")"</f>
        <v>InitUnitMagic('IS03',,,,,,,,,,)</v>
      </c>
      <c r="CQ141" s="7" t="str">
        <f t="shared" ref="CQ141:CQ145" si="2247">"InitUnitAdd('"&amp;B141&amp;"',"&amp;BK141&amp;","&amp;BL141&amp;","&amp;BM141&amp;","&amp;BN141&amp;","&amp;BO141&amp;","&amp;BP141&amp;","&amp;BQ141&amp;","&amp;BR141&amp;","&amp;BS141&amp;","&amp;BT141&amp;")"</f>
        <v>InitUnitAdd('IS03',,,,,,,,,,)</v>
      </c>
      <c r="CR141" s="7" t="str">
        <f t="shared" ref="CR141:CR142" si="2248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142&amp;CR$1&amp;")"</f>
        <v>InitEquipData('IS03',,"",,,,,'','','','','','',"ReplaceableTextures\\CommandButtons\\BTNTome.blp")</v>
      </c>
      <c r="CU141" s="45" t="str">
        <f t="shared" ref="CU141:CU145" si="2249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29" t="str">
        <f t="shared" ref="CV141:CV145" si="2250">T141</f>
        <v>抽技能B</v>
      </c>
      <c r="CW141" s="24"/>
      <c r="CX141" s="24"/>
      <c r="CY141" s="24"/>
      <c r="CZ141" s="24"/>
      <c r="DA141" s="24"/>
      <c r="DB141" s="30" t="str">
        <f t="shared" ref="DB141:DB145" si="2251">IF(V141="","","|n"&amp;DB$2&amp;"+"&amp;V141&amp;DB$1)</f>
        <v/>
      </c>
      <c r="DC141" s="30" t="str">
        <f t="shared" ref="DC141:DC145" si="2252">IF(W141="","","|n"&amp;DC$2&amp;"+"&amp;W141&amp;DC$1)</f>
        <v/>
      </c>
      <c r="DD141" s="30" t="str">
        <f t="shared" ref="DD141:DD145" si="2253">IF(X141="","","|n"&amp;DD$2&amp;"+"&amp;X141&amp;DD$1)</f>
        <v/>
      </c>
      <c r="DE141" s="30" t="str">
        <f t="shared" ref="DE141:DE145" si="2254">IF(Y141="","","|n"&amp;DE$2&amp;"+"&amp;Y141&amp;DE$1)</f>
        <v/>
      </c>
      <c r="DF141" s="30" t="str">
        <f t="shared" ref="DF141:DF145" si="2255">IF(Z141="","","|n"&amp;DF$2&amp;"+"&amp;Z141&amp;DF$1)</f>
        <v/>
      </c>
      <c r="DG141" s="30" t="str">
        <f t="shared" ref="DG141:DG145" si="2256">IF(AA141="","","|n"&amp;DG$2&amp;"+"&amp;AA141&amp;DG$1)</f>
        <v/>
      </c>
      <c r="DH141" s="30" t="str">
        <f t="shared" ref="DH141:DH145" si="2257">IF(AB141="","","|n"&amp;DH$2&amp;"+"&amp;AB141&amp;DH$1)</f>
        <v/>
      </c>
      <c r="DI141" s="30" t="str">
        <f t="shared" ref="DI141:DI145" si="2258">IF(AC141="","","|n"&amp;DI$2&amp;"+"&amp;AC141&amp;DI$1)</f>
        <v/>
      </c>
      <c r="DJ141" s="30" t="str">
        <f t="shared" ref="DJ141:DJ145" si="2259">IF(AD141="","","|n"&amp;DJ$2&amp;"+"&amp;AD141&amp;DJ$1)</f>
        <v/>
      </c>
      <c r="DK141" s="30" t="str">
        <f t="shared" ref="DK141:DK145" si="2260">IF(AE141="","","|n"&amp;DK$2&amp;"+"&amp;AE141&amp;DK$1)</f>
        <v/>
      </c>
      <c r="DL141" s="30" t="str">
        <f t="shared" ref="DL141:DL145" si="2261">IF(AF141="","","|n"&amp;DL$2&amp;"+"&amp;AF141&amp;DL$1)</f>
        <v/>
      </c>
      <c r="DM141" s="30" t="str">
        <f t="shared" ref="DM141:DM145" si="2262">IF(AG141="","","|n"&amp;DM$2&amp;"+"&amp;AG141&amp;DM$1)</f>
        <v/>
      </c>
      <c r="DN141" s="30" t="str">
        <f t="shared" ref="DN141:DN145" si="2263">IF(AH141="","","|n"&amp;DN$2&amp;"+"&amp;AH141&amp;DN$1)</f>
        <v/>
      </c>
      <c r="DO141" s="30" t="str">
        <f t="shared" ref="DO141:DO145" si="2264">IF(AI141="","","|n"&amp;DO$2&amp;"+"&amp;AI141&amp;DO$1)</f>
        <v/>
      </c>
      <c r="DP141" s="30" t="str">
        <f t="shared" ref="DP141:DP145" si="2265">IF(AJ141="","","|n"&amp;DP$2&amp;"+"&amp;AJ141&amp;DP$1)</f>
        <v/>
      </c>
      <c r="DQ141" s="30" t="str">
        <f t="shared" ref="DQ141:DQ145" si="2266">IF(AK141="","","|n"&amp;DQ$2&amp;"+"&amp;AK141&amp;DQ$1)</f>
        <v/>
      </c>
      <c r="DR141" s="30" t="str">
        <f t="shared" ref="DR141:DR145" si="2267">IF(AL141="","","|n"&amp;DR$2&amp;"+"&amp;AL141&amp;DR$1)</f>
        <v/>
      </c>
      <c r="DS141" s="30" t="str">
        <f t="shared" ref="DS141:DS145" si="2268">IF(AM141="","","|n"&amp;DS$2&amp;"+"&amp;AM141&amp;DS$1)</f>
        <v/>
      </c>
      <c r="DT141" s="30" t="str">
        <f t="shared" ref="DT141:DT145" si="2269">IF(AN141="","","|n"&amp;DT$2&amp;"+"&amp;AN141&amp;DT$1)</f>
        <v/>
      </c>
      <c r="DU141" s="30" t="str">
        <f t="shared" ref="DU141:DU145" si="2270">IF(AO141="","","|n"&amp;DU$2&amp;"+"&amp;AO141&amp;DU$1)</f>
        <v/>
      </c>
      <c r="DV141" s="30" t="str">
        <f t="shared" ref="DV141:DV145" si="2271">IF(AP141="","","|n"&amp;DV$2&amp;"+"&amp;AP141&amp;DV$1)</f>
        <v/>
      </c>
      <c r="DW141" s="30" t="str">
        <f t="shared" ref="DW141:DW145" si="2272">IF(AQ141="","","|n"&amp;DW$2&amp;"+"&amp;AQ141&amp;DW$1)</f>
        <v/>
      </c>
      <c r="DX141" s="30" t="str">
        <f t="shared" ref="DX141:DX145" si="2273">IF(AR141="","","|n"&amp;DX$2&amp;"+"&amp;AR141&amp;DX$1)</f>
        <v/>
      </c>
      <c r="DY141" s="30" t="str">
        <f t="shared" ref="DY141:DY145" si="2274">IF(AS141="","","|n"&amp;DY$2&amp;"+"&amp;AS141&amp;DY$1)</f>
        <v/>
      </c>
      <c r="DZ141" s="30" t="str">
        <f t="shared" ref="DZ141:DZ145" si="2275">IF(AT141="","","|n"&amp;DZ$2&amp;"+"&amp;AT141&amp;DZ$1)</f>
        <v/>
      </c>
      <c r="EA141" s="30" t="str">
        <f t="shared" ref="EA141:EA145" si="2276">IF(AU141="","","|n"&amp;EA$2&amp;"+"&amp;AU141&amp;EA$1)</f>
        <v/>
      </c>
      <c r="EB141" s="30" t="str">
        <f t="shared" ref="EB141:EB145" si="2277">IF(AV141="","","|n"&amp;EB$2&amp;"+"&amp;AV141&amp;EB$1)</f>
        <v/>
      </c>
      <c r="EC141" s="30" t="str">
        <f t="shared" ref="EC141:EC145" si="2278">IF(AW141="","","|n"&amp;EC$2&amp;"+"&amp;AW141&amp;EC$1)</f>
        <v/>
      </c>
      <c r="ED141" s="30" t="str">
        <f t="shared" ref="ED141:ED145" si="2279">IF(AX141="","","|n"&amp;ED$2&amp;"+"&amp;AX141&amp;ED$1)</f>
        <v/>
      </c>
      <c r="EE141" s="30" t="str">
        <f t="shared" ref="EE141:EE145" si="2280">IF(AY141="","","|n"&amp;EE$2&amp;"+"&amp;AY141&amp;EE$1)</f>
        <v/>
      </c>
      <c r="EF141" s="30" t="str">
        <f t="shared" ref="EF141:EF145" si="2281">IF(AZ141="","","|n"&amp;EF$2&amp;"+"&amp;AZ141&amp;EF$1)</f>
        <v/>
      </c>
      <c r="EG141" s="30" t="str">
        <f t="shared" ref="EG141:EG145" si="2282">IF(BA141="","","|n"&amp;EG$2&amp;"+"&amp;BA141&amp;EG$1)</f>
        <v/>
      </c>
      <c r="EH141" s="30" t="str">
        <f t="shared" ref="EH141:EH145" si="2283">IF(BB141="","","|n"&amp;EH$2&amp;"+"&amp;BB141&amp;EH$1)</f>
        <v/>
      </c>
      <c r="EI141" s="30" t="str">
        <f t="shared" ref="EI141:EI145" si="2284">IF(BC141="","","|n"&amp;EI$2&amp;"+"&amp;BC141&amp;EI$1)</f>
        <v/>
      </c>
      <c r="EJ141" s="30" t="str">
        <f t="shared" ref="EJ141:EJ145" si="2285">IF(BD141="","","|n"&amp;EJ$2&amp;"+"&amp;BD141&amp;EJ$1)</f>
        <v/>
      </c>
      <c r="EK141" s="30" t="str">
        <f t="shared" ref="EK141:EK145" si="2286">IF(BE141="","","|n"&amp;EK$2&amp;"+"&amp;BE141&amp;EK$1)</f>
        <v/>
      </c>
      <c r="EL141" s="30" t="str">
        <f t="shared" ref="EL141:EL145" si="2287">IF(BF141="","","|n"&amp;EL$2&amp;"+"&amp;BF141&amp;EL$1)</f>
        <v/>
      </c>
      <c r="EM141" s="30" t="str">
        <f t="shared" ref="EM141:EM145" si="2288">IF(BG141="","","|n"&amp;EM$2&amp;"+"&amp;BG141&amp;EM$1)</f>
        <v/>
      </c>
      <c r="EN141" s="30" t="str">
        <f t="shared" ref="EN141:EN145" si="2289">IF(BH141="","","|n"&amp;EN$2&amp;"+"&amp;BH141&amp;EN$1)</f>
        <v/>
      </c>
      <c r="EO141" s="30" t="str">
        <f t="shared" ref="EO141:EO145" si="2290">IF(BI141="","","|n"&amp;EO$2&amp;"+"&amp;BI141&amp;EO$1)</f>
        <v/>
      </c>
      <c r="EP141" s="30" t="str">
        <f t="shared" ref="EP141:EP145" si="2291">IF(BJ141="","","|n"&amp;EP$2&amp;"+"&amp;BJ141&amp;EP$1)</f>
        <v/>
      </c>
      <c r="EQ141" s="30" t="str">
        <f t="shared" ref="EQ141:EQ145" si="2292">IF(BK141="","","|n"&amp;EQ$2&amp;"+"&amp;BK141&amp;EQ$1)</f>
        <v/>
      </c>
      <c r="ER141" s="30" t="str">
        <f t="shared" ref="ER141:ER145" si="2293">IF(BL141="","","|n"&amp;ER$2&amp;"+"&amp;BL141&amp;ER$1)</f>
        <v/>
      </c>
      <c r="ES141" s="30" t="str">
        <f t="shared" ref="ES141:ES145" si="2294">IF(BM141="","","|n"&amp;ES$2&amp;"+"&amp;BM141&amp;ES$1)</f>
        <v/>
      </c>
      <c r="ET141" s="30" t="str">
        <f t="shared" ref="ET141:ET145" si="2295">IF(BN141="","","|n"&amp;ET$2&amp;"+"&amp;BN141&amp;ET$1)</f>
        <v/>
      </c>
      <c r="EU141" s="30" t="str">
        <f t="shared" ref="EU141:EU145" si="2296">IF(BO141="","","|n"&amp;EU$2&amp;"+"&amp;BO141&amp;EU$1)</f>
        <v/>
      </c>
      <c r="EV141" s="30" t="str">
        <f t="shared" ref="EV141:EV145" si="2297">IF(BP141="","","|n"&amp;EV$2&amp;"+"&amp;BP141&amp;EV$1)</f>
        <v/>
      </c>
      <c r="EW141" s="30" t="str">
        <f t="shared" ref="EW141:EW145" si="2298">IF(BQ141="","","|n"&amp;EW$2&amp;"+"&amp;BQ141&amp;EW$1)</f>
        <v/>
      </c>
      <c r="EX141" s="30" t="str">
        <f t="shared" ref="EX141:EX145" si="2299">IF(BR141="","","|n"&amp;EX$2&amp;"+"&amp;BR141&amp;EX$1)</f>
        <v/>
      </c>
      <c r="EY141" s="30" t="str">
        <f t="shared" ref="EY141:EY145" si="2300">IF(BS141="","","|n"&amp;EY$2&amp;"+"&amp;BS141&amp;EY$1)</f>
        <v/>
      </c>
      <c r="EZ141" s="30" t="str">
        <f t="shared" ref="EZ141:EZ145" si="2301">IF(BT141="","","|n"&amp;EZ$2&amp;"+"&amp;BT141&amp;EZ$1)</f>
        <v/>
      </c>
      <c r="FA141" s="30" t="str">
        <f t="shared" ref="FA141:FA145" si="2302">IF(BU141="","","|n"&amp;FA$2&amp;"+"&amp;BU141&amp;FA$1)</f>
        <v/>
      </c>
      <c r="FB141" s="30" t="str">
        <f t="shared" ref="FB141:FB145" si="2303">IF(BV141="","","|n"&amp;FB$2&amp;"+"&amp;BV141&amp;FB$1)</f>
        <v/>
      </c>
      <c r="FC141" s="30" t="str">
        <f t="shared" ref="FC141:FC145" si="2304">IF(BW141="","","|n"&amp;FC$2&amp;"+"&amp;BW141&amp;FC$1)</f>
        <v/>
      </c>
      <c r="FD141" s="30" t="str">
        <f t="shared" ref="FD141:FD145" si="2305">IF(BX141="","","|n"&amp;FD$2&amp;"+"&amp;BX141&amp;FD$1)</f>
        <v/>
      </c>
      <c r="FE141" s="30" t="str">
        <f t="shared" ref="FE141:FE145" si="2306">IF(BY141="","","|n"&amp;FE$2&amp;"+"&amp;BY141&amp;FE$1)</f>
        <v/>
      </c>
      <c r="FF141" s="30" t="str">
        <f t="shared" ref="FF141:FF145" si="2307">IF(BZ141="","","|n"&amp;FF$2&amp;"+"&amp;BZ141&amp;FF$1)</f>
        <v/>
      </c>
      <c r="FG141" s="30" t="str">
        <f t="shared" ref="FG141:FG145" si="2308">IF(CA141="","","|n"&amp;FG$2&amp;"+"&amp;CA141&amp;FG$1)</f>
        <v/>
      </c>
      <c r="FH141" s="30" t="str">
        <f t="shared" ref="FH141:FH145" si="2309">IF(CB141="","","|n"&amp;FH$2&amp;"+"&amp;CB141&amp;FH$1)</f>
        <v/>
      </c>
      <c r="FI141" s="30" t="str">
        <f t="shared" ref="FI141:FI145" si="2310">IF(CC141="","","|n"&amp;FI$2&amp;"+"&amp;CC141&amp;FI$1)</f>
        <v/>
      </c>
      <c r="FJ141" s="30" t="str">
        <f t="shared" ref="FJ141:FJ145" si="2311">IF(CD141="","","|n"&amp;FJ$2&amp;"+"&amp;CD141&amp;FJ$1)</f>
        <v/>
      </c>
      <c r="FK141" s="30" t="str">
        <f t="shared" ref="FK141:FK145" si="2312">IF(CE141="","","|n"&amp;FK$2&amp;"+"&amp;CE141&amp;FK$1)</f>
        <v/>
      </c>
      <c r="FL141" s="30" t="str">
        <f t="shared" ref="FL141:FL145" si="2313">IF(CF141="","","|n"&amp;FL$2&amp;"+"&amp;CF141&amp;FL$1)</f>
        <v/>
      </c>
      <c r="FM141" s="30" t="str">
        <f t="shared" ref="FM141:FM145" si="2314">IF(CG141="","","|n"&amp;FM$2&amp;"+"&amp;CG141&amp;FM$1)</f>
        <v/>
      </c>
      <c r="FN141" s="30" t="str">
        <f t="shared" ref="FN141:FN145" si="2315">IF(CH141="","","|n"&amp;FN$2&amp;"+"&amp;CH141&amp;FN$1)</f>
        <v/>
      </c>
      <c r="FO141" s="30" t="str">
        <f t="shared" ref="FO141:FO145" si="2316">IF(CI141="","","|n"&amp;FO$2&amp;"+"&amp;CI141&amp;FO$1)</f>
        <v/>
      </c>
      <c r="FP141" s="30" t="str">
        <f t="shared" ref="FP141:FP145" si="2317">IF(CJ141="","","|n"&amp;FP$2&amp;"+"&amp;CJ141&amp;FP$1)</f>
        <v/>
      </c>
      <c r="FQ141" s="30" t="str">
        <f t="shared" ref="FQ141:FQ145" si="2318">IF(CK141="","","|n"&amp;FQ$2&amp;"+"&amp;CK141&amp;FQ$1)</f>
        <v/>
      </c>
      <c r="FR141" s="30" t="str">
        <f t="shared" ref="FR141:FR145" si="2319">IF(CL141="","","|n"&amp;FR$2&amp;"+"&amp;CL141&amp;FR$1)</f>
        <v/>
      </c>
      <c r="FS141" s="30" t="str">
        <f t="shared" ref="FS141:FS145" si="2320">IF(CM141="","","|n"&amp;FS$2&amp;"+"&amp;CM141&amp;FS$1)</f>
        <v/>
      </c>
    </row>
    <row r="142" spans="1:175" ht="16.5">
      <c r="A142" s="117"/>
      <c r="B142" s="111" t="s">
        <v>881</v>
      </c>
      <c r="C142" s="117" t="s">
        <v>883</v>
      </c>
      <c r="T142" s="117" t="s">
        <v>883</v>
      </c>
      <c r="U142" s="37" t="s">
        <v>822</v>
      </c>
      <c r="CN142" s="7" t="str">
        <f t="shared" si="2244"/>
        <v>InitUnitState('IS04',,,,,,,,,,)</v>
      </c>
      <c r="CO142" s="7" t="str">
        <f t="shared" si="2245"/>
        <v>InitUnitNormal('IS04',,,,,,,,,,)</v>
      </c>
      <c r="CP142" s="7" t="str">
        <f t="shared" si="2246"/>
        <v>InitUnitMagic('IS04',,,,,,,,,,)</v>
      </c>
      <c r="CQ142" s="7" t="str">
        <f t="shared" si="2247"/>
        <v>InitUnitAdd('IS04',,,,,,,,,,)</v>
      </c>
      <c r="CR142" s="7" t="str">
        <f t="shared" si="2248"/>
        <v>InitEquipData('IS04',,"",,,,,'','','','','','',"ReplaceableTextures\\CommandButtons\\BTNTome.blp")</v>
      </c>
      <c r="CU142" s="45" t="str">
        <f t="shared" si="2249"/>
        <v>|n</v>
      </c>
      <c r="CV142" s="29" t="str">
        <f t="shared" si="2250"/>
        <v>抽技能A</v>
      </c>
      <c r="CW142" s="24"/>
      <c r="CX142" s="24"/>
      <c r="CY142" s="24"/>
      <c r="CZ142" s="24"/>
      <c r="DA142" s="24"/>
      <c r="DB142" s="30" t="str">
        <f t="shared" si="2251"/>
        <v/>
      </c>
      <c r="DC142" s="30" t="str">
        <f t="shared" si="2252"/>
        <v/>
      </c>
      <c r="DD142" s="30" t="str">
        <f t="shared" si="2253"/>
        <v/>
      </c>
      <c r="DE142" s="30" t="str">
        <f t="shared" si="2254"/>
        <v/>
      </c>
      <c r="DF142" s="30" t="str">
        <f t="shared" si="2255"/>
        <v/>
      </c>
      <c r="DG142" s="30" t="str">
        <f t="shared" si="2256"/>
        <v/>
      </c>
      <c r="DH142" s="30" t="str">
        <f t="shared" si="2257"/>
        <v/>
      </c>
      <c r="DI142" s="30" t="str">
        <f t="shared" si="2258"/>
        <v/>
      </c>
      <c r="DJ142" s="30" t="str">
        <f t="shared" si="2259"/>
        <v/>
      </c>
      <c r="DK142" s="30" t="str">
        <f t="shared" si="2260"/>
        <v/>
      </c>
      <c r="DL142" s="30" t="str">
        <f t="shared" si="2261"/>
        <v/>
      </c>
      <c r="DM142" s="30" t="str">
        <f t="shared" si="2262"/>
        <v/>
      </c>
      <c r="DN142" s="30" t="str">
        <f t="shared" si="2263"/>
        <v/>
      </c>
      <c r="DO142" s="30" t="str">
        <f t="shared" si="2264"/>
        <v/>
      </c>
      <c r="DP142" s="30" t="str">
        <f t="shared" si="2265"/>
        <v/>
      </c>
      <c r="DQ142" s="30" t="str">
        <f t="shared" si="2266"/>
        <v/>
      </c>
      <c r="DR142" s="30" t="str">
        <f t="shared" si="2267"/>
        <v/>
      </c>
      <c r="DS142" s="30" t="str">
        <f t="shared" si="2268"/>
        <v/>
      </c>
      <c r="DT142" s="30" t="str">
        <f t="shared" si="2269"/>
        <v/>
      </c>
      <c r="DU142" s="30" t="str">
        <f t="shared" si="2270"/>
        <v/>
      </c>
      <c r="DV142" s="30" t="str">
        <f t="shared" si="2271"/>
        <v/>
      </c>
      <c r="DW142" s="30" t="str">
        <f t="shared" si="2272"/>
        <v/>
      </c>
      <c r="DX142" s="30" t="str">
        <f t="shared" si="2273"/>
        <v/>
      </c>
      <c r="DY142" s="30" t="str">
        <f t="shared" si="2274"/>
        <v/>
      </c>
      <c r="DZ142" s="30" t="str">
        <f t="shared" si="2275"/>
        <v/>
      </c>
      <c r="EA142" s="30" t="str">
        <f t="shared" si="2276"/>
        <v/>
      </c>
      <c r="EB142" s="30" t="str">
        <f t="shared" si="2277"/>
        <v/>
      </c>
      <c r="EC142" s="30" t="str">
        <f t="shared" si="2278"/>
        <v/>
      </c>
      <c r="ED142" s="30" t="str">
        <f t="shared" si="2279"/>
        <v/>
      </c>
      <c r="EE142" s="30" t="str">
        <f t="shared" si="2280"/>
        <v/>
      </c>
      <c r="EF142" s="30" t="str">
        <f t="shared" si="2281"/>
        <v/>
      </c>
      <c r="EG142" s="30" t="str">
        <f t="shared" si="2282"/>
        <v/>
      </c>
      <c r="EH142" s="30" t="str">
        <f t="shared" si="2283"/>
        <v/>
      </c>
      <c r="EI142" s="30" t="str">
        <f t="shared" si="2284"/>
        <v/>
      </c>
      <c r="EJ142" s="30" t="str">
        <f t="shared" si="2285"/>
        <v/>
      </c>
      <c r="EK142" s="30" t="str">
        <f t="shared" si="2286"/>
        <v/>
      </c>
      <c r="EL142" s="30" t="str">
        <f t="shared" si="2287"/>
        <v/>
      </c>
      <c r="EM142" s="30" t="str">
        <f t="shared" si="2288"/>
        <v/>
      </c>
      <c r="EN142" s="30" t="str">
        <f t="shared" si="2289"/>
        <v/>
      </c>
      <c r="EO142" s="30" t="str">
        <f t="shared" si="2290"/>
        <v/>
      </c>
      <c r="EP142" s="30" t="str">
        <f t="shared" si="2291"/>
        <v/>
      </c>
      <c r="EQ142" s="30" t="str">
        <f t="shared" si="2292"/>
        <v/>
      </c>
      <c r="ER142" s="30" t="str">
        <f t="shared" si="2293"/>
        <v/>
      </c>
      <c r="ES142" s="30" t="str">
        <f t="shared" si="2294"/>
        <v/>
      </c>
      <c r="ET142" s="30" t="str">
        <f t="shared" si="2295"/>
        <v/>
      </c>
      <c r="EU142" s="30" t="str">
        <f t="shared" si="2296"/>
        <v/>
      </c>
      <c r="EV142" s="30" t="str">
        <f t="shared" si="2297"/>
        <v/>
      </c>
      <c r="EW142" s="30" t="str">
        <f t="shared" si="2298"/>
        <v/>
      </c>
      <c r="EX142" s="30" t="str">
        <f t="shared" si="2299"/>
        <v/>
      </c>
      <c r="EY142" s="30" t="str">
        <f t="shared" si="2300"/>
        <v/>
      </c>
      <c r="EZ142" s="30" t="str">
        <f t="shared" si="2301"/>
        <v/>
      </c>
      <c r="FA142" s="30" t="str">
        <f t="shared" si="2302"/>
        <v/>
      </c>
      <c r="FB142" s="30" t="str">
        <f t="shared" si="2303"/>
        <v/>
      </c>
      <c r="FC142" s="30" t="str">
        <f t="shared" si="2304"/>
        <v/>
      </c>
      <c r="FD142" s="30" t="str">
        <f t="shared" si="2305"/>
        <v/>
      </c>
      <c r="FE142" s="30" t="str">
        <f t="shared" si="2306"/>
        <v/>
      </c>
      <c r="FF142" s="30" t="str">
        <f t="shared" si="2307"/>
        <v/>
      </c>
      <c r="FG142" s="30" t="str">
        <f t="shared" si="2308"/>
        <v/>
      </c>
      <c r="FH142" s="30" t="str">
        <f t="shared" si="2309"/>
        <v/>
      </c>
      <c r="FI142" s="30" t="str">
        <f t="shared" si="2310"/>
        <v/>
      </c>
      <c r="FJ142" s="30" t="str">
        <f t="shared" si="2311"/>
        <v/>
      </c>
      <c r="FK142" s="30" t="str">
        <f t="shared" si="2312"/>
        <v/>
      </c>
      <c r="FL142" s="30" t="str">
        <f t="shared" si="2313"/>
        <v/>
      </c>
      <c r="FM142" s="30" t="str">
        <f t="shared" si="2314"/>
        <v/>
      </c>
      <c r="FN142" s="30" t="str">
        <f t="shared" si="2315"/>
        <v/>
      </c>
      <c r="FO142" s="30" t="str">
        <f t="shared" si="2316"/>
        <v/>
      </c>
      <c r="FP142" s="30" t="str">
        <f t="shared" si="2317"/>
        <v/>
      </c>
      <c r="FQ142" s="30" t="str">
        <f t="shared" si="2318"/>
        <v/>
      </c>
      <c r="FR142" s="30" t="str">
        <f t="shared" si="2319"/>
        <v/>
      </c>
      <c r="FS142" s="30" t="str">
        <f t="shared" si="2320"/>
        <v/>
      </c>
    </row>
    <row r="143" spans="1:175" ht="16.5">
      <c r="A143" s="117"/>
      <c r="B143" s="111" t="s">
        <v>968</v>
      </c>
      <c r="C143" s="117" t="s">
        <v>884</v>
      </c>
      <c r="T143" s="117" t="s">
        <v>884</v>
      </c>
      <c r="U143" s="37" t="s">
        <v>822</v>
      </c>
      <c r="CN143" s="7" t="str">
        <f t="shared" si="2244"/>
        <v>InitUnitState('IS05',,,,,,,,,,)</v>
      </c>
      <c r="CO143" s="7" t="str">
        <f t="shared" si="2245"/>
        <v>InitUnitNormal('IS05',,,,,,,,,,)</v>
      </c>
      <c r="CP143" s="7" t="str">
        <f t="shared" si="2246"/>
        <v>InitUnitMagic('IS05',,,,,,,,,,)</v>
      </c>
      <c r="CQ143" s="7" t="str">
        <f t="shared" si="2247"/>
        <v>InitUnitAdd('IS05',,,,,,,,,,)</v>
      </c>
      <c r="CR143" s="7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145&amp;CR$1&amp;")"</f>
        <v>InitEquipData('IS05',,"",,,,,'','','','','','',"ReplaceableTextures\\CommandButtons\\BTNTome.blp")</v>
      </c>
      <c r="CU143" s="45" t="str">
        <f t="shared" si="2249"/>
        <v>|n</v>
      </c>
      <c r="CV143" s="29" t="str">
        <f t="shared" si="2250"/>
        <v>抽技能S</v>
      </c>
      <c r="CW143" s="24"/>
      <c r="CX143" s="24"/>
      <c r="CY143" s="24"/>
      <c r="CZ143" s="24"/>
      <c r="DA143" s="24"/>
      <c r="DB143" s="30" t="str">
        <f t="shared" si="2251"/>
        <v/>
      </c>
      <c r="DC143" s="30" t="str">
        <f t="shared" si="2252"/>
        <v/>
      </c>
      <c r="DD143" s="30" t="str">
        <f t="shared" si="2253"/>
        <v/>
      </c>
      <c r="DE143" s="30" t="str">
        <f t="shared" si="2254"/>
        <v/>
      </c>
      <c r="DF143" s="30" t="str">
        <f t="shared" si="2255"/>
        <v/>
      </c>
      <c r="DG143" s="30" t="str">
        <f t="shared" si="2256"/>
        <v/>
      </c>
      <c r="DH143" s="30" t="str">
        <f t="shared" si="2257"/>
        <v/>
      </c>
      <c r="DI143" s="30" t="str">
        <f t="shared" si="2258"/>
        <v/>
      </c>
      <c r="DJ143" s="30" t="str">
        <f t="shared" si="2259"/>
        <v/>
      </c>
      <c r="DK143" s="30" t="str">
        <f t="shared" si="2260"/>
        <v/>
      </c>
      <c r="DL143" s="30" t="str">
        <f t="shared" si="2261"/>
        <v/>
      </c>
      <c r="DM143" s="30" t="str">
        <f t="shared" si="2262"/>
        <v/>
      </c>
      <c r="DN143" s="30" t="str">
        <f t="shared" si="2263"/>
        <v/>
      </c>
      <c r="DO143" s="30" t="str">
        <f t="shared" si="2264"/>
        <v/>
      </c>
      <c r="DP143" s="30" t="str">
        <f t="shared" si="2265"/>
        <v/>
      </c>
      <c r="DQ143" s="30" t="str">
        <f t="shared" si="2266"/>
        <v/>
      </c>
      <c r="DR143" s="30" t="str">
        <f t="shared" si="2267"/>
        <v/>
      </c>
      <c r="DS143" s="30" t="str">
        <f t="shared" si="2268"/>
        <v/>
      </c>
      <c r="DT143" s="30" t="str">
        <f t="shared" si="2269"/>
        <v/>
      </c>
      <c r="DU143" s="30" t="str">
        <f t="shared" si="2270"/>
        <v/>
      </c>
      <c r="DV143" s="30" t="str">
        <f t="shared" si="2271"/>
        <v/>
      </c>
      <c r="DW143" s="30" t="str">
        <f t="shared" si="2272"/>
        <v/>
      </c>
      <c r="DX143" s="30" t="str">
        <f t="shared" si="2273"/>
        <v/>
      </c>
      <c r="DY143" s="30" t="str">
        <f t="shared" si="2274"/>
        <v/>
      </c>
      <c r="DZ143" s="30" t="str">
        <f t="shared" si="2275"/>
        <v/>
      </c>
      <c r="EA143" s="30" t="str">
        <f t="shared" si="2276"/>
        <v/>
      </c>
      <c r="EB143" s="30" t="str">
        <f t="shared" si="2277"/>
        <v/>
      </c>
      <c r="EC143" s="30" t="str">
        <f t="shared" si="2278"/>
        <v/>
      </c>
      <c r="ED143" s="30" t="str">
        <f t="shared" si="2279"/>
        <v/>
      </c>
      <c r="EE143" s="30" t="str">
        <f t="shared" si="2280"/>
        <v/>
      </c>
      <c r="EF143" s="30" t="str">
        <f t="shared" si="2281"/>
        <v/>
      </c>
      <c r="EG143" s="30" t="str">
        <f t="shared" si="2282"/>
        <v/>
      </c>
      <c r="EH143" s="30" t="str">
        <f t="shared" si="2283"/>
        <v/>
      </c>
      <c r="EI143" s="30" t="str">
        <f t="shared" si="2284"/>
        <v/>
      </c>
      <c r="EJ143" s="30" t="str">
        <f t="shared" si="2285"/>
        <v/>
      </c>
      <c r="EK143" s="30" t="str">
        <f t="shared" si="2286"/>
        <v/>
      </c>
      <c r="EL143" s="30" t="str">
        <f t="shared" si="2287"/>
        <v/>
      </c>
      <c r="EM143" s="30" t="str">
        <f t="shared" si="2288"/>
        <v/>
      </c>
      <c r="EN143" s="30" t="str">
        <f t="shared" si="2289"/>
        <v/>
      </c>
      <c r="EO143" s="30" t="str">
        <f t="shared" si="2290"/>
        <v/>
      </c>
      <c r="EP143" s="30" t="str">
        <f t="shared" si="2291"/>
        <v/>
      </c>
      <c r="EQ143" s="30" t="str">
        <f t="shared" si="2292"/>
        <v/>
      </c>
      <c r="ER143" s="30" t="str">
        <f t="shared" si="2293"/>
        <v/>
      </c>
      <c r="ES143" s="30" t="str">
        <f t="shared" si="2294"/>
        <v/>
      </c>
      <c r="ET143" s="30" t="str">
        <f t="shared" si="2295"/>
        <v/>
      </c>
      <c r="EU143" s="30" t="str">
        <f t="shared" si="2296"/>
        <v/>
      </c>
      <c r="EV143" s="30" t="str">
        <f t="shared" si="2297"/>
        <v/>
      </c>
      <c r="EW143" s="30" t="str">
        <f t="shared" si="2298"/>
        <v/>
      </c>
      <c r="EX143" s="30" t="str">
        <f t="shared" si="2299"/>
        <v/>
      </c>
      <c r="EY143" s="30" t="str">
        <f t="shared" si="2300"/>
        <v/>
      </c>
      <c r="EZ143" s="30" t="str">
        <f t="shared" si="2301"/>
        <v/>
      </c>
      <c r="FA143" s="30" t="str">
        <f t="shared" si="2302"/>
        <v/>
      </c>
      <c r="FB143" s="30" t="str">
        <f t="shared" si="2303"/>
        <v/>
      </c>
      <c r="FC143" s="30" t="str">
        <f t="shared" si="2304"/>
        <v/>
      </c>
      <c r="FD143" s="30" t="str">
        <f t="shared" si="2305"/>
        <v/>
      </c>
      <c r="FE143" s="30" t="str">
        <f t="shared" si="2306"/>
        <v/>
      </c>
      <c r="FF143" s="30" t="str">
        <f t="shared" si="2307"/>
        <v/>
      </c>
      <c r="FG143" s="30" t="str">
        <f t="shared" si="2308"/>
        <v/>
      </c>
      <c r="FH143" s="30" t="str">
        <f t="shared" si="2309"/>
        <v/>
      </c>
      <c r="FI143" s="30" t="str">
        <f t="shared" si="2310"/>
        <v/>
      </c>
      <c r="FJ143" s="30" t="str">
        <f t="shared" si="2311"/>
        <v/>
      </c>
      <c r="FK143" s="30" t="str">
        <f t="shared" si="2312"/>
        <v/>
      </c>
      <c r="FL143" s="30" t="str">
        <f t="shared" si="2313"/>
        <v/>
      </c>
      <c r="FM143" s="30" t="str">
        <f t="shared" si="2314"/>
        <v/>
      </c>
      <c r="FN143" s="30" t="str">
        <f t="shared" si="2315"/>
        <v/>
      </c>
      <c r="FO143" s="30" t="str">
        <f t="shared" si="2316"/>
        <v/>
      </c>
      <c r="FP143" s="30" t="str">
        <f t="shared" si="2317"/>
        <v/>
      </c>
      <c r="FQ143" s="30" t="str">
        <f t="shared" si="2318"/>
        <v/>
      </c>
      <c r="FR143" s="30" t="str">
        <f t="shared" si="2319"/>
        <v/>
      </c>
      <c r="FS143" s="30" t="str">
        <f t="shared" si="2320"/>
        <v/>
      </c>
    </row>
    <row r="144" spans="1:175" ht="16.5">
      <c r="A144" s="117"/>
      <c r="B144" s="111" t="s">
        <v>934</v>
      </c>
      <c r="C144" s="117" t="s">
        <v>935</v>
      </c>
      <c r="T144" s="117" t="s">
        <v>936</v>
      </c>
      <c r="U144" s="37" t="s">
        <v>822</v>
      </c>
      <c r="CN144" s="7" t="str">
        <f t="shared" ref="CN144" si="2321">"InitUnitState('"&amp;B144&amp;"',"&amp;V144&amp;","&amp;W144&amp;","&amp;X144&amp;","&amp;Y144&amp;","&amp;Z144&amp;","&amp;AA144&amp;","&amp;AB144&amp;","&amp;AC144&amp;","&amp;AD144&amp;","&amp;AE144&amp;")"</f>
        <v>InitUnitState('IS11',,,,,,,,,,)</v>
      </c>
      <c r="CO144" s="7" t="str">
        <f t="shared" ref="CO144" si="2322">"InitUnitNormal('"&amp;B144&amp;"',"&amp;AF144&amp;","&amp;AG144&amp;","&amp;AH144&amp;","&amp;AI144&amp;","&amp;AJ144&amp;","&amp;AK144&amp;","&amp;AL144&amp;","&amp;AM144&amp;","&amp;AN144&amp;","&amp;AO144&amp;")"</f>
        <v>InitUnitNormal('IS11',,,,,,,,,,)</v>
      </c>
      <c r="CP144" s="7" t="str">
        <f t="shared" ref="CP144" si="2323">"InitUnitMagic('"&amp;B144&amp;"',"&amp;AP144&amp;","&amp;AQ144&amp;","&amp;AR144&amp;","&amp;AS144&amp;","&amp;AT144&amp;","&amp;AU144&amp;","&amp;AV144&amp;","&amp;AW144&amp;","&amp;BI144&amp;","&amp;BJ144&amp;")"</f>
        <v>InitUnitMagic('IS11',,,,,,,,,,)</v>
      </c>
      <c r="CQ144" s="7" t="str">
        <f t="shared" ref="CQ144" si="2324">"InitUnitAdd('"&amp;B144&amp;"',"&amp;BK144&amp;","&amp;BL144&amp;","&amp;BM144&amp;","&amp;BN144&amp;","&amp;BO144&amp;","&amp;BP144&amp;","&amp;BQ144&amp;","&amp;BR144&amp;","&amp;BS144&amp;","&amp;BT144&amp;")"</f>
        <v>InitUnitAdd('IS11',,,,,,,,,,)</v>
      </c>
      <c r="CR144" s="7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146&amp;CR$1&amp;")"</f>
        <v>InitEquipData('IS11',,"",,,,,'','','','','','',"ReplaceableTextures\\CommandButtons\\BTNTome.blp")</v>
      </c>
      <c r="CU144" s="45" t="str">
        <f t="shared" ref="CU144" si="232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29" t="str">
        <f t="shared" ref="CV144" si="2326">T144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44" s="24"/>
      <c r="CX144" s="24"/>
      <c r="CY144" s="24"/>
      <c r="CZ144" s="24"/>
      <c r="DA144" s="24"/>
      <c r="DB144" s="30" t="str">
        <f t="shared" ref="DB144" si="2327">IF(V144="","","|n"&amp;DB$2&amp;"+"&amp;V144&amp;DB$1)</f>
        <v/>
      </c>
      <c r="DC144" s="30" t="str">
        <f t="shared" ref="DC144" si="2328">IF(W144="","","|n"&amp;DC$2&amp;"+"&amp;W144&amp;DC$1)</f>
        <v/>
      </c>
      <c r="DD144" s="30" t="str">
        <f t="shared" ref="DD144" si="2329">IF(X144="","","|n"&amp;DD$2&amp;"+"&amp;X144&amp;DD$1)</f>
        <v/>
      </c>
      <c r="DE144" s="30" t="str">
        <f t="shared" ref="DE144" si="2330">IF(Y144="","","|n"&amp;DE$2&amp;"+"&amp;Y144&amp;DE$1)</f>
        <v/>
      </c>
      <c r="DF144" s="30" t="str">
        <f t="shared" ref="DF144" si="2331">IF(Z144="","","|n"&amp;DF$2&amp;"+"&amp;Z144&amp;DF$1)</f>
        <v/>
      </c>
      <c r="DG144" s="30" t="str">
        <f t="shared" ref="DG144" si="2332">IF(AA144="","","|n"&amp;DG$2&amp;"+"&amp;AA144&amp;DG$1)</f>
        <v/>
      </c>
      <c r="DH144" s="30" t="str">
        <f t="shared" ref="DH144" si="2333">IF(AB144="","","|n"&amp;DH$2&amp;"+"&amp;AB144&amp;DH$1)</f>
        <v/>
      </c>
      <c r="DI144" s="30" t="str">
        <f t="shared" ref="DI144" si="2334">IF(AC144="","","|n"&amp;DI$2&amp;"+"&amp;AC144&amp;DI$1)</f>
        <v/>
      </c>
      <c r="DJ144" s="30" t="str">
        <f t="shared" ref="DJ144" si="2335">IF(AD144="","","|n"&amp;DJ$2&amp;"+"&amp;AD144&amp;DJ$1)</f>
        <v/>
      </c>
      <c r="DK144" s="30" t="str">
        <f t="shared" ref="DK144" si="2336">IF(AE144="","","|n"&amp;DK$2&amp;"+"&amp;AE144&amp;DK$1)</f>
        <v/>
      </c>
      <c r="DL144" s="30" t="str">
        <f t="shared" ref="DL144" si="2337">IF(AF144="","","|n"&amp;DL$2&amp;"+"&amp;AF144&amp;DL$1)</f>
        <v/>
      </c>
      <c r="DM144" s="30" t="str">
        <f t="shared" ref="DM144" si="2338">IF(AG144="","","|n"&amp;DM$2&amp;"+"&amp;AG144&amp;DM$1)</f>
        <v/>
      </c>
      <c r="DN144" s="30" t="str">
        <f t="shared" ref="DN144" si="2339">IF(AH144="","","|n"&amp;DN$2&amp;"+"&amp;AH144&amp;DN$1)</f>
        <v/>
      </c>
      <c r="DO144" s="30" t="str">
        <f t="shared" ref="DO144" si="2340">IF(AI144="","","|n"&amp;DO$2&amp;"+"&amp;AI144&amp;DO$1)</f>
        <v/>
      </c>
      <c r="DP144" s="30" t="str">
        <f t="shared" ref="DP144" si="2341">IF(AJ144="","","|n"&amp;DP$2&amp;"+"&amp;AJ144&amp;DP$1)</f>
        <v/>
      </c>
      <c r="DQ144" s="30" t="str">
        <f t="shared" ref="DQ144" si="2342">IF(AK144="","","|n"&amp;DQ$2&amp;"+"&amp;AK144&amp;DQ$1)</f>
        <v/>
      </c>
      <c r="DR144" s="30" t="str">
        <f t="shared" ref="DR144" si="2343">IF(AL144="","","|n"&amp;DR$2&amp;"+"&amp;AL144&amp;DR$1)</f>
        <v/>
      </c>
      <c r="DS144" s="30" t="str">
        <f t="shared" ref="DS144" si="2344">IF(AM144="","","|n"&amp;DS$2&amp;"+"&amp;AM144&amp;DS$1)</f>
        <v/>
      </c>
      <c r="DT144" s="30" t="str">
        <f t="shared" ref="DT144" si="2345">IF(AN144="","","|n"&amp;DT$2&amp;"+"&amp;AN144&amp;DT$1)</f>
        <v/>
      </c>
      <c r="DU144" s="30" t="str">
        <f t="shared" ref="DU144" si="2346">IF(AO144="","","|n"&amp;DU$2&amp;"+"&amp;AO144&amp;DU$1)</f>
        <v/>
      </c>
      <c r="DV144" s="30" t="str">
        <f t="shared" ref="DV144" si="2347">IF(AP144="","","|n"&amp;DV$2&amp;"+"&amp;AP144&amp;DV$1)</f>
        <v/>
      </c>
      <c r="DW144" s="30" t="str">
        <f t="shared" ref="DW144" si="2348">IF(AQ144="","","|n"&amp;DW$2&amp;"+"&amp;AQ144&amp;DW$1)</f>
        <v/>
      </c>
      <c r="DX144" s="30" t="str">
        <f t="shared" ref="DX144" si="2349">IF(AR144="","","|n"&amp;DX$2&amp;"+"&amp;AR144&amp;DX$1)</f>
        <v/>
      </c>
      <c r="DY144" s="30" t="str">
        <f t="shared" ref="DY144" si="2350">IF(AS144="","","|n"&amp;DY$2&amp;"+"&amp;AS144&amp;DY$1)</f>
        <v/>
      </c>
      <c r="DZ144" s="30" t="str">
        <f t="shared" ref="DZ144" si="2351">IF(AT144="","","|n"&amp;DZ$2&amp;"+"&amp;AT144&amp;DZ$1)</f>
        <v/>
      </c>
      <c r="EA144" s="30" t="str">
        <f t="shared" ref="EA144" si="2352">IF(AU144="","","|n"&amp;EA$2&amp;"+"&amp;AU144&amp;EA$1)</f>
        <v/>
      </c>
      <c r="EB144" s="30" t="str">
        <f t="shared" ref="EB144" si="2353">IF(AV144="","","|n"&amp;EB$2&amp;"+"&amp;AV144&amp;EB$1)</f>
        <v/>
      </c>
      <c r="EC144" s="30" t="str">
        <f t="shared" ref="EC144" si="2354">IF(AW144="","","|n"&amp;EC$2&amp;"+"&amp;AW144&amp;EC$1)</f>
        <v/>
      </c>
      <c r="ED144" s="30" t="str">
        <f t="shared" ref="ED144" si="2355">IF(AX144="","","|n"&amp;ED$2&amp;"+"&amp;AX144&amp;ED$1)</f>
        <v/>
      </c>
      <c r="EE144" s="30" t="str">
        <f t="shared" ref="EE144" si="2356">IF(AY144="","","|n"&amp;EE$2&amp;"+"&amp;AY144&amp;EE$1)</f>
        <v/>
      </c>
      <c r="EF144" s="30" t="str">
        <f t="shared" ref="EF144" si="2357">IF(AZ144="","","|n"&amp;EF$2&amp;"+"&amp;AZ144&amp;EF$1)</f>
        <v/>
      </c>
      <c r="EG144" s="30" t="str">
        <f t="shared" ref="EG144" si="2358">IF(BA144="","","|n"&amp;EG$2&amp;"+"&amp;BA144&amp;EG$1)</f>
        <v/>
      </c>
      <c r="EH144" s="30" t="str">
        <f t="shared" ref="EH144" si="2359">IF(BB144="","","|n"&amp;EH$2&amp;"+"&amp;BB144&amp;EH$1)</f>
        <v/>
      </c>
      <c r="EI144" s="30" t="str">
        <f t="shared" ref="EI144" si="2360">IF(BC144="","","|n"&amp;EI$2&amp;"+"&amp;BC144&amp;EI$1)</f>
        <v/>
      </c>
      <c r="EJ144" s="30" t="str">
        <f t="shared" ref="EJ144" si="2361">IF(BD144="","","|n"&amp;EJ$2&amp;"+"&amp;BD144&amp;EJ$1)</f>
        <v/>
      </c>
      <c r="EK144" s="30" t="str">
        <f t="shared" ref="EK144" si="2362">IF(BE144="","","|n"&amp;EK$2&amp;"+"&amp;BE144&amp;EK$1)</f>
        <v/>
      </c>
      <c r="EL144" s="30" t="str">
        <f t="shared" ref="EL144" si="2363">IF(BF144="","","|n"&amp;EL$2&amp;"+"&amp;BF144&amp;EL$1)</f>
        <v/>
      </c>
      <c r="EM144" s="30" t="str">
        <f t="shared" ref="EM144" si="2364">IF(BG144="","","|n"&amp;EM$2&amp;"+"&amp;BG144&amp;EM$1)</f>
        <v/>
      </c>
      <c r="EN144" s="30" t="str">
        <f t="shared" ref="EN144" si="2365">IF(BH144="","","|n"&amp;EN$2&amp;"+"&amp;BH144&amp;EN$1)</f>
        <v/>
      </c>
      <c r="EO144" s="30" t="str">
        <f t="shared" ref="EO144" si="2366">IF(BI144="","","|n"&amp;EO$2&amp;"+"&amp;BI144&amp;EO$1)</f>
        <v/>
      </c>
      <c r="EP144" s="30" t="str">
        <f t="shared" ref="EP144" si="2367">IF(BJ144="","","|n"&amp;EP$2&amp;"+"&amp;BJ144&amp;EP$1)</f>
        <v/>
      </c>
      <c r="EQ144" s="30" t="str">
        <f t="shared" ref="EQ144" si="2368">IF(BK144="","","|n"&amp;EQ$2&amp;"+"&amp;BK144&amp;EQ$1)</f>
        <v/>
      </c>
      <c r="ER144" s="30" t="str">
        <f t="shared" ref="ER144" si="2369">IF(BL144="","","|n"&amp;ER$2&amp;"+"&amp;BL144&amp;ER$1)</f>
        <v/>
      </c>
      <c r="ES144" s="30" t="str">
        <f t="shared" ref="ES144" si="2370">IF(BM144="","","|n"&amp;ES$2&amp;"+"&amp;BM144&amp;ES$1)</f>
        <v/>
      </c>
      <c r="ET144" s="30" t="str">
        <f t="shared" ref="ET144" si="2371">IF(BN144="","","|n"&amp;ET$2&amp;"+"&amp;BN144&amp;ET$1)</f>
        <v/>
      </c>
      <c r="EU144" s="30" t="str">
        <f t="shared" ref="EU144" si="2372">IF(BO144="","","|n"&amp;EU$2&amp;"+"&amp;BO144&amp;EU$1)</f>
        <v/>
      </c>
      <c r="EV144" s="30" t="str">
        <f t="shared" ref="EV144" si="2373">IF(BP144="","","|n"&amp;EV$2&amp;"+"&amp;BP144&amp;EV$1)</f>
        <v/>
      </c>
      <c r="EW144" s="30" t="str">
        <f t="shared" ref="EW144" si="2374">IF(BQ144="","","|n"&amp;EW$2&amp;"+"&amp;BQ144&amp;EW$1)</f>
        <v/>
      </c>
      <c r="EX144" s="30" t="str">
        <f t="shared" ref="EX144" si="2375">IF(BR144="","","|n"&amp;EX$2&amp;"+"&amp;BR144&amp;EX$1)</f>
        <v/>
      </c>
      <c r="EY144" s="30" t="str">
        <f t="shared" ref="EY144" si="2376">IF(BS144="","","|n"&amp;EY$2&amp;"+"&amp;BS144&amp;EY$1)</f>
        <v/>
      </c>
      <c r="EZ144" s="30" t="str">
        <f t="shared" ref="EZ144" si="2377">IF(BT144="","","|n"&amp;EZ$2&amp;"+"&amp;BT144&amp;EZ$1)</f>
        <v/>
      </c>
      <c r="FA144" s="30" t="str">
        <f t="shared" ref="FA144" si="2378">IF(BU144="","","|n"&amp;FA$2&amp;"+"&amp;BU144&amp;FA$1)</f>
        <v/>
      </c>
      <c r="FB144" s="30" t="str">
        <f t="shared" ref="FB144" si="2379">IF(BV144="","","|n"&amp;FB$2&amp;"+"&amp;BV144&amp;FB$1)</f>
        <v/>
      </c>
      <c r="FC144" s="30" t="str">
        <f t="shared" ref="FC144" si="2380">IF(BW144="","","|n"&amp;FC$2&amp;"+"&amp;BW144&amp;FC$1)</f>
        <v/>
      </c>
      <c r="FD144" s="30" t="str">
        <f t="shared" ref="FD144" si="2381">IF(BX144="","","|n"&amp;FD$2&amp;"+"&amp;BX144&amp;FD$1)</f>
        <v/>
      </c>
      <c r="FE144" s="30" t="str">
        <f t="shared" ref="FE144" si="2382">IF(BY144="","","|n"&amp;FE$2&amp;"+"&amp;BY144&amp;FE$1)</f>
        <v/>
      </c>
      <c r="FF144" s="30" t="str">
        <f t="shared" ref="FF144" si="2383">IF(BZ144="","","|n"&amp;FF$2&amp;"+"&amp;BZ144&amp;FF$1)</f>
        <v/>
      </c>
      <c r="FG144" s="30" t="str">
        <f t="shared" ref="FG144" si="2384">IF(CA144="","","|n"&amp;FG$2&amp;"+"&amp;CA144&amp;FG$1)</f>
        <v/>
      </c>
      <c r="FH144" s="30" t="str">
        <f t="shared" ref="FH144" si="2385">IF(CB144="","","|n"&amp;FH$2&amp;"+"&amp;CB144&amp;FH$1)</f>
        <v/>
      </c>
      <c r="FI144" s="30" t="str">
        <f t="shared" ref="FI144" si="2386">IF(CC144="","","|n"&amp;FI$2&amp;"+"&amp;CC144&amp;FI$1)</f>
        <v/>
      </c>
      <c r="FJ144" s="30" t="str">
        <f t="shared" ref="FJ144" si="2387">IF(CD144="","","|n"&amp;FJ$2&amp;"+"&amp;CD144&amp;FJ$1)</f>
        <v/>
      </c>
      <c r="FK144" s="30" t="str">
        <f t="shared" ref="FK144" si="2388">IF(CE144="","","|n"&amp;FK$2&amp;"+"&amp;CE144&amp;FK$1)</f>
        <v/>
      </c>
      <c r="FL144" s="30" t="str">
        <f t="shared" ref="FL144" si="2389">IF(CF144="","","|n"&amp;FL$2&amp;"+"&amp;CF144&amp;FL$1)</f>
        <v/>
      </c>
      <c r="FM144" s="30" t="str">
        <f t="shared" ref="FM144" si="2390">IF(CG144="","","|n"&amp;FM$2&amp;"+"&amp;CG144&amp;FM$1)</f>
        <v/>
      </c>
      <c r="FN144" s="30" t="str">
        <f t="shared" ref="FN144" si="2391">IF(CH144="","","|n"&amp;FN$2&amp;"+"&amp;CH144&amp;FN$1)</f>
        <v/>
      </c>
      <c r="FO144" s="30" t="str">
        <f t="shared" ref="FO144" si="2392">IF(CI144="","","|n"&amp;FO$2&amp;"+"&amp;CI144&amp;FO$1)</f>
        <v/>
      </c>
      <c r="FP144" s="30" t="str">
        <f t="shared" ref="FP144" si="2393">IF(CJ144="","","|n"&amp;FP$2&amp;"+"&amp;CJ144&amp;FP$1)</f>
        <v/>
      </c>
      <c r="FQ144" s="30" t="str">
        <f t="shared" ref="FQ144" si="2394">IF(CK144="","","|n"&amp;FQ$2&amp;"+"&amp;CK144&amp;FQ$1)</f>
        <v/>
      </c>
      <c r="FR144" s="30" t="str">
        <f t="shared" ref="FR144" si="2395">IF(CL144="","","|n"&amp;FR$2&amp;"+"&amp;CL144&amp;FR$1)</f>
        <v/>
      </c>
      <c r="FS144" s="30" t="str">
        <f t="shared" ref="FS144" si="2396">IF(CM144="","","|n"&amp;FS$2&amp;"+"&amp;CM144&amp;FS$1)</f>
        <v/>
      </c>
    </row>
    <row r="145" spans="1:175" ht="16.5">
      <c r="A145" s="117"/>
      <c r="B145" s="111" t="s">
        <v>885</v>
      </c>
      <c r="C145" s="117" t="s">
        <v>886</v>
      </c>
      <c r="T145" s="117" t="s">
        <v>886</v>
      </c>
      <c r="U145" s="37" t="s">
        <v>822</v>
      </c>
      <c r="CN145" s="7" t="str">
        <f t="shared" si="2244"/>
        <v>InitUnitState('IH00',,,,,,,,,,)</v>
      </c>
      <c r="CO145" s="7" t="str">
        <f t="shared" si="2245"/>
        <v>InitUnitNormal('IH00',,,,,,,,,,)</v>
      </c>
      <c r="CP145" s="7" t="str">
        <f t="shared" si="2246"/>
        <v>InitUnitMagic('IH00',,,,,,,,,,)</v>
      </c>
      <c r="CQ145" s="7" t="str">
        <f t="shared" si="2247"/>
        <v>InitUnitAdd('IH00',,,,,,,,,,)</v>
      </c>
      <c r="CR145" s="7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146&amp;CR$1&amp;")"</f>
        <v>InitEquipData('IH00',,"",,,,,'','','','','','',"ReplaceableTextures\\CommandButtons\\BTNTome.blp")</v>
      </c>
      <c r="CU145" s="45" t="str">
        <f t="shared" si="2249"/>
        <v>|n</v>
      </c>
      <c r="CV145" s="29" t="str">
        <f t="shared" si="2250"/>
        <v>觉醒兽魂</v>
      </c>
      <c r="CW145" s="24"/>
      <c r="CX145" s="24"/>
      <c r="CY145" s="24"/>
      <c r="CZ145" s="24"/>
      <c r="DA145" s="24"/>
      <c r="DB145" s="30" t="str">
        <f t="shared" si="2251"/>
        <v/>
      </c>
      <c r="DC145" s="30" t="str">
        <f t="shared" si="2252"/>
        <v/>
      </c>
      <c r="DD145" s="30" t="str">
        <f t="shared" si="2253"/>
        <v/>
      </c>
      <c r="DE145" s="30" t="str">
        <f t="shared" si="2254"/>
        <v/>
      </c>
      <c r="DF145" s="30" t="str">
        <f t="shared" si="2255"/>
        <v/>
      </c>
      <c r="DG145" s="30" t="str">
        <f t="shared" si="2256"/>
        <v/>
      </c>
      <c r="DH145" s="30" t="str">
        <f t="shared" si="2257"/>
        <v/>
      </c>
      <c r="DI145" s="30" t="str">
        <f t="shared" si="2258"/>
        <v/>
      </c>
      <c r="DJ145" s="30" t="str">
        <f t="shared" si="2259"/>
        <v/>
      </c>
      <c r="DK145" s="30" t="str">
        <f t="shared" si="2260"/>
        <v/>
      </c>
      <c r="DL145" s="30" t="str">
        <f t="shared" si="2261"/>
        <v/>
      </c>
      <c r="DM145" s="30" t="str">
        <f t="shared" si="2262"/>
        <v/>
      </c>
      <c r="DN145" s="30" t="str">
        <f t="shared" si="2263"/>
        <v/>
      </c>
      <c r="DO145" s="30" t="str">
        <f t="shared" si="2264"/>
        <v/>
      </c>
      <c r="DP145" s="30" t="str">
        <f t="shared" si="2265"/>
        <v/>
      </c>
      <c r="DQ145" s="30" t="str">
        <f t="shared" si="2266"/>
        <v/>
      </c>
      <c r="DR145" s="30" t="str">
        <f t="shared" si="2267"/>
        <v/>
      </c>
      <c r="DS145" s="30" t="str">
        <f t="shared" si="2268"/>
        <v/>
      </c>
      <c r="DT145" s="30" t="str">
        <f t="shared" si="2269"/>
        <v/>
      </c>
      <c r="DU145" s="30" t="str">
        <f t="shared" si="2270"/>
        <v/>
      </c>
      <c r="DV145" s="30" t="str">
        <f t="shared" si="2271"/>
        <v/>
      </c>
      <c r="DW145" s="30" t="str">
        <f t="shared" si="2272"/>
        <v/>
      </c>
      <c r="DX145" s="30" t="str">
        <f t="shared" si="2273"/>
        <v/>
      </c>
      <c r="DY145" s="30" t="str">
        <f t="shared" si="2274"/>
        <v/>
      </c>
      <c r="DZ145" s="30" t="str">
        <f t="shared" si="2275"/>
        <v/>
      </c>
      <c r="EA145" s="30" t="str">
        <f t="shared" si="2276"/>
        <v/>
      </c>
      <c r="EB145" s="30" t="str">
        <f t="shared" si="2277"/>
        <v/>
      </c>
      <c r="EC145" s="30" t="str">
        <f t="shared" si="2278"/>
        <v/>
      </c>
      <c r="ED145" s="30" t="str">
        <f t="shared" si="2279"/>
        <v/>
      </c>
      <c r="EE145" s="30" t="str">
        <f t="shared" si="2280"/>
        <v/>
      </c>
      <c r="EF145" s="30" t="str">
        <f t="shared" si="2281"/>
        <v/>
      </c>
      <c r="EG145" s="30" t="str">
        <f t="shared" si="2282"/>
        <v/>
      </c>
      <c r="EH145" s="30" t="str">
        <f t="shared" si="2283"/>
        <v/>
      </c>
      <c r="EI145" s="30" t="str">
        <f t="shared" si="2284"/>
        <v/>
      </c>
      <c r="EJ145" s="30" t="str">
        <f t="shared" si="2285"/>
        <v/>
      </c>
      <c r="EK145" s="30" t="str">
        <f t="shared" si="2286"/>
        <v/>
      </c>
      <c r="EL145" s="30" t="str">
        <f t="shared" si="2287"/>
        <v/>
      </c>
      <c r="EM145" s="30" t="str">
        <f t="shared" si="2288"/>
        <v/>
      </c>
      <c r="EN145" s="30" t="str">
        <f t="shared" si="2289"/>
        <v/>
      </c>
      <c r="EO145" s="30" t="str">
        <f t="shared" si="2290"/>
        <v/>
      </c>
      <c r="EP145" s="30" t="str">
        <f t="shared" si="2291"/>
        <v/>
      </c>
      <c r="EQ145" s="30" t="str">
        <f t="shared" si="2292"/>
        <v/>
      </c>
      <c r="ER145" s="30" t="str">
        <f t="shared" si="2293"/>
        <v/>
      </c>
      <c r="ES145" s="30" t="str">
        <f t="shared" si="2294"/>
        <v/>
      </c>
      <c r="ET145" s="30" t="str">
        <f t="shared" si="2295"/>
        <v/>
      </c>
      <c r="EU145" s="30" t="str">
        <f t="shared" si="2296"/>
        <v/>
      </c>
      <c r="EV145" s="30" t="str">
        <f t="shared" si="2297"/>
        <v/>
      </c>
      <c r="EW145" s="30" t="str">
        <f t="shared" si="2298"/>
        <v/>
      </c>
      <c r="EX145" s="30" t="str">
        <f t="shared" si="2299"/>
        <v/>
      </c>
      <c r="EY145" s="30" t="str">
        <f t="shared" si="2300"/>
        <v/>
      </c>
      <c r="EZ145" s="30" t="str">
        <f t="shared" si="2301"/>
        <v/>
      </c>
      <c r="FA145" s="30" t="str">
        <f t="shared" si="2302"/>
        <v/>
      </c>
      <c r="FB145" s="30" t="str">
        <f t="shared" si="2303"/>
        <v/>
      </c>
      <c r="FC145" s="30" t="str">
        <f t="shared" si="2304"/>
        <v/>
      </c>
      <c r="FD145" s="30" t="str">
        <f t="shared" si="2305"/>
        <v/>
      </c>
      <c r="FE145" s="30" t="str">
        <f t="shared" si="2306"/>
        <v/>
      </c>
      <c r="FF145" s="30" t="str">
        <f t="shared" si="2307"/>
        <v/>
      </c>
      <c r="FG145" s="30" t="str">
        <f t="shared" si="2308"/>
        <v/>
      </c>
      <c r="FH145" s="30" t="str">
        <f t="shared" si="2309"/>
        <v/>
      </c>
      <c r="FI145" s="30" t="str">
        <f t="shared" si="2310"/>
        <v/>
      </c>
      <c r="FJ145" s="30" t="str">
        <f t="shared" si="2311"/>
        <v/>
      </c>
      <c r="FK145" s="30" t="str">
        <f t="shared" si="2312"/>
        <v/>
      </c>
      <c r="FL145" s="30" t="str">
        <f t="shared" si="2313"/>
        <v/>
      </c>
      <c r="FM145" s="30" t="str">
        <f t="shared" si="2314"/>
        <v/>
      </c>
      <c r="FN145" s="30" t="str">
        <f t="shared" si="2315"/>
        <v/>
      </c>
      <c r="FO145" s="30" t="str">
        <f t="shared" si="2316"/>
        <v/>
      </c>
      <c r="FP145" s="30" t="str">
        <f t="shared" si="2317"/>
        <v/>
      </c>
      <c r="FQ145" s="30" t="str">
        <f t="shared" si="2318"/>
        <v/>
      </c>
      <c r="FR145" s="30" t="str">
        <f t="shared" si="2319"/>
        <v/>
      </c>
      <c r="FS145" s="30" t="str">
        <f t="shared" si="2320"/>
        <v/>
      </c>
    </row>
    <row r="146" spans="1:175" ht="16.5">
      <c r="A146" s="117"/>
      <c r="B146" s="111" t="s">
        <v>887</v>
      </c>
      <c r="C146" s="117" t="s">
        <v>888</v>
      </c>
      <c r="T146" s="117" t="s">
        <v>886</v>
      </c>
      <c r="U146" s="37" t="s">
        <v>822</v>
      </c>
      <c r="CN146" s="7" t="str">
        <f t="shared" ref="CN146" si="2397">"InitUnitState('"&amp;B146&amp;"',"&amp;V146&amp;","&amp;W146&amp;","&amp;X146&amp;","&amp;Y146&amp;","&amp;Z146&amp;","&amp;AA146&amp;","&amp;AB146&amp;","&amp;AC146&amp;","&amp;AD146&amp;","&amp;AE146&amp;")"</f>
        <v>InitUnitState('IH01',,,,,,,,,,)</v>
      </c>
      <c r="CO146" s="7" t="str">
        <f t="shared" ref="CO146" si="2398">"InitUnitNormal('"&amp;B146&amp;"',"&amp;AF146&amp;","&amp;AG146&amp;","&amp;AH146&amp;","&amp;AI146&amp;","&amp;AJ146&amp;","&amp;AK146&amp;","&amp;AL146&amp;","&amp;AM146&amp;","&amp;AN146&amp;","&amp;AO146&amp;")"</f>
        <v>InitUnitNormal('IH01',,,,,,,,,,)</v>
      </c>
      <c r="CP146" s="7" t="str">
        <f t="shared" ref="CP146" si="2399">"InitUnitMagic('"&amp;B146&amp;"',"&amp;AP146&amp;","&amp;AQ146&amp;","&amp;AR146&amp;","&amp;AS146&amp;","&amp;AT146&amp;","&amp;AU146&amp;","&amp;AV146&amp;","&amp;AW146&amp;","&amp;BI146&amp;","&amp;BJ146&amp;")"</f>
        <v>InitUnitMagic('IH01',,,,,,,,,,)</v>
      </c>
      <c r="CQ146" s="7" t="str">
        <f t="shared" ref="CQ146" si="2400">"InitUnitAdd('"&amp;B146&amp;"',"&amp;BK146&amp;","&amp;BL146&amp;","&amp;BM146&amp;","&amp;BN146&amp;","&amp;BO146&amp;","&amp;BP146&amp;","&amp;BQ146&amp;","&amp;BR146&amp;","&amp;BS146&amp;","&amp;BT146&amp;")"</f>
        <v>InitUnitAdd('IH01',,,,,,,,,,)</v>
      </c>
      <c r="CR146" s="7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147&amp;CR$1&amp;")"</f>
        <v>InitEquipData('IH01',,"",,,,,'','','','','','',"ReplaceableTextures\\CommandButtons\\BTNTome.blp")</v>
      </c>
      <c r="CU146" s="45" t="str">
        <f t="shared" ref="CU146" si="2401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29" t="str">
        <f t="shared" ref="CV146" si="2402">T146</f>
        <v>觉醒兽魂</v>
      </c>
      <c r="CW146" s="24"/>
      <c r="CX146" s="24"/>
      <c r="CY146" s="24"/>
      <c r="CZ146" s="24"/>
      <c r="DA146" s="24"/>
      <c r="DB146" s="30" t="str">
        <f t="shared" ref="DB146" si="2403">IF(V146="","","|n"&amp;DB$2&amp;"+"&amp;V146&amp;DB$1)</f>
        <v/>
      </c>
      <c r="DC146" s="30" t="str">
        <f t="shared" ref="DC146" si="2404">IF(W146="","","|n"&amp;DC$2&amp;"+"&amp;W146&amp;DC$1)</f>
        <v/>
      </c>
      <c r="DD146" s="30" t="str">
        <f t="shared" ref="DD146" si="2405">IF(X146="","","|n"&amp;DD$2&amp;"+"&amp;X146&amp;DD$1)</f>
        <v/>
      </c>
      <c r="DE146" s="30" t="str">
        <f t="shared" ref="DE146" si="2406">IF(Y146="","","|n"&amp;DE$2&amp;"+"&amp;Y146&amp;DE$1)</f>
        <v/>
      </c>
      <c r="DF146" s="30" t="str">
        <f t="shared" ref="DF146" si="2407">IF(Z146="","","|n"&amp;DF$2&amp;"+"&amp;Z146&amp;DF$1)</f>
        <v/>
      </c>
      <c r="DG146" s="30" t="str">
        <f t="shared" ref="DG146" si="2408">IF(AA146="","","|n"&amp;DG$2&amp;"+"&amp;AA146&amp;DG$1)</f>
        <v/>
      </c>
      <c r="DH146" s="30" t="str">
        <f t="shared" ref="DH146" si="2409">IF(AB146="","","|n"&amp;DH$2&amp;"+"&amp;AB146&amp;DH$1)</f>
        <v/>
      </c>
      <c r="DI146" s="30" t="str">
        <f t="shared" ref="DI146" si="2410">IF(AC146="","","|n"&amp;DI$2&amp;"+"&amp;AC146&amp;DI$1)</f>
        <v/>
      </c>
      <c r="DJ146" s="30" t="str">
        <f t="shared" ref="DJ146" si="2411">IF(AD146="","","|n"&amp;DJ$2&amp;"+"&amp;AD146&amp;DJ$1)</f>
        <v/>
      </c>
      <c r="DK146" s="30" t="str">
        <f t="shared" ref="DK146" si="2412">IF(AE146="","","|n"&amp;DK$2&amp;"+"&amp;AE146&amp;DK$1)</f>
        <v/>
      </c>
      <c r="DL146" s="30" t="str">
        <f t="shared" ref="DL146" si="2413">IF(AF146="","","|n"&amp;DL$2&amp;"+"&amp;AF146&amp;DL$1)</f>
        <v/>
      </c>
      <c r="DM146" s="30" t="str">
        <f t="shared" ref="DM146" si="2414">IF(AG146="","","|n"&amp;DM$2&amp;"+"&amp;AG146&amp;DM$1)</f>
        <v/>
      </c>
      <c r="DN146" s="30" t="str">
        <f t="shared" ref="DN146" si="2415">IF(AH146="","","|n"&amp;DN$2&amp;"+"&amp;AH146&amp;DN$1)</f>
        <v/>
      </c>
      <c r="DO146" s="30" t="str">
        <f t="shared" ref="DO146" si="2416">IF(AI146="","","|n"&amp;DO$2&amp;"+"&amp;AI146&amp;DO$1)</f>
        <v/>
      </c>
      <c r="DP146" s="30" t="str">
        <f t="shared" ref="DP146" si="2417">IF(AJ146="","","|n"&amp;DP$2&amp;"+"&amp;AJ146&amp;DP$1)</f>
        <v/>
      </c>
      <c r="DQ146" s="30" t="str">
        <f t="shared" ref="DQ146" si="2418">IF(AK146="","","|n"&amp;DQ$2&amp;"+"&amp;AK146&amp;DQ$1)</f>
        <v/>
      </c>
      <c r="DR146" s="30" t="str">
        <f t="shared" ref="DR146" si="2419">IF(AL146="","","|n"&amp;DR$2&amp;"+"&amp;AL146&amp;DR$1)</f>
        <v/>
      </c>
      <c r="DS146" s="30" t="str">
        <f t="shared" ref="DS146" si="2420">IF(AM146="","","|n"&amp;DS$2&amp;"+"&amp;AM146&amp;DS$1)</f>
        <v/>
      </c>
      <c r="DT146" s="30" t="str">
        <f t="shared" ref="DT146" si="2421">IF(AN146="","","|n"&amp;DT$2&amp;"+"&amp;AN146&amp;DT$1)</f>
        <v/>
      </c>
      <c r="DU146" s="30" t="str">
        <f t="shared" ref="DU146" si="2422">IF(AO146="","","|n"&amp;DU$2&amp;"+"&amp;AO146&amp;DU$1)</f>
        <v/>
      </c>
      <c r="DV146" s="30" t="str">
        <f t="shared" ref="DV146" si="2423">IF(AP146="","","|n"&amp;DV$2&amp;"+"&amp;AP146&amp;DV$1)</f>
        <v/>
      </c>
      <c r="DW146" s="30" t="str">
        <f t="shared" ref="DW146" si="2424">IF(AQ146="","","|n"&amp;DW$2&amp;"+"&amp;AQ146&amp;DW$1)</f>
        <v/>
      </c>
      <c r="DX146" s="30" t="str">
        <f t="shared" ref="DX146" si="2425">IF(AR146="","","|n"&amp;DX$2&amp;"+"&amp;AR146&amp;DX$1)</f>
        <v/>
      </c>
      <c r="DY146" s="30" t="str">
        <f t="shared" ref="DY146" si="2426">IF(AS146="","","|n"&amp;DY$2&amp;"+"&amp;AS146&amp;DY$1)</f>
        <v/>
      </c>
      <c r="DZ146" s="30" t="str">
        <f t="shared" ref="DZ146" si="2427">IF(AT146="","","|n"&amp;DZ$2&amp;"+"&amp;AT146&amp;DZ$1)</f>
        <v/>
      </c>
      <c r="EA146" s="30" t="str">
        <f t="shared" ref="EA146" si="2428">IF(AU146="","","|n"&amp;EA$2&amp;"+"&amp;AU146&amp;EA$1)</f>
        <v/>
      </c>
      <c r="EB146" s="30" t="str">
        <f t="shared" ref="EB146" si="2429">IF(AV146="","","|n"&amp;EB$2&amp;"+"&amp;AV146&amp;EB$1)</f>
        <v/>
      </c>
      <c r="EC146" s="30" t="str">
        <f t="shared" ref="EC146" si="2430">IF(AW146="","","|n"&amp;EC$2&amp;"+"&amp;AW146&amp;EC$1)</f>
        <v/>
      </c>
      <c r="ED146" s="30" t="str">
        <f t="shared" ref="ED146" si="2431">IF(AX146="","","|n"&amp;ED$2&amp;"+"&amp;AX146&amp;ED$1)</f>
        <v/>
      </c>
      <c r="EE146" s="30" t="str">
        <f t="shared" ref="EE146" si="2432">IF(AY146="","","|n"&amp;EE$2&amp;"+"&amp;AY146&amp;EE$1)</f>
        <v/>
      </c>
      <c r="EF146" s="30" t="str">
        <f t="shared" ref="EF146" si="2433">IF(AZ146="","","|n"&amp;EF$2&amp;"+"&amp;AZ146&amp;EF$1)</f>
        <v/>
      </c>
      <c r="EG146" s="30" t="str">
        <f t="shared" ref="EG146" si="2434">IF(BA146="","","|n"&amp;EG$2&amp;"+"&amp;BA146&amp;EG$1)</f>
        <v/>
      </c>
      <c r="EH146" s="30" t="str">
        <f t="shared" ref="EH146" si="2435">IF(BB146="","","|n"&amp;EH$2&amp;"+"&amp;BB146&amp;EH$1)</f>
        <v/>
      </c>
      <c r="EI146" s="30" t="str">
        <f t="shared" ref="EI146" si="2436">IF(BC146="","","|n"&amp;EI$2&amp;"+"&amp;BC146&amp;EI$1)</f>
        <v/>
      </c>
      <c r="EJ146" s="30" t="str">
        <f t="shared" ref="EJ146" si="2437">IF(BD146="","","|n"&amp;EJ$2&amp;"+"&amp;BD146&amp;EJ$1)</f>
        <v/>
      </c>
      <c r="EK146" s="30" t="str">
        <f t="shared" ref="EK146" si="2438">IF(BE146="","","|n"&amp;EK$2&amp;"+"&amp;BE146&amp;EK$1)</f>
        <v/>
      </c>
      <c r="EL146" s="30" t="str">
        <f t="shared" ref="EL146" si="2439">IF(BF146="","","|n"&amp;EL$2&amp;"+"&amp;BF146&amp;EL$1)</f>
        <v/>
      </c>
      <c r="EM146" s="30" t="str">
        <f t="shared" ref="EM146" si="2440">IF(BG146="","","|n"&amp;EM$2&amp;"+"&amp;BG146&amp;EM$1)</f>
        <v/>
      </c>
      <c r="EN146" s="30" t="str">
        <f t="shared" ref="EN146" si="2441">IF(BH146="","","|n"&amp;EN$2&amp;"+"&amp;BH146&amp;EN$1)</f>
        <v/>
      </c>
      <c r="EO146" s="30" t="str">
        <f t="shared" ref="EO146" si="2442">IF(BI146="","","|n"&amp;EO$2&amp;"+"&amp;BI146&amp;EO$1)</f>
        <v/>
      </c>
      <c r="EP146" s="30" t="str">
        <f t="shared" ref="EP146" si="2443">IF(BJ146="","","|n"&amp;EP$2&amp;"+"&amp;BJ146&amp;EP$1)</f>
        <v/>
      </c>
      <c r="EQ146" s="30" t="str">
        <f t="shared" ref="EQ146" si="2444">IF(BK146="","","|n"&amp;EQ$2&amp;"+"&amp;BK146&amp;EQ$1)</f>
        <v/>
      </c>
      <c r="ER146" s="30" t="str">
        <f t="shared" ref="ER146" si="2445">IF(BL146="","","|n"&amp;ER$2&amp;"+"&amp;BL146&amp;ER$1)</f>
        <v/>
      </c>
      <c r="ES146" s="30" t="str">
        <f t="shared" ref="ES146" si="2446">IF(BM146="","","|n"&amp;ES$2&amp;"+"&amp;BM146&amp;ES$1)</f>
        <v/>
      </c>
      <c r="ET146" s="30" t="str">
        <f t="shared" ref="ET146" si="2447">IF(BN146="","","|n"&amp;ET$2&amp;"+"&amp;BN146&amp;ET$1)</f>
        <v/>
      </c>
      <c r="EU146" s="30" t="str">
        <f t="shared" ref="EU146" si="2448">IF(BO146="","","|n"&amp;EU$2&amp;"+"&amp;BO146&amp;EU$1)</f>
        <v/>
      </c>
      <c r="EV146" s="30" t="str">
        <f t="shared" ref="EV146" si="2449">IF(BP146="","","|n"&amp;EV$2&amp;"+"&amp;BP146&amp;EV$1)</f>
        <v/>
      </c>
      <c r="EW146" s="30" t="str">
        <f t="shared" ref="EW146" si="2450">IF(BQ146="","","|n"&amp;EW$2&amp;"+"&amp;BQ146&amp;EW$1)</f>
        <v/>
      </c>
      <c r="EX146" s="30" t="str">
        <f t="shared" ref="EX146" si="2451">IF(BR146="","","|n"&amp;EX$2&amp;"+"&amp;BR146&amp;EX$1)</f>
        <v/>
      </c>
      <c r="EY146" s="30" t="str">
        <f t="shared" ref="EY146" si="2452">IF(BS146="","","|n"&amp;EY$2&amp;"+"&amp;BS146&amp;EY$1)</f>
        <v/>
      </c>
      <c r="EZ146" s="30" t="str">
        <f t="shared" ref="EZ146" si="2453">IF(BT146="","","|n"&amp;EZ$2&amp;"+"&amp;BT146&amp;EZ$1)</f>
        <v/>
      </c>
      <c r="FA146" s="30" t="str">
        <f t="shared" ref="FA146" si="2454">IF(BU146="","","|n"&amp;FA$2&amp;"+"&amp;BU146&amp;FA$1)</f>
        <v/>
      </c>
      <c r="FB146" s="30" t="str">
        <f t="shared" ref="FB146" si="2455">IF(BV146="","","|n"&amp;FB$2&amp;"+"&amp;BV146&amp;FB$1)</f>
        <v/>
      </c>
      <c r="FC146" s="30" t="str">
        <f t="shared" ref="FC146" si="2456">IF(BW146="","","|n"&amp;FC$2&amp;"+"&amp;BW146&amp;FC$1)</f>
        <v/>
      </c>
      <c r="FD146" s="30" t="str">
        <f t="shared" ref="FD146" si="2457">IF(BX146="","","|n"&amp;FD$2&amp;"+"&amp;BX146&amp;FD$1)</f>
        <v/>
      </c>
      <c r="FE146" s="30" t="str">
        <f t="shared" ref="FE146" si="2458">IF(BY146="","","|n"&amp;FE$2&amp;"+"&amp;BY146&amp;FE$1)</f>
        <v/>
      </c>
      <c r="FF146" s="30" t="str">
        <f t="shared" ref="FF146" si="2459">IF(BZ146="","","|n"&amp;FF$2&amp;"+"&amp;BZ146&amp;FF$1)</f>
        <v/>
      </c>
      <c r="FG146" s="30" t="str">
        <f t="shared" ref="FG146" si="2460">IF(CA146="","","|n"&amp;FG$2&amp;"+"&amp;CA146&amp;FG$1)</f>
        <v/>
      </c>
      <c r="FH146" s="30" t="str">
        <f t="shared" ref="FH146" si="2461">IF(CB146="","","|n"&amp;FH$2&amp;"+"&amp;CB146&amp;FH$1)</f>
        <v/>
      </c>
      <c r="FI146" s="30" t="str">
        <f t="shared" ref="FI146" si="2462">IF(CC146="","","|n"&amp;FI$2&amp;"+"&amp;CC146&amp;FI$1)</f>
        <v/>
      </c>
      <c r="FJ146" s="30" t="str">
        <f t="shared" ref="FJ146" si="2463">IF(CD146="","","|n"&amp;FJ$2&amp;"+"&amp;CD146&amp;FJ$1)</f>
        <v/>
      </c>
      <c r="FK146" s="30" t="str">
        <f t="shared" ref="FK146" si="2464">IF(CE146="","","|n"&amp;FK$2&amp;"+"&amp;CE146&amp;FK$1)</f>
        <v/>
      </c>
      <c r="FL146" s="30" t="str">
        <f t="shared" ref="FL146" si="2465">IF(CF146="","","|n"&amp;FL$2&amp;"+"&amp;CF146&amp;FL$1)</f>
        <v/>
      </c>
      <c r="FM146" s="30" t="str">
        <f t="shared" ref="FM146" si="2466">IF(CG146="","","|n"&amp;FM$2&amp;"+"&amp;CG146&amp;FM$1)</f>
        <v/>
      </c>
      <c r="FN146" s="30" t="str">
        <f t="shared" ref="FN146" si="2467">IF(CH146="","","|n"&amp;FN$2&amp;"+"&amp;CH146&amp;FN$1)</f>
        <v/>
      </c>
      <c r="FO146" s="30" t="str">
        <f t="shared" ref="FO146" si="2468">IF(CI146="","","|n"&amp;FO$2&amp;"+"&amp;CI146&amp;FO$1)</f>
        <v/>
      </c>
      <c r="FP146" s="30" t="str">
        <f t="shared" ref="FP146" si="2469">IF(CJ146="","","|n"&amp;FP$2&amp;"+"&amp;CJ146&amp;FP$1)</f>
        <v/>
      </c>
      <c r="FQ146" s="30" t="str">
        <f t="shared" ref="FQ146" si="2470">IF(CK146="","","|n"&amp;FQ$2&amp;"+"&amp;CK146&amp;FQ$1)</f>
        <v/>
      </c>
      <c r="FR146" s="30" t="str">
        <f t="shared" ref="FR146" si="2471">IF(CL146="","","|n"&amp;FR$2&amp;"+"&amp;CL146&amp;FR$1)</f>
        <v/>
      </c>
      <c r="FS146" s="30" t="str">
        <f t="shared" ref="FS146" si="2472">IF(CM146="","","|n"&amp;FS$2&amp;"+"&amp;CM146&amp;FS$1)</f>
        <v/>
      </c>
    </row>
    <row r="147" spans="1:175" ht="16.5">
      <c r="A147" s="117"/>
      <c r="B147" s="111" t="s">
        <v>889</v>
      </c>
      <c r="C147" s="117" t="s">
        <v>890</v>
      </c>
      <c r="T147" s="117" t="s">
        <v>886</v>
      </c>
      <c r="U147" s="37" t="s">
        <v>822</v>
      </c>
      <c r="CN147" s="7" t="str">
        <f t="shared" ref="CN147:CN153" si="2473">"InitUnitState('"&amp;B147&amp;"',"&amp;V147&amp;","&amp;W147&amp;","&amp;X147&amp;","&amp;Y147&amp;","&amp;Z147&amp;","&amp;AA147&amp;","&amp;AB147&amp;","&amp;AC147&amp;","&amp;AD147&amp;","&amp;AE147&amp;")"</f>
        <v>InitUnitState('IH02',,,,,,,,,,)</v>
      </c>
      <c r="CO147" s="7" t="str">
        <f t="shared" ref="CO147:CO153" si="2474">"InitUnitNormal('"&amp;B147&amp;"',"&amp;AF147&amp;","&amp;AG147&amp;","&amp;AH147&amp;","&amp;AI147&amp;","&amp;AJ147&amp;","&amp;AK147&amp;","&amp;AL147&amp;","&amp;AM147&amp;","&amp;AN147&amp;","&amp;AO147&amp;")"</f>
        <v>InitUnitNormal('IH02',,,,,,,,,,)</v>
      </c>
      <c r="CP147" s="7" t="str">
        <f t="shared" ref="CP147:CP153" si="2475">"InitUnitMagic('"&amp;B147&amp;"',"&amp;AP147&amp;","&amp;AQ147&amp;","&amp;AR147&amp;","&amp;AS147&amp;","&amp;AT147&amp;","&amp;AU147&amp;","&amp;AV147&amp;","&amp;AW147&amp;","&amp;BI147&amp;","&amp;BJ147&amp;")"</f>
        <v>InitUnitMagic('IH02',,,,,,,,,,)</v>
      </c>
      <c r="CQ147" s="7" t="str">
        <f t="shared" ref="CQ147:CQ153" si="2476">"InitUnitAdd('"&amp;B147&amp;"',"&amp;BK147&amp;","&amp;BL147&amp;","&amp;BM147&amp;","&amp;BN147&amp;","&amp;BO147&amp;","&amp;BP147&amp;","&amp;BQ147&amp;","&amp;BR147&amp;","&amp;BS147&amp;","&amp;BT147&amp;")"</f>
        <v>InitUnitAdd('IH02',,,,,,,,,,)</v>
      </c>
      <c r="CR147" s="7" t="str">
        <f t="shared" ref="CR147:CR152" si="2477"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InitEquipData('IH02',,"",,,,,'','','','','','',"ReplaceableTextures\\CommandButtons\\BTNTome.blp")</v>
      </c>
      <c r="CU147" s="45" t="str">
        <f t="shared" ref="CU147:CU153" si="2478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29" t="str">
        <f t="shared" ref="CV147:CV153" si="2479">T147</f>
        <v>觉醒兽魂</v>
      </c>
      <c r="CW147" s="24"/>
      <c r="CX147" s="24"/>
      <c r="CY147" s="24"/>
      <c r="CZ147" s="24"/>
      <c r="DA147" s="24"/>
      <c r="DB147" s="30" t="str">
        <f t="shared" ref="DB147:DB153" si="2480">IF(V147="","","|n"&amp;DB$2&amp;"+"&amp;V147&amp;DB$1)</f>
        <v/>
      </c>
      <c r="DC147" s="30" t="str">
        <f t="shared" ref="DC147:DC153" si="2481">IF(W147="","","|n"&amp;DC$2&amp;"+"&amp;W147&amp;DC$1)</f>
        <v/>
      </c>
      <c r="DD147" s="30" t="str">
        <f t="shared" ref="DD147:DD153" si="2482">IF(X147="","","|n"&amp;DD$2&amp;"+"&amp;X147&amp;DD$1)</f>
        <v/>
      </c>
      <c r="DE147" s="30" t="str">
        <f t="shared" ref="DE147:DE153" si="2483">IF(Y147="","","|n"&amp;DE$2&amp;"+"&amp;Y147&amp;DE$1)</f>
        <v/>
      </c>
      <c r="DF147" s="30" t="str">
        <f t="shared" ref="DF147:DF153" si="2484">IF(Z147="","","|n"&amp;DF$2&amp;"+"&amp;Z147&amp;DF$1)</f>
        <v/>
      </c>
      <c r="DG147" s="30" t="str">
        <f t="shared" ref="DG147:DG153" si="2485">IF(AA147="","","|n"&amp;DG$2&amp;"+"&amp;AA147&amp;DG$1)</f>
        <v/>
      </c>
      <c r="DH147" s="30" t="str">
        <f t="shared" ref="DH147:DH153" si="2486">IF(AB147="","","|n"&amp;DH$2&amp;"+"&amp;AB147&amp;DH$1)</f>
        <v/>
      </c>
      <c r="DI147" s="30" t="str">
        <f t="shared" ref="DI147:DI153" si="2487">IF(AC147="","","|n"&amp;DI$2&amp;"+"&amp;AC147&amp;DI$1)</f>
        <v/>
      </c>
      <c r="DJ147" s="30" t="str">
        <f t="shared" ref="DJ147:DJ153" si="2488">IF(AD147="","","|n"&amp;DJ$2&amp;"+"&amp;AD147&amp;DJ$1)</f>
        <v/>
      </c>
      <c r="DK147" s="30" t="str">
        <f t="shared" ref="DK147:DK153" si="2489">IF(AE147="","","|n"&amp;DK$2&amp;"+"&amp;AE147&amp;DK$1)</f>
        <v/>
      </c>
      <c r="DL147" s="30" t="str">
        <f t="shared" ref="DL147:DL153" si="2490">IF(AF147="","","|n"&amp;DL$2&amp;"+"&amp;AF147&amp;DL$1)</f>
        <v/>
      </c>
      <c r="DM147" s="30" t="str">
        <f t="shared" ref="DM147:DM153" si="2491">IF(AG147="","","|n"&amp;DM$2&amp;"+"&amp;AG147&amp;DM$1)</f>
        <v/>
      </c>
      <c r="DN147" s="30" t="str">
        <f t="shared" ref="DN147:DN153" si="2492">IF(AH147="","","|n"&amp;DN$2&amp;"+"&amp;AH147&amp;DN$1)</f>
        <v/>
      </c>
      <c r="DO147" s="30" t="str">
        <f t="shared" ref="DO147:DO153" si="2493">IF(AI147="","","|n"&amp;DO$2&amp;"+"&amp;AI147&amp;DO$1)</f>
        <v/>
      </c>
      <c r="DP147" s="30" t="str">
        <f t="shared" ref="DP147:DP153" si="2494">IF(AJ147="","","|n"&amp;DP$2&amp;"+"&amp;AJ147&amp;DP$1)</f>
        <v/>
      </c>
      <c r="DQ147" s="30" t="str">
        <f t="shared" ref="DQ147:DQ153" si="2495">IF(AK147="","","|n"&amp;DQ$2&amp;"+"&amp;AK147&amp;DQ$1)</f>
        <v/>
      </c>
      <c r="DR147" s="30" t="str">
        <f t="shared" ref="DR147:DR153" si="2496">IF(AL147="","","|n"&amp;DR$2&amp;"+"&amp;AL147&amp;DR$1)</f>
        <v/>
      </c>
      <c r="DS147" s="30" t="str">
        <f t="shared" ref="DS147:DS153" si="2497">IF(AM147="","","|n"&amp;DS$2&amp;"+"&amp;AM147&amp;DS$1)</f>
        <v/>
      </c>
      <c r="DT147" s="30" t="str">
        <f t="shared" ref="DT147:DT153" si="2498">IF(AN147="","","|n"&amp;DT$2&amp;"+"&amp;AN147&amp;DT$1)</f>
        <v/>
      </c>
      <c r="DU147" s="30" t="str">
        <f t="shared" ref="DU147:DU153" si="2499">IF(AO147="","","|n"&amp;DU$2&amp;"+"&amp;AO147&amp;DU$1)</f>
        <v/>
      </c>
      <c r="DV147" s="30" t="str">
        <f t="shared" ref="DV147:DV153" si="2500">IF(AP147="","","|n"&amp;DV$2&amp;"+"&amp;AP147&amp;DV$1)</f>
        <v/>
      </c>
      <c r="DW147" s="30" t="str">
        <f t="shared" ref="DW147:DW153" si="2501">IF(AQ147="","","|n"&amp;DW$2&amp;"+"&amp;AQ147&amp;DW$1)</f>
        <v/>
      </c>
      <c r="DX147" s="30" t="str">
        <f t="shared" ref="DX147:DX153" si="2502">IF(AR147="","","|n"&amp;DX$2&amp;"+"&amp;AR147&amp;DX$1)</f>
        <v/>
      </c>
      <c r="DY147" s="30" t="str">
        <f t="shared" ref="DY147:DY153" si="2503">IF(AS147="","","|n"&amp;DY$2&amp;"+"&amp;AS147&amp;DY$1)</f>
        <v/>
      </c>
      <c r="DZ147" s="30" t="str">
        <f t="shared" ref="DZ147:DZ153" si="2504">IF(AT147="","","|n"&amp;DZ$2&amp;"+"&amp;AT147&amp;DZ$1)</f>
        <v/>
      </c>
      <c r="EA147" s="30" t="str">
        <f t="shared" ref="EA147:EA153" si="2505">IF(AU147="","","|n"&amp;EA$2&amp;"+"&amp;AU147&amp;EA$1)</f>
        <v/>
      </c>
      <c r="EB147" s="30" t="str">
        <f t="shared" ref="EB147:EB153" si="2506">IF(AV147="","","|n"&amp;EB$2&amp;"+"&amp;AV147&amp;EB$1)</f>
        <v/>
      </c>
      <c r="EC147" s="30" t="str">
        <f t="shared" ref="EC147:EC153" si="2507">IF(AW147="","","|n"&amp;EC$2&amp;"+"&amp;AW147&amp;EC$1)</f>
        <v/>
      </c>
      <c r="ED147" s="30" t="str">
        <f t="shared" ref="ED147:ED153" si="2508">IF(AX147="","","|n"&amp;ED$2&amp;"+"&amp;AX147&amp;ED$1)</f>
        <v/>
      </c>
      <c r="EE147" s="30" t="str">
        <f t="shared" ref="EE147:EE153" si="2509">IF(AY147="","","|n"&amp;EE$2&amp;"+"&amp;AY147&amp;EE$1)</f>
        <v/>
      </c>
      <c r="EF147" s="30" t="str">
        <f t="shared" ref="EF147:EF153" si="2510">IF(AZ147="","","|n"&amp;EF$2&amp;"+"&amp;AZ147&amp;EF$1)</f>
        <v/>
      </c>
      <c r="EG147" s="30" t="str">
        <f t="shared" ref="EG147:EG153" si="2511">IF(BA147="","","|n"&amp;EG$2&amp;"+"&amp;BA147&amp;EG$1)</f>
        <v/>
      </c>
      <c r="EH147" s="30" t="str">
        <f t="shared" ref="EH147:EH153" si="2512">IF(BB147="","","|n"&amp;EH$2&amp;"+"&amp;BB147&amp;EH$1)</f>
        <v/>
      </c>
      <c r="EI147" s="30" t="str">
        <f t="shared" ref="EI147:EI153" si="2513">IF(BC147="","","|n"&amp;EI$2&amp;"+"&amp;BC147&amp;EI$1)</f>
        <v/>
      </c>
      <c r="EJ147" s="30" t="str">
        <f t="shared" ref="EJ147:EJ153" si="2514">IF(BD147="","","|n"&amp;EJ$2&amp;"+"&amp;BD147&amp;EJ$1)</f>
        <v/>
      </c>
      <c r="EK147" s="30" t="str">
        <f t="shared" ref="EK147:EK153" si="2515">IF(BE147="","","|n"&amp;EK$2&amp;"+"&amp;BE147&amp;EK$1)</f>
        <v/>
      </c>
      <c r="EL147" s="30" t="str">
        <f t="shared" ref="EL147:EL153" si="2516">IF(BF147="","","|n"&amp;EL$2&amp;"+"&amp;BF147&amp;EL$1)</f>
        <v/>
      </c>
      <c r="EM147" s="30" t="str">
        <f t="shared" ref="EM147:EM153" si="2517">IF(BG147="","","|n"&amp;EM$2&amp;"+"&amp;BG147&amp;EM$1)</f>
        <v/>
      </c>
      <c r="EN147" s="30" t="str">
        <f t="shared" ref="EN147:EN153" si="2518">IF(BH147="","","|n"&amp;EN$2&amp;"+"&amp;BH147&amp;EN$1)</f>
        <v/>
      </c>
      <c r="EO147" s="30" t="str">
        <f t="shared" ref="EO147:EO153" si="2519">IF(BI147="","","|n"&amp;EO$2&amp;"+"&amp;BI147&amp;EO$1)</f>
        <v/>
      </c>
      <c r="EP147" s="30" t="str">
        <f t="shared" ref="EP147:EP153" si="2520">IF(BJ147="","","|n"&amp;EP$2&amp;"+"&amp;BJ147&amp;EP$1)</f>
        <v/>
      </c>
      <c r="EQ147" s="30" t="str">
        <f t="shared" ref="EQ147:EQ153" si="2521">IF(BK147="","","|n"&amp;EQ$2&amp;"+"&amp;BK147&amp;EQ$1)</f>
        <v/>
      </c>
      <c r="ER147" s="30" t="str">
        <f t="shared" ref="ER147:ER153" si="2522">IF(BL147="","","|n"&amp;ER$2&amp;"+"&amp;BL147&amp;ER$1)</f>
        <v/>
      </c>
      <c r="ES147" s="30" t="str">
        <f t="shared" ref="ES147:ES153" si="2523">IF(BM147="","","|n"&amp;ES$2&amp;"+"&amp;BM147&amp;ES$1)</f>
        <v/>
      </c>
      <c r="ET147" s="30" t="str">
        <f t="shared" ref="ET147:ET153" si="2524">IF(BN147="","","|n"&amp;ET$2&amp;"+"&amp;BN147&amp;ET$1)</f>
        <v/>
      </c>
      <c r="EU147" s="30" t="str">
        <f t="shared" ref="EU147:EU153" si="2525">IF(BO147="","","|n"&amp;EU$2&amp;"+"&amp;BO147&amp;EU$1)</f>
        <v/>
      </c>
      <c r="EV147" s="30" t="str">
        <f t="shared" ref="EV147:EV153" si="2526">IF(BP147="","","|n"&amp;EV$2&amp;"+"&amp;BP147&amp;EV$1)</f>
        <v/>
      </c>
      <c r="EW147" s="30" t="str">
        <f t="shared" ref="EW147:EW153" si="2527">IF(BQ147="","","|n"&amp;EW$2&amp;"+"&amp;BQ147&amp;EW$1)</f>
        <v/>
      </c>
      <c r="EX147" s="30" t="str">
        <f t="shared" ref="EX147:EX153" si="2528">IF(BR147="","","|n"&amp;EX$2&amp;"+"&amp;BR147&amp;EX$1)</f>
        <v/>
      </c>
      <c r="EY147" s="30" t="str">
        <f t="shared" ref="EY147:EY153" si="2529">IF(BS147="","","|n"&amp;EY$2&amp;"+"&amp;BS147&amp;EY$1)</f>
        <v/>
      </c>
      <c r="EZ147" s="30" t="str">
        <f t="shared" ref="EZ147:EZ153" si="2530">IF(BT147="","","|n"&amp;EZ$2&amp;"+"&amp;BT147&amp;EZ$1)</f>
        <v/>
      </c>
      <c r="FA147" s="30" t="str">
        <f t="shared" ref="FA147:FA153" si="2531">IF(BU147="","","|n"&amp;FA$2&amp;"+"&amp;BU147&amp;FA$1)</f>
        <v/>
      </c>
      <c r="FB147" s="30" t="str">
        <f t="shared" ref="FB147:FB153" si="2532">IF(BV147="","","|n"&amp;FB$2&amp;"+"&amp;BV147&amp;FB$1)</f>
        <v/>
      </c>
      <c r="FC147" s="30" t="str">
        <f t="shared" ref="FC147:FC153" si="2533">IF(BW147="","","|n"&amp;FC$2&amp;"+"&amp;BW147&amp;FC$1)</f>
        <v/>
      </c>
      <c r="FD147" s="30" t="str">
        <f t="shared" ref="FD147:FD153" si="2534">IF(BX147="","","|n"&amp;FD$2&amp;"+"&amp;BX147&amp;FD$1)</f>
        <v/>
      </c>
      <c r="FE147" s="30" t="str">
        <f t="shared" ref="FE147:FE153" si="2535">IF(BY147="","","|n"&amp;FE$2&amp;"+"&amp;BY147&amp;FE$1)</f>
        <v/>
      </c>
      <c r="FF147" s="30" t="str">
        <f t="shared" ref="FF147:FF153" si="2536">IF(BZ147="","","|n"&amp;FF$2&amp;"+"&amp;BZ147&amp;FF$1)</f>
        <v/>
      </c>
      <c r="FG147" s="30" t="str">
        <f t="shared" ref="FG147:FG153" si="2537">IF(CA147="","","|n"&amp;FG$2&amp;"+"&amp;CA147&amp;FG$1)</f>
        <v/>
      </c>
      <c r="FH147" s="30" t="str">
        <f t="shared" ref="FH147:FH153" si="2538">IF(CB147="","","|n"&amp;FH$2&amp;"+"&amp;CB147&amp;FH$1)</f>
        <v/>
      </c>
      <c r="FI147" s="30" t="str">
        <f t="shared" ref="FI147:FI153" si="2539">IF(CC147="","","|n"&amp;FI$2&amp;"+"&amp;CC147&amp;FI$1)</f>
        <v/>
      </c>
      <c r="FJ147" s="30" t="str">
        <f t="shared" ref="FJ147:FJ153" si="2540">IF(CD147="","","|n"&amp;FJ$2&amp;"+"&amp;CD147&amp;FJ$1)</f>
        <v/>
      </c>
      <c r="FK147" s="30" t="str">
        <f t="shared" ref="FK147:FK153" si="2541">IF(CE147="","","|n"&amp;FK$2&amp;"+"&amp;CE147&amp;FK$1)</f>
        <v/>
      </c>
      <c r="FL147" s="30" t="str">
        <f t="shared" ref="FL147:FL153" si="2542">IF(CF147="","","|n"&amp;FL$2&amp;"+"&amp;CF147&amp;FL$1)</f>
        <v/>
      </c>
      <c r="FM147" s="30" t="str">
        <f t="shared" ref="FM147:FM153" si="2543">IF(CG147="","","|n"&amp;FM$2&amp;"+"&amp;CG147&amp;FM$1)</f>
        <v/>
      </c>
      <c r="FN147" s="30" t="str">
        <f t="shared" ref="FN147:FN153" si="2544">IF(CH147="","","|n"&amp;FN$2&amp;"+"&amp;CH147&amp;FN$1)</f>
        <v/>
      </c>
      <c r="FO147" s="30" t="str">
        <f t="shared" ref="FO147:FO153" si="2545">IF(CI147="","","|n"&amp;FO$2&amp;"+"&amp;CI147&amp;FO$1)</f>
        <v/>
      </c>
      <c r="FP147" s="30" t="str">
        <f t="shared" ref="FP147:FP153" si="2546">IF(CJ147="","","|n"&amp;FP$2&amp;"+"&amp;CJ147&amp;FP$1)</f>
        <v/>
      </c>
      <c r="FQ147" s="30" t="str">
        <f t="shared" ref="FQ147:FQ153" si="2547">IF(CK147="","","|n"&amp;FQ$2&amp;"+"&amp;CK147&amp;FQ$1)</f>
        <v/>
      </c>
      <c r="FR147" s="30" t="str">
        <f t="shared" ref="FR147:FR153" si="2548">IF(CL147="","","|n"&amp;FR$2&amp;"+"&amp;CL147&amp;FR$1)</f>
        <v/>
      </c>
      <c r="FS147" s="30" t="str">
        <f t="shared" ref="FS147:FS153" si="2549">IF(CM147="","","|n"&amp;FS$2&amp;"+"&amp;CM147&amp;FS$1)</f>
        <v/>
      </c>
    </row>
    <row r="148" spans="1:175" ht="16.5">
      <c r="A148" s="117"/>
      <c r="B148" s="111" t="s">
        <v>891</v>
      </c>
      <c r="C148" s="117" t="s">
        <v>892</v>
      </c>
      <c r="T148" s="117" t="s">
        <v>886</v>
      </c>
      <c r="U148" s="37" t="s">
        <v>822</v>
      </c>
      <c r="CN148" s="7" t="str">
        <f t="shared" si="2473"/>
        <v>InitUnitState('IH03',,,,,,,,,,)</v>
      </c>
      <c r="CO148" s="7" t="str">
        <f t="shared" si="2474"/>
        <v>InitUnitNormal('IH03',,,,,,,,,,)</v>
      </c>
      <c r="CP148" s="7" t="str">
        <f t="shared" si="2475"/>
        <v>InitUnitMagic('IH03',,,,,,,,,,)</v>
      </c>
      <c r="CQ148" s="7" t="str">
        <f t="shared" si="2476"/>
        <v>InitUnitAdd('IH03',,,,,,,,,,)</v>
      </c>
      <c r="CR148" s="7" t="str">
        <f t="shared" si="2477"/>
        <v>InitEquipData('IH03',,"",,,,,'','','','','','',"ReplaceableTextures\\CommandButtons\\BTNTome.blp")</v>
      </c>
      <c r="CU148" s="45" t="str">
        <f t="shared" si="2478"/>
        <v>|n</v>
      </c>
      <c r="CV148" s="29" t="str">
        <f t="shared" si="2479"/>
        <v>觉醒兽魂</v>
      </c>
      <c r="CW148" s="24"/>
      <c r="CX148" s="24"/>
      <c r="CY148" s="24"/>
      <c r="CZ148" s="24"/>
      <c r="DA148" s="24"/>
      <c r="DB148" s="30" t="str">
        <f t="shared" si="2480"/>
        <v/>
      </c>
      <c r="DC148" s="30" t="str">
        <f t="shared" si="2481"/>
        <v/>
      </c>
      <c r="DD148" s="30" t="str">
        <f t="shared" si="2482"/>
        <v/>
      </c>
      <c r="DE148" s="30" t="str">
        <f t="shared" si="2483"/>
        <v/>
      </c>
      <c r="DF148" s="30" t="str">
        <f t="shared" si="2484"/>
        <v/>
      </c>
      <c r="DG148" s="30" t="str">
        <f t="shared" si="2485"/>
        <v/>
      </c>
      <c r="DH148" s="30" t="str">
        <f t="shared" si="2486"/>
        <v/>
      </c>
      <c r="DI148" s="30" t="str">
        <f t="shared" si="2487"/>
        <v/>
      </c>
      <c r="DJ148" s="30" t="str">
        <f t="shared" si="2488"/>
        <v/>
      </c>
      <c r="DK148" s="30" t="str">
        <f t="shared" si="2489"/>
        <v/>
      </c>
      <c r="DL148" s="30" t="str">
        <f t="shared" si="2490"/>
        <v/>
      </c>
      <c r="DM148" s="30" t="str">
        <f t="shared" si="2491"/>
        <v/>
      </c>
      <c r="DN148" s="30" t="str">
        <f t="shared" si="2492"/>
        <v/>
      </c>
      <c r="DO148" s="30" t="str">
        <f t="shared" si="2493"/>
        <v/>
      </c>
      <c r="DP148" s="30" t="str">
        <f t="shared" si="2494"/>
        <v/>
      </c>
      <c r="DQ148" s="30" t="str">
        <f t="shared" si="2495"/>
        <v/>
      </c>
      <c r="DR148" s="30" t="str">
        <f t="shared" si="2496"/>
        <v/>
      </c>
      <c r="DS148" s="30" t="str">
        <f t="shared" si="2497"/>
        <v/>
      </c>
      <c r="DT148" s="30" t="str">
        <f t="shared" si="2498"/>
        <v/>
      </c>
      <c r="DU148" s="30" t="str">
        <f t="shared" si="2499"/>
        <v/>
      </c>
      <c r="DV148" s="30" t="str">
        <f t="shared" si="2500"/>
        <v/>
      </c>
      <c r="DW148" s="30" t="str">
        <f t="shared" si="2501"/>
        <v/>
      </c>
      <c r="DX148" s="30" t="str">
        <f t="shared" si="2502"/>
        <v/>
      </c>
      <c r="DY148" s="30" t="str">
        <f t="shared" si="2503"/>
        <v/>
      </c>
      <c r="DZ148" s="30" t="str">
        <f t="shared" si="2504"/>
        <v/>
      </c>
      <c r="EA148" s="30" t="str">
        <f t="shared" si="2505"/>
        <v/>
      </c>
      <c r="EB148" s="30" t="str">
        <f t="shared" si="2506"/>
        <v/>
      </c>
      <c r="EC148" s="30" t="str">
        <f t="shared" si="2507"/>
        <v/>
      </c>
      <c r="ED148" s="30" t="str">
        <f t="shared" si="2508"/>
        <v/>
      </c>
      <c r="EE148" s="30" t="str">
        <f t="shared" si="2509"/>
        <v/>
      </c>
      <c r="EF148" s="30" t="str">
        <f t="shared" si="2510"/>
        <v/>
      </c>
      <c r="EG148" s="30" t="str">
        <f t="shared" si="2511"/>
        <v/>
      </c>
      <c r="EH148" s="30" t="str">
        <f t="shared" si="2512"/>
        <v/>
      </c>
      <c r="EI148" s="30" t="str">
        <f t="shared" si="2513"/>
        <v/>
      </c>
      <c r="EJ148" s="30" t="str">
        <f t="shared" si="2514"/>
        <v/>
      </c>
      <c r="EK148" s="30" t="str">
        <f t="shared" si="2515"/>
        <v/>
      </c>
      <c r="EL148" s="30" t="str">
        <f t="shared" si="2516"/>
        <v/>
      </c>
      <c r="EM148" s="30" t="str">
        <f t="shared" si="2517"/>
        <v/>
      </c>
      <c r="EN148" s="30" t="str">
        <f t="shared" si="2518"/>
        <v/>
      </c>
      <c r="EO148" s="30" t="str">
        <f t="shared" si="2519"/>
        <v/>
      </c>
      <c r="EP148" s="30" t="str">
        <f t="shared" si="2520"/>
        <v/>
      </c>
      <c r="EQ148" s="30" t="str">
        <f t="shared" si="2521"/>
        <v/>
      </c>
      <c r="ER148" s="30" t="str">
        <f t="shared" si="2522"/>
        <v/>
      </c>
      <c r="ES148" s="30" t="str">
        <f t="shared" si="2523"/>
        <v/>
      </c>
      <c r="ET148" s="30" t="str">
        <f t="shared" si="2524"/>
        <v/>
      </c>
      <c r="EU148" s="30" t="str">
        <f t="shared" si="2525"/>
        <v/>
      </c>
      <c r="EV148" s="30" t="str">
        <f t="shared" si="2526"/>
        <v/>
      </c>
      <c r="EW148" s="30" t="str">
        <f t="shared" si="2527"/>
        <v/>
      </c>
      <c r="EX148" s="30" t="str">
        <f t="shared" si="2528"/>
        <v/>
      </c>
      <c r="EY148" s="30" t="str">
        <f t="shared" si="2529"/>
        <v/>
      </c>
      <c r="EZ148" s="30" t="str">
        <f t="shared" si="2530"/>
        <v/>
      </c>
      <c r="FA148" s="30" t="str">
        <f t="shared" si="2531"/>
        <v/>
      </c>
      <c r="FB148" s="30" t="str">
        <f t="shared" si="2532"/>
        <v/>
      </c>
      <c r="FC148" s="30" t="str">
        <f t="shared" si="2533"/>
        <v/>
      </c>
      <c r="FD148" s="30" t="str">
        <f t="shared" si="2534"/>
        <v/>
      </c>
      <c r="FE148" s="30" t="str">
        <f t="shared" si="2535"/>
        <v/>
      </c>
      <c r="FF148" s="30" t="str">
        <f t="shared" si="2536"/>
        <v/>
      </c>
      <c r="FG148" s="30" t="str">
        <f t="shared" si="2537"/>
        <v/>
      </c>
      <c r="FH148" s="30" t="str">
        <f t="shared" si="2538"/>
        <v/>
      </c>
      <c r="FI148" s="30" t="str">
        <f t="shared" si="2539"/>
        <v/>
      </c>
      <c r="FJ148" s="30" t="str">
        <f t="shared" si="2540"/>
        <v/>
      </c>
      <c r="FK148" s="30" t="str">
        <f t="shared" si="2541"/>
        <v/>
      </c>
      <c r="FL148" s="30" t="str">
        <f t="shared" si="2542"/>
        <v/>
      </c>
      <c r="FM148" s="30" t="str">
        <f t="shared" si="2543"/>
        <v/>
      </c>
      <c r="FN148" s="30" t="str">
        <f t="shared" si="2544"/>
        <v/>
      </c>
      <c r="FO148" s="30" t="str">
        <f t="shared" si="2545"/>
        <v/>
      </c>
      <c r="FP148" s="30" t="str">
        <f t="shared" si="2546"/>
        <v/>
      </c>
      <c r="FQ148" s="30" t="str">
        <f t="shared" si="2547"/>
        <v/>
      </c>
      <c r="FR148" s="30" t="str">
        <f t="shared" si="2548"/>
        <v/>
      </c>
      <c r="FS148" s="30" t="str">
        <f t="shared" si="2549"/>
        <v/>
      </c>
    </row>
    <row r="149" spans="1:175" ht="16.5">
      <c r="A149" s="117"/>
      <c r="B149" s="111" t="s">
        <v>893</v>
      </c>
      <c r="C149" s="117" t="s">
        <v>894</v>
      </c>
      <c r="T149" s="117" t="s">
        <v>886</v>
      </c>
      <c r="U149" s="37" t="s">
        <v>822</v>
      </c>
      <c r="CN149" s="7" t="str">
        <f t="shared" si="2473"/>
        <v>InitUnitState('IH04',,,,,,,,,,)</v>
      </c>
      <c r="CO149" s="7" t="str">
        <f t="shared" si="2474"/>
        <v>InitUnitNormal('IH04',,,,,,,,,,)</v>
      </c>
      <c r="CP149" s="7" t="str">
        <f t="shared" si="2475"/>
        <v>InitUnitMagic('IH04',,,,,,,,,,)</v>
      </c>
      <c r="CQ149" s="7" t="str">
        <f t="shared" si="2476"/>
        <v>InitUnitAdd('IH04',,,,,,,,,,)</v>
      </c>
      <c r="CR149" s="7" t="str">
        <f t="shared" si="2477"/>
        <v>InitEquipData('IH04',,"",,,,,'','','','','','',"ReplaceableTextures\\CommandButtons\\BTNTome.blp")</v>
      </c>
      <c r="CU149" s="45" t="str">
        <f t="shared" si="2478"/>
        <v>|n</v>
      </c>
      <c r="CV149" s="29" t="str">
        <f t="shared" si="2479"/>
        <v>觉醒兽魂</v>
      </c>
      <c r="CW149" s="24"/>
      <c r="CX149" s="24"/>
      <c r="CY149" s="24"/>
      <c r="CZ149" s="24"/>
      <c r="DA149" s="24"/>
      <c r="DB149" s="30" t="str">
        <f t="shared" si="2480"/>
        <v/>
      </c>
      <c r="DC149" s="30" t="str">
        <f t="shared" si="2481"/>
        <v/>
      </c>
      <c r="DD149" s="30" t="str">
        <f t="shared" si="2482"/>
        <v/>
      </c>
      <c r="DE149" s="30" t="str">
        <f t="shared" si="2483"/>
        <v/>
      </c>
      <c r="DF149" s="30" t="str">
        <f t="shared" si="2484"/>
        <v/>
      </c>
      <c r="DG149" s="30" t="str">
        <f t="shared" si="2485"/>
        <v/>
      </c>
      <c r="DH149" s="30" t="str">
        <f t="shared" si="2486"/>
        <v/>
      </c>
      <c r="DI149" s="30" t="str">
        <f t="shared" si="2487"/>
        <v/>
      </c>
      <c r="DJ149" s="30" t="str">
        <f t="shared" si="2488"/>
        <v/>
      </c>
      <c r="DK149" s="30" t="str">
        <f t="shared" si="2489"/>
        <v/>
      </c>
      <c r="DL149" s="30" t="str">
        <f t="shared" si="2490"/>
        <v/>
      </c>
      <c r="DM149" s="30" t="str">
        <f t="shared" si="2491"/>
        <v/>
      </c>
      <c r="DN149" s="30" t="str">
        <f t="shared" si="2492"/>
        <v/>
      </c>
      <c r="DO149" s="30" t="str">
        <f t="shared" si="2493"/>
        <v/>
      </c>
      <c r="DP149" s="30" t="str">
        <f t="shared" si="2494"/>
        <v/>
      </c>
      <c r="DQ149" s="30" t="str">
        <f t="shared" si="2495"/>
        <v/>
      </c>
      <c r="DR149" s="30" t="str">
        <f t="shared" si="2496"/>
        <v/>
      </c>
      <c r="DS149" s="30" t="str">
        <f t="shared" si="2497"/>
        <v/>
      </c>
      <c r="DT149" s="30" t="str">
        <f t="shared" si="2498"/>
        <v/>
      </c>
      <c r="DU149" s="30" t="str">
        <f t="shared" si="2499"/>
        <v/>
      </c>
      <c r="DV149" s="30" t="str">
        <f t="shared" si="2500"/>
        <v/>
      </c>
      <c r="DW149" s="30" t="str">
        <f t="shared" si="2501"/>
        <v/>
      </c>
      <c r="DX149" s="30" t="str">
        <f t="shared" si="2502"/>
        <v/>
      </c>
      <c r="DY149" s="30" t="str">
        <f t="shared" si="2503"/>
        <v/>
      </c>
      <c r="DZ149" s="30" t="str">
        <f t="shared" si="2504"/>
        <v/>
      </c>
      <c r="EA149" s="30" t="str">
        <f t="shared" si="2505"/>
        <v/>
      </c>
      <c r="EB149" s="30" t="str">
        <f t="shared" si="2506"/>
        <v/>
      </c>
      <c r="EC149" s="30" t="str">
        <f t="shared" si="2507"/>
        <v/>
      </c>
      <c r="ED149" s="30" t="str">
        <f t="shared" si="2508"/>
        <v/>
      </c>
      <c r="EE149" s="30" t="str">
        <f t="shared" si="2509"/>
        <v/>
      </c>
      <c r="EF149" s="30" t="str">
        <f t="shared" si="2510"/>
        <v/>
      </c>
      <c r="EG149" s="30" t="str">
        <f t="shared" si="2511"/>
        <v/>
      </c>
      <c r="EH149" s="30" t="str">
        <f t="shared" si="2512"/>
        <v/>
      </c>
      <c r="EI149" s="30" t="str">
        <f t="shared" si="2513"/>
        <v/>
      </c>
      <c r="EJ149" s="30" t="str">
        <f t="shared" si="2514"/>
        <v/>
      </c>
      <c r="EK149" s="30" t="str">
        <f t="shared" si="2515"/>
        <v/>
      </c>
      <c r="EL149" s="30" t="str">
        <f t="shared" si="2516"/>
        <v/>
      </c>
      <c r="EM149" s="30" t="str">
        <f t="shared" si="2517"/>
        <v/>
      </c>
      <c r="EN149" s="30" t="str">
        <f t="shared" si="2518"/>
        <v/>
      </c>
      <c r="EO149" s="30" t="str">
        <f t="shared" si="2519"/>
        <v/>
      </c>
      <c r="EP149" s="30" t="str">
        <f t="shared" si="2520"/>
        <v/>
      </c>
      <c r="EQ149" s="30" t="str">
        <f t="shared" si="2521"/>
        <v/>
      </c>
      <c r="ER149" s="30" t="str">
        <f t="shared" si="2522"/>
        <v/>
      </c>
      <c r="ES149" s="30" t="str">
        <f t="shared" si="2523"/>
        <v/>
      </c>
      <c r="ET149" s="30" t="str">
        <f t="shared" si="2524"/>
        <v/>
      </c>
      <c r="EU149" s="30" t="str">
        <f t="shared" si="2525"/>
        <v/>
      </c>
      <c r="EV149" s="30" t="str">
        <f t="shared" si="2526"/>
        <v/>
      </c>
      <c r="EW149" s="30" t="str">
        <f t="shared" si="2527"/>
        <v/>
      </c>
      <c r="EX149" s="30" t="str">
        <f t="shared" si="2528"/>
        <v/>
      </c>
      <c r="EY149" s="30" t="str">
        <f t="shared" si="2529"/>
        <v/>
      </c>
      <c r="EZ149" s="30" t="str">
        <f t="shared" si="2530"/>
        <v/>
      </c>
      <c r="FA149" s="30" t="str">
        <f t="shared" si="2531"/>
        <v/>
      </c>
      <c r="FB149" s="30" t="str">
        <f t="shared" si="2532"/>
        <v/>
      </c>
      <c r="FC149" s="30" t="str">
        <f t="shared" si="2533"/>
        <v/>
      </c>
      <c r="FD149" s="30" t="str">
        <f t="shared" si="2534"/>
        <v/>
      </c>
      <c r="FE149" s="30" t="str">
        <f t="shared" si="2535"/>
        <v/>
      </c>
      <c r="FF149" s="30" t="str">
        <f t="shared" si="2536"/>
        <v/>
      </c>
      <c r="FG149" s="30" t="str">
        <f t="shared" si="2537"/>
        <v/>
      </c>
      <c r="FH149" s="30" t="str">
        <f t="shared" si="2538"/>
        <v/>
      </c>
      <c r="FI149" s="30" t="str">
        <f t="shared" si="2539"/>
        <v/>
      </c>
      <c r="FJ149" s="30" t="str">
        <f t="shared" si="2540"/>
        <v/>
      </c>
      <c r="FK149" s="30" t="str">
        <f t="shared" si="2541"/>
        <v/>
      </c>
      <c r="FL149" s="30" t="str">
        <f t="shared" si="2542"/>
        <v/>
      </c>
      <c r="FM149" s="30" t="str">
        <f t="shared" si="2543"/>
        <v/>
      </c>
      <c r="FN149" s="30" t="str">
        <f t="shared" si="2544"/>
        <v/>
      </c>
      <c r="FO149" s="30" t="str">
        <f t="shared" si="2545"/>
        <v/>
      </c>
      <c r="FP149" s="30" t="str">
        <f t="shared" si="2546"/>
        <v/>
      </c>
      <c r="FQ149" s="30" t="str">
        <f t="shared" si="2547"/>
        <v/>
      </c>
      <c r="FR149" s="30" t="str">
        <f t="shared" si="2548"/>
        <v/>
      </c>
      <c r="FS149" s="30" t="str">
        <f t="shared" si="2549"/>
        <v/>
      </c>
    </row>
    <row r="150" spans="1:175" ht="16.5">
      <c r="A150" s="117"/>
      <c r="B150" s="111" t="s">
        <v>895</v>
      </c>
      <c r="C150" s="117" t="s">
        <v>896</v>
      </c>
      <c r="T150" s="117" t="s">
        <v>886</v>
      </c>
      <c r="U150" s="37" t="s">
        <v>822</v>
      </c>
      <c r="CN150" s="7" t="str">
        <f t="shared" si="2473"/>
        <v>InitUnitState('IH05',,,,,,,,,,)</v>
      </c>
      <c r="CO150" s="7" t="str">
        <f t="shared" si="2474"/>
        <v>InitUnitNormal('IH05',,,,,,,,,,)</v>
      </c>
      <c r="CP150" s="7" t="str">
        <f t="shared" si="2475"/>
        <v>InitUnitMagic('IH05',,,,,,,,,,)</v>
      </c>
      <c r="CQ150" s="7" t="str">
        <f t="shared" si="2476"/>
        <v>InitUnitAdd('IH05',,,,,,,,,,)</v>
      </c>
      <c r="CR150" s="7" t="str">
        <f t="shared" si="2477"/>
        <v>InitEquipData('IH05',,"",,,,,'','','','','','',"ReplaceableTextures\\CommandButtons\\BTNTome.blp")</v>
      </c>
      <c r="CU150" s="45" t="str">
        <f t="shared" si="2478"/>
        <v>|n</v>
      </c>
      <c r="CV150" s="29" t="str">
        <f t="shared" si="2479"/>
        <v>觉醒兽魂</v>
      </c>
      <c r="CW150" s="24"/>
      <c r="CX150" s="24"/>
      <c r="CY150" s="24"/>
      <c r="CZ150" s="24"/>
      <c r="DA150" s="24"/>
      <c r="DB150" s="30" t="str">
        <f t="shared" si="2480"/>
        <v/>
      </c>
      <c r="DC150" s="30" t="str">
        <f t="shared" si="2481"/>
        <v/>
      </c>
      <c r="DD150" s="30" t="str">
        <f t="shared" si="2482"/>
        <v/>
      </c>
      <c r="DE150" s="30" t="str">
        <f t="shared" si="2483"/>
        <v/>
      </c>
      <c r="DF150" s="30" t="str">
        <f t="shared" si="2484"/>
        <v/>
      </c>
      <c r="DG150" s="30" t="str">
        <f t="shared" si="2485"/>
        <v/>
      </c>
      <c r="DH150" s="30" t="str">
        <f t="shared" si="2486"/>
        <v/>
      </c>
      <c r="DI150" s="30" t="str">
        <f t="shared" si="2487"/>
        <v/>
      </c>
      <c r="DJ150" s="30" t="str">
        <f t="shared" si="2488"/>
        <v/>
      </c>
      <c r="DK150" s="30" t="str">
        <f t="shared" si="2489"/>
        <v/>
      </c>
      <c r="DL150" s="30" t="str">
        <f t="shared" si="2490"/>
        <v/>
      </c>
      <c r="DM150" s="30" t="str">
        <f t="shared" si="2491"/>
        <v/>
      </c>
      <c r="DN150" s="30" t="str">
        <f t="shared" si="2492"/>
        <v/>
      </c>
      <c r="DO150" s="30" t="str">
        <f t="shared" si="2493"/>
        <v/>
      </c>
      <c r="DP150" s="30" t="str">
        <f t="shared" si="2494"/>
        <v/>
      </c>
      <c r="DQ150" s="30" t="str">
        <f t="shared" si="2495"/>
        <v/>
      </c>
      <c r="DR150" s="30" t="str">
        <f t="shared" si="2496"/>
        <v/>
      </c>
      <c r="DS150" s="30" t="str">
        <f t="shared" si="2497"/>
        <v/>
      </c>
      <c r="DT150" s="30" t="str">
        <f t="shared" si="2498"/>
        <v/>
      </c>
      <c r="DU150" s="30" t="str">
        <f t="shared" si="2499"/>
        <v/>
      </c>
      <c r="DV150" s="30" t="str">
        <f t="shared" si="2500"/>
        <v/>
      </c>
      <c r="DW150" s="30" t="str">
        <f t="shared" si="2501"/>
        <v/>
      </c>
      <c r="DX150" s="30" t="str">
        <f t="shared" si="2502"/>
        <v/>
      </c>
      <c r="DY150" s="30" t="str">
        <f t="shared" si="2503"/>
        <v/>
      </c>
      <c r="DZ150" s="30" t="str">
        <f t="shared" si="2504"/>
        <v/>
      </c>
      <c r="EA150" s="30" t="str">
        <f t="shared" si="2505"/>
        <v/>
      </c>
      <c r="EB150" s="30" t="str">
        <f t="shared" si="2506"/>
        <v/>
      </c>
      <c r="EC150" s="30" t="str">
        <f t="shared" si="2507"/>
        <v/>
      </c>
      <c r="ED150" s="30" t="str">
        <f t="shared" si="2508"/>
        <v/>
      </c>
      <c r="EE150" s="30" t="str">
        <f t="shared" si="2509"/>
        <v/>
      </c>
      <c r="EF150" s="30" t="str">
        <f t="shared" si="2510"/>
        <v/>
      </c>
      <c r="EG150" s="30" t="str">
        <f t="shared" si="2511"/>
        <v/>
      </c>
      <c r="EH150" s="30" t="str">
        <f t="shared" si="2512"/>
        <v/>
      </c>
      <c r="EI150" s="30" t="str">
        <f t="shared" si="2513"/>
        <v/>
      </c>
      <c r="EJ150" s="30" t="str">
        <f t="shared" si="2514"/>
        <v/>
      </c>
      <c r="EK150" s="30" t="str">
        <f t="shared" si="2515"/>
        <v/>
      </c>
      <c r="EL150" s="30" t="str">
        <f t="shared" si="2516"/>
        <v/>
      </c>
      <c r="EM150" s="30" t="str">
        <f t="shared" si="2517"/>
        <v/>
      </c>
      <c r="EN150" s="30" t="str">
        <f t="shared" si="2518"/>
        <v/>
      </c>
      <c r="EO150" s="30" t="str">
        <f t="shared" si="2519"/>
        <v/>
      </c>
      <c r="EP150" s="30" t="str">
        <f t="shared" si="2520"/>
        <v/>
      </c>
      <c r="EQ150" s="30" t="str">
        <f t="shared" si="2521"/>
        <v/>
      </c>
      <c r="ER150" s="30" t="str">
        <f t="shared" si="2522"/>
        <v/>
      </c>
      <c r="ES150" s="30" t="str">
        <f t="shared" si="2523"/>
        <v/>
      </c>
      <c r="ET150" s="30" t="str">
        <f t="shared" si="2524"/>
        <v/>
      </c>
      <c r="EU150" s="30" t="str">
        <f t="shared" si="2525"/>
        <v/>
      </c>
      <c r="EV150" s="30" t="str">
        <f t="shared" si="2526"/>
        <v/>
      </c>
      <c r="EW150" s="30" t="str">
        <f t="shared" si="2527"/>
        <v/>
      </c>
      <c r="EX150" s="30" t="str">
        <f t="shared" si="2528"/>
        <v/>
      </c>
      <c r="EY150" s="30" t="str">
        <f t="shared" si="2529"/>
        <v/>
      </c>
      <c r="EZ150" s="30" t="str">
        <f t="shared" si="2530"/>
        <v/>
      </c>
      <c r="FA150" s="30" t="str">
        <f t="shared" si="2531"/>
        <v/>
      </c>
      <c r="FB150" s="30" t="str">
        <f t="shared" si="2532"/>
        <v/>
      </c>
      <c r="FC150" s="30" t="str">
        <f t="shared" si="2533"/>
        <v/>
      </c>
      <c r="FD150" s="30" t="str">
        <f t="shared" si="2534"/>
        <v/>
      </c>
      <c r="FE150" s="30" t="str">
        <f t="shared" si="2535"/>
        <v/>
      </c>
      <c r="FF150" s="30" t="str">
        <f t="shared" si="2536"/>
        <v/>
      </c>
      <c r="FG150" s="30" t="str">
        <f t="shared" si="2537"/>
        <v/>
      </c>
      <c r="FH150" s="30" t="str">
        <f t="shared" si="2538"/>
        <v/>
      </c>
      <c r="FI150" s="30" t="str">
        <f t="shared" si="2539"/>
        <v/>
      </c>
      <c r="FJ150" s="30" t="str">
        <f t="shared" si="2540"/>
        <v/>
      </c>
      <c r="FK150" s="30" t="str">
        <f t="shared" si="2541"/>
        <v/>
      </c>
      <c r="FL150" s="30" t="str">
        <f t="shared" si="2542"/>
        <v/>
      </c>
      <c r="FM150" s="30" t="str">
        <f t="shared" si="2543"/>
        <v/>
      </c>
      <c r="FN150" s="30" t="str">
        <f t="shared" si="2544"/>
        <v/>
      </c>
      <c r="FO150" s="30" t="str">
        <f t="shared" si="2545"/>
        <v/>
      </c>
      <c r="FP150" s="30" t="str">
        <f t="shared" si="2546"/>
        <v/>
      </c>
      <c r="FQ150" s="30" t="str">
        <f t="shared" si="2547"/>
        <v/>
      </c>
      <c r="FR150" s="30" t="str">
        <f t="shared" si="2548"/>
        <v/>
      </c>
      <c r="FS150" s="30" t="str">
        <f t="shared" si="2549"/>
        <v/>
      </c>
    </row>
    <row r="151" spans="1:175" ht="16.5">
      <c r="A151" s="117"/>
      <c r="B151" s="111" t="s">
        <v>897</v>
      </c>
      <c r="C151" s="117" t="s">
        <v>898</v>
      </c>
      <c r="T151" s="117" t="s">
        <v>886</v>
      </c>
      <c r="U151" s="37" t="s">
        <v>822</v>
      </c>
      <c r="CN151" s="7" t="str">
        <f t="shared" si="2473"/>
        <v>InitUnitState('IH06',,,,,,,,,,)</v>
      </c>
      <c r="CO151" s="7" t="str">
        <f t="shared" si="2474"/>
        <v>InitUnitNormal('IH06',,,,,,,,,,)</v>
      </c>
      <c r="CP151" s="7" t="str">
        <f t="shared" si="2475"/>
        <v>InitUnitMagic('IH06',,,,,,,,,,)</v>
      </c>
      <c r="CQ151" s="7" t="str">
        <f t="shared" si="2476"/>
        <v>InitUnitAdd('IH06',,,,,,,,,,)</v>
      </c>
      <c r="CR151" s="7" t="str">
        <f t="shared" si="2477"/>
        <v>InitEquipData('IH06',,"",,,,,'','','','','','',"ReplaceableTextures\\CommandButtons\\BTNTome.blp")</v>
      </c>
      <c r="CU151" s="45" t="str">
        <f t="shared" si="2478"/>
        <v>|n</v>
      </c>
      <c r="CV151" s="29" t="str">
        <f t="shared" si="2479"/>
        <v>觉醒兽魂</v>
      </c>
      <c r="CW151" s="24"/>
      <c r="CX151" s="24"/>
      <c r="CY151" s="24"/>
      <c r="CZ151" s="24"/>
      <c r="DA151" s="24"/>
      <c r="DB151" s="30" t="str">
        <f t="shared" si="2480"/>
        <v/>
      </c>
      <c r="DC151" s="30" t="str">
        <f t="shared" si="2481"/>
        <v/>
      </c>
      <c r="DD151" s="30" t="str">
        <f t="shared" si="2482"/>
        <v/>
      </c>
      <c r="DE151" s="30" t="str">
        <f t="shared" si="2483"/>
        <v/>
      </c>
      <c r="DF151" s="30" t="str">
        <f t="shared" si="2484"/>
        <v/>
      </c>
      <c r="DG151" s="30" t="str">
        <f t="shared" si="2485"/>
        <v/>
      </c>
      <c r="DH151" s="30" t="str">
        <f t="shared" si="2486"/>
        <v/>
      </c>
      <c r="DI151" s="30" t="str">
        <f t="shared" si="2487"/>
        <v/>
      </c>
      <c r="DJ151" s="30" t="str">
        <f t="shared" si="2488"/>
        <v/>
      </c>
      <c r="DK151" s="30" t="str">
        <f t="shared" si="2489"/>
        <v/>
      </c>
      <c r="DL151" s="30" t="str">
        <f t="shared" si="2490"/>
        <v/>
      </c>
      <c r="DM151" s="30" t="str">
        <f t="shared" si="2491"/>
        <v/>
      </c>
      <c r="DN151" s="30" t="str">
        <f t="shared" si="2492"/>
        <v/>
      </c>
      <c r="DO151" s="30" t="str">
        <f t="shared" si="2493"/>
        <v/>
      </c>
      <c r="DP151" s="30" t="str">
        <f t="shared" si="2494"/>
        <v/>
      </c>
      <c r="DQ151" s="30" t="str">
        <f t="shared" si="2495"/>
        <v/>
      </c>
      <c r="DR151" s="30" t="str">
        <f t="shared" si="2496"/>
        <v/>
      </c>
      <c r="DS151" s="30" t="str">
        <f t="shared" si="2497"/>
        <v/>
      </c>
      <c r="DT151" s="30" t="str">
        <f t="shared" si="2498"/>
        <v/>
      </c>
      <c r="DU151" s="30" t="str">
        <f t="shared" si="2499"/>
        <v/>
      </c>
      <c r="DV151" s="30" t="str">
        <f t="shared" si="2500"/>
        <v/>
      </c>
      <c r="DW151" s="30" t="str">
        <f t="shared" si="2501"/>
        <v/>
      </c>
      <c r="DX151" s="30" t="str">
        <f t="shared" si="2502"/>
        <v/>
      </c>
      <c r="DY151" s="30" t="str">
        <f t="shared" si="2503"/>
        <v/>
      </c>
      <c r="DZ151" s="30" t="str">
        <f t="shared" si="2504"/>
        <v/>
      </c>
      <c r="EA151" s="30" t="str">
        <f t="shared" si="2505"/>
        <v/>
      </c>
      <c r="EB151" s="30" t="str">
        <f t="shared" si="2506"/>
        <v/>
      </c>
      <c r="EC151" s="30" t="str">
        <f t="shared" si="2507"/>
        <v/>
      </c>
      <c r="ED151" s="30" t="str">
        <f t="shared" si="2508"/>
        <v/>
      </c>
      <c r="EE151" s="30" t="str">
        <f t="shared" si="2509"/>
        <v/>
      </c>
      <c r="EF151" s="30" t="str">
        <f t="shared" si="2510"/>
        <v/>
      </c>
      <c r="EG151" s="30" t="str">
        <f t="shared" si="2511"/>
        <v/>
      </c>
      <c r="EH151" s="30" t="str">
        <f t="shared" si="2512"/>
        <v/>
      </c>
      <c r="EI151" s="30" t="str">
        <f t="shared" si="2513"/>
        <v/>
      </c>
      <c r="EJ151" s="30" t="str">
        <f t="shared" si="2514"/>
        <v/>
      </c>
      <c r="EK151" s="30" t="str">
        <f t="shared" si="2515"/>
        <v/>
      </c>
      <c r="EL151" s="30" t="str">
        <f t="shared" si="2516"/>
        <v/>
      </c>
      <c r="EM151" s="30" t="str">
        <f t="shared" si="2517"/>
        <v/>
      </c>
      <c r="EN151" s="30" t="str">
        <f t="shared" si="2518"/>
        <v/>
      </c>
      <c r="EO151" s="30" t="str">
        <f t="shared" si="2519"/>
        <v/>
      </c>
      <c r="EP151" s="30" t="str">
        <f t="shared" si="2520"/>
        <v/>
      </c>
      <c r="EQ151" s="30" t="str">
        <f t="shared" si="2521"/>
        <v/>
      </c>
      <c r="ER151" s="30" t="str">
        <f t="shared" si="2522"/>
        <v/>
      </c>
      <c r="ES151" s="30" t="str">
        <f t="shared" si="2523"/>
        <v/>
      </c>
      <c r="ET151" s="30" t="str">
        <f t="shared" si="2524"/>
        <v/>
      </c>
      <c r="EU151" s="30" t="str">
        <f t="shared" si="2525"/>
        <v/>
      </c>
      <c r="EV151" s="30" t="str">
        <f t="shared" si="2526"/>
        <v/>
      </c>
      <c r="EW151" s="30" t="str">
        <f t="shared" si="2527"/>
        <v/>
      </c>
      <c r="EX151" s="30" t="str">
        <f t="shared" si="2528"/>
        <v/>
      </c>
      <c r="EY151" s="30" t="str">
        <f t="shared" si="2529"/>
        <v/>
      </c>
      <c r="EZ151" s="30" t="str">
        <f t="shared" si="2530"/>
        <v/>
      </c>
      <c r="FA151" s="30" t="str">
        <f t="shared" si="2531"/>
        <v/>
      </c>
      <c r="FB151" s="30" t="str">
        <f t="shared" si="2532"/>
        <v/>
      </c>
      <c r="FC151" s="30" t="str">
        <f t="shared" si="2533"/>
        <v/>
      </c>
      <c r="FD151" s="30" t="str">
        <f t="shared" si="2534"/>
        <v/>
      </c>
      <c r="FE151" s="30" t="str">
        <f t="shared" si="2535"/>
        <v/>
      </c>
      <c r="FF151" s="30" t="str">
        <f t="shared" si="2536"/>
        <v/>
      </c>
      <c r="FG151" s="30" t="str">
        <f t="shared" si="2537"/>
        <v/>
      </c>
      <c r="FH151" s="30" t="str">
        <f t="shared" si="2538"/>
        <v/>
      </c>
      <c r="FI151" s="30" t="str">
        <f t="shared" si="2539"/>
        <v/>
      </c>
      <c r="FJ151" s="30" t="str">
        <f t="shared" si="2540"/>
        <v/>
      </c>
      <c r="FK151" s="30" t="str">
        <f t="shared" si="2541"/>
        <v/>
      </c>
      <c r="FL151" s="30" t="str">
        <f t="shared" si="2542"/>
        <v/>
      </c>
      <c r="FM151" s="30" t="str">
        <f t="shared" si="2543"/>
        <v/>
      </c>
      <c r="FN151" s="30" t="str">
        <f t="shared" si="2544"/>
        <v/>
      </c>
      <c r="FO151" s="30" t="str">
        <f t="shared" si="2545"/>
        <v/>
      </c>
      <c r="FP151" s="30" t="str">
        <f t="shared" si="2546"/>
        <v/>
      </c>
      <c r="FQ151" s="30" t="str">
        <f t="shared" si="2547"/>
        <v/>
      </c>
      <c r="FR151" s="30" t="str">
        <f t="shared" si="2548"/>
        <v/>
      </c>
      <c r="FS151" s="30" t="str">
        <f t="shared" si="2549"/>
        <v/>
      </c>
    </row>
    <row r="152" spans="1:175" ht="16.5">
      <c r="A152" s="117"/>
      <c r="B152" s="111" t="s">
        <v>899</v>
      </c>
      <c r="C152" s="117" t="s">
        <v>900</v>
      </c>
      <c r="T152" s="117" t="s">
        <v>886</v>
      </c>
      <c r="U152" s="37" t="s">
        <v>822</v>
      </c>
      <c r="CN152" s="7" t="str">
        <f t="shared" si="2473"/>
        <v>InitUnitState('IH07',,,,,,,,,,)</v>
      </c>
      <c r="CO152" s="7" t="str">
        <f t="shared" si="2474"/>
        <v>InitUnitNormal('IH07',,,,,,,,,,)</v>
      </c>
      <c r="CP152" s="7" t="str">
        <f t="shared" si="2475"/>
        <v>InitUnitMagic('IH07',,,,,,,,,,)</v>
      </c>
      <c r="CQ152" s="7" t="str">
        <f t="shared" si="2476"/>
        <v>InitUnitAdd('IH07',,,,,,,,,,)</v>
      </c>
      <c r="CR152" s="7" t="str">
        <f t="shared" si="2477"/>
        <v>InitEquipData('IH07',,"",,,,,'','','','','','',"ReplaceableTextures\\CommandButtons\\BTNTome.blp")</v>
      </c>
      <c r="CU152" s="45" t="str">
        <f t="shared" si="2478"/>
        <v>|n</v>
      </c>
      <c r="CV152" s="29" t="str">
        <f t="shared" si="2479"/>
        <v>觉醒兽魂</v>
      </c>
      <c r="CW152" s="24"/>
      <c r="CX152" s="24"/>
      <c r="CY152" s="24"/>
      <c r="CZ152" s="24"/>
      <c r="DA152" s="24"/>
      <c r="DB152" s="30" t="str">
        <f t="shared" si="2480"/>
        <v/>
      </c>
      <c r="DC152" s="30" t="str">
        <f t="shared" si="2481"/>
        <v/>
      </c>
      <c r="DD152" s="30" t="str">
        <f t="shared" si="2482"/>
        <v/>
      </c>
      <c r="DE152" s="30" t="str">
        <f t="shared" si="2483"/>
        <v/>
      </c>
      <c r="DF152" s="30" t="str">
        <f t="shared" si="2484"/>
        <v/>
      </c>
      <c r="DG152" s="30" t="str">
        <f t="shared" si="2485"/>
        <v/>
      </c>
      <c r="DH152" s="30" t="str">
        <f t="shared" si="2486"/>
        <v/>
      </c>
      <c r="DI152" s="30" t="str">
        <f t="shared" si="2487"/>
        <v/>
      </c>
      <c r="DJ152" s="30" t="str">
        <f t="shared" si="2488"/>
        <v/>
      </c>
      <c r="DK152" s="30" t="str">
        <f t="shared" si="2489"/>
        <v/>
      </c>
      <c r="DL152" s="30" t="str">
        <f t="shared" si="2490"/>
        <v/>
      </c>
      <c r="DM152" s="30" t="str">
        <f t="shared" si="2491"/>
        <v/>
      </c>
      <c r="DN152" s="30" t="str">
        <f t="shared" si="2492"/>
        <v/>
      </c>
      <c r="DO152" s="30" t="str">
        <f t="shared" si="2493"/>
        <v/>
      </c>
      <c r="DP152" s="30" t="str">
        <f t="shared" si="2494"/>
        <v/>
      </c>
      <c r="DQ152" s="30" t="str">
        <f t="shared" si="2495"/>
        <v/>
      </c>
      <c r="DR152" s="30" t="str">
        <f t="shared" si="2496"/>
        <v/>
      </c>
      <c r="DS152" s="30" t="str">
        <f t="shared" si="2497"/>
        <v/>
      </c>
      <c r="DT152" s="30" t="str">
        <f t="shared" si="2498"/>
        <v/>
      </c>
      <c r="DU152" s="30" t="str">
        <f t="shared" si="2499"/>
        <v/>
      </c>
      <c r="DV152" s="30" t="str">
        <f t="shared" si="2500"/>
        <v/>
      </c>
      <c r="DW152" s="30" t="str">
        <f t="shared" si="2501"/>
        <v/>
      </c>
      <c r="DX152" s="30" t="str">
        <f t="shared" si="2502"/>
        <v/>
      </c>
      <c r="DY152" s="30" t="str">
        <f t="shared" si="2503"/>
        <v/>
      </c>
      <c r="DZ152" s="30" t="str">
        <f t="shared" si="2504"/>
        <v/>
      </c>
      <c r="EA152" s="30" t="str">
        <f t="shared" si="2505"/>
        <v/>
      </c>
      <c r="EB152" s="30" t="str">
        <f t="shared" si="2506"/>
        <v/>
      </c>
      <c r="EC152" s="30" t="str">
        <f t="shared" si="2507"/>
        <v/>
      </c>
      <c r="ED152" s="30" t="str">
        <f t="shared" si="2508"/>
        <v/>
      </c>
      <c r="EE152" s="30" t="str">
        <f t="shared" si="2509"/>
        <v/>
      </c>
      <c r="EF152" s="30" t="str">
        <f t="shared" si="2510"/>
        <v/>
      </c>
      <c r="EG152" s="30" t="str">
        <f t="shared" si="2511"/>
        <v/>
      </c>
      <c r="EH152" s="30" t="str">
        <f t="shared" si="2512"/>
        <v/>
      </c>
      <c r="EI152" s="30" t="str">
        <f t="shared" si="2513"/>
        <v/>
      </c>
      <c r="EJ152" s="30" t="str">
        <f t="shared" si="2514"/>
        <v/>
      </c>
      <c r="EK152" s="30" t="str">
        <f t="shared" si="2515"/>
        <v/>
      </c>
      <c r="EL152" s="30" t="str">
        <f t="shared" si="2516"/>
        <v/>
      </c>
      <c r="EM152" s="30" t="str">
        <f t="shared" si="2517"/>
        <v/>
      </c>
      <c r="EN152" s="30" t="str">
        <f t="shared" si="2518"/>
        <v/>
      </c>
      <c r="EO152" s="30" t="str">
        <f t="shared" si="2519"/>
        <v/>
      </c>
      <c r="EP152" s="30" t="str">
        <f t="shared" si="2520"/>
        <v/>
      </c>
      <c r="EQ152" s="30" t="str">
        <f t="shared" si="2521"/>
        <v/>
      </c>
      <c r="ER152" s="30" t="str">
        <f t="shared" si="2522"/>
        <v/>
      </c>
      <c r="ES152" s="30" t="str">
        <f t="shared" si="2523"/>
        <v/>
      </c>
      <c r="ET152" s="30" t="str">
        <f t="shared" si="2524"/>
        <v/>
      </c>
      <c r="EU152" s="30" t="str">
        <f t="shared" si="2525"/>
        <v/>
      </c>
      <c r="EV152" s="30" t="str">
        <f t="shared" si="2526"/>
        <v/>
      </c>
      <c r="EW152" s="30" t="str">
        <f t="shared" si="2527"/>
        <v/>
      </c>
      <c r="EX152" s="30" t="str">
        <f t="shared" si="2528"/>
        <v/>
      </c>
      <c r="EY152" s="30" t="str">
        <f t="shared" si="2529"/>
        <v/>
      </c>
      <c r="EZ152" s="30" t="str">
        <f t="shared" si="2530"/>
        <v/>
      </c>
      <c r="FA152" s="30" t="str">
        <f t="shared" si="2531"/>
        <v/>
      </c>
      <c r="FB152" s="30" t="str">
        <f t="shared" si="2532"/>
        <v/>
      </c>
      <c r="FC152" s="30" t="str">
        <f t="shared" si="2533"/>
        <v/>
      </c>
      <c r="FD152" s="30" t="str">
        <f t="shared" si="2534"/>
        <v/>
      </c>
      <c r="FE152" s="30" t="str">
        <f t="shared" si="2535"/>
        <v/>
      </c>
      <c r="FF152" s="30" t="str">
        <f t="shared" si="2536"/>
        <v/>
      </c>
      <c r="FG152" s="30" t="str">
        <f t="shared" si="2537"/>
        <v/>
      </c>
      <c r="FH152" s="30" t="str">
        <f t="shared" si="2538"/>
        <v/>
      </c>
      <c r="FI152" s="30" t="str">
        <f t="shared" si="2539"/>
        <v/>
      </c>
      <c r="FJ152" s="30" t="str">
        <f t="shared" si="2540"/>
        <v/>
      </c>
      <c r="FK152" s="30" t="str">
        <f t="shared" si="2541"/>
        <v/>
      </c>
      <c r="FL152" s="30" t="str">
        <f t="shared" si="2542"/>
        <v/>
      </c>
      <c r="FM152" s="30" t="str">
        <f t="shared" si="2543"/>
        <v/>
      </c>
      <c r="FN152" s="30" t="str">
        <f t="shared" si="2544"/>
        <v/>
      </c>
      <c r="FO152" s="30" t="str">
        <f t="shared" si="2545"/>
        <v/>
      </c>
      <c r="FP152" s="30" t="str">
        <f t="shared" si="2546"/>
        <v/>
      </c>
      <c r="FQ152" s="30" t="str">
        <f t="shared" si="2547"/>
        <v/>
      </c>
      <c r="FR152" s="30" t="str">
        <f t="shared" si="2548"/>
        <v/>
      </c>
      <c r="FS152" s="30" t="str">
        <f t="shared" si="2549"/>
        <v/>
      </c>
    </row>
    <row r="153" spans="1:175" ht="16.5">
      <c r="A153" s="117"/>
      <c r="B153" s="111" t="s">
        <v>901</v>
      </c>
      <c r="C153" s="117" t="s">
        <v>902</v>
      </c>
      <c r="T153" s="117" t="s">
        <v>886</v>
      </c>
      <c r="U153" s="37" t="s">
        <v>822</v>
      </c>
      <c r="CN153" s="7" t="str">
        <f t="shared" si="2473"/>
        <v>InitUnitState('IH08',,,,,,,,,,)</v>
      </c>
      <c r="CO153" s="7" t="str">
        <f t="shared" si="2474"/>
        <v>InitUnitNormal('IH08',,,,,,,,,,)</v>
      </c>
      <c r="CP153" s="7" t="str">
        <f t="shared" si="2475"/>
        <v>InitUnitMagic('IH08',,,,,,,,,,)</v>
      </c>
      <c r="CQ153" s="7" t="str">
        <f t="shared" si="2476"/>
        <v>InitUnitAdd('IH08',,,,,,,,,,)</v>
      </c>
      <c r="CR153" s="7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159&amp;CR$1&amp;")"</f>
        <v>InitEquipData('IH08',,"",,,,,'','','','','','',"")</v>
      </c>
      <c r="CU153" s="45" t="str">
        <f t="shared" si="2478"/>
        <v>|n</v>
      </c>
      <c r="CV153" s="29" t="str">
        <f t="shared" si="2479"/>
        <v>觉醒兽魂</v>
      </c>
      <c r="CW153" s="24"/>
      <c r="CX153" s="24"/>
      <c r="CY153" s="24"/>
      <c r="CZ153" s="24"/>
      <c r="DA153" s="24"/>
      <c r="DB153" s="30" t="str">
        <f t="shared" si="2480"/>
        <v/>
      </c>
      <c r="DC153" s="30" t="str">
        <f t="shared" si="2481"/>
        <v/>
      </c>
      <c r="DD153" s="30" t="str">
        <f t="shared" si="2482"/>
        <v/>
      </c>
      <c r="DE153" s="30" t="str">
        <f t="shared" si="2483"/>
        <v/>
      </c>
      <c r="DF153" s="30" t="str">
        <f t="shared" si="2484"/>
        <v/>
      </c>
      <c r="DG153" s="30" t="str">
        <f t="shared" si="2485"/>
        <v/>
      </c>
      <c r="DH153" s="30" t="str">
        <f t="shared" si="2486"/>
        <v/>
      </c>
      <c r="DI153" s="30" t="str">
        <f t="shared" si="2487"/>
        <v/>
      </c>
      <c r="DJ153" s="30" t="str">
        <f t="shared" si="2488"/>
        <v/>
      </c>
      <c r="DK153" s="30" t="str">
        <f t="shared" si="2489"/>
        <v/>
      </c>
      <c r="DL153" s="30" t="str">
        <f t="shared" si="2490"/>
        <v/>
      </c>
      <c r="DM153" s="30" t="str">
        <f t="shared" si="2491"/>
        <v/>
      </c>
      <c r="DN153" s="30" t="str">
        <f t="shared" si="2492"/>
        <v/>
      </c>
      <c r="DO153" s="30" t="str">
        <f t="shared" si="2493"/>
        <v/>
      </c>
      <c r="DP153" s="30" t="str">
        <f t="shared" si="2494"/>
        <v/>
      </c>
      <c r="DQ153" s="30" t="str">
        <f t="shared" si="2495"/>
        <v/>
      </c>
      <c r="DR153" s="30" t="str">
        <f t="shared" si="2496"/>
        <v/>
      </c>
      <c r="DS153" s="30" t="str">
        <f t="shared" si="2497"/>
        <v/>
      </c>
      <c r="DT153" s="30" t="str">
        <f t="shared" si="2498"/>
        <v/>
      </c>
      <c r="DU153" s="30" t="str">
        <f t="shared" si="2499"/>
        <v/>
      </c>
      <c r="DV153" s="30" t="str">
        <f t="shared" si="2500"/>
        <v/>
      </c>
      <c r="DW153" s="30" t="str">
        <f t="shared" si="2501"/>
        <v/>
      </c>
      <c r="DX153" s="30" t="str">
        <f t="shared" si="2502"/>
        <v/>
      </c>
      <c r="DY153" s="30" t="str">
        <f t="shared" si="2503"/>
        <v/>
      </c>
      <c r="DZ153" s="30" t="str">
        <f t="shared" si="2504"/>
        <v/>
      </c>
      <c r="EA153" s="30" t="str">
        <f t="shared" si="2505"/>
        <v/>
      </c>
      <c r="EB153" s="30" t="str">
        <f t="shared" si="2506"/>
        <v/>
      </c>
      <c r="EC153" s="30" t="str">
        <f t="shared" si="2507"/>
        <v/>
      </c>
      <c r="ED153" s="30" t="str">
        <f t="shared" si="2508"/>
        <v/>
      </c>
      <c r="EE153" s="30" t="str">
        <f t="shared" si="2509"/>
        <v/>
      </c>
      <c r="EF153" s="30" t="str">
        <f t="shared" si="2510"/>
        <v/>
      </c>
      <c r="EG153" s="30" t="str">
        <f t="shared" si="2511"/>
        <v/>
      </c>
      <c r="EH153" s="30" t="str">
        <f t="shared" si="2512"/>
        <v/>
      </c>
      <c r="EI153" s="30" t="str">
        <f t="shared" si="2513"/>
        <v/>
      </c>
      <c r="EJ153" s="30" t="str">
        <f t="shared" si="2514"/>
        <v/>
      </c>
      <c r="EK153" s="30" t="str">
        <f t="shared" si="2515"/>
        <v/>
      </c>
      <c r="EL153" s="30" t="str">
        <f t="shared" si="2516"/>
        <v/>
      </c>
      <c r="EM153" s="30" t="str">
        <f t="shared" si="2517"/>
        <v/>
      </c>
      <c r="EN153" s="30" t="str">
        <f t="shared" si="2518"/>
        <v/>
      </c>
      <c r="EO153" s="30" t="str">
        <f t="shared" si="2519"/>
        <v/>
      </c>
      <c r="EP153" s="30" t="str">
        <f t="shared" si="2520"/>
        <v/>
      </c>
      <c r="EQ153" s="30" t="str">
        <f t="shared" si="2521"/>
        <v/>
      </c>
      <c r="ER153" s="30" t="str">
        <f t="shared" si="2522"/>
        <v/>
      </c>
      <c r="ES153" s="30" t="str">
        <f t="shared" si="2523"/>
        <v/>
      </c>
      <c r="ET153" s="30" t="str">
        <f t="shared" si="2524"/>
        <v/>
      </c>
      <c r="EU153" s="30" t="str">
        <f t="shared" si="2525"/>
        <v/>
      </c>
      <c r="EV153" s="30" t="str">
        <f t="shared" si="2526"/>
        <v/>
      </c>
      <c r="EW153" s="30" t="str">
        <f t="shared" si="2527"/>
        <v/>
      </c>
      <c r="EX153" s="30" t="str">
        <f t="shared" si="2528"/>
        <v/>
      </c>
      <c r="EY153" s="30" t="str">
        <f t="shared" si="2529"/>
        <v/>
      </c>
      <c r="EZ153" s="30" t="str">
        <f t="shared" si="2530"/>
        <v/>
      </c>
      <c r="FA153" s="30" t="str">
        <f t="shared" si="2531"/>
        <v/>
      </c>
      <c r="FB153" s="30" t="str">
        <f t="shared" si="2532"/>
        <v/>
      </c>
      <c r="FC153" s="30" t="str">
        <f t="shared" si="2533"/>
        <v/>
      </c>
      <c r="FD153" s="30" t="str">
        <f t="shared" si="2534"/>
        <v/>
      </c>
      <c r="FE153" s="30" t="str">
        <f t="shared" si="2535"/>
        <v/>
      </c>
      <c r="FF153" s="30" t="str">
        <f t="shared" si="2536"/>
        <v/>
      </c>
      <c r="FG153" s="30" t="str">
        <f t="shared" si="2537"/>
        <v/>
      </c>
      <c r="FH153" s="30" t="str">
        <f t="shared" si="2538"/>
        <v/>
      </c>
      <c r="FI153" s="30" t="str">
        <f t="shared" si="2539"/>
        <v/>
      </c>
      <c r="FJ153" s="30" t="str">
        <f t="shared" si="2540"/>
        <v/>
      </c>
      <c r="FK153" s="30" t="str">
        <f t="shared" si="2541"/>
        <v/>
      </c>
      <c r="FL153" s="30" t="str">
        <f t="shared" si="2542"/>
        <v/>
      </c>
      <c r="FM153" s="30" t="str">
        <f t="shared" si="2543"/>
        <v/>
      </c>
      <c r="FN153" s="30" t="str">
        <f t="shared" si="2544"/>
        <v/>
      </c>
      <c r="FO153" s="30" t="str">
        <f t="shared" si="2545"/>
        <v/>
      </c>
      <c r="FP153" s="30" t="str">
        <f t="shared" si="2546"/>
        <v/>
      </c>
      <c r="FQ153" s="30" t="str">
        <f t="shared" si="2547"/>
        <v/>
      </c>
      <c r="FR153" s="30" t="str">
        <f t="shared" si="2548"/>
        <v/>
      </c>
      <c r="FS153" s="30" t="str">
        <f t="shared" si="2549"/>
        <v/>
      </c>
    </row>
    <row r="154" spans="1:175" ht="16.5">
      <c r="A154" s="117"/>
      <c r="B154" s="66" t="s">
        <v>903</v>
      </c>
      <c r="C154" s="88" t="s">
        <v>904</v>
      </c>
      <c r="T154" s="88" t="s">
        <v>904</v>
      </c>
      <c r="U154" s="37" t="s">
        <v>822</v>
      </c>
      <c r="CN154" s="7" t="str">
        <f t="shared" ref="CN154:CN158" si="2550">"InitUnitState('"&amp;B154&amp;"',"&amp;V154&amp;","&amp;W154&amp;","&amp;X154&amp;","&amp;Y154&amp;","&amp;Z154&amp;","&amp;AA154&amp;","&amp;AB154&amp;","&amp;AC154&amp;","&amp;AD154&amp;","&amp;AE154&amp;")"</f>
        <v>InitUnitState('IB01',,,,,,,,,,)</v>
      </c>
      <c r="CO154" s="7" t="str">
        <f t="shared" ref="CO154:CO158" si="2551">"InitUnitNormal('"&amp;B154&amp;"',"&amp;AF154&amp;","&amp;AG154&amp;","&amp;AH154&amp;","&amp;AI154&amp;","&amp;AJ154&amp;","&amp;AK154&amp;","&amp;AL154&amp;","&amp;AM154&amp;","&amp;AN154&amp;","&amp;AO154&amp;")"</f>
        <v>InitUnitNormal('IB01',,,,,,,,,,)</v>
      </c>
      <c r="CP154" s="7" t="str">
        <f t="shared" ref="CP154:CP158" si="2552">"InitUnitMagic('"&amp;B154&amp;"',"&amp;AP154&amp;","&amp;AQ154&amp;","&amp;AR154&amp;","&amp;AS154&amp;","&amp;AT154&amp;","&amp;AU154&amp;","&amp;AV154&amp;","&amp;AW154&amp;","&amp;BI154&amp;","&amp;BJ154&amp;")"</f>
        <v>InitUnitMagic('IB01',,,,,,,,,,)</v>
      </c>
      <c r="CQ154" s="7" t="str">
        <f t="shared" ref="CQ154:CQ158" si="2553">"InitUnitAdd('"&amp;B154&amp;"',"&amp;BK154&amp;","&amp;BL154&amp;","&amp;BM154&amp;","&amp;BN154&amp;","&amp;BO154&amp;","&amp;BP154&amp;","&amp;BQ154&amp;","&amp;BR154&amp;","&amp;BS154&amp;","&amp;BT154&amp;")"</f>
        <v>InitUnitAdd('IB01',,,,,,,,,,)</v>
      </c>
      <c r="CR154" s="7" t="str">
        <f t="shared" ref="CR154:CR157" si="2554"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InitEquipData('IB01',,"",,,,,'','','','','','',"ReplaceableTextures\\CommandButtons\\BTNTome.blp")</v>
      </c>
      <c r="CU154" s="45" t="str">
        <f t="shared" ref="CU154:CU158" si="2555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29" t="str">
        <f t="shared" ref="CV154:CV158" si="2556">T154</f>
        <v>入群礼包</v>
      </c>
      <c r="CW154" s="24"/>
      <c r="CX154" s="24"/>
      <c r="CY154" s="24"/>
      <c r="CZ154" s="24"/>
      <c r="DA154" s="24"/>
      <c r="DB154" s="30" t="str">
        <f t="shared" ref="DB154:DB158" si="2557">IF(V154="","","|n"&amp;DB$2&amp;"+"&amp;V154&amp;DB$1)</f>
        <v/>
      </c>
      <c r="DC154" s="30" t="str">
        <f t="shared" ref="DC154:DC158" si="2558">IF(W154="","","|n"&amp;DC$2&amp;"+"&amp;W154&amp;DC$1)</f>
        <v/>
      </c>
      <c r="DD154" s="30" t="str">
        <f t="shared" ref="DD154:DD158" si="2559">IF(X154="","","|n"&amp;DD$2&amp;"+"&amp;X154&amp;DD$1)</f>
        <v/>
      </c>
      <c r="DE154" s="30" t="str">
        <f t="shared" ref="DE154:DE158" si="2560">IF(Y154="","","|n"&amp;DE$2&amp;"+"&amp;Y154&amp;DE$1)</f>
        <v/>
      </c>
      <c r="DF154" s="30" t="str">
        <f t="shared" ref="DF154:DF158" si="2561">IF(Z154="","","|n"&amp;DF$2&amp;"+"&amp;Z154&amp;DF$1)</f>
        <v/>
      </c>
      <c r="DG154" s="30" t="str">
        <f t="shared" ref="DG154:DG158" si="2562">IF(AA154="","","|n"&amp;DG$2&amp;"+"&amp;AA154&amp;DG$1)</f>
        <v/>
      </c>
      <c r="DH154" s="30" t="str">
        <f t="shared" ref="DH154:DH158" si="2563">IF(AB154="","","|n"&amp;DH$2&amp;"+"&amp;AB154&amp;DH$1)</f>
        <v/>
      </c>
      <c r="DI154" s="30" t="str">
        <f t="shared" ref="DI154:DI158" si="2564">IF(AC154="","","|n"&amp;DI$2&amp;"+"&amp;AC154&amp;DI$1)</f>
        <v/>
      </c>
      <c r="DJ154" s="30" t="str">
        <f t="shared" ref="DJ154:DJ158" si="2565">IF(AD154="","","|n"&amp;DJ$2&amp;"+"&amp;AD154&amp;DJ$1)</f>
        <v/>
      </c>
      <c r="DK154" s="30" t="str">
        <f t="shared" ref="DK154:DK158" si="2566">IF(AE154="","","|n"&amp;DK$2&amp;"+"&amp;AE154&amp;DK$1)</f>
        <v/>
      </c>
      <c r="DL154" s="30" t="str">
        <f t="shared" ref="DL154:DL158" si="2567">IF(AF154="","","|n"&amp;DL$2&amp;"+"&amp;AF154&amp;DL$1)</f>
        <v/>
      </c>
      <c r="DM154" s="30" t="str">
        <f t="shared" ref="DM154:DM158" si="2568">IF(AG154="","","|n"&amp;DM$2&amp;"+"&amp;AG154&amp;DM$1)</f>
        <v/>
      </c>
      <c r="DN154" s="30" t="str">
        <f t="shared" ref="DN154:DN158" si="2569">IF(AH154="","","|n"&amp;DN$2&amp;"+"&amp;AH154&amp;DN$1)</f>
        <v/>
      </c>
      <c r="DO154" s="30" t="str">
        <f t="shared" ref="DO154:DO158" si="2570">IF(AI154="","","|n"&amp;DO$2&amp;"+"&amp;AI154&amp;DO$1)</f>
        <v/>
      </c>
      <c r="DP154" s="30" t="str">
        <f t="shared" ref="DP154:DP158" si="2571">IF(AJ154="","","|n"&amp;DP$2&amp;"+"&amp;AJ154&amp;DP$1)</f>
        <v/>
      </c>
      <c r="DQ154" s="30" t="str">
        <f t="shared" ref="DQ154:DQ158" si="2572">IF(AK154="","","|n"&amp;DQ$2&amp;"+"&amp;AK154&amp;DQ$1)</f>
        <v/>
      </c>
      <c r="DR154" s="30" t="str">
        <f t="shared" ref="DR154:DR158" si="2573">IF(AL154="","","|n"&amp;DR$2&amp;"+"&amp;AL154&amp;DR$1)</f>
        <v/>
      </c>
      <c r="DS154" s="30" t="str">
        <f t="shared" ref="DS154:DS158" si="2574">IF(AM154="","","|n"&amp;DS$2&amp;"+"&amp;AM154&amp;DS$1)</f>
        <v/>
      </c>
      <c r="DT154" s="30" t="str">
        <f t="shared" ref="DT154:DT158" si="2575">IF(AN154="","","|n"&amp;DT$2&amp;"+"&amp;AN154&amp;DT$1)</f>
        <v/>
      </c>
      <c r="DU154" s="30" t="str">
        <f t="shared" ref="DU154:DU158" si="2576">IF(AO154="","","|n"&amp;DU$2&amp;"+"&amp;AO154&amp;DU$1)</f>
        <v/>
      </c>
      <c r="DV154" s="30" t="str">
        <f t="shared" ref="DV154:DV158" si="2577">IF(AP154="","","|n"&amp;DV$2&amp;"+"&amp;AP154&amp;DV$1)</f>
        <v/>
      </c>
      <c r="DW154" s="30" t="str">
        <f t="shared" ref="DW154:DW158" si="2578">IF(AQ154="","","|n"&amp;DW$2&amp;"+"&amp;AQ154&amp;DW$1)</f>
        <v/>
      </c>
      <c r="DX154" s="30" t="str">
        <f t="shared" ref="DX154:DX158" si="2579">IF(AR154="","","|n"&amp;DX$2&amp;"+"&amp;AR154&amp;DX$1)</f>
        <v/>
      </c>
      <c r="DY154" s="30" t="str">
        <f t="shared" ref="DY154:DY158" si="2580">IF(AS154="","","|n"&amp;DY$2&amp;"+"&amp;AS154&amp;DY$1)</f>
        <v/>
      </c>
      <c r="DZ154" s="30" t="str">
        <f t="shared" ref="DZ154:DZ158" si="2581">IF(AT154="","","|n"&amp;DZ$2&amp;"+"&amp;AT154&amp;DZ$1)</f>
        <v/>
      </c>
      <c r="EA154" s="30" t="str">
        <f t="shared" ref="EA154:EA158" si="2582">IF(AU154="","","|n"&amp;EA$2&amp;"+"&amp;AU154&amp;EA$1)</f>
        <v/>
      </c>
      <c r="EB154" s="30" t="str">
        <f t="shared" ref="EB154:EB158" si="2583">IF(AV154="","","|n"&amp;EB$2&amp;"+"&amp;AV154&amp;EB$1)</f>
        <v/>
      </c>
      <c r="EC154" s="30" t="str">
        <f t="shared" ref="EC154:EC158" si="2584">IF(AW154="","","|n"&amp;EC$2&amp;"+"&amp;AW154&amp;EC$1)</f>
        <v/>
      </c>
      <c r="ED154" s="30" t="str">
        <f t="shared" ref="ED154:ED158" si="2585">IF(AX154="","","|n"&amp;ED$2&amp;"+"&amp;AX154&amp;ED$1)</f>
        <v/>
      </c>
      <c r="EE154" s="30" t="str">
        <f t="shared" ref="EE154:EE158" si="2586">IF(AY154="","","|n"&amp;EE$2&amp;"+"&amp;AY154&amp;EE$1)</f>
        <v/>
      </c>
      <c r="EF154" s="30" t="str">
        <f t="shared" ref="EF154:EF158" si="2587">IF(AZ154="","","|n"&amp;EF$2&amp;"+"&amp;AZ154&amp;EF$1)</f>
        <v/>
      </c>
      <c r="EG154" s="30" t="str">
        <f t="shared" ref="EG154:EG158" si="2588">IF(BA154="","","|n"&amp;EG$2&amp;"+"&amp;BA154&amp;EG$1)</f>
        <v/>
      </c>
      <c r="EH154" s="30" t="str">
        <f t="shared" ref="EH154:EH158" si="2589">IF(BB154="","","|n"&amp;EH$2&amp;"+"&amp;BB154&amp;EH$1)</f>
        <v/>
      </c>
      <c r="EI154" s="30" t="str">
        <f t="shared" ref="EI154:EI158" si="2590">IF(BC154="","","|n"&amp;EI$2&amp;"+"&amp;BC154&amp;EI$1)</f>
        <v/>
      </c>
      <c r="EJ154" s="30" t="str">
        <f t="shared" ref="EJ154:EJ158" si="2591">IF(BD154="","","|n"&amp;EJ$2&amp;"+"&amp;BD154&amp;EJ$1)</f>
        <v/>
      </c>
      <c r="EK154" s="30" t="str">
        <f t="shared" ref="EK154:EK158" si="2592">IF(BE154="","","|n"&amp;EK$2&amp;"+"&amp;BE154&amp;EK$1)</f>
        <v/>
      </c>
      <c r="EL154" s="30" t="str">
        <f t="shared" ref="EL154:EL158" si="2593">IF(BF154="","","|n"&amp;EL$2&amp;"+"&amp;BF154&amp;EL$1)</f>
        <v/>
      </c>
      <c r="EM154" s="30" t="str">
        <f t="shared" ref="EM154:EM158" si="2594">IF(BG154="","","|n"&amp;EM$2&amp;"+"&amp;BG154&amp;EM$1)</f>
        <v/>
      </c>
      <c r="EN154" s="30" t="str">
        <f t="shared" ref="EN154:EN158" si="2595">IF(BH154="","","|n"&amp;EN$2&amp;"+"&amp;BH154&amp;EN$1)</f>
        <v/>
      </c>
      <c r="EO154" s="30" t="str">
        <f t="shared" ref="EO154:EO158" si="2596">IF(BI154="","","|n"&amp;EO$2&amp;"+"&amp;BI154&amp;EO$1)</f>
        <v/>
      </c>
      <c r="EP154" s="30" t="str">
        <f t="shared" ref="EP154:EP158" si="2597">IF(BJ154="","","|n"&amp;EP$2&amp;"+"&amp;BJ154&amp;EP$1)</f>
        <v/>
      </c>
      <c r="EQ154" s="30" t="str">
        <f t="shared" ref="EQ154:EQ158" si="2598">IF(BK154="","","|n"&amp;EQ$2&amp;"+"&amp;BK154&amp;EQ$1)</f>
        <v/>
      </c>
      <c r="ER154" s="30" t="str">
        <f t="shared" ref="ER154:ER158" si="2599">IF(BL154="","","|n"&amp;ER$2&amp;"+"&amp;BL154&amp;ER$1)</f>
        <v/>
      </c>
      <c r="ES154" s="30" t="str">
        <f t="shared" ref="ES154:ES158" si="2600">IF(BM154="","","|n"&amp;ES$2&amp;"+"&amp;BM154&amp;ES$1)</f>
        <v/>
      </c>
      <c r="ET154" s="30" t="str">
        <f t="shared" ref="ET154:ET158" si="2601">IF(BN154="","","|n"&amp;ET$2&amp;"+"&amp;BN154&amp;ET$1)</f>
        <v/>
      </c>
      <c r="EU154" s="30" t="str">
        <f t="shared" ref="EU154:EU158" si="2602">IF(BO154="","","|n"&amp;EU$2&amp;"+"&amp;BO154&amp;EU$1)</f>
        <v/>
      </c>
      <c r="EV154" s="30" t="str">
        <f t="shared" ref="EV154:EV158" si="2603">IF(BP154="","","|n"&amp;EV$2&amp;"+"&amp;BP154&amp;EV$1)</f>
        <v/>
      </c>
      <c r="EW154" s="30" t="str">
        <f t="shared" ref="EW154:EW158" si="2604">IF(BQ154="","","|n"&amp;EW$2&amp;"+"&amp;BQ154&amp;EW$1)</f>
        <v/>
      </c>
      <c r="EX154" s="30" t="str">
        <f t="shared" ref="EX154:EX158" si="2605">IF(BR154="","","|n"&amp;EX$2&amp;"+"&amp;BR154&amp;EX$1)</f>
        <v/>
      </c>
      <c r="EY154" s="30" t="str">
        <f t="shared" ref="EY154:EY158" si="2606">IF(BS154="","","|n"&amp;EY$2&amp;"+"&amp;BS154&amp;EY$1)</f>
        <v/>
      </c>
      <c r="EZ154" s="30" t="str">
        <f t="shared" ref="EZ154:EZ158" si="2607">IF(BT154="","","|n"&amp;EZ$2&amp;"+"&amp;BT154&amp;EZ$1)</f>
        <v/>
      </c>
      <c r="FA154" s="30" t="str">
        <f t="shared" ref="FA154:FA158" si="2608">IF(BU154="","","|n"&amp;FA$2&amp;"+"&amp;BU154&amp;FA$1)</f>
        <v/>
      </c>
      <c r="FB154" s="30" t="str">
        <f t="shared" ref="FB154:FB158" si="2609">IF(BV154="","","|n"&amp;FB$2&amp;"+"&amp;BV154&amp;FB$1)</f>
        <v/>
      </c>
      <c r="FC154" s="30" t="str">
        <f t="shared" ref="FC154:FC158" si="2610">IF(BW154="","","|n"&amp;FC$2&amp;"+"&amp;BW154&amp;FC$1)</f>
        <v/>
      </c>
      <c r="FD154" s="30" t="str">
        <f t="shared" ref="FD154:FD158" si="2611">IF(BX154="","","|n"&amp;FD$2&amp;"+"&amp;BX154&amp;FD$1)</f>
        <v/>
      </c>
      <c r="FE154" s="30" t="str">
        <f t="shared" ref="FE154:FE158" si="2612">IF(BY154="","","|n"&amp;FE$2&amp;"+"&amp;BY154&amp;FE$1)</f>
        <v/>
      </c>
      <c r="FF154" s="30" t="str">
        <f t="shared" ref="FF154:FF158" si="2613">IF(BZ154="","","|n"&amp;FF$2&amp;"+"&amp;BZ154&amp;FF$1)</f>
        <v/>
      </c>
      <c r="FG154" s="30" t="str">
        <f t="shared" ref="FG154:FG158" si="2614">IF(CA154="","","|n"&amp;FG$2&amp;"+"&amp;CA154&amp;FG$1)</f>
        <v/>
      </c>
      <c r="FH154" s="30" t="str">
        <f t="shared" ref="FH154:FH158" si="2615">IF(CB154="","","|n"&amp;FH$2&amp;"+"&amp;CB154&amp;FH$1)</f>
        <v/>
      </c>
      <c r="FI154" s="30" t="str">
        <f t="shared" ref="FI154:FI158" si="2616">IF(CC154="","","|n"&amp;FI$2&amp;"+"&amp;CC154&amp;FI$1)</f>
        <v/>
      </c>
      <c r="FJ154" s="30" t="str">
        <f t="shared" ref="FJ154:FJ158" si="2617">IF(CD154="","","|n"&amp;FJ$2&amp;"+"&amp;CD154&amp;FJ$1)</f>
        <v/>
      </c>
      <c r="FK154" s="30" t="str">
        <f t="shared" ref="FK154:FK158" si="2618">IF(CE154="","","|n"&amp;FK$2&amp;"+"&amp;CE154&amp;FK$1)</f>
        <v/>
      </c>
      <c r="FL154" s="30" t="str">
        <f t="shared" ref="FL154:FL158" si="2619">IF(CF154="","","|n"&amp;FL$2&amp;"+"&amp;CF154&amp;FL$1)</f>
        <v/>
      </c>
      <c r="FM154" s="30" t="str">
        <f t="shared" ref="FM154:FM158" si="2620">IF(CG154="","","|n"&amp;FM$2&amp;"+"&amp;CG154&amp;FM$1)</f>
        <v/>
      </c>
      <c r="FN154" s="30" t="str">
        <f t="shared" ref="FN154:FN158" si="2621">IF(CH154="","","|n"&amp;FN$2&amp;"+"&amp;CH154&amp;FN$1)</f>
        <v/>
      </c>
      <c r="FO154" s="30" t="str">
        <f t="shared" ref="FO154:FO158" si="2622">IF(CI154="","","|n"&amp;FO$2&amp;"+"&amp;CI154&amp;FO$1)</f>
        <v/>
      </c>
      <c r="FP154" s="30" t="str">
        <f t="shared" ref="FP154:FP158" si="2623">IF(CJ154="","","|n"&amp;FP$2&amp;"+"&amp;CJ154&amp;FP$1)</f>
        <v/>
      </c>
      <c r="FQ154" s="30" t="str">
        <f t="shared" ref="FQ154:FQ158" si="2624">IF(CK154="","","|n"&amp;FQ$2&amp;"+"&amp;CK154&amp;FQ$1)</f>
        <v/>
      </c>
      <c r="FR154" s="30" t="str">
        <f t="shared" ref="FR154:FR158" si="2625">IF(CL154="","","|n"&amp;FR$2&amp;"+"&amp;CL154&amp;FR$1)</f>
        <v/>
      </c>
      <c r="FS154" s="30" t="str">
        <f t="shared" ref="FS154:FS158" si="2626">IF(CM154="","","|n"&amp;FS$2&amp;"+"&amp;CM154&amp;FS$1)</f>
        <v/>
      </c>
    </row>
    <row r="155" spans="1:175" ht="16.5">
      <c r="A155" s="117"/>
      <c r="B155" s="66" t="s">
        <v>909</v>
      </c>
      <c r="C155" s="88" t="s">
        <v>905</v>
      </c>
      <c r="T155" s="88" t="s">
        <v>905</v>
      </c>
      <c r="U155" s="37" t="s">
        <v>822</v>
      </c>
      <c r="CN155" s="7" t="str">
        <f t="shared" si="2550"/>
        <v>InitUnitState('IB02',,,,,,,,,,)</v>
      </c>
      <c r="CO155" s="7" t="str">
        <f t="shared" si="2551"/>
        <v>InitUnitNormal('IB02',,,,,,,,,,)</v>
      </c>
      <c r="CP155" s="7" t="str">
        <f t="shared" si="2552"/>
        <v>InitUnitMagic('IB02',,,,,,,,,,)</v>
      </c>
      <c r="CQ155" s="7" t="str">
        <f t="shared" si="2553"/>
        <v>InitUnitAdd('IB02',,,,,,,,,,)</v>
      </c>
      <c r="CR155" s="7" t="str">
        <f t="shared" si="2554"/>
        <v>InitEquipData('IB02',,"",,,,,'','','','','','',"ReplaceableTextures\\CommandButtons\\BTNTome.blp")</v>
      </c>
      <c r="CU155" s="45" t="str">
        <f t="shared" si="2555"/>
        <v>|n</v>
      </c>
      <c r="CV155" s="29" t="str">
        <f t="shared" si="2556"/>
        <v>公众号礼包</v>
      </c>
      <c r="CW155" s="24"/>
      <c r="CX155" s="24"/>
      <c r="CY155" s="24"/>
      <c r="CZ155" s="24"/>
      <c r="DA155" s="24"/>
      <c r="DB155" s="30" t="str">
        <f t="shared" si="2557"/>
        <v/>
      </c>
      <c r="DC155" s="30" t="str">
        <f t="shared" si="2558"/>
        <v/>
      </c>
      <c r="DD155" s="30" t="str">
        <f t="shared" si="2559"/>
        <v/>
      </c>
      <c r="DE155" s="30" t="str">
        <f t="shared" si="2560"/>
        <v/>
      </c>
      <c r="DF155" s="30" t="str">
        <f t="shared" si="2561"/>
        <v/>
      </c>
      <c r="DG155" s="30" t="str">
        <f t="shared" si="2562"/>
        <v/>
      </c>
      <c r="DH155" s="30" t="str">
        <f t="shared" si="2563"/>
        <v/>
      </c>
      <c r="DI155" s="30" t="str">
        <f t="shared" si="2564"/>
        <v/>
      </c>
      <c r="DJ155" s="30" t="str">
        <f t="shared" si="2565"/>
        <v/>
      </c>
      <c r="DK155" s="30" t="str">
        <f t="shared" si="2566"/>
        <v/>
      </c>
      <c r="DL155" s="30" t="str">
        <f t="shared" si="2567"/>
        <v/>
      </c>
      <c r="DM155" s="30" t="str">
        <f t="shared" si="2568"/>
        <v/>
      </c>
      <c r="DN155" s="30" t="str">
        <f t="shared" si="2569"/>
        <v/>
      </c>
      <c r="DO155" s="30" t="str">
        <f t="shared" si="2570"/>
        <v/>
      </c>
      <c r="DP155" s="30" t="str">
        <f t="shared" si="2571"/>
        <v/>
      </c>
      <c r="DQ155" s="30" t="str">
        <f t="shared" si="2572"/>
        <v/>
      </c>
      <c r="DR155" s="30" t="str">
        <f t="shared" si="2573"/>
        <v/>
      </c>
      <c r="DS155" s="30" t="str">
        <f t="shared" si="2574"/>
        <v/>
      </c>
      <c r="DT155" s="30" t="str">
        <f t="shared" si="2575"/>
        <v/>
      </c>
      <c r="DU155" s="30" t="str">
        <f t="shared" si="2576"/>
        <v/>
      </c>
      <c r="DV155" s="30" t="str">
        <f t="shared" si="2577"/>
        <v/>
      </c>
      <c r="DW155" s="30" t="str">
        <f t="shared" si="2578"/>
        <v/>
      </c>
      <c r="DX155" s="30" t="str">
        <f t="shared" si="2579"/>
        <v/>
      </c>
      <c r="DY155" s="30" t="str">
        <f t="shared" si="2580"/>
        <v/>
      </c>
      <c r="DZ155" s="30" t="str">
        <f t="shared" si="2581"/>
        <v/>
      </c>
      <c r="EA155" s="30" t="str">
        <f t="shared" si="2582"/>
        <v/>
      </c>
      <c r="EB155" s="30" t="str">
        <f t="shared" si="2583"/>
        <v/>
      </c>
      <c r="EC155" s="30" t="str">
        <f t="shared" si="2584"/>
        <v/>
      </c>
      <c r="ED155" s="30" t="str">
        <f t="shared" si="2585"/>
        <v/>
      </c>
      <c r="EE155" s="30" t="str">
        <f t="shared" si="2586"/>
        <v/>
      </c>
      <c r="EF155" s="30" t="str">
        <f t="shared" si="2587"/>
        <v/>
      </c>
      <c r="EG155" s="30" t="str">
        <f t="shared" si="2588"/>
        <v/>
      </c>
      <c r="EH155" s="30" t="str">
        <f t="shared" si="2589"/>
        <v/>
      </c>
      <c r="EI155" s="30" t="str">
        <f t="shared" si="2590"/>
        <v/>
      </c>
      <c r="EJ155" s="30" t="str">
        <f t="shared" si="2591"/>
        <v/>
      </c>
      <c r="EK155" s="30" t="str">
        <f t="shared" si="2592"/>
        <v/>
      </c>
      <c r="EL155" s="30" t="str">
        <f t="shared" si="2593"/>
        <v/>
      </c>
      <c r="EM155" s="30" t="str">
        <f t="shared" si="2594"/>
        <v/>
      </c>
      <c r="EN155" s="30" t="str">
        <f t="shared" si="2595"/>
        <v/>
      </c>
      <c r="EO155" s="30" t="str">
        <f t="shared" si="2596"/>
        <v/>
      </c>
      <c r="EP155" s="30" t="str">
        <f t="shared" si="2597"/>
        <v/>
      </c>
      <c r="EQ155" s="30" t="str">
        <f t="shared" si="2598"/>
        <v/>
      </c>
      <c r="ER155" s="30" t="str">
        <f t="shared" si="2599"/>
        <v/>
      </c>
      <c r="ES155" s="30" t="str">
        <f t="shared" si="2600"/>
        <v/>
      </c>
      <c r="ET155" s="30" t="str">
        <f t="shared" si="2601"/>
        <v/>
      </c>
      <c r="EU155" s="30" t="str">
        <f t="shared" si="2602"/>
        <v/>
      </c>
      <c r="EV155" s="30" t="str">
        <f t="shared" si="2603"/>
        <v/>
      </c>
      <c r="EW155" s="30" t="str">
        <f t="shared" si="2604"/>
        <v/>
      </c>
      <c r="EX155" s="30" t="str">
        <f t="shared" si="2605"/>
        <v/>
      </c>
      <c r="EY155" s="30" t="str">
        <f t="shared" si="2606"/>
        <v/>
      </c>
      <c r="EZ155" s="30" t="str">
        <f t="shared" si="2607"/>
        <v/>
      </c>
      <c r="FA155" s="30" t="str">
        <f t="shared" si="2608"/>
        <v/>
      </c>
      <c r="FB155" s="30" t="str">
        <f t="shared" si="2609"/>
        <v/>
      </c>
      <c r="FC155" s="30" t="str">
        <f t="shared" si="2610"/>
        <v/>
      </c>
      <c r="FD155" s="30" t="str">
        <f t="shared" si="2611"/>
        <v/>
      </c>
      <c r="FE155" s="30" t="str">
        <f t="shared" si="2612"/>
        <v/>
      </c>
      <c r="FF155" s="30" t="str">
        <f t="shared" si="2613"/>
        <v/>
      </c>
      <c r="FG155" s="30" t="str">
        <f t="shared" si="2614"/>
        <v/>
      </c>
      <c r="FH155" s="30" t="str">
        <f t="shared" si="2615"/>
        <v/>
      </c>
      <c r="FI155" s="30" t="str">
        <f t="shared" si="2616"/>
        <v/>
      </c>
      <c r="FJ155" s="30" t="str">
        <f t="shared" si="2617"/>
        <v/>
      </c>
      <c r="FK155" s="30" t="str">
        <f t="shared" si="2618"/>
        <v/>
      </c>
      <c r="FL155" s="30" t="str">
        <f t="shared" si="2619"/>
        <v/>
      </c>
      <c r="FM155" s="30" t="str">
        <f t="shared" si="2620"/>
        <v/>
      </c>
      <c r="FN155" s="30" t="str">
        <f t="shared" si="2621"/>
        <v/>
      </c>
      <c r="FO155" s="30" t="str">
        <f t="shared" si="2622"/>
        <v/>
      </c>
      <c r="FP155" s="30" t="str">
        <f t="shared" si="2623"/>
        <v/>
      </c>
      <c r="FQ155" s="30" t="str">
        <f t="shared" si="2624"/>
        <v/>
      </c>
      <c r="FR155" s="30" t="str">
        <f t="shared" si="2625"/>
        <v/>
      </c>
      <c r="FS155" s="30" t="str">
        <f t="shared" si="2626"/>
        <v/>
      </c>
    </row>
    <row r="156" spans="1:175" ht="16.5">
      <c r="A156" s="117"/>
      <c r="B156" s="66" t="s">
        <v>910</v>
      </c>
      <c r="C156" s="87" t="s">
        <v>906</v>
      </c>
      <c r="T156" s="87" t="s">
        <v>906</v>
      </c>
      <c r="U156" s="37" t="s">
        <v>822</v>
      </c>
      <c r="CN156" s="7" t="str">
        <f t="shared" si="2550"/>
        <v>InitUnitState('IB03',,,,,,,,,,)</v>
      </c>
      <c r="CO156" s="7" t="str">
        <f t="shared" si="2551"/>
        <v>InitUnitNormal('IB03',,,,,,,,,,)</v>
      </c>
      <c r="CP156" s="7" t="str">
        <f t="shared" si="2552"/>
        <v>InitUnitMagic('IB03',,,,,,,,,,)</v>
      </c>
      <c r="CQ156" s="7" t="str">
        <f t="shared" si="2553"/>
        <v>InitUnitAdd('IB03',,,,,,,,,,)</v>
      </c>
      <c r="CR156" s="7" t="str">
        <f t="shared" si="2554"/>
        <v>InitEquipData('IB03',,"",,,,,'','','','','','',"ReplaceableTextures\\CommandButtons\\BTNTome.blp")</v>
      </c>
      <c r="CU156" s="45" t="str">
        <f t="shared" si="2555"/>
        <v>|n</v>
      </c>
      <c r="CV156" s="29" t="str">
        <f t="shared" si="2556"/>
        <v>好评礼包</v>
      </c>
      <c r="CW156" s="24"/>
      <c r="CX156" s="24"/>
      <c r="CY156" s="24"/>
      <c r="CZ156" s="24"/>
      <c r="DA156" s="24"/>
      <c r="DB156" s="30" t="str">
        <f t="shared" si="2557"/>
        <v/>
      </c>
      <c r="DC156" s="30" t="str">
        <f t="shared" si="2558"/>
        <v/>
      </c>
      <c r="DD156" s="30" t="str">
        <f t="shared" si="2559"/>
        <v/>
      </c>
      <c r="DE156" s="30" t="str">
        <f t="shared" si="2560"/>
        <v/>
      </c>
      <c r="DF156" s="30" t="str">
        <f t="shared" si="2561"/>
        <v/>
      </c>
      <c r="DG156" s="30" t="str">
        <f t="shared" si="2562"/>
        <v/>
      </c>
      <c r="DH156" s="30" t="str">
        <f t="shared" si="2563"/>
        <v/>
      </c>
      <c r="DI156" s="30" t="str">
        <f t="shared" si="2564"/>
        <v/>
      </c>
      <c r="DJ156" s="30" t="str">
        <f t="shared" si="2565"/>
        <v/>
      </c>
      <c r="DK156" s="30" t="str">
        <f t="shared" si="2566"/>
        <v/>
      </c>
      <c r="DL156" s="30" t="str">
        <f t="shared" si="2567"/>
        <v/>
      </c>
      <c r="DM156" s="30" t="str">
        <f t="shared" si="2568"/>
        <v/>
      </c>
      <c r="DN156" s="30" t="str">
        <f t="shared" si="2569"/>
        <v/>
      </c>
      <c r="DO156" s="30" t="str">
        <f t="shared" si="2570"/>
        <v/>
      </c>
      <c r="DP156" s="30" t="str">
        <f t="shared" si="2571"/>
        <v/>
      </c>
      <c r="DQ156" s="30" t="str">
        <f t="shared" si="2572"/>
        <v/>
      </c>
      <c r="DR156" s="30" t="str">
        <f t="shared" si="2573"/>
        <v/>
      </c>
      <c r="DS156" s="30" t="str">
        <f t="shared" si="2574"/>
        <v/>
      </c>
      <c r="DT156" s="30" t="str">
        <f t="shared" si="2575"/>
        <v/>
      </c>
      <c r="DU156" s="30" t="str">
        <f t="shared" si="2576"/>
        <v/>
      </c>
      <c r="DV156" s="30" t="str">
        <f t="shared" si="2577"/>
        <v/>
      </c>
      <c r="DW156" s="30" t="str">
        <f t="shared" si="2578"/>
        <v/>
      </c>
      <c r="DX156" s="30" t="str">
        <f t="shared" si="2579"/>
        <v/>
      </c>
      <c r="DY156" s="30" t="str">
        <f t="shared" si="2580"/>
        <v/>
      </c>
      <c r="DZ156" s="30" t="str">
        <f t="shared" si="2581"/>
        <v/>
      </c>
      <c r="EA156" s="30" t="str">
        <f t="shared" si="2582"/>
        <v/>
      </c>
      <c r="EB156" s="30" t="str">
        <f t="shared" si="2583"/>
        <v/>
      </c>
      <c r="EC156" s="30" t="str">
        <f t="shared" si="2584"/>
        <v/>
      </c>
      <c r="ED156" s="30" t="str">
        <f t="shared" si="2585"/>
        <v/>
      </c>
      <c r="EE156" s="30" t="str">
        <f t="shared" si="2586"/>
        <v/>
      </c>
      <c r="EF156" s="30" t="str">
        <f t="shared" si="2587"/>
        <v/>
      </c>
      <c r="EG156" s="30" t="str">
        <f t="shared" si="2588"/>
        <v/>
      </c>
      <c r="EH156" s="30" t="str">
        <f t="shared" si="2589"/>
        <v/>
      </c>
      <c r="EI156" s="30" t="str">
        <f t="shared" si="2590"/>
        <v/>
      </c>
      <c r="EJ156" s="30" t="str">
        <f t="shared" si="2591"/>
        <v/>
      </c>
      <c r="EK156" s="30" t="str">
        <f t="shared" si="2592"/>
        <v/>
      </c>
      <c r="EL156" s="30" t="str">
        <f t="shared" si="2593"/>
        <v/>
      </c>
      <c r="EM156" s="30" t="str">
        <f t="shared" si="2594"/>
        <v/>
      </c>
      <c r="EN156" s="30" t="str">
        <f t="shared" si="2595"/>
        <v/>
      </c>
      <c r="EO156" s="30" t="str">
        <f t="shared" si="2596"/>
        <v/>
      </c>
      <c r="EP156" s="30" t="str">
        <f t="shared" si="2597"/>
        <v/>
      </c>
      <c r="EQ156" s="30" t="str">
        <f t="shared" si="2598"/>
        <v/>
      </c>
      <c r="ER156" s="30" t="str">
        <f t="shared" si="2599"/>
        <v/>
      </c>
      <c r="ES156" s="30" t="str">
        <f t="shared" si="2600"/>
        <v/>
      </c>
      <c r="ET156" s="30" t="str">
        <f t="shared" si="2601"/>
        <v/>
      </c>
      <c r="EU156" s="30" t="str">
        <f t="shared" si="2602"/>
        <v/>
      </c>
      <c r="EV156" s="30" t="str">
        <f t="shared" si="2603"/>
        <v/>
      </c>
      <c r="EW156" s="30" t="str">
        <f t="shared" si="2604"/>
        <v/>
      </c>
      <c r="EX156" s="30" t="str">
        <f t="shared" si="2605"/>
        <v/>
      </c>
      <c r="EY156" s="30" t="str">
        <f t="shared" si="2606"/>
        <v/>
      </c>
      <c r="EZ156" s="30" t="str">
        <f t="shared" si="2607"/>
        <v/>
      </c>
      <c r="FA156" s="30" t="str">
        <f t="shared" si="2608"/>
        <v/>
      </c>
      <c r="FB156" s="30" t="str">
        <f t="shared" si="2609"/>
        <v/>
      </c>
      <c r="FC156" s="30" t="str">
        <f t="shared" si="2610"/>
        <v/>
      </c>
      <c r="FD156" s="30" t="str">
        <f t="shared" si="2611"/>
        <v/>
      </c>
      <c r="FE156" s="30" t="str">
        <f t="shared" si="2612"/>
        <v/>
      </c>
      <c r="FF156" s="30" t="str">
        <f t="shared" si="2613"/>
        <v/>
      </c>
      <c r="FG156" s="30" t="str">
        <f t="shared" si="2614"/>
        <v/>
      </c>
      <c r="FH156" s="30" t="str">
        <f t="shared" si="2615"/>
        <v/>
      </c>
      <c r="FI156" s="30" t="str">
        <f t="shared" si="2616"/>
        <v/>
      </c>
      <c r="FJ156" s="30" t="str">
        <f t="shared" si="2617"/>
        <v/>
      </c>
      <c r="FK156" s="30" t="str">
        <f t="shared" si="2618"/>
        <v/>
      </c>
      <c r="FL156" s="30" t="str">
        <f t="shared" si="2619"/>
        <v/>
      </c>
      <c r="FM156" s="30" t="str">
        <f t="shared" si="2620"/>
        <v/>
      </c>
      <c r="FN156" s="30" t="str">
        <f t="shared" si="2621"/>
        <v/>
      </c>
      <c r="FO156" s="30" t="str">
        <f t="shared" si="2622"/>
        <v/>
      </c>
      <c r="FP156" s="30" t="str">
        <f t="shared" si="2623"/>
        <v/>
      </c>
      <c r="FQ156" s="30" t="str">
        <f t="shared" si="2624"/>
        <v/>
      </c>
      <c r="FR156" s="30" t="str">
        <f t="shared" si="2625"/>
        <v/>
      </c>
      <c r="FS156" s="30" t="str">
        <f t="shared" si="2626"/>
        <v/>
      </c>
    </row>
    <row r="157" spans="1:175" ht="16.5">
      <c r="A157" s="117"/>
      <c r="B157" s="66" t="s">
        <v>911</v>
      </c>
      <c r="C157" s="87" t="s">
        <v>907</v>
      </c>
      <c r="T157" s="87" t="s">
        <v>907</v>
      </c>
      <c r="U157" s="37" t="s">
        <v>822</v>
      </c>
      <c r="CN157" s="7" t="str">
        <f t="shared" si="2550"/>
        <v>InitUnitState('IB04',,,,,,,,,,)</v>
      </c>
      <c r="CO157" s="7" t="str">
        <f t="shared" si="2551"/>
        <v>InitUnitNormal('IB04',,,,,,,,,,)</v>
      </c>
      <c r="CP157" s="7" t="str">
        <f t="shared" si="2552"/>
        <v>InitUnitMagic('IB04',,,,,,,,,,)</v>
      </c>
      <c r="CQ157" s="7" t="str">
        <f t="shared" si="2553"/>
        <v>InitUnitAdd('IB04',,,,,,,,,,)</v>
      </c>
      <c r="CR157" s="7" t="str">
        <f t="shared" si="2554"/>
        <v>InitEquipData('IB04',,"",,,,,'','','','','','',"ReplaceableTextures\\CommandButtons\\BTNTome.blp")</v>
      </c>
      <c r="CU157" s="45" t="str">
        <f t="shared" si="2555"/>
        <v>|n</v>
      </c>
      <c r="CV157" s="29" t="str">
        <f t="shared" si="2556"/>
        <v>老铁礼包</v>
      </c>
      <c r="CW157" s="24"/>
      <c r="CX157" s="24"/>
      <c r="CY157" s="24"/>
      <c r="CZ157" s="24"/>
      <c r="DA157" s="24"/>
      <c r="DB157" s="30" t="str">
        <f t="shared" si="2557"/>
        <v/>
      </c>
      <c r="DC157" s="30" t="str">
        <f t="shared" si="2558"/>
        <v/>
      </c>
      <c r="DD157" s="30" t="str">
        <f t="shared" si="2559"/>
        <v/>
      </c>
      <c r="DE157" s="30" t="str">
        <f t="shared" si="2560"/>
        <v/>
      </c>
      <c r="DF157" s="30" t="str">
        <f t="shared" si="2561"/>
        <v/>
      </c>
      <c r="DG157" s="30" t="str">
        <f t="shared" si="2562"/>
        <v/>
      </c>
      <c r="DH157" s="30" t="str">
        <f t="shared" si="2563"/>
        <v/>
      </c>
      <c r="DI157" s="30" t="str">
        <f t="shared" si="2564"/>
        <v/>
      </c>
      <c r="DJ157" s="30" t="str">
        <f t="shared" si="2565"/>
        <v/>
      </c>
      <c r="DK157" s="30" t="str">
        <f t="shared" si="2566"/>
        <v/>
      </c>
      <c r="DL157" s="30" t="str">
        <f t="shared" si="2567"/>
        <v/>
      </c>
      <c r="DM157" s="30" t="str">
        <f t="shared" si="2568"/>
        <v/>
      </c>
      <c r="DN157" s="30" t="str">
        <f t="shared" si="2569"/>
        <v/>
      </c>
      <c r="DO157" s="30" t="str">
        <f t="shared" si="2570"/>
        <v/>
      </c>
      <c r="DP157" s="30" t="str">
        <f t="shared" si="2571"/>
        <v/>
      </c>
      <c r="DQ157" s="30" t="str">
        <f t="shared" si="2572"/>
        <v/>
      </c>
      <c r="DR157" s="30" t="str">
        <f t="shared" si="2573"/>
        <v/>
      </c>
      <c r="DS157" s="30" t="str">
        <f t="shared" si="2574"/>
        <v/>
      </c>
      <c r="DT157" s="30" t="str">
        <f t="shared" si="2575"/>
        <v/>
      </c>
      <c r="DU157" s="30" t="str">
        <f t="shared" si="2576"/>
        <v/>
      </c>
      <c r="DV157" s="30" t="str">
        <f t="shared" si="2577"/>
        <v/>
      </c>
      <c r="DW157" s="30" t="str">
        <f t="shared" si="2578"/>
        <v/>
      </c>
      <c r="DX157" s="30" t="str">
        <f t="shared" si="2579"/>
        <v/>
      </c>
      <c r="DY157" s="30" t="str">
        <f t="shared" si="2580"/>
        <v/>
      </c>
      <c r="DZ157" s="30" t="str">
        <f t="shared" si="2581"/>
        <v/>
      </c>
      <c r="EA157" s="30" t="str">
        <f t="shared" si="2582"/>
        <v/>
      </c>
      <c r="EB157" s="30" t="str">
        <f t="shared" si="2583"/>
        <v/>
      </c>
      <c r="EC157" s="30" t="str">
        <f t="shared" si="2584"/>
        <v/>
      </c>
      <c r="ED157" s="30" t="str">
        <f t="shared" si="2585"/>
        <v/>
      </c>
      <c r="EE157" s="30" t="str">
        <f t="shared" si="2586"/>
        <v/>
      </c>
      <c r="EF157" s="30" t="str">
        <f t="shared" si="2587"/>
        <v/>
      </c>
      <c r="EG157" s="30" t="str">
        <f t="shared" si="2588"/>
        <v/>
      </c>
      <c r="EH157" s="30" t="str">
        <f t="shared" si="2589"/>
        <v/>
      </c>
      <c r="EI157" s="30" t="str">
        <f t="shared" si="2590"/>
        <v/>
      </c>
      <c r="EJ157" s="30" t="str">
        <f t="shared" si="2591"/>
        <v/>
      </c>
      <c r="EK157" s="30" t="str">
        <f t="shared" si="2592"/>
        <v/>
      </c>
      <c r="EL157" s="30" t="str">
        <f t="shared" si="2593"/>
        <v/>
      </c>
      <c r="EM157" s="30" t="str">
        <f t="shared" si="2594"/>
        <v/>
      </c>
      <c r="EN157" s="30" t="str">
        <f t="shared" si="2595"/>
        <v/>
      </c>
      <c r="EO157" s="30" t="str">
        <f t="shared" si="2596"/>
        <v/>
      </c>
      <c r="EP157" s="30" t="str">
        <f t="shared" si="2597"/>
        <v/>
      </c>
      <c r="EQ157" s="30" t="str">
        <f t="shared" si="2598"/>
        <v/>
      </c>
      <c r="ER157" s="30" t="str">
        <f t="shared" si="2599"/>
        <v/>
      </c>
      <c r="ES157" s="30" t="str">
        <f t="shared" si="2600"/>
        <v/>
      </c>
      <c r="ET157" s="30" t="str">
        <f t="shared" si="2601"/>
        <v/>
      </c>
      <c r="EU157" s="30" t="str">
        <f t="shared" si="2602"/>
        <v/>
      </c>
      <c r="EV157" s="30" t="str">
        <f t="shared" si="2603"/>
        <v/>
      </c>
      <c r="EW157" s="30" t="str">
        <f t="shared" si="2604"/>
        <v/>
      </c>
      <c r="EX157" s="30" t="str">
        <f t="shared" si="2605"/>
        <v/>
      </c>
      <c r="EY157" s="30" t="str">
        <f t="shared" si="2606"/>
        <v/>
      </c>
      <c r="EZ157" s="30" t="str">
        <f t="shared" si="2607"/>
        <v/>
      </c>
      <c r="FA157" s="30" t="str">
        <f t="shared" si="2608"/>
        <v/>
      </c>
      <c r="FB157" s="30" t="str">
        <f t="shared" si="2609"/>
        <v/>
      </c>
      <c r="FC157" s="30" t="str">
        <f t="shared" si="2610"/>
        <v/>
      </c>
      <c r="FD157" s="30" t="str">
        <f t="shared" si="2611"/>
        <v/>
      </c>
      <c r="FE157" s="30" t="str">
        <f t="shared" si="2612"/>
        <v/>
      </c>
      <c r="FF157" s="30" t="str">
        <f t="shared" si="2613"/>
        <v/>
      </c>
      <c r="FG157" s="30" t="str">
        <f t="shared" si="2614"/>
        <v/>
      </c>
      <c r="FH157" s="30" t="str">
        <f t="shared" si="2615"/>
        <v/>
      </c>
      <c r="FI157" s="30" t="str">
        <f t="shared" si="2616"/>
        <v/>
      </c>
      <c r="FJ157" s="30" t="str">
        <f t="shared" si="2617"/>
        <v/>
      </c>
      <c r="FK157" s="30" t="str">
        <f t="shared" si="2618"/>
        <v/>
      </c>
      <c r="FL157" s="30" t="str">
        <f t="shared" si="2619"/>
        <v/>
      </c>
      <c r="FM157" s="30" t="str">
        <f t="shared" si="2620"/>
        <v/>
      </c>
      <c r="FN157" s="30" t="str">
        <f t="shared" si="2621"/>
        <v/>
      </c>
      <c r="FO157" s="30" t="str">
        <f t="shared" si="2622"/>
        <v/>
      </c>
      <c r="FP157" s="30" t="str">
        <f t="shared" si="2623"/>
        <v/>
      </c>
      <c r="FQ157" s="30" t="str">
        <f t="shared" si="2624"/>
        <v/>
      </c>
      <c r="FR157" s="30" t="str">
        <f t="shared" si="2625"/>
        <v/>
      </c>
      <c r="FS157" s="30" t="str">
        <f t="shared" si="2626"/>
        <v/>
      </c>
    </row>
    <row r="158" spans="1:175" ht="16.5">
      <c r="A158" s="117"/>
      <c r="B158" s="66" t="s">
        <v>912</v>
      </c>
      <c r="C158" s="87" t="s">
        <v>908</v>
      </c>
      <c r="T158" s="87" t="s">
        <v>908</v>
      </c>
      <c r="U158" s="37" t="s">
        <v>822</v>
      </c>
      <c r="CN158" s="7" t="str">
        <f t="shared" si="2550"/>
        <v>InitUnitState('IB05',,,,,,,,,,)</v>
      </c>
      <c r="CO158" s="7" t="str">
        <f t="shared" si="2551"/>
        <v>InitUnitNormal('IB05',,,,,,,,,,)</v>
      </c>
      <c r="CP158" s="7" t="str">
        <f t="shared" si="2552"/>
        <v>InitUnitMagic('IB05',,,,,,,,,,)</v>
      </c>
      <c r="CQ158" s="7" t="str">
        <f t="shared" si="2553"/>
        <v>InitUnitAdd('IB05',,,,,,,,,,)</v>
      </c>
      <c r="CR158" s="7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164&amp;CR$1&amp;")"</f>
        <v>InitEquipData('IB05',,"",,,,,'','','','','','',"")</v>
      </c>
      <c r="CU158" s="45" t="str">
        <f t="shared" si="2555"/>
        <v>|n</v>
      </c>
      <c r="CV158" s="29" t="str">
        <f t="shared" si="2556"/>
        <v>工会礼包</v>
      </c>
      <c r="CW158" s="24"/>
      <c r="CX158" s="24"/>
      <c r="CY158" s="24"/>
      <c r="CZ158" s="24"/>
      <c r="DA158" s="24"/>
      <c r="DB158" s="30" t="str">
        <f t="shared" si="2557"/>
        <v/>
      </c>
      <c r="DC158" s="30" t="str">
        <f t="shared" si="2558"/>
        <v/>
      </c>
      <c r="DD158" s="30" t="str">
        <f t="shared" si="2559"/>
        <v/>
      </c>
      <c r="DE158" s="30" t="str">
        <f t="shared" si="2560"/>
        <v/>
      </c>
      <c r="DF158" s="30" t="str">
        <f t="shared" si="2561"/>
        <v/>
      </c>
      <c r="DG158" s="30" t="str">
        <f t="shared" si="2562"/>
        <v/>
      </c>
      <c r="DH158" s="30" t="str">
        <f t="shared" si="2563"/>
        <v/>
      </c>
      <c r="DI158" s="30" t="str">
        <f t="shared" si="2564"/>
        <v/>
      </c>
      <c r="DJ158" s="30" t="str">
        <f t="shared" si="2565"/>
        <v/>
      </c>
      <c r="DK158" s="30" t="str">
        <f t="shared" si="2566"/>
        <v/>
      </c>
      <c r="DL158" s="30" t="str">
        <f t="shared" si="2567"/>
        <v/>
      </c>
      <c r="DM158" s="30" t="str">
        <f t="shared" si="2568"/>
        <v/>
      </c>
      <c r="DN158" s="30" t="str">
        <f t="shared" si="2569"/>
        <v/>
      </c>
      <c r="DO158" s="30" t="str">
        <f t="shared" si="2570"/>
        <v/>
      </c>
      <c r="DP158" s="30" t="str">
        <f t="shared" si="2571"/>
        <v/>
      </c>
      <c r="DQ158" s="30" t="str">
        <f t="shared" si="2572"/>
        <v/>
      </c>
      <c r="DR158" s="30" t="str">
        <f t="shared" si="2573"/>
        <v/>
      </c>
      <c r="DS158" s="30" t="str">
        <f t="shared" si="2574"/>
        <v/>
      </c>
      <c r="DT158" s="30" t="str">
        <f t="shared" si="2575"/>
        <v/>
      </c>
      <c r="DU158" s="30" t="str">
        <f t="shared" si="2576"/>
        <v/>
      </c>
      <c r="DV158" s="30" t="str">
        <f t="shared" si="2577"/>
        <v/>
      </c>
      <c r="DW158" s="30" t="str">
        <f t="shared" si="2578"/>
        <v/>
      </c>
      <c r="DX158" s="30" t="str">
        <f t="shared" si="2579"/>
        <v/>
      </c>
      <c r="DY158" s="30" t="str">
        <f t="shared" si="2580"/>
        <v/>
      </c>
      <c r="DZ158" s="30" t="str">
        <f t="shared" si="2581"/>
        <v/>
      </c>
      <c r="EA158" s="30" t="str">
        <f t="shared" si="2582"/>
        <v/>
      </c>
      <c r="EB158" s="30" t="str">
        <f t="shared" si="2583"/>
        <v/>
      </c>
      <c r="EC158" s="30" t="str">
        <f t="shared" si="2584"/>
        <v/>
      </c>
      <c r="ED158" s="30" t="str">
        <f t="shared" si="2585"/>
        <v/>
      </c>
      <c r="EE158" s="30" t="str">
        <f t="shared" si="2586"/>
        <v/>
      </c>
      <c r="EF158" s="30" t="str">
        <f t="shared" si="2587"/>
        <v/>
      </c>
      <c r="EG158" s="30" t="str">
        <f t="shared" si="2588"/>
        <v/>
      </c>
      <c r="EH158" s="30" t="str">
        <f t="shared" si="2589"/>
        <v/>
      </c>
      <c r="EI158" s="30" t="str">
        <f t="shared" si="2590"/>
        <v/>
      </c>
      <c r="EJ158" s="30" t="str">
        <f t="shared" si="2591"/>
        <v/>
      </c>
      <c r="EK158" s="30" t="str">
        <f t="shared" si="2592"/>
        <v/>
      </c>
      <c r="EL158" s="30" t="str">
        <f t="shared" si="2593"/>
        <v/>
      </c>
      <c r="EM158" s="30" t="str">
        <f t="shared" si="2594"/>
        <v/>
      </c>
      <c r="EN158" s="30" t="str">
        <f t="shared" si="2595"/>
        <v/>
      </c>
      <c r="EO158" s="30" t="str">
        <f t="shared" si="2596"/>
        <v/>
      </c>
      <c r="EP158" s="30" t="str">
        <f t="shared" si="2597"/>
        <v/>
      </c>
      <c r="EQ158" s="30" t="str">
        <f t="shared" si="2598"/>
        <v/>
      </c>
      <c r="ER158" s="30" t="str">
        <f t="shared" si="2599"/>
        <v/>
      </c>
      <c r="ES158" s="30" t="str">
        <f t="shared" si="2600"/>
        <v/>
      </c>
      <c r="ET158" s="30" t="str">
        <f t="shared" si="2601"/>
        <v/>
      </c>
      <c r="EU158" s="30" t="str">
        <f t="shared" si="2602"/>
        <v/>
      </c>
      <c r="EV158" s="30" t="str">
        <f t="shared" si="2603"/>
        <v/>
      </c>
      <c r="EW158" s="30" t="str">
        <f t="shared" si="2604"/>
        <v/>
      </c>
      <c r="EX158" s="30" t="str">
        <f t="shared" si="2605"/>
        <v/>
      </c>
      <c r="EY158" s="30" t="str">
        <f t="shared" si="2606"/>
        <v/>
      </c>
      <c r="EZ158" s="30" t="str">
        <f t="shared" si="2607"/>
        <v/>
      </c>
      <c r="FA158" s="30" t="str">
        <f t="shared" si="2608"/>
        <v/>
      </c>
      <c r="FB158" s="30" t="str">
        <f t="shared" si="2609"/>
        <v/>
      </c>
      <c r="FC158" s="30" t="str">
        <f t="shared" si="2610"/>
        <v/>
      </c>
      <c r="FD158" s="30" t="str">
        <f t="shared" si="2611"/>
        <v/>
      </c>
      <c r="FE158" s="30" t="str">
        <f t="shared" si="2612"/>
        <v/>
      </c>
      <c r="FF158" s="30" t="str">
        <f t="shared" si="2613"/>
        <v/>
      </c>
      <c r="FG158" s="30" t="str">
        <f t="shared" si="2614"/>
        <v/>
      </c>
      <c r="FH158" s="30" t="str">
        <f t="shared" si="2615"/>
        <v/>
      </c>
      <c r="FI158" s="30" t="str">
        <f t="shared" si="2616"/>
        <v/>
      </c>
      <c r="FJ158" s="30" t="str">
        <f t="shared" si="2617"/>
        <v/>
      </c>
      <c r="FK158" s="30" t="str">
        <f t="shared" si="2618"/>
        <v/>
      </c>
      <c r="FL158" s="30" t="str">
        <f t="shared" si="2619"/>
        <v/>
      </c>
      <c r="FM158" s="30" t="str">
        <f t="shared" si="2620"/>
        <v/>
      </c>
      <c r="FN158" s="30" t="str">
        <f t="shared" si="2621"/>
        <v/>
      </c>
      <c r="FO158" s="30" t="str">
        <f t="shared" si="2622"/>
        <v/>
      </c>
      <c r="FP158" s="30" t="str">
        <f t="shared" si="2623"/>
        <v/>
      </c>
      <c r="FQ158" s="30" t="str">
        <f t="shared" si="2624"/>
        <v/>
      </c>
      <c r="FR158" s="30" t="str">
        <f t="shared" si="2625"/>
        <v/>
      </c>
      <c r="FS158" s="30" t="str">
        <f t="shared" si="2626"/>
        <v/>
      </c>
    </row>
    <row r="159" spans="1:175" ht="16.5">
      <c r="A159" s="88"/>
      <c r="B159" s="66"/>
      <c r="C159" s="87"/>
      <c r="T159" s="107"/>
      <c r="U159" s="32"/>
      <c r="CN159" s="7" t="str">
        <f t="shared" ref="CN159:CN175" si="2627">"InitUnitState('"&amp;B159&amp;"',"&amp;V159&amp;","&amp;W159&amp;","&amp;X159&amp;","&amp;Y159&amp;","&amp;Z159&amp;","&amp;AA159&amp;","&amp;AB159&amp;","&amp;AC159&amp;","&amp;AD159&amp;","&amp;AE159&amp;")"</f>
        <v>InitUnitState('',,,,,,,,,,)</v>
      </c>
      <c r="CO159" s="7" t="str">
        <f t="shared" ref="CO159:CO175" si="2628">"InitUnitNormal('"&amp;B159&amp;"',"&amp;AF159&amp;","&amp;AG159&amp;","&amp;AH159&amp;","&amp;AI159&amp;","&amp;AJ159&amp;","&amp;AK159&amp;","&amp;AL159&amp;","&amp;AM159&amp;","&amp;AN159&amp;","&amp;AO159&amp;")"</f>
        <v>InitUnitNormal('',,,,,,,,,,)</v>
      </c>
      <c r="CP159" s="7" t="str">
        <f t="shared" ref="CP159:CP175" si="2629">"InitUnitMagic('"&amp;B159&amp;"',"&amp;AP159&amp;","&amp;AQ159&amp;","&amp;AR159&amp;","&amp;AS159&amp;","&amp;AT159&amp;","&amp;AU159&amp;","&amp;AV159&amp;","&amp;AW159&amp;","&amp;BI159&amp;","&amp;BJ159&amp;")"</f>
        <v>InitUnitMagic('',,,,,,,,,,)</v>
      </c>
      <c r="CQ159" s="7" t="str">
        <f t="shared" ref="CQ159:CQ175" si="2630">"InitUnitAdd('"&amp;B159&amp;"',"&amp;BK159&amp;","&amp;BL159&amp;","&amp;BM159&amp;","&amp;BN159&amp;","&amp;BO159&amp;","&amp;BP159&amp;","&amp;BQ159&amp;","&amp;BR159&amp;","&amp;BS159&amp;","&amp;BT159&amp;")"</f>
        <v>InitUnitAdd('',,,,,,,,,,)</v>
      </c>
      <c r="CR159" s="7" t="str">
        <f t="shared" ref="CR159:CR175" si="2631"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InitEquipData('',,"",,,,,'','','','','','',"")</v>
      </c>
      <c r="CU159" s="45" t="str">
        <f t="shared" ref="CU159:CU181" si="263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W159" s="24"/>
      <c r="CX159" s="24"/>
      <c r="CY159" s="24"/>
      <c r="CZ159" s="24"/>
      <c r="DA159" s="24"/>
      <c r="DB159" s="30" t="str">
        <f t="shared" ref="DB159:DB181" si="2633">IF(V159="","","|n"&amp;DB$2&amp;"+"&amp;V159&amp;DB$1)</f>
        <v/>
      </c>
      <c r="DC159" s="30" t="str">
        <f t="shared" ref="DC159:DC181" si="2634">IF(W159="","","|n"&amp;DC$2&amp;"+"&amp;W159&amp;DC$1)</f>
        <v/>
      </c>
      <c r="DD159" s="30" t="str">
        <f t="shared" ref="DD159:DD181" si="2635">IF(X159="","","|n"&amp;DD$2&amp;"+"&amp;X159&amp;DD$1)</f>
        <v/>
      </c>
      <c r="DE159" s="30" t="str">
        <f t="shared" ref="DE159:DE181" si="2636">IF(Y159="","","|n"&amp;DE$2&amp;"+"&amp;Y159&amp;DE$1)</f>
        <v/>
      </c>
      <c r="DF159" s="30" t="str">
        <f t="shared" ref="DF159:DF181" si="2637">IF(Z159="","","|n"&amp;DF$2&amp;"+"&amp;Z159&amp;DF$1)</f>
        <v/>
      </c>
      <c r="DG159" s="30" t="str">
        <f t="shared" ref="DG159:DG181" si="2638">IF(AA159="","","|n"&amp;DG$2&amp;"+"&amp;AA159&amp;DG$1)</f>
        <v/>
      </c>
      <c r="DH159" s="30" t="str">
        <f t="shared" ref="DH159:DH181" si="2639">IF(AB159="","","|n"&amp;DH$2&amp;"+"&amp;AB159&amp;DH$1)</f>
        <v/>
      </c>
      <c r="DI159" s="30" t="str">
        <f t="shared" ref="DI159:DI181" si="2640">IF(AC159="","","|n"&amp;DI$2&amp;"+"&amp;AC159&amp;DI$1)</f>
        <v/>
      </c>
      <c r="DJ159" s="30" t="str">
        <f t="shared" ref="DJ159:DJ181" si="2641">IF(AD159="","","|n"&amp;DJ$2&amp;"+"&amp;AD159&amp;DJ$1)</f>
        <v/>
      </c>
      <c r="DK159" s="30" t="str">
        <f t="shared" ref="DK159:DK181" si="2642">IF(AE159="","","|n"&amp;DK$2&amp;"+"&amp;AE159&amp;DK$1)</f>
        <v/>
      </c>
      <c r="DL159" s="30" t="str">
        <f t="shared" ref="DL159:DL181" si="2643">IF(AF159="","","|n"&amp;DL$2&amp;"+"&amp;AF159&amp;DL$1)</f>
        <v/>
      </c>
      <c r="DM159" s="30" t="str">
        <f t="shared" ref="DM159:DM181" si="2644">IF(AG159="","","|n"&amp;DM$2&amp;"+"&amp;AG159&amp;DM$1)</f>
        <v/>
      </c>
      <c r="DN159" s="30" t="str">
        <f t="shared" ref="DN159:DN181" si="2645">IF(AH159="","","|n"&amp;DN$2&amp;"+"&amp;AH159&amp;DN$1)</f>
        <v/>
      </c>
      <c r="DO159" s="30" t="str">
        <f t="shared" ref="DO159:DO181" si="2646">IF(AI159="","","|n"&amp;DO$2&amp;"+"&amp;AI159&amp;DO$1)</f>
        <v/>
      </c>
      <c r="DP159" s="30" t="str">
        <f t="shared" ref="DP159:DP181" si="2647">IF(AJ159="","","|n"&amp;DP$2&amp;"+"&amp;AJ159&amp;DP$1)</f>
        <v/>
      </c>
      <c r="DQ159" s="30" t="str">
        <f t="shared" ref="DQ159:DQ181" si="2648">IF(AK159="","","|n"&amp;DQ$2&amp;"+"&amp;AK159&amp;DQ$1)</f>
        <v/>
      </c>
      <c r="DR159" s="30" t="str">
        <f t="shared" ref="DR159:DR181" si="2649">IF(AL159="","","|n"&amp;DR$2&amp;"+"&amp;AL159&amp;DR$1)</f>
        <v/>
      </c>
      <c r="DS159" s="30" t="str">
        <f t="shared" ref="DS159:DS181" si="2650">IF(AM159="","","|n"&amp;DS$2&amp;"+"&amp;AM159&amp;DS$1)</f>
        <v/>
      </c>
      <c r="DT159" s="30" t="str">
        <f t="shared" ref="DT159:DT181" si="2651">IF(AN159="","","|n"&amp;DT$2&amp;"+"&amp;AN159&amp;DT$1)</f>
        <v/>
      </c>
      <c r="DU159" s="30" t="str">
        <f t="shared" ref="DU159:DU181" si="2652">IF(AO159="","","|n"&amp;DU$2&amp;"+"&amp;AO159&amp;DU$1)</f>
        <v/>
      </c>
      <c r="DV159" s="30" t="str">
        <f t="shared" ref="DV159:DV181" si="2653">IF(AP159="","","|n"&amp;DV$2&amp;"+"&amp;AP159&amp;DV$1)</f>
        <v/>
      </c>
      <c r="DW159" s="30" t="str">
        <f t="shared" ref="DW159:DW181" si="2654">IF(AQ159="","","|n"&amp;DW$2&amp;"+"&amp;AQ159&amp;DW$1)</f>
        <v/>
      </c>
      <c r="DX159" s="30" t="str">
        <f t="shared" ref="DX159:DX181" si="2655">IF(AR159="","","|n"&amp;DX$2&amp;"+"&amp;AR159&amp;DX$1)</f>
        <v/>
      </c>
      <c r="DY159" s="30" t="str">
        <f t="shared" ref="DY159:DY181" si="2656">IF(AS159="","","|n"&amp;DY$2&amp;"+"&amp;AS159&amp;DY$1)</f>
        <v/>
      </c>
      <c r="DZ159" s="30" t="str">
        <f t="shared" ref="DZ159:DZ181" si="2657">IF(AT159="","","|n"&amp;DZ$2&amp;"+"&amp;AT159&amp;DZ$1)</f>
        <v/>
      </c>
      <c r="EA159" s="30" t="str">
        <f t="shared" ref="EA159:EA181" si="2658">IF(AU159="","","|n"&amp;EA$2&amp;"+"&amp;AU159&amp;EA$1)</f>
        <v/>
      </c>
      <c r="EB159" s="30" t="str">
        <f t="shared" ref="EB159:EB181" si="2659">IF(AV159="","","|n"&amp;EB$2&amp;"+"&amp;AV159&amp;EB$1)</f>
        <v/>
      </c>
      <c r="EC159" s="30" t="str">
        <f t="shared" ref="EC159:EC181" si="2660">IF(AW159="","","|n"&amp;EC$2&amp;"+"&amp;AW159&amp;EC$1)</f>
        <v/>
      </c>
      <c r="ED159" s="30" t="str">
        <f t="shared" ref="ED159:ED181" si="2661">IF(AX159="","","|n"&amp;ED$2&amp;"+"&amp;AX159&amp;ED$1)</f>
        <v/>
      </c>
      <c r="EE159" s="30" t="str">
        <f t="shared" ref="EE159:EE181" si="2662">IF(AY159="","","|n"&amp;EE$2&amp;"+"&amp;AY159&amp;EE$1)</f>
        <v/>
      </c>
      <c r="EF159" s="30" t="str">
        <f t="shared" ref="EF159:EF181" si="2663">IF(AZ159="","","|n"&amp;EF$2&amp;"+"&amp;AZ159&amp;EF$1)</f>
        <v/>
      </c>
      <c r="EG159" s="30" t="str">
        <f t="shared" ref="EG159:EG181" si="2664">IF(BA159="","","|n"&amp;EG$2&amp;"+"&amp;BA159&amp;EG$1)</f>
        <v/>
      </c>
      <c r="EH159" s="30" t="str">
        <f t="shared" ref="EH159:EH181" si="2665">IF(BB159="","","|n"&amp;EH$2&amp;"+"&amp;BB159&amp;EH$1)</f>
        <v/>
      </c>
      <c r="EI159" s="30" t="str">
        <f t="shared" ref="EI159:EI181" si="2666">IF(BC159="","","|n"&amp;EI$2&amp;"+"&amp;BC159&amp;EI$1)</f>
        <v/>
      </c>
      <c r="EJ159" s="30" t="str">
        <f t="shared" ref="EJ159:EJ181" si="2667">IF(BD159="","","|n"&amp;EJ$2&amp;"+"&amp;BD159&amp;EJ$1)</f>
        <v/>
      </c>
      <c r="EK159" s="30" t="str">
        <f t="shared" ref="EK159:EK181" si="2668">IF(BE159="","","|n"&amp;EK$2&amp;"+"&amp;BE159&amp;EK$1)</f>
        <v/>
      </c>
      <c r="EL159" s="30" t="str">
        <f t="shared" ref="EL159:EL181" si="2669">IF(BF159="","","|n"&amp;EL$2&amp;"+"&amp;BF159&amp;EL$1)</f>
        <v/>
      </c>
      <c r="EM159" s="30" t="str">
        <f t="shared" ref="EM159:EM181" si="2670">IF(BG159="","","|n"&amp;EM$2&amp;"+"&amp;BG159&amp;EM$1)</f>
        <v/>
      </c>
      <c r="EN159" s="30" t="str">
        <f t="shared" ref="EN159:EN181" si="2671">IF(BH159="","","|n"&amp;EN$2&amp;"+"&amp;BH159&amp;EN$1)</f>
        <v/>
      </c>
      <c r="EO159" s="30" t="str">
        <f t="shared" ref="EO159:EO181" si="2672">IF(BI159="","","|n"&amp;EO$2&amp;"+"&amp;BI159&amp;EO$1)</f>
        <v/>
      </c>
      <c r="EP159" s="30" t="str">
        <f t="shared" ref="EP159:EP181" si="2673">IF(BJ159="","","|n"&amp;EP$2&amp;"+"&amp;BJ159&amp;EP$1)</f>
        <v/>
      </c>
      <c r="EQ159" s="30" t="str">
        <f t="shared" ref="EQ159:EQ181" si="2674">IF(BK159="","","|n"&amp;EQ$2&amp;"+"&amp;BK159&amp;EQ$1)</f>
        <v/>
      </c>
      <c r="ER159" s="30" t="str">
        <f t="shared" ref="ER159:ER181" si="2675">IF(BL159="","","|n"&amp;ER$2&amp;"+"&amp;BL159&amp;ER$1)</f>
        <v/>
      </c>
      <c r="ES159" s="30" t="str">
        <f t="shared" ref="ES159:ES181" si="2676">IF(BM159="","","|n"&amp;ES$2&amp;"+"&amp;BM159&amp;ES$1)</f>
        <v/>
      </c>
      <c r="ET159" s="30" t="str">
        <f t="shared" ref="ET159:ET181" si="2677">IF(BN159="","","|n"&amp;ET$2&amp;"+"&amp;BN159&amp;ET$1)</f>
        <v/>
      </c>
      <c r="EU159" s="30" t="str">
        <f t="shared" ref="EU159:EU181" si="2678">IF(BO159="","","|n"&amp;EU$2&amp;"+"&amp;BO159&amp;EU$1)</f>
        <v/>
      </c>
      <c r="EV159" s="30" t="str">
        <f t="shared" ref="EV159:EV181" si="2679">IF(BP159="","","|n"&amp;EV$2&amp;"+"&amp;BP159&amp;EV$1)</f>
        <v/>
      </c>
      <c r="EW159" s="30" t="str">
        <f t="shared" ref="EW159:EW181" si="2680">IF(BQ159="","","|n"&amp;EW$2&amp;"+"&amp;BQ159&amp;EW$1)</f>
        <v/>
      </c>
      <c r="EX159" s="30" t="str">
        <f t="shared" ref="EX159:EX181" si="2681">IF(BR159="","","|n"&amp;EX$2&amp;"+"&amp;BR159&amp;EX$1)</f>
        <v/>
      </c>
      <c r="EY159" s="30" t="str">
        <f t="shared" ref="EY159:EY181" si="2682">IF(BS159="","","|n"&amp;EY$2&amp;"+"&amp;BS159&amp;EY$1)</f>
        <v/>
      </c>
      <c r="EZ159" s="30" t="str">
        <f t="shared" ref="EZ159:EZ181" si="2683">IF(BT159="","","|n"&amp;EZ$2&amp;"+"&amp;BT159&amp;EZ$1)</f>
        <v/>
      </c>
      <c r="FA159" s="30" t="str">
        <f t="shared" ref="FA159:FA181" si="2684">IF(BU159="","","|n"&amp;FA$2&amp;"+"&amp;BU159&amp;FA$1)</f>
        <v/>
      </c>
      <c r="FB159" s="30" t="str">
        <f t="shared" ref="FB159:FB181" si="2685">IF(BV159="","","|n"&amp;FB$2&amp;"+"&amp;BV159&amp;FB$1)</f>
        <v/>
      </c>
      <c r="FC159" s="30" t="str">
        <f t="shared" ref="FC159:FC181" si="2686">IF(BW159="","","|n"&amp;FC$2&amp;"+"&amp;BW159&amp;FC$1)</f>
        <v/>
      </c>
      <c r="FD159" s="30" t="str">
        <f t="shared" ref="FD159:FD181" si="2687">IF(BX159="","","|n"&amp;FD$2&amp;"+"&amp;BX159&amp;FD$1)</f>
        <v/>
      </c>
      <c r="FE159" s="30" t="str">
        <f t="shared" ref="FE159:FE181" si="2688">IF(BY159="","","|n"&amp;FE$2&amp;"+"&amp;BY159&amp;FE$1)</f>
        <v/>
      </c>
      <c r="FF159" s="30" t="str">
        <f t="shared" ref="FF159:FF181" si="2689">IF(BZ159="","","|n"&amp;FF$2&amp;"+"&amp;BZ159&amp;FF$1)</f>
        <v/>
      </c>
      <c r="FG159" s="30" t="str">
        <f t="shared" ref="FG159:FG181" si="2690">IF(CA159="","","|n"&amp;FG$2&amp;"+"&amp;CA159&amp;FG$1)</f>
        <v/>
      </c>
      <c r="FH159" s="30" t="str">
        <f t="shared" ref="FH159:FH181" si="2691">IF(CB159="","","|n"&amp;FH$2&amp;"+"&amp;CB159&amp;FH$1)</f>
        <v/>
      </c>
      <c r="FI159" s="30" t="str">
        <f t="shared" ref="FI159:FI181" si="2692">IF(CC159="","","|n"&amp;FI$2&amp;"+"&amp;CC159&amp;FI$1)</f>
        <v/>
      </c>
      <c r="FJ159" s="30" t="str">
        <f t="shared" ref="FJ159:FJ181" si="2693">IF(CD159="","","|n"&amp;FJ$2&amp;"+"&amp;CD159&amp;FJ$1)</f>
        <v/>
      </c>
      <c r="FK159" s="30" t="str">
        <f t="shared" ref="FK159:FK181" si="2694">IF(CE159="","","|n"&amp;FK$2&amp;"+"&amp;CE159&amp;FK$1)</f>
        <v/>
      </c>
      <c r="FL159" s="30" t="str">
        <f t="shared" ref="FL159:FL181" si="2695">IF(CF159="","","|n"&amp;FL$2&amp;"+"&amp;CF159&amp;FL$1)</f>
        <v/>
      </c>
      <c r="FM159" s="30" t="str">
        <f t="shared" ref="FM159:FM181" si="2696">IF(CG159="","","|n"&amp;FM$2&amp;"+"&amp;CG159&amp;FM$1)</f>
        <v/>
      </c>
      <c r="FN159" s="30" t="str">
        <f t="shared" ref="FN159:FN181" si="2697">IF(CH159="","","|n"&amp;FN$2&amp;"+"&amp;CH159&amp;FN$1)</f>
        <v/>
      </c>
      <c r="FO159" s="30" t="str">
        <f t="shared" ref="FO159:FO181" si="2698">IF(CI159="","","|n"&amp;FO$2&amp;"+"&amp;CI159&amp;FO$1)</f>
        <v/>
      </c>
      <c r="FP159" s="30" t="str">
        <f t="shared" ref="FP159:FP181" si="2699">IF(CJ159="","","|n"&amp;FP$2&amp;"+"&amp;CJ159&amp;FP$1)</f>
        <v/>
      </c>
      <c r="FQ159" s="30" t="str">
        <f t="shared" ref="FQ159:FQ181" si="2700">IF(CK159="","","|n"&amp;FQ$2&amp;"+"&amp;CK159&amp;FQ$1)</f>
        <v/>
      </c>
      <c r="FR159" s="30" t="str">
        <f t="shared" ref="FR159:FR181" si="2701">IF(CL159="","","|n"&amp;FR$2&amp;"+"&amp;CL159&amp;FR$1)</f>
        <v/>
      </c>
      <c r="FS159" s="30" t="str">
        <f t="shared" ref="FS159:FS181" si="2702">IF(CM159="","","|n"&amp;FS$2&amp;"+"&amp;CM159&amp;FS$1)</f>
        <v/>
      </c>
    </row>
    <row r="160" spans="1:175" ht="16.5">
      <c r="A160" s="88"/>
      <c r="B160" s="66"/>
      <c r="C160" s="87"/>
      <c r="T160" s="107"/>
      <c r="U160" s="32"/>
      <c r="CN160" s="7" t="str">
        <f t="shared" si="2627"/>
        <v>InitUnitState('',,,,,,,,,,)</v>
      </c>
      <c r="CO160" s="7" t="str">
        <f t="shared" si="2628"/>
        <v>InitUnitNormal('',,,,,,,,,,)</v>
      </c>
      <c r="CP160" s="7" t="str">
        <f t="shared" si="2629"/>
        <v>InitUnitMagic('',,,,,,,,,,)</v>
      </c>
      <c r="CQ160" s="7" t="str">
        <f t="shared" si="2630"/>
        <v>InitUnitAdd('',,,,,,,,,,)</v>
      </c>
      <c r="CR160" s="7" t="str">
        <f t="shared" si="2631"/>
        <v>InitEquipData('',,"",,,,,'','','','','','',"")</v>
      </c>
      <c r="CU160" s="45" t="str">
        <f t="shared" si="2632"/>
        <v>|n</v>
      </c>
      <c r="CW160" s="24"/>
      <c r="CX160" s="24"/>
      <c r="CY160" s="24"/>
      <c r="CZ160" s="24"/>
      <c r="DA160" s="24"/>
      <c r="DB160" s="30" t="str">
        <f t="shared" si="2633"/>
        <v/>
      </c>
      <c r="DC160" s="30" t="str">
        <f t="shared" si="2634"/>
        <v/>
      </c>
      <c r="DD160" s="30" t="str">
        <f t="shared" si="2635"/>
        <v/>
      </c>
      <c r="DE160" s="30" t="str">
        <f t="shared" si="2636"/>
        <v/>
      </c>
      <c r="DF160" s="30" t="str">
        <f t="shared" si="2637"/>
        <v/>
      </c>
      <c r="DG160" s="30" t="str">
        <f t="shared" si="2638"/>
        <v/>
      </c>
      <c r="DH160" s="30" t="str">
        <f t="shared" si="2639"/>
        <v/>
      </c>
      <c r="DI160" s="30" t="str">
        <f t="shared" si="2640"/>
        <v/>
      </c>
      <c r="DJ160" s="30" t="str">
        <f t="shared" si="2641"/>
        <v/>
      </c>
      <c r="DK160" s="30" t="str">
        <f t="shared" si="2642"/>
        <v/>
      </c>
      <c r="DL160" s="30" t="str">
        <f t="shared" si="2643"/>
        <v/>
      </c>
      <c r="DM160" s="30" t="str">
        <f t="shared" si="2644"/>
        <v/>
      </c>
      <c r="DN160" s="30" t="str">
        <f t="shared" si="2645"/>
        <v/>
      </c>
      <c r="DO160" s="30" t="str">
        <f t="shared" si="2646"/>
        <v/>
      </c>
      <c r="DP160" s="30" t="str">
        <f t="shared" si="2647"/>
        <v/>
      </c>
      <c r="DQ160" s="30" t="str">
        <f t="shared" si="2648"/>
        <v/>
      </c>
      <c r="DR160" s="30" t="str">
        <f t="shared" si="2649"/>
        <v/>
      </c>
      <c r="DS160" s="30" t="str">
        <f t="shared" si="2650"/>
        <v/>
      </c>
      <c r="DT160" s="30" t="str">
        <f t="shared" si="2651"/>
        <v/>
      </c>
      <c r="DU160" s="30" t="str">
        <f t="shared" si="2652"/>
        <v/>
      </c>
      <c r="DV160" s="30" t="str">
        <f t="shared" si="2653"/>
        <v/>
      </c>
      <c r="DW160" s="30" t="str">
        <f t="shared" si="2654"/>
        <v/>
      </c>
      <c r="DX160" s="30" t="str">
        <f t="shared" si="2655"/>
        <v/>
      </c>
      <c r="DY160" s="30" t="str">
        <f t="shared" si="2656"/>
        <v/>
      </c>
      <c r="DZ160" s="30" t="str">
        <f t="shared" si="2657"/>
        <v/>
      </c>
      <c r="EA160" s="30" t="str">
        <f t="shared" si="2658"/>
        <v/>
      </c>
      <c r="EB160" s="30" t="str">
        <f t="shared" si="2659"/>
        <v/>
      </c>
      <c r="EC160" s="30" t="str">
        <f t="shared" si="2660"/>
        <v/>
      </c>
      <c r="ED160" s="30" t="str">
        <f t="shared" si="2661"/>
        <v/>
      </c>
      <c r="EE160" s="30" t="str">
        <f t="shared" si="2662"/>
        <v/>
      </c>
      <c r="EF160" s="30" t="str">
        <f t="shared" si="2663"/>
        <v/>
      </c>
      <c r="EG160" s="30" t="str">
        <f t="shared" si="2664"/>
        <v/>
      </c>
      <c r="EH160" s="30" t="str">
        <f t="shared" si="2665"/>
        <v/>
      </c>
      <c r="EI160" s="30" t="str">
        <f t="shared" si="2666"/>
        <v/>
      </c>
      <c r="EJ160" s="30" t="str">
        <f t="shared" si="2667"/>
        <v/>
      </c>
      <c r="EK160" s="30" t="str">
        <f t="shared" si="2668"/>
        <v/>
      </c>
      <c r="EL160" s="30" t="str">
        <f t="shared" si="2669"/>
        <v/>
      </c>
      <c r="EM160" s="30" t="str">
        <f t="shared" si="2670"/>
        <v/>
      </c>
      <c r="EN160" s="30" t="str">
        <f t="shared" si="2671"/>
        <v/>
      </c>
      <c r="EO160" s="30" t="str">
        <f t="shared" si="2672"/>
        <v/>
      </c>
      <c r="EP160" s="30" t="str">
        <f t="shared" si="2673"/>
        <v/>
      </c>
      <c r="EQ160" s="30" t="str">
        <f t="shared" si="2674"/>
        <v/>
      </c>
      <c r="ER160" s="30" t="str">
        <f t="shared" si="2675"/>
        <v/>
      </c>
      <c r="ES160" s="30" t="str">
        <f t="shared" si="2676"/>
        <v/>
      </c>
      <c r="ET160" s="30" t="str">
        <f t="shared" si="2677"/>
        <v/>
      </c>
      <c r="EU160" s="30" t="str">
        <f t="shared" si="2678"/>
        <v/>
      </c>
      <c r="EV160" s="30" t="str">
        <f t="shared" si="2679"/>
        <v/>
      </c>
      <c r="EW160" s="30" t="str">
        <f t="shared" si="2680"/>
        <v/>
      </c>
      <c r="EX160" s="30" t="str">
        <f t="shared" si="2681"/>
        <v/>
      </c>
      <c r="EY160" s="30" t="str">
        <f t="shared" si="2682"/>
        <v/>
      </c>
      <c r="EZ160" s="30" t="str">
        <f t="shared" si="2683"/>
        <v/>
      </c>
      <c r="FA160" s="30" t="str">
        <f t="shared" si="2684"/>
        <v/>
      </c>
      <c r="FB160" s="30" t="str">
        <f t="shared" si="2685"/>
        <v/>
      </c>
      <c r="FC160" s="30" t="str">
        <f t="shared" si="2686"/>
        <v/>
      </c>
      <c r="FD160" s="30" t="str">
        <f t="shared" si="2687"/>
        <v/>
      </c>
      <c r="FE160" s="30" t="str">
        <f t="shared" si="2688"/>
        <v/>
      </c>
      <c r="FF160" s="30" t="str">
        <f t="shared" si="2689"/>
        <v/>
      </c>
      <c r="FG160" s="30" t="str">
        <f t="shared" si="2690"/>
        <v/>
      </c>
      <c r="FH160" s="30" t="str">
        <f t="shared" si="2691"/>
        <v/>
      </c>
      <c r="FI160" s="30" t="str">
        <f t="shared" si="2692"/>
        <v/>
      </c>
      <c r="FJ160" s="30" t="str">
        <f t="shared" si="2693"/>
        <v/>
      </c>
      <c r="FK160" s="30" t="str">
        <f t="shared" si="2694"/>
        <v/>
      </c>
      <c r="FL160" s="30" t="str">
        <f t="shared" si="2695"/>
        <v/>
      </c>
      <c r="FM160" s="30" t="str">
        <f t="shared" si="2696"/>
        <v/>
      </c>
      <c r="FN160" s="30" t="str">
        <f t="shared" si="2697"/>
        <v/>
      </c>
      <c r="FO160" s="30" t="str">
        <f t="shared" si="2698"/>
        <v/>
      </c>
      <c r="FP160" s="30" t="str">
        <f t="shared" si="2699"/>
        <v/>
      </c>
      <c r="FQ160" s="30" t="str">
        <f t="shared" si="2700"/>
        <v/>
      </c>
      <c r="FR160" s="30" t="str">
        <f t="shared" si="2701"/>
        <v/>
      </c>
      <c r="FS160" s="30" t="str">
        <f t="shared" si="2702"/>
        <v/>
      </c>
    </row>
    <row r="161" spans="1:175" ht="16.5">
      <c r="A161" s="87"/>
      <c r="B161" s="66"/>
      <c r="C161" s="87"/>
      <c r="T161" s="106"/>
      <c r="U161" s="32"/>
      <c r="CN161" s="7" t="str">
        <f t="shared" si="2627"/>
        <v>InitUnitState('',,,,,,,,,,)</v>
      </c>
      <c r="CO161" s="7" t="str">
        <f t="shared" si="2628"/>
        <v>InitUnitNormal('',,,,,,,,,,)</v>
      </c>
      <c r="CP161" s="7" t="str">
        <f t="shared" si="2629"/>
        <v>InitUnitMagic('',,,,,,,,,,)</v>
      </c>
      <c r="CQ161" s="7" t="str">
        <f t="shared" si="2630"/>
        <v>InitUnitAdd('',,,,,,,,,,)</v>
      </c>
      <c r="CR161" s="7" t="str">
        <f t="shared" si="2631"/>
        <v>InitEquipData('',,"",,,,,'','','','','','',"")</v>
      </c>
      <c r="CU161" s="45" t="str">
        <f t="shared" si="2632"/>
        <v>|n</v>
      </c>
      <c r="CW161" s="24"/>
      <c r="CX161" s="24"/>
      <c r="CY161" s="24"/>
      <c r="CZ161" s="24"/>
      <c r="DA161" s="24"/>
      <c r="DB161" s="30" t="str">
        <f t="shared" si="2633"/>
        <v/>
      </c>
      <c r="DC161" s="30" t="str">
        <f t="shared" si="2634"/>
        <v/>
      </c>
      <c r="DD161" s="30" t="str">
        <f t="shared" si="2635"/>
        <v/>
      </c>
      <c r="DE161" s="30" t="str">
        <f t="shared" si="2636"/>
        <v/>
      </c>
      <c r="DF161" s="30" t="str">
        <f t="shared" si="2637"/>
        <v/>
      </c>
      <c r="DG161" s="30" t="str">
        <f t="shared" si="2638"/>
        <v/>
      </c>
      <c r="DH161" s="30" t="str">
        <f t="shared" si="2639"/>
        <v/>
      </c>
      <c r="DI161" s="30" t="str">
        <f t="shared" si="2640"/>
        <v/>
      </c>
      <c r="DJ161" s="30" t="str">
        <f t="shared" si="2641"/>
        <v/>
      </c>
      <c r="DK161" s="30" t="str">
        <f t="shared" si="2642"/>
        <v/>
      </c>
      <c r="DL161" s="30" t="str">
        <f t="shared" si="2643"/>
        <v/>
      </c>
      <c r="DM161" s="30" t="str">
        <f t="shared" si="2644"/>
        <v/>
      </c>
      <c r="DN161" s="30" t="str">
        <f t="shared" si="2645"/>
        <v/>
      </c>
      <c r="DO161" s="30" t="str">
        <f t="shared" si="2646"/>
        <v/>
      </c>
      <c r="DP161" s="30" t="str">
        <f t="shared" si="2647"/>
        <v/>
      </c>
      <c r="DQ161" s="30" t="str">
        <f t="shared" si="2648"/>
        <v/>
      </c>
      <c r="DR161" s="30" t="str">
        <f t="shared" si="2649"/>
        <v/>
      </c>
      <c r="DS161" s="30" t="str">
        <f t="shared" si="2650"/>
        <v/>
      </c>
      <c r="DT161" s="30" t="str">
        <f t="shared" si="2651"/>
        <v/>
      </c>
      <c r="DU161" s="30" t="str">
        <f t="shared" si="2652"/>
        <v/>
      </c>
      <c r="DV161" s="30" t="str">
        <f t="shared" si="2653"/>
        <v/>
      </c>
      <c r="DW161" s="30" t="str">
        <f t="shared" si="2654"/>
        <v/>
      </c>
      <c r="DX161" s="30" t="str">
        <f t="shared" si="2655"/>
        <v/>
      </c>
      <c r="DY161" s="30" t="str">
        <f t="shared" si="2656"/>
        <v/>
      </c>
      <c r="DZ161" s="30" t="str">
        <f t="shared" si="2657"/>
        <v/>
      </c>
      <c r="EA161" s="30" t="str">
        <f t="shared" si="2658"/>
        <v/>
      </c>
      <c r="EB161" s="30" t="str">
        <f t="shared" si="2659"/>
        <v/>
      </c>
      <c r="EC161" s="30" t="str">
        <f t="shared" si="2660"/>
        <v/>
      </c>
      <c r="ED161" s="30" t="str">
        <f t="shared" si="2661"/>
        <v/>
      </c>
      <c r="EE161" s="30" t="str">
        <f t="shared" si="2662"/>
        <v/>
      </c>
      <c r="EF161" s="30" t="str">
        <f t="shared" si="2663"/>
        <v/>
      </c>
      <c r="EG161" s="30" t="str">
        <f t="shared" si="2664"/>
        <v/>
      </c>
      <c r="EH161" s="30" t="str">
        <f t="shared" si="2665"/>
        <v/>
      </c>
      <c r="EI161" s="30" t="str">
        <f t="shared" si="2666"/>
        <v/>
      </c>
      <c r="EJ161" s="30" t="str">
        <f t="shared" si="2667"/>
        <v/>
      </c>
      <c r="EK161" s="30" t="str">
        <f t="shared" si="2668"/>
        <v/>
      </c>
      <c r="EL161" s="30" t="str">
        <f t="shared" si="2669"/>
        <v/>
      </c>
      <c r="EM161" s="30" t="str">
        <f t="shared" si="2670"/>
        <v/>
      </c>
      <c r="EN161" s="30" t="str">
        <f t="shared" si="2671"/>
        <v/>
      </c>
      <c r="EO161" s="30" t="str">
        <f t="shared" si="2672"/>
        <v/>
      </c>
      <c r="EP161" s="30" t="str">
        <f t="shared" si="2673"/>
        <v/>
      </c>
      <c r="EQ161" s="30" t="str">
        <f t="shared" si="2674"/>
        <v/>
      </c>
      <c r="ER161" s="30" t="str">
        <f t="shared" si="2675"/>
        <v/>
      </c>
      <c r="ES161" s="30" t="str">
        <f t="shared" si="2676"/>
        <v/>
      </c>
      <c r="ET161" s="30" t="str">
        <f t="shared" si="2677"/>
        <v/>
      </c>
      <c r="EU161" s="30" t="str">
        <f t="shared" si="2678"/>
        <v/>
      </c>
      <c r="EV161" s="30" t="str">
        <f t="shared" si="2679"/>
        <v/>
      </c>
      <c r="EW161" s="30" t="str">
        <f t="shared" si="2680"/>
        <v/>
      </c>
      <c r="EX161" s="30" t="str">
        <f t="shared" si="2681"/>
        <v/>
      </c>
      <c r="EY161" s="30" t="str">
        <f t="shared" si="2682"/>
        <v/>
      </c>
      <c r="EZ161" s="30" t="str">
        <f t="shared" si="2683"/>
        <v/>
      </c>
      <c r="FA161" s="30" t="str">
        <f t="shared" si="2684"/>
        <v/>
      </c>
      <c r="FB161" s="30" t="str">
        <f t="shared" si="2685"/>
        <v/>
      </c>
      <c r="FC161" s="30" t="str">
        <f t="shared" si="2686"/>
        <v/>
      </c>
      <c r="FD161" s="30" t="str">
        <f t="shared" si="2687"/>
        <v/>
      </c>
      <c r="FE161" s="30" t="str">
        <f t="shared" si="2688"/>
        <v/>
      </c>
      <c r="FF161" s="30" t="str">
        <f t="shared" si="2689"/>
        <v/>
      </c>
      <c r="FG161" s="30" t="str">
        <f t="shared" si="2690"/>
        <v/>
      </c>
      <c r="FH161" s="30" t="str">
        <f t="shared" si="2691"/>
        <v/>
      </c>
      <c r="FI161" s="30" t="str">
        <f t="shared" si="2692"/>
        <v/>
      </c>
      <c r="FJ161" s="30" t="str">
        <f t="shared" si="2693"/>
        <v/>
      </c>
      <c r="FK161" s="30" t="str">
        <f t="shared" si="2694"/>
        <v/>
      </c>
      <c r="FL161" s="30" t="str">
        <f t="shared" si="2695"/>
        <v/>
      </c>
      <c r="FM161" s="30" t="str">
        <f t="shared" si="2696"/>
        <v/>
      </c>
      <c r="FN161" s="30" t="str">
        <f t="shared" si="2697"/>
        <v/>
      </c>
      <c r="FO161" s="30" t="str">
        <f t="shared" si="2698"/>
        <v/>
      </c>
      <c r="FP161" s="30" t="str">
        <f t="shared" si="2699"/>
        <v/>
      </c>
      <c r="FQ161" s="30" t="str">
        <f t="shared" si="2700"/>
        <v/>
      </c>
      <c r="FR161" s="30" t="str">
        <f t="shared" si="2701"/>
        <v/>
      </c>
      <c r="FS161" s="30" t="str">
        <f t="shared" si="2702"/>
        <v/>
      </c>
    </row>
    <row r="162" spans="1:175" ht="16.5">
      <c r="A162" s="87"/>
      <c r="B162" s="66"/>
      <c r="C162" s="87"/>
      <c r="T162" s="106"/>
      <c r="U162" s="32"/>
      <c r="CN162" s="7" t="str">
        <f t="shared" si="2627"/>
        <v>InitUnitState('',,,,,,,,,,)</v>
      </c>
      <c r="CO162" s="7" t="str">
        <f t="shared" si="2628"/>
        <v>InitUnitNormal('',,,,,,,,,,)</v>
      </c>
      <c r="CP162" s="7" t="str">
        <f t="shared" si="2629"/>
        <v>InitUnitMagic('',,,,,,,,,,)</v>
      </c>
      <c r="CQ162" s="7" t="str">
        <f t="shared" si="2630"/>
        <v>InitUnitAdd('',,,,,,,,,,)</v>
      </c>
      <c r="CR162" s="7" t="str">
        <f t="shared" si="2631"/>
        <v>InitEquipData('',,"",,,,,'','','','','','',"")</v>
      </c>
      <c r="CU162" s="45" t="str">
        <f t="shared" si="2632"/>
        <v>|n</v>
      </c>
      <c r="CW162" s="24"/>
      <c r="CX162" s="24"/>
      <c r="CY162" s="24"/>
      <c r="CZ162" s="24"/>
      <c r="DA162" s="24"/>
      <c r="DB162" s="30" t="str">
        <f t="shared" si="2633"/>
        <v/>
      </c>
      <c r="DC162" s="30" t="str">
        <f t="shared" si="2634"/>
        <v/>
      </c>
      <c r="DD162" s="30" t="str">
        <f t="shared" si="2635"/>
        <v/>
      </c>
      <c r="DE162" s="30" t="str">
        <f t="shared" si="2636"/>
        <v/>
      </c>
      <c r="DF162" s="30" t="str">
        <f t="shared" si="2637"/>
        <v/>
      </c>
      <c r="DG162" s="30" t="str">
        <f t="shared" si="2638"/>
        <v/>
      </c>
      <c r="DH162" s="30" t="str">
        <f t="shared" si="2639"/>
        <v/>
      </c>
      <c r="DI162" s="30" t="str">
        <f t="shared" si="2640"/>
        <v/>
      </c>
      <c r="DJ162" s="30" t="str">
        <f t="shared" si="2641"/>
        <v/>
      </c>
      <c r="DK162" s="30" t="str">
        <f t="shared" si="2642"/>
        <v/>
      </c>
      <c r="DL162" s="30" t="str">
        <f t="shared" si="2643"/>
        <v/>
      </c>
      <c r="DM162" s="30" t="str">
        <f t="shared" si="2644"/>
        <v/>
      </c>
      <c r="DN162" s="30" t="str">
        <f t="shared" si="2645"/>
        <v/>
      </c>
      <c r="DO162" s="30" t="str">
        <f t="shared" si="2646"/>
        <v/>
      </c>
      <c r="DP162" s="30" t="str">
        <f t="shared" si="2647"/>
        <v/>
      </c>
      <c r="DQ162" s="30" t="str">
        <f t="shared" si="2648"/>
        <v/>
      </c>
      <c r="DR162" s="30" t="str">
        <f t="shared" si="2649"/>
        <v/>
      </c>
      <c r="DS162" s="30" t="str">
        <f t="shared" si="2650"/>
        <v/>
      </c>
      <c r="DT162" s="30" t="str">
        <f t="shared" si="2651"/>
        <v/>
      </c>
      <c r="DU162" s="30" t="str">
        <f t="shared" si="2652"/>
        <v/>
      </c>
      <c r="DV162" s="30" t="str">
        <f t="shared" si="2653"/>
        <v/>
      </c>
      <c r="DW162" s="30" t="str">
        <f t="shared" si="2654"/>
        <v/>
      </c>
      <c r="DX162" s="30" t="str">
        <f t="shared" si="2655"/>
        <v/>
      </c>
      <c r="DY162" s="30" t="str">
        <f t="shared" si="2656"/>
        <v/>
      </c>
      <c r="DZ162" s="30" t="str">
        <f t="shared" si="2657"/>
        <v/>
      </c>
      <c r="EA162" s="30" t="str">
        <f t="shared" si="2658"/>
        <v/>
      </c>
      <c r="EB162" s="30" t="str">
        <f t="shared" si="2659"/>
        <v/>
      </c>
      <c r="EC162" s="30" t="str">
        <f t="shared" si="2660"/>
        <v/>
      </c>
      <c r="ED162" s="30" t="str">
        <f t="shared" si="2661"/>
        <v/>
      </c>
      <c r="EE162" s="30" t="str">
        <f t="shared" si="2662"/>
        <v/>
      </c>
      <c r="EF162" s="30" t="str">
        <f t="shared" si="2663"/>
        <v/>
      </c>
      <c r="EG162" s="30" t="str">
        <f t="shared" si="2664"/>
        <v/>
      </c>
      <c r="EH162" s="30" t="str">
        <f t="shared" si="2665"/>
        <v/>
      </c>
      <c r="EI162" s="30" t="str">
        <f t="shared" si="2666"/>
        <v/>
      </c>
      <c r="EJ162" s="30" t="str">
        <f t="shared" si="2667"/>
        <v/>
      </c>
      <c r="EK162" s="30" t="str">
        <f t="shared" si="2668"/>
        <v/>
      </c>
      <c r="EL162" s="30" t="str">
        <f t="shared" si="2669"/>
        <v/>
      </c>
      <c r="EM162" s="30" t="str">
        <f t="shared" si="2670"/>
        <v/>
      </c>
      <c r="EN162" s="30" t="str">
        <f t="shared" si="2671"/>
        <v/>
      </c>
      <c r="EO162" s="30" t="str">
        <f t="shared" si="2672"/>
        <v/>
      </c>
      <c r="EP162" s="30" t="str">
        <f t="shared" si="2673"/>
        <v/>
      </c>
      <c r="EQ162" s="30" t="str">
        <f t="shared" si="2674"/>
        <v/>
      </c>
      <c r="ER162" s="30" t="str">
        <f t="shared" si="2675"/>
        <v/>
      </c>
      <c r="ES162" s="30" t="str">
        <f t="shared" si="2676"/>
        <v/>
      </c>
      <c r="ET162" s="30" t="str">
        <f t="shared" si="2677"/>
        <v/>
      </c>
      <c r="EU162" s="30" t="str">
        <f t="shared" si="2678"/>
        <v/>
      </c>
      <c r="EV162" s="30" t="str">
        <f t="shared" si="2679"/>
        <v/>
      </c>
      <c r="EW162" s="30" t="str">
        <f t="shared" si="2680"/>
        <v/>
      </c>
      <c r="EX162" s="30" t="str">
        <f t="shared" si="2681"/>
        <v/>
      </c>
      <c r="EY162" s="30" t="str">
        <f t="shared" si="2682"/>
        <v/>
      </c>
      <c r="EZ162" s="30" t="str">
        <f t="shared" si="2683"/>
        <v/>
      </c>
      <c r="FA162" s="30" t="str">
        <f t="shared" si="2684"/>
        <v/>
      </c>
      <c r="FB162" s="30" t="str">
        <f t="shared" si="2685"/>
        <v/>
      </c>
      <c r="FC162" s="30" t="str">
        <f t="shared" si="2686"/>
        <v/>
      </c>
      <c r="FD162" s="30" t="str">
        <f t="shared" si="2687"/>
        <v/>
      </c>
      <c r="FE162" s="30" t="str">
        <f t="shared" si="2688"/>
        <v/>
      </c>
      <c r="FF162" s="30" t="str">
        <f t="shared" si="2689"/>
        <v/>
      </c>
      <c r="FG162" s="30" t="str">
        <f t="shared" si="2690"/>
        <v/>
      </c>
      <c r="FH162" s="30" t="str">
        <f t="shared" si="2691"/>
        <v/>
      </c>
      <c r="FI162" s="30" t="str">
        <f t="shared" si="2692"/>
        <v/>
      </c>
      <c r="FJ162" s="30" t="str">
        <f t="shared" si="2693"/>
        <v/>
      </c>
      <c r="FK162" s="30" t="str">
        <f t="shared" si="2694"/>
        <v/>
      </c>
      <c r="FL162" s="30" t="str">
        <f t="shared" si="2695"/>
        <v/>
      </c>
      <c r="FM162" s="30" t="str">
        <f t="shared" si="2696"/>
        <v/>
      </c>
      <c r="FN162" s="30" t="str">
        <f t="shared" si="2697"/>
        <v/>
      </c>
      <c r="FO162" s="30" t="str">
        <f t="shared" si="2698"/>
        <v/>
      </c>
      <c r="FP162" s="30" t="str">
        <f t="shared" si="2699"/>
        <v/>
      </c>
      <c r="FQ162" s="30" t="str">
        <f t="shared" si="2700"/>
        <v/>
      </c>
      <c r="FR162" s="30" t="str">
        <f t="shared" si="2701"/>
        <v/>
      </c>
      <c r="FS162" s="30" t="str">
        <f t="shared" si="2702"/>
        <v/>
      </c>
    </row>
    <row r="163" spans="1:175" ht="16.5">
      <c r="A163" s="87"/>
      <c r="B163" s="66"/>
      <c r="C163" s="87"/>
      <c r="T163" s="106"/>
      <c r="U163" s="32"/>
      <c r="CN163" s="7" t="str">
        <f t="shared" si="2627"/>
        <v>InitUnitState('',,,,,,,,,,)</v>
      </c>
      <c r="CO163" s="7" t="str">
        <f t="shared" si="2628"/>
        <v>InitUnitNormal('',,,,,,,,,,)</v>
      </c>
      <c r="CP163" s="7" t="str">
        <f t="shared" si="2629"/>
        <v>InitUnitMagic('',,,,,,,,,,)</v>
      </c>
      <c r="CQ163" s="7" t="str">
        <f t="shared" si="2630"/>
        <v>InitUnitAdd('',,,,,,,,,,)</v>
      </c>
      <c r="CR163" s="7" t="str">
        <f t="shared" si="2631"/>
        <v>InitEquipData('',,"",,,,,'','','','','','',"")</v>
      </c>
      <c r="CU163" s="45" t="str">
        <f t="shared" si="2632"/>
        <v>|n</v>
      </c>
      <c r="CW163" s="24"/>
      <c r="CX163" s="24"/>
      <c r="CY163" s="24"/>
      <c r="CZ163" s="24"/>
      <c r="DA163" s="24"/>
      <c r="DB163" s="30" t="str">
        <f t="shared" si="2633"/>
        <v/>
      </c>
      <c r="DC163" s="30" t="str">
        <f t="shared" si="2634"/>
        <v/>
      </c>
      <c r="DD163" s="30" t="str">
        <f t="shared" si="2635"/>
        <v/>
      </c>
      <c r="DE163" s="30" t="str">
        <f t="shared" si="2636"/>
        <v/>
      </c>
      <c r="DF163" s="30" t="str">
        <f t="shared" si="2637"/>
        <v/>
      </c>
      <c r="DG163" s="30" t="str">
        <f t="shared" si="2638"/>
        <v/>
      </c>
      <c r="DH163" s="30" t="str">
        <f t="shared" si="2639"/>
        <v/>
      </c>
      <c r="DI163" s="30" t="str">
        <f t="shared" si="2640"/>
        <v/>
      </c>
      <c r="DJ163" s="30" t="str">
        <f t="shared" si="2641"/>
        <v/>
      </c>
      <c r="DK163" s="30" t="str">
        <f t="shared" si="2642"/>
        <v/>
      </c>
      <c r="DL163" s="30" t="str">
        <f t="shared" si="2643"/>
        <v/>
      </c>
      <c r="DM163" s="30" t="str">
        <f t="shared" si="2644"/>
        <v/>
      </c>
      <c r="DN163" s="30" t="str">
        <f t="shared" si="2645"/>
        <v/>
      </c>
      <c r="DO163" s="30" t="str">
        <f t="shared" si="2646"/>
        <v/>
      </c>
      <c r="DP163" s="30" t="str">
        <f t="shared" si="2647"/>
        <v/>
      </c>
      <c r="DQ163" s="30" t="str">
        <f t="shared" si="2648"/>
        <v/>
      </c>
      <c r="DR163" s="30" t="str">
        <f t="shared" si="2649"/>
        <v/>
      </c>
      <c r="DS163" s="30" t="str">
        <f t="shared" si="2650"/>
        <v/>
      </c>
      <c r="DT163" s="30" t="str">
        <f t="shared" si="2651"/>
        <v/>
      </c>
      <c r="DU163" s="30" t="str">
        <f t="shared" si="2652"/>
        <v/>
      </c>
      <c r="DV163" s="30" t="str">
        <f t="shared" si="2653"/>
        <v/>
      </c>
      <c r="DW163" s="30" t="str">
        <f t="shared" si="2654"/>
        <v/>
      </c>
      <c r="DX163" s="30" t="str">
        <f t="shared" si="2655"/>
        <v/>
      </c>
      <c r="DY163" s="30" t="str">
        <f t="shared" si="2656"/>
        <v/>
      </c>
      <c r="DZ163" s="30" t="str">
        <f t="shared" si="2657"/>
        <v/>
      </c>
      <c r="EA163" s="30" t="str">
        <f t="shared" si="2658"/>
        <v/>
      </c>
      <c r="EB163" s="30" t="str">
        <f t="shared" si="2659"/>
        <v/>
      </c>
      <c r="EC163" s="30" t="str">
        <f t="shared" si="2660"/>
        <v/>
      </c>
      <c r="ED163" s="30" t="str">
        <f t="shared" si="2661"/>
        <v/>
      </c>
      <c r="EE163" s="30" t="str">
        <f t="shared" si="2662"/>
        <v/>
      </c>
      <c r="EF163" s="30" t="str">
        <f t="shared" si="2663"/>
        <v/>
      </c>
      <c r="EG163" s="30" t="str">
        <f t="shared" si="2664"/>
        <v/>
      </c>
      <c r="EH163" s="30" t="str">
        <f t="shared" si="2665"/>
        <v/>
      </c>
      <c r="EI163" s="30" t="str">
        <f t="shared" si="2666"/>
        <v/>
      </c>
      <c r="EJ163" s="30" t="str">
        <f t="shared" si="2667"/>
        <v/>
      </c>
      <c r="EK163" s="30" t="str">
        <f t="shared" si="2668"/>
        <v/>
      </c>
      <c r="EL163" s="30" t="str">
        <f t="shared" si="2669"/>
        <v/>
      </c>
      <c r="EM163" s="30" t="str">
        <f t="shared" si="2670"/>
        <v/>
      </c>
      <c r="EN163" s="30" t="str">
        <f t="shared" si="2671"/>
        <v/>
      </c>
      <c r="EO163" s="30" t="str">
        <f t="shared" si="2672"/>
        <v/>
      </c>
      <c r="EP163" s="30" t="str">
        <f t="shared" si="2673"/>
        <v/>
      </c>
      <c r="EQ163" s="30" t="str">
        <f t="shared" si="2674"/>
        <v/>
      </c>
      <c r="ER163" s="30" t="str">
        <f t="shared" si="2675"/>
        <v/>
      </c>
      <c r="ES163" s="30" t="str">
        <f t="shared" si="2676"/>
        <v/>
      </c>
      <c r="ET163" s="30" t="str">
        <f t="shared" si="2677"/>
        <v/>
      </c>
      <c r="EU163" s="30" t="str">
        <f t="shared" si="2678"/>
        <v/>
      </c>
      <c r="EV163" s="30" t="str">
        <f t="shared" si="2679"/>
        <v/>
      </c>
      <c r="EW163" s="30" t="str">
        <f t="shared" si="2680"/>
        <v/>
      </c>
      <c r="EX163" s="30" t="str">
        <f t="shared" si="2681"/>
        <v/>
      </c>
      <c r="EY163" s="30" t="str">
        <f t="shared" si="2682"/>
        <v/>
      </c>
      <c r="EZ163" s="30" t="str">
        <f t="shared" si="2683"/>
        <v/>
      </c>
      <c r="FA163" s="30" t="str">
        <f t="shared" si="2684"/>
        <v/>
      </c>
      <c r="FB163" s="30" t="str">
        <f t="shared" si="2685"/>
        <v/>
      </c>
      <c r="FC163" s="30" t="str">
        <f t="shared" si="2686"/>
        <v/>
      </c>
      <c r="FD163" s="30" t="str">
        <f t="shared" si="2687"/>
        <v/>
      </c>
      <c r="FE163" s="30" t="str">
        <f t="shared" si="2688"/>
        <v/>
      </c>
      <c r="FF163" s="30" t="str">
        <f t="shared" si="2689"/>
        <v/>
      </c>
      <c r="FG163" s="30" t="str">
        <f t="shared" si="2690"/>
        <v/>
      </c>
      <c r="FH163" s="30" t="str">
        <f t="shared" si="2691"/>
        <v/>
      </c>
      <c r="FI163" s="30" t="str">
        <f t="shared" si="2692"/>
        <v/>
      </c>
      <c r="FJ163" s="30" t="str">
        <f t="shared" si="2693"/>
        <v/>
      </c>
      <c r="FK163" s="30" t="str">
        <f t="shared" si="2694"/>
        <v/>
      </c>
      <c r="FL163" s="30" t="str">
        <f t="shared" si="2695"/>
        <v/>
      </c>
      <c r="FM163" s="30" t="str">
        <f t="shared" si="2696"/>
        <v/>
      </c>
      <c r="FN163" s="30" t="str">
        <f t="shared" si="2697"/>
        <v/>
      </c>
      <c r="FO163" s="30" t="str">
        <f t="shared" si="2698"/>
        <v/>
      </c>
      <c r="FP163" s="30" t="str">
        <f t="shared" si="2699"/>
        <v/>
      </c>
      <c r="FQ163" s="30" t="str">
        <f t="shared" si="2700"/>
        <v/>
      </c>
      <c r="FR163" s="30" t="str">
        <f t="shared" si="2701"/>
        <v/>
      </c>
      <c r="FS163" s="30" t="str">
        <f t="shared" si="2702"/>
        <v/>
      </c>
    </row>
    <row r="164" spans="1:175" ht="16.5">
      <c r="A164" s="87"/>
      <c r="B164" s="66"/>
      <c r="C164" s="87"/>
      <c r="T164" s="106"/>
      <c r="U164" s="32"/>
      <c r="CN164" s="7" t="str">
        <f t="shared" si="2627"/>
        <v>InitUnitState('',,,,,,,,,,)</v>
      </c>
      <c r="CO164" s="7" t="str">
        <f t="shared" si="2628"/>
        <v>InitUnitNormal('',,,,,,,,,,)</v>
      </c>
      <c r="CP164" s="7" t="str">
        <f t="shared" si="2629"/>
        <v>InitUnitMagic('',,,,,,,,,,)</v>
      </c>
      <c r="CQ164" s="7" t="str">
        <f t="shared" si="2630"/>
        <v>InitUnitAdd('',,,,,,,,,,)</v>
      </c>
      <c r="CR164" s="7" t="str">
        <f t="shared" si="2631"/>
        <v>InitEquipData('',,"",,,,,'','','','','','',"")</v>
      </c>
      <c r="CU164" s="45" t="str">
        <f t="shared" si="2632"/>
        <v>|n</v>
      </c>
      <c r="CW164" s="24"/>
      <c r="CX164" s="24"/>
      <c r="CY164" s="24"/>
      <c r="CZ164" s="24"/>
      <c r="DA164" s="24"/>
      <c r="DB164" s="30" t="str">
        <f t="shared" si="2633"/>
        <v/>
      </c>
      <c r="DC164" s="30" t="str">
        <f t="shared" si="2634"/>
        <v/>
      </c>
      <c r="DD164" s="30" t="str">
        <f t="shared" si="2635"/>
        <v/>
      </c>
      <c r="DE164" s="30" t="str">
        <f t="shared" si="2636"/>
        <v/>
      </c>
      <c r="DF164" s="30" t="str">
        <f t="shared" si="2637"/>
        <v/>
      </c>
      <c r="DG164" s="30" t="str">
        <f t="shared" si="2638"/>
        <v/>
      </c>
      <c r="DH164" s="30" t="str">
        <f t="shared" si="2639"/>
        <v/>
      </c>
      <c r="DI164" s="30" t="str">
        <f t="shared" si="2640"/>
        <v/>
      </c>
      <c r="DJ164" s="30" t="str">
        <f t="shared" si="2641"/>
        <v/>
      </c>
      <c r="DK164" s="30" t="str">
        <f t="shared" si="2642"/>
        <v/>
      </c>
      <c r="DL164" s="30" t="str">
        <f t="shared" si="2643"/>
        <v/>
      </c>
      <c r="DM164" s="30" t="str">
        <f t="shared" si="2644"/>
        <v/>
      </c>
      <c r="DN164" s="30" t="str">
        <f t="shared" si="2645"/>
        <v/>
      </c>
      <c r="DO164" s="30" t="str">
        <f t="shared" si="2646"/>
        <v/>
      </c>
      <c r="DP164" s="30" t="str">
        <f t="shared" si="2647"/>
        <v/>
      </c>
      <c r="DQ164" s="30" t="str">
        <f t="shared" si="2648"/>
        <v/>
      </c>
      <c r="DR164" s="30" t="str">
        <f t="shared" si="2649"/>
        <v/>
      </c>
      <c r="DS164" s="30" t="str">
        <f t="shared" si="2650"/>
        <v/>
      </c>
      <c r="DT164" s="30" t="str">
        <f t="shared" si="2651"/>
        <v/>
      </c>
      <c r="DU164" s="30" t="str">
        <f t="shared" si="2652"/>
        <v/>
      </c>
      <c r="DV164" s="30" t="str">
        <f t="shared" si="2653"/>
        <v/>
      </c>
      <c r="DW164" s="30" t="str">
        <f t="shared" si="2654"/>
        <v/>
      </c>
      <c r="DX164" s="30" t="str">
        <f t="shared" si="2655"/>
        <v/>
      </c>
      <c r="DY164" s="30" t="str">
        <f t="shared" si="2656"/>
        <v/>
      </c>
      <c r="DZ164" s="30" t="str">
        <f t="shared" si="2657"/>
        <v/>
      </c>
      <c r="EA164" s="30" t="str">
        <f t="shared" si="2658"/>
        <v/>
      </c>
      <c r="EB164" s="30" t="str">
        <f t="shared" si="2659"/>
        <v/>
      </c>
      <c r="EC164" s="30" t="str">
        <f t="shared" si="2660"/>
        <v/>
      </c>
      <c r="ED164" s="30" t="str">
        <f t="shared" si="2661"/>
        <v/>
      </c>
      <c r="EE164" s="30" t="str">
        <f t="shared" si="2662"/>
        <v/>
      </c>
      <c r="EF164" s="30" t="str">
        <f t="shared" si="2663"/>
        <v/>
      </c>
      <c r="EG164" s="30" t="str">
        <f t="shared" si="2664"/>
        <v/>
      </c>
      <c r="EH164" s="30" t="str">
        <f t="shared" si="2665"/>
        <v/>
      </c>
      <c r="EI164" s="30" t="str">
        <f t="shared" si="2666"/>
        <v/>
      </c>
      <c r="EJ164" s="30" t="str">
        <f t="shared" si="2667"/>
        <v/>
      </c>
      <c r="EK164" s="30" t="str">
        <f t="shared" si="2668"/>
        <v/>
      </c>
      <c r="EL164" s="30" t="str">
        <f t="shared" si="2669"/>
        <v/>
      </c>
      <c r="EM164" s="30" t="str">
        <f t="shared" si="2670"/>
        <v/>
      </c>
      <c r="EN164" s="30" t="str">
        <f t="shared" si="2671"/>
        <v/>
      </c>
      <c r="EO164" s="30" t="str">
        <f t="shared" si="2672"/>
        <v/>
      </c>
      <c r="EP164" s="30" t="str">
        <f t="shared" si="2673"/>
        <v/>
      </c>
      <c r="EQ164" s="30" t="str">
        <f t="shared" si="2674"/>
        <v/>
      </c>
      <c r="ER164" s="30" t="str">
        <f t="shared" si="2675"/>
        <v/>
      </c>
      <c r="ES164" s="30" t="str">
        <f t="shared" si="2676"/>
        <v/>
      </c>
      <c r="ET164" s="30" t="str">
        <f t="shared" si="2677"/>
        <v/>
      </c>
      <c r="EU164" s="30" t="str">
        <f t="shared" si="2678"/>
        <v/>
      </c>
      <c r="EV164" s="30" t="str">
        <f t="shared" si="2679"/>
        <v/>
      </c>
      <c r="EW164" s="30" t="str">
        <f t="shared" si="2680"/>
        <v/>
      </c>
      <c r="EX164" s="30" t="str">
        <f t="shared" si="2681"/>
        <v/>
      </c>
      <c r="EY164" s="30" t="str">
        <f t="shared" si="2682"/>
        <v/>
      </c>
      <c r="EZ164" s="30" t="str">
        <f t="shared" si="2683"/>
        <v/>
      </c>
      <c r="FA164" s="30" t="str">
        <f t="shared" si="2684"/>
        <v/>
      </c>
      <c r="FB164" s="30" t="str">
        <f t="shared" si="2685"/>
        <v/>
      </c>
      <c r="FC164" s="30" t="str">
        <f t="shared" si="2686"/>
        <v/>
      </c>
      <c r="FD164" s="30" t="str">
        <f t="shared" si="2687"/>
        <v/>
      </c>
      <c r="FE164" s="30" t="str">
        <f t="shared" si="2688"/>
        <v/>
      </c>
      <c r="FF164" s="30" t="str">
        <f t="shared" si="2689"/>
        <v/>
      </c>
      <c r="FG164" s="30" t="str">
        <f t="shared" si="2690"/>
        <v/>
      </c>
      <c r="FH164" s="30" t="str">
        <f t="shared" si="2691"/>
        <v/>
      </c>
      <c r="FI164" s="30" t="str">
        <f t="shared" si="2692"/>
        <v/>
      </c>
      <c r="FJ164" s="30" t="str">
        <f t="shared" si="2693"/>
        <v/>
      </c>
      <c r="FK164" s="30" t="str">
        <f t="shared" si="2694"/>
        <v/>
      </c>
      <c r="FL164" s="30" t="str">
        <f t="shared" si="2695"/>
        <v/>
      </c>
      <c r="FM164" s="30" t="str">
        <f t="shared" si="2696"/>
        <v/>
      </c>
      <c r="FN164" s="30" t="str">
        <f t="shared" si="2697"/>
        <v/>
      </c>
      <c r="FO164" s="30" t="str">
        <f t="shared" si="2698"/>
        <v/>
      </c>
      <c r="FP164" s="30" t="str">
        <f t="shared" si="2699"/>
        <v/>
      </c>
      <c r="FQ164" s="30" t="str">
        <f t="shared" si="2700"/>
        <v/>
      </c>
      <c r="FR164" s="30" t="str">
        <f t="shared" si="2701"/>
        <v/>
      </c>
      <c r="FS164" s="30" t="str">
        <f t="shared" si="2702"/>
        <v/>
      </c>
    </row>
    <row r="165" spans="1:175" ht="16.5">
      <c r="A165" s="87"/>
      <c r="B165" s="66"/>
      <c r="C165" s="87"/>
      <c r="T165" s="106"/>
      <c r="U165" s="32"/>
      <c r="CN165" s="7" t="str">
        <f t="shared" si="2627"/>
        <v>InitUnitState('',,,,,,,,,,)</v>
      </c>
      <c r="CO165" s="7" t="str">
        <f t="shared" si="2628"/>
        <v>InitUnitNormal('',,,,,,,,,,)</v>
      </c>
      <c r="CP165" s="7" t="str">
        <f t="shared" si="2629"/>
        <v>InitUnitMagic('',,,,,,,,,,)</v>
      </c>
      <c r="CQ165" s="7" t="str">
        <f t="shared" si="2630"/>
        <v>InitUnitAdd('',,,,,,,,,,)</v>
      </c>
      <c r="CR165" s="7" t="str">
        <f t="shared" si="2631"/>
        <v>InitEquipData('',,"",,,,,'','','','','','',"")</v>
      </c>
      <c r="CU165" s="45" t="str">
        <f t="shared" si="2632"/>
        <v>|n</v>
      </c>
      <c r="CW165" s="24"/>
      <c r="CX165" s="24"/>
      <c r="CY165" s="24"/>
      <c r="CZ165" s="24"/>
      <c r="DA165" s="24"/>
      <c r="DB165" s="30" t="str">
        <f t="shared" si="2633"/>
        <v/>
      </c>
      <c r="DC165" s="30" t="str">
        <f t="shared" si="2634"/>
        <v/>
      </c>
      <c r="DD165" s="30" t="str">
        <f t="shared" si="2635"/>
        <v/>
      </c>
      <c r="DE165" s="30" t="str">
        <f t="shared" si="2636"/>
        <v/>
      </c>
      <c r="DF165" s="30" t="str">
        <f t="shared" si="2637"/>
        <v/>
      </c>
      <c r="DG165" s="30" t="str">
        <f t="shared" si="2638"/>
        <v/>
      </c>
      <c r="DH165" s="30" t="str">
        <f t="shared" si="2639"/>
        <v/>
      </c>
      <c r="DI165" s="30" t="str">
        <f t="shared" si="2640"/>
        <v/>
      </c>
      <c r="DJ165" s="30" t="str">
        <f t="shared" si="2641"/>
        <v/>
      </c>
      <c r="DK165" s="30" t="str">
        <f t="shared" si="2642"/>
        <v/>
      </c>
      <c r="DL165" s="30" t="str">
        <f t="shared" si="2643"/>
        <v/>
      </c>
      <c r="DM165" s="30" t="str">
        <f t="shared" si="2644"/>
        <v/>
      </c>
      <c r="DN165" s="30" t="str">
        <f t="shared" si="2645"/>
        <v/>
      </c>
      <c r="DO165" s="30" t="str">
        <f t="shared" si="2646"/>
        <v/>
      </c>
      <c r="DP165" s="30" t="str">
        <f t="shared" si="2647"/>
        <v/>
      </c>
      <c r="DQ165" s="30" t="str">
        <f t="shared" si="2648"/>
        <v/>
      </c>
      <c r="DR165" s="30" t="str">
        <f t="shared" si="2649"/>
        <v/>
      </c>
      <c r="DS165" s="30" t="str">
        <f t="shared" si="2650"/>
        <v/>
      </c>
      <c r="DT165" s="30" t="str">
        <f t="shared" si="2651"/>
        <v/>
      </c>
      <c r="DU165" s="30" t="str">
        <f t="shared" si="2652"/>
        <v/>
      </c>
      <c r="DV165" s="30" t="str">
        <f t="shared" si="2653"/>
        <v/>
      </c>
      <c r="DW165" s="30" t="str">
        <f t="shared" si="2654"/>
        <v/>
      </c>
      <c r="DX165" s="30" t="str">
        <f t="shared" si="2655"/>
        <v/>
      </c>
      <c r="DY165" s="30" t="str">
        <f t="shared" si="2656"/>
        <v/>
      </c>
      <c r="DZ165" s="30" t="str">
        <f t="shared" si="2657"/>
        <v/>
      </c>
      <c r="EA165" s="30" t="str">
        <f t="shared" si="2658"/>
        <v/>
      </c>
      <c r="EB165" s="30" t="str">
        <f t="shared" si="2659"/>
        <v/>
      </c>
      <c r="EC165" s="30" t="str">
        <f t="shared" si="2660"/>
        <v/>
      </c>
      <c r="ED165" s="30" t="str">
        <f t="shared" si="2661"/>
        <v/>
      </c>
      <c r="EE165" s="30" t="str">
        <f t="shared" si="2662"/>
        <v/>
      </c>
      <c r="EF165" s="30" t="str">
        <f t="shared" si="2663"/>
        <v/>
      </c>
      <c r="EG165" s="30" t="str">
        <f t="shared" si="2664"/>
        <v/>
      </c>
      <c r="EH165" s="30" t="str">
        <f t="shared" si="2665"/>
        <v/>
      </c>
      <c r="EI165" s="30" t="str">
        <f t="shared" si="2666"/>
        <v/>
      </c>
      <c r="EJ165" s="30" t="str">
        <f t="shared" si="2667"/>
        <v/>
      </c>
      <c r="EK165" s="30" t="str">
        <f t="shared" si="2668"/>
        <v/>
      </c>
      <c r="EL165" s="30" t="str">
        <f t="shared" si="2669"/>
        <v/>
      </c>
      <c r="EM165" s="30" t="str">
        <f t="shared" si="2670"/>
        <v/>
      </c>
      <c r="EN165" s="30" t="str">
        <f t="shared" si="2671"/>
        <v/>
      </c>
      <c r="EO165" s="30" t="str">
        <f t="shared" si="2672"/>
        <v/>
      </c>
      <c r="EP165" s="30" t="str">
        <f t="shared" si="2673"/>
        <v/>
      </c>
      <c r="EQ165" s="30" t="str">
        <f t="shared" si="2674"/>
        <v/>
      </c>
      <c r="ER165" s="30" t="str">
        <f t="shared" si="2675"/>
        <v/>
      </c>
      <c r="ES165" s="30" t="str">
        <f t="shared" si="2676"/>
        <v/>
      </c>
      <c r="ET165" s="30" t="str">
        <f t="shared" si="2677"/>
        <v/>
      </c>
      <c r="EU165" s="30" t="str">
        <f t="shared" si="2678"/>
        <v/>
      </c>
      <c r="EV165" s="30" t="str">
        <f t="shared" si="2679"/>
        <v/>
      </c>
      <c r="EW165" s="30" t="str">
        <f t="shared" si="2680"/>
        <v/>
      </c>
      <c r="EX165" s="30" t="str">
        <f t="shared" si="2681"/>
        <v/>
      </c>
      <c r="EY165" s="30" t="str">
        <f t="shared" si="2682"/>
        <v/>
      </c>
      <c r="EZ165" s="30" t="str">
        <f t="shared" si="2683"/>
        <v/>
      </c>
      <c r="FA165" s="30" t="str">
        <f t="shared" si="2684"/>
        <v/>
      </c>
      <c r="FB165" s="30" t="str">
        <f t="shared" si="2685"/>
        <v/>
      </c>
      <c r="FC165" s="30" t="str">
        <f t="shared" si="2686"/>
        <v/>
      </c>
      <c r="FD165" s="30" t="str">
        <f t="shared" si="2687"/>
        <v/>
      </c>
      <c r="FE165" s="30" t="str">
        <f t="shared" si="2688"/>
        <v/>
      </c>
      <c r="FF165" s="30" t="str">
        <f t="shared" si="2689"/>
        <v/>
      </c>
      <c r="FG165" s="30" t="str">
        <f t="shared" si="2690"/>
        <v/>
      </c>
      <c r="FH165" s="30" t="str">
        <f t="shared" si="2691"/>
        <v/>
      </c>
      <c r="FI165" s="30" t="str">
        <f t="shared" si="2692"/>
        <v/>
      </c>
      <c r="FJ165" s="30" t="str">
        <f t="shared" si="2693"/>
        <v/>
      </c>
      <c r="FK165" s="30" t="str">
        <f t="shared" si="2694"/>
        <v/>
      </c>
      <c r="FL165" s="30" t="str">
        <f t="shared" si="2695"/>
        <v/>
      </c>
      <c r="FM165" s="30" t="str">
        <f t="shared" si="2696"/>
        <v/>
      </c>
      <c r="FN165" s="30" t="str">
        <f t="shared" si="2697"/>
        <v/>
      </c>
      <c r="FO165" s="30" t="str">
        <f t="shared" si="2698"/>
        <v/>
      </c>
      <c r="FP165" s="30" t="str">
        <f t="shared" si="2699"/>
        <v/>
      </c>
      <c r="FQ165" s="30" t="str">
        <f t="shared" si="2700"/>
        <v/>
      </c>
      <c r="FR165" s="30" t="str">
        <f t="shared" si="2701"/>
        <v/>
      </c>
      <c r="FS165" s="30" t="str">
        <f t="shared" si="2702"/>
        <v/>
      </c>
    </row>
    <row r="166" spans="1:175" ht="16.5">
      <c r="A166" s="87"/>
      <c r="B166" s="66"/>
      <c r="C166" s="87"/>
      <c r="T166" s="106"/>
      <c r="U166" s="32"/>
      <c r="CN166" s="7" t="str">
        <f t="shared" si="2627"/>
        <v>InitUnitState('',,,,,,,,,,)</v>
      </c>
      <c r="CO166" s="7" t="str">
        <f t="shared" si="2628"/>
        <v>InitUnitNormal('',,,,,,,,,,)</v>
      </c>
      <c r="CP166" s="7" t="str">
        <f t="shared" si="2629"/>
        <v>InitUnitMagic('',,,,,,,,,,)</v>
      </c>
      <c r="CQ166" s="7" t="str">
        <f t="shared" si="2630"/>
        <v>InitUnitAdd('',,,,,,,,,,)</v>
      </c>
      <c r="CR166" s="7" t="str">
        <f t="shared" si="2631"/>
        <v>InitEquipData('',,"",,,,,'','','','','','',"")</v>
      </c>
      <c r="CU166" s="45" t="str">
        <f t="shared" si="2632"/>
        <v>|n</v>
      </c>
      <c r="CW166" s="24"/>
      <c r="CX166" s="24"/>
      <c r="CY166" s="24"/>
      <c r="CZ166" s="24"/>
      <c r="DA166" s="24"/>
      <c r="DB166" s="30" t="str">
        <f t="shared" si="2633"/>
        <v/>
      </c>
      <c r="DC166" s="30" t="str">
        <f t="shared" si="2634"/>
        <v/>
      </c>
      <c r="DD166" s="30" t="str">
        <f t="shared" si="2635"/>
        <v/>
      </c>
      <c r="DE166" s="30" t="str">
        <f t="shared" si="2636"/>
        <v/>
      </c>
      <c r="DF166" s="30" t="str">
        <f t="shared" si="2637"/>
        <v/>
      </c>
      <c r="DG166" s="30" t="str">
        <f t="shared" si="2638"/>
        <v/>
      </c>
      <c r="DH166" s="30" t="str">
        <f t="shared" si="2639"/>
        <v/>
      </c>
      <c r="DI166" s="30" t="str">
        <f t="shared" si="2640"/>
        <v/>
      </c>
      <c r="DJ166" s="30" t="str">
        <f t="shared" si="2641"/>
        <v/>
      </c>
      <c r="DK166" s="30" t="str">
        <f t="shared" si="2642"/>
        <v/>
      </c>
      <c r="DL166" s="30" t="str">
        <f t="shared" si="2643"/>
        <v/>
      </c>
      <c r="DM166" s="30" t="str">
        <f t="shared" si="2644"/>
        <v/>
      </c>
      <c r="DN166" s="30" t="str">
        <f t="shared" si="2645"/>
        <v/>
      </c>
      <c r="DO166" s="30" t="str">
        <f t="shared" si="2646"/>
        <v/>
      </c>
      <c r="DP166" s="30" t="str">
        <f t="shared" si="2647"/>
        <v/>
      </c>
      <c r="DQ166" s="30" t="str">
        <f t="shared" si="2648"/>
        <v/>
      </c>
      <c r="DR166" s="30" t="str">
        <f t="shared" si="2649"/>
        <v/>
      </c>
      <c r="DS166" s="30" t="str">
        <f t="shared" si="2650"/>
        <v/>
      </c>
      <c r="DT166" s="30" t="str">
        <f t="shared" si="2651"/>
        <v/>
      </c>
      <c r="DU166" s="30" t="str">
        <f t="shared" si="2652"/>
        <v/>
      </c>
      <c r="DV166" s="30" t="str">
        <f t="shared" si="2653"/>
        <v/>
      </c>
      <c r="DW166" s="30" t="str">
        <f t="shared" si="2654"/>
        <v/>
      </c>
      <c r="DX166" s="30" t="str">
        <f t="shared" si="2655"/>
        <v/>
      </c>
      <c r="DY166" s="30" t="str">
        <f t="shared" si="2656"/>
        <v/>
      </c>
      <c r="DZ166" s="30" t="str">
        <f t="shared" si="2657"/>
        <v/>
      </c>
      <c r="EA166" s="30" t="str">
        <f t="shared" si="2658"/>
        <v/>
      </c>
      <c r="EB166" s="30" t="str">
        <f t="shared" si="2659"/>
        <v/>
      </c>
      <c r="EC166" s="30" t="str">
        <f t="shared" si="2660"/>
        <v/>
      </c>
      <c r="ED166" s="30" t="str">
        <f t="shared" si="2661"/>
        <v/>
      </c>
      <c r="EE166" s="30" t="str">
        <f t="shared" si="2662"/>
        <v/>
      </c>
      <c r="EF166" s="30" t="str">
        <f t="shared" si="2663"/>
        <v/>
      </c>
      <c r="EG166" s="30" t="str">
        <f t="shared" si="2664"/>
        <v/>
      </c>
      <c r="EH166" s="30" t="str">
        <f t="shared" si="2665"/>
        <v/>
      </c>
      <c r="EI166" s="30" t="str">
        <f t="shared" si="2666"/>
        <v/>
      </c>
      <c r="EJ166" s="30" t="str">
        <f t="shared" si="2667"/>
        <v/>
      </c>
      <c r="EK166" s="30" t="str">
        <f t="shared" si="2668"/>
        <v/>
      </c>
      <c r="EL166" s="30" t="str">
        <f t="shared" si="2669"/>
        <v/>
      </c>
      <c r="EM166" s="30" t="str">
        <f t="shared" si="2670"/>
        <v/>
      </c>
      <c r="EN166" s="30" t="str">
        <f t="shared" si="2671"/>
        <v/>
      </c>
      <c r="EO166" s="30" t="str">
        <f t="shared" si="2672"/>
        <v/>
      </c>
      <c r="EP166" s="30" t="str">
        <f t="shared" si="2673"/>
        <v/>
      </c>
      <c r="EQ166" s="30" t="str">
        <f t="shared" si="2674"/>
        <v/>
      </c>
      <c r="ER166" s="30" t="str">
        <f t="shared" si="2675"/>
        <v/>
      </c>
      <c r="ES166" s="30" t="str">
        <f t="shared" si="2676"/>
        <v/>
      </c>
      <c r="ET166" s="30" t="str">
        <f t="shared" si="2677"/>
        <v/>
      </c>
      <c r="EU166" s="30" t="str">
        <f t="shared" si="2678"/>
        <v/>
      </c>
      <c r="EV166" s="30" t="str">
        <f t="shared" si="2679"/>
        <v/>
      </c>
      <c r="EW166" s="30" t="str">
        <f t="shared" si="2680"/>
        <v/>
      </c>
      <c r="EX166" s="30" t="str">
        <f t="shared" si="2681"/>
        <v/>
      </c>
      <c r="EY166" s="30" t="str">
        <f t="shared" si="2682"/>
        <v/>
      </c>
      <c r="EZ166" s="30" t="str">
        <f t="shared" si="2683"/>
        <v/>
      </c>
      <c r="FA166" s="30" t="str">
        <f t="shared" si="2684"/>
        <v/>
      </c>
      <c r="FB166" s="30" t="str">
        <f t="shared" si="2685"/>
        <v/>
      </c>
      <c r="FC166" s="30" t="str">
        <f t="shared" si="2686"/>
        <v/>
      </c>
      <c r="FD166" s="30" t="str">
        <f t="shared" si="2687"/>
        <v/>
      </c>
      <c r="FE166" s="30" t="str">
        <f t="shared" si="2688"/>
        <v/>
      </c>
      <c r="FF166" s="30" t="str">
        <f t="shared" si="2689"/>
        <v/>
      </c>
      <c r="FG166" s="30" t="str">
        <f t="shared" si="2690"/>
        <v/>
      </c>
      <c r="FH166" s="30" t="str">
        <f t="shared" si="2691"/>
        <v/>
      </c>
      <c r="FI166" s="30" t="str">
        <f t="shared" si="2692"/>
        <v/>
      </c>
      <c r="FJ166" s="30" t="str">
        <f t="shared" si="2693"/>
        <v/>
      </c>
      <c r="FK166" s="30" t="str">
        <f t="shared" si="2694"/>
        <v/>
      </c>
      <c r="FL166" s="30" t="str">
        <f t="shared" si="2695"/>
        <v/>
      </c>
      <c r="FM166" s="30" t="str">
        <f t="shared" si="2696"/>
        <v/>
      </c>
      <c r="FN166" s="30" t="str">
        <f t="shared" si="2697"/>
        <v/>
      </c>
      <c r="FO166" s="30" t="str">
        <f t="shared" si="2698"/>
        <v/>
      </c>
      <c r="FP166" s="30" t="str">
        <f t="shared" si="2699"/>
        <v/>
      </c>
      <c r="FQ166" s="30" t="str">
        <f t="shared" si="2700"/>
        <v/>
      </c>
      <c r="FR166" s="30" t="str">
        <f t="shared" si="2701"/>
        <v/>
      </c>
      <c r="FS166" s="30" t="str">
        <f t="shared" si="2702"/>
        <v/>
      </c>
    </row>
    <row r="167" spans="1:175" ht="16.5">
      <c r="A167" s="87"/>
      <c r="B167" s="66"/>
      <c r="C167" s="87"/>
      <c r="T167" s="106"/>
      <c r="U167" s="32"/>
      <c r="CN167" s="7" t="str">
        <f t="shared" si="2627"/>
        <v>InitUnitState('',,,,,,,,,,)</v>
      </c>
      <c r="CO167" s="7" t="str">
        <f t="shared" si="2628"/>
        <v>InitUnitNormal('',,,,,,,,,,)</v>
      </c>
      <c r="CP167" s="7" t="str">
        <f t="shared" si="2629"/>
        <v>InitUnitMagic('',,,,,,,,,,)</v>
      </c>
      <c r="CQ167" s="7" t="str">
        <f t="shared" si="2630"/>
        <v>InitUnitAdd('',,,,,,,,,,)</v>
      </c>
      <c r="CR167" s="7" t="str">
        <f t="shared" si="2631"/>
        <v>InitEquipData('',,"",,,,,'','','','','','',"")</v>
      </c>
      <c r="CU167" s="45" t="str">
        <f t="shared" si="2632"/>
        <v>|n</v>
      </c>
      <c r="CW167" s="24"/>
      <c r="CX167" s="24"/>
      <c r="CY167" s="24"/>
      <c r="CZ167" s="24"/>
      <c r="DA167" s="24"/>
      <c r="DB167" s="30" t="str">
        <f t="shared" si="2633"/>
        <v/>
      </c>
      <c r="DC167" s="30" t="str">
        <f t="shared" si="2634"/>
        <v/>
      </c>
      <c r="DD167" s="30" t="str">
        <f t="shared" si="2635"/>
        <v/>
      </c>
      <c r="DE167" s="30" t="str">
        <f t="shared" si="2636"/>
        <v/>
      </c>
      <c r="DF167" s="30" t="str">
        <f t="shared" si="2637"/>
        <v/>
      </c>
      <c r="DG167" s="30" t="str">
        <f t="shared" si="2638"/>
        <v/>
      </c>
      <c r="DH167" s="30" t="str">
        <f t="shared" si="2639"/>
        <v/>
      </c>
      <c r="DI167" s="30" t="str">
        <f t="shared" si="2640"/>
        <v/>
      </c>
      <c r="DJ167" s="30" t="str">
        <f t="shared" si="2641"/>
        <v/>
      </c>
      <c r="DK167" s="30" t="str">
        <f t="shared" si="2642"/>
        <v/>
      </c>
      <c r="DL167" s="30" t="str">
        <f t="shared" si="2643"/>
        <v/>
      </c>
      <c r="DM167" s="30" t="str">
        <f t="shared" si="2644"/>
        <v/>
      </c>
      <c r="DN167" s="30" t="str">
        <f t="shared" si="2645"/>
        <v/>
      </c>
      <c r="DO167" s="30" t="str">
        <f t="shared" si="2646"/>
        <v/>
      </c>
      <c r="DP167" s="30" t="str">
        <f t="shared" si="2647"/>
        <v/>
      </c>
      <c r="DQ167" s="30" t="str">
        <f t="shared" si="2648"/>
        <v/>
      </c>
      <c r="DR167" s="30" t="str">
        <f t="shared" si="2649"/>
        <v/>
      </c>
      <c r="DS167" s="30" t="str">
        <f t="shared" si="2650"/>
        <v/>
      </c>
      <c r="DT167" s="30" t="str">
        <f t="shared" si="2651"/>
        <v/>
      </c>
      <c r="DU167" s="30" t="str">
        <f t="shared" si="2652"/>
        <v/>
      </c>
      <c r="DV167" s="30" t="str">
        <f t="shared" si="2653"/>
        <v/>
      </c>
      <c r="DW167" s="30" t="str">
        <f t="shared" si="2654"/>
        <v/>
      </c>
      <c r="DX167" s="30" t="str">
        <f t="shared" si="2655"/>
        <v/>
      </c>
      <c r="DY167" s="30" t="str">
        <f t="shared" si="2656"/>
        <v/>
      </c>
      <c r="DZ167" s="30" t="str">
        <f t="shared" si="2657"/>
        <v/>
      </c>
      <c r="EA167" s="30" t="str">
        <f t="shared" si="2658"/>
        <v/>
      </c>
      <c r="EB167" s="30" t="str">
        <f t="shared" si="2659"/>
        <v/>
      </c>
      <c r="EC167" s="30" t="str">
        <f t="shared" si="2660"/>
        <v/>
      </c>
      <c r="ED167" s="30" t="str">
        <f t="shared" si="2661"/>
        <v/>
      </c>
      <c r="EE167" s="30" t="str">
        <f t="shared" si="2662"/>
        <v/>
      </c>
      <c r="EF167" s="30" t="str">
        <f t="shared" si="2663"/>
        <v/>
      </c>
      <c r="EG167" s="30" t="str">
        <f t="shared" si="2664"/>
        <v/>
      </c>
      <c r="EH167" s="30" t="str">
        <f t="shared" si="2665"/>
        <v/>
      </c>
      <c r="EI167" s="30" t="str">
        <f t="shared" si="2666"/>
        <v/>
      </c>
      <c r="EJ167" s="30" t="str">
        <f t="shared" si="2667"/>
        <v/>
      </c>
      <c r="EK167" s="30" t="str">
        <f t="shared" si="2668"/>
        <v/>
      </c>
      <c r="EL167" s="30" t="str">
        <f t="shared" si="2669"/>
        <v/>
      </c>
      <c r="EM167" s="30" t="str">
        <f t="shared" si="2670"/>
        <v/>
      </c>
      <c r="EN167" s="30" t="str">
        <f t="shared" si="2671"/>
        <v/>
      </c>
      <c r="EO167" s="30" t="str">
        <f t="shared" si="2672"/>
        <v/>
      </c>
      <c r="EP167" s="30" t="str">
        <f t="shared" si="2673"/>
        <v/>
      </c>
      <c r="EQ167" s="30" t="str">
        <f t="shared" si="2674"/>
        <v/>
      </c>
      <c r="ER167" s="30" t="str">
        <f t="shared" si="2675"/>
        <v/>
      </c>
      <c r="ES167" s="30" t="str">
        <f t="shared" si="2676"/>
        <v/>
      </c>
      <c r="ET167" s="30" t="str">
        <f t="shared" si="2677"/>
        <v/>
      </c>
      <c r="EU167" s="30" t="str">
        <f t="shared" si="2678"/>
        <v/>
      </c>
      <c r="EV167" s="30" t="str">
        <f t="shared" si="2679"/>
        <v/>
      </c>
      <c r="EW167" s="30" t="str">
        <f t="shared" si="2680"/>
        <v/>
      </c>
      <c r="EX167" s="30" t="str">
        <f t="shared" si="2681"/>
        <v/>
      </c>
      <c r="EY167" s="30" t="str">
        <f t="shared" si="2682"/>
        <v/>
      </c>
      <c r="EZ167" s="30" t="str">
        <f t="shared" si="2683"/>
        <v/>
      </c>
      <c r="FA167" s="30" t="str">
        <f t="shared" si="2684"/>
        <v/>
      </c>
      <c r="FB167" s="30" t="str">
        <f t="shared" si="2685"/>
        <v/>
      </c>
      <c r="FC167" s="30" t="str">
        <f t="shared" si="2686"/>
        <v/>
      </c>
      <c r="FD167" s="30" t="str">
        <f t="shared" si="2687"/>
        <v/>
      </c>
      <c r="FE167" s="30" t="str">
        <f t="shared" si="2688"/>
        <v/>
      </c>
      <c r="FF167" s="30" t="str">
        <f t="shared" si="2689"/>
        <v/>
      </c>
      <c r="FG167" s="30" t="str">
        <f t="shared" si="2690"/>
        <v/>
      </c>
      <c r="FH167" s="30" t="str">
        <f t="shared" si="2691"/>
        <v/>
      </c>
      <c r="FI167" s="30" t="str">
        <f t="shared" si="2692"/>
        <v/>
      </c>
      <c r="FJ167" s="30" t="str">
        <f t="shared" si="2693"/>
        <v/>
      </c>
      <c r="FK167" s="30" t="str">
        <f t="shared" si="2694"/>
        <v/>
      </c>
      <c r="FL167" s="30" t="str">
        <f t="shared" si="2695"/>
        <v/>
      </c>
      <c r="FM167" s="30" t="str">
        <f t="shared" si="2696"/>
        <v/>
      </c>
      <c r="FN167" s="30" t="str">
        <f t="shared" si="2697"/>
        <v/>
      </c>
      <c r="FO167" s="30" t="str">
        <f t="shared" si="2698"/>
        <v/>
      </c>
      <c r="FP167" s="30" t="str">
        <f t="shared" si="2699"/>
        <v/>
      </c>
      <c r="FQ167" s="30" t="str">
        <f t="shared" si="2700"/>
        <v/>
      </c>
      <c r="FR167" s="30" t="str">
        <f t="shared" si="2701"/>
        <v/>
      </c>
      <c r="FS167" s="30" t="str">
        <f t="shared" si="2702"/>
        <v/>
      </c>
    </row>
    <row r="168" spans="1:175" ht="16.5">
      <c r="A168" s="87"/>
      <c r="B168" s="66"/>
      <c r="C168" s="87"/>
      <c r="T168" s="106"/>
      <c r="U168" s="32"/>
      <c r="CN168" s="7" t="str">
        <f t="shared" si="2627"/>
        <v>InitUnitState('',,,,,,,,,,)</v>
      </c>
      <c r="CO168" s="7" t="str">
        <f t="shared" si="2628"/>
        <v>InitUnitNormal('',,,,,,,,,,)</v>
      </c>
      <c r="CP168" s="7" t="str">
        <f t="shared" si="2629"/>
        <v>InitUnitMagic('',,,,,,,,,,)</v>
      </c>
      <c r="CQ168" s="7" t="str">
        <f t="shared" si="2630"/>
        <v>InitUnitAdd('',,,,,,,,,,)</v>
      </c>
      <c r="CR168" s="7" t="str">
        <f t="shared" si="2631"/>
        <v>InitEquipData('',,"",,,,,'','','','','','',"")</v>
      </c>
      <c r="CU168" s="45" t="str">
        <f t="shared" si="2632"/>
        <v>|n</v>
      </c>
      <c r="CW168" s="24"/>
      <c r="CX168" s="24"/>
      <c r="CY168" s="24"/>
      <c r="CZ168" s="24"/>
      <c r="DA168" s="24"/>
      <c r="DB168" s="30" t="str">
        <f t="shared" si="2633"/>
        <v/>
      </c>
      <c r="DC168" s="30" t="str">
        <f t="shared" si="2634"/>
        <v/>
      </c>
      <c r="DD168" s="30" t="str">
        <f t="shared" si="2635"/>
        <v/>
      </c>
      <c r="DE168" s="30" t="str">
        <f t="shared" si="2636"/>
        <v/>
      </c>
      <c r="DF168" s="30" t="str">
        <f t="shared" si="2637"/>
        <v/>
      </c>
      <c r="DG168" s="30" t="str">
        <f t="shared" si="2638"/>
        <v/>
      </c>
      <c r="DH168" s="30" t="str">
        <f t="shared" si="2639"/>
        <v/>
      </c>
      <c r="DI168" s="30" t="str">
        <f t="shared" si="2640"/>
        <v/>
      </c>
      <c r="DJ168" s="30" t="str">
        <f t="shared" si="2641"/>
        <v/>
      </c>
      <c r="DK168" s="30" t="str">
        <f t="shared" si="2642"/>
        <v/>
      </c>
      <c r="DL168" s="30" t="str">
        <f t="shared" si="2643"/>
        <v/>
      </c>
      <c r="DM168" s="30" t="str">
        <f t="shared" si="2644"/>
        <v/>
      </c>
      <c r="DN168" s="30" t="str">
        <f t="shared" si="2645"/>
        <v/>
      </c>
      <c r="DO168" s="30" t="str">
        <f t="shared" si="2646"/>
        <v/>
      </c>
      <c r="DP168" s="30" t="str">
        <f t="shared" si="2647"/>
        <v/>
      </c>
      <c r="DQ168" s="30" t="str">
        <f t="shared" si="2648"/>
        <v/>
      </c>
      <c r="DR168" s="30" t="str">
        <f t="shared" si="2649"/>
        <v/>
      </c>
      <c r="DS168" s="30" t="str">
        <f t="shared" si="2650"/>
        <v/>
      </c>
      <c r="DT168" s="30" t="str">
        <f t="shared" si="2651"/>
        <v/>
      </c>
      <c r="DU168" s="30" t="str">
        <f t="shared" si="2652"/>
        <v/>
      </c>
      <c r="DV168" s="30" t="str">
        <f t="shared" si="2653"/>
        <v/>
      </c>
      <c r="DW168" s="30" t="str">
        <f t="shared" si="2654"/>
        <v/>
      </c>
      <c r="DX168" s="30" t="str">
        <f t="shared" si="2655"/>
        <v/>
      </c>
      <c r="DY168" s="30" t="str">
        <f t="shared" si="2656"/>
        <v/>
      </c>
      <c r="DZ168" s="30" t="str">
        <f t="shared" si="2657"/>
        <v/>
      </c>
      <c r="EA168" s="30" t="str">
        <f t="shared" si="2658"/>
        <v/>
      </c>
      <c r="EB168" s="30" t="str">
        <f t="shared" si="2659"/>
        <v/>
      </c>
      <c r="EC168" s="30" t="str">
        <f t="shared" si="2660"/>
        <v/>
      </c>
      <c r="ED168" s="30" t="str">
        <f t="shared" si="2661"/>
        <v/>
      </c>
      <c r="EE168" s="30" t="str">
        <f t="shared" si="2662"/>
        <v/>
      </c>
      <c r="EF168" s="30" t="str">
        <f t="shared" si="2663"/>
        <v/>
      </c>
      <c r="EG168" s="30" t="str">
        <f t="shared" si="2664"/>
        <v/>
      </c>
      <c r="EH168" s="30" t="str">
        <f t="shared" si="2665"/>
        <v/>
      </c>
      <c r="EI168" s="30" t="str">
        <f t="shared" si="2666"/>
        <v/>
      </c>
      <c r="EJ168" s="30" t="str">
        <f t="shared" si="2667"/>
        <v/>
      </c>
      <c r="EK168" s="30" t="str">
        <f t="shared" si="2668"/>
        <v/>
      </c>
      <c r="EL168" s="30" t="str">
        <f t="shared" si="2669"/>
        <v/>
      </c>
      <c r="EM168" s="30" t="str">
        <f t="shared" si="2670"/>
        <v/>
      </c>
      <c r="EN168" s="30" t="str">
        <f t="shared" si="2671"/>
        <v/>
      </c>
      <c r="EO168" s="30" t="str">
        <f t="shared" si="2672"/>
        <v/>
      </c>
      <c r="EP168" s="30" t="str">
        <f t="shared" si="2673"/>
        <v/>
      </c>
      <c r="EQ168" s="30" t="str">
        <f t="shared" si="2674"/>
        <v/>
      </c>
      <c r="ER168" s="30" t="str">
        <f t="shared" si="2675"/>
        <v/>
      </c>
      <c r="ES168" s="30" t="str">
        <f t="shared" si="2676"/>
        <v/>
      </c>
      <c r="ET168" s="30" t="str">
        <f t="shared" si="2677"/>
        <v/>
      </c>
      <c r="EU168" s="30" t="str">
        <f t="shared" si="2678"/>
        <v/>
      </c>
      <c r="EV168" s="30" t="str">
        <f t="shared" si="2679"/>
        <v/>
      </c>
      <c r="EW168" s="30" t="str">
        <f t="shared" si="2680"/>
        <v/>
      </c>
      <c r="EX168" s="30" t="str">
        <f t="shared" si="2681"/>
        <v/>
      </c>
      <c r="EY168" s="30" t="str">
        <f t="shared" si="2682"/>
        <v/>
      </c>
      <c r="EZ168" s="30" t="str">
        <f t="shared" si="2683"/>
        <v/>
      </c>
      <c r="FA168" s="30" t="str">
        <f t="shared" si="2684"/>
        <v/>
      </c>
      <c r="FB168" s="30" t="str">
        <f t="shared" si="2685"/>
        <v/>
      </c>
      <c r="FC168" s="30" t="str">
        <f t="shared" si="2686"/>
        <v/>
      </c>
      <c r="FD168" s="30" t="str">
        <f t="shared" si="2687"/>
        <v/>
      </c>
      <c r="FE168" s="30" t="str">
        <f t="shared" si="2688"/>
        <v/>
      </c>
      <c r="FF168" s="30" t="str">
        <f t="shared" si="2689"/>
        <v/>
      </c>
      <c r="FG168" s="30" t="str">
        <f t="shared" si="2690"/>
        <v/>
      </c>
      <c r="FH168" s="30" t="str">
        <f t="shared" si="2691"/>
        <v/>
      </c>
      <c r="FI168" s="30" t="str">
        <f t="shared" si="2692"/>
        <v/>
      </c>
      <c r="FJ168" s="30" t="str">
        <f t="shared" si="2693"/>
        <v/>
      </c>
      <c r="FK168" s="30" t="str">
        <f t="shared" si="2694"/>
        <v/>
      </c>
      <c r="FL168" s="30" t="str">
        <f t="shared" si="2695"/>
        <v/>
      </c>
      <c r="FM168" s="30" t="str">
        <f t="shared" si="2696"/>
        <v/>
      </c>
      <c r="FN168" s="30" t="str">
        <f t="shared" si="2697"/>
        <v/>
      </c>
      <c r="FO168" s="30" t="str">
        <f t="shared" si="2698"/>
        <v/>
      </c>
      <c r="FP168" s="30" t="str">
        <f t="shared" si="2699"/>
        <v/>
      </c>
      <c r="FQ168" s="30" t="str">
        <f t="shared" si="2700"/>
        <v/>
      </c>
      <c r="FR168" s="30" t="str">
        <f t="shared" si="2701"/>
        <v/>
      </c>
      <c r="FS168" s="30" t="str">
        <f t="shared" si="2702"/>
        <v/>
      </c>
    </row>
    <row r="169" spans="1:175" ht="16.5">
      <c r="A169" s="87"/>
      <c r="B169" s="66"/>
      <c r="C169" s="87"/>
      <c r="T169" s="106"/>
      <c r="U169" s="32"/>
      <c r="CN169" s="7" t="str">
        <f t="shared" si="2627"/>
        <v>InitUnitState('',,,,,,,,,,)</v>
      </c>
      <c r="CO169" s="7" t="str">
        <f t="shared" si="2628"/>
        <v>InitUnitNormal('',,,,,,,,,,)</v>
      </c>
      <c r="CP169" s="7" t="str">
        <f t="shared" si="2629"/>
        <v>InitUnitMagic('',,,,,,,,,,)</v>
      </c>
      <c r="CQ169" s="7" t="str">
        <f t="shared" si="2630"/>
        <v>InitUnitAdd('',,,,,,,,,,)</v>
      </c>
      <c r="CR169" s="7" t="str">
        <f t="shared" si="2631"/>
        <v>InitEquipData('',,"",,,,,'','','','','','',"")</v>
      </c>
      <c r="CU169" s="45" t="str">
        <f t="shared" si="2632"/>
        <v>|n</v>
      </c>
      <c r="CW169" s="24"/>
      <c r="CX169" s="24"/>
      <c r="CY169" s="24"/>
      <c r="CZ169" s="24"/>
      <c r="DA169" s="24"/>
      <c r="DB169" s="30" t="str">
        <f t="shared" si="2633"/>
        <v/>
      </c>
      <c r="DC169" s="30" t="str">
        <f t="shared" si="2634"/>
        <v/>
      </c>
      <c r="DD169" s="30" t="str">
        <f t="shared" si="2635"/>
        <v/>
      </c>
      <c r="DE169" s="30" t="str">
        <f t="shared" si="2636"/>
        <v/>
      </c>
      <c r="DF169" s="30" t="str">
        <f t="shared" si="2637"/>
        <v/>
      </c>
      <c r="DG169" s="30" t="str">
        <f t="shared" si="2638"/>
        <v/>
      </c>
      <c r="DH169" s="30" t="str">
        <f t="shared" si="2639"/>
        <v/>
      </c>
      <c r="DI169" s="30" t="str">
        <f t="shared" si="2640"/>
        <v/>
      </c>
      <c r="DJ169" s="30" t="str">
        <f t="shared" si="2641"/>
        <v/>
      </c>
      <c r="DK169" s="30" t="str">
        <f t="shared" si="2642"/>
        <v/>
      </c>
      <c r="DL169" s="30" t="str">
        <f t="shared" si="2643"/>
        <v/>
      </c>
      <c r="DM169" s="30" t="str">
        <f t="shared" si="2644"/>
        <v/>
      </c>
      <c r="DN169" s="30" t="str">
        <f t="shared" si="2645"/>
        <v/>
      </c>
      <c r="DO169" s="30" t="str">
        <f t="shared" si="2646"/>
        <v/>
      </c>
      <c r="DP169" s="30" t="str">
        <f t="shared" si="2647"/>
        <v/>
      </c>
      <c r="DQ169" s="30" t="str">
        <f t="shared" si="2648"/>
        <v/>
      </c>
      <c r="DR169" s="30" t="str">
        <f t="shared" si="2649"/>
        <v/>
      </c>
      <c r="DS169" s="30" t="str">
        <f t="shared" si="2650"/>
        <v/>
      </c>
      <c r="DT169" s="30" t="str">
        <f t="shared" si="2651"/>
        <v/>
      </c>
      <c r="DU169" s="30" t="str">
        <f t="shared" si="2652"/>
        <v/>
      </c>
      <c r="DV169" s="30" t="str">
        <f t="shared" si="2653"/>
        <v/>
      </c>
      <c r="DW169" s="30" t="str">
        <f t="shared" si="2654"/>
        <v/>
      </c>
      <c r="DX169" s="30" t="str">
        <f t="shared" si="2655"/>
        <v/>
      </c>
      <c r="DY169" s="30" t="str">
        <f t="shared" si="2656"/>
        <v/>
      </c>
      <c r="DZ169" s="30" t="str">
        <f t="shared" si="2657"/>
        <v/>
      </c>
      <c r="EA169" s="30" t="str">
        <f t="shared" si="2658"/>
        <v/>
      </c>
      <c r="EB169" s="30" t="str">
        <f t="shared" si="2659"/>
        <v/>
      </c>
      <c r="EC169" s="30" t="str">
        <f t="shared" si="2660"/>
        <v/>
      </c>
      <c r="ED169" s="30" t="str">
        <f t="shared" si="2661"/>
        <v/>
      </c>
      <c r="EE169" s="30" t="str">
        <f t="shared" si="2662"/>
        <v/>
      </c>
      <c r="EF169" s="30" t="str">
        <f t="shared" si="2663"/>
        <v/>
      </c>
      <c r="EG169" s="30" t="str">
        <f t="shared" si="2664"/>
        <v/>
      </c>
      <c r="EH169" s="30" t="str">
        <f t="shared" si="2665"/>
        <v/>
      </c>
      <c r="EI169" s="30" t="str">
        <f t="shared" si="2666"/>
        <v/>
      </c>
      <c r="EJ169" s="30" t="str">
        <f t="shared" si="2667"/>
        <v/>
      </c>
      <c r="EK169" s="30" t="str">
        <f t="shared" si="2668"/>
        <v/>
      </c>
      <c r="EL169" s="30" t="str">
        <f t="shared" si="2669"/>
        <v/>
      </c>
      <c r="EM169" s="30" t="str">
        <f t="shared" si="2670"/>
        <v/>
      </c>
      <c r="EN169" s="30" t="str">
        <f t="shared" si="2671"/>
        <v/>
      </c>
      <c r="EO169" s="30" t="str">
        <f t="shared" si="2672"/>
        <v/>
      </c>
      <c r="EP169" s="30" t="str">
        <f t="shared" si="2673"/>
        <v/>
      </c>
      <c r="EQ169" s="30" t="str">
        <f t="shared" si="2674"/>
        <v/>
      </c>
      <c r="ER169" s="30" t="str">
        <f t="shared" si="2675"/>
        <v/>
      </c>
      <c r="ES169" s="30" t="str">
        <f t="shared" si="2676"/>
        <v/>
      </c>
      <c r="ET169" s="30" t="str">
        <f t="shared" si="2677"/>
        <v/>
      </c>
      <c r="EU169" s="30" t="str">
        <f t="shared" si="2678"/>
        <v/>
      </c>
      <c r="EV169" s="30" t="str">
        <f t="shared" si="2679"/>
        <v/>
      </c>
      <c r="EW169" s="30" t="str">
        <f t="shared" si="2680"/>
        <v/>
      </c>
      <c r="EX169" s="30" t="str">
        <f t="shared" si="2681"/>
        <v/>
      </c>
      <c r="EY169" s="30" t="str">
        <f t="shared" si="2682"/>
        <v/>
      </c>
      <c r="EZ169" s="30" t="str">
        <f t="shared" si="2683"/>
        <v/>
      </c>
      <c r="FA169" s="30" t="str">
        <f t="shared" si="2684"/>
        <v/>
      </c>
      <c r="FB169" s="30" t="str">
        <f t="shared" si="2685"/>
        <v/>
      </c>
      <c r="FC169" s="30" t="str">
        <f t="shared" si="2686"/>
        <v/>
      </c>
      <c r="FD169" s="30" t="str">
        <f t="shared" si="2687"/>
        <v/>
      </c>
      <c r="FE169" s="30" t="str">
        <f t="shared" si="2688"/>
        <v/>
      </c>
      <c r="FF169" s="30" t="str">
        <f t="shared" si="2689"/>
        <v/>
      </c>
      <c r="FG169" s="30" t="str">
        <f t="shared" si="2690"/>
        <v/>
      </c>
      <c r="FH169" s="30" t="str">
        <f t="shared" si="2691"/>
        <v/>
      </c>
      <c r="FI169" s="30" t="str">
        <f t="shared" si="2692"/>
        <v/>
      </c>
      <c r="FJ169" s="30" t="str">
        <f t="shared" si="2693"/>
        <v/>
      </c>
      <c r="FK169" s="30" t="str">
        <f t="shared" si="2694"/>
        <v/>
      </c>
      <c r="FL169" s="30" t="str">
        <f t="shared" si="2695"/>
        <v/>
      </c>
      <c r="FM169" s="30" t="str">
        <f t="shared" si="2696"/>
        <v/>
      </c>
      <c r="FN169" s="30" t="str">
        <f t="shared" si="2697"/>
        <v/>
      </c>
      <c r="FO169" s="30" t="str">
        <f t="shared" si="2698"/>
        <v/>
      </c>
      <c r="FP169" s="30" t="str">
        <f t="shared" si="2699"/>
        <v/>
      </c>
      <c r="FQ169" s="30" t="str">
        <f t="shared" si="2700"/>
        <v/>
      </c>
      <c r="FR169" s="30" t="str">
        <f t="shared" si="2701"/>
        <v/>
      </c>
      <c r="FS169" s="30" t="str">
        <f t="shared" si="2702"/>
        <v/>
      </c>
    </row>
    <row r="170" spans="1:175" ht="16.5">
      <c r="A170" s="88"/>
      <c r="B170" s="66"/>
      <c r="C170" s="88"/>
      <c r="T170" s="108"/>
      <c r="U170" s="32"/>
      <c r="CN170" s="7" t="str">
        <f t="shared" si="2627"/>
        <v>InitUnitState('',,,,,,,,,,)</v>
      </c>
      <c r="CO170" s="7" t="str">
        <f t="shared" si="2628"/>
        <v>InitUnitNormal('',,,,,,,,,,)</v>
      </c>
      <c r="CP170" s="7" t="str">
        <f t="shared" si="2629"/>
        <v>InitUnitMagic('',,,,,,,,,,)</v>
      </c>
      <c r="CQ170" s="7" t="str">
        <f t="shared" si="2630"/>
        <v>InitUnitAdd('',,,,,,,,,,)</v>
      </c>
      <c r="CR170" s="7" t="str">
        <f t="shared" si="2631"/>
        <v>InitEquipData('',,"",,,,,'','','','','','',"")</v>
      </c>
      <c r="CU170" s="45" t="str">
        <f t="shared" si="2632"/>
        <v>|n</v>
      </c>
      <c r="CW170" s="24"/>
      <c r="CX170" s="24"/>
      <c r="CY170" s="24"/>
      <c r="CZ170" s="24"/>
      <c r="DA170" s="24"/>
      <c r="DB170" s="30" t="str">
        <f t="shared" si="2633"/>
        <v/>
      </c>
      <c r="DC170" s="30" t="str">
        <f t="shared" si="2634"/>
        <v/>
      </c>
      <c r="DD170" s="30" t="str">
        <f t="shared" si="2635"/>
        <v/>
      </c>
      <c r="DE170" s="30" t="str">
        <f t="shared" si="2636"/>
        <v/>
      </c>
      <c r="DF170" s="30" t="str">
        <f t="shared" si="2637"/>
        <v/>
      </c>
      <c r="DG170" s="30" t="str">
        <f t="shared" si="2638"/>
        <v/>
      </c>
      <c r="DH170" s="30" t="str">
        <f t="shared" si="2639"/>
        <v/>
      </c>
      <c r="DI170" s="30" t="str">
        <f t="shared" si="2640"/>
        <v/>
      </c>
      <c r="DJ170" s="30" t="str">
        <f t="shared" si="2641"/>
        <v/>
      </c>
      <c r="DK170" s="30" t="str">
        <f t="shared" si="2642"/>
        <v/>
      </c>
      <c r="DL170" s="30" t="str">
        <f t="shared" si="2643"/>
        <v/>
      </c>
      <c r="DM170" s="30" t="str">
        <f t="shared" si="2644"/>
        <v/>
      </c>
      <c r="DN170" s="30" t="str">
        <f t="shared" si="2645"/>
        <v/>
      </c>
      <c r="DO170" s="30" t="str">
        <f t="shared" si="2646"/>
        <v/>
      </c>
      <c r="DP170" s="30" t="str">
        <f t="shared" si="2647"/>
        <v/>
      </c>
      <c r="DQ170" s="30" t="str">
        <f t="shared" si="2648"/>
        <v/>
      </c>
      <c r="DR170" s="30" t="str">
        <f t="shared" si="2649"/>
        <v/>
      </c>
      <c r="DS170" s="30" t="str">
        <f t="shared" si="2650"/>
        <v/>
      </c>
      <c r="DT170" s="30" t="str">
        <f t="shared" si="2651"/>
        <v/>
      </c>
      <c r="DU170" s="30" t="str">
        <f t="shared" si="2652"/>
        <v/>
      </c>
      <c r="DV170" s="30" t="str">
        <f t="shared" si="2653"/>
        <v/>
      </c>
      <c r="DW170" s="30" t="str">
        <f t="shared" si="2654"/>
        <v/>
      </c>
      <c r="DX170" s="30" t="str">
        <f t="shared" si="2655"/>
        <v/>
      </c>
      <c r="DY170" s="30" t="str">
        <f t="shared" si="2656"/>
        <v/>
      </c>
      <c r="DZ170" s="30" t="str">
        <f t="shared" si="2657"/>
        <v/>
      </c>
      <c r="EA170" s="30" t="str">
        <f t="shared" si="2658"/>
        <v/>
      </c>
      <c r="EB170" s="30" t="str">
        <f t="shared" si="2659"/>
        <v/>
      </c>
      <c r="EC170" s="30" t="str">
        <f t="shared" si="2660"/>
        <v/>
      </c>
      <c r="ED170" s="30" t="str">
        <f t="shared" si="2661"/>
        <v/>
      </c>
      <c r="EE170" s="30" t="str">
        <f t="shared" si="2662"/>
        <v/>
      </c>
      <c r="EF170" s="30" t="str">
        <f t="shared" si="2663"/>
        <v/>
      </c>
      <c r="EG170" s="30" t="str">
        <f t="shared" si="2664"/>
        <v/>
      </c>
      <c r="EH170" s="30" t="str">
        <f t="shared" si="2665"/>
        <v/>
      </c>
      <c r="EI170" s="30" t="str">
        <f t="shared" si="2666"/>
        <v/>
      </c>
      <c r="EJ170" s="30" t="str">
        <f t="shared" si="2667"/>
        <v/>
      </c>
      <c r="EK170" s="30" t="str">
        <f t="shared" si="2668"/>
        <v/>
      </c>
      <c r="EL170" s="30" t="str">
        <f t="shared" si="2669"/>
        <v/>
      </c>
      <c r="EM170" s="30" t="str">
        <f t="shared" si="2670"/>
        <v/>
      </c>
      <c r="EN170" s="30" t="str">
        <f t="shared" si="2671"/>
        <v/>
      </c>
      <c r="EO170" s="30" t="str">
        <f t="shared" si="2672"/>
        <v/>
      </c>
      <c r="EP170" s="30" t="str">
        <f t="shared" si="2673"/>
        <v/>
      </c>
      <c r="EQ170" s="30" t="str">
        <f t="shared" si="2674"/>
        <v/>
      </c>
      <c r="ER170" s="30" t="str">
        <f t="shared" si="2675"/>
        <v/>
      </c>
      <c r="ES170" s="30" t="str">
        <f t="shared" si="2676"/>
        <v/>
      </c>
      <c r="ET170" s="30" t="str">
        <f t="shared" si="2677"/>
        <v/>
      </c>
      <c r="EU170" s="30" t="str">
        <f t="shared" si="2678"/>
        <v/>
      </c>
      <c r="EV170" s="30" t="str">
        <f t="shared" si="2679"/>
        <v/>
      </c>
      <c r="EW170" s="30" t="str">
        <f t="shared" si="2680"/>
        <v/>
      </c>
      <c r="EX170" s="30" t="str">
        <f t="shared" si="2681"/>
        <v/>
      </c>
      <c r="EY170" s="30" t="str">
        <f t="shared" si="2682"/>
        <v/>
      </c>
      <c r="EZ170" s="30" t="str">
        <f t="shared" si="2683"/>
        <v/>
      </c>
      <c r="FA170" s="30" t="str">
        <f t="shared" si="2684"/>
        <v/>
      </c>
      <c r="FB170" s="30" t="str">
        <f t="shared" si="2685"/>
        <v/>
      </c>
      <c r="FC170" s="30" t="str">
        <f t="shared" si="2686"/>
        <v/>
      </c>
      <c r="FD170" s="30" t="str">
        <f t="shared" si="2687"/>
        <v/>
      </c>
      <c r="FE170" s="30" t="str">
        <f t="shared" si="2688"/>
        <v/>
      </c>
      <c r="FF170" s="30" t="str">
        <f t="shared" si="2689"/>
        <v/>
      </c>
      <c r="FG170" s="30" t="str">
        <f t="shared" si="2690"/>
        <v/>
      </c>
      <c r="FH170" s="30" t="str">
        <f t="shared" si="2691"/>
        <v/>
      </c>
      <c r="FI170" s="30" t="str">
        <f t="shared" si="2692"/>
        <v/>
      </c>
      <c r="FJ170" s="30" t="str">
        <f t="shared" si="2693"/>
        <v/>
      </c>
      <c r="FK170" s="30" t="str">
        <f t="shared" si="2694"/>
        <v/>
      </c>
      <c r="FL170" s="30" t="str">
        <f t="shared" si="2695"/>
        <v/>
      </c>
      <c r="FM170" s="30" t="str">
        <f t="shared" si="2696"/>
        <v/>
      </c>
      <c r="FN170" s="30" t="str">
        <f t="shared" si="2697"/>
        <v/>
      </c>
      <c r="FO170" s="30" t="str">
        <f t="shared" si="2698"/>
        <v/>
      </c>
      <c r="FP170" s="30" t="str">
        <f t="shared" si="2699"/>
        <v/>
      </c>
      <c r="FQ170" s="30" t="str">
        <f t="shared" si="2700"/>
        <v/>
      </c>
      <c r="FR170" s="30" t="str">
        <f t="shared" si="2701"/>
        <v/>
      </c>
      <c r="FS170" s="30" t="str">
        <f t="shared" si="2702"/>
        <v/>
      </c>
    </row>
    <row r="171" spans="1:175" ht="16.5">
      <c r="A171" s="88"/>
      <c r="B171" s="66"/>
      <c r="C171" s="88"/>
      <c r="T171" s="108"/>
      <c r="U171" s="32"/>
      <c r="CN171" s="7" t="str">
        <f t="shared" si="2627"/>
        <v>InitUnitState('',,,,,,,,,,)</v>
      </c>
      <c r="CO171" s="7" t="str">
        <f t="shared" si="2628"/>
        <v>InitUnitNormal('',,,,,,,,,,)</v>
      </c>
      <c r="CP171" s="7" t="str">
        <f t="shared" si="2629"/>
        <v>InitUnitMagic('',,,,,,,,,,)</v>
      </c>
      <c r="CQ171" s="7" t="str">
        <f t="shared" si="2630"/>
        <v>InitUnitAdd('',,,,,,,,,,)</v>
      </c>
      <c r="CR171" s="7" t="str">
        <f t="shared" si="2631"/>
        <v>InitEquipData('',,"",,,,,'','','','','','',"")</v>
      </c>
      <c r="CU171" s="45" t="str">
        <f t="shared" si="2632"/>
        <v>|n</v>
      </c>
      <c r="CW171" s="24"/>
      <c r="CX171" s="24"/>
      <c r="CY171" s="24"/>
      <c r="CZ171" s="24"/>
      <c r="DA171" s="24"/>
      <c r="DB171" s="30" t="str">
        <f t="shared" si="2633"/>
        <v/>
      </c>
      <c r="DC171" s="30" t="str">
        <f t="shared" si="2634"/>
        <v/>
      </c>
      <c r="DD171" s="30" t="str">
        <f t="shared" si="2635"/>
        <v/>
      </c>
      <c r="DE171" s="30" t="str">
        <f t="shared" si="2636"/>
        <v/>
      </c>
      <c r="DF171" s="30" t="str">
        <f t="shared" si="2637"/>
        <v/>
      </c>
      <c r="DG171" s="30" t="str">
        <f t="shared" si="2638"/>
        <v/>
      </c>
      <c r="DH171" s="30" t="str">
        <f t="shared" si="2639"/>
        <v/>
      </c>
      <c r="DI171" s="30" t="str">
        <f t="shared" si="2640"/>
        <v/>
      </c>
      <c r="DJ171" s="30" t="str">
        <f t="shared" si="2641"/>
        <v/>
      </c>
      <c r="DK171" s="30" t="str">
        <f t="shared" si="2642"/>
        <v/>
      </c>
      <c r="DL171" s="30" t="str">
        <f t="shared" si="2643"/>
        <v/>
      </c>
      <c r="DM171" s="30" t="str">
        <f t="shared" si="2644"/>
        <v/>
      </c>
      <c r="DN171" s="30" t="str">
        <f t="shared" si="2645"/>
        <v/>
      </c>
      <c r="DO171" s="30" t="str">
        <f t="shared" si="2646"/>
        <v/>
      </c>
      <c r="DP171" s="30" t="str">
        <f t="shared" si="2647"/>
        <v/>
      </c>
      <c r="DQ171" s="30" t="str">
        <f t="shared" si="2648"/>
        <v/>
      </c>
      <c r="DR171" s="30" t="str">
        <f t="shared" si="2649"/>
        <v/>
      </c>
      <c r="DS171" s="30" t="str">
        <f t="shared" si="2650"/>
        <v/>
      </c>
      <c r="DT171" s="30" t="str">
        <f t="shared" si="2651"/>
        <v/>
      </c>
      <c r="DU171" s="30" t="str">
        <f t="shared" si="2652"/>
        <v/>
      </c>
      <c r="DV171" s="30" t="str">
        <f t="shared" si="2653"/>
        <v/>
      </c>
      <c r="DW171" s="30" t="str">
        <f t="shared" si="2654"/>
        <v/>
      </c>
      <c r="DX171" s="30" t="str">
        <f t="shared" si="2655"/>
        <v/>
      </c>
      <c r="DY171" s="30" t="str">
        <f t="shared" si="2656"/>
        <v/>
      </c>
      <c r="DZ171" s="30" t="str">
        <f t="shared" si="2657"/>
        <v/>
      </c>
      <c r="EA171" s="30" t="str">
        <f t="shared" si="2658"/>
        <v/>
      </c>
      <c r="EB171" s="30" t="str">
        <f t="shared" si="2659"/>
        <v/>
      </c>
      <c r="EC171" s="30" t="str">
        <f t="shared" si="2660"/>
        <v/>
      </c>
      <c r="ED171" s="30" t="str">
        <f t="shared" si="2661"/>
        <v/>
      </c>
      <c r="EE171" s="30" t="str">
        <f t="shared" si="2662"/>
        <v/>
      </c>
      <c r="EF171" s="30" t="str">
        <f t="shared" si="2663"/>
        <v/>
      </c>
      <c r="EG171" s="30" t="str">
        <f t="shared" si="2664"/>
        <v/>
      </c>
      <c r="EH171" s="30" t="str">
        <f t="shared" si="2665"/>
        <v/>
      </c>
      <c r="EI171" s="30" t="str">
        <f t="shared" si="2666"/>
        <v/>
      </c>
      <c r="EJ171" s="30" t="str">
        <f t="shared" si="2667"/>
        <v/>
      </c>
      <c r="EK171" s="30" t="str">
        <f t="shared" si="2668"/>
        <v/>
      </c>
      <c r="EL171" s="30" t="str">
        <f t="shared" si="2669"/>
        <v/>
      </c>
      <c r="EM171" s="30" t="str">
        <f t="shared" si="2670"/>
        <v/>
      </c>
      <c r="EN171" s="30" t="str">
        <f t="shared" si="2671"/>
        <v/>
      </c>
      <c r="EO171" s="30" t="str">
        <f t="shared" si="2672"/>
        <v/>
      </c>
      <c r="EP171" s="30" t="str">
        <f t="shared" si="2673"/>
        <v/>
      </c>
      <c r="EQ171" s="30" t="str">
        <f t="shared" si="2674"/>
        <v/>
      </c>
      <c r="ER171" s="30" t="str">
        <f t="shared" si="2675"/>
        <v/>
      </c>
      <c r="ES171" s="30" t="str">
        <f t="shared" si="2676"/>
        <v/>
      </c>
      <c r="ET171" s="30" t="str">
        <f t="shared" si="2677"/>
        <v/>
      </c>
      <c r="EU171" s="30" t="str">
        <f t="shared" si="2678"/>
        <v/>
      </c>
      <c r="EV171" s="30" t="str">
        <f t="shared" si="2679"/>
        <v/>
      </c>
      <c r="EW171" s="30" t="str">
        <f t="shared" si="2680"/>
        <v/>
      </c>
      <c r="EX171" s="30" t="str">
        <f t="shared" si="2681"/>
        <v/>
      </c>
      <c r="EY171" s="30" t="str">
        <f t="shared" si="2682"/>
        <v/>
      </c>
      <c r="EZ171" s="30" t="str">
        <f t="shared" si="2683"/>
        <v/>
      </c>
      <c r="FA171" s="30" t="str">
        <f t="shared" si="2684"/>
        <v/>
      </c>
      <c r="FB171" s="30" t="str">
        <f t="shared" si="2685"/>
        <v/>
      </c>
      <c r="FC171" s="30" t="str">
        <f t="shared" si="2686"/>
        <v/>
      </c>
      <c r="FD171" s="30" t="str">
        <f t="shared" si="2687"/>
        <v/>
      </c>
      <c r="FE171" s="30" t="str">
        <f t="shared" si="2688"/>
        <v/>
      </c>
      <c r="FF171" s="30" t="str">
        <f t="shared" si="2689"/>
        <v/>
      </c>
      <c r="FG171" s="30" t="str">
        <f t="shared" si="2690"/>
        <v/>
      </c>
      <c r="FH171" s="30" t="str">
        <f t="shared" si="2691"/>
        <v/>
      </c>
      <c r="FI171" s="30" t="str">
        <f t="shared" si="2692"/>
        <v/>
      </c>
      <c r="FJ171" s="30" t="str">
        <f t="shared" si="2693"/>
        <v/>
      </c>
      <c r="FK171" s="30" t="str">
        <f t="shared" si="2694"/>
        <v/>
      </c>
      <c r="FL171" s="30" t="str">
        <f t="shared" si="2695"/>
        <v/>
      </c>
      <c r="FM171" s="30" t="str">
        <f t="shared" si="2696"/>
        <v/>
      </c>
      <c r="FN171" s="30" t="str">
        <f t="shared" si="2697"/>
        <v/>
      </c>
      <c r="FO171" s="30" t="str">
        <f t="shared" si="2698"/>
        <v/>
      </c>
      <c r="FP171" s="30" t="str">
        <f t="shared" si="2699"/>
        <v/>
      </c>
      <c r="FQ171" s="30" t="str">
        <f t="shared" si="2700"/>
        <v/>
      </c>
      <c r="FR171" s="30" t="str">
        <f t="shared" si="2701"/>
        <v/>
      </c>
      <c r="FS171" s="30" t="str">
        <f t="shared" si="2702"/>
        <v/>
      </c>
    </row>
    <row r="172" spans="1:175" ht="16.5">
      <c r="A172" s="88"/>
      <c r="B172" s="66"/>
      <c r="C172" s="88"/>
      <c r="T172" s="108"/>
      <c r="U172" s="32"/>
      <c r="CN172" s="7" t="str">
        <f t="shared" si="2627"/>
        <v>InitUnitState('',,,,,,,,,,)</v>
      </c>
      <c r="CO172" s="7" t="str">
        <f t="shared" si="2628"/>
        <v>InitUnitNormal('',,,,,,,,,,)</v>
      </c>
      <c r="CP172" s="7" t="str">
        <f t="shared" si="2629"/>
        <v>InitUnitMagic('',,,,,,,,,,)</v>
      </c>
      <c r="CQ172" s="7" t="str">
        <f t="shared" si="2630"/>
        <v>InitUnitAdd('',,,,,,,,,,)</v>
      </c>
      <c r="CR172" s="7" t="str">
        <f t="shared" si="2631"/>
        <v>InitEquipData('',,"",,,,,'','','','','','',"")</v>
      </c>
      <c r="CU172" s="45" t="str">
        <f t="shared" si="2632"/>
        <v>|n</v>
      </c>
      <c r="CW172" s="24"/>
      <c r="CX172" s="24"/>
      <c r="CY172" s="24"/>
      <c r="CZ172" s="24"/>
      <c r="DA172" s="24"/>
      <c r="DB172" s="30" t="str">
        <f t="shared" si="2633"/>
        <v/>
      </c>
      <c r="DC172" s="30" t="str">
        <f t="shared" si="2634"/>
        <v/>
      </c>
      <c r="DD172" s="30" t="str">
        <f t="shared" si="2635"/>
        <v/>
      </c>
      <c r="DE172" s="30" t="str">
        <f t="shared" si="2636"/>
        <v/>
      </c>
      <c r="DF172" s="30" t="str">
        <f t="shared" si="2637"/>
        <v/>
      </c>
      <c r="DG172" s="30" t="str">
        <f t="shared" si="2638"/>
        <v/>
      </c>
      <c r="DH172" s="30" t="str">
        <f t="shared" si="2639"/>
        <v/>
      </c>
      <c r="DI172" s="30" t="str">
        <f t="shared" si="2640"/>
        <v/>
      </c>
      <c r="DJ172" s="30" t="str">
        <f t="shared" si="2641"/>
        <v/>
      </c>
      <c r="DK172" s="30" t="str">
        <f t="shared" si="2642"/>
        <v/>
      </c>
      <c r="DL172" s="30" t="str">
        <f t="shared" si="2643"/>
        <v/>
      </c>
      <c r="DM172" s="30" t="str">
        <f t="shared" si="2644"/>
        <v/>
      </c>
      <c r="DN172" s="30" t="str">
        <f t="shared" si="2645"/>
        <v/>
      </c>
      <c r="DO172" s="30" t="str">
        <f t="shared" si="2646"/>
        <v/>
      </c>
      <c r="DP172" s="30" t="str">
        <f t="shared" si="2647"/>
        <v/>
      </c>
      <c r="DQ172" s="30" t="str">
        <f t="shared" si="2648"/>
        <v/>
      </c>
      <c r="DR172" s="30" t="str">
        <f t="shared" si="2649"/>
        <v/>
      </c>
      <c r="DS172" s="30" t="str">
        <f t="shared" si="2650"/>
        <v/>
      </c>
      <c r="DT172" s="30" t="str">
        <f t="shared" si="2651"/>
        <v/>
      </c>
      <c r="DU172" s="30" t="str">
        <f t="shared" si="2652"/>
        <v/>
      </c>
      <c r="DV172" s="30" t="str">
        <f t="shared" si="2653"/>
        <v/>
      </c>
      <c r="DW172" s="30" t="str">
        <f t="shared" si="2654"/>
        <v/>
      </c>
      <c r="DX172" s="30" t="str">
        <f t="shared" si="2655"/>
        <v/>
      </c>
      <c r="DY172" s="30" t="str">
        <f t="shared" si="2656"/>
        <v/>
      </c>
      <c r="DZ172" s="30" t="str">
        <f t="shared" si="2657"/>
        <v/>
      </c>
      <c r="EA172" s="30" t="str">
        <f t="shared" si="2658"/>
        <v/>
      </c>
      <c r="EB172" s="30" t="str">
        <f t="shared" si="2659"/>
        <v/>
      </c>
      <c r="EC172" s="30" t="str">
        <f t="shared" si="2660"/>
        <v/>
      </c>
      <c r="ED172" s="30" t="str">
        <f t="shared" si="2661"/>
        <v/>
      </c>
      <c r="EE172" s="30" t="str">
        <f t="shared" si="2662"/>
        <v/>
      </c>
      <c r="EF172" s="30" t="str">
        <f t="shared" si="2663"/>
        <v/>
      </c>
      <c r="EG172" s="30" t="str">
        <f t="shared" si="2664"/>
        <v/>
      </c>
      <c r="EH172" s="30" t="str">
        <f t="shared" si="2665"/>
        <v/>
      </c>
      <c r="EI172" s="30" t="str">
        <f t="shared" si="2666"/>
        <v/>
      </c>
      <c r="EJ172" s="30" t="str">
        <f t="shared" si="2667"/>
        <v/>
      </c>
      <c r="EK172" s="30" t="str">
        <f t="shared" si="2668"/>
        <v/>
      </c>
      <c r="EL172" s="30" t="str">
        <f t="shared" si="2669"/>
        <v/>
      </c>
      <c r="EM172" s="30" t="str">
        <f t="shared" si="2670"/>
        <v/>
      </c>
      <c r="EN172" s="30" t="str">
        <f t="shared" si="2671"/>
        <v/>
      </c>
      <c r="EO172" s="30" t="str">
        <f t="shared" si="2672"/>
        <v/>
      </c>
      <c r="EP172" s="30" t="str">
        <f t="shared" si="2673"/>
        <v/>
      </c>
      <c r="EQ172" s="30" t="str">
        <f t="shared" si="2674"/>
        <v/>
      </c>
      <c r="ER172" s="30" t="str">
        <f t="shared" si="2675"/>
        <v/>
      </c>
      <c r="ES172" s="30" t="str">
        <f t="shared" si="2676"/>
        <v/>
      </c>
      <c r="ET172" s="30" t="str">
        <f t="shared" si="2677"/>
        <v/>
      </c>
      <c r="EU172" s="30" t="str">
        <f t="shared" si="2678"/>
        <v/>
      </c>
      <c r="EV172" s="30" t="str">
        <f t="shared" si="2679"/>
        <v/>
      </c>
      <c r="EW172" s="30" t="str">
        <f t="shared" si="2680"/>
        <v/>
      </c>
      <c r="EX172" s="30" t="str">
        <f t="shared" si="2681"/>
        <v/>
      </c>
      <c r="EY172" s="30" t="str">
        <f t="shared" si="2682"/>
        <v/>
      </c>
      <c r="EZ172" s="30" t="str">
        <f t="shared" si="2683"/>
        <v/>
      </c>
      <c r="FA172" s="30" t="str">
        <f t="shared" si="2684"/>
        <v/>
      </c>
      <c r="FB172" s="30" t="str">
        <f t="shared" si="2685"/>
        <v/>
      </c>
      <c r="FC172" s="30" t="str">
        <f t="shared" si="2686"/>
        <v/>
      </c>
      <c r="FD172" s="30" t="str">
        <f t="shared" si="2687"/>
        <v/>
      </c>
      <c r="FE172" s="30" t="str">
        <f t="shared" si="2688"/>
        <v/>
      </c>
      <c r="FF172" s="30" t="str">
        <f t="shared" si="2689"/>
        <v/>
      </c>
      <c r="FG172" s="30" t="str">
        <f t="shared" si="2690"/>
        <v/>
      </c>
      <c r="FH172" s="30" t="str">
        <f t="shared" si="2691"/>
        <v/>
      </c>
      <c r="FI172" s="30" t="str">
        <f t="shared" si="2692"/>
        <v/>
      </c>
      <c r="FJ172" s="30" t="str">
        <f t="shared" si="2693"/>
        <v/>
      </c>
      <c r="FK172" s="30" t="str">
        <f t="shared" si="2694"/>
        <v/>
      </c>
      <c r="FL172" s="30" t="str">
        <f t="shared" si="2695"/>
        <v/>
      </c>
      <c r="FM172" s="30" t="str">
        <f t="shared" si="2696"/>
        <v/>
      </c>
      <c r="FN172" s="30" t="str">
        <f t="shared" si="2697"/>
        <v/>
      </c>
      <c r="FO172" s="30" t="str">
        <f t="shared" si="2698"/>
        <v/>
      </c>
      <c r="FP172" s="30" t="str">
        <f t="shared" si="2699"/>
        <v/>
      </c>
      <c r="FQ172" s="30" t="str">
        <f t="shared" si="2700"/>
        <v/>
      </c>
      <c r="FR172" s="30" t="str">
        <f t="shared" si="2701"/>
        <v/>
      </c>
      <c r="FS172" s="30" t="str">
        <f t="shared" si="2702"/>
        <v/>
      </c>
    </row>
    <row r="173" spans="1:175" ht="16.5">
      <c r="A173" s="88"/>
      <c r="B173" s="66"/>
      <c r="C173" s="88"/>
      <c r="T173" s="108"/>
      <c r="U173" s="32"/>
      <c r="CN173" s="7" t="str">
        <f t="shared" si="2627"/>
        <v>InitUnitState('',,,,,,,,,,)</v>
      </c>
      <c r="CO173" s="7" t="str">
        <f t="shared" si="2628"/>
        <v>InitUnitNormal('',,,,,,,,,,)</v>
      </c>
      <c r="CP173" s="7" t="str">
        <f t="shared" si="2629"/>
        <v>InitUnitMagic('',,,,,,,,,,)</v>
      </c>
      <c r="CQ173" s="7" t="str">
        <f t="shared" si="2630"/>
        <v>InitUnitAdd('',,,,,,,,,,)</v>
      </c>
      <c r="CR173" s="7" t="str">
        <f t="shared" si="2631"/>
        <v>InitEquipData('',,"",,,,,'','','','','','',"")</v>
      </c>
      <c r="CU173" s="45" t="str">
        <f t="shared" si="2632"/>
        <v>|n</v>
      </c>
      <c r="CW173" s="24"/>
      <c r="CX173" s="24"/>
      <c r="CY173" s="24"/>
      <c r="CZ173" s="24"/>
      <c r="DA173" s="24"/>
      <c r="DB173" s="30" t="str">
        <f t="shared" si="2633"/>
        <v/>
      </c>
      <c r="DC173" s="30" t="str">
        <f t="shared" si="2634"/>
        <v/>
      </c>
      <c r="DD173" s="30" t="str">
        <f t="shared" si="2635"/>
        <v/>
      </c>
      <c r="DE173" s="30" t="str">
        <f t="shared" si="2636"/>
        <v/>
      </c>
      <c r="DF173" s="30" t="str">
        <f t="shared" si="2637"/>
        <v/>
      </c>
      <c r="DG173" s="30" t="str">
        <f t="shared" si="2638"/>
        <v/>
      </c>
      <c r="DH173" s="30" t="str">
        <f t="shared" si="2639"/>
        <v/>
      </c>
      <c r="DI173" s="30" t="str">
        <f t="shared" si="2640"/>
        <v/>
      </c>
      <c r="DJ173" s="30" t="str">
        <f t="shared" si="2641"/>
        <v/>
      </c>
      <c r="DK173" s="30" t="str">
        <f t="shared" si="2642"/>
        <v/>
      </c>
      <c r="DL173" s="30" t="str">
        <f t="shared" si="2643"/>
        <v/>
      </c>
      <c r="DM173" s="30" t="str">
        <f t="shared" si="2644"/>
        <v/>
      </c>
      <c r="DN173" s="30" t="str">
        <f t="shared" si="2645"/>
        <v/>
      </c>
      <c r="DO173" s="30" t="str">
        <f t="shared" si="2646"/>
        <v/>
      </c>
      <c r="DP173" s="30" t="str">
        <f t="shared" si="2647"/>
        <v/>
      </c>
      <c r="DQ173" s="30" t="str">
        <f t="shared" si="2648"/>
        <v/>
      </c>
      <c r="DR173" s="30" t="str">
        <f t="shared" si="2649"/>
        <v/>
      </c>
      <c r="DS173" s="30" t="str">
        <f t="shared" si="2650"/>
        <v/>
      </c>
      <c r="DT173" s="30" t="str">
        <f t="shared" si="2651"/>
        <v/>
      </c>
      <c r="DU173" s="30" t="str">
        <f t="shared" si="2652"/>
        <v/>
      </c>
      <c r="DV173" s="30" t="str">
        <f t="shared" si="2653"/>
        <v/>
      </c>
      <c r="DW173" s="30" t="str">
        <f t="shared" si="2654"/>
        <v/>
      </c>
      <c r="DX173" s="30" t="str">
        <f t="shared" si="2655"/>
        <v/>
      </c>
      <c r="DY173" s="30" t="str">
        <f t="shared" si="2656"/>
        <v/>
      </c>
      <c r="DZ173" s="30" t="str">
        <f t="shared" si="2657"/>
        <v/>
      </c>
      <c r="EA173" s="30" t="str">
        <f t="shared" si="2658"/>
        <v/>
      </c>
      <c r="EB173" s="30" t="str">
        <f t="shared" si="2659"/>
        <v/>
      </c>
      <c r="EC173" s="30" t="str">
        <f t="shared" si="2660"/>
        <v/>
      </c>
      <c r="ED173" s="30" t="str">
        <f t="shared" si="2661"/>
        <v/>
      </c>
      <c r="EE173" s="30" t="str">
        <f t="shared" si="2662"/>
        <v/>
      </c>
      <c r="EF173" s="30" t="str">
        <f t="shared" si="2663"/>
        <v/>
      </c>
      <c r="EG173" s="30" t="str">
        <f t="shared" si="2664"/>
        <v/>
      </c>
      <c r="EH173" s="30" t="str">
        <f t="shared" si="2665"/>
        <v/>
      </c>
      <c r="EI173" s="30" t="str">
        <f t="shared" si="2666"/>
        <v/>
      </c>
      <c r="EJ173" s="30" t="str">
        <f t="shared" si="2667"/>
        <v/>
      </c>
      <c r="EK173" s="30" t="str">
        <f t="shared" si="2668"/>
        <v/>
      </c>
      <c r="EL173" s="30" t="str">
        <f t="shared" si="2669"/>
        <v/>
      </c>
      <c r="EM173" s="30" t="str">
        <f t="shared" si="2670"/>
        <v/>
      </c>
      <c r="EN173" s="30" t="str">
        <f t="shared" si="2671"/>
        <v/>
      </c>
      <c r="EO173" s="30" t="str">
        <f t="shared" si="2672"/>
        <v/>
      </c>
      <c r="EP173" s="30" t="str">
        <f t="shared" si="2673"/>
        <v/>
      </c>
      <c r="EQ173" s="30" t="str">
        <f t="shared" si="2674"/>
        <v/>
      </c>
      <c r="ER173" s="30" t="str">
        <f t="shared" si="2675"/>
        <v/>
      </c>
      <c r="ES173" s="30" t="str">
        <f t="shared" si="2676"/>
        <v/>
      </c>
      <c r="ET173" s="30" t="str">
        <f t="shared" si="2677"/>
        <v/>
      </c>
      <c r="EU173" s="30" t="str">
        <f t="shared" si="2678"/>
        <v/>
      </c>
      <c r="EV173" s="30" t="str">
        <f t="shared" si="2679"/>
        <v/>
      </c>
      <c r="EW173" s="30" t="str">
        <f t="shared" si="2680"/>
        <v/>
      </c>
      <c r="EX173" s="30" t="str">
        <f t="shared" si="2681"/>
        <v/>
      </c>
      <c r="EY173" s="30" t="str">
        <f t="shared" si="2682"/>
        <v/>
      </c>
      <c r="EZ173" s="30" t="str">
        <f t="shared" si="2683"/>
        <v/>
      </c>
      <c r="FA173" s="30" t="str">
        <f t="shared" si="2684"/>
        <v/>
      </c>
      <c r="FB173" s="30" t="str">
        <f t="shared" si="2685"/>
        <v/>
      </c>
      <c r="FC173" s="30" t="str">
        <f t="shared" si="2686"/>
        <v/>
      </c>
      <c r="FD173" s="30" t="str">
        <f t="shared" si="2687"/>
        <v/>
      </c>
      <c r="FE173" s="30" t="str">
        <f t="shared" si="2688"/>
        <v/>
      </c>
      <c r="FF173" s="30" t="str">
        <f t="shared" si="2689"/>
        <v/>
      </c>
      <c r="FG173" s="30" t="str">
        <f t="shared" si="2690"/>
        <v/>
      </c>
      <c r="FH173" s="30" t="str">
        <f t="shared" si="2691"/>
        <v/>
      </c>
      <c r="FI173" s="30" t="str">
        <f t="shared" si="2692"/>
        <v/>
      </c>
      <c r="FJ173" s="30" t="str">
        <f t="shared" si="2693"/>
        <v/>
      </c>
      <c r="FK173" s="30" t="str">
        <f t="shared" si="2694"/>
        <v/>
      </c>
      <c r="FL173" s="30" t="str">
        <f t="shared" si="2695"/>
        <v/>
      </c>
      <c r="FM173" s="30" t="str">
        <f t="shared" si="2696"/>
        <v/>
      </c>
      <c r="FN173" s="30" t="str">
        <f t="shared" si="2697"/>
        <v/>
      </c>
      <c r="FO173" s="30" t="str">
        <f t="shared" si="2698"/>
        <v/>
      </c>
      <c r="FP173" s="30" t="str">
        <f t="shared" si="2699"/>
        <v/>
      </c>
      <c r="FQ173" s="30" t="str">
        <f t="shared" si="2700"/>
        <v/>
      </c>
      <c r="FR173" s="30" t="str">
        <f t="shared" si="2701"/>
        <v/>
      </c>
      <c r="FS173" s="30" t="str">
        <f t="shared" si="2702"/>
        <v/>
      </c>
    </row>
    <row r="174" spans="1:175" ht="16.5">
      <c r="A174" s="88"/>
      <c r="B174" s="66"/>
      <c r="C174" s="88"/>
      <c r="T174" s="108"/>
      <c r="U174" s="32"/>
      <c r="CN174" s="7" t="str">
        <f t="shared" si="2627"/>
        <v>InitUnitState('',,,,,,,,,,)</v>
      </c>
      <c r="CO174" s="7" t="str">
        <f t="shared" si="2628"/>
        <v>InitUnitNormal('',,,,,,,,,,)</v>
      </c>
      <c r="CP174" s="7" t="str">
        <f t="shared" si="2629"/>
        <v>InitUnitMagic('',,,,,,,,,,)</v>
      </c>
      <c r="CQ174" s="7" t="str">
        <f t="shared" si="2630"/>
        <v>InitUnitAdd('',,,,,,,,,,)</v>
      </c>
      <c r="CR174" s="7" t="str">
        <f t="shared" si="2631"/>
        <v>InitEquipData('',,"",,,,,'','','','','','',"")</v>
      </c>
      <c r="CU174" s="45" t="str">
        <f t="shared" si="2632"/>
        <v>|n</v>
      </c>
      <c r="CW174" s="24"/>
      <c r="CX174" s="24"/>
      <c r="CY174" s="24"/>
      <c r="CZ174" s="24"/>
      <c r="DA174" s="24"/>
      <c r="DB174" s="30" t="str">
        <f t="shared" si="2633"/>
        <v/>
      </c>
      <c r="DC174" s="30" t="str">
        <f t="shared" si="2634"/>
        <v/>
      </c>
      <c r="DD174" s="30" t="str">
        <f t="shared" si="2635"/>
        <v/>
      </c>
      <c r="DE174" s="30" t="str">
        <f t="shared" si="2636"/>
        <v/>
      </c>
      <c r="DF174" s="30" t="str">
        <f t="shared" si="2637"/>
        <v/>
      </c>
      <c r="DG174" s="30" t="str">
        <f t="shared" si="2638"/>
        <v/>
      </c>
      <c r="DH174" s="30" t="str">
        <f t="shared" si="2639"/>
        <v/>
      </c>
      <c r="DI174" s="30" t="str">
        <f t="shared" si="2640"/>
        <v/>
      </c>
      <c r="DJ174" s="30" t="str">
        <f t="shared" si="2641"/>
        <v/>
      </c>
      <c r="DK174" s="30" t="str">
        <f t="shared" si="2642"/>
        <v/>
      </c>
      <c r="DL174" s="30" t="str">
        <f t="shared" si="2643"/>
        <v/>
      </c>
      <c r="DM174" s="30" t="str">
        <f t="shared" si="2644"/>
        <v/>
      </c>
      <c r="DN174" s="30" t="str">
        <f t="shared" si="2645"/>
        <v/>
      </c>
      <c r="DO174" s="30" t="str">
        <f t="shared" si="2646"/>
        <v/>
      </c>
      <c r="DP174" s="30" t="str">
        <f t="shared" si="2647"/>
        <v/>
      </c>
      <c r="DQ174" s="30" t="str">
        <f t="shared" si="2648"/>
        <v/>
      </c>
      <c r="DR174" s="30" t="str">
        <f t="shared" si="2649"/>
        <v/>
      </c>
      <c r="DS174" s="30" t="str">
        <f t="shared" si="2650"/>
        <v/>
      </c>
      <c r="DT174" s="30" t="str">
        <f t="shared" si="2651"/>
        <v/>
      </c>
      <c r="DU174" s="30" t="str">
        <f t="shared" si="2652"/>
        <v/>
      </c>
      <c r="DV174" s="30" t="str">
        <f t="shared" si="2653"/>
        <v/>
      </c>
      <c r="DW174" s="30" t="str">
        <f t="shared" si="2654"/>
        <v/>
      </c>
      <c r="DX174" s="30" t="str">
        <f t="shared" si="2655"/>
        <v/>
      </c>
      <c r="DY174" s="30" t="str">
        <f t="shared" si="2656"/>
        <v/>
      </c>
      <c r="DZ174" s="30" t="str">
        <f t="shared" si="2657"/>
        <v/>
      </c>
      <c r="EA174" s="30" t="str">
        <f t="shared" si="2658"/>
        <v/>
      </c>
      <c r="EB174" s="30" t="str">
        <f t="shared" si="2659"/>
        <v/>
      </c>
      <c r="EC174" s="30" t="str">
        <f t="shared" si="2660"/>
        <v/>
      </c>
      <c r="ED174" s="30" t="str">
        <f t="shared" si="2661"/>
        <v/>
      </c>
      <c r="EE174" s="30" t="str">
        <f t="shared" si="2662"/>
        <v/>
      </c>
      <c r="EF174" s="30" t="str">
        <f t="shared" si="2663"/>
        <v/>
      </c>
      <c r="EG174" s="30" t="str">
        <f t="shared" si="2664"/>
        <v/>
      </c>
      <c r="EH174" s="30" t="str">
        <f t="shared" si="2665"/>
        <v/>
      </c>
      <c r="EI174" s="30" t="str">
        <f t="shared" si="2666"/>
        <v/>
      </c>
      <c r="EJ174" s="30" t="str">
        <f t="shared" si="2667"/>
        <v/>
      </c>
      <c r="EK174" s="30" t="str">
        <f t="shared" si="2668"/>
        <v/>
      </c>
      <c r="EL174" s="30" t="str">
        <f t="shared" si="2669"/>
        <v/>
      </c>
      <c r="EM174" s="30" t="str">
        <f t="shared" si="2670"/>
        <v/>
      </c>
      <c r="EN174" s="30" t="str">
        <f t="shared" si="2671"/>
        <v/>
      </c>
      <c r="EO174" s="30" t="str">
        <f t="shared" si="2672"/>
        <v/>
      </c>
      <c r="EP174" s="30" t="str">
        <f t="shared" si="2673"/>
        <v/>
      </c>
      <c r="EQ174" s="30" t="str">
        <f t="shared" si="2674"/>
        <v/>
      </c>
      <c r="ER174" s="30" t="str">
        <f t="shared" si="2675"/>
        <v/>
      </c>
      <c r="ES174" s="30" t="str">
        <f t="shared" si="2676"/>
        <v/>
      </c>
      <c r="ET174" s="30" t="str">
        <f t="shared" si="2677"/>
        <v/>
      </c>
      <c r="EU174" s="30" t="str">
        <f t="shared" si="2678"/>
        <v/>
      </c>
      <c r="EV174" s="30" t="str">
        <f t="shared" si="2679"/>
        <v/>
      </c>
      <c r="EW174" s="30" t="str">
        <f t="shared" si="2680"/>
        <v/>
      </c>
      <c r="EX174" s="30" t="str">
        <f t="shared" si="2681"/>
        <v/>
      </c>
      <c r="EY174" s="30" t="str">
        <f t="shared" si="2682"/>
        <v/>
      </c>
      <c r="EZ174" s="30" t="str">
        <f t="shared" si="2683"/>
        <v/>
      </c>
      <c r="FA174" s="30" t="str">
        <f t="shared" si="2684"/>
        <v/>
      </c>
      <c r="FB174" s="30" t="str">
        <f t="shared" si="2685"/>
        <v/>
      </c>
      <c r="FC174" s="30" t="str">
        <f t="shared" si="2686"/>
        <v/>
      </c>
      <c r="FD174" s="30" t="str">
        <f t="shared" si="2687"/>
        <v/>
      </c>
      <c r="FE174" s="30" t="str">
        <f t="shared" si="2688"/>
        <v/>
      </c>
      <c r="FF174" s="30" t="str">
        <f t="shared" si="2689"/>
        <v/>
      </c>
      <c r="FG174" s="30" t="str">
        <f t="shared" si="2690"/>
        <v/>
      </c>
      <c r="FH174" s="30" t="str">
        <f t="shared" si="2691"/>
        <v/>
      </c>
      <c r="FI174" s="30" t="str">
        <f t="shared" si="2692"/>
        <v/>
      </c>
      <c r="FJ174" s="30" t="str">
        <f t="shared" si="2693"/>
        <v/>
      </c>
      <c r="FK174" s="30" t="str">
        <f t="shared" si="2694"/>
        <v/>
      </c>
      <c r="FL174" s="30" t="str">
        <f t="shared" si="2695"/>
        <v/>
      </c>
      <c r="FM174" s="30" t="str">
        <f t="shared" si="2696"/>
        <v/>
      </c>
      <c r="FN174" s="30" t="str">
        <f t="shared" si="2697"/>
        <v/>
      </c>
      <c r="FO174" s="30" t="str">
        <f t="shared" si="2698"/>
        <v/>
      </c>
      <c r="FP174" s="30" t="str">
        <f t="shared" si="2699"/>
        <v/>
      </c>
      <c r="FQ174" s="30" t="str">
        <f t="shared" si="2700"/>
        <v/>
      </c>
      <c r="FR174" s="30" t="str">
        <f t="shared" si="2701"/>
        <v/>
      </c>
      <c r="FS174" s="30" t="str">
        <f t="shared" si="2702"/>
        <v/>
      </c>
    </row>
    <row r="175" spans="1:175" ht="16.5">
      <c r="A175" s="88"/>
      <c r="B175" s="66"/>
      <c r="C175" s="88"/>
      <c r="T175" s="108"/>
      <c r="U175" s="32"/>
      <c r="CN175" s="7" t="str">
        <f t="shared" si="2627"/>
        <v>InitUnitState('',,,,,,,,,,)</v>
      </c>
      <c r="CO175" s="7" t="str">
        <f t="shared" si="2628"/>
        <v>InitUnitNormal('',,,,,,,,,,)</v>
      </c>
      <c r="CP175" s="7" t="str">
        <f t="shared" si="2629"/>
        <v>InitUnitMagic('',,,,,,,,,,)</v>
      </c>
      <c r="CQ175" s="7" t="str">
        <f t="shared" si="2630"/>
        <v>InitUnitAdd('',,,,,,,,,,)</v>
      </c>
      <c r="CR175" s="7" t="str">
        <f t="shared" si="2631"/>
        <v>InitEquipData('',,"",,,,,'','','','','','',"")</v>
      </c>
      <c r="CU175" s="45" t="str">
        <f t="shared" si="2632"/>
        <v>|n</v>
      </c>
      <c r="CW175" s="24"/>
      <c r="CX175" s="24"/>
      <c r="CY175" s="24"/>
      <c r="CZ175" s="24"/>
      <c r="DA175" s="24"/>
      <c r="DB175" s="30" t="str">
        <f t="shared" si="2633"/>
        <v/>
      </c>
      <c r="DC175" s="30" t="str">
        <f t="shared" si="2634"/>
        <v/>
      </c>
      <c r="DD175" s="30" t="str">
        <f t="shared" si="2635"/>
        <v/>
      </c>
      <c r="DE175" s="30" t="str">
        <f t="shared" si="2636"/>
        <v/>
      </c>
      <c r="DF175" s="30" t="str">
        <f t="shared" si="2637"/>
        <v/>
      </c>
      <c r="DG175" s="30" t="str">
        <f t="shared" si="2638"/>
        <v/>
      </c>
      <c r="DH175" s="30" t="str">
        <f t="shared" si="2639"/>
        <v/>
      </c>
      <c r="DI175" s="30" t="str">
        <f t="shared" si="2640"/>
        <v/>
      </c>
      <c r="DJ175" s="30" t="str">
        <f t="shared" si="2641"/>
        <v/>
      </c>
      <c r="DK175" s="30" t="str">
        <f t="shared" si="2642"/>
        <v/>
      </c>
      <c r="DL175" s="30" t="str">
        <f t="shared" si="2643"/>
        <v/>
      </c>
      <c r="DM175" s="30" t="str">
        <f t="shared" si="2644"/>
        <v/>
      </c>
      <c r="DN175" s="30" t="str">
        <f t="shared" si="2645"/>
        <v/>
      </c>
      <c r="DO175" s="30" t="str">
        <f t="shared" si="2646"/>
        <v/>
      </c>
      <c r="DP175" s="30" t="str">
        <f t="shared" si="2647"/>
        <v/>
      </c>
      <c r="DQ175" s="30" t="str">
        <f t="shared" si="2648"/>
        <v/>
      </c>
      <c r="DR175" s="30" t="str">
        <f t="shared" si="2649"/>
        <v/>
      </c>
      <c r="DS175" s="30" t="str">
        <f t="shared" si="2650"/>
        <v/>
      </c>
      <c r="DT175" s="30" t="str">
        <f t="shared" si="2651"/>
        <v/>
      </c>
      <c r="DU175" s="30" t="str">
        <f t="shared" si="2652"/>
        <v/>
      </c>
      <c r="DV175" s="30" t="str">
        <f t="shared" si="2653"/>
        <v/>
      </c>
      <c r="DW175" s="30" t="str">
        <f t="shared" si="2654"/>
        <v/>
      </c>
      <c r="DX175" s="30" t="str">
        <f t="shared" si="2655"/>
        <v/>
      </c>
      <c r="DY175" s="30" t="str">
        <f t="shared" si="2656"/>
        <v/>
      </c>
      <c r="DZ175" s="30" t="str">
        <f t="shared" si="2657"/>
        <v/>
      </c>
      <c r="EA175" s="30" t="str">
        <f t="shared" si="2658"/>
        <v/>
      </c>
      <c r="EB175" s="30" t="str">
        <f t="shared" si="2659"/>
        <v/>
      </c>
      <c r="EC175" s="30" t="str">
        <f t="shared" si="2660"/>
        <v/>
      </c>
      <c r="ED175" s="30" t="str">
        <f t="shared" si="2661"/>
        <v/>
      </c>
      <c r="EE175" s="30" t="str">
        <f t="shared" si="2662"/>
        <v/>
      </c>
      <c r="EF175" s="30" t="str">
        <f t="shared" si="2663"/>
        <v/>
      </c>
      <c r="EG175" s="30" t="str">
        <f t="shared" si="2664"/>
        <v/>
      </c>
      <c r="EH175" s="30" t="str">
        <f t="shared" si="2665"/>
        <v/>
      </c>
      <c r="EI175" s="30" t="str">
        <f t="shared" si="2666"/>
        <v/>
      </c>
      <c r="EJ175" s="30" t="str">
        <f t="shared" si="2667"/>
        <v/>
      </c>
      <c r="EK175" s="30" t="str">
        <f t="shared" si="2668"/>
        <v/>
      </c>
      <c r="EL175" s="30" t="str">
        <f t="shared" si="2669"/>
        <v/>
      </c>
      <c r="EM175" s="30" t="str">
        <f t="shared" si="2670"/>
        <v/>
      </c>
      <c r="EN175" s="30" t="str">
        <f t="shared" si="2671"/>
        <v/>
      </c>
      <c r="EO175" s="30" t="str">
        <f t="shared" si="2672"/>
        <v/>
      </c>
      <c r="EP175" s="30" t="str">
        <f t="shared" si="2673"/>
        <v/>
      </c>
      <c r="EQ175" s="30" t="str">
        <f t="shared" si="2674"/>
        <v/>
      </c>
      <c r="ER175" s="30" t="str">
        <f t="shared" si="2675"/>
        <v/>
      </c>
      <c r="ES175" s="30" t="str">
        <f t="shared" si="2676"/>
        <v/>
      </c>
      <c r="ET175" s="30" t="str">
        <f t="shared" si="2677"/>
        <v/>
      </c>
      <c r="EU175" s="30" t="str">
        <f t="shared" si="2678"/>
        <v/>
      </c>
      <c r="EV175" s="30" t="str">
        <f t="shared" si="2679"/>
        <v/>
      </c>
      <c r="EW175" s="30" t="str">
        <f t="shared" si="2680"/>
        <v/>
      </c>
      <c r="EX175" s="30" t="str">
        <f t="shared" si="2681"/>
        <v/>
      </c>
      <c r="EY175" s="30" t="str">
        <f t="shared" si="2682"/>
        <v/>
      </c>
      <c r="EZ175" s="30" t="str">
        <f t="shared" si="2683"/>
        <v/>
      </c>
      <c r="FA175" s="30" t="str">
        <f t="shared" si="2684"/>
        <v/>
      </c>
      <c r="FB175" s="30" t="str">
        <f t="shared" si="2685"/>
        <v/>
      </c>
      <c r="FC175" s="30" t="str">
        <f t="shared" si="2686"/>
        <v/>
      </c>
      <c r="FD175" s="30" t="str">
        <f t="shared" si="2687"/>
        <v/>
      </c>
      <c r="FE175" s="30" t="str">
        <f t="shared" si="2688"/>
        <v/>
      </c>
      <c r="FF175" s="30" t="str">
        <f t="shared" si="2689"/>
        <v/>
      </c>
      <c r="FG175" s="30" t="str">
        <f t="shared" si="2690"/>
        <v/>
      </c>
      <c r="FH175" s="30" t="str">
        <f t="shared" si="2691"/>
        <v/>
      </c>
      <c r="FI175" s="30" t="str">
        <f t="shared" si="2692"/>
        <v/>
      </c>
      <c r="FJ175" s="30" t="str">
        <f t="shared" si="2693"/>
        <v/>
      </c>
      <c r="FK175" s="30" t="str">
        <f t="shared" si="2694"/>
        <v/>
      </c>
      <c r="FL175" s="30" t="str">
        <f t="shared" si="2695"/>
        <v/>
      </c>
      <c r="FM175" s="30" t="str">
        <f t="shared" si="2696"/>
        <v/>
      </c>
      <c r="FN175" s="30" t="str">
        <f t="shared" si="2697"/>
        <v/>
      </c>
      <c r="FO175" s="30" t="str">
        <f t="shared" si="2698"/>
        <v/>
      </c>
      <c r="FP175" s="30" t="str">
        <f t="shared" si="2699"/>
        <v/>
      </c>
      <c r="FQ175" s="30" t="str">
        <f t="shared" si="2700"/>
        <v/>
      </c>
      <c r="FR175" s="30" t="str">
        <f t="shared" si="2701"/>
        <v/>
      </c>
      <c r="FS175" s="30" t="str">
        <f t="shared" si="2702"/>
        <v/>
      </c>
    </row>
    <row r="176" spans="1:175" ht="16.5">
      <c r="A176" s="88"/>
      <c r="B176" s="66"/>
      <c r="C176" s="88"/>
      <c r="T176" s="109"/>
      <c r="U176" s="32"/>
      <c r="CN176" s="7" t="str">
        <f t="shared" ref="CN176:CN195" si="2703">"InitUnitState('"&amp;B176&amp;"',"&amp;V176&amp;","&amp;W176&amp;","&amp;X176&amp;","&amp;Y176&amp;","&amp;Z176&amp;","&amp;AA176&amp;","&amp;AB176&amp;","&amp;AC176&amp;","&amp;AD176&amp;","&amp;AE176&amp;")"</f>
        <v>InitUnitState('',,,,,,,,,,)</v>
      </c>
      <c r="CO176" s="7" t="str">
        <f t="shared" ref="CO176:CO195" si="2704">"InitUnitNormal('"&amp;B176&amp;"',"&amp;AF176&amp;","&amp;AG176&amp;","&amp;AH176&amp;","&amp;AI176&amp;","&amp;AJ176&amp;","&amp;AK176&amp;","&amp;AL176&amp;","&amp;AM176&amp;","&amp;AN176&amp;","&amp;AO176&amp;")"</f>
        <v>InitUnitNormal('',,,,,,,,,,)</v>
      </c>
      <c r="CP176" s="7" t="str">
        <f t="shared" ref="CP176:CP195" si="2705">"InitUnitMagic('"&amp;B176&amp;"',"&amp;AP176&amp;","&amp;AQ176&amp;","&amp;AR176&amp;","&amp;AS176&amp;","&amp;AT176&amp;","&amp;AU176&amp;","&amp;AV176&amp;","&amp;AW176&amp;","&amp;BI176&amp;","&amp;BJ176&amp;")"</f>
        <v>InitUnitMagic('',,,,,,,,,,)</v>
      </c>
      <c r="CQ176" s="7" t="str">
        <f t="shared" ref="CQ176:CQ195" si="2706">"InitUnitAdd('"&amp;B176&amp;"',"&amp;BK176&amp;","&amp;BL176&amp;","&amp;BM176&amp;","&amp;BN176&amp;","&amp;BO176&amp;","&amp;BP176&amp;","&amp;BQ176&amp;","&amp;BR176&amp;","&amp;BS176&amp;","&amp;BT176&amp;")"</f>
        <v>InitUnitAdd('',,,,,,,,,,)</v>
      </c>
      <c r="CR176" s="7" t="str">
        <f t="shared" ref="CR176:CR195" si="2707"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InitEquipData('',,"",,,,,'','','','','','',"")</v>
      </c>
      <c r="CU176" s="45" t="str">
        <f t="shared" si="2632"/>
        <v>|n</v>
      </c>
      <c r="CW176" s="24"/>
      <c r="CX176" s="24"/>
      <c r="CY176" s="24"/>
      <c r="CZ176" s="24"/>
      <c r="DA176" s="24"/>
      <c r="DB176" s="30" t="str">
        <f t="shared" si="2633"/>
        <v/>
      </c>
      <c r="DC176" s="30" t="str">
        <f t="shared" si="2634"/>
        <v/>
      </c>
      <c r="DD176" s="30" t="str">
        <f t="shared" si="2635"/>
        <v/>
      </c>
      <c r="DE176" s="30" t="str">
        <f t="shared" si="2636"/>
        <v/>
      </c>
      <c r="DF176" s="30" t="str">
        <f t="shared" si="2637"/>
        <v/>
      </c>
      <c r="DG176" s="30" t="str">
        <f t="shared" si="2638"/>
        <v/>
      </c>
      <c r="DH176" s="30" t="str">
        <f t="shared" si="2639"/>
        <v/>
      </c>
      <c r="DI176" s="30" t="str">
        <f t="shared" si="2640"/>
        <v/>
      </c>
      <c r="DJ176" s="30" t="str">
        <f t="shared" si="2641"/>
        <v/>
      </c>
      <c r="DK176" s="30" t="str">
        <f t="shared" si="2642"/>
        <v/>
      </c>
      <c r="DL176" s="30" t="str">
        <f t="shared" si="2643"/>
        <v/>
      </c>
      <c r="DM176" s="30" t="str">
        <f t="shared" si="2644"/>
        <v/>
      </c>
      <c r="DN176" s="30" t="str">
        <f t="shared" si="2645"/>
        <v/>
      </c>
      <c r="DO176" s="30" t="str">
        <f t="shared" si="2646"/>
        <v/>
      </c>
      <c r="DP176" s="30" t="str">
        <f t="shared" si="2647"/>
        <v/>
      </c>
      <c r="DQ176" s="30" t="str">
        <f t="shared" si="2648"/>
        <v/>
      </c>
      <c r="DR176" s="30" t="str">
        <f t="shared" si="2649"/>
        <v/>
      </c>
      <c r="DS176" s="30" t="str">
        <f t="shared" si="2650"/>
        <v/>
      </c>
      <c r="DT176" s="30" t="str">
        <f t="shared" si="2651"/>
        <v/>
      </c>
      <c r="DU176" s="30" t="str">
        <f t="shared" si="2652"/>
        <v/>
      </c>
      <c r="DV176" s="30" t="str">
        <f t="shared" si="2653"/>
        <v/>
      </c>
      <c r="DW176" s="30" t="str">
        <f t="shared" si="2654"/>
        <v/>
      </c>
      <c r="DX176" s="30" t="str">
        <f t="shared" si="2655"/>
        <v/>
      </c>
      <c r="DY176" s="30" t="str">
        <f t="shared" si="2656"/>
        <v/>
      </c>
      <c r="DZ176" s="30" t="str">
        <f t="shared" si="2657"/>
        <v/>
      </c>
      <c r="EA176" s="30" t="str">
        <f t="shared" si="2658"/>
        <v/>
      </c>
      <c r="EB176" s="30" t="str">
        <f t="shared" si="2659"/>
        <v/>
      </c>
      <c r="EC176" s="30" t="str">
        <f t="shared" si="2660"/>
        <v/>
      </c>
      <c r="ED176" s="30" t="str">
        <f t="shared" si="2661"/>
        <v/>
      </c>
      <c r="EE176" s="30" t="str">
        <f t="shared" si="2662"/>
        <v/>
      </c>
      <c r="EF176" s="30" t="str">
        <f t="shared" si="2663"/>
        <v/>
      </c>
      <c r="EG176" s="30" t="str">
        <f t="shared" si="2664"/>
        <v/>
      </c>
      <c r="EH176" s="30" t="str">
        <f t="shared" si="2665"/>
        <v/>
      </c>
      <c r="EI176" s="30" t="str">
        <f t="shared" si="2666"/>
        <v/>
      </c>
      <c r="EJ176" s="30" t="str">
        <f t="shared" si="2667"/>
        <v/>
      </c>
      <c r="EK176" s="30" t="str">
        <f t="shared" si="2668"/>
        <v/>
      </c>
      <c r="EL176" s="30" t="str">
        <f t="shared" si="2669"/>
        <v/>
      </c>
      <c r="EM176" s="30" t="str">
        <f t="shared" si="2670"/>
        <v/>
      </c>
      <c r="EN176" s="30" t="str">
        <f t="shared" si="2671"/>
        <v/>
      </c>
      <c r="EO176" s="30" t="str">
        <f t="shared" si="2672"/>
        <v/>
      </c>
      <c r="EP176" s="30" t="str">
        <f t="shared" si="2673"/>
        <v/>
      </c>
      <c r="EQ176" s="30" t="str">
        <f t="shared" si="2674"/>
        <v/>
      </c>
      <c r="ER176" s="30" t="str">
        <f t="shared" si="2675"/>
        <v/>
      </c>
      <c r="ES176" s="30" t="str">
        <f t="shared" si="2676"/>
        <v/>
      </c>
      <c r="ET176" s="30" t="str">
        <f t="shared" si="2677"/>
        <v/>
      </c>
      <c r="EU176" s="30" t="str">
        <f t="shared" si="2678"/>
        <v/>
      </c>
      <c r="EV176" s="30" t="str">
        <f t="shared" si="2679"/>
        <v/>
      </c>
      <c r="EW176" s="30" t="str">
        <f t="shared" si="2680"/>
        <v/>
      </c>
      <c r="EX176" s="30" t="str">
        <f t="shared" si="2681"/>
        <v/>
      </c>
      <c r="EY176" s="30" t="str">
        <f t="shared" si="2682"/>
        <v/>
      </c>
      <c r="EZ176" s="30" t="str">
        <f t="shared" si="2683"/>
        <v/>
      </c>
      <c r="FA176" s="30" t="str">
        <f t="shared" si="2684"/>
        <v/>
      </c>
      <c r="FB176" s="30" t="str">
        <f t="shared" si="2685"/>
        <v/>
      </c>
      <c r="FC176" s="30" t="str">
        <f t="shared" si="2686"/>
        <v/>
      </c>
      <c r="FD176" s="30" t="str">
        <f t="shared" si="2687"/>
        <v/>
      </c>
      <c r="FE176" s="30" t="str">
        <f t="shared" si="2688"/>
        <v/>
      </c>
      <c r="FF176" s="30" t="str">
        <f t="shared" si="2689"/>
        <v/>
      </c>
      <c r="FG176" s="30" t="str">
        <f t="shared" si="2690"/>
        <v/>
      </c>
      <c r="FH176" s="30" t="str">
        <f t="shared" si="2691"/>
        <v/>
      </c>
      <c r="FI176" s="30" t="str">
        <f t="shared" si="2692"/>
        <v/>
      </c>
      <c r="FJ176" s="30" t="str">
        <f t="shared" si="2693"/>
        <v/>
      </c>
      <c r="FK176" s="30" t="str">
        <f t="shared" si="2694"/>
        <v/>
      </c>
      <c r="FL176" s="30" t="str">
        <f t="shared" si="2695"/>
        <v/>
      </c>
      <c r="FM176" s="30" t="str">
        <f t="shared" si="2696"/>
        <v/>
      </c>
      <c r="FN176" s="30" t="str">
        <f t="shared" si="2697"/>
        <v/>
      </c>
      <c r="FO176" s="30" t="str">
        <f t="shared" si="2698"/>
        <v/>
      </c>
      <c r="FP176" s="30" t="str">
        <f t="shared" si="2699"/>
        <v/>
      </c>
      <c r="FQ176" s="30" t="str">
        <f t="shared" si="2700"/>
        <v/>
      </c>
      <c r="FR176" s="30" t="str">
        <f t="shared" si="2701"/>
        <v/>
      </c>
      <c r="FS176" s="30" t="str">
        <f t="shared" si="2702"/>
        <v/>
      </c>
    </row>
    <row r="177" spans="1:175" ht="16.5">
      <c r="A177" s="88"/>
      <c r="B177" s="66"/>
      <c r="C177" s="88"/>
      <c r="T177" s="109"/>
      <c r="U177" s="32"/>
      <c r="CN177" s="7" t="str">
        <f t="shared" si="2703"/>
        <v>InitUnitState('',,,,,,,,,,)</v>
      </c>
      <c r="CO177" s="7" t="str">
        <f t="shared" si="2704"/>
        <v>InitUnitNormal('',,,,,,,,,,)</v>
      </c>
      <c r="CP177" s="7" t="str">
        <f t="shared" si="2705"/>
        <v>InitUnitMagic('',,,,,,,,,,)</v>
      </c>
      <c r="CQ177" s="7" t="str">
        <f t="shared" si="2706"/>
        <v>InitUnitAdd('',,,,,,,,,,)</v>
      </c>
      <c r="CR177" s="7" t="str">
        <f t="shared" si="2707"/>
        <v>InitEquipData('',,"",,,,,'','','','','','',"")</v>
      </c>
      <c r="CU177" s="45" t="str">
        <f t="shared" si="2632"/>
        <v>|n</v>
      </c>
      <c r="CW177" s="24"/>
      <c r="CX177" s="24"/>
      <c r="CY177" s="24"/>
      <c r="CZ177" s="24"/>
      <c r="DA177" s="24"/>
      <c r="DB177" s="30" t="str">
        <f t="shared" si="2633"/>
        <v/>
      </c>
      <c r="DC177" s="30" t="str">
        <f t="shared" si="2634"/>
        <v/>
      </c>
      <c r="DD177" s="30" t="str">
        <f t="shared" si="2635"/>
        <v/>
      </c>
      <c r="DE177" s="30" t="str">
        <f t="shared" si="2636"/>
        <v/>
      </c>
      <c r="DF177" s="30" t="str">
        <f t="shared" si="2637"/>
        <v/>
      </c>
      <c r="DG177" s="30" t="str">
        <f t="shared" si="2638"/>
        <v/>
      </c>
      <c r="DH177" s="30" t="str">
        <f t="shared" si="2639"/>
        <v/>
      </c>
      <c r="DI177" s="30" t="str">
        <f t="shared" si="2640"/>
        <v/>
      </c>
      <c r="DJ177" s="30" t="str">
        <f t="shared" si="2641"/>
        <v/>
      </c>
      <c r="DK177" s="30" t="str">
        <f t="shared" si="2642"/>
        <v/>
      </c>
      <c r="DL177" s="30" t="str">
        <f t="shared" si="2643"/>
        <v/>
      </c>
      <c r="DM177" s="30" t="str">
        <f t="shared" si="2644"/>
        <v/>
      </c>
      <c r="DN177" s="30" t="str">
        <f t="shared" si="2645"/>
        <v/>
      </c>
      <c r="DO177" s="30" t="str">
        <f t="shared" si="2646"/>
        <v/>
      </c>
      <c r="DP177" s="30" t="str">
        <f t="shared" si="2647"/>
        <v/>
      </c>
      <c r="DQ177" s="30" t="str">
        <f t="shared" si="2648"/>
        <v/>
      </c>
      <c r="DR177" s="30" t="str">
        <f t="shared" si="2649"/>
        <v/>
      </c>
      <c r="DS177" s="30" t="str">
        <f t="shared" si="2650"/>
        <v/>
      </c>
      <c r="DT177" s="30" t="str">
        <f t="shared" si="2651"/>
        <v/>
      </c>
      <c r="DU177" s="30" t="str">
        <f t="shared" si="2652"/>
        <v/>
      </c>
      <c r="DV177" s="30" t="str">
        <f t="shared" si="2653"/>
        <v/>
      </c>
      <c r="DW177" s="30" t="str">
        <f t="shared" si="2654"/>
        <v/>
      </c>
      <c r="DX177" s="30" t="str">
        <f t="shared" si="2655"/>
        <v/>
      </c>
      <c r="DY177" s="30" t="str">
        <f t="shared" si="2656"/>
        <v/>
      </c>
      <c r="DZ177" s="30" t="str">
        <f t="shared" si="2657"/>
        <v/>
      </c>
      <c r="EA177" s="30" t="str">
        <f t="shared" si="2658"/>
        <v/>
      </c>
      <c r="EB177" s="30" t="str">
        <f t="shared" si="2659"/>
        <v/>
      </c>
      <c r="EC177" s="30" t="str">
        <f t="shared" si="2660"/>
        <v/>
      </c>
      <c r="ED177" s="30" t="str">
        <f t="shared" si="2661"/>
        <v/>
      </c>
      <c r="EE177" s="30" t="str">
        <f t="shared" si="2662"/>
        <v/>
      </c>
      <c r="EF177" s="30" t="str">
        <f t="shared" si="2663"/>
        <v/>
      </c>
      <c r="EG177" s="30" t="str">
        <f t="shared" si="2664"/>
        <v/>
      </c>
      <c r="EH177" s="30" t="str">
        <f t="shared" si="2665"/>
        <v/>
      </c>
      <c r="EI177" s="30" t="str">
        <f t="shared" si="2666"/>
        <v/>
      </c>
      <c r="EJ177" s="30" t="str">
        <f t="shared" si="2667"/>
        <v/>
      </c>
      <c r="EK177" s="30" t="str">
        <f t="shared" si="2668"/>
        <v/>
      </c>
      <c r="EL177" s="30" t="str">
        <f t="shared" si="2669"/>
        <v/>
      </c>
      <c r="EM177" s="30" t="str">
        <f t="shared" si="2670"/>
        <v/>
      </c>
      <c r="EN177" s="30" t="str">
        <f t="shared" si="2671"/>
        <v/>
      </c>
      <c r="EO177" s="30" t="str">
        <f t="shared" si="2672"/>
        <v/>
      </c>
      <c r="EP177" s="30" t="str">
        <f t="shared" si="2673"/>
        <v/>
      </c>
      <c r="EQ177" s="30" t="str">
        <f t="shared" si="2674"/>
        <v/>
      </c>
      <c r="ER177" s="30" t="str">
        <f t="shared" si="2675"/>
        <v/>
      </c>
      <c r="ES177" s="30" t="str">
        <f t="shared" si="2676"/>
        <v/>
      </c>
      <c r="ET177" s="30" t="str">
        <f t="shared" si="2677"/>
        <v/>
      </c>
      <c r="EU177" s="30" t="str">
        <f t="shared" si="2678"/>
        <v/>
      </c>
      <c r="EV177" s="30" t="str">
        <f t="shared" si="2679"/>
        <v/>
      </c>
      <c r="EW177" s="30" t="str">
        <f t="shared" si="2680"/>
        <v/>
      </c>
      <c r="EX177" s="30" t="str">
        <f t="shared" si="2681"/>
        <v/>
      </c>
      <c r="EY177" s="30" t="str">
        <f t="shared" si="2682"/>
        <v/>
      </c>
      <c r="EZ177" s="30" t="str">
        <f t="shared" si="2683"/>
        <v/>
      </c>
      <c r="FA177" s="30" t="str">
        <f t="shared" si="2684"/>
        <v/>
      </c>
      <c r="FB177" s="30" t="str">
        <f t="shared" si="2685"/>
        <v/>
      </c>
      <c r="FC177" s="30" t="str">
        <f t="shared" si="2686"/>
        <v/>
      </c>
      <c r="FD177" s="30" t="str">
        <f t="shared" si="2687"/>
        <v/>
      </c>
      <c r="FE177" s="30" t="str">
        <f t="shared" si="2688"/>
        <v/>
      </c>
      <c r="FF177" s="30" t="str">
        <f t="shared" si="2689"/>
        <v/>
      </c>
      <c r="FG177" s="30" t="str">
        <f t="shared" si="2690"/>
        <v/>
      </c>
      <c r="FH177" s="30" t="str">
        <f t="shared" si="2691"/>
        <v/>
      </c>
      <c r="FI177" s="30" t="str">
        <f t="shared" si="2692"/>
        <v/>
      </c>
      <c r="FJ177" s="30" t="str">
        <f t="shared" si="2693"/>
        <v/>
      </c>
      <c r="FK177" s="30" t="str">
        <f t="shared" si="2694"/>
        <v/>
      </c>
      <c r="FL177" s="30" t="str">
        <f t="shared" si="2695"/>
        <v/>
      </c>
      <c r="FM177" s="30" t="str">
        <f t="shared" si="2696"/>
        <v/>
      </c>
      <c r="FN177" s="30" t="str">
        <f t="shared" si="2697"/>
        <v/>
      </c>
      <c r="FO177" s="30" t="str">
        <f t="shared" si="2698"/>
        <v/>
      </c>
      <c r="FP177" s="30" t="str">
        <f t="shared" si="2699"/>
        <v/>
      </c>
      <c r="FQ177" s="30" t="str">
        <f t="shared" si="2700"/>
        <v/>
      </c>
      <c r="FR177" s="30" t="str">
        <f t="shared" si="2701"/>
        <v/>
      </c>
      <c r="FS177" s="30" t="str">
        <f t="shared" si="2702"/>
        <v/>
      </c>
    </row>
    <row r="178" spans="1:175" ht="16.5">
      <c r="A178" s="88"/>
      <c r="B178" s="66"/>
      <c r="C178" s="88"/>
      <c r="T178" s="109"/>
      <c r="U178" s="32"/>
      <c r="CN178" s="7" t="str">
        <f t="shared" si="2703"/>
        <v>InitUnitState('',,,,,,,,,,)</v>
      </c>
      <c r="CO178" s="7" t="str">
        <f t="shared" si="2704"/>
        <v>InitUnitNormal('',,,,,,,,,,)</v>
      </c>
      <c r="CP178" s="7" t="str">
        <f t="shared" si="2705"/>
        <v>InitUnitMagic('',,,,,,,,,,)</v>
      </c>
      <c r="CQ178" s="7" t="str">
        <f t="shared" si="2706"/>
        <v>InitUnitAdd('',,,,,,,,,,)</v>
      </c>
      <c r="CR178" s="7" t="str">
        <f t="shared" si="2707"/>
        <v>InitEquipData('',,"",,,,,'','','','','','',"")</v>
      </c>
      <c r="CU178" s="45" t="str">
        <f t="shared" si="2632"/>
        <v>|n</v>
      </c>
      <c r="CW178" s="24"/>
      <c r="CX178" s="24"/>
      <c r="CY178" s="24"/>
      <c r="CZ178" s="24"/>
      <c r="DA178" s="24"/>
      <c r="DB178" s="30" t="str">
        <f t="shared" si="2633"/>
        <v/>
      </c>
      <c r="DC178" s="30" t="str">
        <f t="shared" si="2634"/>
        <v/>
      </c>
      <c r="DD178" s="30" t="str">
        <f t="shared" si="2635"/>
        <v/>
      </c>
      <c r="DE178" s="30" t="str">
        <f t="shared" si="2636"/>
        <v/>
      </c>
      <c r="DF178" s="30" t="str">
        <f t="shared" si="2637"/>
        <v/>
      </c>
      <c r="DG178" s="30" t="str">
        <f t="shared" si="2638"/>
        <v/>
      </c>
      <c r="DH178" s="30" t="str">
        <f t="shared" si="2639"/>
        <v/>
      </c>
      <c r="DI178" s="30" t="str">
        <f t="shared" si="2640"/>
        <v/>
      </c>
      <c r="DJ178" s="30" t="str">
        <f t="shared" si="2641"/>
        <v/>
      </c>
      <c r="DK178" s="30" t="str">
        <f t="shared" si="2642"/>
        <v/>
      </c>
      <c r="DL178" s="30" t="str">
        <f t="shared" si="2643"/>
        <v/>
      </c>
      <c r="DM178" s="30" t="str">
        <f t="shared" si="2644"/>
        <v/>
      </c>
      <c r="DN178" s="30" t="str">
        <f t="shared" si="2645"/>
        <v/>
      </c>
      <c r="DO178" s="30" t="str">
        <f t="shared" si="2646"/>
        <v/>
      </c>
      <c r="DP178" s="30" t="str">
        <f t="shared" si="2647"/>
        <v/>
      </c>
      <c r="DQ178" s="30" t="str">
        <f t="shared" si="2648"/>
        <v/>
      </c>
      <c r="DR178" s="30" t="str">
        <f t="shared" si="2649"/>
        <v/>
      </c>
      <c r="DS178" s="30" t="str">
        <f t="shared" si="2650"/>
        <v/>
      </c>
      <c r="DT178" s="30" t="str">
        <f t="shared" si="2651"/>
        <v/>
      </c>
      <c r="DU178" s="30" t="str">
        <f t="shared" si="2652"/>
        <v/>
      </c>
      <c r="DV178" s="30" t="str">
        <f t="shared" si="2653"/>
        <v/>
      </c>
      <c r="DW178" s="30" t="str">
        <f t="shared" si="2654"/>
        <v/>
      </c>
      <c r="DX178" s="30" t="str">
        <f t="shared" si="2655"/>
        <v/>
      </c>
      <c r="DY178" s="30" t="str">
        <f t="shared" si="2656"/>
        <v/>
      </c>
      <c r="DZ178" s="30" t="str">
        <f t="shared" si="2657"/>
        <v/>
      </c>
      <c r="EA178" s="30" t="str">
        <f t="shared" si="2658"/>
        <v/>
      </c>
      <c r="EB178" s="30" t="str">
        <f t="shared" si="2659"/>
        <v/>
      </c>
      <c r="EC178" s="30" t="str">
        <f t="shared" si="2660"/>
        <v/>
      </c>
      <c r="ED178" s="30" t="str">
        <f t="shared" si="2661"/>
        <v/>
      </c>
      <c r="EE178" s="30" t="str">
        <f t="shared" si="2662"/>
        <v/>
      </c>
      <c r="EF178" s="30" t="str">
        <f t="shared" si="2663"/>
        <v/>
      </c>
      <c r="EG178" s="30" t="str">
        <f t="shared" si="2664"/>
        <v/>
      </c>
      <c r="EH178" s="30" t="str">
        <f t="shared" si="2665"/>
        <v/>
      </c>
      <c r="EI178" s="30" t="str">
        <f t="shared" si="2666"/>
        <v/>
      </c>
      <c r="EJ178" s="30" t="str">
        <f t="shared" si="2667"/>
        <v/>
      </c>
      <c r="EK178" s="30" t="str">
        <f t="shared" si="2668"/>
        <v/>
      </c>
      <c r="EL178" s="30" t="str">
        <f t="shared" si="2669"/>
        <v/>
      </c>
      <c r="EM178" s="30" t="str">
        <f t="shared" si="2670"/>
        <v/>
      </c>
      <c r="EN178" s="30" t="str">
        <f t="shared" si="2671"/>
        <v/>
      </c>
      <c r="EO178" s="30" t="str">
        <f t="shared" si="2672"/>
        <v/>
      </c>
      <c r="EP178" s="30" t="str">
        <f t="shared" si="2673"/>
        <v/>
      </c>
      <c r="EQ178" s="30" t="str">
        <f t="shared" si="2674"/>
        <v/>
      </c>
      <c r="ER178" s="30" t="str">
        <f t="shared" si="2675"/>
        <v/>
      </c>
      <c r="ES178" s="30" t="str">
        <f t="shared" si="2676"/>
        <v/>
      </c>
      <c r="ET178" s="30" t="str">
        <f t="shared" si="2677"/>
        <v/>
      </c>
      <c r="EU178" s="30" t="str">
        <f t="shared" si="2678"/>
        <v/>
      </c>
      <c r="EV178" s="30" t="str">
        <f t="shared" si="2679"/>
        <v/>
      </c>
      <c r="EW178" s="30" t="str">
        <f t="shared" si="2680"/>
        <v/>
      </c>
      <c r="EX178" s="30" t="str">
        <f t="shared" si="2681"/>
        <v/>
      </c>
      <c r="EY178" s="30" t="str">
        <f t="shared" si="2682"/>
        <v/>
      </c>
      <c r="EZ178" s="30" t="str">
        <f t="shared" si="2683"/>
        <v/>
      </c>
      <c r="FA178" s="30" t="str">
        <f t="shared" si="2684"/>
        <v/>
      </c>
      <c r="FB178" s="30" t="str">
        <f t="shared" si="2685"/>
        <v/>
      </c>
      <c r="FC178" s="30" t="str">
        <f t="shared" si="2686"/>
        <v/>
      </c>
      <c r="FD178" s="30" t="str">
        <f t="shared" si="2687"/>
        <v/>
      </c>
      <c r="FE178" s="30" t="str">
        <f t="shared" si="2688"/>
        <v/>
      </c>
      <c r="FF178" s="30" t="str">
        <f t="shared" si="2689"/>
        <v/>
      </c>
      <c r="FG178" s="30" t="str">
        <f t="shared" si="2690"/>
        <v/>
      </c>
      <c r="FH178" s="30" t="str">
        <f t="shared" si="2691"/>
        <v/>
      </c>
      <c r="FI178" s="30" t="str">
        <f t="shared" si="2692"/>
        <v/>
      </c>
      <c r="FJ178" s="30" t="str">
        <f t="shared" si="2693"/>
        <v/>
      </c>
      <c r="FK178" s="30" t="str">
        <f t="shared" si="2694"/>
        <v/>
      </c>
      <c r="FL178" s="30" t="str">
        <f t="shared" si="2695"/>
        <v/>
      </c>
      <c r="FM178" s="30" t="str">
        <f t="shared" si="2696"/>
        <v/>
      </c>
      <c r="FN178" s="30" t="str">
        <f t="shared" si="2697"/>
        <v/>
      </c>
      <c r="FO178" s="30" t="str">
        <f t="shared" si="2698"/>
        <v/>
      </c>
      <c r="FP178" s="30" t="str">
        <f t="shared" si="2699"/>
        <v/>
      </c>
      <c r="FQ178" s="30" t="str">
        <f t="shared" si="2700"/>
        <v/>
      </c>
      <c r="FR178" s="30" t="str">
        <f t="shared" si="2701"/>
        <v/>
      </c>
      <c r="FS178" s="30" t="str">
        <f t="shared" si="2702"/>
        <v/>
      </c>
    </row>
    <row r="179" spans="1:175">
      <c r="A179" s="66"/>
      <c r="B179" s="66"/>
      <c r="C179" s="66"/>
      <c r="T179" s="100"/>
      <c r="U179" s="32"/>
      <c r="CN179" s="7" t="str">
        <f t="shared" si="2703"/>
        <v>InitUnitState('',,,,,,,,,,)</v>
      </c>
      <c r="CO179" s="7" t="str">
        <f t="shared" si="2704"/>
        <v>InitUnitNormal('',,,,,,,,,,)</v>
      </c>
      <c r="CP179" s="7" t="str">
        <f t="shared" si="2705"/>
        <v>InitUnitMagic('',,,,,,,,,,)</v>
      </c>
      <c r="CQ179" s="7" t="str">
        <f t="shared" si="2706"/>
        <v>InitUnitAdd('',,,,,,,,,,)</v>
      </c>
      <c r="CR179" s="7" t="str">
        <f t="shared" si="2707"/>
        <v>InitEquipData('',,"",,,,,'','','','','','',"")</v>
      </c>
      <c r="CU179" s="45" t="str">
        <f t="shared" si="2632"/>
        <v>|n</v>
      </c>
      <c r="CW179" s="24"/>
      <c r="CX179" s="24"/>
      <c r="CY179" s="24"/>
      <c r="CZ179" s="24"/>
      <c r="DA179" s="24"/>
      <c r="DB179" s="30" t="str">
        <f t="shared" si="2633"/>
        <v/>
      </c>
      <c r="DC179" s="30" t="str">
        <f t="shared" si="2634"/>
        <v/>
      </c>
      <c r="DD179" s="30" t="str">
        <f t="shared" si="2635"/>
        <v/>
      </c>
      <c r="DE179" s="30" t="str">
        <f t="shared" si="2636"/>
        <v/>
      </c>
      <c r="DF179" s="30" t="str">
        <f t="shared" si="2637"/>
        <v/>
      </c>
      <c r="DG179" s="30" t="str">
        <f t="shared" si="2638"/>
        <v/>
      </c>
      <c r="DH179" s="30" t="str">
        <f t="shared" si="2639"/>
        <v/>
      </c>
      <c r="DI179" s="30" t="str">
        <f t="shared" si="2640"/>
        <v/>
      </c>
      <c r="DJ179" s="30" t="str">
        <f t="shared" si="2641"/>
        <v/>
      </c>
      <c r="DK179" s="30" t="str">
        <f t="shared" si="2642"/>
        <v/>
      </c>
      <c r="DL179" s="30" t="str">
        <f t="shared" si="2643"/>
        <v/>
      </c>
      <c r="DM179" s="30" t="str">
        <f t="shared" si="2644"/>
        <v/>
      </c>
      <c r="DN179" s="30" t="str">
        <f t="shared" si="2645"/>
        <v/>
      </c>
      <c r="DO179" s="30" t="str">
        <f t="shared" si="2646"/>
        <v/>
      </c>
      <c r="DP179" s="30" t="str">
        <f t="shared" si="2647"/>
        <v/>
      </c>
      <c r="DQ179" s="30" t="str">
        <f t="shared" si="2648"/>
        <v/>
      </c>
      <c r="DR179" s="30" t="str">
        <f t="shared" si="2649"/>
        <v/>
      </c>
      <c r="DS179" s="30" t="str">
        <f t="shared" si="2650"/>
        <v/>
      </c>
      <c r="DT179" s="30" t="str">
        <f t="shared" si="2651"/>
        <v/>
      </c>
      <c r="DU179" s="30" t="str">
        <f t="shared" si="2652"/>
        <v/>
      </c>
      <c r="DV179" s="30" t="str">
        <f t="shared" si="2653"/>
        <v/>
      </c>
      <c r="DW179" s="30" t="str">
        <f t="shared" si="2654"/>
        <v/>
      </c>
      <c r="DX179" s="30" t="str">
        <f t="shared" si="2655"/>
        <v/>
      </c>
      <c r="DY179" s="30" t="str">
        <f t="shared" si="2656"/>
        <v/>
      </c>
      <c r="DZ179" s="30" t="str">
        <f t="shared" si="2657"/>
        <v/>
      </c>
      <c r="EA179" s="30" t="str">
        <f t="shared" si="2658"/>
        <v/>
      </c>
      <c r="EB179" s="30" t="str">
        <f t="shared" si="2659"/>
        <v/>
      </c>
      <c r="EC179" s="30" t="str">
        <f t="shared" si="2660"/>
        <v/>
      </c>
      <c r="ED179" s="30" t="str">
        <f t="shared" si="2661"/>
        <v/>
      </c>
      <c r="EE179" s="30" t="str">
        <f t="shared" si="2662"/>
        <v/>
      </c>
      <c r="EF179" s="30" t="str">
        <f t="shared" si="2663"/>
        <v/>
      </c>
      <c r="EG179" s="30" t="str">
        <f t="shared" si="2664"/>
        <v/>
      </c>
      <c r="EH179" s="30" t="str">
        <f t="shared" si="2665"/>
        <v/>
      </c>
      <c r="EI179" s="30" t="str">
        <f t="shared" si="2666"/>
        <v/>
      </c>
      <c r="EJ179" s="30" t="str">
        <f t="shared" si="2667"/>
        <v/>
      </c>
      <c r="EK179" s="30" t="str">
        <f t="shared" si="2668"/>
        <v/>
      </c>
      <c r="EL179" s="30" t="str">
        <f t="shared" si="2669"/>
        <v/>
      </c>
      <c r="EM179" s="30" t="str">
        <f t="shared" si="2670"/>
        <v/>
      </c>
      <c r="EN179" s="30" t="str">
        <f t="shared" si="2671"/>
        <v/>
      </c>
      <c r="EO179" s="30" t="str">
        <f t="shared" si="2672"/>
        <v/>
      </c>
      <c r="EP179" s="30" t="str">
        <f t="shared" si="2673"/>
        <v/>
      </c>
      <c r="EQ179" s="30" t="str">
        <f t="shared" si="2674"/>
        <v/>
      </c>
      <c r="ER179" s="30" t="str">
        <f t="shared" si="2675"/>
        <v/>
      </c>
      <c r="ES179" s="30" t="str">
        <f t="shared" si="2676"/>
        <v/>
      </c>
      <c r="ET179" s="30" t="str">
        <f t="shared" si="2677"/>
        <v/>
      </c>
      <c r="EU179" s="30" t="str">
        <f t="shared" si="2678"/>
        <v/>
      </c>
      <c r="EV179" s="30" t="str">
        <f t="shared" si="2679"/>
        <v/>
      </c>
      <c r="EW179" s="30" t="str">
        <f t="shared" si="2680"/>
        <v/>
      </c>
      <c r="EX179" s="30" t="str">
        <f t="shared" si="2681"/>
        <v/>
      </c>
      <c r="EY179" s="30" t="str">
        <f t="shared" si="2682"/>
        <v/>
      </c>
      <c r="EZ179" s="30" t="str">
        <f t="shared" si="2683"/>
        <v/>
      </c>
      <c r="FA179" s="30" t="str">
        <f t="shared" si="2684"/>
        <v/>
      </c>
      <c r="FB179" s="30" t="str">
        <f t="shared" si="2685"/>
        <v/>
      </c>
      <c r="FC179" s="30" t="str">
        <f t="shared" si="2686"/>
        <v/>
      </c>
      <c r="FD179" s="30" t="str">
        <f t="shared" si="2687"/>
        <v/>
      </c>
      <c r="FE179" s="30" t="str">
        <f t="shared" si="2688"/>
        <v/>
      </c>
      <c r="FF179" s="30" t="str">
        <f t="shared" si="2689"/>
        <v/>
      </c>
      <c r="FG179" s="30" t="str">
        <f t="shared" si="2690"/>
        <v/>
      </c>
      <c r="FH179" s="30" t="str">
        <f t="shared" si="2691"/>
        <v/>
      </c>
      <c r="FI179" s="30" t="str">
        <f t="shared" si="2692"/>
        <v/>
      </c>
      <c r="FJ179" s="30" t="str">
        <f t="shared" si="2693"/>
        <v/>
      </c>
      <c r="FK179" s="30" t="str">
        <f t="shared" si="2694"/>
        <v/>
      </c>
      <c r="FL179" s="30" t="str">
        <f t="shared" si="2695"/>
        <v/>
      </c>
      <c r="FM179" s="30" t="str">
        <f t="shared" si="2696"/>
        <v/>
      </c>
      <c r="FN179" s="30" t="str">
        <f t="shared" si="2697"/>
        <v/>
      </c>
      <c r="FO179" s="30" t="str">
        <f t="shared" si="2698"/>
        <v/>
      </c>
      <c r="FP179" s="30" t="str">
        <f t="shared" si="2699"/>
        <v/>
      </c>
      <c r="FQ179" s="30" t="str">
        <f t="shared" si="2700"/>
        <v/>
      </c>
      <c r="FR179" s="30" t="str">
        <f t="shared" si="2701"/>
        <v/>
      </c>
      <c r="FS179" s="30" t="str">
        <f t="shared" si="2702"/>
        <v/>
      </c>
    </row>
    <row r="180" spans="1:175">
      <c r="A180" s="66"/>
      <c r="B180" s="66"/>
      <c r="C180" s="66"/>
      <c r="T180" s="100"/>
      <c r="U180" s="32"/>
      <c r="CN180" s="7" t="str">
        <f t="shared" si="2703"/>
        <v>InitUnitState('',,,,,,,,,,)</v>
      </c>
      <c r="CO180" s="7" t="str">
        <f t="shared" si="2704"/>
        <v>InitUnitNormal('',,,,,,,,,,)</v>
      </c>
      <c r="CP180" s="7" t="str">
        <f t="shared" si="2705"/>
        <v>InitUnitMagic('',,,,,,,,,,)</v>
      </c>
      <c r="CQ180" s="7" t="str">
        <f t="shared" si="2706"/>
        <v>InitUnitAdd('',,,,,,,,,,)</v>
      </c>
      <c r="CR180" s="7" t="str">
        <f t="shared" si="2707"/>
        <v>InitEquipData('',,"",,,,,'','','','','','',"")</v>
      </c>
      <c r="CU180" s="45" t="str">
        <f t="shared" si="2632"/>
        <v>|n</v>
      </c>
      <c r="CW180" s="24"/>
      <c r="CX180" s="24"/>
      <c r="CY180" s="24"/>
      <c r="CZ180" s="24"/>
      <c r="DA180" s="24"/>
      <c r="DB180" s="30" t="str">
        <f t="shared" si="2633"/>
        <v/>
      </c>
      <c r="DC180" s="30" t="str">
        <f t="shared" si="2634"/>
        <v/>
      </c>
      <c r="DD180" s="30" t="str">
        <f t="shared" si="2635"/>
        <v/>
      </c>
      <c r="DE180" s="30" t="str">
        <f t="shared" si="2636"/>
        <v/>
      </c>
      <c r="DF180" s="30" t="str">
        <f t="shared" si="2637"/>
        <v/>
      </c>
      <c r="DG180" s="30" t="str">
        <f t="shared" si="2638"/>
        <v/>
      </c>
      <c r="DH180" s="30" t="str">
        <f t="shared" si="2639"/>
        <v/>
      </c>
      <c r="DI180" s="30" t="str">
        <f t="shared" si="2640"/>
        <v/>
      </c>
      <c r="DJ180" s="30" t="str">
        <f t="shared" si="2641"/>
        <v/>
      </c>
      <c r="DK180" s="30" t="str">
        <f t="shared" si="2642"/>
        <v/>
      </c>
      <c r="DL180" s="30" t="str">
        <f t="shared" si="2643"/>
        <v/>
      </c>
      <c r="DM180" s="30" t="str">
        <f t="shared" si="2644"/>
        <v/>
      </c>
      <c r="DN180" s="30" t="str">
        <f t="shared" si="2645"/>
        <v/>
      </c>
      <c r="DO180" s="30" t="str">
        <f t="shared" si="2646"/>
        <v/>
      </c>
      <c r="DP180" s="30" t="str">
        <f t="shared" si="2647"/>
        <v/>
      </c>
      <c r="DQ180" s="30" t="str">
        <f t="shared" si="2648"/>
        <v/>
      </c>
      <c r="DR180" s="30" t="str">
        <f t="shared" si="2649"/>
        <v/>
      </c>
      <c r="DS180" s="30" t="str">
        <f t="shared" si="2650"/>
        <v/>
      </c>
      <c r="DT180" s="30" t="str">
        <f t="shared" si="2651"/>
        <v/>
      </c>
      <c r="DU180" s="30" t="str">
        <f t="shared" si="2652"/>
        <v/>
      </c>
      <c r="DV180" s="30" t="str">
        <f t="shared" si="2653"/>
        <v/>
      </c>
      <c r="DW180" s="30" t="str">
        <f t="shared" si="2654"/>
        <v/>
      </c>
      <c r="DX180" s="30" t="str">
        <f t="shared" si="2655"/>
        <v/>
      </c>
      <c r="DY180" s="30" t="str">
        <f t="shared" si="2656"/>
        <v/>
      </c>
      <c r="DZ180" s="30" t="str">
        <f t="shared" si="2657"/>
        <v/>
      </c>
      <c r="EA180" s="30" t="str">
        <f t="shared" si="2658"/>
        <v/>
      </c>
      <c r="EB180" s="30" t="str">
        <f t="shared" si="2659"/>
        <v/>
      </c>
      <c r="EC180" s="30" t="str">
        <f t="shared" si="2660"/>
        <v/>
      </c>
      <c r="ED180" s="30" t="str">
        <f t="shared" si="2661"/>
        <v/>
      </c>
      <c r="EE180" s="30" t="str">
        <f t="shared" si="2662"/>
        <v/>
      </c>
      <c r="EF180" s="30" t="str">
        <f t="shared" si="2663"/>
        <v/>
      </c>
      <c r="EG180" s="30" t="str">
        <f t="shared" si="2664"/>
        <v/>
      </c>
      <c r="EH180" s="30" t="str">
        <f t="shared" si="2665"/>
        <v/>
      </c>
      <c r="EI180" s="30" t="str">
        <f t="shared" si="2666"/>
        <v/>
      </c>
      <c r="EJ180" s="30" t="str">
        <f t="shared" si="2667"/>
        <v/>
      </c>
      <c r="EK180" s="30" t="str">
        <f t="shared" si="2668"/>
        <v/>
      </c>
      <c r="EL180" s="30" t="str">
        <f t="shared" si="2669"/>
        <v/>
      </c>
      <c r="EM180" s="30" t="str">
        <f t="shared" si="2670"/>
        <v/>
      </c>
      <c r="EN180" s="30" t="str">
        <f t="shared" si="2671"/>
        <v/>
      </c>
      <c r="EO180" s="30" t="str">
        <f t="shared" si="2672"/>
        <v/>
      </c>
      <c r="EP180" s="30" t="str">
        <f t="shared" si="2673"/>
        <v/>
      </c>
      <c r="EQ180" s="30" t="str">
        <f t="shared" si="2674"/>
        <v/>
      </c>
      <c r="ER180" s="30" t="str">
        <f t="shared" si="2675"/>
        <v/>
      </c>
      <c r="ES180" s="30" t="str">
        <f t="shared" si="2676"/>
        <v/>
      </c>
      <c r="ET180" s="30" t="str">
        <f t="shared" si="2677"/>
        <v/>
      </c>
      <c r="EU180" s="30" t="str">
        <f t="shared" si="2678"/>
        <v/>
      </c>
      <c r="EV180" s="30" t="str">
        <f t="shared" si="2679"/>
        <v/>
      </c>
      <c r="EW180" s="30" t="str">
        <f t="shared" si="2680"/>
        <v/>
      </c>
      <c r="EX180" s="30" t="str">
        <f t="shared" si="2681"/>
        <v/>
      </c>
      <c r="EY180" s="30" t="str">
        <f t="shared" si="2682"/>
        <v/>
      </c>
      <c r="EZ180" s="30" t="str">
        <f t="shared" si="2683"/>
        <v/>
      </c>
      <c r="FA180" s="30" t="str">
        <f t="shared" si="2684"/>
        <v/>
      </c>
      <c r="FB180" s="30" t="str">
        <f t="shared" si="2685"/>
        <v/>
      </c>
      <c r="FC180" s="30" t="str">
        <f t="shared" si="2686"/>
        <v/>
      </c>
      <c r="FD180" s="30" t="str">
        <f t="shared" si="2687"/>
        <v/>
      </c>
      <c r="FE180" s="30" t="str">
        <f t="shared" si="2688"/>
        <v/>
      </c>
      <c r="FF180" s="30" t="str">
        <f t="shared" si="2689"/>
        <v/>
      </c>
      <c r="FG180" s="30" t="str">
        <f t="shared" si="2690"/>
        <v/>
      </c>
      <c r="FH180" s="30" t="str">
        <f t="shared" si="2691"/>
        <v/>
      </c>
      <c r="FI180" s="30" t="str">
        <f t="shared" si="2692"/>
        <v/>
      </c>
      <c r="FJ180" s="30" t="str">
        <f t="shared" si="2693"/>
        <v/>
      </c>
      <c r="FK180" s="30" t="str">
        <f t="shared" si="2694"/>
        <v/>
      </c>
      <c r="FL180" s="30" t="str">
        <f t="shared" si="2695"/>
        <v/>
      </c>
      <c r="FM180" s="30" t="str">
        <f t="shared" si="2696"/>
        <v/>
      </c>
      <c r="FN180" s="30" t="str">
        <f t="shared" si="2697"/>
        <v/>
      </c>
      <c r="FO180" s="30" t="str">
        <f t="shared" si="2698"/>
        <v/>
      </c>
      <c r="FP180" s="30" t="str">
        <f t="shared" si="2699"/>
        <v/>
      </c>
      <c r="FQ180" s="30" t="str">
        <f t="shared" si="2700"/>
        <v/>
      </c>
      <c r="FR180" s="30" t="str">
        <f t="shared" si="2701"/>
        <v/>
      </c>
      <c r="FS180" s="30" t="str">
        <f t="shared" si="2702"/>
        <v/>
      </c>
    </row>
    <row r="181" spans="1:175">
      <c r="A181" s="66"/>
      <c r="B181" s="66"/>
      <c r="C181" s="66"/>
      <c r="T181" s="100"/>
      <c r="U181" s="32"/>
      <c r="CN181" s="7" t="str">
        <f t="shared" si="2703"/>
        <v>InitUnitState('',,,,,,,,,,)</v>
      </c>
      <c r="CO181" s="7" t="str">
        <f t="shared" si="2704"/>
        <v>InitUnitNormal('',,,,,,,,,,)</v>
      </c>
      <c r="CP181" s="7" t="str">
        <f t="shared" si="2705"/>
        <v>InitUnitMagic('',,,,,,,,,,)</v>
      </c>
      <c r="CQ181" s="7" t="str">
        <f t="shared" si="2706"/>
        <v>InitUnitAdd('',,,,,,,,,,)</v>
      </c>
      <c r="CR181" s="7" t="str">
        <f t="shared" si="2707"/>
        <v>InitEquipData('',,"",,,,,'','','','','','',"")</v>
      </c>
      <c r="CU181" s="45" t="str">
        <f t="shared" si="2632"/>
        <v>|n</v>
      </c>
      <c r="CW181" s="24"/>
      <c r="CX181" s="24"/>
      <c r="CY181" s="24"/>
      <c r="CZ181" s="24"/>
      <c r="DA181" s="24"/>
      <c r="DB181" s="30" t="str">
        <f t="shared" si="2633"/>
        <v/>
      </c>
      <c r="DC181" s="30" t="str">
        <f t="shared" si="2634"/>
        <v/>
      </c>
      <c r="DD181" s="30" t="str">
        <f t="shared" si="2635"/>
        <v/>
      </c>
      <c r="DE181" s="30" t="str">
        <f t="shared" si="2636"/>
        <v/>
      </c>
      <c r="DF181" s="30" t="str">
        <f t="shared" si="2637"/>
        <v/>
      </c>
      <c r="DG181" s="30" t="str">
        <f t="shared" si="2638"/>
        <v/>
      </c>
      <c r="DH181" s="30" t="str">
        <f t="shared" si="2639"/>
        <v/>
      </c>
      <c r="DI181" s="30" t="str">
        <f t="shared" si="2640"/>
        <v/>
      </c>
      <c r="DJ181" s="30" t="str">
        <f t="shared" si="2641"/>
        <v/>
      </c>
      <c r="DK181" s="30" t="str">
        <f t="shared" si="2642"/>
        <v/>
      </c>
      <c r="DL181" s="30" t="str">
        <f t="shared" si="2643"/>
        <v/>
      </c>
      <c r="DM181" s="30" t="str">
        <f t="shared" si="2644"/>
        <v/>
      </c>
      <c r="DN181" s="30" t="str">
        <f t="shared" si="2645"/>
        <v/>
      </c>
      <c r="DO181" s="30" t="str">
        <f t="shared" si="2646"/>
        <v/>
      </c>
      <c r="DP181" s="30" t="str">
        <f t="shared" si="2647"/>
        <v/>
      </c>
      <c r="DQ181" s="30" t="str">
        <f t="shared" si="2648"/>
        <v/>
      </c>
      <c r="DR181" s="30" t="str">
        <f t="shared" si="2649"/>
        <v/>
      </c>
      <c r="DS181" s="30" t="str">
        <f t="shared" si="2650"/>
        <v/>
      </c>
      <c r="DT181" s="30" t="str">
        <f t="shared" si="2651"/>
        <v/>
      </c>
      <c r="DU181" s="30" t="str">
        <f t="shared" si="2652"/>
        <v/>
      </c>
      <c r="DV181" s="30" t="str">
        <f t="shared" si="2653"/>
        <v/>
      </c>
      <c r="DW181" s="30" t="str">
        <f t="shared" si="2654"/>
        <v/>
      </c>
      <c r="DX181" s="30" t="str">
        <f t="shared" si="2655"/>
        <v/>
      </c>
      <c r="DY181" s="30" t="str">
        <f t="shared" si="2656"/>
        <v/>
      </c>
      <c r="DZ181" s="30" t="str">
        <f t="shared" si="2657"/>
        <v/>
      </c>
      <c r="EA181" s="30" t="str">
        <f t="shared" si="2658"/>
        <v/>
      </c>
      <c r="EB181" s="30" t="str">
        <f t="shared" si="2659"/>
        <v/>
      </c>
      <c r="EC181" s="30" t="str">
        <f t="shared" si="2660"/>
        <v/>
      </c>
      <c r="ED181" s="30" t="str">
        <f t="shared" si="2661"/>
        <v/>
      </c>
      <c r="EE181" s="30" t="str">
        <f t="shared" si="2662"/>
        <v/>
      </c>
      <c r="EF181" s="30" t="str">
        <f t="shared" si="2663"/>
        <v/>
      </c>
      <c r="EG181" s="30" t="str">
        <f t="shared" si="2664"/>
        <v/>
      </c>
      <c r="EH181" s="30" t="str">
        <f t="shared" si="2665"/>
        <v/>
      </c>
      <c r="EI181" s="30" t="str">
        <f t="shared" si="2666"/>
        <v/>
      </c>
      <c r="EJ181" s="30" t="str">
        <f t="shared" si="2667"/>
        <v/>
      </c>
      <c r="EK181" s="30" t="str">
        <f t="shared" si="2668"/>
        <v/>
      </c>
      <c r="EL181" s="30" t="str">
        <f t="shared" si="2669"/>
        <v/>
      </c>
      <c r="EM181" s="30" t="str">
        <f t="shared" si="2670"/>
        <v/>
      </c>
      <c r="EN181" s="30" t="str">
        <f t="shared" si="2671"/>
        <v/>
      </c>
      <c r="EO181" s="30" t="str">
        <f t="shared" si="2672"/>
        <v/>
      </c>
      <c r="EP181" s="30" t="str">
        <f t="shared" si="2673"/>
        <v/>
      </c>
      <c r="EQ181" s="30" t="str">
        <f t="shared" si="2674"/>
        <v/>
      </c>
      <c r="ER181" s="30" t="str">
        <f t="shared" si="2675"/>
        <v/>
      </c>
      <c r="ES181" s="30" t="str">
        <f t="shared" si="2676"/>
        <v/>
      </c>
      <c r="ET181" s="30" t="str">
        <f t="shared" si="2677"/>
        <v/>
      </c>
      <c r="EU181" s="30" t="str">
        <f t="shared" si="2678"/>
        <v/>
      </c>
      <c r="EV181" s="30" t="str">
        <f t="shared" si="2679"/>
        <v/>
      </c>
      <c r="EW181" s="30" t="str">
        <f t="shared" si="2680"/>
        <v/>
      </c>
      <c r="EX181" s="30" t="str">
        <f t="shared" si="2681"/>
        <v/>
      </c>
      <c r="EY181" s="30" t="str">
        <f t="shared" si="2682"/>
        <v/>
      </c>
      <c r="EZ181" s="30" t="str">
        <f t="shared" si="2683"/>
        <v/>
      </c>
      <c r="FA181" s="30" t="str">
        <f t="shared" si="2684"/>
        <v/>
      </c>
      <c r="FB181" s="30" t="str">
        <f t="shared" si="2685"/>
        <v/>
      </c>
      <c r="FC181" s="30" t="str">
        <f t="shared" si="2686"/>
        <v/>
      </c>
      <c r="FD181" s="30" t="str">
        <f t="shared" si="2687"/>
        <v/>
      </c>
      <c r="FE181" s="30" t="str">
        <f t="shared" si="2688"/>
        <v/>
      </c>
      <c r="FF181" s="30" t="str">
        <f t="shared" si="2689"/>
        <v/>
      </c>
      <c r="FG181" s="30" t="str">
        <f t="shared" si="2690"/>
        <v/>
      </c>
      <c r="FH181" s="30" t="str">
        <f t="shared" si="2691"/>
        <v/>
      </c>
      <c r="FI181" s="30" t="str">
        <f t="shared" si="2692"/>
        <v/>
      </c>
      <c r="FJ181" s="30" t="str">
        <f t="shared" si="2693"/>
        <v/>
      </c>
      <c r="FK181" s="30" t="str">
        <f t="shared" si="2694"/>
        <v/>
      </c>
      <c r="FL181" s="30" t="str">
        <f t="shared" si="2695"/>
        <v/>
      </c>
      <c r="FM181" s="30" t="str">
        <f t="shared" si="2696"/>
        <v/>
      </c>
      <c r="FN181" s="30" t="str">
        <f t="shared" si="2697"/>
        <v/>
      </c>
      <c r="FO181" s="30" t="str">
        <f t="shared" si="2698"/>
        <v/>
      </c>
      <c r="FP181" s="30" t="str">
        <f t="shared" si="2699"/>
        <v/>
      </c>
      <c r="FQ181" s="30" t="str">
        <f t="shared" si="2700"/>
        <v/>
      </c>
      <c r="FR181" s="30" t="str">
        <f t="shared" si="2701"/>
        <v/>
      </c>
      <c r="FS181" s="30" t="str">
        <f t="shared" si="2702"/>
        <v/>
      </c>
    </row>
    <row r="182" spans="1:175">
      <c r="A182" s="66"/>
      <c r="B182" s="66"/>
      <c r="C182" s="66"/>
      <c r="T182" s="100"/>
      <c r="U182" s="32"/>
      <c r="CN182" s="7" t="str">
        <f t="shared" si="2703"/>
        <v>InitUnitState('',,,,,,,,,,)</v>
      </c>
      <c r="CO182" s="7" t="str">
        <f t="shared" si="2704"/>
        <v>InitUnitNormal('',,,,,,,,,,)</v>
      </c>
      <c r="CP182" s="7" t="str">
        <f t="shared" si="2705"/>
        <v>InitUnitMagic('',,,,,,,,,,)</v>
      </c>
      <c r="CQ182" s="7" t="str">
        <f t="shared" si="2706"/>
        <v>InitUnitAdd('',,,,,,,,,,)</v>
      </c>
      <c r="CR182" s="7" t="str">
        <f t="shared" si="2707"/>
        <v>InitEquipData('',,"",,,,,'','','','','','',"")</v>
      </c>
      <c r="CU182" s="45" t="str">
        <f t="shared" ref="CU182:CU223" si="2708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W182" s="24"/>
      <c r="CX182" s="24"/>
      <c r="CY182" s="24"/>
      <c r="CZ182" s="24"/>
      <c r="DA182" s="24"/>
      <c r="DB182" s="30" t="str">
        <f t="shared" ref="DB182:DB223" si="2709">IF(V182="","","|n"&amp;DB$2&amp;"+"&amp;V182&amp;DB$1)</f>
        <v/>
      </c>
      <c r="DC182" s="30" t="str">
        <f t="shared" ref="DC182:DC223" si="2710">IF(W182="","","|n"&amp;DC$2&amp;"+"&amp;W182&amp;DC$1)</f>
        <v/>
      </c>
      <c r="DD182" s="30" t="str">
        <f t="shared" ref="DD182:DD223" si="2711">IF(X182="","","|n"&amp;DD$2&amp;"+"&amp;X182&amp;DD$1)</f>
        <v/>
      </c>
      <c r="DE182" s="30" t="str">
        <f t="shared" ref="DE182:DE223" si="2712">IF(Y182="","","|n"&amp;DE$2&amp;"+"&amp;Y182&amp;DE$1)</f>
        <v/>
      </c>
      <c r="DF182" s="30" t="str">
        <f t="shared" ref="DF182:DF223" si="2713">IF(Z182="","","|n"&amp;DF$2&amp;"+"&amp;Z182&amp;DF$1)</f>
        <v/>
      </c>
      <c r="DG182" s="30" t="str">
        <f t="shared" ref="DG182:DG223" si="2714">IF(AA182="","","|n"&amp;DG$2&amp;"+"&amp;AA182&amp;DG$1)</f>
        <v/>
      </c>
      <c r="DH182" s="30" t="str">
        <f t="shared" ref="DH182:DH223" si="2715">IF(AB182="","","|n"&amp;DH$2&amp;"+"&amp;AB182&amp;DH$1)</f>
        <v/>
      </c>
      <c r="DI182" s="30" t="str">
        <f t="shared" ref="DI182:DI223" si="2716">IF(AC182="","","|n"&amp;DI$2&amp;"+"&amp;AC182&amp;DI$1)</f>
        <v/>
      </c>
      <c r="DJ182" s="30" t="str">
        <f t="shared" ref="DJ182:DJ223" si="2717">IF(AD182="","","|n"&amp;DJ$2&amp;"+"&amp;AD182&amp;DJ$1)</f>
        <v/>
      </c>
      <c r="DK182" s="30" t="str">
        <f t="shared" ref="DK182:DK223" si="2718">IF(AE182="","","|n"&amp;DK$2&amp;"+"&amp;AE182&amp;DK$1)</f>
        <v/>
      </c>
      <c r="DL182" s="30" t="str">
        <f t="shared" ref="DL182:DL223" si="2719">IF(AF182="","","|n"&amp;DL$2&amp;"+"&amp;AF182&amp;DL$1)</f>
        <v/>
      </c>
      <c r="DM182" s="30" t="str">
        <f t="shared" ref="DM182:DM223" si="2720">IF(AG182="","","|n"&amp;DM$2&amp;"+"&amp;AG182&amp;DM$1)</f>
        <v/>
      </c>
      <c r="DN182" s="30" t="str">
        <f t="shared" ref="DN182:DN223" si="2721">IF(AH182="","","|n"&amp;DN$2&amp;"+"&amp;AH182&amp;DN$1)</f>
        <v/>
      </c>
      <c r="DO182" s="30" t="str">
        <f t="shared" ref="DO182:DO223" si="2722">IF(AI182="","","|n"&amp;DO$2&amp;"+"&amp;AI182&amp;DO$1)</f>
        <v/>
      </c>
      <c r="DP182" s="30" t="str">
        <f t="shared" ref="DP182:DP223" si="2723">IF(AJ182="","","|n"&amp;DP$2&amp;"+"&amp;AJ182&amp;DP$1)</f>
        <v/>
      </c>
      <c r="DQ182" s="30" t="str">
        <f t="shared" ref="DQ182:DQ223" si="2724">IF(AK182="","","|n"&amp;DQ$2&amp;"+"&amp;AK182&amp;DQ$1)</f>
        <v/>
      </c>
      <c r="DR182" s="30" t="str">
        <f t="shared" ref="DR182:DR223" si="2725">IF(AL182="","","|n"&amp;DR$2&amp;"+"&amp;AL182&amp;DR$1)</f>
        <v/>
      </c>
      <c r="DS182" s="30" t="str">
        <f t="shared" ref="DS182:DS223" si="2726">IF(AM182="","","|n"&amp;DS$2&amp;"+"&amp;AM182&amp;DS$1)</f>
        <v/>
      </c>
      <c r="DT182" s="30" t="str">
        <f t="shared" ref="DT182:DT223" si="2727">IF(AN182="","","|n"&amp;DT$2&amp;"+"&amp;AN182&amp;DT$1)</f>
        <v/>
      </c>
      <c r="DU182" s="30" t="str">
        <f t="shared" ref="DU182:DU223" si="2728">IF(AO182="","","|n"&amp;DU$2&amp;"+"&amp;AO182&amp;DU$1)</f>
        <v/>
      </c>
      <c r="DV182" s="30" t="str">
        <f t="shared" ref="DV182:DV223" si="2729">IF(AP182="","","|n"&amp;DV$2&amp;"+"&amp;AP182&amp;DV$1)</f>
        <v/>
      </c>
      <c r="DW182" s="30" t="str">
        <f t="shared" ref="DW182:DW223" si="2730">IF(AQ182="","","|n"&amp;DW$2&amp;"+"&amp;AQ182&amp;DW$1)</f>
        <v/>
      </c>
      <c r="DX182" s="30" t="str">
        <f t="shared" ref="DX182:DX223" si="2731">IF(AR182="","","|n"&amp;DX$2&amp;"+"&amp;AR182&amp;DX$1)</f>
        <v/>
      </c>
      <c r="DY182" s="30" t="str">
        <f t="shared" ref="DY182:DY223" si="2732">IF(AS182="","","|n"&amp;DY$2&amp;"+"&amp;AS182&amp;DY$1)</f>
        <v/>
      </c>
      <c r="DZ182" s="30" t="str">
        <f t="shared" ref="DZ182:DZ223" si="2733">IF(AT182="","","|n"&amp;DZ$2&amp;"+"&amp;AT182&amp;DZ$1)</f>
        <v/>
      </c>
      <c r="EA182" s="30" t="str">
        <f t="shared" ref="EA182:EA223" si="2734">IF(AU182="","","|n"&amp;EA$2&amp;"+"&amp;AU182&amp;EA$1)</f>
        <v/>
      </c>
      <c r="EB182" s="30" t="str">
        <f t="shared" ref="EB182:EB223" si="2735">IF(AV182="","","|n"&amp;EB$2&amp;"+"&amp;AV182&amp;EB$1)</f>
        <v/>
      </c>
      <c r="EC182" s="30" t="str">
        <f t="shared" ref="EC182:EC223" si="2736">IF(AW182="","","|n"&amp;EC$2&amp;"+"&amp;AW182&amp;EC$1)</f>
        <v/>
      </c>
      <c r="ED182" s="30" t="str">
        <f t="shared" ref="ED182:ED223" si="2737">IF(AX182="","","|n"&amp;ED$2&amp;"+"&amp;AX182&amp;ED$1)</f>
        <v/>
      </c>
      <c r="EE182" s="30" t="str">
        <f t="shared" ref="EE182:EE223" si="2738">IF(AY182="","","|n"&amp;EE$2&amp;"+"&amp;AY182&amp;EE$1)</f>
        <v/>
      </c>
      <c r="EF182" s="30" t="str">
        <f t="shared" ref="EF182:EF223" si="2739">IF(AZ182="","","|n"&amp;EF$2&amp;"+"&amp;AZ182&amp;EF$1)</f>
        <v/>
      </c>
      <c r="EG182" s="30" t="str">
        <f t="shared" ref="EG182:EG223" si="2740">IF(BA182="","","|n"&amp;EG$2&amp;"+"&amp;BA182&amp;EG$1)</f>
        <v/>
      </c>
      <c r="EH182" s="30" t="str">
        <f t="shared" ref="EH182:EH223" si="2741">IF(BB182="","","|n"&amp;EH$2&amp;"+"&amp;BB182&amp;EH$1)</f>
        <v/>
      </c>
      <c r="EI182" s="30" t="str">
        <f t="shared" ref="EI182:EI223" si="2742">IF(BC182="","","|n"&amp;EI$2&amp;"+"&amp;BC182&amp;EI$1)</f>
        <v/>
      </c>
      <c r="EJ182" s="30" t="str">
        <f t="shared" ref="EJ182:EJ223" si="2743">IF(BD182="","","|n"&amp;EJ$2&amp;"+"&amp;BD182&amp;EJ$1)</f>
        <v/>
      </c>
      <c r="EK182" s="30" t="str">
        <f t="shared" ref="EK182:EK223" si="2744">IF(BE182="","","|n"&amp;EK$2&amp;"+"&amp;BE182&amp;EK$1)</f>
        <v/>
      </c>
      <c r="EL182" s="30" t="str">
        <f t="shared" ref="EL182:EL223" si="2745">IF(BF182="","","|n"&amp;EL$2&amp;"+"&amp;BF182&amp;EL$1)</f>
        <v/>
      </c>
      <c r="EM182" s="30" t="str">
        <f t="shared" ref="EM182:EM223" si="2746">IF(BG182="","","|n"&amp;EM$2&amp;"+"&amp;BG182&amp;EM$1)</f>
        <v/>
      </c>
      <c r="EN182" s="30" t="str">
        <f t="shared" ref="EN182:EN223" si="2747">IF(BH182="","","|n"&amp;EN$2&amp;"+"&amp;BH182&amp;EN$1)</f>
        <v/>
      </c>
      <c r="EO182" s="30" t="str">
        <f t="shared" ref="EO182:EO223" si="2748">IF(BI182="","","|n"&amp;EO$2&amp;"+"&amp;BI182&amp;EO$1)</f>
        <v/>
      </c>
      <c r="EP182" s="30" t="str">
        <f t="shared" ref="EP182:EP223" si="2749">IF(BJ182="","","|n"&amp;EP$2&amp;"+"&amp;BJ182&amp;EP$1)</f>
        <v/>
      </c>
      <c r="EQ182" s="30" t="str">
        <f t="shared" ref="EQ182:EQ223" si="2750">IF(BK182="","","|n"&amp;EQ$2&amp;"+"&amp;BK182&amp;EQ$1)</f>
        <v/>
      </c>
      <c r="ER182" s="30" t="str">
        <f t="shared" ref="ER182:ER223" si="2751">IF(BL182="","","|n"&amp;ER$2&amp;"+"&amp;BL182&amp;ER$1)</f>
        <v/>
      </c>
      <c r="ES182" s="30" t="str">
        <f t="shared" ref="ES182:ES223" si="2752">IF(BM182="","","|n"&amp;ES$2&amp;"+"&amp;BM182&amp;ES$1)</f>
        <v/>
      </c>
      <c r="ET182" s="30" t="str">
        <f t="shared" ref="ET182:ET223" si="2753">IF(BN182="","","|n"&amp;ET$2&amp;"+"&amp;BN182&amp;ET$1)</f>
        <v/>
      </c>
      <c r="EU182" s="30" t="str">
        <f t="shared" ref="EU182:EU223" si="2754">IF(BO182="","","|n"&amp;EU$2&amp;"+"&amp;BO182&amp;EU$1)</f>
        <v/>
      </c>
      <c r="EV182" s="30" t="str">
        <f t="shared" ref="EV182:EV223" si="2755">IF(BP182="","","|n"&amp;EV$2&amp;"+"&amp;BP182&amp;EV$1)</f>
        <v/>
      </c>
      <c r="EW182" s="30" t="str">
        <f t="shared" ref="EW182:EW223" si="2756">IF(BQ182="","","|n"&amp;EW$2&amp;"+"&amp;BQ182&amp;EW$1)</f>
        <v/>
      </c>
      <c r="EX182" s="30" t="str">
        <f t="shared" ref="EX182:EX223" si="2757">IF(BR182="","","|n"&amp;EX$2&amp;"+"&amp;BR182&amp;EX$1)</f>
        <v/>
      </c>
      <c r="EY182" s="30" t="str">
        <f t="shared" ref="EY182:EY223" si="2758">IF(BS182="","","|n"&amp;EY$2&amp;"+"&amp;BS182&amp;EY$1)</f>
        <v/>
      </c>
      <c r="EZ182" s="30" t="str">
        <f t="shared" ref="EZ182:EZ223" si="2759">IF(BT182="","","|n"&amp;EZ$2&amp;"+"&amp;BT182&amp;EZ$1)</f>
        <v/>
      </c>
      <c r="FA182" s="30" t="str">
        <f t="shared" ref="FA182:FA223" si="2760">IF(BU182="","","|n"&amp;FA$2&amp;"+"&amp;BU182&amp;FA$1)</f>
        <v/>
      </c>
      <c r="FB182" s="30" t="str">
        <f t="shared" ref="FB182:FB223" si="2761">IF(BV182="","","|n"&amp;FB$2&amp;"+"&amp;BV182&amp;FB$1)</f>
        <v/>
      </c>
      <c r="FC182" s="30" t="str">
        <f t="shared" ref="FC182:FC223" si="2762">IF(BW182="","","|n"&amp;FC$2&amp;"+"&amp;BW182&amp;FC$1)</f>
        <v/>
      </c>
      <c r="FD182" s="30" t="str">
        <f t="shared" ref="FD182:FD223" si="2763">IF(BX182="","","|n"&amp;FD$2&amp;"+"&amp;BX182&amp;FD$1)</f>
        <v/>
      </c>
      <c r="FE182" s="30" t="str">
        <f t="shared" ref="FE182:FE223" si="2764">IF(BY182="","","|n"&amp;FE$2&amp;"+"&amp;BY182&amp;FE$1)</f>
        <v/>
      </c>
      <c r="FF182" s="30" t="str">
        <f t="shared" ref="FF182:FF223" si="2765">IF(BZ182="","","|n"&amp;FF$2&amp;"+"&amp;BZ182&amp;FF$1)</f>
        <v/>
      </c>
      <c r="FG182" s="30" t="str">
        <f t="shared" ref="FG182:FG223" si="2766">IF(CA182="","","|n"&amp;FG$2&amp;"+"&amp;CA182&amp;FG$1)</f>
        <v/>
      </c>
      <c r="FH182" s="30" t="str">
        <f t="shared" ref="FH182:FH223" si="2767">IF(CB182="","","|n"&amp;FH$2&amp;"+"&amp;CB182&amp;FH$1)</f>
        <v/>
      </c>
      <c r="FI182" s="30" t="str">
        <f t="shared" ref="FI182:FI223" si="2768">IF(CC182="","","|n"&amp;FI$2&amp;"+"&amp;CC182&amp;FI$1)</f>
        <v/>
      </c>
      <c r="FJ182" s="30" t="str">
        <f t="shared" ref="FJ182:FJ223" si="2769">IF(CD182="","","|n"&amp;FJ$2&amp;"+"&amp;CD182&amp;FJ$1)</f>
        <v/>
      </c>
      <c r="FK182" s="30" t="str">
        <f t="shared" ref="FK182:FK223" si="2770">IF(CE182="","","|n"&amp;FK$2&amp;"+"&amp;CE182&amp;FK$1)</f>
        <v/>
      </c>
      <c r="FL182" s="30" t="str">
        <f t="shared" ref="FL182:FL223" si="2771">IF(CF182="","","|n"&amp;FL$2&amp;"+"&amp;CF182&amp;FL$1)</f>
        <v/>
      </c>
      <c r="FM182" s="30" t="str">
        <f t="shared" ref="FM182:FM223" si="2772">IF(CG182="","","|n"&amp;FM$2&amp;"+"&amp;CG182&amp;FM$1)</f>
        <v/>
      </c>
      <c r="FN182" s="30" t="str">
        <f t="shared" ref="FN182:FN223" si="2773">IF(CH182="","","|n"&amp;FN$2&amp;"+"&amp;CH182&amp;FN$1)</f>
        <v/>
      </c>
      <c r="FO182" s="30" t="str">
        <f t="shared" ref="FO182:FO223" si="2774">IF(CI182="","","|n"&amp;FO$2&amp;"+"&amp;CI182&amp;FO$1)</f>
        <v/>
      </c>
      <c r="FP182" s="30" t="str">
        <f t="shared" ref="FP182:FP223" si="2775">IF(CJ182="","","|n"&amp;FP$2&amp;"+"&amp;CJ182&amp;FP$1)</f>
        <v/>
      </c>
      <c r="FQ182" s="30" t="str">
        <f t="shared" ref="FQ182:FQ223" si="2776">IF(CK182="","","|n"&amp;FQ$2&amp;"+"&amp;CK182&amp;FQ$1)</f>
        <v/>
      </c>
      <c r="FR182" s="30" t="str">
        <f t="shared" ref="FR182:FR223" si="2777">IF(CL182="","","|n"&amp;FR$2&amp;"+"&amp;CL182&amp;FR$1)</f>
        <v/>
      </c>
      <c r="FS182" s="30" t="str">
        <f t="shared" ref="FS182:FS223" si="2778">IF(CM182="","","|n"&amp;FS$2&amp;"+"&amp;CM182&amp;FS$1)</f>
        <v/>
      </c>
    </row>
    <row r="183" spans="1:175">
      <c r="A183" s="66"/>
      <c r="B183" s="66"/>
      <c r="C183" s="66"/>
      <c r="T183" s="100"/>
      <c r="U183" s="32"/>
      <c r="CN183" s="7" t="str">
        <f t="shared" si="2703"/>
        <v>InitUnitState('',,,,,,,,,,)</v>
      </c>
      <c r="CO183" s="7" t="str">
        <f t="shared" si="2704"/>
        <v>InitUnitNormal('',,,,,,,,,,)</v>
      </c>
      <c r="CP183" s="7" t="str">
        <f t="shared" si="2705"/>
        <v>InitUnitMagic('',,,,,,,,,,)</v>
      </c>
      <c r="CQ183" s="7" t="str">
        <f t="shared" si="2706"/>
        <v>InitUnitAdd('',,,,,,,,,,)</v>
      </c>
      <c r="CR183" s="7" t="str">
        <f t="shared" si="2707"/>
        <v>InitEquipData('',,"",,,,,'','','','','','',"")</v>
      </c>
      <c r="CU183" s="45" t="str">
        <f t="shared" si="2708"/>
        <v>|n</v>
      </c>
      <c r="CW183" s="24"/>
      <c r="CX183" s="24"/>
      <c r="CY183" s="24"/>
      <c r="CZ183" s="24"/>
      <c r="DA183" s="24"/>
      <c r="DB183" s="30" t="str">
        <f t="shared" si="2709"/>
        <v/>
      </c>
      <c r="DC183" s="30" t="str">
        <f t="shared" si="2710"/>
        <v/>
      </c>
      <c r="DD183" s="30" t="str">
        <f t="shared" si="2711"/>
        <v/>
      </c>
      <c r="DE183" s="30" t="str">
        <f t="shared" si="2712"/>
        <v/>
      </c>
      <c r="DF183" s="30" t="str">
        <f t="shared" si="2713"/>
        <v/>
      </c>
      <c r="DG183" s="30" t="str">
        <f t="shared" si="2714"/>
        <v/>
      </c>
      <c r="DH183" s="30" t="str">
        <f t="shared" si="2715"/>
        <v/>
      </c>
      <c r="DI183" s="30" t="str">
        <f t="shared" si="2716"/>
        <v/>
      </c>
      <c r="DJ183" s="30" t="str">
        <f t="shared" si="2717"/>
        <v/>
      </c>
      <c r="DK183" s="30" t="str">
        <f t="shared" si="2718"/>
        <v/>
      </c>
      <c r="DL183" s="30" t="str">
        <f t="shared" si="2719"/>
        <v/>
      </c>
      <c r="DM183" s="30" t="str">
        <f t="shared" si="2720"/>
        <v/>
      </c>
      <c r="DN183" s="30" t="str">
        <f t="shared" si="2721"/>
        <v/>
      </c>
      <c r="DO183" s="30" t="str">
        <f t="shared" si="2722"/>
        <v/>
      </c>
      <c r="DP183" s="30" t="str">
        <f t="shared" si="2723"/>
        <v/>
      </c>
      <c r="DQ183" s="30" t="str">
        <f t="shared" si="2724"/>
        <v/>
      </c>
      <c r="DR183" s="30" t="str">
        <f t="shared" si="2725"/>
        <v/>
      </c>
      <c r="DS183" s="30" t="str">
        <f t="shared" si="2726"/>
        <v/>
      </c>
      <c r="DT183" s="30" t="str">
        <f t="shared" si="2727"/>
        <v/>
      </c>
      <c r="DU183" s="30" t="str">
        <f t="shared" si="2728"/>
        <v/>
      </c>
      <c r="DV183" s="30" t="str">
        <f t="shared" si="2729"/>
        <v/>
      </c>
      <c r="DW183" s="30" t="str">
        <f t="shared" si="2730"/>
        <v/>
      </c>
      <c r="DX183" s="30" t="str">
        <f t="shared" si="2731"/>
        <v/>
      </c>
      <c r="DY183" s="30" t="str">
        <f t="shared" si="2732"/>
        <v/>
      </c>
      <c r="DZ183" s="30" t="str">
        <f t="shared" si="2733"/>
        <v/>
      </c>
      <c r="EA183" s="30" t="str">
        <f t="shared" si="2734"/>
        <v/>
      </c>
      <c r="EB183" s="30" t="str">
        <f t="shared" si="2735"/>
        <v/>
      </c>
      <c r="EC183" s="30" t="str">
        <f t="shared" si="2736"/>
        <v/>
      </c>
      <c r="ED183" s="30" t="str">
        <f t="shared" si="2737"/>
        <v/>
      </c>
      <c r="EE183" s="30" t="str">
        <f t="shared" si="2738"/>
        <v/>
      </c>
      <c r="EF183" s="30" t="str">
        <f t="shared" si="2739"/>
        <v/>
      </c>
      <c r="EG183" s="30" t="str">
        <f t="shared" si="2740"/>
        <v/>
      </c>
      <c r="EH183" s="30" t="str">
        <f t="shared" si="2741"/>
        <v/>
      </c>
      <c r="EI183" s="30" t="str">
        <f t="shared" si="2742"/>
        <v/>
      </c>
      <c r="EJ183" s="30" t="str">
        <f t="shared" si="2743"/>
        <v/>
      </c>
      <c r="EK183" s="30" t="str">
        <f t="shared" si="2744"/>
        <v/>
      </c>
      <c r="EL183" s="30" t="str">
        <f t="shared" si="2745"/>
        <v/>
      </c>
      <c r="EM183" s="30" t="str">
        <f t="shared" si="2746"/>
        <v/>
      </c>
      <c r="EN183" s="30" t="str">
        <f t="shared" si="2747"/>
        <v/>
      </c>
      <c r="EO183" s="30" t="str">
        <f t="shared" si="2748"/>
        <v/>
      </c>
      <c r="EP183" s="30" t="str">
        <f t="shared" si="2749"/>
        <v/>
      </c>
      <c r="EQ183" s="30" t="str">
        <f t="shared" si="2750"/>
        <v/>
      </c>
      <c r="ER183" s="30" t="str">
        <f t="shared" si="2751"/>
        <v/>
      </c>
      <c r="ES183" s="30" t="str">
        <f t="shared" si="2752"/>
        <v/>
      </c>
      <c r="ET183" s="30" t="str">
        <f t="shared" si="2753"/>
        <v/>
      </c>
      <c r="EU183" s="30" t="str">
        <f t="shared" si="2754"/>
        <v/>
      </c>
      <c r="EV183" s="30" t="str">
        <f t="shared" si="2755"/>
        <v/>
      </c>
      <c r="EW183" s="30" t="str">
        <f t="shared" si="2756"/>
        <v/>
      </c>
      <c r="EX183" s="30" t="str">
        <f t="shared" si="2757"/>
        <v/>
      </c>
      <c r="EY183" s="30" t="str">
        <f t="shared" si="2758"/>
        <v/>
      </c>
      <c r="EZ183" s="30" t="str">
        <f t="shared" si="2759"/>
        <v/>
      </c>
      <c r="FA183" s="30" t="str">
        <f t="shared" si="2760"/>
        <v/>
      </c>
      <c r="FB183" s="30" t="str">
        <f t="shared" si="2761"/>
        <v/>
      </c>
      <c r="FC183" s="30" t="str">
        <f t="shared" si="2762"/>
        <v/>
      </c>
      <c r="FD183" s="30" t="str">
        <f t="shared" si="2763"/>
        <v/>
      </c>
      <c r="FE183" s="30" t="str">
        <f t="shared" si="2764"/>
        <v/>
      </c>
      <c r="FF183" s="30" t="str">
        <f t="shared" si="2765"/>
        <v/>
      </c>
      <c r="FG183" s="30" t="str">
        <f t="shared" si="2766"/>
        <v/>
      </c>
      <c r="FH183" s="30" t="str">
        <f t="shared" si="2767"/>
        <v/>
      </c>
      <c r="FI183" s="30" t="str">
        <f t="shared" si="2768"/>
        <v/>
      </c>
      <c r="FJ183" s="30" t="str">
        <f t="shared" si="2769"/>
        <v/>
      </c>
      <c r="FK183" s="30" t="str">
        <f t="shared" si="2770"/>
        <v/>
      </c>
      <c r="FL183" s="30" t="str">
        <f t="shared" si="2771"/>
        <v/>
      </c>
      <c r="FM183" s="30" t="str">
        <f t="shared" si="2772"/>
        <v/>
      </c>
      <c r="FN183" s="30" t="str">
        <f t="shared" si="2773"/>
        <v/>
      </c>
      <c r="FO183" s="30" t="str">
        <f t="shared" si="2774"/>
        <v/>
      </c>
      <c r="FP183" s="30" t="str">
        <f t="shared" si="2775"/>
        <v/>
      </c>
      <c r="FQ183" s="30" t="str">
        <f t="shared" si="2776"/>
        <v/>
      </c>
      <c r="FR183" s="30" t="str">
        <f t="shared" si="2777"/>
        <v/>
      </c>
      <c r="FS183" s="30" t="str">
        <f t="shared" si="2778"/>
        <v/>
      </c>
    </row>
    <row r="184" spans="1:175">
      <c r="A184" s="66"/>
      <c r="B184" s="66"/>
      <c r="C184" s="66"/>
      <c r="T184" s="100"/>
      <c r="U184" s="32"/>
      <c r="CN184" s="7" t="str">
        <f t="shared" si="2703"/>
        <v>InitUnitState('',,,,,,,,,,)</v>
      </c>
      <c r="CO184" s="7" t="str">
        <f t="shared" si="2704"/>
        <v>InitUnitNormal('',,,,,,,,,,)</v>
      </c>
      <c r="CP184" s="7" t="str">
        <f t="shared" si="2705"/>
        <v>InitUnitMagic('',,,,,,,,,,)</v>
      </c>
      <c r="CQ184" s="7" t="str">
        <f t="shared" si="2706"/>
        <v>InitUnitAdd('',,,,,,,,,,)</v>
      </c>
      <c r="CR184" s="7" t="str">
        <f t="shared" si="2707"/>
        <v>InitEquipData('',,"",,,,,'','','','','','',"")</v>
      </c>
      <c r="CU184" s="45" t="str">
        <f t="shared" si="2708"/>
        <v>|n</v>
      </c>
      <c r="CW184" s="24"/>
      <c r="CX184" s="24"/>
      <c r="CY184" s="24"/>
      <c r="CZ184" s="24"/>
      <c r="DA184" s="24"/>
      <c r="DB184" s="30" t="str">
        <f t="shared" si="2709"/>
        <v/>
      </c>
      <c r="DC184" s="30" t="str">
        <f t="shared" si="2710"/>
        <v/>
      </c>
      <c r="DD184" s="30" t="str">
        <f t="shared" si="2711"/>
        <v/>
      </c>
      <c r="DE184" s="30" t="str">
        <f t="shared" si="2712"/>
        <v/>
      </c>
      <c r="DF184" s="30" t="str">
        <f t="shared" si="2713"/>
        <v/>
      </c>
      <c r="DG184" s="30" t="str">
        <f t="shared" si="2714"/>
        <v/>
      </c>
      <c r="DH184" s="30" t="str">
        <f t="shared" si="2715"/>
        <v/>
      </c>
      <c r="DI184" s="30" t="str">
        <f t="shared" si="2716"/>
        <v/>
      </c>
      <c r="DJ184" s="30" t="str">
        <f t="shared" si="2717"/>
        <v/>
      </c>
      <c r="DK184" s="30" t="str">
        <f t="shared" si="2718"/>
        <v/>
      </c>
      <c r="DL184" s="30" t="str">
        <f t="shared" si="2719"/>
        <v/>
      </c>
      <c r="DM184" s="30" t="str">
        <f t="shared" si="2720"/>
        <v/>
      </c>
      <c r="DN184" s="30" t="str">
        <f t="shared" si="2721"/>
        <v/>
      </c>
      <c r="DO184" s="30" t="str">
        <f t="shared" si="2722"/>
        <v/>
      </c>
      <c r="DP184" s="30" t="str">
        <f t="shared" si="2723"/>
        <v/>
      </c>
      <c r="DQ184" s="30" t="str">
        <f t="shared" si="2724"/>
        <v/>
      </c>
      <c r="DR184" s="30" t="str">
        <f t="shared" si="2725"/>
        <v/>
      </c>
      <c r="DS184" s="30" t="str">
        <f t="shared" si="2726"/>
        <v/>
      </c>
      <c r="DT184" s="30" t="str">
        <f t="shared" si="2727"/>
        <v/>
      </c>
      <c r="DU184" s="30" t="str">
        <f t="shared" si="2728"/>
        <v/>
      </c>
      <c r="DV184" s="30" t="str">
        <f t="shared" si="2729"/>
        <v/>
      </c>
      <c r="DW184" s="30" t="str">
        <f t="shared" si="2730"/>
        <v/>
      </c>
      <c r="DX184" s="30" t="str">
        <f t="shared" si="2731"/>
        <v/>
      </c>
      <c r="DY184" s="30" t="str">
        <f t="shared" si="2732"/>
        <v/>
      </c>
      <c r="DZ184" s="30" t="str">
        <f t="shared" si="2733"/>
        <v/>
      </c>
      <c r="EA184" s="30" t="str">
        <f t="shared" si="2734"/>
        <v/>
      </c>
      <c r="EB184" s="30" t="str">
        <f t="shared" si="2735"/>
        <v/>
      </c>
      <c r="EC184" s="30" t="str">
        <f t="shared" si="2736"/>
        <v/>
      </c>
      <c r="ED184" s="30" t="str">
        <f t="shared" si="2737"/>
        <v/>
      </c>
      <c r="EE184" s="30" t="str">
        <f t="shared" si="2738"/>
        <v/>
      </c>
      <c r="EF184" s="30" t="str">
        <f t="shared" si="2739"/>
        <v/>
      </c>
      <c r="EG184" s="30" t="str">
        <f t="shared" si="2740"/>
        <v/>
      </c>
      <c r="EH184" s="30" t="str">
        <f t="shared" si="2741"/>
        <v/>
      </c>
      <c r="EI184" s="30" t="str">
        <f t="shared" si="2742"/>
        <v/>
      </c>
      <c r="EJ184" s="30" t="str">
        <f t="shared" si="2743"/>
        <v/>
      </c>
      <c r="EK184" s="30" t="str">
        <f t="shared" si="2744"/>
        <v/>
      </c>
      <c r="EL184" s="30" t="str">
        <f t="shared" si="2745"/>
        <v/>
      </c>
      <c r="EM184" s="30" t="str">
        <f t="shared" si="2746"/>
        <v/>
      </c>
      <c r="EN184" s="30" t="str">
        <f t="shared" si="2747"/>
        <v/>
      </c>
      <c r="EO184" s="30" t="str">
        <f t="shared" si="2748"/>
        <v/>
      </c>
      <c r="EP184" s="30" t="str">
        <f t="shared" si="2749"/>
        <v/>
      </c>
      <c r="EQ184" s="30" t="str">
        <f t="shared" si="2750"/>
        <v/>
      </c>
      <c r="ER184" s="30" t="str">
        <f t="shared" si="2751"/>
        <v/>
      </c>
      <c r="ES184" s="30" t="str">
        <f t="shared" si="2752"/>
        <v/>
      </c>
      <c r="ET184" s="30" t="str">
        <f t="shared" si="2753"/>
        <v/>
      </c>
      <c r="EU184" s="30" t="str">
        <f t="shared" si="2754"/>
        <v/>
      </c>
      <c r="EV184" s="30" t="str">
        <f t="shared" si="2755"/>
        <v/>
      </c>
      <c r="EW184" s="30" t="str">
        <f t="shared" si="2756"/>
        <v/>
      </c>
      <c r="EX184" s="30" t="str">
        <f t="shared" si="2757"/>
        <v/>
      </c>
      <c r="EY184" s="30" t="str">
        <f t="shared" si="2758"/>
        <v/>
      </c>
      <c r="EZ184" s="30" t="str">
        <f t="shared" si="2759"/>
        <v/>
      </c>
      <c r="FA184" s="30" t="str">
        <f t="shared" si="2760"/>
        <v/>
      </c>
      <c r="FB184" s="30" t="str">
        <f t="shared" si="2761"/>
        <v/>
      </c>
      <c r="FC184" s="30" t="str">
        <f t="shared" si="2762"/>
        <v/>
      </c>
      <c r="FD184" s="30" t="str">
        <f t="shared" si="2763"/>
        <v/>
      </c>
      <c r="FE184" s="30" t="str">
        <f t="shared" si="2764"/>
        <v/>
      </c>
      <c r="FF184" s="30" t="str">
        <f t="shared" si="2765"/>
        <v/>
      </c>
      <c r="FG184" s="30" t="str">
        <f t="shared" si="2766"/>
        <v/>
      </c>
      <c r="FH184" s="30" t="str">
        <f t="shared" si="2767"/>
        <v/>
      </c>
      <c r="FI184" s="30" t="str">
        <f t="shared" si="2768"/>
        <v/>
      </c>
      <c r="FJ184" s="30" t="str">
        <f t="shared" si="2769"/>
        <v/>
      </c>
      <c r="FK184" s="30" t="str">
        <f t="shared" si="2770"/>
        <v/>
      </c>
      <c r="FL184" s="30" t="str">
        <f t="shared" si="2771"/>
        <v/>
      </c>
      <c r="FM184" s="30" t="str">
        <f t="shared" si="2772"/>
        <v/>
      </c>
      <c r="FN184" s="30" t="str">
        <f t="shared" si="2773"/>
        <v/>
      </c>
      <c r="FO184" s="30" t="str">
        <f t="shared" si="2774"/>
        <v/>
      </c>
      <c r="FP184" s="30" t="str">
        <f t="shared" si="2775"/>
        <v/>
      </c>
      <c r="FQ184" s="30" t="str">
        <f t="shared" si="2776"/>
        <v/>
      </c>
      <c r="FR184" s="30" t="str">
        <f t="shared" si="2777"/>
        <v/>
      </c>
      <c r="FS184" s="30" t="str">
        <f t="shared" si="2778"/>
        <v/>
      </c>
    </row>
    <row r="185" spans="1:175">
      <c r="A185" s="66"/>
      <c r="B185" s="66"/>
      <c r="C185" s="66"/>
      <c r="T185" s="100"/>
      <c r="U185" s="32"/>
      <c r="CN185" s="7" t="str">
        <f t="shared" si="2703"/>
        <v>InitUnitState('',,,,,,,,,,)</v>
      </c>
      <c r="CO185" s="7" t="str">
        <f t="shared" si="2704"/>
        <v>InitUnitNormal('',,,,,,,,,,)</v>
      </c>
      <c r="CP185" s="7" t="str">
        <f t="shared" si="2705"/>
        <v>InitUnitMagic('',,,,,,,,,,)</v>
      </c>
      <c r="CQ185" s="7" t="str">
        <f t="shared" si="2706"/>
        <v>InitUnitAdd('',,,,,,,,,,)</v>
      </c>
      <c r="CR185" s="7" t="str">
        <f t="shared" si="2707"/>
        <v>InitEquipData('',,"",,,,,'','','','','','',"")</v>
      </c>
      <c r="CU185" s="45" t="str">
        <f t="shared" si="2708"/>
        <v>|n</v>
      </c>
      <c r="CW185" s="24"/>
      <c r="CX185" s="24"/>
      <c r="CY185" s="24"/>
      <c r="CZ185" s="24"/>
      <c r="DA185" s="24"/>
      <c r="DB185" s="30" t="str">
        <f t="shared" si="2709"/>
        <v/>
      </c>
      <c r="DC185" s="30" t="str">
        <f t="shared" si="2710"/>
        <v/>
      </c>
      <c r="DD185" s="30" t="str">
        <f t="shared" si="2711"/>
        <v/>
      </c>
      <c r="DE185" s="30" t="str">
        <f t="shared" si="2712"/>
        <v/>
      </c>
      <c r="DF185" s="30" t="str">
        <f t="shared" si="2713"/>
        <v/>
      </c>
      <c r="DG185" s="30" t="str">
        <f t="shared" si="2714"/>
        <v/>
      </c>
      <c r="DH185" s="30" t="str">
        <f t="shared" si="2715"/>
        <v/>
      </c>
      <c r="DI185" s="30" t="str">
        <f t="shared" si="2716"/>
        <v/>
      </c>
      <c r="DJ185" s="30" t="str">
        <f t="shared" si="2717"/>
        <v/>
      </c>
      <c r="DK185" s="30" t="str">
        <f t="shared" si="2718"/>
        <v/>
      </c>
      <c r="DL185" s="30" t="str">
        <f t="shared" si="2719"/>
        <v/>
      </c>
      <c r="DM185" s="30" t="str">
        <f t="shared" si="2720"/>
        <v/>
      </c>
      <c r="DN185" s="30" t="str">
        <f t="shared" si="2721"/>
        <v/>
      </c>
      <c r="DO185" s="30" t="str">
        <f t="shared" si="2722"/>
        <v/>
      </c>
      <c r="DP185" s="30" t="str">
        <f t="shared" si="2723"/>
        <v/>
      </c>
      <c r="DQ185" s="30" t="str">
        <f t="shared" si="2724"/>
        <v/>
      </c>
      <c r="DR185" s="30" t="str">
        <f t="shared" si="2725"/>
        <v/>
      </c>
      <c r="DS185" s="30" t="str">
        <f t="shared" si="2726"/>
        <v/>
      </c>
      <c r="DT185" s="30" t="str">
        <f t="shared" si="2727"/>
        <v/>
      </c>
      <c r="DU185" s="30" t="str">
        <f t="shared" si="2728"/>
        <v/>
      </c>
      <c r="DV185" s="30" t="str">
        <f t="shared" si="2729"/>
        <v/>
      </c>
      <c r="DW185" s="30" t="str">
        <f t="shared" si="2730"/>
        <v/>
      </c>
      <c r="DX185" s="30" t="str">
        <f t="shared" si="2731"/>
        <v/>
      </c>
      <c r="DY185" s="30" t="str">
        <f t="shared" si="2732"/>
        <v/>
      </c>
      <c r="DZ185" s="30" t="str">
        <f t="shared" si="2733"/>
        <v/>
      </c>
      <c r="EA185" s="30" t="str">
        <f t="shared" si="2734"/>
        <v/>
      </c>
      <c r="EB185" s="30" t="str">
        <f t="shared" si="2735"/>
        <v/>
      </c>
      <c r="EC185" s="30" t="str">
        <f t="shared" si="2736"/>
        <v/>
      </c>
      <c r="ED185" s="30" t="str">
        <f t="shared" si="2737"/>
        <v/>
      </c>
      <c r="EE185" s="30" t="str">
        <f t="shared" si="2738"/>
        <v/>
      </c>
      <c r="EF185" s="30" t="str">
        <f t="shared" si="2739"/>
        <v/>
      </c>
      <c r="EG185" s="30" t="str">
        <f t="shared" si="2740"/>
        <v/>
      </c>
      <c r="EH185" s="30" t="str">
        <f t="shared" si="2741"/>
        <v/>
      </c>
      <c r="EI185" s="30" t="str">
        <f t="shared" si="2742"/>
        <v/>
      </c>
      <c r="EJ185" s="30" t="str">
        <f t="shared" si="2743"/>
        <v/>
      </c>
      <c r="EK185" s="30" t="str">
        <f t="shared" si="2744"/>
        <v/>
      </c>
      <c r="EL185" s="30" t="str">
        <f t="shared" si="2745"/>
        <v/>
      </c>
      <c r="EM185" s="30" t="str">
        <f t="shared" si="2746"/>
        <v/>
      </c>
      <c r="EN185" s="30" t="str">
        <f t="shared" si="2747"/>
        <v/>
      </c>
      <c r="EO185" s="30" t="str">
        <f t="shared" si="2748"/>
        <v/>
      </c>
      <c r="EP185" s="30" t="str">
        <f t="shared" si="2749"/>
        <v/>
      </c>
      <c r="EQ185" s="30" t="str">
        <f t="shared" si="2750"/>
        <v/>
      </c>
      <c r="ER185" s="30" t="str">
        <f t="shared" si="2751"/>
        <v/>
      </c>
      <c r="ES185" s="30" t="str">
        <f t="shared" si="2752"/>
        <v/>
      </c>
      <c r="ET185" s="30" t="str">
        <f t="shared" si="2753"/>
        <v/>
      </c>
      <c r="EU185" s="30" t="str">
        <f t="shared" si="2754"/>
        <v/>
      </c>
      <c r="EV185" s="30" t="str">
        <f t="shared" si="2755"/>
        <v/>
      </c>
      <c r="EW185" s="30" t="str">
        <f t="shared" si="2756"/>
        <v/>
      </c>
      <c r="EX185" s="30" t="str">
        <f t="shared" si="2757"/>
        <v/>
      </c>
      <c r="EY185" s="30" t="str">
        <f t="shared" si="2758"/>
        <v/>
      </c>
      <c r="EZ185" s="30" t="str">
        <f t="shared" si="2759"/>
        <v/>
      </c>
      <c r="FA185" s="30" t="str">
        <f t="shared" si="2760"/>
        <v/>
      </c>
      <c r="FB185" s="30" t="str">
        <f t="shared" si="2761"/>
        <v/>
      </c>
      <c r="FC185" s="30" t="str">
        <f t="shared" si="2762"/>
        <v/>
      </c>
      <c r="FD185" s="30" t="str">
        <f t="shared" si="2763"/>
        <v/>
      </c>
      <c r="FE185" s="30" t="str">
        <f t="shared" si="2764"/>
        <v/>
      </c>
      <c r="FF185" s="30" t="str">
        <f t="shared" si="2765"/>
        <v/>
      </c>
      <c r="FG185" s="30" t="str">
        <f t="shared" si="2766"/>
        <v/>
      </c>
      <c r="FH185" s="30" t="str">
        <f t="shared" si="2767"/>
        <v/>
      </c>
      <c r="FI185" s="30" t="str">
        <f t="shared" si="2768"/>
        <v/>
      </c>
      <c r="FJ185" s="30" t="str">
        <f t="shared" si="2769"/>
        <v/>
      </c>
      <c r="FK185" s="30" t="str">
        <f t="shared" si="2770"/>
        <v/>
      </c>
      <c r="FL185" s="30" t="str">
        <f t="shared" si="2771"/>
        <v/>
      </c>
      <c r="FM185" s="30" t="str">
        <f t="shared" si="2772"/>
        <v/>
      </c>
      <c r="FN185" s="30" t="str">
        <f t="shared" si="2773"/>
        <v/>
      </c>
      <c r="FO185" s="30" t="str">
        <f t="shared" si="2774"/>
        <v/>
      </c>
      <c r="FP185" s="30" t="str">
        <f t="shared" si="2775"/>
        <v/>
      </c>
      <c r="FQ185" s="30" t="str">
        <f t="shared" si="2776"/>
        <v/>
      </c>
      <c r="FR185" s="30" t="str">
        <f t="shared" si="2777"/>
        <v/>
      </c>
      <c r="FS185" s="30" t="str">
        <f t="shared" si="2778"/>
        <v/>
      </c>
    </row>
    <row r="186" spans="1:175">
      <c r="A186" s="66"/>
      <c r="B186" s="66"/>
      <c r="C186" s="66"/>
      <c r="T186" s="100"/>
      <c r="U186" s="32"/>
      <c r="CN186" s="7" t="str">
        <f t="shared" si="2703"/>
        <v>InitUnitState('',,,,,,,,,,)</v>
      </c>
      <c r="CO186" s="7" t="str">
        <f t="shared" si="2704"/>
        <v>InitUnitNormal('',,,,,,,,,,)</v>
      </c>
      <c r="CP186" s="7" t="str">
        <f t="shared" si="2705"/>
        <v>InitUnitMagic('',,,,,,,,,,)</v>
      </c>
      <c r="CQ186" s="7" t="str">
        <f t="shared" si="2706"/>
        <v>InitUnitAdd('',,,,,,,,,,)</v>
      </c>
      <c r="CR186" s="7" t="str">
        <f t="shared" si="2707"/>
        <v>InitEquipData('',,"",,,,,'','','','','','',"")</v>
      </c>
      <c r="CU186" s="45" t="str">
        <f t="shared" si="2708"/>
        <v>|n</v>
      </c>
      <c r="CW186" s="24"/>
      <c r="CX186" s="24"/>
      <c r="CY186" s="24"/>
      <c r="CZ186" s="24"/>
      <c r="DA186" s="24"/>
      <c r="DB186" s="30" t="str">
        <f t="shared" si="2709"/>
        <v/>
      </c>
      <c r="DC186" s="30" t="str">
        <f t="shared" si="2710"/>
        <v/>
      </c>
      <c r="DD186" s="30" t="str">
        <f t="shared" si="2711"/>
        <v/>
      </c>
      <c r="DE186" s="30" t="str">
        <f t="shared" si="2712"/>
        <v/>
      </c>
      <c r="DF186" s="30" t="str">
        <f t="shared" si="2713"/>
        <v/>
      </c>
      <c r="DG186" s="30" t="str">
        <f t="shared" si="2714"/>
        <v/>
      </c>
      <c r="DH186" s="30" t="str">
        <f t="shared" si="2715"/>
        <v/>
      </c>
      <c r="DI186" s="30" t="str">
        <f t="shared" si="2716"/>
        <v/>
      </c>
      <c r="DJ186" s="30" t="str">
        <f t="shared" si="2717"/>
        <v/>
      </c>
      <c r="DK186" s="30" t="str">
        <f t="shared" si="2718"/>
        <v/>
      </c>
      <c r="DL186" s="30" t="str">
        <f t="shared" si="2719"/>
        <v/>
      </c>
      <c r="DM186" s="30" t="str">
        <f t="shared" si="2720"/>
        <v/>
      </c>
      <c r="DN186" s="30" t="str">
        <f t="shared" si="2721"/>
        <v/>
      </c>
      <c r="DO186" s="30" t="str">
        <f t="shared" si="2722"/>
        <v/>
      </c>
      <c r="DP186" s="30" t="str">
        <f t="shared" si="2723"/>
        <v/>
      </c>
      <c r="DQ186" s="30" t="str">
        <f t="shared" si="2724"/>
        <v/>
      </c>
      <c r="DR186" s="30" t="str">
        <f t="shared" si="2725"/>
        <v/>
      </c>
      <c r="DS186" s="30" t="str">
        <f t="shared" si="2726"/>
        <v/>
      </c>
      <c r="DT186" s="30" t="str">
        <f t="shared" si="2727"/>
        <v/>
      </c>
      <c r="DU186" s="30" t="str">
        <f t="shared" si="2728"/>
        <v/>
      </c>
      <c r="DV186" s="30" t="str">
        <f t="shared" si="2729"/>
        <v/>
      </c>
      <c r="DW186" s="30" t="str">
        <f t="shared" si="2730"/>
        <v/>
      </c>
      <c r="DX186" s="30" t="str">
        <f t="shared" si="2731"/>
        <v/>
      </c>
      <c r="DY186" s="30" t="str">
        <f t="shared" si="2732"/>
        <v/>
      </c>
      <c r="DZ186" s="30" t="str">
        <f t="shared" si="2733"/>
        <v/>
      </c>
      <c r="EA186" s="30" t="str">
        <f t="shared" si="2734"/>
        <v/>
      </c>
      <c r="EB186" s="30" t="str">
        <f t="shared" si="2735"/>
        <v/>
      </c>
      <c r="EC186" s="30" t="str">
        <f t="shared" si="2736"/>
        <v/>
      </c>
      <c r="ED186" s="30" t="str">
        <f t="shared" si="2737"/>
        <v/>
      </c>
      <c r="EE186" s="30" t="str">
        <f t="shared" si="2738"/>
        <v/>
      </c>
      <c r="EF186" s="30" t="str">
        <f t="shared" si="2739"/>
        <v/>
      </c>
      <c r="EG186" s="30" t="str">
        <f t="shared" si="2740"/>
        <v/>
      </c>
      <c r="EH186" s="30" t="str">
        <f t="shared" si="2741"/>
        <v/>
      </c>
      <c r="EI186" s="30" t="str">
        <f t="shared" si="2742"/>
        <v/>
      </c>
      <c r="EJ186" s="30" t="str">
        <f t="shared" si="2743"/>
        <v/>
      </c>
      <c r="EK186" s="30" t="str">
        <f t="shared" si="2744"/>
        <v/>
      </c>
      <c r="EL186" s="30" t="str">
        <f t="shared" si="2745"/>
        <v/>
      </c>
      <c r="EM186" s="30" t="str">
        <f t="shared" si="2746"/>
        <v/>
      </c>
      <c r="EN186" s="30" t="str">
        <f t="shared" si="2747"/>
        <v/>
      </c>
      <c r="EO186" s="30" t="str">
        <f t="shared" si="2748"/>
        <v/>
      </c>
      <c r="EP186" s="30" t="str">
        <f t="shared" si="2749"/>
        <v/>
      </c>
      <c r="EQ186" s="30" t="str">
        <f t="shared" si="2750"/>
        <v/>
      </c>
      <c r="ER186" s="30" t="str">
        <f t="shared" si="2751"/>
        <v/>
      </c>
      <c r="ES186" s="30" t="str">
        <f t="shared" si="2752"/>
        <v/>
      </c>
      <c r="ET186" s="30" t="str">
        <f t="shared" si="2753"/>
        <v/>
      </c>
      <c r="EU186" s="30" t="str">
        <f t="shared" si="2754"/>
        <v/>
      </c>
      <c r="EV186" s="30" t="str">
        <f t="shared" si="2755"/>
        <v/>
      </c>
      <c r="EW186" s="30" t="str">
        <f t="shared" si="2756"/>
        <v/>
      </c>
      <c r="EX186" s="30" t="str">
        <f t="shared" si="2757"/>
        <v/>
      </c>
      <c r="EY186" s="30" t="str">
        <f t="shared" si="2758"/>
        <v/>
      </c>
      <c r="EZ186" s="30" t="str">
        <f t="shared" si="2759"/>
        <v/>
      </c>
      <c r="FA186" s="30" t="str">
        <f t="shared" si="2760"/>
        <v/>
      </c>
      <c r="FB186" s="30" t="str">
        <f t="shared" si="2761"/>
        <v/>
      </c>
      <c r="FC186" s="30" t="str">
        <f t="shared" si="2762"/>
        <v/>
      </c>
      <c r="FD186" s="30" t="str">
        <f t="shared" si="2763"/>
        <v/>
      </c>
      <c r="FE186" s="30" t="str">
        <f t="shared" si="2764"/>
        <v/>
      </c>
      <c r="FF186" s="30" t="str">
        <f t="shared" si="2765"/>
        <v/>
      </c>
      <c r="FG186" s="30" t="str">
        <f t="shared" si="2766"/>
        <v/>
      </c>
      <c r="FH186" s="30" t="str">
        <f t="shared" si="2767"/>
        <v/>
      </c>
      <c r="FI186" s="30" t="str">
        <f t="shared" si="2768"/>
        <v/>
      </c>
      <c r="FJ186" s="30" t="str">
        <f t="shared" si="2769"/>
        <v/>
      </c>
      <c r="FK186" s="30" t="str">
        <f t="shared" si="2770"/>
        <v/>
      </c>
      <c r="FL186" s="30" t="str">
        <f t="shared" si="2771"/>
        <v/>
      </c>
      <c r="FM186" s="30" t="str">
        <f t="shared" si="2772"/>
        <v/>
      </c>
      <c r="FN186" s="30" t="str">
        <f t="shared" si="2773"/>
        <v/>
      </c>
      <c r="FO186" s="30" t="str">
        <f t="shared" si="2774"/>
        <v/>
      </c>
      <c r="FP186" s="30" t="str">
        <f t="shared" si="2775"/>
        <v/>
      </c>
      <c r="FQ186" s="30" t="str">
        <f t="shared" si="2776"/>
        <v/>
      </c>
      <c r="FR186" s="30" t="str">
        <f t="shared" si="2777"/>
        <v/>
      </c>
      <c r="FS186" s="30" t="str">
        <f t="shared" si="2778"/>
        <v/>
      </c>
    </row>
    <row r="187" spans="1:175">
      <c r="A187" s="66"/>
      <c r="B187" s="66"/>
      <c r="C187" s="66"/>
      <c r="T187" s="100"/>
      <c r="U187" s="32"/>
      <c r="CN187" s="7" t="str">
        <f t="shared" si="2703"/>
        <v>InitUnitState('',,,,,,,,,,)</v>
      </c>
      <c r="CO187" s="7" t="str">
        <f t="shared" si="2704"/>
        <v>InitUnitNormal('',,,,,,,,,,)</v>
      </c>
      <c r="CP187" s="7" t="str">
        <f t="shared" si="2705"/>
        <v>InitUnitMagic('',,,,,,,,,,)</v>
      </c>
      <c r="CQ187" s="7" t="str">
        <f t="shared" si="2706"/>
        <v>InitUnitAdd('',,,,,,,,,,)</v>
      </c>
      <c r="CR187" s="7" t="str">
        <f t="shared" si="2707"/>
        <v>InitEquipData('',,"",,,,,'','','','','','',"")</v>
      </c>
      <c r="CU187" s="45" t="str">
        <f t="shared" si="2708"/>
        <v>|n</v>
      </c>
      <c r="CW187" s="24"/>
      <c r="CX187" s="24"/>
      <c r="CY187" s="24"/>
      <c r="CZ187" s="24"/>
      <c r="DA187" s="24"/>
      <c r="DB187" s="30" t="str">
        <f t="shared" si="2709"/>
        <v/>
      </c>
      <c r="DC187" s="30" t="str">
        <f t="shared" si="2710"/>
        <v/>
      </c>
      <c r="DD187" s="30" t="str">
        <f t="shared" si="2711"/>
        <v/>
      </c>
      <c r="DE187" s="30" t="str">
        <f t="shared" si="2712"/>
        <v/>
      </c>
      <c r="DF187" s="30" t="str">
        <f t="shared" si="2713"/>
        <v/>
      </c>
      <c r="DG187" s="30" t="str">
        <f t="shared" si="2714"/>
        <v/>
      </c>
      <c r="DH187" s="30" t="str">
        <f t="shared" si="2715"/>
        <v/>
      </c>
      <c r="DI187" s="30" t="str">
        <f t="shared" si="2716"/>
        <v/>
      </c>
      <c r="DJ187" s="30" t="str">
        <f t="shared" si="2717"/>
        <v/>
      </c>
      <c r="DK187" s="30" t="str">
        <f t="shared" si="2718"/>
        <v/>
      </c>
      <c r="DL187" s="30" t="str">
        <f t="shared" si="2719"/>
        <v/>
      </c>
      <c r="DM187" s="30" t="str">
        <f t="shared" si="2720"/>
        <v/>
      </c>
      <c r="DN187" s="30" t="str">
        <f t="shared" si="2721"/>
        <v/>
      </c>
      <c r="DO187" s="30" t="str">
        <f t="shared" si="2722"/>
        <v/>
      </c>
      <c r="DP187" s="30" t="str">
        <f t="shared" si="2723"/>
        <v/>
      </c>
      <c r="DQ187" s="30" t="str">
        <f t="shared" si="2724"/>
        <v/>
      </c>
      <c r="DR187" s="30" t="str">
        <f t="shared" si="2725"/>
        <v/>
      </c>
      <c r="DS187" s="30" t="str">
        <f t="shared" si="2726"/>
        <v/>
      </c>
      <c r="DT187" s="30" t="str">
        <f t="shared" si="2727"/>
        <v/>
      </c>
      <c r="DU187" s="30" t="str">
        <f t="shared" si="2728"/>
        <v/>
      </c>
      <c r="DV187" s="30" t="str">
        <f t="shared" si="2729"/>
        <v/>
      </c>
      <c r="DW187" s="30" t="str">
        <f t="shared" si="2730"/>
        <v/>
      </c>
      <c r="DX187" s="30" t="str">
        <f t="shared" si="2731"/>
        <v/>
      </c>
      <c r="DY187" s="30" t="str">
        <f t="shared" si="2732"/>
        <v/>
      </c>
      <c r="DZ187" s="30" t="str">
        <f t="shared" si="2733"/>
        <v/>
      </c>
      <c r="EA187" s="30" t="str">
        <f t="shared" si="2734"/>
        <v/>
      </c>
      <c r="EB187" s="30" t="str">
        <f t="shared" si="2735"/>
        <v/>
      </c>
      <c r="EC187" s="30" t="str">
        <f t="shared" si="2736"/>
        <v/>
      </c>
      <c r="ED187" s="30" t="str">
        <f t="shared" si="2737"/>
        <v/>
      </c>
      <c r="EE187" s="30" t="str">
        <f t="shared" si="2738"/>
        <v/>
      </c>
      <c r="EF187" s="30" t="str">
        <f t="shared" si="2739"/>
        <v/>
      </c>
      <c r="EG187" s="30" t="str">
        <f t="shared" si="2740"/>
        <v/>
      </c>
      <c r="EH187" s="30" t="str">
        <f t="shared" si="2741"/>
        <v/>
      </c>
      <c r="EI187" s="30" t="str">
        <f t="shared" si="2742"/>
        <v/>
      </c>
      <c r="EJ187" s="30" t="str">
        <f t="shared" si="2743"/>
        <v/>
      </c>
      <c r="EK187" s="30" t="str">
        <f t="shared" si="2744"/>
        <v/>
      </c>
      <c r="EL187" s="30" t="str">
        <f t="shared" si="2745"/>
        <v/>
      </c>
      <c r="EM187" s="30" t="str">
        <f t="shared" si="2746"/>
        <v/>
      </c>
      <c r="EN187" s="30" t="str">
        <f t="shared" si="2747"/>
        <v/>
      </c>
      <c r="EO187" s="30" t="str">
        <f t="shared" si="2748"/>
        <v/>
      </c>
      <c r="EP187" s="30" t="str">
        <f t="shared" si="2749"/>
        <v/>
      </c>
      <c r="EQ187" s="30" t="str">
        <f t="shared" si="2750"/>
        <v/>
      </c>
      <c r="ER187" s="30" t="str">
        <f t="shared" si="2751"/>
        <v/>
      </c>
      <c r="ES187" s="30" t="str">
        <f t="shared" si="2752"/>
        <v/>
      </c>
      <c r="ET187" s="30" t="str">
        <f t="shared" si="2753"/>
        <v/>
      </c>
      <c r="EU187" s="30" t="str">
        <f t="shared" si="2754"/>
        <v/>
      </c>
      <c r="EV187" s="30" t="str">
        <f t="shared" si="2755"/>
        <v/>
      </c>
      <c r="EW187" s="30" t="str">
        <f t="shared" si="2756"/>
        <v/>
      </c>
      <c r="EX187" s="30" t="str">
        <f t="shared" si="2757"/>
        <v/>
      </c>
      <c r="EY187" s="30" t="str">
        <f t="shared" si="2758"/>
        <v/>
      </c>
      <c r="EZ187" s="30" t="str">
        <f t="shared" si="2759"/>
        <v/>
      </c>
      <c r="FA187" s="30" t="str">
        <f t="shared" si="2760"/>
        <v/>
      </c>
      <c r="FB187" s="30" t="str">
        <f t="shared" si="2761"/>
        <v/>
      </c>
      <c r="FC187" s="30" t="str">
        <f t="shared" si="2762"/>
        <v/>
      </c>
      <c r="FD187" s="30" t="str">
        <f t="shared" si="2763"/>
        <v/>
      </c>
      <c r="FE187" s="30" t="str">
        <f t="shared" si="2764"/>
        <v/>
      </c>
      <c r="FF187" s="30" t="str">
        <f t="shared" si="2765"/>
        <v/>
      </c>
      <c r="FG187" s="30" t="str">
        <f t="shared" si="2766"/>
        <v/>
      </c>
      <c r="FH187" s="30" t="str">
        <f t="shared" si="2767"/>
        <v/>
      </c>
      <c r="FI187" s="30" t="str">
        <f t="shared" si="2768"/>
        <v/>
      </c>
      <c r="FJ187" s="30" t="str">
        <f t="shared" si="2769"/>
        <v/>
      </c>
      <c r="FK187" s="30" t="str">
        <f t="shared" si="2770"/>
        <v/>
      </c>
      <c r="FL187" s="30" t="str">
        <f t="shared" si="2771"/>
        <v/>
      </c>
      <c r="FM187" s="30" t="str">
        <f t="shared" si="2772"/>
        <v/>
      </c>
      <c r="FN187" s="30" t="str">
        <f t="shared" si="2773"/>
        <v/>
      </c>
      <c r="FO187" s="30" t="str">
        <f t="shared" si="2774"/>
        <v/>
      </c>
      <c r="FP187" s="30" t="str">
        <f t="shared" si="2775"/>
        <v/>
      </c>
      <c r="FQ187" s="30" t="str">
        <f t="shared" si="2776"/>
        <v/>
      </c>
      <c r="FR187" s="30" t="str">
        <f t="shared" si="2777"/>
        <v/>
      </c>
      <c r="FS187" s="30" t="str">
        <f t="shared" si="2778"/>
        <v/>
      </c>
    </row>
    <row r="188" spans="1:175" s="24" customFormat="1" ht="16.5">
      <c r="A188" s="46"/>
      <c r="B188" s="36"/>
      <c r="C188" s="46"/>
      <c r="D188" s="31"/>
      <c r="E188" s="39"/>
      <c r="F188" s="41"/>
      <c r="G188" s="47"/>
      <c r="H188" s="47"/>
      <c r="I188" s="47"/>
      <c r="J188" s="47"/>
      <c r="K188" s="47"/>
      <c r="L188" s="47"/>
      <c r="M188" s="47"/>
      <c r="N188" s="47"/>
      <c r="O188" s="47"/>
      <c r="P188" s="42"/>
      <c r="Q188" s="42"/>
      <c r="R188" s="42"/>
      <c r="S188" s="42"/>
      <c r="T188" s="102"/>
      <c r="U188" s="32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43"/>
      <c r="CB188" s="43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4" t="str">
        <f t="shared" si="2703"/>
        <v>InitUnitState('',,,,,,,,,,)</v>
      </c>
      <c r="CO188" s="44" t="str">
        <f t="shared" si="2704"/>
        <v>InitUnitNormal('',,,,,,,,,,)</v>
      </c>
      <c r="CP188" s="44" t="str">
        <f t="shared" si="2705"/>
        <v>InitUnitMagic('',,,,,,,,,,)</v>
      </c>
      <c r="CQ188" s="44" t="str">
        <f t="shared" si="2706"/>
        <v>InitUnitAdd('',,,,,,,,,,)</v>
      </c>
      <c r="CR188" s="44" t="str">
        <f t="shared" si="2707"/>
        <v>InitEquipData('',,"",,,,,'','','','','','',"")</v>
      </c>
      <c r="CS188" s="44"/>
      <c r="CT188" s="44"/>
      <c r="CU188" s="45" t="str">
        <f t="shared" si="2708"/>
        <v>|n</v>
      </c>
      <c r="CV188" s="29"/>
      <c r="DB188" s="30" t="str">
        <f t="shared" si="2709"/>
        <v/>
      </c>
      <c r="DC188" s="30" t="str">
        <f t="shared" si="2710"/>
        <v/>
      </c>
      <c r="DD188" s="30" t="str">
        <f t="shared" si="2711"/>
        <v/>
      </c>
      <c r="DE188" s="30" t="str">
        <f t="shared" si="2712"/>
        <v/>
      </c>
      <c r="DF188" s="30" t="str">
        <f t="shared" si="2713"/>
        <v/>
      </c>
      <c r="DG188" s="30" t="str">
        <f t="shared" si="2714"/>
        <v/>
      </c>
      <c r="DH188" s="30" t="str">
        <f t="shared" si="2715"/>
        <v/>
      </c>
      <c r="DI188" s="30" t="str">
        <f t="shared" si="2716"/>
        <v/>
      </c>
      <c r="DJ188" s="30" t="str">
        <f t="shared" si="2717"/>
        <v/>
      </c>
      <c r="DK188" s="30" t="str">
        <f t="shared" si="2718"/>
        <v/>
      </c>
      <c r="DL188" s="30" t="str">
        <f t="shared" si="2719"/>
        <v/>
      </c>
      <c r="DM188" s="30" t="str">
        <f t="shared" si="2720"/>
        <v/>
      </c>
      <c r="DN188" s="30" t="str">
        <f t="shared" si="2721"/>
        <v/>
      </c>
      <c r="DO188" s="30" t="str">
        <f t="shared" si="2722"/>
        <v/>
      </c>
      <c r="DP188" s="30" t="str">
        <f t="shared" si="2723"/>
        <v/>
      </c>
      <c r="DQ188" s="30" t="str">
        <f t="shared" si="2724"/>
        <v/>
      </c>
      <c r="DR188" s="30" t="str">
        <f t="shared" si="2725"/>
        <v/>
      </c>
      <c r="DS188" s="30" t="str">
        <f t="shared" si="2726"/>
        <v/>
      </c>
      <c r="DT188" s="30" t="str">
        <f t="shared" si="2727"/>
        <v/>
      </c>
      <c r="DU188" s="30" t="str">
        <f t="shared" si="2728"/>
        <v/>
      </c>
      <c r="DV188" s="30" t="str">
        <f t="shared" si="2729"/>
        <v/>
      </c>
      <c r="DW188" s="30" t="str">
        <f t="shared" si="2730"/>
        <v/>
      </c>
      <c r="DX188" s="30" t="str">
        <f t="shared" si="2731"/>
        <v/>
      </c>
      <c r="DY188" s="30" t="str">
        <f t="shared" si="2732"/>
        <v/>
      </c>
      <c r="DZ188" s="30" t="str">
        <f t="shared" si="2733"/>
        <v/>
      </c>
      <c r="EA188" s="30" t="str">
        <f t="shared" si="2734"/>
        <v/>
      </c>
      <c r="EB188" s="30" t="str">
        <f t="shared" si="2735"/>
        <v/>
      </c>
      <c r="EC188" s="30" t="str">
        <f t="shared" si="2736"/>
        <v/>
      </c>
      <c r="ED188" s="30" t="str">
        <f t="shared" si="2737"/>
        <v/>
      </c>
      <c r="EE188" s="30" t="str">
        <f t="shared" si="2738"/>
        <v/>
      </c>
      <c r="EF188" s="30" t="str">
        <f t="shared" si="2739"/>
        <v/>
      </c>
      <c r="EG188" s="30" t="str">
        <f t="shared" si="2740"/>
        <v/>
      </c>
      <c r="EH188" s="30" t="str">
        <f t="shared" si="2741"/>
        <v/>
      </c>
      <c r="EI188" s="30" t="str">
        <f t="shared" si="2742"/>
        <v/>
      </c>
      <c r="EJ188" s="30" t="str">
        <f t="shared" si="2743"/>
        <v/>
      </c>
      <c r="EK188" s="30" t="str">
        <f t="shared" si="2744"/>
        <v/>
      </c>
      <c r="EL188" s="30" t="str">
        <f t="shared" si="2745"/>
        <v/>
      </c>
      <c r="EM188" s="30" t="str">
        <f t="shared" si="2746"/>
        <v/>
      </c>
      <c r="EN188" s="30" t="str">
        <f t="shared" si="2747"/>
        <v/>
      </c>
      <c r="EO188" s="30" t="str">
        <f t="shared" si="2748"/>
        <v/>
      </c>
      <c r="EP188" s="30" t="str">
        <f t="shared" si="2749"/>
        <v/>
      </c>
      <c r="EQ188" s="30" t="str">
        <f t="shared" si="2750"/>
        <v/>
      </c>
      <c r="ER188" s="30" t="str">
        <f t="shared" si="2751"/>
        <v/>
      </c>
      <c r="ES188" s="30" t="str">
        <f t="shared" si="2752"/>
        <v/>
      </c>
      <c r="ET188" s="30" t="str">
        <f t="shared" si="2753"/>
        <v/>
      </c>
      <c r="EU188" s="30" t="str">
        <f t="shared" si="2754"/>
        <v/>
      </c>
      <c r="EV188" s="30" t="str">
        <f t="shared" si="2755"/>
        <v/>
      </c>
      <c r="EW188" s="30" t="str">
        <f t="shared" si="2756"/>
        <v/>
      </c>
      <c r="EX188" s="30" t="str">
        <f t="shared" si="2757"/>
        <v/>
      </c>
      <c r="EY188" s="30" t="str">
        <f t="shared" si="2758"/>
        <v/>
      </c>
      <c r="EZ188" s="30" t="str">
        <f t="shared" si="2759"/>
        <v/>
      </c>
      <c r="FA188" s="30" t="str">
        <f t="shared" si="2760"/>
        <v/>
      </c>
      <c r="FB188" s="30" t="str">
        <f t="shared" si="2761"/>
        <v/>
      </c>
      <c r="FC188" s="30" t="str">
        <f t="shared" si="2762"/>
        <v/>
      </c>
      <c r="FD188" s="30" t="str">
        <f t="shared" si="2763"/>
        <v/>
      </c>
      <c r="FE188" s="30" t="str">
        <f t="shared" si="2764"/>
        <v/>
      </c>
      <c r="FF188" s="30" t="str">
        <f t="shared" si="2765"/>
        <v/>
      </c>
      <c r="FG188" s="30" t="str">
        <f t="shared" si="2766"/>
        <v/>
      </c>
      <c r="FH188" s="30" t="str">
        <f t="shared" si="2767"/>
        <v/>
      </c>
      <c r="FI188" s="30" t="str">
        <f t="shared" si="2768"/>
        <v/>
      </c>
      <c r="FJ188" s="30" t="str">
        <f t="shared" si="2769"/>
        <v/>
      </c>
      <c r="FK188" s="30" t="str">
        <f t="shared" si="2770"/>
        <v/>
      </c>
      <c r="FL188" s="30" t="str">
        <f t="shared" si="2771"/>
        <v/>
      </c>
      <c r="FM188" s="30" t="str">
        <f t="shared" si="2772"/>
        <v/>
      </c>
      <c r="FN188" s="30" t="str">
        <f t="shared" si="2773"/>
        <v/>
      </c>
      <c r="FO188" s="30" t="str">
        <f t="shared" si="2774"/>
        <v/>
      </c>
      <c r="FP188" s="30" t="str">
        <f t="shared" si="2775"/>
        <v/>
      </c>
      <c r="FQ188" s="30" t="str">
        <f t="shared" si="2776"/>
        <v/>
      </c>
      <c r="FR188" s="30" t="str">
        <f t="shared" si="2777"/>
        <v/>
      </c>
      <c r="FS188" s="30" t="str">
        <f t="shared" si="2778"/>
        <v/>
      </c>
    </row>
    <row r="189" spans="1:175" s="24" customFormat="1" ht="16.5">
      <c r="A189" s="46"/>
      <c r="B189" s="36"/>
      <c r="C189" s="46"/>
      <c r="D189" s="31"/>
      <c r="E189" s="39"/>
      <c r="F189" s="41"/>
      <c r="G189" s="47"/>
      <c r="H189" s="47"/>
      <c r="I189" s="47"/>
      <c r="J189" s="47"/>
      <c r="K189" s="47"/>
      <c r="L189" s="47"/>
      <c r="M189" s="47"/>
      <c r="N189" s="47"/>
      <c r="O189" s="47"/>
      <c r="P189" s="42"/>
      <c r="Q189" s="42"/>
      <c r="R189" s="42"/>
      <c r="S189" s="42"/>
      <c r="T189" s="102"/>
      <c r="U189" s="32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43"/>
      <c r="CB189" s="43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4" t="str">
        <f t="shared" si="2703"/>
        <v>InitUnitState('',,,,,,,,,,)</v>
      </c>
      <c r="CO189" s="44" t="str">
        <f t="shared" si="2704"/>
        <v>InitUnitNormal('',,,,,,,,,,)</v>
      </c>
      <c r="CP189" s="44" t="str">
        <f t="shared" si="2705"/>
        <v>InitUnitMagic('',,,,,,,,,,)</v>
      </c>
      <c r="CQ189" s="44" t="str">
        <f t="shared" si="2706"/>
        <v>InitUnitAdd('',,,,,,,,,,)</v>
      </c>
      <c r="CR189" s="44" t="str">
        <f t="shared" si="2707"/>
        <v>InitEquipData('',,"",,,,,'','','','','','',"")</v>
      </c>
      <c r="CS189" s="44"/>
      <c r="CT189" s="44"/>
      <c r="CU189" s="45" t="str">
        <f t="shared" si="2708"/>
        <v>|n</v>
      </c>
      <c r="CV189" s="29"/>
      <c r="DB189" s="30" t="str">
        <f t="shared" si="2709"/>
        <v/>
      </c>
      <c r="DC189" s="30" t="str">
        <f t="shared" si="2710"/>
        <v/>
      </c>
      <c r="DD189" s="30" t="str">
        <f t="shared" si="2711"/>
        <v/>
      </c>
      <c r="DE189" s="30" t="str">
        <f t="shared" si="2712"/>
        <v/>
      </c>
      <c r="DF189" s="30" t="str">
        <f t="shared" si="2713"/>
        <v/>
      </c>
      <c r="DG189" s="30" t="str">
        <f t="shared" si="2714"/>
        <v/>
      </c>
      <c r="DH189" s="30" t="str">
        <f t="shared" si="2715"/>
        <v/>
      </c>
      <c r="DI189" s="30" t="str">
        <f t="shared" si="2716"/>
        <v/>
      </c>
      <c r="DJ189" s="30" t="str">
        <f t="shared" si="2717"/>
        <v/>
      </c>
      <c r="DK189" s="30" t="str">
        <f t="shared" si="2718"/>
        <v/>
      </c>
      <c r="DL189" s="30" t="str">
        <f t="shared" si="2719"/>
        <v/>
      </c>
      <c r="DM189" s="30" t="str">
        <f t="shared" si="2720"/>
        <v/>
      </c>
      <c r="DN189" s="30" t="str">
        <f t="shared" si="2721"/>
        <v/>
      </c>
      <c r="DO189" s="30" t="str">
        <f t="shared" si="2722"/>
        <v/>
      </c>
      <c r="DP189" s="30" t="str">
        <f t="shared" si="2723"/>
        <v/>
      </c>
      <c r="DQ189" s="30" t="str">
        <f t="shared" si="2724"/>
        <v/>
      </c>
      <c r="DR189" s="30" t="str">
        <f t="shared" si="2725"/>
        <v/>
      </c>
      <c r="DS189" s="30" t="str">
        <f t="shared" si="2726"/>
        <v/>
      </c>
      <c r="DT189" s="30" t="str">
        <f t="shared" si="2727"/>
        <v/>
      </c>
      <c r="DU189" s="30" t="str">
        <f t="shared" si="2728"/>
        <v/>
      </c>
      <c r="DV189" s="30" t="str">
        <f t="shared" si="2729"/>
        <v/>
      </c>
      <c r="DW189" s="30" t="str">
        <f t="shared" si="2730"/>
        <v/>
      </c>
      <c r="DX189" s="30" t="str">
        <f t="shared" si="2731"/>
        <v/>
      </c>
      <c r="DY189" s="30" t="str">
        <f t="shared" si="2732"/>
        <v/>
      </c>
      <c r="DZ189" s="30" t="str">
        <f t="shared" si="2733"/>
        <v/>
      </c>
      <c r="EA189" s="30" t="str">
        <f t="shared" si="2734"/>
        <v/>
      </c>
      <c r="EB189" s="30" t="str">
        <f t="shared" si="2735"/>
        <v/>
      </c>
      <c r="EC189" s="30" t="str">
        <f t="shared" si="2736"/>
        <v/>
      </c>
      <c r="ED189" s="30" t="str">
        <f t="shared" si="2737"/>
        <v/>
      </c>
      <c r="EE189" s="30" t="str">
        <f t="shared" si="2738"/>
        <v/>
      </c>
      <c r="EF189" s="30" t="str">
        <f t="shared" si="2739"/>
        <v/>
      </c>
      <c r="EG189" s="30" t="str">
        <f t="shared" si="2740"/>
        <v/>
      </c>
      <c r="EH189" s="30" t="str">
        <f t="shared" si="2741"/>
        <v/>
      </c>
      <c r="EI189" s="30" t="str">
        <f t="shared" si="2742"/>
        <v/>
      </c>
      <c r="EJ189" s="30" t="str">
        <f t="shared" si="2743"/>
        <v/>
      </c>
      <c r="EK189" s="30" t="str">
        <f t="shared" si="2744"/>
        <v/>
      </c>
      <c r="EL189" s="30" t="str">
        <f t="shared" si="2745"/>
        <v/>
      </c>
      <c r="EM189" s="30" t="str">
        <f t="shared" si="2746"/>
        <v/>
      </c>
      <c r="EN189" s="30" t="str">
        <f t="shared" si="2747"/>
        <v/>
      </c>
      <c r="EO189" s="30" t="str">
        <f t="shared" si="2748"/>
        <v/>
      </c>
      <c r="EP189" s="30" t="str">
        <f t="shared" si="2749"/>
        <v/>
      </c>
      <c r="EQ189" s="30" t="str">
        <f t="shared" si="2750"/>
        <v/>
      </c>
      <c r="ER189" s="30" t="str">
        <f t="shared" si="2751"/>
        <v/>
      </c>
      <c r="ES189" s="30" t="str">
        <f t="shared" si="2752"/>
        <v/>
      </c>
      <c r="ET189" s="30" t="str">
        <f t="shared" si="2753"/>
        <v/>
      </c>
      <c r="EU189" s="30" t="str">
        <f t="shared" si="2754"/>
        <v/>
      </c>
      <c r="EV189" s="30" t="str">
        <f t="shared" si="2755"/>
        <v/>
      </c>
      <c r="EW189" s="30" t="str">
        <f t="shared" si="2756"/>
        <v/>
      </c>
      <c r="EX189" s="30" t="str">
        <f t="shared" si="2757"/>
        <v/>
      </c>
      <c r="EY189" s="30" t="str">
        <f t="shared" si="2758"/>
        <v/>
      </c>
      <c r="EZ189" s="30" t="str">
        <f t="shared" si="2759"/>
        <v/>
      </c>
      <c r="FA189" s="30" t="str">
        <f t="shared" si="2760"/>
        <v/>
      </c>
      <c r="FB189" s="30" t="str">
        <f t="shared" si="2761"/>
        <v/>
      </c>
      <c r="FC189" s="30" t="str">
        <f t="shared" si="2762"/>
        <v/>
      </c>
      <c r="FD189" s="30" t="str">
        <f t="shared" si="2763"/>
        <v/>
      </c>
      <c r="FE189" s="30" t="str">
        <f t="shared" si="2764"/>
        <v/>
      </c>
      <c r="FF189" s="30" t="str">
        <f t="shared" si="2765"/>
        <v/>
      </c>
      <c r="FG189" s="30" t="str">
        <f t="shared" si="2766"/>
        <v/>
      </c>
      <c r="FH189" s="30" t="str">
        <f t="shared" si="2767"/>
        <v/>
      </c>
      <c r="FI189" s="30" t="str">
        <f t="shared" si="2768"/>
        <v/>
      </c>
      <c r="FJ189" s="30" t="str">
        <f t="shared" si="2769"/>
        <v/>
      </c>
      <c r="FK189" s="30" t="str">
        <f t="shared" si="2770"/>
        <v/>
      </c>
      <c r="FL189" s="30" t="str">
        <f t="shared" si="2771"/>
        <v/>
      </c>
      <c r="FM189" s="30" t="str">
        <f t="shared" si="2772"/>
        <v/>
      </c>
      <c r="FN189" s="30" t="str">
        <f t="shared" si="2773"/>
        <v/>
      </c>
      <c r="FO189" s="30" t="str">
        <f t="shared" si="2774"/>
        <v/>
      </c>
      <c r="FP189" s="30" t="str">
        <f t="shared" si="2775"/>
        <v/>
      </c>
      <c r="FQ189" s="30" t="str">
        <f t="shared" si="2776"/>
        <v/>
      </c>
      <c r="FR189" s="30" t="str">
        <f t="shared" si="2777"/>
        <v/>
      </c>
      <c r="FS189" s="30" t="str">
        <f t="shared" si="2778"/>
        <v/>
      </c>
    </row>
    <row r="190" spans="1:175" s="24" customFormat="1" ht="16.5">
      <c r="A190" s="46"/>
      <c r="B190" s="36"/>
      <c r="C190" s="46"/>
      <c r="D190" s="31"/>
      <c r="E190" s="39"/>
      <c r="F190" s="41"/>
      <c r="G190" s="47"/>
      <c r="H190" s="47"/>
      <c r="I190" s="47"/>
      <c r="J190" s="47"/>
      <c r="K190" s="47"/>
      <c r="L190" s="47"/>
      <c r="M190" s="47"/>
      <c r="N190" s="47"/>
      <c r="O190" s="47"/>
      <c r="P190" s="42"/>
      <c r="Q190" s="42"/>
      <c r="R190" s="42"/>
      <c r="S190" s="42"/>
      <c r="T190" s="102"/>
      <c r="U190" s="32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43"/>
      <c r="CB190" s="43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4" t="str">
        <f t="shared" si="2703"/>
        <v>InitUnitState('',,,,,,,,,,)</v>
      </c>
      <c r="CO190" s="44" t="str">
        <f t="shared" si="2704"/>
        <v>InitUnitNormal('',,,,,,,,,,)</v>
      </c>
      <c r="CP190" s="44" t="str">
        <f t="shared" si="2705"/>
        <v>InitUnitMagic('',,,,,,,,,,)</v>
      </c>
      <c r="CQ190" s="44" t="str">
        <f t="shared" si="2706"/>
        <v>InitUnitAdd('',,,,,,,,,,)</v>
      </c>
      <c r="CR190" s="44" t="str">
        <f t="shared" si="2707"/>
        <v>InitEquipData('',,"",,,,,'','','','','','',"")</v>
      </c>
      <c r="CS190" s="44"/>
      <c r="CT190" s="44"/>
      <c r="CU190" s="45" t="str">
        <f t="shared" si="2708"/>
        <v>|n</v>
      </c>
      <c r="CV190" s="29"/>
      <c r="DB190" s="30" t="str">
        <f t="shared" si="2709"/>
        <v/>
      </c>
      <c r="DC190" s="30" t="str">
        <f t="shared" si="2710"/>
        <v/>
      </c>
      <c r="DD190" s="30" t="str">
        <f t="shared" si="2711"/>
        <v/>
      </c>
      <c r="DE190" s="30" t="str">
        <f t="shared" si="2712"/>
        <v/>
      </c>
      <c r="DF190" s="30" t="str">
        <f t="shared" si="2713"/>
        <v/>
      </c>
      <c r="DG190" s="30" t="str">
        <f t="shared" si="2714"/>
        <v/>
      </c>
      <c r="DH190" s="30" t="str">
        <f t="shared" si="2715"/>
        <v/>
      </c>
      <c r="DI190" s="30" t="str">
        <f t="shared" si="2716"/>
        <v/>
      </c>
      <c r="DJ190" s="30" t="str">
        <f t="shared" si="2717"/>
        <v/>
      </c>
      <c r="DK190" s="30" t="str">
        <f t="shared" si="2718"/>
        <v/>
      </c>
      <c r="DL190" s="30" t="str">
        <f t="shared" si="2719"/>
        <v/>
      </c>
      <c r="DM190" s="30" t="str">
        <f t="shared" si="2720"/>
        <v/>
      </c>
      <c r="DN190" s="30" t="str">
        <f t="shared" si="2721"/>
        <v/>
      </c>
      <c r="DO190" s="30" t="str">
        <f t="shared" si="2722"/>
        <v/>
      </c>
      <c r="DP190" s="30" t="str">
        <f t="shared" si="2723"/>
        <v/>
      </c>
      <c r="DQ190" s="30" t="str">
        <f t="shared" si="2724"/>
        <v/>
      </c>
      <c r="DR190" s="30" t="str">
        <f t="shared" si="2725"/>
        <v/>
      </c>
      <c r="DS190" s="30" t="str">
        <f t="shared" si="2726"/>
        <v/>
      </c>
      <c r="DT190" s="30" t="str">
        <f t="shared" si="2727"/>
        <v/>
      </c>
      <c r="DU190" s="30" t="str">
        <f t="shared" si="2728"/>
        <v/>
      </c>
      <c r="DV190" s="30" t="str">
        <f t="shared" si="2729"/>
        <v/>
      </c>
      <c r="DW190" s="30" t="str">
        <f t="shared" si="2730"/>
        <v/>
      </c>
      <c r="DX190" s="30" t="str">
        <f t="shared" si="2731"/>
        <v/>
      </c>
      <c r="DY190" s="30" t="str">
        <f t="shared" si="2732"/>
        <v/>
      </c>
      <c r="DZ190" s="30" t="str">
        <f t="shared" si="2733"/>
        <v/>
      </c>
      <c r="EA190" s="30" t="str">
        <f t="shared" si="2734"/>
        <v/>
      </c>
      <c r="EB190" s="30" t="str">
        <f t="shared" si="2735"/>
        <v/>
      </c>
      <c r="EC190" s="30" t="str">
        <f t="shared" si="2736"/>
        <v/>
      </c>
      <c r="ED190" s="30" t="str">
        <f t="shared" si="2737"/>
        <v/>
      </c>
      <c r="EE190" s="30" t="str">
        <f t="shared" si="2738"/>
        <v/>
      </c>
      <c r="EF190" s="30" t="str">
        <f t="shared" si="2739"/>
        <v/>
      </c>
      <c r="EG190" s="30" t="str">
        <f t="shared" si="2740"/>
        <v/>
      </c>
      <c r="EH190" s="30" t="str">
        <f t="shared" si="2741"/>
        <v/>
      </c>
      <c r="EI190" s="30" t="str">
        <f t="shared" si="2742"/>
        <v/>
      </c>
      <c r="EJ190" s="30" t="str">
        <f t="shared" si="2743"/>
        <v/>
      </c>
      <c r="EK190" s="30" t="str">
        <f t="shared" si="2744"/>
        <v/>
      </c>
      <c r="EL190" s="30" t="str">
        <f t="shared" si="2745"/>
        <v/>
      </c>
      <c r="EM190" s="30" t="str">
        <f t="shared" si="2746"/>
        <v/>
      </c>
      <c r="EN190" s="30" t="str">
        <f t="shared" si="2747"/>
        <v/>
      </c>
      <c r="EO190" s="30" t="str">
        <f t="shared" si="2748"/>
        <v/>
      </c>
      <c r="EP190" s="30" t="str">
        <f t="shared" si="2749"/>
        <v/>
      </c>
      <c r="EQ190" s="30" t="str">
        <f t="shared" si="2750"/>
        <v/>
      </c>
      <c r="ER190" s="30" t="str">
        <f t="shared" si="2751"/>
        <v/>
      </c>
      <c r="ES190" s="30" t="str">
        <f t="shared" si="2752"/>
        <v/>
      </c>
      <c r="ET190" s="30" t="str">
        <f t="shared" si="2753"/>
        <v/>
      </c>
      <c r="EU190" s="30" t="str">
        <f t="shared" si="2754"/>
        <v/>
      </c>
      <c r="EV190" s="30" t="str">
        <f t="shared" si="2755"/>
        <v/>
      </c>
      <c r="EW190" s="30" t="str">
        <f t="shared" si="2756"/>
        <v/>
      </c>
      <c r="EX190" s="30" t="str">
        <f t="shared" si="2757"/>
        <v/>
      </c>
      <c r="EY190" s="30" t="str">
        <f t="shared" si="2758"/>
        <v/>
      </c>
      <c r="EZ190" s="30" t="str">
        <f t="shared" si="2759"/>
        <v/>
      </c>
      <c r="FA190" s="30" t="str">
        <f t="shared" si="2760"/>
        <v/>
      </c>
      <c r="FB190" s="30" t="str">
        <f t="shared" si="2761"/>
        <v/>
      </c>
      <c r="FC190" s="30" t="str">
        <f t="shared" si="2762"/>
        <v/>
      </c>
      <c r="FD190" s="30" t="str">
        <f t="shared" si="2763"/>
        <v/>
      </c>
      <c r="FE190" s="30" t="str">
        <f t="shared" si="2764"/>
        <v/>
      </c>
      <c r="FF190" s="30" t="str">
        <f t="shared" si="2765"/>
        <v/>
      </c>
      <c r="FG190" s="30" t="str">
        <f t="shared" si="2766"/>
        <v/>
      </c>
      <c r="FH190" s="30" t="str">
        <f t="shared" si="2767"/>
        <v/>
      </c>
      <c r="FI190" s="30" t="str">
        <f t="shared" si="2768"/>
        <v/>
      </c>
      <c r="FJ190" s="30" t="str">
        <f t="shared" si="2769"/>
        <v/>
      </c>
      <c r="FK190" s="30" t="str">
        <f t="shared" si="2770"/>
        <v/>
      </c>
      <c r="FL190" s="30" t="str">
        <f t="shared" si="2771"/>
        <v/>
      </c>
      <c r="FM190" s="30" t="str">
        <f t="shared" si="2772"/>
        <v/>
      </c>
      <c r="FN190" s="30" t="str">
        <f t="shared" si="2773"/>
        <v/>
      </c>
      <c r="FO190" s="30" t="str">
        <f t="shared" si="2774"/>
        <v/>
      </c>
      <c r="FP190" s="30" t="str">
        <f t="shared" si="2775"/>
        <v/>
      </c>
      <c r="FQ190" s="30" t="str">
        <f t="shared" si="2776"/>
        <v/>
      </c>
      <c r="FR190" s="30" t="str">
        <f t="shared" si="2777"/>
        <v/>
      </c>
      <c r="FS190" s="30" t="str">
        <f t="shared" si="2778"/>
        <v/>
      </c>
    </row>
    <row r="191" spans="1:175" s="24" customFormat="1" ht="16.5">
      <c r="A191" s="46"/>
      <c r="B191" s="36"/>
      <c r="C191" s="46"/>
      <c r="D191" s="31"/>
      <c r="E191" s="39"/>
      <c r="F191" s="41"/>
      <c r="G191" s="47"/>
      <c r="H191" s="47"/>
      <c r="I191" s="47"/>
      <c r="J191" s="47"/>
      <c r="K191" s="47"/>
      <c r="L191" s="47"/>
      <c r="M191" s="47"/>
      <c r="N191" s="47"/>
      <c r="O191" s="47"/>
      <c r="P191" s="42"/>
      <c r="Q191" s="42"/>
      <c r="R191" s="42"/>
      <c r="S191" s="42"/>
      <c r="T191" s="102"/>
      <c r="U191" s="32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43"/>
      <c r="CB191" s="43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4" t="str">
        <f t="shared" si="2703"/>
        <v>InitUnitState('',,,,,,,,,,)</v>
      </c>
      <c r="CO191" s="44" t="str">
        <f t="shared" si="2704"/>
        <v>InitUnitNormal('',,,,,,,,,,)</v>
      </c>
      <c r="CP191" s="44" t="str">
        <f t="shared" si="2705"/>
        <v>InitUnitMagic('',,,,,,,,,,)</v>
      </c>
      <c r="CQ191" s="44" t="str">
        <f t="shared" si="2706"/>
        <v>InitUnitAdd('',,,,,,,,,,)</v>
      </c>
      <c r="CR191" s="44" t="str">
        <f t="shared" si="2707"/>
        <v>InitEquipData('',,"",,,,,'','','','','','',"")</v>
      </c>
      <c r="CS191" s="44"/>
      <c r="CT191" s="44"/>
      <c r="CU191" s="45" t="str">
        <f t="shared" si="2708"/>
        <v>|n</v>
      </c>
      <c r="CV191" s="29"/>
      <c r="DB191" s="30" t="str">
        <f t="shared" si="2709"/>
        <v/>
      </c>
      <c r="DC191" s="30" t="str">
        <f t="shared" si="2710"/>
        <v/>
      </c>
      <c r="DD191" s="30" t="str">
        <f t="shared" si="2711"/>
        <v/>
      </c>
      <c r="DE191" s="30" t="str">
        <f t="shared" si="2712"/>
        <v/>
      </c>
      <c r="DF191" s="30" t="str">
        <f t="shared" si="2713"/>
        <v/>
      </c>
      <c r="DG191" s="30" t="str">
        <f t="shared" si="2714"/>
        <v/>
      </c>
      <c r="DH191" s="30" t="str">
        <f t="shared" si="2715"/>
        <v/>
      </c>
      <c r="DI191" s="30" t="str">
        <f t="shared" si="2716"/>
        <v/>
      </c>
      <c r="DJ191" s="30" t="str">
        <f t="shared" si="2717"/>
        <v/>
      </c>
      <c r="DK191" s="30" t="str">
        <f t="shared" si="2718"/>
        <v/>
      </c>
      <c r="DL191" s="30" t="str">
        <f t="shared" si="2719"/>
        <v/>
      </c>
      <c r="DM191" s="30" t="str">
        <f t="shared" si="2720"/>
        <v/>
      </c>
      <c r="DN191" s="30" t="str">
        <f t="shared" si="2721"/>
        <v/>
      </c>
      <c r="DO191" s="30" t="str">
        <f t="shared" si="2722"/>
        <v/>
      </c>
      <c r="DP191" s="30" t="str">
        <f t="shared" si="2723"/>
        <v/>
      </c>
      <c r="DQ191" s="30" t="str">
        <f t="shared" si="2724"/>
        <v/>
      </c>
      <c r="DR191" s="30" t="str">
        <f t="shared" si="2725"/>
        <v/>
      </c>
      <c r="DS191" s="30" t="str">
        <f t="shared" si="2726"/>
        <v/>
      </c>
      <c r="DT191" s="30" t="str">
        <f t="shared" si="2727"/>
        <v/>
      </c>
      <c r="DU191" s="30" t="str">
        <f t="shared" si="2728"/>
        <v/>
      </c>
      <c r="DV191" s="30" t="str">
        <f t="shared" si="2729"/>
        <v/>
      </c>
      <c r="DW191" s="30" t="str">
        <f t="shared" si="2730"/>
        <v/>
      </c>
      <c r="DX191" s="30" t="str">
        <f t="shared" si="2731"/>
        <v/>
      </c>
      <c r="DY191" s="30" t="str">
        <f t="shared" si="2732"/>
        <v/>
      </c>
      <c r="DZ191" s="30" t="str">
        <f t="shared" si="2733"/>
        <v/>
      </c>
      <c r="EA191" s="30" t="str">
        <f t="shared" si="2734"/>
        <v/>
      </c>
      <c r="EB191" s="30" t="str">
        <f t="shared" si="2735"/>
        <v/>
      </c>
      <c r="EC191" s="30" t="str">
        <f t="shared" si="2736"/>
        <v/>
      </c>
      <c r="ED191" s="30" t="str">
        <f t="shared" si="2737"/>
        <v/>
      </c>
      <c r="EE191" s="30" t="str">
        <f t="shared" si="2738"/>
        <v/>
      </c>
      <c r="EF191" s="30" t="str">
        <f t="shared" si="2739"/>
        <v/>
      </c>
      <c r="EG191" s="30" t="str">
        <f t="shared" si="2740"/>
        <v/>
      </c>
      <c r="EH191" s="30" t="str">
        <f t="shared" si="2741"/>
        <v/>
      </c>
      <c r="EI191" s="30" t="str">
        <f t="shared" si="2742"/>
        <v/>
      </c>
      <c r="EJ191" s="30" t="str">
        <f t="shared" si="2743"/>
        <v/>
      </c>
      <c r="EK191" s="30" t="str">
        <f t="shared" si="2744"/>
        <v/>
      </c>
      <c r="EL191" s="30" t="str">
        <f t="shared" si="2745"/>
        <v/>
      </c>
      <c r="EM191" s="30" t="str">
        <f t="shared" si="2746"/>
        <v/>
      </c>
      <c r="EN191" s="30" t="str">
        <f t="shared" si="2747"/>
        <v/>
      </c>
      <c r="EO191" s="30" t="str">
        <f t="shared" si="2748"/>
        <v/>
      </c>
      <c r="EP191" s="30" t="str">
        <f t="shared" si="2749"/>
        <v/>
      </c>
      <c r="EQ191" s="30" t="str">
        <f t="shared" si="2750"/>
        <v/>
      </c>
      <c r="ER191" s="30" t="str">
        <f t="shared" si="2751"/>
        <v/>
      </c>
      <c r="ES191" s="30" t="str">
        <f t="shared" si="2752"/>
        <v/>
      </c>
      <c r="ET191" s="30" t="str">
        <f t="shared" si="2753"/>
        <v/>
      </c>
      <c r="EU191" s="30" t="str">
        <f t="shared" si="2754"/>
        <v/>
      </c>
      <c r="EV191" s="30" t="str">
        <f t="shared" si="2755"/>
        <v/>
      </c>
      <c r="EW191" s="30" t="str">
        <f t="shared" si="2756"/>
        <v/>
      </c>
      <c r="EX191" s="30" t="str">
        <f t="shared" si="2757"/>
        <v/>
      </c>
      <c r="EY191" s="30" t="str">
        <f t="shared" si="2758"/>
        <v/>
      </c>
      <c r="EZ191" s="30" t="str">
        <f t="shared" si="2759"/>
        <v/>
      </c>
      <c r="FA191" s="30" t="str">
        <f t="shared" si="2760"/>
        <v/>
      </c>
      <c r="FB191" s="30" t="str">
        <f t="shared" si="2761"/>
        <v/>
      </c>
      <c r="FC191" s="30" t="str">
        <f t="shared" si="2762"/>
        <v/>
      </c>
      <c r="FD191" s="30" t="str">
        <f t="shared" si="2763"/>
        <v/>
      </c>
      <c r="FE191" s="30" t="str">
        <f t="shared" si="2764"/>
        <v/>
      </c>
      <c r="FF191" s="30" t="str">
        <f t="shared" si="2765"/>
        <v/>
      </c>
      <c r="FG191" s="30" t="str">
        <f t="shared" si="2766"/>
        <v/>
      </c>
      <c r="FH191" s="30" t="str">
        <f t="shared" si="2767"/>
        <v/>
      </c>
      <c r="FI191" s="30" t="str">
        <f t="shared" si="2768"/>
        <v/>
      </c>
      <c r="FJ191" s="30" t="str">
        <f t="shared" si="2769"/>
        <v/>
      </c>
      <c r="FK191" s="30" t="str">
        <f t="shared" si="2770"/>
        <v/>
      </c>
      <c r="FL191" s="30" t="str">
        <f t="shared" si="2771"/>
        <v/>
      </c>
      <c r="FM191" s="30" t="str">
        <f t="shared" si="2772"/>
        <v/>
      </c>
      <c r="FN191" s="30" t="str">
        <f t="shared" si="2773"/>
        <v/>
      </c>
      <c r="FO191" s="30" t="str">
        <f t="shared" si="2774"/>
        <v/>
      </c>
      <c r="FP191" s="30" t="str">
        <f t="shared" si="2775"/>
        <v/>
      </c>
      <c r="FQ191" s="30" t="str">
        <f t="shared" si="2776"/>
        <v/>
      </c>
      <c r="FR191" s="30" t="str">
        <f t="shared" si="2777"/>
        <v/>
      </c>
      <c r="FS191" s="30" t="str">
        <f t="shared" si="2778"/>
        <v/>
      </c>
    </row>
    <row r="192" spans="1:175" s="24" customFormat="1" ht="16.5">
      <c r="A192" s="46"/>
      <c r="B192" s="36"/>
      <c r="C192" s="46"/>
      <c r="D192" s="31"/>
      <c r="E192" s="39"/>
      <c r="F192" s="41"/>
      <c r="G192" s="47"/>
      <c r="H192" s="47"/>
      <c r="I192" s="47"/>
      <c r="J192" s="47"/>
      <c r="K192" s="47"/>
      <c r="L192" s="47"/>
      <c r="M192" s="47"/>
      <c r="N192" s="47"/>
      <c r="O192" s="47"/>
      <c r="P192" s="42"/>
      <c r="Q192" s="42"/>
      <c r="R192" s="42"/>
      <c r="S192" s="42"/>
      <c r="T192" s="102"/>
      <c r="U192" s="32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43"/>
      <c r="CB192" s="43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4" t="str">
        <f t="shared" si="2703"/>
        <v>InitUnitState('',,,,,,,,,,)</v>
      </c>
      <c r="CO192" s="44" t="str">
        <f t="shared" si="2704"/>
        <v>InitUnitNormal('',,,,,,,,,,)</v>
      </c>
      <c r="CP192" s="44" t="str">
        <f t="shared" si="2705"/>
        <v>InitUnitMagic('',,,,,,,,,,)</v>
      </c>
      <c r="CQ192" s="44" t="str">
        <f t="shared" si="2706"/>
        <v>InitUnitAdd('',,,,,,,,,,)</v>
      </c>
      <c r="CR192" s="44" t="str">
        <f t="shared" si="2707"/>
        <v>InitEquipData('',,"",,,,,'','','','','','',"")</v>
      </c>
      <c r="CS192" s="44"/>
      <c r="CT192" s="44"/>
      <c r="CU192" s="45" t="str">
        <f t="shared" si="2708"/>
        <v>|n</v>
      </c>
      <c r="CV192" s="29"/>
      <c r="DB192" s="30" t="str">
        <f t="shared" si="2709"/>
        <v/>
      </c>
      <c r="DC192" s="30" t="str">
        <f t="shared" si="2710"/>
        <v/>
      </c>
      <c r="DD192" s="30" t="str">
        <f t="shared" si="2711"/>
        <v/>
      </c>
      <c r="DE192" s="30" t="str">
        <f t="shared" si="2712"/>
        <v/>
      </c>
      <c r="DF192" s="30" t="str">
        <f t="shared" si="2713"/>
        <v/>
      </c>
      <c r="DG192" s="30" t="str">
        <f t="shared" si="2714"/>
        <v/>
      </c>
      <c r="DH192" s="30" t="str">
        <f t="shared" si="2715"/>
        <v/>
      </c>
      <c r="DI192" s="30" t="str">
        <f t="shared" si="2716"/>
        <v/>
      </c>
      <c r="DJ192" s="30" t="str">
        <f t="shared" si="2717"/>
        <v/>
      </c>
      <c r="DK192" s="30" t="str">
        <f t="shared" si="2718"/>
        <v/>
      </c>
      <c r="DL192" s="30" t="str">
        <f t="shared" si="2719"/>
        <v/>
      </c>
      <c r="DM192" s="30" t="str">
        <f t="shared" si="2720"/>
        <v/>
      </c>
      <c r="DN192" s="30" t="str">
        <f t="shared" si="2721"/>
        <v/>
      </c>
      <c r="DO192" s="30" t="str">
        <f t="shared" si="2722"/>
        <v/>
      </c>
      <c r="DP192" s="30" t="str">
        <f t="shared" si="2723"/>
        <v/>
      </c>
      <c r="DQ192" s="30" t="str">
        <f t="shared" si="2724"/>
        <v/>
      </c>
      <c r="DR192" s="30" t="str">
        <f t="shared" si="2725"/>
        <v/>
      </c>
      <c r="DS192" s="30" t="str">
        <f t="shared" si="2726"/>
        <v/>
      </c>
      <c r="DT192" s="30" t="str">
        <f t="shared" si="2727"/>
        <v/>
      </c>
      <c r="DU192" s="30" t="str">
        <f t="shared" si="2728"/>
        <v/>
      </c>
      <c r="DV192" s="30" t="str">
        <f t="shared" si="2729"/>
        <v/>
      </c>
      <c r="DW192" s="30" t="str">
        <f t="shared" si="2730"/>
        <v/>
      </c>
      <c r="DX192" s="30" t="str">
        <f t="shared" si="2731"/>
        <v/>
      </c>
      <c r="DY192" s="30" t="str">
        <f t="shared" si="2732"/>
        <v/>
      </c>
      <c r="DZ192" s="30" t="str">
        <f t="shared" si="2733"/>
        <v/>
      </c>
      <c r="EA192" s="30" t="str">
        <f t="shared" si="2734"/>
        <v/>
      </c>
      <c r="EB192" s="30" t="str">
        <f t="shared" si="2735"/>
        <v/>
      </c>
      <c r="EC192" s="30" t="str">
        <f t="shared" si="2736"/>
        <v/>
      </c>
      <c r="ED192" s="30" t="str">
        <f t="shared" si="2737"/>
        <v/>
      </c>
      <c r="EE192" s="30" t="str">
        <f t="shared" si="2738"/>
        <v/>
      </c>
      <c r="EF192" s="30" t="str">
        <f t="shared" si="2739"/>
        <v/>
      </c>
      <c r="EG192" s="30" t="str">
        <f t="shared" si="2740"/>
        <v/>
      </c>
      <c r="EH192" s="30" t="str">
        <f t="shared" si="2741"/>
        <v/>
      </c>
      <c r="EI192" s="30" t="str">
        <f t="shared" si="2742"/>
        <v/>
      </c>
      <c r="EJ192" s="30" t="str">
        <f t="shared" si="2743"/>
        <v/>
      </c>
      <c r="EK192" s="30" t="str">
        <f t="shared" si="2744"/>
        <v/>
      </c>
      <c r="EL192" s="30" t="str">
        <f t="shared" si="2745"/>
        <v/>
      </c>
      <c r="EM192" s="30" t="str">
        <f t="shared" si="2746"/>
        <v/>
      </c>
      <c r="EN192" s="30" t="str">
        <f t="shared" si="2747"/>
        <v/>
      </c>
      <c r="EO192" s="30" t="str">
        <f t="shared" si="2748"/>
        <v/>
      </c>
      <c r="EP192" s="30" t="str">
        <f t="shared" si="2749"/>
        <v/>
      </c>
      <c r="EQ192" s="30" t="str">
        <f t="shared" si="2750"/>
        <v/>
      </c>
      <c r="ER192" s="30" t="str">
        <f t="shared" si="2751"/>
        <v/>
      </c>
      <c r="ES192" s="30" t="str">
        <f t="shared" si="2752"/>
        <v/>
      </c>
      <c r="ET192" s="30" t="str">
        <f t="shared" si="2753"/>
        <v/>
      </c>
      <c r="EU192" s="30" t="str">
        <f t="shared" si="2754"/>
        <v/>
      </c>
      <c r="EV192" s="30" t="str">
        <f t="shared" si="2755"/>
        <v/>
      </c>
      <c r="EW192" s="30" t="str">
        <f t="shared" si="2756"/>
        <v/>
      </c>
      <c r="EX192" s="30" t="str">
        <f t="shared" si="2757"/>
        <v/>
      </c>
      <c r="EY192" s="30" t="str">
        <f t="shared" si="2758"/>
        <v/>
      </c>
      <c r="EZ192" s="30" t="str">
        <f t="shared" si="2759"/>
        <v/>
      </c>
      <c r="FA192" s="30" t="str">
        <f t="shared" si="2760"/>
        <v/>
      </c>
      <c r="FB192" s="30" t="str">
        <f t="shared" si="2761"/>
        <v/>
      </c>
      <c r="FC192" s="30" t="str">
        <f t="shared" si="2762"/>
        <v/>
      </c>
      <c r="FD192" s="30" t="str">
        <f t="shared" si="2763"/>
        <v/>
      </c>
      <c r="FE192" s="30" t="str">
        <f t="shared" si="2764"/>
        <v/>
      </c>
      <c r="FF192" s="30" t="str">
        <f t="shared" si="2765"/>
        <v/>
      </c>
      <c r="FG192" s="30" t="str">
        <f t="shared" si="2766"/>
        <v/>
      </c>
      <c r="FH192" s="30" t="str">
        <f t="shared" si="2767"/>
        <v/>
      </c>
      <c r="FI192" s="30" t="str">
        <f t="shared" si="2768"/>
        <v/>
      </c>
      <c r="FJ192" s="30" t="str">
        <f t="shared" si="2769"/>
        <v/>
      </c>
      <c r="FK192" s="30" t="str">
        <f t="shared" si="2770"/>
        <v/>
      </c>
      <c r="FL192" s="30" t="str">
        <f t="shared" si="2771"/>
        <v/>
      </c>
      <c r="FM192" s="30" t="str">
        <f t="shared" si="2772"/>
        <v/>
      </c>
      <c r="FN192" s="30" t="str">
        <f t="shared" si="2773"/>
        <v/>
      </c>
      <c r="FO192" s="30" t="str">
        <f t="shared" si="2774"/>
        <v/>
      </c>
      <c r="FP192" s="30" t="str">
        <f t="shared" si="2775"/>
        <v/>
      </c>
      <c r="FQ192" s="30" t="str">
        <f t="shared" si="2776"/>
        <v/>
      </c>
      <c r="FR192" s="30" t="str">
        <f t="shared" si="2777"/>
        <v/>
      </c>
      <c r="FS192" s="30" t="str">
        <f t="shared" si="2778"/>
        <v/>
      </c>
    </row>
    <row r="193" spans="1:175" s="24" customFormat="1" ht="16.5">
      <c r="A193" s="46"/>
      <c r="B193" s="36"/>
      <c r="C193" s="46"/>
      <c r="D193" s="31"/>
      <c r="E193" s="39"/>
      <c r="F193" s="41"/>
      <c r="G193" s="47"/>
      <c r="H193" s="47"/>
      <c r="I193" s="47"/>
      <c r="J193" s="47"/>
      <c r="K193" s="47"/>
      <c r="L193" s="47"/>
      <c r="M193" s="47"/>
      <c r="N193" s="47"/>
      <c r="O193" s="47"/>
      <c r="P193" s="42"/>
      <c r="Q193" s="42"/>
      <c r="R193" s="42"/>
      <c r="S193" s="42"/>
      <c r="T193" s="102"/>
      <c r="U193" s="32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43"/>
      <c r="CB193" s="43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4" t="str">
        <f t="shared" si="2703"/>
        <v>InitUnitState('',,,,,,,,,,)</v>
      </c>
      <c r="CO193" s="44" t="str">
        <f t="shared" si="2704"/>
        <v>InitUnitNormal('',,,,,,,,,,)</v>
      </c>
      <c r="CP193" s="44" t="str">
        <f t="shared" si="2705"/>
        <v>InitUnitMagic('',,,,,,,,,,)</v>
      </c>
      <c r="CQ193" s="44" t="str">
        <f t="shared" si="2706"/>
        <v>InitUnitAdd('',,,,,,,,,,)</v>
      </c>
      <c r="CR193" s="44" t="str">
        <f t="shared" si="2707"/>
        <v>InitEquipData('',,"",,,,,'','','','','','',"")</v>
      </c>
      <c r="CS193" s="44"/>
      <c r="CT193" s="44"/>
      <c r="CU193" s="45" t="str">
        <f t="shared" si="2708"/>
        <v>|n</v>
      </c>
      <c r="CV193" s="29"/>
      <c r="DB193" s="30" t="str">
        <f t="shared" si="2709"/>
        <v/>
      </c>
      <c r="DC193" s="30" t="str">
        <f t="shared" si="2710"/>
        <v/>
      </c>
      <c r="DD193" s="30" t="str">
        <f t="shared" si="2711"/>
        <v/>
      </c>
      <c r="DE193" s="30" t="str">
        <f t="shared" si="2712"/>
        <v/>
      </c>
      <c r="DF193" s="30" t="str">
        <f t="shared" si="2713"/>
        <v/>
      </c>
      <c r="DG193" s="30" t="str">
        <f t="shared" si="2714"/>
        <v/>
      </c>
      <c r="DH193" s="30" t="str">
        <f t="shared" si="2715"/>
        <v/>
      </c>
      <c r="DI193" s="30" t="str">
        <f t="shared" si="2716"/>
        <v/>
      </c>
      <c r="DJ193" s="30" t="str">
        <f t="shared" si="2717"/>
        <v/>
      </c>
      <c r="DK193" s="30" t="str">
        <f t="shared" si="2718"/>
        <v/>
      </c>
      <c r="DL193" s="30" t="str">
        <f t="shared" si="2719"/>
        <v/>
      </c>
      <c r="DM193" s="30" t="str">
        <f t="shared" si="2720"/>
        <v/>
      </c>
      <c r="DN193" s="30" t="str">
        <f t="shared" si="2721"/>
        <v/>
      </c>
      <c r="DO193" s="30" t="str">
        <f t="shared" si="2722"/>
        <v/>
      </c>
      <c r="DP193" s="30" t="str">
        <f t="shared" si="2723"/>
        <v/>
      </c>
      <c r="DQ193" s="30" t="str">
        <f t="shared" si="2724"/>
        <v/>
      </c>
      <c r="DR193" s="30" t="str">
        <f t="shared" si="2725"/>
        <v/>
      </c>
      <c r="DS193" s="30" t="str">
        <f t="shared" si="2726"/>
        <v/>
      </c>
      <c r="DT193" s="30" t="str">
        <f t="shared" si="2727"/>
        <v/>
      </c>
      <c r="DU193" s="30" t="str">
        <f t="shared" si="2728"/>
        <v/>
      </c>
      <c r="DV193" s="30" t="str">
        <f t="shared" si="2729"/>
        <v/>
      </c>
      <c r="DW193" s="30" t="str">
        <f t="shared" si="2730"/>
        <v/>
      </c>
      <c r="DX193" s="30" t="str">
        <f t="shared" si="2731"/>
        <v/>
      </c>
      <c r="DY193" s="30" t="str">
        <f t="shared" si="2732"/>
        <v/>
      </c>
      <c r="DZ193" s="30" t="str">
        <f t="shared" si="2733"/>
        <v/>
      </c>
      <c r="EA193" s="30" t="str">
        <f t="shared" si="2734"/>
        <v/>
      </c>
      <c r="EB193" s="30" t="str">
        <f t="shared" si="2735"/>
        <v/>
      </c>
      <c r="EC193" s="30" t="str">
        <f t="shared" si="2736"/>
        <v/>
      </c>
      <c r="ED193" s="30" t="str">
        <f t="shared" si="2737"/>
        <v/>
      </c>
      <c r="EE193" s="30" t="str">
        <f t="shared" si="2738"/>
        <v/>
      </c>
      <c r="EF193" s="30" t="str">
        <f t="shared" si="2739"/>
        <v/>
      </c>
      <c r="EG193" s="30" t="str">
        <f t="shared" si="2740"/>
        <v/>
      </c>
      <c r="EH193" s="30" t="str">
        <f t="shared" si="2741"/>
        <v/>
      </c>
      <c r="EI193" s="30" t="str">
        <f t="shared" si="2742"/>
        <v/>
      </c>
      <c r="EJ193" s="30" t="str">
        <f t="shared" si="2743"/>
        <v/>
      </c>
      <c r="EK193" s="30" t="str">
        <f t="shared" si="2744"/>
        <v/>
      </c>
      <c r="EL193" s="30" t="str">
        <f t="shared" si="2745"/>
        <v/>
      </c>
      <c r="EM193" s="30" t="str">
        <f t="shared" si="2746"/>
        <v/>
      </c>
      <c r="EN193" s="30" t="str">
        <f t="shared" si="2747"/>
        <v/>
      </c>
      <c r="EO193" s="30" t="str">
        <f t="shared" si="2748"/>
        <v/>
      </c>
      <c r="EP193" s="30" t="str">
        <f t="shared" si="2749"/>
        <v/>
      </c>
      <c r="EQ193" s="30" t="str">
        <f t="shared" si="2750"/>
        <v/>
      </c>
      <c r="ER193" s="30" t="str">
        <f t="shared" si="2751"/>
        <v/>
      </c>
      <c r="ES193" s="30" t="str">
        <f t="shared" si="2752"/>
        <v/>
      </c>
      <c r="ET193" s="30" t="str">
        <f t="shared" si="2753"/>
        <v/>
      </c>
      <c r="EU193" s="30" t="str">
        <f t="shared" si="2754"/>
        <v/>
      </c>
      <c r="EV193" s="30" t="str">
        <f t="shared" si="2755"/>
        <v/>
      </c>
      <c r="EW193" s="30" t="str">
        <f t="shared" si="2756"/>
        <v/>
      </c>
      <c r="EX193" s="30" t="str">
        <f t="shared" si="2757"/>
        <v/>
      </c>
      <c r="EY193" s="30" t="str">
        <f t="shared" si="2758"/>
        <v/>
      </c>
      <c r="EZ193" s="30" t="str">
        <f t="shared" si="2759"/>
        <v/>
      </c>
      <c r="FA193" s="30" t="str">
        <f t="shared" si="2760"/>
        <v/>
      </c>
      <c r="FB193" s="30" t="str">
        <f t="shared" si="2761"/>
        <v/>
      </c>
      <c r="FC193" s="30" t="str">
        <f t="shared" si="2762"/>
        <v/>
      </c>
      <c r="FD193" s="30" t="str">
        <f t="shared" si="2763"/>
        <v/>
      </c>
      <c r="FE193" s="30" t="str">
        <f t="shared" si="2764"/>
        <v/>
      </c>
      <c r="FF193" s="30" t="str">
        <f t="shared" si="2765"/>
        <v/>
      </c>
      <c r="FG193" s="30" t="str">
        <f t="shared" si="2766"/>
        <v/>
      </c>
      <c r="FH193" s="30" t="str">
        <f t="shared" si="2767"/>
        <v/>
      </c>
      <c r="FI193" s="30" t="str">
        <f t="shared" si="2768"/>
        <v/>
      </c>
      <c r="FJ193" s="30" t="str">
        <f t="shared" si="2769"/>
        <v/>
      </c>
      <c r="FK193" s="30" t="str">
        <f t="shared" si="2770"/>
        <v/>
      </c>
      <c r="FL193" s="30" t="str">
        <f t="shared" si="2771"/>
        <v/>
      </c>
      <c r="FM193" s="30" t="str">
        <f t="shared" si="2772"/>
        <v/>
      </c>
      <c r="FN193" s="30" t="str">
        <f t="shared" si="2773"/>
        <v/>
      </c>
      <c r="FO193" s="30" t="str">
        <f t="shared" si="2774"/>
        <v/>
      </c>
      <c r="FP193" s="30" t="str">
        <f t="shared" si="2775"/>
        <v/>
      </c>
      <c r="FQ193" s="30" t="str">
        <f t="shared" si="2776"/>
        <v/>
      </c>
      <c r="FR193" s="30" t="str">
        <f t="shared" si="2777"/>
        <v/>
      </c>
      <c r="FS193" s="30" t="str">
        <f t="shared" si="2778"/>
        <v/>
      </c>
    </row>
    <row r="194" spans="1:175" s="24" customFormat="1" ht="16.5">
      <c r="A194" s="46"/>
      <c r="B194" s="36"/>
      <c r="C194" s="46"/>
      <c r="D194" s="31"/>
      <c r="E194" s="39"/>
      <c r="F194" s="41"/>
      <c r="G194" s="47"/>
      <c r="H194" s="47"/>
      <c r="I194" s="47"/>
      <c r="J194" s="47"/>
      <c r="K194" s="47"/>
      <c r="L194" s="47"/>
      <c r="M194" s="47"/>
      <c r="N194" s="47"/>
      <c r="O194" s="47"/>
      <c r="P194" s="42"/>
      <c r="Q194" s="42"/>
      <c r="R194" s="42"/>
      <c r="S194" s="42"/>
      <c r="T194" s="102"/>
      <c r="U194" s="32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43"/>
      <c r="CB194" s="43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4" t="str">
        <f t="shared" si="2703"/>
        <v>InitUnitState('',,,,,,,,,,)</v>
      </c>
      <c r="CO194" s="44" t="str">
        <f t="shared" si="2704"/>
        <v>InitUnitNormal('',,,,,,,,,,)</v>
      </c>
      <c r="CP194" s="44" t="str">
        <f t="shared" si="2705"/>
        <v>InitUnitMagic('',,,,,,,,,,)</v>
      </c>
      <c r="CQ194" s="44" t="str">
        <f t="shared" si="2706"/>
        <v>InitUnitAdd('',,,,,,,,,,)</v>
      </c>
      <c r="CR194" s="44" t="str">
        <f t="shared" si="2707"/>
        <v>InitEquipData('',,"",,,,,'','','','','','',"")</v>
      </c>
      <c r="CS194" s="44"/>
      <c r="CT194" s="44"/>
      <c r="CU194" s="45" t="str">
        <f t="shared" si="2708"/>
        <v>|n</v>
      </c>
      <c r="CV194" s="29"/>
      <c r="DB194" s="30" t="str">
        <f t="shared" si="2709"/>
        <v/>
      </c>
      <c r="DC194" s="30" t="str">
        <f t="shared" si="2710"/>
        <v/>
      </c>
      <c r="DD194" s="30" t="str">
        <f t="shared" si="2711"/>
        <v/>
      </c>
      <c r="DE194" s="30" t="str">
        <f t="shared" si="2712"/>
        <v/>
      </c>
      <c r="DF194" s="30" t="str">
        <f t="shared" si="2713"/>
        <v/>
      </c>
      <c r="DG194" s="30" t="str">
        <f t="shared" si="2714"/>
        <v/>
      </c>
      <c r="DH194" s="30" t="str">
        <f t="shared" si="2715"/>
        <v/>
      </c>
      <c r="DI194" s="30" t="str">
        <f t="shared" si="2716"/>
        <v/>
      </c>
      <c r="DJ194" s="30" t="str">
        <f t="shared" si="2717"/>
        <v/>
      </c>
      <c r="DK194" s="30" t="str">
        <f t="shared" si="2718"/>
        <v/>
      </c>
      <c r="DL194" s="30" t="str">
        <f t="shared" si="2719"/>
        <v/>
      </c>
      <c r="DM194" s="30" t="str">
        <f t="shared" si="2720"/>
        <v/>
      </c>
      <c r="DN194" s="30" t="str">
        <f t="shared" si="2721"/>
        <v/>
      </c>
      <c r="DO194" s="30" t="str">
        <f t="shared" si="2722"/>
        <v/>
      </c>
      <c r="DP194" s="30" t="str">
        <f t="shared" si="2723"/>
        <v/>
      </c>
      <c r="DQ194" s="30" t="str">
        <f t="shared" si="2724"/>
        <v/>
      </c>
      <c r="DR194" s="30" t="str">
        <f t="shared" si="2725"/>
        <v/>
      </c>
      <c r="DS194" s="30" t="str">
        <f t="shared" si="2726"/>
        <v/>
      </c>
      <c r="DT194" s="30" t="str">
        <f t="shared" si="2727"/>
        <v/>
      </c>
      <c r="DU194" s="30" t="str">
        <f t="shared" si="2728"/>
        <v/>
      </c>
      <c r="DV194" s="30" t="str">
        <f t="shared" si="2729"/>
        <v/>
      </c>
      <c r="DW194" s="30" t="str">
        <f t="shared" si="2730"/>
        <v/>
      </c>
      <c r="DX194" s="30" t="str">
        <f t="shared" si="2731"/>
        <v/>
      </c>
      <c r="DY194" s="30" t="str">
        <f t="shared" si="2732"/>
        <v/>
      </c>
      <c r="DZ194" s="30" t="str">
        <f t="shared" si="2733"/>
        <v/>
      </c>
      <c r="EA194" s="30" t="str">
        <f t="shared" si="2734"/>
        <v/>
      </c>
      <c r="EB194" s="30" t="str">
        <f t="shared" si="2735"/>
        <v/>
      </c>
      <c r="EC194" s="30" t="str">
        <f t="shared" si="2736"/>
        <v/>
      </c>
      <c r="ED194" s="30" t="str">
        <f t="shared" si="2737"/>
        <v/>
      </c>
      <c r="EE194" s="30" t="str">
        <f t="shared" si="2738"/>
        <v/>
      </c>
      <c r="EF194" s="30" t="str">
        <f t="shared" si="2739"/>
        <v/>
      </c>
      <c r="EG194" s="30" t="str">
        <f t="shared" si="2740"/>
        <v/>
      </c>
      <c r="EH194" s="30" t="str">
        <f t="shared" si="2741"/>
        <v/>
      </c>
      <c r="EI194" s="30" t="str">
        <f t="shared" si="2742"/>
        <v/>
      </c>
      <c r="EJ194" s="30" t="str">
        <f t="shared" si="2743"/>
        <v/>
      </c>
      <c r="EK194" s="30" t="str">
        <f t="shared" si="2744"/>
        <v/>
      </c>
      <c r="EL194" s="30" t="str">
        <f t="shared" si="2745"/>
        <v/>
      </c>
      <c r="EM194" s="30" t="str">
        <f t="shared" si="2746"/>
        <v/>
      </c>
      <c r="EN194" s="30" t="str">
        <f t="shared" si="2747"/>
        <v/>
      </c>
      <c r="EO194" s="30" t="str">
        <f t="shared" si="2748"/>
        <v/>
      </c>
      <c r="EP194" s="30" t="str">
        <f t="shared" si="2749"/>
        <v/>
      </c>
      <c r="EQ194" s="30" t="str">
        <f t="shared" si="2750"/>
        <v/>
      </c>
      <c r="ER194" s="30" t="str">
        <f t="shared" si="2751"/>
        <v/>
      </c>
      <c r="ES194" s="30" t="str">
        <f t="shared" si="2752"/>
        <v/>
      </c>
      <c r="ET194" s="30" t="str">
        <f t="shared" si="2753"/>
        <v/>
      </c>
      <c r="EU194" s="30" t="str">
        <f t="shared" si="2754"/>
        <v/>
      </c>
      <c r="EV194" s="30" t="str">
        <f t="shared" si="2755"/>
        <v/>
      </c>
      <c r="EW194" s="30" t="str">
        <f t="shared" si="2756"/>
        <v/>
      </c>
      <c r="EX194" s="30" t="str">
        <f t="shared" si="2757"/>
        <v/>
      </c>
      <c r="EY194" s="30" t="str">
        <f t="shared" si="2758"/>
        <v/>
      </c>
      <c r="EZ194" s="30" t="str">
        <f t="shared" si="2759"/>
        <v/>
      </c>
      <c r="FA194" s="30" t="str">
        <f t="shared" si="2760"/>
        <v/>
      </c>
      <c r="FB194" s="30" t="str">
        <f t="shared" si="2761"/>
        <v/>
      </c>
      <c r="FC194" s="30" t="str">
        <f t="shared" si="2762"/>
        <v/>
      </c>
      <c r="FD194" s="30" t="str">
        <f t="shared" si="2763"/>
        <v/>
      </c>
      <c r="FE194" s="30" t="str">
        <f t="shared" si="2764"/>
        <v/>
      </c>
      <c r="FF194" s="30" t="str">
        <f t="shared" si="2765"/>
        <v/>
      </c>
      <c r="FG194" s="30" t="str">
        <f t="shared" si="2766"/>
        <v/>
      </c>
      <c r="FH194" s="30" t="str">
        <f t="shared" si="2767"/>
        <v/>
      </c>
      <c r="FI194" s="30" t="str">
        <f t="shared" si="2768"/>
        <v/>
      </c>
      <c r="FJ194" s="30" t="str">
        <f t="shared" si="2769"/>
        <v/>
      </c>
      <c r="FK194" s="30" t="str">
        <f t="shared" si="2770"/>
        <v/>
      </c>
      <c r="FL194" s="30" t="str">
        <f t="shared" si="2771"/>
        <v/>
      </c>
      <c r="FM194" s="30" t="str">
        <f t="shared" si="2772"/>
        <v/>
      </c>
      <c r="FN194" s="30" t="str">
        <f t="shared" si="2773"/>
        <v/>
      </c>
      <c r="FO194" s="30" t="str">
        <f t="shared" si="2774"/>
        <v/>
      </c>
      <c r="FP194" s="30" t="str">
        <f t="shared" si="2775"/>
        <v/>
      </c>
      <c r="FQ194" s="30" t="str">
        <f t="shared" si="2776"/>
        <v/>
      </c>
      <c r="FR194" s="30" t="str">
        <f t="shared" si="2777"/>
        <v/>
      </c>
      <c r="FS194" s="30" t="str">
        <f t="shared" si="2778"/>
        <v/>
      </c>
    </row>
    <row r="195" spans="1:175" s="24" customFormat="1" ht="16.5">
      <c r="A195" s="46"/>
      <c r="B195" s="36"/>
      <c r="C195" s="46"/>
      <c r="D195" s="31"/>
      <c r="E195" s="39"/>
      <c r="F195" s="41"/>
      <c r="G195" s="47"/>
      <c r="H195" s="47"/>
      <c r="I195" s="47"/>
      <c r="J195" s="47"/>
      <c r="K195" s="47"/>
      <c r="L195" s="47"/>
      <c r="M195" s="47"/>
      <c r="N195" s="47"/>
      <c r="O195" s="47"/>
      <c r="P195" s="42"/>
      <c r="Q195" s="42"/>
      <c r="R195" s="42"/>
      <c r="S195" s="42"/>
      <c r="T195" s="102"/>
      <c r="U195" s="32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43"/>
      <c r="CB195" s="43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4" t="str">
        <f t="shared" si="2703"/>
        <v>InitUnitState('',,,,,,,,,,)</v>
      </c>
      <c r="CO195" s="44" t="str">
        <f t="shared" si="2704"/>
        <v>InitUnitNormal('',,,,,,,,,,)</v>
      </c>
      <c r="CP195" s="44" t="str">
        <f t="shared" si="2705"/>
        <v>InitUnitMagic('',,,,,,,,,,)</v>
      </c>
      <c r="CQ195" s="44" t="str">
        <f t="shared" si="2706"/>
        <v>InitUnitAdd('',,,,,,,,,,)</v>
      </c>
      <c r="CR195" s="44" t="str">
        <f t="shared" si="2707"/>
        <v>InitEquipData('',,"",,,,,'','','','','','',"")</v>
      </c>
      <c r="CS195" s="44"/>
      <c r="CT195" s="44"/>
      <c r="CU195" s="45" t="str">
        <f t="shared" si="2708"/>
        <v>|n</v>
      </c>
      <c r="CV195" s="29"/>
      <c r="DB195" s="30" t="str">
        <f t="shared" si="2709"/>
        <v/>
      </c>
      <c r="DC195" s="30" t="str">
        <f t="shared" si="2710"/>
        <v/>
      </c>
      <c r="DD195" s="30" t="str">
        <f t="shared" si="2711"/>
        <v/>
      </c>
      <c r="DE195" s="30" t="str">
        <f t="shared" si="2712"/>
        <v/>
      </c>
      <c r="DF195" s="30" t="str">
        <f t="shared" si="2713"/>
        <v/>
      </c>
      <c r="DG195" s="30" t="str">
        <f t="shared" si="2714"/>
        <v/>
      </c>
      <c r="DH195" s="30" t="str">
        <f t="shared" si="2715"/>
        <v/>
      </c>
      <c r="DI195" s="30" t="str">
        <f t="shared" si="2716"/>
        <v/>
      </c>
      <c r="DJ195" s="30" t="str">
        <f t="shared" si="2717"/>
        <v/>
      </c>
      <c r="DK195" s="30" t="str">
        <f t="shared" si="2718"/>
        <v/>
      </c>
      <c r="DL195" s="30" t="str">
        <f t="shared" si="2719"/>
        <v/>
      </c>
      <c r="DM195" s="30" t="str">
        <f t="shared" si="2720"/>
        <v/>
      </c>
      <c r="DN195" s="30" t="str">
        <f t="shared" si="2721"/>
        <v/>
      </c>
      <c r="DO195" s="30" t="str">
        <f t="shared" si="2722"/>
        <v/>
      </c>
      <c r="DP195" s="30" t="str">
        <f t="shared" si="2723"/>
        <v/>
      </c>
      <c r="DQ195" s="30" t="str">
        <f t="shared" si="2724"/>
        <v/>
      </c>
      <c r="DR195" s="30" t="str">
        <f t="shared" si="2725"/>
        <v/>
      </c>
      <c r="DS195" s="30" t="str">
        <f t="shared" si="2726"/>
        <v/>
      </c>
      <c r="DT195" s="30" t="str">
        <f t="shared" si="2727"/>
        <v/>
      </c>
      <c r="DU195" s="30" t="str">
        <f t="shared" si="2728"/>
        <v/>
      </c>
      <c r="DV195" s="30" t="str">
        <f t="shared" si="2729"/>
        <v/>
      </c>
      <c r="DW195" s="30" t="str">
        <f t="shared" si="2730"/>
        <v/>
      </c>
      <c r="DX195" s="30" t="str">
        <f t="shared" si="2731"/>
        <v/>
      </c>
      <c r="DY195" s="30" t="str">
        <f t="shared" si="2732"/>
        <v/>
      </c>
      <c r="DZ195" s="30" t="str">
        <f t="shared" si="2733"/>
        <v/>
      </c>
      <c r="EA195" s="30" t="str">
        <f t="shared" si="2734"/>
        <v/>
      </c>
      <c r="EB195" s="30" t="str">
        <f t="shared" si="2735"/>
        <v/>
      </c>
      <c r="EC195" s="30" t="str">
        <f t="shared" si="2736"/>
        <v/>
      </c>
      <c r="ED195" s="30" t="str">
        <f t="shared" si="2737"/>
        <v/>
      </c>
      <c r="EE195" s="30" t="str">
        <f t="shared" si="2738"/>
        <v/>
      </c>
      <c r="EF195" s="30" t="str">
        <f t="shared" si="2739"/>
        <v/>
      </c>
      <c r="EG195" s="30" t="str">
        <f t="shared" si="2740"/>
        <v/>
      </c>
      <c r="EH195" s="30" t="str">
        <f t="shared" si="2741"/>
        <v/>
      </c>
      <c r="EI195" s="30" t="str">
        <f t="shared" si="2742"/>
        <v/>
      </c>
      <c r="EJ195" s="30" t="str">
        <f t="shared" si="2743"/>
        <v/>
      </c>
      <c r="EK195" s="30" t="str">
        <f t="shared" si="2744"/>
        <v/>
      </c>
      <c r="EL195" s="30" t="str">
        <f t="shared" si="2745"/>
        <v/>
      </c>
      <c r="EM195" s="30" t="str">
        <f t="shared" si="2746"/>
        <v/>
      </c>
      <c r="EN195" s="30" t="str">
        <f t="shared" si="2747"/>
        <v/>
      </c>
      <c r="EO195" s="30" t="str">
        <f t="shared" si="2748"/>
        <v/>
      </c>
      <c r="EP195" s="30" t="str">
        <f t="shared" si="2749"/>
        <v/>
      </c>
      <c r="EQ195" s="30" t="str">
        <f t="shared" si="2750"/>
        <v/>
      </c>
      <c r="ER195" s="30" t="str">
        <f t="shared" si="2751"/>
        <v/>
      </c>
      <c r="ES195" s="30" t="str">
        <f t="shared" si="2752"/>
        <v/>
      </c>
      <c r="ET195" s="30" t="str">
        <f t="shared" si="2753"/>
        <v/>
      </c>
      <c r="EU195" s="30" t="str">
        <f t="shared" si="2754"/>
        <v/>
      </c>
      <c r="EV195" s="30" t="str">
        <f t="shared" si="2755"/>
        <v/>
      </c>
      <c r="EW195" s="30" t="str">
        <f t="shared" si="2756"/>
        <v/>
      </c>
      <c r="EX195" s="30" t="str">
        <f t="shared" si="2757"/>
        <v/>
      </c>
      <c r="EY195" s="30" t="str">
        <f t="shared" si="2758"/>
        <v/>
      </c>
      <c r="EZ195" s="30" t="str">
        <f t="shared" si="2759"/>
        <v/>
      </c>
      <c r="FA195" s="30" t="str">
        <f t="shared" si="2760"/>
        <v/>
      </c>
      <c r="FB195" s="30" t="str">
        <f t="shared" si="2761"/>
        <v/>
      </c>
      <c r="FC195" s="30" t="str">
        <f t="shared" si="2762"/>
        <v/>
      </c>
      <c r="FD195" s="30" t="str">
        <f t="shared" si="2763"/>
        <v/>
      </c>
      <c r="FE195" s="30" t="str">
        <f t="shared" si="2764"/>
        <v/>
      </c>
      <c r="FF195" s="30" t="str">
        <f t="shared" si="2765"/>
        <v/>
      </c>
      <c r="FG195" s="30" t="str">
        <f t="shared" si="2766"/>
        <v/>
      </c>
      <c r="FH195" s="30" t="str">
        <f t="shared" si="2767"/>
        <v/>
      </c>
      <c r="FI195" s="30" t="str">
        <f t="shared" si="2768"/>
        <v/>
      </c>
      <c r="FJ195" s="30" t="str">
        <f t="shared" si="2769"/>
        <v/>
      </c>
      <c r="FK195" s="30" t="str">
        <f t="shared" si="2770"/>
        <v/>
      </c>
      <c r="FL195" s="30" t="str">
        <f t="shared" si="2771"/>
        <v/>
      </c>
      <c r="FM195" s="30" t="str">
        <f t="shared" si="2772"/>
        <v/>
      </c>
      <c r="FN195" s="30" t="str">
        <f t="shared" si="2773"/>
        <v/>
      </c>
      <c r="FO195" s="30" t="str">
        <f t="shared" si="2774"/>
        <v/>
      </c>
      <c r="FP195" s="30" t="str">
        <f t="shared" si="2775"/>
        <v/>
      </c>
      <c r="FQ195" s="30" t="str">
        <f t="shared" si="2776"/>
        <v/>
      </c>
      <c r="FR195" s="30" t="str">
        <f t="shared" si="2777"/>
        <v/>
      </c>
      <c r="FS195" s="30" t="str">
        <f t="shared" si="2778"/>
        <v/>
      </c>
    </row>
    <row r="196" spans="1:175" ht="16.5">
      <c r="A196" s="5"/>
      <c r="B196" s="36"/>
      <c r="C196" s="5"/>
      <c r="E196" s="54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51"/>
      <c r="Q196" s="51"/>
      <c r="R196" s="51"/>
      <c r="S196" s="51"/>
      <c r="T196" s="104"/>
      <c r="U196" s="32"/>
      <c r="CU196" s="45" t="str">
        <f t="shared" si="2708"/>
        <v>|n</v>
      </c>
      <c r="CW196" s="24"/>
      <c r="CX196" s="24"/>
      <c r="CY196" s="24"/>
      <c r="CZ196" s="24"/>
      <c r="DA196" s="24"/>
      <c r="DB196" s="30" t="str">
        <f t="shared" si="2709"/>
        <v/>
      </c>
      <c r="DC196" s="30" t="str">
        <f t="shared" si="2710"/>
        <v/>
      </c>
      <c r="DD196" s="30" t="str">
        <f t="shared" si="2711"/>
        <v/>
      </c>
      <c r="DE196" s="30" t="str">
        <f t="shared" si="2712"/>
        <v/>
      </c>
      <c r="DF196" s="30" t="str">
        <f t="shared" si="2713"/>
        <v/>
      </c>
      <c r="DG196" s="30" t="str">
        <f t="shared" si="2714"/>
        <v/>
      </c>
      <c r="DH196" s="30" t="str">
        <f t="shared" si="2715"/>
        <v/>
      </c>
      <c r="DI196" s="30" t="str">
        <f t="shared" si="2716"/>
        <v/>
      </c>
      <c r="DJ196" s="30" t="str">
        <f t="shared" si="2717"/>
        <v/>
      </c>
      <c r="DK196" s="30" t="str">
        <f t="shared" si="2718"/>
        <v/>
      </c>
      <c r="DL196" s="30" t="str">
        <f t="shared" si="2719"/>
        <v/>
      </c>
      <c r="DM196" s="30" t="str">
        <f t="shared" si="2720"/>
        <v/>
      </c>
      <c r="DN196" s="30" t="str">
        <f t="shared" si="2721"/>
        <v/>
      </c>
      <c r="DO196" s="30" t="str">
        <f t="shared" si="2722"/>
        <v/>
      </c>
      <c r="DP196" s="30" t="str">
        <f t="shared" si="2723"/>
        <v/>
      </c>
      <c r="DQ196" s="30" t="str">
        <f t="shared" si="2724"/>
        <v/>
      </c>
      <c r="DR196" s="30" t="str">
        <f t="shared" si="2725"/>
        <v/>
      </c>
      <c r="DS196" s="30" t="str">
        <f t="shared" si="2726"/>
        <v/>
      </c>
      <c r="DT196" s="30" t="str">
        <f t="shared" si="2727"/>
        <v/>
      </c>
      <c r="DU196" s="30" t="str">
        <f t="shared" si="2728"/>
        <v/>
      </c>
      <c r="DV196" s="30" t="str">
        <f t="shared" si="2729"/>
        <v/>
      </c>
      <c r="DW196" s="30" t="str">
        <f t="shared" si="2730"/>
        <v/>
      </c>
      <c r="DX196" s="30" t="str">
        <f t="shared" si="2731"/>
        <v/>
      </c>
      <c r="DY196" s="30" t="str">
        <f t="shared" si="2732"/>
        <v/>
      </c>
      <c r="DZ196" s="30" t="str">
        <f t="shared" si="2733"/>
        <v/>
      </c>
      <c r="EA196" s="30" t="str">
        <f t="shared" si="2734"/>
        <v/>
      </c>
      <c r="EB196" s="30" t="str">
        <f t="shared" si="2735"/>
        <v/>
      </c>
      <c r="EC196" s="30" t="str">
        <f t="shared" si="2736"/>
        <v/>
      </c>
      <c r="ED196" s="30" t="str">
        <f t="shared" si="2737"/>
        <v/>
      </c>
      <c r="EE196" s="30" t="str">
        <f t="shared" si="2738"/>
        <v/>
      </c>
      <c r="EF196" s="30" t="str">
        <f t="shared" si="2739"/>
        <v/>
      </c>
      <c r="EG196" s="30" t="str">
        <f t="shared" si="2740"/>
        <v/>
      </c>
      <c r="EH196" s="30" t="str">
        <f t="shared" si="2741"/>
        <v/>
      </c>
      <c r="EI196" s="30" t="str">
        <f t="shared" si="2742"/>
        <v/>
      </c>
      <c r="EJ196" s="30" t="str">
        <f t="shared" si="2743"/>
        <v/>
      </c>
      <c r="EK196" s="30" t="str">
        <f t="shared" si="2744"/>
        <v/>
      </c>
      <c r="EL196" s="30" t="str">
        <f t="shared" si="2745"/>
        <v/>
      </c>
      <c r="EM196" s="30" t="str">
        <f t="shared" si="2746"/>
        <v/>
      </c>
      <c r="EN196" s="30" t="str">
        <f t="shared" si="2747"/>
        <v/>
      </c>
      <c r="EO196" s="30" t="str">
        <f t="shared" si="2748"/>
        <v/>
      </c>
      <c r="EP196" s="30" t="str">
        <f t="shared" si="2749"/>
        <v/>
      </c>
      <c r="EQ196" s="30" t="str">
        <f t="shared" si="2750"/>
        <v/>
      </c>
      <c r="ER196" s="30" t="str">
        <f t="shared" si="2751"/>
        <v/>
      </c>
      <c r="ES196" s="30" t="str">
        <f t="shared" si="2752"/>
        <v/>
      </c>
      <c r="ET196" s="30" t="str">
        <f t="shared" si="2753"/>
        <v/>
      </c>
      <c r="EU196" s="30" t="str">
        <f t="shared" si="2754"/>
        <v/>
      </c>
      <c r="EV196" s="30" t="str">
        <f t="shared" si="2755"/>
        <v/>
      </c>
      <c r="EW196" s="30" t="str">
        <f t="shared" si="2756"/>
        <v/>
      </c>
      <c r="EX196" s="30" t="str">
        <f t="shared" si="2757"/>
        <v/>
      </c>
      <c r="EY196" s="30" t="str">
        <f t="shared" si="2758"/>
        <v/>
      </c>
      <c r="EZ196" s="30" t="str">
        <f t="shared" si="2759"/>
        <v/>
      </c>
      <c r="FA196" s="30" t="str">
        <f t="shared" si="2760"/>
        <v/>
      </c>
      <c r="FB196" s="30" t="str">
        <f t="shared" si="2761"/>
        <v/>
      </c>
      <c r="FC196" s="30" t="str">
        <f t="shared" si="2762"/>
        <v/>
      </c>
      <c r="FD196" s="30" t="str">
        <f t="shared" si="2763"/>
        <v/>
      </c>
      <c r="FE196" s="30" t="str">
        <f t="shared" si="2764"/>
        <v/>
      </c>
      <c r="FF196" s="30" t="str">
        <f t="shared" si="2765"/>
        <v/>
      </c>
      <c r="FG196" s="30" t="str">
        <f t="shared" si="2766"/>
        <v/>
      </c>
      <c r="FH196" s="30" t="str">
        <f t="shared" si="2767"/>
        <v/>
      </c>
      <c r="FI196" s="30" t="str">
        <f t="shared" si="2768"/>
        <v/>
      </c>
      <c r="FJ196" s="30" t="str">
        <f t="shared" si="2769"/>
        <v/>
      </c>
      <c r="FK196" s="30" t="str">
        <f t="shared" si="2770"/>
        <v/>
      </c>
      <c r="FL196" s="30" t="str">
        <f t="shared" si="2771"/>
        <v/>
      </c>
      <c r="FM196" s="30" t="str">
        <f t="shared" si="2772"/>
        <v/>
      </c>
      <c r="FN196" s="30" t="str">
        <f t="shared" si="2773"/>
        <v/>
      </c>
      <c r="FO196" s="30" t="str">
        <f t="shared" si="2774"/>
        <v/>
      </c>
      <c r="FP196" s="30" t="str">
        <f t="shared" si="2775"/>
        <v/>
      </c>
      <c r="FQ196" s="30" t="str">
        <f t="shared" si="2776"/>
        <v/>
      </c>
      <c r="FR196" s="30" t="str">
        <f t="shared" si="2777"/>
        <v/>
      </c>
      <c r="FS196" s="30" t="str">
        <f t="shared" si="2778"/>
        <v/>
      </c>
    </row>
    <row r="197" spans="1:175" ht="16.5">
      <c r="A197" s="5"/>
      <c r="B197" s="36"/>
      <c r="C197" s="5"/>
      <c r="E197" s="54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51"/>
      <c r="Q197" s="51"/>
      <c r="R197" s="51"/>
      <c r="S197" s="51"/>
      <c r="T197" s="104"/>
      <c r="U197" s="32"/>
      <c r="CU197" s="45" t="str">
        <f t="shared" si="2708"/>
        <v>|n</v>
      </c>
      <c r="CW197" s="24"/>
      <c r="CX197" s="24"/>
      <c r="CY197" s="24"/>
      <c r="CZ197" s="24"/>
      <c r="DA197" s="24"/>
      <c r="DB197" s="30" t="str">
        <f t="shared" si="2709"/>
        <v/>
      </c>
      <c r="DC197" s="30" t="str">
        <f t="shared" si="2710"/>
        <v/>
      </c>
      <c r="DD197" s="30" t="str">
        <f t="shared" si="2711"/>
        <v/>
      </c>
      <c r="DE197" s="30" t="str">
        <f t="shared" si="2712"/>
        <v/>
      </c>
      <c r="DF197" s="30" t="str">
        <f t="shared" si="2713"/>
        <v/>
      </c>
      <c r="DG197" s="30" t="str">
        <f t="shared" si="2714"/>
        <v/>
      </c>
      <c r="DH197" s="30" t="str">
        <f t="shared" si="2715"/>
        <v/>
      </c>
      <c r="DI197" s="30" t="str">
        <f t="shared" si="2716"/>
        <v/>
      </c>
      <c r="DJ197" s="30" t="str">
        <f t="shared" si="2717"/>
        <v/>
      </c>
      <c r="DK197" s="30" t="str">
        <f t="shared" si="2718"/>
        <v/>
      </c>
      <c r="DL197" s="30" t="str">
        <f t="shared" si="2719"/>
        <v/>
      </c>
      <c r="DM197" s="30" t="str">
        <f t="shared" si="2720"/>
        <v/>
      </c>
      <c r="DN197" s="30" t="str">
        <f t="shared" si="2721"/>
        <v/>
      </c>
      <c r="DO197" s="30" t="str">
        <f t="shared" si="2722"/>
        <v/>
      </c>
      <c r="DP197" s="30" t="str">
        <f t="shared" si="2723"/>
        <v/>
      </c>
      <c r="DQ197" s="30" t="str">
        <f t="shared" si="2724"/>
        <v/>
      </c>
      <c r="DR197" s="30" t="str">
        <f t="shared" si="2725"/>
        <v/>
      </c>
      <c r="DS197" s="30" t="str">
        <f t="shared" si="2726"/>
        <v/>
      </c>
      <c r="DT197" s="30" t="str">
        <f t="shared" si="2727"/>
        <v/>
      </c>
      <c r="DU197" s="30" t="str">
        <f t="shared" si="2728"/>
        <v/>
      </c>
      <c r="DV197" s="30" t="str">
        <f t="shared" si="2729"/>
        <v/>
      </c>
      <c r="DW197" s="30" t="str">
        <f t="shared" si="2730"/>
        <v/>
      </c>
      <c r="DX197" s="30" t="str">
        <f t="shared" si="2731"/>
        <v/>
      </c>
      <c r="DY197" s="30" t="str">
        <f t="shared" si="2732"/>
        <v/>
      </c>
      <c r="DZ197" s="30" t="str">
        <f t="shared" si="2733"/>
        <v/>
      </c>
      <c r="EA197" s="30" t="str">
        <f t="shared" si="2734"/>
        <v/>
      </c>
      <c r="EB197" s="30" t="str">
        <f t="shared" si="2735"/>
        <v/>
      </c>
      <c r="EC197" s="30" t="str">
        <f t="shared" si="2736"/>
        <v/>
      </c>
      <c r="ED197" s="30" t="str">
        <f t="shared" si="2737"/>
        <v/>
      </c>
      <c r="EE197" s="30" t="str">
        <f t="shared" si="2738"/>
        <v/>
      </c>
      <c r="EF197" s="30" t="str">
        <f t="shared" si="2739"/>
        <v/>
      </c>
      <c r="EG197" s="30" t="str">
        <f t="shared" si="2740"/>
        <v/>
      </c>
      <c r="EH197" s="30" t="str">
        <f t="shared" si="2741"/>
        <v/>
      </c>
      <c r="EI197" s="30" t="str">
        <f t="shared" si="2742"/>
        <v/>
      </c>
      <c r="EJ197" s="30" t="str">
        <f t="shared" si="2743"/>
        <v/>
      </c>
      <c r="EK197" s="30" t="str">
        <f t="shared" si="2744"/>
        <v/>
      </c>
      <c r="EL197" s="30" t="str">
        <f t="shared" si="2745"/>
        <v/>
      </c>
      <c r="EM197" s="30" t="str">
        <f t="shared" si="2746"/>
        <v/>
      </c>
      <c r="EN197" s="30" t="str">
        <f t="shared" si="2747"/>
        <v/>
      </c>
      <c r="EO197" s="30" t="str">
        <f t="shared" si="2748"/>
        <v/>
      </c>
      <c r="EP197" s="30" t="str">
        <f t="shared" si="2749"/>
        <v/>
      </c>
      <c r="EQ197" s="30" t="str">
        <f t="shared" si="2750"/>
        <v/>
      </c>
      <c r="ER197" s="30" t="str">
        <f t="shared" si="2751"/>
        <v/>
      </c>
      <c r="ES197" s="30" t="str">
        <f t="shared" si="2752"/>
        <v/>
      </c>
      <c r="ET197" s="30" t="str">
        <f t="shared" si="2753"/>
        <v/>
      </c>
      <c r="EU197" s="30" t="str">
        <f t="shared" si="2754"/>
        <v/>
      </c>
      <c r="EV197" s="30" t="str">
        <f t="shared" si="2755"/>
        <v/>
      </c>
      <c r="EW197" s="30" t="str">
        <f t="shared" si="2756"/>
        <v/>
      </c>
      <c r="EX197" s="30" t="str">
        <f t="shared" si="2757"/>
        <v/>
      </c>
      <c r="EY197" s="30" t="str">
        <f t="shared" si="2758"/>
        <v/>
      </c>
      <c r="EZ197" s="30" t="str">
        <f t="shared" si="2759"/>
        <v/>
      </c>
      <c r="FA197" s="30" t="str">
        <f t="shared" si="2760"/>
        <v/>
      </c>
      <c r="FB197" s="30" t="str">
        <f t="shared" si="2761"/>
        <v/>
      </c>
      <c r="FC197" s="30" t="str">
        <f t="shared" si="2762"/>
        <v/>
      </c>
      <c r="FD197" s="30" t="str">
        <f t="shared" si="2763"/>
        <v/>
      </c>
      <c r="FE197" s="30" t="str">
        <f t="shared" si="2764"/>
        <v/>
      </c>
      <c r="FF197" s="30" t="str">
        <f t="shared" si="2765"/>
        <v/>
      </c>
      <c r="FG197" s="30" t="str">
        <f t="shared" si="2766"/>
        <v/>
      </c>
      <c r="FH197" s="30" t="str">
        <f t="shared" si="2767"/>
        <v/>
      </c>
      <c r="FI197" s="30" t="str">
        <f t="shared" si="2768"/>
        <v/>
      </c>
      <c r="FJ197" s="30" t="str">
        <f t="shared" si="2769"/>
        <v/>
      </c>
      <c r="FK197" s="30" t="str">
        <f t="shared" si="2770"/>
        <v/>
      </c>
      <c r="FL197" s="30" t="str">
        <f t="shared" si="2771"/>
        <v/>
      </c>
      <c r="FM197" s="30" t="str">
        <f t="shared" si="2772"/>
        <v/>
      </c>
      <c r="FN197" s="30" t="str">
        <f t="shared" si="2773"/>
        <v/>
      </c>
      <c r="FO197" s="30" t="str">
        <f t="shared" si="2774"/>
        <v/>
      </c>
      <c r="FP197" s="30" t="str">
        <f t="shared" si="2775"/>
        <v/>
      </c>
      <c r="FQ197" s="30" t="str">
        <f t="shared" si="2776"/>
        <v/>
      </c>
      <c r="FR197" s="30" t="str">
        <f t="shared" si="2777"/>
        <v/>
      </c>
      <c r="FS197" s="30" t="str">
        <f t="shared" si="2778"/>
        <v/>
      </c>
    </row>
    <row r="198" spans="1:175" ht="16.5">
      <c r="A198" s="5"/>
      <c r="B198" s="36"/>
      <c r="C198" s="5"/>
      <c r="E198" s="54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51"/>
      <c r="Q198" s="51"/>
      <c r="R198" s="51"/>
      <c r="S198" s="51"/>
      <c r="T198" s="104"/>
      <c r="U198" s="32"/>
      <c r="CU198" s="45" t="str">
        <f t="shared" si="2708"/>
        <v>|n</v>
      </c>
      <c r="CW198" s="24"/>
      <c r="CX198" s="24"/>
      <c r="CY198" s="24"/>
      <c r="CZ198" s="24"/>
      <c r="DA198" s="24"/>
      <c r="DB198" s="30" t="str">
        <f t="shared" si="2709"/>
        <v/>
      </c>
      <c r="DC198" s="30" t="str">
        <f t="shared" si="2710"/>
        <v/>
      </c>
      <c r="DD198" s="30" t="str">
        <f t="shared" si="2711"/>
        <v/>
      </c>
      <c r="DE198" s="30" t="str">
        <f t="shared" si="2712"/>
        <v/>
      </c>
      <c r="DF198" s="30" t="str">
        <f t="shared" si="2713"/>
        <v/>
      </c>
      <c r="DG198" s="30" t="str">
        <f t="shared" si="2714"/>
        <v/>
      </c>
      <c r="DH198" s="30" t="str">
        <f t="shared" si="2715"/>
        <v/>
      </c>
      <c r="DI198" s="30" t="str">
        <f t="shared" si="2716"/>
        <v/>
      </c>
      <c r="DJ198" s="30" t="str">
        <f t="shared" si="2717"/>
        <v/>
      </c>
      <c r="DK198" s="30" t="str">
        <f t="shared" si="2718"/>
        <v/>
      </c>
      <c r="DL198" s="30" t="str">
        <f t="shared" si="2719"/>
        <v/>
      </c>
      <c r="DM198" s="30" t="str">
        <f t="shared" si="2720"/>
        <v/>
      </c>
      <c r="DN198" s="30" t="str">
        <f t="shared" si="2721"/>
        <v/>
      </c>
      <c r="DO198" s="30" t="str">
        <f t="shared" si="2722"/>
        <v/>
      </c>
      <c r="DP198" s="30" t="str">
        <f t="shared" si="2723"/>
        <v/>
      </c>
      <c r="DQ198" s="30" t="str">
        <f t="shared" si="2724"/>
        <v/>
      </c>
      <c r="DR198" s="30" t="str">
        <f t="shared" si="2725"/>
        <v/>
      </c>
      <c r="DS198" s="30" t="str">
        <f t="shared" si="2726"/>
        <v/>
      </c>
      <c r="DT198" s="30" t="str">
        <f t="shared" si="2727"/>
        <v/>
      </c>
      <c r="DU198" s="30" t="str">
        <f t="shared" si="2728"/>
        <v/>
      </c>
      <c r="DV198" s="30" t="str">
        <f t="shared" si="2729"/>
        <v/>
      </c>
      <c r="DW198" s="30" t="str">
        <f t="shared" si="2730"/>
        <v/>
      </c>
      <c r="DX198" s="30" t="str">
        <f t="shared" si="2731"/>
        <v/>
      </c>
      <c r="DY198" s="30" t="str">
        <f t="shared" si="2732"/>
        <v/>
      </c>
      <c r="DZ198" s="30" t="str">
        <f t="shared" si="2733"/>
        <v/>
      </c>
      <c r="EA198" s="30" t="str">
        <f t="shared" si="2734"/>
        <v/>
      </c>
      <c r="EB198" s="30" t="str">
        <f t="shared" si="2735"/>
        <v/>
      </c>
      <c r="EC198" s="30" t="str">
        <f t="shared" si="2736"/>
        <v/>
      </c>
      <c r="ED198" s="30" t="str">
        <f t="shared" si="2737"/>
        <v/>
      </c>
      <c r="EE198" s="30" t="str">
        <f t="shared" si="2738"/>
        <v/>
      </c>
      <c r="EF198" s="30" t="str">
        <f t="shared" si="2739"/>
        <v/>
      </c>
      <c r="EG198" s="30" t="str">
        <f t="shared" si="2740"/>
        <v/>
      </c>
      <c r="EH198" s="30" t="str">
        <f t="shared" si="2741"/>
        <v/>
      </c>
      <c r="EI198" s="30" t="str">
        <f t="shared" si="2742"/>
        <v/>
      </c>
      <c r="EJ198" s="30" t="str">
        <f t="shared" si="2743"/>
        <v/>
      </c>
      <c r="EK198" s="30" t="str">
        <f t="shared" si="2744"/>
        <v/>
      </c>
      <c r="EL198" s="30" t="str">
        <f t="shared" si="2745"/>
        <v/>
      </c>
      <c r="EM198" s="30" t="str">
        <f t="shared" si="2746"/>
        <v/>
      </c>
      <c r="EN198" s="30" t="str">
        <f t="shared" si="2747"/>
        <v/>
      </c>
      <c r="EO198" s="30" t="str">
        <f t="shared" si="2748"/>
        <v/>
      </c>
      <c r="EP198" s="30" t="str">
        <f t="shared" si="2749"/>
        <v/>
      </c>
      <c r="EQ198" s="30" t="str">
        <f t="shared" si="2750"/>
        <v/>
      </c>
      <c r="ER198" s="30" t="str">
        <f t="shared" si="2751"/>
        <v/>
      </c>
      <c r="ES198" s="30" t="str">
        <f t="shared" si="2752"/>
        <v/>
      </c>
      <c r="ET198" s="30" t="str">
        <f t="shared" si="2753"/>
        <v/>
      </c>
      <c r="EU198" s="30" t="str">
        <f t="shared" si="2754"/>
        <v/>
      </c>
      <c r="EV198" s="30" t="str">
        <f t="shared" si="2755"/>
        <v/>
      </c>
      <c r="EW198" s="30" t="str">
        <f t="shared" si="2756"/>
        <v/>
      </c>
      <c r="EX198" s="30" t="str">
        <f t="shared" si="2757"/>
        <v/>
      </c>
      <c r="EY198" s="30" t="str">
        <f t="shared" si="2758"/>
        <v/>
      </c>
      <c r="EZ198" s="30" t="str">
        <f t="shared" si="2759"/>
        <v/>
      </c>
      <c r="FA198" s="30" t="str">
        <f t="shared" si="2760"/>
        <v/>
      </c>
      <c r="FB198" s="30" t="str">
        <f t="shared" si="2761"/>
        <v/>
      </c>
      <c r="FC198" s="30" t="str">
        <f t="shared" si="2762"/>
        <v/>
      </c>
      <c r="FD198" s="30" t="str">
        <f t="shared" si="2763"/>
        <v/>
      </c>
      <c r="FE198" s="30" t="str">
        <f t="shared" si="2764"/>
        <v/>
      </c>
      <c r="FF198" s="30" t="str">
        <f t="shared" si="2765"/>
        <v/>
      </c>
      <c r="FG198" s="30" t="str">
        <f t="shared" si="2766"/>
        <v/>
      </c>
      <c r="FH198" s="30" t="str">
        <f t="shared" si="2767"/>
        <v/>
      </c>
      <c r="FI198" s="30" t="str">
        <f t="shared" si="2768"/>
        <v/>
      </c>
      <c r="FJ198" s="30" t="str">
        <f t="shared" si="2769"/>
        <v/>
      </c>
      <c r="FK198" s="30" t="str">
        <f t="shared" si="2770"/>
        <v/>
      </c>
      <c r="FL198" s="30" t="str">
        <f t="shared" si="2771"/>
        <v/>
      </c>
      <c r="FM198" s="30" t="str">
        <f t="shared" si="2772"/>
        <v/>
      </c>
      <c r="FN198" s="30" t="str">
        <f t="shared" si="2773"/>
        <v/>
      </c>
      <c r="FO198" s="30" t="str">
        <f t="shared" si="2774"/>
        <v/>
      </c>
      <c r="FP198" s="30" t="str">
        <f t="shared" si="2775"/>
        <v/>
      </c>
      <c r="FQ198" s="30" t="str">
        <f t="shared" si="2776"/>
        <v/>
      </c>
      <c r="FR198" s="30" t="str">
        <f t="shared" si="2777"/>
        <v/>
      </c>
      <c r="FS198" s="30" t="str">
        <f t="shared" si="2778"/>
        <v/>
      </c>
    </row>
    <row r="199" spans="1:175" ht="16.5">
      <c r="A199" s="5"/>
      <c r="B199" s="36"/>
      <c r="C199" s="5"/>
      <c r="E199" s="54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51"/>
      <c r="Q199" s="51"/>
      <c r="R199" s="51"/>
      <c r="S199" s="51"/>
      <c r="T199" s="104"/>
      <c r="U199" s="32"/>
      <c r="CU199" s="45" t="str">
        <f t="shared" si="2708"/>
        <v>|n</v>
      </c>
      <c r="CW199" s="24"/>
      <c r="CX199" s="24"/>
      <c r="CY199" s="24"/>
      <c r="CZ199" s="24"/>
      <c r="DA199" s="24"/>
      <c r="DB199" s="30" t="str">
        <f t="shared" si="2709"/>
        <v/>
      </c>
      <c r="DC199" s="30" t="str">
        <f t="shared" si="2710"/>
        <v/>
      </c>
      <c r="DD199" s="30" t="str">
        <f t="shared" si="2711"/>
        <v/>
      </c>
      <c r="DE199" s="30" t="str">
        <f t="shared" si="2712"/>
        <v/>
      </c>
      <c r="DF199" s="30" t="str">
        <f t="shared" si="2713"/>
        <v/>
      </c>
      <c r="DG199" s="30" t="str">
        <f t="shared" si="2714"/>
        <v/>
      </c>
      <c r="DH199" s="30" t="str">
        <f t="shared" si="2715"/>
        <v/>
      </c>
      <c r="DI199" s="30" t="str">
        <f t="shared" si="2716"/>
        <v/>
      </c>
      <c r="DJ199" s="30" t="str">
        <f t="shared" si="2717"/>
        <v/>
      </c>
      <c r="DK199" s="30" t="str">
        <f t="shared" si="2718"/>
        <v/>
      </c>
      <c r="DL199" s="30" t="str">
        <f t="shared" si="2719"/>
        <v/>
      </c>
      <c r="DM199" s="30" t="str">
        <f t="shared" si="2720"/>
        <v/>
      </c>
      <c r="DN199" s="30" t="str">
        <f t="shared" si="2721"/>
        <v/>
      </c>
      <c r="DO199" s="30" t="str">
        <f t="shared" si="2722"/>
        <v/>
      </c>
      <c r="DP199" s="30" t="str">
        <f t="shared" si="2723"/>
        <v/>
      </c>
      <c r="DQ199" s="30" t="str">
        <f t="shared" si="2724"/>
        <v/>
      </c>
      <c r="DR199" s="30" t="str">
        <f t="shared" si="2725"/>
        <v/>
      </c>
      <c r="DS199" s="30" t="str">
        <f t="shared" si="2726"/>
        <v/>
      </c>
      <c r="DT199" s="30" t="str">
        <f t="shared" si="2727"/>
        <v/>
      </c>
      <c r="DU199" s="30" t="str">
        <f t="shared" si="2728"/>
        <v/>
      </c>
      <c r="DV199" s="30" t="str">
        <f t="shared" si="2729"/>
        <v/>
      </c>
      <c r="DW199" s="30" t="str">
        <f t="shared" si="2730"/>
        <v/>
      </c>
      <c r="DX199" s="30" t="str">
        <f t="shared" si="2731"/>
        <v/>
      </c>
      <c r="DY199" s="30" t="str">
        <f t="shared" si="2732"/>
        <v/>
      </c>
      <c r="DZ199" s="30" t="str">
        <f t="shared" si="2733"/>
        <v/>
      </c>
      <c r="EA199" s="30" t="str">
        <f t="shared" si="2734"/>
        <v/>
      </c>
      <c r="EB199" s="30" t="str">
        <f t="shared" si="2735"/>
        <v/>
      </c>
      <c r="EC199" s="30" t="str">
        <f t="shared" si="2736"/>
        <v/>
      </c>
      <c r="ED199" s="30" t="str">
        <f t="shared" si="2737"/>
        <v/>
      </c>
      <c r="EE199" s="30" t="str">
        <f t="shared" si="2738"/>
        <v/>
      </c>
      <c r="EF199" s="30" t="str">
        <f t="shared" si="2739"/>
        <v/>
      </c>
      <c r="EG199" s="30" t="str">
        <f t="shared" si="2740"/>
        <v/>
      </c>
      <c r="EH199" s="30" t="str">
        <f t="shared" si="2741"/>
        <v/>
      </c>
      <c r="EI199" s="30" t="str">
        <f t="shared" si="2742"/>
        <v/>
      </c>
      <c r="EJ199" s="30" t="str">
        <f t="shared" si="2743"/>
        <v/>
      </c>
      <c r="EK199" s="30" t="str">
        <f t="shared" si="2744"/>
        <v/>
      </c>
      <c r="EL199" s="30" t="str">
        <f t="shared" si="2745"/>
        <v/>
      </c>
      <c r="EM199" s="30" t="str">
        <f t="shared" si="2746"/>
        <v/>
      </c>
      <c r="EN199" s="30" t="str">
        <f t="shared" si="2747"/>
        <v/>
      </c>
      <c r="EO199" s="30" t="str">
        <f t="shared" si="2748"/>
        <v/>
      </c>
      <c r="EP199" s="30" t="str">
        <f t="shared" si="2749"/>
        <v/>
      </c>
      <c r="EQ199" s="30" t="str">
        <f t="shared" si="2750"/>
        <v/>
      </c>
      <c r="ER199" s="30" t="str">
        <f t="shared" si="2751"/>
        <v/>
      </c>
      <c r="ES199" s="30" t="str">
        <f t="shared" si="2752"/>
        <v/>
      </c>
      <c r="ET199" s="30" t="str">
        <f t="shared" si="2753"/>
        <v/>
      </c>
      <c r="EU199" s="30" t="str">
        <f t="shared" si="2754"/>
        <v/>
      </c>
      <c r="EV199" s="30" t="str">
        <f t="shared" si="2755"/>
        <v/>
      </c>
      <c r="EW199" s="30" t="str">
        <f t="shared" si="2756"/>
        <v/>
      </c>
      <c r="EX199" s="30" t="str">
        <f t="shared" si="2757"/>
        <v/>
      </c>
      <c r="EY199" s="30" t="str">
        <f t="shared" si="2758"/>
        <v/>
      </c>
      <c r="EZ199" s="30" t="str">
        <f t="shared" si="2759"/>
        <v/>
      </c>
      <c r="FA199" s="30" t="str">
        <f t="shared" si="2760"/>
        <v/>
      </c>
      <c r="FB199" s="30" t="str">
        <f t="shared" si="2761"/>
        <v/>
      </c>
      <c r="FC199" s="30" t="str">
        <f t="shared" si="2762"/>
        <v/>
      </c>
      <c r="FD199" s="30" t="str">
        <f t="shared" si="2763"/>
        <v/>
      </c>
      <c r="FE199" s="30" t="str">
        <f t="shared" si="2764"/>
        <v/>
      </c>
      <c r="FF199" s="30" t="str">
        <f t="shared" si="2765"/>
        <v/>
      </c>
      <c r="FG199" s="30" t="str">
        <f t="shared" si="2766"/>
        <v/>
      </c>
      <c r="FH199" s="30" t="str">
        <f t="shared" si="2767"/>
        <v/>
      </c>
      <c r="FI199" s="30" t="str">
        <f t="shared" si="2768"/>
        <v/>
      </c>
      <c r="FJ199" s="30" t="str">
        <f t="shared" si="2769"/>
        <v/>
      </c>
      <c r="FK199" s="30" t="str">
        <f t="shared" si="2770"/>
        <v/>
      </c>
      <c r="FL199" s="30" t="str">
        <f t="shared" si="2771"/>
        <v/>
      </c>
      <c r="FM199" s="30" t="str">
        <f t="shared" si="2772"/>
        <v/>
      </c>
      <c r="FN199" s="30" t="str">
        <f t="shared" si="2773"/>
        <v/>
      </c>
      <c r="FO199" s="30" t="str">
        <f t="shared" si="2774"/>
        <v/>
      </c>
      <c r="FP199" s="30" t="str">
        <f t="shared" si="2775"/>
        <v/>
      </c>
      <c r="FQ199" s="30" t="str">
        <f t="shared" si="2776"/>
        <v/>
      </c>
      <c r="FR199" s="30" t="str">
        <f t="shared" si="2777"/>
        <v/>
      </c>
      <c r="FS199" s="30" t="str">
        <f t="shared" si="2778"/>
        <v/>
      </c>
    </row>
    <row r="200" spans="1:175" ht="16.5">
      <c r="A200" s="5"/>
      <c r="B200" s="36"/>
      <c r="C200" s="5"/>
      <c r="E200" s="54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51"/>
      <c r="Q200" s="51"/>
      <c r="R200" s="51"/>
      <c r="S200" s="51"/>
      <c r="T200" s="104"/>
      <c r="U200" s="32"/>
      <c r="CU200" s="45" t="str">
        <f t="shared" si="2708"/>
        <v>|n</v>
      </c>
      <c r="CW200" s="24"/>
      <c r="CX200" s="24"/>
      <c r="CY200" s="24"/>
      <c r="CZ200" s="24"/>
      <c r="DA200" s="24"/>
      <c r="DB200" s="30" t="str">
        <f t="shared" si="2709"/>
        <v/>
      </c>
      <c r="DC200" s="30" t="str">
        <f t="shared" si="2710"/>
        <v/>
      </c>
      <c r="DD200" s="30" t="str">
        <f t="shared" si="2711"/>
        <v/>
      </c>
      <c r="DE200" s="30" t="str">
        <f t="shared" si="2712"/>
        <v/>
      </c>
      <c r="DF200" s="30" t="str">
        <f t="shared" si="2713"/>
        <v/>
      </c>
      <c r="DG200" s="30" t="str">
        <f t="shared" si="2714"/>
        <v/>
      </c>
      <c r="DH200" s="30" t="str">
        <f t="shared" si="2715"/>
        <v/>
      </c>
      <c r="DI200" s="30" t="str">
        <f t="shared" si="2716"/>
        <v/>
      </c>
      <c r="DJ200" s="30" t="str">
        <f t="shared" si="2717"/>
        <v/>
      </c>
      <c r="DK200" s="30" t="str">
        <f t="shared" si="2718"/>
        <v/>
      </c>
      <c r="DL200" s="30" t="str">
        <f t="shared" si="2719"/>
        <v/>
      </c>
      <c r="DM200" s="30" t="str">
        <f t="shared" si="2720"/>
        <v/>
      </c>
      <c r="DN200" s="30" t="str">
        <f t="shared" si="2721"/>
        <v/>
      </c>
      <c r="DO200" s="30" t="str">
        <f t="shared" si="2722"/>
        <v/>
      </c>
      <c r="DP200" s="30" t="str">
        <f t="shared" si="2723"/>
        <v/>
      </c>
      <c r="DQ200" s="30" t="str">
        <f t="shared" si="2724"/>
        <v/>
      </c>
      <c r="DR200" s="30" t="str">
        <f t="shared" si="2725"/>
        <v/>
      </c>
      <c r="DS200" s="30" t="str">
        <f t="shared" si="2726"/>
        <v/>
      </c>
      <c r="DT200" s="30" t="str">
        <f t="shared" si="2727"/>
        <v/>
      </c>
      <c r="DU200" s="30" t="str">
        <f t="shared" si="2728"/>
        <v/>
      </c>
      <c r="DV200" s="30" t="str">
        <f t="shared" si="2729"/>
        <v/>
      </c>
      <c r="DW200" s="30" t="str">
        <f t="shared" si="2730"/>
        <v/>
      </c>
      <c r="DX200" s="30" t="str">
        <f t="shared" si="2731"/>
        <v/>
      </c>
      <c r="DY200" s="30" t="str">
        <f t="shared" si="2732"/>
        <v/>
      </c>
      <c r="DZ200" s="30" t="str">
        <f t="shared" si="2733"/>
        <v/>
      </c>
      <c r="EA200" s="30" t="str">
        <f t="shared" si="2734"/>
        <v/>
      </c>
      <c r="EB200" s="30" t="str">
        <f t="shared" si="2735"/>
        <v/>
      </c>
      <c r="EC200" s="30" t="str">
        <f t="shared" si="2736"/>
        <v/>
      </c>
      <c r="ED200" s="30" t="str">
        <f t="shared" si="2737"/>
        <v/>
      </c>
      <c r="EE200" s="30" t="str">
        <f t="shared" si="2738"/>
        <v/>
      </c>
      <c r="EF200" s="30" t="str">
        <f t="shared" si="2739"/>
        <v/>
      </c>
      <c r="EG200" s="30" t="str">
        <f t="shared" si="2740"/>
        <v/>
      </c>
      <c r="EH200" s="30" t="str">
        <f t="shared" si="2741"/>
        <v/>
      </c>
      <c r="EI200" s="30" t="str">
        <f t="shared" si="2742"/>
        <v/>
      </c>
      <c r="EJ200" s="30" t="str">
        <f t="shared" si="2743"/>
        <v/>
      </c>
      <c r="EK200" s="30" t="str">
        <f t="shared" si="2744"/>
        <v/>
      </c>
      <c r="EL200" s="30" t="str">
        <f t="shared" si="2745"/>
        <v/>
      </c>
      <c r="EM200" s="30" t="str">
        <f t="shared" si="2746"/>
        <v/>
      </c>
      <c r="EN200" s="30" t="str">
        <f t="shared" si="2747"/>
        <v/>
      </c>
      <c r="EO200" s="30" t="str">
        <f t="shared" si="2748"/>
        <v/>
      </c>
      <c r="EP200" s="30" t="str">
        <f t="shared" si="2749"/>
        <v/>
      </c>
      <c r="EQ200" s="30" t="str">
        <f t="shared" si="2750"/>
        <v/>
      </c>
      <c r="ER200" s="30" t="str">
        <f t="shared" si="2751"/>
        <v/>
      </c>
      <c r="ES200" s="30" t="str">
        <f t="shared" si="2752"/>
        <v/>
      </c>
      <c r="ET200" s="30" t="str">
        <f t="shared" si="2753"/>
        <v/>
      </c>
      <c r="EU200" s="30" t="str">
        <f t="shared" si="2754"/>
        <v/>
      </c>
      <c r="EV200" s="30" t="str">
        <f t="shared" si="2755"/>
        <v/>
      </c>
      <c r="EW200" s="30" t="str">
        <f t="shared" si="2756"/>
        <v/>
      </c>
      <c r="EX200" s="30" t="str">
        <f t="shared" si="2757"/>
        <v/>
      </c>
      <c r="EY200" s="30" t="str">
        <f t="shared" si="2758"/>
        <v/>
      </c>
      <c r="EZ200" s="30" t="str">
        <f t="shared" si="2759"/>
        <v/>
      </c>
      <c r="FA200" s="30" t="str">
        <f t="shared" si="2760"/>
        <v/>
      </c>
      <c r="FB200" s="30" t="str">
        <f t="shared" si="2761"/>
        <v/>
      </c>
      <c r="FC200" s="30" t="str">
        <f t="shared" si="2762"/>
        <v/>
      </c>
      <c r="FD200" s="30" t="str">
        <f t="shared" si="2763"/>
        <v/>
      </c>
      <c r="FE200" s="30" t="str">
        <f t="shared" si="2764"/>
        <v/>
      </c>
      <c r="FF200" s="30" t="str">
        <f t="shared" si="2765"/>
        <v/>
      </c>
      <c r="FG200" s="30" t="str">
        <f t="shared" si="2766"/>
        <v/>
      </c>
      <c r="FH200" s="30" t="str">
        <f t="shared" si="2767"/>
        <v/>
      </c>
      <c r="FI200" s="30" t="str">
        <f t="shared" si="2768"/>
        <v/>
      </c>
      <c r="FJ200" s="30" t="str">
        <f t="shared" si="2769"/>
        <v/>
      </c>
      <c r="FK200" s="30" t="str">
        <f t="shared" si="2770"/>
        <v/>
      </c>
      <c r="FL200" s="30" t="str">
        <f t="shared" si="2771"/>
        <v/>
      </c>
      <c r="FM200" s="30" t="str">
        <f t="shared" si="2772"/>
        <v/>
      </c>
      <c r="FN200" s="30" t="str">
        <f t="shared" si="2773"/>
        <v/>
      </c>
      <c r="FO200" s="30" t="str">
        <f t="shared" si="2774"/>
        <v/>
      </c>
      <c r="FP200" s="30" t="str">
        <f t="shared" si="2775"/>
        <v/>
      </c>
      <c r="FQ200" s="30" t="str">
        <f t="shared" si="2776"/>
        <v/>
      </c>
      <c r="FR200" s="30" t="str">
        <f t="shared" si="2777"/>
        <v/>
      </c>
      <c r="FS200" s="30" t="str">
        <f t="shared" si="2778"/>
        <v/>
      </c>
    </row>
    <row r="201" spans="1:175" ht="16.5">
      <c r="A201" s="5"/>
      <c r="B201" s="36"/>
      <c r="C201" s="5"/>
      <c r="E201" s="54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51"/>
      <c r="Q201" s="51"/>
      <c r="R201" s="51"/>
      <c r="S201" s="51"/>
      <c r="T201" s="104"/>
      <c r="U201" s="32"/>
      <c r="CU201" s="45" t="str">
        <f t="shared" si="2708"/>
        <v>|n</v>
      </c>
      <c r="CW201" s="24"/>
      <c r="CX201" s="24"/>
      <c r="CY201" s="24"/>
      <c r="CZ201" s="24"/>
      <c r="DA201" s="24"/>
      <c r="DB201" s="30" t="str">
        <f t="shared" si="2709"/>
        <v/>
      </c>
      <c r="DC201" s="30" t="str">
        <f t="shared" si="2710"/>
        <v/>
      </c>
      <c r="DD201" s="30" t="str">
        <f t="shared" si="2711"/>
        <v/>
      </c>
      <c r="DE201" s="30" t="str">
        <f t="shared" si="2712"/>
        <v/>
      </c>
      <c r="DF201" s="30" t="str">
        <f t="shared" si="2713"/>
        <v/>
      </c>
      <c r="DG201" s="30" t="str">
        <f t="shared" si="2714"/>
        <v/>
      </c>
      <c r="DH201" s="30" t="str">
        <f t="shared" si="2715"/>
        <v/>
      </c>
      <c r="DI201" s="30" t="str">
        <f t="shared" si="2716"/>
        <v/>
      </c>
      <c r="DJ201" s="30" t="str">
        <f t="shared" si="2717"/>
        <v/>
      </c>
      <c r="DK201" s="30" t="str">
        <f t="shared" si="2718"/>
        <v/>
      </c>
      <c r="DL201" s="30" t="str">
        <f t="shared" si="2719"/>
        <v/>
      </c>
      <c r="DM201" s="30" t="str">
        <f t="shared" si="2720"/>
        <v/>
      </c>
      <c r="DN201" s="30" t="str">
        <f t="shared" si="2721"/>
        <v/>
      </c>
      <c r="DO201" s="30" t="str">
        <f t="shared" si="2722"/>
        <v/>
      </c>
      <c r="DP201" s="30" t="str">
        <f t="shared" si="2723"/>
        <v/>
      </c>
      <c r="DQ201" s="30" t="str">
        <f t="shared" si="2724"/>
        <v/>
      </c>
      <c r="DR201" s="30" t="str">
        <f t="shared" si="2725"/>
        <v/>
      </c>
      <c r="DS201" s="30" t="str">
        <f t="shared" si="2726"/>
        <v/>
      </c>
      <c r="DT201" s="30" t="str">
        <f t="shared" si="2727"/>
        <v/>
      </c>
      <c r="DU201" s="30" t="str">
        <f t="shared" si="2728"/>
        <v/>
      </c>
      <c r="DV201" s="30" t="str">
        <f t="shared" si="2729"/>
        <v/>
      </c>
      <c r="DW201" s="30" t="str">
        <f t="shared" si="2730"/>
        <v/>
      </c>
      <c r="DX201" s="30" t="str">
        <f t="shared" si="2731"/>
        <v/>
      </c>
      <c r="DY201" s="30" t="str">
        <f t="shared" si="2732"/>
        <v/>
      </c>
      <c r="DZ201" s="30" t="str">
        <f t="shared" si="2733"/>
        <v/>
      </c>
      <c r="EA201" s="30" t="str">
        <f t="shared" si="2734"/>
        <v/>
      </c>
      <c r="EB201" s="30" t="str">
        <f t="shared" si="2735"/>
        <v/>
      </c>
      <c r="EC201" s="30" t="str">
        <f t="shared" si="2736"/>
        <v/>
      </c>
      <c r="ED201" s="30" t="str">
        <f t="shared" si="2737"/>
        <v/>
      </c>
      <c r="EE201" s="30" t="str">
        <f t="shared" si="2738"/>
        <v/>
      </c>
      <c r="EF201" s="30" t="str">
        <f t="shared" si="2739"/>
        <v/>
      </c>
      <c r="EG201" s="30" t="str">
        <f t="shared" si="2740"/>
        <v/>
      </c>
      <c r="EH201" s="30" t="str">
        <f t="shared" si="2741"/>
        <v/>
      </c>
      <c r="EI201" s="30" t="str">
        <f t="shared" si="2742"/>
        <v/>
      </c>
      <c r="EJ201" s="30" t="str">
        <f t="shared" si="2743"/>
        <v/>
      </c>
      <c r="EK201" s="30" t="str">
        <f t="shared" si="2744"/>
        <v/>
      </c>
      <c r="EL201" s="30" t="str">
        <f t="shared" si="2745"/>
        <v/>
      </c>
      <c r="EM201" s="30" t="str">
        <f t="shared" si="2746"/>
        <v/>
      </c>
      <c r="EN201" s="30" t="str">
        <f t="shared" si="2747"/>
        <v/>
      </c>
      <c r="EO201" s="30" t="str">
        <f t="shared" si="2748"/>
        <v/>
      </c>
      <c r="EP201" s="30" t="str">
        <f t="shared" si="2749"/>
        <v/>
      </c>
      <c r="EQ201" s="30" t="str">
        <f t="shared" si="2750"/>
        <v/>
      </c>
      <c r="ER201" s="30" t="str">
        <f t="shared" si="2751"/>
        <v/>
      </c>
      <c r="ES201" s="30" t="str">
        <f t="shared" si="2752"/>
        <v/>
      </c>
      <c r="ET201" s="30" t="str">
        <f t="shared" si="2753"/>
        <v/>
      </c>
      <c r="EU201" s="30" t="str">
        <f t="shared" si="2754"/>
        <v/>
      </c>
      <c r="EV201" s="30" t="str">
        <f t="shared" si="2755"/>
        <v/>
      </c>
      <c r="EW201" s="30" t="str">
        <f t="shared" si="2756"/>
        <v/>
      </c>
      <c r="EX201" s="30" t="str">
        <f t="shared" si="2757"/>
        <v/>
      </c>
      <c r="EY201" s="30" t="str">
        <f t="shared" si="2758"/>
        <v/>
      </c>
      <c r="EZ201" s="30" t="str">
        <f t="shared" si="2759"/>
        <v/>
      </c>
      <c r="FA201" s="30" t="str">
        <f t="shared" si="2760"/>
        <v/>
      </c>
      <c r="FB201" s="30" t="str">
        <f t="shared" si="2761"/>
        <v/>
      </c>
      <c r="FC201" s="30" t="str">
        <f t="shared" si="2762"/>
        <v/>
      </c>
      <c r="FD201" s="30" t="str">
        <f t="shared" si="2763"/>
        <v/>
      </c>
      <c r="FE201" s="30" t="str">
        <f t="shared" si="2764"/>
        <v/>
      </c>
      <c r="FF201" s="30" t="str">
        <f t="shared" si="2765"/>
        <v/>
      </c>
      <c r="FG201" s="30" t="str">
        <f t="shared" si="2766"/>
        <v/>
      </c>
      <c r="FH201" s="30" t="str">
        <f t="shared" si="2767"/>
        <v/>
      </c>
      <c r="FI201" s="30" t="str">
        <f t="shared" si="2768"/>
        <v/>
      </c>
      <c r="FJ201" s="30" t="str">
        <f t="shared" si="2769"/>
        <v/>
      </c>
      <c r="FK201" s="30" t="str">
        <f t="shared" si="2770"/>
        <v/>
      </c>
      <c r="FL201" s="30" t="str">
        <f t="shared" si="2771"/>
        <v/>
      </c>
      <c r="FM201" s="30" t="str">
        <f t="shared" si="2772"/>
        <v/>
      </c>
      <c r="FN201" s="30" t="str">
        <f t="shared" si="2773"/>
        <v/>
      </c>
      <c r="FO201" s="30" t="str">
        <f t="shared" si="2774"/>
        <v/>
      </c>
      <c r="FP201" s="30" t="str">
        <f t="shared" si="2775"/>
        <v/>
      </c>
      <c r="FQ201" s="30" t="str">
        <f t="shared" si="2776"/>
        <v/>
      </c>
      <c r="FR201" s="30" t="str">
        <f t="shared" si="2777"/>
        <v/>
      </c>
      <c r="FS201" s="30" t="str">
        <f t="shared" si="2778"/>
        <v/>
      </c>
    </row>
    <row r="202" spans="1:175" ht="16.5">
      <c r="A202" s="5"/>
      <c r="B202" s="36"/>
      <c r="C202" s="5"/>
      <c r="E202" s="54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51"/>
      <c r="Q202" s="51"/>
      <c r="R202" s="51"/>
      <c r="S202" s="51"/>
      <c r="T202" s="103"/>
      <c r="U202" s="32"/>
      <c r="CU202" s="45" t="str">
        <f t="shared" si="2708"/>
        <v>|n</v>
      </c>
      <c r="CW202" s="24"/>
      <c r="CX202" s="24"/>
      <c r="CY202" s="24"/>
      <c r="CZ202" s="24"/>
      <c r="DA202" s="24"/>
      <c r="DB202" s="30" t="str">
        <f t="shared" si="2709"/>
        <v/>
      </c>
      <c r="DC202" s="30" t="str">
        <f t="shared" si="2710"/>
        <v/>
      </c>
      <c r="DD202" s="30" t="str">
        <f t="shared" si="2711"/>
        <v/>
      </c>
      <c r="DE202" s="30" t="str">
        <f t="shared" si="2712"/>
        <v/>
      </c>
      <c r="DF202" s="30" t="str">
        <f t="shared" si="2713"/>
        <v/>
      </c>
      <c r="DG202" s="30" t="str">
        <f t="shared" si="2714"/>
        <v/>
      </c>
      <c r="DH202" s="30" t="str">
        <f t="shared" si="2715"/>
        <v/>
      </c>
      <c r="DI202" s="30" t="str">
        <f t="shared" si="2716"/>
        <v/>
      </c>
      <c r="DJ202" s="30" t="str">
        <f t="shared" si="2717"/>
        <v/>
      </c>
      <c r="DK202" s="30" t="str">
        <f t="shared" si="2718"/>
        <v/>
      </c>
      <c r="DL202" s="30" t="str">
        <f t="shared" si="2719"/>
        <v/>
      </c>
      <c r="DM202" s="30" t="str">
        <f t="shared" si="2720"/>
        <v/>
      </c>
      <c r="DN202" s="30" t="str">
        <f t="shared" si="2721"/>
        <v/>
      </c>
      <c r="DO202" s="30" t="str">
        <f t="shared" si="2722"/>
        <v/>
      </c>
      <c r="DP202" s="30" t="str">
        <f t="shared" si="2723"/>
        <v/>
      </c>
      <c r="DQ202" s="30" t="str">
        <f t="shared" si="2724"/>
        <v/>
      </c>
      <c r="DR202" s="30" t="str">
        <f t="shared" si="2725"/>
        <v/>
      </c>
      <c r="DS202" s="30" t="str">
        <f t="shared" si="2726"/>
        <v/>
      </c>
      <c r="DT202" s="30" t="str">
        <f t="shared" si="2727"/>
        <v/>
      </c>
      <c r="DU202" s="30" t="str">
        <f t="shared" si="2728"/>
        <v/>
      </c>
      <c r="DV202" s="30" t="str">
        <f t="shared" si="2729"/>
        <v/>
      </c>
      <c r="DW202" s="30" t="str">
        <f t="shared" si="2730"/>
        <v/>
      </c>
      <c r="DX202" s="30" t="str">
        <f t="shared" si="2731"/>
        <v/>
      </c>
      <c r="DY202" s="30" t="str">
        <f t="shared" si="2732"/>
        <v/>
      </c>
      <c r="DZ202" s="30" t="str">
        <f t="shared" si="2733"/>
        <v/>
      </c>
      <c r="EA202" s="30" t="str">
        <f t="shared" si="2734"/>
        <v/>
      </c>
      <c r="EB202" s="30" t="str">
        <f t="shared" si="2735"/>
        <v/>
      </c>
      <c r="EC202" s="30" t="str">
        <f t="shared" si="2736"/>
        <v/>
      </c>
      <c r="ED202" s="30" t="str">
        <f t="shared" si="2737"/>
        <v/>
      </c>
      <c r="EE202" s="30" t="str">
        <f t="shared" si="2738"/>
        <v/>
      </c>
      <c r="EF202" s="30" t="str">
        <f t="shared" si="2739"/>
        <v/>
      </c>
      <c r="EG202" s="30" t="str">
        <f t="shared" si="2740"/>
        <v/>
      </c>
      <c r="EH202" s="30" t="str">
        <f t="shared" si="2741"/>
        <v/>
      </c>
      <c r="EI202" s="30" t="str">
        <f t="shared" si="2742"/>
        <v/>
      </c>
      <c r="EJ202" s="30" t="str">
        <f t="shared" si="2743"/>
        <v/>
      </c>
      <c r="EK202" s="30" t="str">
        <f t="shared" si="2744"/>
        <v/>
      </c>
      <c r="EL202" s="30" t="str">
        <f t="shared" si="2745"/>
        <v/>
      </c>
      <c r="EM202" s="30" t="str">
        <f t="shared" si="2746"/>
        <v/>
      </c>
      <c r="EN202" s="30" t="str">
        <f t="shared" si="2747"/>
        <v/>
      </c>
      <c r="EO202" s="30" t="str">
        <f t="shared" si="2748"/>
        <v/>
      </c>
      <c r="EP202" s="30" t="str">
        <f t="shared" si="2749"/>
        <v/>
      </c>
      <c r="EQ202" s="30" t="str">
        <f t="shared" si="2750"/>
        <v/>
      </c>
      <c r="ER202" s="30" t="str">
        <f t="shared" si="2751"/>
        <v/>
      </c>
      <c r="ES202" s="30" t="str">
        <f t="shared" si="2752"/>
        <v/>
      </c>
      <c r="ET202" s="30" t="str">
        <f t="shared" si="2753"/>
        <v/>
      </c>
      <c r="EU202" s="30" t="str">
        <f t="shared" si="2754"/>
        <v/>
      </c>
      <c r="EV202" s="30" t="str">
        <f t="shared" si="2755"/>
        <v/>
      </c>
      <c r="EW202" s="30" t="str">
        <f t="shared" si="2756"/>
        <v/>
      </c>
      <c r="EX202" s="30" t="str">
        <f t="shared" si="2757"/>
        <v/>
      </c>
      <c r="EY202" s="30" t="str">
        <f t="shared" si="2758"/>
        <v/>
      </c>
      <c r="EZ202" s="30" t="str">
        <f t="shared" si="2759"/>
        <v/>
      </c>
      <c r="FA202" s="30" t="str">
        <f t="shared" si="2760"/>
        <v/>
      </c>
      <c r="FB202" s="30" t="str">
        <f t="shared" si="2761"/>
        <v/>
      </c>
      <c r="FC202" s="30" t="str">
        <f t="shared" si="2762"/>
        <v/>
      </c>
      <c r="FD202" s="30" t="str">
        <f t="shared" si="2763"/>
        <v/>
      </c>
      <c r="FE202" s="30" t="str">
        <f t="shared" si="2764"/>
        <v/>
      </c>
      <c r="FF202" s="30" t="str">
        <f t="shared" si="2765"/>
        <v/>
      </c>
      <c r="FG202" s="30" t="str">
        <f t="shared" si="2766"/>
        <v/>
      </c>
      <c r="FH202" s="30" t="str">
        <f t="shared" si="2767"/>
        <v/>
      </c>
      <c r="FI202" s="30" t="str">
        <f t="shared" si="2768"/>
        <v/>
      </c>
      <c r="FJ202" s="30" t="str">
        <f t="shared" si="2769"/>
        <v/>
      </c>
      <c r="FK202" s="30" t="str">
        <f t="shared" si="2770"/>
        <v/>
      </c>
      <c r="FL202" s="30" t="str">
        <f t="shared" si="2771"/>
        <v/>
      </c>
      <c r="FM202" s="30" t="str">
        <f t="shared" si="2772"/>
        <v/>
      </c>
      <c r="FN202" s="30" t="str">
        <f t="shared" si="2773"/>
        <v/>
      </c>
      <c r="FO202" s="30" t="str">
        <f t="shared" si="2774"/>
        <v/>
      </c>
      <c r="FP202" s="30" t="str">
        <f t="shared" si="2775"/>
        <v/>
      </c>
      <c r="FQ202" s="30" t="str">
        <f t="shared" si="2776"/>
        <v/>
      </c>
      <c r="FR202" s="30" t="str">
        <f t="shared" si="2777"/>
        <v/>
      </c>
      <c r="FS202" s="30" t="str">
        <f t="shared" si="2778"/>
        <v/>
      </c>
    </row>
    <row r="203" spans="1:175" ht="16.5">
      <c r="A203" s="5"/>
      <c r="B203" s="36"/>
      <c r="C203" s="5"/>
      <c r="E203" s="54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51"/>
      <c r="Q203" s="51"/>
      <c r="R203" s="51"/>
      <c r="S203" s="51"/>
      <c r="T203" s="103"/>
      <c r="U203" s="32"/>
      <c r="CU203" s="45" t="str">
        <f t="shared" si="2708"/>
        <v>|n</v>
      </c>
      <c r="CW203" s="24"/>
      <c r="CX203" s="24"/>
      <c r="CY203" s="24"/>
      <c r="CZ203" s="24"/>
      <c r="DA203" s="24"/>
      <c r="DB203" s="30" t="str">
        <f t="shared" si="2709"/>
        <v/>
      </c>
      <c r="DC203" s="30" t="str">
        <f t="shared" si="2710"/>
        <v/>
      </c>
      <c r="DD203" s="30" t="str">
        <f t="shared" si="2711"/>
        <v/>
      </c>
      <c r="DE203" s="30" t="str">
        <f t="shared" si="2712"/>
        <v/>
      </c>
      <c r="DF203" s="30" t="str">
        <f t="shared" si="2713"/>
        <v/>
      </c>
      <c r="DG203" s="30" t="str">
        <f t="shared" si="2714"/>
        <v/>
      </c>
      <c r="DH203" s="30" t="str">
        <f t="shared" si="2715"/>
        <v/>
      </c>
      <c r="DI203" s="30" t="str">
        <f t="shared" si="2716"/>
        <v/>
      </c>
      <c r="DJ203" s="30" t="str">
        <f t="shared" si="2717"/>
        <v/>
      </c>
      <c r="DK203" s="30" t="str">
        <f t="shared" si="2718"/>
        <v/>
      </c>
      <c r="DL203" s="30" t="str">
        <f t="shared" si="2719"/>
        <v/>
      </c>
      <c r="DM203" s="30" t="str">
        <f t="shared" si="2720"/>
        <v/>
      </c>
      <c r="DN203" s="30" t="str">
        <f t="shared" si="2721"/>
        <v/>
      </c>
      <c r="DO203" s="30" t="str">
        <f t="shared" si="2722"/>
        <v/>
      </c>
      <c r="DP203" s="30" t="str">
        <f t="shared" si="2723"/>
        <v/>
      </c>
      <c r="DQ203" s="30" t="str">
        <f t="shared" si="2724"/>
        <v/>
      </c>
      <c r="DR203" s="30" t="str">
        <f t="shared" si="2725"/>
        <v/>
      </c>
      <c r="DS203" s="30" t="str">
        <f t="shared" si="2726"/>
        <v/>
      </c>
      <c r="DT203" s="30" t="str">
        <f t="shared" si="2727"/>
        <v/>
      </c>
      <c r="DU203" s="30" t="str">
        <f t="shared" si="2728"/>
        <v/>
      </c>
      <c r="DV203" s="30" t="str">
        <f t="shared" si="2729"/>
        <v/>
      </c>
      <c r="DW203" s="30" t="str">
        <f t="shared" si="2730"/>
        <v/>
      </c>
      <c r="DX203" s="30" t="str">
        <f t="shared" si="2731"/>
        <v/>
      </c>
      <c r="DY203" s="30" t="str">
        <f t="shared" si="2732"/>
        <v/>
      </c>
      <c r="DZ203" s="30" t="str">
        <f t="shared" si="2733"/>
        <v/>
      </c>
      <c r="EA203" s="30" t="str">
        <f t="shared" si="2734"/>
        <v/>
      </c>
      <c r="EB203" s="30" t="str">
        <f t="shared" si="2735"/>
        <v/>
      </c>
      <c r="EC203" s="30" t="str">
        <f t="shared" si="2736"/>
        <v/>
      </c>
      <c r="ED203" s="30" t="str">
        <f t="shared" si="2737"/>
        <v/>
      </c>
      <c r="EE203" s="30" t="str">
        <f t="shared" si="2738"/>
        <v/>
      </c>
      <c r="EF203" s="30" t="str">
        <f t="shared" si="2739"/>
        <v/>
      </c>
      <c r="EG203" s="30" t="str">
        <f t="shared" si="2740"/>
        <v/>
      </c>
      <c r="EH203" s="30" t="str">
        <f t="shared" si="2741"/>
        <v/>
      </c>
      <c r="EI203" s="30" t="str">
        <f t="shared" si="2742"/>
        <v/>
      </c>
      <c r="EJ203" s="30" t="str">
        <f t="shared" si="2743"/>
        <v/>
      </c>
      <c r="EK203" s="30" t="str">
        <f t="shared" si="2744"/>
        <v/>
      </c>
      <c r="EL203" s="30" t="str">
        <f t="shared" si="2745"/>
        <v/>
      </c>
      <c r="EM203" s="30" t="str">
        <f t="shared" si="2746"/>
        <v/>
      </c>
      <c r="EN203" s="30" t="str">
        <f t="shared" si="2747"/>
        <v/>
      </c>
      <c r="EO203" s="30" t="str">
        <f t="shared" si="2748"/>
        <v/>
      </c>
      <c r="EP203" s="30" t="str">
        <f t="shared" si="2749"/>
        <v/>
      </c>
      <c r="EQ203" s="30" t="str">
        <f t="shared" si="2750"/>
        <v/>
      </c>
      <c r="ER203" s="30" t="str">
        <f t="shared" si="2751"/>
        <v/>
      </c>
      <c r="ES203" s="30" t="str">
        <f t="shared" si="2752"/>
        <v/>
      </c>
      <c r="ET203" s="30" t="str">
        <f t="shared" si="2753"/>
        <v/>
      </c>
      <c r="EU203" s="30" t="str">
        <f t="shared" si="2754"/>
        <v/>
      </c>
      <c r="EV203" s="30" t="str">
        <f t="shared" si="2755"/>
        <v/>
      </c>
      <c r="EW203" s="30" t="str">
        <f t="shared" si="2756"/>
        <v/>
      </c>
      <c r="EX203" s="30" t="str">
        <f t="shared" si="2757"/>
        <v/>
      </c>
      <c r="EY203" s="30" t="str">
        <f t="shared" si="2758"/>
        <v/>
      </c>
      <c r="EZ203" s="30" t="str">
        <f t="shared" si="2759"/>
        <v/>
      </c>
      <c r="FA203" s="30" t="str">
        <f t="shared" si="2760"/>
        <v/>
      </c>
      <c r="FB203" s="30" t="str">
        <f t="shared" si="2761"/>
        <v/>
      </c>
      <c r="FC203" s="30" t="str">
        <f t="shared" si="2762"/>
        <v/>
      </c>
      <c r="FD203" s="30" t="str">
        <f t="shared" si="2763"/>
        <v/>
      </c>
      <c r="FE203" s="30" t="str">
        <f t="shared" si="2764"/>
        <v/>
      </c>
      <c r="FF203" s="30" t="str">
        <f t="shared" si="2765"/>
        <v/>
      </c>
      <c r="FG203" s="30" t="str">
        <f t="shared" si="2766"/>
        <v/>
      </c>
      <c r="FH203" s="30" t="str">
        <f t="shared" si="2767"/>
        <v/>
      </c>
      <c r="FI203" s="30" t="str">
        <f t="shared" si="2768"/>
        <v/>
      </c>
      <c r="FJ203" s="30" t="str">
        <f t="shared" si="2769"/>
        <v/>
      </c>
      <c r="FK203" s="30" t="str">
        <f t="shared" si="2770"/>
        <v/>
      </c>
      <c r="FL203" s="30" t="str">
        <f t="shared" si="2771"/>
        <v/>
      </c>
      <c r="FM203" s="30" t="str">
        <f t="shared" si="2772"/>
        <v/>
      </c>
      <c r="FN203" s="30" t="str">
        <f t="shared" si="2773"/>
        <v/>
      </c>
      <c r="FO203" s="30" t="str">
        <f t="shared" si="2774"/>
        <v/>
      </c>
      <c r="FP203" s="30" t="str">
        <f t="shared" si="2775"/>
        <v/>
      </c>
      <c r="FQ203" s="30" t="str">
        <f t="shared" si="2776"/>
        <v/>
      </c>
      <c r="FR203" s="30" t="str">
        <f t="shared" si="2777"/>
        <v/>
      </c>
      <c r="FS203" s="30" t="str">
        <f t="shared" si="2778"/>
        <v/>
      </c>
    </row>
    <row r="204" spans="1:175">
      <c r="A204" s="66"/>
      <c r="B204" s="66"/>
      <c r="C204" s="66"/>
      <c r="E204" s="35"/>
      <c r="T204" s="100"/>
      <c r="U204" s="32"/>
      <c r="CU204" s="45" t="str">
        <f t="shared" si="2708"/>
        <v>|n</v>
      </c>
      <c r="CW204" s="24"/>
      <c r="CX204" s="24"/>
      <c r="CY204" s="24"/>
      <c r="CZ204" s="24"/>
      <c r="DA204" s="24"/>
      <c r="DB204" s="30" t="str">
        <f t="shared" si="2709"/>
        <v/>
      </c>
      <c r="DC204" s="30" t="str">
        <f t="shared" si="2710"/>
        <v/>
      </c>
      <c r="DD204" s="30" t="str">
        <f t="shared" si="2711"/>
        <v/>
      </c>
      <c r="DE204" s="30" t="str">
        <f t="shared" si="2712"/>
        <v/>
      </c>
      <c r="DF204" s="30" t="str">
        <f t="shared" si="2713"/>
        <v/>
      </c>
      <c r="DG204" s="30" t="str">
        <f t="shared" si="2714"/>
        <v/>
      </c>
      <c r="DH204" s="30" t="str">
        <f t="shared" si="2715"/>
        <v/>
      </c>
      <c r="DI204" s="30" t="str">
        <f t="shared" si="2716"/>
        <v/>
      </c>
      <c r="DJ204" s="30" t="str">
        <f t="shared" si="2717"/>
        <v/>
      </c>
      <c r="DK204" s="30" t="str">
        <f t="shared" si="2718"/>
        <v/>
      </c>
      <c r="DL204" s="30" t="str">
        <f t="shared" si="2719"/>
        <v/>
      </c>
      <c r="DM204" s="30" t="str">
        <f t="shared" si="2720"/>
        <v/>
      </c>
      <c r="DN204" s="30" t="str">
        <f t="shared" si="2721"/>
        <v/>
      </c>
      <c r="DO204" s="30" t="str">
        <f t="shared" si="2722"/>
        <v/>
      </c>
      <c r="DP204" s="30" t="str">
        <f t="shared" si="2723"/>
        <v/>
      </c>
      <c r="DQ204" s="30" t="str">
        <f t="shared" si="2724"/>
        <v/>
      </c>
      <c r="DR204" s="30" t="str">
        <f t="shared" si="2725"/>
        <v/>
      </c>
      <c r="DS204" s="30" t="str">
        <f t="shared" si="2726"/>
        <v/>
      </c>
      <c r="DT204" s="30" t="str">
        <f t="shared" si="2727"/>
        <v/>
      </c>
      <c r="DU204" s="30" t="str">
        <f t="shared" si="2728"/>
        <v/>
      </c>
      <c r="DV204" s="30" t="str">
        <f t="shared" si="2729"/>
        <v/>
      </c>
      <c r="DW204" s="30" t="str">
        <f t="shared" si="2730"/>
        <v/>
      </c>
      <c r="DX204" s="30" t="str">
        <f t="shared" si="2731"/>
        <v/>
      </c>
      <c r="DY204" s="30" t="str">
        <f t="shared" si="2732"/>
        <v/>
      </c>
      <c r="DZ204" s="30" t="str">
        <f t="shared" si="2733"/>
        <v/>
      </c>
      <c r="EA204" s="30" t="str">
        <f t="shared" si="2734"/>
        <v/>
      </c>
      <c r="EB204" s="30" t="str">
        <f t="shared" si="2735"/>
        <v/>
      </c>
      <c r="EC204" s="30" t="str">
        <f t="shared" si="2736"/>
        <v/>
      </c>
      <c r="ED204" s="30" t="str">
        <f t="shared" si="2737"/>
        <v/>
      </c>
      <c r="EE204" s="30" t="str">
        <f t="shared" si="2738"/>
        <v/>
      </c>
      <c r="EF204" s="30" t="str">
        <f t="shared" si="2739"/>
        <v/>
      </c>
      <c r="EG204" s="30" t="str">
        <f t="shared" si="2740"/>
        <v/>
      </c>
      <c r="EH204" s="30" t="str">
        <f t="shared" si="2741"/>
        <v/>
      </c>
      <c r="EI204" s="30" t="str">
        <f t="shared" si="2742"/>
        <v/>
      </c>
      <c r="EJ204" s="30" t="str">
        <f t="shared" si="2743"/>
        <v/>
      </c>
      <c r="EK204" s="30" t="str">
        <f t="shared" si="2744"/>
        <v/>
      </c>
      <c r="EL204" s="30" t="str">
        <f t="shared" si="2745"/>
        <v/>
      </c>
      <c r="EM204" s="30" t="str">
        <f t="shared" si="2746"/>
        <v/>
      </c>
      <c r="EN204" s="30" t="str">
        <f t="shared" si="2747"/>
        <v/>
      </c>
      <c r="EO204" s="30" t="str">
        <f t="shared" si="2748"/>
        <v/>
      </c>
      <c r="EP204" s="30" t="str">
        <f t="shared" si="2749"/>
        <v/>
      </c>
      <c r="EQ204" s="30" t="str">
        <f t="shared" si="2750"/>
        <v/>
      </c>
      <c r="ER204" s="30" t="str">
        <f t="shared" si="2751"/>
        <v/>
      </c>
      <c r="ES204" s="30" t="str">
        <f t="shared" si="2752"/>
        <v/>
      </c>
      <c r="ET204" s="30" t="str">
        <f t="shared" si="2753"/>
        <v/>
      </c>
      <c r="EU204" s="30" t="str">
        <f t="shared" si="2754"/>
        <v/>
      </c>
      <c r="EV204" s="30" t="str">
        <f t="shared" si="2755"/>
        <v/>
      </c>
      <c r="EW204" s="30" t="str">
        <f t="shared" si="2756"/>
        <v/>
      </c>
      <c r="EX204" s="30" t="str">
        <f t="shared" si="2757"/>
        <v/>
      </c>
      <c r="EY204" s="30" t="str">
        <f t="shared" si="2758"/>
        <v/>
      </c>
      <c r="EZ204" s="30" t="str">
        <f t="shared" si="2759"/>
        <v/>
      </c>
      <c r="FA204" s="30" t="str">
        <f t="shared" si="2760"/>
        <v/>
      </c>
      <c r="FB204" s="30" t="str">
        <f t="shared" si="2761"/>
        <v/>
      </c>
      <c r="FC204" s="30" t="str">
        <f t="shared" si="2762"/>
        <v/>
      </c>
      <c r="FD204" s="30" t="str">
        <f t="shared" si="2763"/>
        <v/>
      </c>
      <c r="FE204" s="30" t="str">
        <f t="shared" si="2764"/>
        <v/>
      </c>
      <c r="FF204" s="30" t="str">
        <f t="shared" si="2765"/>
        <v/>
      </c>
      <c r="FG204" s="30" t="str">
        <f t="shared" si="2766"/>
        <v/>
      </c>
      <c r="FH204" s="30" t="str">
        <f t="shared" si="2767"/>
        <v/>
      </c>
      <c r="FI204" s="30" t="str">
        <f t="shared" si="2768"/>
        <v/>
      </c>
      <c r="FJ204" s="30" t="str">
        <f t="shared" si="2769"/>
        <v/>
      </c>
      <c r="FK204" s="30" t="str">
        <f t="shared" si="2770"/>
        <v/>
      </c>
      <c r="FL204" s="30" t="str">
        <f t="shared" si="2771"/>
        <v/>
      </c>
      <c r="FM204" s="30" t="str">
        <f t="shared" si="2772"/>
        <v/>
      </c>
      <c r="FN204" s="30" t="str">
        <f t="shared" si="2773"/>
        <v/>
      </c>
      <c r="FO204" s="30" t="str">
        <f t="shared" si="2774"/>
        <v/>
      </c>
      <c r="FP204" s="30" t="str">
        <f t="shared" si="2775"/>
        <v/>
      </c>
      <c r="FQ204" s="30" t="str">
        <f t="shared" si="2776"/>
        <v/>
      </c>
      <c r="FR204" s="30" t="str">
        <f t="shared" si="2777"/>
        <v/>
      </c>
      <c r="FS204" s="30" t="str">
        <f t="shared" si="2778"/>
        <v/>
      </c>
    </row>
    <row r="205" spans="1:175">
      <c r="A205" s="66"/>
      <c r="B205" s="66"/>
      <c r="C205" s="66"/>
      <c r="E205" s="35"/>
      <c r="T205" s="100"/>
      <c r="U205" s="32"/>
      <c r="CU205" s="45" t="str">
        <f t="shared" si="2708"/>
        <v>|n</v>
      </c>
      <c r="CW205" s="24"/>
      <c r="CX205" s="24"/>
      <c r="CY205" s="24"/>
      <c r="CZ205" s="24"/>
      <c r="DA205" s="24"/>
      <c r="DB205" s="30" t="str">
        <f t="shared" si="2709"/>
        <v/>
      </c>
      <c r="DC205" s="30" t="str">
        <f t="shared" si="2710"/>
        <v/>
      </c>
      <c r="DD205" s="30" t="str">
        <f t="shared" si="2711"/>
        <v/>
      </c>
      <c r="DE205" s="30" t="str">
        <f t="shared" si="2712"/>
        <v/>
      </c>
      <c r="DF205" s="30" t="str">
        <f t="shared" si="2713"/>
        <v/>
      </c>
      <c r="DG205" s="30" t="str">
        <f t="shared" si="2714"/>
        <v/>
      </c>
      <c r="DH205" s="30" t="str">
        <f t="shared" si="2715"/>
        <v/>
      </c>
      <c r="DI205" s="30" t="str">
        <f t="shared" si="2716"/>
        <v/>
      </c>
      <c r="DJ205" s="30" t="str">
        <f t="shared" si="2717"/>
        <v/>
      </c>
      <c r="DK205" s="30" t="str">
        <f t="shared" si="2718"/>
        <v/>
      </c>
      <c r="DL205" s="30" t="str">
        <f t="shared" si="2719"/>
        <v/>
      </c>
      <c r="DM205" s="30" t="str">
        <f t="shared" si="2720"/>
        <v/>
      </c>
      <c r="DN205" s="30" t="str">
        <f t="shared" si="2721"/>
        <v/>
      </c>
      <c r="DO205" s="30" t="str">
        <f t="shared" si="2722"/>
        <v/>
      </c>
      <c r="DP205" s="30" t="str">
        <f t="shared" si="2723"/>
        <v/>
      </c>
      <c r="DQ205" s="30" t="str">
        <f t="shared" si="2724"/>
        <v/>
      </c>
      <c r="DR205" s="30" t="str">
        <f t="shared" si="2725"/>
        <v/>
      </c>
      <c r="DS205" s="30" t="str">
        <f t="shared" si="2726"/>
        <v/>
      </c>
      <c r="DT205" s="30" t="str">
        <f t="shared" si="2727"/>
        <v/>
      </c>
      <c r="DU205" s="30" t="str">
        <f t="shared" si="2728"/>
        <v/>
      </c>
      <c r="DV205" s="30" t="str">
        <f t="shared" si="2729"/>
        <v/>
      </c>
      <c r="DW205" s="30" t="str">
        <f t="shared" si="2730"/>
        <v/>
      </c>
      <c r="DX205" s="30" t="str">
        <f t="shared" si="2731"/>
        <v/>
      </c>
      <c r="DY205" s="30" t="str">
        <f t="shared" si="2732"/>
        <v/>
      </c>
      <c r="DZ205" s="30" t="str">
        <f t="shared" si="2733"/>
        <v/>
      </c>
      <c r="EA205" s="30" t="str">
        <f t="shared" si="2734"/>
        <v/>
      </c>
      <c r="EB205" s="30" t="str">
        <f t="shared" si="2735"/>
        <v/>
      </c>
      <c r="EC205" s="30" t="str">
        <f t="shared" si="2736"/>
        <v/>
      </c>
      <c r="ED205" s="30" t="str">
        <f t="shared" si="2737"/>
        <v/>
      </c>
      <c r="EE205" s="30" t="str">
        <f t="shared" si="2738"/>
        <v/>
      </c>
      <c r="EF205" s="30" t="str">
        <f t="shared" si="2739"/>
        <v/>
      </c>
      <c r="EG205" s="30" t="str">
        <f t="shared" si="2740"/>
        <v/>
      </c>
      <c r="EH205" s="30" t="str">
        <f t="shared" si="2741"/>
        <v/>
      </c>
      <c r="EI205" s="30" t="str">
        <f t="shared" si="2742"/>
        <v/>
      </c>
      <c r="EJ205" s="30" t="str">
        <f t="shared" si="2743"/>
        <v/>
      </c>
      <c r="EK205" s="30" t="str">
        <f t="shared" si="2744"/>
        <v/>
      </c>
      <c r="EL205" s="30" t="str">
        <f t="shared" si="2745"/>
        <v/>
      </c>
      <c r="EM205" s="30" t="str">
        <f t="shared" si="2746"/>
        <v/>
      </c>
      <c r="EN205" s="30" t="str">
        <f t="shared" si="2747"/>
        <v/>
      </c>
      <c r="EO205" s="30" t="str">
        <f t="shared" si="2748"/>
        <v/>
      </c>
      <c r="EP205" s="30" t="str">
        <f t="shared" si="2749"/>
        <v/>
      </c>
      <c r="EQ205" s="30" t="str">
        <f t="shared" si="2750"/>
        <v/>
      </c>
      <c r="ER205" s="30" t="str">
        <f t="shared" si="2751"/>
        <v/>
      </c>
      <c r="ES205" s="30" t="str">
        <f t="shared" si="2752"/>
        <v/>
      </c>
      <c r="ET205" s="30" t="str">
        <f t="shared" si="2753"/>
        <v/>
      </c>
      <c r="EU205" s="30" t="str">
        <f t="shared" si="2754"/>
        <v/>
      </c>
      <c r="EV205" s="30" t="str">
        <f t="shared" si="2755"/>
        <v/>
      </c>
      <c r="EW205" s="30" t="str">
        <f t="shared" si="2756"/>
        <v/>
      </c>
      <c r="EX205" s="30" t="str">
        <f t="shared" si="2757"/>
        <v/>
      </c>
      <c r="EY205" s="30" t="str">
        <f t="shared" si="2758"/>
        <v/>
      </c>
      <c r="EZ205" s="30" t="str">
        <f t="shared" si="2759"/>
        <v/>
      </c>
      <c r="FA205" s="30" t="str">
        <f t="shared" si="2760"/>
        <v/>
      </c>
      <c r="FB205" s="30" t="str">
        <f t="shared" si="2761"/>
        <v/>
      </c>
      <c r="FC205" s="30" t="str">
        <f t="shared" si="2762"/>
        <v/>
      </c>
      <c r="FD205" s="30" t="str">
        <f t="shared" si="2763"/>
        <v/>
      </c>
      <c r="FE205" s="30" t="str">
        <f t="shared" si="2764"/>
        <v/>
      </c>
      <c r="FF205" s="30" t="str">
        <f t="shared" si="2765"/>
        <v/>
      </c>
      <c r="FG205" s="30" t="str">
        <f t="shared" si="2766"/>
        <v/>
      </c>
      <c r="FH205" s="30" t="str">
        <f t="shared" si="2767"/>
        <v/>
      </c>
      <c r="FI205" s="30" t="str">
        <f t="shared" si="2768"/>
        <v/>
      </c>
      <c r="FJ205" s="30" t="str">
        <f t="shared" si="2769"/>
        <v/>
      </c>
      <c r="FK205" s="30" t="str">
        <f t="shared" si="2770"/>
        <v/>
      </c>
      <c r="FL205" s="30" t="str">
        <f t="shared" si="2771"/>
        <v/>
      </c>
      <c r="FM205" s="30" t="str">
        <f t="shared" si="2772"/>
        <v/>
      </c>
      <c r="FN205" s="30" t="str">
        <f t="shared" si="2773"/>
        <v/>
      </c>
      <c r="FO205" s="30" t="str">
        <f t="shared" si="2774"/>
        <v/>
      </c>
      <c r="FP205" s="30" t="str">
        <f t="shared" si="2775"/>
        <v/>
      </c>
      <c r="FQ205" s="30" t="str">
        <f t="shared" si="2776"/>
        <v/>
      </c>
      <c r="FR205" s="30" t="str">
        <f t="shared" si="2777"/>
        <v/>
      </c>
      <c r="FS205" s="30" t="str">
        <f t="shared" si="2778"/>
        <v/>
      </c>
    </row>
    <row r="206" spans="1:175" s="24" customFormat="1" ht="16.5">
      <c r="A206" s="46"/>
      <c r="B206" s="36"/>
      <c r="C206" s="46"/>
      <c r="D206" s="31"/>
      <c r="E206" s="39"/>
      <c r="F206" s="41"/>
      <c r="G206" s="47"/>
      <c r="H206" s="47"/>
      <c r="I206" s="47"/>
      <c r="J206" s="47"/>
      <c r="K206" s="47"/>
      <c r="L206" s="47"/>
      <c r="M206" s="47"/>
      <c r="N206" s="47"/>
      <c r="O206" s="47"/>
      <c r="P206" s="42"/>
      <c r="Q206" s="42"/>
      <c r="R206" s="42"/>
      <c r="S206" s="42"/>
      <c r="T206" s="102"/>
      <c r="U206" s="32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43"/>
      <c r="CB206" s="43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4" t="str">
        <f>"InitUnitState('"&amp;B206&amp;"',"&amp;V206&amp;","&amp;W206&amp;","&amp;X206&amp;","&amp;Y206&amp;","&amp;Z206&amp;","&amp;AA206&amp;","&amp;AB206&amp;","&amp;AC206&amp;","&amp;AD206&amp;","&amp;AE206&amp;")"</f>
        <v>InitUnitState('',,,,,,,,,,)</v>
      </c>
      <c r="CO206" s="44" t="str">
        <f>"InitUnitNormal('"&amp;B206&amp;"',"&amp;AF206&amp;","&amp;AG206&amp;","&amp;AH206&amp;","&amp;AI206&amp;","&amp;AJ206&amp;","&amp;AK206&amp;","&amp;AL206&amp;","&amp;AM206&amp;","&amp;AN206&amp;","&amp;AO206&amp;")"</f>
        <v>InitUnitNormal('',,,,,,,,,,)</v>
      </c>
      <c r="CP206" s="44" t="str">
        <f>"InitUnitMagic('"&amp;B206&amp;"',"&amp;AP206&amp;","&amp;AQ206&amp;","&amp;AR206&amp;","&amp;AS206&amp;","&amp;AT206&amp;","&amp;AU206&amp;","&amp;AV206&amp;","&amp;AW206&amp;","&amp;BI206&amp;","&amp;BJ206&amp;")"</f>
        <v>InitUnitMagic('',,,,,,,,,,)</v>
      </c>
      <c r="CQ206" s="44" t="str">
        <f>"InitUnitAdd('"&amp;B206&amp;"',"&amp;BK206&amp;","&amp;BL206&amp;","&amp;BM206&amp;","&amp;BN206&amp;","&amp;BO206&amp;","&amp;BP206&amp;","&amp;BQ206&amp;","&amp;BR206&amp;","&amp;BS206&amp;","&amp;BT206&amp;")"</f>
        <v>InitUnitAdd('',,,,,,,,,,)</v>
      </c>
      <c r="CR206" s="44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InitEquipData('',,"",,,,,'','','','','','',"")</v>
      </c>
      <c r="CS206" s="44"/>
      <c r="CT206" s="44"/>
      <c r="CU206" s="45" t="str">
        <f t="shared" si="2708"/>
        <v>|n</v>
      </c>
      <c r="CV206" s="29"/>
      <c r="DB206" s="30" t="str">
        <f t="shared" si="2709"/>
        <v/>
      </c>
      <c r="DC206" s="30" t="str">
        <f t="shared" si="2710"/>
        <v/>
      </c>
      <c r="DD206" s="30" t="str">
        <f t="shared" si="2711"/>
        <v/>
      </c>
      <c r="DE206" s="30" t="str">
        <f t="shared" si="2712"/>
        <v/>
      </c>
      <c r="DF206" s="30" t="str">
        <f t="shared" si="2713"/>
        <v/>
      </c>
      <c r="DG206" s="30" t="str">
        <f t="shared" si="2714"/>
        <v/>
      </c>
      <c r="DH206" s="30" t="str">
        <f t="shared" si="2715"/>
        <v/>
      </c>
      <c r="DI206" s="30" t="str">
        <f t="shared" si="2716"/>
        <v/>
      </c>
      <c r="DJ206" s="30" t="str">
        <f t="shared" si="2717"/>
        <v/>
      </c>
      <c r="DK206" s="30" t="str">
        <f t="shared" si="2718"/>
        <v/>
      </c>
      <c r="DL206" s="30" t="str">
        <f t="shared" si="2719"/>
        <v/>
      </c>
      <c r="DM206" s="30" t="str">
        <f t="shared" si="2720"/>
        <v/>
      </c>
      <c r="DN206" s="30" t="str">
        <f t="shared" si="2721"/>
        <v/>
      </c>
      <c r="DO206" s="30" t="str">
        <f t="shared" si="2722"/>
        <v/>
      </c>
      <c r="DP206" s="30" t="str">
        <f t="shared" si="2723"/>
        <v/>
      </c>
      <c r="DQ206" s="30" t="str">
        <f t="shared" si="2724"/>
        <v/>
      </c>
      <c r="DR206" s="30" t="str">
        <f t="shared" si="2725"/>
        <v/>
      </c>
      <c r="DS206" s="30" t="str">
        <f t="shared" si="2726"/>
        <v/>
      </c>
      <c r="DT206" s="30" t="str">
        <f t="shared" si="2727"/>
        <v/>
      </c>
      <c r="DU206" s="30" t="str">
        <f t="shared" si="2728"/>
        <v/>
      </c>
      <c r="DV206" s="30" t="str">
        <f t="shared" si="2729"/>
        <v/>
      </c>
      <c r="DW206" s="30" t="str">
        <f t="shared" si="2730"/>
        <v/>
      </c>
      <c r="DX206" s="30" t="str">
        <f t="shared" si="2731"/>
        <v/>
      </c>
      <c r="DY206" s="30" t="str">
        <f t="shared" si="2732"/>
        <v/>
      </c>
      <c r="DZ206" s="30" t="str">
        <f t="shared" si="2733"/>
        <v/>
      </c>
      <c r="EA206" s="30" t="str">
        <f t="shared" si="2734"/>
        <v/>
      </c>
      <c r="EB206" s="30" t="str">
        <f t="shared" si="2735"/>
        <v/>
      </c>
      <c r="EC206" s="30" t="str">
        <f t="shared" si="2736"/>
        <v/>
      </c>
      <c r="ED206" s="30" t="str">
        <f t="shared" si="2737"/>
        <v/>
      </c>
      <c r="EE206" s="30" t="str">
        <f t="shared" si="2738"/>
        <v/>
      </c>
      <c r="EF206" s="30" t="str">
        <f t="shared" si="2739"/>
        <v/>
      </c>
      <c r="EG206" s="30" t="str">
        <f t="shared" si="2740"/>
        <v/>
      </c>
      <c r="EH206" s="30" t="str">
        <f t="shared" si="2741"/>
        <v/>
      </c>
      <c r="EI206" s="30" t="str">
        <f t="shared" si="2742"/>
        <v/>
      </c>
      <c r="EJ206" s="30" t="str">
        <f t="shared" si="2743"/>
        <v/>
      </c>
      <c r="EK206" s="30" t="str">
        <f t="shared" si="2744"/>
        <v/>
      </c>
      <c r="EL206" s="30" t="str">
        <f t="shared" si="2745"/>
        <v/>
      </c>
      <c r="EM206" s="30" t="str">
        <f t="shared" si="2746"/>
        <v/>
      </c>
      <c r="EN206" s="30" t="str">
        <f t="shared" si="2747"/>
        <v/>
      </c>
      <c r="EO206" s="30" t="str">
        <f t="shared" si="2748"/>
        <v/>
      </c>
      <c r="EP206" s="30" t="str">
        <f t="shared" si="2749"/>
        <v/>
      </c>
      <c r="EQ206" s="30" t="str">
        <f t="shared" si="2750"/>
        <v/>
      </c>
      <c r="ER206" s="30" t="str">
        <f t="shared" si="2751"/>
        <v/>
      </c>
      <c r="ES206" s="30" t="str">
        <f t="shared" si="2752"/>
        <v/>
      </c>
      <c r="ET206" s="30" t="str">
        <f t="shared" si="2753"/>
        <v/>
      </c>
      <c r="EU206" s="30" t="str">
        <f t="shared" si="2754"/>
        <v/>
      </c>
      <c r="EV206" s="30" t="str">
        <f t="shared" si="2755"/>
        <v/>
      </c>
      <c r="EW206" s="30" t="str">
        <f t="shared" si="2756"/>
        <v/>
      </c>
      <c r="EX206" s="30" t="str">
        <f t="shared" si="2757"/>
        <v/>
      </c>
      <c r="EY206" s="30" t="str">
        <f t="shared" si="2758"/>
        <v/>
      </c>
      <c r="EZ206" s="30" t="str">
        <f t="shared" si="2759"/>
        <v/>
      </c>
      <c r="FA206" s="30" t="str">
        <f t="shared" si="2760"/>
        <v/>
      </c>
      <c r="FB206" s="30" t="str">
        <f t="shared" si="2761"/>
        <v/>
      </c>
      <c r="FC206" s="30" t="str">
        <f t="shared" si="2762"/>
        <v/>
      </c>
      <c r="FD206" s="30" t="str">
        <f t="shared" si="2763"/>
        <v/>
      </c>
      <c r="FE206" s="30" t="str">
        <f t="shared" si="2764"/>
        <v/>
      </c>
      <c r="FF206" s="30" t="str">
        <f t="shared" si="2765"/>
        <v/>
      </c>
      <c r="FG206" s="30" t="str">
        <f t="shared" si="2766"/>
        <v/>
      </c>
      <c r="FH206" s="30" t="str">
        <f t="shared" si="2767"/>
        <v/>
      </c>
      <c r="FI206" s="30" t="str">
        <f t="shared" si="2768"/>
        <v/>
      </c>
      <c r="FJ206" s="30" t="str">
        <f t="shared" si="2769"/>
        <v/>
      </c>
      <c r="FK206" s="30" t="str">
        <f t="shared" si="2770"/>
        <v/>
      </c>
      <c r="FL206" s="30" t="str">
        <f t="shared" si="2771"/>
        <v/>
      </c>
      <c r="FM206" s="30" t="str">
        <f t="shared" si="2772"/>
        <v/>
      </c>
      <c r="FN206" s="30" t="str">
        <f t="shared" si="2773"/>
        <v/>
      </c>
      <c r="FO206" s="30" t="str">
        <f t="shared" si="2774"/>
        <v/>
      </c>
      <c r="FP206" s="30" t="str">
        <f t="shared" si="2775"/>
        <v/>
      </c>
      <c r="FQ206" s="30" t="str">
        <f t="shared" si="2776"/>
        <v/>
      </c>
      <c r="FR206" s="30" t="str">
        <f t="shared" si="2777"/>
        <v/>
      </c>
      <c r="FS206" s="30" t="str">
        <f t="shared" si="2778"/>
        <v/>
      </c>
    </row>
    <row r="207" spans="1:175" s="24" customFormat="1" ht="16.5">
      <c r="A207" s="46"/>
      <c r="B207" s="36"/>
      <c r="C207" s="46"/>
      <c r="D207" s="31"/>
      <c r="E207" s="39"/>
      <c r="F207" s="41"/>
      <c r="G207" s="47"/>
      <c r="H207" s="47"/>
      <c r="I207" s="47"/>
      <c r="J207" s="47"/>
      <c r="K207" s="47"/>
      <c r="L207" s="47"/>
      <c r="M207" s="47"/>
      <c r="N207" s="47"/>
      <c r="O207" s="47"/>
      <c r="P207" s="42"/>
      <c r="Q207" s="42"/>
      <c r="R207" s="42"/>
      <c r="S207" s="42"/>
      <c r="T207" s="102"/>
      <c r="U207" s="32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43"/>
      <c r="CB207" s="43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4" t="str">
        <f>"InitUnitState('"&amp;B207&amp;"',"&amp;V207&amp;","&amp;W207&amp;","&amp;X207&amp;","&amp;Y207&amp;","&amp;Z207&amp;","&amp;AA207&amp;","&amp;AB207&amp;","&amp;AC207&amp;","&amp;AD207&amp;","&amp;AE207&amp;")"</f>
        <v>InitUnitState('',,,,,,,,,,)</v>
      </c>
      <c r="CO207" s="44" t="str">
        <f>"InitUnitNormal('"&amp;B207&amp;"',"&amp;AF207&amp;","&amp;AG207&amp;","&amp;AH207&amp;","&amp;AI207&amp;","&amp;AJ207&amp;","&amp;AK207&amp;","&amp;AL207&amp;","&amp;AM207&amp;","&amp;AN207&amp;","&amp;AO207&amp;")"</f>
        <v>InitUnitNormal('',,,,,,,,,,)</v>
      </c>
      <c r="CP207" s="44" t="str">
        <f>"InitUnitMagic('"&amp;B207&amp;"',"&amp;AP207&amp;","&amp;AQ207&amp;","&amp;AR207&amp;","&amp;AS207&amp;","&amp;AT207&amp;","&amp;AU207&amp;","&amp;AV207&amp;","&amp;AW207&amp;","&amp;BI207&amp;","&amp;BJ207&amp;")"</f>
        <v>InitUnitMagic('',,,,,,,,,,)</v>
      </c>
      <c r="CQ207" s="44" t="str">
        <f>"InitUnitAdd('"&amp;B207&amp;"',"&amp;BK207&amp;","&amp;BL207&amp;","&amp;BM207&amp;","&amp;BN207&amp;","&amp;BO207&amp;","&amp;BP207&amp;","&amp;BQ207&amp;","&amp;BR207&amp;","&amp;BS207&amp;","&amp;BT207&amp;")"</f>
        <v>InitUnitAdd('',,,,,,,,,,)</v>
      </c>
      <c r="CR207" s="44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InitEquipData('',,"",,,,,'','','','','','',"")</v>
      </c>
      <c r="CS207" s="44"/>
      <c r="CT207" s="44"/>
      <c r="CU207" s="45" t="str">
        <f t="shared" si="2708"/>
        <v>|n</v>
      </c>
      <c r="CV207" s="29"/>
      <c r="DB207" s="30" t="str">
        <f t="shared" si="2709"/>
        <v/>
      </c>
      <c r="DC207" s="30" t="str">
        <f t="shared" si="2710"/>
        <v/>
      </c>
      <c r="DD207" s="30" t="str">
        <f t="shared" si="2711"/>
        <v/>
      </c>
      <c r="DE207" s="30" t="str">
        <f t="shared" si="2712"/>
        <v/>
      </c>
      <c r="DF207" s="30" t="str">
        <f t="shared" si="2713"/>
        <v/>
      </c>
      <c r="DG207" s="30" t="str">
        <f t="shared" si="2714"/>
        <v/>
      </c>
      <c r="DH207" s="30" t="str">
        <f t="shared" si="2715"/>
        <v/>
      </c>
      <c r="DI207" s="30" t="str">
        <f t="shared" si="2716"/>
        <v/>
      </c>
      <c r="DJ207" s="30" t="str">
        <f t="shared" si="2717"/>
        <v/>
      </c>
      <c r="DK207" s="30" t="str">
        <f t="shared" si="2718"/>
        <v/>
      </c>
      <c r="DL207" s="30" t="str">
        <f t="shared" si="2719"/>
        <v/>
      </c>
      <c r="DM207" s="30" t="str">
        <f t="shared" si="2720"/>
        <v/>
      </c>
      <c r="DN207" s="30" t="str">
        <f t="shared" si="2721"/>
        <v/>
      </c>
      <c r="DO207" s="30" t="str">
        <f t="shared" si="2722"/>
        <v/>
      </c>
      <c r="DP207" s="30" t="str">
        <f t="shared" si="2723"/>
        <v/>
      </c>
      <c r="DQ207" s="30" t="str">
        <f t="shared" si="2724"/>
        <v/>
      </c>
      <c r="DR207" s="30" t="str">
        <f t="shared" si="2725"/>
        <v/>
      </c>
      <c r="DS207" s="30" t="str">
        <f t="shared" si="2726"/>
        <v/>
      </c>
      <c r="DT207" s="30" t="str">
        <f t="shared" si="2727"/>
        <v/>
      </c>
      <c r="DU207" s="30" t="str">
        <f t="shared" si="2728"/>
        <v/>
      </c>
      <c r="DV207" s="30" t="str">
        <f t="shared" si="2729"/>
        <v/>
      </c>
      <c r="DW207" s="30" t="str">
        <f t="shared" si="2730"/>
        <v/>
      </c>
      <c r="DX207" s="30" t="str">
        <f t="shared" si="2731"/>
        <v/>
      </c>
      <c r="DY207" s="30" t="str">
        <f t="shared" si="2732"/>
        <v/>
      </c>
      <c r="DZ207" s="30" t="str">
        <f t="shared" si="2733"/>
        <v/>
      </c>
      <c r="EA207" s="30" t="str">
        <f t="shared" si="2734"/>
        <v/>
      </c>
      <c r="EB207" s="30" t="str">
        <f t="shared" si="2735"/>
        <v/>
      </c>
      <c r="EC207" s="30" t="str">
        <f t="shared" si="2736"/>
        <v/>
      </c>
      <c r="ED207" s="30" t="str">
        <f t="shared" si="2737"/>
        <v/>
      </c>
      <c r="EE207" s="30" t="str">
        <f t="shared" si="2738"/>
        <v/>
      </c>
      <c r="EF207" s="30" t="str">
        <f t="shared" si="2739"/>
        <v/>
      </c>
      <c r="EG207" s="30" t="str">
        <f t="shared" si="2740"/>
        <v/>
      </c>
      <c r="EH207" s="30" t="str">
        <f t="shared" si="2741"/>
        <v/>
      </c>
      <c r="EI207" s="30" t="str">
        <f t="shared" si="2742"/>
        <v/>
      </c>
      <c r="EJ207" s="30" t="str">
        <f t="shared" si="2743"/>
        <v/>
      </c>
      <c r="EK207" s="30" t="str">
        <f t="shared" si="2744"/>
        <v/>
      </c>
      <c r="EL207" s="30" t="str">
        <f t="shared" si="2745"/>
        <v/>
      </c>
      <c r="EM207" s="30" t="str">
        <f t="shared" si="2746"/>
        <v/>
      </c>
      <c r="EN207" s="30" t="str">
        <f t="shared" si="2747"/>
        <v/>
      </c>
      <c r="EO207" s="30" t="str">
        <f t="shared" si="2748"/>
        <v/>
      </c>
      <c r="EP207" s="30" t="str">
        <f t="shared" si="2749"/>
        <v/>
      </c>
      <c r="EQ207" s="30" t="str">
        <f t="shared" si="2750"/>
        <v/>
      </c>
      <c r="ER207" s="30" t="str">
        <f t="shared" si="2751"/>
        <v/>
      </c>
      <c r="ES207" s="30" t="str">
        <f t="shared" si="2752"/>
        <v/>
      </c>
      <c r="ET207" s="30" t="str">
        <f t="shared" si="2753"/>
        <v/>
      </c>
      <c r="EU207" s="30" t="str">
        <f t="shared" si="2754"/>
        <v/>
      </c>
      <c r="EV207" s="30" t="str">
        <f t="shared" si="2755"/>
        <v/>
      </c>
      <c r="EW207" s="30" t="str">
        <f t="shared" si="2756"/>
        <v/>
      </c>
      <c r="EX207" s="30" t="str">
        <f t="shared" si="2757"/>
        <v/>
      </c>
      <c r="EY207" s="30" t="str">
        <f t="shared" si="2758"/>
        <v/>
      </c>
      <c r="EZ207" s="30" t="str">
        <f t="shared" si="2759"/>
        <v/>
      </c>
      <c r="FA207" s="30" t="str">
        <f t="shared" si="2760"/>
        <v/>
      </c>
      <c r="FB207" s="30" t="str">
        <f t="shared" si="2761"/>
        <v/>
      </c>
      <c r="FC207" s="30" t="str">
        <f t="shared" si="2762"/>
        <v/>
      </c>
      <c r="FD207" s="30" t="str">
        <f t="shared" si="2763"/>
        <v/>
      </c>
      <c r="FE207" s="30" t="str">
        <f t="shared" si="2764"/>
        <v/>
      </c>
      <c r="FF207" s="30" t="str">
        <f t="shared" si="2765"/>
        <v/>
      </c>
      <c r="FG207" s="30" t="str">
        <f t="shared" si="2766"/>
        <v/>
      </c>
      <c r="FH207" s="30" t="str">
        <f t="shared" si="2767"/>
        <v/>
      </c>
      <c r="FI207" s="30" t="str">
        <f t="shared" si="2768"/>
        <v/>
      </c>
      <c r="FJ207" s="30" t="str">
        <f t="shared" si="2769"/>
        <v/>
      </c>
      <c r="FK207" s="30" t="str">
        <f t="shared" si="2770"/>
        <v/>
      </c>
      <c r="FL207" s="30" t="str">
        <f t="shared" si="2771"/>
        <v/>
      </c>
      <c r="FM207" s="30" t="str">
        <f t="shared" si="2772"/>
        <v/>
      </c>
      <c r="FN207" s="30" t="str">
        <f t="shared" si="2773"/>
        <v/>
      </c>
      <c r="FO207" s="30" t="str">
        <f t="shared" si="2774"/>
        <v/>
      </c>
      <c r="FP207" s="30" t="str">
        <f t="shared" si="2775"/>
        <v/>
      </c>
      <c r="FQ207" s="30" t="str">
        <f t="shared" si="2776"/>
        <v/>
      </c>
      <c r="FR207" s="30" t="str">
        <f t="shared" si="2777"/>
        <v/>
      </c>
      <c r="FS207" s="30" t="str">
        <f t="shared" si="2778"/>
        <v/>
      </c>
    </row>
    <row r="208" spans="1:175" s="24" customFormat="1" ht="16.5">
      <c r="A208" s="46"/>
      <c r="B208" s="36"/>
      <c r="C208" s="46"/>
      <c r="D208" s="31"/>
      <c r="E208" s="39"/>
      <c r="F208" s="41"/>
      <c r="G208" s="47"/>
      <c r="H208" s="47"/>
      <c r="I208" s="47"/>
      <c r="J208" s="47"/>
      <c r="K208" s="47"/>
      <c r="L208" s="47"/>
      <c r="M208" s="47"/>
      <c r="N208" s="47"/>
      <c r="O208" s="47"/>
      <c r="P208" s="42"/>
      <c r="Q208" s="42"/>
      <c r="R208" s="42"/>
      <c r="S208" s="42"/>
      <c r="T208" s="102"/>
      <c r="U208" s="32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43"/>
      <c r="CB208" s="43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4" t="str">
        <f>"InitUnitState('"&amp;B208&amp;"',"&amp;V208&amp;","&amp;W208&amp;","&amp;X208&amp;","&amp;Y208&amp;","&amp;Z208&amp;","&amp;AA208&amp;","&amp;AB208&amp;","&amp;AC208&amp;","&amp;AD208&amp;","&amp;AE208&amp;")"</f>
        <v>InitUnitState('',,,,,,,,,,)</v>
      </c>
      <c r="CO208" s="44" t="str">
        <f>"InitUnitNormal('"&amp;B208&amp;"',"&amp;AF208&amp;","&amp;AG208&amp;","&amp;AH208&amp;","&amp;AI208&amp;","&amp;AJ208&amp;","&amp;AK208&amp;","&amp;AL208&amp;","&amp;AM208&amp;","&amp;AN208&amp;","&amp;AO208&amp;")"</f>
        <v>InitUnitNormal('',,,,,,,,,,)</v>
      </c>
      <c r="CP208" s="44" t="str">
        <f>"InitUnitMagic('"&amp;B208&amp;"',"&amp;AP208&amp;","&amp;AQ208&amp;","&amp;AR208&amp;","&amp;AS208&amp;","&amp;AT208&amp;","&amp;AU208&amp;","&amp;AV208&amp;","&amp;AW208&amp;","&amp;BI208&amp;","&amp;BJ208&amp;")"</f>
        <v>InitUnitMagic('',,,,,,,,,,)</v>
      </c>
      <c r="CQ208" s="44" t="str">
        <f>"InitUnitAdd('"&amp;B208&amp;"',"&amp;BK208&amp;","&amp;BL208&amp;","&amp;BM208&amp;","&amp;BN208&amp;","&amp;BO208&amp;","&amp;BP208&amp;","&amp;BQ208&amp;","&amp;BR208&amp;","&amp;BS208&amp;","&amp;BT208&amp;")"</f>
        <v>InitUnitAdd('',,,,,,,,,,)</v>
      </c>
      <c r="CR208" s="44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210&amp;CR$1&amp;")"</f>
        <v>InitEquipData('',,"",,,,,'','','','','','',"")</v>
      </c>
      <c r="CS208" s="44"/>
      <c r="CT208" s="44"/>
      <c r="CU208" s="45" t="str">
        <f t="shared" si="2708"/>
        <v>|n</v>
      </c>
      <c r="CV208" s="29"/>
      <c r="DB208" s="30" t="str">
        <f t="shared" si="2709"/>
        <v/>
      </c>
      <c r="DC208" s="30" t="str">
        <f t="shared" si="2710"/>
        <v/>
      </c>
      <c r="DD208" s="30" t="str">
        <f t="shared" si="2711"/>
        <v/>
      </c>
      <c r="DE208" s="30" t="str">
        <f t="shared" si="2712"/>
        <v/>
      </c>
      <c r="DF208" s="30" t="str">
        <f t="shared" si="2713"/>
        <v/>
      </c>
      <c r="DG208" s="30" t="str">
        <f t="shared" si="2714"/>
        <v/>
      </c>
      <c r="DH208" s="30" t="str">
        <f t="shared" si="2715"/>
        <v/>
      </c>
      <c r="DI208" s="30" t="str">
        <f t="shared" si="2716"/>
        <v/>
      </c>
      <c r="DJ208" s="30" t="str">
        <f t="shared" si="2717"/>
        <v/>
      </c>
      <c r="DK208" s="30" t="str">
        <f t="shared" si="2718"/>
        <v/>
      </c>
      <c r="DL208" s="30" t="str">
        <f t="shared" si="2719"/>
        <v/>
      </c>
      <c r="DM208" s="30" t="str">
        <f t="shared" si="2720"/>
        <v/>
      </c>
      <c r="DN208" s="30" t="str">
        <f t="shared" si="2721"/>
        <v/>
      </c>
      <c r="DO208" s="30" t="str">
        <f t="shared" si="2722"/>
        <v/>
      </c>
      <c r="DP208" s="30" t="str">
        <f t="shared" si="2723"/>
        <v/>
      </c>
      <c r="DQ208" s="30" t="str">
        <f t="shared" si="2724"/>
        <v/>
      </c>
      <c r="DR208" s="30" t="str">
        <f t="shared" si="2725"/>
        <v/>
      </c>
      <c r="DS208" s="30" t="str">
        <f t="shared" si="2726"/>
        <v/>
      </c>
      <c r="DT208" s="30" t="str">
        <f t="shared" si="2727"/>
        <v/>
      </c>
      <c r="DU208" s="30" t="str">
        <f t="shared" si="2728"/>
        <v/>
      </c>
      <c r="DV208" s="30" t="str">
        <f t="shared" si="2729"/>
        <v/>
      </c>
      <c r="DW208" s="30" t="str">
        <f t="shared" si="2730"/>
        <v/>
      </c>
      <c r="DX208" s="30" t="str">
        <f t="shared" si="2731"/>
        <v/>
      </c>
      <c r="DY208" s="30" t="str">
        <f t="shared" si="2732"/>
        <v/>
      </c>
      <c r="DZ208" s="30" t="str">
        <f t="shared" si="2733"/>
        <v/>
      </c>
      <c r="EA208" s="30" t="str">
        <f t="shared" si="2734"/>
        <v/>
      </c>
      <c r="EB208" s="30" t="str">
        <f t="shared" si="2735"/>
        <v/>
      </c>
      <c r="EC208" s="30" t="str">
        <f t="shared" si="2736"/>
        <v/>
      </c>
      <c r="ED208" s="30" t="str">
        <f t="shared" si="2737"/>
        <v/>
      </c>
      <c r="EE208" s="30" t="str">
        <f t="shared" si="2738"/>
        <v/>
      </c>
      <c r="EF208" s="30" t="str">
        <f t="shared" si="2739"/>
        <v/>
      </c>
      <c r="EG208" s="30" t="str">
        <f t="shared" si="2740"/>
        <v/>
      </c>
      <c r="EH208" s="30" t="str">
        <f t="shared" si="2741"/>
        <v/>
      </c>
      <c r="EI208" s="30" t="str">
        <f t="shared" si="2742"/>
        <v/>
      </c>
      <c r="EJ208" s="30" t="str">
        <f t="shared" si="2743"/>
        <v/>
      </c>
      <c r="EK208" s="30" t="str">
        <f t="shared" si="2744"/>
        <v/>
      </c>
      <c r="EL208" s="30" t="str">
        <f t="shared" si="2745"/>
        <v/>
      </c>
      <c r="EM208" s="30" t="str">
        <f t="shared" si="2746"/>
        <v/>
      </c>
      <c r="EN208" s="30" t="str">
        <f t="shared" si="2747"/>
        <v/>
      </c>
      <c r="EO208" s="30" t="str">
        <f t="shared" si="2748"/>
        <v/>
      </c>
      <c r="EP208" s="30" t="str">
        <f t="shared" si="2749"/>
        <v/>
      </c>
      <c r="EQ208" s="30" t="str">
        <f t="shared" si="2750"/>
        <v/>
      </c>
      <c r="ER208" s="30" t="str">
        <f t="shared" si="2751"/>
        <v/>
      </c>
      <c r="ES208" s="30" t="str">
        <f t="shared" si="2752"/>
        <v/>
      </c>
      <c r="ET208" s="30" t="str">
        <f t="shared" si="2753"/>
        <v/>
      </c>
      <c r="EU208" s="30" t="str">
        <f t="shared" si="2754"/>
        <v/>
      </c>
      <c r="EV208" s="30" t="str">
        <f t="shared" si="2755"/>
        <v/>
      </c>
      <c r="EW208" s="30" t="str">
        <f t="shared" si="2756"/>
        <v/>
      </c>
      <c r="EX208" s="30" t="str">
        <f t="shared" si="2757"/>
        <v/>
      </c>
      <c r="EY208" s="30" t="str">
        <f t="shared" si="2758"/>
        <v/>
      </c>
      <c r="EZ208" s="30" t="str">
        <f t="shared" si="2759"/>
        <v/>
      </c>
      <c r="FA208" s="30" t="str">
        <f t="shared" si="2760"/>
        <v/>
      </c>
      <c r="FB208" s="30" t="str">
        <f t="shared" si="2761"/>
        <v/>
      </c>
      <c r="FC208" s="30" t="str">
        <f t="shared" si="2762"/>
        <v/>
      </c>
      <c r="FD208" s="30" t="str">
        <f t="shared" si="2763"/>
        <v/>
      </c>
      <c r="FE208" s="30" t="str">
        <f t="shared" si="2764"/>
        <v/>
      </c>
      <c r="FF208" s="30" t="str">
        <f t="shared" si="2765"/>
        <v/>
      </c>
      <c r="FG208" s="30" t="str">
        <f t="shared" si="2766"/>
        <v/>
      </c>
      <c r="FH208" s="30" t="str">
        <f t="shared" si="2767"/>
        <v/>
      </c>
      <c r="FI208" s="30" t="str">
        <f t="shared" si="2768"/>
        <v/>
      </c>
      <c r="FJ208" s="30" t="str">
        <f t="shared" si="2769"/>
        <v/>
      </c>
      <c r="FK208" s="30" t="str">
        <f t="shared" si="2770"/>
        <v/>
      </c>
      <c r="FL208" s="30" t="str">
        <f t="shared" si="2771"/>
        <v/>
      </c>
      <c r="FM208" s="30" t="str">
        <f t="shared" si="2772"/>
        <v/>
      </c>
      <c r="FN208" s="30" t="str">
        <f t="shared" si="2773"/>
        <v/>
      </c>
      <c r="FO208" s="30" t="str">
        <f t="shared" si="2774"/>
        <v/>
      </c>
      <c r="FP208" s="30" t="str">
        <f t="shared" si="2775"/>
        <v/>
      </c>
      <c r="FQ208" s="30" t="str">
        <f t="shared" si="2776"/>
        <v/>
      </c>
      <c r="FR208" s="30" t="str">
        <f t="shared" si="2777"/>
        <v/>
      </c>
      <c r="FS208" s="30" t="str">
        <f t="shared" si="2778"/>
        <v/>
      </c>
    </row>
    <row r="209" spans="1:175" s="24" customFormat="1" ht="16.5">
      <c r="A209" s="46"/>
      <c r="B209" s="36"/>
      <c r="C209" s="46"/>
      <c r="D209" s="31"/>
      <c r="E209" s="39"/>
      <c r="F209" s="41"/>
      <c r="G209" s="47"/>
      <c r="H209" s="47"/>
      <c r="I209" s="47"/>
      <c r="J209" s="47"/>
      <c r="K209" s="47"/>
      <c r="L209" s="47"/>
      <c r="M209" s="47"/>
      <c r="N209" s="47"/>
      <c r="O209" s="47"/>
      <c r="P209" s="42"/>
      <c r="Q209" s="42"/>
      <c r="R209" s="42"/>
      <c r="S209" s="42"/>
      <c r="T209" s="102"/>
      <c r="U209" s="32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43"/>
      <c r="CB209" s="43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4" t="str">
        <f>"InitUnitState('"&amp;B209&amp;"',"&amp;V209&amp;","&amp;W209&amp;","&amp;X209&amp;","&amp;Y209&amp;","&amp;Z209&amp;","&amp;AA209&amp;","&amp;AB209&amp;","&amp;AC209&amp;","&amp;AD209&amp;","&amp;AE209&amp;")"</f>
        <v>InitUnitState('',,,,,,,,,,)</v>
      </c>
      <c r="CO209" s="44" t="str">
        <f>"InitUnitNormal('"&amp;B209&amp;"',"&amp;AF209&amp;","&amp;AG209&amp;","&amp;AH209&amp;","&amp;AI209&amp;","&amp;AJ209&amp;","&amp;AK209&amp;","&amp;AL209&amp;","&amp;AM209&amp;","&amp;AN209&amp;","&amp;AO209&amp;")"</f>
        <v>InitUnitNormal('',,,,,,,,,,)</v>
      </c>
      <c r="CP209" s="44" t="str">
        <f>"InitUnitMagic('"&amp;B209&amp;"',"&amp;AP209&amp;","&amp;AQ209&amp;","&amp;AR209&amp;","&amp;AS209&amp;","&amp;AT209&amp;","&amp;AU209&amp;","&amp;AV209&amp;","&amp;AW209&amp;","&amp;BI209&amp;","&amp;BJ209&amp;")"</f>
        <v>InitUnitMagic('',,,,,,,,,,)</v>
      </c>
      <c r="CQ209" s="44" t="str">
        <f>"InitUnitAdd('"&amp;B209&amp;"',"&amp;BK209&amp;","&amp;BL209&amp;","&amp;BM209&amp;","&amp;BN209&amp;","&amp;BO209&amp;","&amp;BP209&amp;","&amp;BQ209&amp;","&amp;BR209&amp;","&amp;BS209&amp;","&amp;BT209&amp;")"</f>
        <v>InitUnitAdd('',,,,,,,,,,)</v>
      </c>
      <c r="CR209" s="44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211&amp;CR$1&amp;")"</f>
        <v>InitEquipData('',,"",,,,,'','','','','','',"")</v>
      </c>
      <c r="CS209" s="44"/>
      <c r="CT209" s="44"/>
      <c r="CU209" s="45" t="str">
        <f t="shared" si="2708"/>
        <v>|n</v>
      </c>
      <c r="CV209" s="29"/>
      <c r="DB209" s="30" t="str">
        <f t="shared" si="2709"/>
        <v/>
      </c>
      <c r="DC209" s="30" t="str">
        <f t="shared" si="2710"/>
        <v/>
      </c>
      <c r="DD209" s="30" t="str">
        <f t="shared" si="2711"/>
        <v/>
      </c>
      <c r="DE209" s="30" t="str">
        <f t="shared" si="2712"/>
        <v/>
      </c>
      <c r="DF209" s="30" t="str">
        <f t="shared" si="2713"/>
        <v/>
      </c>
      <c r="DG209" s="30" t="str">
        <f t="shared" si="2714"/>
        <v/>
      </c>
      <c r="DH209" s="30" t="str">
        <f t="shared" si="2715"/>
        <v/>
      </c>
      <c r="DI209" s="30" t="str">
        <f t="shared" si="2716"/>
        <v/>
      </c>
      <c r="DJ209" s="30" t="str">
        <f t="shared" si="2717"/>
        <v/>
      </c>
      <c r="DK209" s="30" t="str">
        <f t="shared" si="2718"/>
        <v/>
      </c>
      <c r="DL209" s="30" t="str">
        <f t="shared" si="2719"/>
        <v/>
      </c>
      <c r="DM209" s="30" t="str">
        <f t="shared" si="2720"/>
        <v/>
      </c>
      <c r="DN209" s="30" t="str">
        <f t="shared" si="2721"/>
        <v/>
      </c>
      <c r="DO209" s="30" t="str">
        <f t="shared" si="2722"/>
        <v/>
      </c>
      <c r="DP209" s="30" t="str">
        <f t="shared" si="2723"/>
        <v/>
      </c>
      <c r="DQ209" s="30" t="str">
        <f t="shared" si="2724"/>
        <v/>
      </c>
      <c r="DR209" s="30" t="str">
        <f t="shared" si="2725"/>
        <v/>
      </c>
      <c r="DS209" s="30" t="str">
        <f t="shared" si="2726"/>
        <v/>
      </c>
      <c r="DT209" s="30" t="str">
        <f t="shared" si="2727"/>
        <v/>
      </c>
      <c r="DU209" s="30" t="str">
        <f t="shared" si="2728"/>
        <v/>
      </c>
      <c r="DV209" s="30" t="str">
        <f t="shared" si="2729"/>
        <v/>
      </c>
      <c r="DW209" s="30" t="str">
        <f t="shared" si="2730"/>
        <v/>
      </c>
      <c r="DX209" s="30" t="str">
        <f t="shared" si="2731"/>
        <v/>
      </c>
      <c r="DY209" s="30" t="str">
        <f t="shared" si="2732"/>
        <v/>
      </c>
      <c r="DZ209" s="30" t="str">
        <f t="shared" si="2733"/>
        <v/>
      </c>
      <c r="EA209" s="30" t="str">
        <f t="shared" si="2734"/>
        <v/>
      </c>
      <c r="EB209" s="30" t="str">
        <f t="shared" si="2735"/>
        <v/>
      </c>
      <c r="EC209" s="30" t="str">
        <f t="shared" si="2736"/>
        <v/>
      </c>
      <c r="ED209" s="30" t="str">
        <f t="shared" si="2737"/>
        <v/>
      </c>
      <c r="EE209" s="30" t="str">
        <f t="shared" si="2738"/>
        <v/>
      </c>
      <c r="EF209" s="30" t="str">
        <f t="shared" si="2739"/>
        <v/>
      </c>
      <c r="EG209" s="30" t="str">
        <f t="shared" si="2740"/>
        <v/>
      </c>
      <c r="EH209" s="30" t="str">
        <f t="shared" si="2741"/>
        <v/>
      </c>
      <c r="EI209" s="30" t="str">
        <f t="shared" si="2742"/>
        <v/>
      </c>
      <c r="EJ209" s="30" t="str">
        <f t="shared" si="2743"/>
        <v/>
      </c>
      <c r="EK209" s="30" t="str">
        <f t="shared" si="2744"/>
        <v/>
      </c>
      <c r="EL209" s="30" t="str">
        <f t="shared" si="2745"/>
        <v/>
      </c>
      <c r="EM209" s="30" t="str">
        <f t="shared" si="2746"/>
        <v/>
      </c>
      <c r="EN209" s="30" t="str">
        <f t="shared" si="2747"/>
        <v/>
      </c>
      <c r="EO209" s="30" t="str">
        <f t="shared" si="2748"/>
        <v/>
      </c>
      <c r="EP209" s="30" t="str">
        <f t="shared" si="2749"/>
        <v/>
      </c>
      <c r="EQ209" s="30" t="str">
        <f t="shared" si="2750"/>
        <v/>
      </c>
      <c r="ER209" s="30" t="str">
        <f t="shared" si="2751"/>
        <v/>
      </c>
      <c r="ES209" s="30" t="str">
        <f t="shared" si="2752"/>
        <v/>
      </c>
      <c r="ET209" s="30" t="str">
        <f t="shared" si="2753"/>
        <v/>
      </c>
      <c r="EU209" s="30" t="str">
        <f t="shared" si="2754"/>
        <v/>
      </c>
      <c r="EV209" s="30" t="str">
        <f t="shared" si="2755"/>
        <v/>
      </c>
      <c r="EW209" s="30" t="str">
        <f t="shared" si="2756"/>
        <v/>
      </c>
      <c r="EX209" s="30" t="str">
        <f t="shared" si="2757"/>
        <v/>
      </c>
      <c r="EY209" s="30" t="str">
        <f t="shared" si="2758"/>
        <v/>
      </c>
      <c r="EZ209" s="30" t="str">
        <f t="shared" si="2759"/>
        <v/>
      </c>
      <c r="FA209" s="30" t="str">
        <f t="shared" si="2760"/>
        <v/>
      </c>
      <c r="FB209" s="30" t="str">
        <f t="shared" si="2761"/>
        <v/>
      </c>
      <c r="FC209" s="30" t="str">
        <f t="shared" si="2762"/>
        <v/>
      </c>
      <c r="FD209" s="30" t="str">
        <f t="shared" si="2763"/>
        <v/>
      </c>
      <c r="FE209" s="30" t="str">
        <f t="shared" si="2764"/>
        <v/>
      </c>
      <c r="FF209" s="30" t="str">
        <f t="shared" si="2765"/>
        <v/>
      </c>
      <c r="FG209" s="30" t="str">
        <f t="shared" si="2766"/>
        <v/>
      </c>
      <c r="FH209" s="30" t="str">
        <f t="shared" si="2767"/>
        <v/>
      </c>
      <c r="FI209" s="30" t="str">
        <f t="shared" si="2768"/>
        <v/>
      </c>
      <c r="FJ209" s="30" t="str">
        <f t="shared" si="2769"/>
        <v/>
      </c>
      <c r="FK209" s="30" t="str">
        <f t="shared" si="2770"/>
        <v/>
      </c>
      <c r="FL209" s="30" t="str">
        <f t="shared" si="2771"/>
        <v/>
      </c>
      <c r="FM209" s="30" t="str">
        <f t="shared" si="2772"/>
        <v/>
      </c>
      <c r="FN209" s="30" t="str">
        <f t="shared" si="2773"/>
        <v/>
      </c>
      <c r="FO209" s="30" t="str">
        <f t="shared" si="2774"/>
        <v/>
      </c>
      <c r="FP209" s="30" t="str">
        <f t="shared" si="2775"/>
        <v/>
      </c>
      <c r="FQ209" s="30" t="str">
        <f t="shared" si="2776"/>
        <v/>
      </c>
      <c r="FR209" s="30" t="str">
        <f t="shared" si="2777"/>
        <v/>
      </c>
      <c r="FS209" s="30" t="str">
        <f t="shared" si="2778"/>
        <v/>
      </c>
    </row>
    <row r="210" spans="1:175" ht="16.5">
      <c r="A210" s="5"/>
      <c r="B210" s="6"/>
      <c r="C210" s="5"/>
      <c r="E210" s="35"/>
      <c r="T210" s="105"/>
      <c r="U210" s="32"/>
      <c r="CU210" s="45" t="str">
        <f t="shared" si="2708"/>
        <v>|n</v>
      </c>
      <c r="CW210" s="24"/>
      <c r="CX210" s="24"/>
      <c r="CY210" s="24"/>
      <c r="CZ210" s="24"/>
      <c r="DA210" s="24"/>
      <c r="DB210" s="30" t="str">
        <f t="shared" si="2709"/>
        <v/>
      </c>
      <c r="DC210" s="30" t="str">
        <f t="shared" si="2710"/>
        <v/>
      </c>
      <c r="DD210" s="30" t="str">
        <f t="shared" si="2711"/>
        <v/>
      </c>
      <c r="DE210" s="30" t="str">
        <f t="shared" si="2712"/>
        <v/>
      </c>
      <c r="DF210" s="30" t="str">
        <f t="shared" si="2713"/>
        <v/>
      </c>
      <c r="DG210" s="30" t="str">
        <f t="shared" si="2714"/>
        <v/>
      </c>
      <c r="DH210" s="30" t="str">
        <f t="shared" si="2715"/>
        <v/>
      </c>
      <c r="DI210" s="30" t="str">
        <f t="shared" si="2716"/>
        <v/>
      </c>
      <c r="DJ210" s="30" t="str">
        <f t="shared" si="2717"/>
        <v/>
      </c>
      <c r="DK210" s="30" t="str">
        <f t="shared" si="2718"/>
        <v/>
      </c>
      <c r="DL210" s="30" t="str">
        <f t="shared" si="2719"/>
        <v/>
      </c>
      <c r="DM210" s="30" t="str">
        <f t="shared" si="2720"/>
        <v/>
      </c>
      <c r="DN210" s="30" t="str">
        <f t="shared" si="2721"/>
        <v/>
      </c>
      <c r="DO210" s="30" t="str">
        <f t="shared" si="2722"/>
        <v/>
      </c>
      <c r="DP210" s="30" t="str">
        <f t="shared" si="2723"/>
        <v/>
      </c>
      <c r="DQ210" s="30" t="str">
        <f t="shared" si="2724"/>
        <v/>
      </c>
      <c r="DR210" s="30" t="str">
        <f t="shared" si="2725"/>
        <v/>
      </c>
      <c r="DS210" s="30" t="str">
        <f t="shared" si="2726"/>
        <v/>
      </c>
      <c r="DT210" s="30" t="str">
        <f t="shared" si="2727"/>
        <v/>
      </c>
      <c r="DU210" s="30" t="str">
        <f t="shared" si="2728"/>
        <v/>
      </c>
      <c r="DV210" s="30" t="str">
        <f t="shared" si="2729"/>
        <v/>
      </c>
      <c r="DW210" s="30" t="str">
        <f t="shared" si="2730"/>
        <v/>
      </c>
      <c r="DX210" s="30" t="str">
        <f t="shared" si="2731"/>
        <v/>
      </c>
      <c r="DY210" s="30" t="str">
        <f t="shared" si="2732"/>
        <v/>
      </c>
      <c r="DZ210" s="30" t="str">
        <f t="shared" si="2733"/>
        <v/>
      </c>
      <c r="EA210" s="30" t="str">
        <f t="shared" si="2734"/>
        <v/>
      </c>
      <c r="EB210" s="30" t="str">
        <f t="shared" si="2735"/>
        <v/>
      </c>
      <c r="EC210" s="30" t="str">
        <f t="shared" si="2736"/>
        <v/>
      </c>
      <c r="ED210" s="30" t="str">
        <f t="shared" si="2737"/>
        <v/>
      </c>
      <c r="EE210" s="30" t="str">
        <f t="shared" si="2738"/>
        <v/>
      </c>
      <c r="EF210" s="30" t="str">
        <f t="shared" si="2739"/>
        <v/>
      </c>
      <c r="EG210" s="30" t="str">
        <f t="shared" si="2740"/>
        <v/>
      </c>
      <c r="EH210" s="30" t="str">
        <f t="shared" si="2741"/>
        <v/>
      </c>
      <c r="EI210" s="30" t="str">
        <f t="shared" si="2742"/>
        <v/>
      </c>
      <c r="EJ210" s="30" t="str">
        <f t="shared" si="2743"/>
        <v/>
      </c>
      <c r="EK210" s="30" t="str">
        <f t="shared" si="2744"/>
        <v/>
      </c>
      <c r="EL210" s="30" t="str">
        <f t="shared" si="2745"/>
        <v/>
      </c>
      <c r="EM210" s="30" t="str">
        <f t="shared" si="2746"/>
        <v/>
      </c>
      <c r="EN210" s="30" t="str">
        <f t="shared" si="2747"/>
        <v/>
      </c>
      <c r="EO210" s="30" t="str">
        <f t="shared" si="2748"/>
        <v/>
      </c>
      <c r="EP210" s="30" t="str">
        <f t="shared" si="2749"/>
        <v/>
      </c>
      <c r="EQ210" s="30" t="str">
        <f t="shared" si="2750"/>
        <v/>
      </c>
      <c r="ER210" s="30" t="str">
        <f t="shared" si="2751"/>
        <v/>
      </c>
      <c r="ES210" s="30" t="str">
        <f t="shared" si="2752"/>
        <v/>
      </c>
      <c r="ET210" s="30" t="str">
        <f t="shared" si="2753"/>
        <v/>
      </c>
      <c r="EU210" s="30" t="str">
        <f t="shared" si="2754"/>
        <v/>
      </c>
      <c r="EV210" s="30" t="str">
        <f t="shared" si="2755"/>
        <v/>
      </c>
      <c r="EW210" s="30" t="str">
        <f t="shared" si="2756"/>
        <v/>
      </c>
      <c r="EX210" s="30" t="str">
        <f t="shared" si="2757"/>
        <v/>
      </c>
      <c r="EY210" s="30" t="str">
        <f t="shared" si="2758"/>
        <v/>
      </c>
      <c r="EZ210" s="30" t="str">
        <f t="shared" si="2759"/>
        <v/>
      </c>
      <c r="FA210" s="30" t="str">
        <f t="shared" si="2760"/>
        <v/>
      </c>
      <c r="FB210" s="30" t="str">
        <f t="shared" si="2761"/>
        <v/>
      </c>
      <c r="FC210" s="30" t="str">
        <f t="shared" si="2762"/>
        <v/>
      </c>
      <c r="FD210" s="30" t="str">
        <f t="shared" si="2763"/>
        <v/>
      </c>
      <c r="FE210" s="30" t="str">
        <f t="shared" si="2764"/>
        <v/>
      </c>
      <c r="FF210" s="30" t="str">
        <f t="shared" si="2765"/>
        <v/>
      </c>
      <c r="FG210" s="30" t="str">
        <f t="shared" si="2766"/>
        <v/>
      </c>
      <c r="FH210" s="30" t="str">
        <f t="shared" si="2767"/>
        <v/>
      </c>
      <c r="FI210" s="30" t="str">
        <f t="shared" si="2768"/>
        <v/>
      </c>
      <c r="FJ210" s="30" t="str">
        <f t="shared" si="2769"/>
        <v/>
      </c>
      <c r="FK210" s="30" t="str">
        <f t="shared" si="2770"/>
        <v/>
      </c>
      <c r="FL210" s="30" t="str">
        <f t="shared" si="2771"/>
        <v/>
      </c>
      <c r="FM210" s="30" t="str">
        <f t="shared" si="2772"/>
        <v/>
      </c>
      <c r="FN210" s="30" t="str">
        <f t="shared" si="2773"/>
        <v/>
      </c>
      <c r="FO210" s="30" t="str">
        <f t="shared" si="2774"/>
        <v/>
      </c>
      <c r="FP210" s="30" t="str">
        <f t="shared" si="2775"/>
        <v/>
      </c>
      <c r="FQ210" s="30" t="str">
        <f t="shared" si="2776"/>
        <v/>
      </c>
      <c r="FR210" s="30" t="str">
        <f t="shared" si="2777"/>
        <v/>
      </c>
      <c r="FS210" s="30" t="str">
        <f t="shared" si="2778"/>
        <v/>
      </c>
    </row>
    <row r="211" spans="1:175" ht="16.5">
      <c r="A211" s="5"/>
      <c r="B211" s="6"/>
      <c r="C211" s="5"/>
      <c r="E211" s="35"/>
      <c r="T211" s="105"/>
      <c r="U211" s="32"/>
      <c r="CU211" s="45" t="str">
        <f t="shared" si="2708"/>
        <v>|n</v>
      </c>
      <c r="CW211" s="24"/>
      <c r="CX211" s="24"/>
      <c r="CY211" s="24"/>
      <c r="CZ211" s="24"/>
      <c r="DA211" s="24"/>
      <c r="DB211" s="30" t="str">
        <f t="shared" si="2709"/>
        <v/>
      </c>
      <c r="DC211" s="30" t="str">
        <f t="shared" si="2710"/>
        <v/>
      </c>
      <c r="DD211" s="30" t="str">
        <f t="shared" si="2711"/>
        <v/>
      </c>
      <c r="DE211" s="30" t="str">
        <f t="shared" si="2712"/>
        <v/>
      </c>
      <c r="DF211" s="30" t="str">
        <f t="shared" si="2713"/>
        <v/>
      </c>
      <c r="DG211" s="30" t="str">
        <f t="shared" si="2714"/>
        <v/>
      </c>
      <c r="DH211" s="30" t="str">
        <f t="shared" si="2715"/>
        <v/>
      </c>
      <c r="DI211" s="30" t="str">
        <f t="shared" si="2716"/>
        <v/>
      </c>
      <c r="DJ211" s="30" t="str">
        <f t="shared" si="2717"/>
        <v/>
      </c>
      <c r="DK211" s="30" t="str">
        <f t="shared" si="2718"/>
        <v/>
      </c>
      <c r="DL211" s="30" t="str">
        <f t="shared" si="2719"/>
        <v/>
      </c>
      <c r="DM211" s="30" t="str">
        <f t="shared" si="2720"/>
        <v/>
      </c>
      <c r="DN211" s="30" t="str">
        <f t="shared" si="2721"/>
        <v/>
      </c>
      <c r="DO211" s="30" t="str">
        <f t="shared" si="2722"/>
        <v/>
      </c>
      <c r="DP211" s="30" t="str">
        <f t="shared" si="2723"/>
        <v/>
      </c>
      <c r="DQ211" s="30" t="str">
        <f t="shared" si="2724"/>
        <v/>
      </c>
      <c r="DR211" s="30" t="str">
        <f t="shared" si="2725"/>
        <v/>
      </c>
      <c r="DS211" s="30" t="str">
        <f t="shared" si="2726"/>
        <v/>
      </c>
      <c r="DT211" s="30" t="str">
        <f t="shared" si="2727"/>
        <v/>
      </c>
      <c r="DU211" s="30" t="str">
        <f t="shared" si="2728"/>
        <v/>
      </c>
      <c r="DV211" s="30" t="str">
        <f t="shared" si="2729"/>
        <v/>
      </c>
      <c r="DW211" s="30" t="str">
        <f t="shared" si="2730"/>
        <v/>
      </c>
      <c r="DX211" s="30" t="str">
        <f t="shared" si="2731"/>
        <v/>
      </c>
      <c r="DY211" s="30" t="str">
        <f t="shared" si="2732"/>
        <v/>
      </c>
      <c r="DZ211" s="30" t="str">
        <f t="shared" si="2733"/>
        <v/>
      </c>
      <c r="EA211" s="30" t="str">
        <f t="shared" si="2734"/>
        <v/>
      </c>
      <c r="EB211" s="30" t="str">
        <f t="shared" si="2735"/>
        <v/>
      </c>
      <c r="EC211" s="30" t="str">
        <f t="shared" si="2736"/>
        <v/>
      </c>
      <c r="ED211" s="30" t="str">
        <f t="shared" si="2737"/>
        <v/>
      </c>
      <c r="EE211" s="30" t="str">
        <f t="shared" si="2738"/>
        <v/>
      </c>
      <c r="EF211" s="30" t="str">
        <f t="shared" si="2739"/>
        <v/>
      </c>
      <c r="EG211" s="30" t="str">
        <f t="shared" si="2740"/>
        <v/>
      </c>
      <c r="EH211" s="30" t="str">
        <f t="shared" si="2741"/>
        <v/>
      </c>
      <c r="EI211" s="30" t="str">
        <f t="shared" si="2742"/>
        <v/>
      </c>
      <c r="EJ211" s="30" t="str">
        <f t="shared" si="2743"/>
        <v/>
      </c>
      <c r="EK211" s="30" t="str">
        <f t="shared" si="2744"/>
        <v/>
      </c>
      <c r="EL211" s="30" t="str">
        <f t="shared" si="2745"/>
        <v/>
      </c>
      <c r="EM211" s="30" t="str">
        <f t="shared" si="2746"/>
        <v/>
      </c>
      <c r="EN211" s="30" t="str">
        <f t="shared" si="2747"/>
        <v/>
      </c>
      <c r="EO211" s="30" t="str">
        <f t="shared" si="2748"/>
        <v/>
      </c>
      <c r="EP211" s="30" t="str">
        <f t="shared" si="2749"/>
        <v/>
      </c>
      <c r="EQ211" s="30" t="str">
        <f t="shared" si="2750"/>
        <v/>
      </c>
      <c r="ER211" s="30" t="str">
        <f t="shared" si="2751"/>
        <v/>
      </c>
      <c r="ES211" s="30" t="str">
        <f t="shared" si="2752"/>
        <v/>
      </c>
      <c r="ET211" s="30" t="str">
        <f t="shared" si="2753"/>
        <v/>
      </c>
      <c r="EU211" s="30" t="str">
        <f t="shared" si="2754"/>
        <v/>
      </c>
      <c r="EV211" s="30" t="str">
        <f t="shared" si="2755"/>
        <v/>
      </c>
      <c r="EW211" s="30" t="str">
        <f t="shared" si="2756"/>
        <v/>
      </c>
      <c r="EX211" s="30" t="str">
        <f t="shared" si="2757"/>
        <v/>
      </c>
      <c r="EY211" s="30" t="str">
        <f t="shared" si="2758"/>
        <v/>
      </c>
      <c r="EZ211" s="30" t="str">
        <f t="shared" si="2759"/>
        <v/>
      </c>
      <c r="FA211" s="30" t="str">
        <f t="shared" si="2760"/>
        <v/>
      </c>
      <c r="FB211" s="30" t="str">
        <f t="shared" si="2761"/>
        <v/>
      </c>
      <c r="FC211" s="30" t="str">
        <f t="shared" si="2762"/>
        <v/>
      </c>
      <c r="FD211" s="30" t="str">
        <f t="shared" si="2763"/>
        <v/>
      </c>
      <c r="FE211" s="30" t="str">
        <f t="shared" si="2764"/>
        <v/>
      </c>
      <c r="FF211" s="30" t="str">
        <f t="shared" si="2765"/>
        <v/>
      </c>
      <c r="FG211" s="30" t="str">
        <f t="shared" si="2766"/>
        <v/>
      </c>
      <c r="FH211" s="30" t="str">
        <f t="shared" si="2767"/>
        <v/>
      </c>
      <c r="FI211" s="30" t="str">
        <f t="shared" si="2768"/>
        <v/>
      </c>
      <c r="FJ211" s="30" t="str">
        <f t="shared" si="2769"/>
        <v/>
      </c>
      <c r="FK211" s="30" t="str">
        <f t="shared" si="2770"/>
        <v/>
      </c>
      <c r="FL211" s="30" t="str">
        <f t="shared" si="2771"/>
        <v/>
      </c>
      <c r="FM211" s="30" t="str">
        <f t="shared" si="2772"/>
        <v/>
      </c>
      <c r="FN211" s="30" t="str">
        <f t="shared" si="2773"/>
        <v/>
      </c>
      <c r="FO211" s="30" t="str">
        <f t="shared" si="2774"/>
        <v/>
      </c>
      <c r="FP211" s="30" t="str">
        <f t="shared" si="2775"/>
        <v/>
      </c>
      <c r="FQ211" s="30" t="str">
        <f t="shared" si="2776"/>
        <v/>
      </c>
      <c r="FR211" s="30" t="str">
        <f t="shared" si="2777"/>
        <v/>
      </c>
      <c r="FS211" s="30" t="str">
        <f t="shared" si="2778"/>
        <v/>
      </c>
    </row>
    <row r="212" spans="1:175" ht="16.5">
      <c r="A212" s="5"/>
      <c r="B212" s="6"/>
      <c r="C212" s="5"/>
      <c r="E212" s="35"/>
      <c r="T212" s="105"/>
      <c r="U212" s="32"/>
      <c r="CU212" s="45" t="str">
        <f t="shared" si="2708"/>
        <v>|n</v>
      </c>
      <c r="CW212" s="24"/>
      <c r="CX212" s="24"/>
      <c r="CY212" s="24"/>
      <c r="CZ212" s="24"/>
      <c r="DA212" s="24"/>
      <c r="DB212" s="30" t="str">
        <f t="shared" si="2709"/>
        <v/>
      </c>
      <c r="DC212" s="30" t="str">
        <f t="shared" si="2710"/>
        <v/>
      </c>
      <c r="DD212" s="30" t="str">
        <f t="shared" si="2711"/>
        <v/>
      </c>
      <c r="DE212" s="30" t="str">
        <f t="shared" si="2712"/>
        <v/>
      </c>
      <c r="DF212" s="30" t="str">
        <f t="shared" si="2713"/>
        <v/>
      </c>
      <c r="DG212" s="30" t="str">
        <f t="shared" si="2714"/>
        <v/>
      </c>
      <c r="DH212" s="30" t="str">
        <f t="shared" si="2715"/>
        <v/>
      </c>
      <c r="DI212" s="30" t="str">
        <f t="shared" si="2716"/>
        <v/>
      </c>
      <c r="DJ212" s="30" t="str">
        <f t="shared" si="2717"/>
        <v/>
      </c>
      <c r="DK212" s="30" t="str">
        <f t="shared" si="2718"/>
        <v/>
      </c>
      <c r="DL212" s="30" t="str">
        <f t="shared" si="2719"/>
        <v/>
      </c>
      <c r="DM212" s="30" t="str">
        <f t="shared" si="2720"/>
        <v/>
      </c>
      <c r="DN212" s="30" t="str">
        <f t="shared" si="2721"/>
        <v/>
      </c>
      <c r="DO212" s="30" t="str">
        <f t="shared" si="2722"/>
        <v/>
      </c>
      <c r="DP212" s="30" t="str">
        <f t="shared" si="2723"/>
        <v/>
      </c>
      <c r="DQ212" s="30" t="str">
        <f t="shared" si="2724"/>
        <v/>
      </c>
      <c r="DR212" s="30" t="str">
        <f t="shared" si="2725"/>
        <v/>
      </c>
      <c r="DS212" s="30" t="str">
        <f t="shared" si="2726"/>
        <v/>
      </c>
      <c r="DT212" s="30" t="str">
        <f t="shared" si="2727"/>
        <v/>
      </c>
      <c r="DU212" s="30" t="str">
        <f t="shared" si="2728"/>
        <v/>
      </c>
      <c r="DV212" s="30" t="str">
        <f t="shared" si="2729"/>
        <v/>
      </c>
      <c r="DW212" s="30" t="str">
        <f t="shared" si="2730"/>
        <v/>
      </c>
      <c r="DX212" s="30" t="str">
        <f t="shared" si="2731"/>
        <v/>
      </c>
      <c r="DY212" s="30" t="str">
        <f t="shared" si="2732"/>
        <v/>
      </c>
      <c r="DZ212" s="30" t="str">
        <f t="shared" si="2733"/>
        <v/>
      </c>
      <c r="EA212" s="30" t="str">
        <f t="shared" si="2734"/>
        <v/>
      </c>
      <c r="EB212" s="30" t="str">
        <f t="shared" si="2735"/>
        <v/>
      </c>
      <c r="EC212" s="30" t="str">
        <f t="shared" si="2736"/>
        <v/>
      </c>
      <c r="ED212" s="30" t="str">
        <f t="shared" si="2737"/>
        <v/>
      </c>
      <c r="EE212" s="30" t="str">
        <f t="shared" si="2738"/>
        <v/>
      </c>
      <c r="EF212" s="30" t="str">
        <f t="shared" si="2739"/>
        <v/>
      </c>
      <c r="EG212" s="30" t="str">
        <f t="shared" si="2740"/>
        <v/>
      </c>
      <c r="EH212" s="30" t="str">
        <f t="shared" si="2741"/>
        <v/>
      </c>
      <c r="EI212" s="30" t="str">
        <f t="shared" si="2742"/>
        <v/>
      </c>
      <c r="EJ212" s="30" t="str">
        <f t="shared" si="2743"/>
        <v/>
      </c>
      <c r="EK212" s="30" t="str">
        <f t="shared" si="2744"/>
        <v/>
      </c>
      <c r="EL212" s="30" t="str">
        <f t="shared" si="2745"/>
        <v/>
      </c>
      <c r="EM212" s="30" t="str">
        <f t="shared" si="2746"/>
        <v/>
      </c>
      <c r="EN212" s="30" t="str">
        <f t="shared" si="2747"/>
        <v/>
      </c>
      <c r="EO212" s="30" t="str">
        <f t="shared" si="2748"/>
        <v/>
      </c>
      <c r="EP212" s="30" t="str">
        <f t="shared" si="2749"/>
        <v/>
      </c>
      <c r="EQ212" s="30" t="str">
        <f t="shared" si="2750"/>
        <v/>
      </c>
      <c r="ER212" s="30" t="str">
        <f t="shared" si="2751"/>
        <v/>
      </c>
      <c r="ES212" s="30" t="str">
        <f t="shared" si="2752"/>
        <v/>
      </c>
      <c r="ET212" s="30" t="str">
        <f t="shared" si="2753"/>
        <v/>
      </c>
      <c r="EU212" s="30" t="str">
        <f t="shared" si="2754"/>
        <v/>
      </c>
      <c r="EV212" s="30" t="str">
        <f t="shared" si="2755"/>
        <v/>
      </c>
      <c r="EW212" s="30" t="str">
        <f t="shared" si="2756"/>
        <v/>
      </c>
      <c r="EX212" s="30" t="str">
        <f t="shared" si="2757"/>
        <v/>
      </c>
      <c r="EY212" s="30" t="str">
        <f t="shared" si="2758"/>
        <v/>
      </c>
      <c r="EZ212" s="30" t="str">
        <f t="shared" si="2759"/>
        <v/>
      </c>
      <c r="FA212" s="30" t="str">
        <f t="shared" si="2760"/>
        <v/>
      </c>
      <c r="FB212" s="30" t="str">
        <f t="shared" si="2761"/>
        <v/>
      </c>
      <c r="FC212" s="30" t="str">
        <f t="shared" si="2762"/>
        <v/>
      </c>
      <c r="FD212" s="30" t="str">
        <f t="shared" si="2763"/>
        <v/>
      </c>
      <c r="FE212" s="30" t="str">
        <f t="shared" si="2764"/>
        <v/>
      </c>
      <c r="FF212" s="30" t="str">
        <f t="shared" si="2765"/>
        <v/>
      </c>
      <c r="FG212" s="30" t="str">
        <f t="shared" si="2766"/>
        <v/>
      </c>
      <c r="FH212" s="30" t="str">
        <f t="shared" si="2767"/>
        <v/>
      </c>
      <c r="FI212" s="30" t="str">
        <f t="shared" si="2768"/>
        <v/>
      </c>
      <c r="FJ212" s="30" t="str">
        <f t="shared" si="2769"/>
        <v/>
      </c>
      <c r="FK212" s="30" t="str">
        <f t="shared" si="2770"/>
        <v/>
      </c>
      <c r="FL212" s="30" t="str">
        <f t="shared" si="2771"/>
        <v/>
      </c>
      <c r="FM212" s="30" t="str">
        <f t="shared" si="2772"/>
        <v/>
      </c>
      <c r="FN212" s="30" t="str">
        <f t="shared" si="2773"/>
        <v/>
      </c>
      <c r="FO212" s="30" t="str">
        <f t="shared" si="2774"/>
        <v/>
      </c>
      <c r="FP212" s="30" t="str">
        <f t="shared" si="2775"/>
        <v/>
      </c>
      <c r="FQ212" s="30" t="str">
        <f t="shared" si="2776"/>
        <v/>
      </c>
      <c r="FR212" s="30" t="str">
        <f t="shared" si="2777"/>
        <v/>
      </c>
      <c r="FS212" s="30" t="str">
        <f t="shared" si="2778"/>
        <v/>
      </c>
    </row>
    <row r="213" spans="1:175" ht="16.5">
      <c r="A213" s="5"/>
      <c r="B213" s="6"/>
      <c r="C213" s="5"/>
      <c r="E213" s="35"/>
      <c r="T213" s="105"/>
      <c r="U213" s="32"/>
      <c r="CU213" s="45" t="str">
        <f t="shared" si="2708"/>
        <v>|n</v>
      </c>
      <c r="CW213" s="24"/>
      <c r="CX213" s="24"/>
      <c r="CY213" s="24"/>
      <c r="CZ213" s="24"/>
      <c r="DA213" s="24"/>
      <c r="DB213" s="30" t="str">
        <f t="shared" si="2709"/>
        <v/>
      </c>
      <c r="DC213" s="30" t="str">
        <f t="shared" si="2710"/>
        <v/>
      </c>
      <c r="DD213" s="30" t="str">
        <f t="shared" si="2711"/>
        <v/>
      </c>
      <c r="DE213" s="30" t="str">
        <f t="shared" si="2712"/>
        <v/>
      </c>
      <c r="DF213" s="30" t="str">
        <f t="shared" si="2713"/>
        <v/>
      </c>
      <c r="DG213" s="30" t="str">
        <f t="shared" si="2714"/>
        <v/>
      </c>
      <c r="DH213" s="30" t="str">
        <f t="shared" si="2715"/>
        <v/>
      </c>
      <c r="DI213" s="30" t="str">
        <f t="shared" si="2716"/>
        <v/>
      </c>
      <c r="DJ213" s="30" t="str">
        <f t="shared" si="2717"/>
        <v/>
      </c>
      <c r="DK213" s="30" t="str">
        <f t="shared" si="2718"/>
        <v/>
      </c>
      <c r="DL213" s="30" t="str">
        <f t="shared" si="2719"/>
        <v/>
      </c>
      <c r="DM213" s="30" t="str">
        <f t="shared" si="2720"/>
        <v/>
      </c>
      <c r="DN213" s="30" t="str">
        <f t="shared" si="2721"/>
        <v/>
      </c>
      <c r="DO213" s="30" t="str">
        <f t="shared" si="2722"/>
        <v/>
      </c>
      <c r="DP213" s="30" t="str">
        <f t="shared" si="2723"/>
        <v/>
      </c>
      <c r="DQ213" s="30" t="str">
        <f t="shared" si="2724"/>
        <v/>
      </c>
      <c r="DR213" s="30" t="str">
        <f t="shared" si="2725"/>
        <v/>
      </c>
      <c r="DS213" s="30" t="str">
        <f t="shared" si="2726"/>
        <v/>
      </c>
      <c r="DT213" s="30" t="str">
        <f t="shared" si="2727"/>
        <v/>
      </c>
      <c r="DU213" s="30" t="str">
        <f t="shared" si="2728"/>
        <v/>
      </c>
      <c r="DV213" s="30" t="str">
        <f t="shared" si="2729"/>
        <v/>
      </c>
      <c r="DW213" s="30" t="str">
        <f t="shared" si="2730"/>
        <v/>
      </c>
      <c r="DX213" s="30" t="str">
        <f t="shared" si="2731"/>
        <v/>
      </c>
      <c r="DY213" s="30" t="str">
        <f t="shared" si="2732"/>
        <v/>
      </c>
      <c r="DZ213" s="30" t="str">
        <f t="shared" si="2733"/>
        <v/>
      </c>
      <c r="EA213" s="30" t="str">
        <f t="shared" si="2734"/>
        <v/>
      </c>
      <c r="EB213" s="30" t="str">
        <f t="shared" si="2735"/>
        <v/>
      </c>
      <c r="EC213" s="30" t="str">
        <f t="shared" si="2736"/>
        <v/>
      </c>
      <c r="ED213" s="30" t="str">
        <f t="shared" si="2737"/>
        <v/>
      </c>
      <c r="EE213" s="30" t="str">
        <f t="shared" si="2738"/>
        <v/>
      </c>
      <c r="EF213" s="30" t="str">
        <f t="shared" si="2739"/>
        <v/>
      </c>
      <c r="EG213" s="30" t="str">
        <f t="shared" si="2740"/>
        <v/>
      </c>
      <c r="EH213" s="30" t="str">
        <f t="shared" si="2741"/>
        <v/>
      </c>
      <c r="EI213" s="30" t="str">
        <f t="shared" si="2742"/>
        <v/>
      </c>
      <c r="EJ213" s="30" t="str">
        <f t="shared" si="2743"/>
        <v/>
      </c>
      <c r="EK213" s="30" t="str">
        <f t="shared" si="2744"/>
        <v/>
      </c>
      <c r="EL213" s="30" t="str">
        <f t="shared" si="2745"/>
        <v/>
      </c>
      <c r="EM213" s="30" t="str">
        <f t="shared" si="2746"/>
        <v/>
      </c>
      <c r="EN213" s="30" t="str">
        <f t="shared" si="2747"/>
        <v/>
      </c>
      <c r="EO213" s="30" t="str">
        <f t="shared" si="2748"/>
        <v/>
      </c>
      <c r="EP213" s="30" t="str">
        <f t="shared" si="2749"/>
        <v/>
      </c>
      <c r="EQ213" s="30" t="str">
        <f t="shared" si="2750"/>
        <v/>
      </c>
      <c r="ER213" s="30" t="str">
        <f t="shared" si="2751"/>
        <v/>
      </c>
      <c r="ES213" s="30" t="str">
        <f t="shared" si="2752"/>
        <v/>
      </c>
      <c r="ET213" s="30" t="str">
        <f t="shared" si="2753"/>
        <v/>
      </c>
      <c r="EU213" s="30" t="str">
        <f t="shared" si="2754"/>
        <v/>
      </c>
      <c r="EV213" s="30" t="str">
        <f t="shared" si="2755"/>
        <v/>
      </c>
      <c r="EW213" s="30" t="str">
        <f t="shared" si="2756"/>
        <v/>
      </c>
      <c r="EX213" s="30" t="str">
        <f t="shared" si="2757"/>
        <v/>
      </c>
      <c r="EY213" s="30" t="str">
        <f t="shared" si="2758"/>
        <v/>
      </c>
      <c r="EZ213" s="30" t="str">
        <f t="shared" si="2759"/>
        <v/>
      </c>
      <c r="FA213" s="30" t="str">
        <f t="shared" si="2760"/>
        <v/>
      </c>
      <c r="FB213" s="30" t="str">
        <f t="shared" si="2761"/>
        <v/>
      </c>
      <c r="FC213" s="30" t="str">
        <f t="shared" si="2762"/>
        <v/>
      </c>
      <c r="FD213" s="30" t="str">
        <f t="shared" si="2763"/>
        <v/>
      </c>
      <c r="FE213" s="30" t="str">
        <f t="shared" si="2764"/>
        <v/>
      </c>
      <c r="FF213" s="30" t="str">
        <f t="shared" si="2765"/>
        <v/>
      </c>
      <c r="FG213" s="30" t="str">
        <f t="shared" si="2766"/>
        <v/>
      </c>
      <c r="FH213" s="30" t="str">
        <f t="shared" si="2767"/>
        <v/>
      </c>
      <c r="FI213" s="30" t="str">
        <f t="shared" si="2768"/>
        <v/>
      </c>
      <c r="FJ213" s="30" t="str">
        <f t="shared" si="2769"/>
        <v/>
      </c>
      <c r="FK213" s="30" t="str">
        <f t="shared" si="2770"/>
        <v/>
      </c>
      <c r="FL213" s="30" t="str">
        <f t="shared" si="2771"/>
        <v/>
      </c>
      <c r="FM213" s="30" t="str">
        <f t="shared" si="2772"/>
        <v/>
      </c>
      <c r="FN213" s="30" t="str">
        <f t="shared" si="2773"/>
        <v/>
      </c>
      <c r="FO213" s="30" t="str">
        <f t="shared" si="2774"/>
        <v/>
      </c>
      <c r="FP213" s="30" t="str">
        <f t="shared" si="2775"/>
        <v/>
      </c>
      <c r="FQ213" s="30" t="str">
        <f t="shared" si="2776"/>
        <v/>
      </c>
      <c r="FR213" s="30" t="str">
        <f t="shared" si="2777"/>
        <v/>
      </c>
      <c r="FS213" s="30" t="str">
        <f t="shared" si="2778"/>
        <v/>
      </c>
    </row>
    <row r="214" spans="1:175" ht="16.5">
      <c r="A214" s="5"/>
      <c r="B214" s="6"/>
      <c r="C214" s="5"/>
      <c r="E214" s="35"/>
      <c r="T214" s="105"/>
      <c r="U214" s="32"/>
      <c r="CU214" s="45" t="str">
        <f t="shared" si="2708"/>
        <v>|n</v>
      </c>
      <c r="CW214" s="24"/>
      <c r="CX214" s="24"/>
      <c r="CY214" s="24"/>
      <c r="CZ214" s="24"/>
      <c r="DA214" s="24"/>
      <c r="DB214" s="30" t="str">
        <f t="shared" si="2709"/>
        <v/>
      </c>
      <c r="DC214" s="30" t="str">
        <f t="shared" si="2710"/>
        <v/>
      </c>
      <c r="DD214" s="30" t="str">
        <f t="shared" si="2711"/>
        <v/>
      </c>
      <c r="DE214" s="30" t="str">
        <f t="shared" si="2712"/>
        <v/>
      </c>
      <c r="DF214" s="30" t="str">
        <f t="shared" si="2713"/>
        <v/>
      </c>
      <c r="DG214" s="30" t="str">
        <f t="shared" si="2714"/>
        <v/>
      </c>
      <c r="DH214" s="30" t="str">
        <f t="shared" si="2715"/>
        <v/>
      </c>
      <c r="DI214" s="30" t="str">
        <f t="shared" si="2716"/>
        <v/>
      </c>
      <c r="DJ214" s="30" t="str">
        <f t="shared" si="2717"/>
        <v/>
      </c>
      <c r="DK214" s="30" t="str">
        <f t="shared" si="2718"/>
        <v/>
      </c>
      <c r="DL214" s="30" t="str">
        <f t="shared" si="2719"/>
        <v/>
      </c>
      <c r="DM214" s="30" t="str">
        <f t="shared" si="2720"/>
        <v/>
      </c>
      <c r="DN214" s="30" t="str">
        <f t="shared" si="2721"/>
        <v/>
      </c>
      <c r="DO214" s="30" t="str">
        <f t="shared" si="2722"/>
        <v/>
      </c>
      <c r="DP214" s="30" t="str">
        <f t="shared" si="2723"/>
        <v/>
      </c>
      <c r="DQ214" s="30" t="str">
        <f t="shared" si="2724"/>
        <v/>
      </c>
      <c r="DR214" s="30" t="str">
        <f t="shared" si="2725"/>
        <v/>
      </c>
      <c r="DS214" s="30" t="str">
        <f t="shared" si="2726"/>
        <v/>
      </c>
      <c r="DT214" s="30" t="str">
        <f t="shared" si="2727"/>
        <v/>
      </c>
      <c r="DU214" s="30" t="str">
        <f t="shared" si="2728"/>
        <v/>
      </c>
      <c r="DV214" s="30" t="str">
        <f t="shared" si="2729"/>
        <v/>
      </c>
      <c r="DW214" s="30" t="str">
        <f t="shared" si="2730"/>
        <v/>
      </c>
      <c r="DX214" s="30" t="str">
        <f t="shared" si="2731"/>
        <v/>
      </c>
      <c r="DY214" s="30" t="str">
        <f t="shared" si="2732"/>
        <v/>
      </c>
      <c r="DZ214" s="30" t="str">
        <f t="shared" si="2733"/>
        <v/>
      </c>
      <c r="EA214" s="30" t="str">
        <f t="shared" si="2734"/>
        <v/>
      </c>
      <c r="EB214" s="30" t="str">
        <f t="shared" si="2735"/>
        <v/>
      </c>
      <c r="EC214" s="30" t="str">
        <f t="shared" si="2736"/>
        <v/>
      </c>
      <c r="ED214" s="30" t="str">
        <f t="shared" si="2737"/>
        <v/>
      </c>
      <c r="EE214" s="30" t="str">
        <f t="shared" si="2738"/>
        <v/>
      </c>
      <c r="EF214" s="30" t="str">
        <f t="shared" si="2739"/>
        <v/>
      </c>
      <c r="EG214" s="30" t="str">
        <f t="shared" si="2740"/>
        <v/>
      </c>
      <c r="EH214" s="30" t="str">
        <f t="shared" si="2741"/>
        <v/>
      </c>
      <c r="EI214" s="30" t="str">
        <f t="shared" si="2742"/>
        <v/>
      </c>
      <c r="EJ214" s="30" t="str">
        <f t="shared" si="2743"/>
        <v/>
      </c>
      <c r="EK214" s="30" t="str">
        <f t="shared" si="2744"/>
        <v/>
      </c>
      <c r="EL214" s="30" t="str">
        <f t="shared" si="2745"/>
        <v/>
      </c>
      <c r="EM214" s="30" t="str">
        <f t="shared" si="2746"/>
        <v/>
      </c>
      <c r="EN214" s="30" t="str">
        <f t="shared" si="2747"/>
        <v/>
      </c>
      <c r="EO214" s="30" t="str">
        <f t="shared" si="2748"/>
        <v/>
      </c>
      <c r="EP214" s="30" t="str">
        <f t="shared" si="2749"/>
        <v/>
      </c>
      <c r="EQ214" s="30" t="str">
        <f t="shared" si="2750"/>
        <v/>
      </c>
      <c r="ER214" s="30" t="str">
        <f t="shared" si="2751"/>
        <v/>
      </c>
      <c r="ES214" s="30" t="str">
        <f t="shared" si="2752"/>
        <v/>
      </c>
      <c r="ET214" s="30" t="str">
        <f t="shared" si="2753"/>
        <v/>
      </c>
      <c r="EU214" s="30" t="str">
        <f t="shared" si="2754"/>
        <v/>
      </c>
      <c r="EV214" s="30" t="str">
        <f t="shared" si="2755"/>
        <v/>
      </c>
      <c r="EW214" s="30" t="str">
        <f t="shared" si="2756"/>
        <v/>
      </c>
      <c r="EX214" s="30" t="str">
        <f t="shared" si="2757"/>
        <v/>
      </c>
      <c r="EY214" s="30" t="str">
        <f t="shared" si="2758"/>
        <v/>
      </c>
      <c r="EZ214" s="30" t="str">
        <f t="shared" si="2759"/>
        <v/>
      </c>
      <c r="FA214" s="30" t="str">
        <f t="shared" si="2760"/>
        <v/>
      </c>
      <c r="FB214" s="30" t="str">
        <f t="shared" si="2761"/>
        <v/>
      </c>
      <c r="FC214" s="30" t="str">
        <f t="shared" si="2762"/>
        <v/>
      </c>
      <c r="FD214" s="30" t="str">
        <f t="shared" si="2763"/>
        <v/>
      </c>
      <c r="FE214" s="30" t="str">
        <f t="shared" si="2764"/>
        <v/>
      </c>
      <c r="FF214" s="30" t="str">
        <f t="shared" si="2765"/>
        <v/>
      </c>
      <c r="FG214" s="30" t="str">
        <f t="shared" si="2766"/>
        <v/>
      </c>
      <c r="FH214" s="30" t="str">
        <f t="shared" si="2767"/>
        <v/>
      </c>
      <c r="FI214" s="30" t="str">
        <f t="shared" si="2768"/>
        <v/>
      </c>
      <c r="FJ214" s="30" t="str">
        <f t="shared" si="2769"/>
        <v/>
      </c>
      <c r="FK214" s="30" t="str">
        <f t="shared" si="2770"/>
        <v/>
      </c>
      <c r="FL214" s="30" t="str">
        <f t="shared" si="2771"/>
        <v/>
      </c>
      <c r="FM214" s="30" t="str">
        <f t="shared" si="2772"/>
        <v/>
      </c>
      <c r="FN214" s="30" t="str">
        <f t="shared" si="2773"/>
        <v/>
      </c>
      <c r="FO214" s="30" t="str">
        <f t="shared" si="2774"/>
        <v/>
      </c>
      <c r="FP214" s="30" t="str">
        <f t="shared" si="2775"/>
        <v/>
      </c>
      <c r="FQ214" s="30" t="str">
        <f t="shared" si="2776"/>
        <v/>
      </c>
      <c r="FR214" s="30" t="str">
        <f t="shared" si="2777"/>
        <v/>
      </c>
      <c r="FS214" s="30" t="str">
        <f t="shared" si="2778"/>
        <v/>
      </c>
    </row>
    <row r="215" spans="1:175" ht="16.5">
      <c r="A215" s="5"/>
      <c r="B215" s="6"/>
      <c r="C215" s="5"/>
      <c r="E215" s="35"/>
      <c r="T215" s="105"/>
      <c r="U215" s="32"/>
      <c r="CU215" s="45" t="str">
        <f t="shared" si="2708"/>
        <v>|n</v>
      </c>
      <c r="CW215" s="24"/>
      <c r="CX215" s="24"/>
      <c r="CY215" s="24"/>
      <c r="CZ215" s="24"/>
      <c r="DA215" s="24"/>
      <c r="DB215" s="30" t="str">
        <f t="shared" si="2709"/>
        <v/>
      </c>
      <c r="DC215" s="30" t="str">
        <f t="shared" si="2710"/>
        <v/>
      </c>
      <c r="DD215" s="30" t="str">
        <f t="shared" si="2711"/>
        <v/>
      </c>
      <c r="DE215" s="30" t="str">
        <f t="shared" si="2712"/>
        <v/>
      </c>
      <c r="DF215" s="30" t="str">
        <f t="shared" si="2713"/>
        <v/>
      </c>
      <c r="DG215" s="30" t="str">
        <f t="shared" si="2714"/>
        <v/>
      </c>
      <c r="DH215" s="30" t="str">
        <f t="shared" si="2715"/>
        <v/>
      </c>
      <c r="DI215" s="30" t="str">
        <f t="shared" si="2716"/>
        <v/>
      </c>
      <c r="DJ215" s="30" t="str">
        <f t="shared" si="2717"/>
        <v/>
      </c>
      <c r="DK215" s="30" t="str">
        <f t="shared" si="2718"/>
        <v/>
      </c>
      <c r="DL215" s="30" t="str">
        <f t="shared" si="2719"/>
        <v/>
      </c>
      <c r="DM215" s="30" t="str">
        <f t="shared" si="2720"/>
        <v/>
      </c>
      <c r="DN215" s="30" t="str">
        <f t="shared" si="2721"/>
        <v/>
      </c>
      <c r="DO215" s="30" t="str">
        <f t="shared" si="2722"/>
        <v/>
      </c>
      <c r="DP215" s="30" t="str">
        <f t="shared" si="2723"/>
        <v/>
      </c>
      <c r="DQ215" s="30" t="str">
        <f t="shared" si="2724"/>
        <v/>
      </c>
      <c r="DR215" s="30" t="str">
        <f t="shared" si="2725"/>
        <v/>
      </c>
      <c r="DS215" s="30" t="str">
        <f t="shared" si="2726"/>
        <v/>
      </c>
      <c r="DT215" s="30" t="str">
        <f t="shared" si="2727"/>
        <v/>
      </c>
      <c r="DU215" s="30" t="str">
        <f t="shared" si="2728"/>
        <v/>
      </c>
      <c r="DV215" s="30" t="str">
        <f t="shared" si="2729"/>
        <v/>
      </c>
      <c r="DW215" s="30" t="str">
        <f t="shared" si="2730"/>
        <v/>
      </c>
      <c r="DX215" s="30" t="str">
        <f t="shared" si="2731"/>
        <v/>
      </c>
      <c r="DY215" s="30" t="str">
        <f t="shared" si="2732"/>
        <v/>
      </c>
      <c r="DZ215" s="30" t="str">
        <f t="shared" si="2733"/>
        <v/>
      </c>
      <c r="EA215" s="30" t="str">
        <f t="shared" si="2734"/>
        <v/>
      </c>
      <c r="EB215" s="30" t="str">
        <f t="shared" si="2735"/>
        <v/>
      </c>
      <c r="EC215" s="30" t="str">
        <f t="shared" si="2736"/>
        <v/>
      </c>
      <c r="ED215" s="30" t="str">
        <f t="shared" si="2737"/>
        <v/>
      </c>
      <c r="EE215" s="30" t="str">
        <f t="shared" si="2738"/>
        <v/>
      </c>
      <c r="EF215" s="30" t="str">
        <f t="shared" si="2739"/>
        <v/>
      </c>
      <c r="EG215" s="30" t="str">
        <f t="shared" si="2740"/>
        <v/>
      </c>
      <c r="EH215" s="30" t="str">
        <f t="shared" si="2741"/>
        <v/>
      </c>
      <c r="EI215" s="30" t="str">
        <f t="shared" si="2742"/>
        <v/>
      </c>
      <c r="EJ215" s="30" t="str">
        <f t="shared" si="2743"/>
        <v/>
      </c>
      <c r="EK215" s="30" t="str">
        <f t="shared" si="2744"/>
        <v/>
      </c>
      <c r="EL215" s="30" t="str">
        <f t="shared" si="2745"/>
        <v/>
      </c>
      <c r="EM215" s="30" t="str">
        <f t="shared" si="2746"/>
        <v/>
      </c>
      <c r="EN215" s="30" t="str">
        <f t="shared" si="2747"/>
        <v/>
      </c>
      <c r="EO215" s="30" t="str">
        <f t="shared" si="2748"/>
        <v/>
      </c>
      <c r="EP215" s="30" t="str">
        <f t="shared" si="2749"/>
        <v/>
      </c>
      <c r="EQ215" s="30" t="str">
        <f t="shared" si="2750"/>
        <v/>
      </c>
      <c r="ER215" s="30" t="str">
        <f t="shared" si="2751"/>
        <v/>
      </c>
      <c r="ES215" s="30" t="str">
        <f t="shared" si="2752"/>
        <v/>
      </c>
      <c r="ET215" s="30" t="str">
        <f t="shared" si="2753"/>
        <v/>
      </c>
      <c r="EU215" s="30" t="str">
        <f t="shared" si="2754"/>
        <v/>
      </c>
      <c r="EV215" s="30" t="str">
        <f t="shared" si="2755"/>
        <v/>
      </c>
      <c r="EW215" s="30" t="str">
        <f t="shared" si="2756"/>
        <v/>
      </c>
      <c r="EX215" s="30" t="str">
        <f t="shared" si="2757"/>
        <v/>
      </c>
      <c r="EY215" s="30" t="str">
        <f t="shared" si="2758"/>
        <v/>
      </c>
      <c r="EZ215" s="30" t="str">
        <f t="shared" si="2759"/>
        <v/>
      </c>
      <c r="FA215" s="30" t="str">
        <f t="shared" si="2760"/>
        <v/>
      </c>
      <c r="FB215" s="30" t="str">
        <f t="shared" si="2761"/>
        <v/>
      </c>
      <c r="FC215" s="30" t="str">
        <f t="shared" si="2762"/>
        <v/>
      </c>
      <c r="FD215" s="30" t="str">
        <f t="shared" si="2763"/>
        <v/>
      </c>
      <c r="FE215" s="30" t="str">
        <f t="shared" si="2764"/>
        <v/>
      </c>
      <c r="FF215" s="30" t="str">
        <f t="shared" si="2765"/>
        <v/>
      </c>
      <c r="FG215" s="30" t="str">
        <f t="shared" si="2766"/>
        <v/>
      </c>
      <c r="FH215" s="30" t="str">
        <f t="shared" si="2767"/>
        <v/>
      </c>
      <c r="FI215" s="30" t="str">
        <f t="shared" si="2768"/>
        <v/>
      </c>
      <c r="FJ215" s="30" t="str">
        <f t="shared" si="2769"/>
        <v/>
      </c>
      <c r="FK215" s="30" t="str">
        <f t="shared" si="2770"/>
        <v/>
      </c>
      <c r="FL215" s="30" t="str">
        <f t="shared" si="2771"/>
        <v/>
      </c>
      <c r="FM215" s="30" t="str">
        <f t="shared" si="2772"/>
        <v/>
      </c>
      <c r="FN215" s="30" t="str">
        <f t="shared" si="2773"/>
        <v/>
      </c>
      <c r="FO215" s="30" t="str">
        <f t="shared" si="2774"/>
        <v/>
      </c>
      <c r="FP215" s="30" t="str">
        <f t="shared" si="2775"/>
        <v/>
      </c>
      <c r="FQ215" s="30" t="str">
        <f t="shared" si="2776"/>
        <v/>
      </c>
      <c r="FR215" s="30" t="str">
        <f t="shared" si="2777"/>
        <v/>
      </c>
      <c r="FS215" s="30" t="str">
        <f t="shared" si="2778"/>
        <v/>
      </c>
    </row>
    <row r="216" spans="1:175" ht="16.5">
      <c r="A216" s="5"/>
      <c r="B216" s="6"/>
      <c r="C216" s="5"/>
      <c r="E216" s="35"/>
      <c r="T216" s="105"/>
      <c r="U216" s="32"/>
      <c r="CU216" s="45" t="str">
        <f t="shared" si="2708"/>
        <v>|n</v>
      </c>
      <c r="CW216" s="24"/>
      <c r="CX216" s="24"/>
      <c r="CY216" s="24"/>
      <c r="CZ216" s="24"/>
      <c r="DA216" s="24"/>
      <c r="DB216" s="30" t="str">
        <f t="shared" si="2709"/>
        <v/>
      </c>
      <c r="DC216" s="30" t="str">
        <f t="shared" si="2710"/>
        <v/>
      </c>
      <c r="DD216" s="30" t="str">
        <f t="shared" si="2711"/>
        <v/>
      </c>
      <c r="DE216" s="30" t="str">
        <f t="shared" si="2712"/>
        <v/>
      </c>
      <c r="DF216" s="30" t="str">
        <f t="shared" si="2713"/>
        <v/>
      </c>
      <c r="DG216" s="30" t="str">
        <f t="shared" si="2714"/>
        <v/>
      </c>
      <c r="DH216" s="30" t="str">
        <f t="shared" si="2715"/>
        <v/>
      </c>
      <c r="DI216" s="30" t="str">
        <f t="shared" si="2716"/>
        <v/>
      </c>
      <c r="DJ216" s="30" t="str">
        <f t="shared" si="2717"/>
        <v/>
      </c>
      <c r="DK216" s="30" t="str">
        <f t="shared" si="2718"/>
        <v/>
      </c>
      <c r="DL216" s="30" t="str">
        <f t="shared" si="2719"/>
        <v/>
      </c>
      <c r="DM216" s="30" t="str">
        <f t="shared" si="2720"/>
        <v/>
      </c>
      <c r="DN216" s="30" t="str">
        <f t="shared" si="2721"/>
        <v/>
      </c>
      <c r="DO216" s="30" t="str">
        <f t="shared" si="2722"/>
        <v/>
      </c>
      <c r="DP216" s="30" t="str">
        <f t="shared" si="2723"/>
        <v/>
      </c>
      <c r="DQ216" s="30" t="str">
        <f t="shared" si="2724"/>
        <v/>
      </c>
      <c r="DR216" s="30" t="str">
        <f t="shared" si="2725"/>
        <v/>
      </c>
      <c r="DS216" s="30" t="str">
        <f t="shared" si="2726"/>
        <v/>
      </c>
      <c r="DT216" s="30" t="str">
        <f t="shared" si="2727"/>
        <v/>
      </c>
      <c r="DU216" s="30" t="str">
        <f t="shared" si="2728"/>
        <v/>
      </c>
      <c r="DV216" s="30" t="str">
        <f t="shared" si="2729"/>
        <v/>
      </c>
      <c r="DW216" s="30" t="str">
        <f t="shared" si="2730"/>
        <v/>
      </c>
      <c r="DX216" s="30" t="str">
        <f t="shared" si="2731"/>
        <v/>
      </c>
      <c r="DY216" s="30" t="str">
        <f t="shared" si="2732"/>
        <v/>
      </c>
      <c r="DZ216" s="30" t="str">
        <f t="shared" si="2733"/>
        <v/>
      </c>
      <c r="EA216" s="30" t="str">
        <f t="shared" si="2734"/>
        <v/>
      </c>
      <c r="EB216" s="30" t="str">
        <f t="shared" si="2735"/>
        <v/>
      </c>
      <c r="EC216" s="30" t="str">
        <f t="shared" si="2736"/>
        <v/>
      </c>
      <c r="ED216" s="30" t="str">
        <f t="shared" si="2737"/>
        <v/>
      </c>
      <c r="EE216" s="30" t="str">
        <f t="shared" si="2738"/>
        <v/>
      </c>
      <c r="EF216" s="30" t="str">
        <f t="shared" si="2739"/>
        <v/>
      </c>
      <c r="EG216" s="30" t="str">
        <f t="shared" si="2740"/>
        <v/>
      </c>
      <c r="EH216" s="30" t="str">
        <f t="shared" si="2741"/>
        <v/>
      </c>
      <c r="EI216" s="30" t="str">
        <f t="shared" si="2742"/>
        <v/>
      </c>
      <c r="EJ216" s="30" t="str">
        <f t="shared" si="2743"/>
        <v/>
      </c>
      <c r="EK216" s="30" t="str">
        <f t="shared" si="2744"/>
        <v/>
      </c>
      <c r="EL216" s="30" t="str">
        <f t="shared" si="2745"/>
        <v/>
      </c>
      <c r="EM216" s="30" t="str">
        <f t="shared" si="2746"/>
        <v/>
      </c>
      <c r="EN216" s="30" t="str">
        <f t="shared" si="2747"/>
        <v/>
      </c>
      <c r="EO216" s="30" t="str">
        <f t="shared" si="2748"/>
        <v/>
      </c>
      <c r="EP216" s="30" t="str">
        <f t="shared" si="2749"/>
        <v/>
      </c>
      <c r="EQ216" s="30" t="str">
        <f t="shared" si="2750"/>
        <v/>
      </c>
      <c r="ER216" s="30" t="str">
        <f t="shared" si="2751"/>
        <v/>
      </c>
      <c r="ES216" s="30" t="str">
        <f t="shared" si="2752"/>
        <v/>
      </c>
      <c r="ET216" s="30" t="str">
        <f t="shared" si="2753"/>
        <v/>
      </c>
      <c r="EU216" s="30" t="str">
        <f t="shared" si="2754"/>
        <v/>
      </c>
      <c r="EV216" s="30" t="str">
        <f t="shared" si="2755"/>
        <v/>
      </c>
      <c r="EW216" s="30" t="str">
        <f t="shared" si="2756"/>
        <v/>
      </c>
      <c r="EX216" s="30" t="str">
        <f t="shared" si="2757"/>
        <v/>
      </c>
      <c r="EY216" s="30" t="str">
        <f t="shared" si="2758"/>
        <v/>
      </c>
      <c r="EZ216" s="30" t="str">
        <f t="shared" si="2759"/>
        <v/>
      </c>
      <c r="FA216" s="30" t="str">
        <f t="shared" si="2760"/>
        <v/>
      </c>
      <c r="FB216" s="30" t="str">
        <f t="shared" si="2761"/>
        <v/>
      </c>
      <c r="FC216" s="30" t="str">
        <f t="shared" si="2762"/>
        <v/>
      </c>
      <c r="FD216" s="30" t="str">
        <f t="shared" si="2763"/>
        <v/>
      </c>
      <c r="FE216" s="30" t="str">
        <f t="shared" si="2764"/>
        <v/>
      </c>
      <c r="FF216" s="30" t="str">
        <f t="shared" si="2765"/>
        <v/>
      </c>
      <c r="FG216" s="30" t="str">
        <f t="shared" si="2766"/>
        <v/>
      </c>
      <c r="FH216" s="30" t="str">
        <f t="shared" si="2767"/>
        <v/>
      </c>
      <c r="FI216" s="30" t="str">
        <f t="shared" si="2768"/>
        <v/>
      </c>
      <c r="FJ216" s="30" t="str">
        <f t="shared" si="2769"/>
        <v/>
      </c>
      <c r="FK216" s="30" t="str">
        <f t="shared" si="2770"/>
        <v/>
      </c>
      <c r="FL216" s="30" t="str">
        <f t="shared" si="2771"/>
        <v/>
      </c>
      <c r="FM216" s="30" t="str">
        <f t="shared" si="2772"/>
        <v/>
      </c>
      <c r="FN216" s="30" t="str">
        <f t="shared" si="2773"/>
        <v/>
      </c>
      <c r="FO216" s="30" t="str">
        <f t="shared" si="2774"/>
        <v/>
      </c>
      <c r="FP216" s="30" t="str">
        <f t="shared" si="2775"/>
        <v/>
      </c>
      <c r="FQ216" s="30" t="str">
        <f t="shared" si="2776"/>
        <v/>
      </c>
      <c r="FR216" s="30" t="str">
        <f t="shared" si="2777"/>
        <v/>
      </c>
      <c r="FS216" s="30" t="str">
        <f t="shared" si="2778"/>
        <v/>
      </c>
    </row>
    <row r="217" spans="1:175" ht="16.5">
      <c r="A217" s="5"/>
      <c r="B217" s="6"/>
      <c r="C217" s="5"/>
      <c r="E217" s="35"/>
      <c r="T217" s="105"/>
      <c r="U217" s="32"/>
      <c r="CU217" s="45" t="str">
        <f t="shared" si="2708"/>
        <v>|n</v>
      </c>
      <c r="CW217" s="24"/>
      <c r="CX217" s="24"/>
      <c r="CY217" s="24"/>
      <c r="CZ217" s="24"/>
      <c r="DA217" s="24"/>
      <c r="DB217" s="30" t="str">
        <f t="shared" si="2709"/>
        <v/>
      </c>
      <c r="DC217" s="30" t="str">
        <f t="shared" si="2710"/>
        <v/>
      </c>
      <c r="DD217" s="30" t="str">
        <f t="shared" si="2711"/>
        <v/>
      </c>
      <c r="DE217" s="30" t="str">
        <f t="shared" si="2712"/>
        <v/>
      </c>
      <c r="DF217" s="30" t="str">
        <f t="shared" si="2713"/>
        <v/>
      </c>
      <c r="DG217" s="30" t="str">
        <f t="shared" si="2714"/>
        <v/>
      </c>
      <c r="DH217" s="30" t="str">
        <f t="shared" si="2715"/>
        <v/>
      </c>
      <c r="DI217" s="30" t="str">
        <f t="shared" si="2716"/>
        <v/>
      </c>
      <c r="DJ217" s="30" t="str">
        <f t="shared" si="2717"/>
        <v/>
      </c>
      <c r="DK217" s="30" t="str">
        <f t="shared" si="2718"/>
        <v/>
      </c>
      <c r="DL217" s="30" t="str">
        <f t="shared" si="2719"/>
        <v/>
      </c>
      <c r="DM217" s="30" t="str">
        <f t="shared" si="2720"/>
        <v/>
      </c>
      <c r="DN217" s="30" t="str">
        <f t="shared" si="2721"/>
        <v/>
      </c>
      <c r="DO217" s="30" t="str">
        <f t="shared" si="2722"/>
        <v/>
      </c>
      <c r="DP217" s="30" t="str">
        <f t="shared" si="2723"/>
        <v/>
      </c>
      <c r="DQ217" s="30" t="str">
        <f t="shared" si="2724"/>
        <v/>
      </c>
      <c r="DR217" s="30" t="str">
        <f t="shared" si="2725"/>
        <v/>
      </c>
      <c r="DS217" s="30" t="str">
        <f t="shared" si="2726"/>
        <v/>
      </c>
      <c r="DT217" s="30" t="str">
        <f t="shared" si="2727"/>
        <v/>
      </c>
      <c r="DU217" s="30" t="str">
        <f t="shared" si="2728"/>
        <v/>
      </c>
      <c r="DV217" s="30" t="str">
        <f t="shared" si="2729"/>
        <v/>
      </c>
      <c r="DW217" s="30" t="str">
        <f t="shared" si="2730"/>
        <v/>
      </c>
      <c r="DX217" s="30" t="str">
        <f t="shared" si="2731"/>
        <v/>
      </c>
      <c r="DY217" s="30" t="str">
        <f t="shared" si="2732"/>
        <v/>
      </c>
      <c r="DZ217" s="30" t="str">
        <f t="shared" si="2733"/>
        <v/>
      </c>
      <c r="EA217" s="30" t="str">
        <f t="shared" si="2734"/>
        <v/>
      </c>
      <c r="EB217" s="30" t="str">
        <f t="shared" si="2735"/>
        <v/>
      </c>
      <c r="EC217" s="30" t="str">
        <f t="shared" si="2736"/>
        <v/>
      </c>
      <c r="ED217" s="30" t="str">
        <f t="shared" si="2737"/>
        <v/>
      </c>
      <c r="EE217" s="30" t="str">
        <f t="shared" si="2738"/>
        <v/>
      </c>
      <c r="EF217" s="30" t="str">
        <f t="shared" si="2739"/>
        <v/>
      </c>
      <c r="EG217" s="30" t="str">
        <f t="shared" si="2740"/>
        <v/>
      </c>
      <c r="EH217" s="30" t="str">
        <f t="shared" si="2741"/>
        <v/>
      </c>
      <c r="EI217" s="30" t="str">
        <f t="shared" si="2742"/>
        <v/>
      </c>
      <c r="EJ217" s="30" t="str">
        <f t="shared" si="2743"/>
        <v/>
      </c>
      <c r="EK217" s="30" t="str">
        <f t="shared" si="2744"/>
        <v/>
      </c>
      <c r="EL217" s="30" t="str">
        <f t="shared" si="2745"/>
        <v/>
      </c>
      <c r="EM217" s="30" t="str">
        <f t="shared" si="2746"/>
        <v/>
      </c>
      <c r="EN217" s="30" t="str">
        <f t="shared" si="2747"/>
        <v/>
      </c>
      <c r="EO217" s="30" t="str">
        <f t="shared" si="2748"/>
        <v/>
      </c>
      <c r="EP217" s="30" t="str">
        <f t="shared" si="2749"/>
        <v/>
      </c>
      <c r="EQ217" s="30" t="str">
        <f t="shared" si="2750"/>
        <v/>
      </c>
      <c r="ER217" s="30" t="str">
        <f t="shared" si="2751"/>
        <v/>
      </c>
      <c r="ES217" s="30" t="str">
        <f t="shared" si="2752"/>
        <v/>
      </c>
      <c r="ET217" s="30" t="str">
        <f t="shared" si="2753"/>
        <v/>
      </c>
      <c r="EU217" s="30" t="str">
        <f t="shared" si="2754"/>
        <v/>
      </c>
      <c r="EV217" s="30" t="str">
        <f t="shared" si="2755"/>
        <v/>
      </c>
      <c r="EW217" s="30" t="str">
        <f t="shared" si="2756"/>
        <v/>
      </c>
      <c r="EX217" s="30" t="str">
        <f t="shared" si="2757"/>
        <v/>
      </c>
      <c r="EY217" s="30" t="str">
        <f t="shared" si="2758"/>
        <v/>
      </c>
      <c r="EZ217" s="30" t="str">
        <f t="shared" si="2759"/>
        <v/>
      </c>
      <c r="FA217" s="30" t="str">
        <f t="shared" si="2760"/>
        <v/>
      </c>
      <c r="FB217" s="30" t="str">
        <f t="shared" si="2761"/>
        <v/>
      </c>
      <c r="FC217" s="30" t="str">
        <f t="shared" si="2762"/>
        <v/>
      </c>
      <c r="FD217" s="30" t="str">
        <f t="shared" si="2763"/>
        <v/>
      </c>
      <c r="FE217" s="30" t="str">
        <f t="shared" si="2764"/>
        <v/>
      </c>
      <c r="FF217" s="30" t="str">
        <f t="shared" si="2765"/>
        <v/>
      </c>
      <c r="FG217" s="30" t="str">
        <f t="shared" si="2766"/>
        <v/>
      </c>
      <c r="FH217" s="30" t="str">
        <f t="shared" si="2767"/>
        <v/>
      </c>
      <c r="FI217" s="30" t="str">
        <f t="shared" si="2768"/>
        <v/>
      </c>
      <c r="FJ217" s="30" t="str">
        <f t="shared" si="2769"/>
        <v/>
      </c>
      <c r="FK217" s="30" t="str">
        <f t="shared" si="2770"/>
        <v/>
      </c>
      <c r="FL217" s="30" t="str">
        <f t="shared" si="2771"/>
        <v/>
      </c>
      <c r="FM217" s="30" t="str">
        <f t="shared" si="2772"/>
        <v/>
      </c>
      <c r="FN217" s="30" t="str">
        <f t="shared" si="2773"/>
        <v/>
      </c>
      <c r="FO217" s="30" t="str">
        <f t="shared" si="2774"/>
        <v/>
      </c>
      <c r="FP217" s="30" t="str">
        <f t="shared" si="2775"/>
        <v/>
      </c>
      <c r="FQ217" s="30" t="str">
        <f t="shared" si="2776"/>
        <v/>
      </c>
      <c r="FR217" s="30" t="str">
        <f t="shared" si="2777"/>
        <v/>
      </c>
      <c r="FS217" s="30" t="str">
        <f t="shared" si="2778"/>
        <v/>
      </c>
    </row>
    <row r="218" spans="1:175" ht="16.5">
      <c r="A218" s="5"/>
      <c r="B218" s="6"/>
      <c r="C218" s="5"/>
      <c r="E218" s="35"/>
      <c r="T218" s="105"/>
      <c r="U218" s="32"/>
      <c r="CU218" s="45" t="str">
        <f t="shared" si="2708"/>
        <v>|n</v>
      </c>
      <c r="CW218" s="24"/>
      <c r="CX218" s="24"/>
      <c r="CY218" s="24"/>
      <c r="CZ218" s="24"/>
      <c r="DA218" s="24"/>
      <c r="DB218" s="30" t="str">
        <f t="shared" si="2709"/>
        <v/>
      </c>
      <c r="DC218" s="30" t="str">
        <f t="shared" si="2710"/>
        <v/>
      </c>
      <c r="DD218" s="30" t="str">
        <f t="shared" si="2711"/>
        <v/>
      </c>
      <c r="DE218" s="30" t="str">
        <f t="shared" si="2712"/>
        <v/>
      </c>
      <c r="DF218" s="30" t="str">
        <f t="shared" si="2713"/>
        <v/>
      </c>
      <c r="DG218" s="30" t="str">
        <f t="shared" si="2714"/>
        <v/>
      </c>
      <c r="DH218" s="30" t="str">
        <f t="shared" si="2715"/>
        <v/>
      </c>
      <c r="DI218" s="30" t="str">
        <f t="shared" si="2716"/>
        <v/>
      </c>
      <c r="DJ218" s="30" t="str">
        <f t="shared" si="2717"/>
        <v/>
      </c>
      <c r="DK218" s="30" t="str">
        <f t="shared" si="2718"/>
        <v/>
      </c>
      <c r="DL218" s="30" t="str">
        <f t="shared" si="2719"/>
        <v/>
      </c>
      <c r="DM218" s="30" t="str">
        <f t="shared" si="2720"/>
        <v/>
      </c>
      <c r="DN218" s="30" t="str">
        <f t="shared" si="2721"/>
        <v/>
      </c>
      <c r="DO218" s="30" t="str">
        <f t="shared" si="2722"/>
        <v/>
      </c>
      <c r="DP218" s="30" t="str">
        <f t="shared" si="2723"/>
        <v/>
      </c>
      <c r="DQ218" s="30" t="str">
        <f t="shared" si="2724"/>
        <v/>
      </c>
      <c r="DR218" s="30" t="str">
        <f t="shared" si="2725"/>
        <v/>
      </c>
      <c r="DS218" s="30" t="str">
        <f t="shared" si="2726"/>
        <v/>
      </c>
      <c r="DT218" s="30" t="str">
        <f t="shared" si="2727"/>
        <v/>
      </c>
      <c r="DU218" s="30" t="str">
        <f t="shared" si="2728"/>
        <v/>
      </c>
      <c r="DV218" s="30" t="str">
        <f t="shared" si="2729"/>
        <v/>
      </c>
      <c r="DW218" s="30" t="str">
        <f t="shared" si="2730"/>
        <v/>
      </c>
      <c r="DX218" s="30" t="str">
        <f t="shared" si="2731"/>
        <v/>
      </c>
      <c r="DY218" s="30" t="str">
        <f t="shared" si="2732"/>
        <v/>
      </c>
      <c r="DZ218" s="30" t="str">
        <f t="shared" si="2733"/>
        <v/>
      </c>
      <c r="EA218" s="30" t="str">
        <f t="shared" si="2734"/>
        <v/>
      </c>
      <c r="EB218" s="30" t="str">
        <f t="shared" si="2735"/>
        <v/>
      </c>
      <c r="EC218" s="30" t="str">
        <f t="shared" si="2736"/>
        <v/>
      </c>
      <c r="ED218" s="30" t="str">
        <f t="shared" si="2737"/>
        <v/>
      </c>
      <c r="EE218" s="30" t="str">
        <f t="shared" si="2738"/>
        <v/>
      </c>
      <c r="EF218" s="30" t="str">
        <f t="shared" si="2739"/>
        <v/>
      </c>
      <c r="EG218" s="30" t="str">
        <f t="shared" si="2740"/>
        <v/>
      </c>
      <c r="EH218" s="30" t="str">
        <f t="shared" si="2741"/>
        <v/>
      </c>
      <c r="EI218" s="30" t="str">
        <f t="shared" si="2742"/>
        <v/>
      </c>
      <c r="EJ218" s="30" t="str">
        <f t="shared" si="2743"/>
        <v/>
      </c>
      <c r="EK218" s="30" t="str">
        <f t="shared" si="2744"/>
        <v/>
      </c>
      <c r="EL218" s="30" t="str">
        <f t="shared" si="2745"/>
        <v/>
      </c>
      <c r="EM218" s="30" t="str">
        <f t="shared" si="2746"/>
        <v/>
      </c>
      <c r="EN218" s="30" t="str">
        <f t="shared" si="2747"/>
        <v/>
      </c>
      <c r="EO218" s="30" t="str">
        <f t="shared" si="2748"/>
        <v/>
      </c>
      <c r="EP218" s="30" t="str">
        <f t="shared" si="2749"/>
        <v/>
      </c>
      <c r="EQ218" s="30" t="str">
        <f t="shared" si="2750"/>
        <v/>
      </c>
      <c r="ER218" s="30" t="str">
        <f t="shared" si="2751"/>
        <v/>
      </c>
      <c r="ES218" s="30" t="str">
        <f t="shared" si="2752"/>
        <v/>
      </c>
      <c r="ET218" s="30" t="str">
        <f t="shared" si="2753"/>
        <v/>
      </c>
      <c r="EU218" s="30" t="str">
        <f t="shared" si="2754"/>
        <v/>
      </c>
      <c r="EV218" s="30" t="str">
        <f t="shared" si="2755"/>
        <v/>
      </c>
      <c r="EW218" s="30" t="str">
        <f t="shared" si="2756"/>
        <v/>
      </c>
      <c r="EX218" s="30" t="str">
        <f t="shared" si="2757"/>
        <v/>
      </c>
      <c r="EY218" s="30" t="str">
        <f t="shared" si="2758"/>
        <v/>
      </c>
      <c r="EZ218" s="30" t="str">
        <f t="shared" si="2759"/>
        <v/>
      </c>
      <c r="FA218" s="30" t="str">
        <f t="shared" si="2760"/>
        <v/>
      </c>
      <c r="FB218" s="30" t="str">
        <f t="shared" si="2761"/>
        <v/>
      </c>
      <c r="FC218" s="30" t="str">
        <f t="shared" si="2762"/>
        <v/>
      </c>
      <c r="FD218" s="30" t="str">
        <f t="shared" si="2763"/>
        <v/>
      </c>
      <c r="FE218" s="30" t="str">
        <f t="shared" si="2764"/>
        <v/>
      </c>
      <c r="FF218" s="30" t="str">
        <f t="shared" si="2765"/>
        <v/>
      </c>
      <c r="FG218" s="30" t="str">
        <f t="shared" si="2766"/>
        <v/>
      </c>
      <c r="FH218" s="30" t="str">
        <f t="shared" si="2767"/>
        <v/>
      </c>
      <c r="FI218" s="30" t="str">
        <f t="shared" si="2768"/>
        <v/>
      </c>
      <c r="FJ218" s="30" t="str">
        <f t="shared" si="2769"/>
        <v/>
      </c>
      <c r="FK218" s="30" t="str">
        <f t="shared" si="2770"/>
        <v/>
      </c>
      <c r="FL218" s="30" t="str">
        <f t="shared" si="2771"/>
        <v/>
      </c>
      <c r="FM218" s="30" t="str">
        <f t="shared" si="2772"/>
        <v/>
      </c>
      <c r="FN218" s="30" t="str">
        <f t="shared" si="2773"/>
        <v/>
      </c>
      <c r="FO218" s="30" t="str">
        <f t="shared" si="2774"/>
        <v/>
      </c>
      <c r="FP218" s="30" t="str">
        <f t="shared" si="2775"/>
        <v/>
      </c>
      <c r="FQ218" s="30" t="str">
        <f t="shared" si="2776"/>
        <v/>
      </c>
      <c r="FR218" s="30" t="str">
        <f t="shared" si="2777"/>
        <v/>
      </c>
      <c r="FS218" s="30" t="str">
        <f t="shared" si="2778"/>
        <v/>
      </c>
    </row>
    <row r="219" spans="1:175" ht="16.5">
      <c r="A219" s="5"/>
      <c r="B219" s="6"/>
      <c r="C219" s="5"/>
      <c r="E219" s="35"/>
      <c r="T219" s="105"/>
      <c r="U219" s="32"/>
      <c r="CU219" s="45" t="str">
        <f t="shared" si="2708"/>
        <v>|n</v>
      </c>
      <c r="CW219" s="24"/>
      <c r="CX219" s="24"/>
      <c r="CY219" s="24"/>
      <c r="CZ219" s="24"/>
      <c r="DA219" s="24"/>
      <c r="DB219" s="30" t="str">
        <f t="shared" si="2709"/>
        <v/>
      </c>
      <c r="DC219" s="30" t="str">
        <f t="shared" si="2710"/>
        <v/>
      </c>
      <c r="DD219" s="30" t="str">
        <f t="shared" si="2711"/>
        <v/>
      </c>
      <c r="DE219" s="30" t="str">
        <f t="shared" si="2712"/>
        <v/>
      </c>
      <c r="DF219" s="30" t="str">
        <f t="shared" si="2713"/>
        <v/>
      </c>
      <c r="DG219" s="30" t="str">
        <f t="shared" si="2714"/>
        <v/>
      </c>
      <c r="DH219" s="30" t="str">
        <f t="shared" si="2715"/>
        <v/>
      </c>
      <c r="DI219" s="30" t="str">
        <f t="shared" si="2716"/>
        <v/>
      </c>
      <c r="DJ219" s="30" t="str">
        <f t="shared" si="2717"/>
        <v/>
      </c>
      <c r="DK219" s="30" t="str">
        <f t="shared" si="2718"/>
        <v/>
      </c>
      <c r="DL219" s="30" t="str">
        <f t="shared" si="2719"/>
        <v/>
      </c>
      <c r="DM219" s="30" t="str">
        <f t="shared" si="2720"/>
        <v/>
      </c>
      <c r="DN219" s="30" t="str">
        <f t="shared" si="2721"/>
        <v/>
      </c>
      <c r="DO219" s="30" t="str">
        <f t="shared" si="2722"/>
        <v/>
      </c>
      <c r="DP219" s="30" t="str">
        <f t="shared" si="2723"/>
        <v/>
      </c>
      <c r="DQ219" s="30" t="str">
        <f t="shared" si="2724"/>
        <v/>
      </c>
      <c r="DR219" s="30" t="str">
        <f t="shared" si="2725"/>
        <v/>
      </c>
      <c r="DS219" s="30" t="str">
        <f t="shared" si="2726"/>
        <v/>
      </c>
      <c r="DT219" s="30" t="str">
        <f t="shared" si="2727"/>
        <v/>
      </c>
      <c r="DU219" s="30" t="str">
        <f t="shared" si="2728"/>
        <v/>
      </c>
      <c r="DV219" s="30" t="str">
        <f t="shared" si="2729"/>
        <v/>
      </c>
      <c r="DW219" s="30" t="str">
        <f t="shared" si="2730"/>
        <v/>
      </c>
      <c r="DX219" s="30" t="str">
        <f t="shared" si="2731"/>
        <v/>
      </c>
      <c r="DY219" s="30" t="str">
        <f t="shared" si="2732"/>
        <v/>
      </c>
      <c r="DZ219" s="30" t="str">
        <f t="shared" si="2733"/>
        <v/>
      </c>
      <c r="EA219" s="30" t="str">
        <f t="shared" si="2734"/>
        <v/>
      </c>
      <c r="EB219" s="30" t="str">
        <f t="shared" si="2735"/>
        <v/>
      </c>
      <c r="EC219" s="30" t="str">
        <f t="shared" si="2736"/>
        <v/>
      </c>
      <c r="ED219" s="30" t="str">
        <f t="shared" si="2737"/>
        <v/>
      </c>
      <c r="EE219" s="30" t="str">
        <f t="shared" si="2738"/>
        <v/>
      </c>
      <c r="EF219" s="30" t="str">
        <f t="shared" si="2739"/>
        <v/>
      </c>
      <c r="EG219" s="30" t="str">
        <f t="shared" si="2740"/>
        <v/>
      </c>
      <c r="EH219" s="30" t="str">
        <f t="shared" si="2741"/>
        <v/>
      </c>
      <c r="EI219" s="30" t="str">
        <f t="shared" si="2742"/>
        <v/>
      </c>
      <c r="EJ219" s="30" t="str">
        <f t="shared" si="2743"/>
        <v/>
      </c>
      <c r="EK219" s="30" t="str">
        <f t="shared" si="2744"/>
        <v/>
      </c>
      <c r="EL219" s="30" t="str">
        <f t="shared" si="2745"/>
        <v/>
      </c>
      <c r="EM219" s="30" t="str">
        <f t="shared" si="2746"/>
        <v/>
      </c>
      <c r="EN219" s="30" t="str">
        <f t="shared" si="2747"/>
        <v/>
      </c>
      <c r="EO219" s="30" t="str">
        <f t="shared" si="2748"/>
        <v/>
      </c>
      <c r="EP219" s="30" t="str">
        <f t="shared" si="2749"/>
        <v/>
      </c>
      <c r="EQ219" s="30" t="str">
        <f t="shared" si="2750"/>
        <v/>
      </c>
      <c r="ER219" s="30" t="str">
        <f t="shared" si="2751"/>
        <v/>
      </c>
      <c r="ES219" s="30" t="str">
        <f t="shared" si="2752"/>
        <v/>
      </c>
      <c r="ET219" s="30" t="str">
        <f t="shared" si="2753"/>
        <v/>
      </c>
      <c r="EU219" s="30" t="str">
        <f t="shared" si="2754"/>
        <v/>
      </c>
      <c r="EV219" s="30" t="str">
        <f t="shared" si="2755"/>
        <v/>
      </c>
      <c r="EW219" s="30" t="str">
        <f t="shared" si="2756"/>
        <v/>
      </c>
      <c r="EX219" s="30" t="str">
        <f t="shared" si="2757"/>
        <v/>
      </c>
      <c r="EY219" s="30" t="str">
        <f t="shared" si="2758"/>
        <v/>
      </c>
      <c r="EZ219" s="30" t="str">
        <f t="shared" si="2759"/>
        <v/>
      </c>
      <c r="FA219" s="30" t="str">
        <f t="shared" si="2760"/>
        <v/>
      </c>
      <c r="FB219" s="30" t="str">
        <f t="shared" si="2761"/>
        <v/>
      </c>
      <c r="FC219" s="30" t="str">
        <f t="shared" si="2762"/>
        <v/>
      </c>
      <c r="FD219" s="30" t="str">
        <f t="shared" si="2763"/>
        <v/>
      </c>
      <c r="FE219" s="30" t="str">
        <f t="shared" si="2764"/>
        <v/>
      </c>
      <c r="FF219" s="30" t="str">
        <f t="shared" si="2765"/>
        <v/>
      </c>
      <c r="FG219" s="30" t="str">
        <f t="shared" si="2766"/>
        <v/>
      </c>
      <c r="FH219" s="30" t="str">
        <f t="shared" si="2767"/>
        <v/>
      </c>
      <c r="FI219" s="30" t="str">
        <f t="shared" si="2768"/>
        <v/>
      </c>
      <c r="FJ219" s="30" t="str">
        <f t="shared" si="2769"/>
        <v/>
      </c>
      <c r="FK219" s="30" t="str">
        <f t="shared" si="2770"/>
        <v/>
      </c>
      <c r="FL219" s="30" t="str">
        <f t="shared" si="2771"/>
        <v/>
      </c>
      <c r="FM219" s="30" t="str">
        <f t="shared" si="2772"/>
        <v/>
      </c>
      <c r="FN219" s="30" t="str">
        <f t="shared" si="2773"/>
        <v/>
      </c>
      <c r="FO219" s="30" t="str">
        <f t="shared" si="2774"/>
        <v/>
      </c>
      <c r="FP219" s="30" t="str">
        <f t="shared" si="2775"/>
        <v/>
      </c>
      <c r="FQ219" s="30" t="str">
        <f t="shared" si="2776"/>
        <v/>
      </c>
      <c r="FR219" s="30" t="str">
        <f t="shared" si="2777"/>
        <v/>
      </c>
      <c r="FS219" s="30" t="str">
        <f t="shared" si="2778"/>
        <v/>
      </c>
    </row>
    <row r="220" spans="1:175" ht="16.5">
      <c r="A220" s="5"/>
      <c r="B220" s="6"/>
      <c r="C220" s="5"/>
      <c r="E220" s="35"/>
      <c r="T220" s="105"/>
      <c r="U220" s="32"/>
      <c r="CU220" s="45" t="str">
        <f t="shared" si="2708"/>
        <v>|n</v>
      </c>
      <c r="CW220" s="24"/>
      <c r="CX220" s="24"/>
      <c r="CY220" s="24"/>
      <c r="CZ220" s="24"/>
      <c r="DA220" s="24"/>
      <c r="DB220" s="30" t="str">
        <f t="shared" si="2709"/>
        <v/>
      </c>
      <c r="DC220" s="30" t="str">
        <f t="shared" si="2710"/>
        <v/>
      </c>
      <c r="DD220" s="30" t="str">
        <f t="shared" si="2711"/>
        <v/>
      </c>
      <c r="DE220" s="30" t="str">
        <f t="shared" si="2712"/>
        <v/>
      </c>
      <c r="DF220" s="30" t="str">
        <f t="shared" si="2713"/>
        <v/>
      </c>
      <c r="DG220" s="30" t="str">
        <f t="shared" si="2714"/>
        <v/>
      </c>
      <c r="DH220" s="30" t="str">
        <f t="shared" si="2715"/>
        <v/>
      </c>
      <c r="DI220" s="30" t="str">
        <f t="shared" si="2716"/>
        <v/>
      </c>
      <c r="DJ220" s="30" t="str">
        <f t="shared" si="2717"/>
        <v/>
      </c>
      <c r="DK220" s="30" t="str">
        <f t="shared" si="2718"/>
        <v/>
      </c>
      <c r="DL220" s="30" t="str">
        <f t="shared" si="2719"/>
        <v/>
      </c>
      <c r="DM220" s="30" t="str">
        <f t="shared" si="2720"/>
        <v/>
      </c>
      <c r="DN220" s="30" t="str">
        <f t="shared" si="2721"/>
        <v/>
      </c>
      <c r="DO220" s="30" t="str">
        <f t="shared" si="2722"/>
        <v/>
      </c>
      <c r="DP220" s="30" t="str">
        <f t="shared" si="2723"/>
        <v/>
      </c>
      <c r="DQ220" s="30" t="str">
        <f t="shared" si="2724"/>
        <v/>
      </c>
      <c r="DR220" s="30" t="str">
        <f t="shared" si="2725"/>
        <v/>
      </c>
      <c r="DS220" s="30" t="str">
        <f t="shared" si="2726"/>
        <v/>
      </c>
      <c r="DT220" s="30" t="str">
        <f t="shared" si="2727"/>
        <v/>
      </c>
      <c r="DU220" s="30" t="str">
        <f t="shared" si="2728"/>
        <v/>
      </c>
      <c r="DV220" s="30" t="str">
        <f t="shared" si="2729"/>
        <v/>
      </c>
      <c r="DW220" s="30" t="str">
        <f t="shared" si="2730"/>
        <v/>
      </c>
      <c r="DX220" s="30" t="str">
        <f t="shared" si="2731"/>
        <v/>
      </c>
      <c r="DY220" s="30" t="str">
        <f t="shared" si="2732"/>
        <v/>
      </c>
      <c r="DZ220" s="30" t="str">
        <f t="shared" si="2733"/>
        <v/>
      </c>
      <c r="EA220" s="30" t="str">
        <f t="shared" si="2734"/>
        <v/>
      </c>
      <c r="EB220" s="30" t="str">
        <f t="shared" si="2735"/>
        <v/>
      </c>
      <c r="EC220" s="30" t="str">
        <f t="shared" si="2736"/>
        <v/>
      </c>
      <c r="ED220" s="30" t="str">
        <f t="shared" si="2737"/>
        <v/>
      </c>
      <c r="EE220" s="30" t="str">
        <f t="shared" si="2738"/>
        <v/>
      </c>
      <c r="EF220" s="30" t="str">
        <f t="shared" si="2739"/>
        <v/>
      </c>
      <c r="EG220" s="30" t="str">
        <f t="shared" si="2740"/>
        <v/>
      </c>
      <c r="EH220" s="30" t="str">
        <f t="shared" si="2741"/>
        <v/>
      </c>
      <c r="EI220" s="30" t="str">
        <f t="shared" si="2742"/>
        <v/>
      </c>
      <c r="EJ220" s="30" t="str">
        <f t="shared" si="2743"/>
        <v/>
      </c>
      <c r="EK220" s="30" t="str">
        <f t="shared" si="2744"/>
        <v/>
      </c>
      <c r="EL220" s="30" t="str">
        <f t="shared" si="2745"/>
        <v/>
      </c>
      <c r="EM220" s="30" t="str">
        <f t="shared" si="2746"/>
        <v/>
      </c>
      <c r="EN220" s="30" t="str">
        <f t="shared" si="2747"/>
        <v/>
      </c>
      <c r="EO220" s="30" t="str">
        <f t="shared" si="2748"/>
        <v/>
      </c>
      <c r="EP220" s="30" t="str">
        <f t="shared" si="2749"/>
        <v/>
      </c>
      <c r="EQ220" s="30" t="str">
        <f t="shared" si="2750"/>
        <v/>
      </c>
      <c r="ER220" s="30" t="str">
        <f t="shared" si="2751"/>
        <v/>
      </c>
      <c r="ES220" s="30" t="str">
        <f t="shared" si="2752"/>
        <v/>
      </c>
      <c r="ET220" s="30" t="str">
        <f t="shared" si="2753"/>
        <v/>
      </c>
      <c r="EU220" s="30" t="str">
        <f t="shared" si="2754"/>
        <v/>
      </c>
      <c r="EV220" s="30" t="str">
        <f t="shared" si="2755"/>
        <v/>
      </c>
      <c r="EW220" s="30" t="str">
        <f t="shared" si="2756"/>
        <v/>
      </c>
      <c r="EX220" s="30" t="str">
        <f t="shared" si="2757"/>
        <v/>
      </c>
      <c r="EY220" s="30" t="str">
        <f t="shared" si="2758"/>
        <v/>
      </c>
      <c r="EZ220" s="30" t="str">
        <f t="shared" si="2759"/>
        <v/>
      </c>
      <c r="FA220" s="30" t="str">
        <f t="shared" si="2760"/>
        <v/>
      </c>
      <c r="FB220" s="30" t="str">
        <f t="shared" si="2761"/>
        <v/>
      </c>
      <c r="FC220" s="30" t="str">
        <f t="shared" si="2762"/>
        <v/>
      </c>
      <c r="FD220" s="30" t="str">
        <f t="shared" si="2763"/>
        <v/>
      </c>
      <c r="FE220" s="30" t="str">
        <f t="shared" si="2764"/>
        <v/>
      </c>
      <c r="FF220" s="30" t="str">
        <f t="shared" si="2765"/>
        <v/>
      </c>
      <c r="FG220" s="30" t="str">
        <f t="shared" si="2766"/>
        <v/>
      </c>
      <c r="FH220" s="30" t="str">
        <f t="shared" si="2767"/>
        <v/>
      </c>
      <c r="FI220" s="30" t="str">
        <f t="shared" si="2768"/>
        <v/>
      </c>
      <c r="FJ220" s="30" t="str">
        <f t="shared" si="2769"/>
        <v/>
      </c>
      <c r="FK220" s="30" t="str">
        <f t="shared" si="2770"/>
        <v/>
      </c>
      <c r="FL220" s="30" t="str">
        <f t="shared" si="2771"/>
        <v/>
      </c>
      <c r="FM220" s="30" t="str">
        <f t="shared" si="2772"/>
        <v/>
      </c>
      <c r="FN220" s="30" t="str">
        <f t="shared" si="2773"/>
        <v/>
      </c>
      <c r="FO220" s="30" t="str">
        <f t="shared" si="2774"/>
        <v/>
      </c>
      <c r="FP220" s="30" t="str">
        <f t="shared" si="2775"/>
        <v/>
      </c>
      <c r="FQ220" s="30" t="str">
        <f t="shared" si="2776"/>
        <v/>
      </c>
      <c r="FR220" s="30" t="str">
        <f t="shared" si="2777"/>
        <v/>
      </c>
      <c r="FS220" s="30" t="str">
        <f t="shared" si="2778"/>
        <v/>
      </c>
    </row>
    <row r="221" spans="1:175" ht="16.5">
      <c r="A221" s="5"/>
      <c r="B221" s="6"/>
      <c r="C221" s="5"/>
      <c r="E221" s="35"/>
      <c r="T221" s="105"/>
      <c r="U221" s="32"/>
      <c r="CU221" s="45" t="str">
        <f t="shared" si="2708"/>
        <v>|n</v>
      </c>
      <c r="CW221" s="24"/>
      <c r="CX221" s="24"/>
      <c r="CY221" s="24"/>
      <c r="CZ221" s="24"/>
      <c r="DA221" s="24"/>
      <c r="DB221" s="30" t="str">
        <f t="shared" si="2709"/>
        <v/>
      </c>
      <c r="DC221" s="30" t="str">
        <f t="shared" si="2710"/>
        <v/>
      </c>
      <c r="DD221" s="30" t="str">
        <f t="shared" si="2711"/>
        <v/>
      </c>
      <c r="DE221" s="30" t="str">
        <f t="shared" si="2712"/>
        <v/>
      </c>
      <c r="DF221" s="30" t="str">
        <f t="shared" si="2713"/>
        <v/>
      </c>
      <c r="DG221" s="30" t="str">
        <f t="shared" si="2714"/>
        <v/>
      </c>
      <c r="DH221" s="30" t="str">
        <f t="shared" si="2715"/>
        <v/>
      </c>
      <c r="DI221" s="30" t="str">
        <f t="shared" si="2716"/>
        <v/>
      </c>
      <c r="DJ221" s="30" t="str">
        <f t="shared" si="2717"/>
        <v/>
      </c>
      <c r="DK221" s="30" t="str">
        <f t="shared" si="2718"/>
        <v/>
      </c>
      <c r="DL221" s="30" t="str">
        <f t="shared" si="2719"/>
        <v/>
      </c>
      <c r="DM221" s="30" t="str">
        <f t="shared" si="2720"/>
        <v/>
      </c>
      <c r="DN221" s="30" t="str">
        <f t="shared" si="2721"/>
        <v/>
      </c>
      <c r="DO221" s="30" t="str">
        <f t="shared" si="2722"/>
        <v/>
      </c>
      <c r="DP221" s="30" t="str">
        <f t="shared" si="2723"/>
        <v/>
      </c>
      <c r="DQ221" s="30" t="str">
        <f t="shared" si="2724"/>
        <v/>
      </c>
      <c r="DR221" s="30" t="str">
        <f t="shared" si="2725"/>
        <v/>
      </c>
      <c r="DS221" s="30" t="str">
        <f t="shared" si="2726"/>
        <v/>
      </c>
      <c r="DT221" s="30" t="str">
        <f t="shared" si="2727"/>
        <v/>
      </c>
      <c r="DU221" s="30" t="str">
        <f t="shared" si="2728"/>
        <v/>
      </c>
      <c r="DV221" s="30" t="str">
        <f t="shared" si="2729"/>
        <v/>
      </c>
      <c r="DW221" s="30" t="str">
        <f t="shared" si="2730"/>
        <v/>
      </c>
      <c r="DX221" s="30" t="str">
        <f t="shared" si="2731"/>
        <v/>
      </c>
      <c r="DY221" s="30" t="str">
        <f t="shared" si="2732"/>
        <v/>
      </c>
      <c r="DZ221" s="30" t="str">
        <f t="shared" si="2733"/>
        <v/>
      </c>
      <c r="EA221" s="30" t="str">
        <f t="shared" si="2734"/>
        <v/>
      </c>
      <c r="EB221" s="30" t="str">
        <f t="shared" si="2735"/>
        <v/>
      </c>
      <c r="EC221" s="30" t="str">
        <f t="shared" si="2736"/>
        <v/>
      </c>
      <c r="ED221" s="30" t="str">
        <f t="shared" si="2737"/>
        <v/>
      </c>
      <c r="EE221" s="30" t="str">
        <f t="shared" si="2738"/>
        <v/>
      </c>
      <c r="EF221" s="30" t="str">
        <f t="shared" si="2739"/>
        <v/>
      </c>
      <c r="EG221" s="30" t="str">
        <f t="shared" si="2740"/>
        <v/>
      </c>
      <c r="EH221" s="30" t="str">
        <f t="shared" si="2741"/>
        <v/>
      </c>
      <c r="EI221" s="30" t="str">
        <f t="shared" si="2742"/>
        <v/>
      </c>
      <c r="EJ221" s="30" t="str">
        <f t="shared" si="2743"/>
        <v/>
      </c>
      <c r="EK221" s="30" t="str">
        <f t="shared" si="2744"/>
        <v/>
      </c>
      <c r="EL221" s="30" t="str">
        <f t="shared" si="2745"/>
        <v/>
      </c>
      <c r="EM221" s="30" t="str">
        <f t="shared" si="2746"/>
        <v/>
      </c>
      <c r="EN221" s="30" t="str">
        <f t="shared" si="2747"/>
        <v/>
      </c>
      <c r="EO221" s="30" t="str">
        <f t="shared" si="2748"/>
        <v/>
      </c>
      <c r="EP221" s="30" t="str">
        <f t="shared" si="2749"/>
        <v/>
      </c>
      <c r="EQ221" s="30" t="str">
        <f t="shared" si="2750"/>
        <v/>
      </c>
      <c r="ER221" s="30" t="str">
        <f t="shared" si="2751"/>
        <v/>
      </c>
      <c r="ES221" s="30" t="str">
        <f t="shared" si="2752"/>
        <v/>
      </c>
      <c r="ET221" s="30" t="str">
        <f t="shared" si="2753"/>
        <v/>
      </c>
      <c r="EU221" s="30" t="str">
        <f t="shared" si="2754"/>
        <v/>
      </c>
      <c r="EV221" s="30" t="str">
        <f t="shared" si="2755"/>
        <v/>
      </c>
      <c r="EW221" s="30" t="str">
        <f t="shared" si="2756"/>
        <v/>
      </c>
      <c r="EX221" s="30" t="str">
        <f t="shared" si="2757"/>
        <v/>
      </c>
      <c r="EY221" s="30" t="str">
        <f t="shared" si="2758"/>
        <v/>
      </c>
      <c r="EZ221" s="30" t="str">
        <f t="shared" si="2759"/>
        <v/>
      </c>
      <c r="FA221" s="30" t="str">
        <f t="shared" si="2760"/>
        <v/>
      </c>
      <c r="FB221" s="30" t="str">
        <f t="shared" si="2761"/>
        <v/>
      </c>
      <c r="FC221" s="30" t="str">
        <f t="shared" si="2762"/>
        <v/>
      </c>
      <c r="FD221" s="30" t="str">
        <f t="shared" si="2763"/>
        <v/>
      </c>
      <c r="FE221" s="30" t="str">
        <f t="shared" si="2764"/>
        <v/>
      </c>
      <c r="FF221" s="30" t="str">
        <f t="shared" si="2765"/>
        <v/>
      </c>
      <c r="FG221" s="30" t="str">
        <f t="shared" si="2766"/>
        <v/>
      </c>
      <c r="FH221" s="30" t="str">
        <f t="shared" si="2767"/>
        <v/>
      </c>
      <c r="FI221" s="30" t="str">
        <f t="shared" si="2768"/>
        <v/>
      </c>
      <c r="FJ221" s="30" t="str">
        <f t="shared" si="2769"/>
        <v/>
      </c>
      <c r="FK221" s="30" t="str">
        <f t="shared" si="2770"/>
        <v/>
      </c>
      <c r="FL221" s="30" t="str">
        <f t="shared" si="2771"/>
        <v/>
      </c>
      <c r="FM221" s="30" t="str">
        <f t="shared" si="2772"/>
        <v/>
      </c>
      <c r="FN221" s="30" t="str">
        <f t="shared" si="2773"/>
        <v/>
      </c>
      <c r="FO221" s="30" t="str">
        <f t="shared" si="2774"/>
        <v/>
      </c>
      <c r="FP221" s="30" t="str">
        <f t="shared" si="2775"/>
        <v/>
      </c>
      <c r="FQ221" s="30" t="str">
        <f t="shared" si="2776"/>
        <v/>
      </c>
      <c r="FR221" s="30" t="str">
        <f t="shared" si="2777"/>
        <v/>
      </c>
      <c r="FS221" s="30" t="str">
        <f t="shared" si="2778"/>
        <v/>
      </c>
    </row>
    <row r="222" spans="1:175" ht="16.5">
      <c r="A222" s="5"/>
      <c r="B222" s="6"/>
      <c r="C222" s="5"/>
      <c r="E222" s="35"/>
      <c r="T222" s="105"/>
      <c r="U222" s="32"/>
      <c r="CU222" s="45" t="str">
        <f t="shared" si="2708"/>
        <v>|n</v>
      </c>
      <c r="CW222" s="24"/>
      <c r="CX222" s="24"/>
      <c r="CY222" s="24"/>
      <c r="CZ222" s="24"/>
      <c r="DA222" s="24"/>
      <c r="DB222" s="30" t="str">
        <f t="shared" si="2709"/>
        <v/>
      </c>
      <c r="DC222" s="30" t="str">
        <f t="shared" si="2710"/>
        <v/>
      </c>
      <c r="DD222" s="30" t="str">
        <f t="shared" si="2711"/>
        <v/>
      </c>
      <c r="DE222" s="30" t="str">
        <f t="shared" si="2712"/>
        <v/>
      </c>
      <c r="DF222" s="30" t="str">
        <f t="shared" si="2713"/>
        <v/>
      </c>
      <c r="DG222" s="30" t="str">
        <f t="shared" si="2714"/>
        <v/>
      </c>
      <c r="DH222" s="30" t="str">
        <f t="shared" si="2715"/>
        <v/>
      </c>
      <c r="DI222" s="30" t="str">
        <f t="shared" si="2716"/>
        <v/>
      </c>
      <c r="DJ222" s="30" t="str">
        <f t="shared" si="2717"/>
        <v/>
      </c>
      <c r="DK222" s="30" t="str">
        <f t="shared" si="2718"/>
        <v/>
      </c>
      <c r="DL222" s="30" t="str">
        <f t="shared" si="2719"/>
        <v/>
      </c>
      <c r="DM222" s="30" t="str">
        <f t="shared" si="2720"/>
        <v/>
      </c>
      <c r="DN222" s="30" t="str">
        <f t="shared" si="2721"/>
        <v/>
      </c>
      <c r="DO222" s="30" t="str">
        <f t="shared" si="2722"/>
        <v/>
      </c>
      <c r="DP222" s="30" t="str">
        <f t="shared" si="2723"/>
        <v/>
      </c>
      <c r="DQ222" s="30" t="str">
        <f t="shared" si="2724"/>
        <v/>
      </c>
      <c r="DR222" s="30" t="str">
        <f t="shared" si="2725"/>
        <v/>
      </c>
      <c r="DS222" s="30" t="str">
        <f t="shared" si="2726"/>
        <v/>
      </c>
      <c r="DT222" s="30" t="str">
        <f t="shared" si="2727"/>
        <v/>
      </c>
      <c r="DU222" s="30" t="str">
        <f t="shared" si="2728"/>
        <v/>
      </c>
      <c r="DV222" s="30" t="str">
        <f t="shared" si="2729"/>
        <v/>
      </c>
      <c r="DW222" s="30" t="str">
        <f t="shared" si="2730"/>
        <v/>
      </c>
      <c r="DX222" s="30" t="str">
        <f t="shared" si="2731"/>
        <v/>
      </c>
      <c r="DY222" s="30" t="str">
        <f t="shared" si="2732"/>
        <v/>
      </c>
      <c r="DZ222" s="30" t="str">
        <f t="shared" si="2733"/>
        <v/>
      </c>
      <c r="EA222" s="30" t="str">
        <f t="shared" si="2734"/>
        <v/>
      </c>
      <c r="EB222" s="30" t="str">
        <f t="shared" si="2735"/>
        <v/>
      </c>
      <c r="EC222" s="30" t="str">
        <f t="shared" si="2736"/>
        <v/>
      </c>
      <c r="ED222" s="30" t="str">
        <f t="shared" si="2737"/>
        <v/>
      </c>
      <c r="EE222" s="30" t="str">
        <f t="shared" si="2738"/>
        <v/>
      </c>
      <c r="EF222" s="30" t="str">
        <f t="shared" si="2739"/>
        <v/>
      </c>
      <c r="EG222" s="30" t="str">
        <f t="shared" si="2740"/>
        <v/>
      </c>
      <c r="EH222" s="30" t="str">
        <f t="shared" si="2741"/>
        <v/>
      </c>
      <c r="EI222" s="30" t="str">
        <f t="shared" si="2742"/>
        <v/>
      </c>
      <c r="EJ222" s="30" t="str">
        <f t="shared" si="2743"/>
        <v/>
      </c>
      <c r="EK222" s="30" t="str">
        <f t="shared" si="2744"/>
        <v/>
      </c>
      <c r="EL222" s="30" t="str">
        <f t="shared" si="2745"/>
        <v/>
      </c>
      <c r="EM222" s="30" t="str">
        <f t="shared" si="2746"/>
        <v/>
      </c>
      <c r="EN222" s="30" t="str">
        <f t="shared" si="2747"/>
        <v/>
      </c>
      <c r="EO222" s="30" t="str">
        <f t="shared" si="2748"/>
        <v/>
      </c>
      <c r="EP222" s="30" t="str">
        <f t="shared" si="2749"/>
        <v/>
      </c>
      <c r="EQ222" s="30" t="str">
        <f t="shared" si="2750"/>
        <v/>
      </c>
      <c r="ER222" s="30" t="str">
        <f t="shared" si="2751"/>
        <v/>
      </c>
      <c r="ES222" s="30" t="str">
        <f t="shared" si="2752"/>
        <v/>
      </c>
      <c r="ET222" s="30" t="str">
        <f t="shared" si="2753"/>
        <v/>
      </c>
      <c r="EU222" s="30" t="str">
        <f t="shared" si="2754"/>
        <v/>
      </c>
      <c r="EV222" s="30" t="str">
        <f t="shared" si="2755"/>
        <v/>
      </c>
      <c r="EW222" s="30" t="str">
        <f t="shared" si="2756"/>
        <v/>
      </c>
      <c r="EX222" s="30" t="str">
        <f t="shared" si="2757"/>
        <v/>
      </c>
      <c r="EY222" s="30" t="str">
        <f t="shared" si="2758"/>
        <v/>
      </c>
      <c r="EZ222" s="30" t="str">
        <f t="shared" si="2759"/>
        <v/>
      </c>
      <c r="FA222" s="30" t="str">
        <f t="shared" si="2760"/>
        <v/>
      </c>
      <c r="FB222" s="30" t="str">
        <f t="shared" si="2761"/>
        <v/>
      </c>
      <c r="FC222" s="30" t="str">
        <f t="shared" si="2762"/>
        <v/>
      </c>
      <c r="FD222" s="30" t="str">
        <f t="shared" si="2763"/>
        <v/>
      </c>
      <c r="FE222" s="30" t="str">
        <f t="shared" si="2764"/>
        <v/>
      </c>
      <c r="FF222" s="30" t="str">
        <f t="shared" si="2765"/>
        <v/>
      </c>
      <c r="FG222" s="30" t="str">
        <f t="shared" si="2766"/>
        <v/>
      </c>
      <c r="FH222" s="30" t="str">
        <f t="shared" si="2767"/>
        <v/>
      </c>
      <c r="FI222" s="30" t="str">
        <f t="shared" si="2768"/>
        <v/>
      </c>
      <c r="FJ222" s="30" t="str">
        <f t="shared" si="2769"/>
        <v/>
      </c>
      <c r="FK222" s="30" t="str">
        <f t="shared" si="2770"/>
        <v/>
      </c>
      <c r="FL222" s="30" t="str">
        <f t="shared" si="2771"/>
        <v/>
      </c>
      <c r="FM222" s="30" t="str">
        <f t="shared" si="2772"/>
        <v/>
      </c>
      <c r="FN222" s="30" t="str">
        <f t="shared" si="2773"/>
        <v/>
      </c>
      <c r="FO222" s="30" t="str">
        <f t="shared" si="2774"/>
        <v/>
      </c>
      <c r="FP222" s="30" t="str">
        <f t="shared" si="2775"/>
        <v/>
      </c>
      <c r="FQ222" s="30" t="str">
        <f t="shared" si="2776"/>
        <v/>
      </c>
      <c r="FR222" s="30" t="str">
        <f t="shared" si="2777"/>
        <v/>
      </c>
      <c r="FS222" s="30" t="str">
        <f t="shared" si="2778"/>
        <v/>
      </c>
    </row>
    <row r="223" spans="1:175" ht="16.5">
      <c r="A223" s="5"/>
      <c r="B223" s="6"/>
      <c r="C223" s="5"/>
      <c r="E223" s="35"/>
      <c r="T223" s="105"/>
      <c r="U223" s="32"/>
      <c r="CU223" s="45" t="str">
        <f t="shared" si="2708"/>
        <v>|n</v>
      </c>
      <c r="CW223" s="24"/>
      <c r="CX223" s="24"/>
      <c r="CY223" s="24"/>
      <c r="CZ223" s="24"/>
      <c r="DA223" s="24"/>
      <c r="DB223" s="30" t="str">
        <f t="shared" si="2709"/>
        <v/>
      </c>
      <c r="DC223" s="30" t="str">
        <f t="shared" si="2710"/>
        <v/>
      </c>
      <c r="DD223" s="30" t="str">
        <f t="shared" si="2711"/>
        <v/>
      </c>
      <c r="DE223" s="30" t="str">
        <f t="shared" si="2712"/>
        <v/>
      </c>
      <c r="DF223" s="30" t="str">
        <f t="shared" si="2713"/>
        <v/>
      </c>
      <c r="DG223" s="30" t="str">
        <f t="shared" si="2714"/>
        <v/>
      </c>
      <c r="DH223" s="30" t="str">
        <f t="shared" si="2715"/>
        <v/>
      </c>
      <c r="DI223" s="30" t="str">
        <f t="shared" si="2716"/>
        <v/>
      </c>
      <c r="DJ223" s="30" t="str">
        <f t="shared" si="2717"/>
        <v/>
      </c>
      <c r="DK223" s="30" t="str">
        <f t="shared" si="2718"/>
        <v/>
      </c>
      <c r="DL223" s="30" t="str">
        <f t="shared" si="2719"/>
        <v/>
      </c>
      <c r="DM223" s="30" t="str">
        <f t="shared" si="2720"/>
        <v/>
      </c>
      <c r="DN223" s="30" t="str">
        <f t="shared" si="2721"/>
        <v/>
      </c>
      <c r="DO223" s="30" t="str">
        <f t="shared" si="2722"/>
        <v/>
      </c>
      <c r="DP223" s="30" t="str">
        <f t="shared" si="2723"/>
        <v/>
      </c>
      <c r="DQ223" s="30" t="str">
        <f t="shared" si="2724"/>
        <v/>
      </c>
      <c r="DR223" s="30" t="str">
        <f t="shared" si="2725"/>
        <v/>
      </c>
      <c r="DS223" s="30" t="str">
        <f t="shared" si="2726"/>
        <v/>
      </c>
      <c r="DT223" s="30" t="str">
        <f t="shared" si="2727"/>
        <v/>
      </c>
      <c r="DU223" s="30" t="str">
        <f t="shared" si="2728"/>
        <v/>
      </c>
      <c r="DV223" s="30" t="str">
        <f t="shared" si="2729"/>
        <v/>
      </c>
      <c r="DW223" s="30" t="str">
        <f t="shared" si="2730"/>
        <v/>
      </c>
      <c r="DX223" s="30" t="str">
        <f t="shared" si="2731"/>
        <v/>
      </c>
      <c r="DY223" s="30" t="str">
        <f t="shared" si="2732"/>
        <v/>
      </c>
      <c r="DZ223" s="30" t="str">
        <f t="shared" si="2733"/>
        <v/>
      </c>
      <c r="EA223" s="30" t="str">
        <f t="shared" si="2734"/>
        <v/>
      </c>
      <c r="EB223" s="30" t="str">
        <f t="shared" si="2735"/>
        <v/>
      </c>
      <c r="EC223" s="30" t="str">
        <f t="shared" si="2736"/>
        <v/>
      </c>
      <c r="ED223" s="30" t="str">
        <f t="shared" si="2737"/>
        <v/>
      </c>
      <c r="EE223" s="30" t="str">
        <f t="shared" si="2738"/>
        <v/>
      </c>
      <c r="EF223" s="30" t="str">
        <f t="shared" si="2739"/>
        <v/>
      </c>
      <c r="EG223" s="30" t="str">
        <f t="shared" si="2740"/>
        <v/>
      </c>
      <c r="EH223" s="30" t="str">
        <f t="shared" si="2741"/>
        <v/>
      </c>
      <c r="EI223" s="30" t="str">
        <f t="shared" si="2742"/>
        <v/>
      </c>
      <c r="EJ223" s="30" t="str">
        <f t="shared" si="2743"/>
        <v/>
      </c>
      <c r="EK223" s="30" t="str">
        <f t="shared" si="2744"/>
        <v/>
      </c>
      <c r="EL223" s="30" t="str">
        <f t="shared" si="2745"/>
        <v/>
      </c>
      <c r="EM223" s="30" t="str">
        <f t="shared" si="2746"/>
        <v/>
      </c>
      <c r="EN223" s="30" t="str">
        <f t="shared" si="2747"/>
        <v/>
      </c>
      <c r="EO223" s="30" t="str">
        <f t="shared" si="2748"/>
        <v/>
      </c>
      <c r="EP223" s="30" t="str">
        <f t="shared" si="2749"/>
        <v/>
      </c>
      <c r="EQ223" s="30" t="str">
        <f t="shared" si="2750"/>
        <v/>
      </c>
      <c r="ER223" s="30" t="str">
        <f t="shared" si="2751"/>
        <v/>
      </c>
      <c r="ES223" s="30" t="str">
        <f t="shared" si="2752"/>
        <v/>
      </c>
      <c r="ET223" s="30" t="str">
        <f t="shared" si="2753"/>
        <v/>
      </c>
      <c r="EU223" s="30" t="str">
        <f t="shared" si="2754"/>
        <v/>
      </c>
      <c r="EV223" s="30" t="str">
        <f t="shared" si="2755"/>
        <v/>
      </c>
      <c r="EW223" s="30" t="str">
        <f t="shared" si="2756"/>
        <v/>
      </c>
      <c r="EX223" s="30" t="str">
        <f t="shared" si="2757"/>
        <v/>
      </c>
      <c r="EY223" s="30" t="str">
        <f t="shared" si="2758"/>
        <v/>
      </c>
      <c r="EZ223" s="30" t="str">
        <f t="shared" si="2759"/>
        <v/>
      </c>
      <c r="FA223" s="30" t="str">
        <f t="shared" si="2760"/>
        <v/>
      </c>
      <c r="FB223" s="30" t="str">
        <f t="shared" si="2761"/>
        <v/>
      </c>
      <c r="FC223" s="30" t="str">
        <f t="shared" si="2762"/>
        <v/>
      </c>
      <c r="FD223" s="30" t="str">
        <f t="shared" si="2763"/>
        <v/>
      </c>
      <c r="FE223" s="30" t="str">
        <f t="shared" si="2764"/>
        <v/>
      </c>
      <c r="FF223" s="30" t="str">
        <f t="shared" si="2765"/>
        <v/>
      </c>
      <c r="FG223" s="30" t="str">
        <f t="shared" si="2766"/>
        <v/>
      </c>
      <c r="FH223" s="30" t="str">
        <f t="shared" si="2767"/>
        <v/>
      </c>
      <c r="FI223" s="30" t="str">
        <f t="shared" si="2768"/>
        <v/>
      </c>
      <c r="FJ223" s="30" t="str">
        <f t="shared" si="2769"/>
        <v/>
      </c>
      <c r="FK223" s="30" t="str">
        <f t="shared" si="2770"/>
        <v/>
      </c>
      <c r="FL223" s="30" t="str">
        <f t="shared" si="2771"/>
        <v/>
      </c>
      <c r="FM223" s="30" t="str">
        <f t="shared" si="2772"/>
        <v/>
      </c>
      <c r="FN223" s="30" t="str">
        <f t="shared" si="2773"/>
        <v/>
      </c>
      <c r="FO223" s="30" t="str">
        <f t="shared" si="2774"/>
        <v/>
      </c>
      <c r="FP223" s="30" t="str">
        <f t="shared" si="2775"/>
        <v/>
      </c>
      <c r="FQ223" s="30" t="str">
        <f t="shared" si="2776"/>
        <v/>
      </c>
      <c r="FR223" s="30" t="str">
        <f t="shared" si="2777"/>
        <v/>
      </c>
      <c r="FS223" s="30" t="str">
        <f t="shared" si="2778"/>
        <v/>
      </c>
    </row>
    <row r="224" spans="1:175">
      <c r="CN224" s="7" t="str">
        <f t="shared" ref="CN224:CN255" si="2779">"InitUnitState('"&amp;B224&amp;"',"&amp;V224&amp;","&amp;W224&amp;","&amp;X224&amp;","&amp;Y224&amp;","&amp;Z224&amp;","&amp;AA224&amp;","&amp;AB224&amp;","&amp;AC224&amp;","&amp;AD224&amp;","&amp;AE224&amp;")"</f>
        <v>InitUnitState('',,,,,,,,,,)</v>
      </c>
      <c r="CO224" s="7" t="str">
        <f t="shared" ref="CO224:CO255" si="2780">"InitUnitNormal('"&amp;B224&amp;"',"&amp;AF224&amp;","&amp;AG224&amp;","&amp;AH224&amp;","&amp;AI224&amp;","&amp;AJ224&amp;","&amp;AK224&amp;","&amp;AL224&amp;","&amp;AM224&amp;","&amp;AN224&amp;","&amp;AO224&amp;")"</f>
        <v>InitUnitNormal('',,,,,,,,,,)</v>
      </c>
      <c r="CP224" s="7" t="str">
        <f t="shared" ref="CP224:CP255" si="2781">"InitUnitMagic('"&amp;B224&amp;"',"&amp;AP224&amp;","&amp;AQ224&amp;","&amp;AR224&amp;","&amp;AS224&amp;","&amp;AT224&amp;","&amp;AU224&amp;","&amp;AV224&amp;","&amp;AW224&amp;","&amp;BI224&amp;","&amp;BJ224&amp;")"</f>
        <v>InitUnitMagic('',,,,,,,,,,)</v>
      </c>
      <c r="CQ224" s="7" t="str">
        <f t="shared" ref="CQ224:CQ255" si="2782">"InitUnitAdd('"&amp;B224&amp;"',"&amp;BK224&amp;","&amp;BL224&amp;","&amp;BM224&amp;","&amp;BN224&amp;","&amp;BO224&amp;","&amp;BP224&amp;","&amp;BQ224&amp;","&amp;BR224&amp;","&amp;BS224&amp;","&amp;BT224&amp;")"</f>
        <v>InitUnitAdd('',,,,,,,,,,)</v>
      </c>
      <c r="CR224" s="7" t="str">
        <f t="shared" ref="CR224:CR255" si="2783"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InitEquipData('',,"",,,,,'','','','','','',"")</v>
      </c>
      <c r="CU224" s="29" t="str">
        <f t="shared" ref="CU224:CU236" si="2784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W224" s="24"/>
      <c r="CX224" s="24"/>
      <c r="CY224" s="24"/>
      <c r="CZ224" s="24"/>
      <c r="DA224" s="24"/>
      <c r="DB224" s="30" t="str">
        <f t="shared" ref="DB224:DB244" si="2785">IF(V224="","","|n"&amp;DB$2&amp;"+"&amp;V224&amp;DB$1)</f>
        <v/>
      </c>
      <c r="DC224" s="30" t="str">
        <f t="shared" ref="DC224:DC244" si="2786">IF(W224="","","|n"&amp;DC$2&amp;"+"&amp;W224&amp;DC$1)</f>
        <v/>
      </c>
      <c r="DD224" s="30" t="str">
        <f t="shared" ref="DD224:DD244" si="2787">IF(X224="","","|n"&amp;DD$2&amp;"+"&amp;X224&amp;DD$1)</f>
        <v/>
      </c>
      <c r="DE224" s="30" t="str">
        <f t="shared" ref="DE224:DE244" si="2788">IF(Y224="","","|n"&amp;DE$2&amp;"+"&amp;Y224&amp;DE$1)</f>
        <v/>
      </c>
      <c r="DF224" s="30" t="str">
        <f t="shared" ref="DF224:DF244" si="2789">IF(Z224="","","|n"&amp;DF$2&amp;"+"&amp;Z224&amp;DF$1)</f>
        <v/>
      </c>
      <c r="DG224" s="30" t="str">
        <f t="shared" ref="DG224:DG244" si="2790">IF(AA224="","","|n"&amp;DG$2&amp;"+"&amp;AA224&amp;DG$1)</f>
        <v/>
      </c>
      <c r="DH224" s="30" t="str">
        <f t="shared" ref="DH224:DH244" si="2791">IF(AB224="","","|n"&amp;DH$2&amp;"+"&amp;AB224&amp;DH$1)</f>
        <v/>
      </c>
      <c r="DI224" s="30" t="str">
        <f t="shared" ref="DI224:DI244" si="2792">IF(AC224="","","|n"&amp;DI$2&amp;"+"&amp;AC224&amp;DI$1)</f>
        <v/>
      </c>
      <c r="DJ224" s="30" t="str">
        <f t="shared" ref="DJ224:DJ244" si="2793">IF(AD224="","","|n"&amp;DJ$2&amp;"+"&amp;AD224&amp;DJ$1)</f>
        <v/>
      </c>
      <c r="DK224" s="30" t="str">
        <f t="shared" ref="DK224:DK244" si="2794">IF(AE224="","","|n"&amp;DK$2&amp;"+"&amp;AE224&amp;DK$1)</f>
        <v/>
      </c>
      <c r="DL224" s="30" t="str">
        <f t="shared" ref="DL224:DL244" si="2795">IF(AF224="","","|n"&amp;DL$2&amp;"+"&amp;AF224&amp;DL$1)</f>
        <v/>
      </c>
      <c r="DM224" s="30" t="str">
        <f t="shared" ref="DM224:DM244" si="2796">IF(AG224="","","|n"&amp;DM$2&amp;"+"&amp;AG224&amp;DM$1)</f>
        <v/>
      </c>
      <c r="DN224" s="30" t="str">
        <f t="shared" ref="DN224:DN244" si="2797">IF(AH224="","","|n"&amp;DN$2&amp;"+"&amp;AH224&amp;DN$1)</f>
        <v/>
      </c>
      <c r="DO224" s="30" t="str">
        <f t="shared" ref="DO224:DO244" si="2798">IF(AI224="","","|n"&amp;DO$2&amp;"+"&amp;AI224&amp;DO$1)</f>
        <v/>
      </c>
      <c r="DP224" s="30" t="str">
        <f t="shared" ref="DP224:DP244" si="2799">IF(AJ224="","","|n"&amp;DP$2&amp;"+"&amp;AJ224&amp;DP$1)</f>
        <v/>
      </c>
      <c r="DQ224" s="30" t="str">
        <f t="shared" ref="DQ224:DQ244" si="2800">IF(AK224="","","|n"&amp;DQ$2&amp;"+"&amp;AK224&amp;DQ$1)</f>
        <v/>
      </c>
      <c r="DR224" s="30" t="str">
        <f t="shared" ref="DR224:DR244" si="2801">IF(AL224="","","|n"&amp;DR$2&amp;"+"&amp;AL224&amp;DR$1)</f>
        <v/>
      </c>
      <c r="DS224" s="30" t="str">
        <f t="shared" ref="DS224:DS244" si="2802">IF(AM224="","","|n"&amp;DS$2&amp;"+"&amp;AM224&amp;DS$1)</f>
        <v/>
      </c>
      <c r="DT224" s="30" t="str">
        <f t="shared" ref="DT224:DT244" si="2803">IF(AN224="","","|n"&amp;DT$2&amp;"+"&amp;AN224&amp;DT$1)</f>
        <v/>
      </c>
      <c r="DU224" s="30" t="str">
        <f t="shared" ref="DU224:DU244" si="2804">IF(AO224="","","|n"&amp;DU$2&amp;"+"&amp;AO224&amp;DU$1)</f>
        <v/>
      </c>
      <c r="DV224" s="30" t="str">
        <f t="shared" ref="DV224:DV244" si="2805">IF(AP224="","","|n"&amp;DV$2&amp;"+"&amp;AP224&amp;DV$1)</f>
        <v/>
      </c>
      <c r="DW224" s="30" t="str">
        <f t="shared" ref="DW224:DW244" si="2806">IF(AQ224="","","|n"&amp;DW$2&amp;"+"&amp;AQ224&amp;DW$1)</f>
        <v/>
      </c>
      <c r="DX224" s="30" t="str">
        <f t="shared" ref="DX224:DX244" si="2807">IF(AR224="","","|n"&amp;DX$2&amp;"+"&amp;AR224&amp;DX$1)</f>
        <v/>
      </c>
      <c r="DY224" s="30" t="str">
        <f t="shared" ref="DY224:DY244" si="2808">IF(AS224="","","|n"&amp;DY$2&amp;"+"&amp;AS224&amp;DY$1)</f>
        <v/>
      </c>
      <c r="DZ224" s="30" t="str">
        <f t="shared" ref="DZ224:DZ244" si="2809">IF(AT224="","","|n"&amp;DZ$2&amp;"+"&amp;AT224&amp;DZ$1)</f>
        <v/>
      </c>
      <c r="EA224" s="30" t="str">
        <f t="shared" ref="EA224:EA244" si="2810">IF(AU224="","","|n"&amp;EA$2&amp;"+"&amp;AU224&amp;EA$1)</f>
        <v/>
      </c>
      <c r="EB224" s="30" t="str">
        <f t="shared" ref="EB224:EB244" si="2811">IF(AV224="","","|n"&amp;EB$2&amp;"+"&amp;AV224&amp;EB$1)</f>
        <v/>
      </c>
      <c r="EC224" s="30" t="str">
        <f t="shared" ref="EC224:EC244" si="2812">IF(AW224="","","|n"&amp;EC$2&amp;"+"&amp;AW224&amp;EC$1)</f>
        <v/>
      </c>
      <c r="ED224" s="30" t="str">
        <f t="shared" ref="ED224:ED244" si="2813">IF(AX224="","","|n"&amp;ED$2&amp;"+"&amp;AX224&amp;ED$1)</f>
        <v/>
      </c>
      <c r="EE224" s="30" t="str">
        <f t="shared" ref="EE224:EE244" si="2814">IF(AY224="","","|n"&amp;EE$2&amp;"+"&amp;AY224&amp;EE$1)</f>
        <v/>
      </c>
      <c r="EF224" s="30" t="str">
        <f t="shared" ref="EF224:EF244" si="2815">IF(AZ224="","","|n"&amp;EF$2&amp;"+"&amp;AZ224&amp;EF$1)</f>
        <v/>
      </c>
      <c r="EG224" s="30" t="str">
        <f t="shared" ref="EG224:EG244" si="2816">IF(BA224="","","|n"&amp;EG$2&amp;"+"&amp;BA224&amp;EG$1)</f>
        <v/>
      </c>
      <c r="EH224" s="30" t="str">
        <f t="shared" ref="EH224:EH244" si="2817">IF(BB224="","","|n"&amp;EH$2&amp;"+"&amp;BB224&amp;EH$1)</f>
        <v/>
      </c>
      <c r="EI224" s="30" t="str">
        <f t="shared" ref="EI224:EI244" si="2818">IF(BC224="","","|n"&amp;EI$2&amp;"+"&amp;BC224&amp;EI$1)</f>
        <v/>
      </c>
      <c r="EJ224" s="30" t="str">
        <f t="shared" ref="EJ224:EJ244" si="2819">IF(BD224="","","|n"&amp;EJ$2&amp;"+"&amp;BD224&amp;EJ$1)</f>
        <v/>
      </c>
      <c r="EK224" s="30" t="str">
        <f t="shared" ref="EK224:EK244" si="2820">IF(BE224="","","|n"&amp;EK$2&amp;"+"&amp;BE224&amp;EK$1)</f>
        <v/>
      </c>
      <c r="EL224" s="30" t="str">
        <f t="shared" ref="EL224:EL244" si="2821">IF(BF224="","","|n"&amp;EL$2&amp;"+"&amp;BF224&amp;EL$1)</f>
        <v/>
      </c>
      <c r="EM224" s="30" t="str">
        <f t="shared" ref="EM224:EM244" si="2822">IF(BG224="","","|n"&amp;EM$2&amp;"+"&amp;BG224&amp;EM$1)</f>
        <v/>
      </c>
      <c r="EN224" s="30" t="str">
        <f t="shared" ref="EN224:EN244" si="2823">IF(BH224="","","|n"&amp;EN$2&amp;"+"&amp;BH224&amp;EN$1)</f>
        <v/>
      </c>
      <c r="EO224" s="30" t="str">
        <f t="shared" ref="EO224:EO244" si="2824">IF(BI224="","","|n"&amp;EO$2&amp;"+"&amp;BI224&amp;EO$1)</f>
        <v/>
      </c>
      <c r="EP224" s="30" t="str">
        <f t="shared" ref="EP224:EP244" si="2825">IF(BJ224="","","|n"&amp;EP$2&amp;"+"&amp;BJ224&amp;EP$1)</f>
        <v/>
      </c>
      <c r="EQ224" s="30" t="str">
        <f t="shared" ref="EQ224:EQ244" si="2826">IF(BK224="","","|n"&amp;EQ$2&amp;"+"&amp;BK224&amp;EQ$1)</f>
        <v/>
      </c>
      <c r="ER224" s="30" t="str">
        <f t="shared" ref="ER224:ER244" si="2827">IF(BL224="","","|n"&amp;ER$2&amp;"+"&amp;BL224&amp;ER$1)</f>
        <v/>
      </c>
      <c r="ES224" s="30" t="str">
        <f t="shared" ref="ES224:ES244" si="2828">IF(BM224="","","|n"&amp;ES$2&amp;"+"&amp;BM224&amp;ES$1)</f>
        <v/>
      </c>
      <c r="ET224" s="30" t="str">
        <f t="shared" ref="ET224:ET244" si="2829">IF(BN224="","","|n"&amp;ET$2&amp;"+"&amp;BN224&amp;ET$1)</f>
        <v/>
      </c>
      <c r="EU224" s="30" t="str">
        <f t="shared" ref="EU224:EU244" si="2830">IF(BO224="","","|n"&amp;EU$2&amp;"+"&amp;BO224&amp;EU$1)</f>
        <v/>
      </c>
      <c r="EV224" s="30" t="str">
        <f t="shared" ref="EV224:EV244" si="2831">IF(BP224="","","|n"&amp;EV$2&amp;"+"&amp;BP224&amp;EV$1)</f>
        <v/>
      </c>
      <c r="EW224" s="30" t="str">
        <f t="shared" ref="EW224:EW244" si="2832">IF(BQ224="","","|n"&amp;EW$2&amp;"+"&amp;BQ224&amp;EW$1)</f>
        <v/>
      </c>
      <c r="EX224" s="30" t="str">
        <f t="shared" ref="EX224:EX244" si="2833">IF(BR224="","","|n"&amp;EX$2&amp;"+"&amp;BR224&amp;EX$1)</f>
        <v/>
      </c>
      <c r="EY224" s="30" t="str">
        <f t="shared" ref="EY224:EY244" si="2834">IF(BS224="","","|n"&amp;EY$2&amp;"+"&amp;BS224&amp;EY$1)</f>
        <v/>
      </c>
      <c r="EZ224" s="30" t="str">
        <f t="shared" ref="EZ224:EZ244" si="2835">IF(BT224="","","|n"&amp;EZ$2&amp;"+"&amp;BT224&amp;EZ$1)</f>
        <v/>
      </c>
      <c r="FA224" s="30" t="str">
        <f t="shared" ref="FA224:FA244" si="2836">IF(BU224="","","|n"&amp;FA$2&amp;"+"&amp;BU224&amp;FA$1)</f>
        <v/>
      </c>
      <c r="FB224" s="30" t="str">
        <f t="shared" ref="FB224:FB244" si="2837">IF(BV224="","","|n"&amp;FB$2&amp;"+"&amp;BV224&amp;FB$1)</f>
        <v/>
      </c>
      <c r="FC224" s="30" t="str">
        <f t="shared" ref="FC224:FC244" si="2838">IF(BW224="","","|n"&amp;FC$2&amp;"+"&amp;BW224&amp;FC$1)</f>
        <v/>
      </c>
      <c r="FD224" s="30" t="str">
        <f t="shared" ref="FD224:FD244" si="2839">IF(BX224="","","|n"&amp;FD$2&amp;"+"&amp;BX224&amp;FD$1)</f>
        <v/>
      </c>
      <c r="FE224" s="30" t="str">
        <f t="shared" ref="FE224:FE244" si="2840">IF(BY224="","","|n"&amp;FE$2&amp;"+"&amp;BY224&amp;FE$1)</f>
        <v/>
      </c>
      <c r="FF224" s="30" t="str">
        <f t="shared" ref="FF224:FF244" si="2841">IF(BZ224="","","|n"&amp;FF$2&amp;"+"&amp;BZ224&amp;FF$1)</f>
        <v/>
      </c>
      <c r="FG224" s="30" t="str">
        <f t="shared" ref="FG224:FG244" si="2842">IF(CA224="","","|n"&amp;FG$2&amp;"+"&amp;CA224&amp;FG$1)</f>
        <v/>
      </c>
      <c r="FH224" s="30" t="str">
        <f t="shared" ref="FH224:FH244" si="2843">IF(CB224="","","|n"&amp;FH$2&amp;"+"&amp;CB224&amp;FH$1)</f>
        <v/>
      </c>
      <c r="FI224" s="30" t="str">
        <f t="shared" ref="FI224:FI244" si="2844">IF(CC224="","","|n"&amp;FI$2&amp;"+"&amp;CC224&amp;FI$1)</f>
        <v/>
      </c>
      <c r="FJ224" s="30" t="str">
        <f t="shared" ref="FJ224:FJ244" si="2845">IF(CD224="","","|n"&amp;FJ$2&amp;"+"&amp;CD224&amp;FJ$1)</f>
        <v/>
      </c>
      <c r="FK224" s="30" t="str">
        <f t="shared" ref="FK224:FK244" si="2846">IF(CE224="","","|n"&amp;FK$2&amp;"+"&amp;CE224&amp;FK$1)</f>
        <v/>
      </c>
      <c r="FL224" s="30" t="str">
        <f t="shared" ref="FL224:FL244" si="2847">IF(CF224="","","|n"&amp;FL$2&amp;"+"&amp;CF224&amp;FL$1)</f>
        <v/>
      </c>
      <c r="FM224" s="30" t="str">
        <f t="shared" ref="FM224:FM244" si="2848">IF(CG224="","","|n"&amp;FM$2&amp;"+"&amp;CG224&amp;FM$1)</f>
        <v/>
      </c>
      <c r="FN224" s="30" t="str">
        <f t="shared" ref="FN224:FN244" si="2849">IF(CH224="","","|n"&amp;FN$2&amp;"+"&amp;CH224&amp;FN$1)</f>
        <v/>
      </c>
      <c r="FO224" s="30" t="str">
        <f t="shared" ref="FO224:FO244" si="2850">IF(CI224="","","|n"&amp;FO$2&amp;"+"&amp;CI224&amp;FO$1)</f>
        <v/>
      </c>
      <c r="FP224" s="30" t="str">
        <f t="shared" ref="FP224:FP244" si="2851">IF(CJ224="","","|n"&amp;FP$2&amp;"+"&amp;CJ224&amp;FP$1)</f>
        <v/>
      </c>
      <c r="FQ224" s="30" t="str">
        <f t="shared" ref="FQ224:FQ244" si="2852">IF(CK224="","","|n"&amp;FQ$2&amp;"+"&amp;CK224&amp;FQ$1)</f>
        <v/>
      </c>
      <c r="FR224" s="30" t="str">
        <f t="shared" ref="FR224:FR244" si="2853">IF(CL224="","","|n"&amp;FR$2&amp;"+"&amp;CL224&amp;FR$1)</f>
        <v/>
      </c>
      <c r="FS224" s="30" t="str">
        <f t="shared" ref="FS224:FS244" si="2854">IF(CM224="","","|n"&amp;FS$2&amp;"+"&amp;CM224&amp;FS$1)</f>
        <v/>
      </c>
    </row>
    <row r="225" spans="92:175">
      <c r="CN225" s="7" t="str">
        <f t="shared" si="2779"/>
        <v>InitUnitState('',,,,,,,,,,)</v>
      </c>
      <c r="CO225" s="7" t="str">
        <f t="shared" si="2780"/>
        <v>InitUnitNormal('',,,,,,,,,,)</v>
      </c>
      <c r="CP225" s="7" t="str">
        <f t="shared" si="2781"/>
        <v>InitUnitMagic('',,,,,,,,,,)</v>
      </c>
      <c r="CQ225" s="7" t="str">
        <f t="shared" si="2782"/>
        <v>InitUnitAdd('',,,,,,,,,,)</v>
      </c>
      <c r="CR225" s="7" t="str">
        <f t="shared" si="2783"/>
        <v>InitEquipData('',,"",,,,,'','','','','','',"")</v>
      </c>
      <c r="CU225" s="29" t="str">
        <f t="shared" si="2784"/>
        <v>|n</v>
      </c>
      <c r="CW225" s="24"/>
      <c r="CX225" s="24"/>
      <c r="CY225" s="24"/>
      <c r="CZ225" s="24"/>
      <c r="DA225" s="24"/>
      <c r="DB225" s="30" t="str">
        <f t="shared" si="2785"/>
        <v/>
      </c>
      <c r="DC225" s="30" t="str">
        <f t="shared" si="2786"/>
        <v/>
      </c>
      <c r="DD225" s="30" t="str">
        <f t="shared" si="2787"/>
        <v/>
      </c>
      <c r="DE225" s="30" t="str">
        <f t="shared" si="2788"/>
        <v/>
      </c>
      <c r="DF225" s="30" t="str">
        <f t="shared" si="2789"/>
        <v/>
      </c>
      <c r="DG225" s="30" t="str">
        <f t="shared" si="2790"/>
        <v/>
      </c>
      <c r="DH225" s="30" t="str">
        <f t="shared" si="2791"/>
        <v/>
      </c>
      <c r="DI225" s="30" t="str">
        <f t="shared" si="2792"/>
        <v/>
      </c>
      <c r="DJ225" s="30" t="str">
        <f t="shared" si="2793"/>
        <v/>
      </c>
      <c r="DK225" s="30" t="str">
        <f t="shared" si="2794"/>
        <v/>
      </c>
      <c r="DL225" s="30" t="str">
        <f t="shared" si="2795"/>
        <v/>
      </c>
      <c r="DM225" s="30" t="str">
        <f t="shared" si="2796"/>
        <v/>
      </c>
      <c r="DN225" s="30" t="str">
        <f t="shared" si="2797"/>
        <v/>
      </c>
      <c r="DO225" s="30" t="str">
        <f t="shared" si="2798"/>
        <v/>
      </c>
      <c r="DP225" s="30" t="str">
        <f t="shared" si="2799"/>
        <v/>
      </c>
      <c r="DQ225" s="30" t="str">
        <f t="shared" si="2800"/>
        <v/>
      </c>
      <c r="DR225" s="30" t="str">
        <f t="shared" si="2801"/>
        <v/>
      </c>
      <c r="DS225" s="30" t="str">
        <f t="shared" si="2802"/>
        <v/>
      </c>
      <c r="DT225" s="30" t="str">
        <f t="shared" si="2803"/>
        <v/>
      </c>
      <c r="DU225" s="30" t="str">
        <f t="shared" si="2804"/>
        <v/>
      </c>
      <c r="DV225" s="30" t="str">
        <f t="shared" si="2805"/>
        <v/>
      </c>
      <c r="DW225" s="30" t="str">
        <f t="shared" si="2806"/>
        <v/>
      </c>
      <c r="DX225" s="30" t="str">
        <f t="shared" si="2807"/>
        <v/>
      </c>
      <c r="DY225" s="30" t="str">
        <f t="shared" si="2808"/>
        <v/>
      </c>
      <c r="DZ225" s="30" t="str">
        <f t="shared" si="2809"/>
        <v/>
      </c>
      <c r="EA225" s="30" t="str">
        <f t="shared" si="2810"/>
        <v/>
      </c>
      <c r="EB225" s="30" t="str">
        <f t="shared" si="2811"/>
        <v/>
      </c>
      <c r="EC225" s="30" t="str">
        <f t="shared" si="2812"/>
        <v/>
      </c>
      <c r="ED225" s="30" t="str">
        <f t="shared" si="2813"/>
        <v/>
      </c>
      <c r="EE225" s="30" t="str">
        <f t="shared" si="2814"/>
        <v/>
      </c>
      <c r="EF225" s="30" t="str">
        <f t="shared" si="2815"/>
        <v/>
      </c>
      <c r="EG225" s="30" t="str">
        <f t="shared" si="2816"/>
        <v/>
      </c>
      <c r="EH225" s="30" t="str">
        <f t="shared" si="2817"/>
        <v/>
      </c>
      <c r="EI225" s="30" t="str">
        <f t="shared" si="2818"/>
        <v/>
      </c>
      <c r="EJ225" s="30" t="str">
        <f t="shared" si="2819"/>
        <v/>
      </c>
      <c r="EK225" s="30" t="str">
        <f t="shared" si="2820"/>
        <v/>
      </c>
      <c r="EL225" s="30" t="str">
        <f t="shared" si="2821"/>
        <v/>
      </c>
      <c r="EM225" s="30" t="str">
        <f t="shared" si="2822"/>
        <v/>
      </c>
      <c r="EN225" s="30" t="str">
        <f t="shared" si="2823"/>
        <v/>
      </c>
      <c r="EO225" s="30" t="str">
        <f t="shared" si="2824"/>
        <v/>
      </c>
      <c r="EP225" s="30" t="str">
        <f t="shared" si="2825"/>
        <v/>
      </c>
      <c r="EQ225" s="30" t="str">
        <f t="shared" si="2826"/>
        <v/>
      </c>
      <c r="ER225" s="30" t="str">
        <f t="shared" si="2827"/>
        <v/>
      </c>
      <c r="ES225" s="30" t="str">
        <f t="shared" si="2828"/>
        <v/>
      </c>
      <c r="ET225" s="30" t="str">
        <f t="shared" si="2829"/>
        <v/>
      </c>
      <c r="EU225" s="30" t="str">
        <f t="shared" si="2830"/>
        <v/>
      </c>
      <c r="EV225" s="30" t="str">
        <f t="shared" si="2831"/>
        <v/>
      </c>
      <c r="EW225" s="30" t="str">
        <f t="shared" si="2832"/>
        <v/>
      </c>
      <c r="EX225" s="30" t="str">
        <f t="shared" si="2833"/>
        <v/>
      </c>
      <c r="EY225" s="30" t="str">
        <f t="shared" si="2834"/>
        <v/>
      </c>
      <c r="EZ225" s="30" t="str">
        <f t="shared" si="2835"/>
        <v/>
      </c>
      <c r="FA225" s="30" t="str">
        <f t="shared" si="2836"/>
        <v/>
      </c>
      <c r="FB225" s="30" t="str">
        <f t="shared" si="2837"/>
        <v/>
      </c>
      <c r="FC225" s="30" t="str">
        <f t="shared" si="2838"/>
        <v/>
      </c>
      <c r="FD225" s="30" t="str">
        <f t="shared" si="2839"/>
        <v/>
      </c>
      <c r="FE225" s="30" t="str">
        <f t="shared" si="2840"/>
        <v/>
      </c>
      <c r="FF225" s="30" t="str">
        <f t="shared" si="2841"/>
        <v/>
      </c>
      <c r="FG225" s="30" t="str">
        <f t="shared" si="2842"/>
        <v/>
      </c>
      <c r="FH225" s="30" t="str">
        <f t="shared" si="2843"/>
        <v/>
      </c>
      <c r="FI225" s="30" t="str">
        <f t="shared" si="2844"/>
        <v/>
      </c>
      <c r="FJ225" s="30" t="str">
        <f t="shared" si="2845"/>
        <v/>
      </c>
      <c r="FK225" s="30" t="str">
        <f t="shared" si="2846"/>
        <v/>
      </c>
      <c r="FL225" s="30" t="str">
        <f t="shared" si="2847"/>
        <v/>
      </c>
      <c r="FM225" s="30" t="str">
        <f t="shared" si="2848"/>
        <v/>
      </c>
      <c r="FN225" s="30" t="str">
        <f t="shared" si="2849"/>
        <v/>
      </c>
      <c r="FO225" s="30" t="str">
        <f t="shared" si="2850"/>
        <v/>
      </c>
      <c r="FP225" s="30" t="str">
        <f t="shared" si="2851"/>
        <v/>
      </c>
      <c r="FQ225" s="30" t="str">
        <f t="shared" si="2852"/>
        <v/>
      </c>
      <c r="FR225" s="30" t="str">
        <f t="shared" si="2853"/>
        <v/>
      </c>
      <c r="FS225" s="30" t="str">
        <f t="shared" si="2854"/>
        <v/>
      </c>
    </row>
    <row r="226" spans="92:175">
      <c r="CN226" s="7" t="str">
        <f t="shared" si="2779"/>
        <v>InitUnitState('',,,,,,,,,,)</v>
      </c>
      <c r="CO226" s="7" t="str">
        <f t="shared" si="2780"/>
        <v>InitUnitNormal('',,,,,,,,,,)</v>
      </c>
      <c r="CP226" s="7" t="str">
        <f t="shared" si="2781"/>
        <v>InitUnitMagic('',,,,,,,,,,)</v>
      </c>
      <c r="CQ226" s="7" t="str">
        <f t="shared" si="2782"/>
        <v>InitUnitAdd('',,,,,,,,,,)</v>
      </c>
      <c r="CR226" s="7" t="str">
        <f t="shared" si="2783"/>
        <v>InitEquipData('',,"",,,,,'','','','','','',"")</v>
      </c>
      <c r="CU226" s="29" t="str">
        <f t="shared" si="2784"/>
        <v>|n</v>
      </c>
      <c r="CW226" s="24"/>
      <c r="CX226" s="24"/>
      <c r="CY226" s="24"/>
      <c r="CZ226" s="24"/>
      <c r="DA226" s="24"/>
      <c r="DB226" s="30" t="str">
        <f t="shared" si="2785"/>
        <v/>
      </c>
      <c r="DC226" s="30" t="str">
        <f t="shared" si="2786"/>
        <v/>
      </c>
      <c r="DD226" s="30" t="str">
        <f t="shared" si="2787"/>
        <v/>
      </c>
      <c r="DE226" s="30" t="str">
        <f t="shared" si="2788"/>
        <v/>
      </c>
      <c r="DF226" s="30" t="str">
        <f t="shared" si="2789"/>
        <v/>
      </c>
      <c r="DG226" s="30" t="str">
        <f t="shared" si="2790"/>
        <v/>
      </c>
      <c r="DH226" s="30" t="str">
        <f t="shared" si="2791"/>
        <v/>
      </c>
      <c r="DI226" s="30" t="str">
        <f t="shared" si="2792"/>
        <v/>
      </c>
      <c r="DJ226" s="30" t="str">
        <f t="shared" si="2793"/>
        <v/>
      </c>
      <c r="DK226" s="30" t="str">
        <f t="shared" si="2794"/>
        <v/>
      </c>
      <c r="DL226" s="30" t="str">
        <f t="shared" si="2795"/>
        <v/>
      </c>
      <c r="DM226" s="30" t="str">
        <f t="shared" si="2796"/>
        <v/>
      </c>
      <c r="DN226" s="30" t="str">
        <f t="shared" si="2797"/>
        <v/>
      </c>
      <c r="DO226" s="30" t="str">
        <f t="shared" si="2798"/>
        <v/>
      </c>
      <c r="DP226" s="30" t="str">
        <f t="shared" si="2799"/>
        <v/>
      </c>
      <c r="DQ226" s="30" t="str">
        <f t="shared" si="2800"/>
        <v/>
      </c>
      <c r="DR226" s="30" t="str">
        <f t="shared" si="2801"/>
        <v/>
      </c>
      <c r="DS226" s="30" t="str">
        <f t="shared" si="2802"/>
        <v/>
      </c>
      <c r="DT226" s="30" t="str">
        <f t="shared" si="2803"/>
        <v/>
      </c>
      <c r="DU226" s="30" t="str">
        <f t="shared" si="2804"/>
        <v/>
      </c>
      <c r="DV226" s="30" t="str">
        <f t="shared" si="2805"/>
        <v/>
      </c>
      <c r="DW226" s="30" t="str">
        <f t="shared" si="2806"/>
        <v/>
      </c>
      <c r="DX226" s="30" t="str">
        <f t="shared" si="2807"/>
        <v/>
      </c>
      <c r="DY226" s="30" t="str">
        <f t="shared" si="2808"/>
        <v/>
      </c>
      <c r="DZ226" s="30" t="str">
        <f t="shared" si="2809"/>
        <v/>
      </c>
      <c r="EA226" s="30" t="str">
        <f t="shared" si="2810"/>
        <v/>
      </c>
      <c r="EB226" s="30" t="str">
        <f t="shared" si="2811"/>
        <v/>
      </c>
      <c r="EC226" s="30" t="str">
        <f t="shared" si="2812"/>
        <v/>
      </c>
      <c r="ED226" s="30" t="str">
        <f t="shared" si="2813"/>
        <v/>
      </c>
      <c r="EE226" s="30" t="str">
        <f t="shared" si="2814"/>
        <v/>
      </c>
      <c r="EF226" s="30" t="str">
        <f t="shared" si="2815"/>
        <v/>
      </c>
      <c r="EG226" s="30" t="str">
        <f t="shared" si="2816"/>
        <v/>
      </c>
      <c r="EH226" s="30" t="str">
        <f t="shared" si="2817"/>
        <v/>
      </c>
      <c r="EI226" s="30" t="str">
        <f t="shared" si="2818"/>
        <v/>
      </c>
      <c r="EJ226" s="30" t="str">
        <f t="shared" si="2819"/>
        <v/>
      </c>
      <c r="EK226" s="30" t="str">
        <f t="shared" si="2820"/>
        <v/>
      </c>
      <c r="EL226" s="30" t="str">
        <f t="shared" si="2821"/>
        <v/>
      </c>
      <c r="EM226" s="30" t="str">
        <f t="shared" si="2822"/>
        <v/>
      </c>
      <c r="EN226" s="30" t="str">
        <f t="shared" si="2823"/>
        <v/>
      </c>
      <c r="EO226" s="30" t="str">
        <f t="shared" si="2824"/>
        <v/>
      </c>
      <c r="EP226" s="30" t="str">
        <f t="shared" si="2825"/>
        <v/>
      </c>
      <c r="EQ226" s="30" t="str">
        <f t="shared" si="2826"/>
        <v/>
      </c>
      <c r="ER226" s="30" t="str">
        <f t="shared" si="2827"/>
        <v/>
      </c>
      <c r="ES226" s="30" t="str">
        <f t="shared" si="2828"/>
        <v/>
      </c>
      <c r="ET226" s="30" t="str">
        <f t="shared" si="2829"/>
        <v/>
      </c>
      <c r="EU226" s="30" t="str">
        <f t="shared" si="2830"/>
        <v/>
      </c>
      <c r="EV226" s="30" t="str">
        <f t="shared" si="2831"/>
        <v/>
      </c>
      <c r="EW226" s="30" t="str">
        <f t="shared" si="2832"/>
        <v/>
      </c>
      <c r="EX226" s="30" t="str">
        <f t="shared" si="2833"/>
        <v/>
      </c>
      <c r="EY226" s="30" t="str">
        <f t="shared" si="2834"/>
        <v/>
      </c>
      <c r="EZ226" s="30" t="str">
        <f t="shared" si="2835"/>
        <v/>
      </c>
      <c r="FA226" s="30" t="str">
        <f t="shared" si="2836"/>
        <v/>
      </c>
      <c r="FB226" s="30" t="str">
        <f t="shared" si="2837"/>
        <v/>
      </c>
      <c r="FC226" s="30" t="str">
        <f t="shared" si="2838"/>
        <v/>
      </c>
      <c r="FD226" s="30" t="str">
        <f t="shared" si="2839"/>
        <v/>
      </c>
      <c r="FE226" s="30" t="str">
        <f t="shared" si="2840"/>
        <v/>
      </c>
      <c r="FF226" s="30" t="str">
        <f t="shared" si="2841"/>
        <v/>
      </c>
      <c r="FG226" s="30" t="str">
        <f t="shared" si="2842"/>
        <v/>
      </c>
      <c r="FH226" s="30" t="str">
        <f t="shared" si="2843"/>
        <v/>
      </c>
      <c r="FI226" s="30" t="str">
        <f t="shared" si="2844"/>
        <v/>
      </c>
      <c r="FJ226" s="30" t="str">
        <f t="shared" si="2845"/>
        <v/>
      </c>
      <c r="FK226" s="30" t="str">
        <f t="shared" si="2846"/>
        <v/>
      </c>
      <c r="FL226" s="30" t="str">
        <f t="shared" si="2847"/>
        <v/>
      </c>
      <c r="FM226" s="30" t="str">
        <f t="shared" si="2848"/>
        <v/>
      </c>
      <c r="FN226" s="30" t="str">
        <f t="shared" si="2849"/>
        <v/>
      </c>
      <c r="FO226" s="30" t="str">
        <f t="shared" si="2850"/>
        <v/>
      </c>
      <c r="FP226" s="30" t="str">
        <f t="shared" si="2851"/>
        <v/>
      </c>
      <c r="FQ226" s="30" t="str">
        <f t="shared" si="2852"/>
        <v/>
      </c>
      <c r="FR226" s="30" t="str">
        <f t="shared" si="2853"/>
        <v/>
      </c>
      <c r="FS226" s="30" t="str">
        <f t="shared" si="2854"/>
        <v/>
      </c>
    </row>
    <row r="227" spans="92:175">
      <c r="CN227" s="7" t="str">
        <f t="shared" si="2779"/>
        <v>InitUnitState('',,,,,,,,,,)</v>
      </c>
      <c r="CO227" s="7" t="str">
        <f t="shared" si="2780"/>
        <v>InitUnitNormal('',,,,,,,,,,)</v>
      </c>
      <c r="CP227" s="7" t="str">
        <f t="shared" si="2781"/>
        <v>InitUnitMagic('',,,,,,,,,,)</v>
      </c>
      <c r="CQ227" s="7" t="str">
        <f t="shared" si="2782"/>
        <v>InitUnitAdd('',,,,,,,,,,)</v>
      </c>
      <c r="CR227" s="7" t="str">
        <f t="shared" si="2783"/>
        <v>InitEquipData('',,"",,,,,'','','','','','',"")</v>
      </c>
      <c r="CU227" s="29" t="str">
        <f t="shared" si="2784"/>
        <v>|n</v>
      </c>
      <c r="CW227" s="24"/>
      <c r="CX227" s="24"/>
      <c r="CY227" s="24"/>
      <c r="CZ227" s="24"/>
      <c r="DA227" s="24"/>
      <c r="DB227" s="30" t="str">
        <f t="shared" si="2785"/>
        <v/>
      </c>
      <c r="DC227" s="30" t="str">
        <f t="shared" si="2786"/>
        <v/>
      </c>
      <c r="DD227" s="30" t="str">
        <f t="shared" si="2787"/>
        <v/>
      </c>
      <c r="DE227" s="30" t="str">
        <f t="shared" si="2788"/>
        <v/>
      </c>
      <c r="DF227" s="30" t="str">
        <f t="shared" si="2789"/>
        <v/>
      </c>
      <c r="DG227" s="30" t="str">
        <f t="shared" si="2790"/>
        <v/>
      </c>
      <c r="DH227" s="30" t="str">
        <f t="shared" si="2791"/>
        <v/>
      </c>
      <c r="DI227" s="30" t="str">
        <f t="shared" si="2792"/>
        <v/>
      </c>
      <c r="DJ227" s="30" t="str">
        <f t="shared" si="2793"/>
        <v/>
      </c>
      <c r="DK227" s="30" t="str">
        <f t="shared" si="2794"/>
        <v/>
      </c>
      <c r="DL227" s="30" t="str">
        <f t="shared" si="2795"/>
        <v/>
      </c>
      <c r="DM227" s="30" t="str">
        <f t="shared" si="2796"/>
        <v/>
      </c>
      <c r="DN227" s="30" t="str">
        <f t="shared" si="2797"/>
        <v/>
      </c>
      <c r="DO227" s="30" t="str">
        <f t="shared" si="2798"/>
        <v/>
      </c>
      <c r="DP227" s="30" t="str">
        <f t="shared" si="2799"/>
        <v/>
      </c>
      <c r="DQ227" s="30" t="str">
        <f t="shared" si="2800"/>
        <v/>
      </c>
      <c r="DR227" s="30" t="str">
        <f t="shared" si="2801"/>
        <v/>
      </c>
      <c r="DS227" s="30" t="str">
        <f t="shared" si="2802"/>
        <v/>
      </c>
      <c r="DT227" s="30" t="str">
        <f t="shared" si="2803"/>
        <v/>
      </c>
      <c r="DU227" s="30" t="str">
        <f t="shared" si="2804"/>
        <v/>
      </c>
      <c r="DV227" s="30" t="str">
        <f t="shared" si="2805"/>
        <v/>
      </c>
      <c r="DW227" s="30" t="str">
        <f t="shared" si="2806"/>
        <v/>
      </c>
      <c r="DX227" s="30" t="str">
        <f t="shared" si="2807"/>
        <v/>
      </c>
      <c r="DY227" s="30" t="str">
        <f t="shared" si="2808"/>
        <v/>
      </c>
      <c r="DZ227" s="30" t="str">
        <f t="shared" si="2809"/>
        <v/>
      </c>
      <c r="EA227" s="30" t="str">
        <f t="shared" si="2810"/>
        <v/>
      </c>
      <c r="EB227" s="30" t="str">
        <f t="shared" si="2811"/>
        <v/>
      </c>
      <c r="EC227" s="30" t="str">
        <f t="shared" si="2812"/>
        <v/>
      </c>
      <c r="ED227" s="30" t="str">
        <f t="shared" si="2813"/>
        <v/>
      </c>
      <c r="EE227" s="30" t="str">
        <f t="shared" si="2814"/>
        <v/>
      </c>
      <c r="EF227" s="30" t="str">
        <f t="shared" si="2815"/>
        <v/>
      </c>
      <c r="EG227" s="30" t="str">
        <f t="shared" si="2816"/>
        <v/>
      </c>
      <c r="EH227" s="30" t="str">
        <f t="shared" si="2817"/>
        <v/>
      </c>
      <c r="EI227" s="30" t="str">
        <f t="shared" si="2818"/>
        <v/>
      </c>
      <c r="EJ227" s="30" t="str">
        <f t="shared" si="2819"/>
        <v/>
      </c>
      <c r="EK227" s="30" t="str">
        <f t="shared" si="2820"/>
        <v/>
      </c>
      <c r="EL227" s="30" t="str">
        <f t="shared" si="2821"/>
        <v/>
      </c>
      <c r="EM227" s="30" t="str">
        <f t="shared" si="2822"/>
        <v/>
      </c>
      <c r="EN227" s="30" t="str">
        <f t="shared" si="2823"/>
        <v/>
      </c>
      <c r="EO227" s="30" t="str">
        <f t="shared" si="2824"/>
        <v/>
      </c>
      <c r="EP227" s="30" t="str">
        <f t="shared" si="2825"/>
        <v/>
      </c>
      <c r="EQ227" s="30" t="str">
        <f t="shared" si="2826"/>
        <v/>
      </c>
      <c r="ER227" s="30" t="str">
        <f t="shared" si="2827"/>
        <v/>
      </c>
      <c r="ES227" s="30" t="str">
        <f t="shared" si="2828"/>
        <v/>
      </c>
      <c r="ET227" s="30" t="str">
        <f t="shared" si="2829"/>
        <v/>
      </c>
      <c r="EU227" s="30" t="str">
        <f t="shared" si="2830"/>
        <v/>
      </c>
      <c r="EV227" s="30" t="str">
        <f t="shared" si="2831"/>
        <v/>
      </c>
      <c r="EW227" s="30" t="str">
        <f t="shared" si="2832"/>
        <v/>
      </c>
      <c r="EX227" s="30" t="str">
        <f t="shared" si="2833"/>
        <v/>
      </c>
      <c r="EY227" s="30" t="str">
        <f t="shared" si="2834"/>
        <v/>
      </c>
      <c r="EZ227" s="30" t="str">
        <f t="shared" si="2835"/>
        <v/>
      </c>
      <c r="FA227" s="30" t="str">
        <f t="shared" si="2836"/>
        <v/>
      </c>
      <c r="FB227" s="30" t="str">
        <f t="shared" si="2837"/>
        <v/>
      </c>
      <c r="FC227" s="30" t="str">
        <f t="shared" si="2838"/>
        <v/>
      </c>
      <c r="FD227" s="30" t="str">
        <f t="shared" si="2839"/>
        <v/>
      </c>
      <c r="FE227" s="30" t="str">
        <f t="shared" si="2840"/>
        <v/>
      </c>
      <c r="FF227" s="30" t="str">
        <f t="shared" si="2841"/>
        <v/>
      </c>
      <c r="FG227" s="30" t="str">
        <f t="shared" si="2842"/>
        <v/>
      </c>
      <c r="FH227" s="30" t="str">
        <f t="shared" si="2843"/>
        <v/>
      </c>
      <c r="FI227" s="30" t="str">
        <f t="shared" si="2844"/>
        <v/>
      </c>
      <c r="FJ227" s="30" t="str">
        <f t="shared" si="2845"/>
        <v/>
      </c>
      <c r="FK227" s="30" t="str">
        <f t="shared" si="2846"/>
        <v/>
      </c>
      <c r="FL227" s="30" t="str">
        <f t="shared" si="2847"/>
        <v/>
      </c>
      <c r="FM227" s="30" t="str">
        <f t="shared" si="2848"/>
        <v/>
      </c>
      <c r="FN227" s="30" t="str">
        <f t="shared" si="2849"/>
        <v/>
      </c>
      <c r="FO227" s="30" t="str">
        <f t="shared" si="2850"/>
        <v/>
      </c>
      <c r="FP227" s="30" t="str">
        <f t="shared" si="2851"/>
        <v/>
      </c>
      <c r="FQ227" s="30" t="str">
        <f t="shared" si="2852"/>
        <v/>
      </c>
      <c r="FR227" s="30" t="str">
        <f t="shared" si="2853"/>
        <v/>
      </c>
      <c r="FS227" s="30" t="str">
        <f t="shared" si="2854"/>
        <v/>
      </c>
    </row>
    <row r="228" spans="92:175">
      <c r="CN228" s="7" t="str">
        <f t="shared" si="2779"/>
        <v>InitUnitState('',,,,,,,,,,)</v>
      </c>
      <c r="CO228" s="7" t="str">
        <f t="shared" si="2780"/>
        <v>InitUnitNormal('',,,,,,,,,,)</v>
      </c>
      <c r="CP228" s="7" t="str">
        <f t="shared" si="2781"/>
        <v>InitUnitMagic('',,,,,,,,,,)</v>
      </c>
      <c r="CQ228" s="7" t="str">
        <f t="shared" si="2782"/>
        <v>InitUnitAdd('',,,,,,,,,,)</v>
      </c>
      <c r="CR228" s="7" t="str">
        <f t="shared" si="2783"/>
        <v>InitEquipData('',,"",,,,,'','','','','','',"")</v>
      </c>
      <c r="CU228" s="29" t="str">
        <f t="shared" si="2784"/>
        <v>|n</v>
      </c>
      <c r="CW228" s="24"/>
      <c r="CX228" s="24"/>
      <c r="CY228" s="24"/>
      <c r="CZ228" s="24"/>
      <c r="DA228" s="24"/>
      <c r="DB228" s="30" t="str">
        <f t="shared" si="2785"/>
        <v/>
      </c>
      <c r="DC228" s="30" t="str">
        <f t="shared" si="2786"/>
        <v/>
      </c>
      <c r="DD228" s="30" t="str">
        <f t="shared" si="2787"/>
        <v/>
      </c>
      <c r="DE228" s="30" t="str">
        <f t="shared" si="2788"/>
        <v/>
      </c>
      <c r="DF228" s="30" t="str">
        <f t="shared" si="2789"/>
        <v/>
      </c>
      <c r="DG228" s="30" t="str">
        <f t="shared" si="2790"/>
        <v/>
      </c>
      <c r="DH228" s="30" t="str">
        <f t="shared" si="2791"/>
        <v/>
      </c>
      <c r="DI228" s="30" t="str">
        <f t="shared" si="2792"/>
        <v/>
      </c>
      <c r="DJ228" s="30" t="str">
        <f t="shared" si="2793"/>
        <v/>
      </c>
      <c r="DK228" s="30" t="str">
        <f t="shared" si="2794"/>
        <v/>
      </c>
      <c r="DL228" s="30" t="str">
        <f t="shared" si="2795"/>
        <v/>
      </c>
      <c r="DM228" s="30" t="str">
        <f t="shared" si="2796"/>
        <v/>
      </c>
      <c r="DN228" s="30" t="str">
        <f t="shared" si="2797"/>
        <v/>
      </c>
      <c r="DO228" s="30" t="str">
        <f t="shared" si="2798"/>
        <v/>
      </c>
      <c r="DP228" s="30" t="str">
        <f t="shared" si="2799"/>
        <v/>
      </c>
      <c r="DQ228" s="30" t="str">
        <f t="shared" si="2800"/>
        <v/>
      </c>
      <c r="DR228" s="30" t="str">
        <f t="shared" si="2801"/>
        <v/>
      </c>
      <c r="DS228" s="30" t="str">
        <f t="shared" si="2802"/>
        <v/>
      </c>
      <c r="DT228" s="30" t="str">
        <f t="shared" si="2803"/>
        <v/>
      </c>
      <c r="DU228" s="30" t="str">
        <f t="shared" si="2804"/>
        <v/>
      </c>
      <c r="DV228" s="30" t="str">
        <f t="shared" si="2805"/>
        <v/>
      </c>
      <c r="DW228" s="30" t="str">
        <f t="shared" si="2806"/>
        <v/>
      </c>
      <c r="DX228" s="30" t="str">
        <f t="shared" si="2807"/>
        <v/>
      </c>
      <c r="DY228" s="30" t="str">
        <f t="shared" si="2808"/>
        <v/>
      </c>
      <c r="DZ228" s="30" t="str">
        <f t="shared" si="2809"/>
        <v/>
      </c>
      <c r="EA228" s="30" t="str">
        <f t="shared" si="2810"/>
        <v/>
      </c>
      <c r="EB228" s="30" t="str">
        <f t="shared" si="2811"/>
        <v/>
      </c>
      <c r="EC228" s="30" t="str">
        <f t="shared" si="2812"/>
        <v/>
      </c>
      <c r="ED228" s="30" t="str">
        <f t="shared" si="2813"/>
        <v/>
      </c>
      <c r="EE228" s="30" t="str">
        <f t="shared" si="2814"/>
        <v/>
      </c>
      <c r="EF228" s="30" t="str">
        <f t="shared" si="2815"/>
        <v/>
      </c>
      <c r="EG228" s="30" t="str">
        <f t="shared" si="2816"/>
        <v/>
      </c>
      <c r="EH228" s="30" t="str">
        <f t="shared" si="2817"/>
        <v/>
      </c>
      <c r="EI228" s="30" t="str">
        <f t="shared" si="2818"/>
        <v/>
      </c>
      <c r="EJ228" s="30" t="str">
        <f t="shared" si="2819"/>
        <v/>
      </c>
      <c r="EK228" s="30" t="str">
        <f t="shared" si="2820"/>
        <v/>
      </c>
      <c r="EL228" s="30" t="str">
        <f t="shared" si="2821"/>
        <v/>
      </c>
      <c r="EM228" s="30" t="str">
        <f t="shared" si="2822"/>
        <v/>
      </c>
      <c r="EN228" s="30" t="str">
        <f t="shared" si="2823"/>
        <v/>
      </c>
      <c r="EO228" s="30" t="str">
        <f t="shared" si="2824"/>
        <v/>
      </c>
      <c r="EP228" s="30" t="str">
        <f t="shared" si="2825"/>
        <v/>
      </c>
      <c r="EQ228" s="30" t="str">
        <f t="shared" si="2826"/>
        <v/>
      </c>
      <c r="ER228" s="30" t="str">
        <f t="shared" si="2827"/>
        <v/>
      </c>
      <c r="ES228" s="30" t="str">
        <f t="shared" si="2828"/>
        <v/>
      </c>
      <c r="ET228" s="30" t="str">
        <f t="shared" si="2829"/>
        <v/>
      </c>
      <c r="EU228" s="30" t="str">
        <f t="shared" si="2830"/>
        <v/>
      </c>
      <c r="EV228" s="30" t="str">
        <f t="shared" si="2831"/>
        <v/>
      </c>
      <c r="EW228" s="30" t="str">
        <f t="shared" si="2832"/>
        <v/>
      </c>
      <c r="EX228" s="30" t="str">
        <f t="shared" si="2833"/>
        <v/>
      </c>
      <c r="EY228" s="30" t="str">
        <f t="shared" si="2834"/>
        <v/>
      </c>
      <c r="EZ228" s="30" t="str">
        <f t="shared" si="2835"/>
        <v/>
      </c>
      <c r="FA228" s="30" t="str">
        <f t="shared" si="2836"/>
        <v/>
      </c>
      <c r="FB228" s="30" t="str">
        <f t="shared" si="2837"/>
        <v/>
      </c>
      <c r="FC228" s="30" t="str">
        <f t="shared" si="2838"/>
        <v/>
      </c>
      <c r="FD228" s="30" t="str">
        <f t="shared" si="2839"/>
        <v/>
      </c>
      <c r="FE228" s="30" t="str">
        <f t="shared" si="2840"/>
        <v/>
      </c>
      <c r="FF228" s="30" t="str">
        <f t="shared" si="2841"/>
        <v/>
      </c>
      <c r="FG228" s="30" t="str">
        <f t="shared" si="2842"/>
        <v/>
      </c>
      <c r="FH228" s="30" t="str">
        <f t="shared" si="2843"/>
        <v/>
      </c>
      <c r="FI228" s="30" t="str">
        <f t="shared" si="2844"/>
        <v/>
      </c>
      <c r="FJ228" s="30" t="str">
        <f t="shared" si="2845"/>
        <v/>
      </c>
      <c r="FK228" s="30" t="str">
        <f t="shared" si="2846"/>
        <v/>
      </c>
      <c r="FL228" s="30" t="str">
        <f t="shared" si="2847"/>
        <v/>
      </c>
      <c r="FM228" s="30" t="str">
        <f t="shared" si="2848"/>
        <v/>
      </c>
      <c r="FN228" s="30" t="str">
        <f t="shared" si="2849"/>
        <v/>
      </c>
      <c r="FO228" s="30" t="str">
        <f t="shared" si="2850"/>
        <v/>
      </c>
      <c r="FP228" s="30" t="str">
        <f t="shared" si="2851"/>
        <v/>
      </c>
      <c r="FQ228" s="30" t="str">
        <f t="shared" si="2852"/>
        <v/>
      </c>
      <c r="FR228" s="30" t="str">
        <f t="shared" si="2853"/>
        <v/>
      </c>
      <c r="FS228" s="30" t="str">
        <f t="shared" si="2854"/>
        <v/>
      </c>
    </row>
    <row r="229" spans="92:175">
      <c r="CN229" s="7" t="str">
        <f t="shared" si="2779"/>
        <v>InitUnitState('',,,,,,,,,,)</v>
      </c>
      <c r="CO229" s="7" t="str">
        <f t="shared" si="2780"/>
        <v>InitUnitNormal('',,,,,,,,,,)</v>
      </c>
      <c r="CP229" s="7" t="str">
        <f t="shared" si="2781"/>
        <v>InitUnitMagic('',,,,,,,,,,)</v>
      </c>
      <c r="CQ229" s="7" t="str">
        <f t="shared" si="2782"/>
        <v>InitUnitAdd('',,,,,,,,,,)</v>
      </c>
      <c r="CR229" s="7" t="str">
        <f t="shared" si="2783"/>
        <v>InitEquipData('',,"",,,,,'','','','','','',"")</v>
      </c>
      <c r="CU229" s="29" t="str">
        <f t="shared" si="2784"/>
        <v>|n</v>
      </c>
      <c r="CW229" s="24"/>
      <c r="CX229" s="24"/>
      <c r="CY229" s="24"/>
      <c r="CZ229" s="24"/>
      <c r="DA229" s="24"/>
      <c r="DB229" s="30" t="str">
        <f t="shared" si="2785"/>
        <v/>
      </c>
      <c r="DC229" s="30" t="str">
        <f t="shared" si="2786"/>
        <v/>
      </c>
      <c r="DD229" s="30" t="str">
        <f t="shared" si="2787"/>
        <v/>
      </c>
      <c r="DE229" s="30" t="str">
        <f t="shared" si="2788"/>
        <v/>
      </c>
      <c r="DF229" s="30" t="str">
        <f t="shared" si="2789"/>
        <v/>
      </c>
      <c r="DG229" s="30" t="str">
        <f t="shared" si="2790"/>
        <v/>
      </c>
      <c r="DH229" s="30" t="str">
        <f t="shared" si="2791"/>
        <v/>
      </c>
      <c r="DI229" s="30" t="str">
        <f t="shared" si="2792"/>
        <v/>
      </c>
      <c r="DJ229" s="30" t="str">
        <f t="shared" si="2793"/>
        <v/>
      </c>
      <c r="DK229" s="30" t="str">
        <f t="shared" si="2794"/>
        <v/>
      </c>
      <c r="DL229" s="30" t="str">
        <f t="shared" si="2795"/>
        <v/>
      </c>
      <c r="DM229" s="30" t="str">
        <f t="shared" si="2796"/>
        <v/>
      </c>
      <c r="DN229" s="30" t="str">
        <f t="shared" si="2797"/>
        <v/>
      </c>
      <c r="DO229" s="30" t="str">
        <f t="shared" si="2798"/>
        <v/>
      </c>
      <c r="DP229" s="30" t="str">
        <f t="shared" si="2799"/>
        <v/>
      </c>
      <c r="DQ229" s="30" t="str">
        <f t="shared" si="2800"/>
        <v/>
      </c>
      <c r="DR229" s="30" t="str">
        <f t="shared" si="2801"/>
        <v/>
      </c>
      <c r="DS229" s="30" t="str">
        <f t="shared" si="2802"/>
        <v/>
      </c>
      <c r="DT229" s="30" t="str">
        <f t="shared" si="2803"/>
        <v/>
      </c>
      <c r="DU229" s="30" t="str">
        <f t="shared" si="2804"/>
        <v/>
      </c>
      <c r="DV229" s="30" t="str">
        <f t="shared" si="2805"/>
        <v/>
      </c>
      <c r="DW229" s="30" t="str">
        <f t="shared" si="2806"/>
        <v/>
      </c>
      <c r="DX229" s="30" t="str">
        <f t="shared" si="2807"/>
        <v/>
      </c>
      <c r="DY229" s="30" t="str">
        <f t="shared" si="2808"/>
        <v/>
      </c>
      <c r="DZ229" s="30" t="str">
        <f t="shared" si="2809"/>
        <v/>
      </c>
      <c r="EA229" s="30" t="str">
        <f t="shared" si="2810"/>
        <v/>
      </c>
      <c r="EB229" s="30" t="str">
        <f t="shared" si="2811"/>
        <v/>
      </c>
      <c r="EC229" s="30" t="str">
        <f t="shared" si="2812"/>
        <v/>
      </c>
      <c r="ED229" s="30" t="str">
        <f t="shared" si="2813"/>
        <v/>
      </c>
      <c r="EE229" s="30" t="str">
        <f t="shared" si="2814"/>
        <v/>
      </c>
      <c r="EF229" s="30" t="str">
        <f t="shared" si="2815"/>
        <v/>
      </c>
      <c r="EG229" s="30" t="str">
        <f t="shared" si="2816"/>
        <v/>
      </c>
      <c r="EH229" s="30" t="str">
        <f t="shared" si="2817"/>
        <v/>
      </c>
      <c r="EI229" s="30" t="str">
        <f t="shared" si="2818"/>
        <v/>
      </c>
      <c r="EJ229" s="30" t="str">
        <f t="shared" si="2819"/>
        <v/>
      </c>
      <c r="EK229" s="30" t="str">
        <f t="shared" si="2820"/>
        <v/>
      </c>
      <c r="EL229" s="30" t="str">
        <f t="shared" si="2821"/>
        <v/>
      </c>
      <c r="EM229" s="30" t="str">
        <f t="shared" si="2822"/>
        <v/>
      </c>
      <c r="EN229" s="30" t="str">
        <f t="shared" si="2823"/>
        <v/>
      </c>
      <c r="EO229" s="30" t="str">
        <f t="shared" si="2824"/>
        <v/>
      </c>
      <c r="EP229" s="30" t="str">
        <f t="shared" si="2825"/>
        <v/>
      </c>
      <c r="EQ229" s="30" t="str">
        <f t="shared" si="2826"/>
        <v/>
      </c>
      <c r="ER229" s="30" t="str">
        <f t="shared" si="2827"/>
        <v/>
      </c>
      <c r="ES229" s="30" t="str">
        <f t="shared" si="2828"/>
        <v/>
      </c>
      <c r="ET229" s="30" t="str">
        <f t="shared" si="2829"/>
        <v/>
      </c>
      <c r="EU229" s="30" t="str">
        <f t="shared" si="2830"/>
        <v/>
      </c>
      <c r="EV229" s="30" t="str">
        <f t="shared" si="2831"/>
        <v/>
      </c>
      <c r="EW229" s="30" t="str">
        <f t="shared" si="2832"/>
        <v/>
      </c>
      <c r="EX229" s="30" t="str">
        <f t="shared" si="2833"/>
        <v/>
      </c>
      <c r="EY229" s="30" t="str">
        <f t="shared" si="2834"/>
        <v/>
      </c>
      <c r="EZ229" s="30" t="str">
        <f t="shared" si="2835"/>
        <v/>
      </c>
      <c r="FA229" s="30" t="str">
        <f t="shared" si="2836"/>
        <v/>
      </c>
      <c r="FB229" s="30" t="str">
        <f t="shared" si="2837"/>
        <v/>
      </c>
      <c r="FC229" s="30" t="str">
        <f t="shared" si="2838"/>
        <v/>
      </c>
      <c r="FD229" s="30" t="str">
        <f t="shared" si="2839"/>
        <v/>
      </c>
      <c r="FE229" s="30" t="str">
        <f t="shared" si="2840"/>
        <v/>
      </c>
      <c r="FF229" s="30" t="str">
        <f t="shared" si="2841"/>
        <v/>
      </c>
      <c r="FG229" s="30" t="str">
        <f t="shared" si="2842"/>
        <v/>
      </c>
      <c r="FH229" s="30" t="str">
        <f t="shared" si="2843"/>
        <v/>
      </c>
      <c r="FI229" s="30" t="str">
        <f t="shared" si="2844"/>
        <v/>
      </c>
      <c r="FJ229" s="30" t="str">
        <f t="shared" si="2845"/>
        <v/>
      </c>
      <c r="FK229" s="30" t="str">
        <f t="shared" si="2846"/>
        <v/>
      </c>
      <c r="FL229" s="30" t="str">
        <f t="shared" si="2847"/>
        <v/>
      </c>
      <c r="FM229" s="30" t="str">
        <f t="shared" si="2848"/>
        <v/>
      </c>
      <c r="FN229" s="30" t="str">
        <f t="shared" si="2849"/>
        <v/>
      </c>
      <c r="FO229" s="30" t="str">
        <f t="shared" si="2850"/>
        <v/>
      </c>
      <c r="FP229" s="30" t="str">
        <f t="shared" si="2851"/>
        <v/>
      </c>
      <c r="FQ229" s="30" t="str">
        <f t="shared" si="2852"/>
        <v/>
      </c>
      <c r="FR229" s="30" t="str">
        <f t="shared" si="2853"/>
        <v/>
      </c>
      <c r="FS229" s="30" t="str">
        <f t="shared" si="2854"/>
        <v/>
      </c>
    </row>
    <row r="230" spans="92:175">
      <c r="CN230" s="7" t="str">
        <f t="shared" si="2779"/>
        <v>InitUnitState('',,,,,,,,,,)</v>
      </c>
      <c r="CO230" s="7" t="str">
        <f t="shared" si="2780"/>
        <v>InitUnitNormal('',,,,,,,,,,)</v>
      </c>
      <c r="CP230" s="7" t="str">
        <f t="shared" si="2781"/>
        <v>InitUnitMagic('',,,,,,,,,,)</v>
      </c>
      <c r="CQ230" s="7" t="str">
        <f t="shared" si="2782"/>
        <v>InitUnitAdd('',,,,,,,,,,)</v>
      </c>
      <c r="CR230" s="7" t="str">
        <f t="shared" si="2783"/>
        <v>InitEquipData('',,"",,,,,'','','','','','',"")</v>
      </c>
      <c r="CU230" s="29" t="str">
        <f t="shared" si="2784"/>
        <v>|n</v>
      </c>
      <c r="CW230" s="24"/>
      <c r="CX230" s="24"/>
      <c r="CY230" s="24"/>
      <c r="CZ230" s="24"/>
      <c r="DA230" s="24"/>
      <c r="DB230" s="30" t="str">
        <f t="shared" si="2785"/>
        <v/>
      </c>
      <c r="DC230" s="30" t="str">
        <f t="shared" si="2786"/>
        <v/>
      </c>
      <c r="DD230" s="30" t="str">
        <f t="shared" si="2787"/>
        <v/>
      </c>
      <c r="DE230" s="30" t="str">
        <f t="shared" si="2788"/>
        <v/>
      </c>
      <c r="DF230" s="30" t="str">
        <f t="shared" si="2789"/>
        <v/>
      </c>
      <c r="DG230" s="30" t="str">
        <f t="shared" si="2790"/>
        <v/>
      </c>
      <c r="DH230" s="30" t="str">
        <f t="shared" si="2791"/>
        <v/>
      </c>
      <c r="DI230" s="30" t="str">
        <f t="shared" si="2792"/>
        <v/>
      </c>
      <c r="DJ230" s="30" t="str">
        <f t="shared" si="2793"/>
        <v/>
      </c>
      <c r="DK230" s="30" t="str">
        <f t="shared" si="2794"/>
        <v/>
      </c>
      <c r="DL230" s="30" t="str">
        <f t="shared" si="2795"/>
        <v/>
      </c>
      <c r="DM230" s="30" t="str">
        <f t="shared" si="2796"/>
        <v/>
      </c>
      <c r="DN230" s="30" t="str">
        <f t="shared" si="2797"/>
        <v/>
      </c>
      <c r="DO230" s="30" t="str">
        <f t="shared" si="2798"/>
        <v/>
      </c>
      <c r="DP230" s="30" t="str">
        <f t="shared" si="2799"/>
        <v/>
      </c>
      <c r="DQ230" s="30" t="str">
        <f t="shared" si="2800"/>
        <v/>
      </c>
      <c r="DR230" s="30" t="str">
        <f t="shared" si="2801"/>
        <v/>
      </c>
      <c r="DS230" s="30" t="str">
        <f t="shared" si="2802"/>
        <v/>
      </c>
      <c r="DT230" s="30" t="str">
        <f t="shared" si="2803"/>
        <v/>
      </c>
      <c r="DU230" s="30" t="str">
        <f t="shared" si="2804"/>
        <v/>
      </c>
      <c r="DV230" s="30" t="str">
        <f t="shared" si="2805"/>
        <v/>
      </c>
      <c r="DW230" s="30" t="str">
        <f t="shared" si="2806"/>
        <v/>
      </c>
      <c r="DX230" s="30" t="str">
        <f t="shared" si="2807"/>
        <v/>
      </c>
      <c r="DY230" s="30" t="str">
        <f t="shared" si="2808"/>
        <v/>
      </c>
      <c r="DZ230" s="30" t="str">
        <f t="shared" si="2809"/>
        <v/>
      </c>
      <c r="EA230" s="30" t="str">
        <f t="shared" si="2810"/>
        <v/>
      </c>
      <c r="EB230" s="30" t="str">
        <f t="shared" si="2811"/>
        <v/>
      </c>
      <c r="EC230" s="30" t="str">
        <f t="shared" si="2812"/>
        <v/>
      </c>
      <c r="ED230" s="30" t="str">
        <f t="shared" si="2813"/>
        <v/>
      </c>
      <c r="EE230" s="30" t="str">
        <f t="shared" si="2814"/>
        <v/>
      </c>
      <c r="EF230" s="30" t="str">
        <f t="shared" si="2815"/>
        <v/>
      </c>
      <c r="EG230" s="30" t="str">
        <f t="shared" si="2816"/>
        <v/>
      </c>
      <c r="EH230" s="30" t="str">
        <f t="shared" si="2817"/>
        <v/>
      </c>
      <c r="EI230" s="30" t="str">
        <f t="shared" si="2818"/>
        <v/>
      </c>
      <c r="EJ230" s="30" t="str">
        <f t="shared" si="2819"/>
        <v/>
      </c>
      <c r="EK230" s="30" t="str">
        <f t="shared" si="2820"/>
        <v/>
      </c>
      <c r="EL230" s="30" t="str">
        <f t="shared" si="2821"/>
        <v/>
      </c>
      <c r="EM230" s="30" t="str">
        <f t="shared" si="2822"/>
        <v/>
      </c>
      <c r="EN230" s="30" t="str">
        <f t="shared" si="2823"/>
        <v/>
      </c>
      <c r="EO230" s="30" t="str">
        <f t="shared" si="2824"/>
        <v/>
      </c>
      <c r="EP230" s="30" t="str">
        <f t="shared" si="2825"/>
        <v/>
      </c>
      <c r="EQ230" s="30" t="str">
        <f t="shared" si="2826"/>
        <v/>
      </c>
      <c r="ER230" s="30" t="str">
        <f t="shared" si="2827"/>
        <v/>
      </c>
      <c r="ES230" s="30" t="str">
        <f t="shared" si="2828"/>
        <v/>
      </c>
      <c r="ET230" s="30" t="str">
        <f t="shared" si="2829"/>
        <v/>
      </c>
      <c r="EU230" s="30" t="str">
        <f t="shared" si="2830"/>
        <v/>
      </c>
      <c r="EV230" s="30" t="str">
        <f t="shared" si="2831"/>
        <v/>
      </c>
      <c r="EW230" s="30" t="str">
        <f t="shared" si="2832"/>
        <v/>
      </c>
      <c r="EX230" s="30" t="str">
        <f t="shared" si="2833"/>
        <v/>
      </c>
      <c r="EY230" s="30" t="str">
        <f t="shared" si="2834"/>
        <v/>
      </c>
      <c r="EZ230" s="30" t="str">
        <f t="shared" si="2835"/>
        <v/>
      </c>
      <c r="FA230" s="30" t="str">
        <f t="shared" si="2836"/>
        <v/>
      </c>
      <c r="FB230" s="30" t="str">
        <f t="shared" si="2837"/>
        <v/>
      </c>
      <c r="FC230" s="30" t="str">
        <f t="shared" si="2838"/>
        <v/>
      </c>
      <c r="FD230" s="30" t="str">
        <f t="shared" si="2839"/>
        <v/>
      </c>
      <c r="FE230" s="30" t="str">
        <f t="shared" si="2840"/>
        <v/>
      </c>
      <c r="FF230" s="30" t="str">
        <f t="shared" si="2841"/>
        <v/>
      </c>
      <c r="FG230" s="30" t="str">
        <f t="shared" si="2842"/>
        <v/>
      </c>
      <c r="FH230" s="30" t="str">
        <f t="shared" si="2843"/>
        <v/>
      </c>
      <c r="FI230" s="30" t="str">
        <f t="shared" si="2844"/>
        <v/>
      </c>
      <c r="FJ230" s="30" t="str">
        <f t="shared" si="2845"/>
        <v/>
      </c>
      <c r="FK230" s="30" t="str">
        <f t="shared" si="2846"/>
        <v/>
      </c>
      <c r="FL230" s="30" t="str">
        <f t="shared" si="2847"/>
        <v/>
      </c>
      <c r="FM230" s="30" t="str">
        <f t="shared" si="2848"/>
        <v/>
      </c>
      <c r="FN230" s="30" t="str">
        <f t="shared" si="2849"/>
        <v/>
      </c>
      <c r="FO230" s="30" t="str">
        <f t="shared" si="2850"/>
        <v/>
      </c>
      <c r="FP230" s="30" t="str">
        <f t="shared" si="2851"/>
        <v/>
      </c>
      <c r="FQ230" s="30" t="str">
        <f t="shared" si="2852"/>
        <v/>
      </c>
      <c r="FR230" s="30" t="str">
        <f t="shared" si="2853"/>
        <v/>
      </c>
      <c r="FS230" s="30" t="str">
        <f t="shared" si="2854"/>
        <v/>
      </c>
    </row>
    <row r="231" spans="92:175">
      <c r="CN231" s="7" t="str">
        <f t="shared" si="2779"/>
        <v>InitUnitState('',,,,,,,,,,)</v>
      </c>
      <c r="CO231" s="7" t="str">
        <f t="shared" si="2780"/>
        <v>InitUnitNormal('',,,,,,,,,,)</v>
      </c>
      <c r="CP231" s="7" t="str">
        <f t="shared" si="2781"/>
        <v>InitUnitMagic('',,,,,,,,,,)</v>
      </c>
      <c r="CQ231" s="7" t="str">
        <f t="shared" si="2782"/>
        <v>InitUnitAdd('',,,,,,,,,,)</v>
      </c>
      <c r="CR231" s="7" t="str">
        <f t="shared" si="2783"/>
        <v>InitEquipData('',,"",,,,,'','','','','','',"")</v>
      </c>
      <c r="CU231" s="29" t="str">
        <f t="shared" si="2784"/>
        <v>|n</v>
      </c>
      <c r="CW231" s="24"/>
      <c r="CX231" s="24"/>
      <c r="CY231" s="24"/>
      <c r="CZ231" s="24"/>
      <c r="DA231" s="24"/>
      <c r="DB231" s="30" t="str">
        <f t="shared" si="2785"/>
        <v/>
      </c>
      <c r="DC231" s="30" t="str">
        <f t="shared" si="2786"/>
        <v/>
      </c>
      <c r="DD231" s="30" t="str">
        <f t="shared" si="2787"/>
        <v/>
      </c>
      <c r="DE231" s="30" t="str">
        <f t="shared" si="2788"/>
        <v/>
      </c>
      <c r="DF231" s="30" t="str">
        <f t="shared" si="2789"/>
        <v/>
      </c>
      <c r="DG231" s="30" t="str">
        <f t="shared" si="2790"/>
        <v/>
      </c>
      <c r="DH231" s="30" t="str">
        <f t="shared" si="2791"/>
        <v/>
      </c>
      <c r="DI231" s="30" t="str">
        <f t="shared" si="2792"/>
        <v/>
      </c>
      <c r="DJ231" s="30" t="str">
        <f t="shared" si="2793"/>
        <v/>
      </c>
      <c r="DK231" s="30" t="str">
        <f t="shared" si="2794"/>
        <v/>
      </c>
      <c r="DL231" s="30" t="str">
        <f t="shared" si="2795"/>
        <v/>
      </c>
      <c r="DM231" s="30" t="str">
        <f t="shared" si="2796"/>
        <v/>
      </c>
      <c r="DN231" s="30" t="str">
        <f t="shared" si="2797"/>
        <v/>
      </c>
      <c r="DO231" s="30" t="str">
        <f t="shared" si="2798"/>
        <v/>
      </c>
      <c r="DP231" s="30" t="str">
        <f t="shared" si="2799"/>
        <v/>
      </c>
      <c r="DQ231" s="30" t="str">
        <f t="shared" si="2800"/>
        <v/>
      </c>
      <c r="DR231" s="30" t="str">
        <f t="shared" si="2801"/>
        <v/>
      </c>
      <c r="DS231" s="30" t="str">
        <f t="shared" si="2802"/>
        <v/>
      </c>
      <c r="DT231" s="30" t="str">
        <f t="shared" si="2803"/>
        <v/>
      </c>
      <c r="DU231" s="30" t="str">
        <f t="shared" si="2804"/>
        <v/>
      </c>
      <c r="DV231" s="30" t="str">
        <f t="shared" si="2805"/>
        <v/>
      </c>
      <c r="DW231" s="30" t="str">
        <f t="shared" si="2806"/>
        <v/>
      </c>
      <c r="DX231" s="30" t="str">
        <f t="shared" si="2807"/>
        <v/>
      </c>
      <c r="DY231" s="30" t="str">
        <f t="shared" si="2808"/>
        <v/>
      </c>
      <c r="DZ231" s="30" t="str">
        <f t="shared" si="2809"/>
        <v/>
      </c>
      <c r="EA231" s="30" t="str">
        <f t="shared" si="2810"/>
        <v/>
      </c>
      <c r="EB231" s="30" t="str">
        <f t="shared" si="2811"/>
        <v/>
      </c>
      <c r="EC231" s="30" t="str">
        <f t="shared" si="2812"/>
        <v/>
      </c>
      <c r="ED231" s="30" t="str">
        <f t="shared" si="2813"/>
        <v/>
      </c>
      <c r="EE231" s="30" t="str">
        <f t="shared" si="2814"/>
        <v/>
      </c>
      <c r="EF231" s="30" t="str">
        <f t="shared" si="2815"/>
        <v/>
      </c>
      <c r="EG231" s="30" t="str">
        <f t="shared" si="2816"/>
        <v/>
      </c>
      <c r="EH231" s="30" t="str">
        <f t="shared" si="2817"/>
        <v/>
      </c>
      <c r="EI231" s="30" t="str">
        <f t="shared" si="2818"/>
        <v/>
      </c>
      <c r="EJ231" s="30" t="str">
        <f t="shared" si="2819"/>
        <v/>
      </c>
      <c r="EK231" s="30" t="str">
        <f t="shared" si="2820"/>
        <v/>
      </c>
      <c r="EL231" s="30" t="str">
        <f t="shared" si="2821"/>
        <v/>
      </c>
      <c r="EM231" s="30" t="str">
        <f t="shared" si="2822"/>
        <v/>
      </c>
      <c r="EN231" s="30" t="str">
        <f t="shared" si="2823"/>
        <v/>
      </c>
      <c r="EO231" s="30" t="str">
        <f t="shared" si="2824"/>
        <v/>
      </c>
      <c r="EP231" s="30" t="str">
        <f t="shared" si="2825"/>
        <v/>
      </c>
      <c r="EQ231" s="30" t="str">
        <f t="shared" si="2826"/>
        <v/>
      </c>
      <c r="ER231" s="30" t="str">
        <f t="shared" si="2827"/>
        <v/>
      </c>
      <c r="ES231" s="30" t="str">
        <f t="shared" si="2828"/>
        <v/>
      </c>
      <c r="ET231" s="30" t="str">
        <f t="shared" si="2829"/>
        <v/>
      </c>
      <c r="EU231" s="30" t="str">
        <f t="shared" si="2830"/>
        <v/>
      </c>
      <c r="EV231" s="30" t="str">
        <f t="shared" si="2831"/>
        <v/>
      </c>
      <c r="EW231" s="30" t="str">
        <f t="shared" si="2832"/>
        <v/>
      </c>
      <c r="EX231" s="30" t="str">
        <f t="shared" si="2833"/>
        <v/>
      </c>
      <c r="EY231" s="30" t="str">
        <f t="shared" si="2834"/>
        <v/>
      </c>
      <c r="EZ231" s="30" t="str">
        <f t="shared" si="2835"/>
        <v/>
      </c>
      <c r="FA231" s="30" t="str">
        <f t="shared" si="2836"/>
        <v/>
      </c>
      <c r="FB231" s="30" t="str">
        <f t="shared" si="2837"/>
        <v/>
      </c>
      <c r="FC231" s="30" t="str">
        <f t="shared" si="2838"/>
        <v/>
      </c>
      <c r="FD231" s="30" t="str">
        <f t="shared" si="2839"/>
        <v/>
      </c>
      <c r="FE231" s="30" t="str">
        <f t="shared" si="2840"/>
        <v/>
      </c>
      <c r="FF231" s="30" t="str">
        <f t="shared" si="2841"/>
        <v/>
      </c>
      <c r="FG231" s="30" t="str">
        <f t="shared" si="2842"/>
        <v/>
      </c>
      <c r="FH231" s="30" t="str">
        <f t="shared" si="2843"/>
        <v/>
      </c>
      <c r="FI231" s="30" t="str">
        <f t="shared" si="2844"/>
        <v/>
      </c>
      <c r="FJ231" s="30" t="str">
        <f t="shared" si="2845"/>
        <v/>
      </c>
      <c r="FK231" s="30" t="str">
        <f t="shared" si="2846"/>
        <v/>
      </c>
      <c r="FL231" s="30" t="str">
        <f t="shared" si="2847"/>
        <v/>
      </c>
      <c r="FM231" s="30" t="str">
        <f t="shared" si="2848"/>
        <v/>
      </c>
      <c r="FN231" s="30" t="str">
        <f t="shared" si="2849"/>
        <v/>
      </c>
      <c r="FO231" s="30" t="str">
        <f t="shared" si="2850"/>
        <v/>
      </c>
      <c r="FP231" s="30" t="str">
        <f t="shared" si="2851"/>
        <v/>
      </c>
      <c r="FQ231" s="30" t="str">
        <f t="shared" si="2852"/>
        <v/>
      </c>
      <c r="FR231" s="30" t="str">
        <f t="shared" si="2853"/>
        <v/>
      </c>
      <c r="FS231" s="30" t="str">
        <f t="shared" si="2854"/>
        <v/>
      </c>
    </row>
    <row r="232" spans="92:175">
      <c r="CN232" s="7" t="str">
        <f t="shared" si="2779"/>
        <v>InitUnitState('',,,,,,,,,,)</v>
      </c>
      <c r="CO232" s="7" t="str">
        <f t="shared" si="2780"/>
        <v>InitUnitNormal('',,,,,,,,,,)</v>
      </c>
      <c r="CP232" s="7" t="str">
        <f t="shared" si="2781"/>
        <v>InitUnitMagic('',,,,,,,,,,)</v>
      </c>
      <c r="CQ232" s="7" t="str">
        <f t="shared" si="2782"/>
        <v>InitUnitAdd('',,,,,,,,,,)</v>
      </c>
      <c r="CR232" s="7" t="str">
        <f t="shared" si="2783"/>
        <v>InitEquipData('',,"",,,,,'','','','','','',"")</v>
      </c>
      <c r="CU232" s="29" t="str">
        <f t="shared" si="2784"/>
        <v>|n</v>
      </c>
      <c r="CW232" s="24"/>
      <c r="CX232" s="24"/>
      <c r="CY232" s="24"/>
      <c r="CZ232" s="24"/>
      <c r="DA232" s="24"/>
      <c r="DB232" s="30" t="str">
        <f t="shared" si="2785"/>
        <v/>
      </c>
      <c r="DC232" s="30" t="str">
        <f t="shared" si="2786"/>
        <v/>
      </c>
      <c r="DD232" s="30" t="str">
        <f t="shared" si="2787"/>
        <v/>
      </c>
      <c r="DE232" s="30" t="str">
        <f t="shared" si="2788"/>
        <v/>
      </c>
      <c r="DF232" s="30" t="str">
        <f t="shared" si="2789"/>
        <v/>
      </c>
      <c r="DG232" s="30" t="str">
        <f t="shared" si="2790"/>
        <v/>
      </c>
      <c r="DH232" s="30" t="str">
        <f t="shared" si="2791"/>
        <v/>
      </c>
      <c r="DI232" s="30" t="str">
        <f t="shared" si="2792"/>
        <v/>
      </c>
      <c r="DJ232" s="30" t="str">
        <f t="shared" si="2793"/>
        <v/>
      </c>
      <c r="DK232" s="30" t="str">
        <f t="shared" si="2794"/>
        <v/>
      </c>
      <c r="DL232" s="30" t="str">
        <f t="shared" si="2795"/>
        <v/>
      </c>
      <c r="DM232" s="30" t="str">
        <f t="shared" si="2796"/>
        <v/>
      </c>
      <c r="DN232" s="30" t="str">
        <f t="shared" si="2797"/>
        <v/>
      </c>
      <c r="DO232" s="30" t="str">
        <f t="shared" si="2798"/>
        <v/>
      </c>
      <c r="DP232" s="30" t="str">
        <f t="shared" si="2799"/>
        <v/>
      </c>
      <c r="DQ232" s="30" t="str">
        <f t="shared" si="2800"/>
        <v/>
      </c>
      <c r="DR232" s="30" t="str">
        <f t="shared" si="2801"/>
        <v/>
      </c>
      <c r="DS232" s="30" t="str">
        <f t="shared" si="2802"/>
        <v/>
      </c>
      <c r="DT232" s="30" t="str">
        <f t="shared" si="2803"/>
        <v/>
      </c>
      <c r="DU232" s="30" t="str">
        <f t="shared" si="2804"/>
        <v/>
      </c>
      <c r="DV232" s="30" t="str">
        <f t="shared" si="2805"/>
        <v/>
      </c>
      <c r="DW232" s="30" t="str">
        <f t="shared" si="2806"/>
        <v/>
      </c>
      <c r="DX232" s="30" t="str">
        <f t="shared" si="2807"/>
        <v/>
      </c>
      <c r="DY232" s="30" t="str">
        <f t="shared" si="2808"/>
        <v/>
      </c>
      <c r="DZ232" s="30" t="str">
        <f t="shared" si="2809"/>
        <v/>
      </c>
      <c r="EA232" s="30" t="str">
        <f t="shared" si="2810"/>
        <v/>
      </c>
      <c r="EB232" s="30" t="str">
        <f t="shared" si="2811"/>
        <v/>
      </c>
      <c r="EC232" s="30" t="str">
        <f t="shared" si="2812"/>
        <v/>
      </c>
      <c r="ED232" s="30" t="str">
        <f t="shared" si="2813"/>
        <v/>
      </c>
      <c r="EE232" s="30" t="str">
        <f t="shared" si="2814"/>
        <v/>
      </c>
      <c r="EF232" s="30" t="str">
        <f t="shared" si="2815"/>
        <v/>
      </c>
      <c r="EG232" s="30" t="str">
        <f t="shared" si="2816"/>
        <v/>
      </c>
      <c r="EH232" s="30" t="str">
        <f t="shared" si="2817"/>
        <v/>
      </c>
      <c r="EI232" s="30" t="str">
        <f t="shared" si="2818"/>
        <v/>
      </c>
      <c r="EJ232" s="30" t="str">
        <f t="shared" si="2819"/>
        <v/>
      </c>
      <c r="EK232" s="30" t="str">
        <f t="shared" si="2820"/>
        <v/>
      </c>
      <c r="EL232" s="30" t="str">
        <f t="shared" si="2821"/>
        <v/>
      </c>
      <c r="EM232" s="30" t="str">
        <f t="shared" si="2822"/>
        <v/>
      </c>
      <c r="EN232" s="30" t="str">
        <f t="shared" si="2823"/>
        <v/>
      </c>
      <c r="EO232" s="30" t="str">
        <f t="shared" si="2824"/>
        <v/>
      </c>
      <c r="EP232" s="30" t="str">
        <f t="shared" si="2825"/>
        <v/>
      </c>
      <c r="EQ232" s="30" t="str">
        <f t="shared" si="2826"/>
        <v/>
      </c>
      <c r="ER232" s="30" t="str">
        <f t="shared" si="2827"/>
        <v/>
      </c>
      <c r="ES232" s="30" t="str">
        <f t="shared" si="2828"/>
        <v/>
      </c>
      <c r="ET232" s="30" t="str">
        <f t="shared" si="2829"/>
        <v/>
      </c>
      <c r="EU232" s="30" t="str">
        <f t="shared" si="2830"/>
        <v/>
      </c>
      <c r="EV232" s="30" t="str">
        <f t="shared" si="2831"/>
        <v/>
      </c>
      <c r="EW232" s="30" t="str">
        <f t="shared" si="2832"/>
        <v/>
      </c>
      <c r="EX232" s="30" t="str">
        <f t="shared" si="2833"/>
        <v/>
      </c>
      <c r="EY232" s="30" t="str">
        <f t="shared" si="2834"/>
        <v/>
      </c>
      <c r="EZ232" s="30" t="str">
        <f t="shared" si="2835"/>
        <v/>
      </c>
      <c r="FA232" s="30" t="str">
        <f t="shared" si="2836"/>
        <v/>
      </c>
      <c r="FB232" s="30" t="str">
        <f t="shared" si="2837"/>
        <v/>
      </c>
      <c r="FC232" s="30" t="str">
        <f t="shared" si="2838"/>
        <v/>
      </c>
      <c r="FD232" s="30" t="str">
        <f t="shared" si="2839"/>
        <v/>
      </c>
      <c r="FE232" s="30" t="str">
        <f t="shared" si="2840"/>
        <v/>
      </c>
      <c r="FF232" s="30" t="str">
        <f t="shared" si="2841"/>
        <v/>
      </c>
      <c r="FG232" s="30" t="str">
        <f t="shared" si="2842"/>
        <v/>
      </c>
      <c r="FH232" s="30" t="str">
        <f t="shared" si="2843"/>
        <v/>
      </c>
      <c r="FI232" s="30" t="str">
        <f t="shared" si="2844"/>
        <v/>
      </c>
      <c r="FJ232" s="30" t="str">
        <f t="shared" si="2845"/>
        <v/>
      </c>
      <c r="FK232" s="30" t="str">
        <f t="shared" si="2846"/>
        <v/>
      </c>
      <c r="FL232" s="30" t="str">
        <f t="shared" si="2847"/>
        <v/>
      </c>
      <c r="FM232" s="30" t="str">
        <f t="shared" si="2848"/>
        <v/>
      </c>
      <c r="FN232" s="30" t="str">
        <f t="shared" si="2849"/>
        <v/>
      </c>
      <c r="FO232" s="30" t="str">
        <f t="shared" si="2850"/>
        <v/>
      </c>
      <c r="FP232" s="30" t="str">
        <f t="shared" si="2851"/>
        <v/>
      </c>
      <c r="FQ232" s="30" t="str">
        <f t="shared" si="2852"/>
        <v/>
      </c>
      <c r="FR232" s="30" t="str">
        <f t="shared" si="2853"/>
        <v/>
      </c>
      <c r="FS232" s="30" t="str">
        <f t="shared" si="2854"/>
        <v/>
      </c>
    </row>
    <row r="233" spans="92:175">
      <c r="CN233" s="7" t="str">
        <f t="shared" si="2779"/>
        <v>InitUnitState('',,,,,,,,,,)</v>
      </c>
      <c r="CO233" s="7" t="str">
        <f t="shared" si="2780"/>
        <v>InitUnitNormal('',,,,,,,,,,)</v>
      </c>
      <c r="CP233" s="7" t="str">
        <f t="shared" si="2781"/>
        <v>InitUnitMagic('',,,,,,,,,,)</v>
      </c>
      <c r="CQ233" s="7" t="str">
        <f t="shared" si="2782"/>
        <v>InitUnitAdd('',,,,,,,,,,)</v>
      </c>
      <c r="CR233" s="7" t="str">
        <f t="shared" si="2783"/>
        <v>InitEquipData('',,"",,,,,'','','','','','',"")</v>
      </c>
      <c r="CU233" s="29" t="str">
        <f t="shared" si="2784"/>
        <v>|n</v>
      </c>
      <c r="CW233" s="24"/>
      <c r="CX233" s="24"/>
      <c r="CY233" s="24"/>
      <c r="CZ233" s="24"/>
      <c r="DA233" s="24"/>
      <c r="DB233" s="30" t="str">
        <f t="shared" si="2785"/>
        <v/>
      </c>
      <c r="DC233" s="30" t="str">
        <f t="shared" si="2786"/>
        <v/>
      </c>
      <c r="DD233" s="30" t="str">
        <f t="shared" si="2787"/>
        <v/>
      </c>
      <c r="DE233" s="30" t="str">
        <f t="shared" si="2788"/>
        <v/>
      </c>
      <c r="DF233" s="30" t="str">
        <f t="shared" si="2789"/>
        <v/>
      </c>
      <c r="DG233" s="30" t="str">
        <f t="shared" si="2790"/>
        <v/>
      </c>
      <c r="DH233" s="30" t="str">
        <f t="shared" si="2791"/>
        <v/>
      </c>
      <c r="DI233" s="30" t="str">
        <f t="shared" si="2792"/>
        <v/>
      </c>
      <c r="DJ233" s="30" t="str">
        <f t="shared" si="2793"/>
        <v/>
      </c>
      <c r="DK233" s="30" t="str">
        <f t="shared" si="2794"/>
        <v/>
      </c>
      <c r="DL233" s="30" t="str">
        <f t="shared" si="2795"/>
        <v/>
      </c>
      <c r="DM233" s="30" t="str">
        <f t="shared" si="2796"/>
        <v/>
      </c>
      <c r="DN233" s="30" t="str">
        <f t="shared" si="2797"/>
        <v/>
      </c>
      <c r="DO233" s="30" t="str">
        <f t="shared" si="2798"/>
        <v/>
      </c>
      <c r="DP233" s="30" t="str">
        <f t="shared" si="2799"/>
        <v/>
      </c>
      <c r="DQ233" s="30" t="str">
        <f t="shared" si="2800"/>
        <v/>
      </c>
      <c r="DR233" s="30" t="str">
        <f t="shared" si="2801"/>
        <v/>
      </c>
      <c r="DS233" s="30" t="str">
        <f t="shared" si="2802"/>
        <v/>
      </c>
      <c r="DT233" s="30" t="str">
        <f t="shared" si="2803"/>
        <v/>
      </c>
      <c r="DU233" s="30" t="str">
        <f t="shared" si="2804"/>
        <v/>
      </c>
      <c r="DV233" s="30" t="str">
        <f t="shared" si="2805"/>
        <v/>
      </c>
      <c r="DW233" s="30" t="str">
        <f t="shared" si="2806"/>
        <v/>
      </c>
      <c r="DX233" s="30" t="str">
        <f t="shared" si="2807"/>
        <v/>
      </c>
      <c r="DY233" s="30" t="str">
        <f t="shared" si="2808"/>
        <v/>
      </c>
      <c r="DZ233" s="30" t="str">
        <f t="shared" si="2809"/>
        <v/>
      </c>
      <c r="EA233" s="30" t="str">
        <f t="shared" si="2810"/>
        <v/>
      </c>
      <c r="EB233" s="30" t="str">
        <f t="shared" si="2811"/>
        <v/>
      </c>
      <c r="EC233" s="30" t="str">
        <f t="shared" si="2812"/>
        <v/>
      </c>
      <c r="ED233" s="30" t="str">
        <f t="shared" si="2813"/>
        <v/>
      </c>
      <c r="EE233" s="30" t="str">
        <f t="shared" si="2814"/>
        <v/>
      </c>
      <c r="EF233" s="30" t="str">
        <f t="shared" si="2815"/>
        <v/>
      </c>
      <c r="EG233" s="30" t="str">
        <f t="shared" si="2816"/>
        <v/>
      </c>
      <c r="EH233" s="30" t="str">
        <f t="shared" si="2817"/>
        <v/>
      </c>
      <c r="EI233" s="30" t="str">
        <f t="shared" si="2818"/>
        <v/>
      </c>
      <c r="EJ233" s="30" t="str">
        <f t="shared" si="2819"/>
        <v/>
      </c>
      <c r="EK233" s="30" t="str">
        <f t="shared" si="2820"/>
        <v/>
      </c>
      <c r="EL233" s="30" t="str">
        <f t="shared" si="2821"/>
        <v/>
      </c>
      <c r="EM233" s="30" t="str">
        <f t="shared" si="2822"/>
        <v/>
      </c>
      <c r="EN233" s="30" t="str">
        <f t="shared" si="2823"/>
        <v/>
      </c>
      <c r="EO233" s="30" t="str">
        <f t="shared" si="2824"/>
        <v/>
      </c>
      <c r="EP233" s="30" t="str">
        <f t="shared" si="2825"/>
        <v/>
      </c>
      <c r="EQ233" s="30" t="str">
        <f t="shared" si="2826"/>
        <v/>
      </c>
      <c r="ER233" s="30" t="str">
        <f t="shared" si="2827"/>
        <v/>
      </c>
      <c r="ES233" s="30" t="str">
        <f t="shared" si="2828"/>
        <v/>
      </c>
      <c r="ET233" s="30" t="str">
        <f t="shared" si="2829"/>
        <v/>
      </c>
      <c r="EU233" s="30" t="str">
        <f t="shared" si="2830"/>
        <v/>
      </c>
      <c r="EV233" s="30" t="str">
        <f t="shared" si="2831"/>
        <v/>
      </c>
      <c r="EW233" s="30" t="str">
        <f t="shared" si="2832"/>
        <v/>
      </c>
      <c r="EX233" s="30" t="str">
        <f t="shared" si="2833"/>
        <v/>
      </c>
      <c r="EY233" s="30" t="str">
        <f t="shared" si="2834"/>
        <v/>
      </c>
      <c r="EZ233" s="30" t="str">
        <f t="shared" si="2835"/>
        <v/>
      </c>
      <c r="FA233" s="30" t="str">
        <f t="shared" si="2836"/>
        <v/>
      </c>
      <c r="FB233" s="30" t="str">
        <f t="shared" si="2837"/>
        <v/>
      </c>
      <c r="FC233" s="30" t="str">
        <f t="shared" si="2838"/>
        <v/>
      </c>
      <c r="FD233" s="30" t="str">
        <f t="shared" si="2839"/>
        <v/>
      </c>
      <c r="FE233" s="30" t="str">
        <f t="shared" si="2840"/>
        <v/>
      </c>
      <c r="FF233" s="30" t="str">
        <f t="shared" si="2841"/>
        <v/>
      </c>
      <c r="FG233" s="30" t="str">
        <f t="shared" si="2842"/>
        <v/>
      </c>
      <c r="FH233" s="30" t="str">
        <f t="shared" si="2843"/>
        <v/>
      </c>
      <c r="FI233" s="30" t="str">
        <f t="shared" si="2844"/>
        <v/>
      </c>
      <c r="FJ233" s="30" t="str">
        <f t="shared" si="2845"/>
        <v/>
      </c>
      <c r="FK233" s="30" t="str">
        <f t="shared" si="2846"/>
        <v/>
      </c>
      <c r="FL233" s="30" t="str">
        <f t="shared" si="2847"/>
        <v/>
      </c>
      <c r="FM233" s="30" t="str">
        <f t="shared" si="2848"/>
        <v/>
      </c>
      <c r="FN233" s="30" t="str">
        <f t="shared" si="2849"/>
        <v/>
      </c>
      <c r="FO233" s="30" t="str">
        <f t="shared" si="2850"/>
        <v/>
      </c>
      <c r="FP233" s="30" t="str">
        <f t="shared" si="2851"/>
        <v/>
      </c>
      <c r="FQ233" s="30" t="str">
        <f t="shared" si="2852"/>
        <v/>
      </c>
      <c r="FR233" s="30" t="str">
        <f t="shared" si="2853"/>
        <v/>
      </c>
      <c r="FS233" s="30" t="str">
        <f t="shared" si="2854"/>
        <v/>
      </c>
    </row>
    <row r="234" spans="92:175">
      <c r="CN234" s="7" t="str">
        <f t="shared" si="2779"/>
        <v>InitUnitState('',,,,,,,,,,)</v>
      </c>
      <c r="CO234" s="7" t="str">
        <f t="shared" si="2780"/>
        <v>InitUnitNormal('',,,,,,,,,,)</v>
      </c>
      <c r="CP234" s="7" t="str">
        <f t="shared" si="2781"/>
        <v>InitUnitMagic('',,,,,,,,,,)</v>
      </c>
      <c r="CQ234" s="7" t="str">
        <f t="shared" si="2782"/>
        <v>InitUnitAdd('',,,,,,,,,,)</v>
      </c>
      <c r="CR234" s="7" t="str">
        <f t="shared" si="2783"/>
        <v>InitEquipData('',,"",,,,,'','','','','','',"")</v>
      </c>
      <c r="CU234" s="29" t="str">
        <f t="shared" si="2784"/>
        <v>|n</v>
      </c>
      <c r="CW234" s="24"/>
      <c r="CX234" s="24"/>
      <c r="CY234" s="24"/>
      <c r="CZ234" s="24"/>
      <c r="DA234" s="24"/>
      <c r="DB234" s="30" t="str">
        <f t="shared" si="2785"/>
        <v/>
      </c>
      <c r="DC234" s="30" t="str">
        <f t="shared" si="2786"/>
        <v/>
      </c>
      <c r="DD234" s="30" t="str">
        <f t="shared" si="2787"/>
        <v/>
      </c>
      <c r="DE234" s="30" t="str">
        <f t="shared" si="2788"/>
        <v/>
      </c>
      <c r="DF234" s="30" t="str">
        <f t="shared" si="2789"/>
        <v/>
      </c>
      <c r="DG234" s="30" t="str">
        <f t="shared" si="2790"/>
        <v/>
      </c>
      <c r="DH234" s="30" t="str">
        <f t="shared" si="2791"/>
        <v/>
      </c>
      <c r="DI234" s="30" t="str">
        <f t="shared" si="2792"/>
        <v/>
      </c>
      <c r="DJ234" s="30" t="str">
        <f t="shared" si="2793"/>
        <v/>
      </c>
      <c r="DK234" s="30" t="str">
        <f t="shared" si="2794"/>
        <v/>
      </c>
      <c r="DL234" s="30" t="str">
        <f t="shared" si="2795"/>
        <v/>
      </c>
      <c r="DM234" s="30" t="str">
        <f t="shared" si="2796"/>
        <v/>
      </c>
      <c r="DN234" s="30" t="str">
        <f t="shared" si="2797"/>
        <v/>
      </c>
      <c r="DO234" s="30" t="str">
        <f t="shared" si="2798"/>
        <v/>
      </c>
      <c r="DP234" s="30" t="str">
        <f t="shared" si="2799"/>
        <v/>
      </c>
      <c r="DQ234" s="30" t="str">
        <f t="shared" si="2800"/>
        <v/>
      </c>
      <c r="DR234" s="30" t="str">
        <f t="shared" si="2801"/>
        <v/>
      </c>
      <c r="DS234" s="30" t="str">
        <f t="shared" si="2802"/>
        <v/>
      </c>
      <c r="DT234" s="30" t="str">
        <f t="shared" si="2803"/>
        <v/>
      </c>
      <c r="DU234" s="30" t="str">
        <f t="shared" si="2804"/>
        <v/>
      </c>
      <c r="DV234" s="30" t="str">
        <f t="shared" si="2805"/>
        <v/>
      </c>
      <c r="DW234" s="30" t="str">
        <f t="shared" si="2806"/>
        <v/>
      </c>
      <c r="DX234" s="30" t="str">
        <f t="shared" si="2807"/>
        <v/>
      </c>
      <c r="DY234" s="30" t="str">
        <f t="shared" si="2808"/>
        <v/>
      </c>
      <c r="DZ234" s="30" t="str">
        <f t="shared" si="2809"/>
        <v/>
      </c>
      <c r="EA234" s="30" t="str">
        <f t="shared" si="2810"/>
        <v/>
      </c>
      <c r="EB234" s="30" t="str">
        <f t="shared" si="2811"/>
        <v/>
      </c>
      <c r="EC234" s="30" t="str">
        <f t="shared" si="2812"/>
        <v/>
      </c>
      <c r="ED234" s="30" t="str">
        <f t="shared" si="2813"/>
        <v/>
      </c>
      <c r="EE234" s="30" t="str">
        <f t="shared" si="2814"/>
        <v/>
      </c>
      <c r="EF234" s="30" t="str">
        <f t="shared" si="2815"/>
        <v/>
      </c>
      <c r="EG234" s="30" t="str">
        <f t="shared" si="2816"/>
        <v/>
      </c>
      <c r="EH234" s="30" t="str">
        <f t="shared" si="2817"/>
        <v/>
      </c>
      <c r="EI234" s="30" t="str">
        <f t="shared" si="2818"/>
        <v/>
      </c>
      <c r="EJ234" s="30" t="str">
        <f t="shared" si="2819"/>
        <v/>
      </c>
      <c r="EK234" s="30" t="str">
        <f t="shared" si="2820"/>
        <v/>
      </c>
      <c r="EL234" s="30" t="str">
        <f t="shared" si="2821"/>
        <v/>
      </c>
      <c r="EM234" s="30" t="str">
        <f t="shared" si="2822"/>
        <v/>
      </c>
      <c r="EN234" s="30" t="str">
        <f t="shared" si="2823"/>
        <v/>
      </c>
      <c r="EO234" s="30" t="str">
        <f t="shared" si="2824"/>
        <v/>
      </c>
      <c r="EP234" s="30" t="str">
        <f t="shared" si="2825"/>
        <v/>
      </c>
      <c r="EQ234" s="30" t="str">
        <f t="shared" si="2826"/>
        <v/>
      </c>
      <c r="ER234" s="30" t="str">
        <f t="shared" si="2827"/>
        <v/>
      </c>
      <c r="ES234" s="30" t="str">
        <f t="shared" si="2828"/>
        <v/>
      </c>
      <c r="ET234" s="30" t="str">
        <f t="shared" si="2829"/>
        <v/>
      </c>
      <c r="EU234" s="30" t="str">
        <f t="shared" si="2830"/>
        <v/>
      </c>
      <c r="EV234" s="30" t="str">
        <f t="shared" si="2831"/>
        <v/>
      </c>
      <c r="EW234" s="30" t="str">
        <f t="shared" si="2832"/>
        <v/>
      </c>
      <c r="EX234" s="30" t="str">
        <f t="shared" si="2833"/>
        <v/>
      </c>
      <c r="EY234" s="30" t="str">
        <f t="shared" si="2834"/>
        <v/>
      </c>
      <c r="EZ234" s="30" t="str">
        <f t="shared" si="2835"/>
        <v/>
      </c>
      <c r="FA234" s="30" t="str">
        <f t="shared" si="2836"/>
        <v/>
      </c>
      <c r="FB234" s="30" t="str">
        <f t="shared" si="2837"/>
        <v/>
      </c>
      <c r="FC234" s="30" t="str">
        <f t="shared" si="2838"/>
        <v/>
      </c>
      <c r="FD234" s="30" t="str">
        <f t="shared" si="2839"/>
        <v/>
      </c>
      <c r="FE234" s="30" t="str">
        <f t="shared" si="2840"/>
        <v/>
      </c>
      <c r="FF234" s="30" t="str">
        <f t="shared" si="2841"/>
        <v/>
      </c>
      <c r="FG234" s="30" t="str">
        <f t="shared" si="2842"/>
        <v/>
      </c>
      <c r="FH234" s="30" t="str">
        <f t="shared" si="2843"/>
        <v/>
      </c>
      <c r="FI234" s="30" t="str">
        <f t="shared" si="2844"/>
        <v/>
      </c>
      <c r="FJ234" s="30" t="str">
        <f t="shared" si="2845"/>
        <v/>
      </c>
      <c r="FK234" s="30" t="str">
        <f t="shared" si="2846"/>
        <v/>
      </c>
      <c r="FL234" s="30" t="str">
        <f t="shared" si="2847"/>
        <v/>
      </c>
      <c r="FM234" s="30" t="str">
        <f t="shared" si="2848"/>
        <v/>
      </c>
      <c r="FN234" s="30" t="str">
        <f t="shared" si="2849"/>
        <v/>
      </c>
      <c r="FO234" s="30" t="str">
        <f t="shared" si="2850"/>
        <v/>
      </c>
      <c r="FP234" s="30" t="str">
        <f t="shared" si="2851"/>
        <v/>
      </c>
      <c r="FQ234" s="30" t="str">
        <f t="shared" si="2852"/>
        <v/>
      </c>
      <c r="FR234" s="30" t="str">
        <f t="shared" si="2853"/>
        <v/>
      </c>
      <c r="FS234" s="30" t="str">
        <f t="shared" si="2854"/>
        <v/>
      </c>
    </row>
    <row r="235" spans="92:175">
      <c r="CN235" s="7" t="str">
        <f t="shared" si="2779"/>
        <v>InitUnitState('',,,,,,,,,,)</v>
      </c>
      <c r="CO235" s="7" t="str">
        <f t="shared" si="2780"/>
        <v>InitUnitNormal('',,,,,,,,,,)</v>
      </c>
      <c r="CP235" s="7" t="str">
        <f t="shared" si="2781"/>
        <v>InitUnitMagic('',,,,,,,,,,)</v>
      </c>
      <c r="CQ235" s="7" t="str">
        <f t="shared" si="2782"/>
        <v>InitUnitAdd('',,,,,,,,,,)</v>
      </c>
      <c r="CR235" s="7" t="str">
        <f t="shared" si="2783"/>
        <v>InitEquipData('',,"",,,,,'','','','','','',"")</v>
      </c>
      <c r="CU235" s="29" t="str">
        <f t="shared" si="2784"/>
        <v>|n</v>
      </c>
      <c r="CW235" s="24"/>
      <c r="CX235" s="24"/>
      <c r="CY235" s="24"/>
      <c r="CZ235" s="24"/>
      <c r="DA235" s="24"/>
      <c r="DB235" s="30" t="str">
        <f t="shared" si="2785"/>
        <v/>
      </c>
      <c r="DC235" s="30" t="str">
        <f t="shared" si="2786"/>
        <v/>
      </c>
      <c r="DD235" s="30" t="str">
        <f t="shared" si="2787"/>
        <v/>
      </c>
      <c r="DE235" s="30" t="str">
        <f t="shared" si="2788"/>
        <v/>
      </c>
      <c r="DF235" s="30" t="str">
        <f t="shared" si="2789"/>
        <v/>
      </c>
      <c r="DG235" s="30" t="str">
        <f t="shared" si="2790"/>
        <v/>
      </c>
      <c r="DH235" s="30" t="str">
        <f t="shared" si="2791"/>
        <v/>
      </c>
      <c r="DI235" s="30" t="str">
        <f t="shared" si="2792"/>
        <v/>
      </c>
      <c r="DJ235" s="30" t="str">
        <f t="shared" si="2793"/>
        <v/>
      </c>
      <c r="DK235" s="30" t="str">
        <f t="shared" si="2794"/>
        <v/>
      </c>
      <c r="DL235" s="30" t="str">
        <f t="shared" si="2795"/>
        <v/>
      </c>
      <c r="DM235" s="30" t="str">
        <f t="shared" si="2796"/>
        <v/>
      </c>
      <c r="DN235" s="30" t="str">
        <f t="shared" si="2797"/>
        <v/>
      </c>
      <c r="DO235" s="30" t="str">
        <f t="shared" si="2798"/>
        <v/>
      </c>
      <c r="DP235" s="30" t="str">
        <f t="shared" si="2799"/>
        <v/>
      </c>
      <c r="DQ235" s="30" t="str">
        <f t="shared" si="2800"/>
        <v/>
      </c>
      <c r="DR235" s="30" t="str">
        <f t="shared" si="2801"/>
        <v/>
      </c>
      <c r="DS235" s="30" t="str">
        <f t="shared" si="2802"/>
        <v/>
      </c>
      <c r="DT235" s="30" t="str">
        <f t="shared" si="2803"/>
        <v/>
      </c>
      <c r="DU235" s="30" t="str">
        <f t="shared" si="2804"/>
        <v/>
      </c>
      <c r="DV235" s="30" t="str">
        <f t="shared" si="2805"/>
        <v/>
      </c>
      <c r="DW235" s="30" t="str">
        <f t="shared" si="2806"/>
        <v/>
      </c>
      <c r="DX235" s="30" t="str">
        <f t="shared" si="2807"/>
        <v/>
      </c>
      <c r="DY235" s="30" t="str">
        <f t="shared" si="2808"/>
        <v/>
      </c>
      <c r="DZ235" s="30" t="str">
        <f t="shared" si="2809"/>
        <v/>
      </c>
      <c r="EA235" s="30" t="str">
        <f t="shared" si="2810"/>
        <v/>
      </c>
      <c r="EB235" s="30" t="str">
        <f t="shared" si="2811"/>
        <v/>
      </c>
      <c r="EC235" s="30" t="str">
        <f t="shared" si="2812"/>
        <v/>
      </c>
      <c r="ED235" s="30" t="str">
        <f t="shared" si="2813"/>
        <v/>
      </c>
      <c r="EE235" s="30" t="str">
        <f t="shared" si="2814"/>
        <v/>
      </c>
      <c r="EF235" s="30" t="str">
        <f t="shared" si="2815"/>
        <v/>
      </c>
      <c r="EG235" s="30" t="str">
        <f t="shared" si="2816"/>
        <v/>
      </c>
      <c r="EH235" s="30" t="str">
        <f t="shared" si="2817"/>
        <v/>
      </c>
      <c r="EI235" s="30" t="str">
        <f t="shared" si="2818"/>
        <v/>
      </c>
      <c r="EJ235" s="30" t="str">
        <f t="shared" si="2819"/>
        <v/>
      </c>
      <c r="EK235" s="30" t="str">
        <f t="shared" si="2820"/>
        <v/>
      </c>
      <c r="EL235" s="30" t="str">
        <f t="shared" si="2821"/>
        <v/>
      </c>
      <c r="EM235" s="30" t="str">
        <f t="shared" si="2822"/>
        <v/>
      </c>
      <c r="EN235" s="30" t="str">
        <f t="shared" si="2823"/>
        <v/>
      </c>
      <c r="EO235" s="30" t="str">
        <f t="shared" si="2824"/>
        <v/>
      </c>
      <c r="EP235" s="30" t="str">
        <f t="shared" si="2825"/>
        <v/>
      </c>
      <c r="EQ235" s="30" t="str">
        <f t="shared" si="2826"/>
        <v/>
      </c>
      <c r="ER235" s="30" t="str">
        <f t="shared" si="2827"/>
        <v/>
      </c>
      <c r="ES235" s="30" t="str">
        <f t="shared" si="2828"/>
        <v/>
      </c>
      <c r="ET235" s="30" t="str">
        <f t="shared" si="2829"/>
        <v/>
      </c>
      <c r="EU235" s="30" t="str">
        <f t="shared" si="2830"/>
        <v/>
      </c>
      <c r="EV235" s="30" t="str">
        <f t="shared" si="2831"/>
        <v/>
      </c>
      <c r="EW235" s="30" t="str">
        <f t="shared" si="2832"/>
        <v/>
      </c>
      <c r="EX235" s="30" t="str">
        <f t="shared" si="2833"/>
        <v/>
      </c>
      <c r="EY235" s="30" t="str">
        <f t="shared" si="2834"/>
        <v/>
      </c>
      <c r="EZ235" s="30" t="str">
        <f t="shared" si="2835"/>
        <v/>
      </c>
      <c r="FA235" s="30" t="str">
        <f t="shared" si="2836"/>
        <v/>
      </c>
      <c r="FB235" s="30" t="str">
        <f t="shared" si="2837"/>
        <v/>
      </c>
      <c r="FC235" s="30" t="str">
        <f t="shared" si="2838"/>
        <v/>
      </c>
      <c r="FD235" s="30" t="str">
        <f t="shared" si="2839"/>
        <v/>
      </c>
      <c r="FE235" s="30" t="str">
        <f t="shared" si="2840"/>
        <v/>
      </c>
      <c r="FF235" s="30" t="str">
        <f t="shared" si="2841"/>
        <v/>
      </c>
      <c r="FG235" s="30" t="str">
        <f t="shared" si="2842"/>
        <v/>
      </c>
      <c r="FH235" s="30" t="str">
        <f t="shared" si="2843"/>
        <v/>
      </c>
      <c r="FI235" s="30" t="str">
        <f t="shared" si="2844"/>
        <v/>
      </c>
      <c r="FJ235" s="30" t="str">
        <f t="shared" si="2845"/>
        <v/>
      </c>
      <c r="FK235" s="30" t="str">
        <f t="shared" si="2846"/>
        <v/>
      </c>
      <c r="FL235" s="30" t="str">
        <f t="shared" si="2847"/>
        <v/>
      </c>
      <c r="FM235" s="30" t="str">
        <f t="shared" si="2848"/>
        <v/>
      </c>
      <c r="FN235" s="30" t="str">
        <f t="shared" si="2849"/>
        <v/>
      </c>
      <c r="FO235" s="30" t="str">
        <f t="shared" si="2850"/>
        <v/>
      </c>
      <c r="FP235" s="30" t="str">
        <f t="shared" si="2851"/>
        <v/>
      </c>
      <c r="FQ235" s="30" t="str">
        <f t="shared" si="2852"/>
        <v/>
      </c>
      <c r="FR235" s="30" t="str">
        <f t="shared" si="2853"/>
        <v/>
      </c>
      <c r="FS235" s="30" t="str">
        <f t="shared" si="2854"/>
        <v/>
      </c>
    </row>
    <row r="236" spans="92:175">
      <c r="CN236" s="7" t="str">
        <f t="shared" si="2779"/>
        <v>InitUnitState('',,,,,,,,,,)</v>
      </c>
      <c r="CO236" s="7" t="str">
        <f t="shared" si="2780"/>
        <v>InitUnitNormal('',,,,,,,,,,)</v>
      </c>
      <c r="CP236" s="7" t="str">
        <f t="shared" si="2781"/>
        <v>InitUnitMagic('',,,,,,,,,,)</v>
      </c>
      <c r="CQ236" s="7" t="str">
        <f t="shared" si="2782"/>
        <v>InitUnitAdd('',,,,,,,,,,)</v>
      </c>
      <c r="CR236" s="7" t="str">
        <f t="shared" si="2783"/>
        <v>InitEquipData('',,"",,,,,'','','','','','',"")</v>
      </c>
      <c r="CU236" s="29" t="str">
        <f t="shared" si="2784"/>
        <v>|n</v>
      </c>
      <c r="CW236" s="24"/>
      <c r="CX236" s="24"/>
      <c r="CY236" s="24"/>
      <c r="CZ236" s="24"/>
      <c r="DA236" s="24"/>
      <c r="DB236" s="30" t="str">
        <f t="shared" si="2785"/>
        <v/>
      </c>
      <c r="DC236" s="30" t="str">
        <f t="shared" si="2786"/>
        <v/>
      </c>
      <c r="DD236" s="30" t="str">
        <f t="shared" si="2787"/>
        <v/>
      </c>
      <c r="DE236" s="30" t="str">
        <f t="shared" si="2788"/>
        <v/>
      </c>
      <c r="DF236" s="30" t="str">
        <f t="shared" si="2789"/>
        <v/>
      </c>
      <c r="DG236" s="30" t="str">
        <f t="shared" si="2790"/>
        <v/>
      </c>
      <c r="DH236" s="30" t="str">
        <f t="shared" si="2791"/>
        <v/>
      </c>
      <c r="DI236" s="30" t="str">
        <f t="shared" si="2792"/>
        <v/>
      </c>
      <c r="DJ236" s="30" t="str">
        <f t="shared" si="2793"/>
        <v/>
      </c>
      <c r="DK236" s="30" t="str">
        <f t="shared" si="2794"/>
        <v/>
      </c>
      <c r="DL236" s="30" t="str">
        <f t="shared" si="2795"/>
        <v/>
      </c>
      <c r="DM236" s="30" t="str">
        <f t="shared" si="2796"/>
        <v/>
      </c>
      <c r="DN236" s="30" t="str">
        <f t="shared" si="2797"/>
        <v/>
      </c>
      <c r="DO236" s="30" t="str">
        <f t="shared" si="2798"/>
        <v/>
      </c>
      <c r="DP236" s="30" t="str">
        <f t="shared" si="2799"/>
        <v/>
      </c>
      <c r="DQ236" s="30" t="str">
        <f t="shared" si="2800"/>
        <v/>
      </c>
      <c r="DR236" s="30" t="str">
        <f t="shared" si="2801"/>
        <v/>
      </c>
      <c r="DS236" s="30" t="str">
        <f t="shared" si="2802"/>
        <v/>
      </c>
      <c r="DT236" s="30" t="str">
        <f t="shared" si="2803"/>
        <v/>
      </c>
      <c r="DU236" s="30" t="str">
        <f t="shared" si="2804"/>
        <v/>
      </c>
      <c r="DV236" s="30" t="str">
        <f t="shared" si="2805"/>
        <v/>
      </c>
      <c r="DW236" s="30" t="str">
        <f t="shared" si="2806"/>
        <v/>
      </c>
      <c r="DX236" s="30" t="str">
        <f t="shared" si="2807"/>
        <v/>
      </c>
      <c r="DY236" s="30" t="str">
        <f t="shared" si="2808"/>
        <v/>
      </c>
      <c r="DZ236" s="30" t="str">
        <f t="shared" si="2809"/>
        <v/>
      </c>
      <c r="EA236" s="30" t="str">
        <f t="shared" si="2810"/>
        <v/>
      </c>
      <c r="EB236" s="30" t="str">
        <f t="shared" si="2811"/>
        <v/>
      </c>
      <c r="EC236" s="30" t="str">
        <f t="shared" si="2812"/>
        <v/>
      </c>
      <c r="ED236" s="30" t="str">
        <f t="shared" si="2813"/>
        <v/>
      </c>
      <c r="EE236" s="30" t="str">
        <f t="shared" si="2814"/>
        <v/>
      </c>
      <c r="EF236" s="30" t="str">
        <f t="shared" si="2815"/>
        <v/>
      </c>
      <c r="EG236" s="30" t="str">
        <f t="shared" si="2816"/>
        <v/>
      </c>
      <c r="EH236" s="30" t="str">
        <f t="shared" si="2817"/>
        <v/>
      </c>
      <c r="EI236" s="30" t="str">
        <f t="shared" si="2818"/>
        <v/>
      </c>
      <c r="EJ236" s="30" t="str">
        <f t="shared" si="2819"/>
        <v/>
      </c>
      <c r="EK236" s="30" t="str">
        <f t="shared" si="2820"/>
        <v/>
      </c>
      <c r="EL236" s="30" t="str">
        <f t="shared" si="2821"/>
        <v/>
      </c>
      <c r="EM236" s="30" t="str">
        <f t="shared" si="2822"/>
        <v/>
      </c>
      <c r="EN236" s="30" t="str">
        <f t="shared" si="2823"/>
        <v/>
      </c>
      <c r="EO236" s="30" t="str">
        <f t="shared" si="2824"/>
        <v/>
      </c>
      <c r="EP236" s="30" t="str">
        <f t="shared" si="2825"/>
        <v/>
      </c>
      <c r="EQ236" s="30" t="str">
        <f t="shared" si="2826"/>
        <v/>
      </c>
      <c r="ER236" s="30" t="str">
        <f t="shared" si="2827"/>
        <v/>
      </c>
      <c r="ES236" s="30" t="str">
        <f t="shared" si="2828"/>
        <v/>
      </c>
      <c r="ET236" s="30" t="str">
        <f t="shared" si="2829"/>
        <v/>
      </c>
      <c r="EU236" s="30" t="str">
        <f t="shared" si="2830"/>
        <v/>
      </c>
      <c r="EV236" s="30" t="str">
        <f t="shared" si="2831"/>
        <v/>
      </c>
      <c r="EW236" s="30" t="str">
        <f t="shared" si="2832"/>
        <v/>
      </c>
      <c r="EX236" s="30" t="str">
        <f t="shared" si="2833"/>
        <v/>
      </c>
      <c r="EY236" s="30" t="str">
        <f t="shared" si="2834"/>
        <v/>
      </c>
      <c r="EZ236" s="30" t="str">
        <f t="shared" si="2835"/>
        <v/>
      </c>
      <c r="FA236" s="30" t="str">
        <f t="shared" si="2836"/>
        <v/>
      </c>
      <c r="FB236" s="30" t="str">
        <f t="shared" si="2837"/>
        <v/>
      </c>
      <c r="FC236" s="30" t="str">
        <f t="shared" si="2838"/>
        <v/>
      </c>
      <c r="FD236" s="30" t="str">
        <f t="shared" si="2839"/>
        <v/>
      </c>
      <c r="FE236" s="30" t="str">
        <f t="shared" si="2840"/>
        <v/>
      </c>
      <c r="FF236" s="30" t="str">
        <f t="shared" si="2841"/>
        <v/>
      </c>
      <c r="FG236" s="30" t="str">
        <f t="shared" si="2842"/>
        <v/>
      </c>
      <c r="FH236" s="30" t="str">
        <f t="shared" si="2843"/>
        <v/>
      </c>
      <c r="FI236" s="30" t="str">
        <f t="shared" si="2844"/>
        <v/>
      </c>
      <c r="FJ236" s="30" t="str">
        <f t="shared" si="2845"/>
        <v/>
      </c>
      <c r="FK236" s="30" t="str">
        <f t="shared" si="2846"/>
        <v/>
      </c>
      <c r="FL236" s="30" t="str">
        <f t="shared" si="2847"/>
        <v/>
      </c>
      <c r="FM236" s="30" t="str">
        <f t="shared" si="2848"/>
        <v/>
      </c>
      <c r="FN236" s="30" t="str">
        <f t="shared" si="2849"/>
        <v/>
      </c>
      <c r="FO236" s="30" t="str">
        <f t="shared" si="2850"/>
        <v/>
      </c>
      <c r="FP236" s="30" t="str">
        <f t="shared" si="2851"/>
        <v/>
      </c>
      <c r="FQ236" s="30" t="str">
        <f t="shared" si="2852"/>
        <v/>
      </c>
      <c r="FR236" s="30" t="str">
        <f t="shared" si="2853"/>
        <v/>
      </c>
      <c r="FS236" s="30" t="str">
        <f t="shared" si="2854"/>
        <v/>
      </c>
    </row>
    <row r="237" spans="92:175">
      <c r="CN237" s="7" t="str">
        <f t="shared" si="2779"/>
        <v>InitUnitState('',,,,,,,,,,)</v>
      </c>
      <c r="CO237" s="7" t="str">
        <f t="shared" si="2780"/>
        <v>InitUnitNormal('',,,,,,,,,,)</v>
      </c>
      <c r="CP237" s="7" t="str">
        <f t="shared" si="2781"/>
        <v>InitUnitMagic('',,,,,,,,,,)</v>
      </c>
      <c r="CQ237" s="7" t="str">
        <f t="shared" si="2782"/>
        <v>InitUnitAdd('',,,,,,,,,,)</v>
      </c>
      <c r="CR237" s="7" t="str">
        <f t="shared" si="2783"/>
        <v>InitEquipData('',,"",,,,,'','','','','','',"")</v>
      </c>
      <c r="CU237" s="29" t="str">
        <f t="shared" ref="CU237:CU275" si="2855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W237" s="24"/>
      <c r="CX237" s="24"/>
      <c r="CY237" s="24"/>
      <c r="CZ237" s="24"/>
      <c r="DA237" s="24"/>
      <c r="DB237" s="30" t="str">
        <f t="shared" si="2785"/>
        <v/>
      </c>
      <c r="DC237" s="30" t="str">
        <f t="shared" si="2786"/>
        <v/>
      </c>
      <c r="DD237" s="30" t="str">
        <f t="shared" si="2787"/>
        <v/>
      </c>
      <c r="DE237" s="30" t="str">
        <f t="shared" si="2788"/>
        <v/>
      </c>
      <c r="DF237" s="30" t="str">
        <f t="shared" si="2789"/>
        <v/>
      </c>
      <c r="DG237" s="30" t="str">
        <f t="shared" si="2790"/>
        <v/>
      </c>
      <c r="DH237" s="30" t="str">
        <f t="shared" si="2791"/>
        <v/>
      </c>
      <c r="DI237" s="30" t="str">
        <f t="shared" si="2792"/>
        <v/>
      </c>
      <c r="DJ237" s="30" t="str">
        <f t="shared" si="2793"/>
        <v/>
      </c>
      <c r="DK237" s="30" t="str">
        <f t="shared" si="2794"/>
        <v/>
      </c>
      <c r="DL237" s="30" t="str">
        <f t="shared" si="2795"/>
        <v/>
      </c>
      <c r="DM237" s="30" t="str">
        <f t="shared" si="2796"/>
        <v/>
      </c>
      <c r="DN237" s="30" t="str">
        <f t="shared" si="2797"/>
        <v/>
      </c>
      <c r="DO237" s="30" t="str">
        <f t="shared" si="2798"/>
        <v/>
      </c>
      <c r="DP237" s="30" t="str">
        <f t="shared" si="2799"/>
        <v/>
      </c>
      <c r="DQ237" s="30" t="str">
        <f t="shared" si="2800"/>
        <v/>
      </c>
      <c r="DR237" s="30" t="str">
        <f t="shared" si="2801"/>
        <v/>
      </c>
      <c r="DS237" s="30" t="str">
        <f t="shared" si="2802"/>
        <v/>
      </c>
      <c r="DT237" s="30" t="str">
        <f t="shared" si="2803"/>
        <v/>
      </c>
      <c r="DU237" s="30" t="str">
        <f t="shared" si="2804"/>
        <v/>
      </c>
      <c r="DV237" s="30" t="str">
        <f t="shared" si="2805"/>
        <v/>
      </c>
      <c r="DW237" s="30" t="str">
        <f t="shared" si="2806"/>
        <v/>
      </c>
      <c r="DX237" s="30" t="str">
        <f t="shared" si="2807"/>
        <v/>
      </c>
      <c r="DY237" s="30" t="str">
        <f t="shared" si="2808"/>
        <v/>
      </c>
      <c r="DZ237" s="30" t="str">
        <f t="shared" si="2809"/>
        <v/>
      </c>
      <c r="EA237" s="30" t="str">
        <f t="shared" si="2810"/>
        <v/>
      </c>
      <c r="EB237" s="30" t="str">
        <f t="shared" si="2811"/>
        <v/>
      </c>
      <c r="EC237" s="30" t="str">
        <f t="shared" si="2812"/>
        <v/>
      </c>
      <c r="ED237" s="30" t="str">
        <f t="shared" si="2813"/>
        <v/>
      </c>
      <c r="EE237" s="30" t="str">
        <f t="shared" si="2814"/>
        <v/>
      </c>
      <c r="EF237" s="30" t="str">
        <f t="shared" si="2815"/>
        <v/>
      </c>
      <c r="EG237" s="30" t="str">
        <f t="shared" si="2816"/>
        <v/>
      </c>
      <c r="EH237" s="30" t="str">
        <f t="shared" si="2817"/>
        <v/>
      </c>
      <c r="EI237" s="30" t="str">
        <f t="shared" si="2818"/>
        <v/>
      </c>
      <c r="EJ237" s="30" t="str">
        <f t="shared" si="2819"/>
        <v/>
      </c>
      <c r="EK237" s="30" t="str">
        <f t="shared" si="2820"/>
        <v/>
      </c>
      <c r="EL237" s="30" t="str">
        <f t="shared" si="2821"/>
        <v/>
      </c>
      <c r="EM237" s="30" t="str">
        <f t="shared" si="2822"/>
        <v/>
      </c>
      <c r="EN237" s="30" t="str">
        <f t="shared" si="2823"/>
        <v/>
      </c>
      <c r="EO237" s="30" t="str">
        <f t="shared" si="2824"/>
        <v/>
      </c>
      <c r="EP237" s="30" t="str">
        <f t="shared" si="2825"/>
        <v/>
      </c>
      <c r="EQ237" s="30" t="str">
        <f t="shared" si="2826"/>
        <v/>
      </c>
      <c r="ER237" s="30" t="str">
        <f t="shared" si="2827"/>
        <v/>
      </c>
      <c r="ES237" s="30" t="str">
        <f t="shared" si="2828"/>
        <v/>
      </c>
      <c r="ET237" s="30" t="str">
        <f t="shared" si="2829"/>
        <v/>
      </c>
      <c r="EU237" s="30" t="str">
        <f t="shared" si="2830"/>
        <v/>
      </c>
      <c r="EV237" s="30" t="str">
        <f t="shared" si="2831"/>
        <v/>
      </c>
      <c r="EW237" s="30" t="str">
        <f t="shared" si="2832"/>
        <v/>
      </c>
      <c r="EX237" s="30" t="str">
        <f t="shared" si="2833"/>
        <v/>
      </c>
      <c r="EY237" s="30" t="str">
        <f t="shared" si="2834"/>
        <v/>
      </c>
      <c r="EZ237" s="30" t="str">
        <f t="shared" si="2835"/>
        <v/>
      </c>
      <c r="FA237" s="30" t="str">
        <f t="shared" si="2836"/>
        <v/>
      </c>
      <c r="FB237" s="30" t="str">
        <f t="shared" si="2837"/>
        <v/>
      </c>
      <c r="FC237" s="30" t="str">
        <f t="shared" si="2838"/>
        <v/>
      </c>
      <c r="FD237" s="30" t="str">
        <f t="shared" si="2839"/>
        <v/>
      </c>
      <c r="FE237" s="30" t="str">
        <f t="shared" si="2840"/>
        <v/>
      </c>
      <c r="FF237" s="30" t="str">
        <f t="shared" si="2841"/>
        <v/>
      </c>
      <c r="FG237" s="30" t="str">
        <f t="shared" si="2842"/>
        <v/>
      </c>
      <c r="FH237" s="30" t="str">
        <f t="shared" si="2843"/>
        <v/>
      </c>
      <c r="FI237" s="30" t="str">
        <f t="shared" si="2844"/>
        <v/>
      </c>
      <c r="FJ237" s="30" t="str">
        <f t="shared" si="2845"/>
        <v/>
      </c>
      <c r="FK237" s="30" t="str">
        <f t="shared" si="2846"/>
        <v/>
      </c>
      <c r="FL237" s="30" t="str">
        <f t="shared" si="2847"/>
        <v/>
      </c>
      <c r="FM237" s="30" t="str">
        <f t="shared" si="2848"/>
        <v/>
      </c>
      <c r="FN237" s="30" t="str">
        <f t="shared" si="2849"/>
        <v/>
      </c>
      <c r="FO237" s="30" t="str">
        <f t="shared" si="2850"/>
        <v/>
      </c>
      <c r="FP237" s="30" t="str">
        <f t="shared" si="2851"/>
        <v/>
      </c>
      <c r="FQ237" s="30" t="str">
        <f t="shared" si="2852"/>
        <v/>
      </c>
      <c r="FR237" s="30" t="str">
        <f t="shared" si="2853"/>
        <v/>
      </c>
      <c r="FS237" s="30" t="str">
        <f t="shared" si="2854"/>
        <v/>
      </c>
    </row>
    <row r="238" spans="92:175">
      <c r="CN238" s="7" t="str">
        <f t="shared" si="2779"/>
        <v>InitUnitState('',,,,,,,,,,)</v>
      </c>
      <c r="CO238" s="7" t="str">
        <f t="shared" si="2780"/>
        <v>InitUnitNormal('',,,,,,,,,,)</v>
      </c>
      <c r="CP238" s="7" t="str">
        <f t="shared" si="2781"/>
        <v>InitUnitMagic('',,,,,,,,,,)</v>
      </c>
      <c r="CQ238" s="7" t="str">
        <f t="shared" si="2782"/>
        <v>InitUnitAdd('',,,,,,,,,,)</v>
      </c>
      <c r="CR238" s="7" t="str">
        <f t="shared" si="2783"/>
        <v>InitEquipData('',,"",,,,,'','','','','','',"")</v>
      </c>
      <c r="CU238" s="29" t="str">
        <f t="shared" si="2855"/>
        <v>|n</v>
      </c>
      <c r="CW238" s="24"/>
      <c r="CX238" s="24"/>
      <c r="CY238" s="24"/>
      <c r="CZ238" s="24"/>
      <c r="DA238" s="24"/>
      <c r="DB238" s="30" t="str">
        <f t="shared" si="2785"/>
        <v/>
      </c>
      <c r="DC238" s="30" t="str">
        <f t="shared" si="2786"/>
        <v/>
      </c>
      <c r="DD238" s="30" t="str">
        <f t="shared" si="2787"/>
        <v/>
      </c>
      <c r="DE238" s="30" t="str">
        <f t="shared" si="2788"/>
        <v/>
      </c>
      <c r="DF238" s="30" t="str">
        <f t="shared" si="2789"/>
        <v/>
      </c>
      <c r="DG238" s="30" t="str">
        <f t="shared" si="2790"/>
        <v/>
      </c>
      <c r="DH238" s="30" t="str">
        <f t="shared" si="2791"/>
        <v/>
      </c>
      <c r="DI238" s="30" t="str">
        <f t="shared" si="2792"/>
        <v/>
      </c>
      <c r="DJ238" s="30" t="str">
        <f t="shared" si="2793"/>
        <v/>
      </c>
      <c r="DK238" s="30" t="str">
        <f t="shared" si="2794"/>
        <v/>
      </c>
      <c r="DL238" s="30" t="str">
        <f t="shared" si="2795"/>
        <v/>
      </c>
      <c r="DM238" s="30" t="str">
        <f t="shared" si="2796"/>
        <v/>
      </c>
      <c r="DN238" s="30" t="str">
        <f t="shared" si="2797"/>
        <v/>
      </c>
      <c r="DO238" s="30" t="str">
        <f t="shared" si="2798"/>
        <v/>
      </c>
      <c r="DP238" s="30" t="str">
        <f t="shared" si="2799"/>
        <v/>
      </c>
      <c r="DQ238" s="30" t="str">
        <f t="shared" si="2800"/>
        <v/>
      </c>
      <c r="DR238" s="30" t="str">
        <f t="shared" si="2801"/>
        <v/>
      </c>
      <c r="DS238" s="30" t="str">
        <f t="shared" si="2802"/>
        <v/>
      </c>
      <c r="DT238" s="30" t="str">
        <f t="shared" si="2803"/>
        <v/>
      </c>
      <c r="DU238" s="30" t="str">
        <f t="shared" si="2804"/>
        <v/>
      </c>
      <c r="DV238" s="30" t="str">
        <f t="shared" si="2805"/>
        <v/>
      </c>
      <c r="DW238" s="30" t="str">
        <f t="shared" si="2806"/>
        <v/>
      </c>
      <c r="DX238" s="30" t="str">
        <f t="shared" si="2807"/>
        <v/>
      </c>
      <c r="DY238" s="30" t="str">
        <f t="shared" si="2808"/>
        <v/>
      </c>
      <c r="DZ238" s="30" t="str">
        <f t="shared" si="2809"/>
        <v/>
      </c>
      <c r="EA238" s="30" t="str">
        <f t="shared" si="2810"/>
        <v/>
      </c>
      <c r="EB238" s="30" t="str">
        <f t="shared" si="2811"/>
        <v/>
      </c>
      <c r="EC238" s="30" t="str">
        <f t="shared" si="2812"/>
        <v/>
      </c>
      <c r="ED238" s="30" t="str">
        <f t="shared" si="2813"/>
        <v/>
      </c>
      <c r="EE238" s="30" t="str">
        <f t="shared" si="2814"/>
        <v/>
      </c>
      <c r="EF238" s="30" t="str">
        <f t="shared" si="2815"/>
        <v/>
      </c>
      <c r="EG238" s="30" t="str">
        <f t="shared" si="2816"/>
        <v/>
      </c>
      <c r="EH238" s="30" t="str">
        <f t="shared" si="2817"/>
        <v/>
      </c>
      <c r="EI238" s="30" t="str">
        <f t="shared" si="2818"/>
        <v/>
      </c>
      <c r="EJ238" s="30" t="str">
        <f t="shared" si="2819"/>
        <v/>
      </c>
      <c r="EK238" s="30" t="str">
        <f t="shared" si="2820"/>
        <v/>
      </c>
      <c r="EL238" s="30" t="str">
        <f t="shared" si="2821"/>
        <v/>
      </c>
      <c r="EM238" s="30" t="str">
        <f t="shared" si="2822"/>
        <v/>
      </c>
      <c r="EN238" s="30" t="str">
        <f t="shared" si="2823"/>
        <v/>
      </c>
      <c r="EO238" s="30" t="str">
        <f t="shared" si="2824"/>
        <v/>
      </c>
      <c r="EP238" s="30" t="str">
        <f t="shared" si="2825"/>
        <v/>
      </c>
      <c r="EQ238" s="30" t="str">
        <f t="shared" si="2826"/>
        <v/>
      </c>
      <c r="ER238" s="30" t="str">
        <f t="shared" si="2827"/>
        <v/>
      </c>
      <c r="ES238" s="30" t="str">
        <f t="shared" si="2828"/>
        <v/>
      </c>
      <c r="ET238" s="30" t="str">
        <f t="shared" si="2829"/>
        <v/>
      </c>
      <c r="EU238" s="30" t="str">
        <f t="shared" si="2830"/>
        <v/>
      </c>
      <c r="EV238" s="30" t="str">
        <f t="shared" si="2831"/>
        <v/>
      </c>
      <c r="EW238" s="30" t="str">
        <f t="shared" si="2832"/>
        <v/>
      </c>
      <c r="EX238" s="30" t="str">
        <f t="shared" si="2833"/>
        <v/>
      </c>
      <c r="EY238" s="30" t="str">
        <f t="shared" si="2834"/>
        <v/>
      </c>
      <c r="EZ238" s="30" t="str">
        <f t="shared" si="2835"/>
        <v/>
      </c>
      <c r="FA238" s="30" t="str">
        <f t="shared" si="2836"/>
        <v/>
      </c>
      <c r="FB238" s="30" t="str">
        <f t="shared" si="2837"/>
        <v/>
      </c>
      <c r="FC238" s="30" t="str">
        <f t="shared" si="2838"/>
        <v/>
      </c>
      <c r="FD238" s="30" t="str">
        <f t="shared" si="2839"/>
        <v/>
      </c>
      <c r="FE238" s="30" t="str">
        <f t="shared" si="2840"/>
        <v/>
      </c>
      <c r="FF238" s="30" t="str">
        <f t="shared" si="2841"/>
        <v/>
      </c>
      <c r="FG238" s="30" t="str">
        <f t="shared" si="2842"/>
        <v/>
      </c>
      <c r="FH238" s="30" t="str">
        <f t="shared" si="2843"/>
        <v/>
      </c>
      <c r="FI238" s="30" t="str">
        <f t="shared" si="2844"/>
        <v/>
      </c>
      <c r="FJ238" s="30" t="str">
        <f t="shared" si="2845"/>
        <v/>
      </c>
      <c r="FK238" s="30" t="str">
        <f t="shared" si="2846"/>
        <v/>
      </c>
      <c r="FL238" s="30" t="str">
        <f t="shared" si="2847"/>
        <v/>
      </c>
      <c r="FM238" s="30" t="str">
        <f t="shared" si="2848"/>
        <v/>
      </c>
      <c r="FN238" s="30" t="str">
        <f t="shared" si="2849"/>
        <v/>
      </c>
      <c r="FO238" s="30" t="str">
        <f t="shared" si="2850"/>
        <v/>
      </c>
      <c r="FP238" s="30" t="str">
        <f t="shared" si="2851"/>
        <v/>
      </c>
      <c r="FQ238" s="30" t="str">
        <f t="shared" si="2852"/>
        <v/>
      </c>
      <c r="FR238" s="30" t="str">
        <f t="shared" si="2853"/>
        <v/>
      </c>
      <c r="FS238" s="30" t="str">
        <f t="shared" si="2854"/>
        <v/>
      </c>
    </row>
    <row r="239" spans="92:175">
      <c r="CN239" s="7" t="str">
        <f t="shared" si="2779"/>
        <v>InitUnitState('',,,,,,,,,,)</v>
      </c>
      <c r="CO239" s="7" t="str">
        <f t="shared" si="2780"/>
        <v>InitUnitNormal('',,,,,,,,,,)</v>
      </c>
      <c r="CP239" s="7" t="str">
        <f t="shared" si="2781"/>
        <v>InitUnitMagic('',,,,,,,,,,)</v>
      </c>
      <c r="CQ239" s="7" t="str">
        <f t="shared" si="2782"/>
        <v>InitUnitAdd('',,,,,,,,,,)</v>
      </c>
      <c r="CR239" s="7" t="str">
        <f t="shared" si="2783"/>
        <v>InitEquipData('',,"",,,,,'','','','','','',"")</v>
      </c>
      <c r="CU239" s="29" t="str">
        <f t="shared" si="2855"/>
        <v>|n</v>
      </c>
      <c r="CW239" s="24"/>
      <c r="CX239" s="24"/>
      <c r="CY239" s="24"/>
      <c r="CZ239" s="24"/>
      <c r="DA239" s="24"/>
      <c r="DB239" s="30" t="str">
        <f t="shared" si="2785"/>
        <v/>
      </c>
      <c r="DC239" s="30" t="str">
        <f t="shared" si="2786"/>
        <v/>
      </c>
      <c r="DD239" s="30" t="str">
        <f t="shared" si="2787"/>
        <v/>
      </c>
      <c r="DE239" s="30" t="str">
        <f t="shared" si="2788"/>
        <v/>
      </c>
      <c r="DF239" s="30" t="str">
        <f t="shared" si="2789"/>
        <v/>
      </c>
      <c r="DG239" s="30" t="str">
        <f t="shared" si="2790"/>
        <v/>
      </c>
      <c r="DH239" s="30" t="str">
        <f t="shared" si="2791"/>
        <v/>
      </c>
      <c r="DI239" s="30" t="str">
        <f t="shared" si="2792"/>
        <v/>
      </c>
      <c r="DJ239" s="30" t="str">
        <f t="shared" si="2793"/>
        <v/>
      </c>
      <c r="DK239" s="30" t="str">
        <f t="shared" si="2794"/>
        <v/>
      </c>
      <c r="DL239" s="30" t="str">
        <f t="shared" si="2795"/>
        <v/>
      </c>
      <c r="DM239" s="30" t="str">
        <f t="shared" si="2796"/>
        <v/>
      </c>
      <c r="DN239" s="30" t="str">
        <f t="shared" si="2797"/>
        <v/>
      </c>
      <c r="DO239" s="30" t="str">
        <f t="shared" si="2798"/>
        <v/>
      </c>
      <c r="DP239" s="30" t="str">
        <f t="shared" si="2799"/>
        <v/>
      </c>
      <c r="DQ239" s="30" t="str">
        <f t="shared" si="2800"/>
        <v/>
      </c>
      <c r="DR239" s="30" t="str">
        <f t="shared" si="2801"/>
        <v/>
      </c>
      <c r="DS239" s="30" t="str">
        <f t="shared" si="2802"/>
        <v/>
      </c>
      <c r="DT239" s="30" t="str">
        <f t="shared" si="2803"/>
        <v/>
      </c>
      <c r="DU239" s="30" t="str">
        <f t="shared" si="2804"/>
        <v/>
      </c>
      <c r="DV239" s="30" t="str">
        <f t="shared" si="2805"/>
        <v/>
      </c>
      <c r="DW239" s="30" t="str">
        <f t="shared" si="2806"/>
        <v/>
      </c>
      <c r="DX239" s="30" t="str">
        <f t="shared" si="2807"/>
        <v/>
      </c>
      <c r="DY239" s="30" t="str">
        <f t="shared" si="2808"/>
        <v/>
      </c>
      <c r="DZ239" s="30" t="str">
        <f t="shared" si="2809"/>
        <v/>
      </c>
      <c r="EA239" s="30" t="str">
        <f t="shared" si="2810"/>
        <v/>
      </c>
      <c r="EB239" s="30" t="str">
        <f t="shared" si="2811"/>
        <v/>
      </c>
      <c r="EC239" s="30" t="str">
        <f t="shared" si="2812"/>
        <v/>
      </c>
      <c r="ED239" s="30" t="str">
        <f t="shared" si="2813"/>
        <v/>
      </c>
      <c r="EE239" s="30" t="str">
        <f t="shared" si="2814"/>
        <v/>
      </c>
      <c r="EF239" s="30" t="str">
        <f t="shared" si="2815"/>
        <v/>
      </c>
      <c r="EG239" s="30" t="str">
        <f t="shared" si="2816"/>
        <v/>
      </c>
      <c r="EH239" s="30" t="str">
        <f t="shared" si="2817"/>
        <v/>
      </c>
      <c r="EI239" s="30" t="str">
        <f t="shared" si="2818"/>
        <v/>
      </c>
      <c r="EJ239" s="30" t="str">
        <f t="shared" si="2819"/>
        <v/>
      </c>
      <c r="EK239" s="30" t="str">
        <f t="shared" si="2820"/>
        <v/>
      </c>
      <c r="EL239" s="30" t="str">
        <f t="shared" si="2821"/>
        <v/>
      </c>
      <c r="EM239" s="30" t="str">
        <f t="shared" si="2822"/>
        <v/>
      </c>
      <c r="EN239" s="30" t="str">
        <f t="shared" si="2823"/>
        <v/>
      </c>
      <c r="EO239" s="30" t="str">
        <f t="shared" si="2824"/>
        <v/>
      </c>
      <c r="EP239" s="30" t="str">
        <f t="shared" si="2825"/>
        <v/>
      </c>
      <c r="EQ239" s="30" t="str">
        <f t="shared" si="2826"/>
        <v/>
      </c>
      <c r="ER239" s="30" t="str">
        <f t="shared" si="2827"/>
        <v/>
      </c>
      <c r="ES239" s="30" t="str">
        <f t="shared" si="2828"/>
        <v/>
      </c>
      <c r="ET239" s="30" t="str">
        <f t="shared" si="2829"/>
        <v/>
      </c>
      <c r="EU239" s="30" t="str">
        <f t="shared" si="2830"/>
        <v/>
      </c>
      <c r="EV239" s="30" t="str">
        <f t="shared" si="2831"/>
        <v/>
      </c>
      <c r="EW239" s="30" t="str">
        <f t="shared" si="2832"/>
        <v/>
      </c>
      <c r="EX239" s="30" t="str">
        <f t="shared" si="2833"/>
        <v/>
      </c>
      <c r="EY239" s="30" t="str">
        <f t="shared" si="2834"/>
        <v/>
      </c>
      <c r="EZ239" s="30" t="str">
        <f t="shared" si="2835"/>
        <v/>
      </c>
      <c r="FA239" s="30" t="str">
        <f t="shared" si="2836"/>
        <v/>
      </c>
      <c r="FB239" s="30" t="str">
        <f t="shared" si="2837"/>
        <v/>
      </c>
      <c r="FC239" s="30" t="str">
        <f t="shared" si="2838"/>
        <v/>
      </c>
      <c r="FD239" s="30" t="str">
        <f t="shared" si="2839"/>
        <v/>
      </c>
      <c r="FE239" s="30" t="str">
        <f t="shared" si="2840"/>
        <v/>
      </c>
      <c r="FF239" s="30" t="str">
        <f t="shared" si="2841"/>
        <v/>
      </c>
      <c r="FG239" s="30" t="str">
        <f t="shared" si="2842"/>
        <v/>
      </c>
      <c r="FH239" s="30" t="str">
        <f t="shared" si="2843"/>
        <v/>
      </c>
      <c r="FI239" s="30" t="str">
        <f t="shared" si="2844"/>
        <v/>
      </c>
      <c r="FJ239" s="30" t="str">
        <f t="shared" si="2845"/>
        <v/>
      </c>
      <c r="FK239" s="30" t="str">
        <f t="shared" si="2846"/>
        <v/>
      </c>
      <c r="FL239" s="30" t="str">
        <f t="shared" si="2847"/>
        <v/>
      </c>
      <c r="FM239" s="30" t="str">
        <f t="shared" si="2848"/>
        <v/>
      </c>
      <c r="FN239" s="30" t="str">
        <f t="shared" si="2849"/>
        <v/>
      </c>
      <c r="FO239" s="30" t="str">
        <f t="shared" si="2850"/>
        <v/>
      </c>
      <c r="FP239" s="30" t="str">
        <f t="shared" si="2851"/>
        <v/>
      </c>
      <c r="FQ239" s="30" t="str">
        <f t="shared" si="2852"/>
        <v/>
      </c>
      <c r="FR239" s="30" t="str">
        <f t="shared" si="2853"/>
        <v/>
      </c>
      <c r="FS239" s="30" t="str">
        <f t="shared" si="2854"/>
        <v/>
      </c>
    </row>
    <row r="240" spans="92:175">
      <c r="CN240" s="7" t="str">
        <f t="shared" si="2779"/>
        <v>InitUnitState('',,,,,,,,,,)</v>
      </c>
      <c r="CO240" s="7" t="str">
        <f t="shared" si="2780"/>
        <v>InitUnitNormal('',,,,,,,,,,)</v>
      </c>
      <c r="CP240" s="7" t="str">
        <f t="shared" si="2781"/>
        <v>InitUnitMagic('',,,,,,,,,,)</v>
      </c>
      <c r="CQ240" s="7" t="str">
        <f t="shared" si="2782"/>
        <v>InitUnitAdd('',,,,,,,,,,)</v>
      </c>
      <c r="CR240" s="7" t="str">
        <f t="shared" si="2783"/>
        <v>InitEquipData('',,"",,,,,'','','','','','',"")</v>
      </c>
      <c r="CU240" s="29" t="str">
        <f t="shared" si="2855"/>
        <v>|n</v>
      </c>
      <c r="CW240" s="24"/>
      <c r="CX240" s="24"/>
      <c r="CY240" s="24"/>
      <c r="CZ240" s="24"/>
      <c r="DA240" s="24"/>
      <c r="DB240" s="30" t="str">
        <f t="shared" si="2785"/>
        <v/>
      </c>
      <c r="DC240" s="30" t="str">
        <f t="shared" si="2786"/>
        <v/>
      </c>
      <c r="DD240" s="30" t="str">
        <f t="shared" si="2787"/>
        <v/>
      </c>
      <c r="DE240" s="30" t="str">
        <f t="shared" si="2788"/>
        <v/>
      </c>
      <c r="DF240" s="30" t="str">
        <f t="shared" si="2789"/>
        <v/>
      </c>
      <c r="DG240" s="30" t="str">
        <f t="shared" si="2790"/>
        <v/>
      </c>
      <c r="DH240" s="30" t="str">
        <f t="shared" si="2791"/>
        <v/>
      </c>
      <c r="DI240" s="30" t="str">
        <f t="shared" si="2792"/>
        <v/>
      </c>
      <c r="DJ240" s="30" t="str">
        <f t="shared" si="2793"/>
        <v/>
      </c>
      <c r="DK240" s="30" t="str">
        <f t="shared" si="2794"/>
        <v/>
      </c>
      <c r="DL240" s="30" t="str">
        <f t="shared" si="2795"/>
        <v/>
      </c>
      <c r="DM240" s="30" t="str">
        <f t="shared" si="2796"/>
        <v/>
      </c>
      <c r="DN240" s="30" t="str">
        <f t="shared" si="2797"/>
        <v/>
      </c>
      <c r="DO240" s="30" t="str">
        <f t="shared" si="2798"/>
        <v/>
      </c>
      <c r="DP240" s="30" t="str">
        <f t="shared" si="2799"/>
        <v/>
      </c>
      <c r="DQ240" s="30" t="str">
        <f t="shared" si="2800"/>
        <v/>
      </c>
      <c r="DR240" s="30" t="str">
        <f t="shared" si="2801"/>
        <v/>
      </c>
      <c r="DS240" s="30" t="str">
        <f t="shared" si="2802"/>
        <v/>
      </c>
      <c r="DT240" s="30" t="str">
        <f t="shared" si="2803"/>
        <v/>
      </c>
      <c r="DU240" s="30" t="str">
        <f t="shared" si="2804"/>
        <v/>
      </c>
      <c r="DV240" s="30" t="str">
        <f t="shared" si="2805"/>
        <v/>
      </c>
      <c r="DW240" s="30" t="str">
        <f t="shared" si="2806"/>
        <v/>
      </c>
      <c r="DX240" s="30" t="str">
        <f t="shared" si="2807"/>
        <v/>
      </c>
      <c r="DY240" s="30" t="str">
        <f t="shared" si="2808"/>
        <v/>
      </c>
      <c r="DZ240" s="30" t="str">
        <f t="shared" si="2809"/>
        <v/>
      </c>
      <c r="EA240" s="30" t="str">
        <f t="shared" si="2810"/>
        <v/>
      </c>
      <c r="EB240" s="30" t="str">
        <f t="shared" si="2811"/>
        <v/>
      </c>
      <c r="EC240" s="30" t="str">
        <f t="shared" si="2812"/>
        <v/>
      </c>
      <c r="ED240" s="30" t="str">
        <f t="shared" si="2813"/>
        <v/>
      </c>
      <c r="EE240" s="30" t="str">
        <f t="shared" si="2814"/>
        <v/>
      </c>
      <c r="EF240" s="30" t="str">
        <f t="shared" si="2815"/>
        <v/>
      </c>
      <c r="EG240" s="30" t="str">
        <f t="shared" si="2816"/>
        <v/>
      </c>
      <c r="EH240" s="30" t="str">
        <f t="shared" si="2817"/>
        <v/>
      </c>
      <c r="EI240" s="30" t="str">
        <f t="shared" si="2818"/>
        <v/>
      </c>
      <c r="EJ240" s="30" t="str">
        <f t="shared" si="2819"/>
        <v/>
      </c>
      <c r="EK240" s="30" t="str">
        <f t="shared" si="2820"/>
        <v/>
      </c>
      <c r="EL240" s="30" t="str">
        <f t="shared" si="2821"/>
        <v/>
      </c>
      <c r="EM240" s="30" t="str">
        <f t="shared" si="2822"/>
        <v/>
      </c>
      <c r="EN240" s="30" t="str">
        <f t="shared" si="2823"/>
        <v/>
      </c>
      <c r="EO240" s="30" t="str">
        <f t="shared" si="2824"/>
        <v/>
      </c>
      <c r="EP240" s="30" t="str">
        <f t="shared" si="2825"/>
        <v/>
      </c>
      <c r="EQ240" s="30" t="str">
        <f t="shared" si="2826"/>
        <v/>
      </c>
      <c r="ER240" s="30" t="str">
        <f t="shared" si="2827"/>
        <v/>
      </c>
      <c r="ES240" s="30" t="str">
        <f t="shared" si="2828"/>
        <v/>
      </c>
      <c r="ET240" s="30" t="str">
        <f t="shared" si="2829"/>
        <v/>
      </c>
      <c r="EU240" s="30" t="str">
        <f t="shared" si="2830"/>
        <v/>
      </c>
      <c r="EV240" s="30" t="str">
        <f t="shared" si="2831"/>
        <v/>
      </c>
      <c r="EW240" s="30" t="str">
        <f t="shared" si="2832"/>
        <v/>
      </c>
      <c r="EX240" s="30" t="str">
        <f t="shared" si="2833"/>
        <v/>
      </c>
      <c r="EY240" s="30" t="str">
        <f t="shared" si="2834"/>
        <v/>
      </c>
      <c r="EZ240" s="30" t="str">
        <f t="shared" si="2835"/>
        <v/>
      </c>
      <c r="FA240" s="30" t="str">
        <f t="shared" si="2836"/>
        <v/>
      </c>
      <c r="FB240" s="30" t="str">
        <f t="shared" si="2837"/>
        <v/>
      </c>
      <c r="FC240" s="30" t="str">
        <f t="shared" si="2838"/>
        <v/>
      </c>
      <c r="FD240" s="30" t="str">
        <f t="shared" si="2839"/>
        <v/>
      </c>
      <c r="FE240" s="30" t="str">
        <f t="shared" si="2840"/>
        <v/>
      </c>
      <c r="FF240" s="30" t="str">
        <f t="shared" si="2841"/>
        <v/>
      </c>
      <c r="FG240" s="30" t="str">
        <f t="shared" si="2842"/>
        <v/>
      </c>
      <c r="FH240" s="30" t="str">
        <f t="shared" si="2843"/>
        <v/>
      </c>
      <c r="FI240" s="30" t="str">
        <f t="shared" si="2844"/>
        <v/>
      </c>
      <c r="FJ240" s="30" t="str">
        <f t="shared" si="2845"/>
        <v/>
      </c>
      <c r="FK240" s="30" t="str">
        <f t="shared" si="2846"/>
        <v/>
      </c>
      <c r="FL240" s="30" t="str">
        <f t="shared" si="2847"/>
        <v/>
      </c>
      <c r="FM240" s="30" t="str">
        <f t="shared" si="2848"/>
        <v/>
      </c>
      <c r="FN240" s="30" t="str">
        <f t="shared" si="2849"/>
        <v/>
      </c>
      <c r="FO240" s="30" t="str">
        <f t="shared" si="2850"/>
        <v/>
      </c>
      <c r="FP240" s="30" t="str">
        <f t="shared" si="2851"/>
        <v/>
      </c>
      <c r="FQ240" s="30" t="str">
        <f t="shared" si="2852"/>
        <v/>
      </c>
      <c r="FR240" s="30" t="str">
        <f t="shared" si="2853"/>
        <v/>
      </c>
      <c r="FS240" s="30" t="str">
        <f t="shared" si="2854"/>
        <v/>
      </c>
    </row>
    <row r="241" spans="92:175">
      <c r="CN241" s="7" t="str">
        <f t="shared" si="2779"/>
        <v>InitUnitState('',,,,,,,,,,)</v>
      </c>
      <c r="CO241" s="7" t="str">
        <f t="shared" si="2780"/>
        <v>InitUnitNormal('',,,,,,,,,,)</v>
      </c>
      <c r="CP241" s="7" t="str">
        <f t="shared" si="2781"/>
        <v>InitUnitMagic('',,,,,,,,,,)</v>
      </c>
      <c r="CQ241" s="7" t="str">
        <f t="shared" si="2782"/>
        <v>InitUnitAdd('',,,,,,,,,,)</v>
      </c>
      <c r="CR241" s="7" t="str">
        <f t="shared" si="2783"/>
        <v>InitEquipData('',,"",,,,,'','','','','','',"")</v>
      </c>
      <c r="CU241" s="29" t="str">
        <f t="shared" si="2855"/>
        <v>|n</v>
      </c>
      <c r="CW241" s="24"/>
      <c r="CX241" s="24"/>
      <c r="CY241" s="24"/>
      <c r="CZ241" s="24"/>
      <c r="DA241" s="24"/>
      <c r="DB241" s="30" t="str">
        <f t="shared" si="2785"/>
        <v/>
      </c>
      <c r="DC241" s="30" t="str">
        <f t="shared" si="2786"/>
        <v/>
      </c>
      <c r="DD241" s="30" t="str">
        <f t="shared" si="2787"/>
        <v/>
      </c>
      <c r="DE241" s="30" t="str">
        <f t="shared" si="2788"/>
        <v/>
      </c>
      <c r="DF241" s="30" t="str">
        <f t="shared" si="2789"/>
        <v/>
      </c>
      <c r="DG241" s="30" t="str">
        <f t="shared" si="2790"/>
        <v/>
      </c>
      <c r="DH241" s="30" t="str">
        <f t="shared" si="2791"/>
        <v/>
      </c>
      <c r="DI241" s="30" t="str">
        <f t="shared" si="2792"/>
        <v/>
      </c>
      <c r="DJ241" s="30" t="str">
        <f t="shared" si="2793"/>
        <v/>
      </c>
      <c r="DK241" s="30" t="str">
        <f t="shared" si="2794"/>
        <v/>
      </c>
      <c r="DL241" s="30" t="str">
        <f t="shared" si="2795"/>
        <v/>
      </c>
      <c r="DM241" s="30" t="str">
        <f t="shared" si="2796"/>
        <v/>
      </c>
      <c r="DN241" s="30" t="str">
        <f t="shared" si="2797"/>
        <v/>
      </c>
      <c r="DO241" s="30" t="str">
        <f t="shared" si="2798"/>
        <v/>
      </c>
      <c r="DP241" s="30" t="str">
        <f t="shared" si="2799"/>
        <v/>
      </c>
      <c r="DQ241" s="30" t="str">
        <f t="shared" si="2800"/>
        <v/>
      </c>
      <c r="DR241" s="30" t="str">
        <f t="shared" si="2801"/>
        <v/>
      </c>
      <c r="DS241" s="30" t="str">
        <f t="shared" si="2802"/>
        <v/>
      </c>
      <c r="DT241" s="30" t="str">
        <f t="shared" si="2803"/>
        <v/>
      </c>
      <c r="DU241" s="30" t="str">
        <f t="shared" si="2804"/>
        <v/>
      </c>
      <c r="DV241" s="30" t="str">
        <f t="shared" si="2805"/>
        <v/>
      </c>
      <c r="DW241" s="30" t="str">
        <f t="shared" si="2806"/>
        <v/>
      </c>
      <c r="DX241" s="30" t="str">
        <f t="shared" si="2807"/>
        <v/>
      </c>
      <c r="DY241" s="30" t="str">
        <f t="shared" si="2808"/>
        <v/>
      </c>
      <c r="DZ241" s="30" t="str">
        <f t="shared" si="2809"/>
        <v/>
      </c>
      <c r="EA241" s="30" t="str">
        <f t="shared" si="2810"/>
        <v/>
      </c>
      <c r="EB241" s="30" t="str">
        <f t="shared" si="2811"/>
        <v/>
      </c>
      <c r="EC241" s="30" t="str">
        <f t="shared" si="2812"/>
        <v/>
      </c>
      <c r="ED241" s="30" t="str">
        <f t="shared" si="2813"/>
        <v/>
      </c>
      <c r="EE241" s="30" t="str">
        <f t="shared" si="2814"/>
        <v/>
      </c>
      <c r="EF241" s="30" t="str">
        <f t="shared" si="2815"/>
        <v/>
      </c>
      <c r="EG241" s="30" t="str">
        <f t="shared" si="2816"/>
        <v/>
      </c>
      <c r="EH241" s="30" t="str">
        <f t="shared" si="2817"/>
        <v/>
      </c>
      <c r="EI241" s="30" t="str">
        <f t="shared" si="2818"/>
        <v/>
      </c>
      <c r="EJ241" s="30" t="str">
        <f t="shared" si="2819"/>
        <v/>
      </c>
      <c r="EK241" s="30" t="str">
        <f t="shared" si="2820"/>
        <v/>
      </c>
      <c r="EL241" s="30" t="str">
        <f t="shared" si="2821"/>
        <v/>
      </c>
      <c r="EM241" s="30" t="str">
        <f t="shared" si="2822"/>
        <v/>
      </c>
      <c r="EN241" s="30" t="str">
        <f t="shared" si="2823"/>
        <v/>
      </c>
      <c r="EO241" s="30" t="str">
        <f t="shared" si="2824"/>
        <v/>
      </c>
      <c r="EP241" s="30" t="str">
        <f t="shared" si="2825"/>
        <v/>
      </c>
      <c r="EQ241" s="30" t="str">
        <f t="shared" si="2826"/>
        <v/>
      </c>
      <c r="ER241" s="30" t="str">
        <f t="shared" si="2827"/>
        <v/>
      </c>
      <c r="ES241" s="30" t="str">
        <f t="shared" si="2828"/>
        <v/>
      </c>
      <c r="ET241" s="30" t="str">
        <f t="shared" si="2829"/>
        <v/>
      </c>
      <c r="EU241" s="30" t="str">
        <f t="shared" si="2830"/>
        <v/>
      </c>
      <c r="EV241" s="30" t="str">
        <f t="shared" si="2831"/>
        <v/>
      </c>
      <c r="EW241" s="30" t="str">
        <f t="shared" si="2832"/>
        <v/>
      </c>
      <c r="EX241" s="30" t="str">
        <f t="shared" si="2833"/>
        <v/>
      </c>
      <c r="EY241" s="30" t="str">
        <f t="shared" si="2834"/>
        <v/>
      </c>
      <c r="EZ241" s="30" t="str">
        <f t="shared" si="2835"/>
        <v/>
      </c>
      <c r="FA241" s="30" t="str">
        <f t="shared" si="2836"/>
        <v/>
      </c>
      <c r="FB241" s="30" t="str">
        <f t="shared" si="2837"/>
        <v/>
      </c>
      <c r="FC241" s="30" t="str">
        <f t="shared" si="2838"/>
        <v/>
      </c>
      <c r="FD241" s="30" t="str">
        <f t="shared" si="2839"/>
        <v/>
      </c>
      <c r="FE241" s="30" t="str">
        <f t="shared" si="2840"/>
        <v/>
      </c>
      <c r="FF241" s="30" t="str">
        <f t="shared" si="2841"/>
        <v/>
      </c>
      <c r="FG241" s="30" t="str">
        <f t="shared" si="2842"/>
        <v/>
      </c>
      <c r="FH241" s="30" t="str">
        <f t="shared" si="2843"/>
        <v/>
      </c>
      <c r="FI241" s="30" t="str">
        <f t="shared" si="2844"/>
        <v/>
      </c>
      <c r="FJ241" s="30" t="str">
        <f t="shared" si="2845"/>
        <v/>
      </c>
      <c r="FK241" s="30" t="str">
        <f t="shared" si="2846"/>
        <v/>
      </c>
      <c r="FL241" s="30" t="str">
        <f t="shared" si="2847"/>
        <v/>
      </c>
      <c r="FM241" s="30" t="str">
        <f t="shared" si="2848"/>
        <v/>
      </c>
      <c r="FN241" s="30" t="str">
        <f t="shared" si="2849"/>
        <v/>
      </c>
      <c r="FO241" s="30" t="str">
        <f t="shared" si="2850"/>
        <v/>
      </c>
      <c r="FP241" s="30" t="str">
        <f t="shared" si="2851"/>
        <v/>
      </c>
      <c r="FQ241" s="30" t="str">
        <f t="shared" si="2852"/>
        <v/>
      </c>
      <c r="FR241" s="30" t="str">
        <f t="shared" si="2853"/>
        <v/>
      </c>
      <c r="FS241" s="30" t="str">
        <f t="shared" si="2854"/>
        <v/>
      </c>
    </row>
    <row r="242" spans="92:175">
      <c r="CN242" s="7" t="str">
        <f t="shared" si="2779"/>
        <v>InitUnitState('',,,,,,,,,,)</v>
      </c>
      <c r="CO242" s="7" t="str">
        <f t="shared" si="2780"/>
        <v>InitUnitNormal('',,,,,,,,,,)</v>
      </c>
      <c r="CP242" s="7" t="str">
        <f t="shared" si="2781"/>
        <v>InitUnitMagic('',,,,,,,,,,)</v>
      </c>
      <c r="CQ242" s="7" t="str">
        <f t="shared" si="2782"/>
        <v>InitUnitAdd('',,,,,,,,,,)</v>
      </c>
      <c r="CR242" s="7" t="str">
        <f t="shared" si="2783"/>
        <v>InitEquipData('',,"",,,,,'','','','','','',"")</v>
      </c>
      <c r="CU242" s="29" t="str">
        <f t="shared" si="2855"/>
        <v>|n</v>
      </c>
      <c r="CW242" s="24"/>
      <c r="CX242" s="24"/>
      <c r="CY242" s="24"/>
      <c r="CZ242" s="24"/>
      <c r="DA242" s="24"/>
      <c r="DB242" s="30" t="str">
        <f t="shared" si="2785"/>
        <v/>
      </c>
      <c r="DC242" s="30" t="str">
        <f t="shared" si="2786"/>
        <v/>
      </c>
      <c r="DD242" s="30" t="str">
        <f t="shared" si="2787"/>
        <v/>
      </c>
      <c r="DE242" s="30" t="str">
        <f t="shared" si="2788"/>
        <v/>
      </c>
      <c r="DF242" s="30" t="str">
        <f t="shared" si="2789"/>
        <v/>
      </c>
      <c r="DG242" s="30" t="str">
        <f t="shared" si="2790"/>
        <v/>
      </c>
      <c r="DH242" s="30" t="str">
        <f t="shared" si="2791"/>
        <v/>
      </c>
      <c r="DI242" s="30" t="str">
        <f t="shared" si="2792"/>
        <v/>
      </c>
      <c r="DJ242" s="30" t="str">
        <f t="shared" si="2793"/>
        <v/>
      </c>
      <c r="DK242" s="30" t="str">
        <f t="shared" si="2794"/>
        <v/>
      </c>
      <c r="DL242" s="30" t="str">
        <f t="shared" si="2795"/>
        <v/>
      </c>
      <c r="DM242" s="30" t="str">
        <f t="shared" si="2796"/>
        <v/>
      </c>
      <c r="DN242" s="30" t="str">
        <f t="shared" si="2797"/>
        <v/>
      </c>
      <c r="DO242" s="30" t="str">
        <f t="shared" si="2798"/>
        <v/>
      </c>
      <c r="DP242" s="30" t="str">
        <f t="shared" si="2799"/>
        <v/>
      </c>
      <c r="DQ242" s="30" t="str">
        <f t="shared" si="2800"/>
        <v/>
      </c>
      <c r="DR242" s="30" t="str">
        <f t="shared" si="2801"/>
        <v/>
      </c>
      <c r="DS242" s="30" t="str">
        <f t="shared" si="2802"/>
        <v/>
      </c>
      <c r="DT242" s="30" t="str">
        <f t="shared" si="2803"/>
        <v/>
      </c>
      <c r="DU242" s="30" t="str">
        <f t="shared" si="2804"/>
        <v/>
      </c>
      <c r="DV242" s="30" t="str">
        <f t="shared" si="2805"/>
        <v/>
      </c>
      <c r="DW242" s="30" t="str">
        <f t="shared" si="2806"/>
        <v/>
      </c>
      <c r="DX242" s="30" t="str">
        <f t="shared" si="2807"/>
        <v/>
      </c>
      <c r="DY242" s="30" t="str">
        <f t="shared" si="2808"/>
        <v/>
      </c>
      <c r="DZ242" s="30" t="str">
        <f t="shared" si="2809"/>
        <v/>
      </c>
      <c r="EA242" s="30" t="str">
        <f t="shared" si="2810"/>
        <v/>
      </c>
      <c r="EB242" s="30" t="str">
        <f t="shared" si="2811"/>
        <v/>
      </c>
      <c r="EC242" s="30" t="str">
        <f t="shared" si="2812"/>
        <v/>
      </c>
      <c r="ED242" s="30" t="str">
        <f t="shared" si="2813"/>
        <v/>
      </c>
      <c r="EE242" s="30" t="str">
        <f t="shared" si="2814"/>
        <v/>
      </c>
      <c r="EF242" s="30" t="str">
        <f t="shared" si="2815"/>
        <v/>
      </c>
      <c r="EG242" s="30" t="str">
        <f t="shared" si="2816"/>
        <v/>
      </c>
      <c r="EH242" s="30" t="str">
        <f t="shared" si="2817"/>
        <v/>
      </c>
      <c r="EI242" s="30" t="str">
        <f t="shared" si="2818"/>
        <v/>
      </c>
      <c r="EJ242" s="30" t="str">
        <f t="shared" si="2819"/>
        <v/>
      </c>
      <c r="EK242" s="30" t="str">
        <f t="shared" si="2820"/>
        <v/>
      </c>
      <c r="EL242" s="30" t="str">
        <f t="shared" si="2821"/>
        <v/>
      </c>
      <c r="EM242" s="30" t="str">
        <f t="shared" si="2822"/>
        <v/>
      </c>
      <c r="EN242" s="30" t="str">
        <f t="shared" si="2823"/>
        <v/>
      </c>
      <c r="EO242" s="30" t="str">
        <f t="shared" si="2824"/>
        <v/>
      </c>
      <c r="EP242" s="30" t="str">
        <f t="shared" si="2825"/>
        <v/>
      </c>
      <c r="EQ242" s="30" t="str">
        <f t="shared" si="2826"/>
        <v/>
      </c>
      <c r="ER242" s="30" t="str">
        <f t="shared" si="2827"/>
        <v/>
      </c>
      <c r="ES242" s="30" t="str">
        <f t="shared" si="2828"/>
        <v/>
      </c>
      <c r="ET242" s="30" t="str">
        <f t="shared" si="2829"/>
        <v/>
      </c>
      <c r="EU242" s="30" t="str">
        <f t="shared" si="2830"/>
        <v/>
      </c>
      <c r="EV242" s="30" t="str">
        <f t="shared" si="2831"/>
        <v/>
      </c>
      <c r="EW242" s="30" t="str">
        <f t="shared" si="2832"/>
        <v/>
      </c>
      <c r="EX242" s="30" t="str">
        <f t="shared" si="2833"/>
        <v/>
      </c>
      <c r="EY242" s="30" t="str">
        <f t="shared" si="2834"/>
        <v/>
      </c>
      <c r="EZ242" s="30" t="str">
        <f t="shared" si="2835"/>
        <v/>
      </c>
      <c r="FA242" s="30" t="str">
        <f t="shared" si="2836"/>
        <v/>
      </c>
      <c r="FB242" s="30" t="str">
        <f t="shared" si="2837"/>
        <v/>
      </c>
      <c r="FC242" s="30" t="str">
        <f t="shared" si="2838"/>
        <v/>
      </c>
      <c r="FD242" s="30" t="str">
        <f t="shared" si="2839"/>
        <v/>
      </c>
      <c r="FE242" s="30" t="str">
        <f t="shared" si="2840"/>
        <v/>
      </c>
      <c r="FF242" s="30" t="str">
        <f t="shared" si="2841"/>
        <v/>
      </c>
      <c r="FG242" s="30" t="str">
        <f t="shared" si="2842"/>
        <v/>
      </c>
      <c r="FH242" s="30" t="str">
        <f t="shared" si="2843"/>
        <v/>
      </c>
      <c r="FI242" s="30" t="str">
        <f t="shared" si="2844"/>
        <v/>
      </c>
      <c r="FJ242" s="30" t="str">
        <f t="shared" si="2845"/>
        <v/>
      </c>
      <c r="FK242" s="30" t="str">
        <f t="shared" si="2846"/>
        <v/>
      </c>
      <c r="FL242" s="30" t="str">
        <f t="shared" si="2847"/>
        <v/>
      </c>
      <c r="FM242" s="30" t="str">
        <f t="shared" si="2848"/>
        <v/>
      </c>
      <c r="FN242" s="30" t="str">
        <f t="shared" si="2849"/>
        <v/>
      </c>
      <c r="FO242" s="30" t="str">
        <f t="shared" si="2850"/>
        <v/>
      </c>
      <c r="FP242" s="30" t="str">
        <f t="shared" si="2851"/>
        <v/>
      </c>
      <c r="FQ242" s="30" t="str">
        <f t="shared" si="2852"/>
        <v/>
      </c>
      <c r="FR242" s="30" t="str">
        <f t="shared" si="2853"/>
        <v/>
      </c>
      <c r="FS242" s="30" t="str">
        <f t="shared" si="2854"/>
        <v/>
      </c>
    </row>
    <row r="243" spans="92:175">
      <c r="CN243" s="7" t="str">
        <f t="shared" si="2779"/>
        <v>InitUnitState('',,,,,,,,,,)</v>
      </c>
      <c r="CO243" s="7" t="str">
        <f t="shared" si="2780"/>
        <v>InitUnitNormal('',,,,,,,,,,)</v>
      </c>
      <c r="CP243" s="7" t="str">
        <f t="shared" si="2781"/>
        <v>InitUnitMagic('',,,,,,,,,,)</v>
      </c>
      <c r="CQ243" s="7" t="str">
        <f t="shared" si="2782"/>
        <v>InitUnitAdd('',,,,,,,,,,)</v>
      </c>
      <c r="CR243" s="7" t="str">
        <f t="shared" si="2783"/>
        <v>InitEquipData('',,"",,,,,'','','','','','',"")</v>
      </c>
      <c r="CU243" s="29" t="str">
        <f t="shared" si="2855"/>
        <v>|n</v>
      </c>
      <c r="CW243" s="24"/>
      <c r="CX243" s="24"/>
      <c r="CY243" s="24"/>
      <c r="CZ243" s="24"/>
      <c r="DA243" s="24"/>
      <c r="DB243" s="30" t="str">
        <f t="shared" si="2785"/>
        <v/>
      </c>
      <c r="DC243" s="30" t="str">
        <f t="shared" si="2786"/>
        <v/>
      </c>
      <c r="DD243" s="30" t="str">
        <f t="shared" si="2787"/>
        <v/>
      </c>
      <c r="DE243" s="30" t="str">
        <f t="shared" si="2788"/>
        <v/>
      </c>
      <c r="DF243" s="30" t="str">
        <f t="shared" si="2789"/>
        <v/>
      </c>
      <c r="DG243" s="30" t="str">
        <f t="shared" si="2790"/>
        <v/>
      </c>
      <c r="DH243" s="30" t="str">
        <f t="shared" si="2791"/>
        <v/>
      </c>
      <c r="DI243" s="30" t="str">
        <f t="shared" si="2792"/>
        <v/>
      </c>
      <c r="DJ243" s="30" t="str">
        <f t="shared" si="2793"/>
        <v/>
      </c>
      <c r="DK243" s="30" t="str">
        <f t="shared" si="2794"/>
        <v/>
      </c>
      <c r="DL243" s="30" t="str">
        <f t="shared" si="2795"/>
        <v/>
      </c>
      <c r="DM243" s="30" t="str">
        <f t="shared" si="2796"/>
        <v/>
      </c>
      <c r="DN243" s="30" t="str">
        <f t="shared" si="2797"/>
        <v/>
      </c>
      <c r="DO243" s="30" t="str">
        <f t="shared" si="2798"/>
        <v/>
      </c>
      <c r="DP243" s="30" t="str">
        <f t="shared" si="2799"/>
        <v/>
      </c>
      <c r="DQ243" s="30" t="str">
        <f t="shared" si="2800"/>
        <v/>
      </c>
      <c r="DR243" s="30" t="str">
        <f t="shared" si="2801"/>
        <v/>
      </c>
      <c r="DS243" s="30" t="str">
        <f t="shared" si="2802"/>
        <v/>
      </c>
      <c r="DT243" s="30" t="str">
        <f t="shared" si="2803"/>
        <v/>
      </c>
      <c r="DU243" s="30" t="str">
        <f t="shared" si="2804"/>
        <v/>
      </c>
      <c r="DV243" s="30" t="str">
        <f t="shared" si="2805"/>
        <v/>
      </c>
      <c r="DW243" s="30" t="str">
        <f t="shared" si="2806"/>
        <v/>
      </c>
      <c r="DX243" s="30" t="str">
        <f t="shared" si="2807"/>
        <v/>
      </c>
      <c r="DY243" s="30" t="str">
        <f t="shared" si="2808"/>
        <v/>
      </c>
      <c r="DZ243" s="30" t="str">
        <f t="shared" si="2809"/>
        <v/>
      </c>
      <c r="EA243" s="30" t="str">
        <f t="shared" si="2810"/>
        <v/>
      </c>
      <c r="EB243" s="30" t="str">
        <f t="shared" si="2811"/>
        <v/>
      </c>
      <c r="EC243" s="30" t="str">
        <f t="shared" si="2812"/>
        <v/>
      </c>
      <c r="ED243" s="30" t="str">
        <f t="shared" si="2813"/>
        <v/>
      </c>
      <c r="EE243" s="30" t="str">
        <f t="shared" si="2814"/>
        <v/>
      </c>
      <c r="EF243" s="30" t="str">
        <f t="shared" si="2815"/>
        <v/>
      </c>
      <c r="EG243" s="30" t="str">
        <f t="shared" si="2816"/>
        <v/>
      </c>
      <c r="EH243" s="30" t="str">
        <f t="shared" si="2817"/>
        <v/>
      </c>
      <c r="EI243" s="30" t="str">
        <f t="shared" si="2818"/>
        <v/>
      </c>
      <c r="EJ243" s="30" t="str">
        <f t="shared" si="2819"/>
        <v/>
      </c>
      <c r="EK243" s="30" t="str">
        <f t="shared" si="2820"/>
        <v/>
      </c>
      <c r="EL243" s="30" t="str">
        <f t="shared" si="2821"/>
        <v/>
      </c>
      <c r="EM243" s="30" t="str">
        <f t="shared" si="2822"/>
        <v/>
      </c>
      <c r="EN243" s="30" t="str">
        <f t="shared" si="2823"/>
        <v/>
      </c>
      <c r="EO243" s="30" t="str">
        <f t="shared" si="2824"/>
        <v/>
      </c>
      <c r="EP243" s="30" t="str">
        <f t="shared" si="2825"/>
        <v/>
      </c>
      <c r="EQ243" s="30" t="str">
        <f t="shared" si="2826"/>
        <v/>
      </c>
      <c r="ER243" s="30" t="str">
        <f t="shared" si="2827"/>
        <v/>
      </c>
      <c r="ES243" s="30" t="str">
        <f t="shared" si="2828"/>
        <v/>
      </c>
      <c r="ET243" s="30" t="str">
        <f t="shared" si="2829"/>
        <v/>
      </c>
      <c r="EU243" s="30" t="str">
        <f t="shared" si="2830"/>
        <v/>
      </c>
      <c r="EV243" s="30" t="str">
        <f t="shared" si="2831"/>
        <v/>
      </c>
      <c r="EW243" s="30" t="str">
        <f t="shared" si="2832"/>
        <v/>
      </c>
      <c r="EX243" s="30" t="str">
        <f t="shared" si="2833"/>
        <v/>
      </c>
      <c r="EY243" s="30" t="str">
        <f t="shared" si="2834"/>
        <v/>
      </c>
      <c r="EZ243" s="30" t="str">
        <f t="shared" si="2835"/>
        <v/>
      </c>
      <c r="FA243" s="30" t="str">
        <f t="shared" si="2836"/>
        <v/>
      </c>
      <c r="FB243" s="30" t="str">
        <f t="shared" si="2837"/>
        <v/>
      </c>
      <c r="FC243" s="30" t="str">
        <f t="shared" si="2838"/>
        <v/>
      </c>
      <c r="FD243" s="30" t="str">
        <f t="shared" si="2839"/>
        <v/>
      </c>
      <c r="FE243" s="30" t="str">
        <f t="shared" si="2840"/>
        <v/>
      </c>
      <c r="FF243" s="30" t="str">
        <f t="shared" si="2841"/>
        <v/>
      </c>
      <c r="FG243" s="30" t="str">
        <f t="shared" si="2842"/>
        <v/>
      </c>
      <c r="FH243" s="30" t="str">
        <f t="shared" si="2843"/>
        <v/>
      </c>
      <c r="FI243" s="30" t="str">
        <f t="shared" si="2844"/>
        <v/>
      </c>
      <c r="FJ243" s="30" t="str">
        <f t="shared" si="2845"/>
        <v/>
      </c>
      <c r="FK243" s="30" t="str">
        <f t="shared" si="2846"/>
        <v/>
      </c>
      <c r="FL243" s="30" t="str">
        <f t="shared" si="2847"/>
        <v/>
      </c>
      <c r="FM243" s="30" t="str">
        <f t="shared" si="2848"/>
        <v/>
      </c>
      <c r="FN243" s="30" t="str">
        <f t="shared" si="2849"/>
        <v/>
      </c>
      <c r="FO243" s="30" t="str">
        <f t="shared" si="2850"/>
        <v/>
      </c>
      <c r="FP243" s="30" t="str">
        <f t="shared" si="2851"/>
        <v/>
      </c>
      <c r="FQ243" s="30" t="str">
        <f t="shared" si="2852"/>
        <v/>
      </c>
      <c r="FR243" s="30" t="str">
        <f t="shared" si="2853"/>
        <v/>
      </c>
      <c r="FS243" s="30" t="str">
        <f t="shared" si="2854"/>
        <v/>
      </c>
    </row>
    <row r="244" spans="92:175">
      <c r="CN244" s="7" t="str">
        <f t="shared" si="2779"/>
        <v>InitUnitState('',,,,,,,,,,)</v>
      </c>
      <c r="CO244" s="7" t="str">
        <f t="shared" si="2780"/>
        <v>InitUnitNormal('',,,,,,,,,,)</v>
      </c>
      <c r="CP244" s="7" t="str">
        <f t="shared" si="2781"/>
        <v>InitUnitMagic('',,,,,,,,,,)</v>
      </c>
      <c r="CQ244" s="7" t="str">
        <f t="shared" si="2782"/>
        <v>InitUnitAdd('',,,,,,,,,,)</v>
      </c>
      <c r="CR244" s="7" t="str">
        <f t="shared" si="2783"/>
        <v>InitEquipData('',,"",,,,,'','','','','','',"")</v>
      </c>
      <c r="CU244" s="29" t="str">
        <f t="shared" si="2855"/>
        <v>|n</v>
      </c>
      <c r="CW244" s="24"/>
      <c r="CX244" s="24"/>
      <c r="CY244" s="24"/>
      <c r="CZ244" s="24"/>
      <c r="DA244" s="24"/>
      <c r="DB244" s="30" t="str">
        <f t="shared" si="2785"/>
        <v/>
      </c>
      <c r="DC244" s="30" t="str">
        <f t="shared" si="2786"/>
        <v/>
      </c>
      <c r="DD244" s="30" t="str">
        <f t="shared" si="2787"/>
        <v/>
      </c>
      <c r="DE244" s="30" t="str">
        <f t="shared" si="2788"/>
        <v/>
      </c>
      <c r="DF244" s="30" t="str">
        <f t="shared" si="2789"/>
        <v/>
      </c>
      <c r="DG244" s="30" t="str">
        <f t="shared" si="2790"/>
        <v/>
      </c>
      <c r="DH244" s="30" t="str">
        <f t="shared" si="2791"/>
        <v/>
      </c>
      <c r="DI244" s="30" t="str">
        <f t="shared" si="2792"/>
        <v/>
      </c>
      <c r="DJ244" s="30" t="str">
        <f t="shared" si="2793"/>
        <v/>
      </c>
      <c r="DK244" s="30" t="str">
        <f t="shared" si="2794"/>
        <v/>
      </c>
      <c r="DL244" s="30" t="str">
        <f t="shared" si="2795"/>
        <v/>
      </c>
      <c r="DM244" s="30" t="str">
        <f t="shared" si="2796"/>
        <v/>
      </c>
      <c r="DN244" s="30" t="str">
        <f t="shared" si="2797"/>
        <v/>
      </c>
      <c r="DO244" s="30" t="str">
        <f t="shared" si="2798"/>
        <v/>
      </c>
      <c r="DP244" s="30" t="str">
        <f t="shared" si="2799"/>
        <v/>
      </c>
      <c r="DQ244" s="30" t="str">
        <f t="shared" si="2800"/>
        <v/>
      </c>
      <c r="DR244" s="30" t="str">
        <f t="shared" si="2801"/>
        <v/>
      </c>
      <c r="DS244" s="30" t="str">
        <f t="shared" si="2802"/>
        <v/>
      </c>
      <c r="DT244" s="30" t="str">
        <f t="shared" si="2803"/>
        <v/>
      </c>
      <c r="DU244" s="30" t="str">
        <f t="shared" si="2804"/>
        <v/>
      </c>
      <c r="DV244" s="30" t="str">
        <f t="shared" si="2805"/>
        <v/>
      </c>
      <c r="DW244" s="30" t="str">
        <f t="shared" si="2806"/>
        <v/>
      </c>
      <c r="DX244" s="30" t="str">
        <f t="shared" si="2807"/>
        <v/>
      </c>
      <c r="DY244" s="30" t="str">
        <f t="shared" si="2808"/>
        <v/>
      </c>
      <c r="DZ244" s="30" t="str">
        <f t="shared" si="2809"/>
        <v/>
      </c>
      <c r="EA244" s="30" t="str">
        <f t="shared" si="2810"/>
        <v/>
      </c>
      <c r="EB244" s="30" t="str">
        <f t="shared" si="2811"/>
        <v/>
      </c>
      <c r="EC244" s="30" t="str">
        <f t="shared" si="2812"/>
        <v/>
      </c>
      <c r="ED244" s="30" t="str">
        <f t="shared" si="2813"/>
        <v/>
      </c>
      <c r="EE244" s="30" t="str">
        <f t="shared" si="2814"/>
        <v/>
      </c>
      <c r="EF244" s="30" t="str">
        <f t="shared" si="2815"/>
        <v/>
      </c>
      <c r="EG244" s="30" t="str">
        <f t="shared" si="2816"/>
        <v/>
      </c>
      <c r="EH244" s="30" t="str">
        <f t="shared" si="2817"/>
        <v/>
      </c>
      <c r="EI244" s="30" t="str">
        <f t="shared" si="2818"/>
        <v/>
      </c>
      <c r="EJ244" s="30" t="str">
        <f t="shared" si="2819"/>
        <v/>
      </c>
      <c r="EK244" s="30" t="str">
        <f t="shared" si="2820"/>
        <v/>
      </c>
      <c r="EL244" s="30" t="str">
        <f t="shared" si="2821"/>
        <v/>
      </c>
      <c r="EM244" s="30" t="str">
        <f t="shared" si="2822"/>
        <v/>
      </c>
      <c r="EN244" s="30" t="str">
        <f t="shared" si="2823"/>
        <v/>
      </c>
      <c r="EO244" s="30" t="str">
        <f t="shared" si="2824"/>
        <v/>
      </c>
      <c r="EP244" s="30" t="str">
        <f t="shared" si="2825"/>
        <v/>
      </c>
      <c r="EQ244" s="30" t="str">
        <f t="shared" si="2826"/>
        <v/>
      </c>
      <c r="ER244" s="30" t="str">
        <f t="shared" si="2827"/>
        <v/>
      </c>
      <c r="ES244" s="30" t="str">
        <f t="shared" si="2828"/>
        <v/>
      </c>
      <c r="ET244" s="30" t="str">
        <f t="shared" si="2829"/>
        <v/>
      </c>
      <c r="EU244" s="30" t="str">
        <f t="shared" si="2830"/>
        <v/>
      </c>
      <c r="EV244" s="30" t="str">
        <f t="shared" si="2831"/>
        <v/>
      </c>
      <c r="EW244" s="30" t="str">
        <f t="shared" si="2832"/>
        <v/>
      </c>
      <c r="EX244" s="30" t="str">
        <f t="shared" si="2833"/>
        <v/>
      </c>
      <c r="EY244" s="30" t="str">
        <f t="shared" si="2834"/>
        <v/>
      </c>
      <c r="EZ244" s="30" t="str">
        <f t="shared" si="2835"/>
        <v/>
      </c>
      <c r="FA244" s="30" t="str">
        <f t="shared" si="2836"/>
        <v/>
      </c>
      <c r="FB244" s="30" t="str">
        <f t="shared" si="2837"/>
        <v/>
      </c>
      <c r="FC244" s="30" t="str">
        <f t="shared" si="2838"/>
        <v/>
      </c>
      <c r="FD244" s="30" t="str">
        <f t="shared" si="2839"/>
        <v/>
      </c>
      <c r="FE244" s="30" t="str">
        <f t="shared" si="2840"/>
        <v/>
      </c>
      <c r="FF244" s="30" t="str">
        <f t="shared" si="2841"/>
        <v/>
      </c>
      <c r="FG244" s="30" t="str">
        <f t="shared" si="2842"/>
        <v/>
      </c>
      <c r="FH244" s="30" t="str">
        <f t="shared" si="2843"/>
        <v/>
      </c>
      <c r="FI244" s="30" t="str">
        <f t="shared" si="2844"/>
        <v/>
      </c>
      <c r="FJ244" s="30" t="str">
        <f t="shared" si="2845"/>
        <v/>
      </c>
      <c r="FK244" s="30" t="str">
        <f t="shared" si="2846"/>
        <v/>
      </c>
      <c r="FL244" s="30" t="str">
        <f t="shared" si="2847"/>
        <v/>
      </c>
      <c r="FM244" s="30" t="str">
        <f t="shared" si="2848"/>
        <v/>
      </c>
      <c r="FN244" s="30" t="str">
        <f t="shared" si="2849"/>
        <v/>
      </c>
      <c r="FO244" s="30" t="str">
        <f t="shared" si="2850"/>
        <v/>
      </c>
      <c r="FP244" s="30" t="str">
        <f t="shared" si="2851"/>
        <v/>
      </c>
      <c r="FQ244" s="30" t="str">
        <f t="shared" si="2852"/>
        <v/>
      </c>
      <c r="FR244" s="30" t="str">
        <f t="shared" si="2853"/>
        <v/>
      </c>
      <c r="FS244" s="30" t="str">
        <f t="shared" si="2854"/>
        <v/>
      </c>
    </row>
    <row r="245" spans="92:175">
      <c r="CN245" s="7" t="str">
        <f t="shared" si="2779"/>
        <v>InitUnitState('',,,,,,,,,,)</v>
      </c>
      <c r="CO245" s="7" t="str">
        <f t="shared" si="2780"/>
        <v>InitUnitNormal('',,,,,,,,,,)</v>
      </c>
      <c r="CP245" s="7" t="str">
        <f t="shared" si="2781"/>
        <v>InitUnitMagic('',,,,,,,,,,)</v>
      </c>
      <c r="CQ245" s="7" t="str">
        <f t="shared" si="2782"/>
        <v>InitUnitAdd('',,,,,,,,,,)</v>
      </c>
      <c r="CR245" s="7" t="str">
        <f t="shared" si="2783"/>
        <v>InitEquipData('',,"",,,,,'','','','','','',"")</v>
      </c>
      <c r="CU245" s="29" t="str">
        <f t="shared" si="2855"/>
        <v>|n</v>
      </c>
      <c r="DB245" s="30" t="str">
        <f>IF(V245="","","|n"&amp;#REF!&amp;"+"&amp;V245)</f>
        <v/>
      </c>
      <c r="DC245" s="30" t="str">
        <f>IF(W245="","","|n"&amp;#REF!&amp;"+"&amp;W245)</f>
        <v/>
      </c>
      <c r="DD245" s="30" t="str">
        <f>IF(X245="","","|n"&amp;#REF!&amp;"+"&amp;X245)</f>
        <v/>
      </c>
      <c r="DE245" s="30" t="str">
        <f>IF(Y245="","","|n"&amp;#REF!&amp;"+"&amp;Y245)</f>
        <v/>
      </c>
      <c r="DF245" s="30" t="str">
        <f>IF(Z245="","","|n"&amp;#REF!&amp;"+"&amp;Z245)</f>
        <v/>
      </c>
      <c r="DG245" s="30" t="str">
        <f>IF(AA245="","","|n"&amp;#REF!&amp;"+"&amp;AA245)</f>
        <v/>
      </c>
      <c r="DH245" s="30" t="str">
        <f>IF(AB245="","","|n"&amp;#REF!&amp;"+"&amp;AB245)</f>
        <v/>
      </c>
      <c r="DI245" s="30" t="str">
        <f>IF(AC245="","","|n"&amp;#REF!&amp;"+"&amp;AC245&amp;"%")</f>
        <v/>
      </c>
      <c r="DJ245" s="30" t="str">
        <f>IF(AD245="","","|n"&amp;#REF!&amp;"+"&amp;AD245)</f>
        <v/>
      </c>
      <c r="DK245" s="30" t="str">
        <f>IF(AE245="","","|n"&amp;#REF!&amp;"+"&amp;AE245)</f>
        <v/>
      </c>
      <c r="DL245" s="30" t="str">
        <f>IF(AF245="","","|n"&amp;#REF!&amp;"+"&amp;AF245)</f>
        <v/>
      </c>
      <c r="DM245" s="30" t="str">
        <f>IF(AG245="","","|n"&amp;#REF!&amp;"+"&amp;AG245&amp;"%")</f>
        <v/>
      </c>
      <c r="DN245" s="30" t="str">
        <f>IF(AH245="","","|n"&amp;#REF!&amp;"+"&amp;AH245)</f>
        <v/>
      </c>
      <c r="DO245" s="30" t="str">
        <f>IF(AI245="","","|n"&amp;#REF!&amp;"+"&amp;AI245)</f>
        <v/>
      </c>
      <c r="DP245" s="30" t="str">
        <f>IF(AJ245="","","|n"&amp;#REF!&amp;"+"&amp;AJ245)</f>
        <v/>
      </c>
    </row>
    <row r="246" spans="92:175">
      <c r="CN246" s="7" t="str">
        <f t="shared" si="2779"/>
        <v>InitUnitState('',,,,,,,,,,)</v>
      </c>
      <c r="CO246" s="7" t="str">
        <f t="shared" si="2780"/>
        <v>InitUnitNormal('',,,,,,,,,,)</v>
      </c>
      <c r="CP246" s="7" t="str">
        <f t="shared" si="2781"/>
        <v>InitUnitMagic('',,,,,,,,,,)</v>
      </c>
      <c r="CQ246" s="7" t="str">
        <f t="shared" si="2782"/>
        <v>InitUnitAdd('',,,,,,,,,,)</v>
      </c>
      <c r="CR246" s="7" t="str">
        <f t="shared" si="2783"/>
        <v>InitEquipData('',,"",,,,,'','','','','','',"")</v>
      </c>
      <c r="CU246" s="29" t="str">
        <f t="shared" si="2855"/>
        <v>|n</v>
      </c>
      <c r="DB246" s="30" t="str">
        <f>IF(V246="","","|n"&amp;#REF!&amp;"+"&amp;V246)</f>
        <v/>
      </c>
      <c r="DC246" s="30" t="str">
        <f>IF(W246="","","|n"&amp;#REF!&amp;"+"&amp;W246)</f>
        <v/>
      </c>
      <c r="DD246" s="30" t="str">
        <f>IF(X246="","","|n"&amp;#REF!&amp;"+"&amp;X246)</f>
        <v/>
      </c>
      <c r="DE246" s="30" t="str">
        <f>IF(Y246="","","|n"&amp;#REF!&amp;"+"&amp;Y246)</f>
        <v/>
      </c>
      <c r="DF246" s="30" t="str">
        <f>IF(Z246="","","|n"&amp;#REF!&amp;"+"&amp;Z246)</f>
        <v/>
      </c>
      <c r="DG246" s="30" t="str">
        <f>IF(AA246="","","|n"&amp;#REF!&amp;"+"&amp;AA246)</f>
        <v/>
      </c>
      <c r="DH246" s="30" t="str">
        <f>IF(AB246="","","|n"&amp;#REF!&amp;"+"&amp;AB246)</f>
        <v/>
      </c>
      <c r="DI246" s="30" t="str">
        <f>IF(AC246="","","|n"&amp;#REF!&amp;"+"&amp;AC246&amp;"%")</f>
        <v/>
      </c>
      <c r="DJ246" s="30" t="str">
        <f>IF(AD246="","","|n"&amp;#REF!&amp;"+"&amp;AD246)</f>
        <v/>
      </c>
      <c r="DK246" s="30" t="str">
        <f>IF(AE246="","","|n"&amp;#REF!&amp;"+"&amp;AE246)</f>
        <v/>
      </c>
      <c r="DL246" s="30" t="str">
        <f>IF(AF246="","","|n"&amp;#REF!&amp;"+"&amp;AF246)</f>
        <v/>
      </c>
      <c r="DM246" s="30" t="str">
        <f>IF(AG246="","","|n"&amp;#REF!&amp;"+"&amp;AG246&amp;"%")</f>
        <v/>
      </c>
      <c r="DN246" s="30" t="str">
        <f>IF(AH246="","","|n"&amp;#REF!&amp;"+"&amp;AH246)</f>
        <v/>
      </c>
      <c r="DO246" s="30" t="str">
        <f>IF(AI246="","","|n"&amp;#REF!&amp;"+"&amp;AI246)</f>
        <v/>
      </c>
      <c r="DP246" s="30" t="str">
        <f>IF(AJ246="","","|n"&amp;#REF!&amp;"+"&amp;AJ246)</f>
        <v/>
      </c>
    </row>
    <row r="247" spans="92:175">
      <c r="CN247" s="7" t="str">
        <f t="shared" si="2779"/>
        <v>InitUnitState('',,,,,,,,,,)</v>
      </c>
      <c r="CO247" s="7" t="str">
        <f t="shared" si="2780"/>
        <v>InitUnitNormal('',,,,,,,,,,)</v>
      </c>
      <c r="CP247" s="7" t="str">
        <f t="shared" si="2781"/>
        <v>InitUnitMagic('',,,,,,,,,,)</v>
      </c>
      <c r="CQ247" s="7" t="str">
        <f t="shared" si="2782"/>
        <v>InitUnitAdd('',,,,,,,,,,)</v>
      </c>
      <c r="CR247" s="7" t="str">
        <f t="shared" si="2783"/>
        <v>InitEquipData('',,"",,,,,'','','','','','',"")</v>
      </c>
      <c r="CU247" s="29" t="str">
        <f t="shared" si="2855"/>
        <v>|n</v>
      </c>
      <c r="DB247" s="30" t="str">
        <f>IF(V247="","","|n"&amp;#REF!&amp;"+"&amp;V247)</f>
        <v/>
      </c>
      <c r="DC247" s="30" t="str">
        <f>IF(W247="","","|n"&amp;#REF!&amp;"+"&amp;W247)</f>
        <v/>
      </c>
      <c r="DD247" s="30" t="str">
        <f>IF(X247="","","|n"&amp;#REF!&amp;"+"&amp;X247)</f>
        <v/>
      </c>
      <c r="DE247" s="30" t="str">
        <f>IF(Y247="","","|n"&amp;#REF!&amp;"+"&amp;Y247)</f>
        <v/>
      </c>
      <c r="DF247" s="30" t="str">
        <f>IF(Z247="","","|n"&amp;#REF!&amp;"+"&amp;Z247)</f>
        <v/>
      </c>
      <c r="DG247" s="30" t="str">
        <f>IF(AA247="","","|n"&amp;#REF!&amp;"+"&amp;AA247)</f>
        <v/>
      </c>
      <c r="DH247" s="30" t="str">
        <f>IF(AB247="","","|n"&amp;#REF!&amp;"+"&amp;AB247)</f>
        <v/>
      </c>
      <c r="DI247" s="30" t="str">
        <f>IF(AC247="","","|n"&amp;#REF!&amp;"+"&amp;AC247&amp;"%")</f>
        <v/>
      </c>
      <c r="DJ247" s="30" t="str">
        <f>IF(AD247="","","|n"&amp;#REF!&amp;"+"&amp;AD247)</f>
        <v/>
      </c>
      <c r="DK247" s="30" t="str">
        <f>IF(AE247="","","|n"&amp;#REF!&amp;"+"&amp;AE247)</f>
        <v/>
      </c>
      <c r="DL247" s="30" t="str">
        <f>IF(AF247="","","|n"&amp;#REF!&amp;"+"&amp;AF247)</f>
        <v/>
      </c>
      <c r="DM247" s="30" t="str">
        <f>IF(AG247="","","|n"&amp;#REF!&amp;"+"&amp;AG247&amp;"%")</f>
        <v/>
      </c>
      <c r="DN247" s="30" t="str">
        <f>IF(AH247="","","|n"&amp;#REF!&amp;"+"&amp;AH247)</f>
        <v/>
      </c>
      <c r="DO247" s="30" t="str">
        <f>IF(AI247="","","|n"&amp;#REF!&amp;"+"&amp;AI247)</f>
        <v/>
      </c>
      <c r="DP247" s="30" t="str">
        <f>IF(AJ247="","","|n"&amp;#REF!&amp;"+"&amp;AJ247)</f>
        <v/>
      </c>
    </row>
    <row r="248" spans="92:175">
      <c r="CN248" s="7" t="str">
        <f t="shared" si="2779"/>
        <v>InitUnitState('',,,,,,,,,,)</v>
      </c>
      <c r="CO248" s="7" t="str">
        <f t="shared" si="2780"/>
        <v>InitUnitNormal('',,,,,,,,,,)</v>
      </c>
      <c r="CP248" s="7" t="str">
        <f t="shared" si="2781"/>
        <v>InitUnitMagic('',,,,,,,,,,)</v>
      </c>
      <c r="CQ248" s="7" t="str">
        <f t="shared" si="2782"/>
        <v>InitUnitAdd('',,,,,,,,,,)</v>
      </c>
      <c r="CR248" s="7" t="str">
        <f t="shared" si="2783"/>
        <v>InitEquipData('',,"",,,,,'','','','','','',"")</v>
      </c>
      <c r="CU248" s="29" t="str">
        <f t="shared" si="2855"/>
        <v>|n</v>
      </c>
      <c r="DB248" s="30" t="str">
        <f>IF(V248="","","|n"&amp;#REF!&amp;"+"&amp;V248)</f>
        <v/>
      </c>
      <c r="DC248" s="30" t="str">
        <f>IF(W248="","","|n"&amp;#REF!&amp;"+"&amp;W248)</f>
        <v/>
      </c>
      <c r="DD248" s="30" t="str">
        <f>IF(X248="","","|n"&amp;#REF!&amp;"+"&amp;X248)</f>
        <v/>
      </c>
      <c r="DE248" s="30" t="str">
        <f>IF(Y248="","","|n"&amp;#REF!&amp;"+"&amp;Y248)</f>
        <v/>
      </c>
      <c r="DF248" s="30" t="str">
        <f>IF(Z248="","","|n"&amp;#REF!&amp;"+"&amp;Z248)</f>
        <v/>
      </c>
      <c r="DG248" s="30" t="str">
        <f>IF(AA248="","","|n"&amp;#REF!&amp;"+"&amp;AA248)</f>
        <v/>
      </c>
      <c r="DH248" s="30" t="str">
        <f>IF(AB248="","","|n"&amp;#REF!&amp;"+"&amp;AB248)</f>
        <v/>
      </c>
      <c r="DI248" s="30" t="str">
        <f>IF(AC248="","","|n"&amp;#REF!&amp;"+"&amp;AC248&amp;"%")</f>
        <v/>
      </c>
      <c r="DJ248" s="30" t="str">
        <f>IF(AD248="","","|n"&amp;#REF!&amp;"+"&amp;AD248)</f>
        <v/>
      </c>
      <c r="DK248" s="30" t="str">
        <f>IF(AE248="","","|n"&amp;#REF!&amp;"+"&amp;AE248)</f>
        <v/>
      </c>
      <c r="DL248" s="30" t="str">
        <f>IF(AF248="","","|n"&amp;#REF!&amp;"+"&amp;AF248)</f>
        <v/>
      </c>
      <c r="DM248" s="30" t="str">
        <f>IF(AG248="","","|n"&amp;#REF!&amp;"+"&amp;AG248&amp;"%")</f>
        <v/>
      </c>
      <c r="DN248" s="30" t="str">
        <f>IF(AH248="","","|n"&amp;#REF!&amp;"+"&amp;AH248)</f>
        <v/>
      </c>
      <c r="DO248" s="30" t="str">
        <f>IF(AI248="","","|n"&amp;#REF!&amp;"+"&amp;AI248)</f>
        <v/>
      </c>
      <c r="DP248" s="30" t="str">
        <f>IF(AJ248="","","|n"&amp;#REF!&amp;"+"&amp;AJ248)</f>
        <v/>
      </c>
    </row>
    <row r="249" spans="92:175">
      <c r="CN249" s="7" t="str">
        <f t="shared" si="2779"/>
        <v>InitUnitState('',,,,,,,,,,)</v>
      </c>
      <c r="CO249" s="7" t="str">
        <f t="shared" si="2780"/>
        <v>InitUnitNormal('',,,,,,,,,,)</v>
      </c>
      <c r="CP249" s="7" t="str">
        <f t="shared" si="2781"/>
        <v>InitUnitMagic('',,,,,,,,,,)</v>
      </c>
      <c r="CQ249" s="7" t="str">
        <f t="shared" si="2782"/>
        <v>InitUnitAdd('',,,,,,,,,,)</v>
      </c>
      <c r="CR249" s="7" t="str">
        <f t="shared" si="2783"/>
        <v>InitEquipData('',,"",,,,,'','','','','','',"")</v>
      </c>
      <c r="CU249" s="29" t="str">
        <f t="shared" si="2855"/>
        <v>|n</v>
      </c>
      <c r="DB249" s="30" t="str">
        <f>IF(V249="","","|n"&amp;#REF!&amp;"+"&amp;V249)</f>
        <v/>
      </c>
      <c r="DC249" s="30" t="str">
        <f>IF(W249="","","|n"&amp;#REF!&amp;"+"&amp;W249)</f>
        <v/>
      </c>
      <c r="DD249" s="30" t="str">
        <f>IF(X249="","","|n"&amp;#REF!&amp;"+"&amp;X249)</f>
        <v/>
      </c>
      <c r="DE249" s="30" t="str">
        <f>IF(Y249="","","|n"&amp;#REF!&amp;"+"&amp;Y249)</f>
        <v/>
      </c>
      <c r="DF249" s="30" t="str">
        <f>IF(Z249="","","|n"&amp;#REF!&amp;"+"&amp;Z249)</f>
        <v/>
      </c>
      <c r="DG249" s="30" t="str">
        <f>IF(AA249="","","|n"&amp;#REF!&amp;"+"&amp;AA249)</f>
        <v/>
      </c>
      <c r="DH249" s="30" t="str">
        <f>IF(AB249="","","|n"&amp;#REF!&amp;"+"&amp;AB249)</f>
        <v/>
      </c>
      <c r="DI249" s="30" t="str">
        <f>IF(AC249="","","|n"&amp;#REF!&amp;"+"&amp;AC249&amp;"%")</f>
        <v/>
      </c>
      <c r="DJ249" s="30" t="str">
        <f>IF(AD249="","","|n"&amp;#REF!&amp;"+"&amp;AD249)</f>
        <v/>
      </c>
      <c r="DK249" s="30" t="str">
        <f>IF(AE249="","","|n"&amp;#REF!&amp;"+"&amp;AE249)</f>
        <v/>
      </c>
      <c r="DL249" s="30" t="str">
        <f>IF(AF249="","","|n"&amp;#REF!&amp;"+"&amp;AF249)</f>
        <v/>
      </c>
      <c r="DM249" s="30" t="str">
        <f>IF(AG249="","","|n"&amp;#REF!&amp;"+"&amp;AG249&amp;"%")</f>
        <v/>
      </c>
      <c r="DN249" s="30" t="str">
        <f>IF(AH249="","","|n"&amp;#REF!&amp;"+"&amp;AH249)</f>
        <v/>
      </c>
      <c r="DO249" s="30" t="str">
        <f>IF(AI249="","","|n"&amp;#REF!&amp;"+"&amp;AI249)</f>
        <v/>
      </c>
      <c r="DP249" s="30" t="str">
        <f>IF(AJ249="","","|n"&amp;#REF!&amp;"+"&amp;AJ249)</f>
        <v/>
      </c>
    </row>
    <row r="250" spans="92:175">
      <c r="CN250" s="7" t="str">
        <f t="shared" si="2779"/>
        <v>InitUnitState('',,,,,,,,,,)</v>
      </c>
      <c r="CO250" s="7" t="str">
        <f t="shared" si="2780"/>
        <v>InitUnitNormal('',,,,,,,,,,)</v>
      </c>
      <c r="CP250" s="7" t="str">
        <f t="shared" si="2781"/>
        <v>InitUnitMagic('',,,,,,,,,,)</v>
      </c>
      <c r="CQ250" s="7" t="str">
        <f t="shared" si="2782"/>
        <v>InitUnitAdd('',,,,,,,,,,)</v>
      </c>
      <c r="CR250" s="7" t="str">
        <f t="shared" si="2783"/>
        <v>InitEquipData('',,"",,,,,'','','','','','',"")</v>
      </c>
      <c r="CU250" s="29" t="str">
        <f t="shared" si="2855"/>
        <v>|n</v>
      </c>
      <c r="DB250" s="30" t="str">
        <f>IF(V250="","","|n"&amp;#REF!&amp;"+"&amp;V250)</f>
        <v/>
      </c>
      <c r="DC250" s="30" t="str">
        <f>IF(W250="","","|n"&amp;#REF!&amp;"+"&amp;W250)</f>
        <v/>
      </c>
      <c r="DD250" s="30" t="str">
        <f>IF(X250="","","|n"&amp;#REF!&amp;"+"&amp;X250)</f>
        <v/>
      </c>
      <c r="DE250" s="30" t="str">
        <f>IF(Y250="","","|n"&amp;#REF!&amp;"+"&amp;Y250)</f>
        <v/>
      </c>
      <c r="DF250" s="30" t="str">
        <f>IF(Z250="","","|n"&amp;#REF!&amp;"+"&amp;Z250)</f>
        <v/>
      </c>
      <c r="DG250" s="30" t="str">
        <f>IF(AA250="","","|n"&amp;#REF!&amp;"+"&amp;AA250)</f>
        <v/>
      </c>
      <c r="DH250" s="30" t="str">
        <f>IF(AB250="","","|n"&amp;#REF!&amp;"+"&amp;AB250)</f>
        <v/>
      </c>
      <c r="DI250" s="30" t="str">
        <f>IF(AC250="","","|n"&amp;#REF!&amp;"+"&amp;AC250&amp;"%")</f>
        <v/>
      </c>
      <c r="DJ250" s="30" t="str">
        <f>IF(AD250="","","|n"&amp;#REF!&amp;"+"&amp;AD250)</f>
        <v/>
      </c>
      <c r="DK250" s="30" t="str">
        <f>IF(AE250="","","|n"&amp;#REF!&amp;"+"&amp;AE250)</f>
        <v/>
      </c>
      <c r="DL250" s="30" t="str">
        <f>IF(AF250="","","|n"&amp;#REF!&amp;"+"&amp;AF250)</f>
        <v/>
      </c>
      <c r="DM250" s="30" t="str">
        <f>IF(AG250="","","|n"&amp;#REF!&amp;"+"&amp;AG250&amp;"%")</f>
        <v/>
      </c>
      <c r="DN250" s="30" t="str">
        <f>IF(AH250="","","|n"&amp;#REF!&amp;"+"&amp;AH250)</f>
        <v/>
      </c>
      <c r="DO250" s="30" t="str">
        <f>IF(AI250="","","|n"&amp;#REF!&amp;"+"&amp;AI250)</f>
        <v/>
      </c>
      <c r="DP250" s="30" t="str">
        <f>IF(AJ250="","","|n"&amp;#REF!&amp;"+"&amp;AJ250)</f>
        <v/>
      </c>
    </row>
    <row r="251" spans="92:175">
      <c r="CN251" s="7" t="str">
        <f t="shared" si="2779"/>
        <v>InitUnitState('',,,,,,,,,,)</v>
      </c>
      <c r="CO251" s="7" t="str">
        <f t="shared" si="2780"/>
        <v>InitUnitNormal('',,,,,,,,,,)</v>
      </c>
      <c r="CP251" s="7" t="str">
        <f t="shared" si="2781"/>
        <v>InitUnitMagic('',,,,,,,,,,)</v>
      </c>
      <c r="CQ251" s="7" t="str">
        <f t="shared" si="2782"/>
        <v>InitUnitAdd('',,,,,,,,,,)</v>
      </c>
      <c r="CR251" s="7" t="str">
        <f t="shared" si="2783"/>
        <v>InitEquipData('',,"",,,,,'','','','','','',"")</v>
      </c>
      <c r="CU251" s="29" t="str">
        <f t="shared" si="2855"/>
        <v>|n</v>
      </c>
      <c r="DB251" s="30" t="str">
        <f>IF(V251="","","|n"&amp;#REF!&amp;"+"&amp;V251)</f>
        <v/>
      </c>
      <c r="DC251" s="30" t="str">
        <f>IF(W251="","","|n"&amp;#REF!&amp;"+"&amp;W251)</f>
        <v/>
      </c>
      <c r="DD251" s="30" t="str">
        <f>IF(X251="","","|n"&amp;#REF!&amp;"+"&amp;X251)</f>
        <v/>
      </c>
      <c r="DE251" s="30" t="str">
        <f>IF(Y251="","","|n"&amp;#REF!&amp;"+"&amp;Y251)</f>
        <v/>
      </c>
      <c r="DF251" s="30" t="str">
        <f>IF(Z251="","","|n"&amp;#REF!&amp;"+"&amp;Z251)</f>
        <v/>
      </c>
      <c r="DG251" s="30" t="str">
        <f>IF(AA251="","","|n"&amp;#REF!&amp;"+"&amp;AA251)</f>
        <v/>
      </c>
      <c r="DH251" s="30" t="str">
        <f>IF(AB251="","","|n"&amp;#REF!&amp;"+"&amp;AB251)</f>
        <v/>
      </c>
      <c r="DI251" s="30" t="str">
        <f>IF(AC251="","","|n"&amp;#REF!&amp;"+"&amp;AC251&amp;"%")</f>
        <v/>
      </c>
      <c r="DJ251" s="30" t="str">
        <f>IF(AD251="","","|n"&amp;#REF!&amp;"+"&amp;AD251)</f>
        <v/>
      </c>
      <c r="DK251" s="30" t="str">
        <f>IF(AE251="","","|n"&amp;#REF!&amp;"+"&amp;AE251)</f>
        <v/>
      </c>
      <c r="DL251" s="30" t="str">
        <f>IF(AF251="","","|n"&amp;#REF!&amp;"+"&amp;AF251)</f>
        <v/>
      </c>
      <c r="DM251" s="30" t="str">
        <f>IF(AG251="","","|n"&amp;#REF!&amp;"+"&amp;AG251&amp;"%")</f>
        <v/>
      </c>
      <c r="DN251" s="30" t="str">
        <f>IF(AH251="","","|n"&amp;#REF!&amp;"+"&amp;AH251)</f>
        <v/>
      </c>
      <c r="DO251" s="30" t="str">
        <f>IF(AI251="","","|n"&amp;#REF!&amp;"+"&amp;AI251)</f>
        <v/>
      </c>
      <c r="DP251" s="30" t="str">
        <f>IF(AJ251="","","|n"&amp;#REF!&amp;"+"&amp;AJ251)</f>
        <v/>
      </c>
    </row>
    <row r="252" spans="92:175">
      <c r="CN252" s="7" t="str">
        <f t="shared" si="2779"/>
        <v>InitUnitState('',,,,,,,,,,)</v>
      </c>
      <c r="CO252" s="7" t="str">
        <f t="shared" si="2780"/>
        <v>InitUnitNormal('',,,,,,,,,,)</v>
      </c>
      <c r="CP252" s="7" t="str">
        <f t="shared" si="2781"/>
        <v>InitUnitMagic('',,,,,,,,,,)</v>
      </c>
      <c r="CQ252" s="7" t="str">
        <f t="shared" si="2782"/>
        <v>InitUnitAdd('',,,,,,,,,,)</v>
      </c>
      <c r="CR252" s="7" t="str">
        <f t="shared" si="2783"/>
        <v>InitEquipData('',,"",,,,,'','','','','','',"")</v>
      </c>
      <c r="CU252" s="29" t="str">
        <f t="shared" si="2855"/>
        <v>|n</v>
      </c>
      <c r="DB252" s="30" t="str">
        <f>IF(V252="","","|n"&amp;#REF!&amp;"+"&amp;V252)</f>
        <v/>
      </c>
      <c r="DC252" s="30" t="str">
        <f>IF(W252="","","|n"&amp;#REF!&amp;"+"&amp;W252)</f>
        <v/>
      </c>
      <c r="DD252" s="30" t="str">
        <f>IF(X252="","","|n"&amp;#REF!&amp;"+"&amp;X252)</f>
        <v/>
      </c>
      <c r="DE252" s="30" t="str">
        <f>IF(Y252="","","|n"&amp;#REF!&amp;"+"&amp;Y252)</f>
        <v/>
      </c>
      <c r="DF252" s="30" t="str">
        <f>IF(Z252="","","|n"&amp;#REF!&amp;"+"&amp;Z252)</f>
        <v/>
      </c>
      <c r="DG252" s="30" t="str">
        <f>IF(AA252="","","|n"&amp;#REF!&amp;"+"&amp;AA252)</f>
        <v/>
      </c>
      <c r="DH252" s="30" t="str">
        <f>IF(AB252="","","|n"&amp;#REF!&amp;"+"&amp;AB252)</f>
        <v/>
      </c>
      <c r="DI252" s="30" t="str">
        <f>IF(AC252="","","|n"&amp;#REF!&amp;"+"&amp;AC252&amp;"%")</f>
        <v/>
      </c>
      <c r="DJ252" s="30" t="str">
        <f>IF(AD252="","","|n"&amp;#REF!&amp;"+"&amp;AD252)</f>
        <v/>
      </c>
      <c r="DK252" s="30" t="str">
        <f>IF(AE252="","","|n"&amp;#REF!&amp;"+"&amp;AE252)</f>
        <v/>
      </c>
      <c r="DL252" s="30" t="str">
        <f>IF(AF252="","","|n"&amp;#REF!&amp;"+"&amp;AF252)</f>
        <v/>
      </c>
      <c r="DM252" s="30" t="str">
        <f>IF(AG252="","","|n"&amp;#REF!&amp;"+"&amp;AG252&amp;"%")</f>
        <v/>
      </c>
      <c r="DN252" s="30" t="str">
        <f>IF(AH252="","","|n"&amp;#REF!&amp;"+"&amp;AH252)</f>
        <v/>
      </c>
      <c r="DO252" s="30" t="str">
        <f>IF(AI252="","","|n"&amp;#REF!&amp;"+"&amp;AI252)</f>
        <v/>
      </c>
      <c r="DP252" s="30" t="str">
        <f>IF(AJ252="","","|n"&amp;#REF!&amp;"+"&amp;AJ252)</f>
        <v/>
      </c>
    </row>
    <row r="253" spans="92:175">
      <c r="CN253" s="7" t="str">
        <f t="shared" si="2779"/>
        <v>InitUnitState('',,,,,,,,,,)</v>
      </c>
      <c r="CO253" s="7" t="str">
        <f t="shared" si="2780"/>
        <v>InitUnitNormal('',,,,,,,,,,)</v>
      </c>
      <c r="CP253" s="7" t="str">
        <f t="shared" si="2781"/>
        <v>InitUnitMagic('',,,,,,,,,,)</v>
      </c>
      <c r="CQ253" s="7" t="str">
        <f t="shared" si="2782"/>
        <v>InitUnitAdd('',,,,,,,,,,)</v>
      </c>
      <c r="CR253" s="7" t="str">
        <f t="shared" si="2783"/>
        <v>InitEquipData('',,"",,,,,'','','','','','',"")</v>
      </c>
      <c r="CU253" s="29" t="str">
        <f t="shared" si="2855"/>
        <v>|n</v>
      </c>
      <c r="DB253" s="30" t="str">
        <f>IF(V253="","","|n"&amp;#REF!&amp;"+"&amp;V253)</f>
        <v/>
      </c>
      <c r="DC253" s="30" t="str">
        <f>IF(W253="","","|n"&amp;#REF!&amp;"+"&amp;W253)</f>
        <v/>
      </c>
      <c r="DD253" s="30" t="str">
        <f>IF(X253="","","|n"&amp;#REF!&amp;"+"&amp;X253)</f>
        <v/>
      </c>
      <c r="DE253" s="30" t="str">
        <f>IF(Y253="","","|n"&amp;#REF!&amp;"+"&amp;Y253)</f>
        <v/>
      </c>
      <c r="DF253" s="30" t="str">
        <f>IF(Z253="","","|n"&amp;#REF!&amp;"+"&amp;Z253)</f>
        <v/>
      </c>
      <c r="DG253" s="30" t="str">
        <f>IF(AA253="","","|n"&amp;#REF!&amp;"+"&amp;AA253)</f>
        <v/>
      </c>
      <c r="DH253" s="30" t="str">
        <f>IF(AB253="","","|n"&amp;#REF!&amp;"+"&amp;AB253)</f>
        <v/>
      </c>
      <c r="DI253" s="30" t="str">
        <f>IF(AC253="","","|n"&amp;#REF!&amp;"+"&amp;AC253&amp;"%")</f>
        <v/>
      </c>
      <c r="DJ253" s="30" t="str">
        <f>IF(AD253="","","|n"&amp;#REF!&amp;"+"&amp;AD253)</f>
        <v/>
      </c>
      <c r="DK253" s="30" t="str">
        <f>IF(AE253="","","|n"&amp;#REF!&amp;"+"&amp;AE253)</f>
        <v/>
      </c>
      <c r="DL253" s="30" t="str">
        <f>IF(AF253="","","|n"&amp;#REF!&amp;"+"&amp;AF253)</f>
        <v/>
      </c>
      <c r="DM253" s="30" t="str">
        <f>IF(AG253="","","|n"&amp;#REF!&amp;"+"&amp;AG253&amp;"%")</f>
        <v/>
      </c>
      <c r="DN253" s="30" t="str">
        <f>IF(AH253="","","|n"&amp;#REF!&amp;"+"&amp;AH253)</f>
        <v/>
      </c>
      <c r="DO253" s="30" t="str">
        <f>IF(AI253="","","|n"&amp;#REF!&amp;"+"&amp;AI253)</f>
        <v/>
      </c>
      <c r="DP253" s="30" t="str">
        <f>IF(AJ253="","","|n"&amp;#REF!&amp;"+"&amp;AJ253)</f>
        <v/>
      </c>
    </row>
    <row r="254" spans="92:175">
      <c r="CN254" s="7" t="str">
        <f t="shared" si="2779"/>
        <v>InitUnitState('',,,,,,,,,,)</v>
      </c>
      <c r="CO254" s="7" t="str">
        <f t="shared" si="2780"/>
        <v>InitUnitNormal('',,,,,,,,,,)</v>
      </c>
      <c r="CP254" s="7" t="str">
        <f t="shared" si="2781"/>
        <v>InitUnitMagic('',,,,,,,,,,)</v>
      </c>
      <c r="CQ254" s="7" t="str">
        <f t="shared" si="2782"/>
        <v>InitUnitAdd('',,,,,,,,,,)</v>
      </c>
      <c r="CR254" s="7" t="str">
        <f t="shared" si="2783"/>
        <v>InitEquipData('',,"",,,,,'','','','','','',"")</v>
      </c>
      <c r="CU254" s="29" t="str">
        <f t="shared" si="2855"/>
        <v>|n</v>
      </c>
      <c r="DB254" s="30" t="str">
        <f>IF(V254="","","|n"&amp;#REF!&amp;"+"&amp;V254)</f>
        <v/>
      </c>
      <c r="DC254" s="30" t="str">
        <f>IF(W254="","","|n"&amp;#REF!&amp;"+"&amp;W254)</f>
        <v/>
      </c>
      <c r="DD254" s="30" t="str">
        <f>IF(X254="","","|n"&amp;#REF!&amp;"+"&amp;X254)</f>
        <v/>
      </c>
      <c r="DE254" s="30" t="str">
        <f>IF(Y254="","","|n"&amp;#REF!&amp;"+"&amp;Y254)</f>
        <v/>
      </c>
      <c r="DF254" s="30" t="str">
        <f>IF(Z254="","","|n"&amp;#REF!&amp;"+"&amp;Z254)</f>
        <v/>
      </c>
      <c r="DG254" s="30" t="str">
        <f>IF(AA254="","","|n"&amp;#REF!&amp;"+"&amp;AA254)</f>
        <v/>
      </c>
      <c r="DH254" s="30" t="str">
        <f>IF(AB254="","","|n"&amp;#REF!&amp;"+"&amp;AB254)</f>
        <v/>
      </c>
      <c r="DI254" s="30" t="str">
        <f>IF(AC254="","","|n"&amp;#REF!&amp;"+"&amp;AC254&amp;"%")</f>
        <v/>
      </c>
      <c r="DJ254" s="30" t="str">
        <f>IF(AD254="","","|n"&amp;#REF!&amp;"+"&amp;AD254)</f>
        <v/>
      </c>
      <c r="DK254" s="30" t="str">
        <f>IF(AE254="","","|n"&amp;#REF!&amp;"+"&amp;AE254)</f>
        <v/>
      </c>
      <c r="DL254" s="30" t="str">
        <f>IF(AF254="","","|n"&amp;#REF!&amp;"+"&amp;AF254)</f>
        <v/>
      </c>
      <c r="DM254" s="30" t="str">
        <f>IF(AG254="","","|n"&amp;#REF!&amp;"+"&amp;AG254&amp;"%")</f>
        <v/>
      </c>
      <c r="DN254" s="30" t="str">
        <f>IF(AH254="","","|n"&amp;#REF!&amp;"+"&amp;AH254)</f>
        <v/>
      </c>
      <c r="DO254" s="30" t="str">
        <f>IF(AI254="","","|n"&amp;#REF!&amp;"+"&amp;AI254)</f>
        <v/>
      </c>
      <c r="DP254" s="30" t="str">
        <f>IF(AJ254="","","|n"&amp;#REF!&amp;"+"&amp;AJ254)</f>
        <v/>
      </c>
    </row>
    <row r="255" spans="92:175">
      <c r="CN255" s="7" t="str">
        <f t="shared" si="2779"/>
        <v>InitUnitState('',,,,,,,,,,)</v>
      </c>
      <c r="CO255" s="7" t="str">
        <f t="shared" si="2780"/>
        <v>InitUnitNormal('',,,,,,,,,,)</v>
      </c>
      <c r="CP255" s="7" t="str">
        <f t="shared" si="2781"/>
        <v>InitUnitMagic('',,,,,,,,,,)</v>
      </c>
      <c r="CQ255" s="7" t="str">
        <f t="shared" si="2782"/>
        <v>InitUnitAdd('',,,,,,,,,,)</v>
      </c>
      <c r="CR255" s="7" t="str">
        <f t="shared" si="2783"/>
        <v>InitEquipData('',,"",,,,,'','','','','','',"")</v>
      </c>
      <c r="CU255" s="29" t="str">
        <f t="shared" si="2855"/>
        <v>|n</v>
      </c>
      <c r="DB255" s="30" t="str">
        <f>IF(V255="","","|n"&amp;#REF!&amp;"+"&amp;V255)</f>
        <v/>
      </c>
      <c r="DC255" s="30" t="str">
        <f>IF(W255="","","|n"&amp;#REF!&amp;"+"&amp;W255)</f>
        <v/>
      </c>
      <c r="DD255" s="30" t="str">
        <f>IF(X255="","","|n"&amp;#REF!&amp;"+"&amp;X255)</f>
        <v/>
      </c>
      <c r="DE255" s="30" t="str">
        <f>IF(Y255="","","|n"&amp;#REF!&amp;"+"&amp;Y255)</f>
        <v/>
      </c>
      <c r="DF255" s="30" t="str">
        <f>IF(Z255="","","|n"&amp;#REF!&amp;"+"&amp;Z255)</f>
        <v/>
      </c>
      <c r="DG255" s="30" t="str">
        <f>IF(AA255="","","|n"&amp;#REF!&amp;"+"&amp;AA255)</f>
        <v/>
      </c>
      <c r="DH255" s="30" t="str">
        <f>IF(AB255="","","|n"&amp;#REF!&amp;"+"&amp;AB255)</f>
        <v/>
      </c>
      <c r="DI255" s="30" t="str">
        <f>IF(AC255="","","|n"&amp;#REF!&amp;"+"&amp;AC255&amp;"%")</f>
        <v/>
      </c>
      <c r="DJ255" s="30" t="str">
        <f>IF(AD255="","","|n"&amp;#REF!&amp;"+"&amp;AD255)</f>
        <v/>
      </c>
      <c r="DK255" s="30" t="str">
        <f>IF(AE255="","","|n"&amp;#REF!&amp;"+"&amp;AE255)</f>
        <v/>
      </c>
      <c r="DL255" s="30" t="str">
        <f>IF(AF255="","","|n"&amp;#REF!&amp;"+"&amp;AF255)</f>
        <v/>
      </c>
      <c r="DM255" s="30" t="str">
        <f>IF(AG255="","","|n"&amp;#REF!&amp;"+"&amp;AG255&amp;"%")</f>
        <v/>
      </c>
      <c r="DN255" s="30" t="str">
        <f>IF(AH255="","","|n"&amp;#REF!&amp;"+"&amp;AH255)</f>
        <v/>
      </c>
      <c r="DO255" s="30" t="str">
        <f>IF(AI255="","","|n"&amp;#REF!&amp;"+"&amp;AI255)</f>
        <v/>
      </c>
      <c r="DP255" s="30" t="str">
        <f>IF(AJ255="","","|n"&amp;#REF!&amp;"+"&amp;AJ255)</f>
        <v/>
      </c>
    </row>
    <row r="256" spans="92:175">
      <c r="CN256" s="7" t="str">
        <f t="shared" ref="CN256:CN275" si="2856">"InitUnitState('"&amp;B256&amp;"',"&amp;V256&amp;","&amp;W256&amp;","&amp;X256&amp;","&amp;Y256&amp;","&amp;Z256&amp;","&amp;AA256&amp;","&amp;AB256&amp;","&amp;AC256&amp;","&amp;AD256&amp;","&amp;AE256&amp;")"</f>
        <v>InitUnitState('',,,,,,,,,,)</v>
      </c>
      <c r="CO256" s="7" t="str">
        <f t="shared" ref="CO256:CO275" si="2857">"InitUnitNormal('"&amp;B256&amp;"',"&amp;AF256&amp;","&amp;AG256&amp;","&amp;AH256&amp;","&amp;AI256&amp;","&amp;AJ256&amp;","&amp;AK256&amp;","&amp;AL256&amp;","&amp;AM256&amp;","&amp;AN256&amp;","&amp;AO256&amp;")"</f>
        <v>InitUnitNormal('',,,,,,,,,,)</v>
      </c>
      <c r="CP256" s="7" t="str">
        <f t="shared" ref="CP256:CP275" si="2858">"InitUnitMagic('"&amp;B256&amp;"',"&amp;AP256&amp;","&amp;AQ256&amp;","&amp;AR256&amp;","&amp;AS256&amp;","&amp;AT256&amp;","&amp;AU256&amp;","&amp;AV256&amp;","&amp;AW256&amp;","&amp;BI256&amp;","&amp;BJ256&amp;")"</f>
        <v>InitUnitMagic('',,,,,,,,,,)</v>
      </c>
      <c r="CQ256" s="7" t="str">
        <f t="shared" ref="CQ256:CQ275" si="2859">"InitUnitAdd('"&amp;B256&amp;"',"&amp;BK256&amp;","&amp;BL256&amp;","&amp;BM256&amp;","&amp;BN256&amp;","&amp;BO256&amp;","&amp;BP256&amp;","&amp;BQ256&amp;","&amp;BR256&amp;","&amp;BS256&amp;","&amp;BT256&amp;")"</f>
        <v>InitUnitAdd('',,,,,,,,,,)</v>
      </c>
      <c r="CR256" s="7" t="str">
        <f t="shared" ref="CR256:CR275" si="2860"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InitEquipData('',,"",,,,,'','','','','','',"")</v>
      </c>
      <c r="CU256" s="29" t="str">
        <f t="shared" si="2855"/>
        <v>|n</v>
      </c>
      <c r="DB256" s="30" t="str">
        <f>IF(V256="","","|n"&amp;#REF!&amp;"+"&amp;V256)</f>
        <v/>
      </c>
      <c r="DC256" s="30" t="str">
        <f>IF(W256="","","|n"&amp;#REF!&amp;"+"&amp;W256)</f>
        <v/>
      </c>
      <c r="DD256" s="30" t="str">
        <f>IF(X256="","","|n"&amp;#REF!&amp;"+"&amp;X256)</f>
        <v/>
      </c>
      <c r="DE256" s="30" t="str">
        <f>IF(Y256="","","|n"&amp;#REF!&amp;"+"&amp;Y256)</f>
        <v/>
      </c>
      <c r="DF256" s="30" t="str">
        <f>IF(Z256="","","|n"&amp;#REF!&amp;"+"&amp;Z256)</f>
        <v/>
      </c>
      <c r="DG256" s="30" t="str">
        <f>IF(AA256="","","|n"&amp;#REF!&amp;"+"&amp;AA256)</f>
        <v/>
      </c>
      <c r="DH256" s="30" t="str">
        <f>IF(AB256="","","|n"&amp;#REF!&amp;"+"&amp;AB256)</f>
        <v/>
      </c>
      <c r="DI256" s="30" t="str">
        <f>IF(AC256="","","|n"&amp;#REF!&amp;"+"&amp;AC256&amp;"%")</f>
        <v/>
      </c>
      <c r="DJ256" s="30" t="str">
        <f>IF(AD256="","","|n"&amp;#REF!&amp;"+"&amp;AD256)</f>
        <v/>
      </c>
      <c r="DK256" s="30" t="str">
        <f>IF(AE256="","","|n"&amp;#REF!&amp;"+"&amp;AE256)</f>
        <v/>
      </c>
      <c r="DL256" s="30" t="str">
        <f>IF(AF256="","","|n"&amp;#REF!&amp;"+"&amp;AF256)</f>
        <v/>
      </c>
      <c r="DM256" s="30" t="str">
        <f>IF(AG256="","","|n"&amp;#REF!&amp;"+"&amp;AG256&amp;"%")</f>
        <v/>
      </c>
      <c r="DN256" s="30" t="str">
        <f>IF(AH256="","","|n"&amp;#REF!&amp;"+"&amp;AH256)</f>
        <v/>
      </c>
      <c r="DO256" s="30" t="str">
        <f>IF(AI256="","","|n"&amp;#REF!&amp;"+"&amp;AI256)</f>
        <v/>
      </c>
      <c r="DP256" s="30" t="str">
        <f>IF(AJ256="","","|n"&amp;#REF!&amp;"+"&amp;AJ256)</f>
        <v/>
      </c>
    </row>
    <row r="257" spans="92:120">
      <c r="CN257" s="7" t="str">
        <f t="shared" si="2856"/>
        <v>InitUnitState('',,,,,,,,,,)</v>
      </c>
      <c r="CO257" s="7" t="str">
        <f t="shared" si="2857"/>
        <v>InitUnitNormal('',,,,,,,,,,)</v>
      </c>
      <c r="CP257" s="7" t="str">
        <f t="shared" si="2858"/>
        <v>InitUnitMagic('',,,,,,,,,,)</v>
      </c>
      <c r="CQ257" s="7" t="str">
        <f t="shared" si="2859"/>
        <v>InitUnitAdd('',,,,,,,,,,)</v>
      </c>
      <c r="CR257" s="7" t="str">
        <f t="shared" si="2860"/>
        <v>InitEquipData('',,"",,,,,'','','','','','',"")</v>
      </c>
      <c r="CU257" s="29" t="str">
        <f t="shared" si="2855"/>
        <v>|n</v>
      </c>
      <c r="DB257" s="30" t="str">
        <f>IF(V257="","","|n"&amp;#REF!&amp;"+"&amp;V257)</f>
        <v/>
      </c>
      <c r="DC257" s="30" t="str">
        <f>IF(W257="","","|n"&amp;#REF!&amp;"+"&amp;W257)</f>
        <v/>
      </c>
      <c r="DD257" s="30" t="str">
        <f>IF(X257="","","|n"&amp;#REF!&amp;"+"&amp;X257)</f>
        <v/>
      </c>
      <c r="DE257" s="30" t="str">
        <f>IF(Y257="","","|n"&amp;#REF!&amp;"+"&amp;Y257)</f>
        <v/>
      </c>
      <c r="DF257" s="30" t="str">
        <f>IF(Z257="","","|n"&amp;#REF!&amp;"+"&amp;Z257)</f>
        <v/>
      </c>
      <c r="DG257" s="30" t="str">
        <f>IF(AA257="","","|n"&amp;#REF!&amp;"+"&amp;AA257)</f>
        <v/>
      </c>
      <c r="DH257" s="30" t="str">
        <f>IF(AB257="","","|n"&amp;#REF!&amp;"+"&amp;AB257)</f>
        <v/>
      </c>
      <c r="DI257" s="30" t="str">
        <f>IF(AC257="","","|n"&amp;#REF!&amp;"+"&amp;AC257&amp;"%")</f>
        <v/>
      </c>
      <c r="DJ257" s="30" t="str">
        <f>IF(AD257="","","|n"&amp;#REF!&amp;"+"&amp;AD257)</f>
        <v/>
      </c>
      <c r="DK257" s="30" t="str">
        <f>IF(AE257="","","|n"&amp;#REF!&amp;"+"&amp;AE257)</f>
        <v/>
      </c>
      <c r="DL257" s="30" t="str">
        <f>IF(AF257="","","|n"&amp;#REF!&amp;"+"&amp;AF257)</f>
        <v/>
      </c>
      <c r="DM257" s="30" t="str">
        <f>IF(AG257="","","|n"&amp;#REF!&amp;"+"&amp;AG257&amp;"%")</f>
        <v/>
      </c>
      <c r="DN257" s="30" t="str">
        <f>IF(AH257="","","|n"&amp;#REF!&amp;"+"&amp;AH257)</f>
        <v/>
      </c>
      <c r="DO257" s="30" t="str">
        <f>IF(AI257="","","|n"&amp;#REF!&amp;"+"&amp;AI257)</f>
        <v/>
      </c>
      <c r="DP257" s="30" t="str">
        <f>IF(AJ257="","","|n"&amp;#REF!&amp;"+"&amp;AJ257)</f>
        <v/>
      </c>
    </row>
    <row r="258" spans="92:120">
      <c r="CN258" s="7" t="str">
        <f t="shared" si="2856"/>
        <v>InitUnitState('',,,,,,,,,,)</v>
      </c>
      <c r="CO258" s="7" t="str">
        <f t="shared" si="2857"/>
        <v>InitUnitNormal('',,,,,,,,,,)</v>
      </c>
      <c r="CP258" s="7" t="str">
        <f t="shared" si="2858"/>
        <v>InitUnitMagic('',,,,,,,,,,)</v>
      </c>
      <c r="CQ258" s="7" t="str">
        <f t="shared" si="2859"/>
        <v>InitUnitAdd('',,,,,,,,,,)</v>
      </c>
      <c r="CR258" s="7" t="str">
        <f t="shared" si="2860"/>
        <v>InitEquipData('',,"",,,,,'','','','','','',"")</v>
      </c>
      <c r="CU258" s="29" t="str">
        <f t="shared" si="2855"/>
        <v>|n</v>
      </c>
      <c r="DB258" s="30" t="str">
        <f>IF(V258="","","|n"&amp;#REF!&amp;"+"&amp;V258)</f>
        <v/>
      </c>
      <c r="DC258" s="30" t="str">
        <f>IF(W258="","","|n"&amp;#REF!&amp;"+"&amp;W258)</f>
        <v/>
      </c>
      <c r="DD258" s="30" t="str">
        <f>IF(X258="","","|n"&amp;#REF!&amp;"+"&amp;X258)</f>
        <v/>
      </c>
      <c r="DE258" s="30" t="str">
        <f>IF(Y258="","","|n"&amp;#REF!&amp;"+"&amp;Y258)</f>
        <v/>
      </c>
      <c r="DF258" s="30" t="str">
        <f>IF(Z258="","","|n"&amp;#REF!&amp;"+"&amp;Z258)</f>
        <v/>
      </c>
      <c r="DG258" s="30" t="str">
        <f>IF(AA258="","","|n"&amp;#REF!&amp;"+"&amp;AA258)</f>
        <v/>
      </c>
      <c r="DH258" s="30" t="str">
        <f>IF(AB258="","","|n"&amp;#REF!&amp;"+"&amp;AB258)</f>
        <v/>
      </c>
      <c r="DI258" s="30" t="str">
        <f>IF(AC258="","","|n"&amp;#REF!&amp;"+"&amp;AC258&amp;"%")</f>
        <v/>
      </c>
      <c r="DJ258" s="30" t="str">
        <f>IF(AD258="","","|n"&amp;#REF!&amp;"+"&amp;AD258)</f>
        <v/>
      </c>
      <c r="DK258" s="30" t="str">
        <f>IF(AE258="","","|n"&amp;#REF!&amp;"+"&amp;AE258)</f>
        <v/>
      </c>
      <c r="DL258" s="30" t="str">
        <f>IF(AF258="","","|n"&amp;#REF!&amp;"+"&amp;AF258)</f>
        <v/>
      </c>
      <c r="DM258" s="30" t="str">
        <f>IF(AG258="","","|n"&amp;#REF!&amp;"+"&amp;AG258&amp;"%")</f>
        <v/>
      </c>
      <c r="DN258" s="30" t="str">
        <f>IF(AH258="","","|n"&amp;#REF!&amp;"+"&amp;AH258)</f>
        <v/>
      </c>
      <c r="DO258" s="30" t="str">
        <f>IF(AI258="","","|n"&amp;#REF!&amp;"+"&amp;AI258)</f>
        <v/>
      </c>
      <c r="DP258" s="30" t="str">
        <f>IF(AJ258="","","|n"&amp;#REF!&amp;"+"&amp;AJ258)</f>
        <v/>
      </c>
    </row>
    <row r="259" spans="92:120">
      <c r="CN259" s="7" t="str">
        <f t="shared" si="2856"/>
        <v>InitUnitState('',,,,,,,,,,)</v>
      </c>
      <c r="CO259" s="7" t="str">
        <f t="shared" si="2857"/>
        <v>InitUnitNormal('',,,,,,,,,,)</v>
      </c>
      <c r="CP259" s="7" t="str">
        <f t="shared" si="2858"/>
        <v>InitUnitMagic('',,,,,,,,,,)</v>
      </c>
      <c r="CQ259" s="7" t="str">
        <f t="shared" si="2859"/>
        <v>InitUnitAdd('',,,,,,,,,,)</v>
      </c>
      <c r="CR259" s="7" t="str">
        <f t="shared" si="2860"/>
        <v>InitEquipData('',,"",,,,,'','','','','','',"")</v>
      </c>
      <c r="CU259" s="29" t="str">
        <f t="shared" si="2855"/>
        <v>|n</v>
      </c>
      <c r="DB259" s="30" t="str">
        <f>IF(V259="","","|n"&amp;#REF!&amp;"+"&amp;V259)</f>
        <v/>
      </c>
      <c r="DC259" s="30" t="str">
        <f>IF(W259="","","|n"&amp;#REF!&amp;"+"&amp;W259)</f>
        <v/>
      </c>
      <c r="DD259" s="30" t="str">
        <f>IF(X259="","","|n"&amp;#REF!&amp;"+"&amp;X259)</f>
        <v/>
      </c>
      <c r="DE259" s="30" t="str">
        <f>IF(Y259="","","|n"&amp;#REF!&amp;"+"&amp;Y259)</f>
        <v/>
      </c>
      <c r="DF259" s="30" t="str">
        <f>IF(Z259="","","|n"&amp;#REF!&amp;"+"&amp;Z259)</f>
        <v/>
      </c>
      <c r="DG259" s="30" t="str">
        <f>IF(AA259="","","|n"&amp;#REF!&amp;"+"&amp;AA259)</f>
        <v/>
      </c>
      <c r="DH259" s="30" t="str">
        <f>IF(AB259="","","|n"&amp;#REF!&amp;"+"&amp;AB259)</f>
        <v/>
      </c>
      <c r="DI259" s="30" t="str">
        <f>IF(AC259="","","|n"&amp;#REF!&amp;"+"&amp;AC259&amp;"%")</f>
        <v/>
      </c>
      <c r="DJ259" s="30" t="str">
        <f>IF(AD259="","","|n"&amp;#REF!&amp;"+"&amp;AD259)</f>
        <v/>
      </c>
      <c r="DK259" s="30" t="str">
        <f>IF(AE259="","","|n"&amp;#REF!&amp;"+"&amp;AE259)</f>
        <v/>
      </c>
      <c r="DL259" s="30" t="str">
        <f>IF(AF259="","","|n"&amp;#REF!&amp;"+"&amp;AF259)</f>
        <v/>
      </c>
      <c r="DM259" s="30" t="str">
        <f>IF(AG259="","","|n"&amp;#REF!&amp;"+"&amp;AG259&amp;"%")</f>
        <v/>
      </c>
      <c r="DN259" s="30" t="str">
        <f>IF(AH259="","","|n"&amp;#REF!&amp;"+"&amp;AH259)</f>
        <v/>
      </c>
      <c r="DO259" s="30" t="str">
        <f>IF(AI259="","","|n"&amp;#REF!&amp;"+"&amp;AI259)</f>
        <v/>
      </c>
      <c r="DP259" s="30" t="str">
        <f>IF(AJ259="","","|n"&amp;#REF!&amp;"+"&amp;AJ259)</f>
        <v/>
      </c>
    </row>
    <row r="260" spans="92:120">
      <c r="CN260" s="7" t="str">
        <f t="shared" si="2856"/>
        <v>InitUnitState('',,,,,,,,,,)</v>
      </c>
      <c r="CO260" s="7" t="str">
        <f t="shared" si="2857"/>
        <v>InitUnitNormal('',,,,,,,,,,)</v>
      </c>
      <c r="CP260" s="7" t="str">
        <f t="shared" si="2858"/>
        <v>InitUnitMagic('',,,,,,,,,,)</v>
      </c>
      <c r="CQ260" s="7" t="str">
        <f t="shared" si="2859"/>
        <v>InitUnitAdd('',,,,,,,,,,)</v>
      </c>
      <c r="CR260" s="7" t="str">
        <f t="shared" si="2860"/>
        <v>InitEquipData('',,"",,,,,'','','','','','',"")</v>
      </c>
      <c r="CU260" s="29" t="str">
        <f t="shared" si="2855"/>
        <v>|n</v>
      </c>
      <c r="DB260" s="30" t="str">
        <f>IF(V260="","","|n"&amp;#REF!&amp;"+"&amp;V260)</f>
        <v/>
      </c>
      <c r="DC260" s="30" t="str">
        <f>IF(W260="","","|n"&amp;#REF!&amp;"+"&amp;W260)</f>
        <v/>
      </c>
      <c r="DD260" s="30" t="str">
        <f>IF(X260="","","|n"&amp;#REF!&amp;"+"&amp;X260)</f>
        <v/>
      </c>
      <c r="DE260" s="30" t="str">
        <f>IF(Y260="","","|n"&amp;#REF!&amp;"+"&amp;Y260)</f>
        <v/>
      </c>
      <c r="DF260" s="30" t="str">
        <f>IF(Z260="","","|n"&amp;#REF!&amp;"+"&amp;Z260)</f>
        <v/>
      </c>
      <c r="DG260" s="30" t="str">
        <f>IF(AA260="","","|n"&amp;#REF!&amp;"+"&amp;AA260)</f>
        <v/>
      </c>
      <c r="DH260" s="30" t="str">
        <f>IF(AB260="","","|n"&amp;#REF!&amp;"+"&amp;AB260)</f>
        <v/>
      </c>
      <c r="DI260" s="30" t="str">
        <f>IF(AC260="","","|n"&amp;#REF!&amp;"+"&amp;AC260&amp;"%")</f>
        <v/>
      </c>
      <c r="DJ260" s="30" t="str">
        <f>IF(AD260="","","|n"&amp;#REF!&amp;"+"&amp;AD260)</f>
        <v/>
      </c>
      <c r="DK260" s="30" t="str">
        <f>IF(AE260="","","|n"&amp;#REF!&amp;"+"&amp;AE260)</f>
        <v/>
      </c>
      <c r="DL260" s="30" t="str">
        <f>IF(AF260="","","|n"&amp;#REF!&amp;"+"&amp;AF260)</f>
        <v/>
      </c>
      <c r="DM260" s="30" t="str">
        <f>IF(AG260="","","|n"&amp;#REF!&amp;"+"&amp;AG260&amp;"%")</f>
        <v/>
      </c>
      <c r="DN260" s="30" t="str">
        <f>IF(AH260="","","|n"&amp;#REF!&amp;"+"&amp;AH260)</f>
        <v/>
      </c>
      <c r="DO260" s="30" t="str">
        <f>IF(AI260="","","|n"&amp;#REF!&amp;"+"&amp;AI260)</f>
        <v/>
      </c>
      <c r="DP260" s="30" t="str">
        <f>IF(AJ260="","","|n"&amp;#REF!&amp;"+"&amp;AJ260)</f>
        <v/>
      </c>
    </row>
    <row r="261" spans="92:120">
      <c r="CN261" s="7" t="str">
        <f t="shared" si="2856"/>
        <v>InitUnitState('',,,,,,,,,,)</v>
      </c>
      <c r="CO261" s="7" t="str">
        <f t="shared" si="2857"/>
        <v>InitUnitNormal('',,,,,,,,,,)</v>
      </c>
      <c r="CP261" s="7" t="str">
        <f t="shared" si="2858"/>
        <v>InitUnitMagic('',,,,,,,,,,)</v>
      </c>
      <c r="CQ261" s="7" t="str">
        <f t="shared" si="2859"/>
        <v>InitUnitAdd('',,,,,,,,,,)</v>
      </c>
      <c r="CR261" s="7" t="str">
        <f t="shared" si="2860"/>
        <v>InitEquipData('',,"",,,,,'','','','','','',"")</v>
      </c>
      <c r="CU261" s="29" t="str">
        <f t="shared" si="2855"/>
        <v>|n</v>
      </c>
      <c r="DB261" s="30" t="str">
        <f>IF(V261="","","|n"&amp;#REF!&amp;"+"&amp;V261)</f>
        <v/>
      </c>
      <c r="DC261" s="30" t="str">
        <f>IF(W261="","","|n"&amp;#REF!&amp;"+"&amp;W261)</f>
        <v/>
      </c>
      <c r="DD261" s="30" t="str">
        <f>IF(X261="","","|n"&amp;#REF!&amp;"+"&amp;X261)</f>
        <v/>
      </c>
      <c r="DE261" s="30" t="str">
        <f>IF(Y261="","","|n"&amp;#REF!&amp;"+"&amp;Y261)</f>
        <v/>
      </c>
      <c r="DF261" s="30" t="str">
        <f>IF(Z261="","","|n"&amp;#REF!&amp;"+"&amp;Z261)</f>
        <v/>
      </c>
      <c r="DG261" s="30" t="str">
        <f>IF(AA261="","","|n"&amp;#REF!&amp;"+"&amp;AA261)</f>
        <v/>
      </c>
      <c r="DH261" s="30" t="str">
        <f>IF(AB261="","","|n"&amp;#REF!&amp;"+"&amp;AB261)</f>
        <v/>
      </c>
      <c r="DI261" s="30" t="str">
        <f>IF(AC261="","","|n"&amp;#REF!&amp;"+"&amp;AC261&amp;"%")</f>
        <v/>
      </c>
      <c r="DJ261" s="30" t="str">
        <f>IF(AD261="","","|n"&amp;#REF!&amp;"+"&amp;AD261)</f>
        <v/>
      </c>
      <c r="DK261" s="30" t="str">
        <f>IF(AE261="","","|n"&amp;#REF!&amp;"+"&amp;AE261)</f>
        <v/>
      </c>
      <c r="DL261" s="30" t="str">
        <f>IF(AF261="","","|n"&amp;#REF!&amp;"+"&amp;AF261)</f>
        <v/>
      </c>
      <c r="DM261" s="30" t="str">
        <f>IF(AG261="","","|n"&amp;#REF!&amp;"+"&amp;AG261&amp;"%")</f>
        <v/>
      </c>
      <c r="DN261" s="30" t="str">
        <f>IF(AH261="","","|n"&amp;#REF!&amp;"+"&amp;AH261)</f>
        <v/>
      </c>
      <c r="DO261" s="30" t="str">
        <f>IF(AI261="","","|n"&amp;#REF!&amp;"+"&amp;AI261)</f>
        <v/>
      </c>
      <c r="DP261" s="30" t="str">
        <f>IF(AJ261="","","|n"&amp;#REF!&amp;"+"&amp;AJ261)</f>
        <v/>
      </c>
    </row>
    <row r="262" spans="92:120">
      <c r="CN262" s="7" t="str">
        <f t="shared" si="2856"/>
        <v>InitUnitState('',,,,,,,,,,)</v>
      </c>
      <c r="CO262" s="7" t="str">
        <f t="shared" si="2857"/>
        <v>InitUnitNormal('',,,,,,,,,,)</v>
      </c>
      <c r="CP262" s="7" t="str">
        <f t="shared" si="2858"/>
        <v>InitUnitMagic('',,,,,,,,,,)</v>
      </c>
      <c r="CQ262" s="7" t="str">
        <f t="shared" si="2859"/>
        <v>InitUnitAdd('',,,,,,,,,,)</v>
      </c>
      <c r="CR262" s="7" t="str">
        <f t="shared" si="2860"/>
        <v>InitEquipData('',,"",,,,,'','','','','','',"")</v>
      </c>
      <c r="CU262" s="29" t="str">
        <f t="shared" si="2855"/>
        <v>|n</v>
      </c>
      <c r="DB262" s="30" t="str">
        <f>IF(V262="","","|n"&amp;#REF!&amp;"+"&amp;V262)</f>
        <v/>
      </c>
      <c r="DC262" s="30" t="str">
        <f>IF(W262="","","|n"&amp;#REF!&amp;"+"&amp;W262)</f>
        <v/>
      </c>
      <c r="DD262" s="30" t="str">
        <f>IF(X262="","","|n"&amp;#REF!&amp;"+"&amp;X262)</f>
        <v/>
      </c>
      <c r="DE262" s="30" t="str">
        <f>IF(Y262="","","|n"&amp;#REF!&amp;"+"&amp;Y262)</f>
        <v/>
      </c>
      <c r="DF262" s="30" t="str">
        <f>IF(Z262="","","|n"&amp;#REF!&amp;"+"&amp;Z262)</f>
        <v/>
      </c>
      <c r="DG262" s="30" t="str">
        <f>IF(AA262="","","|n"&amp;#REF!&amp;"+"&amp;AA262)</f>
        <v/>
      </c>
      <c r="DH262" s="30" t="str">
        <f>IF(AB262="","","|n"&amp;#REF!&amp;"+"&amp;AB262)</f>
        <v/>
      </c>
      <c r="DI262" s="30" t="str">
        <f>IF(AC262="","","|n"&amp;#REF!&amp;"+"&amp;AC262&amp;"%")</f>
        <v/>
      </c>
      <c r="DJ262" s="30" t="str">
        <f>IF(AD262="","","|n"&amp;#REF!&amp;"+"&amp;AD262)</f>
        <v/>
      </c>
      <c r="DK262" s="30" t="str">
        <f>IF(AE262="","","|n"&amp;#REF!&amp;"+"&amp;AE262)</f>
        <v/>
      </c>
      <c r="DL262" s="30" t="str">
        <f>IF(AF262="","","|n"&amp;#REF!&amp;"+"&amp;AF262)</f>
        <v/>
      </c>
      <c r="DM262" s="30" t="str">
        <f>IF(AG262="","","|n"&amp;#REF!&amp;"+"&amp;AG262&amp;"%")</f>
        <v/>
      </c>
      <c r="DN262" s="30" t="str">
        <f>IF(AH262="","","|n"&amp;#REF!&amp;"+"&amp;AH262)</f>
        <v/>
      </c>
      <c r="DO262" s="30" t="str">
        <f>IF(AI262="","","|n"&amp;#REF!&amp;"+"&amp;AI262)</f>
        <v/>
      </c>
      <c r="DP262" s="30" t="str">
        <f>IF(AJ262="","","|n"&amp;#REF!&amp;"+"&amp;AJ262)</f>
        <v/>
      </c>
    </row>
    <row r="263" spans="92:120">
      <c r="CN263" s="7" t="str">
        <f t="shared" si="2856"/>
        <v>InitUnitState('',,,,,,,,,,)</v>
      </c>
      <c r="CO263" s="7" t="str">
        <f t="shared" si="2857"/>
        <v>InitUnitNormal('',,,,,,,,,,)</v>
      </c>
      <c r="CP263" s="7" t="str">
        <f t="shared" si="2858"/>
        <v>InitUnitMagic('',,,,,,,,,,)</v>
      </c>
      <c r="CQ263" s="7" t="str">
        <f t="shared" si="2859"/>
        <v>InitUnitAdd('',,,,,,,,,,)</v>
      </c>
      <c r="CR263" s="7" t="str">
        <f t="shared" si="2860"/>
        <v>InitEquipData('',,"",,,,,'','','','','','',"")</v>
      </c>
      <c r="CU263" s="29" t="str">
        <f t="shared" si="2855"/>
        <v>|n</v>
      </c>
      <c r="DB263" s="30" t="str">
        <f>IF(V263="","","|n"&amp;#REF!&amp;"+"&amp;V263)</f>
        <v/>
      </c>
      <c r="DC263" s="30" t="str">
        <f>IF(W263="","","|n"&amp;#REF!&amp;"+"&amp;W263)</f>
        <v/>
      </c>
      <c r="DD263" s="30" t="str">
        <f>IF(X263="","","|n"&amp;#REF!&amp;"+"&amp;X263)</f>
        <v/>
      </c>
      <c r="DE263" s="30" t="str">
        <f>IF(Y263="","","|n"&amp;#REF!&amp;"+"&amp;Y263)</f>
        <v/>
      </c>
      <c r="DF263" s="30" t="str">
        <f>IF(Z263="","","|n"&amp;#REF!&amp;"+"&amp;Z263)</f>
        <v/>
      </c>
      <c r="DG263" s="30" t="str">
        <f>IF(AA263="","","|n"&amp;#REF!&amp;"+"&amp;AA263)</f>
        <v/>
      </c>
      <c r="DH263" s="30" t="str">
        <f>IF(AB263="","","|n"&amp;#REF!&amp;"+"&amp;AB263)</f>
        <v/>
      </c>
      <c r="DI263" s="30" t="str">
        <f>IF(AC263="","","|n"&amp;#REF!&amp;"+"&amp;AC263&amp;"%")</f>
        <v/>
      </c>
      <c r="DJ263" s="30" t="str">
        <f>IF(AD263="","","|n"&amp;#REF!&amp;"+"&amp;AD263)</f>
        <v/>
      </c>
      <c r="DK263" s="30" t="str">
        <f>IF(AE263="","","|n"&amp;#REF!&amp;"+"&amp;AE263)</f>
        <v/>
      </c>
      <c r="DL263" s="30" t="str">
        <f>IF(AF263="","","|n"&amp;#REF!&amp;"+"&amp;AF263)</f>
        <v/>
      </c>
      <c r="DM263" s="30" t="str">
        <f>IF(AG263="","","|n"&amp;#REF!&amp;"+"&amp;AG263&amp;"%")</f>
        <v/>
      </c>
      <c r="DN263" s="30" t="str">
        <f>IF(AH263="","","|n"&amp;#REF!&amp;"+"&amp;AH263)</f>
        <v/>
      </c>
      <c r="DO263" s="30" t="str">
        <f>IF(AI263="","","|n"&amp;#REF!&amp;"+"&amp;AI263)</f>
        <v/>
      </c>
      <c r="DP263" s="30" t="str">
        <f>IF(AJ263="","","|n"&amp;#REF!&amp;"+"&amp;AJ263)</f>
        <v/>
      </c>
    </row>
    <row r="264" spans="92:120">
      <c r="CN264" s="7" t="str">
        <f t="shared" si="2856"/>
        <v>InitUnitState('',,,,,,,,,,)</v>
      </c>
      <c r="CO264" s="7" t="str">
        <f t="shared" si="2857"/>
        <v>InitUnitNormal('',,,,,,,,,,)</v>
      </c>
      <c r="CP264" s="7" t="str">
        <f t="shared" si="2858"/>
        <v>InitUnitMagic('',,,,,,,,,,)</v>
      </c>
      <c r="CQ264" s="7" t="str">
        <f t="shared" si="2859"/>
        <v>InitUnitAdd('',,,,,,,,,,)</v>
      </c>
      <c r="CR264" s="7" t="str">
        <f t="shared" si="2860"/>
        <v>InitEquipData('',,"",,,,,'','','','','','',"")</v>
      </c>
      <c r="CU264" s="29" t="str">
        <f t="shared" si="2855"/>
        <v>|n</v>
      </c>
      <c r="DB264" s="30" t="str">
        <f>IF(V264="","","|n"&amp;#REF!&amp;"+"&amp;V264)</f>
        <v/>
      </c>
      <c r="DC264" s="30" t="str">
        <f>IF(W264="","","|n"&amp;#REF!&amp;"+"&amp;W264)</f>
        <v/>
      </c>
      <c r="DD264" s="30" t="str">
        <f>IF(X264="","","|n"&amp;#REF!&amp;"+"&amp;X264)</f>
        <v/>
      </c>
      <c r="DE264" s="30" t="str">
        <f>IF(Y264="","","|n"&amp;#REF!&amp;"+"&amp;Y264)</f>
        <v/>
      </c>
      <c r="DF264" s="30" t="str">
        <f>IF(Z264="","","|n"&amp;#REF!&amp;"+"&amp;Z264)</f>
        <v/>
      </c>
      <c r="DG264" s="30" t="str">
        <f>IF(AA264="","","|n"&amp;#REF!&amp;"+"&amp;AA264)</f>
        <v/>
      </c>
      <c r="DH264" s="30" t="str">
        <f>IF(AB264="","","|n"&amp;#REF!&amp;"+"&amp;AB264)</f>
        <v/>
      </c>
      <c r="DI264" s="30" t="str">
        <f>IF(AC264="","","|n"&amp;#REF!&amp;"+"&amp;AC264&amp;"%")</f>
        <v/>
      </c>
      <c r="DJ264" s="30" t="str">
        <f>IF(AD264="","","|n"&amp;#REF!&amp;"+"&amp;AD264)</f>
        <v/>
      </c>
      <c r="DK264" s="30" t="str">
        <f>IF(AE264="","","|n"&amp;#REF!&amp;"+"&amp;AE264)</f>
        <v/>
      </c>
      <c r="DL264" s="30" t="str">
        <f>IF(AF264="","","|n"&amp;#REF!&amp;"+"&amp;AF264)</f>
        <v/>
      </c>
      <c r="DM264" s="30" t="str">
        <f>IF(AG264="","","|n"&amp;#REF!&amp;"+"&amp;AG264&amp;"%")</f>
        <v/>
      </c>
      <c r="DN264" s="30" t="str">
        <f>IF(AH264="","","|n"&amp;#REF!&amp;"+"&amp;AH264)</f>
        <v/>
      </c>
      <c r="DO264" s="30" t="str">
        <f>IF(AI264="","","|n"&amp;#REF!&amp;"+"&amp;AI264)</f>
        <v/>
      </c>
      <c r="DP264" s="30" t="str">
        <f>IF(AJ264="","","|n"&amp;#REF!&amp;"+"&amp;AJ264)</f>
        <v/>
      </c>
    </row>
    <row r="265" spans="92:120">
      <c r="CN265" s="7" t="str">
        <f t="shared" si="2856"/>
        <v>InitUnitState('',,,,,,,,,,)</v>
      </c>
      <c r="CO265" s="7" t="str">
        <f t="shared" si="2857"/>
        <v>InitUnitNormal('',,,,,,,,,,)</v>
      </c>
      <c r="CP265" s="7" t="str">
        <f t="shared" si="2858"/>
        <v>InitUnitMagic('',,,,,,,,,,)</v>
      </c>
      <c r="CQ265" s="7" t="str">
        <f t="shared" si="2859"/>
        <v>InitUnitAdd('',,,,,,,,,,)</v>
      </c>
      <c r="CR265" s="7" t="str">
        <f t="shared" si="2860"/>
        <v>InitEquipData('',,"",,,,,'','','','','','',"")</v>
      </c>
      <c r="CU265" s="29" t="str">
        <f t="shared" si="2855"/>
        <v>|n</v>
      </c>
      <c r="DB265" s="30" t="str">
        <f>IF(V265="","","|n"&amp;#REF!&amp;"+"&amp;V265)</f>
        <v/>
      </c>
      <c r="DC265" s="30" t="str">
        <f>IF(W265="","","|n"&amp;#REF!&amp;"+"&amp;W265)</f>
        <v/>
      </c>
      <c r="DD265" s="30" t="str">
        <f>IF(X265="","","|n"&amp;#REF!&amp;"+"&amp;X265)</f>
        <v/>
      </c>
      <c r="DE265" s="30" t="str">
        <f>IF(Y265="","","|n"&amp;#REF!&amp;"+"&amp;Y265)</f>
        <v/>
      </c>
      <c r="DF265" s="30" t="str">
        <f>IF(Z265="","","|n"&amp;#REF!&amp;"+"&amp;Z265)</f>
        <v/>
      </c>
      <c r="DG265" s="30" t="str">
        <f>IF(AA265="","","|n"&amp;#REF!&amp;"+"&amp;AA265)</f>
        <v/>
      </c>
      <c r="DH265" s="30" t="str">
        <f>IF(AB265="","","|n"&amp;#REF!&amp;"+"&amp;AB265)</f>
        <v/>
      </c>
      <c r="DI265" s="30" t="str">
        <f>IF(AC265="","","|n"&amp;#REF!&amp;"+"&amp;AC265&amp;"%")</f>
        <v/>
      </c>
      <c r="DJ265" s="30" t="str">
        <f>IF(AD265="","","|n"&amp;#REF!&amp;"+"&amp;AD265)</f>
        <v/>
      </c>
      <c r="DK265" s="30" t="str">
        <f>IF(AE265="","","|n"&amp;#REF!&amp;"+"&amp;AE265)</f>
        <v/>
      </c>
      <c r="DL265" s="30" t="str">
        <f>IF(AF265="","","|n"&amp;#REF!&amp;"+"&amp;AF265)</f>
        <v/>
      </c>
      <c r="DM265" s="30" t="str">
        <f>IF(AG265="","","|n"&amp;#REF!&amp;"+"&amp;AG265&amp;"%")</f>
        <v/>
      </c>
      <c r="DN265" s="30" t="str">
        <f>IF(AH265="","","|n"&amp;#REF!&amp;"+"&amp;AH265)</f>
        <v/>
      </c>
      <c r="DO265" s="30" t="str">
        <f>IF(AI265="","","|n"&amp;#REF!&amp;"+"&amp;AI265)</f>
        <v/>
      </c>
      <c r="DP265" s="30" t="str">
        <f>IF(AJ265="","","|n"&amp;#REF!&amp;"+"&amp;AJ265)</f>
        <v/>
      </c>
    </row>
    <row r="266" spans="92:120">
      <c r="CN266" s="7" t="str">
        <f t="shared" si="2856"/>
        <v>InitUnitState('',,,,,,,,,,)</v>
      </c>
      <c r="CO266" s="7" t="str">
        <f t="shared" si="2857"/>
        <v>InitUnitNormal('',,,,,,,,,,)</v>
      </c>
      <c r="CP266" s="7" t="str">
        <f t="shared" si="2858"/>
        <v>InitUnitMagic('',,,,,,,,,,)</v>
      </c>
      <c r="CQ266" s="7" t="str">
        <f t="shared" si="2859"/>
        <v>InitUnitAdd('',,,,,,,,,,)</v>
      </c>
      <c r="CR266" s="7" t="str">
        <f t="shared" si="2860"/>
        <v>InitEquipData('',,"",,,,,'','','','','','',"")</v>
      </c>
      <c r="CU266" s="29" t="str">
        <f t="shared" si="2855"/>
        <v>|n</v>
      </c>
      <c r="DB266" s="30" t="str">
        <f>IF(V266="","","|n"&amp;#REF!&amp;"+"&amp;V266)</f>
        <v/>
      </c>
      <c r="DC266" s="30" t="str">
        <f>IF(W266="","","|n"&amp;#REF!&amp;"+"&amp;W266)</f>
        <v/>
      </c>
      <c r="DD266" s="30" t="str">
        <f>IF(X266="","","|n"&amp;#REF!&amp;"+"&amp;X266)</f>
        <v/>
      </c>
      <c r="DE266" s="30" t="str">
        <f>IF(Y266="","","|n"&amp;#REF!&amp;"+"&amp;Y266)</f>
        <v/>
      </c>
      <c r="DF266" s="30" t="str">
        <f>IF(Z266="","","|n"&amp;#REF!&amp;"+"&amp;Z266)</f>
        <v/>
      </c>
      <c r="DG266" s="30" t="str">
        <f>IF(AA266="","","|n"&amp;#REF!&amp;"+"&amp;AA266)</f>
        <v/>
      </c>
      <c r="DH266" s="30" t="str">
        <f>IF(AB266="","","|n"&amp;#REF!&amp;"+"&amp;AB266)</f>
        <v/>
      </c>
      <c r="DI266" s="30" t="str">
        <f>IF(AC266="","","|n"&amp;#REF!&amp;"+"&amp;AC266&amp;"%")</f>
        <v/>
      </c>
      <c r="DJ266" s="30" t="str">
        <f>IF(AD266="","","|n"&amp;#REF!&amp;"+"&amp;AD266)</f>
        <v/>
      </c>
      <c r="DK266" s="30" t="str">
        <f>IF(AE266="","","|n"&amp;#REF!&amp;"+"&amp;AE266)</f>
        <v/>
      </c>
      <c r="DL266" s="30" t="str">
        <f>IF(AF266="","","|n"&amp;#REF!&amp;"+"&amp;AF266)</f>
        <v/>
      </c>
      <c r="DM266" s="30" t="str">
        <f>IF(AG266="","","|n"&amp;#REF!&amp;"+"&amp;AG266&amp;"%")</f>
        <v/>
      </c>
      <c r="DN266" s="30" t="str">
        <f>IF(AH266="","","|n"&amp;#REF!&amp;"+"&amp;AH266)</f>
        <v/>
      </c>
      <c r="DO266" s="30" t="str">
        <f>IF(AI266="","","|n"&amp;#REF!&amp;"+"&amp;AI266)</f>
        <v/>
      </c>
      <c r="DP266" s="30" t="str">
        <f>IF(AJ266="","","|n"&amp;#REF!&amp;"+"&amp;AJ266)</f>
        <v/>
      </c>
    </row>
    <row r="267" spans="92:120">
      <c r="CN267" s="7" t="str">
        <f t="shared" si="2856"/>
        <v>InitUnitState('',,,,,,,,,,)</v>
      </c>
      <c r="CO267" s="7" t="str">
        <f t="shared" si="2857"/>
        <v>InitUnitNormal('',,,,,,,,,,)</v>
      </c>
      <c r="CP267" s="7" t="str">
        <f t="shared" si="2858"/>
        <v>InitUnitMagic('',,,,,,,,,,)</v>
      </c>
      <c r="CQ267" s="7" t="str">
        <f t="shared" si="2859"/>
        <v>InitUnitAdd('',,,,,,,,,,)</v>
      </c>
      <c r="CR267" s="7" t="str">
        <f t="shared" si="2860"/>
        <v>InitEquipData('',,"",,,,,'','','','','','',"")</v>
      </c>
      <c r="CU267" s="29" t="str">
        <f t="shared" si="2855"/>
        <v>|n</v>
      </c>
      <c r="DB267" s="30" t="str">
        <f>IF(V267="","","|n"&amp;#REF!&amp;"+"&amp;V267)</f>
        <v/>
      </c>
      <c r="DC267" s="30" t="str">
        <f>IF(W267="","","|n"&amp;#REF!&amp;"+"&amp;W267)</f>
        <v/>
      </c>
      <c r="DD267" s="30" t="str">
        <f>IF(X267="","","|n"&amp;#REF!&amp;"+"&amp;X267)</f>
        <v/>
      </c>
      <c r="DE267" s="30" t="str">
        <f>IF(Y267="","","|n"&amp;#REF!&amp;"+"&amp;Y267)</f>
        <v/>
      </c>
      <c r="DF267" s="30" t="str">
        <f>IF(Z267="","","|n"&amp;#REF!&amp;"+"&amp;Z267)</f>
        <v/>
      </c>
      <c r="DG267" s="30" t="str">
        <f>IF(AA267="","","|n"&amp;#REF!&amp;"+"&amp;AA267)</f>
        <v/>
      </c>
      <c r="DH267" s="30" t="str">
        <f>IF(AB267="","","|n"&amp;#REF!&amp;"+"&amp;AB267)</f>
        <v/>
      </c>
      <c r="DI267" s="30" t="str">
        <f>IF(AC267="","","|n"&amp;#REF!&amp;"+"&amp;AC267&amp;"%")</f>
        <v/>
      </c>
      <c r="DJ267" s="30" t="str">
        <f>IF(AD267="","","|n"&amp;#REF!&amp;"+"&amp;AD267)</f>
        <v/>
      </c>
      <c r="DK267" s="30" t="str">
        <f>IF(AE267="","","|n"&amp;#REF!&amp;"+"&amp;AE267)</f>
        <v/>
      </c>
      <c r="DL267" s="30" t="str">
        <f>IF(AF267="","","|n"&amp;#REF!&amp;"+"&amp;AF267)</f>
        <v/>
      </c>
      <c r="DM267" s="30" t="str">
        <f>IF(AG267="","","|n"&amp;#REF!&amp;"+"&amp;AG267&amp;"%")</f>
        <v/>
      </c>
      <c r="DN267" s="30" t="str">
        <f>IF(AH267="","","|n"&amp;#REF!&amp;"+"&amp;AH267)</f>
        <v/>
      </c>
      <c r="DO267" s="30" t="str">
        <f>IF(AI267="","","|n"&amp;#REF!&amp;"+"&amp;AI267)</f>
        <v/>
      </c>
      <c r="DP267" s="30" t="str">
        <f>IF(AJ267="","","|n"&amp;#REF!&amp;"+"&amp;AJ267)</f>
        <v/>
      </c>
    </row>
    <row r="268" spans="92:120">
      <c r="CN268" s="7" t="str">
        <f t="shared" si="2856"/>
        <v>InitUnitState('',,,,,,,,,,)</v>
      </c>
      <c r="CO268" s="7" t="str">
        <f t="shared" si="2857"/>
        <v>InitUnitNormal('',,,,,,,,,,)</v>
      </c>
      <c r="CP268" s="7" t="str">
        <f t="shared" si="2858"/>
        <v>InitUnitMagic('',,,,,,,,,,)</v>
      </c>
      <c r="CQ268" s="7" t="str">
        <f t="shared" si="2859"/>
        <v>InitUnitAdd('',,,,,,,,,,)</v>
      </c>
      <c r="CR268" s="7" t="str">
        <f t="shared" si="2860"/>
        <v>InitEquipData('',,"",,,,,'','','','','','',"")</v>
      </c>
      <c r="CU268" s="29" t="str">
        <f t="shared" si="2855"/>
        <v>|n</v>
      </c>
      <c r="DB268" s="30" t="str">
        <f>IF(V268="","","|n"&amp;#REF!&amp;"+"&amp;V268)</f>
        <v/>
      </c>
      <c r="DC268" s="30" t="str">
        <f>IF(W268="","","|n"&amp;#REF!&amp;"+"&amp;W268)</f>
        <v/>
      </c>
      <c r="DD268" s="30" t="str">
        <f>IF(X268="","","|n"&amp;#REF!&amp;"+"&amp;X268)</f>
        <v/>
      </c>
      <c r="DE268" s="30" t="str">
        <f>IF(Y268="","","|n"&amp;#REF!&amp;"+"&amp;Y268)</f>
        <v/>
      </c>
      <c r="DF268" s="30" t="str">
        <f>IF(Z268="","","|n"&amp;#REF!&amp;"+"&amp;Z268)</f>
        <v/>
      </c>
      <c r="DG268" s="30" t="str">
        <f>IF(AA268="","","|n"&amp;#REF!&amp;"+"&amp;AA268)</f>
        <v/>
      </c>
      <c r="DH268" s="30" t="str">
        <f>IF(AB268="","","|n"&amp;#REF!&amp;"+"&amp;AB268)</f>
        <v/>
      </c>
      <c r="DI268" s="30" t="str">
        <f>IF(AC268="","","|n"&amp;#REF!&amp;"+"&amp;AC268&amp;"%")</f>
        <v/>
      </c>
      <c r="DJ268" s="30" t="str">
        <f>IF(AD268="","","|n"&amp;#REF!&amp;"+"&amp;AD268)</f>
        <v/>
      </c>
      <c r="DK268" s="30" t="str">
        <f>IF(AE268="","","|n"&amp;#REF!&amp;"+"&amp;AE268)</f>
        <v/>
      </c>
      <c r="DL268" s="30" t="str">
        <f>IF(AF268="","","|n"&amp;#REF!&amp;"+"&amp;AF268)</f>
        <v/>
      </c>
      <c r="DM268" s="30" t="str">
        <f>IF(AG268="","","|n"&amp;#REF!&amp;"+"&amp;AG268&amp;"%")</f>
        <v/>
      </c>
      <c r="DN268" s="30" t="str">
        <f>IF(AH268="","","|n"&amp;#REF!&amp;"+"&amp;AH268)</f>
        <v/>
      </c>
      <c r="DO268" s="30" t="str">
        <f>IF(AI268="","","|n"&amp;#REF!&amp;"+"&amp;AI268)</f>
        <v/>
      </c>
      <c r="DP268" s="30" t="str">
        <f>IF(AJ268="","","|n"&amp;#REF!&amp;"+"&amp;AJ268)</f>
        <v/>
      </c>
    </row>
    <row r="269" spans="92:120">
      <c r="CN269" s="7" t="str">
        <f t="shared" si="2856"/>
        <v>InitUnitState('',,,,,,,,,,)</v>
      </c>
      <c r="CO269" s="7" t="str">
        <f t="shared" si="2857"/>
        <v>InitUnitNormal('',,,,,,,,,,)</v>
      </c>
      <c r="CP269" s="7" t="str">
        <f t="shared" si="2858"/>
        <v>InitUnitMagic('',,,,,,,,,,)</v>
      </c>
      <c r="CQ269" s="7" t="str">
        <f t="shared" si="2859"/>
        <v>InitUnitAdd('',,,,,,,,,,)</v>
      </c>
      <c r="CR269" s="7" t="str">
        <f t="shared" si="2860"/>
        <v>InitEquipData('',,"",,,,,'','','','','','',"")</v>
      </c>
      <c r="CU269" s="29" t="str">
        <f t="shared" si="2855"/>
        <v>|n</v>
      </c>
      <c r="DB269" s="30" t="str">
        <f>IF(V269="","","|n"&amp;#REF!&amp;"+"&amp;V269)</f>
        <v/>
      </c>
      <c r="DC269" s="30" t="str">
        <f>IF(W269="","","|n"&amp;#REF!&amp;"+"&amp;W269)</f>
        <v/>
      </c>
      <c r="DD269" s="30" t="str">
        <f>IF(X269="","","|n"&amp;#REF!&amp;"+"&amp;X269)</f>
        <v/>
      </c>
      <c r="DE269" s="30" t="str">
        <f>IF(Y269="","","|n"&amp;#REF!&amp;"+"&amp;Y269)</f>
        <v/>
      </c>
      <c r="DF269" s="30" t="str">
        <f>IF(Z269="","","|n"&amp;#REF!&amp;"+"&amp;Z269)</f>
        <v/>
      </c>
      <c r="DG269" s="30" t="str">
        <f>IF(AA269="","","|n"&amp;#REF!&amp;"+"&amp;AA269)</f>
        <v/>
      </c>
      <c r="DH269" s="30" t="str">
        <f>IF(AB269="","","|n"&amp;#REF!&amp;"+"&amp;AB269)</f>
        <v/>
      </c>
      <c r="DI269" s="30" t="str">
        <f>IF(AC269="","","|n"&amp;#REF!&amp;"+"&amp;AC269&amp;"%")</f>
        <v/>
      </c>
      <c r="DJ269" s="30" t="str">
        <f>IF(AD269="","","|n"&amp;#REF!&amp;"+"&amp;AD269)</f>
        <v/>
      </c>
      <c r="DK269" s="30" t="str">
        <f>IF(AE269="","","|n"&amp;#REF!&amp;"+"&amp;AE269)</f>
        <v/>
      </c>
      <c r="DL269" s="30" t="str">
        <f>IF(AF269="","","|n"&amp;#REF!&amp;"+"&amp;AF269)</f>
        <v/>
      </c>
      <c r="DM269" s="30" t="str">
        <f>IF(AG269="","","|n"&amp;#REF!&amp;"+"&amp;AG269&amp;"%")</f>
        <v/>
      </c>
      <c r="DN269" s="30" t="str">
        <f>IF(AH269="","","|n"&amp;#REF!&amp;"+"&amp;AH269)</f>
        <v/>
      </c>
      <c r="DO269" s="30" t="str">
        <f>IF(AI269="","","|n"&amp;#REF!&amp;"+"&amp;AI269)</f>
        <v/>
      </c>
      <c r="DP269" s="30" t="str">
        <f>IF(AJ269="","","|n"&amp;#REF!&amp;"+"&amp;AJ269)</f>
        <v/>
      </c>
    </row>
    <row r="270" spans="92:120">
      <c r="CN270" s="7" t="str">
        <f t="shared" si="2856"/>
        <v>InitUnitState('',,,,,,,,,,)</v>
      </c>
      <c r="CO270" s="7" t="str">
        <f t="shared" si="2857"/>
        <v>InitUnitNormal('',,,,,,,,,,)</v>
      </c>
      <c r="CP270" s="7" t="str">
        <f t="shared" si="2858"/>
        <v>InitUnitMagic('',,,,,,,,,,)</v>
      </c>
      <c r="CQ270" s="7" t="str">
        <f t="shared" si="2859"/>
        <v>InitUnitAdd('',,,,,,,,,,)</v>
      </c>
      <c r="CR270" s="7" t="str">
        <f t="shared" si="2860"/>
        <v>InitEquipData('',,"",,,,,'','','','','','',"")</v>
      </c>
      <c r="CU270" s="29" t="str">
        <f t="shared" si="2855"/>
        <v>|n</v>
      </c>
      <c r="DB270" s="30" t="str">
        <f>IF(V270="","","|n"&amp;#REF!&amp;"+"&amp;V270)</f>
        <v/>
      </c>
      <c r="DC270" s="30" t="str">
        <f>IF(W270="","","|n"&amp;#REF!&amp;"+"&amp;W270)</f>
        <v/>
      </c>
      <c r="DD270" s="30" t="str">
        <f>IF(X270="","","|n"&amp;#REF!&amp;"+"&amp;X270)</f>
        <v/>
      </c>
      <c r="DE270" s="30" t="str">
        <f>IF(Y270="","","|n"&amp;#REF!&amp;"+"&amp;Y270)</f>
        <v/>
      </c>
      <c r="DF270" s="30" t="str">
        <f>IF(Z270="","","|n"&amp;#REF!&amp;"+"&amp;Z270)</f>
        <v/>
      </c>
      <c r="DG270" s="30" t="str">
        <f>IF(AA270="","","|n"&amp;#REF!&amp;"+"&amp;AA270)</f>
        <v/>
      </c>
      <c r="DH270" s="30" t="str">
        <f>IF(AB270="","","|n"&amp;#REF!&amp;"+"&amp;AB270)</f>
        <v/>
      </c>
      <c r="DI270" s="30" t="str">
        <f>IF(AC270="","","|n"&amp;#REF!&amp;"+"&amp;AC270&amp;"%")</f>
        <v/>
      </c>
      <c r="DJ270" s="30" t="str">
        <f>IF(AD270="","","|n"&amp;#REF!&amp;"+"&amp;AD270)</f>
        <v/>
      </c>
      <c r="DK270" s="30" t="str">
        <f>IF(AE270="","","|n"&amp;#REF!&amp;"+"&amp;AE270)</f>
        <v/>
      </c>
      <c r="DL270" s="30" t="str">
        <f>IF(AF270="","","|n"&amp;#REF!&amp;"+"&amp;AF270)</f>
        <v/>
      </c>
      <c r="DM270" s="30" t="str">
        <f>IF(AG270="","","|n"&amp;#REF!&amp;"+"&amp;AG270&amp;"%")</f>
        <v/>
      </c>
      <c r="DN270" s="30" t="str">
        <f>IF(AH270="","","|n"&amp;#REF!&amp;"+"&amp;AH270)</f>
        <v/>
      </c>
      <c r="DO270" s="30" t="str">
        <f>IF(AI270="","","|n"&amp;#REF!&amp;"+"&amp;AI270)</f>
        <v/>
      </c>
      <c r="DP270" s="30" t="str">
        <f>IF(AJ270="","","|n"&amp;#REF!&amp;"+"&amp;AJ270)</f>
        <v/>
      </c>
    </row>
    <row r="271" spans="92:120">
      <c r="CN271" s="7" t="str">
        <f t="shared" si="2856"/>
        <v>InitUnitState('',,,,,,,,,,)</v>
      </c>
      <c r="CO271" s="7" t="str">
        <f t="shared" si="2857"/>
        <v>InitUnitNormal('',,,,,,,,,,)</v>
      </c>
      <c r="CP271" s="7" t="str">
        <f t="shared" si="2858"/>
        <v>InitUnitMagic('',,,,,,,,,,)</v>
      </c>
      <c r="CQ271" s="7" t="str">
        <f t="shared" si="2859"/>
        <v>InitUnitAdd('',,,,,,,,,,)</v>
      </c>
      <c r="CR271" s="7" t="str">
        <f t="shared" si="2860"/>
        <v>InitEquipData('',,"",,,,,'','','','','','',"")</v>
      </c>
      <c r="CU271" s="29" t="str">
        <f t="shared" si="2855"/>
        <v>|n</v>
      </c>
      <c r="DB271" s="30" t="str">
        <f>IF(V271="","","|n"&amp;#REF!&amp;"+"&amp;V271)</f>
        <v/>
      </c>
      <c r="DC271" s="30" t="str">
        <f>IF(W271="","","|n"&amp;#REF!&amp;"+"&amp;W271)</f>
        <v/>
      </c>
      <c r="DD271" s="30" t="str">
        <f>IF(X271="","","|n"&amp;#REF!&amp;"+"&amp;X271)</f>
        <v/>
      </c>
      <c r="DE271" s="30" t="str">
        <f>IF(Y271="","","|n"&amp;#REF!&amp;"+"&amp;Y271)</f>
        <v/>
      </c>
      <c r="DF271" s="30" t="str">
        <f>IF(Z271="","","|n"&amp;#REF!&amp;"+"&amp;Z271)</f>
        <v/>
      </c>
      <c r="DG271" s="30" t="str">
        <f>IF(AA271="","","|n"&amp;#REF!&amp;"+"&amp;AA271)</f>
        <v/>
      </c>
      <c r="DH271" s="30" t="str">
        <f>IF(AB271="","","|n"&amp;#REF!&amp;"+"&amp;AB271)</f>
        <v/>
      </c>
      <c r="DI271" s="30" t="str">
        <f>IF(AC271="","","|n"&amp;#REF!&amp;"+"&amp;AC271&amp;"%")</f>
        <v/>
      </c>
      <c r="DJ271" s="30" t="str">
        <f>IF(AD271="","","|n"&amp;#REF!&amp;"+"&amp;AD271)</f>
        <v/>
      </c>
      <c r="DK271" s="30" t="str">
        <f>IF(AE271="","","|n"&amp;#REF!&amp;"+"&amp;AE271)</f>
        <v/>
      </c>
      <c r="DL271" s="30" t="str">
        <f>IF(AF271="","","|n"&amp;#REF!&amp;"+"&amp;AF271)</f>
        <v/>
      </c>
      <c r="DM271" s="30" t="str">
        <f>IF(AG271="","","|n"&amp;#REF!&amp;"+"&amp;AG271&amp;"%")</f>
        <v/>
      </c>
      <c r="DN271" s="30" t="str">
        <f>IF(AH271="","","|n"&amp;#REF!&amp;"+"&amp;AH271)</f>
        <v/>
      </c>
      <c r="DO271" s="30" t="str">
        <f>IF(AI271="","","|n"&amp;#REF!&amp;"+"&amp;AI271)</f>
        <v/>
      </c>
      <c r="DP271" s="30" t="str">
        <f>IF(AJ271="","","|n"&amp;#REF!&amp;"+"&amp;AJ271)</f>
        <v/>
      </c>
    </row>
    <row r="272" spans="92:120">
      <c r="CN272" s="7" t="str">
        <f t="shared" si="2856"/>
        <v>InitUnitState('',,,,,,,,,,)</v>
      </c>
      <c r="CO272" s="7" t="str">
        <f t="shared" si="2857"/>
        <v>InitUnitNormal('',,,,,,,,,,)</v>
      </c>
      <c r="CP272" s="7" t="str">
        <f t="shared" si="2858"/>
        <v>InitUnitMagic('',,,,,,,,,,)</v>
      </c>
      <c r="CQ272" s="7" t="str">
        <f t="shared" si="2859"/>
        <v>InitUnitAdd('',,,,,,,,,,)</v>
      </c>
      <c r="CR272" s="7" t="str">
        <f t="shared" si="2860"/>
        <v>InitEquipData('',,"",,,,,'','','','','','',"")</v>
      </c>
      <c r="CU272" s="29" t="str">
        <f t="shared" si="2855"/>
        <v>|n</v>
      </c>
      <c r="DB272" s="30" t="str">
        <f>IF(V272="","","|n"&amp;#REF!&amp;"+"&amp;V272)</f>
        <v/>
      </c>
      <c r="DC272" s="30" t="str">
        <f>IF(W272="","","|n"&amp;#REF!&amp;"+"&amp;W272)</f>
        <v/>
      </c>
      <c r="DD272" s="30" t="str">
        <f>IF(X272="","","|n"&amp;#REF!&amp;"+"&amp;X272)</f>
        <v/>
      </c>
      <c r="DE272" s="30" t="str">
        <f>IF(Y272="","","|n"&amp;#REF!&amp;"+"&amp;Y272)</f>
        <v/>
      </c>
      <c r="DF272" s="30" t="str">
        <f>IF(Z272="","","|n"&amp;#REF!&amp;"+"&amp;Z272)</f>
        <v/>
      </c>
      <c r="DG272" s="30" t="str">
        <f>IF(AA272="","","|n"&amp;#REF!&amp;"+"&amp;AA272)</f>
        <v/>
      </c>
      <c r="DH272" s="30" t="str">
        <f>IF(AB272="","","|n"&amp;#REF!&amp;"+"&amp;AB272)</f>
        <v/>
      </c>
      <c r="DI272" s="30" t="str">
        <f>IF(AC272="","","|n"&amp;#REF!&amp;"+"&amp;AC272&amp;"%")</f>
        <v/>
      </c>
      <c r="DJ272" s="30" t="str">
        <f>IF(AD272="","","|n"&amp;#REF!&amp;"+"&amp;AD272)</f>
        <v/>
      </c>
      <c r="DK272" s="30" t="str">
        <f>IF(AE272="","","|n"&amp;#REF!&amp;"+"&amp;AE272)</f>
        <v/>
      </c>
      <c r="DL272" s="30" t="str">
        <f>IF(AF272="","","|n"&amp;#REF!&amp;"+"&amp;AF272)</f>
        <v/>
      </c>
      <c r="DM272" s="30" t="str">
        <f>IF(AG272="","","|n"&amp;#REF!&amp;"+"&amp;AG272&amp;"%")</f>
        <v/>
      </c>
      <c r="DN272" s="30" t="str">
        <f>IF(AH272="","","|n"&amp;#REF!&amp;"+"&amp;AH272)</f>
        <v/>
      </c>
      <c r="DO272" s="30" t="str">
        <f>IF(AI272="","","|n"&amp;#REF!&amp;"+"&amp;AI272)</f>
        <v/>
      </c>
      <c r="DP272" s="30" t="str">
        <f>IF(AJ272="","","|n"&amp;#REF!&amp;"+"&amp;AJ272)</f>
        <v/>
      </c>
    </row>
    <row r="273" spans="92:120">
      <c r="CN273" s="7" t="str">
        <f t="shared" si="2856"/>
        <v>InitUnitState('',,,,,,,,,,)</v>
      </c>
      <c r="CO273" s="7" t="str">
        <f t="shared" si="2857"/>
        <v>InitUnitNormal('',,,,,,,,,,)</v>
      </c>
      <c r="CP273" s="7" t="str">
        <f t="shared" si="2858"/>
        <v>InitUnitMagic('',,,,,,,,,,)</v>
      </c>
      <c r="CQ273" s="7" t="str">
        <f t="shared" si="2859"/>
        <v>InitUnitAdd('',,,,,,,,,,)</v>
      </c>
      <c r="CR273" s="7" t="str">
        <f t="shared" si="2860"/>
        <v>InitEquipData('',,"",,,,,'','','','','','',"")</v>
      </c>
      <c r="CU273" s="29" t="str">
        <f t="shared" si="2855"/>
        <v>|n</v>
      </c>
      <c r="DB273" s="30" t="str">
        <f>IF(V273="","","|n"&amp;#REF!&amp;"+"&amp;V273)</f>
        <v/>
      </c>
      <c r="DC273" s="30" t="str">
        <f>IF(W273="","","|n"&amp;#REF!&amp;"+"&amp;W273)</f>
        <v/>
      </c>
      <c r="DD273" s="30" t="str">
        <f>IF(X273="","","|n"&amp;#REF!&amp;"+"&amp;X273)</f>
        <v/>
      </c>
      <c r="DE273" s="30" t="str">
        <f>IF(Y273="","","|n"&amp;#REF!&amp;"+"&amp;Y273)</f>
        <v/>
      </c>
      <c r="DF273" s="30" t="str">
        <f>IF(Z273="","","|n"&amp;#REF!&amp;"+"&amp;Z273)</f>
        <v/>
      </c>
      <c r="DG273" s="30" t="str">
        <f>IF(AA273="","","|n"&amp;#REF!&amp;"+"&amp;AA273)</f>
        <v/>
      </c>
      <c r="DH273" s="30" t="str">
        <f>IF(AB273="","","|n"&amp;#REF!&amp;"+"&amp;AB273)</f>
        <v/>
      </c>
      <c r="DI273" s="30" t="str">
        <f>IF(AC273="","","|n"&amp;#REF!&amp;"+"&amp;AC273&amp;"%")</f>
        <v/>
      </c>
      <c r="DJ273" s="30" t="str">
        <f>IF(AD273="","","|n"&amp;#REF!&amp;"+"&amp;AD273)</f>
        <v/>
      </c>
      <c r="DK273" s="30" t="str">
        <f>IF(AE273="","","|n"&amp;#REF!&amp;"+"&amp;AE273)</f>
        <v/>
      </c>
      <c r="DL273" s="30" t="str">
        <f>IF(AF273="","","|n"&amp;#REF!&amp;"+"&amp;AF273)</f>
        <v/>
      </c>
      <c r="DM273" s="30" t="str">
        <f>IF(AG273="","","|n"&amp;#REF!&amp;"+"&amp;AG273&amp;"%")</f>
        <v/>
      </c>
      <c r="DN273" s="30" t="str">
        <f>IF(AH273="","","|n"&amp;#REF!&amp;"+"&amp;AH273)</f>
        <v/>
      </c>
      <c r="DO273" s="30" t="str">
        <f>IF(AI273="","","|n"&amp;#REF!&amp;"+"&amp;AI273)</f>
        <v/>
      </c>
      <c r="DP273" s="30" t="str">
        <f>IF(AJ273="","","|n"&amp;#REF!&amp;"+"&amp;AJ273)</f>
        <v/>
      </c>
    </row>
    <row r="274" spans="92:120">
      <c r="CN274" s="7" t="str">
        <f t="shared" si="2856"/>
        <v>InitUnitState('',,,,,,,,,,)</v>
      </c>
      <c r="CO274" s="7" t="str">
        <f t="shared" si="2857"/>
        <v>InitUnitNormal('',,,,,,,,,,)</v>
      </c>
      <c r="CP274" s="7" t="str">
        <f t="shared" si="2858"/>
        <v>InitUnitMagic('',,,,,,,,,,)</v>
      </c>
      <c r="CQ274" s="7" t="str">
        <f t="shared" si="2859"/>
        <v>InitUnitAdd('',,,,,,,,,,)</v>
      </c>
      <c r="CR274" s="7" t="str">
        <f t="shared" si="2860"/>
        <v>InitEquipData('',,"",,,,,'','','','','','',"")</v>
      </c>
      <c r="CU274" s="29" t="str">
        <f t="shared" si="2855"/>
        <v>|n</v>
      </c>
      <c r="DB274" s="30" t="str">
        <f>IF(V274="","","|n"&amp;#REF!&amp;"+"&amp;V274)</f>
        <v/>
      </c>
      <c r="DC274" s="30" t="str">
        <f>IF(W274="","","|n"&amp;#REF!&amp;"+"&amp;W274)</f>
        <v/>
      </c>
      <c r="DD274" s="30" t="str">
        <f>IF(X274="","","|n"&amp;#REF!&amp;"+"&amp;X274)</f>
        <v/>
      </c>
      <c r="DE274" s="30" t="str">
        <f>IF(Y274="","","|n"&amp;#REF!&amp;"+"&amp;Y274)</f>
        <v/>
      </c>
      <c r="DF274" s="30" t="str">
        <f>IF(Z274="","","|n"&amp;#REF!&amp;"+"&amp;Z274)</f>
        <v/>
      </c>
      <c r="DG274" s="30" t="str">
        <f>IF(AA274="","","|n"&amp;#REF!&amp;"+"&amp;AA274)</f>
        <v/>
      </c>
      <c r="DH274" s="30" t="str">
        <f>IF(AB274="","","|n"&amp;#REF!&amp;"+"&amp;AB274)</f>
        <v/>
      </c>
      <c r="DI274" s="30" t="str">
        <f>IF(AC274="","","|n"&amp;#REF!&amp;"+"&amp;AC274&amp;"%")</f>
        <v/>
      </c>
      <c r="DJ274" s="30" t="str">
        <f>IF(AD274="","","|n"&amp;#REF!&amp;"+"&amp;AD274)</f>
        <v/>
      </c>
      <c r="DK274" s="30" t="str">
        <f>IF(AE274="","","|n"&amp;#REF!&amp;"+"&amp;AE274)</f>
        <v/>
      </c>
      <c r="DL274" s="30" t="str">
        <f>IF(AF274="","","|n"&amp;#REF!&amp;"+"&amp;AF274)</f>
        <v/>
      </c>
      <c r="DM274" s="30" t="str">
        <f>IF(AG274="","","|n"&amp;#REF!&amp;"+"&amp;AG274&amp;"%")</f>
        <v/>
      </c>
      <c r="DN274" s="30" t="str">
        <f>IF(AH274="","","|n"&amp;#REF!&amp;"+"&amp;AH274)</f>
        <v/>
      </c>
      <c r="DO274" s="30" t="str">
        <f>IF(AI274="","","|n"&amp;#REF!&amp;"+"&amp;AI274)</f>
        <v/>
      </c>
      <c r="DP274" s="30" t="str">
        <f>IF(AJ274="","","|n"&amp;#REF!&amp;"+"&amp;AJ274)</f>
        <v/>
      </c>
    </row>
    <row r="275" spans="92:120">
      <c r="CN275" s="7" t="str">
        <f t="shared" si="2856"/>
        <v>InitUnitState('',,,,,,,,,,)</v>
      </c>
      <c r="CO275" s="7" t="str">
        <f t="shared" si="2857"/>
        <v>InitUnitNormal('',,,,,,,,,,)</v>
      </c>
      <c r="CP275" s="7" t="str">
        <f t="shared" si="2858"/>
        <v>InitUnitMagic('',,,,,,,,,,)</v>
      </c>
      <c r="CQ275" s="7" t="str">
        <f t="shared" si="2859"/>
        <v>InitUnitAdd('',,,,,,,,,,)</v>
      </c>
      <c r="CR275" s="7" t="str">
        <f t="shared" si="2860"/>
        <v>InitEquipData('',,"",,,,,'','','','','','',"")</v>
      </c>
      <c r="CU275" s="29" t="str">
        <f t="shared" si="2855"/>
        <v>|n</v>
      </c>
      <c r="DB275" s="30" t="str">
        <f>IF(V275="","","|n"&amp;#REF!&amp;"+"&amp;V275)</f>
        <v/>
      </c>
      <c r="DC275" s="30" t="str">
        <f>IF(W275="","","|n"&amp;#REF!&amp;"+"&amp;W275)</f>
        <v/>
      </c>
      <c r="DD275" s="30" t="str">
        <f>IF(X275="","","|n"&amp;#REF!&amp;"+"&amp;X275)</f>
        <v/>
      </c>
      <c r="DE275" s="30" t="str">
        <f>IF(Y275="","","|n"&amp;#REF!&amp;"+"&amp;Y275)</f>
        <v/>
      </c>
      <c r="DF275" s="30" t="str">
        <f>IF(Z275="","","|n"&amp;#REF!&amp;"+"&amp;Z275)</f>
        <v/>
      </c>
      <c r="DG275" s="30" t="str">
        <f>IF(AA275="","","|n"&amp;#REF!&amp;"+"&amp;AA275)</f>
        <v/>
      </c>
      <c r="DH275" s="30" t="str">
        <f>IF(AB275="","","|n"&amp;#REF!&amp;"+"&amp;AB275)</f>
        <v/>
      </c>
      <c r="DI275" s="30" t="str">
        <f>IF(AC275="","","|n"&amp;#REF!&amp;"+"&amp;AC275&amp;"%")</f>
        <v/>
      </c>
      <c r="DJ275" s="30" t="str">
        <f>IF(AD275="","","|n"&amp;#REF!&amp;"+"&amp;AD275)</f>
        <v/>
      </c>
      <c r="DK275" s="30" t="str">
        <f>IF(AE275="","","|n"&amp;#REF!&amp;"+"&amp;AE275)</f>
        <v/>
      </c>
      <c r="DL275" s="30" t="str">
        <f>IF(AF275="","","|n"&amp;#REF!&amp;"+"&amp;AF275)</f>
        <v/>
      </c>
      <c r="DM275" s="30" t="str">
        <f>IF(AG275="","","|n"&amp;#REF!&amp;"+"&amp;AG275&amp;"%")</f>
        <v/>
      </c>
      <c r="DN275" s="30" t="str">
        <f>IF(AH275="","","|n"&amp;#REF!&amp;"+"&amp;AH275)</f>
        <v/>
      </c>
      <c r="DO275" s="30" t="str">
        <f>IF(AI275="","","|n"&amp;#REF!&amp;"+"&amp;AI275)</f>
        <v/>
      </c>
      <c r="DP275" s="30" t="str">
        <f>IF(AJ275="","","|n"&amp;#REF!&amp;"+"&amp;AJ275)</f>
        <v/>
      </c>
    </row>
  </sheetData>
  <mergeCells count="3">
    <mergeCell ref="F1:O1"/>
    <mergeCell ref="P1:S1"/>
    <mergeCell ref="T1:U1"/>
  </mergeCells>
  <phoneticPr fontId="1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291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292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装备!A89</f>
        <v>0</v>
      </c>
      <c r="B170" s="19" t="str">
        <f>"'"&amp;装备!B89&amp;"'"</f>
        <v>'CS02'</v>
      </c>
      <c r="C170" s="19">
        <f>装备!J89</f>
        <v>0</v>
      </c>
      <c r="D170" s="19">
        <f>装备!K89</f>
        <v>0</v>
      </c>
      <c r="E170" s="19">
        <f>装备!L89</f>
        <v>0</v>
      </c>
      <c r="F170" s="19">
        <f>装备!M89</f>
        <v>0</v>
      </c>
      <c r="G170" s="19">
        <f>装备!N89</f>
        <v>0</v>
      </c>
      <c r="H170" s="19">
        <f>装备!O89</f>
        <v>0</v>
      </c>
      <c r="I170" s="19">
        <f>IF(装备!J89=0,0,"'"&amp;装备!J89&amp;"'")</f>
        <v>0</v>
      </c>
      <c r="J170" s="19">
        <f>IF(装备!K89=0,0,"'"&amp;装备!K89&amp;"'")</f>
        <v>0</v>
      </c>
      <c r="K170" s="19">
        <f>IF(装备!L89=0,0,"'"&amp;装备!L89&amp;"'")</f>
        <v>0</v>
      </c>
      <c r="L170" s="19">
        <f>IF(装备!M89=0,0,"'"&amp;装备!M89&amp;"'")</f>
        <v>0</v>
      </c>
      <c r="M170" s="19">
        <f>IF(装备!N89=0,0,"'"&amp;装备!N89&amp;"'")</f>
        <v>0</v>
      </c>
      <c r="N170" s="19">
        <f>IF(装备!O89=0,0,"'"&amp;装备!O89&amp;"'")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装备!A90</f>
        <v>0</v>
      </c>
      <c r="B171" s="19" t="str">
        <f>"'"&amp;装备!B90&amp;"'"</f>
        <v>'CS03'</v>
      </c>
      <c r="C171" s="19">
        <f>装备!J90</f>
        <v>0</v>
      </c>
      <c r="D171" s="19">
        <f>装备!K90</f>
        <v>0</v>
      </c>
      <c r="E171" s="19">
        <f>装备!L90</f>
        <v>0</v>
      </c>
      <c r="F171" s="19">
        <f>装备!M90</f>
        <v>0</v>
      </c>
      <c r="G171" s="19">
        <f>装备!N90</f>
        <v>0</v>
      </c>
      <c r="H171" s="19">
        <f>装备!O90</f>
        <v>0</v>
      </c>
      <c r="I171" s="19">
        <f>IF(装备!J90=0,0,"'"&amp;装备!J90&amp;"'")</f>
        <v>0</v>
      </c>
      <c r="J171" s="19">
        <f>IF(装备!K90=0,0,"'"&amp;装备!K90&amp;"'")</f>
        <v>0</v>
      </c>
      <c r="K171" s="19">
        <f>IF(装备!L90=0,0,"'"&amp;装备!L90&amp;"'")</f>
        <v>0</v>
      </c>
      <c r="L171" s="19">
        <f>IF(装备!M90=0,0,"'"&amp;装备!M90&amp;"'")</f>
        <v>0</v>
      </c>
      <c r="M171" s="19">
        <f>IF(装备!N90=0,0,"'"&amp;装备!N90&amp;"'")</f>
        <v>0</v>
      </c>
      <c r="N171" s="19">
        <f>IF(装备!O90=0,0,"'"&amp;装备!O90&amp;"'")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装备!A91</f>
        <v>0</v>
      </c>
      <c r="B172" s="19" t="str">
        <f>"'"&amp;装备!B91&amp;"'"</f>
        <v>'CS04'</v>
      </c>
      <c r="C172" s="19">
        <f>装备!J91</f>
        <v>0</v>
      </c>
      <c r="D172" s="19">
        <f>装备!K91</f>
        <v>0</v>
      </c>
      <c r="E172" s="19">
        <f>装备!L91</f>
        <v>0</v>
      </c>
      <c r="F172" s="19">
        <f>装备!M91</f>
        <v>0</v>
      </c>
      <c r="G172" s="19">
        <f>装备!N91</f>
        <v>0</v>
      </c>
      <c r="H172" s="19">
        <f>装备!O91</f>
        <v>0</v>
      </c>
      <c r="I172" s="19">
        <f>IF(装备!J91=0,0,"'"&amp;装备!J91&amp;"'")</f>
        <v>0</v>
      </c>
      <c r="J172" s="19">
        <f>IF(装备!K91=0,0,"'"&amp;装备!K91&amp;"'")</f>
        <v>0</v>
      </c>
      <c r="K172" s="19">
        <f>IF(装备!L91=0,0,"'"&amp;装备!L91&amp;"'")</f>
        <v>0</v>
      </c>
      <c r="L172" s="19">
        <f>IF(装备!M91=0,0,"'"&amp;装备!M91&amp;"'")</f>
        <v>0</v>
      </c>
      <c r="M172" s="19">
        <f>IF(装备!N91=0,0,"'"&amp;装备!N91&amp;"'")</f>
        <v>0</v>
      </c>
      <c r="N172" s="19">
        <f>IF(装备!O91=0,0,"'"&amp;装备!O91&amp;"'")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装备!A122</f>
        <v>0</v>
      </c>
      <c r="B173" s="19" t="str">
        <f>"'"&amp;装备!B122&amp;"'"</f>
        <v>'IP01'</v>
      </c>
      <c r="C173" s="19">
        <f>装备!J122</f>
        <v>0</v>
      </c>
      <c r="D173" s="19">
        <f>装备!K122</f>
        <v>0</v>
      </c>
      <c r="E173" s="19">
        <f>装备!L122</f>
        <v>0</v>
      </c>
      <c r="F173" s="19">
        <f>装备!M122</f>
        <v>0</v>
      </c>
      <c r="G173" s="19">
        <f>装备!N122</f>
        <v>0</v>
      </c>
      <c r="H173" s="19">
        <f>装备!O122</f>
        <v>0</v>
      </c>
      <c r="I173" s="19">
        <f>IF(装备!J122=0,0,"'"&amp;装备!J122&amp;"'")</f>
        <v>0</v>
      </c>
      <c r="J173" s="19">
        <f>IF(装备!K122=0,0,"'"&amp;装备!K122&amp;"'")</f>
        <v>0</v>
      </c>
      <c r="K173" s="19">
        <f>IF(装备!L122=0,0,"'"&amp;装备!L122&amp;"'")</f>
        <v>0</v>
      </c>
      <c r="L173" s="19">
        <f>IF(装备!M122=0,0,"'"&amp;装备!M122&amp;"'")</f>
        <v>0</v>
      </c>
      <c r="M173" s="19">
        <f>IF(装备!N122=0,0,"'"&amp;装备!N122&amp;"'")</f>
        <v>0</v>
      </c>
      <c r="N173" s="19">
        <f>IF(装备!O122=0,0,"'"&amp;装备!O122&amp;"'")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装备!A123</f>
        <v>0</v>
      </c>
      <c r="B174" s="19" t="str">
        <f>"'"&amp;装备!B123&amp;"'"</f>
        <v>'IP02'</v>
      </c>
      <c r="C174" s="19">
        <f>装备!J123</f>
        <v>0</v>
      </c>
      <c r="D174" s="19">
        <f>装备!K123</f>
        <v>0</v>
      </c>
      <c r="E174" s="19">
        <f>装备!L123</f>
        <v>0</v>
      </c>
      <c r="F174" s="19">
        <f>装备!M123</f>
        <v>0</v>
      </c>
      <c r="G174" s="19">
        <f>装备!N123</f>
        <v>0</v>
      </c>
      <c r="H174" s="19">
        <f>装备!O123</f>
        <v>0</v>
      </c>
      <c r="I174" s="19">
        <f>IF(装备!J123=0,0,"'"&amp;装备!J123&amp;"'")</f>
        <v>0</v>
      </c>
      <c r="J174" s="19">
        <f>IF(装备!K123=0,0,"'"&amp;装备!K123&amp;"'")</f>
        <v>0</v>
      </c>
      <c r="K174" s="19">
        <f>IF(装备!L123=0,0,"'"&amp;装备!L123&amp;"'")</f>
        <v>0</v>
      </c>
      <c r="L174" s="19">
        <f>IF(装备!M123=0,0,"'"&amp;装备!M123&amp;"'")</f>
        <v>0</v>
      </c>
      <c r="M174" s="19">
        <f>IF(装备!N123=0,0,"'"&amp;装备!N123&amp;"'")</f>
        <v>0</v>
      </c>
      <c r="N174" s="19">
        <f>IF(装备!O123=0,0,"'"&amp;装备!O123&amp;"'")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装备!A124</f>
        <v>0</v>
      </c>
      <c r="B175" s="19" t="str">
        <f>"'"&amp;装备!B124&amp;"'"</f>
        <v>'IP03'</v>
      </c>
      <c r="C175" s="19">
        <f>装备!J124</f>
        <v>0</v>
      </c>
      <c r="D175" s="19">
        <f>装备!K124</f>
        <v>0</v>
      </c>
      <c r="E175" s="19">
        <f>装备!L124</f>
        <v>0</v>
      </c>
      <c r="F175" s="19">
        <f>装备!M124</f>
        <v>0</v>
      </c>
      <c r="G175" s="19">
        <f>装备!N124</f>
        <v>0</v>
      </c>
      <c r="H175" s="19">
        <f>装备!O124</f>
        <v>0</v>
      </c>
      <c r="I175" s="19">
        <f>IF(装备!J124=0,0,"'"&amp;装备!J124&amp;"'")</f>
        <v>0</v>
      </c>
      <c r="J175" s="19">
        <f>IF(装备!K124=0,0,"'"&amp;装备!K124&amp;"'")</f>
        <v>0</v>
      </c>
      <c r="K175" s="19">
        <f>IF(装备!L124=0,0,"'"&amp;装备!L124&amp;"'")</f>
        <v>0</v>
      </c>
      <c r="L175" s="19">
        <f>IF(装备!M124=0,0,"'"&amp;装备!M124&amp;"'")</f>
        <v>0</v>
      </c>
      <c r="M175" s="19">
        <f>IF(装备!N124=0,0,"'"&amp;装备!N124&amp;"'")</f>
        <v>0</v>
      </c>
      <c r="N175" s="19">
        <f>IF(装备!O124=0,0,"'"&amp;装备!O124&amp;"'")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装备!A125</f>
        <v>0</v>
      </c>
      <c r="B176" s="19" t="str">
        <f>"'"&amp;装备!B125&amp;"'"</f>
        <v>'IT01'</v>
      </c>
      <c r="C176" s="19">
        <f>装备!J125</f>
        <v>0</v>
      </c>
      <c r="D176" s="19">
        <f>装备!K125</f>
        <v>0</v>
      </c>
      <c r="E176" s="19">
        <f>装备!L125</f>
        <v>0</v>
      </c>
      <c r="F176" s="19">
        <f>装备!M125</f>
        <v>0</v>
      </c>
      <c r="G176" s="19">
        <f>装备!N125</f>
        <v>0</v>
      </c>
      <c r="H176" s="19">
        <f>装备!O125</f>
        <v>0</v>
      </c>
      <c r="I176" s="19">
        <f>IF(装备!J125=0,0,"'"&amp;装备!J125&amp;"'")</f>
        <v>0</v>
      </c>
      <c r="J176" s="19">
        <f>IF(装备!K125=0,0,"'"&amp;装备!K125&amp;"'")</f>
        <v>0</v>
      </c>
      <c r="K176" s="19">
        <f>IF(装备!L125=0,0,"'"&amp;装备!L125&amp;"'")</f>
        <v>0</v>
      </c>
      <c r="L176" s="19">
        <f>IF(装备!M125=0,0,"'"&amp;装备!M125&amp;"'")</f>
        <v>0</v>
      </c>
      <c r="M176" s="19">
        <f>IF(装备!N125=0,0,"'"&amp;装备!N125&amp;"'")</f>
        <v>0</v>
      </c>
      <c r="N176" s="19">
        <f>IF(装备!O125=0,0,"'"&amp;装备!O125&amp;"'")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装备!A126</f>
        <v>0</v>
      </c>
      <c r="B177" s="19" t="str">
        <f>"'"&amp;装备!B126&amp;"'"</f>
        <v>'IT02'</v>
      </c>
      <c r="C177" s="19">
        <f>装备!J126</f>
        <v>0</v>
      </c>
      <c r="D177" s="19">
        <f>装备!K126</f>
        <v>0</v>
      </c>
      <c r="E177" s="19">
        <f>装备!L126</f>
        <v>0</v>
      </c>
      <c r="F177" s="19">
        <f>装备!M126</f>
        <v>0</v>
      </c>
      <c r="G177" s="19">
        <f>装备!N126</f>
        <v>0</v>
      </c>
      <c r="H177" s="19">
        <f>装备!O126</f>
        <v>0</v>
      </c>
      <c r="I177" s="19">
        <f>IF(装备!J126=0,0,"'"&amp;装备!J126&amp;"'")</f>
        <v>0</v>
      </c>
      <c r="J177" s="19">
        <f>IF(装备!K126=0,0,"'"&amp;装备!K126&amp;"'")</f>
        <v>0</v>
      </c>
      <c r="K177" s="19">
        <f>IF(装备!L126=0,0,"'"&amp;装备!L126&amp;"'")</f>
        <v>0</v>
      </c>
      <c r="L177" s="19">
        <f>IF(装备!M126=0,0,"'"&amp;装备!M126&amp;"'")</f>
        <v>0</v>
      </c>
      <c r="M177" s="19">
        <f>IF(装备!N126=0,0,"'"&amp;装备!N126&amp;"'")</f>
        <v>0</v>
      </c>
      <c r="N177" s="19">
        <f>IF(装备!O126=0,0,"'"&amp;装备!O126&amp;"'")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装备!A127</f>
        <v>0</v>
      </c>
      <c r="B178" s="19" t="str">
        <f>"'"&amp;装备!B127&amp;"'"</f>
        <v>'IT03'</v>
      </c>
      <c r="C178" s="19">
        <f>装备!J127</f>
        <v>0</v>
      </c>
      <c r="D178" s="19">
        <f>装备!K127</f>
        <v>0</v>
      </c>
      <c r="E178" s="19">
        <f>装备!L127</f>
        <v>0</v>
      </c>
      <c r="F178" s="19">
        <f>装备!M127</f>
        <v>0</v>
      </c>
      <c r="G178" s="19">
        <f>装备!N127</f>
        <v>0</v>
      </c>
      <c r="H178" s="19">
        <f>装备!O127</f>
        <v>0</v>
      </c>
      <c r="I178" s="19">
        <f>IF(装备!J127=0,0,"'"&amp;装备!J127&amp;"'")</f>
        <v>0</v>
      </c>
      <c r="J178" s="19">
        <f>IF(装备!K127=0,0,"'"&amp;装备!K127&amp;"'")</f>
        <v>0</v>
      </c>
      <c r="K178" s="19">
        <f>IF(装备!L127=0,0,"'"&amp;装备!L127&amp;"'")</f>
        <v>0</v>
      </c>
      <c r="L178" s="19">
        <f>IF(装备!M127=0,0,"'"&amp;装备!M127&amp;"'")</f>
        <v>0</v>
      </c>
      <c r="M178" s="19">
        <f>IF(装备!N127=0,0,"'"&amp;装备!N127&amp;"'")</f>
        <v>0</v>
      </c>
      <c r="N178" s="19">
        <f>IF(装备!O127=0,0,"'"&amp;装备!O127&amp;"'")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装备!A128</f>
        <v>0</v>
      </c>
      <c r="B179" s="19" t="str">
        <f>"'"&amp;装备!B128&amp;"'"</f>
        <v>'IT04'</v>
      </c>
      <c r="C179" s="19">
        <f>装备!J128</f>
        <v>0</v>
      </c>
      <c r="D179" s="19">
        <f>装备!K128</f>
        <v>0</v>
      </c>
      <c r="E179" s="19">
        <f>装备!L128</f>
        <v>0</v>
      </c>
      <c r="F179" s="19">
        <f>装备!M128</f>
        <v>0</v>
      </c>
      <c r="G179" s="19">
        <f>装备!N128</f>
        <v>0</v>
      </c>
      <c r="H179" s="19">
        <f>装备!O128</f>
        <v>0</v>
      </c>
      <c r="I179" s="19">
        <f>IF(装备!J128=0,0,"'"&amp;装备!J128&amp;"'")</f>
        <v>0</v>
      </c>
      <c r="J179" s="19">
        <f>IF(装备!K128=0,0,"'"&amp;装备!K128&amp;"'")</f>
        <v>0</v>
      </c>
      <c r="K179" s="19">
        <f>IF(装备!L128=0,0,"'"&amp;装备!L128&amp;"'")</f>
        <v>0</v>
      </c>
      <c r="L179" s="19">
        <f>IF(装备!M128=0,0,"'"&amp;装备!M128&amp;"'")</f>
        <v>0</v>
      </c>
      <c r="M179" s="19">
        <f>IF(装备!N128=0,0,"'"&amp;装备!N128&amp;"'")</f>
        <v>0</v>
      </c>
      <c r="N179" s="19">
        <f>IF(装备!O128=0,0,"'"&amp;装备!O128&amp;"'")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装备!A129</f>
        <v>0</v>
      </c>
      <c r="B180" s="19" t="str">
        <f>"'"&amp;装备!B129&amp;"'"</f>
        <v>'IT05'</v>
      </c>
      <c r="C180" s="19">
        <f>装备!J129</f>
        <v>0</v>
      </c>
      <c r="D180" s="19">
        <f>装备!K129</f>
        <v>0</v>
      </c>
      <c r="E180" s="19">
        <f>装备!L129</f>
        <v>0</v>
      </c>
      <c r="F180" s="19">
        <f>装备!M129</f>
        <v>0</v>
      </c>
      <c r="G180" s="19">
        <f>装备!N129</f>
        <v>0</v>
      </c>
      <c r="H180" s="19">
        <f>装备!O129</f>
        <v>0</v>
      </c>
      <c r="I180" s="19">
        <f>IF(装备!J129=0,0,"'"&amp;装备!J129&amp;"'")</f>
        <v>0</v>
      </c>
      <c r="J180" s="19">
        <f>IF(装备!K129=0,0,"'"&amp;装备!K129&amp;"'")</f>
        <v>0</v>
      </c>
      <c r="K180" s="19">
        <f>IF(装备!L129=0,0,"'"&amp;装备!L129&amp;"'")</f>
        <v>0</v>
      </c>
      <c r="L180" s="19">
        <f>IF(装备!M129=0,0,"'"&amp;装备!M129&amp;"'")</f>
        <v>0</v>
      </c>
      <c r="M180" s="19">
        <f>IF(装备!N129=0,0,"'"&amp;装备!N129&amp;"'")</f>
        <v>0</v>
      </c>
      <c r="N180" s="19">
        <f>IF(装备!O129=0,0,"'"&amp;装备!O129&amp;"'")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装备!A130</f>
        <v>0</v>
      </c>
      <c r="B181" s="19" t="str">
        <f>"'"&amp;装备!B130&amp;"'"</f>
        <v>'IT06'</v>
      </c>
      <c r="C181" s="19">
        <f>装备!J130</f>
        <v>0</v>
      </c>
      <c r="D181" s="19">
        <f>装备!K130</f>
        <v>0</v>
      </c>
      <c r="E181" s="19">
        <f>装备!L130</f>
        <v>0</v>
      </c>
      <c r="F181" s="19">
        <f>装备!M130</f>
        <v>0</v>
      </c>
      <c r="G181" s="19">
        <f>装备!N130</f>
        <v>0</v>
      </c>
      <c r="H181" s="19">
        <f>装备!O130</f>
        <v>0</v>
      </c>
      <c r="I181" s="19">
        <f>IF(装备!J130=0,0,"'"&amp;装备!J130&amp;"'")</f>
        <v>0</v>
      </c>
      <c r="J181" s="19">
        <f>IF(装备!K130=0,0,"'"&amp;装备!K130&amp;"'")</f>
        <v>0</v>
      </c>
      <c r="K181" s="19">
        <f>IF(装备!L130=0,0,"'"&amp;装备!L130&amp;"'")</f>
        <v>0</v>
      </c>
      <c r="L181" s="19">
        <f>IF(装备!M130=0,0,"'"&amp;装备!M130&amp;"'")</f>
        <v>0</v>
      </c>
      <c r="M181" s="19">
        <f>IF(装备!N130=0,0,"'"&amp;装备!N130&amp;"'")</f>
        <v>0</v>
      </c>
      <c r="N181" s="19">
        <f>IF(装备!O130=0,0,"'"&amp;装备!O130&amp;"'")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装备!A131</f>
        <v>0</v>
      </c>
      <c r="B182" s="19" t="str">
        <f>"'"&amp;装备!B131&amp;"'"</f>
        <v>'IT07'</v>
      </c>
      <c r="C182" s="19">
        <f>装备!J131</f>
        <v>0</v>
      </c>
      <c r="D182" s="19">
        <f>装备!K131</f>
        <v>0</v>
      </c>
      <c r="E182" s="19">
        <f>装备!L131</f>
        <v>0</v>
      </c>
      <c r="F182" s="19">
        <f>装备!M131</f>
        <v>0</v>
      </c>
      <c r="G182" s="19">
        <f>装备!N131</f>
        <v>0</v>
      </c>
      <c r="H182" s="19">
        <f>装备!O131</f>
        <v>0</v>
      </c>
      <c r="I182" s="19">
        <f>IF(装备!J131=0,0,"'"&amp;装备!J131&amp;"'")</f>
        <v>0</v>
      </c>
      <c r="J182" s="19">
        <f>IF(装备!K131=0,0,"'"&amp;装备!K131&amp;"'")</f>
        <v>0</v>
      </c>
      <c r="K182" s="19">
        <f>IF(装备!L131=0,0,"'"&amp;装备!L131&amp;"'")</f>
        <v>0</v>
      </c>
      <c r="L182" s="19">
        <f>IF(装备!M131=0,0,"'"&amp;装备!M131&amp;"'")</f>
        <v>0</v>
      </c>
      <c r="M182" s="19">
        <f>IF(装备!N131=0,0,"'"&amp;装备!N131&amp;"'")</f>
        <v>0</v>
      </c>
      <c r="N182" s="19">
        <f>IF(装备!O131=0,0,"'"&amp;装备!O131&amp;"'")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装备!A132</f>
        <v>.</v>
      </c>
      <c r="B183" s="19" t="str">
        <f>"'"&amp;装备!B132&amp;"'"</f>
        <v>'IT08'</v>
      </c>
      <c r="C183" s="19">
        <f>装备!J132</f>
        <v>0</v>
      </c>
      <c r="D183" s="19">
        <f>装备!K132</f>
        <v>0</v>
      </c>
      <c r="E183" s="19">
        <f>装备!L132</f>
        <v>0</v>
      </c>
      <c r="F183" s="19">
        <f>装备!M132</f>
        <v>0</v>
      </c>
      <c r="G183" s="19">
        <f>装备!N132</f>
        <v>0</v>
      </c>
      <c r="H183" s="19">
        <f>装备!O132</f>
        <v>0</v>
      </c>
      <c r="I183" s="19">
        <f>IF(装备!J132=0,0,"'"&amp;装备!J132&amp;"'")</f>
        <v>0</v>
      </c>
      <c r="J183" s="19">
        <f>IF(装备!K132=0,0,"'"&amp;装备!K132&amp;"'")</f>
        <v>0</v>
      </c>
      <c r="K183" s="19">
        <f>IF(装备!L132=0,0,"'"&amp;装备!L132&amp;"'")</f>
        <v>0</v>
      </c>
      <c r="L183" s="19">
        <f>IF(装备!M132=0,0,"'"&amp;装备!M132&amp;"'")</f>
        <v>0</v>
      </c>
      <c r="M183" s="19">
        <f>IF(装备!N132=0,0,"'"&amp;装备!N132&amp;"'")</f>
        <v>0</v>
      </c>
      <c r="N183" s="19">
        <f>IF(装备!O132=0,0,"'"&amp;装备!O132&amp;"'")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装备!A133</f>
        <v>0</v>
      </c>
      <c r="B184" s="19" t="str">
        <f>"'"&amp;装备!B133&amp;"'"</f>
        <v>'IT09'</v>
      </c>
      <c r="C184" s="19">
        <f>装备!J133</f>
        <v>0</v>
      </c>
      <c r="D184" s="19">
        <f>装备!K133</f>
        <v>0</v>
      </c>
      <c r="E184" s="19">
        <f>装备!L133</f>
        <v>0</v>
      </c>
      <c r="F184" s="19">
        <f>装备!M133</f>
        <v>0</v>
      </c>
      <c r="G184" s="19">
        <f>装备!N133</f>
        <v>0</v>
      </c>
      <c r="H184" s="19">
        <f>装备!O133</f>
        <v>0</v>
      </c>
      <c r="I184" s="19">
        <f>IF(装备!J133=0,0,"'"&amp;装备!J133&amp;"'")</f>
        <v>0</v>
      </c>
      <c r="J184" s="19">
        <f>IF(装备!K133=0,0,"'"&amp;装备!K133&amp;"'")</f>
        <v>0</v>
      </c>
      <c r="K184" s="19">
        <f>IF(装备!L133=0,0,"'"&amp;装备!L133&amp;"'")</f>
        <v>0</v>
      </c>
      <c r="L184" s="19">
        <f>IF(装备!M133=0,0,"'"&amp;装备!M133&amp;"'")</f>
        <v>0</v>
      </c>
      <c r="M184" s="19">
        <f>IF(装备!N133=0,0,"'"&amp;装备!N133&amp;"'")</f>
        <v>0</v>
      </c>
      <c r="N184" s="19">
        <f>IF(装备!O133=0,0,"'"&amp;装备!O133&amp;"'")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装备!A134</f>
        <v>0</v>
      </c>
      <c r="B185" s="19" t="str">
        <f>"'"&amp;装备!B134&amp;"'"</f>
        <v>'IT10'</v>
      </c>
      <c r="C185" s="19">
        <f>装备!J134</f>
        <v>0</v>
      </c>
      <c r="D185" s="19">
        <f>装备!K134</f>
        <v>0</v>
      </c>
      <c r="E185" s="19">
        <f>装备!L134</f>
        <v>0</v>
      </c>
      <c r="F185" s="19">
        <f>装备!M134</f>
        <v>0</v>
      </c>
      <c r="G185" s="19">
        <f>装备!N134</f>
        <v>0</v>
      </c>
      <c r="H185" s="19">
        <f>装备!O134</f>
        <v>0</v>
      </c>
      <c r="I185" s="19">
        <f>IF(装备!J134=0,0,"'"&amp;装备!J134&amp;"'")</f>
        <v>0</v>
      </c>
      <c r="J185" s="19">
        <f>IF(装备!K134=0,0,"'"&amp;装备!K134&amp;"'")</f>
        <v>0</v>
      </c>
      <c r="K185" s="19">
        <f>IF(装备!L134=0,0,"'"&amp;装备!L134&amp;"'")</f>
        <v>0</v>
      </c>
      <c r="L185" s="19">
        <f>IF(装备!M134=0,0,"'"&amp;装备!M134&amp;"'")</f>
        <v>0</v>
      </c>
      <c r="M185" s="19">
        <f>IF(装备!N134=0,0,"'"&amp;装备!N134&amp;"'")</f>
        <v>0</v>
      </c>
      <c r="N185" s="19">
        <f>IF(装备!O134=0,0,"'"&amp;装备!O134&amp;"'")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装备!A140</f>
        <v>0</v>
      </c>
      <c r="B186" s="19" t="str">
        <f>"'"&amp;装备!B140&amp;"'"</f>
        <v>'IS02'</v>
      </c>
      <c r="C186" s="19">
        <f>装备!J140</f>
        <v>0</v>
      </c>
      <c r="D186" s="19">
        <f>装备!K140</f>
        <v>0</v>
      </c>
      <c r="E186" s="19">
        <f>装备!L140</f>
        <v>0</v>
      </c>
      <c r="F186" s="19">
        <f>装备!M140</f>
        <v>0</v>
      </c>
      <c r="G186" s="19">
        <f>装备!N140</f>
        <v>0</v>
      </c>
      <c r="H186" s="19">
        <f>装备!O140</f>
        <v>0</v>
      </c>
      <c r="I186" s="19">
        <f>IF(装备!J140=0,0,"'"&amp;装备!J140&amp;"'")</f>
        <v>0</v>
      </c>
      <c r="J186" s="19">
        <f>IF(装备!K140=0,0,"'"&amp;装备!K140&amp;"'")</f>
        <v>0</v>
      </c>
      <c r="K186" s="19">
        <f>IF(装备!L140=0,0,"'"&amp;装备!L140&amp;"'")</f>
        <v>0</v>
      </c>
      <c r="L186" s="19">
        <f>IF(装备!M140=0,0,"'"&amp;装备!M140&amp;"'")</f>
        <v>0</v>
      </c>
      <c r="M186" s="19">
        <f>IF(装备!N140=0,0,"'"&amp;装备!N140&amp;"'")</f>
        <v>0</v>
      </c>
      <c r="N186" s="19">
        <f>IF(装备!O140=0,0,"'"&amp;装备!O140&amp;"'")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装备!A141</f>
        <v>0</v>
      </c>
      <c r="B187" s="19" t="str">
        <f>"'"&amp;装备!B141&amp;"'"</f>
        <v>'IS03'</v>
      </c>
      <c r="C187" s="19">
        <f>装备!J141</f>
        <v>0</v>
      </c>
      <c r="D187" s="19">
        <f>装备!K141</f>
        <v>0</v>
      </c>
      <c r="E187" s="19">
        <f>装备!L141</f>
        <v>0</v>
      </c>
      <c r="F187" s="19">
        <f>装备!M141</f>
        <v>0</v>
      </c>
      <c r="G187" s="19">
        <f>装备!N141</f>
        <v>0</v>
      </c>
      <c r="H187" s="19">
        <f>装备!O141</f>
        <v>0</v>
      </c>
      <c r="I187" s="19">
        <f>IF(装备!J141=0,0,"'"&amp;装备!J141&amp;"'")</f>
        <v>0</v>
      </c>
      <c r="J187" s="19">
        <f>IF(装备!K141=0,0,"'"&amp;装备!K141&amp;"'")</f>
        <v>0</v>
      </c>
      <c r="K187" s="19">
        <f>IF(装备!L141=0,0,"'"&amp;装备!L141&amp;"'")</f>
        <v>0</v>
      </c>
      <c r="L187" s="19">
        <f>IF(装备!M141=0,0,"'"&amp;装备!M141&amp;"'")</f>
        <v>0</v>
      </c>
      <c r="M187" s="19">
        <f>IF(装备!N141=0,0,"'"&amp;装备!N141&amp;"'")</f>
        <v>0</v>
      </c>
      <c r="N187" s="19">
        <f>IF(装备!O141=0,0,"'"&amp;装备!O141&amp;"'")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装备!A142</f>
        <v>0</v>
      </c>
      <c r="B188" s="19" t="str">
        <f>"'"&amp;装备!B142&amp;"'"</f>
        <v>'IS04'</v>
      </c>
      <c r="C188" s="19">
        <f>装备!J142</f>
        <v>0</v>
      </c>
      <c r="D188" s="19">
        <f>装备!K142</f>
        <v>0</v>
      </c>
      <c r="E188" s="19">
        <f>装备!L142</f>
        <v>0</v>
      </c>
      <c r="F188" s="19">
        <f>装备!M142</f>
        <v>0</v>
      </c>
      <c r="G188" s="19">
        <f>装备!N142</f>
        <v>0</v>
      </c>
      <c r="H188" s="19">
        <f>装备!O142</f>
        <v>0</v>
      </c>
      <c r="I188" s="19">
        <f>IF(装备!J142=0,0,"'"&amp;装备!J142&amp;"'")</f>
        <v>0</v>
      </c>
      <c r="J188" s="19">
        <f>IF(装备!K142=0,0,"'"&amp;装备!K142&amp;"'")</f>
        <v>0</v>
      </c>
      <c r="K188" s="19">
        <f>IF(装备!L142=0,0,"'"&amp;装备!L142&amp;"'")</f>
        <v>0</v>
      </c>
      <c r="L188" s="19">
        <f>IF(装备!M142=0,0,"'"&amp;装备!M142&amp;"'")</f>
        <v>0</v>
      </c>
      <c r="M188" s="19">
        <f>IF(装备!N142=0,0,"'"&amp;装备!N142&amp;"'")</f>
        <v>0</v>
      </c>
      <c r="N188" s="19">
        <f>IF(装备!O142=0,0,"'"&amp;装备!O142&amp;"'")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装备!A143</f>
        <v>0</v>
      </c>
      <c r="B189" s="19" t="str">
        <f>"'"&amp;装备!B143&amp;"'"</f>
        <v>'IS05'</v>
      </c>
      <c r="C189" s="19">
        <f>装备!J143</f>
        <v>0</v>
      </c>
      <c r="D189" s="19">
        <f>装备!K143</f>
        <v>0</v>
      </c>
      <c r="E189" s="19">
        <f>装备!L143</f>
        <v>0</v>
      </c>
      <c r="F189" s="19">
        <f>装备!M143</f>
        <v>0</v>
      </c>
      <c r="G189" s="19">
        <f>装备!N143</f>
        <v>0</v>
      </c>
      <c r="H189" s="19">
        <f>装备!O143</f>
        <v>0</v>
      </c>
      <c r="I189" s="19">
        <f>IF(装备!J143=0,0,"'"&amp;装备!J143&amp;"'")</f>
        <v>0</v>
      </c>
      <c r="J189" s="19">
        <f>IF(装备!K143=0,0,"'"&amp;装备!K143&amp;"'")</f>
        <v>0</v>
      </c>
      <c r="K189" s="19">
        <f>IF(装备!L143=0,0,"'"&amp;装备!L143&amp;"'")</f>
        <v>0</v>
      </c>
      <c r="L189" s="19">
        <f>IF(装备!M143=0,0,"'"&amp;装备!M143&amp;"'")</f>
        <v>0</v>
      </c>
      <c r="M189" s="19">
        <f>IF(装备!N143=0,0,"'"&amp;装备!N143&amp;"'")</f>
        <v>0</v>
      </c>
      <c r="N189" s="19">
        <f>IF(装备!O143=0,0,"'"&amp;装备!O143&amp;"'")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装备!A145</f>
        <v>0</v>
      </c>
      <c r="B190" s="19" t="str">
        <f>"'"&amp;装备!B145&amp;"'"</f>
        <v>'IH00'</v>
      </c>
      <c r="C190" s="19">
        <f>装备!J145</f>
        <v>0</v>
      </c>
      <c r="D190" s="19">
        <f>装备!K145</f>
        <v>0</v>
      </c>
      <c r="E190" s="19">
        <f>装备!L145</f>
        <v>0</v>
      </c>
      <c r="F190" s="19">
        <f>装备!M145</f>
        <v>0</v>
      </c>
      <c r="G190" s="19">
        <f>装备!N145</f>
        <v>0</v>
      </c>
      <c r="H190" s="19">
        <f>装备!O145</f>
        <v>0</v>
      </c>
      <c r="I190" s="19">
        <f>IF(装备!J145=0,0,"'"&amp;装备!J145&amp;"'")</f>
        <v>0</v>
      </c>
      <c r="J190" s="19">
        <f>IF(装备!K145=0,0,"'"&amp;装备!K145&amp;"'")</f>
        <v>0</v>
      </c>
      <c r="K190" s="19">
        <f>IF(装备!L145=0,0,"'"&amp;装备!L145&amp;"'")</f>
        <v>0</v>
      </c>
      <c r="L190" s="19">
        <f>IF(装备!M145=0,0,"'"&amp;装备!M145&amp;"'")</f>
        <v>0</v>
      </c>
      <c r="M190" s="19">
        <f>IF(装备!N145=0,0,"'"&amp;装备!N145&amp;"'")</f>
        <v>0</v>
      </c>
      <c r="N190" s="19">
        <f>IF(装备!O145=0,0,"'"&amp;装备!O145&amp;"'")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装备!A146</f>
        <v>0</v>
      </c>
      <c r="B191" s="19" t="str">
        <f>"'"&amp;装备!B146&amp;"'"</f>
        <v>'IH01'</v>
      </c>
      <c r="C191" s="19">
        <f>装备!J146</f>
        <v>0</v>
      </c>
      <c r="D191" s="19">
        <f>装备!K146</f>
        <v>0</v>
      </c>
      <c r="E191" s="19">
        <f>装备!L146</f>
        <v>0</v>
      </c>
      <c r="F191" s="19">
        <f>装备!M146</f>
        <v>0</v>
      </c>
      <c r="G191" s="19">
        <f>装备!N146</f>
        <v>0</v>
      </c>
      <c r="H191" s="19">
        <f>装备!O146</f>
        <v>0</v>
      </c>
      <c r="I191" s="19">
        <f>IF(装备!J146=0,0,"'"&amp;装备!J146&amp;"'")</f>
        <v>0</v>
      </c>
      <c r="J191" s="19">
        <f>IF(装备!K146=0,0,"'"&amp;装备!K146&amp;"'")</f>
        <v>0</v>
      </c>
      <c r="K191" s="19">
        <f>IF(装备!L146=0,0,"'"&amp;装备!L146&amp;"'")</f>
        <v>0</v>
      </c>
      <c r="L191" s="19">
        <f>IF(装备!M146=0,0,"'"&amp;装备!M146&amp;"'")</f>
        <v>0</v>
      </c>
      <c r="M191" s="19">
        <f>IF(装备!N146=0,0,"'"&amp;装备!N146&amp;"'")</f>
        <v>0</v>
      </c>
      <c r="N191" s="19">
        <f>IF(装备!O146=0,0,"'"&amp;装备!O146&amp;"'")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装备!A147</f>
        <v>0</v>
      </c>
      <c r="B192" s="19" t="str">
        <f>"'"&amp;装备!B147&amp;"'"</f>
        <v>'IH02'</v>
      </c>
      <c r="C192" s="19">
        <f>装备!J147</f>
        <v>0</v>
      </c>
      <c r="D192" s="19">
        <f>装备!K147</f>
        <v>0</v>
      </c>
      <c r="E192" s="19">
        <f>装备!L147</f>
        <v>0</v>
      </c>
      <c r="F192" s="19">
        <f>装备!M147</f>
        <v>0</v>
      </c>
      <c r="G192" s="19">
        <f>装备!N147</f>
        <v>0</v>
      </c>
      <c r="H192" s="19">
        <f>装备!O147</f>
        <v>0</v>
      </c>
      <c r="I192" s="19">
        <f>IF(装备!J147=0,0,"'"&amp;装备!J147&amp;"'")</f>
        <v>0</v>
      </c>
      <c r="J192" s="19">
        <f>IF(装备!K147=0,0,"'"&amp;装备!K147&amp;"'")</f>
        <v>0</v>
      </c>
      <c r="K192" s="19">
        <f>IF(装备!L147=0,0,"'"&amp;装备!L147&amp;"'")</f>
        <v>0</v>
      </c>
      <c r="L192" s="19">
        <f>IF(装备!M147=0,0,"'"&amp;装备!M147&amp;"'")</f>
        <v>0</v>
      </c>
      <c r="M192" s="19">
        <f>IF(装备!N147=0,0,"'"&amp;装备!N147&amp;"'")</f>
        <v>0</v>
      </c>
      <c r="N192" s="19">
        <f>IF(装备!O147=0,0,"'"&amp;装备!O147&amp;"'")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装备!A148</f>
        <v>0</v>
      </c>
      <c r="B193" s="19" t="str">
        <f>"'"&amp;装备!B148&amp;"'"</f>
        <v>'IH03'</v>
      </c>
      <c r="C193" s="19">
        <f>装备!J148</f>
        <v>0</v>
      </c>
      <c r="D193" s="19">
        <f>装备!K148</f>
        <v>0</v>
      </c>
      <c r="E193" s="19">
        <f>装备!L148</f>
        <v>0</v>
      </c>
      <c r="F193" s="19">
        <f>装备!M148</f>
        <v>0</v>
      </c>
      <c r="G193" s="19">
        <f>装备!N148</f>
        <v>0</v>
      </c>
      <c r="H193" s="19">
        <f>装备!O148</f>
        <v>0</v>
      </c>
      <c r="I193" s="19">
        <f>IF(装备!J148=0,0,"'"&amp;装备!J148&amp;"'")</f>
        <v>0</v>
      </c>
      <c r="J193" s="19">
        <f>IF(装备!K148=0,0,"'"&amp;装备!K148&amp;"'")</f>
        <v>0</v>
      </c>
      <c r="K193" s="19">
        <f>IF(装备!L148=0,0,"'"&amp;装备!L148&amp;"'")</f>
        <v>0</v>
      </c>
      <c r="L193" s="19">
        <f>IF(装备!M148=0,0,"'"&amp;装备!M148&amp;"'")</f>
        <v>0</v>
      </c>
      <c r="M193" s="19">
        <f>IF(装备!N148=0,0,"'"&amp;装备!N148&amp;"'")</f>
        <v>0</v>
      </c>
      <c r="N193" s="19">
        <f>IF(装备!O148=0,0,"'"&amp;装备!O148&amp;"'")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装备!A149</f>
        <v>0</v>
      </c>
      <c r="B194" s="19" t="str">
        <f>"'"&amp;装备!B149&amp;"'"</f>
        <v>'IH04'</v>
      </c>
      <c r="C194" s="19">
        <f>装备!J149</f>
        <v>0</v>
      </c>
      <c r="D194" s="19">
        <f>装备!K149</f>
        <v>0</v>
      </c>
      <c r="E194" s="19">
        <f>装备!L149</f>
        <v>0</v>
      </c>
      <c r="F194" s="19">
        <f>装备!M149</f>
        <v>0</v>
      </c>
      <c r="G194" s="19">
        <f>装备!N149</f>
        <v>0</v>
      </c>
      <c r="H194" s="19">
        <f>装备!O149</f>
        <v>0</v>
      </c>
      <c r="I194" s="19">
        <f>IF(装备!J149=0,0,"'"&amp;装备!J149&amp;"'")</f>
        <v>0</v>
      </c>
      <c r="J194" s="19">
        <f>IF(装备!K149=0,0,"'"&amp;装备!K149&amp;"'")</f>
        <v>0</v>
      </c>
      <c r="K194" s="19">
        <f>IF(装备!L149=0,0,"'"&amp;装备!L149&amp;"'")</f>
        <v>0</v>
      </c>
      <c r="L194" s="19">
        <f>IF(装备!M149=0,0,"'"&amp;装备!M149&amp;"'")</f>
        <v>0</v>
      </c>
      <c r="M194" s="19">
        <f>IF(装备!N149=0,0,"'"&amp;装备!N149&amp;"'")</f>
        <v>0</v>
      </c>
      <c r="N194" s="19">
        <f>IF(装备!O149=0,0,"'"&amp;装备!O149&amp;"'")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装备!A150</f>
        <v>0</v>
      </c>
      <c r="B195" s="19" t="str">
        <f>"'"&amp;装备!B150&amp;"'"</f>
        <v>'IH05'</v>
      </c>
      <c r="C195" s="19">
        <f>装备!J150</f>
        <v>0</v>
      </c>
      <c r="D195" s="19">
        <f>装备!K150</f>
        <v>0</v>
      </c>
      <c r="E195" s="19">
        <f>装备!L150</f>
        <v>0</v>
      </c>
      <c r="F195" s="19">
        <f>装备!M150</f>
        <v>0</v>
      </c>
      <c r="G195" s="19">
        <f>装备!N150</f>
        <v>0</v>
      </c>
      <c r="H195" s="19">
        <f>装备!O150</f>
        <v>0</v>
      </c>
      <c r="I195" s="19">
        <f>IF(装备!J150=0,0,"'"&amp;装备!J150&amp;"'")</f>
        <v>0</v>
      </c>
      <c r="J195" s="19">
        <f>IF(装备!K150=0,0,"'"&amp;装备!K150&amp;"'")</f>
        <v>0</v>
      </c>
      <c r="K195" s="19">
        <f>IF(装备!L150=0,0,"'"&amp;装备!L150&amp;"'")</f>
        <v>0</v>
      </c>
      <c r="L195" s="19">
        <f>IF(装备!M150=0,0,"'"&amp;装备!M150&amp;"'")</f>
        <v>0</v>
      </c>
      <c r="M195" s="19">
        <f>IF(装备!N150=0,0,"'"&amp;装备!N150&amp;"'")</f>
        <v>0</v>
      </c>
      <c r="N195" s="19">
        <f>IF(装备!O150=0,0,"'"&amp;装备!O150&amp;"'")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装备!A151</f>
        <v>0</v>
      </c>
      <c r="B196" s="19" t="str">
        <f>"'"&amp;装备!B151&amp;"'"</f>
        <v>'IH06'</v>
      </c>
      <c r="C196" s="19">
        <f>装备!J151</f>
        <v>0</v>
      </c>
      <c r="D196" s="19">
        <f>装备!K151</f>
        <v>0</v>
      </c>
      <c r="E196" s="19">
        <f>装备!L151</f>
        <v>0</v>
      </c>
      <c r="F196" s="19">
        <f>装备!M151</f>
        <v>0</v>
      </c>
      <c r="G196" s="19">
        <f>装备!N151</f>
        <v>0</v>
      </c>
      <c r="H196" s="19">
        <f>装备!O151</f>
        <v>0</v>
      </c>
      <c r="I196" s="19">
        <f>IF(装备!J151=0,0,"'"&amp;装备!J151&amp;"'")</f>
        <v>0</v>
      </c>
      <c r="J196" s="19">
        <f>IF(装备!K151=0,0,"'"&amp;装备!K151&amp;"'")</f>
        <v>0</v>
      </c>
      <c r="K196" s="19">
        <f>IF(装备!L151=0,0,"'"&amp;装备!L151&amp;"'")</f>
        <v>0</v>
      </c>
      <c r="L196" s="19">
        <f>IF(装备!M151=0,0,"'"&amp;装备!M151&amp;"'")</f>
        <v>0</v>
      </c>
      <c r="M196" s="19">
        <f>IF(装备!N151=0,0,"'"&amp;装备!N151&amp;"'")</f>
        <v>0</v>
      </c>
      <c r="N196" s="19">
        <f>IF(装备!O151=0,0,"'"&amp;装备!O151&amp;"'")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装备!A152</f>
        <v>0</v>
      </c>
      <c r="B197" s="19" t="str">
        <f>"'"&amp;装备!B152&amp;"'"</f>
        <v>'IH07'</v>
      </c>
      <c r="C197" s="19">
        <f>装备!J152</f>
        <v>0</v>
      </c>
      <c r="D197" s="19">
        <f>装备!K152</f>
        <v>0</v>
      </c>
      <c r="E197" s="19">
        <f>装备!L152</f>
        <v>0</v>
      </c>
      <c r="F197" s="19">
        <f>装备!M152</f>
        <v>0</v>
      </c>
      <c r="G197" s="19">
        <f>装备!N152</f>
        <v>0</v>
      </c>
      <c r="H197" s="19">
        <f>装备!O152</f>
        <v>0</v>
      </c>
      <c r="I197" s="19">
        <f>IF(装备!J152=0,0,"'"&amp;装备!J152&amp;"'")</f>
        <v>0</v>
      </c>
      <c r="J197" s="19">
        <f>IF(装备!K152=0,0,"'"&amp;装备!K152&amp;"'")</f>
        <v>0</v>
      </c>
      <c r="K197" s="19">
        <f>IF(装备!L152=0,0,"'"&amp;装备!L152&amp;"'")</f>
        <v>0</v>
      </c>
      <c r="L197" s="19">
        <f>IF(装备!M152=0,0,"'"&amp;装备!M152&amp;"'")</f>
        <v>0</v>
      </c>
      <c r="M197" s="19">
        <f>IF(装备!N152=0,0,"'"&amp;装备!N152&amp;"'")</f>
        <v>0</v>
      </c>
      <c r="N197" s="19">
        <f>IF(装备!O152=0,0,"'"&amp;装备!O152&amp;"'")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装备!A153</f>
        <v>0</v>
      </c>
      <c r="B198" s="19" t="str">
        <f>"'"&amp;装备!B153&amp;"'"</f>
        <v>'IH08'</v>
      </c>
      <c r="C198" s="19">
        <f>装备!J153</f>
        <v>0</v>
      </c>
      <c r="D198" s="19">
        <f>装备!K153</f>
        <v>0</v>
      </c>
      <c r="E198" s="19">
        <f>装备!L153</f>
        <v>0</v>
      </c>
      <c r="F198" s="19">
        <f>装备!M153</f>
        <v>0</v>
      </c>
      <c r="G198" s="19">
        <f>装备!N153</f>
        <v>0</v>
      </c>
      <c r="H198" s="19">
        <f>装备!O153</f>
        <v>0</v>
      </c>
      <c r="I198" s="19">
        <f>IF(装备!J153=0,0,"'"&amp;装备!J153&amp;"'")</f>
        <v>0</v>
      </c>
      <c r="J198" s="19">
        <f>IF(装备!K153=0,0,"'"&amp;装备!K153&amp;"'")</f>
        <v>0</v>
      </c>
      <c r="K198" s="19">
        <f>IF(装备!L153=0,0,"'"&amp;装备!L153&amp;"'")</f>
        <v>0</v>
      </c>
      <c r="L198" s="19">
        <f>IF(装备!M153=0,0,"'"&amp;装备!M153&amp;"'")</f>
        <v>0</v>
      </c>
      <c r="M198" s="19">
        <f>IF(装备!N153=0,0,"'"&amp;装备!N153&amp;"'")</f>
        <v>0</v>
      </c>
      <c r="N198" s="19">
        <f>IF(装备!O153=0,0,"'"&amp;装备!O153&amp;"'")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装备!A159</f>
        <v>0</v>
      </c>
      <c r="B199" s="19" t="str">
        <f>"'"&amp;装备!B159&amp;"'"</f>
        <v>''</v>
      </c>
      <c r="C199" s="19">
        <f>装备!J159</f>
        <v>0</v>
      </c>
      <c r="D199" s="19">
        <f>装备!K159</f>
        <v>0</v>
      </c>
      <c r="E199" s="19">
        <f>装备!L159</f>
        <v>0</v>
      </c>
      <c r="F199" s="19">
        <f>装备!M159</f>
        <v>0</v>
      </c>
      <c r="G199" s="19">
        <f>装备!N159</f>
        <v>0</v>
      </c>
      <c r="H199" s="19">
        <f>装备!O159</f>
        <v>0</v>
      </c>
      <c r="I199" s="19">
        <f>IF(装备!J159=0,0,"'"&amp;装备!J159&amp;"'")</f>
        <v>0</v>
      </c>
      <c r="J199" s="19">
        <f>IF(装备!K159=0,0,"'"&amp;装备!K159&amp;"'")</f>
        <v>0</v>
      </c>
      <c r="K199" s="19">
        <f>IF(装备!L159=0,0,"'"&amp;装备!L159&amp;"'")</f>
        <v>0</v>
      </c>
      <c r="L199" s="19">
        <f>IF(装备!M159=0,0,"'"&amp;装备!M159&amp;"'")</f>
        <v>0</v>
      </c>
      <c r="M199" s="19">
        <f>IF(装备!N159=0,0,"'"&amp;装备!N159&amp;"'")</f>
        <v>0</v>
      </c>
      <c r="N199" s="19">
        <f>IF(装备!O159=0,0,"'"&amp;装备!O159&amp;"'")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装备!A160</f>
        <v>0</v>
      </c>
      <c r="B200" s="19" t="str">
        <f>"'"&amp;装备!B160&amp;"'"</f>
        <v>''</v>
      </c>
      <c r="C200" s="19">
        <f>装备!J160</f>
        <v>0</v>
      </c>
      <c r="D200" s="19">
        <f>装备!K160</f>
        <v>0</v>
      </c>
      <c r="E200" s="19">
        <f>装备!L160</f>
        <v>0</v>
      </c>
      <c r="F200" s="19">
        <f>装备!M160</f>
        <v>0</v>
      </c>
      <c r="G200" s="19">
        <f>装备!N160</f>
        <v>0</v>
      </c>
      <c r="H200" s="19">
        <f>装备!O160</f>
        <v>0</v>
      </c>
      <c r="I200" s="19">
        <f>IF(装备!J160=0,0,"'"&amp;装备!J160&amp;"'")</f>
        <v>0</v>
      </c>
      <c r="J200" s="19">
        <f>IF(装备!K160=0,0,"'"&amp;装备!K160&amp;"'")</f>
        <v>0</v>
      </c>
      <c r="K200" s="19">
        <f>IF(装备!L160=0,0,"'"&amp;装备!L160&amp;"'")</f>
        <v>0</v>
      </c>
      <c r="L200" s="19">
        <f>IF(装备!M160=0,0,"'"&amp;装备!M160&amp;"'")</f>
        <v>0</v>
      </c>
      <c r="M200" s="19">
        <f>IF(装备!N160=0,0,"'"&amp;装备!N160&amp;"'")</f>
        <v>0</v>
      </c>
      <c r="N200" s="19">
        <f>IF(装备!O160=0,0,"'"&amp;装备!O160&amp;"'")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装备!A161</f>
        <v>0</v>
      </c>
      <c r="B201" s="19" t="str">
        <f>"'"&amp;装备!B161&amp;"'"</f>
        <v>''</v>
      </c>
      <c r="C201" s="19">
        <f>装备!J161</f>
        <v>0</v>
      </c>
      <c r="D201" s="19">
        <f>装备!K161</f>
        <v>0</v>
      </c>
      <c r="E201" s="19">
        <f>装备!L161</f>
        <v>0</v>
      </c>
      <c r="F201" s="19">
        <f>装备!M161</f>
        <v>0</v>
      </c>
      <c r="G201" s="19">
        <f>装备!N161</f>
        <v>0</v>
      </c>
      <c r="H201" s="19">
        <f>装备!O161</f>
        <v>0</v>
      </c>
      <c r="I201" s="19">
        <f>IF(装备!J161=0,0,"'"&amp;装备!J161&amp;"'")</f>
        <v>0</v>
      </c>
      <c r="J201" s="19">
        <f>IF(装备!K161=0,0,"'"&amp;装备!K161&amp;"'")</f>
        <v>0</v>
      </c>
      <c r="K201" s="19">
        <f>IF(装备!L161=0,0,"'"&amp;装备!L161&amp;"'")</f>
        <v>0</v>
      </c>
      <c r="L201" s="19">
        <f>IF(装备!M161=0,0,"'"&amp;装备!M161&amp;"'")</f>
        <v>0</v>
      </c>
      <c r="M201" s="19">
        <f>IF(装备!N161=0,0,"'"&amp;装备!N161&amp;"'")</f>
        <v>0</v>
      </c>
      <c r="N201" s="19">
        <f>IF(装备!O161=0,0,"'"&amp;装备!O161&amp;"'")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装备!A162</f>
        <v>0</v>
      </c>
      <c r="B202" s="19" t="str">
        <f>"'"&amp;装备!B162&amp;"'"</f>
        <v>''</v>
      </c>
      <c r="C202" s="19">
        <f>装备!J162</f>
        <v>0</v>
      </c>
      <c r="D202" s="19">
        <f>装备!K162</f>
        <v>0</v>
      </c>
      <c r="E202" s="19">
        <f>装备!L162</f>
        <v>0</v>
      </c>
      <c r="F202" s="19">
        <f>装备!M162</f>
        <v>0</v>
      </c>
      <c r="G202" s="19">
        <f>装备!N162</f>
        <v>0</v>
      </c>
      <c r="H202" s="19">
        <f>装备!O162</f>
        <v>0</v>
      </c>
      <c r="I202" s="19">
        <f>IF(装备!J162=0,0,"'"&amp;装备!J162&amp;"'")</f>
        <v>0</v>
      </c>
      <c r="J202" s="19">
        <f>IF(装备!K162=0,0,"'"&amp;装备!K162&amp;"'")</f>
        <v>0</v>
      </c>
      <c r="K202" s="19">
        <f>IF(装备!L162=0,0,"'"&amp;装备!L162&amp;"'")</f>
        <v>0</v>
      </c>
      <c r="L202" s="19">
        <f>IF(装备!M162=0,0,"'"&amp;装备!M162&amp;"'")</f>
        <v>0</v>
      </c>
      <c r="M202" s="19">
        <f>IF(装备!N162=0,0,"'"&amp;装备!N162&amp;"'")</f>
        <v>0</v>
      </c>
      <c r="N202" s="19">
        <f>IF(装备!O162=0,0,"'"&amp;装备!O162&amp;"'")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装备!A163</f>
        <v>0</v>
      </c>
      <c r="B203" s="19" t="str">
        <f>"'"&amp;装备!B163&amp;"'"</f>
        <v>''</v>
      </c>
      <c r="C203" s="19">
        <f>装备!J163</f>
        <v>0</v>
      </c>
      <c r="D203" s="19">
        <f>装备!K163</f>
        <v>0</v>
      </c>
      <c r="E203" s="19">
        <f>装备!L163</f>
        <v>0</v>
      </c>
      <c r="F203" s="19">
        <f>装备!M163</f>
        <v>0</v>
      </c>
      <c r="G203" s="19">
        <f>装备!N163</f>
        <v>0</v>
      </c>
      <c r="H203" s="19">
        <f>装备!O163</f>
        <v>0</v>
      </c>
      <c r="I203" s="19">
        <f>IF(装备!J163=0,0,"'"&amp;装备!J163&amp;"'")</f>
        <v>0</v>
      </c>
      <c r="J203" s="19">
        <f>IF(装备!K163=0,0,"'"&amp;装备!K163&amp;"'")</f>
        <v>0</v>
      </c>
      <c r="K203" s="19">
        <f>IF(装备!L163=0,0,"'"&amp;装备!L163&amp;"'")</f>
        <v>0</v>
      </c>
      <c r="L203" s="19">
        <f>IF(装备!M163=0,0,"'"&amp;装备!M163&amp;"'")</f>
        <v>0</v>
      </c>
      <c r="M203" s="19">
        <f>IF(装备!N163=0,0,"'"&amp;装备!N163&amp;"'")</f>
        <v>0</v>
      </c>
      <c r="N203" s="19">
        <f>IF(装备!O163=0,0,"'"&amp;装备!O163&amp;"'")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装备!A164</f>
        <v>0</v>
      </c>
      <c r="B204" s="19" t="str">
        <f>"'"&amp;装备!B164&amp;"'"</f>
        <v>''</v>
      </c>
      <c r="C204" s="19">
        <f>装备!J164</f>
        <v>0</v>
      </c>
      <c r="D204" s="19">
        <f>装备!K164</f>
        <v>0</v>
      </c>
      <c r="E204" s="19">
        <f>装备!L164</f>
        <v>0</v>
      </c>
      <c r="F204" s="19">
        <f>装备!M164</f>
        <v>0</v>
      </c>
      <c r="G204" s="19">
        <f>装备!N164</f>
        <v>0</v>
      </c>
      <c r="H204" s="19">
        <f>装备!O164</f>
        <v>0</v>
      </c>
      <c r="I204" s="19">
        <f>IF(装备!J164=0,0,"'"&amp;装备!J164&amp;"'")</f>
        <v>0</v>
      </c>
      <c r="J204" s="19">
        <f>IF(装备!K164=0,0,"'"&amp;装备!K164&amp;"'")</f>
        <v>0</v>
      </c>
      <c r="K204" s="19">
        <f>IF(装备!L164=0,0,"'"&amp;装备!L164&amp;"'")</f>
        <v>0</v>
      </c>
      <c r="L204" s="19">
        <f>IF(装备!M164=0,0,"'"&amp;装备!M164&amp;"'")</f>
        <v>0</v>
      </c>
      <c r="M204" s="19">
        <f>IF(装备!N164=0,0,"'"&amp;装备!N164&amp;"'")</f>
        <v>0</v>
      </c>
      <c r="N204" s="19">
        <f>IF(装备!O164=0,0,"'"&amp;装备!O164&amp;"'")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装备!A165</f>
        <v>0</v>
      </c>
      <c r="B205" s="19" t="str">
        <f>"'"&amp;装备!B165&amp;"'"</f>
        <v>''</v>
      </c>
      <c r="C205" s="19">
        <f>装备!J165</f>
        <v>0</v>
      </c>
      <c r="D205" s="19">
        <f>装备!K165</f>
        <v>0</v>
      </c>
      <c r="E205" s="19">
        <f>装备!L165</f>
        <v>0</v>
      </c>
      <c r="F205" s="19">
        <f>装备!M165</f>
        <v>0</v>
      </c>
      <c r="G205" s="19">
        <f>装备!N165</f>
        <v>0</v>
      </c>
      <c r="H205" s="19">
        <f>装备!O165</f>
        <v>0</v>
      </c>
      <c r="I205" s="19">
        <f>IF(装备!J165=0,0,"'"&amp;装备!J165&amp;"'")</f>
        <v>0</v>
      </c>
      <c r="J205" s="19">
        <f>IF(装备!K165=0,0,"'"&amp;装备!K165&amp;"'")</f>
        <v>0</v>
      </c>
      <c r="K205" s="19">
        <f>IF(装备!L165=0,0,"'"&amp;装备!L165&amp;"'")</f>
        <v>0</v>
      </c>
      <c r="L205" s="19">
        <f>IF(装备!M165=0,0,"'"&amp;装备!M165&amp;"'")</f>
        <v>0</v>
      </c>
      <c r="M205" s="19">
        <f>IF(装备!N165=0,0,"'"&amp;装备!N165&amp;"'")</f>
        <v>0</v>
      </c>
      <c r="N205" s="19">
        <f>IF(装备!O165=0,0,"'"&amp;装备!O165&amp;"'")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装备!A166</f>
        <v>0</v>
      </c>
      <c r="B206" s="19" t="str">
        <f>"'"&amp;装备!B166&amp;"'"</f>
        <v>''</v>
      </c>
      <c r="C206" s="19">
        <f>装备!J166</f>
        <v>0</v>
      </c>
      <c r="D206" s="19">
        <f>装备!K166</f>
        <v>0</v>
      </c>
      <c r="E206" s="19">
        <f>装备!L166</f>
        <v>0</v>
      </c>
      <c r="F206" s="19">
        <f>装备!M166</f>
        <v>0</v>
      </c>
      <c r="G206" s="19">
        <f>装备!N166</f>
        <v>0</v>
      </c>
      <c r="H206" s="19">
        <f>装备!O166</f>
        <v>0</v>
      </c>
      <c r="I206" s="19">
        <f>IF(装备!J166=0,0,"'"&amp;装备!J166&amp;"'")</f>
        <v>0</v>
      </c>
      <c r="J206" s="19">
        <f>IF(装备!K166=0,0,"'"&amp;装备!K166&amp;"'")</f>
        <v>0</v>
      </c>
      <c r="K206" s="19">
        <f>IF(装备!L166=0,0,"'"&amp;装备!L166&amp;"'")</f>
        <v>0</v>
      </c>
      <c r="L206" s="19">
        <f>IF(装备!M166=0,0,"'"&amp;装备!M166&amp;"'")</f>
        <v>0</v>
      </c>
      <c r="M206" s="19">
        <f>IF(装备!N166=0,0,"'"&amp;装备!N166&amp;"'")</f>
        <v>0</v>
      </c>
      <c r="N206" s="19">
        <f>IF(装备!O166=0,0,"'"&amp;装备!O166&amp;"'")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装备!A167</f>
        <v>0</v>
      </c>
      <c r="B207" s="19" t="str">
        <f>"'"&amp;装备!B167&amp;"'"</f>
        <v>''</v>
      </c>
      <c r="C207" s="19">
        <f>装备!J167</f>
        <v>0</v>
      </c>
      <c r="D207" s="19">
        <f>装备!K167</f>
        <v>0</v>
      </c>
      <c r="E207" s="19">
        <f>装备!L167</f>
        <v>0</v>
      </c>
      <c r="F207" s="19">
        <f>装备!M167</f>
        <v>0</v>
      </c>
      <c r="G207" s="19">
        <f>装备!N167</f>
        <v>0</v>
      </c>
      <c r="H207" s="19">
        <f>装备!O167</f>
        <v>0</v>
      </c>
      <c r="I207" s="19">
        <f>IF(装备!J167=0,0,"'"&amp;装备!J167&amp;"'")</f>
        <v>0</v>
      </c>
      <c r="J207" s="19">
        <f>IF(装备!K167=0,0,"'"&amp;装备!K167&amp;"'")</f>
        <v>0</v>
      </c>
      <c r="K207" s="19">
        <f>IF(装备!L167=0,0,"'"&amp;装备!L167&amp;"'")</f>
        <v>0</v>
      </c>
      <c r="L207" s="19">
        <f>IF(装备!M167=0,0,"'"&amp;装备!M167&amp;"'")</f>
        <v>0</v>
      </c>
      <c r="M207" s="19">
        <f>IF(装备!N167=0,0,"'"&amp;装备!N167&amp;"'")</f>
        <v>0</v>
      </c>
      <c r="N207" s="19">
        <f>IF(装备!O167=0,0,"'"&amp;装备!O167&amp;"'")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装备!A168</f>
        <v>0</v>
      </c>
      <c r="B208" s="19" t="str">
        <f>"'"&amp;装备!B168&amp;"'"</f>
        <v>''</v>
      </c>
      <c r="C208" s="19">
        <f>装备!J168</f>
        <v>0</v>
      </c>
      <c r="D208" s="19">
        <f>装备!K168</f>
        <v>0</v>
      </c>
      <c r="E208" s="19">
        <f>装备!L168</f>
        <v>0</v>
      </c>
      <c r="F208" s="19">
        <f>装备!M168</f>
        <v>0</v>
      </c>
      <c r="G208" s="19">
        <f>装备!N168</f>
        <v>0</v>
      </c>
      <c r="H208" s="19">
        <f>装备!O168</f>
        <v>0</v>
      </c>
      <c r="I208" s="19">
        <f>IF(装备!J168=0,0,"'"&amp;装备!J168&amp;"'")</f>
        <v>0</v>
      </c>
      <c r="J208" s="19">
        <f>IF(装备!K168=0,0,"'"&amp;装备!K168&amp;"'")</f>
        <v>0</v>
      </c>
      <c r="K208" s="19">
        <f>IF(装备!L168=0,0,"'"&amp;装备!L168&amp;"'")</f>
        <v>0</v>
      </c>
      <c r="L208" s="19">
        <f>IF(装备!M168=0,0,"'"&amp;装备!M168&amp;"'")</f>
        <v>0</v>
      </c>
      <c r="M208" s="19">
        <f>IF(装备!N168=0,0,"'"&amp;装备!N168&amp;"'")</f>
        <v>0</v>
      </c>
      <c r="N208" s="19">
        <f>IF(装备!O168=0,0,"'"&amp;装备!O168&amp;"'")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装备!A169</f>
        <v>0</v>
      </c>
      <c r="B209" s="19" t="str">
        <f>"'"&amp;装备!B169&amp;"'"</f>
        <v>''</v>
      </c>
      <c r="C209" s="19">
        <f>装备!J169</f>
        <v>0</v>
      </c>
      <c r="D209" s="19">
        <f>装备!K169</f>
        <v>0</v>
      </c>
      <c r="E209" s="19">
        <f>装备!L169</f>
        <v>0</v>
      </c>
      <c r="F209" s="19">
        <f>装备!M169</f>
        <v>0</v>
      </c>
      <c r="G209" s="19">
        <f>装备!N169</f>
        <v>0</v>
      </c>
      <c r="H209" s="19">
        <f>装备!O169</f>
        <v>0</v>
      </c>
      <c r="I209" s="19">
        <f>IF(装备!J169=0,0,"'"&amp;装备!J169&amp;"'")</f>
        <v>0</v>
      </c>
      <c r="J209" s="19">
        <f>IF(装备!K169=0,0,"'"&amp;装备!K169&amp;"'")</f>
        <v>0</v>
      </c>
      <c r="K209" s="19">
        <f>IF(装备!L169=0,0,"'"&amp;装备!L169&amp;"'")</f>
        <v>0</v>
      </c>
      <c r="L209" s="19">
        <f>IF(装备!M169=0,0,"'"&amp;装备!M169&amp;"'")</f>
        <v>0</v>
      </c>
      <c r="M209" s="19">
        <f>IF(装备!N169=0,0,"'"&amp;装备!N169&amp;"'")</f>
        <v>0</v>
      </c>
      <c r="N209" s="19">
        <f>IF(装备!O169=0,0,"'"&amp;装备!O169&amp;"'")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装备!A170</f>
        <v>0</v>
      </c>
      <c r="B210" s="19" t="str">
        <f>"'"&amp;装备!B170&amp;"'"</f>
        <v>''</v>
      </c>
      <c r="C210" s="19">
        <f>装备!J170</f>
        <v>0</v>
      </c>
      <c r="D210" s="19">
        <f>装备!K170</f>
        <v>0</v>
      </c>
      <c r="E210" s="19">
        <f>装备!L170</f>
        <v>0</v>
      </c>
      <c r="F210" s="19">
        <f>装备!M170</f>
        <v>0</v>
      </c>
      <c r="G210" s="19">
        <f>装备!N170</f>
        <v>0</v>
      </c>
      <c r="H210" s="19">
        <f>装备!O170</f>
        <v>0</v>
      </c>
      <c r="I210" s="19">
        <f>IF(装备!J170=0,0,"'"&amp;装备!J170&amp;"'")</f>
        <v>0</v>
      </c>
      <c r="J210" s="19">
        <f>IF(装备!K170=0,0,"'"&amp;装备!K170&amp;"'")</f>
        <v>0</v>
      </c>
      <c r="K210" s="19">
        <f>IF(装备!L170=0,0,"'"&amp;装备!L170&amp;"'")</f>
        <v>0</v>
      </c>
      <c r="L210" s="19">
        <f>IF(装备!M170=0,0,"'"&amp;装备!M170&amp;"'")</f>
        <v>0</v>
      </c>
      <c r="M210" s="19">
        <f>IF(装备!N170=0,0,"'"&amp;装备!N170&amp;"'")</f>
        <v>0</v>
      </c>
      <c r="N210" s="19">
        <f>IF(装备!O170=0,0,"'"&amp;装备!O170&amp;"'")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装备!A171</f>
        <v>0</v>
      </c>
      <c r="B211" s="19" t="str">
        <f>"'"&amp;装备!B171&amp;"'"</f>
        <v>''</v>
      </c>
      <c r="C211" s="19">
        <f>装备!J171</f>
        <v>0</v>
      </c>
      <c r="D211" s="19">
        <f>装备!K171</f>
        <v>0</v>
      </c>
      <c r="E211" s="19">
        <f>装备!L171</f>
        <v>0</v>
      </c>
      <c r="F211" s="19">
        <f>装备!M171</f>
        <v>0</v>
      </c>
      <c r="G211" s="19">
        <f>装备!N171</f>
        <v>0</v>
      </c>
      <c r="H211" s="19">
        <f>装备!O171</f>
        <v>0</v>
      </c>
      <c r="I211" s="19">
        <f>IF(装备!J171=0,0,"'"&amp;装备!J171&amp;"'")</f>
        <v>0</v>
      </c>
      <c r="J211" s="19">
        <f>IF(装备!K171=0,0,"'"&amp;装备!K171&amp;"'")</f>
        <v>0</v>
      </c>
      <c r="K211" s="19">
        <f>IF(装备!L171=0,0,"'"&amp;装备!L171&amp;"'")</f>
        <v>0</v>
      </c>
      <c r="L211" s="19">
        <f>IF(装备!M171=0,0,"'"&amp;装备!M171&amp;"'")</f>
        <v>0</v>
      </c>
      <c r="M211" s="19">
        <f>IF(装备!N171=0,0,"'"&amp;装备!N171&amp;"'")</f>
        <v>0</v>
      </c>
      <c r="N211" s="19">
        <f>IF(装备!O171=0,0,"'"&amp;装备!O171&amp;"'")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装备!A172</f>
        <v>0</v>
      </c>
      <c r="B212" s="19" t="str">
        <f>"'"&amp;装备!B172&amp;"'"</f>
        <v>''</v>
      </c>
      <c r="C212" s="19">
        <f>装备!J172</f>
        <v>0</v>
      </c>
      <c r="D212" s="19">
        <f>装备!K172</f>
        <v>0</v>
      </c>
      <c r="E212" s="19">
        <f>装备!L172</f>
        <v>0</v>
      </c>
      <c r="F212" s="19">
        <f>装备!M172</f>
        <v>0</v>
      </c>
      <c r="G212" s="19">
        <f>装备!N172</f>
        <v>0</v>
      </c>
      <c r="H212" s="19">
        <f>装备!O172</f>
        <v>0</v>
      </c>
      <c r="I212" s="19">
        <f>IF(装备!J172=0,0,"'"&amp;装备!J172&amp;"'")</f>
        <v>0</v>
      </c>
      <c r="J212" s="19">
        <f>IF(装备!K172=0,0,"'"&amp;装备!K172&amp;"'")</f>
        <v>0</v>
      </c>
      <c r="K212" s="19">
        <f>IF(装备!L172=0,0,"'"&amp;装备!L172&amp;"'")</f>
        <v>0</v>
      </c>
      <c r="L212" s="19">
        <f>IF(装备!M172=0,0,"'"&amp;装备!M172&amp;"'")</f>
        <v>0</v>
      </c>
      <c r="M212" s="19">
        <f>IF(装备!N172=0,0,"'"&amp;装备!N172&amp;"'")</f>
        <v>0</v>
      </c>
      <c r="N212" s="19">
        <f>IF(装备!O172=0,0,"'"&amp;装备!O172&amp;"'")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装备!A173</f>
        <v>0</v>
      </c>
      <c r="B213" s="19" t="str">
        <f>"'"&amp;装备!B173&amp;"'"</f>
        <v>''</v>
      </c>
      <c r="C213" s="19">
        <f>装备!J173</f>
        <v>0</v>
      </c>
      <c r="D213" s="19">
        <f>装备!K173</f>
        <v>0</v>
      </c>
      <c r="E213" s="19">
        <f>装备!L173</f>
        <v>0</v>
      </c>
      <c r="F213" s="19">
        <f>装备!M173</f>
        <v>0</v>
      </c>
      <c r="G213" s="19">
        <f>装备!N173</f>
        <v>0</v>
      </c>
      <c r="H213" s="19">
        <f>装备!O173</f>
        <v>0</v>
      </c>
      <c r="I213" s="19">
        <f>IF(装备!J173=0,0,"'"&amp;装备!J173&amp;"'")</f>
        <v>0</v>
      </c>
      <c r="J213" s="19">
        <f>IF(装备!K173=0,0,"'"&amp;装备!K173&amp;"'")</f>
        <v>0</v>
      </c>
      <c r="K213" s="19">
        <f>IF(装备!L173=0,0,"'"&amp;装备!L173&amp;"'")</f>
        <v>0</v>
      </c>
      <c r="L213" s="19">
        <f>IF(装备!M173=0,0,"'"&amp;装备!M173&amp;"'")</f>
        <v>0</v>
      </c>
      <c r="M213" s="19">
        <f>IF(装备!N173=0,0,"'"&amp;装备!N173&amp;"'")</f>
        <v>0</v>
      </c>
      <c r="N213" s="19">
        <f>IF(装备!O173=0,0,"'"&amp;装备!O173&amp;"'")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装备!A174</f>
        <v>0</v>
      </c>
      <c r="B214" s="19" t="str">
        <f>"'"&amp;装备!B174&amp;"'"</f>
        <v>''</v>
      </c>
      <c r="C214" s="19">
        <f>装备!J174</f>
        <v>0</v>
      </c>
      <c r="D214" s="19">
        <f>装备!K174</f>
        <v>0</v>
      </c>
      <c r="E214" s="19">
        <f>装备!L174</f>
        <v>0</v>
      </c>
      <c r="F214" s="19">
        <f>装备!M174</f>
        <v>0</v>
      </c>
      <c r="G214" s="19">
        <f>装备!N174</f>
        <v>0</v>
      </c>
      <c r="H214" s="19">
        <f>装备!O174</f>
        <v>0</v>
      </c>
      <c r="I214" s="19">
        <f>IF(装备!J174=0,0,"'"&amp;装备!J174&amp;"'")</f>
        <v>0</v>
      </c>
      <c r="J214" s="19">
        <f>IF(装备!K174=0,0,"'"&amp;装备!K174&amp;"'")</f>
        <v>0</v>
      </c>
      <c r="K214" s="19">
        <f>IF(装备!L174=0,0,"'"&amp;装备!L174&amp;"'")</f>
        <v>0</v>
      </c>
      <c r="L214" s="19">
        <f>IF(装备!M174=0,0,"'"&amp;装备!M174&amp;"'")</f>
        <v>0</v>
      </c>
      <c r="M214" s="19">
        <f>IF(装备!N174=0,0,"'"&amp;装备!N174&amp;"'")</f>
        <v>0</v>
      </c>
      <c r="N214" s="19">
        <f>IF(装备!O174=0,0,"'"&amp;装备!O174&amp;"'")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装备!A175</f>
        <v>0</v>
      </c>
      <c r="B215" s="19" t="str">
        <f>"'"&amp;装备!B175&amp;"'"</f>
        <v>''</v>
      </c>
      <c r="C215" s="19">
        <f>装备!J175</f>
        <v>0</v>
      </c>
      <c r="D215" s="19">
        <f>装备!K175</f>
        <v>0</v>
      </c>
      <c r="E215" s="19">
        <f>装备!L175</f>
        <v>0</v>
      </c>
      <c r="F215" s="19">
        <f>装备!M175</f>
        <v>0</v>
      </c>
      <c r="G215" s="19">
        <f>装备!N175</f>
        <v>0</v>
      </c>
      <c r="H215" s="19">
        <f>装备!O175</f>
        <v>0</v>
      </c>
      <c r="I215" s="19">
        <f>IF(装备!J175=0,0,"'"&amp;装备!J175&amp;"'")</f>
        <v>0</v>
      </c>
      <c r="J215" s="19">
        <f>IF(装备!K175=0,0,"'"&amp;装备!K175&amp;"'")</f>
        <v>0</v>
      </c>
      <c r="K215" s="19">
        <f>IF(装备!L175=0,0,"'"&amp;装备!L175&amp;"'")</f>
        <v>0</v>
      </c>
      <c r="L215" s="19">
        <f>IF(装备!M175=0,0,"'"&amp;装备!M175&amp;"'")</f>
        <v>0</v>
      </c>
      <c r="M215" s="19">
        <f>IF(装备!N175=0,0,"'"&amp;装备!N175&amp;"'")</f>
        <v>0</v>
      </c>
      <c r="N215" s="19">
        <f>IF(装备!O175=0,0,"'"&amp;装备!O175&amp;"'")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装备!A176</f>
        <v>0</v>
      </c>
      <c r="B216" s="19" t="str">
        <f>"'"&amp;装备!B176&amp;"'"</f>
        <v>''</v>
      </c>
      <c r="C216" s="19">
        <f>装备!J176</f>
        <v>0</v>
      </c>
      <c r="D216" s="19">
        <f>装备!K176</f>
        <v>0</v>
      </c>
      <c r="E216" s="19">
        <f>装备!L176</f>
        <v>0</v>
      </c>
      <c r="F216" s="19">
        <f>装备!M176</f>
        <v>0</v>
      </c>
      <c r="G216" s="19">
        <f>装备!N176</f>
        <v>0</v>
      </c>
      <c r="H216" s="19">
        <f>装备!O176</f>
        <v>0</v>
      </c>
      <c r="I216" s="19">
        <f>IF(装备!J176=0,0,"'"&amp;装备!J176&amp;"'")</f>
        <v>0</v>
      </c>
      <c r="J216" s="19">
        <f>IF(装备!K176=0,0,"'"&amp;装备!K176&amp;"'")</f>
        <v>0</v>
      </c>
      <c r="K216" s="19">
        <f>IF(装备!L176=0,0,"'"&amp;装备!L176&amp;"'")</f>
        <v>0</v>
      </c>
      <c r="L216" s="19">
        <f>IF(装备!M176=0,0,"'"&amp;装备!M176&amp;"'")</f>
        <v>0</v>
      </c>
      <c r="M216" s="19">
        <f>IF(装备!N176=0,0,"'"&amp;装备!N176&amp;"'")</f>
        <v>0</v>
      </c>
      <c r="N216" s="19">
        <f>IF(装备!O176=0,0,"'"&amp;装备!O176&amp;"'")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装备!A177</f>
        <v>0</v>
      </c>
      <c r="B217" s="19" t="str">
        <f>"'"&amp;装备!B177&amp;"'"</f>
        <v>''</v>
      </c>
      <c r="C217" s="19">
        <f>装备!J177</f>
        <v>0</v>
      </c>
      <c r="D217" s="19">
        <f>装备!K177</f>
        <v>0</v>
      </c>
      <c r="E217" s="19">
        <f>装备!L177</f>
        <v>0</v>
      </c>
      <c r="F217" s="19">
        <f>装备!M177</f>
        <v>0</v>
      </c>
      <c r="G217" s="19">
        <f>装备!N177</f>
        <v>0</v>
      </c>
      <c r="H217" s="19">
        <f>装备!O177</f>
        <v>0</v>
      </c>
      <c r="I217" s="19">
        <f>IF(装备!J177=0,0,"'"&amp;装备!J177&amp;"'")</f>
        <v>0</v>
      </c>
      <c r="J217" s="19">
        <f>IF(装备!K177=0,0,"'"&amp;装备!K177&amp;"'")</f>
        <v>0</v>
      </c>
      <c r="K217" s="19">
        <f>IF(装备!L177=0,0,"'"&amp;装备!L177&amp;"'")</f>
        <v>0</v>
      </c>
      <c r="L217" s="19">
        <f>IF(装备!M177=0,0,"'"&amp;装备!M177&amp;"'")</f>
        <v>0</v>
      </c>
      <c r="M217" s="19">
        <f>IF(装备!N177=0,0,"'"&amp;装备!N177&amp;"'")</f>
        <v>0</v>
      </c>
      <c r="N217" s="19">
        <f>IF(装备!O177=0,0,"'"&amp;装备!O177&amp;"'")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装备!A178</f>
        <v>0</v>
      </c>
      <c r="B218" s="19" t="str">
        <f>"'"&amp;装备!B178&amp;"'"</f>
        <v>''</v>
      </c>
      <c r="C218" s="19">
        <f>装备!J178</f>
        <v>0</v>
      </c>
      <c r="D218" s="19">
        <f>装备!K178</f>
        <v>0</v>
      </c>
      <c r="E218" s="19">
        <f>装备!L178</f>
        <v>0</v>
      </c>
      <c r="F218" s="19">
        <f>装备!M178</f>
        <v>0</v>
      </c>
      <c r="G218" s="19">
        <f>装备!N178</f>
        <v>0</v>
      </c>
      <c r="H218" s="19">
        <f>装备!O178</f>
        <v>0</v>
      </c>
      <c r="I218" s="19">
        <f>IF(装备!J178=0,0,"'"&amp;装备!J178&amp;"'")</f>
        <v>0</v>
      </c>
      <c r="J218" s="19">
        <f>IF(装备!K178=0,0,"'"&amp;装备!K178&amp;"'")</f>
        <v>0</v>
      </c>
      <c r="K218" s="19">
        <f>IF(装备!L178=0,0,"'"&amp;装备!L178&amp;"'")</f>
        <v>0</v>
      </c>
      <c r="L218" s="19">
        <f>IF(装备!M178=0,0,"'"&amp;装备!M178&amp;"'")</f>
        <v>0</v>
      </c>
      <c r="M218" s="19">
        <f>IF(装备!N178=0,0,"'"&amp;装备!N178&amp;"'")</f>
        <v>0</v>
      </c>
      <c r="N218" s="19">
        <f>IF(装备!O178=0,0,"'"&amp;装备!O178&amp;"'")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装备!A179</f>
        <v>0</v>
      </c>
      <c r="B219" s="19" t="str">
        <f>"'"&amp;装备!B179&amp;"'"</f>
        <v>''</v>
      </c>
      <c r="C219" s="19">
        <f>装备!J179</f>
        <v>0</v>
      </c>
      <c r="D219" s="19">
        <f>装备!K179</f>
        <v>0</v>
      </c>
      <c r="E219" s="19">
        <f>装备!L179</f>
        <v>0</v>
      </c>
      <c r="F219" s="19">
        <f>装备!M179</f>
        <v>0</v>
      </c>
      <c r="G219" s="19">
        <f>装备!N179</f>
        <v>0</v>
      </c>
      <c r="H219" s="19">
        <f>装备!O179</f>
        <v>0</v>
      </c>
      <c r="I219" s="19">
        <f>IF(装备!J179=0,0,"'"&amp;装备!J179&amp;"'")</f>
        <v>0</v>
      </c>
      <c r="J219" s="19">
        <f>IF(装备!K179=0,0,"'"&amp;装备!K179&amp;"'")</f>
        <v>0</v>
      </c>
      <c r="K219" s="19">
        <f>IF(装备!L179=0,0,"'"&amp;装备!L179&amp;"'")</f>
        <v>0</v>
      </c>
      <c r="L219" s="19">
        <f>IF(装备!M179=0,0,"'"&amp;装备!M179&amp;"'")</f>
        <v>0</v>
      </c>
      <c r="M219" s="19">
        <f>IF(装备!N179=0,0,"'"&amp;装备!N179&amp;"'")</f>
        <v>0</v>
      </c>
      <c r="N219" s="19">
        <f>IF(装备!O179=0,0,"'"&amp;装备!O179&amp;"'")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装备!A180</f>
        <v>0</v>
      </c>
      <c r="B220" s="19" t="str">
        <f>"'"&amp;装备!B180&amp;"'"</f>
        <v>''</v>
      </c>
      <c r="C220" s="19">
        <f>装备!J180</f>
        <v>0</v>
      </c>
      <c r="D220" s="19">
        <f>装备!K180</f>
        <v>0</v>
      </c>
      <c r="E220" s="19">
        <f>装备!L180</f>
        <v>0</v>
      </c>
      <c r="F220" s="19">
        <f>装备!M180</f>
        <v>0</v>
      </c>
      <c r="G220" s="19">
        <f>装备!N180</f>
        <v>0</v>
      </c>
      <c r="H220" s="19">
        <f>装备!O180</f>
        <v>0</v>
      </c>
      <c r="I220" s="19">
        <f>IF(装备!J180=0,0,"'"&amp;装备!J180&amp;"'")</f>
        <v>0</v>
      </c>
      <c r="J220" s="19">
        <f>IF(装备!K180=0,0,"'"&amp;装备!K180&amp;"'")</f>
        <v>0</v>
      </c>
      <c r="K220" s="19">
        <f>IF(装备!L180=0,0,"'"&amp;装备!L180&amp;"'")</f>
        <v>0</v>
      </c>
      <c r="L220" s="19">
        <f>IF(装备!M180=0,0,"'"&amp;装备!M180&amp;"'")</f>
        <v>0</v>
      </c>
      <c r="M220" s="19">
        <f>IF(装备!N180=0,0,"'"&amp;装备!N180&amp;"'")</f>
        <v>0</v>
      </c>
      <c r="N220" s="19">
        <f>IF(装备!O180=0,0,"'"&amp;装备!O180&amp;"'")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装备!A181</f>
        <v>0</v>
      </c>
      <c r="B221" s="19" t="str">
        <f>"'"&amp;装备!B181&amp;"'"</f>
        <v>''</v>
      </c>
      <c r="C221" s="19">
        <f>装备!J181</f>
        <v>0</v>
      </c>
      <c r="D221" s="19">
        <f>装备!K181</f>
        <v>0</v>
      </c>
      <c r="E221" s="19">
        <f>装备!L181</f>
        <v>0</v>
      </c>
      <c r="F221" s="19">
        <f>装备!M181</f>
        <v>0</v>
      </c>
      <c r="G221" s="19">
        <f>装备!N181</f>
        <v>0</v>
      </c>
      <c r="H221" s="19">
        <f>装备!O181</f>
        <v>0</v>
      </c>
      <c r="I221" s="19">
        <f>IF(装备!J181=0,0,"'"&amp;装备!J181&amp;"'")</f>
        <v>0</v>
      </c>
      <c r="J221" s="19">
        <f>IF(装备!K181=0,0,"'"&amp;装备!K181&amp;"'")</f>
        <v>0</v>
      </c>
      <c r="K221" s="19">
        <f>IF(装备!L181=0,0,"'"&amp;装备!L181&amp;"'")</f>
        <v>0</v>
      </c>
      <c r="L221" s="19">
        <f>IF(装备!M181=0,0,"'"&amp;装备!M181&amp;"'")</f>
        <v>0</v>
      </c>
      <c r="M221" s="19">
        <f>IF(装备!N181=0,0,"'"&amp;装备!N181&amp;"'")</f>
        <v>0</v>
      </c>
      <c r="N221" s="19">
        <f>IF(装备!O181=0,0,"'"&amp;装备!O181&amp;"'")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装备!A182</f>
        <v>0</v>
      </c>
      <c r="B222" s="19" t="str">
        <f>"'"&amp;装备!B182&amp;"'"</f>
        <v>''</v>
      </c>
      <c r="C222" s="19">
        <f>装备!J182</f>
        <v>0</v>
      </c>
      <c r="D222" s="19">
        <f>装备!K182</f>
        <v>0</v>
      </c>
      <c r="E222" s="19">
        <f>装备!L182</f>
        <v>0</v>
      </c>
      <c r="F222" s="19">
        <f>装备!M182</f>
        <v>0</v>
      </c>
      <c r="G222" s="19">
        <f>装备!N182</f>
        <v>0</v>
      </c>
      <c r="H222" s="19">
        <f>装备!O182</f>
        <v>0</v>
      </c>
      <c r="I222" s="19">
        <f>IF(装备!J182=0,0,"'"&amp;装备!J182&amp;"'")</f>
        <v>0</v>
      </c>
      <c r="J222" s="19">
        <f>IF(装备!K182=0,0,"'"&amp;装备!K182&amp;"'")</f>
        <v>0</v>
      </c>
      <c r="K222" s="19">
        <f>IF(装备!L182=0,0,"'"&amp;装备!L182&amp;"'")</f>
        <v>0</v>
      </c>
      <c r="L222" s="19">
        <f>IF(装备!M182=0,0,"'"&amp;装备!M182&amp;"'")</f>
        <v>0</v>
      </c>
      <c r="M222" s="19">
        <f>IF(装备!N182=0,0,"'"&amp;装备!N182&amp;"'")</f>
        <v>0</v>
      </c>
      <c r="N222" s="19">
        <f>IF(装备!O182=0,0,"'"&amp;装备!O182&amp;"'")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装备!A183</f>
        <v>0</v>
      </c>
      <c r="B223" s="19" t="str">
        <f>"'"&amp;装备!B183&amp;"'"</f>
        <v>''</v>
      </c>
      <c r="C223" s="19">
        <f>装备!J183</f>
        <v>0</v>
      </c>
      <c r="D223" s="19">
        <f>装备!K183</f>
        <v>0</v>
      </c>
      <c r="E223" s="19">
        <f>装备!L183</f>
        <v>0</v>
      </c>
      <c r="F223" s="19">
        <f>装备!M183</f>
        <v>0</v>
      </c>
      <c r="G223" s="19">
        <f>装备!N183</f>
        <v>0</v>
      </c>
      <c r="H223" s="19">
        <f>装备!O183</f>
        <v>0</v>
      </c>
      <c r="I223" s="19">
        <f>IF(装备!J183=0,0,"'"&amp;装备!J183&amp;"'")</f>
        <v>0</v>
      </c>
      <c r="J223" s="19">
        <f>IF(装备!K183=0,0,"'"&amp;装备!K183&amp;"'")</f>
        <v>0</v>
      </c>
      <c r="K223" s="19">
        <f>IF(装备!L183=0,0,"'"&amp;装备!L183&amp;"'")</f>
        <v>0</v>
      </c>
      <c r="L223" s="19">
        <f>IF(装备!M183=0,0,"'"&amp;装备!M183&amp;"'")</f>
        <v>0</v>
      </c>
      <c r="M223" s="19">
        <f>IF(装备!N183=0,0,"'"&amp;装备!N183&amp;"'")</f>
        <v>0</v>
      </c>
      <c r="N223" s="19">
        <f>IF(装备!O183=0,0,"'"&amp;装备!O183&amp;"'")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装备!A184</f>
        <v>0</v>
      </c>
      <c r="B224" s="19" t="str">
        <f>"'"&amp;装备!B184&amp;"'"</f>
        <v>''</v>
      </c>
      <c r="C224" s="19">
        <f>装备!J184</f>
        <v>0</v>
      </c>
      <c r="D224" s="19">
        <f>装备!K184</f>
        <v>0</v>
      </c>
      <c r="E224" s="19">
        <f>装备!L184</f>
        <v>0</v>
      </c>
      <c r="F224" s="19">
        <f>装备!M184</f>
        <v>0</v>
      </c>
      <c r="G224" s="19">
        <f>装备!N184</f>
        <v>0</v>
      </c>
      <c r="H224" s="19">
        <f>装备!O184</f>
        <v>0</v>
      </c>
      <c r="I224" s="19">
        <f>IF(装备!J184=0,0,"'"&amp;装备!J184&amp;"'")</f>
        <v>0</v>
      </c>
      <c r="J224" s="19">
        <f>IF(装备!K184=0,0,"'"&amp;装备!K184&amp;"'")</f>
        <v>0</v>
      </c>
      <c r="K224" s="19">
        <f>IF(装备!L184=0,0,"'"&amp;装备!L184&amp;"'")</f>
        <v>0</v>
      </c>
      <c r="L224" s="19">
        <f>IF(装备!M184=0,0,"'"&amp;装备!M184&amp;"'")</f>
        <v>0</v>
      </c>
      <c r="M224" s="19">
        <f>IF(装备!N184=0,0,"'"&amp;装备!N184&amp;"'")</f>
        <v>0</v>
      </c>
      <c r="N224" s="19">
        <f>IF(装备!O184=0,0,"'"&amp;装备!O184&amp;"'")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装备!A185</f>
        <v>0</v>
      </c>
      <c r="B225" s="19" t="str">
        <f>"'"&amp;装备!B185&amp;"'"</f>
        <v>''</v>
      </c>
      <c r="C225" s="19">
        <f>装备!J185</f>
        <v>0</v>
      </c>
      <c r="D225" s="19">
        <f>装备!K185</f>
        <v>0</v>
      </c>
      <c r="E225" s="19">
        <f>装备!L185</f>
        <v>0</v>
      </c>
      <c r="F225" s="19">
        <f>装备!M185</f>
        <v>0</v>
      </c>
      <c r="G225" s="19">
        <f>装备!N185</f>
        <v>0</v>
      </c>
      <c r="H225" s="19">
        <f>装备!O185</f>
        <v>0</v>
      </c>
      <c r="I225" s="19">
        <f>IF(装备!J185=0,0,"'"&amp;装备!J185&amp;"'")</f>
        <v>0</v>
      </c>
      <c r="J225" s="19">
        <f>IF(装备!K185=0,0,"'"&amp;装备!K185&amp;"'")</f>
        <v>0</v>
      </c>
      <c r="K225" s="19">
        <f>IF(装备!L185=0,0,"'"&amp;装备!L185&amp;"'")</f>
        <v>0</v>
      </c>
      <c r="L225" s="19">
        <f>IF(装备!M185=0,0,"'"&amp;装备!M185&amp;"'")</f>
        <v>0</v>
      </c>
      <c r="M225" s="19">
        <f>IF(装备!N185=0,0,"'"&amp;装备!N185&amp;"'")</f>
        <v>0</v>
      </c>
      <c r="N225" s="19">
        <f>IF(装备!O185=0,0,"'"&amp;装备!O185&amp;"'")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装备!A186</f>
        <v>0</v>
      </c>
      <c r="B226" s="19" t="str">
        <f>"'"&amp;装备!B186&amp;"'"</f>
        <v>''</v>
      </c>
      <c r="C226" s="19">
        <f>装备!J186</f>
        <v>0</v>
      </c>
      <c r="D226" s="19">
        <f>装备!K186</f>
        <v>0</v>
      </c>
      <c r="E226" s="19">
        <f>装备!L186</f>
        <v>0</v>
      </c>
      <c r="F226" s="19">
        <f>装备!M186</f>
        <v>0</v>
      </c>
      <c r="G226" s="19">
        <f>装备!N186</f>
        <v>0</v>
      </c>
      <c r="H226" s="19">
        <f>装备!O186</f>
        <v>0</v>
      </c>
      <c r="I226" s="19">
        <f>IF(装备!J186=0,0,"'"&amp;装备!J186&amp;"'")</f>
        <v>0</v>
      </c>
      <c r="J226" s="19">
        <f>IF(装备!K186=0,0,"'"&amp;装备!K186&amp;"'")</f>
        <v>0</v>
      </c>
      <c r="K226" s="19">
        <f>IF(装备!L186=0,0,"'"&amp;装备!L186&amp;"'")</f>
        <v>0</v>
      </c>
      <c r="L226" s="19">
        <f>IF(装备!M186=0,0,"'"&amp;装备!M186&amp;"'")</f>
        <v>0</v>
      </c>
      <c r="M226" s="19">
        <f>IF(装备!N186=0,0,"'"&amp;装备!N186&amp;"'")</f>
        <v>0</v>
      </c>
      <c r="N226" s="19">
        <f>IF(装备!O186=0,0,"'"&amp;装备!O186&amp;"'")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装备!A187</f>
        <v>0</v>
      </c>
      <c r="B227" s="19" t="str">
        <f>"'"&amp;装备!B187&amp;"'"</f>
        <v>''</v>
      </c>
      <c r="C227" s="19">
        <f>装备!J187</f>
        <v>0</v>
      </c>
      <c r="D227" s="19">
        <f>装备!K187</f>
        <v>0</v>
      </c>
      <c r="E227" s="19">
        <f>装备!L187</f>
        <v>0</v>
      </c>
      <c r="F227" s="19">
        <f>装备!M187</f>
        <v>0</v>
      </c>
      <c r="G227" s="19">
        <f>装备!N187</f>
        <v>0</v>
      </c>
      <c r="H227" s="19">
        <f>装备!O187</f>
        <v>0</v>
      </c>
      <c r="I227" s="19">
        <f>IF(装备!J187=0,0,"'"&amp;装备!J187&amp;"'")</f>
        <v>0</v>
      </c>
      <c r="J227" s="19">
        <f>IF(装备!K187=0,0,"'"&amp;装备!K187&amp;"'")</f>
        <v>0</v>
      </c>
      <c r="K227" s="19">
        <f>IF(装备!L187=0,0,"'"&amp;装备!L187&amp;"'")</f>
        <v>0</v>
      </c>
      <c r="L227" s="19">
        <f>IF(装备!M187=0,0,"'"&amp;装备!M187&amp;"'")</f>
        <v>0</v>
      </c>
      <c r="M227" s="19">
        <f>IF(装备!N187=0,0,"'"&amp;装备!N187&amp;"'")</f>
        <v>0</v>
      </c>
      <c r="N227" s="19">
        <f>IF(装备!O187=0,0,"'"&amp;装备!O187&amp;"'")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装备!A188</f>
        <v>0</v>
      </c>
      <c r="B228" s="19" t="str">
        <f>"'"&amp;装备!B188&amp;"'"</f>
        <v>''</v>
      </c>
      <c r="C228" s="19">
        <f>装备!J188</f>
        <v>0</v>
      </c>
      <c r="D228" s="19">
        <f>装备!K188</f>
        <v>0</v>
      </c>
      <c r="E228" s="19">
        <f>装备!L188</f>
        <v>0</v>
      </c>
      <c r="F228" s="19">
        <f>装备!M188</f>
        <v>0</v>
      </c>
      <c r="G228" s="19">
        <f>装备!N188</f>
        <v>0</v>
      </c>
      <c r="H228" s="19">
        <f>装备!O188</f>
        <v>0</v>
      </c>
      <c r="I228" s="19">
        <f>IF(装备!J188=0,0,"'"&amp;装备!J188&amp;"'")</f>
        <v>0</v>
      </c>
      <c r="J228" s="19">
        <f>IF(装备!K188=0,0,"'"&amp;装备!K188&amp;"'")</f>
        <v>0</v>
      </c>
      <c r="K228" s="19">
        <f>IF(装备!L188=0,0,"'"&amp;装备!L188&amp;"'")</f>
        <v>0</v>
      </c>
      <c r="L228" s="19">
        <f>IF(装备!M188=0,0,"'"&amp;装备!M188&amp;"'")</f>
        <v>0</v>
      </c>
      <c r="M228" s="19">
        <f>IF(装备!N188=0,0,"'"&amp;装备!N188&amp;"'")</f>
        <v>0</v>
      </c>
      <c r="N228" s="19">
        <f>IF(装备!O188=0,0,"'"&amp;装备!O188&amp;"'")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装备!A189</f>
        <v>0</v>
      </c>
      <c r="B229" s="19" t="str">
        <f>"'"&amp;装备!B189&amp;"'"</f>
        <v>''</v>
      </c>
      <c r="C229" s="19">
        <f>装备!J189</f>
        <v>0</v>
      </c>
      <c r="D229" s="19">
        <f>装备!K189</f>
        <v>0</v>
      </c>
      <c r="E229" s="19">
        <f>装备!L189</f>
        <v>0</v>
      </c>
      <c r="F229" s="19">
        <f>装备!M189</f>
        <v>0</v>
      </c>
      <c r="G229" s="19">
        <f>装备!N189</f>
        <v>0</v>
      </c>
      <c r="H229" s="19">
        <f>装备!O189</f>
        <v>0</v>
      </c>
      <c r="I229" s="19">
        <f>IF(装备!J189=0,0,"'"&amp;装备!J189&amp;"'")</f>
        <v>0</v>
      </c>
      <c r="J229" s="19">
        <f>IF(装备!K189=0,0,"'"&amp;装备!K189&amp;"'")</f>
        <v>0</v>
      </c>
      <c r="K229" s="19">
        <f>IF(装备!L189=0,0,"'"&amp;装备!L189&amp;"'")</f>
        <v>0</v>
      </c>
      <c r="L229" s="19">
        <f>IF(装备!M189=0,0,"'"&amp;装备!M189&amp;"'")</f>
        <v>0</v>
      </c>
      <c r="M229" s="19">
        <f>IF(装备!N189=0,0,"'"&amp;装备!N189&amp;"'")</f>
        <v>0</v>
      </c>
      <c r="N229" s="19">
        <f>IF(装备!O189=0,0,"'"&amp;装备!O189&amp;"'")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装备!A190</f>
        <v>0</v>
      </c>
      <c r="B230" s="19" t="str">
        <f>"'"&amp;装备!B190&amp;"'"</f>
        <v>''</v>
      </c>
      <c r="C230" s="19">
        <f>装备!J190</f>
        <v>0</v>
      </c>
      <c r="D230" s="19">
        <f>装备!K190</f>
        <v>0</v>
      </c>
      <c r="E230" s="19">
        <f>装备!L190</f>
        <v>0</v>
      </c>
      <c r="F230" s="19">
        <f>装备!M190</f>
        <v>0</v>
      </c>
      <c r="G230" s="19">
        <f>装备!N190</f>
        <v>0</v>
      </c>
      <c r="H230" s="19">
        <f>装备!O190</f>
        <v>0</v>
      </c>
      <c r="I230" s="19">
        <f>IF(装备!J190=0,0,"'"&amp;装备!J190&amp;"'")</f>
        <v>0</v>
      </c>
      <c r="J230" s="19">
        <f>IF(装备!K190=0,0,"'"&amp;装备!K190&amp;"'")</f>
        <v>0</v>
      </c>
      <c r="K230" s="19">
        <f>IF(装备!L190=0,0,"'"&amp;装备!L190&amp;"'")</f>
        <v>0</v>
      </c>
      <c r="L230" s="19">
        <f>IF(装备!M190=0,0,"'"&amp;装备!M190&amp;"'")</f>
        <v>0</v>
      </c>
      <c r="M230" s="19">
        <f>IF(装备!N190=0,0,"'"&amp;装备!N190&amp;"'")</f>
        <v>0</v>
      </c>
      <c r="N230" s="19">
        <f>IF(装备!O190=0,0,"'"&amp;装备!O190&amp;"'")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装备!A191</f>
        <v>0</v>
      </c>
      <c r="B231" s="19" t="str">
        <f>"'"&amp;装备!B191&amp;"'"</f>
        <v>''</v>
      </c>
      <c r="C231" s="19">
        <f>装备!J191</f>
        <v>0</v>
      </c>
      <c r="D231" s="19">
        <f>装备!K191</f>
        <v>0</v>
      </c>
      <c r="E231" s="19">
        <f>装备!L191</f>
        <v>0</v>
      </c>
      <c r="F231" s="19">
        <f>装备!M191</f>
        <v>0</v>
      </c>
      <c r="G231" s="19">
        <f>装备!N191</f>
        <v>0</v>
      </c>
      <c r="H231" s="19">
        <f>装备!O191</f>
        <v>0</v>
      </c>
      <c r="I231" s="19">
        <f>IF(装备!J191=0,0,"'"&amp;装备!J191&amp;"'")</f>
        <v>0</v>
      </c>
      <c r="J231" s="19">
        <f>IF(装备!K191=0,0,"'"&amp;装备!K191&amp;"'")</f>
        <v>0</v>
      </c>
      <c r="K231" s="19">
        <f>IF(装备!L191=0,0,"'"&amp;装备!L191&amp;"'")</f>
        <v>0</v>
      </c>
      <c r="L231" s="19">
        <f>IF(装备!M191=0,0,"'"&amp;装备!M191&amp;"'")</f>
        <v>0</v>
      </c>
      <c r="M231" s="19">
        <f>IF(装备!N191=0,0,"'"&amp;装备!N191&amp;"'")</f>
        <v>0</v>
      </c>
      <c r="N231" s="19">
        <f>IF(装备!O191=0,0,"'"&amp;装备!O191&amp;"'")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装备!A192</f>
        <v>0</v>
      </c>
      <c r="B232" s="19" t="str">
        <f>"'"&amp;装备!B192&amp;"'"</f>
        <v>''</v>
      </c>
      <c r="C232" s="19">
        <f>装备!J192</f>
        <v>0</v>
      </c>
      <c r="D232" s="19">
        <f>装备!K192</f>
        <v>0</v>
      </c>
      <c r="E232" s="19">
        <f>装备!L192</f>
        <v>0</v>
      </c>
      <c r="F232" s="19">
        <f>装备!M192</f>
        <v>0</v>
      </c>
      <c r="G232" s="19">
        <f>装备!N192</f>
        <v>0</v>
      </c>
      <c r="H232" s="19">
        <f>装备!O192</f>
        <v>0</v>
      </c>
      <c r="I232" s="19">
        <f>IF(装备!J192=0,0,"'"&amp;装备!J192&amp;"'")</f>
        <v>0</v>
      </c>
      <c r="J232" s="19">
        <f>IF(装备!K192=0,0,"'"&amp;装备!K192&amp;"'")</f>
        <v>0</v>
      </c>
      <c r="K232" s="19">
        <f>IF(装备!L192=0,0,"'"&amp;装备!L192&amp;"'")</f>
        <v>0</v>
      </c>
      <c r="L232" s="19">
        <f>IF(装备!M192=0,0,"'"&amp;装备!M192&amp;"'")</f>
        <v>0</v>
      </c>
      <c r="M232" s="19">
        <f>IF(装备!N192=0,0,"'"&amp;装备!N192&amp;"'")</f>
        <v>0</v>
      </c>
      <c r="N232" s="19">
        <f>IF(装备!O192=0,0,"'"&amp;装备!O192&amp;"'")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装备!A193</f>
        <v>0</v>
      </c>
      <c r="B233" s="19" t="str">
        <f>"'"&amp;装备!B193&amp;"'"</f>
        <v>''</v>
      </c>
      <c r="C233" s="19">
        <f>装备!J193</f>
        <v>0</v>
      </c>
      <c r="D233" s="19">
        <f>装备!K193</f>
        <v>0</v>
      </c>
      <c r="E233" s="19">
        <f>装备!L193</f>
        <v>0</v>
      </c>
      <c r="F233" s="19">
        <f>装备!M193</f>
        <v>0</v>
      </c>
      <c r="G233" s="19">
        <f>装备!N193</f>
        <v>0</v>
      </c>
      <c r="H233" s="19">
        <f>装备!O193</f>
        <v>0</v>
      </c>
      <c r="I233" s="19">
        <f>IF(装备!J193=0,0,"'"&amp;装备!J193&amp;"'")</f>
        <v>0</v>
      </c>
      <c r="J233" s="19">
        <f>IF(装备!K193=0,0,"'"&amp;装备!K193&amp;"'")</f>
        <v>0</v>
      </c>
      <c r="K233" s="19">
        <f>IF(装备!L193=0,0,"'"&amp;装备!L193&amp;"'")</f>
        <v>0</v>
      </c>
      <c r="L233" s="19">
        <f>IF(装备!M193=0,0,"'"&amp;装备!M193&amp;"'")</f>
        <v>0</v>
      </c>
      <c r="M233" s="19">
        <f>IF(装备!N193=0,0,"'"&amp;装备!N193&amp;"'")</f>
        <v>0</v>
      </c>
      <c r="N233" s="19">
        <f>IF(装备!O193=0,0,"'"&amp;装备!O193&amp;"'")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装备!A194</f>
        <v>0</v>
      </c>
      <c r="B234" s="19" t="str">
        <f>"'"&amp;装备!B194&amp;"'"</f>
        <v>''</v>
      </c>
      <c r="C234" s="19">
        <f>装备!J194</f>
        <v>0</v>
      </c>
      <c r="D234" s="19">
        <f>装备!K194</f>
        <v>0</v>
      </c>
      <c r="E234" s="19">
        <f>装备!L194</f>
        <v>0</v>
      </c>
      <c r="F234" s="19">
        <f>装备!M194</f>
        <v>0</v>
      </c>
      <c r="G234" s="19">
        <f>装备!N194</f>
        <v>0</v>
      </c>
      <c r="H234" s="19">
        <f>装备!O194</f>
        <v>0</v>
      </c>
      <c r="I234" s="19">
        <f>IF(装备!J194=0,0,"'"&amp;装备!J194&amp;"'")</f>
        <v>0</v>
      </c>
      <c r="J234" s="19">
        <f>IF(装备!K194=0,0,"'"&amp;装备!K194&amp;"'")</f>
        <v>0</v>
      </c>
      <c r="K234" s="19">
        <f>IF(装备!L194=0,0,"'"&amp;装备!L194&amp;"'")</f>
        <v>0</v>
      </c>
      <c r="L234" s="19">
        <f>IF(装备!M194=0,0,"'"&amp;装备!M194&amp;"'")</f>
        <v>0</v>
      </c>
      <c r="M234" s="19">
        <f>IF(装备!N194=0,0,"'"&amp;装备!N194&amp;"'")</f>
        <v>0</v>
      </c>
      <c r="N234" s="19">
        <f>IF(装备!O194=0,0,"'"&amp;装备!O194&amp;"'")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装备!A195</f>
        <v>0</v>
      </c>
      <c r="B235" s="19" t="str">
        <f>"'"&amp;装备!B195&amp;"'"</f>
        <v>''</v>
      </c>
      <c r="C235" s="19">
        <f>装备!J195</f>
        <v>0</v>
      </c>
      <c r="D235" s="19">
        <f>装备!K195</f>
        <v>0</v>
      </c>
      <c r="E235" s="19">
        <f>装备!L195</f>
        <v>0</v>
      </c>
      <c r="F235" s="19">
        <f>装备!M195</f>
        <v>0</v>
      </c>
      <c r="G235" s="19">
        <f>装备!N195</f>
        <v>0</v>
      </c>
      <c r="H235" s="19">
        <f>装备!O195</f>
        <v>0</v>
      </c>
      <c r="I235" s="19">
        <f>IF(装备!J195=0,0,"'"&amp;装备!J195&amp;"'")</f>
        <v>0</v>
      </c>
      <c r="J235" s="19">
        <f>IF(装备!K195=0,0,"'"&amp;装备!K195&amp;"'")</f>
        <v>0</v>
      </c>
      <c r="K235" s="19">
        <f>IF(装备!L195=0,0,"'"&amp;装备!L195&amp;"'")</f>
        <v>0</v>
      </c>
      <c r="L235" s="19">
        <f>IF(装备!M195=0,0,"'"&amp;装备!M195&amp;"'")</f>
        <v>0</v>
      </c>
      <c r="M235" s="19">
        <f>IF(装备!N195=0,0,"'"&amp;装备!N195&amp;"'")</f>
        <v>0</v>
      </c>
      <c r="N235" s="19">
        <f>IF(装备!O195=0,0,"'"&amp;装备!O195&amp;"'")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装备!A196</f>
        <v>0</v>
      </c>
      <c r="B236" s="19" t="str">
        <f>"'"&amp;装备!B196&amp;"'"</f>
        <v>''</v>
      </c>
      <c r="C236" s="19">
        <f>装备!J196</f>
        <v>0</v>
      </c>
      <c r="D236" s="19">
        <f>装备!K196</f>
        <v>0</v>
      </c>
      <c r="E236" s="19">
        <f>装备!L196</f>
        <v>0</v>
      </c>
      <c r="F236" s="19">
        <f>装备!M196</f>
        <v>0</v>
      </c>
      <c r="G236" s="19">
        <f>装备!N196</f>
        <v>0</v>
      </c>
      <c r="H236" s="19">
        <f>装备!O196</f>
        <v>0</v>
      </c>
      <c r="I236" s="19">
        <f>IF(装备!J196=0,0,"'"&amp;装备!J196&amp;"'")</f>
        <v>0</v>
      </c>
      <c r="J236" s="19">
        <f>IF(装备!K196=0,0,"'"&amp;装备!K196&amp;"'")</f>
        <v>0</v>
      </c>
      <c r="K236" s="19">
        <f>IF(装备!L196=0,0,"'"&amp;装备!L196&amp;"'")</f>
        <v>0</v>
      </c>
      <c r="L236" s="19">
        <f>IF(装备!M196=0,0,"'"&amp;装备!M196&amp;"'")</f>
        <v>0</v>
      </c>
      <c r="M236" s="19">
        <f>IF(装备!N196=0,0,"'"&amp;装备!N196&amp;"'")</f>
        <v>0</v>
      </c>
      <c r="N236" s="19">
        <f>IF(装备!O196=0,0,"'"&amp;装备!O196&amp;"'")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装备!A197</f>
        <v>0</v>
      </c>
      <c r="B237" s="19" t="str">
        <f>"'"&amp;装备!B197&amp;"'"</f>
        <v>''</v>
      </c>
      <c r="C237" s="19">
        <f>装备!J197</f>
        <v>0</v>
      </c>
      <c r="D237" s="19">
        <f>装备!K197</f>
        <v>0</v>
      </c>
      <c r="E237" s="19">
        <f>装备!L197</f>
        <v>0</v>
      </c>
      <c r="F237" s="19">
        <f>装备!M197</f>
        <v>0</v>
      </c>
      <c r="G237" s="19">
        <f>装备!N197</f>
        <v>0</v>
      </c>
      <c r="H237" s="19">
        <f>装备!O197</f>
        <v>0</v>
      </c>
      <c r="I237" s="19">
        <f>IF(装备!J197=0,0,"'"&amp;装备!J197&amp;"'")</f>
        <v>0</v>
      </c>
      <c r="J237" s="19">
        <f>IF(装备!K197=0,0,"'"&amp;装备!K197&amp;"'")</f>
        <v>0</v>
      </c>
      <c r="K237" s="19">
        <f>IF(装备!L197=0,0,"'"&amp;装备!L197&amp;"'")</f>
        <v>0</v>
      </c>
      <c r="L237" s="19">
        <f>IF(装备!M197=0,0,"'"&amp;装备!M197&amp;"'")</f>
        <v>0</v>
      </c>
      <c r="M237" s="19">
        <f>IF(装备!N197=0,0,"'"&amp;装备!N197&amp;"'")</f>
        <v>0</v>
      </c>
      <c r="N237" s="19">
        <f>IF(装备!O197=0,0,"'"&amp;装备!O197&amp;"'")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装备!A198</f>
        <v>0</v>
      </c>
      <c r="B238" s="19" t="str">
        <f>"'"&amp;装备!B198&amp;"'"</f>
        <v>''</v>
      </c>
      <c r="C238" s="19">
        <f>装备!J198</f>
        <v>0</v>
      </c>
      <c r="D238" s="19">
        <f>装备!K198</f>
        <v>0</v>
      </c>
      <c r="E238" s="19">
        <f>装备!L198</f>
        <v>0</v>
      </c>
      <c r="F238" s="19">
        <f>装备!M198</f>
        <v>0</v>
      </c>
      <c r="G238" s="19">
        <f>装备!N198</f>
        <v>0</v>
      </c>
      <c r="H238" s="19">
        <f>装备!O198</f>
        <v>0</v>
      </c>
      <c r="I238" s="19">
        <f>IF(装备!J198=0,0,"'"&amp;装备!J198&amp;"'")</f>
        <v>0</v>
      </c>
      <c r="J238" s="19">
        <f>IF(装备!K198=0,0,"'"&amp;装备!K198&amp;"'")</f>
        <v>0</v>
      </c>
      <c r="K238" s="19">
        <f>IF(装备!L198=0,0,"'"&amp;装备!L198&amp;"'")</f>
        <v>0</v>
      </c>
      <c r="L238" s="19">
        <f>IF(装备!M198=0,0,"'"&amp;装备!M198&amp;"'")</f>
        <v>0</v>
      </c>
      <c r="M238" s="19">
        <f>IF(装备!N198=0,0,"'"&amp;装备!N198&amp;"'")</f>
        <v>0</v>
      </c>
      <c r="N238" s="19">
        <f>IF(装备!O198=0,0,"'"&amp;装备!O198&amp;"'")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装备!A199</f>
        <v>0</v>
      </c>
      <c r="B239" s="19" t="str">
        <f>"'"&amp;装备!B199&amp;"'"</f>
        <v>''</v>
      </c>
      <c r="C239" s="19">
        <f>装备!J199</f>
        <v>0</v>
      </c>
      <c r="D239" s="19">
        <f>装备!K199</f>
        <v>0</v>
      </c>
      <c r="E239" s="19">
        <f>装备!L199</f>
        <v>0</v>
      </c>
      <c r="F239" s="19">
        <f>装备!M199</f>
        <v>0</v>
      </c>
      <c r="G239" s="19">
        <f>装备!N199</f>
        <v>0</v>
      </c>
      <c r="H239" s="19">
        <f>装备!O199</f>
        <v>0</v>
      </c>
      <c r="I239" s="19">
        <f>IF(装备!J199=0,0,"'"&amp;装备!J199&amp;"'")</f>
        <v>0</v>
      </c>
      <c r="J239" s="19">
        <f>IF(装备!K199=0,0,"'"&amp;装备!K199&amp;"'")</f>
        <v>0</v>
      </c>
      <c r="K239" s="19">
        <f>IF(装备!L199=0,0,"'"&amp;装备!L199&amp;"'")</f>
        <v>0</v>
      </c>
      <c r="L239" s="19">
        <f>IF(装备!M199=0,0,"'"&amp;装备!M199&amp;"'")</f>
        <v>0</v>
      </c>
      <c r="M239" s="19">
        <f>IF(装备!N199=0,0,"'"&amp;装备!N199&amp;"'")</f>
        <v>0</v>
      </c>
      <c r="N239" s="19">
        <f>IF(装备!O199=0,0,"'"&amp;装备!O199&amp;"'")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装备!A200</f>
        <v>0</v>
      </c>
      <c r="B240" s="19" t="str">
        <f>"'"&amp;装备!B200&amp;"'"</f>
        <v>''</v>
      </c>
      <c r="C240" s="19">
        <f>装备!J200</f>
        <v>0</v>
      </c>
      <c r="D240" s="19">
        <f>装备!K200</f>
        <v>0</v>
      </c>
      <c r="E240" s="19">
        <f>装备!L200</f>
        <v>0</v>
      </c>
      <c r="F240" s="19">
        <f>装备!M200</f>
        <v>0</v>
      </c>
      <c r="G240" s="19">
        <f>装备!N200</f>
        <v>0</v>
      </c>
      <c r="H240" s="19">
        <f>装备!O200</f>
        <v>0</v>
      </c>
      <c r="I240" s="19">
        <f>IF(装备!J200=0,0,"'"&amp;装备!J200&amp;"'")</f>
        <v>0</v>
      </c>
      <c r="J240" s="19">
        <f>IF(装备!K200=0,0,"'"&amp;装备!K200&amp;"'")</f>
        <v>0</v>
      </c>
      <c r="K240" s="19">
        <f>IF(装备!L200=0,0,"'"&amp;装备!L200&amp;"'")</f>
        <v>0</v>
      </c>
      <c r="L240" s="19">
        <f>IF(装备!M200=0,0,"'"&amp;装备!M200&amp;"'")</f>
        <v>0</v>
      </c>
      <c r="M240" s="19">
        <f>IF(装备!N200=0,0,"'"&amp;装备!N200&amp;"'")</f>
        <v>0</v>
      </c>
      <c r="N240" s="19">
        <f>IF(装备!O200=0,0,"'"&amp;装备!O200&amp;"'")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装备!A201</f>
        <v>0</v>
      </c>
      <c r="B241" s="19" t="str">
        <f>"'"&amp;装备!B201&amp;"'"</f>
        <v>''</v>
      </c>
      <c r="C241" s="19">
        <f>装备!J201</f>
        <v>0</v>
      </c>
      <c r="D241" s="19">
        <f>装备!K201</f>
        <v>0</v>
      </c>
      <c r="E241" s="19">
        <f>装备!L201</f>
        <v>0</v>
      </c>
      <c r="F241" s="19">
        <f>装备!M201</f>
        <v>0</v>
      </c>
      <c r="G241" s="19">
        <f>装备!N201</f>
        <v>0</v>
      </c>
      <c r="H241" s="19">
        <f>装备!O201</f>
        <v>0</v>
      </c>
      <c r="I241" s="19">
        <f>IF(装备!J201=0,0,"'"&amp;装备!J201&amp;"'")</f>
        <v>0</v>
      </c>
      <c r="J241" s="19">
        <f>IF(装备!K201=0,0,"'"&amp;装备!K201&amp;"'")</f>
        <v>0</v>
      </c>
      <c r="K241" s="19">
        <f>IF(装备!L201=0,0,"'"&amp;装备!L201&amp;"'")</f>
        <v>0</v>
      </c>
      <c r="L241" s="19">
        <f>IF(装备!M201=0,0,"'"&amp;装备!M201&amp;"'")</f>
        <v>0</v>
      </c>
      <c r="M241" s="19">
        <f>IF(装备!N201=0,0,"'"&amp;装备!N201&amp;"'")</f>
        <v>0</v>
      </c>
      <c r="N241" s="19">
        <f>IF(装备!O201=0,0,"'"&amp;装备!O201&amp;"'")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装备!A202</f>
        <v>0</v>
      </c>
      <c r="B242" s="19" t="str">
        <f>"'"&amp;装备!B202&amp;"'"</f>
        <v>''</v>
      </c>
      <c r="C242" s="19">
        <f>装备!J202</f>
        <v>0</v>
      </c>
      <c r="D242" s="19">
        <f>装备!K202</f>
        <v>0</v>
      </c>
      <c r="E242" s="19">
        <f>装备!L202</f>
        <v>0</v>
      </c>
      <c r="F242" s="19">
        <f>装备!M202</f>
        <v>0</v>
      </c>
      <c r="G242" s="19">
        <f>装备!N202</f>
        <v>0</v>
      </c>
      <c r="H242" s="19">
        <f>装备!O202</f>
        <v>0</v>
      </c>
      <c r="I242" s="19">
        <f>IF(装备!J202=0,0,"'"&amp;装备!J202&amp;"'")</f>
        <v>0</v>
      </c>
      <c r="J242" s="19">
        <f>IF(装备!K202=0,0,"'"&amp;装备!K202&amp;"'")</f>
        <v>0</v>
      </c>
      <c r="K242" s="19">
        <f>IF(装备!L202=0,0,"'"&amp;装备!L202&amp;"'")</f>
        <v>0</v>
      </c>
      <c r="L242" s="19">
        <f>IF(装备!M202=0,0,"'"&amp;装备!M202&amp;"'")</f>
        <v>0</v>
      </c>
      <c r="M242" s="19">
        <f>IF(装备!N202=0,0,"'"&amp;装备!N202&amp;"'")</f>
        <v>0</v>
      </c>
      <c r="N242" s="19">
        <f>IF(装备!O202=0,0,"'"&amp;装备!O202&amp;"'")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装备!A203</f>
        <v>0</v>
      </c>
      <c r="B243" s="19" t="str">
        <f>"'"&amp;装备!B203&amp;"'"</f>
        <v>''</v>
      </c>
      <c r="C243" s="19">
        <f>装备!J203</f>
        <v>0</v>
      </c>
      <c r="D243" s="19">
        <f>装备!K203</f>
        <v>0</v>
      </c>
      <c r="E243" s="19">
        <f>装备!L203</f>
        <v>0</v>
      </c>
      <c r="F243" s="19">
        <f>装备!M203</f>
        <v>0</v>
      </c>
      <c r="G243" s="19">
        <f>装备!N203</f>
        <v>0</v>
      </c>
      <c r="H243" s="19">
        <f>装备!O203</f>
        <v>0</v>
      </c>
      <c r="I243" s="19">
        <f>IF(装备!J203=0,0,"'"&amp;装备!J203&amp;"'")</f>
        <v>0</v>
      </c>
      <c r="J243" s="19">
        <f>IF(装备!K203=0,0,"'"&amp;装备!K203&amp;"'")</f>
        <v>0</v>
      </c>
      <c r="K243" s="19">
        <f>IF(装备!L203=0,0,"'"&amp;装备!L203&amp;"'")</f>
        <v>0</v>
      </c>
      <c r="L243" s="19">
        <f>IF(装备!M203=0,0,"'"&amp;装备!M203&amp;"'")</f>
        <v>0</v>
      </c>
      <c r="M243" s="19">
        <f>IF(装备!N203=0,0,"'"&amp;装备!N203&amp;"'")</f>
        <v>0</v>
      </c>
      <c r="N243" s="19">
        <f>IF(装备!O203=0,0,"'"&amp;装备!O203&amp;"'")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装备!A204</f>
        <v>0</v>
      </c>
      <c r="B244" s="19" t="str">
        <f>"'"&amp;装备!B204&amp;"'"</f>
        <v>''</v>
      </c>
      <c r="C244" s="19">
        <f>装备!J204</f>
        <v>0</v>
      </c>
      <c r="D244" s="19">
        <f>装备!K204</f>
        <v>0</v>
      </c>
      <c r="E244" s="19">
        <f>装备!L204</f>
        <v>0</v>
      </c>
      <c r="F244" s="19">
        <f>装备!M204</f>
        <v>0</v>
      </c>
      <c r="G244" s="19">
        <f>装备!N204</f>
        <v>0</v>
      </c>
      <c r="H244" s="19">
        <f>装备!O204</f>
        <v>0</v>
      </c>
      <c r="I244" s="19">
        <f>IF(装备!J204=0,0,"'"&amp;装备!J204&amp;"'")</f>
        <v>0</v>
      </c>
      <c r="J244" s="19">
        <f>IF(装备!K204=0,0,"'"&amp;装备!K204&amp;"'")</f>
        <v>0</v>
      </c>
      <c r="K244" s="19">
        <f>IF(装备!L204=0,0,"'"&amp;装备!L204&amp;"'")</f>
        <v>0</v>
      </c>
      <c r="L244" s="19">
        <f>IF(装备!M204=0,0,"'"&amp;装备!M204&amp;"'")</f>
        <v>0</v>
      </c>
      <c r="M244" s="19">
        <f>IF(装备!N204=0,0,"'"&amp;装备!N204&amp;"'")</f>
        <v>0</v>
      </c>
      <c r="N244" s="19">
        <f>IF(装备!O204=0,0,"'"&amp;装备!O204&amp;"'")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装备!A205</f>
        <v>0</v>
      </c>
      <c r="B245" s="19" t="str">
        <f>"'"&amp;装备!B205&amp;"'"</f>
        <v>''</v>
      </c>
      <c r="C245" s="19">
        <f>装备!J205</f>
        <v>0</v>
      </c>
      <c r="D245" s="19">
        <f>装备!K205</f>
        <v>0</v>
      </c>
      <c r="E245" s="19">
        <f>装备!L205</f>
        <v>0</v>
      </c>
      <c r="F245" s="19">
        <f>装备!M205</f>
        <v>0</v>
      </c>
      <c r="G245" s="19">
        <f>装备!N205</f>
        <v>0</v>
      </c>
      <c r="H245" s="19">
        <f>装备!O205</f>
        <v>0</v>
      </c>
      <c r="I245" s="19">
        <f>IF(装备!J205=0,0,"'"&amp;装备!J205&amp;"'")</f>
        <v>0</v>
      </c>
      <c r="J245" s="19">
        <f>IF(装备!K205=0,0,"'"&amp;装备!K205&amp;"'")</f>
        <v>0</v>
      </c>
      <c r="K245" s="19">
        <f>IF(装备!L205=0,0,"'"&amp;装备!L205&amp;"'")</f>
        <v>0</v>
      </c>
      <c r="L245" s="19">
        <f>IF(装备!M205=0,0,"'"&amp;装备!M205&amp;"'")</f>
        <v>0</v>
      </c>
      <c r="M245" s="19">
        <f>IF(装备!N205=0,0,"'"&amp;装备!N205&amp;"'")</f>
        <v>0</v>
      </c>
      <c r="N245" s="19">
        <f>IF(装备!O205=0,0,"'"&amp;装备!O205&amp;"'")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装备!A206</f>
        <v>0</v>
      </c>
      <c r="B246" s="19" t="str">
        <f>"'"&amp;装备!B206&amp;"'"</f>
        <v>''</v>
      </c>
      <c r="C246" s="19">
        <f>装备!J206</f>
        <v>0</v>
      </c>
      <c r="D246" s="19">
        <f>装备!K206</f>
        <v>0</v>
      </c>
      <c r="E246" s="19">
        <f>装备!L206</f>
        <v>0</v>
      </c>
      <c r="F246" s="19">
        <f>装备!M206</f>
        <v>0</v>
      </c>
      <c r="G246" s="19">
        <f>装备!N206</f>
        <v>0</v>
      </c>
      <c r="H246" s="19">
        <f>装备!O206</f>
        <v>0</v>
      </c>
      <c r="I246" s="19">
        <f>IF(装备!J206=0,0,"'"&amp;装备!J206&amp;"'")</f>
        <v>0</v>
      </c>
      <c r="J246" s="19">
        <f>IF(装备!K206=0,0,"'"&amp;装备!K206&amp;"'")</f>
        <v>0</v>
      </c>
      <c r="K246" s="19">
        <f>IF(装备!L206=0,0,"'"&amp;装备!L206&amp;"'")</f>
        <v>0</v>
      </c>
      <c r="L246" s="19">
        <f>IF(装备!M206=0,0,"'"&amp;装备!M206&amp;"'")</f>
        <v>0</v>
      </c>
      <c r="M246" s="19">
        <f>IF(装备!N206=0,0,"'"&amp;装备!N206&amp;"'")</f>
        <v>0</v>
      </c>
      <c r="N246" s="19">
        <f>IF(装备!O206=0,0,"'"&amp;装备!O206&amp;"'")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装备!A207</f>
        <v>0</v>
      </c>
      <c r="B247" s="19" t="str">
        <f>"'"&amp;装备!B207&amp;"'"</f>
        <v>''</v>
      </c>
      <c r="C247" s="19">
        <f>装备!J207</f>
        <v>0</v>
      </c>
      <c r="D247" s="19">
        <f>装备!K207</f>
        <v>0</v>
      </c>
      <c r="E247" s="19">
        <f>装备!L207</f>
        <v>0</v>
      </c>
      <c r="F247" s="19">
        <f>装备!M207</f>
        <v>0</v>
      </c>
      <c r="G247" s="19">
        <f>装备!N207</f>
        <v>0</v>
      </c>
      <c r="H247" s="19">
        <f>装备!O207</f>
        <v>0</v>
      </c>
      <c r="I247" s="19">
        <f>IF(装备!J207=0,0,"'"&amp;装备!J207&amp;"'")</f>
        <v>0</v>
      </c>
      <c r="J247" s="19">
        <f>IF(装备!K207=0,0,"'"&amp;装备!K207&amp;"'")</f>
        <v>0</v>
      </c>
      <c r="K247" s="19">
        <f>IF(装备!L207=0,0,"'"&amp;装备!L207&amp;"'")</f>
        <v>0</v>
      </c>
      <c r="L247" s="19">
        <f>IF(装备!M207=0,0,"'"&amp;装备!M207&amp;"'")</f>
        <v>0</v>
      </c>
      <c r="M247" s="19">
        <f>IF(装备!N207=0,0,"'"&amp;装备!N207&amp;"'")</f>
        <v>0</v>
      </c>
      <c r="N247" s="19">
        <f>IF(装备!O207=0,0,"'"&amp;装备!O207&amp;"'")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装备!A208</f>
        <v>0</v>
      </c>
      <c r="B248" s="19" t="str">
        <f>"'"&amp;装备!B208&amp;"'"</f>
        <v>''</v>
      </c>
      <c r="C248" s="19">
        <f>装备!J208</f>
        <v>0</v>
      </c>
      <c r="D248" s="19">
        <f>装备!K208</f>
        <v>0</v>
      </c>
      <c r="E248" s="19">
        <f>装备!L208</f>
        <v>0</v>
      </c>
      <c r="F248" s="19">
        <f>装备!M208</f>
        <v>0</v>
      </c>
      <c r="G248" s="19">
        <f>装备!N208</f>
        <v>0</v>
      </c>
      <c r="H248" s="19">
        <f>装备!O208</f>
        <v>0</v>
      </c>
      <c r="I248" s="19">
        <f>IF(装备!J208=0,0,"'"&amp;装备!J208&amp;"'")</f>
        <v>0</v>
      </c>
      <c r="J248" s="19">
        <f>IF(装备!K208=0,0,"'"&amp;装备!K208&amp;"'")</f>
        <v>0</v>
      </c>
      <c r="K248" s="19">
        <f>IF(装备!L208=0,0,"'"&amp;装备!L208&amp;"'")</f>
        <v>0</v>
      </c>
      <c r="L248" s="19">
        <f>IF(装备!M208=0,0,"'"&amp;装备!M208&amp;"'")</f>
        <v>0</v>
      </c>
      <c r="M248" s="19">
        <f>IF(装备!N208=0,0,"'"&amp;装备!N208&amp;"'")</f>
        <v>0</v>
      </c>
      <c r="N248" s="19">
        <f>IF(装备!O208=0,0,"'"&amp;装备!O208&amp;"'")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装备!A209</f>
        <v>0</v>
      </c>
      <c r="B249" s="19" t="str">
        <f>"'"&amp;装备!B209&amp;"'"</f>
        <v>''</v>
      </c>
      <c r="C249" s="19">
        <f>装备!J209</f>
        <v>0</v>
      </c>
      <c r="D249" s="19">
        <f>装备!K209</f>
        <v>0</v>
      </c>
      <c r="E249" s="19">
        <f>装备!L209</f>
        <v>0</v>
      </c>
      <c r="F249" s="19">
        <f>装备!M209</f>
        <v>0</v>
      </c>
      <c r="G249" s="19">
        <f>装备!N209</f>
        <v>0</v>
      </c>
      <c r="H249" s="19">
        <f>装备!O209</f>
        <v>0</v>
      </c>
      <c r="I249" s="19">
        <f>IF(装备!J209=0,0,"'"&amp;装备!J209&amp;"'")</f>
        <v>0</v>
      </c>
      <c r="J249" s="19">
        <f>IF(装备!K209=0,0,"'"&amp;装备!K209&amp;"'")</f>
        <v>0</v>
      </c>
      <c r="K249" s="19">
        <f>IF(装备!L209=0,0,"'"&amp;装备!L209&amp;"'")</f>
        <v>0</v>
      </c>
      <c r="L249" s="19">
        <f>IF(装备!M209=0,0,"'"&amp;装备!M209&amp;"'")</f>
        <v>0</v>
      </c>
      <c r="M249" s="19">
        <f>IF(装备!N209=0,0,"'"&amp;装备!N209&amp;"'")</f>
        <v>0</v>
      </c>
      <c r="N249" s="19">
        <f>IF(装备!O209=0,0,"'"&amp;装备!O209&amp;"'")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装备!A210</f>
        <v>0</v>
      </c>
      <c r="B250" s="19" t="str">
        <f>"'"&amp;装备!B210&amp;"'"</f>
        <v>''</v>
      </c>
      <c r="C250" s="19">
        <f>装备!J210</f>
        <v>0</v>
      </c>
      <c r="D250" s="19">
        <f>装备!K210</f>
        <v>0</v>
      </c>
      <c r="E250" s="19">
        <f>装备!L210</f>
        <v>0</v>
      </c>
      <c r="F250" s="19">
        <f>装备!M210</f>
        <v>0</v>
      </c>
      <c r="G250" s="19">
        <f>装备!N210</f>
        <v>0</v>
      </c>
      <c r="H250" s="19">
        <f>装备!O210</f>
        <v>0</v>
      </c>
      <c r="I250" s="19">
        <f>IF(装备!J210=0,0,"'"&amp;装备!J210&amp;"'")</f>
        <v>0</v>
      </c>
      <c r="J250" s="19">
        <f>IF(装备!K210=0,0,"'"&amp;装备!K210&amp;"'")</f>
        <v>0</v>
      </c>
      <c r="K250" s="19">
        <f>IF(装备!L210=0,0,"'"&amp;装备!L210&amp;"'")</f>
        <v>0</v>
      </c>
      <c r="L250" s="19">
        <f>IF(装备!M210=0,0,"'"&amp;装备!M210&amp;"'")</f>
        <v>0</v>
      </c>
      <c r="M250" s="19">
        <f>IF(装备!N210=0,0,"'"&amp;装备!N210&amp;"'")</f>
        <v>0</v>
      </c>
      <c r="N250" s="19">
        <f>IF(装备!O210=0,0,"'"&amp;装备!O210&amp;"'")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装备!A211</f>
        <v>0</v>
      </c>
      <c r="B251" s="19" t="str">
        <f>"'"&amp;装备!B211&amp;"'"</f>
        <v>''</v>
      </c>
      <c r="C251" s="19">
        <f>装备!J211</f>
        <v>0</v>
      </c>
      <c r="D251" s="19">
        <f>装备!K211</f>
        <v>0</v>
      </c>
      <c r="E251" s="19">
        <f>装备!L211</f>
        <v>0</v>
      </c>
      <c r="F251" s="19">
        <f>装备!M211</f>
        <v>0</v>
      </c>
      <c r="G251" s="19">
        <f>装备!N211</f>
        <v>0</v>
      </c>
      <c r="H251" s="19">
        <f>装备!O211</f>
        <v>0</v>
      </c>
      <c r="I251" s="19">
        <f>IF(装备!J211=0,0,"'"&amp;装备!J211&amp;"'")</f>
        <v>0</v>
      </c>
      <c r="J251" s="19">
        <f>IF(装备!K211=0,0,"'"&amp;装备!K211&amp;"'")</f>
        <v>0</v>
      </c>
      <c r="K251" s="19">
        <f>IF(装备!L211=0,0,"'"&amp;装备!L211&amp;"'")</f>
        <v>0</v>
      </c>
      <c r="L251" s="19">
        <f>IF(装备!M211=0,0,"'"&amp;装备!M211&amp;"'")</f>
        <v>0</v>
      </c>
      <c r="M251" s="19">
        <f>IF(装备!N211=0,0,"'"&amp;装备!N211&amp;"'")</f>
        <v>0</v>
      </c>
      <c r="N251" s="19">
        <f>IF(装备!O211=0,0,"'"&amp;装备!O211&amp;"'")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装备!A212</f>
        <v>0</v>
      </c>
      <c r="B252" s="19" t="str">
        <f>"'"&amp;装备!B212&amp;"'"</f>
        <v>''</v>
      </c>
      <c r="C252" s="19">
        <f>装备!J212</f>
        <v>0</v>
      </c>
      <c r="D252" s="19">
        <f>装备!K212</f>
        <v>0</v>
      </c>
      <c r="E252" s="19">
        <f>装备!L212</f>
        <v>0</v>
      </c>
      <c r="F252" s="19">
        <f>装备!M212</f>
        <v>0</v>
      </c>
      <c r="G252" s="19">
        <f>装备!N212</f>
        <v>0</v>
      </c>
      <c r="H252" s="19">
        <f>装备!O212</f>
        <v>0</v>
      </c>
      <c r="I252" s="19">
        <f>IF(装备!J212=0,0,"'"&amp;装备!J212&amp;"'")</f>
        <v>0</v>
      </c>
      <c r="J252" s="19">
        <f>IF(装备!K212=0,0,"'"&amp;装备!K212&amp;"'")</f>
        <v>0</v>
      </c>
      <c r="K252" s="19">
        <f>IF(装备!L212=0,0,"'"&amp;装备!L212&amp;"'")</f>
        <v>0</v>
      </c>
      <c r="L252" s="19">
        <f>IF(装备!M212=0,0,"'"&amp;装备!M212&amp;"'")</f>
        <v>0</v>
      </c>
      <c r="M252" s="19">
        <f>IF(装备!N212=0,0,"'"&amp;装备!N212&amp;"'")</f>
        <v>0</v>
      </c>
      <c r="N252" s="19">
        <f>IF(装备!O212=0,0,"'"&amp;装备!O212&amp;"'")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装备!A213</f>
        <v>0</v>
      </c>
      <c r="B253" s="19" t="str">
        <f>"'"&amp;装备!B213&amp;"'"</f>
        <v>''</v>
      </c>
      <c r="C253" s="19">
        <f>装备!J213</f>
        <v>0</v>
      </c>
      <c r="D253" s="19">
        <f>装备!K213</f>
        <v>0</v>
      </c>
      <c r="E253" s="19">
        <f>装备!L213</f>
        <v>0</v>
      </c>
      <c r="F253" s="19">
        <f>装备!M213</f>
        <v>0</v>
      </c>
      <c r="G253" s="19">
        <f>装备!N213</f>
        <v>0</v>
      </c>
      <c r="H253" s="19">
        <f>装备!O213</f>
        <v>0</v>
      </c>
      <c r="I253" s="19">
        <f>IF(装备!J213=0,0,"'"&amp;装备!J213&amp;"'")</f>
        <v>0</v>
      </c>
      <c r="J253" s="19">
        <f>IF(装备!K213=0,0,"'"&amp;装备!K213&amp;"'")</f>
        <v>0</v>
      </c>
      <c r="K253" s="19">
        <f>IF(装备!L213=0,0,"'"&amp;装备!L213&amp;"'")</f>
        <v>0</v>
      </c>
      <c r="L253" s="19">
        <f>IF(装备!M213=0,0,"'"&amp;装备!M213&amp;"'")</f>
        <v>0</v>
      </c>
      <c r="M253" s="19">
        <f>IF(装备!N213=0,0,"'"&amp;装备!N213&amp;"'")</f>
        <v>0</v>
      </c>
      <c r="N253" s="19">
        <f>IF(装备!O213=0,0,"'"&amp;装备!O213&amp;"'")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装备!A214</f>
        <v>0</v>
      </c>
      <c r="B254" s="19" t="str">
        <f>"'"&amp;装备!B214&amp;"'"</f>
        <v>''</v>
      </c>
      <c r="C254" s="19">
        <f>装备!J214</f>
        <v>0</v>
      </c>
      <c r="D254" s="19">
        <f>装备!K214</f>
        <v>0</v>
      </c>
      <c r="E254" s="19">
        <f>装备!L214</f>
        <v>0</v>
      </c>
      <c r="F254" s="19">
        <f>装备!M214</f>
        <v>0</v>
      </c>
      <c r="G254" s="19">
        <f>装备!N214</f>
        <v>0</v>
      </c>
      <c r="H254" s="19">
        <f>装备!O214</f>
        <v>0</v>
      </c>
      <c r="I254" s="19">
        <f>IF(装备!J214=0,0,"'"&amp;装备!J214&amp;"'")</f>
        <v>0</v>
      </c>
      <c r="J254" s="19">
        <f>IF(装备!K214=0,0,"'"&amp;装备!K214&amp;"'")</f>
        <v>0</v>
      </c>
      <c r="K254" s="19">
        <f>IF(装备!L214=0,0,"'"&amp;装备!L214&amp;"'")</f>
        <v>0</v>
      </c>
      <c r="L254" s="19">
        <f>IF(装备!M214=0,0,"'"&amp;装备!M214&amp;"'")</f>
        <v>0</v>
      </c>
      <c r="M254" s="19">
        <f>IF(装备!N214=0,0,"'"&amp;装备!N214&amp;"'")</f>
        <v>0</v>
      </c>
      <c r="N254" s="19">
        <f>IF(装备!O214=0,0,"'"&amp;装备!O214&amp;"'")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装备!A215</f>
        <v>0</v>
      </c>
      <c r="B255" s="19" t="str">
        <f>"'"&amp;装备!B215&amp;"'"</f>
        <v>''</v>
      </c>
      <c r="C255" s="19">
        <f>装备!J215</f>
        <v>0</v>
      </c>
      <c r="D255" s="19">
        <f>装备!K215</f>
        <v>0</v>
      </c>
      <c r="E255" s="19">
        <f>装备!L215</f>
        <v>0</v>
      </c>
      <c r="F255" s="19">
        <f>装备!M215</f>
        <v>0</v>
      </c>
      <c r="G255" s="19">
        <f>装备!N215</f>
        <v>0</v>
      </c>
      <c r="H255" s="19">
        <f>装备!O215</f>
        <v>0</v>
      </c>
      <c r="I255" s="19">
        <f>IF(装备!J215=0,0,"'"&amp;装备!J215&amp;"'")</f>
        <v>0</v>
      </c>
      <c r="J255" s="19">
        <f>IF(装备!K215=0,0,"'"&amp;装备!K215&amp;"'")</f>
        <v>0</v>
      </c>
      <c r="K255" s="19">
        <f>IF(装备!L215=0,0,"'"&amp;装备!L215&amp;"'")</f>
        <v>0</v>
      </c>
      <c r="L255" s="19">
        <f>IF(装备!M215=0,0,"'"&amp;装备!M215&amp;"'")</f>
        <v>0</v>
      </c>
      <c r="M255" s="19">
        <f>IF(装备!N215=0,0,"'"&amp;装备!N215&amp;"'")</f>
        <v>0</v>
      </c>
      <c r="N255" s="19">
        <f>IF(装备!O215=0,0,"'"&amp;装备!O215&amp;"'")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装备!A216</f>
        <v>0</v>
      </c>
      <c r="B256" s="19" t="str">
        <f>"'"&amp;装备!B216&amp;"'"</f>
        <v>''</v>
      </c>
      <c r="C256" s="19">
        <f>装备!J216</f>
        <v>0</v>
      </c>
      <c r="D256" s="19">
        <f>装备!K216</f>
        <v>0</v>
      </c>
      <c r="E256" s="19">
        <f>装备!L216</f>
        <v>0</v>
      </c>
      <c r="F256" s="19">
        <f>装备!M216</f>
        <v>0</v>
      </c>
      <c r="G256" s="19">
        <f>装备!N216</f>
        <v>0</v>
      </c>
      <c r="H256" s="19">
        <f>装备!O216</f>
        <v>0</v>
      </c>
      <c r="I256" s="19">
        <f>IF(装备!J216=0,0,"'"&amp;装备!J216&amp;"'")</f>
        <v>0</v>
      </c>
      <c r="J256" s="19">
        <f>IF(装备!K216=0,0,"'"&amp;装备!K216&amp;"'")</f>
        <v>0</v>
      </c>
      <c r="K256" s="19">
        <f>IF(装备!L216=0,0,"'"&amp;装备!L216&amp;"'")</f>
        <v>0</v>
      </c>
      <c r="L256" s="19">
        <f>IF(装备!M216=0,0,"'"&amp;装备!M216&amp;"'")</f>
        <v>0</v>
      </c>
      <c r="M256" s="19">
        <f>IF(装备!N216=0,0,"'"&amp;装备!N216&amp;"'")</f>
        <v>0</v>
      </c>
      <c r="N256" s="19">
        <f>IF(装备!O216=0,0,"'"&amp;装备!O216&amp;"'")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装备!A217</f>
        <v>0</v>
      </c>
      <c r="B257" s="19" t="str">
        <f>"'"&amp;装备!B217&amp;"'"</f>
        <v>''</v>
      </c>
      <c r="C257" s="19">
        <f>装备!J217</f>
        <v>0</v>
      </c>
      <c r="D257" s="19">
        <f>装备!K217</f>
        <v>0</v>
      </c>
      <c r="E257" s="19">
        <f>装备!L217</f>
        <v>0</v>
      </c>
      <c r="F257" s="19">
        <f>装备!M217</f>
        <v>0</v>
      </c>
      <c r="G257" s="19">
        <f>装备!N217</f>
        <v>0</v>
      </c>
      <c r="H257" s="19">
        <f>装备!O217</f>
        <v>0</v>
      </c>
      <c r="I257" s="19">
        <f>IF(装备!J217=0,0,"'"&amp;装备!J217&amp;"'")</f>
        <v>0</v>
      </c>
      <c r="J257" s="19">
        <f>IF(装备!K217=0,0,"'"&amp;装备!K217&amp;"'")</f>
        <v>0</v>
      </c>
      <c r="K257" s="19">
        <f>IF(装备!L217=0,0,"'"&amp;装备!L217&amp;"'")</f>
        <v>0</v>
      </c>
      <c r="L257" s="19">
        <f>IF(装备!M217=0,0,"'"&amp;装备!M217&amp;"'")</f>
        <v>0</v>
      </c>
      <c r="M257" s="19">
        <f>IF(装备!N217=0,0,"'"&amp;装备!N217&amp;"'")</f>
        <v>0</v>
      </c>
      <c r="N257" s="19">
        <f>IF(装备!O217=0,0,"'"&amp;装备!O217&amp;"'")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装备!A218</f>
        <v>0</v>
      </c>
      <c r="B258" s="19" t="str">
        <f>"'"&amp;装备!B218&amp;"'"</f>
        <v>''</v>
      </c>
      <c r="C258" s="19">
        <f>装备!J218</f>
        <v>0</v>
      </c>
      <c r="D258" s="19">
        <f>装备!K218</f>
        <v>0</v>
      </c>
      <c r="E258" s="19">
        <f>装备!L218</f>
        <v>0</v>
      </c>
      <c r="F258" s="19">
        <f>装备!M218</f>
        <v>0</v>
      </c>
      <c r="G258" s="19">
        <f>装备!N218</f>
        <v>0</v>
      </c>
      <c r="H258" s="19">
        <f>装备!O218</f>
        <v>0</v>
      </c>
      <c r="I258" s="19">
        <f>IF(装备!J218=0,0,"'"&amp;装备!J218&amp;"'")</f>
        <v>0</v>
      </c>
      <c r="J258" s="19">
        <f>IF(装备!K218=0,0,"'"&amp;装备!K218&amp;"'")</f>
        <v>0</v>
      </c>
      <c r="K258" s="19">
        <f>IF(装备!L218=0,0,"'"&amp;装备!L218&amp;"'")</f>
        <v>0</v>
      </c>
      <c r="L258" s="19">
        <f>IF(装备!M218=0,0,"'"&amp;装备!M218&amp;"'")</f>
        <v>0</v>
      </c>
      <c r="M258" s="19">
        <f>IF(装备!N218=0,0,"'"&amp;装备!N218&amp;"'")</f>
        <v>0</v>
      </c>
      <c r="N258" s="19">
        <f>IF(装备!O218=0,0,"'"&amp;装备!O218&amp;"'")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装备!A219</f>
        <v>0</v>
      </c>
      <c r="B259" s="19" t="str">
        <f>"'"&amp;装备!B219&amp;"'"</f>
        <v>''</v>
      </c>
      <c r="C259" s="19">
        <f>装备!J219</f>
        <v>0</v>
      </c>
      <c r="D259" s="19">
        <f>装备!K219</f>
        <v>0</v>
      </c>
      <c r="E259" s="19">
        <f>装备!L219</f>
        <v>0</v>
      </c>
      <c r="F259" s="19">
        <f>装备!M219</f>
        <v>0</v>
      </c>
      <c r="G259" s="19">
        <f>装备!N219</f>
        <v>0</v>
      </c>
      <c r="H259" s="19">
        <f>装备!O219</f>
        <v>0</v>
      </c>
      <c r="I259" s="19">
        <f>IF(装备!J219=0,0,"'"&amp;装备!J219&amp;"'")</f>
        <v>0</v>
      </c>
      <c r="J259" s="19">
        <f>IF(装备!K219=0,0,"'"&amp;装备!K219&amp;"'")</f>
        <v>0</v>
      </c>
      <c r="K259" s="19">
        <f>IF(装备!L219=0,0,"'"&amp;装备!L219&amp;"'")</f>
        <v>0</v>
      </c>
      <c r="L259" s="19">
        <f>IF(装备!M219=0,0,"'"&amp;装备!M219&amp;"'")</f>
        <v>0</v>
      </c>
      <c r="M259" s="19">
        <f>IF(装备!N219=0,0,"'"&amp;装备!N219&amp;"'")</f>
        <v>0</v>
      </c>
      <c r="N259" s="19">
        <f>IF(装备!O219=0,0,"'"&amp;装备!O219&amp;"'")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装备!A220</f>
        <v>0</v>
      </c>
      <c r="B260" s="19" t="str">
        <f>"'"&amp;装备!B220&amp;"'"</f>
        <v>''</v>
      </c>
      <c r="C260" s="19">
        <f>装备!J220</f>
        <v>0</v>
      </c>
      <c r="D260" s="19">
        <f>装备!K220</f>
        <v>0</v>
      </c>
      <c r="E260" s="19">
        <f>装备!L220</f>
        <v>0</v>
      </c>
      <c r="F260" s="19">
        <f>装备!M220</f>
        <v>0</v>
      </c>
      <c r="G260" s="19">
        <f>装备!N220</f>
        <v>0</v>
      </c>
      <c r="H260" s="19">
        <f>装备!O220</f>
        <v>0</v>
      </c>
      <c r="I260" s="19">
        <f>IF(装备!J220=0,0,"'"&amp;装备!J220&amp;"'")</f>
        <v>0</v>
      </c>
      <c r="J260" s="19">
        <f>IF(装备!K220=0,0,"'"&amp;装备!K220&amp;"'")</f>
        <v>0</v>
      </c>
      <c r="K260" s="19">
        <f>IF(装备!L220=0,0,"'"&amp;装备!L220&amp;"'")</f>
        <v>0</v>
      </c>
      <c r="L260" s="19">
        <f>IF(装备!M220=0,0,"'"&amp;装备!M220&amp;"'")</f>
        <v>0</v>
      </c>
      <c r="M260" s="19">
        <f>IF(装备!N220=0,0,"'"&amp;装备!N220&amp;"'")</f>
        <v>0</v>
      </c>
      <c r="N260" s="19">
        <f>IF(装备!O220=0,0,"'"&amp;装备!O220&amp;"'")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装备!A221</f>
        <v>0</v>
      </c>
      <c r="B261" s="19" t="str">
        <f>"'"&amp;装备!B221&amp;"'"</f>
        <v>''</v>
      </c>
      <c r="C261" s="19">
        <f>装备!J221</f>
        <v>0</v>
      </c>
      <c r="D261" s="19">
        <f>装备!K221</f>
        <v>0</v>
      </c>
      <c r="E261" s="19">
        <f>装备!L221</f>
        <v>0</v>
      </c>
      <c r="F261" s="19">
        <f>装备!M221</f>
        <v>0</v>
      </c>
      <c r="G261" s="19">
        <f>装备!N221</f>
        <v>0</v>
      </c>
      <c r="H261" s="19">
        <f>装备!O221</f>
        <v>0</v>
      </c>
      <c r="I261" s="19">
        <f>IF(装备!J221=0,0,"'"&amp;装备!J221&amp;"'")</f>
        <v>0</v>
      </c>
      <c r="J261" s="19">
        <f>IF(装备!K221=0,0,"'"&amp;装备!K221&amp;"'")</f>
        <v>0</v>
      </c>
      <c r="K261" s="19">
        <f>IF(装备!L221=0,0,"'"&amp;装备!L221&amp;"'")</f>
        <v>0</v>
      </c>
      <c r="L261" s="19">
        <f>IF(装备!M221=0,0,"'"&amp;装备!M221&amp;"'")</f>
        <v>0</v>
      </c>
      <c r="M261" s="19">
        <f>IF(装备!N221=0,0,"'"&amp;装备!N221&amp;"'")</f>
        <v>0</v>
      </c>
      <c r="N261" s="19">
        <f>IF(装备!O221=0,0,"'"&amp;装备!O221&amp;"'")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装备!A222</f>
        <v>0</v>
      </c>
      <c r="B262" s="19" t="str">
        <f>"'"&amp;装备!B222&amp;"'"</f>
        <v>''</v>
      </c>
      <c r="C262" s="19">
        <f>装备!J222</f>
        <v>0</v>
      </c>
      <c r="D262" s="19">
        <f>装备!K222</f>
        <v>0</v>
      </c>
      <c r="E262" s="19">
        <f>装备!L222</f>
        <v>0</v>
      </c>
      <c r="F262" s="19">
        <f>装备!M222</f>
        <v>0</v>
      </c>
      <c r="G262" s="19">
        <f>装备!N222</f>
        <v>0</v>
      </c>
      <c r="H262" s="19">
        <f>装备!O222</f>
        <v>0</v>
      </c>
      <c r="I262" s="19">
        <f>IF(装备!J222=0,0,"'"&amp;装备!J222&amp;"'")</f>
        <v>0</v>
      </c>
      <c r="J262" s="19">
        <f>IF(装备!K222=0,0,"'"&amp;装备!K222&amp;"'")</f>
        <v>0</v>
      </c>
      <c r="K262" s="19">
        <f>IF(装备!L222=0,0,"'"&amp;装备!L222&amp;"'")</f>
        <v>0</v>
      </c>
      <c r="L262" s="19">
        <f>IF(装备!M222=0,0,"'"&amp;装备!M222&amp;"'")</f>
        <v>0</v>
      </c>
      <c r="M262" s="19">
        <f>IF(装备!N222=0,0,"'"&amp;装备!N222&amp;"'")</f>
        <v>0</v>
      </c>
      <c r="N262" s="19">
        <f>IF(装备!O222=0,0,"'"&amp;装备!O222&amp;"'")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装备!A223</f>
        <v>0</v>
      </c>
      <c r="B263" s="19" t="str">
        <f>"'"&amp;装备!B223&amp;"'"</f>
        <v>''</v>
      </c>
      <c r="C263" s="19">
        <f>装备!J223</f>
        <v>0</v>
      </c>
      <c r="D263" s="19">
        <f>装备!K223</f>
        <v>0</v>
      </c>
      <c r="E263" s="19">
        <f>装备!L223</f>
        <v>0</v>
      </c>
      <c r="F263" s="19">
        <f>装备!M223</f>
        <v>0</v>
      </c>
      <c r="G263" s="19">
        <f>装备!N223</f>
        <v>0</v>
      </c>
      <c r="H263" s="19">
        <f>装备!O223</f>
        <v>0</v>
      </c>
      <c r="I263" s="19">
        <f>IF(装备!J223=0,0,"'"&amp;装备!J223&amp;"'")</f>
        <v>0</v>
      </c>
      <c r="J263" s="19">
        <f>IF(装备!K223=0,0,"'"&amp;装备!K223&amp;"'")</f>
        <v>0</v>
      </c>
      <c r="K263" s="19">
        <f>IF(装备!L223=0,0,"'"&amp;装备!L223&amp;"'")</f>
        <v>0</v>
      </c>
      <c r="L263" s="19">
        <f>IF(装备!M223=0,0,"'"&amp;装备!M223&amp;"'")</f>
        <v>0</v>
      </c>
      <c r="M263" s="19">
        <f>IF(装备!N223=0,0,"'"&amp;装备!N223&amp;"'")</f>
        <v>0</v>
      </c>
      <c r="N263" s="19">
        <f>IF(装备!O223=0,0,"'"&amp;装备!O223&amp;"'")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845</v>
      </c>
      <c r="G1" s="9" t="s">
        <v>846</v>
      </c>
      <c r="H1" s="10" t="s">
        <v>847</v>
      </c>
      <c r="I1" s="11" t="s">
        <v>848</v>
      </c>
      <c r="J1" s="13" t="s">
        <v>291</v>
      </c>
      <c r="K1" s="14" t="s">
        <v>95</v>
      </c>
      <c r="L1" s="15" t="s">
        <v>96</v>
      </c>
      <c r="M1" s="16" t="s">
        <v>293</v>
      </c>
      <c r="N1" s="17" t="s">
        <v>294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2000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InitEquipData('E001',0,0,2000,0,0,'E002',0,0)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2000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si="0"/>
        <v>InitEquipData('E002',0,0,2000,0,0,'E003',0,0)</v>
      </c>
      <c r="N4" t="str">
        <f t="shared" si="1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2000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0"/>
        <v>InitEquipData('E003',0,0,2000,0,0,'E004',0,0)</v>
      </c>
      <c r="N5" t="str">
        <f t="shared" si="1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2000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0"/>
        <v>InitEquipData('E004',0,0,2000,0,0,'E005',0,0)</v>
      </c>
      <c r="N6" t="str">
        <f t="shared" si="1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0"/>
        <v>InitEquipData('E005',0,0,5000,0,'uE01','E006',0,0)</v>
      </c>
      <c r="N7" t="str">
        <f t="shared" si="1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10000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0"/>
        <v>InitEquipData('E006',0,0,10000,0,0,'E007',0,0)</v>
      </c>
      <c r="N8" t="str">
        <f t="shared" si="1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10000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0"/>
        <v>InitEquipData('E007',0,0,10000,0,0,'E008',0,0)</v>
      </c>
      <c r="N9" t="str">
        <f t="shared" si="1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10000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0"/>
        <v>InitEquipData('E008',0,0,10000,0,0,'E009',0,0)</v>
      </c>
      <c r="N10" t="str">
        <f t="shared" si="1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10000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0"/>
        <v>InitEquipData('E009',0,0,10000,0,0,'E010',0,0)</v>
      </c>
      <c r="N11" t="str">
        <f t="shared" si="1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42000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0"/>
        <v>InitEquipData('E010',0,0,42000,0,'uE02','E011',0,0)</v>
      </c>
      <c r="N12" t="str">
        <f t="shared" si="1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27000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0"/>
        <v>InitEquipData('E011',0,0,27000,0,0,'E012',0,0)</v>
      </c>
      <c r="N13" t="str">
        <f t="shared" si="1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27000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0"/>
        <v>InitEquipData('E012',0,0,27000,0,0,'E013',0,0)</v>
      </c>
      <c r="N14" t="str">
        <f t="shared" si="1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27000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0"/>
        <v>InitEquipData('E013',0,0,27000,0,0,'E014',0,0)</v>
      </c>
      <c r="N15" t="str">
        <f t="shared" si="1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27000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0"/>
        <v>InitEquipData('E014',0,0,27000,0,0,'E015',0,0)</v>
      </c>
      <c r="N16" t="str">
        <f t="shared" si="1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150000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0"/>
        <v>InitEquipData('E015',0,0,150000,0,'uE03','E016',0,0)</v>
      </c>
      <c r="N17" t="str">
        <f t="shared" si="1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0"/>
        <v>InitEquipData('E016',0,0,35000,0,0,'E017',0,0)</v>
      </c>
      <c r="N18" t="str">
        <f t="shared" si="1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0"/>
        <v>InitEquipData('E017',0,0,35000,0,0,'E018',0,0)</v>
      </c>
      <c r="N19" t="str">
        <f t="shared" si="1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0"/>
        <v>InitEquipData('E018',0,0,35000,0,0,'E019',0,0)</v>
      </c>
      <c r="N20" t="str">
        <f t="shared" si="1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0"/>
        <v>InitEquipData('E019',0,0,35000,0,0,'E020',0,0)</v>
      </c>
      <c r="N21" t="str">
        <f t="shared" si="1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230000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0"/>
        <v>InitEquipData('E020',0,0,230000,0,'uE04','E021',0,0)</v>
      </c>
      <c r="N22" t="str">
        <f t="shared" si="1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0"/>
        <v>InitEquipData('E021',0,0,42000,0,0,'E022',0,0)</v>
      </c>
      <c r="N23" t="str">
        <f t="shared" si="1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0"/>
        <v>InitEquipData('E022',0,0,42000,0,0,'E023',0,0)</v>
      </c>
      <c r="N24" t="str">
        <f t="shared" si="1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0"/>
        <v>InitEquipData('E023',0,0,42000,0,0,'E024',0,0)</v>
      </c>
      <c r="N25" t="str">
        <f t="shared" si="1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0"/>
        <v>InitEquipData('E024',0,0,42000,0,0,'E025',0,0)</v>
      </c>
      <c r="N26" t="str">
        <f t="shared" si="1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0"/>
        <v/>
      </c>
      <c r="N27" t="str">
        <f t="shared" si="1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2000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0"/>
        <v>InitEquipData('E101',0,0,2000,0,0,'E102',0,0)</v>
      </c>
      <c r="N28" t="str">
        <f t="shared" si="1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2000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0"/>
        <v>InitEquipData('E102',0,0,2000,0,0,'E103',0,0)</v>
      </c>
      <c r="N29" t="str">
        <f t="shared" si="1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2000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0"/>
        <v>InitEquipData('E103',0,0,2000,0,0,'E104',0,0)</v>
      </c>
      <c r="N30" t="str">
        <f t="shared" si="1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2000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0"/>
        <v>InitEquipData('E104',0,0,2000,0,0,'E105',0,0)</v>
      </c>
      <c r="N31" t="str">
        <f t="shared" si="1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0"/>
        <v>InitEquipData('E105',0,0,5000,0,'uE11','E106',0,0)</v>
      </c>
      <c r="N32" t="str">
        <f t="shared" si="1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10000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0"/>
        <v>InitEquipData('E106',0,0,10000,0,0,'E107',0,0)</v>
      </c>
      <c r="N33" t="str">
        <f t="shared" si="1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10000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0"/>
        <v>InitEquipData('E107',0,0,10000,0,0,'E108',0,0)</v>
      </c>
      <c r="N34" t="str">
        <f t="shared" si="1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10000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0"/>
        <v>InitEquipData('E108',0,0,10000,0,0,'E109',0,0)</v>
      </c>
      <c r="N35" t="str">
        <f t="shared" si="1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10000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0"/>
        <v>InitEquipData('E109',0,0,10000,0,0,'E110',0,0)</v>
      </c>
      <c r="N36" t="str">
        <f t="shared" si="1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42000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0"/>
        <v>InitEquipData('E110',0,0,42000,0,'uE12','E111',0,0)</v>
      </c>
      <c r="N37" t="str">
        <f t="shared" si="1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27000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0"/>
        <v>InitEquipData('E111',0,0,27000,0,0,'E112',0,0)</v>
      </c>
      <c r="N38" t="str">
        <f t="shared" si="1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27000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0"/>
        <v>InitEquipData('E112',0,0,27000,0,0,'E113',0,0)</v>
      </c>
      <c r="N39" t="str">
        <f t="shared" si="1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27000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0"/>
        <v>InitEquipData('E113',0,0,27000,0,0,'E114',0,0)</v>
      </c>
      <c r="N40" t="str">
        <f t="shared" si="1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27000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0"/>
        <v>InitEquipData('E114',0,0,27000,0,0,'E115',0,0)</v>
      </c>
      <c r="N41" t="str">
        <f t="shared" si="1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150000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0"/>
        <v>InitEquipData('E115',0,0,150000,0,'uE13','E116',0,0)</v>
      </c>
      <c r="N42" t="str">
        <f t="shared" si="1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0"/>
        <v>InitEquipData('E116',0,0,35000,0,0,'E117',0,0)</v>
      </c>
      <c r="N43" t="str">
        <f t="shared" si="1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0"/>
        <v>InitEquipData('E117',0,0,35000,0,0,'E118',0,0)</v>
      </c>
      <c r="N44" t="str">
        <f t="shared" si="1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0"/>
        <v>InitEquipData('E118',0,0,35000,0,0,'E119',0,0)</v>
      </c>
      <c r="N45" t="str">
        <f t="shared" si="1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0"/>
        <v>InitEquipData('E119',0,0,35000,0,0,'E120',0,0)</v>
      </c>
      <c r="N46" t="str">
        <f t="shared" si="1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230000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0"/>
        <v>InitEquipData('E120',0,0,230000,0,'uE14','E121',0,0)</v>
      </c>
      <c r="N47" t="str">
        <f t="shared" si="1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0"/>
        <v>InitEquipData('E121',0,0,42000,0,0,'E122',0,0)</v>
      </c>
      <c r="N48" t="str">
        <f t="shared" si="1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0"/>
        <v>InitEquipData('E122',0,0,42000,0,0,'E123',0,0)</v>
      </c>
      <c r="N49" t="str">
        <f t="shared" si="1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0"/>
        <v>InitEquipData('E123',0,0,42000,0,0,'E124',0,0)</v>
      </c>
      <c r="N50" t="str">
        <f t="shared" si="1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0"/>
        <v>InitEquipData('E124',0,0,42000,0,0,'E125',0,0)</v>
      </c>
      <c r="N51" t="str">
        <f t="shared" si="1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0"/>
        <v/>
      </c>
      <c r="N52" t="str">
        <f t="shared" si="1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2000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0"/>
        <v>InitEquipData('E201',0,0,2000,0,0,'E202',0,0)</v>
      </c>
      <c r="N53" t="str">
        <f t="shared" si="1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2000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0"/>
        <v>InitEquipData('E202',0,0,2000,0,0,'E203',0,0)</v>
      </c>
      <c r="N54" t="str">
        <f t="shared" si="1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2000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0"/>
        <v>InitEquipData('E203',0,0,2000,0,0,'E204',0,0)</v>
      </c>
      <c r="N55" t="str">
        <f t="shared" si="1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2000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0"/>
        <v>InitEquipData('E204',0,0,2000,0,0,'E205',0,0)</v>
      </c>
      <c r="N56" t="str">
        <f t="shared" si="1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0"/>
        <v>InitEquipData('E205',0,0,5000,0,'uE21','E206',0,0)</v>
      </c>
      <c r="N57" t="str">
        <f t="shared" si="1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10000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0"/>
        <v>InitEquipData('E206',0,0,10000,0,0,'E207',0,0)</v>
      </c>
      <c r="N58" t="str">
        <f t="shared" si="1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10000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0"/>
        <v>InitEquipData('E207',0,0,10000,0,0,'E208',0,0)</v>
      </c>
      <c r="N59" t="str">
        <f t="shared" si="1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10000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0"/>
        <v>InitEquipData('E208',0,0,10000,0,0,'E209',0,0)</v>
      </c>
      <c r="N60" t="str">
        <f t="shared" si="1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10000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0"/>
        <v>InitEquipData('E209',0,0,10000,0,0,'E210',0,0)</v>
      </c>
      <c r="N61" t="str">
        <f t="shared" si="1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42000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0"/>
        <v>InitEquipData('E210',0,0,42000,0,'uE22','E211',0,0)</v>
      </c>
      <c r="N62" t="str">
        <f t="shared" si="1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27000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0"/>
        <v>InitEquipData('E211',0,0,27000,0,0,'E212',0,0)</v>
      </c>
      <c r="N63" t="str">
        <f t="shared" si="1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27000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0"/>
        <v>InitEquipData('E212',0,0,27000,0,0,'E213',0,0)</v>
      </c>
      <c r="N64" t="str">
        <f t="shared" si="1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27000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0"/>
        <v>InitEquipData('E213',0,0,27000,0,0,'E214',0,0)</v>
      </c>
      <c r="N65" t="str">
        <f t="shared" si="1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27000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0"/>
        <v>InitEquipData('E214',0,0,27000,0,0,'E215',0,0)</v>
      </c>
      <c r="N66" t="str">
        <f t="shared" si="1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150000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0"/>
        <v>InitEquipData('E215',0,0,150000,0,'uE23','E216',0,0)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InitEquipData('E217',0,0,35000,0,0,'E218',0,0)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InitEquipData('E218',0,0,35000,0,0,'E219',0,0)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InitEquipData('E219',0,0,35000,0,0,'E220',0,0)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230000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InitEquipData('E220',0,0,230000,0,'uE24','E221',0,0)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InitEquipData('E221',0,0,42000,0,0,'E222',0,0)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InitEquipData('E222',0,0,42000,0,0,'E223',0,0)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InitEquipData('E223',0,0,42000,0,0,'E224',0,0)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InitEquipData('E224',0,0,42000,0,0,'E225',0,0)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"C级技能书"</v>
      </c>
      <c r="K88" t="str">
        <f>IF(装备!T89="","""""",""""&amp;装备!T89&amp;"""")</f>
        <v>"随机技能"</v>
      </c>
      <c r="L88" t="str">
        <f>IF(装备!U89="",0,""""&amp;装备!U89&amp;"""")</f>
        <v>"ReplaceableTextures\\CommandButtons\\BTNTome.blp"</v>
      </c>
      <c r="M88" t="str">
        <f t="shared" si="3"/>
        <v/>
      </c>
      <c r="N88" t="str">
        <f t="shared" si="2"/>
        <v>call InitTypeIdStrings('CS02',"C级技能书","ReplaceableTextures\\CommandButtons\\BTNTome.blp","随机技能")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"B级技能书"</v>
      </c>
      <c r="K89" t="str">
        <f>IF(装备!T90="","""""",""""&amp;装备!T90&amp;"""")</f>
        <v>"随机技能"</v>
      </c>
      <c r="L89" t="str">
        <f>IF(装备!U90="",0,""""&amp;装备!U90&amp;"""")</f>
        <v>"ReplaceableTextures\\CommandButtons\\BTNTome.blp"</v>
      </c>
      <c r="M89" t="str">
        <f t="shared" si="3"/>
        <v/>
      </c>
      <c r="N89" t="str">
        <f t="shared" si="2"/>
        <v>call InitTypeIdStrings('CS03',"B级技能书","ReplaceableTextures\\CommandButtons\\BTNTome.blp","随机技能")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"A级技能书"</v>
      </c>
      <c r="K90" t="str">
        <f>IF(装备!T91="","""""",""""&amp;装备!T91&amp;"""")</f>
        <v>"随机技能"</v>
      </c>
      <c r="L90" t="str">
        <f>IF(装备!U91="",0,""""&amp;装备!U91&amp;"""")</f>
        <v>"ReplaceableTextures\\CommandButtons\\BTNTome.blp"</v>
      </c>
      <c r="M90" t="str">
        <f t="shared" si="3"/>
        <v/>
      </c>
      <c r="N90" t="str">
        <f t="shared" si="2"/>
        <v>call InitTypeIdStrings('CS04',"A级技能书","ReplaceableTextures\\CommandButtons\\BTNTome.blp","随机技能")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"S级技能书"</v>
      </c>
      <c r="K91" t="str">
        <f>IF(装备!T92="","""""",""""&amp;装备!T92&amp;"""")</f>
        <v>"随机技能"</v>
      </c>
      <c r="L91" t="str">
        <f>IF(装备!U92="",0,""""&amp;装备!U92&amp;"""")</f>
        <v>"ReplaceableTextures\\CommandButtons\\BTNTome.blp"</v>
      </c>
      <c r="M91" t="str">
        <f t="shared" si="3"/>
        <v/>
      </c>
      <c r="N91" t="str">
        <f t="shared" si="2"/>
        <v>call InitTypeIdStrings('CS05',"S级技能书","ReplaceableTextures\\CommandButtons\\BTNTome.blp","随机技能")</v>
      </c>
    </row>
    <row r="92" spans="1:14">
      <c r="A92" t="str">
        <f>IF(装备!B93="",0,"'"&amp;装备!B93&amp;"'")</f>
        <v>'CF01'</v>
      </c>
      <c r="B92">
        <f>装备!D122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"随机法宝"</v>
      </c>
      <c r="L92" t="str">
        <f>IF(装备!U93="",0,""""&amp;装备!U93&amp;"""")</f>
        <v>"ReplaceableTextures\\CommandButtons\\BTNTome.blp"</v>
      </c>
      <c r="M92" t="str">
        <f t="shared" si="3"/>
        <v/>
      </c>
      <c r="N92" t="str">
        <f t="shared" si="2"/>
        <v>call InitTypeIdStrings('CF01',"随机法宝","ReplaceableTextures\\CommandButtons\\BTNTome.blp","随机法宝")</v>
      </c>
    </row>
    <row r="93" spans="1:14">
      <c r="A93" t="str">
        <f>IF(装备!B122="",0,"'"&amp;装备!B122&amp;"'")</f>
        <v>'IP01'</v>
      </c>
      <c r="B93">
        <f>装备!D123</f>
        <v>0</v>
      </c>
      <c r="C93">
        <f>装备!E122</f>
        <v>0</v>
      </c>
      <c r="D93">
        <f>装备!F122</f>
        <v>0</v>
      </c>
      <c r="E93">
        <f>IF(ISTEXT(装备!G122)=TRUE,"'"&amp;装备!G122&amp;"'",装备!G122)</f>
        <v>0</v>
      </c>
      <c r="F93">
        <f>IF(ISTEXT(装备!H122)=TRUE,"'"&amp;装备!H122&amp;"'",装备!H122)</f>
        <v>0</v>
      </c>
      <c r="G93">
        <f>IF(装备!I122="",0,"'"&amp;装备!I122&amp;"'")</f>
        <v>0</v>
      </c>
      <c r="H93">
        <f>IF(装备!R122="",0,装备!R122)</f>
        <v>0</v>
      </c>
      <c r="I93">
        <f>IF(装备!S122="",0,装备!S122)</f>
        <v>0</v>
      </c>
      <c r="J93" t="str">
        <f>IF(装备!C122="",0,""""&amp;装备!C122&amp;"""")</f>
        <v>"时渊碎片"</v>
      </c>
      <c r="K93" t="str">
        <f>IF(装备!T122="","""""",""""&amp;装备!T122&amp;"""")</f>
        <v>"进入时渊副本消耗时渊碎片"</v>
      </c>
      <c r="L93" t="str">
        <f>IF(装备!U122="",0,""""&amp;装备!U122&amp;"""")</f>
        <v>"ReplaceableTextures\\CommandButtons\\BTNTome.blp"</v>
      </c>
      <c r="M93" t="str">
        <f t="shared" si="3"/>
        <v/>
      </c>
      <c r="N93" t="str">
        <f t="shared" si="2"/>
        <v>call InitTypeIdStrings('IP01',"时渊碎片","ReplaceableTextures\\CommandButtons\\BTNTome.blp","进入时渊副本消耗时渊碎片")</v>
      </c>
    </row>
    <row r="94" spans="1:14">
      <c r="A94" t="str">
        <f>IF(装备!B123="",0,"'"&amp;装备!B123&amp;"'")</f>
        <v>'IP02'</v>
      </c>
      <c r="B94">
        <f>装备!D124</f>
        <v>0</v>
      </c>
      <c r="C94">
        <f>装备!E123</f>
        <v>0</v>
      </c>
      <c r="D94">
        <f>装备!F123</f>
        <v>0</v>
      </c>
      <c r="E94">
        <f>IF(ISTEXT(装备!G123)=TRUE,"'"&amp;装备!G123&amp;"'",装备!G123)</f>
        <v>0</v>
      </c>
      <c r="F94">
        <f>IF(ISTEXT(装备!H123)=TRUE,"'"&amp;装备!H123&amp;"'",装备!H123)</f>
        <v>0</v>
      </c>
      <c r="G94">
        <f>IF(装备!I123="",0,"'"&amp;装备!I123&amp;"'")</f>
        <v>0</v>
      </c>
      <c r="H94">
        <f>IF(装备!R123="",0,装备!R123)</f>
        <v>0</v>
      </c>
      <c r="I94">
        <f>IF(装备!S123="",0,装备!S123)</f>
        <v>0</v>
      </c>
      <c r="J94" t="str">
        <f>IF(装备!C123="",0,""""&amp;装备!C123&amp;"""")</f>
        <v>"补天石"</v>
      </c>
      <c r="K94" t="str">
        <f>IF(装备!T123="","""""",""""&amp;装备!T123&amp;"""")</f>
        <v>"消耗补天石，可重铸指定法宝"</v>
      </c>
      <c r="L94" t="str">
        <f>IF(装备!U123="",0,""""&amp;装备!U123&amp;"""")</f>
        <v>"ReplaceableTextures\\CommandButtons\\BTNTome.blp"</v>
      </c>
      <c r="M94" t="str">
        <f t="shared" si="3"/>
        <v/>
      </c>
      <c r="N94" t="str">
        <f t="shared" si="2"/>
        <v>call InitTypeIdStrings('IP02',"补天石","ReplaceableTextures\\CommandButtons\\BTNTome.blp","消耗补天石，可重铸指定法宝")</v>
      </c>
    </row>
    <row r="95" spans="1:14">
      <c r="A95" t="str">
        <f>IF(装备!B124="",0,"'"&amp;装备!B124&amp;"'")</f>
        <v>'IP03'</v>
      </c>
      <c r="B95">
        <f>装备!D125</f>
        <v>0</v>
      </c>
      <c r="C95">
        <f>装备!E124</f>
        <v>0</v>
      </c>
      <c r="D95">
        <f>装备!F124</f>
        <v>0</v>
      </c>
      <c r="E95">
        <f>IF(ISTEXT(装备!G124)=TRUE,"'"&amp;装备!G124&amp;"'",装备!G124)</f>
        <v>0</v>
      </c>
      <c r="F95">
        <f>IF(ISTEXT(装备!H124)=TRUE,"'"&amp;装备!H124&amp;"'",装备!H124)</f>
        <v>0</v>
      </c>
      <c r="G95">
        <f>IF(装备!I124="",0,"'"&amp;装备!I124&amp;"'")</f>
        <v>0</v>
      </c>
      <c r="H95">
        <f>IF(装备!R124="",0,装备!R124)</f>
        <v>0</v>
      </c>
      <c r="I95">
        <f>IF(装备!S124="",0,装备!S124)</f>
        <v>0</v>
      </c>
      <c r="J95" t="str">
        <f>IF(装备!C124="",0,""""&amp;装备!C124&amp;"""")</f>
        <v>"鸿蒙结晶"</v>
      </c>
      <c r="K95" t="str">
        <f>IF(装备!T124="","""""",""""&amp;装备!T124&amp;"""")</f>
        <v>"消耗鸿蒙结晶，可将指定法宝锻造为高一品阶的随机法宝。"</v>
      </c>
      <c r="L95" t="str">
        <f>IF(装备!U124="",0,""""&amp;装备!U124&amp;"""")</f>
        <v>"ReplaceableTextures\\CommandButtons\\BTNTome.blp"</v>
      </c>
      <c r="M95" t="str">
        <f t="shared" si="3"/>
        <v/>
      </c>
      <c r="N95" t="str">
        <f t="shared" si="2"/>
        <v>call InitTypeIdStrings('IP03',"鸿蒙结晶","ReplaceableTextures\\CommandButtons\\BTNTome.blp","消耗鸿蒙结晶，可将指定法宝锻造为高一品阶的随机法宝。")</v>
      </c>
    </row>
    <row r="96" spans="1:14">
      <c r="A96" t="str">
        <f>IF(装备!B125="",0,"'"&amp;装备!B125&amp;"'")</f>
        <v>'IT01'</v>
      </c>
      <c r="B96">
        <f>装备!D126</f>
        <v>0</v>
      </c>
      <c r="C96">
        <f>装备!E125</f>
        <v>0</v>
      </c>
      <c r="D96">
        <f>装备!F125</f>
        <v>0</v>
      </c>
      <c r="E96">
        <f>IF(ISTEXT(装备!G125)=TRUE,"'"&amp;装备!G125&amp;"'",装备!G125)</f>
        <v>0</v>
      </c>
      <c r="F96">
        <f>IF(ISTEXT(装备!H125)=TRUE,"'"&amp;装备!H125&amp;"'",装备!H125)</f>
        <v>0</v>
      </c>
      <c r="G96">
        <f>IF(装备!I125="",0,"'"&amp;装备!I125&amp;"'")</f>
        <v>0</v>
      </c>
      <c r="H96">
        <f>IF(装备!R125="",0,装备!R125)</f>
        <v>-7657</v>
      </c>
      <c r="I96">
        <f>IF(装备!S125="",0,装备!S125)</f>
        <v>-4635</v>
      </c>
      <c r="J96" t="str">
        <f>IF(装备!C125="",0,""""&amp;装备!C125&amp;"""")</f>
        <v>"境界挑战1"</v>
      </c>
      <c r="K96" t="str">
        <f>IF(装备!T125="","""""",""""&amp;装备!T125&amp;"""")</f>
        <v>"境界挑战1"</v>
      </c>
      <c r="L96" t="str">
        <f>IF(装备!U125="",0,""""&amp;装备!U125&amp;"""")</f>
        <v>"ReplaceableTextures\\CommandButtons\\BTNTome.blp"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InitTypeIdStrings('IT01',"境界挑战1","ReplaceableTextures\\CommandButtons\\BTNTome.blp","境界挑战1")</v>
      </c>
    </row>
    <row r="97" spans="1:14">
      <c r="A97" t="str">
        <f>IF(装备!B126="",0,"'"&amp;装备!B126&amp;"'")</f>
        <v>'IT02'</v>
      </c>
      <c r="B97">
        <f>装备!D127</f>
        <v>0</v>
      </c>
      <c r="C97">
        <f>装备!E126</f>
        <v>0</v>
      </c>
      <c r="D97">
        <f>装备!F126</f>
        <v>0</v>
      </c>
      <c r="E97">
        <f>IF(ISTEXT(装备!G126)=TRUE,"'"&amp;装备!G126&amp;"'",装备!G126)</f>
        <v>0</v>
      </c>
      <c r="F97">
        <f>IF(ISTEXT(装备!H126)=TRUE,"'"&amp;装备!H126&amp;"'",装备!H126)</f>
        <v>0</v>
      </c>
      <c r="G97">
        <f>IF(装备!I126="",0,"'"&amp;装备!I126&amp;"'")</f>
        <v>0</v>
      </c>
      <c r="H97">
        <f>IF(装备!R126="",0,装备!R126)</f>
        <v>-7872</v>
      </c>
      <c r="I97">
        <f>IF(装备!S126="",0,装备!S126)</f>
        <v>-2816</v>
      </c>
      <c r="J97" t="str">
        <f>IF(装备!C126="",0,""""&amp;装备!C126&amp;"""")</f>
        <v>"境界挑战2"</v>
      </c>
      <c r="K97" t="str">
        <f>IF(装备!T126="","""""",""""&amp;装备!T126&amp;"""")</f>
        <v>"境界挑战2"</v>
      </c>
      <c r="L97" t="str">
        <f>IF(装备!U126="",0,""""&amp;装备!U126&amp;"""")</f>
        <v>"ReplaceableTextures\\CommandButtons\\BTNTome.blp"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InitTypeIdStrings('IT02',"境界挑战2","ReplaceableTextures\\CommandButtons\\BTNTome.blp","境界挑战2")</v>
      </c>
    </row>
    <row r="98" spans="1:14">
      <c r="A98" t="str">
        <f>IF(装备!B127="",0,"'"&amp;装备!B127&amp;"'")</f>
        <v>'IT03'</v>
      </c>
      <c r="B98">
        <f>装备!D128</f>
        <v>0</v>
      </c>
      <c r="C98">
        <f>装备!E127</f>
        <v>0</v>
      </c>
      <c r="D98">
        <f>装备!F127</f>
        <v>0</v>
      </c>
      <c r="E98">
        <f>IF(ISTEXT(装备!G127)=TRUE,"'"&amp;装备!G127&amp;"'",装备!G127)</f>
        <v>0</v>
      </c>
      <c r="F98">
        <f>IF(ISTEXT(装备!H127)=TRUE,"'"&amp;装备!H127&amp;"'",装备!H127)</f>
        <v>0</v>
      </c>
      <c r="G98">
        <f>IF(装备!I127="",0,"'"&amp;装备!I127&amp;"'")</f>
        <v>0</v>
      </c>
      <c r="H98">
        <f>IF(装备!R127="",0,装备!R127)</f>
        <v>-8048</v>
      </c>
      <c r="I98">
        <f>IF(装备!S127="",0,装备!S127)</f>
        <v>-1563</v>
      </c>
      <c r="J98" t="str">
        <f>IF(装备!C127="",0,""""&amp;装备!C127&amp;"""")</f>
        <v>"境界挑战3"</v>
      </c>
      <c r="K98" t="str">
        <f>IF(装备!T127="","""""",""""&amp;装备!T127&amp;"""")</f>
        <v>"境界挑战3"</v>
      </c>
      <c r="L98" t="str">
        <f>IF(装备!U127="",0,""""&amp;装备!U127&amp;"""")</f>
        <v>"ReplaceableTextures\\CommandButtons\\BTNTome.blp"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InitTypeIdStrings('IT03',"境界挑战3","ReplaceableTextures\\CommandButtons\\BTNTome.blp","境界挑战3")</v>
      </c>
    </row>
    <row r="99" spans="1:14">
      <c r="A99" t="str">
        <f>IF(装备!B128="",0,"'"&amp;装备!B128&amp;"'")</f>
        <v>'IT04'</v>
      </c>
      <c r="B99">
        <f>装备!D129</f>
        <v>0</v>
      </c>
      <c r="C99">
        <f>装备!E128</f>
        <v>0</v>
      </c>
      <c r="D99">
        <f>装备!F128</f>
        <v>0</v>
      </c>
      <c r="E99">
        <f>IF(ISTEXT(装备!G128)=TRUE,"'"&amp;装备!G128&amp;"'",装备!G128)</f>
        <v>0</v>
      </c>
      <c r="F99">
        <f>IF(ISTEXT(装备!H128)=TRUE,"'"&amp;装备!H128&amp;"'",装备!H128)</f>
        <v>0</v>
      </c>
      <c r="G99">
        <f>IF(装备!I128="",0,"'"&amp;装备!I128&amp;"'")</f>
        <v>0</v>
      </c>
      <c r="H99">
        <f>IF(装备!R128="",0,装备!R128)</f>
        <v>-7794</v>
      </c>
      <c r="I99">
        <f>IF(装备!S128="",0,装备!S128)</f>
        <v>195</v>
      </c>
      <c r="J99" t="str">
        <f>IF(装备!C128="",0,""""&amp;装备!C128&amp;"""")</f>
        <v>"境界挑战4"</v>
      </c>
      <c r="K99" t="str">
        <f>IF(装备!T128="","""""",""""&amp;装备!T128&amp;"""")</f>
        <v>"境界挑战4"</v>
      </c>
      <c r="L99" t="str">
        <f>IF(装备!U128="",0,""""&amp;装备!U128&amp;"""")</f>
        <v>"ReplaceableTextures\\CommandButtons\\BTNTome.blp"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InitTypeIdStrings('IT04',"境界挑战4","ReplaceableTextures\\CommandButtons\\BTNTome.blp","境界挑战4")</v>
      </c>
    </row>
    <row r="100" spans="1:14">
      <c r="A100" t="str">
        <f>IF(装备!B129="",0,"'"&amp;装备!B129&amp;"'")</f>
        <v>'IT05'</v>
      </c>
      <c r="B100">
        <f>装备!D130</f>
        <v>0</v>
      </c>
      <c r="C100">
        <f>装备!E129</f>
        <v>0</v>
      </c>
      <c r="D100">
        <f>装备!F129</f>
        <v>0</v>
      </c>
      <c r="E100">
        <f>IF(ISTEXT(装备!G129)=TRUE,"'"&amp;装备!G129&amp;"'",装备!G129)</f>
        <v>0</v>
      </c>
      <c r="F100">
        <f>IF(ISTEXT(装备!H129)=TRUE,"'"&amp;装备!H129&amp;"'",装备!H129)</f>
        <v>0</v>
      </c>
      <c r="G100">
        <f>IF(装备!I129="",0,"'"&amp;装备!I129&amp;"'")</f>
        <v>0</v>
      </c>
      <c r="H100">
        <f>IF(装备!R129="",0,装备!R129)</f>
        <v>-8110</v>
      </c>
      <c r="I100">
        <f>IF(装备!S129="",0,装备!S129)</f>
        <v>1810</v>
      </c>
      <c r="J100" t="str">
        <f>IF(装备!C129="",0,""""&amp;装备!C129&amp;"""")</f>
        <v>"境界挑战5"</v>
      </c>
      <c r="K100" t="str">
        <f>IF(装备!T129="","""""",""""&amp;装备!T129&amp;"""")</f>
        <v>"境界挑战5"</v>
      </c>
      <c r="L100" t="str">
        <f>IF(装备!U129="",0,""""&amp;装备!U129&amp;"""")</f>
        <v>"ReplaceableTextures\\CommandButtons\\BTNTome.blp"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InitTypeIdStrings('IT05',"境界挑战5","ReplaceableTextures\\CommandButtons\\BTNTome.blp","境界挑战5")</v>
      </c>
    </row>
    <row r="101" spans="1:14">
      <c r="A101" t="str">
        <f>IF(装备!B130="",0,"'"&amp;装备!B130&amp;"'")</f>
        <v>'IT06'</v>
      </c>
      <c r="B101">
        <f>装备!D131</f>
        <v>0</v>
      </c>
      <c r="C101">
        <f>装备!E130</f>
        <v>0</v>
      </c>
      <c r="D101">
        <f>装备!F130</f>
        <v>0</v>
      </c>
      <c r="E101">
        <f>IF(ISTEXT(装备!G130)=TRUE,"'"&amp;装备!G130&amp;"'",装备!G130)</f>
        <v>0</v>
      </c>
      <c r="F101">
        <f>IF(ISTEXT(装备!H130)=TRUE,"'"&amp;装备!H130&amp;"'",装备!H130)</f>
        <v>0</v>
      </c>
      <c r="G101">
        <f>IF(装备!I130="",0,"'"&amp;装备!I130&amp;"'")</f>
        <v>0</v>
      </c>
      <c r="H101">
        <f>IF(装备!R130="",0,装备!R130)</f>
        <v>-7896</v>
      </c>
      <c r="I101">
        <f>IF(装备!S130="",0,装备!S130)</f>
        <v>3839</v>
      </c>
      <c r="J101" t="str">
        <f>IF(装备!C130="",0,""""&amp;装备!C130&amp;"""")</f>
        <v>"境界挑战6"</v>
      </c>
      <c r="K101" t="str">
        <f>IF(装备!T130="","""""",""""&amp;装备!T130&amp;"""")</f>
        <v>"境界挑战6"</v>
      </c>
      <c r="L101" t="str">
        <f>IF(装备!U130="",0,""""&amp;装备!U130&amp;"""")</f>
        <v>"ReplaceableTextures\\CommandButtons\\BTNTome.blp"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InitTypeIdStrings('IT06',"境界挑战6","ReplaceableTextures\\CommandButtons\\BTNTome.blp","境界挑战6")</v>
      </c>
    </row>
    <row r="102" spans="1:14">
      <c r="A102" t="str">
        <f>IF(装备!B131="",0,"'"&amp;装备!B131&amp;"'")</f>
        <v>'IT07'</v>
      </c>
      <c r="B102">
        <f>装备!D132</f>
        <v>0</v>
      </c>
      <c r="C102">
        <f>装备!E131</f>
        <v>0</v>
      </c>
      <c r="D102">
        <f>装备!F131</f>
        <v>0</v>
      </c>
      <c r="E102">
        <f>IF(ISTEXT(装备!G131)=TRUE,"'"&amp;装备!G131&amp;"'",装备!G131)</f>
        <v>0</v>
      </c>
      <c r="F102">
        <f>IF(ISTEXT(装备!H131)=TRUE,"'"&amp;装备!H131&amp;"'",装备!H131)</f>
        <v>0</v>
      </c>
      <c r="G102">
        <f>IF(装备!I131="",0,"'"&amp;装备!I131&amp;"'")</f>
        <v>0</v>
      </c>
      <c r="H102">
        <f>IF(装备!R131="",0,装备!R131)</f>
        <v>-7896</v>
      </c>
      <c r="I102">
        <f>IF(装备!S131="",0,装备!S131)</f>
        <v>5906</v>
      </c>
      <c r="J102" t="str">
        <f>IF(装备!C131="",0,""""&amp;装备!C131&amp;"""")</f>
        <v>"境界挑战7"</v>
      </c>
      <c r="K102" t="str">
        <f>IF(装备!T131="","""""",""""&amp;装备!T131&amp;"""")</f>
        <v>"境界挑战7"</v>
      </c>
      <c r="L102" t="str">
        <f>IF(装备!U131="",0,""""&amp;装备!U131&amp;"""")</f>
        <v>"ReplaceableTextures\\CommandButtons\\BTNTome.blp"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InitTypeIdStrings('IT07',"境界挑战7","ReplaceableTextures\\CommandButtons\\BTNTome.blp","境界挑战7")</v>
      </c>
    </row>
    <row r="103" spans="1:14">
      <c r="A103" t="str">
        <f>IF(装备!B132="",0,"'"&amp;装备!B132&amp;"'")</f>
        <v>'IT08'</v>
      </c>
      <c r="B103">
        <f>装备!D133</f>
        <v>0</v>
      </c>
      <c r="C103">
        <f>装备!E132</f>
        <v>0</v>
      </c>
      <c r="D103">
        <f>装备!F132</f>
        <v>0</v>
      </c>
      <c r="E103">
        <f>IF(ISTEXT(装备!G132)=TRUE,"'"&amp;装备!G132&amp;"'",装备!G132)</f>
        <v>0</v>
      </c>
      <c r="F103">
        <f>IF(ISTEXT(装备!H132)=TRUE,"'"&amp;装备!H132&amp;"'",装备!H132)</f>
        <v>0</v>
      </c>
      <c r="G103">
        <f>IF(装备!I132="",0,"'"&amp;装备!I132&amp;"'")</f>
        <v>0</v>
      </c>
      <c r="H103">
        <f>IF(装备!R132="",0,装备!R132)</f>
        <v>-7970</v>
      </c>
      <c r="I103">
        <f>IF(装备!S132="",0,装备!S132)</f>
        <v>7965</v>
      </c>
      <c r="J103" t="str">
        <f>IF(装备!C132="",0,""""&amp;装备!C132&amp;"""")</f>
        <v>"境界挑战8"</v>
      </c>
      <c r="K103" t="str">
        <f>IF(装备!T132="","""""",""""&amp;装备!T132&amp;"""")</f>
        <v>"境界挑战8"</v>
      </c>
      <c r="L103" t="str">
        <f>IF(装备!U132="",0,""""&amp;装备!U132&amp;"""")</f>
        <v>"ReplaceableTextures\\CommandButtons\\BTNTome.blp"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InitTypeIdStrings('IT08',"境界挑战8","ReplaceableTextures\\CommandButtons\\BTNTome.blp","境界挑战8")</v>
      </c>
    </row>
    <row r="104" spans="1:14">
      <c r="A104" t="str">
        <f>IF(装备!B133="",0,"'"&amp;装备!B133&amp;"'")</f>
        <v>'IT09'</v>
      </c>
      <c r="B104">
        <f>装备!D134</f>
        <v>0</v>
      </c>
      <c r="C104">
        <f>装备!E133</f>
        <v>0</v>
      </c>
      <c r="D104">
        <f>装备!F133</f>
        <v>0</v>
      </c>
      <c r="E104">
        <f>IF(ISTEXT(装备!G133)=TRUE,"'"&amp;装备!G133&amp;"'",装备!G133)</f>
        <v>0</v>
      </c>
      <c r="F104">
        <f>IF(ISTEXT(装备!H133)=TRUE,"'"&amp;装备!H133&amp;"'",装备!H133)</f>
        <v>0</v>
      </c>
      <c r="G104">
        <f>IF(装备!I133="",0,"'"&amp;装备!I133&amp;"'")</f>
        <v>0</v>
      </c>
      <c r="H104">
        <f>IF(装备!R133="",0,装备!R133)</f>
        <v>1891</v>
      </c>
      <c r="I104">
        <f>IF(装备!S133="",0,装备!S133)</f>
        <v>-8026</v>
      </c>
      <c r="J104" t="str">
        <f>IF(装备!C133="",0,""""&amp;装备!C133&amp;"""")</f>
        <v>"境界挑战9"</v>
      </c>
      <c r="K104" t="str">
        <f>IF(装备!T133="","""""",""""&amp;装备!T133&amp;"""")</f>
        <v>"境界挑战9"</v>
      </c>
      <c r="L104" t="str">
        <f>IF(装备!U133="",0,""""&amp;装备!U133&amp;"""")</f>
        <v>"ReplaceableTextures\\CommandButtons\\BTNTome.blp"</v>
      </c>
      <c r="M104" t="str">
        <f t="shared" si="4"/>
        <v>InitEquipData('IT09',0,0,0,0,0,0,1891,-8026)</v>
      </c>
      <c r="N104" t="str">
        <f t="shared" si="5"/>
        <v>call InitTypeIdStrings('IT09',"境界挑战9","ReplaceableTextures\\CommandButtons\\BTNTome.blp","境界挑战9")</v>
      </c>
    </row>
    <row r="105" spans="1:14">
      <c r="A105" t="str">
        <f>IF(装备!B134="",0,"'"&amp;装备!B134&amp;"'")</f>
        <v>'IT10'</v>
      </c>
      <c r="B105">
        <f>装备!D135</f>
        <v>0</v>
      </c>
      <c r="C105">
        <f>装备!E134</f>
        <v>0</v>
      </c>
      <c r="D105">
        <f>装备!F134</f>
        <v>0</v>
      </c>
      <c r="E105">
        <f>IF(ISTEXT(装备!G134)=TRUE,"'"&amp;装备!G134&amp;"'",装备!G134)</f>
        <v>0</v>
      </c>
      <c r="F105">
        <f>IF(ISTEXT(装备!H134)=TRUE,"'"&amp;装备!H134&amp;"'",装备!H134)</f>
        <v>0</v>
      </c>
      <c r="G105">
        <f>IF(装备!I134="",0,"'"&amp;装备!I134&amp;"'")</f>
        <v>0</v>
      </c>
      <c r="H105">
        <f>IF(装备!R134="",0,装备!R134)</f>
        <v>4814</v>
      </c>
      <c r="I105">
        <f>IF(装备!S134="",0,装备!S134)</f>
        <v>-8830</v>
      </c>
      <c r="J105" t="str">
        <f>IF(装备!C134="",0,""""&amp;装备!C134&amp;"""")</f>
        <v>"境界挑战10"</v>
      </c>
      <c r="K105" t="str">
        <f>IF(装备!T134="","""""",""""&amp;装备!T134&amp;"""")</f>
        <v>"境界挑战10"</v>
      </c>
      <c r="L105" t="str">
        <f>IF(装备!U134="",0,""""&amp;装备!U134&amp;"""")</f>
        <v>"ReplaceableTextures\\CommandButtons\\BTNTome.blp"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InitTypeIdStrings('IT10',"境界挑战10","ReplaceableTextures\\CommandButtons\\BTNTome.blp","境界挑战10")</v>
      </c>
    </row>
    <row r="106" spans="1:14">
      <c r="A106" t="str">
        <f>IF(装备!B135="",0,"'"&amp;装备!B135&amp;"'")</f>
        <v>'IT11'</v>
      </c>
      <c r="B106">
        <f>装备!D136</f>
        <v>0</v>
      </c>
      <c r="C106">
        <f>装备!E135</f>
        <v>0</v>
      </c>
      <c r="D106">
        <f>装备!F135</f>
        <v>0</v>
      </c>
      <c r="E106">
        <f>IF(ISTEXT(装备!G135)=TRUE,"'"&amp;装备!G135&amp;"'",装备!G135)</f>
        <v>0</v>
      </c>
      <c r="F106">
        <f>IF(ISTEXT(装备!H135)=TRUE,"'"&amp;装备!H135&amp;"'",装备!H135)</f>
        <v>0</v>
      </c>
      <c r="G106">
        <f>IF(装备!I135="",0,"'"&amp;装备!I135&amp;"'")</f>
        <v>0</v>
      </c>
      <c r="H106">
        <f>IF(装备!R135="",0,装备!R135)</f>
        <v>7429</v>
      </c>
      <c r="I106">
        <f>IF(装备!S135="",0,装备!S135)</f>
        <v>-8773</v>
      </c>
      <c r="J106" t="str">
        <f>IF(装备!C135="",0,""""&amp;装备!C135&amp;"""")</f>
        <v>"境界挑战11"</v>
      </c>
      <c r="K106" t="str">
        <f>IF(装备!T135="","""""",""""&amp;装备!T135&amp;"""")</f>
        <v>"境界挑战11"</v>
      </c>
      <c r="L106" t="str">
        <f>IF(装备!U135="",0,""""&amp;装备!U135&amp;"""")</f>
        <v>"ReplaceableTextures\\CommandButtons\\BTNTome.blp"</v>
      </c>
      <c r="M106" t="str">
        <f t="shared" si="4"/>
        <v>InitEquipData('IT11',0,0,0,0,0,0,7429,-8773)</v>
      </c>
      <c r="N106" t="str">
        <f t="shared" si="5"/>
        <v>call InitTypeIdStrings('IT11',"境界挑战11","ReplaceableTextures\\CommandButtons\\BTNTome.blp","境界挑战11")</v>
      </c>
    </row>
    <row r="107" spans="1:14">
      <c r="A107" t="str">
        <f>IF(装备!B136="",0,"'"&amp;装备!B136&amp;"'")</f>
        <v>'IT12'</v>
      </c>
      <c r="B107">
        <f>装备!D137</f>
        <v>0</v>
      </c>
      <c r="C107">
        <f>装备!E136</f>
        <v>0</v>
      </c>
      <c r="D107">
        <f>装备!F136</f>
        <v>0</v>
      </c>
      <c r="E107">
        <f>IF(ISTEXT(装备!G136)=TRUE,"'"&amp;装备!G136&amp;"'",装备!G136)</f>
        <v>0</v>
      </c>
      <c r="F107">
        <f>IF(ISTEXT(装备!H136)=TRUE,"'"&amp;装备!H136&amp;"'",装备!H136)</f>
        <v>0</v>
      </c>
      <c r="G107">
        <f>IF(装备!I136="",0,"'"&amp;装备!I136&amp;"'")</f>
        <v>0</v>
      </c>
      <c r="H107">
        <f>IF(装备!R136="",0,装备!R136)</f>
        <v>1840</v>
      </c>
      <c r="I107">
        <f>IF(装备!S136="",0,装备!S136)</f>
        <v>-5224</v>
      </c>
      <c r="J107" t="str">
        <f>IF(装备!C136="",0,""""&amp;装备!C136&amp;"""")</f>
        <v>"境界挑战12"</v>
      </c>
      <c r="K107" t="str">
        <f>IF(装备!T136="","""""",""""&amp;装备!T136&amp;"""")</f>
        <v>"境界挑战12"</v>
      </c>
      <c r="L107" t="str">
        <f>IF(装备!U136="",0,""""&amp;装备!U136&amp;"""")</f>
        <v>"ReplaceableTextures\\CommandButtons\\BTNTome.blp"</v>
      </c>
      <c r="M107" t="str">
        <f t="shared" si="4"/>
        <v>InitEquipData('IT12',0,0,0,0,0,0,1840,-5224)</v>
      </c>
      <c r="N107" t="str">
        <f t="shared" si="5"/>
        <v>call InitTypeIdStrings('IT12',"境界挑战12","ReplaceableTextures\\CommandButtons\\BTNTome.blp","境界挑战12")</v>
      </c>
    </row>
    <row r="108" spans="1:14">
      <c r="A108" t="str">
        <f>IF(装备!B137="",0,"'"&amp;装备!B137&amp;"'")</f>
        <v>'IT13'</v>
      </c>
      <c r="B108">
        <f>装备!D138</f>
        <v>0</v>
      </c>
      <c r="C108">
        <f>装备!E137</f>
        <v>0</v>
      </c>
      <c r="D108">
        <f>装备!F137</f>
        <v>0</v>
      </c>
      <c r="E108">
        <f>IF(ISTEXT(装备!G137)=TRUE,"'"&amp;装备!G137&amp;"'",装备!G137)</f>
        <v>0</v>
      </c>
      <c r="F108">
        <f>IF(ISTEXT(装备!H137)=TRUE,"'"&amp;装备!H137&amp;"'",装备!H137)</f>
        <v>0</v>
      </c>
      <c r="G108">
        <f>IF(装备!I137="",0,"'"&amp;装备!I137&amp;"'")</f>
        <v>0</v>
      </c>
      <c r="H108">
        <f>IF(装备!R137="",0,装备!R137)</f>
        <v>4398</v>
      </c>
      <c r="I108">
        <f>IF(装备!S137="",0,装备!S137)</f>
        <v>-5206</v>
      </c>
      <c r="J108" t="str">
        <f>IF(装备!C137="",0,""""&amp;装备!C137&amp;"""")</f>
        <v>"境界挑战13"</v>
      </c>
      <c r="K108" t="str">
        <f>IF(装备!T137="","""""",""""&amp;装备!T137&amp;"""")</f>
        <v>"境界挑战13"</v>
      </c>
      <c r="L108" t="str">
        <f>IF(装备!U137="",0,""""&amp;装备!U137&amp;"""")</f>
        <v>"ReplaceableTextures\\CommandButtons\\BTNTome.blp"</v>
      </c>
      <c r="M108" t="str">
        <f t="shared" si="4"/>
        <v>InitEquipData('IT13',0,0,0,0,0,0,4398,-5206)</v>
      </c>
      <c r="N108" t="str">
        <f t="shared" si="5"/>
        <v>call InitTypeIdStrings('IT13',"境界挑战13","ReplaceableTextures\\CommandButtons\\BTNTome.blp","境界挑战13")</v>
      </c>
    </row>
    <row r="109" spans="1:14">
      <c r="A109" t="str">
        <f>IF(装备!B138="",0,"'"&amp;装备!B138&amp;"'")</f>
        <v>'IT14'</v>
      </c>
      <c r="B109">
        <f>装备!D140</f>
        <v>0</v>
      </c>
      <c r="C109">
        <f>装备!E138</f>
        <v>0</v>
      </c>
      <c r="D109">
        <f>装备!F138</f>
        <v>0</v>
      </c>
      <c r="E109">
        <f>IF(ISTEXT(装备!G138)=TRUE,"'"&amp;装备!G138&amp;"'",装备!G138)</f>
        <v>0</v>
      </c>
      <c r="F109">
        <f>IF(ISTEXT(装备!H138)=TRUE,"'"&amp;装备!H138&amp;"'",装备!H138)</f>
        <v>0</v>
      </c>
      <c r="G109">
        <f>IF(装备!I138="",0,"'"&amp;装备!I138&amp;"'")</f>
        <v>0</v>
      </c>
      <c r="H109">
        <f>IF(装备!R138="",0,装备!R138)</f>
        <v>7548</v>
      </c>
      <c r="I109">
        <f>IF(装备!S138="",0,装备!S138)</f>
        <v>-6605</v>
      </c>
      <c r="J109" t="str">
        <f>IF(装备!C138="",0,""""&amp;装备!C138&amp;"""")</f>
        <v>"境界挑战14"</v>
      </c>
      <c r="K109" t="str">
        <f>IF(装备!T138="","""""",""""&amp;装备!T138&amp;"""")</f>
        <v>"境界挑战14"</v>
      </c>
      <c r="L109" t="str">
        <f>IF(装备!U138="",0,""""&amp;装备!U138&amp;"""")</f>
        <v>"ReplaceableTextures\\CommandButtons\\BTNTome.blp"</v>
      </c>
      <c r="M109" t="str">
        <f t="shared" si="4"/>
        <v>InitEquipData('IT14',0,0,0,0,0,0,7548,-6605)</v>
      </c>
      <c r="N109" t="str">
        <f t="shared" si="5"/>
        <v>call InitTypeIdStrings('IT14',"境界挑战14","ReplaceableTextures\\CommandButtons\\BTNTome.blp","境界挑战14")</v>
      </c>
    </row>
    <row r="110" spans="1:14">
      <c r="A110" t="str">
        <f>IF(装备!B140="",0,"'"&amp;装备!B140&amp;"'")</f>
        <v>'IS02'</v>
      </c>
      <c r="B110">
        <f>装备!D141</f>
        <v>0</v>
      </c>
      <c r="C110">
        <f>装备!E140</f>
        <v>0</v>
      </c>
      <c r="D110">
        <f>装备!F140</f>
        <v>0</v>
      </c>
      <c r="E110">
        <f>IF(ISTEXT(装备!G140)=TRUE,"'"&amp;装备!G140&amp;"'",装备!G140)</f>
        <v>0</v>
      </c>
      <c r="F110">
        <f>IF(ISTEXT(装备!H140)=TRUE,"'"&amp;装备!H140&amp;"'",装备!H140)</f>
        <v>0</v>
      </c>
      <c r="G110">
        <f>IF(装备!I140="",0,"'"&amp;装备!I140&amp;"'")</f>
        <v>0</v>
      </c>
      <c r="H110">
        <f>IF(装备!R140="",0,装备!R140)</f>
        <v>0</v>
      </c>
      <c r="I110">
        <f>IF(装备!S140="",0,装备!S140)</f>
        <v>0</v>
      </c>
      <c r="J110" t="str">
        <f>IF(装备!C140="",0,""""&amp;装备!C140&amp;"""")</f>
        <v>"抽技能C"</v>
      </c>
      <c r="K110" t="str">
        <f>IF(装备!T140="","""""",""""&amp;装备!T140&amp;"""")</f>
        <v>"抽技能C"</v>
      </c>
      <c r="L110" t="str">
        <f>IF(装备!U140="",0,""""&amp;装备!U140&amp;"""")</f>
        <v>"ReplaceableTextures\\CommandButtons\\BTNTome.blp"</v>
      </c>
      <c r="M110" t="str">
        <f t="shared" si="4"/>
        <v/>
      </c>
      <c r="N110" t="str">
        <f t="shared" si="5"/>
        <v>call InitTypeIdStrings('IS02',"抽技能C","ReplaceableTextures\\CommandButtons\\BTNTome.blp","抽技能C")</v>
      </c>
    </row>
    <row r="111" spans="1:14">
      <c r="A111" t="str">
        <f>IF(装备!B141="",0,"'"&amp;装备!B141&amp;"'")</f>
        <v>'IS03'</v>
      </c>
      <c r="B111">
        <f>装备!D142</f>
        <v>0</v>
      </c>
      <c r="C111">
        <f>装备!E141</f>
        <v>0</v>
      </c>
      <c r="D111">
        <f>装备!F141</f>
        <v>0</v>
      </c>
      <c r="E111">
        <f>IF(ISTEXT(装备!G141)=TRUE,"'"&amp;装备!G141&amp;"'",装备!G141)</f>
        <v>0</v>
      </c>
      <c r="F111">
        <f>IF(ISTEXT(装备!H141)=TRUE,"'"&amp;装备!H141&amp;"'",装备!H141)</f>
        <v>0</v>
      </c>
      <c r="G111">
        <f>IF(装备!I141="",0,"'"&amp;装备!I141&amp;"'")</f>
        <v>0</v>
      </c>
      <c r="H111">
        <f>IF(装备!R141="",0,装备!R141)</f>
        <v>0</v>
      </c>
      <c r="I111">
        <f>IF(装备!S141="",0,装备!S141)</f>
        <v>0</v>
      </c>
      <c r="J111" t="str">
        <f>IF(装备!C141="",0,""""&amp;装备!C141&amp;"""")</f>
        <v>"抽技能B"</v>
      </c>
      <c r="K111" t="str">
        <f>IF(装备!T141="","""""",""""&amp;装备!T141&amp;"""")</f>
        <v>"抽技能B"</v>
      </c>
      <c r="L111" t="str">
        <f>IF(装备!U141="",0,""""&amp;装备!U141&amp;"""")</f>
        <v>"ReplaceableTextures\\CommandButtons\\BTNTome.blp"</v>
      </c>
      <c r="M111" t="str">
        <f t="shared" si="4"/>
        <v/>
      </c>
      <c r="N111" t="str">
        <f t="shared" si="5"/>
        <v>call InitTypeIdStrings('IS03',"抽技能B","ReplaceableTextures\\CommandButtons\\BTNTome.blp","抽技能B")</v>
      </c>
    </row>
    <row r="112" spans="1:14">
      <c r="A112" t="str">
        <f>IF(装备!B142="",0,"'"&amp;装备!B142&amp;"'")</f>
        <v>'IS04'</v>
      </c>
      <c r="B112">
        <f>装备!D143</f>
        <v>0</v>
      </c>
      <c r="C112">
        <f>装备!E142</f>
        <v>0</v>
      </c>
      <c r="D112">
        <f>装备!F142</f>
        <v>0</v>
      </c>
      <c r="E112">
        <f>IF(ISTEXT(装备!G142)=TRUE,"'"&amp;装备!G142&amp;"'",装备!G142)</f>
        <v>0</v>
      </c>
      <c r="F112">
        <f>IF(ISTEXT(装备!H142)=TRUE,"'"&amp;装备!H142&amp;"'",装备!H142)</f>
        <v>0</v>
      </c>
      <c r="G112">
        <f>IF(装备!I142="",0,"'"&amp;装备!I142&amp;"'")</f>
        <v>0</v>
      </c>
      <c r="H112">
        <f>IF(装备!R142="",0,装备!R142)</f>
        <v>0</v>
      </c>
      <c r="I112">
        <f>IF(装备!S142="",0,装备!S142)</f>
        <v>0</v>
      </c>
      <c r="J112" t="str">
        <f>IF(装备!C142="",0,""""&amp;装备!C142&amp;"""")</f>
        <v>"抽技能A"</v>
      </c>
      <c r="K112" t="str">
        <f>IF(装备!T142="","""""",""""&amp;装备!T142&amp;"""")</f>
        <v>"抽技能A"</v>
      </c>
      <c r="L112" t="str">
        <f>IF(装备!U142="",0,""""&amp;装备!U142&amp;"""")</f>
        <v>"ReplaceableTextures\\CommandButtons\\BTNTome.blp"</v>
      </c>
      <c r="M112" t="str">
        <f t="shared" si="4"/>
        <v/>
      </c>
      <c r="N112" t="str">
        <f t="shared" si="5"/>
        <v>call InitTypeIdStrings('IS04',"抽技能A","ReplaceableTextures\\CommandButtons\\BTNTome.blp","抽技能A")</v>
      </c>
    </row>
    <row r="113" spans="1:14">
      <c r="A113" t="str">
        <f>IF(装备!B143="",0,"'"&amp;装备!B143&amp;"'")</f>
        <v>'IS05'</v>
      </c>
      <c r="B113">
        <f>装备!D145</f>
        <v>0</v>
      </c>
      <c r="C113">
        <f>装备!E143</f>
        <v>0</v>
      </c>
      <c r="D113">
        <f>装备!F143</f>
        <v>0</v>
      </c>
      <c r="E113">
        <f>IF(ISTEXT(装备!G143)=TRUE,"'"&amp;装备!G143&amp;"'",装备!G143)</f>
        <v>0</v>
      </c>
      <c r="F113">
        <f>IF(ISTEXT(装备!H143)=TRUE,"'"&amp;装备!H143&amp;"'",装备!H143)</f>
        <v>0</v>
      </c>
      <c r="G113">
        <f>IF(装备!I143="",0,"'"&amp;装备!I143&amp;"'")</f>
        <v>0</v>
      </c>
      <c r="H113">
        <f>IF(装备!R143="",0,装备!R143)</f>
        <v>0</v>
      </c>
      <c r="I113">
        <f>IF(装备!S143="",0,装备!S143)</f>
        <v>0</v>
      </c>
      <c r="J113" t="str">
        <f>IF(装备!C143="",0,""""&amp;装备!C143&amp;"""")</f>
        <v>"抽技能S"</v>
      </c>
      <c r="K113" t="str">
        <f>IF(装备!T143="","""""",""""&amp;装备!T143&amp;"""")</f>
        <v>"抽技能S"</v>
      </c>
      <c r="L113" t="str">
        <f>IF(装备!U143="",0,""""&amp;装备!U143&amp;"""")</f>
        <v>"ReplaceableTextures\\CommandButtons\\BTNTome.blp"</v>
      </c>
      <c r="M113" t="str">
        <f t="shared" si="4"/>
        <v/>
      </c>
      <c r="N113" t="str">
        <f t="shared" si="5"/>
        <v>call InitTypeIdStrings('IS05',"抽技能S","ReplaceableTextures\\CommandButtons\\BTNTome.blp","抽技能S")</v>
      </c>
    </row>
    <row r="114" spans="1:14">
      <c r="A114" t="str">
        <f>IF(装备!B145="",0,"'"&amp;装备!B145&amp;"'")</f>
        <v>'IH00'</v>
      </c>
      <c r="B114">
        <f>装备!D146</f>
        <v>0</v>
      </c>
      <c r="C114">
        <f>装备!E145</f>
        <v>0</v>
      </c>
      <c r="D114">
        <f>装备!F145</f>
        <v>0</v>
      </c>
      <c r="E114">
        <f>IF(ISTEXT(装备!G145)=TRUE,"'"&amp;装备!G145&amp;"'",装备!G145)</f>
        <v>0</v>
      </c>
      <c r="F114">
        <f>IF(ISTEXT(装备!H145)=TRUE,"'"&amp;装备!H145&amp;"'",装备!H145)</f>
        <v>0</v>
      </c>
      <c r="G114">
        <f>IF(装备!I145="",0,"'"&amp;装备!I145&amp;"'")</f>
        <v>0</v>
      </c>
      <c r="H114">
        <f>IF(装备!R145="",0,装备!R145)</f>
        <v>0</v>
      </c>
      <c r="I114">
        <f>IF(装备!S145="",0,装备!S145)</f>
        <v>0</v>
      </c>
      <c r="J114" t="str">
        <f>IF(装备!C145="",0,""""&amp;装备!C145&amp;"""")</f>
        <v>"觉醒兽魂"</v>
      </c>
      <c r="K114" t="str">
        <f>IF(装备!T145="","""""",""""&amp;装备!T145&amp;"""")</f>
        <v>"觉醒兽魂"</v>
      </c>
      <c r="L114" t="str">
        <f>IF(装备!U145="",0,""""&amp;装备!U145&amp;"""")</f>
        <v>"ReplaceableTextures\\CommandButtons\\BTNTome.blp"</v>
      </c>
      <c r="M114" t="str">
        <f t="shared" si="4"/>
        <v/>
      </c>
      <c r="N114" t="str">
        <f t="shared" si="5"/>
        <v>call InitTypeIdStrings('IH00',"觉醒兽魂","ReplaceableTextures\\CommandButtons\\BTNTome.blp","觉醒兽魂")</v>
      </c>
    </row>
    <row r="115" spans="1:14">
      <c r="A115" t="str">
        <f>IF(装备!B146="",0,"'"&amp;装备!B146&amp;"'")</f>
        <v>'IH01'</v>
      </c>
      <c r="B115">
        <f>装备!D147</f>
        <v>0</v>
      </c>
      <c r="C115">
        <f>装备!E146</f>
        <v>0</v>
      </c>
      <c r="D115">
        <f>装备!F146</f>
        <v>0</v>
      </c>
      <c r="E115">
        <f>IF(ISTEXT(装备!G146)=TRUE,"'"&amp;装备!G146&amp;"'",装备!G146)</f>
        <v>0</v>
      </c>
      <c r="F115">
        <f>IF(ISTEXT(装备!H146)=TRUE,"'"&amp;装备!H146&amp;"'",装备!H146)</f>
        <v>0</v>
      </c>
      <c r="G115">
        <f>IF(装备!I146="",0,"'"&amp;装备!I146&amp;"'")</f>
        <v>0</v>
      </c>
      <c r="H115">
        <f>IF(装备!R146="",0,装备!R146)</f>
        <v>0</v>
      </c>
      <c r="I115">
        <f>IF(装备!S146="",0,装备!S146)</f>
        <v>0</v>
      </c>
      <c r="J115" t="str">
        <f>IF(装备!C146="",0,""""&amp;装备!C146&amp;"""")</f>
        <v>"兽魂1"</v>
      </c>
      <c r="K115" t="str">
        <f>IF(装备!T146="","""""",""""&amp;装备!T146&amp;"""")</f>
        <v>"觉醒兽魂"</v>
      </c>
      <c r="L115" t="str">
        <f>IF(装备!U146="",0,""""&amp;装备!U146&amp;"""")</f>
        <v>"ReplaceableTextures\\CommandButtons\\BTNTome.blp"</v>
      </c>
      <c r="M115" t="str">
        <f t="shared" si="4"/>
        <v/>
      </c>
      <c r="N115" t="str">
        <f t="shared" si="5"/>
        <v>call InitTypeIdStrings('IH01',"兽魂1","ReplaceableTextures\\CommandButtons\\BTNTome.blp","觉醒兽魂")</v>
      </c>
    </row>
    <row r="116" spans="1:14">
      <c r="A116" t="str">
        <f>IF(装备!B147="",0,"'"&amp;装备!B147&amp;"'")</f>
        <v>'IH02'</v>
      </c>
      <c r="B116">
        <f>装备!D148</f>
        <v>0</v>
      </c>
      <c r="C116">
        <f>装备!E147</f>
        <v>0</v>
      </c>
      <c r="D116">
        <f>装备!F147</f>
        <v>0</v>
      </c>
      <c r="E116">
        <f>IF(ISTEXT(装备!G147)=TRUE,"'"&amp;装备!G147&amp;"'",装备!G147)</f>
        <v>0</v>
      </c>
      <c r="F116">
        <f>IF(ISTEXT(装备!H147)=TRUE,"'"&amp;装备!H147&amp;"'",装备!H147)</f>
        <v>0</v>
      </c>
      <c r="G116">
        <f>IF(装备!I147="",0,"'"&amp;装备!I147&amp;"'")</f>
        <v>0</v>
      </c>
      <c r="H116">
        <f>IF(装备!R147="",0,装备!R147)</f>
        <v>0</v>
      </c>
      <c r="I116">
        <f>IF(装备!S147="",0,装备!S147)</f>
        <v>0</v>
      </c>
      <c r="J116" t="str">
        <f>IF(装备!C147="",0,""""&amp;装备!C147&amp;"""")</f>
        <v>"兽魂2"</v>
      </c>
      <c r="K116" t="str">
        <f>IF(装备!T147="","""""",""""&amp;装备!T147&amp;"""")</f>
        <v>"觉醒兽魂"</v>
      </c>
      <c r="L116" t="str">
        <f>IF(装备!U147="",0,""""&amp;装备!U147&amp;"""")</f>
        <v>"ReplaceableTextures\\CommandButtons\\BTNTome.blp"</v>
      </c>
      <c r="M116" t="str">
        <f t="shared" si="4"/>
        <v/>
      </c>
      <c r="N116" t="str">
        <f t="shared" si="5"/>
        <v>call InitTypeIdStrings('IH02',"兽魂2","ReplaceableTextures\\CommandButtons\\BTNTome.blp","觉醒兽魂")</v>
      </c>
    </row>
    <row r="117" spans="1:14">
      <c r="A117" t="str">
        <f>IF(装备!B148="",0,"'"&amp;装备!B148&amp;"'")</f>
        <v>'IH03'</v>
      </c>
      <c r="B117">
        <f>装备!D149</f>
        <v>0</v>
      </c>
      <c r="C117">
        <f>装备!E148</f>
        <v>0</v>
      </c>
      <c r="D117">
        <f>装备!F148</f>
        <v>0</v>
      </c>
      <c r="E117">
        <f>IF(ISTEXT(装备!G148)=TRUE,"'"&amp;装备!G148&amp;"'",装备!G148)</f>
        <v>0</v>
      </c>
      <c r="F117">
        <f>IF(ISTEXT(装备!H148)=TRUE,"'"&amp;装备!H148&amp;"'",装备!H148)</f>
        <v>0</v>
      </c>
      <c r="G117">
        <f>IF(装备!I148="",0,"'"&amp;装备!I148&amp;"'")</f>
        <v>0</v>
      </c>
      <c r="H117">
        <f>IF(装备!R148="",0,装备!R148)</f>
        <v>0</v>
      </c>
      <c r="I117">
        <f>IF(装备!S148="",0,装备!S148)</f>
        <v>0</v>
      </c>
      <c r="J117" t="str">
        <f>IF(装备!C148="",0,""""&amp;装备!C148&amp;"""")</f>
        <v>"兽魂3"</v>
      </c>
      <c r="K117" t="str">
        <f>IF(装备!T148="","""""",""""&amp;装备!T148&amp;"""")</f>
        <v>"觉醒兽魂"</v>
      </c>
      <c r="L117" t="str">
        <f>IF(装备!U148="",0,""""&amp;装备!U148&amp;"""")</f>
        <v>"ReplaceableTextures\\CommandButtons\\BTNTome.blp"</v>
      </c>
      <c r="M117" t="str">
        <f t="shared" si="4"/>
        <v/>
      </c>
      <c r="N117" t="str">
        <f t="shared" si="5"/>
        <v>call InitTypeIdStrings('IH03',"兽魂3","ReplaceableTextures\\CommandButtons\\BTNTome.blp","觉醒兽魂")</v>
      </c>
    </row>
    <row r="118" spans="1:14">
      <c r="A118" t="str">
        <f>IF(装备!B149="",0,"'"&amp;装备!B149&amp;"'")</f>
        <v>'IH04'</v>
      </c>
      <c r="B118">
        <f>装备!D150</f>
        <v>0</v>
      </c>
      <c r="C118">
        <f>装备!E149</f>
        <v>0</v>
      </c>
      <c r="D118">
        <f>装备!F149</f>
        <v>0</v>
      </c>
      <c r="E118">
        <f>IF(ISTEXT(装备!G149)=TRUE,"'"&amp;装备!G149&amp;"'",装备!G149)</f>
        <v>0</v>
      </c>
      <c r="F118">
        <f>IF(ISTEXT(装备!H149)=TRUE,"'"&amp;装备!H149&amp;"'",装备!H149)</f>
        <v>0</v>
      </c>
      <c r="G118">
        <f>IF(装备!I149="",0,"'"&amp;装备!I149&amp;"'")</f>
        <v>0</v>
      </c>
      <c r="H118">
        <f>IF(装备!R149="",0,装备!R149)</f>
        <v>0</v>
      </c>
      <c r="I118">
        <f>IF(装备!S149="",0,装备!S149)</f>
        <v>0</v>
      </c>
      <c r="J118" t="str">
        <f>IF(装备!C149="",0,""""&amp;装备!C149&amp;"""")</f>
        <v>"兽魂4"</v>
      </c>
      <c r="K118" t="str">
        <f>IF(装备!T149="","""""",""""&amp;装备!T149&amp;"""")</f>
        <v>"觉醒兽魂"</v>
      </c>
      <c r="L118" t="str">
        <f>IF(装备!U149="",0,""""&amp;装备!U149&amp;"""")</f>
        <v>"ReplaceableTextures\\CommandButtons\\BTNTome.blp"</v>
      </c>
      <c r="M118" t="str">
        <f t="shared" si="4"/>
        <v/>
      </c>
      <c r="N118" t="str">
        <f t="shared" si="5"/>
        <v>call InitTypeIdStrings('IH04',"兽魂4","ReplaceableTextures\\CommandButtons\\BTNTome.blp","觉醒兽魂")</v>
      </c>
    </row>
    <row r="119" spans="1:14">
      <c r="A119" t="str">
        <f>IF(装备!B150="",0,"'"&amp;装备!B150&amp;"'")</f>
        <v>'IH05'</v>
      </c>
      <c r="B119">
        <f>装备!D151</f>
        <v>0</v>
      </c>
      <c r="C119">
        <f>装备!E150</f>
        <v>0</v>
      </c>
      <c r="D119">
        <f>装备!F150</f>
        <v>0</v>
      </c>
      <c r="E119">
        <f>IF(ISTEXT(装备!G150)=TRUE,"'"&amp;装备!G150&amp;"'",装备!G150)</f>
        <v>0</v>
      </c>
      <c r="F119">
        <f>IF(ISTEXT(装备!H150)=TRUE,"'"&amp;装备!H150&amp;"'",装备!H150)</f>
        <v>0</v>
      </c>
      <c r="G119">
        <f>IF(装备!I150="",0,"'"&amp;装备!I150&amp;"'")</f>
        <v>0</v>
      </c>
      <c r="H119">
        <f>IF(装备!R150="",0,装备!R150)</f>
        <v>0</v>
      </c>
      <c r="I119">
        <f>IF(装备!S150="",0,装备!S150)</f>
        <v>0</v>
      </c>
      <c r="J119" t="str">
        <f>IF(装备!C150="",0,""""&amp;装备!C150&amp;"""")</f>
        <v>"兽魂5"</v>
      </c>
      <c r="K119" t="str">
        <f>IF(装备!T150="","""""",""""&amp;装备!T150&amp;"""")</f>
        <v>"觉醒兽魂"</v>
      </c>
      <c r="L119" t="str">
        <f>IF(装备!U150="",0,""""&amp;装备!U150&amp;"""")</f>
        <v>"ReplaceableTextures\\CommandButtons\\BTNTome.blp"</v>
      </c>
      <c r="M119" t="str">
        <f t="shared" si="4"/>
        <v/>
      </c>
      <c r="N119" t="str">
        <f t="shared" si="5"/>
        <v>call InitTypeIdStrings('IH05',"兽魂5","ReplaceableTextures\\CommandButtons\\BTNTome.blp","觉醒兽魂")</v>
      </c>
    </row>
    <row r="120" spans="1:14">
      <c r="A120" t="str">
        <f>IF(装备!B151="",0,"'"&amp;装备!B151&amp;"'")</f>
        <v>'IH06'</v>
      </c>
      <c r="B120">
        <f>装备!D152</f>
        <v>0</v>
      </c>
      <c r="C120">
        <f>装备!E151</f>
        <v>0</v>
      </c>
      <c r="D120">
        <f>装备!F151</f>
        <v>0</v>
      </c>
      <c r="E120">
        <f>IF(ISTEXT(装备!G151)=TRUE,"'"&amp;装备!G151&amp;"'",装备!G151)</f>
        <v>0</v>
      </c>
      <c r="F120">
        <f>IF(ISTEXT(装备!H151)=TRUE,"'"&amp;装备!H151&amp;"'",装备!H151)</f>
        <v>0</v>
      </c>
      <c r="G120">
        <f>IF(装备!I151="",0,"'"&amp;装备!I151&amp;"'")</f>
        <v>0</v>
      </c>
      <c r="H120">
        <f>IF(装备!R151="",0,装备!R151)</f>
        <v>0</v>
      </c>
      <c r="I120">
        <f>IF(装备!S151="",0,装备!S151)</f>
        <v>0</v>
      </c>
      <c r="J120" t="str">
        <f>IF(装备!C151="",0,""""&amp;装备!C151&amp;"""")</f>
        <v>"兽魂6"</v>
      </c>
      <c r="K120" t="str">
        <f>IF(装备!T151="","""""",""""&amp;装备!T151&amp;"""")</f>
        <v>"觉醒兽魂"</v>
      </c>
      <c r="L120" t="str">
        <f>IF(装备!U151="",0,""""&amp;装备!U151&amp;"""")</f>
        <v>"ReplaceableTextures\\CommandButtons\\BTNTome.blp"</v>
      </c>
      <c r="M120" t="str">
        <f t="shared" si="4"/>
        <v/>
      </c>
      <c r="N120" t="str">
        <f t="shared" si="5"/>
        <v>call InitTypeIdStrings('IH06',"兽魂6","ReplaceableTextures\\CommandButtons\\BTNTome.blp","觉醒兽魂")</v>
      </c>
    </row>
    <row r="121" spans="1:14">
      <c r="A121" t="str">
        <f>IF(装备!B152="",0,"'"&amp;装备!B152&amp;"'")</f>
        <v>'IH07'</v>
      </c>
      <c r="B121">
        <f>装备!D153</f>
        <v>0</v>
      </c>
      <c r="C121">
        <f>装备!E152</f>
        <v>0</v>
      </c>
      <c r="D121">
        <f>装备!F152</f>
        <v>0</v>
      </c>
      <c r="E121">
        <f>IF(ISTEXT(装备!G152)=TRUE,"'"&amp;装备!G152&amp;"'",装备!G152)</f>
        <v>0</v>
      </c>
      <c r="F121">
        <f>IF(ISTEXT(装备!H152)=TRUE,"'"&amp;装备!H152&amp;"'",装备!H152)</f>
        <v>0</v>
      </c>
      <c r="G121">
        <f>IF(装备!I152="",0,"'"&amp;装备!I152&amp;"'")</f>
        <v>0</v>
      </c>
      <c r="H121">
        <f>IF(装备!R152="",0,装备!R152)</f>
        <v>0</v>
      </c>
      <c r="I121">
        <f>IF(装备!S152="",0,装备!S152)</f>
        <v>0</v>
      </c>
      <c r="J121" t="str">
        <f>IF(装备!C152="",0,""""&amp;装备!C152&amp;"""")</f>
        <v>"兽魂7"</v>
      </c>
      <c r="K121" t="str">
        <f>IF(装备!T152="","""""",""""&amp;装备!T152&amp;"""")</f>
        <v>"觉醒兽魂"</v>
      </c>
      <c r="L121" t="str">
        <f>IF(装备!U152="",0,""""&amp;装备!U152&amp;"""")</f>
        <v>"ReplaceableTextures\\CommandButtons\\BTNTome.blp"</v>
      </c>
      <c r="M121" t="str">
        <f t="shared" si="4"/>
        <v/>
      </c>
      <c r="N121" t="str">
        <f t="shared" si="5"/>
        <v>call InitTypeIdStrings('IH07',"兽魂7","ReplaceableTextures\\CommandButtons\\BTNTome.blp","觉醒兽魂")</v>
      </c>
    </row>
    <row r="122" spans="1:14">
      <c r="A122" t="str">
        <f>IF(装备!B153="",0,"'"&amp;装备!B153&amp;"'")</f>
        <v>'IH08'</v>
      </c>
      <c r="B122">
        <f>装备!D154</f>
        <v>0</v>
      </c>
      <c r="C122">
        <f>装备!E153</f>
        <v>0</v>
      </c>
      <c r="D122">
        <f>装备!F153</f>
        <v>0</v>
      </c>
      <c r="E122">
        <f>IF(ISTEXT(装备!G153)=TRUE,"'"&amp;装备!G153&amp;"'",装备!G153)</f>
        <v>0</v>
      </c>
      <c r="F122">
        <f>IF(ISTEXT(装备!H153)=TRUE,"'"&amp;装备!H153&amp;"'",装备!H153)</f>
        <v>0</v>
      </c>
      <c r="G122">
        <f>IF(装备!I153="",0,"'"&amp;装备!I153&amp;"'")</f>
        <v>0</v>
      </c>
      <c r="H122">
        <f>IF(装备!R153="",0,装备!R153)</f>
        <v>0</v>
      </c>
      <c r="I122">
        <f>IF(装备!S153="",0,装备!S153)</f>
        <v>0</v>
      </c>
      <c r="J122" t="str">
        <f>IF(装备!C153="",0,""""&amp;装备!C153&amp;"""")</f>
        <v>"兽魂8"</v>
      </c>
      <c r="K122" t="str">
        <f>IF(装备!T153="","""""",""""&amp;装备!T153&amp;"""")</f>
        <v>"觉醒兽魂"</v>
      </c>
      <c r="L122" t="str">
        <f>IF(装备!U153="",0,""""&amp;装备!U153&amp;"""")</f>
        <v>"ReplaceableTextures\\CommandButtons\\BTNTome.blp"</v>
      </c>
      <c r="M122" t="str">
        <f t="shared" si="4"/>
        <v/>
      </c>
      <c r="N122" t="str">
        <f t="shared" si="5"/>
        <v>call InitTypeIdStrings('IH08',"兽魂8","ReplaceableTextures\\CommandButtons\\BTNTome.blp","觉醒兽魂")</v>
      </c>
    </row>
    <row r="123" spans="1:14">
      <c r="A123" t="str">
        <f>IF(装备!B154="",0,"'"&amp;装备!B154&amp;"'")</f>
        <v>'IB01'</v>
      </c>
      <c r="B123">
        <f>装备!D155</f>
        <v>0</v>
      </c>
      <c r="C123">
        <f>装备!E154</f>
        <v>0</v>
      </c>
      <c r="D123">
        <f>装备!F154</f>
        <v>0</v>
      </c>
      <c r="E123">
        <f>IF(ISTEXT(装备!G154)=TRUE,"'"&amp;装备!G154&amp;"'",装备!G154)</f>
        <v>0</v>
      </c>
      <c r="F123">
        <f>IF(ISTEXT(装备!H154)=TRUE,"'"&amp;装备!H154&amp;"'",装备!H154)</f>
        <v>0</v>
      </c>
      <c r="G123">
        <f>IF(装备!I154="",0,"'"&amp;装备!I154&amp;"'")</f>
        <v>0</v>
      </c>
      <c r="H123">
        <f>IF(装备!R154="",0,装备!R154)</f>
        <v>0</v>
      </c>
      <c r="I123">
        <f>IF(装备!S154="",0,装备!S154)</f>
        <v>0</v>
      </c>
      <c r="J123" t="str">
        <f>IF(装备!C154="",0,""""&amp;装备!C154&amp;"""")</f>
        <v>"入群礼包"</v>
      </c>
      <c r="K123" t="str">
        <f>IF(装备!T154="","""""",""""&amp;装备!T154&amp;"""")</f>
        <v>"入群礼包"</v>
      </c>
      <c r="L123" t="str">
        <f>IF(装备!U154="",0,""""&amp;装备!U154&amp;"""")</f>
        <v>"ReplaceableTextures\\CommandButtons\\BTNTome.blp"</v>
      </c>
      <c r="M123" t="str">
        <f t="shared" si="4"/>
        <v/>
      </c>
      <c r="N123" t="str">
        <f t="shared" si="5"/>
        <v>call InitTypeIdStrings('IB01',"入群礼包","ReplaceableTextures\\CommandButtons\\BTNTome.blp","入群礼包")</v>
      </c>
    </row>
    <row r="124" spans="1:14">
      <c r="A124" t="str">
        <f>IF(装备!B155="",0,"'"&amp;装备!B155&amp;"'")</f>
        <v>'IB02'</v>
      </c>
      <c r="B124">
        <f>装备!D156</f>
        <v>0</v>
      </c>
      <c r="C124">
        <f>装备!E155</f>
        <v>0</v>
      </c>
      <c r="D124">
        <f>装备!F155</f>
        <v>0</v>
      </c>
      <c r="E124">
        <f>IF(ISTEXT(装备!G155)=TRUE,"'"&amp;装备!G155&amp;"'",装备!G155)</f>
        <v>0</v>
      </c>
      <c r="F124">
        <f>IF(ISTEXT(装备!H155)=TRUE,"'"&amp;装备!H155&amp;"'",装备!H155)</f>
        <v>0</v>
      </c>
      <c r="G124">
        <f>IF(装备!I155="",0,"'"&amp;装备!I155&amp;"'")</f>
        <v>0</v>
      </c>
      <c r="H124">
        <f>IF(装备!R155="",0,装备!R155)</f>
        <v>0</v>
      </c>
      <c r="I124">
        <f>IF(装备!S155="",0,装备!S155)</f>
        <v>0</v>
      </c>
      <c r="J124" t="str">
        <f>IF(装备!C155="",0,""""&amp;装备!C155&amp;"""")</f>
        <v>"公众号礼包"</v>
      </c>
      <c r="K124" t="str">
        <f>IF(装备!T155="","""""",""""&amp;装备!T155&amp;"""")</f>
        <v>"公众号礼包"</v>
      </c>
      <c r="L124" t="str">
        <f>IF(装备!U155="",0,""""&amp;装备!U155&amp;"""")</f>
        <v>"ReplaceableTextures\\CommandButtons\\BTNTome.blp"</v>
      </c>
      <c r="M124" t="str">
        <f t="shared" si="4"/>
        <v/>
      </c>
      <c r="N124" t="str">
        <f t="shared" si="5"/>
        <v>call InitTypeIdStrings('IB02',"公众号礼包","ReplaceableTextures\\CommandButtons\\BTNTome.blp","公众号礼包")</v>
      </c>
    </row>
    <row r="125" spans="1:14">
      <c r="A125" t="str">
        <f>IF(装备!B156="",0,"'"&amp;装备!B156&amp;"'")</f>
        <v>'IB03'</v>
      </c>
      <c r="B125">
        <f>装备!D157</f>
        <v>0</v>
      </c>
      <c r="C125">
        <f>装备!E156</f>
        <v>0</v>
      </c>
      <c r="D125">
        <f>装备!F156</f>
        <v>0</v>
      </c>
      <c r="E125">
        <f>IF(ISTEXT(装备!G156)=TRUE,"'"&amp;装备!G156&amp;"'",装备!G156)</f>
        <v>0</v>
      </c>
      <c r="F125">
        <f>IF(ISTEXT(装备!H156)=TRUE,"'"&amp;装备!H156&amp;"'",装备!H156)</f>
        <v>0</v>
      </c>
      <c r="G125">
        <f>IF(装备!I156="",0,"'"&amp;装备!I156&amp;"'")</f>
        <v>0</v>
      </c>
      <c r="H125">
        <f>IF(装备!R156="",0,装备!R156)</f>
        <v>0</v>
      </c>
      <c r="I125">
        <f>IF(装备!S156="",0,装备!S156)</f>
        <v>0</v>
      </c>
      <c r="J125" t="str">
        <f>IF(装备!C156="",0,""""&amp;装备!C156&amp;"""")</f>
        <v>"好评礼包"</v>
      </c>
      <c r="K125" t="str">
        <f>IF(装备!T156="","""""",""""&amp;装备!T156&amp;"""")</f>
        <v>"好评礼包"</v>
      </c>
      <c r="L125" t="str">
        <f>IF(装备!U156="",0,""""&amp;装备!U156&amp;"""")</f>
        <v>"ReplaceableTextures\\CommandButtons\\BTNTome.blp"</v>
      </c>
      <c r="M125" t="str">
        <f t="shared" si="4"/>
        <v/>
      </c>
      <c r="N125" t="str">
        <f t="shared" si="5"/>
        <v>call InitTypeIdStrings('IB03',"好评礼包","ReplaceableTextures\\CommandButtons\\BTNTome.blp","好评礼包")</v>
      </c>
    </row>
    <row r="126" spans="1:14">
      <c r="A126" t="str">
        <f>IF(装备!B157="",0,"'"&amp;装备!B157&amp;"'")</f>
        <v>'IB04'</v>
      </c>
      <c r="B126">
        <f>装备!D158</f>
        <v>0</v>
      </c>
      <c r="C126">
        <f>装备!E157</f>
        <v>0</v>
      </c>
      <c r="D126">
        <f>装备!F157</f>
        <v>0</v>
      </c>
      <c r="E126">
        <f>IF(ISTEXT(装备!G157)=TRUE,"'"&amp;装备!G157&amp;"'",装备!G157)</f>
        <v>0</v>
      </c>
      <c r="F126">
        <f>IF(ISTEXT(装备!H157)=TRUE,"'"&amp;装备!H157&amp;"'",装备!H157)</f>
        <v>0</v>
      </c>
      <c r="G126">
        <f>IF(装备!I157="",0,"'"&amp;装备!I157&amp;"'")</f>
        <v>0</v>
      </c>
      <c r="H126">
        <f>IF(装备!R157="",0,装备!R157)</f>
        <v>0</v>
      </c>
      <c r="I126">
        <f>IF(装备!S157="",0,装备!S157)</f>
        <v>0</v>
      </c>
      <c r="J126" t="str">
        <f>IF(装备!C157="",0,""""&amp;装备!C157&amp;"""")</f>
        <v>"老铁礼包"</v>
      </c>
      <c r="K126" t="str">
        <f>IF(装备!T157="","""""",""""&amp;装备!T157&amp;"""")</f>
        <v>"老铁礼包"</v>
      </c>
      <c r="L126" t="str">
        <f>IF(装备!U157="",0,""""&amp;装备!U157&amp;"""")</f>
        <v>"ReplaceableTextures\\CommandButtons\\BTNTome.blp"</v>
      </c>
      <c r="M126" t="str">
        <f t="shared" si="4"/>
        <v/>
      </c>
      <c r="N126" t="str">
        <f t="shared" si="5"/>
        <v>call InitTypeIdStrings('IB04',"老铁礼包","ReplaceableTextures\\CommandButtons\\BTNTome.blp","老铁礼包")</v>
      </c>
    </row>
    <row r="127" spans="1:14">
      <c r="A127" t="str">
        <f>IF(装备!B158="",0,"'"&amp;装备!B158&amp;"'")</f>
        <v>'IB05'</v>
      </c>
      <c r="B127">
        <f>装备!D159</f>
        <v>0</v>
      </c>
      <c r="C127">
        <f>装备!E158</f>
        <v>0</v>
      </c>
      <c r="D127">
        <f>装备!F158</f>
        <v>0</v>
      </c>
      <c r="E127">
        <f>IF(ISTEXT(装备!G158)=TRUE,"'"&amp;装备!G158&amp;"'",装备!G158)</f>
        <v>0</v>
      </c>
      <c r="F127">
        <f>IF(ISTEXT(装备!H158)=TRUE,"'"&amp;装备!H158&amp;"'",装备!H158)</f>
        <v>0</v>
      </c>
      <c r="G127">
        <f>IF(装备!I158="",0,"'"&amp;装备!I158&amp;"'")</f>
        <v>0</v>
      </c>
      <c r="H127">
        <f>IF(装备!R158="",0,装备!R158)</f>
        <v>0</v>
      </c>
      <c r="I127">
        <f>IF(装备!S158="",0,装备!S158)</f>
        <v>0</v>
      </c>
      <c r="J127" t="str">
        <f>IF(装备!C158="",0,""""&amp;装备!C158&amp;"""")</f>
        <v>"工会礼包"</v>
      </c>
      <c r="K127" t="str">
        <f>IF(装备!T158="","""""",""""&amp;装备!T158&amp;"""")</f>
        <v>"工会礼包"</v>
      </c>
      <c r="L127" t="str">
        <f>IF(装备!U158="",0,""""&amp;装备!U158&amp;"""")</f>
        <v>"ReplaceableTextures\\CommandButtons\\BTNTome.blp"</v>
      </c>
      <c r="M127" t="str">
        <f t="shared" si="4"/>
        <v/>
      </c>
      <c r="N127" t="str">
        <f t="shared" si="5"/>
        <v>call InitTypeIdStrings('IB05',"工会礼包","ReplaceableTextures\\CommandButtons\\BTNTome.blp","工会礼包")</v>
      </c>
    </row>
    <row r="128" spans="1:14">
      <c r="A128">
        <f>IF(装备!B159="",0,"'"&amp;装备!B159&amp;"'")</f>
        <v>0</v>
      </c>
      <c r="B128">
        <f>装备!D160</f>
        <v>0</v>
      </c>
      <c r="C128">
        <f>装备!E159</f>
        <v>0</v>
      </c>
      <c r="D128">
        <f>装备!F159</f>
        <v>0</v>
      </c>
      <c r="E128">
        <f>IF(ISTEXT(装备!G159)=TRUE,"'"&amp;装备!G159&amp;"'",装备!G159)</f>
        <v>0</v>
      </c>
      <c r="F128">
        <f>IF(ISTEXT(装备!H159)=TRUE,"'"&amp;装备!H159&amp;"'",装备!H159)</f>
        <v>0</v>
      </c>
      <c r="G128">
        <f>IF(装备!I159="",0,"'"&amp;装备!I159&amp;"'")</f>
        <v>0</v>
      </c>
      <c r="H128">
        <f>IF(装备!R159="",0,装备!R159)</f>
        <v>0</v>
      </c>
      <c r="I128">
        <f>IF(装备!S159="",0,装备!S159)</f>
        <v>0</v>
      </c>
      <c r="J128">
        <f>IF(装备!C159="",0,""""&amp;装备!C159&amp;"""")</f>
        <v>0</v>
      </c>
      <c r="K128" t="str">
        <f>IF(装备!T159="","""""",""""&amp;装备!T159&amp;"""")</f>
        <v>""</v>
      </c>
      <c r="L128">
        <f>IF(装备!U159="",0,""""&amp;装备!U159&amp;"""")</f>
        <v>0</v>
      </c>
      <c r="M128" t="str">
        <f t="shared" si="4"/>
        <v/>
      </c>
      <c r="N128" t="str">
        <f t="shared" si="5"/>
        <v>call InitTypeIdStrings(0,0,0,"")</v>
      </c>
    </row>
    <row r="129" spans="1:14">
      <c r="A129">
        <f>IF(装备!B160="",0,"'"&amp;装备!B160&amp;"'")</f>
        <v>0</v>
      </c>
      <c r="B129">
        <f>装备!D161</f>
        <v>0</v>
      </c>
      <c r="C129">
        <f>装备!E160</f>
        <v>0</v>
      </c>
      <c r="D129">
        <f>装备!F160</f>
        <v>0</v>
      </c>
      <c r="E129">
        <f>IF(ISTEXT(装备!G160)=TRUE,"'"&amp;装备!G160&amp;"'",装备!G160)</f>
        <v>0</v>
      </c>
      <c r="F129">
        <f>IF(ISTEXT(装备!H160)=TRUE,"'"&amp;装备!H160&amp;"'",装备!H160)</f>
        <v>0</v>
      </c>
      <c r="G129">
        <f>IF(装备!I160="",0,"'"&amp;装备!I160&amp;"'")</f>
        <v>0</v>
      </c>
      <c r="H129">
        <f>IF(装备!R160="",0,装备!R160)</f>
        <v>0</v>
      </c>
      <c r="I129">
        <f>IF(装备!S160="",0,装备!S160)</f>
        <v>0</v>
      </c>
      <c r="J129">
        <f>IF(装备!C160="",0,""""&amp;装备!C160&amp;"""")</f>
        <v>0</v>
      </c>
      <c r="K129" t="str">
        <f>IF(装备!T160="","""""",""""&amp;装备!T160&amp;"""")</f>
        <v>""</v>
      </c>
      <c r="L129">
        <f>IF(装备!U160="",0,""""&amp;装备!U160&amp;"""")</f>
        <v>0</v>
      </c>
      <c r="M129" t="str">
        <f t="shared" si="4"/>
        <v/>
      </c>
      <c r="N129" t="str">
        <f t="shared" si="5"/>
        <v>call InitTypeIdStrings(0,0,0,"")</v>
      </c>
    </row>
    <row r="130" spans="1:14">
      <c r="A130">
        <f>IF(装备!B161="",0,"'"&amp;装备!B161&amp;"'")</f>
        <v>0</v>
      </c>
      <c r="B130">
        <f>装备!D162</f>
        <v>0</v>
      </c>
      <c r="C130">
        <f>装备!E161</f>
        <v>0</v>
      </c>
      <c r="D130">
        <f>装备!F161</f>
        <v>0</v>
      </c>
      <c r="E130">
        <f>IF(ISTEXT(装备!G161)=TRUE,"'"&amp;装备!G161&amp;"'",装备!G161)</f>
        <v>0</v>
      </c>
      <c r="F130">
        <f>IF(ISTEXT(装备!H161)=TRUE,"'"&amp;装备!H161&amp;"'",装备!H161)</f>
        <v>0</v>
      </c>
      <c r="G130">
        <f>IF(装备!I161="",0,"'"&amp;装备!I161&amp;"'")</f>
        <v>0</v>
      </c>
      <c r="H130">
        <f>IF(装备!R161="",0,装备!R161)</f>
        <v>0</v>
      </c>
      <c r="I130">
        <f>IF(装备!S161="",0,装备!S161)</f>
        <v>0</v>
      </c>
      <c r="J130">
        <f>IF(装备!C161="",0,""""&amp;装备!C161&amp;"""")</f>
        <v>0</v>
      </c>
      <c r="K130" t="str">
        <f>IF(装备!T161="","""""",""""&amp;装备!T161&amp;"""")</f>
        <v>""</v>
      </c>
      <c r="L130">
        <f>IF(装备!U161="",0,""""&amp;装备!U161&amp;"""")</f>
        <v>0</v>
      </c>
      <c r="M130" t="str">
        <f t="shared" si="4"/>
        <v/>
      </c>
      <c r="N130" t="str">
        <f t="shared" si="5"/>
        <v>call InitTypeIdStrings(0,0,0,"")</v>
      </c>
    </row>
    <row r="131" spans="1:14">
      <c r="A131">
        <f>IF(装备!B162="",0,"'"&amp;装备!B162&amp;"'")</f>
        <v>0</v>
      </c>
      <c r="B131">
        <f>装备!D163</f>
        <v>0</v>
      </c>
      <c r="C131">
        <f>装备!E162</f>
        <v>0</v>
      </c>
      <c r="D131">
        <f>装备!F162</f>
        <v>0</v>
      </c>
      <c r="E131">
        <f>IF(ISTEXT(装备!G162)=TRUE,"'"&amp;装备!G162&amp;"'",装备!G162)</f>
        <v>0</v>
      </c>
      <c r="F131">
        <f>IF(ISTEXT(装备!H162)=TRUE,"'"&amp;装备!H162&amp;"'",装备!H162)</f>
        <v>0</v>
      </c>
      <c r="G131">
        <f>IF(装备!I162="",0,"'"&amp;装备!I162&amp;"'")</f>
        <v>0</v>
      </c>
      <c r="H131">
        <f>IF(装备!R162="",0,装备!R162)</f>
        <v>0</v>
      </c>
      <c r="I131">
        <f>IF(装备!S162="",0,装备!S162)</f>
        <v>0</v>
      </c>
      <c r="J131">
        <f>IF(装备!C162="",0,""""&amp;装备!C162&amp;"""")</f>
        <v>0</v>
      </c>
      <c r="K131" t="str">
        <f>IF(装备!T162="","""""",""""&amp;装备!T162&amp;"""")</f>
        <v>""</v>
      </c>
      <c r="L131">
        <f>IF(装备!U162="",0,""""&amp;装备!U162&amp;"""")</f>
        <v>0</v>
      </c>
      <c r="M131" t="str">
        <f t="shared" si="4"/>
        <v/>
      </c>
      <c r="N131" t="str">
        <f t="shared" si="5"/>
        <v>call InitTypeIdStrings(0,0,0,"")</v>
      </c>
    </row>
    <row r="132" spans="1:14">
      <c r="A132">
        <f>IF(装备!B163="",0,"'"&amp;装备!B163&amp;"'")</f>
        <v>0</v>
      </c>
      <c r="B132">
        <f>装备!D164</f>
        <v>0</v>
      </c>
      <c r="C132">
        <f>装备!E163</f>
        <v>0</v>
      </c>
      <c r="D132">
        <f>装备!F163</f>
        <v>0</v>
      </c>
      <c r="E132">
        <f>IF(ISTEXT(装备!G163)=TRUE,"'"&amp;装备!G163&amp;"'",装备!G163)</f>
        <v>0</v>
      </c>
      <c r="F132">
        <f>IF(ISTEXT(装备!H163)=TRUE,"'"&amp;装备!H163&amp;"'",装备!H163)</f>
        <v>0</v>
      </c>
      <c r="G132">
        <f>IF(装备!I163="",0,"'"&amp;装备!I163&amp;"'")</f>
        <v>0</v>
      </c>
      <c r="H132">
        <f>IF(装备!R163="",0,装备!R163)</f>
        <v>0</v>
      </c>
      <c r="I132">
        <f>IF(装备!S163="",0,装备!S163)</f>
        <v>0</v>
      </c>
      <c r="J132">
        <f>IF(装备!C163="",0,""""&amp;装备!C163&amp;"""")</f>
        <v>0</v>
      </c>
      <c r="K132" t="str">
        <f>IF(装备!T163="","""""",""""&amp;装备!T163&amp;"""")</f>
        <v>""</v>
      </c>
      <c r="L132">
        <f>IF(装备!U163="",0,""""&amp;装备!U163&amp;"""")</f>
        <v>0</v>
      </c>
      <c r="M132" t="str">
        <f t="shared" si="4"/>
        <v/>
      </c>
      <c r="N132" t="str">
        <f t="shared" si="5"/>
        <v>call InitTypeIdStrings(0,0,0,"")</v>
      </c>
    </row>
    <row r="133" spans="1:14">
      <c r="A133">
        <f>IF(装备!B164="",0,"'"&amp;装备!B164&amp;"'")</f>
        <v>0</v>
      </c>
      <c r="B133">
        <f>装备!D165</f>
        <v>0</v>
      </c>
      <c r="C133">
        <f>装备!E164</f>
        <v>0</v>
      </c>
      <c r="D133">
        <f>装备!F164</f>
        <v>0</v>
      </c>
      <c r="E133">
        <f>IF(ISTEXT(装备!G164)=TRUE,"'"&amp;装备!G164&amp;"'",装备!G164)</f>
        <v>0</v>
      </c>
      <c r="F133">
        <f>IF(ISTEXT(装备!H164)=TRUE,"'"&amp;装备!H164&amp;"'",装备!H164)</f>
        <v>0</v>
      </c>
      <c r="G133">
        <f>IF(装备!I164="",0,"'"&amp;装备!I164&amp;"'")</f>
        <v>0</v>
      </c>
      <c r="H133">
        <f>IF(装备!R164="",0,装备!R164)</f>
        <v>0</v>
      </c>
      <c r="I133">
        <f>IF(装备!S164="",0,装备!S164)</f>
        <v>0</v>
      </c>
      <c r="J133">
        <f>IF(装备!C164="",0,""""&amp;装备!C164&amp;"""")</f>
        <v>0</v>
      </c>
      <c r="K133" t="str">
        <f>IF(装备!T164="","""""",""""&amp;装备!T164&amp;"""")</f>
        <v>""</v>
      </c>
      <c r="L133">
        <f>IF(装备!U164="",0,""""&amp;装备!U164&amp;"""")</f>
        <v>0</v>
      </c>
      <c r="M133" t="str">
        <f t="shared" si="4"/>
        <v/>
      </c>
      <c r="N133" t="str">
        <f t="shared" si="5"/>
        <v>call InitTypeIdStrings(0,0,0,"")</v>
      </c>
    </row>
    <row r="134" spans="1:14">
      <c r="A134">
        <f>IF(装备!B165="",0,"'"&amp;装备!B165&amp;"'")</f>
        <v>0</v>
      </c>
      <c r="B134">
        <f>装备!D166</f>
        <v>0</v>
      </c>
      <c r="C134">
        <f>装备!E165</f>
        <v>0</v>
      </c>
      <c r="D134">
        <f>装备!F165</f>
        <v>0</v>
      </c>
      <c r="E134">
        <f>IF(ISTEXT(装备!G165)=TRUE,"'"&amp;装备!G165&amp;"'",装备!G165)</f>
        <v>0</v>
      </c>
      <c r="F134">
        <f>IF(ISTEXT(装备!H165)=TRUE,"'"&amp;装备!H165&amp;"'",装备!H165)</f>
        <v>0</v>
      </c>
      <c r="G134">
        <f>IF(装备!I165="",0,"'"&amp;装备!I165&amp;"'")</f>
        <v>0</v>
      </c>
      <c r="H134">
        <f>IF(装备!R165="",0,装备!R165)</f>
        <v>0</v>
      </c>
      <c r="I134">
        <f>IF(装备!S165="",0,装备!S165)</f>
        <v>0</v>
      </c>
      <c r="J134">
        <f>IF(装备!C165="",0,""""&amp;装备!C165&amp;"""")</f>
        <v>0</v>
      </c>
      <c r="K134" t="str">
        <f>IF(装备!T165="","""""",""""&amp;装备!T165&amp;"""")</f>
        <v>""</v>
      </c>
      <c r="L134">
        <f>IF(装备!U165="",0,""""&amp;装备!U165&amp;"""")</f>
        <v>0</v>
      </c>
      <c r="M134" t="str">
        <f t="shared" si="4"/>
        <v/>
      </c>
      <c r="N134" t="str">
        <f t="shared" si="5"/>
        <v>call InitTypeIdStrings(0,0,0,"")</v>
      </c>
    </row>
    <row r="135" spans="1:14">
      <c r="A135">
        <f>IF(装备!B166="",0,"'"&amp;装备!B166&amp;"'")</f>
        <v>0</v>
      </c>
      <c r="B135">
        <f>装备!D167</f>
        <v>0</v>
      </c>
      <c r="C135">
        <f>装备!E166</f>
        <v>0</v>
      </c>
      <c r="D135">
        <f>装备!F166</f>
        <v>0</v>
      </c>
      <c r="E135">
        <f>IF(ISTEXT(装备!G166)=TRUE,"'"&amp;装备!G166&amp;"'",装备!G166)</f>
        <v>0</v>
      </c>
      <c r="F135">
        <f>IF(ISTEXT(装备!H166)=TRUE,"'"&amp;装备!H166&amp;"'",装备!H166)</f>
        <v>0</v>
      </c>
      <c r="G135">
        <f>IF(装备!I166="",0,"'"&amp;装备!I166&amp;"'")</f>
        <v>0</v>
      </c>
      <c r="H135">
        <f>IF(装备!R166="",0,装备!R166)</f>
        <v>0</v>
      </c>
      <c r="I135">
        <f>IF(装备!S166="",0,装备!S166)</f>
        <v>0</v>
      </c>
      <c r="J135">
        <f>IF(装备!C166="",0,""""&amp;装备!C166&amp;"""")</f>
        <v>0</v>
      </c>
      <c r="K135" t="str">
        <f>IF(装备!T166="","""""",""""&amp;装备!T166&amp;"""")</f>
        <v>""</v>
      </c>
      <c r="L135">
        <f>IF(装备!U166="",0,""""&amp;装备!U166&amp;"""")</f>
        <v>0</v>
      </c>
      <c r="M135" t="str">
        <f t="shared" si="4"/>
        <v/>
      </c>
      <c r="N135" t="str">
        <f t="shared" si="5"/>
        <v>call InitTypeIdStrings(0,0,0,"")</v>
      </c>
    </row>
    <row r="136" spans="1:14">
      <c r="A136">
        <f>IF(装备!B167="",0,"'"&amp;装备!B167&amp;"'")</f>
        <v>0</v>
      </c>
      <c r="B136">
        <f>装备!D168</f>
        <v>0</v>
      </c>
      <c r="C136">
        <f>装备!E167</f>
        <v>0</v>
      </c>
      <c r="D136">
        <f>装备!F167</f>
        <v>0</v>
      </c>
      <c r="E136">
        <f>IF(ISTEXT(装备!G167)=TRUE,"'"&amp;装备!G167&amp;"'",装备!G167)</f>
        <v>0</v>
      </c>
      <c r="F136">
        <f>IF(ISTEXT(装备!H167)=TRUE,"'"&amp;装备!H167&amp;"'",装备!H167)</f>
        <v>0</v>
      </c>
      <c r="G136">
        <f>IF(装备!I167="",0,"'"&amp;装备!I167&amp;"'")</f>
        <v>0</v>
      </c>
      <c r="H136">
        <f>IF(装备!R167="",0,装备!R167)</f>
        <v>0</v>
      </c>
      <c r="I136">
        <f>IF(装备!S167="",0,装备!S167)</f>
        <v>0</v>
      </c>
      <c r="J136">
        <f>IF(装备!C167="",0,""""&amp;装备!C167&amp;"""")</f>
        <v>0</v>
      </c>
      <c r="K136" t="str">
        <f>IF(装备!T167="","""""",""""&amp;装备!T167&amp;"""")</f>
        <v>""</v>
      </c>
      <c r="L136">
        <f>IF(装备!U167="",0,""""&amp;装备!U167&amp;"""")</f>
        <v>0</v>
      </c>
      <c r="M136" t="str">
        <f t="shared" si="4"/>
        <v/>
      </c>
      <c r="N136" t="str">
        <f t="shared" si="5"/>
        <v>call InitTypeIdStrings(0,0,0,"")</v>
      </c>
    </row>
    <row r="137" spans="1:14">
      <c r="A137">
        <f>IF(装备!B168="",0,"'"&amp;装备!B168&amp;"'")</f>
        <v>0</v>
      </c>
      <c r="B137">
        <f>装备!D169</f>
        <v>0</v>
      </c>
      <c r="C137">
        <f>装备!E168</f>
        <v>0</v>
      </c>
      <c r="D137">
        <f>装备!F168</f>
        <v>0</v>
      </c>
      <c r="E137">
        <f>IF(ISTEXT(装备!G168)=TRUE,"'"&amp;装备!G168&amp;"'",装备!G168)</f>
        <v>0</v>
      </c>
      <c r="F137">
        <f>IF(ISTEXT(装备!H168)=TRUE,"'"&amp;装备!H168&amp;"'",装备!H168)</f>
        <v>0</v>
      </c>
      <c r="G137">
        <f>IF(装备!I168="",0,"'"&amp;装备!I168&amp;"'")</f>
        <v>0</v>
      </c>
      <c r="H137">
        <f>IF(装备!R168="",0,装备!R168)</f>
        <v>0</v>
      </c>
      <c r="I137">
        <f>IF(装备!S168="",0,装备!S168)</f>
        <v>0</v>
      </c>
      <c r="J137">
        <f>IF(装备!C168="",0,""""&amp;装备!C168&amp;"""")</f>
        <v>0</v>
      </c>
      <c r="K137" t="str">
        <f>IF(装备!T168="","""""",""""&amp;装备!T168&amp;"""")</f>
        <v>""</v>
      </c>
      <c r="L137">
        <f>IF(装备!U168="",0,""""&amp;装备!U168&amp;"""")</f>
        <v>0</v>
      </c>
      <c r="M137" t="str">
        <f t="shared" si="4"/>
        <v/>
      </c>
      <c r="N137" t="str">
        <f t="shared" si="5"/>
        <v>call InitTypeIdStrings(0,0,0,"")</v>
      </c>
    </row>
    <row r="138" spans="1:14">
      <c r="A138">
        <f>IF(装备!B169="",0,"'"&amp;装备!B169&amp;"'")</f>
        <v>0</v>
      </c>
      <c r="B138">
        <f>装备!D170</f>
        <v>0</v>
      </c>
      <c r="C138">
        <f>装备!E169</f>
        <v>0</v>
      </c>
      <c r="D138">
        <f>装备!F169</f>
        <v>0</v>
      </c>
      <c r="E138">
        <f>IF(ISTEXT(装备!G169)=TRUE,"'"&amp;装备!G169&amp;"'",装备!G169)</f>
        <v>0</v>
      </c>
      <c r="F138">
        <f>IF(ISTEXT(装备!H169)=TRUE,"'"&amp;装备!H169&amp;"'",装备!H169)</f>
        <v>0</v>
      </c>
      <c r="G138">
        <f>IF(装备!I169="",0,"'"&amp;装备!I169&amp;"'")</f>
        <v>0</v>
      </c>
      <c r="H138">
        <f>IF(装备!R169="",0,装备!R169)</f>
        <v>0</v>
      </c>
      <c r="I138">
        <f>IF(装备!S169="",0,装备!S169)</f>
        <v>0</v>
      </c>
      <c r="J138">
        <f>IF(装备!C169="",0,""""&amp;装备!C169&amp;"""")</f>
        <v>0</v>
      </c>
      <c r="K138" t="str">
        <f>IF(装备!T169="","""""",""""&amp;装备!T169&amp;"""")</f>
        <v>""</v>
      </c>
      <c r="L138">
        <f>IF(装备!U169="",0,""""&amp;装备!U169&amp;"""")</f>
        <v>0</v>
      </c>
      <c r="M138" t="str">
        <f t="shared" si="4"/>
        <v/>
      </c>
      <c r="N138" t="str">
        <f t="shared" si="5"/>
        <v>call InitTypeIdStrings(0,0,0,"")</v>
      </c>
    </row>
    <row r="139" spans="1:14">
      <c r="A139">
        <f>IF(装备!B170="",0,"'"&amp;装备!B170&amp;"'")</f>
        <v>0</v>
      </c>
      <c r="B139">
        <f>装备!D171</f>
        <v>0</v>
      </c>
      <c r="C139">
        <f>装备!E170</f>
        <v>0</v>
      </c>
      <c r="D139">
        <f>装备!F170</f>
        <v>0</v>
      </c>
      <c r="E139">
        <f>IF(ISTEXT(装备!G170)=TRUE,"'"&amp;装备!G170&amp;"'",装备!G170)</f>
        <v>0</v>
      </c>
      <c r="F139">
        <f>IF(ISTEXT(装备!H170)=TRUE,"'"&amp;装备!H170&amp;"'",装备!H170)</f>
        <v>0</v>
      </c>
      <c r="G139">
        <f>IF(装备!I170="",0,"'"&amp;装备!I170&amp;"'")</f>
        <v>0</v>
      </c>
      <c r="H139">
        <f>IF(装备!R170="",0,装备!R170)</f>
        <v>0</v>
      </c>
      <c r="I139">
        <f>IF(装备!S170="",0,装备!S170)</f>
        <v>0</v>
      </c>
      <c r="J139">
        <f>IF(装备!C170="",0,""""&amp;装备!C170&amp;"""")</f>
        <v>0</v>
      </c>
      <c r="K139" t="str">
        <f>IF(装备!T170="","""""",""""&amp;装备!T170&amp;"""")</f>
        <v>""</v>
      </c>
      <c r="L139">
        <f>IF(装备!U170="",0,""""&amp;装备!U170&amp;"""")</f>
        <v>0</v>
      </c>
      <c r="M139" t="str">
        <f t="shared" si="4"/>
        <v/>
      </c>
      <c r="N139" t="str">
        <f t="shared" si="5"/>
        <v>call InitTypeIdStrings(0,0,0,"")</v>
      </c>
    </row>
    <row r="140" spans="1:14">
      <c r="A140">
        <f>IF(装备!B171="",0,"'"&amp;装备!B171&amp;"'")</f>
        <v>0</v>
      </c>
      <c r="B140">
        <f>装备!D172</f>
        <v>0</v>
      </c>
      <c r="C140">
        <f>装备!E171</f>
        <v>0</v>
      </c>
      <c r="D140">
        <f>装备!F171</f>
        <v>0</v>
      </c>
      <c r="E140">
        <f>IF(ISTEXT(装备!G171)=TRUE,"'"&amp;装备!G171&amp;"'",装备!G171)</f>
        <v>0</v>
      </c>
      <c r="F140">
        <f>IF(ISTEXT(装备!H171)=TRUE,"'"&amp;装备!H171&amp;"'",装备!H171)</f>
        <v>0</v>
      </c>
      <c r="G140">
        <f>IF(装备!I171="",0,"'"&amp;装备!I171&amp;"'")</f>
        <v>0</v>
      </c>
      <c r="H140">
        <f>IF(装备!R171="",0,装备!R171)</f>
        <v>0</v>
      </c>
      <c r="I140">
        <f>IF(装备!S171="",0,装备!S171)</f>
        <v>0</v>
      </c>
      <c r="J140">
        <f>IF(装备!C171="",0,""""&amp;装备!C171&amp;"""")</f>
        <v>0</v>
      </c>
      <c r="K140" t="str">
        <f>IF(装备!T171="","""""",""""&amp;装备!T171&amp;"""")</f>
        <v>""</v>
      </c>
      <c r="L140">
        <f>IF(装备!U171="",0,""""&amp;装备!U171&amp;"""")</f>
        <v>0</v>
      </c>
      <c r="M140" t="str">
        <f t="shared" si="4"/>
        <v/>
      </c>
      <c r="N140" t="str">
        <f t="shared" si="5"/>
        <v>call InitTypeIdStrings(0,0,0,"")</v>
      </c>
    </row>
    <row r="141" spans="1:14">
      <c r="A141">
        <f>IF(装备!B172="",0,"'"&amp;装备!B172&amp;"'")</f>
        <v>0</v>
      </c>
      <c r="B141">
        <f>装备!D173</f>
        <v>0</v>
      </c>
      <c r="C141">
        <f>装备!E172</f>
        <v>0</v>
      </c>
      <c r="D141">
        <f>装备!F172</f>
        <v>0</v>
      </c>
      <c r="E141">
        <f>IF(ISTEXT(装备!G172)=TRUE,"'"&amp;装备!G172&amp;"'",装备!G172)</f>
        <v>0</v>
      </c>
      <c r="F141">
        <f>IF(ISTEXT(装备!H172)=TRUE,"'"&amp;装备!H172&amp;"'",装备!H172)</f>
        <v>0</v>
      </c>
      <c r="G141">
        <f>IF(装备!I172="",0,"'"&amp;装备!I172&amp;"'")</f>
        <v>0</v>
      </c>
      <c r="H141">
        <f>IF(装备!R172="",0,装备!R172)</f>
        <v>0</v>
      </c>
      <c r="I141">
        <f>IF(装备!S172="",0,装备!S172)</f>
        <v>0</v>
      </c>
      <c r="J141">
        <f>IF(装备!C172="",0,""""&amp;装备!C172&amp;"""")</f>
        <v>0</v>
      </c>
      <c r="K141" t="str">
        <f>IF(装备!T172="","""""",""""&amp;装备!T172&amp;"""")</f>
        <v>""</v>
      </c>
      <c r="L141">
        <f>IF(装备!U172="",0,""""&amp;装备!U172&amp;"""")</f>
        <v>0</v>
      </c>
      <c r="M141" t="str">
        <f t="shared" si="4"/>
        <v/>
      </c>
      <c r="N141" t="str">
        <f t="shared" si="5"/>
        <v>call InitTypeIdStrings(0,0,0,"")</v>
      </c>
    </row>
    <row r="142" spans="1:14">
      <c r="A142">
        <f>IF(装备!B173="",0,"'"&amp;装备!B173&amp;"'")</f>
        <v>0</v>
      </c>
      <c r="B142">
        <f>装备!D174</f>
        <v>0</v>
      </c>
      <c r="C142">
        <f>装备!E173</f>
        <v>0</v>
      </c>
      <c r="D142">
        <f>装备!F173</f>
        <v>0</v>
      </c>
      <c r="E142">
        <f>IF(ISTEXT(装备!G173)=TRUE,"'"&amp;装备!G173&amp;"'",装备!G173)</f>
        <v>0</v>
      </c>
      <c r="F142">
        <f>IF(ISTEXT(装备!H173)=TRUE,"'"&amp;装备!H173&amp;"'",装备!H173)</f>
        <v>0</v>
      </c>
      <c r="G142">
        <f>IF(装备!I173="",0,"'"&amp;装备!I173&amp;"'")</f>
        <v>0</v>
      </c>
      <c r="H142">
        <f>IF(装备!R173="",0,装备!R173)</f>
        <v>0</v>
      </c>
      <c r="I142">
        <f>IF(装备!S173="",0,装备!S173)</f>
        <v>0</v>
      </c>
      <c r="J142">
        <f>IF(装备!C173="",0,""""&amp;装备!C173&amp;"""")</f>
        <v>0</v>
      </c>
      <c r="K142" t="str">
        <f>IF(装备!T173="","""""",""""&amp;装备!T173&amp;"""")</f>
        <v>""</v>
      </c>
      <c r="L142">
        <f>IF(装备!U173="",0,""""&amp;装备!U173&amp;"""")</f>
        <v>0</v>
      </c>
      <c r="M142" t="str">
        <f t="shared" si="4"/>
        <v/>
      </c>
      <c r="N142" t="str">
        <f t="shared" si="5"/>
        <v>call InitTypeIdStrings(0,0,0,"")</v>
      </c>
    </row>
    <row r="143" spans="1:14">
      <c r="A143">
        <f>IF(装备!B174="",0,"'"&amp;装备!B174&amp;"'")</f>
        <v>0</v>
      </c>
      <c r="B143">
        <f>装备!D175</f>
        <v>0</v>
      </c>
      <c r="C143">
        <f>装备!E174</f>
        <v>0</v>
      </c>
      <c r="D143">
        <f>装备!F174</f>
        <v>0</v>
      </c>
      <c r="E143">
        <f>IF(ISTEXT(装备!G174)=TRUE,"'"&amp;装备!G174&amp;"'",装备!G174)</f>
        <v>0</v>
      </c>
      <c r="F143">
        <f>IF(ISTEXT(装备!H174)=TRUE,"'"&amp;装备!H174&amp;"'",装备!H174)</f>
        <v>0</v>
      </c>
      <c r="G143">
        <f>IF(装备!I174="",0,"'"&amp;装备!I174&amp;"'")</f>
        <v>0</v>
      </c>
      <c r="H143">
        <f>IF(装备!R174="",0,装备!R174)</f>
        <v>0</v>
      </c>
      <c r="I143">
        <f>IF(装备!S174="",0,装备!S174)</f>
        <v>0</v>
      </c>
      <c r="J143">
        <f>IF(装备!C174="",0,""""&amp;装备!C174&amp;"""")</f>
        <v>0</v>
      </c>
      <c r="K143" t="str">
        <f>IF(装备!T174="","""""",""""&amp;装备!T174&amp;"""")</f>
        <v>""</v>
      </c>
      <c r="L143">
        <f>IF(装备!U174="",0,""""&amp;装备!U174&amp;"""")</f>
        <v>0</v>
      </c>
      <c r="M143" t="str">
        <f t="shared" si="4"/>
        <v/>
      </c>
      <c r="N143" t="str">
        <f t="shared" si="5"/>
        <v>call InitTypeIdStrings(0,0,0,"")</v>
      </c>
    </row>
    <row r="144" spans="1:14">
      <c r="A144">
        <f>IF(装备!B175="",0,"'"&amp;装备!B175&amp;"'")</f>
        <v>0</v>
      </c>
      <c r="B144">
        <f>装备!D176</f>
        <v>0</v>
      </c>
      <c r="C144">
        <f>装备!E175</f>
        <v>0</v>
      </c>
      <c r="D144">
        <f>装备!F175</f>
        <v>0</v>
      </c>
      <c r="E144">
        <f>IF(ISTEXT(装备!G175)=TRUE,"'"&amp;装备!G175&amp;"'",装备!G175)</f>
        <v>0</v>
      </c>
      <c r="F144">
        <f>IF(ISTEXT(装备!H175)=TRUE,"'"&amp;装备!H175&amp;"'",装备!H175)</f>
        <v>0</v>
      </c>
      <c r="G144">
        <f>IF(装备!I175="",0,"'"&amp;装备!I175&amp;"'")</f>
        <v>0</v>
      </c>
      <c r="H144">
        <f>IF(装备!R175="",0,装备!R175)</f>
        <v>0</v>
      </c>
      <c r="I144">
        <f>IF(装备!S175="",0,装备!S175)</f>
        <v>0</v>
      </c>
      <c r="J144">
        <f>IF(装备!C175="",0,""""&amp;装备!C175&amp;"""")</f>
        <v>0</v>
      </c>
      <c r="K144" t="str">
        <f>IF(装备!T175="","""""",""""&amp;装备!T175&amp;"""")</f>
        <v>""</v>
      </c>
      <c r="L144">
        <f>IF(装备!U175="",0,""""&amp;装备!U175&amp;"""")</f>
        <v>0</v>
      </c>
      <c r="M144" t="str">
        <f t="shared" si="4"/>
        <v/>
      </c>
      <c r="N144" t="str">
        <f t="shared" si="5"/>
        <v>call InitTypeIdStrings(0,0,0,"")</v>
      </c>
    </row>
    <row r="145" spans="1:14">
      <c r="A145">
        <f>IF(装备!B176="",0,"'"&amp;装备!B176&amp;"'")</f>
        <v>0</v>
      </c>
      <c r="B145">
        <f>装备!D177</f>
        <v>0</v>
      </c>
      <c r="C145">
        <f>装备!E176</f>
        <v>0</v>
      </c>
      <c r="D145">
        <f>装备!F176</f>
        <v>0</v>
      </c>
      <c r="E145">
        <f>IF(ISTEXT(装备!G176)=TRUE,"'"&amp;装备!G176&amp;"'",装备!G176)</f>
        <v>0</v>
      </c>
      <c r="F145">
        <f>IF(ISTEXT(装备!H176)=TRUE,"'"&amp;装备!H176&amp;"'",装备!H176)</f>
        <v>0</v>
      </c>
      <c r="G145">
        <f>IF(装备!I176="",0,"'"&amp;装备!I176&amp;"'")</f>
        <v>0</v>
      </c>
      <c r="H145">
        <f>IF(装备!R176="",0,装备!R176)</f>
        <v>0</v>
      </c>
      <c r="I145">
        <f>IF(装备!S176="",0,装备!S176)</f>
        <v>0</v>
      </c>
      <c r="J145">
        <f>IF(装备!C176="",0,""""&amp;装备!C176&amp;"""")</f>
        <v>0</v>
      </c>
      <c r="K145" t="str">
        <f>IF(装备!T176="","""""",""""&amp;装备!T176&amp;"""")</f>
        <v>""</v>
      </c>
      <c r="L145">
        <f>IF(装备!U176="",0,""""&amp;装备!U176&amp;"""")</f>
        <v>0</v>
      </c>
      <c r="M145" t="str">
        <f t="shared" si="4"/>
        <v/>
      </c>
      <c r="N145" t="str">
        <f t="shared" si="5"/>
        <v>call InitTypeIdStrings(0,0,0,"")</v>
      </c>
    </row>
    <row r="146" spans="1:14">
      <c r="A146">
        <f>IF(装备!B177="",0,"'"&amp;装备!B177&amp;"'")</f>
        <v>0</v>
      </c>
      <c r="B146">
        <f>装备!D178</f>
        <v>0</v>
      </c>
      <c r="C146">
        <f>装备!E177</f>
        <v>0</v>
      </c>
      <c r="D146">
        <f>装备!F177</f>
        <v>0</v>
      </c>
      <c r="E146">
        <f>IF(ISTEXT(装备!G177)=TRUE,"'"&amp;装备!G177&amp;"'",装备!G177)</f>
        <v>0</v>
      </c>
      <c r="F146">
        <f>IF(ISTEXT(装备!H177)=TRUE,"'"&amp;装备!H177&amp;"'",装备!H177)</f>
        <v>0</v>
      </c>
      <c r="G146">
        <f>IF(装备!I177="",0,"'"&amp;装备!I177&amp;"'")</f>
        <v>0</v>
      </c>
      <c r="H146">
        <f>IF(装备!R177="",0,装备!R177)</f>
        <v>0</v>
      </c>
      <c r="I146">
        <f>IF(装备!S177="",0,装备!S177)</f>
        <v>0</v>
      </c>
      <c r="J146">
        <f>IF(装备!C177="",0,""""&amp;装备!C177&amp;"""")</f>
        <v>0</v>
      </c>
      <c r="K146" t="str">
        <f>IF(装备!T177="","""""",""""&amp;装备!T177&amp;"""")</f>
        <v>""</v>
      </c>
      <c r="L146">
        <f>IF(装备!U177="",0,""""&amp;装备!U177&amp;"""")</f>
        <v>0</v>
      </c>
      <c r="M146" t="str">
        <f t="shared" si="4"/>
        <v/>
      </c>
      <c r="N146" t="str">
        <f t="shared" si="5"/>
        <v>call InitTypeIdStrings(0,0,0,"")</v>
      </c>
    </row>
    <row r="147" spans="1:14">
      <c r="A147">
        <f>IF(装备!B178="",0,"'"&amp;装备!B178&amp;"'")</f>
        <v>0</v>
      </c>
      <c r="B147">
        <f>装备!D179</f>
        <v>0</v>
      </c>
      <c r="C147">
        <f>装备!E178</f>
        <v>0</v>
      </c>
      <c r="D147">
        <f>装备!F178</f>
        <v>0</v>
      </c>
      <c r="E147">
        <f>IF(ISTEXT(装备!G178)=TRUE,"'"&amp;装备!G178&amp;"'",装备!G178)</f>
        <v>0</v>
      </c>
      <c r="F147">
        <f>IF(ISTEXT(装备!H178)=TRUE,"'"&amp;装备!H178&amp;"'",装备!H178)</f>
        <v>0</v>
      </c>
      <c r="G147">
        <f>IF(装备!I178="",0,"'"&amp;装备!I178&amp;"'")</f>
        <v>0</v>
      </c>
      <c r="H147">
        <f>IF(装备!R178="",0,装备!R178)</f>
        <v>0</v>
      </c>
      <c r="I147">
        <f>IF(装备!S178="",0,装备!S178)</f>
        <v>0</v>
      </c>
      <c r="J147">
        <f>IF(装备!C178="",0,""""&amp;装备!C178&amp;"""")</f>
        <v>0</v>
      </c>
      <c r="K147" t="str">
        <f>IF(装备!T178="","""""",""""&amp;装备!T178&amp;"""")</f>
        <v>""</v>
      </c>
      <c r="L147">
        <f>IF(装备!U178="",0,""""&amp;装备!U178&amp;"""")</f>
        <v>0</v>
      </c>
      <c r="M147" t="str">
        <f t="shared" si="4"/>
        <v/>
      </c>
      <c r="N147" t="str">
        <f t="shared" si="5"/>
        <v>call InitTypeIdStrings(0,0,0,"")</v>
      </c>
    </row>
    <row r="148" spans="1:14">
      <c r="A148">
        <f>IF(装备!B179="",0,"'"&amp;装备!B179&amp;"'")</f>
        <v>0</v>
      </c>
      <c r="B148">
        <f>装备!D180</f>
        <v>0</v>
      </c>
      <c r="C148">
        <f>装备!E179</f>
        <v>0</v>
      </c>
      <c r="D148">
        <f>装备!F179</f>
        <v>0</v>
      </c>
      <c r="E148">
        <f>IF(ISTEXT(装备!G179)=TRUE,"'"&amp;装备!G179&amp;"'",装备!G179)</f>
        <v>0</v>
      </c>
      <c r="F148">
        <f>IF(ISTEXT(装备!H179)=TRUE,"'"&amp;装备!H179&amp;"'",装备!H179)</f>
        <v>0</v>
      </c>
      <c r="G148">
        <f>IF(装备!I179="",0,"'"&amp;装备!I179&amp;"'")</f>
        <v>0</v>
      </c>
      <c r="H148">
        <f>IF(装备!R179="",0,装备!R179)</f>
        <v>0</v>
      </c>
      <c r="I148">
        <f>IF(装备!S179="",0,装备!S179)</f>
        <v>0</v>
      </c>
      <c r="J148">
        <f>IF(装备!C179="",0,""""&amp;装备!C179&amp;"""")</f>
        <v>0</v>
      </c>
      <c r="K148" t="str">
        <f>IF(装备!T179="","""""",""""&amp;装备!T179&amp;"""")</f>
        <v>""</v>
      </c>
      <c r="L148">
        <f>IF(装备!U179="",0,""""&amp;装备!U179&amp;"""")</f>
        <v>0</v>
      </c>
      <c r="M148" t="str">
        <f t="shared" si="4"/>
        <v/>
      </c>
      <c r="N148" t="str">
        <f t="shared" si="5"/>
        <v>call InitTypeIdStrings(0,0,0,"")</v>
      </c>
    </row>
    <row r="149" spans="1:14">
      <c r="A149">
        <f>IF(装备!B180="",0,"'"&amp;装备!B180&amp;"'")</f>
        <v>0</v>
      </c>
      <c r="B149">
        <f>装备!D181</f>
        <v>0</v>
      </c>
      <c r="C149">
        <f>装备!E180</f>
        <v>0</v>
      </c>
      <c r="D149">
        <f>装备!F180</f>
        <v>0</v>
      </c>
      <c r="E149">
        <f>IF(ISTEXT(装备!G180)=TRUE,"'"&amp;装备!G180&amp;"'",装备!G180)</f>
        <v>0</v>
      </c>
      <c r="F149">
        <f>IF(ISTEXT(装备!H180)=TRUE,"'"&amp;装备!H180&amp;"'",装备!H180)</f>
        <v>0</v>
      </c>
      <c r="G149">
        <f>IF(装备!I180="",0,"'"&amp;装备!I180&amp;"'")</f>
        <v>0</v>
      </c>
      <c r="H149">
        <f>IF(装备!R180="",0,装备!R180)</f>
        <v>0</v>
      </c>
      <c r="I149">
        <f>IF(装备!S180="",0,装备!S180)</f>
        <v>0</v>
      </c>
      <c r="J149">
        <f>IF(装备!C180="",0,""""&amp;装备!C180&amp;"""")</f>
        <v>0</v>
      </c>
      <c r="K149" t="str">
        <f>IF(装备!T180="","""""",""""&amp;装备!T180&amp;"""")</f>
        <v>""</v>
      </c>
      <c r="L149">
        <f>IF(装备!U180="",0,""""&amp;装备!U180&amp;"""")</f>
        <v>0</v>
      </c>
      <c r="M149" t="str">
        <f t="shared" si="4"/>
        <v/>
      </c>
      <c r="N149" t="str">
        <f t="shared" si="5"/>
        <v>call InitTypeIdStrings(0,0,0,"")</v>
      </c>
    </row>
    <row r="150" spans="1:14">
      <c r="A150">
        <f>IF(装备!B181="",0,"'"&amp;装备!B181&amp;"'")</f>
        <v>0</v>
      </c>
      <c r="B150">
        <f>装备!D182</f>
        <v>0</v>
      </c>
      <c r="C150">
        <f>装备!E181</f>
        <v>0</v>
      </c>
      <c r="D150">
        <f>装备!F181</f>
        <v>0</v>
      </c>
      <c r="E150">
        <f>IF(ISTEXT(装备!G181)=TRUE,"'"&amp;装备!G181&amp;"'",装备!G181)</f>
        <v>0</v>
      </c>
      <c r="F150">
        <f>IF(ISTEXT(装备!H181)=TRUE,"'"&amp;装备!H181&amp;"'",装备!H181)</f>
        <v>0</v>
      </c>
      <c r="G150">
        <f>IF(装备!I181="",0,"'"&amp;装备!I181&amp;"'")</f>
        <v>0</v>
      </c>
      <c r="H150">
        <f>IF(装备!R181="",0,装备!R181)</f>
        <v>0</v>
      </c>
      <c r="I150">
        <f>IF(装备!S181="",0,装备!S181)</f>
        <v>0</v>
      </c>
      <c r="J150">
        <f>IF(装备!C181="",0,""""&amp;装备!C181&amp;"""")</f>
        <v>0</v>
      </c>
      <c r="K150" t="str">
        <f>IF(装备!T181="","""""",""""&amp;装备!T181&amp;"""")</f>
        <v>""</v>
      </c>
      <c r="L150">
        <f>IF(装备!U181="",0,""""&amp;装备!U181&amp;"""")</f>
        <v>0</v>
      </c>
      <c r="M150" t="str">
        <f t="shared" si="4"/>
        <v/>
      </c>
      <c r="N150" t="str">
        <f t="shared" si="5"/>
        <v>call InitTypeIdStrings(0,0,0,"")</v>
      </c>
    </row>
    <row r="151" spans="1:14">
      <c r="A151">
        <f>IF(装备!B182="",0,"'"&amp;装备!B182&amp;"'")</f>
        <v>0</v>
      </c>
      <c r="B151">
        <f>装备!D183</f>
        <v>0</v>
      </c>
      <c r="C151">
        <f>装备!E182</f>
        <v>0</v>
      </c>
      <c r="D151">
        <f>装备!F182</f>
        <v>0</v>
      </c>
      <c r="E151">
        <f>IF(ISTEXT(装备!G182)=TRUE,"'"&amp;装备!G182&amp;"'",装备!G182)</f>
        <v>0</v>
      </c>
      <c r="F151">
        <f>IF(ISTEXT(装备!H182)=TRUE,"'"&amp;装备!H182&amp;"'",装备!H182)</f>
        <v>0</v>
      </c>
      <c r="G151">
        <f>IF(装备!I182="",0,"'"&amp;装备!I182&amp;"'")</f>
        <v>0</v>
      </c>
      <c r="H151">
        <f>IF(装备!R182="",0,装备!R182)</f>
        <v>0</v>
      </c>
      <c r="I151">
        <f>IF(装备!S182="",0,装备!S182)</f>
        <v>0</v>
      </c>
      <c r="J151">
        <f>IF(装备!C182="",0,""""&amp;装备!C182&amp;"""")</f>
        <v>0</v>
      </c>
      <c r="K151" t="str">
        <f>IF(装备!T182="","""""",""""&amp;装备!T182&amp;"""")</f>
        <v>""</v>
      </c>
      <c r="L151">
        <f>IF(装备!U182="",0,""""&amp;装备!U182&amp;"""")</f>
        <v>0</v>
      </c>
      <c r="M151" t="str">
        <f t="shared" si="4"/>
        <v/>
      </c>
      <c r="N151" t="str">
        <f t="shared" si="5"/>
        <v>call InitTypeIdStrings(0,0,0,"")</v>
      </c>
    </row>
    <row r="152" spans="1:14">
      <c r="A152">
        <f>IF(装备!B183="",0,"'"&amp;装备!B183&amp;"'")</f>
        <v>0</v>
      </c>
      <c r="B152">
        <f>装备!D184</f>
        <v>0</v>
      </c>
      <c r="C152">
        <f>装备!E183</f>
        <v>0</v>
      </c>
      <c r="D152">
        <f>装备!F183</f>
        <v>0</v>
      </c>
      <c r="E152">
        <f>IF(ISTEXT(装备!G183)=TRUE,"'"&amp;装备!G183&amp;"'",装备!G183)</f>
        <v>0</v>
      </c>
      <c r="F152">
        <f>IF(ISTEXT(装备!H183)=TRUE,"'"&amp;装备!H183&amp;"'",装备!H183)</f>
        <v>0</v>
      </c>
      <c r="G152">
        <f>IF(装备!I183="",0,"'"&amp;装备!I183&amp;"'")</f>
        <v>0</v>
      </c>
      <c r="H152">
        <f>IF(装备!R183="",0,装备!R183)</f>
        <v>0</v>
      </c>
      <c r="I152">
        <f>IF(装备!S183="",0,装备!S183)</f>
        <v>0</v>
      </c>
      <c r="J152">
        <f>IF(装备!C183="",0,""""&amp;装备!C183&amp;"""")</f>
        <v>0</v>
      </c>
      <c r="K152" t="str">
        <f>IF(装备!T183="","""""",""""&amp;装备!T183&amp;"""")</f>
        <v>""</v>
      </c>
      <c r="L152">
        <f>IF(装备!U183="",0,""""&amp;装备!U183&amp;"""")</f>
        <v>0</v>
      </c>
      <c r="M152" t="str">
        <f t="shared" si="4"/>
        <v/>
      </c>
      <c r="N152" t="str">
        <f t="shared" si="5"/>
        <v>call InitTypeIdStrings(0,0,0,"")</v>
      </c>
    </row>
    <row r="153" spans="1:14">
      <c r="A153">
        <f>IF(装备!B184="",0,"'"&amp;装备!B184&amp;"'")</f>
        <v>0</v>
      </c>
      <c r="B153">
        <f>装备!D185</f>
        <v>0</v>
      </c>
      <c r="C153">
        <f>装备!E184</f>
        <v>0</v>
      </c>
      <c r="D153">
        <f>装备!F184</f>
        <v>0</v>
      </c>
      <c r="E153">
        <f>IF(ISTEXT(装备!G184)=TRUE,"'"&amp;装备!G184&amp;"'",装备!G184)</f>
        <v>0</v>
      </c>
      <c r="F153">
        <f>IF(ISTEXT(装备!H184)=TRUE,"'"&amp;装备!H184&amp;"'",装备!H184)</f>
        <v>0</v>
      </c>
      <c r="G153">
        <f>IF(装备!I184="",0,"'"&amp;装备!I184&amp;"'")</f>
        <v>0</v>
      </c>
      <c r="H153">
        <f>IF(装备!R184="",0,装备!R184)</f>
        <v>0</v>
      </c>
      <c r="I153">
        <f>IF(装备!S184="",0,装备!S184)</f>
        <v>0</v>
      </c>
      <c r="J153">
        <f>IF(装备!C184="",0,""""&amp;装备!C184&amp;"""")</f>
        <v>0</v>
      </c>
      <c r="K153" t="str">
        <f>IF(装备!T184="","""""",""""&amp;装备!T184&amp;"""")</f>
        <v>""</v>
      </c>
      <c r="L153">
        <f>IF(装备!U184="",0,""""&amp;装备!U184&amp;"""")</f>
        <v>0</v>
      </c>
      <c r="M153" t="str">
        <f t="shared" si="4"/>
        <v/>
      </c>
      <c r="N153" t="str">
        <f t="shared" si="5"/>
        <v>call InitTypeIdStrings(0,0,0,"")</v>
      </c>
    </row>
    <row r="154" spans="1:14">
      <c r="A154">
        <f>IF(装备!B185="",0,"'"&amp;装备!B185&amp;"'")</f>
        <v>0</v>
      </c>
      <c r="B154">
        <f>装备!D186</f>
        <v>0</v>
      </c>
      <c r="C154">
        <f>装备!E185</f>
        <v>0</v>
      </c>
      <c r="D154">
        <f>装备!F185</f>
        <v>0</v>
      </c>
      <c r="E154">
        <f>IF(ISTEXT(装备!G185)=TRUE,"'"&amp;装备!G185&amp;"'",装备!G185)</f>
        <v>0</v>
      </c>
      <c r="F154">
        <f>IF(ISTEXT(装备!H185)=TRUE,"'"&amp;装备!H185&amp;"'",装备!H185)</f>
        <v>0</v>
      </c>
      <c r="G154">
        <f>IF(装备!I185="",0,"'"&amp;装备!I185&amp;"'")</f>
        <v>0</v>
      </c>
      <c r="H154">
        <f>IF(装备!R185="",0,装备!R185)</f>
        <v>0</v>
      </c>
      <c r="I154">
        <f>IF(装备!S185="",0,装备!S185)</f>
        <v>0</v>
      </c>
      <c r="J154">
        <f>IF(装备!C185="",0,""""&amp;装备!C185&amp;"""")</f>
        <v>0</v>
      </c>
      <c r="K154" t="str">
        <f>IF(装备!T185="","""""",""""&amp;装备!T185&amp;"""")</f>
        <v>""</v>
      </c>
      <c r="L154">
        <f>IF(装备!U185="",0,""""&amp;装备!U185&amp;"""")</f>
        <v>0</v>
      </c>
      <c r="M154" t="str">
        <f t="shared" si="4"/>
        <v/>
      </c>
      <c r="N154" t="str">
        <f t="shared" si="5"/>
        <v>call InitTypeIdStrings(0,0,0,"")</v>
      </c>
    </row>
    <row r="155" spans="1:14">
      <c r="A155">
        <f>IF(装备!B186="",0,"'"&amp;装备!B186&amp;"'")</f>
        <v>0</v>
      </c>
      <c r="B155">
        <f>装备!D187</f>
        <v>0</v>
      </c>
      <c r="C155">
        <f>装备!E186</f>
        <v>0</v>
      </c>
      <c r="D155">
        <f>装备!F186</f>
        <v>0</v>
      </c>
      <c r="E155">
        <f>IF(ISTEXT(装备!G186)=TRUE,"'"&amp;装备!G186&amp;"'",装备!G186)</f>
        <v>0</v>
      </c>
      <c r="F155">
        <f>IF(ISTEXT(装备!H186)=TRUE,"'"&amp;装备!H186&amp;"'",装备!H186)</f>
        <v>0</v>
      </c>
      <c r="G155">
        <f>IF(装备!I186="",0,"'"&amp;装备!I186&amp;"'")</f>
        <v>0</v>
      </c>
      <c r="H155">
        <f>IF(装备!R186="",0,装备!R186)</f>
        <v>0</v>
      </c>
      <c r="I155">
        <f>IF(装备!S186="",0,装备!S186)</f>
        <v>0</v>
      </c>
      <c r="J155">
        <f>IF(装备!C186="",0,""""&amp;装备!C186&amp;"""")</f>
        <v>0</v>
      </c>
      <c r="K155" t="str">
        <f>IF(装备!T186="","""""",""""&amp;装备!T186&amp;"""")</f>
        <v>""</v>
      </c>
      <c r="L155">
        <f>IF(装备!U186="",0,""""&amp;装备!U186&amp;"""")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IF(装备!B187="",0,"'"&amp;装备!B187&amp;"'")</f>
        <v>0</v>
      </c>
      <c r="B156">
        <f>装备!D188</f>
        <v>0</v>
      </c>
      <c r="C156">
        <f>装备!E187</f>
        <v>0</v>
      </c>
      <c r="D156">
        <f>装备!F187</f>
        <v>0</v>
      </c>
      <c r="E156">
        <f>IF(ISTEXT(装备!G187)=TRUE,"'"&amp;装备!G187&amp;"'",装备!G187)</f>
        <v>0</v>
      </c>
      <c r="F156">
        <f>IF(ISTEXT(装备!H187)=TRUE,"'"&amp;装备!H187&amp;"'",装备!H187)</f>
        <v>0</v>
      </c>
      <c r="G156">
        <f>IF(装备!I187="",0,"'"&amp;装备!I187&amp;"'")</f>
        <v>0</v>
      </c>
      <c r="H156">
        <f>IF(装备!R187="",0,装备!R187)</f>
        <v>0</v>
      </c>
      <c r="I156">
        <f>IF(装备!S187="",0,装备!S187)</f>
        <v>0</v>
      </c>
      <c r="J156">
        <f>IF(装备!C187="",0,""""&amp;装备!C187&amp;"""")</f>
        <v>0</v>
      </c>
      <c r="K156" t="str">
        <f>IF(装备!T187="","""""",""""&amp;装备!T187&amp;"""")</f>
        <v>""</v>
      </c>
      <c r="L156">
        <f>IF(装备!U187="",0,""""&amp;装备!U187&amp;"""")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IF(装备!B188="",0,"'"&amp;装备!B188&amp;"'")</f>
        <v>0</v>
      </c>
      <c r="B157">
        <f>装备!D189</f>
        <v>0</v>
      </c>
      <c r="C157">
        <f>装备!E188</f>
        <v>0</v>
      </c>
      <c r="D157">
        <f>装备!F188</f>
        <v>0</v>
      </c>
      <c r="E157">
        <f>IF(ISTEXT(装备!G188)=TRUE,"'"&amp;装备!G188&amp;"'",装备!G188)</f>
        <v>0</v>
      </c>
      <c r="F157">
        <f>IF(ISTEXT(装备!H188)=TRUE,"'"&amp;装备!H188&amp;"'",装备!H188)</f>
        <v>0</v>
      </c>
      <c r="G157">
        <f>IF(装备!I188="",0,"'"&amp;装备!I188&amp;"'")</f>
        <v>0</v>
      </c>
      <c r="H157">
        <f>IF(装备!R188="",0,装备!R188)</f>
        <v>0</v>
      </c>
      <c r="I157">
        <f>IF(装备!S188="",0,装备!S188)</f>
        <v>0</v>
      </c>
      <c r="J157">
        <f>IF(装备!C188="",0,""""&amp;装备!C188&amp;"""")</f>
        <v>0</v>
      </c>
      <c r="K157" t="str">
        <f>IF(装备!T188="","""""",""""&amp;装备!T188&amp;"""")</f>
        <v>""</v>
      </c>
      <c r="L157">
        <f>IF(装备!U188="",0,""""&amp;装备!U188&amp;"""")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IF(装备!B189="",0,"'"&amp;装备!B189&amp;"'")</f>
        <v>0</v>
      </c>
      <c r="B158">
        <f>装备!D190</f>
        <v>0</v>
      </c>
      <c r="C158">
        <f>装备!E189</f>
        <v>0</v>
      </c>
      <c r="D158">
        <f>装备!F189</f>
        <v>0</v>
      </c>
      <c r="E158">
        <f>IF(ISTEXT(装备!G189)=TRUE,"'"&amp;装备!G189&amp;"'",装备!G189)</f>
        <v>0</v>
      </c>
      <c r="F158">
        <f>IF(ISTEXT(装备!H189)=TRUE,"'"&amp;装备!H189&amp;"'",装备!H189)</f>
        <v>0</v>
      </c>
      <c r="G158">
        <f>IF(装备!I189="",0,"'"&amp;装备!I189&amp;"'")</f>
        <v>0</v>
      </c>
      <c r="H158">
        <f>IF(装备!R189="",0,装备!R189)</f>
        <v>0</v>
      </c>
      <c r="I158">
        <f>IF(装备!S189="",0,装备!S189)</f>
        <v>0</v>
      </c>
      <c r="J158">
        <f>IF(装备!C189="",0,""""&amp;装备!C189&amp;"""")</f>
        <v>0</v>
      </c>
      <c r="K158" t="str">
        <f>IF(装备!T189="","""""",""""&amp;装备!T189&amp;"""")</f>
        <v>""</v>
      </c>
      <c r="L158">
        <f>IF(装备!U189="",0,""""&amp;装备!U189&amp;"""")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IF(装备!B190="",0,"'"&amp;装备!B190&amp;"'")</f>
        <v>0</v>
      </c>
      <c r="B159">
        <f>装备!D191</f>
        <v>0</v>
      </c>
      <c r="C159">
        <f>装备!E190</f>
        <v>0</v>
      </c>
      <c r="D159">
        <f>装备!F190</f>
        <v>0</v>
      </c>
      <c r="E159">
        <f>IF(ISTEXT(装备!G190)=TRUE,"'"&amp;装备!G190&amp;"'",装备!G190)</f>
        <v>0</v>
      </c>
      <c r="F159">
        <f>IF(ISTEXT(装备!H190)=TRUE,"'"&amp;装备!H190&amp;"'",装备!H190)</f>
        <v>0</v>
      </c>
      <c r="G159">
        <f>IF(装备!I190="",0,"'"&amp;装备!I190&amp;"'")</f>
        <v>0</v>
      </c>
      <c r="H159">
        <f>IF(装备!R190="",0,装备!R190)</f>
        <v>0</v>
      </c>
      <c r="I159">
        <f>IF(装备!S190="",0,装备!S190)</f>
        <v>0</v>
      </c>
      <c r="J159">
        <f>IF(装备!C190="",0,""""&amp;装备!C190&amp;"""")</f>
        <v>0</v>
      </c>
      <c r="K159" t="str">
        <f>IF(装备!T190="","""""",""""&amp;装备!T190&amp;"""")</f>
        <v>""</v>
      </c>
      <c r="L159">
        <f>IF(装备!U190="",0,""""&amp;装备!U190&amp;"""")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IF(装备!B191="",0,"'"&amp;装备!B191&amp;"'")</f>
        <v>0</v>
      </c>
      <c r="B160">
        <f>装备!D192</f>
        <v>0</v>
      </c>
      <c r="C160">
        <f>装备!E191</f>
        <v>0</v>
      </c>
      <c r="D160">
        <f>装备!F191</f>
        <v>0</v>
      </c>
      <c r="E160">
        <f>IF(ISTEXT(装备!G191)=TRUE,"'"&amp;装备!G191&amp;"'",装备!G191)</f>
        <v>0</v>
      </c>
      <c r="F160">
        <f>IF(ISTEXT(装备!H191)=TRUE,"'"&amp;装备!H191&amp;"'",装备!H191)</f>
        <v>0</v>
      </c>
      <c r="G160">
        <f>IF(装备!I191="",0,"'"&amp;装备!I191&amp;"'")</f>
        <v>0</v>
      </c>
      <c r="H160">
        <f>IF(装备!R191="",0,装备!R191)</f>
        <v>0</v>
      </c>
      <c r="I160">
        <f>IF(装备!S191="",0,装备!S191)</f>
        <v>0</v>
      </c>
      <c r="J160">
        <f>IF(装备!C191="",0,""""&amp;装备!C191&amp;"""")</f>
        <v>0</v>
      </c>
      <c r="K160" t="str">
        <f>IF(装备!T191="","""""",""""&amp;装备!T191&amp;"""")</f>
        <v>""</v>
      </c>
      <c r="L160">
        <f>IF(装备!U191="",0,""""&amp;装备!U191&amp;"""")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IF(装备!B192="",0,"'"&amp;装备!B192&amp;"'")</f>
        <v>0</v>
      </c>
      <c r="B161">
        <f>装备!D193</f>
        <v>0</v>
      </c>
      <c r="C161">
        <f>装备!E192</f>
        <v>0</v>
      </c>
      <c r="D161">
        <f>装备!F192</f>
        <v>0</v>
      </c>
      <c r="E161">
        <f>IF(ISTEXT(装备!G192)=TRUE,"'"&amp;装备!G192&amp;"'",装备!G192)</f>
        <v>0</v>
      </c>
      <c r="F161">
        <f>IF(ISTEXT(装备!H192)=TRUE,"'"&amp;装备!H192&amp;"'",装备!H192)</f>
        <v>0</v>
      </c>
      <c r="G161">
        <f>IF(装备!I192="",0,"'"&amp;装备!I192&amp;"'")</f>
        <v>0</v>
      </c>
      <c r="H161">
        <f>IF(装备!R192="",0,装备!R192)</f>
        <v>0</v>
      </c>
      <c r="I161">
        <f>IF(装备!S192="",0,装备!S192)</f>
        <v>0</v>
      </c>
      <c r="J161">
        <f>IF(装备!C192="",0,""""&amp;装备!C192&amp;"""")</f>
        <v>0</v>
      </c>
      <c r="K161" t="str">
        <f>IF(装备!T192="","""""",""""&amp;装备!T192&amp;"""")</f>
        <v>""</v>
      </c>
      <c r="L161">
        <f>IF(装备!U192="",0,""""&amp;装备!U192&amp;"""")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IF(装备!B193="",0,"'"&amp;装备!B193&amp;"'")</f>
        <v>0</v>
      </c>
      <c r="B162">
        <f>装备!D194</f>
        <v>0</v>
      </c>
      <c r="C162">
        <f>装备!E193</f>
        <v>0</v>
      </c>
      <c r="D162">
        <f>装备!F193</f>
        <v>0</v>
      </c>
      <c r="E162">
        <f>IF(ISTEXT(装备!G193)=TRUE,"'"&amp;装备!G193&amp;"'",装备!G193)</f>
        <v>0</v>
      </c>
      <c r="F162">
        <f>IF(ISTEXT(装备!H193)=TRUE,"'"&amp;装备!H193&amp;"'",装备!H193)</f>
        <v>0</v>
      </c>
      <c r="G162">
        <f>IF(装备!I193="",0,"'"&amp;装备!I193&amp;"'")</f>
        <v>0</v>
      </c>
      <c r="H162">
        <f>IF(装备!R193="",0,装备!R193)</f>
        <v>0</v>
      </c>
      <c r="I162">
        <f>IF(装备!S193="",0,装备!S193)</f>
        <v>0</v>
      </c>
      <c r="J162">
        <f>IF(装备!C193="",0,""""&amp;装备!C193&amp;"""")</f>
        <v>0</v>
      </c>
      <c r="K162" t="str">
        <f>IF(装备!T193="","""""",""""&amp;装备!T193&amp;"""")</f>
        <v>""</v>
      </c>
      <c r="L162">
        <f>IF(装备!U193="",0,""""&amp;装备!U193&amp;"""")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IF(装备!B194="",0,"'"&amp;装备!B194&amp;"'")</f>
        <v>0</v>
      </c>
      <c r="B163">
        <f>装备!D195</f>
        <v>0</v>
      </c>
      <c r="C163">
        <f>装备!E194</f>
        <v>0</v>
      </c>
      <c r="D163">
        <f>装备!F194</f>
        <v>0</v>
      </c>
      <c r="E163">
        <f>IF(ISTEXT(装备!G194)=TRUE,"'"&amp;装备!G194&amp;"'",装备!G194)</f>
        <v>0</v>
      </c>
      <c r="F163">
        <f>IF(ISTEXT(装备!H194)=TRUE,"'"&amp;装备!H194&amp;"'",装备!H194)</f>
        <v>0</v>
      </c>
      <c r="G163">
        <f>IF(装备!I194="",0,"'"&amp;装备!I194&amp;"'")</f>
        <v>0</v>
      </c>
      <c r="H163">
        <f>IF(装备!R194="",0,装备!R194)</f>
        <v>0</v>
      </c>
      <c r="I163">
        <f>IF(装备!S194="",0,装备!S194)</f>
        <v>0</v>
      </c>
      <c r="J163">
        <f>IF(装备!C194="",0,""""&amp;装备!C194&amp;"""")</f>
        <v>0</v>
      </c>
      <c r="K163" t="str">
        <f>IF(装备!T194="","""""",""""&amp;装备!T194&amp;"""")</f>
        <v>""</v>
      </c>
      <c r="L163">
        <f>IF(装备!U194="",0,""""&amp;装备!U194&amp;"""")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IF(装备!B195="",0,"'"&amp;装备!B195&amp;"'")</f>
        <v>0</v>
      </c>
      <c r="B164">
        <f>装备!D196</f>
        <v>0</v>
      </c>
      <c r="C164">
        <f>装备!E195</f>
        <v>0</v>
      </c>
      <c r="D164">
        <f>装备!F195</f>
        <v>0</v>
      </c>
      <c r="E164">
        <f>IF(ISTEXT(装备!G195)=TRUE,"'"&amp;装备!G195&amp;"'",装备!G195)</f>
        <v>0</v>
      </c>
      <c r="F164">
        <f>IF(ISTEXT(装备!H195)=TRUE,"'"&amp;装备!H195&amp;"'",装备!H195)</f>
        <v>0</v>
      </c>
      <c r="G164">
        <f>IF(装备!I195="",0,"'"&amp;装备!I195&amp;"'")</f>
        <v>0</v>
      </c>
      <c r="H164">
        <f>IF(装备!R195="",0,装备!R195)</f>
        <v>0</v>
      </c>
      <c r="I164">
        <f>IF(装备!S195="",0,装备!S195)</f>
        <v>0</v>
      </c>
      <c r="J164">
        <f>IF(装备!C195="",0,""""&amp;装备!C195&amp;"""")</f>
        <v>0</v>
      </c>
      <c r="K164" t="str">
        <f>IF(装备!T195="","""""",""""&amp;装备!T195&amp;"""")</f>
        <v>""</v>
      </c>
      <c r="L164">
        <f>IF(装备!U195="",0,""""&amp;装备!U195&amp;"""")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IF(装备!B196="",0,"'"&amp;装备!B196&amp;"'")</f>
        <v>0</v>
      </c>
      <c r="B165">
        <f>装备!D197</f>
        <v>0</v>
      </c>
      <c r="C165">
        <f>装备!E196</f>
        <v>0</v>
      </c>
      <c r="D165">
        <f>装备!F196</f>
        <v>0</v>
      </c>
      <c r="E165">
        <f>IF(ISTEXT(装备!G196)=TRUE,"'"&amp;装备!G196&amp;"'",装备!G196)</f>
        <v>0</v>
      </c>
      <c r="F165">
        <f>IF(ISTEXT(装备!H196)=TRUE,"'"&amp;装备!H196&amp;"'",装备!H196)</f>
        <v>0</v>
      </c>
      <c r="G165">
        <f>IF(装备!I196="",0,"'"&amp;装备!I196&amp;"'")</f>
        <v>0</v>
      </c>
      <c r="H165">
        <f>IF(装备!R196="",0,装备!R196)</f>
        <v>0</v>
      </c>
      <c r="I165">
        <f>IF(装备!S196="",0,装备!S196)</f>
        <v>0</v>
      </c>
      <c r="J165">
        <f>IF(装备!C196="",0,""""&amp;装备!C196&amp;"""")</f>
        <v>0</v>
      </c>
      <c r="K165" t="str">
        <f>IF(装备!T196="","""""",""""&amp;装备!T196&amp;"""")</f>
        <v>""</v>
      </c>
      <c r="L165">
        <f>IF(装备!U196="",0,""""&amp;装备!U196&amp;"""")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IF(装备!B197="",0,"'"&amp;装备!B197&amp;"'")</f>
        <v>0</v>
      </c>
      <c r="B166">
        <f>装备!D198</f>
        <v>0</v>
      </c>
      <c r="C166">
        <f>装备!E197</f>
        <v>0</v>
      </c>
      <c r="D166">
        <f>装备!F197</f>
        <v>0</v>
      </c>
      <c r="E166">
        <f>IF(ISTEXT(装备!G197)=TRUE,"'"&amp;装备!G197&amp;"'",装备!G197)</f>
        <v>0</v>
      </c>
      <c r="F166">
        <f>IF(ISTEXT(装备!H197)=TRUE,"'"&amp;装备!H197&amp;"'",装备!H197)</f>
        <v>0</v>
      </c>
      <c r="G166">
        <f>IF(装备!I197="",0,"'"&amp;装备!I197&amp;"'")</f>
        <v>0</v>
      </c>
      <c r="H166">
        <f>IF(装备!R197="",0,装备!R197)</f>
        <v>0</v>
      </c>
      <c r="I166">
        <f>IF(装备!S197="",0,装备!S197)</f>
        <v>0</v>
      </c>
      <c r="J166">
        <f>IF(装备!C197="",0,""""&amp;装备!C197&amp;"""")</f>
        <v>0</v>
      </c>
      <c r="K166" t="str">
        <f>IF(装备!T197="","""""",""""&amp;装备!T197&amp;"""")</f>
        <v>""</v>
      </c>
      <c r="L166">
        <f>IF(装备!U197="",0,""""&amp;装备!U197&amp;"""")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IF(装备!B198="",0,"'"&amp;装备!B198&amp;"'")</f>
        <v>0</v>
      </c>
      <c r="B167">
        <f>装备!D199</f>
        <v>0</v>
      </c>
      <c r="C167">
        <f>装备!E198</f>
        <v>0</v>
      </c>
      <c r="D167">
        <f>装备!F198</f>
        <v>0</v>
      </c>
      <c r="E167">
        <f>IF(ISTEXT(装备!G198)=TRUE,"'"&amp;装备!G198&amp;"'",装备!G198)</f>
        <v>0</v>
      </c>
      <c r="F167">
        <f>IF(ISTEXT(装备!H198)=TRUE,"'"&amp;装备!H198&amp;"'",装备!H198)</f>
        <v>0</v>
      </c>
      <c r="G167">
        <f>IF(装备!I198="",0,"'"&amp;装备!I198&amp;"'")</f>
        <v>0</v>
      </c>
      <c r="H167">
        <f>IF(装备!R198="",0,装备!R198)</f>
        <v>0</v>
      </c>
      <c r="I167">
        <f>IF(装备!S198="",0,装备!S198)</f>
        <v>0</v>
      </c>
      <c r="J167">
        <f>IF(装备!C198="",0,""""&amp;装备!C198&amp;"""")</f>
        <v>0</v>
      </c>
      <c r="K167" t="str">
        <f>IF(装备!T198="","""""",""""&amp;装备!T198&amp;"""")</f>
        <v>""</v>
      </c>
      <c r="L167">
        <f>IF(装备!U198="",0,""""&amp;装备!U198&amp;"""")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IF(装备!B199="",0,"'"&amp;装备!B199&amp;"'")</f>
        <v>0</v>
      </c>
      <c r="B168">
        <f>装备!D200</f>
        <v>0</v>
      </c>
      <c r="C168">
        <f>装备!E199</f>
        <v>0</v>
      </c>
      <c r="D168">
        <f>装备!F199</f>
        <v>0</v>
      </c>
      <c r="E168">
        <f>IF(ISTEXT(装备!G199)=TRUE,"'"&amp;装备!G199&amp;"'",装备!G199)</f>
        <v>0</v>
      </c>
      <c r="F168">
        <f>IF(ISTEXT(装备!H199)=TRUE,"'"&amp;装备!H199&amp;"'",装备!H199)</f>
        <v>0</v>
      </c>
      <c r="G168">
        <f>IF(装备!I199="",0,"'"&amp;装备!I199&amp;"'")</f>
        <v>0</v>
      </c>
      <c r="H168">
        <f>IF(装备!R199="",0,装备!R199)</f>
        <v>0</v>
      </c>
      <c r="I168">
        <f>IF(装备!S199="",0,装备!S199)</f>
        <v>0</v>
      </c>
      <c r="J168">
        <f>IF(装备!C199="",0,""""&amp;装备!C199&amp;"""")</f>
        <v>0</v>
      </c>
      <c r="K168" t="str">
        <f>IF(装备!T199="","""""",""""&amp;装备!T199&amp;"""")</f>
        <v>""</v>
      </c>
      <c r="L168">
        <f>IF(装备!U199="",0,""""&amp;装备!U199&amp;"""")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IF(装备!B200="",0,"'"&amp;装备!B200&amp;"'")</f>
        <v>0</v>
      </c>
      <c r="B169">
        <f>装备!D201</f>
        <v>0</v>
      </c>
      <c r="C169">
        <f>装备!E200</f>
        <v>0</v>
      </c>
      <c r="D169">
        <f>装备!F200</f>
        <v>0</v>
      </c>
      <c r="E169">
        <f>IF(ISTEXT(装备!G200)=TRUE,"'"&amp;装备!G200&amp;"'",装备!G200)</f>
        <v>0</v>
      </c>
      <c r="F169">
        <f>IF(ISTEXT(装备!H200)=TRUE,"'"&amp;装备!H200&amp;"'",装备!H200)</f>
        <v>0</v>
      </c>
      <c r="G169">
        <f>IF(装备!I200="",0,"'"&amp;装备!I200&amp;"'")</f>
        <v>0</v>
      </c>
      <c r="H169">
        <f>IF(装备!R200="",0,装备!R200)</f>
        <v>0</v>
      </c>
      <c r="I169">
        <f>IF(装备!S200="",0,装备!S200)</f>
        <v>0</v>
      </c>
      <c r="J169">
        <f>IF(装备!C200="",0,""""&amp;装备!C200&amp;"""")</f>
        <v>0</v>
      </c>
      <c r="K169" t="str">
        <f>IF(装备!T200="","""""",""""&amp;装备!T200&amp;"""")</f>
        <v>""</v>
      </c>
      <c r="L169">
        <f>IF(装备!U200="",0,""""&amp;装备!U200&amp;"""")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IF(装备!B201="",0,"'"&amp;装备!B201&amp;"'")</f>
        <v>0</v>
      </c>
      <c r="B170">
        <f>装备!D202</f>
        <v>0</v>
      </c>
      <c r="C170">
        <f>装备!E201</f>
        <v>0</v>
      </c>
      <c r="D170">
        <f>装备!F201</f>
        <v>0</v>
      </c>
      <c r="E170">
        <f>IF(ISTEXT(装备!G201)=TRUE,"'"&amp;装备!G201&amp;"'",装备!G201)</f>
        <v>0</v>
      </c>
      <c r="F170">
        <f>IF(ISTEXT(装备!H201)=TRUE,"'"&amp;装备!H201&amp;"'",装备!H201)</f>
        <v>0</v>
      </c>
      <c r="G170">
        <f>IF(装备!I201="",0,"'"&amp;装备!I201&amp;"'")</f>
        <v>0</v>
      </c>
      <c r="H170">
        <f>IF(装备!R201="",0,装备!R201)</f>
        <v>0</v>
      </c>
      <c r="I170">
        <f>IF(装备!S201="",0,装备!S201)</f>
        <v>0</v>
      </c>
      <c r="J170">
        <f>IF(装备!C201="",0,""""&amp;装备!C201&amp;"""")</f>
        <v>0</v>
      </c>
      <c r="K170" t="str">
        <f>IF(装备!T201="","""""",""""&amp;装备!T201&amp;"""")</f>
        <v>""</v>
      </c>
      <c r="L170">
        <f>IF(装备!U201="",0,""""&amp;装备!U201&amp;"""")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IF(装备!B202="",0,"'"&amp;装备!B202&amp;"'")</f>
        <v>0</v>
      </c>
      <c r="B171">
        <f>装备!D203</f>
        <v>0</v>
      </c>
      <c r="C171">
        <f>装备!E202</f>
        <v>0</v>
      </c>
      <c r="D171">
        <f>装备!F202</f>
        <v>0</v>
      </c>
      <c r="E171">
        <f>IF(ISTEXT(装备!G202)=TRUE,"'"&amp;装备!G202&amp;"'",装备!G202)</f>
        <v>0</v>
      </c>
      <c r="F171">
        <f>IF(ISTEXT(装备!H202)=TRUE,"'"&amp;装备!H202&amp;"'",装备!H202)</f>
        <v>0</v>
      </c>
      <c r="G171">
        <f>IF(装备!I202="",0,"'"&amp;装备!I202&amp;"'")</f>
        <v>0</v>
      </c>
      <c r="H171">
        <f>IF(装备!R202="",0,装备!R202)</f>
        <v>0</v>
      </c>
      <c r="I171">
        <f>IF(装备!S202="",0,装备!S202)</f>
        <v>0</v>
      </c>
      <c r="J171">
        <f>IF(装备!C202="",0,""""&amp;装备!C202&amp;"""")</f>
        <v>0</v>
      </c>
      <c r="K171" t="str">
        <f>IF(装备!T202="","""""",""""&amp;装备!T202&amp;"""")</f>
        <v>""</v>
      </c>
      <c r="L171">
        <f>IF(装备!U202="",0,""""&amp;装备!U202&amp;"""")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IF(装备!B203="",0,"'"&amp;装备!B203&amp;"'")</f>
        <v>0</v>
      </c>
      <c r="B172">
        <f>装备!D204</f>
        <v>0</v>
      </c>
      <c r="C172">
        <f>装备!E203</f>
        <v>0</v>
      </c>
      <c r="D172">
        <f>装备!F203</f>
        <v>0</v>
      </c>
      <c r="E172">
        <f>IF(ISTEXT(装备!G203)=TRUE,"'"&amp;装备!G203&amp;"'",装备!G203)</f>
        <v>0</v>
      </c>
      <c r="F172">
        <f>IF(ISTEXT(装备!H203)=TRUE,"'"&amp;装备!H203&amp;"'",装备!H203)</f>
        <v>0</v>
      </c>
      <c r="G172">
        <f>IF(装备!I203="",0,"'"&amp;装备!I203&amp;"'")</f>
        <v>0</v>
      </c>
      <c r="H172">
        <f>IF(装备!R203="",0,装备!R203)</f>
        <v>0</v>
      </c>
      <c r="I172">
        <f>IF(装备!S203="",0,装备!S203)</f>
        <v>0</v>
      </c>
      <c r="J172">
        <f>IF(装备!C203="",0,""""&amp;装备!C203&amp;"""")</f>
        <v>0</v>
      </c>
      <c r="K172" t="str">
        <f>IF(装备!T203="","""""",""""&amp;装备!T203&amp;"""")</f>
        <v>""</v>
      </c>
      <c r="L172">
        <f>IF(装备!U203="",0,""""&amp;装备!U203&amp;"""")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IF(装备!B204="",0,"'"&amp;装备!B204&amp;"'")</f>
        <v>0</v>
      </c>
      <c r="B173">
        <f>装备!D205</f>
        <v>0</v>
      </c>
      <c r="C173">
        <f>装备!E204</f>
        <v>0</v>
      </c>
      <c r="D173">
        <f>装备!F204</f>
        <v>0</v>
      </c>
      <c r="E173">
        <f>IF(ISTEXT(装备!G204)=TRUE,"'"&amp;装备!G204&amp;"'",装备!G204)</f>
        <v>0</v>
      </c>
      <c r="F173">
        <f>IF(ISTEXT(装备!H204)=TRUE,"'"&amp;装备!H204&amp;"'",装备!H204)</f>
        <v>0</v>
      </c>
      <c r="G173">
        <f>IF(装备!I204="",0,"'"&amp;装备!I204&amp;"'")</f>
        <v>0</v>
      </c>
      <c r="H173">
        <f>IF(装备!R204="",0,装备!R204)</f>
        <v>0</v>
      </c>
      <c r="I173">
        <f>IF(装备!S204="",0,装备!S204)</f>
        <v>0</v>
      </c>
      <c r="J173">
        <f>IF(装备!C204="",0,""""&amp;装备!C204&amp;"""")</f>
        <v>0</v>
      </c>
      <c r="K173" t="str">
        <f>IF(装备!T204="","""""",""""&amp;装备!T204&amp;"""")</f>
        <v>""</v>
      </c>
      <c r="L173">
        <f>IF(装备!U204="",0,""""&amp;装备!U204&amp;"""")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IF(装备!B205="",0,"'"&amp;装备!B205&amp;"'")</f>
        <v>0</v>
      </c>
      <c r="B174">
        <f>装备!D206</f>
        <v>0</v>
      </c>
      <c r="C174">
        <f>装备!E205</f>
        <v>0</v>
      </c>
      <c r="D174">
        <f>装备!F205</f>
        <v>0</v>
      </c>
      <c r="E174">
        <f>IF(ISTEXT(装备!G205)=TRUE,"'"&amp;装备!G205&amp;"'",装备!G205)</f>
        <v>0</v>
      </c>
      <c r="F174">
        <f>IF(ISTEXT(装备!H205)=TRUE,"'"&amp;装备!H205&amp;"'",装备!H205)</f>
        <v>0</v>
      </c>
      <c r="G174">
        <f>IF(装备!I205="",0,"'"&amp;装备!I205&amp;"'")</f>
        <v>0</v>
      </c>
      <c r="H174">
        <f>IF(装备!R205="",0,装备!R205)</f>
        <v>0</v>
      </c>
      <c r="I174">
        <f>IF(装备!S205="",0,装备!S205)</f>
        <v>0</v>
      </c>
      <c r="J174">
        <f>IF(装备!C205="",0,""""&amp;装备!C205&amp;"""")</f>
        <v>0</v>
      </c>
      <c r="K174" t="str">
        <f>IF(装备!T205="","""""",""""&amp;装备!T205&amp;"""")</f>
        <v>""</v>
      </c>
      <c r="L174">
        <f>IF(装备!U205="",0,""""&amp;装备!U205&amp;"""")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IF(装备!B206="",0,"'"&amp;装备!B206&amp;"'")</f>
        <v>0</v>
      </c>
      <c r="B175">
        <f>装备!D207</f>
        <v>0</v>
      </c>
      <c r="C175">
        <f>装备!E206</f>
        <v>0</v>
      </c>
      <c r="D175">
        <f>装备!F206</f>
        <v>0</v>
      </c>
      <c r="E175">
        <f>IF(ISTEXT(装备!G206)=TRUE,"'"&amp;装备!G206&amp;"'",装备!G206)</f>
        <v>0</v>
      </c>
      <c r="F175">
        <f>IF(ISTEXT(装备!H206)=TRUE,"'"&amp;装备!H206&amp;"'",装备!H206)</f>
        <v>0</v>
      </c>
      <c r="G175">
        <f>IF(装备!I206="",0,"'"&amp;装备!I206&amp;"'")</f>
        <v>0</v>
      </c>
      <c r="H175">
        <f>IF(装备!R206="",0,装备!R206)</f>
        <v>0</v>
      </c>
      <c r="I175">
        <f>IF(装备!S206="",0,装备!S206)</f>
        <v>0</v>
      </c>
      <c r="J175">
        <f>IF(装备!C206="",0,""""&amp;装备!C206&amp;"""")</f>
        <v>0</v>
      </c>
      <c r="K175" t="str">
        <f>IF(装备!T206="","""""",""""&amp;装备!T206&amp;"""")</f>
        <v>""</v>
      </c>
      <c r="L175">
        <f>IF(装备!U206="",0,""""&amp;装备!U206&amp;"""")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IF(装备!B207="",0,"'"&amp;装备!B207&amp;"'")</f>
        <v>0</v>
      </c>
      <c r="B176">
        <f>装备!D208</f>
        <v>0</v>
      </c>
      <c r="C176">
        <f>装备!E207</f>
        <v>0</v>
      </c>
      <c r="D176">
        <f>装备!F207</f>
        <v>0</v>
      </c>
      <c r="E176">
        <f>IF(ISTEXT(装备!G207)=TRUE,"'"&amp;装备!G207&amp;"'",装备!G207)</f>
        <v>0</v>
      </c>
      <c r="F176">
        <f>IF(ISTEXT(装备!H207)=TRUE,"'"&amp;装备!H207&amp;"'",装备!H207)</f>
        <v>0</v>
      </c>
      <c r="G176">
        <f>IF(装备!I207="",0,"'"&amp;装备!I207&amp;"'")</f>
        <v>0</v>
      </c>
      <c r="H176">
        <f>IF(装备!R207="",0,装备!R207)</f>
        <v>0</v>
      </c>
      <c r="I176">
        <f>IF(装备!S207="",0,装备!S207)</f>
        <v>0</v>
      </c>
      <c r="J176">
        <f>IF(装备!C207="",0,""""&amp;装备!C207&amp;"""")</f>
        <v>0</v>
      </c>
      <c r="K176" t="str">
        <f>IF(装备!T207="","""""",""""&amp;装备!T207&amp;"""")</f>
        <v>""</v>
      </c>
      <c r="L176">
        <f>IF(装备!U207="",0,""""&amp;装备!U207&amp;"""")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IF(装备!B208="",0,"'"&amp;装备!B208&amp;"'")</f>
        <v>0</v>
      </c>
      <c r="B177">
        <f>装备!D209</f>
        <v>0</v>
      </c>
      <c r="C177">
        <f>装备!E208</f>
        <v>0</v>
      </c>
      <c r="D177">
        <f>装备!F208</f>
        <v>0</v>
      </c>
      <c r="E177">
        <f>IF(ISTEXT(装备!G208)=TRUE,"'"&amp;装备!G208&amp;"'",装备!G208)</f>
        <v>0</v>
      </c>
      <c r="F177">
        <f>IF(ISTEXT(装备!H208)=TRUE,"'"&amp;装备!H208&amp;"'",装备!H208)</f>
        <v>0</v>
      </c>
      <c r="G177">
        <f>IF(装备!I208="",0,"'"&amp;装备!I208&amp;"'")</f>
        <v>0</v>
      </c>
      <c r="H177">
        <f>IF(装备!R208="",0,装备!R208)</f>
        <v>0</v>
      </c>
      <c r="I177">
        <f>IF(装备!S208="",0,装备!S208)</f>
        <v>0</v>
      </c>
      <c r="J177">
        <f>IF(装备!C208="",0,""""&amp;装备!C208&amp;"""")</f>
        <v>0</v>
      </c>
      <c r="K177" t="str">
        <f>IF(装备!T208="","""""",""""&amp;装备!T208&amp;"""")</f>
        <v>""</v>
      </c>
      <c r="L177">
        <f>IF(装备!U208="",0,""""&amp;装备!U208&amp;"""")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IF(装备!B209="",0,"'"&amp;装备!B209&amp;"'")</f>
        <v>0</v>
      </c>
      <c r="B178">
        <f>装备!D210</f>
        <v>0</v>
      </c>
      <c r="C178">
        <f>装备!E209</f>
        <v>0</v>
      </c>
      <c r="D178">
        <f>装备!F209</f>
        <v>0</v>
      </c>
      <c r="E178">
        <f>IF(ISTEXT(装备!G209)=TRUE,"'"&amp;装备!G209&amp;"'",装备!G209)</f>
        <v>0</v>
      </c>
      <c r="F178">
        <f>IF(ISTEXT(装备!H209)=TRUE,"'"&amp;装备!H209&amp;"'",装备!H209)</f>
        <v>0</v>
      </c>
      <c r="G178">
        <f>IF(装备!I209="",0,"'"&amp;装备!I209&amp;"'")</f>
        <v>0</v>
      </c>
      <c r="H178">
        <f>IF(装备!R209="",0,装备!R209)</f>
        <v>0</v>
      </c>
      <c r="I178">
        <f>IF(装备!S209="",0,装备!S209)</f>
        <v>0</v>
      </c>
      <c r="J178">
        <f>IF(装备!C209="",0,""""&amp;装备!C209&amp;"""")</f>
        <v>0</v>
      </c>
      <c r="K178" t="str">
        <f>IF(装备!T209="","""""",""""&amp;装备!T209&amp;"""")</f>
        <v>""</v>
      </c>
      <c r="L178">
        <f>IF(装备!U209="",0,""""&amp;装备!U209&amp;"""")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IF(装备!B210="",0,"'"&amp;装备!B210&amp;"'")</f>
        <v>0</v>
      </c>
      <c r="B179">
        <f>装备!D211</f>
        <v>0</v>
      </c>
      <c r="C179">
        <f>装备!E210</f>
        <v>0</v>
      </c>
      <c r="D179">
        <f>装备!F210</f>
        <v>0</v>
      </c>
      <c r="E179">
        <f>IF(ISTEXT(装备!G210)=TRUE,"'"&amp;装备!G210&amp;"'",装备!G210)</f>
        <v>0</v>
      </c>
      <c r="F179">
        <f>IF(ISTEXT(装备!H210)=TRUE,"'"&amp;装备!H210&amp;"'",装备!H210)</f>
        <v>0</v>
      </c>
      <c r="G179">
        <f>IF(装备!I210="",0,"'"&amp;装备!I210&amp;"'")</f>
        <v>0</v>
      </c>
      <c r="H179">
        <f>IF(装备!R210="",0,装备!R210)</f>
        <v>0</v>
      </c>
      <c r="I179">
        <f>IF(装备!S210="",0,装备!S210)</f>
        <v>0</v>
      </c>
      <c r="J179">
        <f>IF(装备!C210="",0,""""&amp;装备!C210&amp;"""")</f>
        <v>0</v>
      </c>
      <c r="K179" t="str">
        <f>IF(装备!T210="","""""",""""&amp;装备!T210&amp;"""")</f>
        <v>""</v>
      </c>
      <c r="L179">
        <f>IF(装备!U210="",0,""""&amp;装备!U210&amp;"""")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IF(装备!B211="",0,"'"&amp;装备!B211&amp;"'")</f>
        <v>0</v>
      </c>
      <c r="B180">
        <f>装备!D212</f>
        <v>0</v>
      </c>
      <c r="C180">
        <f>装备!E211</f>
        <v>0</v>
      </c>
      <c r="D180">
        <f>装备!F211</f>
        <v>0</v>
      </c>
      <c r="E180">
        <f>IF(ISTEXT(装备!G211)=TRUE,"'"&amp;装备!G211&amp;"'",装备!G211)</f>
        <v>0</v>
      </c>
      <c r="F180">
        <f>IF(ISTEXT(装备!H211)=TRUE,"'"&amp;装备!H211&amp;"'",装备!H211)</f>
        <v>0</v>
      </c>
      <c r="G180">
        <f>IF(装备!I211="",0,"'"&amp;装备!I211&amp;"'")</f>
        <v>0</v>
      </c>
      <c r="H180">
        <f>IF(装备!R211="",0,装备!R211)</f>
        <v>0</v>
      </c>
      <c r="I180">
        <f>IF(装备!S211="",0,装备!S211)</f>
        <v>0</v>
      </c>
      <c r="J180">
        <f>IF(装备!C211="",0,""""&amp;装备!C211&amp;"""")</f>
        <v>0</v>
      </c>
      <c r="K180" t="str">
        <f>IF(装备!T211="","""""",""""&amp;装备!T211&amp;"""")</f>
        <v>""</v>
      </c>
      <c r="L180">
        <f>IF(装备!U211="",0,""""&amp;装备!U211&amp;"""")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IF(装备!B212="",0,"'"&amp;装备!B212&amp;"'")</f>
        <v>0</v>
      </c>
      <c r="B181">
        <f>装备!D213</f>
        <v>0</v>
      </c>
      <c r="C181">
        <f>装备!E212</f>
        <v>0</v>
      </c>
      <c r="D181">
        <f>装备!F212</f>
        <v>0</v>
      </c>
      <c r="E181">
        <f>IF(ISTEXT(装备!G212)=TRUE,"'"&amp;装备!G212&amp;"'",装备!G212)</f>
        <v>0</v>
      </c>
      <c r="F181">
        <f>IF(ISTEXT(装备!H212)=TRUE,"'"&amp;装备!H212&amp;"'",装备!H212)</f>
        <v>0</v>
      </c>
      <c r="G181">
        <f>IF(装备!I212="",0,"'"&amp;装备!I212&amp;"'")</f>
        <v>0</v>
      </c>
      <c r="H181">
        <f>IF(装备!R212="",0,装备!R212)</f>
        <v>0</v>
      </c>
      <c r="I181">
        <f>IF(装备!S212="",0,装备!S212)</f>
        <v>0</v>
      </c>
      <c r="J181">
        <f>IF(装备!C212="",0,""""&amp;装备!C212&amp;"""")</f>
        <v>0</v>
      </c>
      <c r="K181" t="str">
        <f>IF(装备!T212="","""""",""""&amp;装备!T212&amp;"""")</f>
        <v>""</v>
      </c>
      <c r="L181">
        <f>IF(装备!U212="",0,""""&amp;装备!U212&amp;"""")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IF(装备!B213="",0,"'"&amp;装备!B213&amp;"'")</f>
        <v>0</v>
      </c>
      <c r="B182">
        <f>装备!D214</f>
        <v>0</v>
      </c>
      <c r="C182">
        <f>装备!E213</f>
        <v>0</v>
      </c>
      <c r="D182">
        <f>装备!F213</f>
        <v>0</v>
      </c>
      <c r="E182">
        <f>IF(ISTEXT(装备!G213)=TRUE,"'"&amp;装备!G213&amp;"'",装备!G213)</f>
        <v>0</v>
      </c>
      <c r="F182">
        <f>IF(ISTEXT(装备!H213)=TRUE,"'"&amp;装备!H213&amp;"'",装备!H213)</f>
        <v>0</v>
      </c>
      <c r="G182">
        <f>IF(装备!I213="",0,"'"&amp;装备!I213&amp;"'")</f>
        <v>0</v>
      </c>
      <c r="H182">
        <f>IF(装备!R213="",0,装备!R213)</f>
        <v>0</v>
      </c>
      <c r="I182">
        <f>IF(装备!S213="",0,装备!S213)</f>
        <v>0</v>
      </c>
      <c r="J182">
        <f>IF(装备!C213="",0,""""&amp;装备!C213&amp;"""")</f>
        <v>0</v>
      </c>
      <c r="K182" t="str">
        <f>IF(装备!T213="","""""",""""&amp;装备!T213&amp;"""")</f>
        <v>""</v>
      </c>
      <c r="L182">
        <f>IF(装备!U213="",0,""""&amp;装备!U213&amp;"""")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IF(装备!B214="",0,"'"&amp;装备!B214&amp;"'")</f>
        <v>0</v>
      </c>
      <c r="B183">
        <f>装备!D215</f>
        <v>0</v>
      </c>
      <c r="C183">
        <f>装备!E214</f>
        <v>0</v>
      </c>
      <c r="D183">
        <f>装备!F214</f>
        <v>0</v>
      </c>
      <c r="E183">
        <f>IF(ISTEXT(装备!G214)=TRUE,"'"&amp;装备!G214&amp;"'",装备!G214)</f>
        <v>0</v>
      </c>
      <c r="F183">
        <f>IF(ISTEXT(装备!H214)=TRUE,"'"&amp;装备!H214&amp;"'",装备!H214)</f>
        <v>0</v>
      </c>
      <c r="G183">
        <f>IF(装备!I214="",0,"'"&amp;装备!I214&amp;"'")</f>
        <v>0</v>
      </c>
      <c r="H183">
        <f>IF(装备!R214="",0,装备!R214)</f>
        <v>0</v>
      </c>
      <c r="I183">
        <f>IF(装备!S214="",0,装备!S214)</f>
        <v>0</v>
      </c>
      <c r="J183">
        <f>IF(装备!C214="",0,""""&amp;装备!C214&amp;"""")</f>
        <v>0</v>
      </c>
      <c r="K183" t="str">
        <f>IF(装备!T214="","""""",""""&amp;装备!T214&amp;"""")</f>
        <v>""</v>
      </c>
      <c r="L183">
        <f>IF(装备!U214="",0,""""&amp;装备!U214&amp;"""")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IF(装备!B215="",0,"'"&amp;装备!B215&amp;"'")</f>
        <v>0</v>
      </c>
      <c r="B184">
        <f>装备!D216</f>
        <v>0</v>
      </c>
      <c r="C184">
        <f>装备!E215</f>
        <v>0</v>
      </c>
      <c r="D184">
        <f>装备!F215</f>
        <v>0</v>
      </c>
      <c r="E184">
        <f>IF(ISTEXT(装备!G215)=TRUE,"'"&amp;装备!G215&amp;"'",装备!G215)</f>
        <v>0</v>
      </c>
      <c r="F184">
        <f>IF(ISTEXT(装备!H215)=TRUE,"'"&amp;装备!H215&amp;"'",装备!H215)</f>
        <v>0</v>
      </c>
      <c r="G184">
        <f>IF(装备!I215="",0,"'"&amp;装备!I215&amp;"'")</f>
        <v>0</v>
      </c>
      <c r="H184">
        <f>IF(装备!R215="",0,装备!R215)</f>
        <v>0</v>
      </c>
      <c r="I184">
        <f>IF(装备!S215="",0,装备!S215)</f>
        <v>0</v>
      </c>
      <c r="J184">
        <f>IF(装备!C215="",0,""""&amp;装备!C215&amp;"""")</f>
        <v>0</v>
      </c>
      <c r="K184" t="str">
        <f>IF(装备!T215="","""""",""""&amp;装备!T215&amp;"""")</f>
        <v>""</v>
      </c>
      <c r="L184">
        <f>IF(装备!U215="",0,""""&amp;装备!U215&amp;"""")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IF(装备!B225="",0,"'"&amp;装备!B225&amp;"'")</f>
        <v>0</v>
      </c>
      <c r="B185">
        <f>装备!D226</f>
        <v>0</v>
      </c>
      <c r="C185">
        <f>装备!E225</f>
        <v>0</v>
      </c>
      <c r="D185">
        <f>装备!F225</f>
        <v>0</v>
      </c>
      <c r="E185">
        <f>IF(ISTEXT(装备!G216)=TRUE,"'"&amp;装备!G216&amp;"'",装备!G216)</f>
        <v>0</v>
      </c>
      <c r="F185">
        <f>IF(ISTEXT(装备!H216)=TRUE,"'"&amp;装备!H216&amp;"'",装备!H216)</f>
        <v>0</v>
      </c>
      <c r="G185">
        <f>IF(装备!I225="",0,"'"&amp;装备!I225&amp;"'")</f>
        <v>0</v>
      </c>
      <c r="H185">
        <f>IF(装备!R216="",0,装备!R216)</f>
        <v>0</v>
      </c>
      <c r="I185">
        <f>IF(装备!S216="",0,装备!S216)</f>
        <v>0</v>
      </c>
      <c r="J185">
        <f>IF(装备!C225="",0,""""&amp;装备!C225&amp;"""")</f>
        <v>0</v>
      </c>
      <c r="K185" t="str">
        <f>IF(装备!T225="","""""",""""&amp;装备!T225&amp;"""")</f>
        <v>""</v>
      </c>
      <c r="L185">
        <f>IF(装备!U225="",0,""""&amp;装备!U225&amp;"""")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IF(装备!B226="",0,"'"&amp;装备!B226&amp;"'")</f>
        <v>0</v>
      </c>
      <c r="B186">
        <f>装备!D227</f>
        <v>0</v>
      </c>
      <c r="C186">
        <f>装备!E226</f>
        <v>0</v>
      </c>
      <c r="D186">
        <f>装备!F226</f>
        <v>0</v>
      </c>
      <c r="E186">
        <f>IF(ISTEXT(装备!G217)=TRUE,"'"&amp;装备!G217&amp;"'",装备!G217)</f>
        <v>0</v>
      </c>
      <c r="F186">
        <f>IF(ISTEXT(装备!H217)=TRUE,"'"&amp;装备!H217&amp;"'",装备!H217)</f>
        <v>0</v>
      </c>
      <c r="G186">
        <f>IF(装备!I226="",0,"'"&amp;装备!I226&amp;"'")</f>
        <v>0</v>
      </c>
      <c r="H186">
        <f>IF(装备!R217="",0,装备!R217)</f>
        <v>0</v>
      </c>
      <c r="I186">
        <f>IF(装备!S217="",0,装备!S217)</f>
        <v>0</v>
      </c>
      <c r="J186">
        <f>IF(装备!C226="",0,""""&amp;装备!C226&amp;"""")</f>
        <v>0</v>
      </c>
      <c r="K186" t="str">
        <f>IF(装备!T226="","""""",""""&amp;装备!T226&amp;"""")</f>
        <v>""</v>
      </c>
      <c r="L186">
        <f>IF(装备!U226="",0,""""&amp;装备!U226&amp;"""")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IF(装备!B227="",0,"'"&amp;装备!B227&amp;"'")</f>
        <v>0</v>
      </c>
      <c r="B187">
        <f>装备!D228</f>
        <v>0</v>
      </c>
      <c r="C187">
        <f>装备!E227</f>
        <v>0</v>
      </c>
      <c r="D187">
        <f>装备!F227</f>
        <v>0</v>
      </c>
      <c r="E187">
        <f>IF(ISTEXT(装备!G218)=TRUE,"'"&amp;装备!G218&amp;"'",装备!G218)</f>
        <v>0</v>
      </c>
      <c r="F187">
        <f>IF(ISTEXT(装备!H218)=TRUE,"'"&amp;装备!H218&amp;"'",装备!H218)</f>
        <v>0</v>
      </c>
      <c r="G187">
        <f>IF(装备!I227="",0,"'"&amp;装备!I227&amp;"'")</f>
        <v>0</v>
      </c>
      <c r="H187">
        <f>IF(装备!R218="",0,装备!R218)</f>
        <v>0</v>
      </c>
      <c r="I187">
        <f>IF(装备!S218="",0,装备!S218)</f>
        <v>0</v>
      </c>
      <c r="J187">
        <f>IF(装备!C227="",0,""""&amp;装备!C227&amp;"""")</f>
        <v>0</v>
      </c>
      <c r="K187" t="str">
        <f>IF(装备!T227="","""""",""""&amp;装备!T227&amp;"""")</f>
        <v>""</v>
      </c>
      <c r="L187">
        <f>IF(装备!U227="",0,""""&amp;装备!U227&amp;"""")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IF(装备!B228="",0,"'"&amp;装备!B228&amp;"'")</f>
        <v>0</v>
      </c>
      <c r="B188">
        <f>装备!D229</f>
        <v>0</v>
      </c>
      <c r="C188">
        <f>装备!E228</f>
        <v>0</v>
      </c>
      <c r="D188">
        <f>装备!F228</f>
        <v>0</v>
      </c>
      <c r="E188">
        <f>IF(ISTEXT(装备!G219)=TRUE,"'"&amp;装备!G219&amp;"'",装备!G219)</f>
        <v>0</v>
      </c>
      <c r="F188">
        <f>IF(ISTEXT(装备!H219)=TRUE,"'"&amp;装备!H219&amp;"'",装备!H219)</f>
        <v>0</v>
      </c>
      <c r="G188">
        <f>IF(装备!I228="",0,"'"&amp;装备!I228&amp;"'")</f>
        <v>0</v>
      </c>
      <c r="H188">
        <f>IF(装备!R219="",0,装备!R219)</f>
        <v>0</v>
      </c>
      <c r="I188">
        <f>IF(装备!S219="",0,装备!S219)</f>
        <v>0</v>
      </c>
      <c r="J188">
        <f>IF(装备!C228="",0,""""&amp;装备!C228&amp;"""")</f>
        <v>0</v>
      </c>
      <c r="K188" t="str">
        <f>IF(装备!T228="","""""",""""&amp;装备!T228&amp;"""")</f>
        <v>""</v>
      </c>
      <c r="L188">
        <f>IF(装备!U228="",0,""""&amp;装备!U228&amp;"""")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IF(装备!B229="",0,"'"&amp;装备!B229&amp;"'")</f>
        <v>0</v>
      </c>
      <c r="B189">
        <f>装备!D230</f>
        <v>0</v>
      </c>
      <c r="C189">
        <f>装备!E229</f>
        <v>0</v>
      </c>
      <c r="D189">
        <f>装备!F229</f>
        <v>0</v>
      </c>
      <c r="E189">
        <f>IF(ISTEXT(装备!G220)=TRUE,"'"&amp;装备!G220&amp;"'",装备!G220)</f>
        <v>0</v>
      </c>
      <c r="F189">
        <f>IF(ISTEXT(装备!H220)=TRUE,"'"&amp;装备!H220&amp;"'",装备!H220)</f>
        <v>0</v>
      </c>
      <c r="G189">
        <f>IF(装备!I229="",0,"'"&amp;装备!I229&amp;"'")</f>
        <v>0</v>
      </c>
      <c r="H189">
        <f>IF(装备!R220="",0,装备!R220)</f>
        <v>0</v>
      </c>
      <c r="I189">
        <f>IF(装备!S220="",0,装备!S220)</f>
        <v>0</v>
      </c>
      <c r="J189">
        <f>IF(装备!C229="",0,""""&amp;装备!C229&amp;"""")</f>
        <v>0</v>
      </c>
      <c r="K189" t="str">
        <f>IF(装备!T229="","""""",""""&amp;装备!T229&amp;"""")</f>
        <v>""</v>
      </c>
      <c r="L189">
        <f>IF(装备!U229="",0,""""&amp;装备!U229&amp;"""")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IF(装备!B230="",0,"'"&amp;装备!B230&amp;"'")</f>
        <v>0</v>
      </c>
      <c r="B190">
        <f>装备!D231</f>
        <v>0</v>
      </c>
      <c r="C190">
        <f>装备!E230</f>
        <v>0</v>
      </c>
      <c r="D190">
        <f>装备!F230</f>
        <v>0</v>
      </c>
      <c r="E190">
        <f>IF(ISTEXT(装备!G221)=TRUE,"'"&amp;装备!G221&amp;"'",装备!G221)</f>
        <v>0</v>
      </c>
      <c r="F190">
        <f>IF(ISTEXT(装备!H221)=TRUE,"'"&amp;装备!H221&amp;"'",装备!H221)</f>
        <v>0</v>
      </c>
      <c r="G190">
        <f>IF(装备!I230="",0,"'"&amp;装备!I230&amp;"'")</f>
        <v>0</v>
      </c>
      <c r="H190">
        <f>IF(装备!R221="",0,装备!R221)</f>
        <v>0</v>
      </c>
      <c r="I190">
        <f>IF(装备!S221="",0,装备!S221)</f>
        <v>0</v>
      </c>
      <c r="J190">
        <f>IF(装备!C230="",0,""""&amp;装备!C230&amp;"""")</f>
        <v>0</v>
      </c>
      <c r="K190" t="str">
        <f>IF(装备!T230="","""""",""""&amp;装备!T230&amp;"""")</f>
        <v>""</v>
      </c>
      <c r="L190">
        <f>IF(装备!U230="",0,""""&amp;装备!U230&amp;"""")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IF(装备!B231="",0,"'"&amp;装备!B231&amp;"'")</f>
        <v>0</v>
      </c>
      <c r="B191">
        <f>装备!D232</f>
        <v>0</v>
      </c>
      <c r="C191">
        <f>装备!E231</f>
        <v>0</v>
      </c>
      <c r="D191">
        <f>装备!F231</f>
        <v>0</v>
      </c>
      <c r="E191">
        <f>IF(ISTEXT(装备!G222)=TRUE,"'"&amp;装备!G222&amp;"'",装备!G222)</f>
        <v>0</v>
      </c>
      <c r="F191">
        <f>IF(ISTEXT(装备!H222)=TRUE,"'"&amp;装备!H222&amp;"'",装备!H222)</f>
        <v>0</v>
      </c>
      <c r="G191">
        <f>IF(装备!I231="",0,"'"&amp;装备!I231&amp;"'")</f>
        <v>0</v>
      </c>
      <c r="H191">
        <f>IF(装备!R222="",0,装备!R222)</f>
        <v>0</v>
      </c>
      <c r="I191">
        <f>IF(装备!S222="",0,装备!S222)</f>
        <v>0</v>
      </c>
      <c r="J191">
        <f>IF(装备!C231="",0,""""&amp;装备!C231&amp;"""")</f>
        <v>0</v>
      </c>
      <c r="K191" t="str">
        <f>IF(装备!T231="","""""",""""&amp;装备!T231&amp;"""")</f>
        <v>""</v>
      </c>
      <c r="L191">
        <f>IF(装备!U231="",0,""""&amp;装备!U231&amp;"""")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IF(装备!B232="",0,"'"&amp;装备!B232&amp;"'")</f>
        <v>0</v>
      </c>
      <c r="B192">
        <f>装备!D233</f>
        <v>0</v>
      </c>
      <c r="C192">
        <f>装备!E232</f>
        <v>0</v>
      </c>
      <c r="D192">
        <f>装备!F232</f>
        <v>0</v>
      </c>
      <c r="E192">
        <f>IF(ISTEXT(装备!G223)=TRUE,"'"&amp;装备!G223&amp;"'",装备!G223)</f>
        <v>0</v>
      </c>
      <c r="F192">
        <f>IF(ISTEXT(装备!H223)=TRUE,"'"&amp;装备!H223&amp;"'",装备!H223)</f>
        <v>0</v>
      </c>
      <c r="G192">
        <f>IF(装备!I232="",0,"'"&amp;装备!I232&amp;"'")</f>
        <v>0</v>
      </c>
      <c r="H192">
        <f>IF(装备!R223="",0,装备!R223)</f>
        <v>0</v>
      </c>
      <c r="I192">
        <f>IF(装备!S223="",0,装备!S223)</f>
        <v>0</v>
      </c>
      <c r="J192">
        <f>IF(装备!C232="",0,""""&amp;装备!C232&amp;"""")</f>
        <v>0</v>
      </c>
      <c r="K192" t="str">
        <f>IF(装备!T232="","""""",""""&amp;装备!T232&amp;"""")</f>
        <v>""</v>
      </c>
      <c r="L192">
        <f>IF(装备!U232="",0,""""&amp;装备!U232&amp;"""")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IF(装备!B233="",0,"'"&amp;装备!B233&amp;"'")</f>
        <v>0</v>
      </c>
      <c r="B193">
        <f>装备!D234</f>
        <v>0</v>
      </c>
      <c r="C193">
        <f>装备!E233</f>
        <v>0</v>
      </c>
      <c r="D193">
        <f>装备!F233</f>
        <v>0</v>
      </c>
      <c r="E193">
        <f>IF(ISTEXT(装备!G224)=TRUE,"'"&amp;装备!G224&amp;"'",装备!G224)</f>
        <v>0</v>
      </c>
      <c r="F193">
        <f>IF(ISTEXT(装备!H224)=TRUE,"'"&amp;装备!H224&amp;"'",装备!H224)</f>
        <v>0</v>
      </c>
      <c r="G193">
        <f>IF(装备!I233="",0,"'"&amp;装备!I233&amp;"'")</f>
        <v>0</v>
      </c>
      <c r="H193">
        <f>IF(装备!R224="",0,装备!R224)</f>
        <v>0</v>
      </c>
      <c r="I193">
        <f>IF(装备!S224="",0,装备!S224)</f>
        <v>0</v>
      </c>
      <c r="J193">
        <f>IF(装备!C233="",0,""""&amp;装备!C233&amp;"""")</f>
        <v>0</v>
      </c>
      <c r="K193" t="str">
        <f>IF(装备!T233="","""""",""""&amp;装备!T233&amp;"""")</f>
        <v>""</v>
      </c>
      <c r="L193">
        <f>IF(装备!U233="",0,""""&amp;装备!U233&amp;"""")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IF(装备!B234="",0,"'"&amp;装备!B234&amp;"'")</f>
        <v>0</v>
      </c>
      <c r="B194">
        <f>装备!D235</f>
        <v>0</v>
      </c>
      <c r="C194">
        <f>装备!E234</f>
        <v>0</v>
      </c>
      <c r="D194">
        <f>装备!F234</f>
        <v>0</v>
      </c>
      <c r="E194">
        <f>IF(ISTEXT(装备!G225)=TRUE,"'"&amp;装备!G225&amp;"'",装备!G225)</f>
        <v>0</v>
      </c>
      <c r="F194">
        <f>IF(ISTEXT(装备!H225)=TRUE,"'"&amp;装备!H225&amp;"'",装备!H225)</f>
        <v>0</v>
      </c>
      <c r="G194">
        <f>IF(装备!I234="",0,"'"&amp;装备!I234&amp;"'")</f>
        <v>0</v>
      </c>
      <c r="H194">
        <f>IF(装备!R225="",0,装备!R225)</f>
        <v>0</v>
      </c>
      <c r="I194">
        <f>IF(装备!S225="",0,装备!S225)</f>
        <v>0</v>
      </c>
      <c r="J194">
        <f>IF(装备!C234="",0,""""&amp;装备!C234&amp;"""")</f>
        <v>0</v>
      </c>
      <c r="K194" t="str">
        <f>IF(装备!T234="","""""",""""&amp;装备!T234&amp;"""")</f>
        <v>""</v>
      </c>
      <c r="L194">
        <f>IF(装备!U234="",0,""""&amp;装备!U234&amp;"""")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IF(装备!B235="",0,"'"&amp;装备!B235&amp;"'")</f>
        <v>0</v>
      </c>
      <c r="B195">
        <f>装备!D236</f>
        <v>0</v>
      </c>
      <c r="C195">
        <f>装备!E235</f>
        <v>0</v>
      </c>
      <c r="D195">
        <f>装备!F235</f>
        <v>0</v>
      </c>
      <c r="E195">
        <f>IF(ISTEXT(装备!G226)=TRUE,"'"&amp;装备!G226&amp;"'",装备!G226)</f>
        <v>0</v>
      </c>
      <c r="F195">
        <f>IF(ISTEXT(装备!H226)=TRUE,"'"&amp;装备!H226&amp;"'",装备!H226)</f>
        <v>0</v>
      </c>
      <c r="G195">
        <f>IF(装备!I235="",0,"'"&amp;装备!I235&amp;"'")</f>
        <v>0</v>
      </c>
      <c r="H195">
        <f>IF(装备!R226="",0,装备!R226)</f>
        <v>0</v>
      </c>
      <c r="I195">
        <f>IF(装备!S226="",0,装备!S226)</f>
        <v>0</v>
      </c>
      <c r="J195">
        <f>IF(装备!C235="",0,""""&amp;装备!C235&amp;"""")</f>
        <v>0</v>
      </c>
      <c r="K195" t="str">
        <f>IF(装备!T235="","""""",""""&amp;装备!T235&amp;"""")</f>
        <v>""</v>
      </c>
      <c r="L195">
        <f>IF(装备!U235="",0,""""&amp;装备!U235&amp;"""")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IF(装备!B236="",0,"'"&amp;装备!B236&amp;"'")</f>
        <v>0</v>
      </c>
      <c r="B196">
        <f>装备!D237</f>
        <v>0</v>
      </c>
      <c r="C196">
        <f>装备!E236</f>
        <v>0</v>
      </c>
      <c r="D196">
        <f>装备!F236</f>
        <v>0</v>
      </c>
      <c r="E196">
        <f>IF(ISTEXT(装备!G227)=TRUE,"'"&amp;装备!G227&amp;"'",装备!G227)</f>
        <v>0</v>
      </c>
      <c r="F196">
        <f>IF(ISTEXT(装备!H227)=TRUE,"'"&amp;装备!H227&amp;"'",装备!H227)</f>
        <v>0</v>
      </c>
      <c r="G196">
        <f>IF(装备!I236="",0,"'"&amp;装备!I236&amp;"'")</f>
        <v>0</v>
      </c>
      <c r="H196">
        <f>IF(装备!R227="",0,装备!R227)</f>
        <v>0</v>
      </c>
      <c r="I196">
        <f>IF(装备!S227="",0,装备!S227)</f>
        <v>0</v>
      </c>
      <c r="J196">
        <f>IF(装备!C236="",0,""""&amp;装备!C236&amp;"""")</f>
        <v>0</v>
      </c>
      <c r="K196" t="str">
        <f>IF(装备!T236="","""""",""""&amp;装备!T236&amp;"""")</f>
        <v>""</v>
      </c>
      <c r="L196">
        <f>IF(装备!U236="",0,""""&amp;装备!U236&amp;"""")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IF(装备!B237="",0,"'"&amp;装备!B237&amp;"'")</f>
        <v>0</v>
      </c>
      <c r="B197">
        <f>装备!D238</f>
        <v>0</v>
      </c>
      <c r="C197">
        <f>装备!E237</f>
        <v>0</v>
      </c>
      <c r="D197">
        <f>装备!F237</f>
        <v>0</v>
      </c>
      <c r="E197">
        <f>IF(ISTEXT(装备!G228)=TRUE,"'"&amp;装备!G228&amp;"'",装备!G228)</f>
        <v>0</v>
      </c>
      <c r="F197">
        <f>IF(ISTEXT(装备!H228)=TRUE,"'"&amp;装备!H228&amp;"'",装备!H228)</f>
        <v>0</v>
      </c>
      <c r="G197">
        <f>IF(装备!I237="",0,"'"&amp;装备!I237&amp;"'")</f>
        <v>0</v>
      </c>
      <c r="H197">
        <f>IF(装备!R228="",0,装备!R228)</f>
        <v>0</v>
      </c>
      <c r="I197">
        <f>IF(装备!S228="",0,装备!S228)</f>
        <v>0</v>
      </c>
      <c r="J197">
        <f>IF(装备!C237="",0,""""&amp;装备!C237&amp;"""")</f>
        <v>0</v>
      </c>
      <c r="K197" t="str">
        <f>IF(装备!T237="","""""",""""&amp;装备!T237&amp;"""")</f>
        <v>""</v>
      </c>
      <c r="L197">
        <f>IF(装备!U237="",0,""""&amp;装备!U237&amp;"""")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IF(装备!B238="",0,"'"&amp;装备!B238&amp;"'")</f>
        <v>0</v>
      </c>
      <c r="B198">
        <f>装备!D239</f>
        <v>0</v>
      </c>
      <c r="C198">
        <f>装备!E238</f>
        <v>0</v>
      </c>
      <c r="D198">
        <f>装备!F238</f>
        <v>0</v>
      </c>
      <c r="E198">
        <f>IF(ISTEXT(装备!G229)=TRUE,"'"&amp;装备!G229&amp;"'",装备!G229)</f>
        <v>0</v>
      </c>
      <c r="F198">
        <f>IF(ISTEXT(装备!H229)=TRUE,"'"&amp;装备!H229&amp;"'",装备!H229)</f>
        <v>0</v>
      </c>
      <c r="G198">
        <f>IF(装备!I238="",0,"'"&amp;装备!I238&amp;"'")</f>
        <v>0</v>
      </c>
      <c r="H198">
        <f>IF(装备!R229="",0,装备!R229)</f>
        <v>0</v>
      </c>
      <c r="I198">
        <f>IF(装备!S229="",0,装备!S229)</f>
        <v>0</v>
      </c>
      <c r="J198">
        <f>IF(装备!C238="",0,""""&amp;装备!C238&amp;"""")</f>
        <v>0</v>
      </c>
      <c r="K198" t="str">
        <f>IF(装备!T238="","""""",""""&amp;装备!T238&amp;"""")</f>
        <v>""</v>
      </c>
      <c r="L198">
        <f>IF(装备!U238="",0,""""&amp;装备!U238&amp;"""")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IF(装备!B239="",0,"'"&amp;装备!B239&amp;"'")</f>
        <v>0</v>
      </c>
      <c r="B199">
        <f>装备!D240</f>
        <v>0</v>
      </c>
      <c r="C199">
        <f>装备!E239</f>
        <v>0</v>
      </c>
      <c r="D199">
        <f>装备!F239</f>
        <v>0</v>
      </c>
      <c r="E199">
        <f>IF(ISTEXT(装备!G230)=TRUE,"'"&amp;装备!G230&amp;"'",装备!G230)</f>
        <v>0</v>
      </c>
      <c r="F199">
        <f>IF(ISTEXT(装备!H230)=TRUE,"'"&amp;装备!H230&amp;"'",装备!H230)</f>
        <v>0</v>
      </c>
      <c r="G199">
        <f>IF(装备!I239="",0,"'"&amp;装备!I239&amp;"'")</f>
        <v>0</v>
      </c>
      <c r="H199">
        <f>IF(装备!R230="",0,装备!R230)</f>
        <v>0</v>
      </c>
      <c r="I199">
        <f>IF(装备!S230="",0,装备!S230)</f>
        <v>0</v>
      </c>
      <c r="J199">
        <f>IF(装备!C239="",0,""""&amp;装备!C239&amp;"""")</f>
        <v>0</v>
      </c>
      <c r="K199" t="str">
        <f>IF(装备!T239="","""""",""""&amp;装备!T239&amp;"""")</f>
        <v>""</v>
      </c>
      <c r="L199">
        <f>IF(装备!U239="",0,""""&amp;装备!U239&amp;"""")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IF(装备!B240="",0,"'"&amp;装备!B240&amp;"'")</f>
        <v>0</v>
      </c>
      <c r="B200">
        <f>装备!D241</f>
        <v>0</v>
      </c>
      <c r="C200">
        <f>装备!E240</f>
        <v>0</v>
      </c>
      <c r="D200">
        <f>装备!F240</f>
        <v>0</v>
      </c>
      <c r="E200">
        <f>IF(ISTEXT(装备!G231)=TRUE,"'"&amp;装备!G231&amp;"'",装备!G231)</f>
        <v>0</v>
      </c>
      <c r="F200">
        <f>IF(ISTEXT(装备!H231)=TRUE,"'"&amp;装备!H231&amp;"'",装备!H231)</f>
        <v>0</v>
      </c>
      <c r="G200">
        <f>IF(装备!I240="",0,"'"&amp;装备!I240&amp;"'")</f>
        <v>0</v>
      </c>
      <c r="H200">
        <f>IF(装备!R231="",0,装备!R231)</f>
        <v>0</v>
      </c>
      <c r="I200">
        <f>IF(装备!S231="",0,装备!S231)</f>
        <v>0</v>
      </c>
      <c r="J200">
        <f>IF(装备!C240="",0,""""&amp;装备!C240&amp;"""")</f>
        <v>0</v>
      </c>
      <c r="K200" t="str">
        <f>IF(装备!T240="","""""",""""&amp;装备!T240&amp;"""")</f>
        <v>""</v>
      </c>
      <c r="L200">
        <f>IF(装备!U240="",0,""""&amp;装备!U240&amp;"""")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IF(装备!B241="",0,"'"&amp;装备!B241&amp;"'")</f>
        <v>0</v>
      </c>
      <c r="B201">
        <f>装备!D242</f>
        <v>0</v>
      </c>
      <c r="C201">
        <f>装备!E241</f>
        <v>0</v>
      </c>
      <c r="D201">
        <f>装备!F241</f>
        <v>0</v>
      </c>
      <c r="E201">
        <f>IF(ISTEXT(装备!G232)=TRUE,"'"&amp;装备!G232&amp;"'",装备!G232)</f>
        <v>0</v>
      </c>
      <c r="F201">
        <f>IF(ISTEXT(装备!H232)=TRUE,"'"&amp;装备!H232&amp;"'",装备!H232)</f>
        <v>0</v>
      </c>
      <c r="G201">
        <f>IF(装备!I241="",0,"'"&amp;装备!I241&amp;"'")</f>
        <v>0</v>
      </c>
      <c r="H201">
        <f>IF(装备!R232="",0,装备!R232)</f>
        <v>0</v>
      </c>
      <c r="I201">
        <f>IF(装备!S232="",0,装备!S232)</f>
        <v>0</v>
      </c>
      <c r="J201">
        <f>IF(装备!C241="",0,""""&amp;装备!C241&amp;"""")</f>
        <v>0</v>
      </c>
      <c r="K201" t="str">
        <f>IF(装备!T241="","""""",""""&amp;装备!T241&amp;"""")</f>
        <v>""</v>
      </c>
      <c r="L201">
        <f>IF(装备!U241="",0,""""&amp;装备!U241&amp;"""")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IF(装备!B242="",0,"'"&amp;装备!B242&amp;"'")</f>
        <v>0</v>
      </c>
      <c r="B202">
        <f>装备!D243</f>
        <v>0</v>
      </c>
      <c r="C202">
        <f>装备!E242</f>
        <v>0</v>
      </c>
      <c r="D202">
        <f>装备!F242</f>
        <v>0</v>
      </c>
      <c r="E202">
        <f>IF(ISTEXT(装备!G233)=TRUE,"'"&amp;装备!G233&amp;"'",装备!G233)</f>
        <v>0</v>
      </c>
      <c r="F202">
        <f>IF(ISTEXT(装备!H233)=TRUE,"'"&amp;装备!H233&amp;"'",装备!H233)</f>
        <v>0</v>
      </c>
      <c r="G202">
        <f>IF(装备!I242="",0,"'"&amp;装备!I242&amp;"'")</f>
        <v>0</v>
      </c>
      <c r="H202">
        <f>IF(装备!R233="",0,装备!R233)</f>
        <v>0</v>
      </c>
      <c r="I202">
        <f>IF(装备!S233="",0,装备!S233)</f>
        <v>0</v>
      </c>
      <c r="J202">
        <f>IF(装备!C242="",0,""""&amp;装备!C242&amp;"""")</f>
        <v>0</v>
      </c>
      <c r="K202" t="str">
        <f>IF(装备!T242="","""""",""""&amp;装备!T242&amp;"""")</f>
        <v>""</v>
      </c>
      <c r="L202">
        <f>IF(装备!U242="",0,""""&amp;装备!U242&amp;"""")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IF(装备!B243="",0,"'"&amp;装备!B243&amp;"'")</f>
        <v>0</v>
      </c>
      <c r="B203">
        <f>装备!D244</f>
        <v>0</v>
      </c>
      <c r="C203">
        <f>装备!E243</f>
        <v>0</v>
      </c>
      <c r="D203">
        <f>装备!F243</f>
        <v>0</v>
      </c>
      <c r="E203">
        <f>IF(ISTEXT(装备!G234)=TRUE,"'"&amp;装备!G234&amp;"'",装备!G234)</f>
        <v>0</v>
      </c>
      <c r="F203">
        <f>IF(ISTEXT(装备!H234)=TRUE,"'"&amp;装备!H234&amp;"'",装备!H234)</f>
        <v>0</v>
      </c>
      <c r="G203">
        <f>IF(装备!I243="",0,"'"&amp;装备!I243&amp;"'")</f>
        <v>0</v>
      </c>
      <c r="H203">
        <f>IF(装备!R234="",0,装备!R234)</f>
        <v>0</v>
      </c>
      <c r="I203">
        <f>IF(装备!S234="",0,装备!S234)</f>
        <v>0</v>
      </c>
      <c r="J203">
        <f>IF(装备!C243="",0,""""&amp;装备!C243&amp;"""")</f>
        <v>0</v>
      </c>
      <c r="K203" t="str">
        <f>IF(装备!T243="","""""",""""&amp;装备!T243&amp;"""")</f>
        <v>""</v>
      </c>
      <c r="L203">
        <f>IF(装备!U243="",0,""""&amp;装备!U243&amp;"""")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IF(装备!B244="",0,"'"&amp;装备!B244&amp;"'")</f>
        <v>0</v>
      </c>
      <c r="B204">
        <f>装备!D245</f>
        <v>0</v>
      </c>
      <c r="C204">
        <f>装备!E244</f>
        <v>0</v>
      </c>
      <c r="D204">
        <f>装备!F244</f>
        <v>0</v>
      </c>
      <c r="E204">
        <f>IF(ISTEXT(装备!G235)=TRUE,"'"&amp;装备!G235&amp;"'",装备!G235)</f>
        <v>0</v>
      </c>
      <c r="F204">
        <f>IF(ISTEXT(装备!H235)=TRUE,"'"&amp;装备!H235&amp;"'",装备!H235)</f>
        <v>0</v>
      </c>
      <c r="G204">
        <f>IF(装备!I244="",0,"'"&amp;装备!I244&amp;"'")</f>
        <v>0</v>
      </c>
      <c r="H204">
        <f>IF(装备!R235="",0,装备!R235)</f>
        <v>0</v>
      </c>
      <c r="I204">
        <f>IF(装备!S235="",0,装备!S235)</f>
        <v>0</v>
      </c>
      <c r="J204">
        <f>IF(装备!C244="",0,""""&amp;装备!C244&amp;"""")</f>
        <v>0</v>
      </c>
      <c r="K204" t="str">
        <f>IF(装备!T244="","""""",""""&amp;装备!T244&amp;"""")</f>
        <v>""</v>
      </c>
      <c r="L204">
        <f>IF(装备!U244="",0,""""&amp;装备!U244&amp;"""")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IF(装备!B245="",0,"'"&amp;装备!B245&amp;"'")</f>
        <v>0</v>
      </c>
      <c r="B205">
        <f>装备!D246</f>
        <v>0</v>
      </c>
      <c r="C205">
        <f>装备!E245</f>
        <v>0</v>
      </c>
      <c r="D205">
        <f>装备!F245</f>
        <v>0</v>
      </c>
      <c r="E205">
        <f>IF(ISTEXT(装备!G236)=TRUE,"'"&amp;装备!G236&amp;"'",装备!G236)</f>
        <v>0</v>
      </c>
      <c r="F205">
        <f>IF(ISTEXT(装备!H236)=TRUE,"'"&amp;装备!H236&amp;"'",装备!H236)</f>
        <v>0</v>
      </c>
      <c r="G205">
        <f>IF(装备!I245="",0,"'"&amp;装备!I245&amp;"'")</f>
        <v>0</v>
      </c>
      <c r="H205">
        <f>IF(装备!R236="",0,装备!R236)</f>
        <v>0</v>
      </c>
      <c r="I205">
        <f>IF(装备!S236="",0,装备!S236)</f>
        <v>0</v>
      </c>
      <c r="J205">
        <f>IF(装备!C245="",0,""""&amp;装备!C245&amp;"""")</f>
        <v>0</v>
      </c>
      <c r="K205" t="str">
        <f>IF(装备!T245="","""""",""""&amp;装备!T245&amp;"""")</f>
        <v>""</v>
      </c>
      <c r="L205">
        <f>IF(装备!U245="",0,""""&amp;装备!U245&amp;"""")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IF(装备!B246="",0,"'"&amp;装备!B246&amp;"'")</f>
        <v>0</v>
      </c>
      <c r="B206">
        <f>装备!D247</f>
        <v>0</v>
      </c>
      <c r="C206">
        <f>装备!E246</f>
        <v>0</v>
      </c>
      <c r="D206">
        <f>装备!F246</f>
        <v>0</v>
      </c>
      <c r="E206">
        <f>IF(ISTEXT(装备!G237)=TRUE,"'"&amp;装备!G237&amp;"'",装备!G237)</f>
        <v>0</v>
      </c>
      <c r="F206">
        <f>IF(ISTEXT(装备!H237)=TRUE,"'"&amp;装备!H237&amp;"'",装备!H237)</f>
        <v>0</v>
      </c>
      <c r="G206">
        <f>IF(装备!I246="",0,"'"&amp;装备!I246&amp;"'")</f>
        <v>0</v>
      </c>
      <c r="H206">
        <f>IF(装备!R237="",0,装备!R237)</f>
        <v>0</v>
      </c>
      <c r="I206">
        <f>IF(装备!S237="",0,装备!S237)</f>
        <v>0</v>
      </c>
      <c r="J206">
        <f>IF(装备!C246="",0,""""&amp;装备!C246&amp;"""")</f>
        <v>0</v>
      </c>
      <c r="K206" t="str">
        <f>IF(装备!T246="","""""",""""&amp;装备!T246&amp;"""")</f>
        <v>""</v>
      </c>
      <c r="L206">
        <f>IF(装备!U246="",0,""""&amp;装备!U246&amp;"""")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IF(装备!B247="",0,"'"&amp;装备!B247&amp;"'")</f>
        <v>0</v>
      </c>
      <c r="B207">
        <f>装备!D248</f>
        <v>0</v>
      </c>
      <c r="C207">
        <f>装备!E247</f>
        <v>0</v>
      </c>
      <c r="D207">
        <f>装备!F247</f>
        <v>0</v>
      </c>
      <c r="E207">
        <f>IF(ISTEXT(装备!G238)=TRUE,"'"&amp;装备!G238&amp;"'",装备!G238)</f>
        <v>0</v>
      </c>
      <c r="F207">
        <f>IF(ISTEXT(装备!H238)=TRUE,"'"&amp;装备!H238&amp;"'",装备!H238)</f>
        <v>0</v>
      </c>
      <c r="G207">
        <f>IF(装备!I247="",0,"'"&amp;装备!I247&amp;"'")</f>
        <v>0</v>
      </c>
      <c r="H207">
        <f>IF(装备!R238="",0,装备!R238)</f>
        <v>0</v>
      </c>
      <c r="I207">
        <f>IF(装备!S238="",0,装备!S238)</f>
        <v>0</v>
      </c>
      <c r="J207">
        <f>IF(装备!C247="",0,""""&amp;装备!C247&amp;"""")</f>
        <v>0</v>
      </c>
      <c r="K207" t="str">
        <f>IF(装备!T247="","""""",""""&amp;装备!T247&amp;"""")</f>
        <v>""</v>
      </c>
      <c r="L207">
        <f>IF(装备!U247="",0,""""&amp;装备!U247&amp;"""")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IF(装备!B248="",0,"'"&amp;装备!B248&amp;"'")</f>
        <v>0</v>
      </c>
      <c r="B208">
        <f>装备!D249</f>
        <v>0</v>
      </c>
      <c r="C208">
        <f>装备!E248</f>
        <v>0</v>
      </c>
      <c r="D208">
        <f>装备!F248</f>
        <v>0</v>
      </c>
      <c r="E208">
        <f>IF(ISTEXT(装备!G239)=TRUE,"'"&amp;装备!G239&amp;"'",装备!G239)</f>
        <v>0</v>
      </c>
      <c r="F208">
        <f>IF(ISTEXT(装备!H239)=TRUE,"'"&amp;装备!H239&amp;"'",装备!H239)</f>
        <v>0</v>
      </c>
      <c r="G208">
        <f>IF(装备!I248="",0,"'"&amp;装备!I248&amp;"'")</f>
        <v>0</v>
      </c>
      <c r="H208">
        <f>IF(装备!R239="",0,装备!R239)</f>
        <v>0</v>
      </c>
      <c r="I208">
        <f>IF(装备!S239="",0,装备!S239)</f>
        <v>0</v>
      </c>
      <c r="J208">
        <f>IF(装备!C248="",0,""""&amp;装备!C248&amp;"""")</f>
        <v>0</v>
      </c>
      <c r="K208" t="str">
        <f>IF(装备!T248="","""""",""""&amp;装备!T248&amp;"""")</f>
        <v>""</v>
      </c>
      <c r="L208">
        <f>IF(装备!U248="",0,""""&amp;装备!U248&amp;"""")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IF(装备!B249="",0,"'"&amp;装备!B249&amp;"'")</f>
        <v>0</v>
      </c>
      <c r="B209">
        <f>装备!D250</f>
        <v>0</v>
      </c>
      <c r="C209">
        <f>装备!E249</f>
        <v>0</v>
      </c>
      <c r="D209">
        <f>装备!F249</f>
        <v>0</v>
      </c>
      <c r="E209">
        <f>IF(ISTEXT(装备!G240)=TRUE,"'"&amp;装备!G240&amp;"'",装备!G240)</f>
        <v>0</v>
      </c>
      <c r="F209">
        <f>IF(ISTEXT(装备!H240)=TRUE,"'"&amp;装备!H240&amp;"'",装备!H240)</f>
        <v>0</v>
      </c>
      <c r="G209">
        <f>IF(装备!I249="",0,"'"&amp;装备!I249&amp;"'")</f>
        <v>0</v>
      </c>
      <c r="H209">
        <f>IF(装备!R240="",0,装备!R240)</f>
        <v>0</v>
      </c>
      <c r="I209">
        <f>IF(装备!S240="",0,装备!S240)</f>
        <v>0</v>
      </c>
      <c r="J209">
        <f>IF(装备!C249="",0,""""&amp;装备!C249&amp;"""")</f>
        <v>0</v>
      </c>
      <c r="K209" t="str">
        <f>IF(装备!T249="","""""",""""&amp;装备!T249&amp;"""")</f>
        <v>""</v>
      </c>
      <c r="L209">
        <f>IF(装备!U249="",0,""""&amp;装备!U249&amp;"""")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IF(装备!B250="",0,"'"&amp;装备!B250&amp;"'")</f>
        <v>0</v>
      </c>
      <c r="B210">
        <f>装备!D251</f>
        <v>0</v>
      </c>
      <c r="C210">
        <f>装备!E250</f>
        <v>0</v>
      </c>
      <c r="D210">
        <f>装备!F250</f>
        <v>0</v>
      </c>
      <c r="E210">
        <f>IF(ISTEXT(装备!G241)=TRUE,"'"&amp;装备!G241&amp;"'",装备!G241)</f>
        <v>0</v>
      </c>
      <c r="F210">
        <f>IF(ISTEXT(装备!H241)=TRUE,"'"&amp;装备!H241&amp;"'",装备!H241)</f>
        <v>0</v>
      </c>
      <c r="G210">
        <f>IF(装备!I250="",0,"'"&amp;装备!I250&amp;"'")</f>
        <v>0</v>
      </c>
      <c r="H210">
        <f>IF(装备!R241="",0,装备!R241)</f>
        <v>0</v>
      </c>
      <c r="I210">
        <f>IF(装备!S241="",0,装备!S241)</f>
        <v>0</v>
      </c>
      <c r="J210">
        <f>IF(装备!C250="",0,""""&amp;装备!C250&amp;"""")</f>
        <v>0</v>
      </c>
      <c r="K210" t="str">
        <f>IF(装备!T250="","""""",""""&amp;装备!T250&amp;"""")</f>
        <v>""</v>
      </c>
      <c r="L210">
        <f>IF(装备!U250="",0,""""&amp;装备!U250&amp;"""")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IF(装备!B251="",0,"'"&amp;装备!B251&amp;"'")</f>
        <v>0</v>
      </c>
      <c r="B211">
        <f>装备!D252</f>
        <v>0</v>
      </c>
      <c r="C211">
        <f>装备!E251</f>
        <v>0</v>
      </c>
      <c r="D211">
        <f>装备!F251</f>
        <v>0</v>
      </c>
      <c r="E211">
        <f>IF(ISTEXT(装备!G242)=TRUE,"'"&amp;装备!G242&amp;"'",装备!G242)</f>
        <v>0</v>
      </c>
      <c r="F211">
        <f>IF(ISTEXT(装备!H242)=TRUE,"'"&amp;装备!H242&amp;"'",装备!H242)</f>
        <v>0</v>
      </c>
      <c r="G211">
        <f>IF(装备!I251="",0,"'"&amp;装备!I251&amp;"'")</f>
        <v>0</v>
      </c>
      <c r="H211">
        <f>IF(装备!R242="",0,装备!R242)</f>
        <v>0</v>
      </c>
      <c r="I211">
        <f>IF(装备!S242="",0,装备!S242)</f>
        <v>0</v>
      </c>
      <c r="J211">
        <f>IF(装备!C251="",0,""""&amp;装备!C251&amp;"""")</f>
        <v>0</v>
      </c>
      <c r="K211" t="str">
        <f>IF(装备!T251="","""""",""""&amp;装备!T251&amp;"""")</f>
        <v>""</v>
      </c>
      <c r="L211">
        <f>IF(装备!U251="",0,""""&amp;装备!U251&amp;"""")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IF(装备!B252="",0,"'"&amp;装备!B252&amp;"'")</f>
        <v>0</v>
      </c>
      <c r="B212">
        <f>装备!D253</f>
        <v>0</v>
      </c>
      <c r="C212">
        <f>装备!E252</f>
        <v>0</v>
      </c>
      <c r="D212">
        <f>装备!F252</f>
        <v>0</v>
      </c>
      <c r="E212">
        <f>IF(ISTEXT(装备!G243)=TRUE,"'"&amp;装备!G243&amp;"'",装备!G243)</f>
        <v>0</v>
      </c>
      <c r="F212">
        <f>IF(ISTEXT(装备!H243)=TRUE,"'"&amp;装备!H243&amp;"'",装备!H243)</f>
        <v>0</v>
      </c>
      <c r="G212">
        <f>IF(装备!I252="",0,"'"&amp;装备!I252&amp;"'")</f>
        <v>0</v>
      </c>
      <c r="H212">
        <f>IF(装备!R243="",0,装备!R243)</f>
        <v>0</v>
      </c>
      <c r="I212">
        <f>IF(装备!S243="",0,装备!S243)</f>
        <v>0</v>
      </c>
      <c r="J212">
        <f>IF(装备!C252="",0,""""&amp;装备!C252&amp;"""")</f>
        <v>0</v>
      </c>
      <c r="K212" t="str">
        <f>IF(装备!T252="","""""",""""&amp;装备!T252&amp;"""")</f>
        <v>""</v>
      </c>
      <c r="L212">
        <f>IF(装备!U252="",0,""""&amp;装备!U252&amp;"""")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IF(装备!B253="",0,"'"&amp;装备!B253&amp;"'")</f>
        <v>0</v>
      </c>
      <c r="B213">
        <f>装备!D254</f>
        <v>0</v>
      </c>
      <c r="C213">
        <f>装备!E253</f>
        <v>0</v>
      </c>
      <c r="D213">
        <f>装备!F253</f>
        <v>0</v>
      </c>
      <c r="E213">
        <f>IF(ISTEXT(装备!G244)=TRUE,"'"&amp;装备!G244&amp;"'",装备!G244)</f>
        <v>0</v>
      </c>
      <c r="F213">
        <f>IF(ISTEXT(装备!H244)=TRUE,"'"&amp;装备!H244&amp;"'",装备!H244)</f>
        <v>0</v>
      </c>
      <c r="G213">
        <f>IF(装备!I253="",0,"'"&amp;装备!I253&amp;"'")</f>
        <v>0</v>
      </c>
      <c r="H213">
        <f>IF(装备!R244="",0,装备!R244)</f>
        <v>0</v>
      </c>
      <c r="I213">
        <f>IF(装备!S244="",0,装备!S244)</f>
        <v>0</v>
      </c>
      <c r="J213">
        <f>IF(装备!C253="",0,""""&amp;装备!C253&amp;"""")</f>
        <v>0</v>
      </c>
      <c r="K213" t="str">
        <f>IF(装备!T253="","""""",""""&amp;装备!T253&amp;"""")</f>
        <v>""</v>
      </c>
      <c r="L213">
        <f>IF(装备!U253="",0,""""&amp;装备!U253&amp;"""")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IF(装备!B254="",0,"'"&amp;装备!B254&amp;"'")</f>
        <v>0</v>
      </c>
      <c r="B214">
        <f>装备!D255</f>
        <v>0</v>
      </c>
      <c r="C214">
        <f>装备!E254</f>
        <v>0</v>
      </c>
      <c r="D214">
        <f>装备!F254</f>
        <v>0</v>
      </c>
      <c r="E214">
        <f>IF(ISTEXT(装备!G245)=TRUE,"'"&amp;装备!G245&amp;"'",装备!G245)</f>
        <v>0</v>
      </c>
      <c r="F214">
        <f>IF(ISTEXT(装备!H245)=TRUE,"'"&amp;装备!H245&amp;"'",装备!H245)</f>
        <v>0</v>
      </c>
      <c r="G214">
        <f>IF(装备!I254="",0,"'"&amp;装备!I254&amp;"'")</f>
        <v>0</v>
      </c>
      <c r="H214">
        <f>IF(装备!R245="",0,装备!R245)</f>
        <v>0</v>
      </c>
      <c r="I214">
        <f>IF(装备!S245="",0,装备!S245)</f>
        <v>0</v>
      </c>
      <c r="J214">
        <f>IF(装备!C254="",0,""""&amp;装备!C254&amp;"""")</f>
        <v>0</v>
      </c>
      <c r="K214" t="str">
        <f>IF(装备!T254="","""""",""""&amp;装备!T254&amp;"""")</f>
        <v>""</v>
      </c>
      <c r="L214">
        <f>IF(装备!U254="",0,""""&amp;装备!U254&amp;"""")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IF(装备!B255="",0,"'"&amp;装备!B255&amp;"'")</f>
        <v>0</v>
      </c>
      <c r="B215">
        <f>装备!D256</f>
        <v>0</v>
      </c>
      <c r="C215">
        <f>装备!E255</f>
        <v>0</v>
      </c>
      <c r="D215">
        <f>装备!F255</f>
        <v>0</v>
      </c>
      <c r="E215">
        <f>IF(ISTEXT(装备!G246)=TRUE,"'"&amp;装备!G246&amp;"'",装备!G246)</f>
        <v>0</v>
      </c>
      <c r="F215">
        <f>IF(ISTEXT(装备!H246)=TRUE,"'"&amp;装备!H246&amp;"'",装备!H246)</f>
        <v>0</v>
      </c>
      <c r="G215">
        <f>IF(装备!I255="",0,"'"&amp;装备!I255&amp;"'")</f>
        <v>0</v>
      </c>
      <c r="H215">
        <f>IF(装备!R246="",0,装备!R246)</f>
        <v>0</v>
      </c>
      <c r="I215">
        <f>IF(装备!S246="",0,装备!S246)</f>
        <v>0</v>
      </c>
      <c r="J215">
        <f>IF(装备!C255="",0,""""&amp;装备!C255&amp;"""")</f>
        <v>0</v>
      </c>
      <c r="K215" t="str">
        <f>IF(装备!T255="","""""",""""&amp;装备!T255&amp;"""")</f>
        <v>""</v>
      </c>
      <c r="L215">
        <f>IF(装备!U255="",0,""""&amp;装备!U255&amp;"""")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IF(装备!B256="",0,"'"&amp;装备!B256&amp;"'")</f>
        <v>0</v>
      </c>
      <c r="B216">
        <f>装备!D257</f>
        <v>0</v>
      </c>
      <c r="C216">
        <f>装备!E256</f>
        <v>0</v>
      </c>
      <c r="D216">
        <f>装备!F256</f>
        <v>0</v>
      </c>
      <c r="E216">
        <f>IF(ISTEXT(装备!G247)=TRUE,"'"&amp;装备!G247&amp;"'",装备!G247)</f>
        <v>0</v>
      </c>
      <c r="F216">
        <f>IF(ISTEXT(装备!H247)=TRUE,"'"&amp;装备!H247&amp;"'",装备!H247)</f>
        <v>0</v>
      </c>
      <c r="G216">
        <f>IF(装备!I256="",0,"'"&amp;装备!I256&amp;"'")</f>
        <v>0</v>
      </c>
      <c r="H216">
        <f>IF(装备!R247="",0,装备!R247)</f>
        <v>0</v>
      </c>
      <c r="I216">
        <f>IF(装备!S247="",0,装备!S247)</f>
        <v>0</v>
      </c>
      <c r="J216">
        <f>IF(装备!C256="",0,""""&amp;装备!C256&amp;"""")</f>
        <v>0</v>
      </c>
      <c r="K216" t="str">
        <f>IF(装备!T256="","""""",""""&amp;装备!T256&amp;"""")</f>
        <v>""</v>
      </c>
      <c r="L216">
        <f>IF(装备!U256="",0,""""&amp;装备!U256&amp;"""")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IF(装备!B257="",0,"'"&amp;装备!B257&amp;"'")</f>
        <v>0</v>
      </c>
      <c r="B217">
        <f>装备!D258</f>
        <v>0</v>
      </c>
      <c r="C217">
        <f>装备!E257</f>
        <v>0</v>
      </c>
      <c r="D217">
        <f>装备!F257</f>
        <v>0</v>
      </c>
      <c r="E217">
        <f>IF(ISTEXT(装备!G248)=TRUE,"'"&amp;装备!G248&amp;"'",装备!G248)</f>
        <v>0</v>
      </c>
      <c r="F217">
        <f>IF(ISTEXT(装备!H248)=TRUE,"'"&amp;装备!H248&amp;"'",装备!H248)</f>
        <v>0</v>
      </c>
      <c r="G217">
        <f>IF(装备!I257="",0,"'"&amp;装备!I257&amp;"'")</f>
        <v>0</v>
      </c>
      <c r="H217">
        <f>IF(装备!R248="",0,装备!R248)</f>
        <v>0</v>
      </c>
      <c r="I217">
        <f>IF(装备!S248="",0,装备!S248)</f>
        <v>0</v>
      </c>
      <c r="J217">
        <f>IF(装备!C257="",0,""""&amp;装备!C257&amp;"""")</f>
        <v>0</v>
      </c>
      <c r="K217" t="str">
        <f>IF(装备!T257="","""""",""""&amp;装备!T257&amp;"""")</f>
        <v>""</v>
      </c>
      <c r="L217">
        <f>IF(装备!U257="",0,""""&amp;装备!U257&amp;"""")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IF(装备!B258="",0,"'"&amp;装备!B258&amp;"'")</f>
        <v>0</v>
      </c>
      <c r="B218">
        <f>装备!D259</f>
        <v>0</v>
      </c>
      <c r="C218">
        <f>装备!E258</f>
        <v>0</v>
      </c>
      <c r="D218">
        <f>装备!F258</f>
        <v>0</v>
      </c>
      <c r="E218">
        <f>IF(ISTEXT(装备!G249)=TRUE,"'"&amp;装备!G249&amp;"'",装备!G249)</f>
        <v>0</v>
      </c>
      <c r="F218">
        <f>IF(ISTEXT(装备!H249)=TRUE,"'"&amp;装备!H249&amp;"'",装备!H249)</f>
        <v>0</v>
      </c>
      <c r="G218">
        <f>IF(装备!I258="",0,"'"&amp;装备!I258&amp;"'")</f>
        <v>0</v>
      </c>
      <c r="H218">
        <f>IF(装备!R249="",0,装备!R249)</f>
        <v>0</v>
      </c>
      <c r="I218">
        <f>IF(装备!S249="",0,装备!S249)</f>
        <v>0</v>
      </c>
      <c r="J218">
        <f>IF(装备!C258="",0,""""&amp;装备!C258&amp;"""")</f>
        <v>0</v>
      </c>
      <c r="K218" t="str">
        <f>IF(装备!T258="","""""",""""&amp;装备!T258&amp;"""")</f>
        <v>""</v>
      </c>
      <c r="L218">
        <f>IF(装备!U258="",0,""""&amp;装备!U258&amp;"""")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IF(装备!B259="",0,"'"&amp;装备!B259&amp;"'")</f>
        <v>0</v>
      </c>
      <c r="B219">
        <f>装备!D260</f>
        <v>0</v>
      </c>
      <c r="C219">
        <f>装备!E259</f>
        <v>0</v>
      </c>
      <c r="D219">
        <f>装备!F259</f>
        <v>0</v>
      </c>
      <c r="E219">
        <f>IF(ISTEXT(装备!G250)=TRUE,"'"&amp;装备!G250&amp;"'",装备!G250)</f>
        <v>0</v>
      </c>
      <c r="F219">
        <f>IF(ISTEXT(装备!H250)=TRUE,"'"&amp;装备!H250&amp;"'",装备!H250)</f>
        <v>0</v>
      </c>
      <c r="G219">
        <f>IF(装备!I259="",0,"'"&amp;装备!I259&amp;"'")</f>
        <v>0</v>
      </c>
      <c r="H219">
        <f>IF(装备!R250="",0,装备!R250)</f>
        <v>0</v>
      </c>
      <c r="I219">
        <f>IF(装备!S250="",0,装备!S250)</f>
        <v>0</v>
      </c>
      <c r="J219">
        <f>IF(装备!C259="",0,""""&amp;装备!C259&amp;"""")</f>
        <v>0</v>
      </c>
      <c r="K219" t="str">
        <f>IF(装备!T259="","""""",""""&amp;装备!T259&amp;"""")</f>
        <v>""</v>
      </c>
      <c r="L219">
        <f>IF(装备!U259="",0,""""&amp;装备!U259&amp;"""")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IF(装备!B260="",0,"'"&amp;装备!B260&amp;"'")</f>
        <v>0</v>
      </c>
      <c r="B220">
        <f>装备!D261</f>
        <v>0</v>
      </c>
      <c r="C220">
        <f>装备!E260</f>
        <v>0</v>
      </c>
      <c r="D220">
        <f>装备!F260</f>
        <v>0</v>
      </c>
      <c r="E220">
        <f>IF(ISTEXT(装备!G251)=TRUE,"'"&amp;装备!G251&amp;"'",装备!G251)</f>
        <v>0</v>
      </c>
      <c r="F220">
        <f>IF(ISTEXT(装备!H251)=TRUE,"'"&amp;装备!H251&amp;"'",装备!H251)</f>
        <v>0</v>
      </c>
      <c r="G220">
        <f>IF(装备!I260="",0,"'"&amp;装备!I260&amp;"'")</f>
        <v>0</v>
      </c>
      <c r="H220">
        <f>IF(装备!R251="",0,装备!R251)</f>
        <v>0</v>
      </c>
      <c r="I220">
        <f>IF(装备!S251="",0,装备!S251)</f>
        <v>0</v>
      </c>
      <c r="J220">
        <f>IF(装备!C260="",0,""""&amp;装备!C260&amp;"""")</f>
        <v>0</v>
      </c>
      <c r="K220" t="str">
        <f>IF(装备!T260="","""""",""""&amp;装备!T260&amp;"""")</f>
        <v>""</v>
      </c>
      <c r="L220">
        <f>IF(装备!U260="",0,""""&amp;装备!U260&amp;"""")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IF(装备!B261="",0,"'"&amp;装备!B261&amp;"'")</f>
        <v>0</v>
      </c>
      <c r="B221">
        <f>装备!D262</f>
        <v>0</v>
      </c>
      <c r="C221">
        <f>装备!E261</f>
        <v>0</v>
      </c>
      <c r="D221">
        <f>装备!F261</f>
        <v>0</v>
      </c>
      <c r="E221">
        <f>IF(ISTEXT(装备!G252)=TRUE,"'"&amp;装备!G252&amp;"'",装备!G252)</f>
        <v>0</v>
      </c>
      <c r="F221">
        <f>IF(ISTEXT(装备!H252)=TRUE,"'"&amp;装备!H252&amp;"'",装备!H252)</f>
        <v>0</v>
      </c>
      <c r="G221">
        <f>IF(装备!I261="",0,"'"&amp;装备!I261&amp;"'")</f>
        <v>0</v>
      </c>
      <c r="H221">
        <f>IF(装备!R252="",0,装备!R252)</f>
        <v>0</v>
      </c>
      <c r="I221">
        <f>IF(装备!S252="",0,装备!S252)</f>
        <v>0</v>
      </c>
      <c r="J221">
        <f>IF(装备!C261="",0,""""&amp;装备!C261&amp;"""")</f>
        <v>0</v>
      </c>
      <c r="K221" t="str">
        <f>IF(装备!T261="","""""",""""&amp;装备!T261&amp;"""")</f>
        <v>""</v>
      </c>
      <c r="L221">
        <f>IF(装备!U261="",0,""""&amp;装备!U261&amp;"""")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IF(装备!B262="",0,"'"&amp;装备!B262&amp;"'")</f>
        <v>0</v>
      </c>
      <c r="B222">
        <f>装备!D263</f>
        <v>0</v>
      </c>
      <c r="C222">
        <f>装备!E262</f>
        <v>0</v>
      </c>
      <c r="D222">
        <f>装备!F262</f>
        <v>0</v>
      </c>
      <c r="E222">
        <f>IF(ISTEXT(装备!G253)=TRUE,"'"&amp;装备!G253&amp;"'",装备!G253)</f>
        <v>0</v>
      </c>
      <c r="F222">
        <f>IF(ISTEXT(装备!H253)=TRUE,"'"&amp;装备!H253&amp;"'",装备!H253)</f>
        <v>0</v>
      </c>
      <c r="G222">
        <f>IF(装备!I262="",0,"'"&amp;装备!I262&amp;"'")</f>
        <v>0</v>
      </c>
      <c r="H222">
        <f>IF(装备!R253="",0,装备!R253)</f>
        <v>0</v>
      </c>
      <c r="I222">
        <f>IF(装备!S253="",0,装备!S253)</f>
        <v>0</v>
      </c>
      <c r="J222">
        <f>IF(装备!C262="",0,""""&amp;装备!C262&amp;"""")</f>
        <v>0</v>
      </c>
      <c r="K222" t="str">
        <f>IF(装备!T262="","""""",""""&amp;装备!T262&amp;"""")</f>
        <v>""</v>
      </c>
      <c r="L222">
        <f>IF(装备!U262="",0,""""&amp;装备!U262&amp;"""")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IF(装备!B263="",0,"'"&amp;装备!B263&amp;"'")</f>
        <v>0</v>
      </c>
      <c r="B223">
        <f>装备!D264</f>
        <v>0</v>
      </c>
      <c r="C223">
        <f>装备!E263</f>
        <v>0</v>
      </c>
      <c r="D223">
        <f>装备!F263</f>
        <v>0</v>
      </c>
      <c r="E223">
        <f>IF(ISTEXT(装备!G254)=TRUE,"'"&amp;装备!G254&amp;"'",装备!G254)</f>
        <v>0</v>
      </c>
      <c r="F223">
        <f>IF(ISTEXT(装备!H254)=TRUE,"'"&amp;装备!H254&amp;"'",装备!H254)</f>
        <v>0</v>
      </c>
      <c r="G223">
        <f>IF(装备!I263="",0,"'"&amp;装备!I263&amp;"'")</f>
        <v>0</v>
      </c>
      <c r="H223">
        <f>IF(装备!R254="",0,装备!R254)</f>
        <v>0</v>
      </c>
      <c r="I223">
        <f>IF(装备!S254="",0,装备!S254)</f>
        <v>0</v>
      </c>
      <c r="J223">
        <f>IF(装备!C263="",0,""""&amp;装备!C263&amp;"""")</f>
        <v>0</v>
      </c>
      <c r="K223" t="str">
        <f>IF(装备!T263="","""""",""""&amp;装备!T263&amp;"""")</f>
        <v>""</v>
      </c>
      <c r="L223">
        <f>IF(装备!U263="",0,""""&amp;装备!U263&amp;"""")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IF(装备!B264="",0,"'"&amp;装备!B264&amp;"'")</f>
        <v>0</v>
      </c>
      <c r="B224">
        <f>装备!D265</f>
        <v>0</v>
      </c>
      <c r="C224">
        <f>装备!E264</f>
        <v>0</v>
      </c>
      <c r="D224">
        <f>装备!F264</f>
        <v>0</v>
      </c>
      <c r="E224">
        <f>IF(ISTEXT(装备!G255)=TRUE,"'"&amp;装备!G255&amp;"'",装备!G255)</f>
        <v>0</v>
      </c>
      <c r="F224">
        <f>IF(ISTEXT(装备!H255)=TRUE,"'"&amp;装备!H255&amp;"'",装备!H255)</f>
        <v>0</v>
      </c>
      <c r="G224">
        <f>IF(装备!I264="",0,"'"&amp;装备!I264&amp;"'")</f>
        <v>0</v>
      </c>
      <c r="H224">
        <f>IF(装备!R255="",0,装备!R255)</f>
        <v>0</v>
      </c>
      <c r="I224">
        <f>IF(装备!S255="",0,装备!S255)</f>
        <v>0</v>
      </c>
      <c r="J224">
        <f>IF(装备!C264="",0,""""&amp;装备!C264&amp;"""")</f>
        <v>0</v>
      </c>
      <c r="K224" t="str">
        <f>IF(装备!T264="","""""",""""&amp;装备!T264&amp;"""")</f>
        <v>""</v>
      </c>
      <c r="L224">
        <f>IF(装备!U264="",0,""""&amp;装备!U264&amp;"""")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IF(装备!B265="",0,"'"&amp;装备!B265&amp;"'")</f>
        <v>0</v>
      </c>
      <c r="B225">
        <f>装备!D266</f>
        <v>0</v>
      </c>
      <c r="C225">
        <f>装备!E265</f>
        <v>0</v>
      </c>
      <c r="D225">
        <f>装备!F265</f>
        <v>0</v>
      </c>
      <c r="E225">
        <f>IF(ISTEXT(装备!G256)=TRUE,"'"&amp;装备!G256&amp;"'",装备!G256)</f>
        <v>0</v>
      </c>
      <c r="F225">
        <f>IF(ISTEXT(装备!H256)=TRUE,"'"&amp;装备!H256&amp;"'",装备!H256)</f>
        <v>0</v>
      </c>
      <c r="G225">
        <f>IF(装备!I265="",0,"'"&amp;装备!I265&amp;"'")</f>
        <v>0</v>
      </c>
      <c r="H225">
        <f>IF(装备!R256="",0,装备!R256)</f>
        <v>0</v>
      </c>
      <c r="I225">
        <f>IF(装备!S256="",0,装备!S256)</f>
        <v>0</v>
      </c>
      <c r="J225">
        <f>IF(装备!C265="",0,""""&amp;装备!C265&amp;"""")</f>
        <v>0</v>
      </c>
      <c r="K225" t="str">
        <f>IF(装备!T265="","""""",""""&amp;装备!T265&amp;"""")</f>
        <v>""</v>
      </c>
      <c r="L225">
        <f>IF(装备!U265="",0,""""&amp;装备!U265&amp;"""")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295</v>
      </c>
      <c r="CD1" s="1" t="s">
        <v>295</v>
      </c>
      <c r="CE1" s="1" t="s">
        <v>295</v>
      </c>
      <c r="CF1" s="1" t="s">
        <v>295</v>
      </c>
      <c r="CH1" s="1" t="s">
        <v>295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296</v>
      </c>
      <c r="CC2" s="1" t="s">
        <v>297</v>
      </c>
      <c r="CD2" s="1" t="s">
        <v>298</v>
      </c>
      <c r="CE2" s="1" t="s">
        <v>299</v>
      </c>
      <c r="CF2" s="1" t="s">
        <v>300</v>
      </c>
      <c r="CG2" s="1" t="s">
        <v>301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88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InitUnitState('E211',0,0,18,0,17616,0,88,0,0,0)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InitUnitState('E211',0,0,18,0,17616,0,88,0,0,0)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107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InitUnitState('E212',0,0,21,0,21456,0,107,0,0,0)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InitUnitState('E212',0,0,21,0,21456,0,107,0,0,0)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126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InitUnitState('E213',0,0,24,0,25296,0,126,0,0,0)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InitUnitState('E213',0,0,24,0,25296,0,126,0,0,0)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146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InitUnitState('E214',0,0,27,0,29136,0,146,0,0,0)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InitUnitState('E214',0,0,27,0,29136,0,146,0,0,0)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165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InitUnitState('E215',0,0,30,0,32976,0,165,0,0,0)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InitUnitState('E215',0,0,30,0,32976,0,165,0,0,0)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213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InitUnitState('E216',0,0,34,0,42576,0,213,0,0,0)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InitUnitState('E216',0,0,34,0,42576,0,213,0,0,0)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261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InitUnitState('E217',0,0,38,0,52176,0,261,0,0,0)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InitUnitState('E217',0,0,38,0,52176,0,261,0,0,0)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309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InitUnitState('E218',0,0,42,0,61776,0,309,0,0,0)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InitUnitState('E218',0,0,42,0,61776,0,309,0,0,0)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357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InitUnitState('E219',0,0,46,0,71376,0,357,0,0,0)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InitUnitState('E219',0,0,46,0,71376,0,357,0,0,0)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405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InitUnitState('E220',0,0,50,0,80976,0,405,0,0,0)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InitUnitState('E220',0,0,50,0,80976,0,405,0,0,0)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525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InitUnitState('E221',0,0,55,0,104976,0,525,0,0,0)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InitUnitState('E221',0,0,55,0,104976,0,525,0,0,0)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645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InitUnitState('E222',0,0,60,0,128976,0,645,0,0,0)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InitUnitState('E222',0,0,60,0,128976,0,645,0,0,0)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596"/>
  <sheetViews>
    <sheetView topLeftCell="A34" workbookViewId="0">
      <selection activeCell="D71" sqref="D71"/>
    </sheetView>
  </sheetViews>
  <sheetFormatPr defaultColWidth="9" defaultRowHeight="14.25"/>
  <cols>
    <col min="4" max="4" width="12.25" customWidth="1"/>
  </cols>
  <sheetData>
    <row r="1" spans="1:5">
      <c r="A1" s="1" t="s">
        <v>302</v>
      </c>
      <c r="B1" s="1" t="s">
        <v>303</v>
      </c>
      <c r="C1" s="1" t="s">
        <v>304</v>
      </c>
      <c r="D1" s="1" t="s">
        <v>305</v>
      </c>
      <c r="E1" s="1" t="s">
        <v>306</v>
      </c>
    </row>
    <row r="2" spans="1:5">
      <c r="A2">
        <v>1</v>
      </c>
      <c r="B2" s="1" t="s">
        <v>233</v>
      </c>
      <c r="C2">
        <v>1000</v>
      </c>
      <c r="D2" s="2" t="e">
        <f>VLOOKUP(B2,装备!B:E,3,FALSE)</f>
        <v>#N/A</v>
      </c>
      <c r="E2" t="str">
        <f>IF(B2&lt;&gt;"","AddPrizeListEx("&amp;A2&amp;",'"&amp;B2&amp;"',"&amp;C2&amp;")","")</f>
        <v>AddPrizeListEx(1,'I101',1000)</v>
      </c>
    </row>
    <row r="3" spans="1:5">
      <c r="A3" s="3">
        <v>1</v>
      </c>
      <c r="B3" s="1" t="s">
        <v>234</v>
      </c>
      <c r="C3">
        <v>200</v>
      </c>
      <c r="D3" s="2" t="e">
        <f>VLOOKUP(B3,装备!B:E,3,FALSE)</f>
        <v>#N/A</v>
      </c>
      <c r="E3" t="str">
        <f t="shared" ref="E3:E12" si="0">IF(B3&lt;&gt;"","AddPrizeListEx("&amp;A3&amp;",'"&amp;B3&amp;"',"&amp;C3&amp;")","")</f>
        <v>AddPrizeListEx(1,'I102',200)</v>
      </c>
    </row>
    <row r="4" spans="1:5">
      <c r="A4" s="3">
        <v>1</v>
      </c>
      <c r="B4" s="1" t="s">
        <v>235</v>
      </c>
      <c r="C4">
        <v>20</v>
      </c>
      <c r="D4" s="2" t="e">
        <f>VLOOKUP(B4,装备!B:E,3,FALSE)</f>
        <v>#N/A</v>
      </c>
      <c r="E4" t="str">
        <f t="shared" si="0"/>
        <v>AddPrizeListEx(1,'I103',20)</v>
      </c>
    </row>
    <row r="5" spans="1:5">
      <c r="A5" s="3">
        <v>1</v>
      </c>
      <c r="B5" s="1" t="s">
        <v>236</v>
      </c>
      <c r="C5">
        <v>5</v>
      </c>
      <c r="D5" s="2" t="e">
        <f>VLOOKUP(B5,装备!B:E,3,FALSE)</f>
        <v>#N/A</v>
      </c>
      <c r="E5" t="str">
        <f t="shared" si="0"/>
        <v>AddPrizeListEx(1,'I104',5)</v>
      </c>
    </row>
    <row r="6" spans="1:5">
      <c r="A6" s="3">
        <v>1</v>
      </c>
      <c r="B6" s="1" t="s">
        <v>237</v>
      </c>
      <c r="C6">
        <v>200</v>
      </c>
      <c r="D6" s="2" t="e">
        <f>VLOOKUP(B6,装备!B:E,3,FALSE)</f>
        <v>#N/A</v>
      </c>
      <c r="E6" t="str">
        <f t="shared" si="0"/>
        <v>AddPrizeListEx(1,'I105',200)</v>
      </c>
    </row>
    <row r="7" spans="1:5">
      <c r="A7" s="3">
        <v>1</v>
      </c>
      <c r="B7" s="1" t="s">
        <v>238</v>
      </c>
      <c r="C7">
        <v>20</v>
      </c>
      <c r="D7" s="2" t="e">
        <f>VLOOKUP(B7,装备!B:E,3,FALSE)</f>
        <v>#N/A</v>
      </c>
      <c r="E7" t="str">
        <f t="shared" si="0"/>
        <v>AddPrizeListEx(1,'I106',20)</v>
      </c>
    </row>
    <row r="8" spans="1:5">
      <c r="A8" s="3">
        <v>1</v>
      </c>
      <c r="B8" s="1" t="s">
        <v>239</v>
      </c>
      <c r="C8">
        <v>5</v>
      </c>
      <c r="D8" s="2" t="e">
        <f>VLOOKUP(B8,装备!B:E,3,FALSE)</f>
        <v>#N/A</v>
      </c>
      <c r="E8" t="str">
        <f t="shared" si="0"/>
        <v>AddPrizeListEx(1,'I107',5)</v>
      </c>
    </row>
    <row r="9" spans="1:5">
      <c r="A9" s="3">
        <v>1</v>
      </c>
      <c r="B9" s="1" t="s">
        <v>240</v>
      </c>
      <c r="C9">
        <v>1500</v>
      </c>
      <c r="D9" s="2" t="e">
        <f>VLOOKUP(B9,装备!B:E,3,FALSE)</f>
        <v>#N/A</v>
      </c>
      <c r="E9" t="str">
        <f t="shared" si="0"/>
        <v>AddPrizeListEx(1,'I108',1500)</v>
      </c>
    </row>
    <row r="10" spans="1:5">
      <c r="A10" s="3">
        <v>1</v>
      </c>
      <c r="B10" s="1" t="s">
        <v>241</v>
      </c>
      <c r="C10">
        <v>500</v>
      </c>
      <c r="D10" s="2" t="e">
        <f>VLOOKUP(B10,装备!B:E,3,FALSE)</f>
        <v>#N/A</v>
      </c>
      <c r="E10" t="str">
        <f t="shared" si="0"/>
        <v>AddPrizeListEx(1,'I109',500)</v>
      </c>
    </row>
    <row r="11" spans="1:5">
      <c r="A11" s="3">
        <v>1</v>
      </c>
      <c r="B11" s="1" t="s">
        <v>242</v>
      </c>
      <c r="C11">
        <v>100</v>
      </c>
      <c r="D11" s="2" t="e">
        <f>VLOOKUP(B11,装备!B:E,3,FALSE)</f>
        <v>#N/A</v>
      </c>
      <c r="E11" t="str">
        <f t="shared" si="0"/>
        <v>AddPrizeListEx(1,'I110',100)</v>
      </c>
    </row>
    <row r="12" spans="1:5">
      <c r="A12" s="3">
        <v>1</v>
      </c>
      <c r="B12" s="1" t="s">
        <v>243</v>
      </c>
      <c r="C12">
        <v>10</v>
      </c>
      <c r="D12" s="2" t="e">
        <f>VLOOKUP(B12,装备!B:E,3,FALSE)</f>
        <v>#N/A</v>
      </c>
      <c r="E12" t="str">
        <f t="shared" si="0"/>
        <v>AddPrizeListEx(1,'I111',10)</v>
      </c>
    </row>
    <row r="13" spans="1:5">
      <c r="A13" s="3">
        <v>1</v>
      </c>
      <c r="B13" s="1" t="s">
        <v>244</v>
      </c>
      <c r="C13">
        <v>500</v>
      </c>
      <c r="D13" s="2" t="e">
        <f>VLOOKUP(B13,装备!B:E,3,FALSE)</f>
        <v>#N/A</v>
      </c>
      <c r="E13" t="str">
        <f t="shared" ref="E13:E49" si="1">IF(B13&lt;&gt;"","AddPrizeListEx("&amp;A13&amp;",'"&amp;B13&amp;"',"&amp;C13&amp;")","")</f>
        <v>AddPrizeListEx(1,'I112',500)</v>
      </c>
    </row>
    <row r="14" spans="1:5">
      <c r="A14" s="3">
        <v>1</v>
      </c>
      <c r="B14" s="1" t="s">
        <v>245</v>
      </c>
      <c r="C14">
        <v>100</v>
      </c>
      <c r="D14" s="2" t="e">
        <f>VLOOKUP(B14,装备!B:E,3,FALSE)</f>
        <v>#N/A</v>
      </c>
      <c r="E14" t="str">
        <f t="shared" si="1"/>
        <v>AddPrizeListEx(1,'I113',100)</v>
      </c>
    </row>
    <row r="15" spans="1:5">
      <c r="A15" s="3">
        <v>1</v>
      </c>
      <c r="B15" s="1" t="s">
        <v>246</v>
      </c>
      <c r="C15">
        <v>10</v>
      </c>
      <c r="D15" s="2" t="e">
        <f>VLOOKUP(B15,装备!B:E,3,FALSE)</f>
        <v>#N/A</v>
      </c>
      <c r="E15" t="str">
        <f t="shared" si="1"/>
        <v>AddPrizeListEx(1,'I114',10)</v>
      </c>
    </row>
    <row r="16" spans="1:5">
      <c r="A16" s="3">
        <v>1</v>
      </c>
      <c r="B16" s="1" t="s">
        <v>247</v>
      </c>
      <c r="C16">
        <v>500</v>
      </c>
      <c r="D16" s="2" t="e">
        <f>VLOOKUP(B16,装备!B:E,3,FALSE)</f>
        <v>#N/A</v>
      </c>
      <c r="E16" t="str">
        <f t="shared" si="1"/>
        <v>AddPrizeListEx(1,'I115',500)</v>
      </c>
    </row>
    <row r="17" spans="1:5">
      <c r="A17" s="3">
        <v>1</v>
      </c>
      <c r="B17" s="1" t="s">
        <v>248</v>
      </c>
      <c r="C17">
        <v>100</v>
      </c>
      <c r="D17" s="2" t="e">
        <f>VLOOKUP(B17,装备!B:E,3,FALSE)</f>
        <v>#N/A</v>
      </c>
      <c r="E17" t="str">
        <f t="shared" si="1"/>
        <v>AddPrizeListEx(1,'I116',100)</v>
      </c>
    </row>
    <row r="18" spans="1:5">
      <c r="A18" s="3">
        <v>1</v>
      </c>
      <c r="B18" s="1" t="s">
        <v>249</v>
      </c>
      <c r="C18">
        <v>10</v>
      </c>
      <c r="D18" s="2" t="e">
        <f>VLOOKUP(B18,装备!B:E,3,FALSE)</f>
        <v>#N/A</v>
      </c>
      <c r="E18" t="str">
        <f t="shared" si="1"/>
        <v>AddPrizeListEx(1,'I117',10)</v>
      </c>
    </row>
    <row r="19" spans="1:5">
      <c r="A19" s="3">
        <v>1</v>
      </c>
      <c r="B19" s="1" t="s">
        <v>250</v>
      </c>
      <c r="C19">
        <v>1500</v>
      </c>
      <c r="D19" s="2" t="e">
        <f>VLOOKUP(B19,装备!B:E,3,FALSE)</f>
        <v>#N/A</v>
      </c>
      <c r="E19" t="str">
        <f t="shared" si="1"/>
        <v>AddPrizeListEx(1,'I118',1500)</v>
      </c>
    </row>
    <row r="20" spans="1:5">
      <c r="A20" s="3">
        <v>1</v>
      </c>
      <c r="B20" s="1" t="s">
        <v>251</v>
      </c>
      <c r="C20">
        <v>600</v>
      </c>
      <c r="D20" s="2" t="e">
        <f>VLOOKUP(B20,装备!B:E,3,FALSE)</f>
        <v>#N/A</v>
      </c>
      <c r="E20" t="str">
        <f t="shared" si="1"/>
        <v>AddPrizeListEx(1,'I119',600)</v>
      </c>
    </row>
    <row r="21" spans="1:5">
      <c r="A21" s="3">
        <v>1</v>
      </c>
      <c r="B21" s="1" t="s">
        <v>252</v>
      </c>
      <c r="C21">
        <v>20</v>
      </c>
      <c r="D21" s="2" t="e">
        <f>VLOOKUP(B21,装备!B:E,3,FALSE)</f>
        <v>#N/A</v>
      </c>
      <c r="E21" t="str">
        <f t="shared" si="1"/>
        <v>AddPrizeListEx(1,'I120',20)</v>
      </c>
    </row>
    <row r="22" spans="1:5">
      <c r="A22" s="3">
        <v>1</v>
      </c>
      <c r="B22" s="1" t="s">
        <v>253</v>
      </c>
      <c r="C22">
        <v>700</v>
      </c>
      <c r="D22" s="2" t="e">
        <f>VLOOKUP(B22,装备!B:E,3,FALSE)</f>
        <v>#N/A</v>
      </c>
      <c r="E22" t="str">
        <f t="shared" si="1"/>
        <v>AddPrizeListEx(1,'I121',700)</v>
      </c>
    </row>
    <row r="23" spans="1:5">
      <c r="A23" s="3">
        <v>1</v>
      </c>
      <c r="B23" s="1" t="s">
        <v>254</v>
      </c>
      <c r="C23">
        <v>240</v>
      </c>
      <c r="D23" s="2" t="e">
        <f>VLOOKUP(B23,装备!B:E,3,FALSE)</f>
        <v>#N/A</v>
      </c>
      <c r="E23" t="str">
        <f t="shared" si="1"/>
        <v>AddPrizeListEx(1,'I122',240)</v>
      </c>
    </row>
    <row r="24" spans="1:5">
      <c r="A24" s="3">
        <v>1</v>
      </c>
      <c r="B24" s="1" t="s">
        <v>255</v>
      </c>
      <c r="C24">
        <v>15</v>
      </c>
      <c r="D24" s="2" t="e">
        <f>VLOOKUP(B24,装备!B:E,3,FALSE)</f>
        <v>#N/A</v>
      </c>
      <c r="E24" t="str">
        <f t="shared" si="1"/>
        <v>AddPrizeListEx(1,'I123',15)</v>
      </c>
    </row>
    <row r="25" spans="1:5">
      <c r="A25" s="3">
        <v>1</v>
      </c>
      <c r="B25" s="1" t="s">
        <v>256</v>
      </c>
      <c r="C25" s="2">
        <v>700</v>
      </c>
      <c r="D25" s="2" t="e">
        <f>VLOOKUP(B25,装备!B:E,3,FALSE)</f>
        <v>#N/A</v>
      </c>
      <c r="E25" t="str">
        <f t="shared" si="1"/>
        <v>AddPrizeListEx(1,'I124',700)</v>
      </c>
    </row>
    <row r="26" spans="1:5">
      <c r="A26" s="3">
        <v>1</v>
      </c>
      <c r="B26" s="1" t="s">
        <v>257</v>
      </c>
      <c r="C26" s="2">
        <v>240</v>
      </c>
      <c r="D26" s="2" t="e">
        <f>VLOOKUP(B26,装备!B:E,3,FALSE)</f>
        <v>#N/A</v>
      </c>
      <c r="E26" t="str">
        <f t="shared" si="1"/>
        <v>AddPrizeListEx(1,'I125',240)</v>
      </c>
    </row>
    <row r="27" spans="1:5">
      <c r="A27" s="3">
        <v>1</v>
      </c>
      <c r="B27" s="1" t="s">
        <v>258</v>
      </c>
      <c r="C27" s="2">
        <v>15</v>
      </c>
      <c r="D27" s="2" t="e">
        <f>VLOOKUP(B27,装备!B:E,3,FALSE)</f>
        <v>#N/A</v>
      </c>
      <c r="E27" t="str">
        <f t="shared" si="1"/>
        <v>AddPrizeListEx(1,'I126',15)</v>
      </c>
    </row>
    <row r="28" spans="1:5">
      <c r="A28" s="3">
        <v>1</v>
      </c>
      <c r="B28" s="1" t="s">
        <v>259</v>
      </c>
      <c r="C28">
        <v>1000</v>
      </c>
      <c r="D28" s="2" t="e">
        <f>VLOOKUP(B28,装备!B:E,3,FALSE)</f>
        <v>#N/A</v>
      </c>
      <c r="E28" t="str">
        <f t="shared" si="1"/>
        <v>AddPrizeListEx(1,'I127',1000)</v>
      </c>
    </row>
    <row r="29" spans="1:5">
      <c r="A29" s="3">
        <v>1</v>
      </c>
      <c r="B29" s="1" t="s">
        <v>260</v>
      </c>
      <c r="C29">
        <v>300</v>
      </c>
      <c r="D29" s="2" t="e">
        <f>VLOOKUP(B29,装备!B:E,3,FALSE)</f>
        <v>#N/A</v>
      </c>
      <c r="E29" t="str">
        <f t="shared" si="1"/>
        <v>AddPrizeListEx(1,'I128',300)</v>
      </c>
    </row>
    <row r="30" spans="1:5">
      <c r="A30" s="3">
        <v>1</v>
      </c>
      <c r="B30" s="1" t="s">
        <v>261</v>
      </c>
      <c r="C30">
        <v>20</v>
      </c>
      <c r="D30" s="2" t="e">
        <f>VLOOKUP(B30,装备!B:E,3,FALSE)</f>
        <v>#N/A</v>
      </c>
      <c r="E30" t="str">
        <f t="shared" si="1"/>
        <v>AddPrizeListEx(1,'I129',20)</v>
      </c>
    </row>
    <row r="31" spans="1:5">
      <c r="A31" s="3">
        <v>1</v>
      </c>
      <c r="B31" s="1" t="s">
        <v>262</v>
      </c>
      <c r="C31">
        <v>1500</v>
      </c>
      <c r="D31" s="2" t="e">
        <f>VLOOKUP(B31,装备!B:E,3,FALSE)</f>
        <v>#N/A</v>
      </c>
      <c r="E31" t="str">
        <f t="shared" si="1"/>
        <v>AddPrizeListEx(1,'I130',1500)</v>
      </c>
    </row>
    <row r="32" spans="1:5">
      <c r="A32" s="3">
        <v>1</v>
      </c>
      <c r="B32" s="1" t="s">
        <v>263</v>
      </c>
      <c r="C32">
        <v>700</v>
      </c>
      <c r="D32" s="2" t="e">
        <f>VLOOKUP(B32,装备!B:E,3,FALSE)</f>
        <v>#N/A</v>
      </c>
      <c r="E32" t="str">
        <f t="shared" si="1"/>
        <v>AddPrizeListEx(1,'I131',700)</v>
      </c>
    </row>
    <row r="33" spans="1:5">
      <c r="A33" s="3">
        <v>1</v>
      </c>
      <c r="B33" s="1" t="s">
        <v>264</v>
      </c>
      <c r="C33">
        <v>10</v>
      </c>
      <c r="D33" s="2" t="e">
        <f>VLOOKUP(B33,装备!B:E,3,FALSE)</f>
        <v>#N/A</v>
      </c>
      <c r="E33" t="str">
        <f t="shared" si="1"/>
        <v>AddPrizeListEx(1,'I132',10)</v>
      </c>
    </row>
    <row r="34" spans="1:5">
      <c r="A34" s="3">
        <v>1</v>
      </c>
      <c r="B34" s="1" t="s">
        <v>265</v>
      </c>
      <c r="C34">
        <v>5</v>
      </c>
      <c r="D34" s="2" t="e">
        <f>VLOOKUP(B34,装备!B:E,3,FALSE)</f>
        <v>#N/A</v>
      </c>
      <c r="E34" t="str">
        <f t="shared" si="1"/>
        <v>AddPrizeListEx(1,'I133',5)</v>
      </c>
    </row>
    <row r="35" spans="1:5">
      <c r="A35" s="3">
        <v>1</v>
      </c>
      <c r="B35" s="1" t="s">
        <v>266</v>
      </c>
      <c r="C35">
        <v>5</v>
      </c>
      <c r="D35" s="2" t="e">
        <f>VLOOKUP(B35,装备!B:E,3,FALSE)</f>
        <v>#N/A</v>
      </c>
      <c r="E35" t="str">
        <f t="shared" si="1"/>
        <v>AddPrizeListEx(1,'I134',5)</v>
      </c>
    </row>
    <row r="36" spans="1:5">
      <c r="A36" s="3">
        <v>1</v>
      </c>
      <c r="B36" s="1" t="s">
        <v>267</v>
      </c>
      <c r="C36">
        <v>5</v>
      </c>
      <c r="D36" s="2" t="e">
        <f>VLOOKUP(B36,装备!B:E,3,FALSE)</f>
        <v>#N/A</v>
      </c>
      <c r="E36" t="str">
        <f t="shared" si="1"/>
        <v>AddPrizeListEx(1,'I135',5)</v>
      </c>
    </row>
    <row r="37" spans="1:5">
      <c r="A37" s="3">
        <v>1</v>
      </c>
      <c r="B37" s="1" t="s">
        <v>268</v>
      </c>
      <c r="C37">
        <v>5</v>
      </c>
      <c r="D37" s="2" t="e">
        <f>VLOOKUP(B37,装备!B:E,3,FALSE)</f>
        <v>#N/A</v>
      </c>
      <c r="E37" t="str">
        <f t="shared" si="1"/>
        <v>AddPrizeListEx(1,'I136',5)</v>
      </c>
    </row>
    <row r="38" spans="1:5">
      <c r="A38" s="3">
        <v>1</v>
      </c>
      <c r="B38" s="1" t="s">
        <v>269</v>
      </c>
      <c r="C38">
        <v>1500</v>
      </c>
      <c r="D38" s="2" t="e">
        <f>VLOOKUP(B38,装备!B:E,3,FALSE)</f>
        <v>#N/A</v>
      </c>
      <c r="E38" t="str">
        <f t="shared" si="1"/>
        <v>AddPrizeListEx(1,'I137',1500)</v>
      </c>
    </row>
    <row r="39" spans="1:5">
      <c r="A39" s="3">
        <v>1</v>
      </c>
      <c r="B39" s="1" t="s">
        <v>270</v>
      </c>
      <c r="C39">
        <v>200</v>
      </c>
      <c r="D39" s="2" t="e">
        <f>VLOOKUP(B39,装备!B:E,3,FALSE)</f>
        <v>#N/A</v>
      </c>
      <c r="E39" t="str">
        <f t="shared" si="1"/>
        <v>AddPrizeListEx(1,'I138',200)</v>
      </c>
    </row>
    <row r="40" spans="1:5">
      <c r="A40" s="3">
        <v>1</v>
      </c>
      <c r="B40" s="1" t="s">
        <v>271</v>
      </c>
      <c r="C40">
        <v>10</v>
      </c>
      <c r="D40" s="2" t="e">
        <f>VLOOKUP(B40,装备!B:E,3,FALSE)</f>
        <v>#N/A</v>
      </c>
      <c r="E40" t="str">
        <f t="shared" si="1"/>
        <v>AddPrizeListEx(1,'I139',10)</v>
      </c>
    </row>
    <row r="41" spans="1:5">
      <c r="A41" s="3">
        <v>1</v>
      </c>
      <c r="B41" s="1" t="s">
        <v>272</v>
      </c>
      <c r="C41">
        <v>1500</v>
      </c>
      <c r="D41" s="2" t="e">
        <f>VLOOKUP(B41,装备!B:E,3,FALSE)</f>
        <v>#N/A</v>
      </c>
      <c r="E41" t="str">
        <f t="shared" si="1"/>
        <v>AddPrizeListEx(1,'I140',1500)</v>
      </c>
    </row>
    <row r="42" spans="1:5">
      <c r="A42" s="3">
        <v>1</v>
      </c>
      <c r="B42" s="1" t="s">
        <v>273</v>
      </c>
      <c r="C42">
        <v>200</v>
      </c>
      <c r="D42" s="2" t="e">
        <f>VLOOKUP(B42,装备!B:E,3,FALSE)</f>
        <v>#N/A</v>
      </c>
      <c r="E42" t="str">
        <f t="shared" si="1"/>
        <v>AddPrizeListEx(1,'I141',200)</v>
      </c>
    </row>
    <row r="43" spans="1:5">
      <c r="A43" s="3">
        <v>1</v>
      </c>
      <c r="B43" s="1" t="s">
        <v>274</v>
      </c>
      <c r="C43">
        <v>5</v>
      </c>
      <c r="D43" s="2" t="e">
        <f>VLOOKUP(B43,装备!B:E,3,FALSE)</f>
        <v>#N/A</v>
      </c>
      <c r="E43" t="str">
        <f t="shared" si="1"/>
        <v>AddPrizeListEx(1,'I142',5)</v>
      </c>
    </row>
    <row r="44" spans="1:5">
      <c r="A44" s="3">
        <v>1</v>
      </c>
      <c r="B44" s="1" t="s">
        <v>275</v>
      </c>
      <c r="C44">
        <v>1000</v>
      </c>
      <c r="D44" s="2" t="e">
        <f>VLOOKUP(B44,装备!B:E,3,FALSE)</f>
        <v>#N/A</v>
      </c>
      <c r="E44" t="str">
        <f t="shared" si="1"/>
        <v>AddPrizeListEx(1,'I143',1000)</v>
      </c>
    </row>
    <row r="45" spans="1:5">
      <c r="A45" s="3">
        <v>1</v>
      </c>
      <c r="B45" s="1" t="s">
        <v>276</v>
      </c>
      <c r="C45">
        <v>200</v>
      </c>
      <c r="D45" s="2" t="e">
        <f>VLOOKUP(B45,装备!B:E,3,FALSE)</f>
        <v>#N/A</v>
      </c>
      <c r="E45" t="str">
        <f t="shared" si="1"/>
        <v>AddPrizeListEx(1,'I144',200)</v>
      </c>
    </row>
    <row r="46" spans="1:5">
      <c r="A46" s="3">
        <v>1</v>
      </c>
      <c r="B46" s="1" t="s">
        <v>277</v>
      </c>
      <c r="C46">
        <v>10</v>
      </c>
      <c r="D46" s="2" t="e">
        <f>VLOOKUP(B46,装备!B:E,3,FALSE)</f>
        <v>#N/A</v>
      </c>
      <c r="E46" t="str">
        <f t="shared" si="1"/>
        <v>AddPrizeListEx(1,'I145',10)</v>
      </c>
    </row>
    <row r="47" spans="1:5">
      <c r="A47" s="3">
        <v>1</v>
      </c>
      <c r="B47" s="1" t="s">
        <v>278</v>
      </c>
      <c r="C47">
        <v>500</v>
      </c>
      <c r="D47" s="2" t="e">
        <f>VLOOKUP(B47,装备!B:E,3,FALSE)</f>
        <v>#N/A</v>
      </c>
      <c r="E47" t="str">
        <f t="shared" si="1"/>
        <v>AddPrizeListEx(1,'I146',500)</v>
      </c>
    </row>
    <row r="48" spans="1:5">
      <c r="A48" s="3">
        <v>1</v>
      </c>
      <c r="B48" s="1" t="s">
        <v>279</v>
      </c>
      <c r="C48">
        <v>100</v>
      </c>
      <c r="D48" s="2" t="e">
        <f>VLOOKUP(B48,装备!B:E,3,FALSE)</f>
        <v>#N/A</v>
      </c>
      <c r="E48" t="str">
        <f t="shared" si="1"/>
        <v>AddPrizeListEx(1,'I147',100)</v>
      </c>
    </row>
    <row r="49" spans="1:5">
      <c r="A49" s="3">
        <v>1</v>
      </c>
      <c r="B49" s="1" t="s">
        <v>280</v>
      </c>
      <c r="C49">
        <v>5</v>
      </c>
      <c r="D49" s="2" t="e">
        <f>VLOOKUP(B49,装备!B:E,3,FALSE)</f>
        <v>#N/A</v>
      </c>
      <c r="E49" t="str">
        <f t="shared" si="1"/>
        <v>AddPrizeListEx(1,'I148',5)</v>
      </c>
    </row>
    <row r="50" spans="1:5">
      <c r="A50" s="3">
        <v>2</v>
      </c>
      <c r="B50" s="1" t="s">
        <v>234</v>
      </c>
      <c r="C50">
        <v>1000</v>
      </c>
      <c r="D50" s="2" t="e">
        <f>VLOOKUP(B50,装备!B:E,3,FALSE)</f>
        <v>#N/A</v>
      </c>
      <c r="E50" t="str">
        <f t="shared" ref="E50:E81" si="2">IF(B50&lt;&gt;"","AddPrizeListEx("&amp;A50&amp;",'"&amp;B50&amp;"',"&amp;C50&amp;")","")</f>
        <v>AddPrizeListEx(2,'I102',1000)</v>
      </c>
    </row>
    <row r="51" spans="1:5">
      <c r="A51" s="3">
        <v>2</v>
      </c>
      <c r="B51" s="1" t="s">
        <v>235</v>
      </c>
      <c r="C51">
        <v>150</v>
      </c>
      <c r="D51" s="2" t="e">
        <f>VLOOKUP(B51,装备!B:E,3,FALSE)</f>
        <v>#N/A</v>
      </c>
      <c r="E51" t="str">
        <f t="shared" si="2"/>
        <v>AddPrizeListEx(2,'I103',150)</v>
      </c>
    </row>
    <row r="52" spans="1:5">
      <c r="A52" s="3">
        <v>2</v>
      </c>
      <c r="B52" s="1" t="s">
        <v>236</v>
      </c>
      <c r="C52">
        <v>10</v>
      </c>
      <c r="D52" s="2" t="e">
        <f>VLOOKUP(B52,装备!B:E,3,FALSE)</f>
        <v>#N/A</v>
      </c>
      <c r="E52" t="str">
        <f t="shared" si="2"/>
        <v>AddPrizeListEx(2,'I104',10)</v>
      </c>
    </row>
    <row r="53" spans="1:5">
      <c r="A53" s="3">
        <v>2</v>
      </c>
      <c r="B53" s="1" t="s">
        <v>238</v>
      </c>
      <c r="C53">
        <v>500</v>
      </c>
      <c r="D53" s="2" t="e">
        <f>VLOOKUP(B53,装备!B:E,3,FALSE)</f>
        <v>#N/A</v>
      </c>
      <c r="E53" t="str">
        <f t="shared" si="2"/>
        <v>AddPrizeListEx(2,'I106',500)</v>
      </c>
    </row>
    <row r="54" spans="1:5">
      <c r="A54" s="3">
        <v>2</v>
      </c>
      <c r="B54" s="1" t="s">
        <v>239</v>
      </c>
      <c r="C54">
        <v>10</v>
      </c>
      <c r="D54" s="2" t="e">
        <f>VLOOKUP(B54,装备!B:E,3,FALSE)</f>
        <v>#N/A</v>
      </c>
      <c r="E54" t="str">
        <f t="shared" si="2"/>
        <v>AddPrizeListEx(2,'I107',10)</v>
      </c>
    </row>
    <row r="55" spans="1:5">
      <c r="A55" s="3">
        <v>2</v>
      </c>
      <c r="B55" s="1" t="s">
        <v>242</v>
      </c>
      <c r="C55">
        <v>500</v>
      </c>
      <c r="D55" s="2" t="e">
        <f>VLOOKUP(B55,装备!B:E,3,FALSE)</f>
        <v>#N/A</v>
      </c>
      <c r="E55" t="str">
        <f t="shared" si="2"/>
        <v>AddPrizeListEx(2,'I110',500)</v>
      </c>
    </row>
    <row r="56" spans="1:5">
      <c r="A56" s="3">
        <v>2</v>
      </c>
      <c r="B56" s="1" t="s">
        <v>243</v>
      </c>
      <c r="C56">
        <v>10</v>
      </c>
      <c r="D56" s="2" t="e">
        <f>VLOOKUP(B56,装备!B:E,3,FALSE)</f>
        <v>#N/A</v>
      </c>
      <c r="E56" t="str">
        <f t="shared" si="2"/>
        <v>AddPrizeListEx(2,'I111',10)</v>
      </c>
    </row>
    <row r="57" spans="1:5">
      <c r="A57" s="3">
        <v>2</v>
      </c>
      <c r="B57" s="1" t="s">
        <v>245</v>
      </c>
      <c r="C57">
        <v>600</v>
      </c>
      <c r="D57" s="2" t="e">
        <f>VLOOKUP(B57,装备!B:E,3,FALSE)</f>
        <v>#N/A</v>
      </c>
      <c r="E57" t="str">
        <f t="shared" si="2"/>
        <v>AddPrizeListEx(2,'I113',600)</v>
      </c>
    </row>
    <row r="58" spans="1:5">
      <c r="A58" s="3">
        <v>2</v>
      </c>
      <c r="B58" s="1" t="s">
        <v>246</v>
      </c>
      <c r="C58">
        <v>10</v>
      </c>
      <c r="D58" s="2" t="e">
        <f>VLOOKUP(B58,装备!B:E,3,FALSE)</f>
        <v>#N/A</v>
      </c>
      <c r="E58" t="str">
        <f t="shared" si="2"/>
        <v>AddPrizeListEx(2,'I114',10)</v>
      </c>
    </row>
    <row r="59" spans="1:5">
      <c r="A59" s="3">
        <v>2</v>
      </c>
      <c r="B59" s="1" t="s">
        <v>248</v>
      </c>
      <c r="C59">
        <v>500</v>
      </c>
      <c r="D59" s="2" t="e">
        <f>VLOOKUP(B59,装备!B:E,3,FALSE)</f>
        <v>#N/A</v>
      </c>
      <c r="E59" t="str">
        <f t="shared" si="2"/>
        <v>AddPrizeListEx(2,'I116',500)</v>
      </c>
    </row>
    <row r="60" spans="1:5">
      <c r="A60" s="3">
        <v>2</v>
      </c>
      <c r="B60" s="1" t="s">
        <v>249</v>
      </c>
      <c r="C60">
        <v>10</v>
      </c>
      <c r="D60" s="2" t="e">
        <f>VLOOKUP(B60,装备!B:E,3,FALSE)</f>
        <v>#N/A</v>
      </c>
      <c r="E60" t="str">
        <f t="shared" si="2"/>
        <v>AddPrizeListEx(2,'I117',10)</v>
      </c>
    </row>
    <row r="61" spans="1:5">
      <c r="A61" s="3">
        <v>2</v>
      </c>
      <c r="B61" s="1" t="s">
        <v>251</v>
      </c>
      <c r="C61">
        <v>200</v>
      </c>
      <c r="D61" s="2" t="e">
        <f>VLOOKUP(B61,装备!B:E,3,FALSE)</f>
        <v>#N/A</v>
      </c>
      <c r="E61" t="str">
        <f t="shared" si="2"/>
        <v>AddPrizeListEx(2,'I119',200)</v>
      </c>
    </row>
    <row r="62" spans="1:5">
      <c r="A62" s="3">
        <v>2</v>
      </c>
      <c r="B62" s="1" t="s">
        <v>252</v>
      </c>
      <c r="C62">
        <v>5</v>
      </c>
      <c r="D62" s="2" t="e">
        <f>VLOOKUP(B62,装备!B:E,3,FALSE)</f>
        <v>#N/A</v>
      </c>
      <c r="E62" t="str">
        <f t="shared" si="2"/>
        <v>AddPrizeListEx(2,'I120',5)</v>
      </c>
    </row>
    <row r="63" spans="1:5">
      <c r="A63" s="3">
        <v>2</v>
      </c>
      <c r="B63" s="1" t="s">
        <v>254</v>
      </c>
      <c r="C63">
        <v>600</v>
      </c>
      <c r="D63" s="2" t="e">
        <f>VLOOKUP(B63,装备!B:E,3,FALSE)</f>
        <v>#N/A</v>
      </c>
      <c r="E63" t="str">
        <f t="shared" si="2"/>
        <v>AddPrizeListEx(2,'I122',600)</v>
      </c>
    </row>
    <row r="64" spans="1:5">
      <c r="A64" s="3">
        <v>2</v>
      </c>
      <c r="B64" s="1" t="s">
        <v>255</v>
      </c>
      <c r="C64">
        <v>10</v>
      </c>
      <c r="D64" s="2" t="e">
        <f>VLOOKUP(B64,装备!B:E,3,FALSE)</f>
        <v>#N/A</v>
      </c>
      <c r="E64" t="str">
        <f t="shared" si="2"/>
        <v>AddPrizeListEx(2,'I123',10)</v>
      </c>
    </row>
    <row r="65" spans="1:5">
      <c r="A65" s="3">
        <v>2</v>
      </c>
      <c r="B65" s="1" t="s">
        <v>257</v>
      </c>
      <c r="C65">
        <v>600</v>
      </c>
      <c r="D65" s="2" t="e">
        <f>VLOOKUP(B65,装备!B:E,3,FALSE)</f>
        <v>#N/A</v>
      </c>
      <c r="E65" t="str">
        <f t="shared" si="2"/>
        <v>AddPrizeListEx(2,'I125',600)</v>
      </c>
    </row>
    <row r="66" spans="1:5">
      <c r="A66" s="3">
        <v>2</v>
      </c>
      <c r="B66" s="1" t="s">
        <v>258</v>
      </c>
      <c r="C66">
        <v>20</v>
      </c>
      <c r="D66" s="2" t="e">
        <f>VLOOKUP(B66,装备!B:E,3,FALSE)</f>
        <v>#N/A</v>
      </c>
      <c r="E66" t="str">
        <f t="shared" si="2"/>
        <v>AddPrizeListEx(2,'I126',20)</v>
      </c>
    </row>
    <row r="67" spans="1:5">
      <c r="A67" s="3">
        <v>2</v>
      </c>
      <c r="B67" s="1" t="s">
        <v>260</v>
      </c>
      <c r="C67">
        <v>600</v>
      </c>
      <c r="D67" s="2" t="e">
        <f>VLOOKUP(B67,装备!B:E,3,FALSE)</f>
        <v>#N/A</v>
      </c>
      <c r="E67" t="str">
        <f t="shared" si="2"/>
        <v>AddPrizeListEx(2,'I128',600)</v>
      </c>
    </row>
    <row r="68" spans="1:5">
      <c r="A68" s="3">
        <v>2</v>
      </c>
      <c r="B68" s="1" t="s">
        <v>261</v>
      </c>
      <c r="C68">
        <v>20</v>
      </c>
      <c r="D68" s="2" t="e">
        <f>VLOOKUP(B68,装备!B:E,3,FALSE)</f>
        <v>#N/A</v>
      </c>
      <c r="E68" t="str">
        <f t="shared" si="2"/>
        <v>AddPrizeListEx(2,'I129',20)</v>
      </c>
    </row>
    <row r="69" spans="1:5">
      <c r="A69" s="3">
        <v>2</v>
      </c>
      <c r="B69" s="1" t="s">
        <v>263</v>
      </c>
      <c r="C69">
        <v>700</v>
      </c>
      <c r="D69" s="2" t="e">
        <f>VLOOKUP(B69,装备!B:E,3,FALSE)</f>
        <v>#N/A</v>
      </c>
      <c r="E69" t="str">
        <f t="shared" si="2"/>
        <v>AddPrizeListEx(2,'I131',700)</v>
      </c>
    </row>
    <row r="70" spans="1:5">
      <c r="A70" s="3">
        <v>2</v>
      </c>
      <c r="B70" s="1" t="s">
        <v>264</v>
      </c>
      <c r="C70">
        <v>100</v>
      </c>
      <c r="D70" s="2" t="e">
        <f>VLOOKUP(B70,装备!B:E,3,FALSE)</f>
        <v>#N/A</v>
      </c>
      <c r="E70" t="str">
        <f t="shared" si="2"/>
        <v>AddPrizeListEx(2,'I132',100)</v>
      </c>
    </row>
    <row r="71" spans="1:5">
      <c r="A71" s="3">
        <v>2</v>
      </c>
      <c r="B71" s="1" t="s">
        <v>265</v>
      </c>
      <c r="C71">
        <v>150</v>
      </c>
      <c r="D71" s="2" t="e">
        <f>VLOOKUP(B71,装备!B:E,3,FALSE)</f>
        <v>#N/A</v>
      </c>
      <c r="E71" t="str">
        <f t="shared" si="2"/>
        <v>AddPrizeListEx(2,'I133',150)</v>
      </c>
    </row>
    <row r="72" spans="1:5">
      <c r="A72" s="3">
        <v>2</v>
      </c>
      <c r="B72" s="1" t="s">
        <v>266</v>
      </c>
      <c r="C72">
        <v>20</v>
      </c>
      <c r="D72" s="2" t="e">
        <f>VLOOKUP(B72,装备!B:E,3,FALSE)</f>
        <v>#N/A</v>
      </c>
      <c r="E72" t="str">
        <f t="shared" si="2"/>
        <v>AddPrizeListEx(2,'I134',20)</v>
      </c>
    </row>
    <row r="73" spans="1:5">
      <c r="A73" s="3">
        <v>2</v>
      </c>
      <c r="B73" s="1" t="s">
        <v>267</v>
      </c>
      <c r="C73">
        <v>5</v>
      </c>
      <c r="D73" s="2" t="e">
        <f>VLOOKUP(B73,装备!B:E,3,FALSE)</f>
        <v>#N/A</v>
      </c>
      <c r="E73" t="str">
        <f t="shared" si="2"/>
        <v>AddPrizeListEx(2,'I135',5)</v>
      </c>
    </row>
    <row r="74" spans="1:5">
      <c r="A74" s="3">
        <v>2</v>
      </c>
      <c r="B74" s="1" t="s">
        <v>268</v>
      </c>
      <c r="C74">
        <v>5</v>
      </c>
      <c r="D74" s="2" t="e">
        <f>VLOOKUP(B74,装备!B:E,3,FALSE)</f>
        <v>#N/A</v>
      </c>
      <c r="E74" t="str">
        <f t="shared" si="2"/>
        <v>AddPrizeListEx(2,'I136',5)</v>
      </c>
    </row>
    <row r="75" spans="1:5">
      <c r="A75" s="3">
        <v>2</v>
      </c>
      <c r="B75" s="1" t="s">
        <v>270</v>
      </c>
      <c r="C75">
        <v>100</v>
      </c>
      <c r="D75" s="2" t="e">
        <f>VLOOKUP(B75,装备!B:E,3,FALSE)</f>
        <v>#N/A</v>
      </c>
      <c r="E75" t="str">
        <f t="shared" si="2"/>
        <v>AddPrizeListEx(2,'I138',100)</v>
      </c>
    </row>
    <row r="76" spans="1:5">
      <c r="A76" s="3">
        <v>2</v>
      </c>
      <c r="B76" s="1" t="s">
        <v>271</v>
      </c>
      <c r="C76">
        <v>50</v>
      </c>
      <c r="D76" s="2" t="e">
        <f>VLOOKUP(B76,装备!B:E,3,FALSE)</f>
        <v>#N/A</v>
      </c>
      <c r="E76" t="str">
        <f t="shared" si="2"/>
        <v>AddPrizeListEx(2,'I139',50)</v>
      </c>
    </row>
    <row r="77" spans="1:5">
      <c r="A77" s="3">
        <v>2</v>
      </c>
      <c r="B77" s="1" t="s">
        <v>273</v>
      </c>
      <c r="C77">
        <v>600</v>
      </c>
      <c r="D77" s="2" t="e">
        <f>VLOOKUP(B77,装备!B:E,3,FALSE)</f>
        <v>#N/A</v>
      </c>
      <c r="E77" t="str">
        <f t="shared" si="2"/>
        <v>AddPrizeListEx(2,'I141',600)</v>
      </c>
    </row>
    <row r="78" spans="1:5">
      <c r="A78" s="3">
        <v>2</v>
      </c>
      <c r="B78" s="1" t="s">
        <v>274</v>
      </c>
      <c r="C78">
        <v>10</v>
      </c>
      <c r="D78" s="2" t="e">
        <f>VLOOKUP(B78,装备!B:E,3,FALSE)</f>
        <v>#N/A</v>
      </c>
      <c r="E78" t="str">
        <f t="shared" si="2"/>
        <v>AddPrizeListEx(2,'I142',10)</v>
      </c>
    </row>
    <row r="79" spans="1:5">
      <c r="A79" s="3">
        <v>2</v>
      </c>
      <c r="B79" s="1" t="s">
        <v>276</v>
      </c>
      <c r="C79">
        <v>100</v>
      </c>
      <c r="D79" s="2" t="e">
        <f>VLOOKUP(B79,装备!B:E,3,FALSE)</f>
        <v>#N/A</v>
      </c>
      <c r="E79" t="str">
        <f t="shared" si="2"/>
        <v>AddPrizeListEx(2,'I144',100)</v>
      </c>
    </row>
    <row r="80" spans="1:5">
      <c r="A80" s="3">
        <v>2</v>
      </c>
      <c r="B80" s="1" t="s">
        <v>277</v>
      </c>
      <c r="C80">
        <v>5</v>
      </c>
      <c r="D80" s="2" t="e">
        <f>VLOOKUP(B80,装备!B:E,3,FALSE)</f>
        <v>#N/A</v>
      </c>
      <c r="E80" t="str">
        <f t="shared" si="2"/>
        <v>AddPrizeListEx(2,'I145',5)</v>
      </c>
    </row>
    <row r="81" spans="1:5">
      <c r="A81" s="3">
        <v>2</v>
      </c>
      <c r="B81" s="1" t="s">
        <v>279</v>
      </c>
      <c r="C81">
        <v>600</v>
      </c>
      <c r="D81" s="2" t="e">
        <f>VLOOKUP(B81,装备!B:E,3,FALSE)</f>
        <v>#N/A</v>
      </c>
      <c r="E81" t="str">
        <f t="shared" si="2"/>
        <v>AddPrizeListEx(2,'I147',600)</v>
      </c>
    </row>
    <row r="82" spans="1:5">
      <c r="A82" s="3">
        <v>2</v>
      </c>
      <c r="B82" s="1" t="s">
        <v>280</v>
      </c>
      <c r="C82">
        <v>5</v>
      </c>
      <c r="D82" s="2" t="e">
        <f>VLOOKUP(B82,装备!B:E,3,FALSE)</f>
        <v>#N/A</v>
      </c>
      <c r="E82" t="str">
        <f t="shared" ref="E82:E90" si="3">IF(B82&lt;&gt;"","AddPrizeListEx("&amp;A82&amp;",'"&amp;B82&amp;"',"&amp;C82&amp;")","")</f>
        <v>AddPrizeListEx(2,'I148',5)</v>
      </c>
    </row>
    <row r="83" spans="1:5" ht="16.5">
      <c r="A83" s="3">
        <v>2</v>
      </c>
      <c r="B83" s="4" t="s">
        <v>211</v>
      </c>
      <c r="C83" s="3">
        <v>100</v>
      </c>
      <c r="D83" s="2" t="e">
        <f>VLOOKUP(B83,装备!B:E,3,FALSE)</f>
        <v>#N/A</v>
      </c>
      <c r="E83" t="str">
        <f t="shared" si="3"/>
        <v>AddPrizeListEx(2,'E501',100)</v>
      </c>
    </row>
    <row r="84" spans="1:5" ht="16.5">
      <c r="A84" s="3">
        <v>2</v>
      </c>
      <c r="B84" s="4" t="s">
        <v>212</v>
      </c>
      <c r="C84" s="3">
        <v>100</v>
      </c>
      <c r="D84" s="2" t="e">
        <f>VLOOKUP(B84,装备!B:E,3,FALSE)</f>
        <v>#N/A</v>
      </c>
      <c r="E84" t="str">
        <f t="shared" si="3"/>
        <v>AddPrizeListEx(2,'E502',100)</v>
      </c>
    </row>
    <row r="85" spans="1:5" ht="16.5">
      <c r="A85" s="3">
        <v>2</v>
      </c>
      <c r="B85" s="4" t="s">
        <v>213</v>
      </c>
      <c r="C85" s="3">
        <v>100</v>
      </c>
      <c r="D85" s="2" t="e">
        <f>VLOOKUP(B85,装备!B:E,3,FALSE)</f>
        <v>#N/A</v>
      </c>
      <c r="E85" t="str">
        <f t="shared" si="3"/>
        <v>AddPrizeListEx(2,'E503',100)</v>
      </c>
    </row>
    <row r="86" spans="1:5" ht="16.5">
      <c r="A86" s="3">
        <v>2</v>
      </c>
      <c r="B86" s="4" t="s">
        <v>214</v>
      </c>
      <c r="C86" s="3">
        <v>100</v>
      </c>
      <c r="D86" s="2" t="e">
        <f>VLOOKUP(B86,装备!B:E,3,FALSE)</f>
        <v>#N/A</v>
      </c>
      <c r="E86" t="str">
        <f t="shared" si="3"/>
        <v>AddPrizeListEx(2,'E504',100)</v>
      </c>
    </row>
    <row r="87" spans="1:5" ht="16.5">
      <c r="A87" s="3">
        <v>2</v>
      </c>
      <c r="B87" s="4" t="s">
        <v>216</v>
      </c>
      <c r="C87" s="3">
        <v>100</v>
      </c>
      <c r="D87" s="2" t="e">
        <f>VLOOKUP(B87,装备!B:E,3,FALSE)</f>
        <v>#N/A</v>
      </c>
      <c r="E87" t="str">
        <f t="shared" si="3"/>
        <v>AddPrizeListEx(2,'E506',100)</v>
      </c>
    </row>
    <row r="88" spans="1:5" ht="16.5">
      <c r="A88" s="3">
        <v>2</v>
      </c>
      <c r="B88" s="4" t="s">
        <v>217</v>
      </c>
      <c r="C88" s="3">
        <v>100</v>
      </c>
      <c r="D88" s="2" t="e">
        <f>VLOOKUP(B88,装备!B:E,3,FALSE)</f>
        <v>#N/A</v>
      </c>
      <c r="E88" t="str">
        <f t="shared" si="3"/>
        <v>AddPrizeListEx(2,'E507',100)</v>
      </c>
    </row>
    <row r="89" spans="1:5" ht="16.5">
      <c r="A89" s="3">
        <v>2</v>
      </c>
      <c r="B89" s="5" t="s">
        <v>218</v>
      </c>
      <c r="C89" s="3">
        <v>100</v>
      </c>
      <c r="D89" s="2" t="e">
        <f>VLOOKUP(B89,装备!B:E,3,FALSE)</f>
        <v>#N/A</v>
      </c>
      <c r="E89" t="str">
        <f t="shared" si="3"/>
        <v>AddPrizeListEx(2,'E508',100)</v>
      </c>
    </row>
    <row r="90" spans="1:5" ht="16.5">
      <c r="A90" s="3">
        <v>2</v>
      </c>
      <c r="B90" s="4" t="s">
        <v>219</v>
      </c>
      <c r="C90" s="3">
        <v>100</v>
      </c>
      <c r="D90" s="2" t="e">
        <f>VLOOKUP(B90,装备!B:E,3,FALSE)</f>
        <v>#N/A</v>
      </c>
      <c r="E90" t="str">
        <f t="shared" si="3"/>
        <v>AddPrizeListEx(2,'E509',100)</v>
      </c>
    </row>
    <row r="91" spans="1:5" ht="16.5">
      <c r="A91" s="3">
        <v>2</v>
      </c>
      <c r="B91" s="4" t="s">
        <v>222</v>
      </c>
      <c r="C91" s="3">
        <v>100</v>
      </c>
      <c r="D91" s="2" t="e">
        <f>VLOOKUP(B91,装备!B:E,3,FALSE)</f>
        <v>#N/A</v>
      </c>
      <c r="E91" t="str">
        <f t="shared" ref="E91:E154" si="4">IF(B91&lt;&gt;"","AddPrizeListEx("&amp;A91&amp;",'"&amp;B91&amp;"',"&amp;C91&amp;")","")</f>
        <v>AddPrizeListEx(2,'E512',100)</v>
      </c>
    </row>
    <row r="92" spans="1:5" ht="16.5">
      <c r="A92" s="3">
        <v>2</v>
      </c>
      <c r="B92" s="4" t="s">
        <v>223</v>
      </c>
      <c r="C92" s="3">
        <v>100</v>
      </c>
      <c r="D92" s="2" t="e">
        <f>VLOOKUP(B92,装备!B:E,3,FALSE)</f>
        <v>#N/A</v>
      </c>
      <c r="E92" t="str">
        <f t="shared" si="4"/>
        <v>AddPrizeListEx(2,'E513',100)</v>
      </c>
    </row>
    <row r="93" spans="1:5" ht="16.5">
      <c r="A93">
        <v>2</v>
      </c>
      <c r="B93" s="4" t="s">
        <v>224</v>
      </c>
      <c r="C93" s="3">
        <v>100</v>
      </c>
      <c r="D93" s="2" t="e">
        <f>VLOOKUP(B93,装备!B:E,3,FALSE)</f>
        <v>#N/A</v>
      </c>
      <c r="E93" t="str">
        <f t="shared" si="4"/>
        <v>AddPrizeListEx(2,'E514',100)</v>
      </c>
    </row>
    <row r="94" spans="1:5" ht="16.5">
      <c r="A94">
        <v>2</v>
      </c>
      <c r="B94" s="4" t="s">
        <v>225</v>
      </c>
      <c r="C94" s="3">
        <v>100</v>
      </c>
      <c r="D94" s="2" t="e">
        <f>VLOOKUP(B94,装备!B:E,3,FALSE)</f>
        <v>#N/A</v>
      </c>
      <c r="E94" t="str">
        <f t="shared" si="4"/>
        <v>AddPrizeListEx(2,'E515',100)</v>
      </c>
    </row>
    <row r="95" spans="1:5" ht="16.5">
      <c r="A95" s="2">
        <v>2</v>
      </c>
      <c r="B95" s="6" t="s">
        <v>281</v>
      </c>
      <c r="C95">
        <v>100</v>
      </c>
      <c r="D95" s="2" t="e">
        <f>VLOOKUP(B95,装备!B:E,3,FALSE)</f>
        <v>#N/A</v>
      </c>
      <c r="E95" t="str">
        <f t="shared" si="4"/>
        <v>AddPrizeListEx(2,'E901',100)</v>
      </c>
    </row>
    <row r="96" spans="1:5" ht="16.5">
      <c r="A96" s="2">
        <v>2</v>
      </c>
      <c r="B96" s="6" t="s">
        <v>282</v>
      </c>
      <c r="C96">
        <v>90</v>
      </c>
      <c r="D96" s="2" t="e">
        <f>VLOOKUP(B96,装备!B:E,3,FALSE)</f>
        <v>#N/A</v>
      </c>
      <c r="E96" t="str">
        <f t="shared" si="4"/>
        <v>AddPrizeListEx(2,'E902',90)</v>
      </c>
    </row>
    <row r="97" spans="1:5" ht="16.5">
      <c r="A97" s="2">
        <v>2</v>
      </c>
      <c r="B97" s="6" t="s">
        <v>283</v>
      </c>
      <c r="C97">
        <v>50</v>
      </c>
      <c r="D97" s="2" t="e">
        <f>VLOOKUP(B97,装备!B:E,3,FALSE)</f>
        <v>#N/A</v>
      </c>
      <c r="E97" t="str">
        <f t="shared" si="4"/>
        <v>AddPrizeListEx(2,'E903',50)</v>
      </c>
    </row>
    <row r="98" spans="1:5" ht="16.5">
      <c r="A98" s="2">
        <v>2</v>
      </c>
      <c r="B98" s="6" t="s">
        <v>284</v>
      </c>
      <c r="C98">
        <v>20</v>
      </c>
      <c r="D98" s="2" t="e">
        <f>VLOOKUP(B98,装备!B:E,3,FALSE)</f>
        <v>#N/A</v>
      </c>
      <c r="E98" t="str">
        <f t="shared" si="4"/>
        <v>AddPrizeListEx(2,'E904',20)</v>
      </c>
    </row>
    <row r="99" spans="1:5" ht="16.5">
      <c r="A99" s="2">
        <v>2</v>
      </c>
      <c r="B99" s="6" t="s">
        <v>285</v>
      </c>
      <c r="C99">
        <v>15</v>
      </c>
      <c r="D99" s="2" t="e">
        <f>VLOOKUP(B99,装备!B:E,3,FALSE)</f>
        <v>#N/A</v>
      </c>
      <c r="E99" t="str">
        <f t="shared" si="4"/>
        <v>AddPrizeListEx(2,'E905',15)</v>
      </c>
    </row>
    <row r="100" spans="1:5" ht="16.5">
      <c r="A100" s="2">
        <v>2</v>
      </c>
      <c r="B100" s="6" t="s">
        <v>286</v>
      </c>
      <c r="C100">
        <v>10</v>
      </c>
      <c r="D100" s="2" t="e">
        <f>VLOOKUP(B100,装备!B:E,3,FALSE)</f>
        <v>#N/A</v>
      </c>
      <c r="E100" t="str">
        <f t="shared" si="4"/>
        <v>AddPrizeListEx(2,'E906',10)</v>
      </c>
    </row>
    <row r="101" spans="1:5" ht="16.5">
      <c r="A101" s="2">
        <v>2</v>
      </c>
      <c r="B101" s="6" t="s">
        <v>287</v>
      </c>
      <c r="C101">
        <v>9</v>
      </c>
      <c r="D101" s="2" t="e">
        <f>VLOOKUP(B101,装备!B:E,3,FALSE)</f>
        <v>#N/A</v>
      </c>
      <c r="E101" t="str">
        <f t="shared" si="4"/>
        <v>AddPrizeListEx(2,'E907',9)</v>
      </c>
    </row>
    <row r="102" spans="1:5" ht="16.5">
      <c r="A102" s="2">
        <v>2</v>
      </c>
      <c r="B102" s="6" t="s">
        <v>288</v>
      </c>
      <c r="C102">
        <v>8</v>
      </c>
      <c r="D102" s="2" t="e">
        <f>VLOOKUP(B102,装备!B:E,3,FALSE)</f>
        <v>#N/A</v>
      </c>
      <c r="E102" t="str">
        <f t="shared" si="4"/>
        <v>AddPrizeListEx(2,'E908',8)</v>
      </c>
    </row>
    <row r="103" spans="1:5" ht="16.5">
      <c r="A103" s="2">
        <v>2</v>
      </c>
      <c r="B103" s="6" t="s">
        <v>289</v>
      </c>
      <c r="C103">
        <v>7</v>
      </c>
      <c r="D103" s="2" t="e">
        <f>VLOOKUP(B103,装备!B:E,3,FALSE)</f>
        <v>#N/A</v>
      </c>
      <c r="E103" t="str">
        <f t="shared" si="4"/>
        <v>AddPrizeListEx(2,'E909',7)</v>
      </c>
    </row>
    <row r="104" spans="1:5" ht="16.5">
      <c r="A104" s="2">
        <v>2</v>
      </c>
      <c r="B104" s="6" t="s">
        <v>290</v>
      </c>
      <c r="C104">
        <v>6</v>
      </c>
      <c r="D104" s="2" t="e">
        <f>VLOOKUP(B104,装备!B:E,3,FALSE)</f>
        <v>#N/A</v>
      </c>
      <c r="E104" t="str">
        <f t="shared" si="4"/>
        <v>AddPrizeListEx(2,'E910',6)</v>
      </c>
    </row>
    <row r="105" spans="1:5" ht="16.5">
      <c r="A105" s="2">
        <v>2</v>
      </c>
      <c r="B105" s="6" t="s">
        <v>307</v>
      </c>
      <c r="C105">
        <v>5</v>
      </c>
      <c r="D105" s="2" t="e">
        <f>VLOOKUP(B105,装备!B:E,3,FALSE)</f>
        <v>#N/A</v>
      </c>
      <c r="E105" t="str">
        <f t="shared" si="4"/>
        <v>AddPrizeListEx(2,'E911',5)</v>
      </c>
    </row>
    <row r="106" spans="1:5">
      <c r="A106">
        <v>11</v>
      </c>
      <c r="B106" t="s">
        <v>371</v>
      </c>
      <c r="C106">
        <v>400</v>
      </c>
      <c r="D106" s="2" t="e">
        <f>VLOOKUP(B106,装备!B:E,3,FALSE)</f>
        <v>#N/A</v>
      </c>
      <c r="E106" t="str">
        <f t="shared" si="4"/>
        <v>AddPrizeListEx(11,'Z011',400)</v>
      </c>
    </row>
    <row r="107" spans="1:5">
      <c r="A107">
        <v>11</v>
      </c>
      <c r="B107" t="s">
        <v>308</v>
      </c>
      <c r="C107">
        <v>100</v>
      </c>
      <c r="D107" s="2" t="e">
        <f>VLOOKUP(B107,装备!B:E,3,FALSE)</f>
        <v>#N/A</v>
      </c>
      <c r="E107" t="str">
        <f t="shared" si="4"/>
        <v>AddPrizeListEx(11,'Z012',100)</v>
      </c>
    </row>
    <row r="108" spans="1:5">
      <c r="A108">
        <v>11</v>
      </c>
      <c r="B108" t="s">
        <v>372</v>
      </c>
      <c r="C108">
        <v>400</v>
      </c>
      <c r="D108" s="2" t="e">
        <f>VLOOKUP(B108,装备!B:E,3,FALSE)</f>
        <v>#N/A</v>
      </c>
      <c r="E108" t="str">
        <f t="shared" si="4"/>
        <v>AddPrizeListEx(11,'Z021',400)</v>
      </c>
    </row>
    <row r="109" spans="1:5">
      <c r="A109">
        <v>11</v>
      </c>
      <c r="B109" t="s">
        <v>310</v>
      </c>
      <c r="C109">
        <v>100</v>
      </c>
      <c r="D109" s="2" t="e">
        <f>VLOOKUP(B109,装备!B:E,3,FALSE)</f>
        <v>#N/A</v>
      </c>
      <c r="E109" t="str">
        <f t="shared" si="4"/>
        <v>AddPrizeListEx(11,'Z022',100)</v>
      </c>
    </row>
    <row r="110" spans="1:5">
      <c r="A110">
        <v>11</v>
      </c>
      <c r="B110" t="s">
        <v>373</v>
      </c>
      <c r="C110">
        <v>400</v>
      </c>
      <c r="D110" s="2" t="e">
        <f>VLOOKUP(B110,装备!B:E,3,FALSE)</f>
        <v>#N/A</v>
      </c>
      <c r="E110" t="str">
        <f t="shared" si="4"/>
        <v>AddPrizeListEx(11,'Z031',400)</v>
      </c>
    </row>
    <row r="111" spans="1:5">
      <c r="A111">
        <v>11</v>
      </c>
      <c r="B111" t="s">
        <v>312</v>
      </c>
      <c r="C111">
        <v>100</v>
      </c>
      <c r="D111" s="2" t="e">
        <f>VLOOKUP(B111,装备!B:E,3,FALSE)</f>
        <v>#N/A</v>
      </c>
      <c r="E111" t="str">
        <f t="shared" si="4"/>
        <v>AddPrizeListEx(11,'Z032',100)</v>
      </c>
    </row>
    <row r="112" spans="1:5">
      <c r="A112">
        <v>11</v>
      </c>
      <c r="B112" t="s">
        <v>374</v>
      </c>
      <c r="C112">
        <v>400</v>
      </c>
      <c r="D112" s="2" t="e">
        <f>VLOOKUP(B112,装备!B:E,3,FALSE)</f>
        <v>#N/A</v>
      </c>
      <c r="E112" t="str">
        <f t="shared" si="4"/>
        <v>AddPrizeListEx(11,'Z041',400)</v>
      </c>
    </row>
    <row r="113" spans="1:5">
      <c r="A113">
        <v>11</v>
      </c>
      <c r="B113" t="s">
        <v>314</v>
      </c>
      <c r="C113">
        <v>100</v>
      </c>
      <c r="D113" s="2" t="e">
        <f>VLOOKUP(B113,装备!B:E,3,FALSE)</f>
        <v>#N/A</v>
      </c>
      <c r="E113" t="str">
        <f t="shared" si="4"/>
        <v>AddPrizeListEx(11,'Z042',100)</v>
      </c>
    </row>
    <row r="114" spans="1:5">
      <c r="A114">
        <v>11</v>
      </c>
      <c r="B114" t="s">
        <v>375</v>
      </c>
      <c r="C114">
        <v>400</v>
      </c>
      <c r="D114" s="2" t="e">
        <f>VLOOKUP(B114,装备!B:E,3,FALSE)</f>
        <v>#N/A</v>
      </c>
      <c r="E114" t="str">
        <f t="shared" si="4"/>
        <v>AddPrizeListEx(11,'Z051',400)</v>
      </c>
    </row>
    <row r="115" spans="1:5">
      <c r="A115">
        <v>11</v>
      </c>
      <c r="B115" t="s">
        <v>316</v>
      </c>
      <c r="C115">
        <v>100</v>
      </c>
      <c r="D115" s="2" t="e">
        <f>VLOOKUP(B115,装备!B:E,3,FALSE)</f>
        <v>#N/A</v>
      </c>
      <c r="E115" t="str">
        <f t="shared" si="4"/>
        <v>AddPrizeListEx(11,'Z052',100)</v>
      </c>
    </row>
    <row r="116" spans="1:5">
      <c r="A116">
        <v>11</v>
      </c>
      <c r="B116" t="s">
        <v>376</v>
      </c>
      <c r="C116">
        <v>400</v>
      </c>
      <c r="D116" s="2" t="e">
        <f>VLOOKUP(B116,装备!B:E,3,FALSE)</f>
        <v>#N/A</v>
      </c>
      <c r="E116" t="str">
        <f t="shared" si="4"/>
        <v>AddPrizeListEx(11,'Z061',400)</v>
      </c>
    </row>
    <row r="117" spans="1:5">
      <c r="A117">
        <v>11</v>
      </c>
      <c r="B117" t="s">
        <v>318</v>
      </c>
      <c r="C117">
        <v>400</v>
      </c>
      <c r="D117" s="2" t="e">
        <f>VLOOKUP(B117,装备!B:E,3,FALSE)</f>
        <v>#N/A</v>
      </c>
      <c r="E117" t="str">
        <f t="shared" si="4"/>
        <v>AddPrizeListEx(11,'Z062',400)</v>
      </c>
    </row>
    <row r="118" spans="1:5">
      <c r="A118">
        <v>11</v>
      </c>
      <c r="B118" t="s">
        <v>377</v>
      </c>
      <c r="C118">
        <v>100</v>
      </c>
      <c r="D118" s="2" t="e">
        <f>VLOOKUP(B118,装备!B:E,3,FALSE)</f>
        <v>#N/A</v>
      </c>
      <c r="E118" t="str">
        <f t="shared" si="4"/>
        <v>AddPrizeListEx(11,'Z071',100)</v>
      </c>
    </row>
    <row r="119" spans="1:5">
      <c r="A119">
        <v>11</v>
      </c>
      <c r="B119" t="s">
        <v>320</v>
      </c>
      <c r="C119">
        <v>400</v>
      </c>
      <c r="D119" s="2" t="e">
        <f>VLOOKUP(B119,装备!B:E,3,FALSE)</f>
        <v>#N/A</v>
      </c>
      <c r="E119" t="str">
        <f t="shared" si="4"/>
        <v>AddPrizeListEx(11,'Z072',400)</v>
      </c>
    </row>
    <row r="120" spans="1:5">
      <c r="A120">
        <v>11</v>
      </c>
      <c r="B120" t="s">
        <v>378</v>
      </c>
      <c r="C120">
        <v>100</v>
      </c>
      <c r="D120" s="2" t="e">
        <f>VLOOKUP(B120,装备!B:E,3,FALSE)</f>
        <v>#N/A</v>
      </c>
      <c r="E120" t="str">
        <f t="shared" si="4"/>
        <v>AddPrizeListEx(11,'Z081',100)</v>
      </c>
    </row>
    <row r="121" spans="1:5">
      <c r="A121">
        <v>11</v>
      </c>
      <c r="B121" t="s">
        <v>322</v>
      </c>
      <c r="C121">
        <v>400</v>
      </c>
      <c r="D121" s="2" t="e">
        <f>VLOOKUP(B121,装备!B:E,3,FALSE)</f>
        <v>#N/A</v>
      </c>
      <c r="E121" t="str">
        <f t="shared" si="4"/>
        <v>AddPrizeListEx(11,'Z082',400)</v>
      </c>
    </row>
    <row r="122" spans="1:5">
      <c r="A122">
        <v>11</v>
      </c>
      <c r="B122" t="s">
        <v>379</v>
      </c>
      <c r="C122">
        <v>100</v>
      </c>
      <c r="D122" s="2" t="e">
        <f>VLOOKUP(B122,装备!B:E,3,FALSE)</f>
        <v>#N/A</v>
      </c>
      <c r="E122" t="str">
        <f t="shared" si="4"/>
        <v>AddPrizeListEx(11,'Z091',100)</v>
      </c>
    </row>
    <row r="123" spans="1:5">
      <c r="A123">
        <v>11</v>
      </c>
      <c r="B123" t="s">
        <v>324</v>
      </c>
      <c r="C123">
        <v>400</v>
      </c>
      <c r="D123" s="2" t="e">
        <f>VLOOKUP(B123,装备!B:E,3,FALSE)</f>
        <v>#N/A</v>
      </c>
      <c r="E123" t="str">
        <f t="shared" si="4"/>
        <v>AddPrizeListEx(11,'Z092',400)</v>
      </c>
    </row>
    <row r="124" spans="1:5">
      <c r="A124">
        <v>11</v>
      </c>
      <c r="B124" t="s">
        <v>380</v>
      </c>
      <c r="C124">
        <v>100</v>
      </c>
      <c r="D124" s="2" t="e">
        <f>VLOOKUP(B124,装备!B:E,3,FALSE)</f>
        <v>#N/A</v>
      </c>
      <c r="E124" t="str">
        <f t="shared" si="4"/>
        <v>AddPrizeListEx(11,'Z101',100)</v>
      </c>
    </row>
    <row r="125" spans="1:5">
      <c r="A125">
        <v>11</v>
      </c>
      <c r="B125" t="s">
        <v>326</v>
      </c>
      <c r="C125">
        <v>400</v>
      </c>
      <c r="D125" s="2" t="e">
        <f>VLOOKUP(B125,装备!B:E,3,FALSE)</f>
        <v>#N/A</v>
      </c>
      <c r="E125" t="str">
        <f t="shared" si="4"/>
        <v>AddPrizeListEx(11,'Z102',400)</v>
      </c>
    </row>
    <row r="126" spans="1:5">
      <c r="A126">
        <v>11</v>
      </c>
      <c r="B126" t="s">
        <v>381</v>
      </c>
      <c r="C126">
        <v>100</v>
      </c>
      <c r="D126" s="2" t="e">
        <f>VLOOKUP(B126,装备!B:E,3,FALSE)</f>
        <v>#N/A</v>
      </c>
      <c r="E126" t="str">
        <f t="shared" si="4"/>
        <v>AddPrizeListEx(11,'Z111',100)</v>
      </c>
    </row>
    <row r="127" spans="1:5">
      <c r="A127">
        <v>11</v>
      </c>
      <c r="B127" t="s">
        <v>328</v>
      </c>
      <c r="C127">
        <v>400</v>
      </c>
      <c r="D127" s="2" t="e">
        <f>VLOOKUP(B127,装备!B:E,3,FALSE)</f>
        <v>#N/A</v>
      </c>
      <c r="E127" t="str">
        <f t="shared" si="4"/>
        <v>AddPrizeListEx(11,'Z112',400)</v>
      </c>
    </row>
    <row r="128" spans="1:5">
      <c r="A128">
        <v>11</v>
      </c>
      <c r="B128" t="s">
        <v>382</v>
      </c>
      <c r="C128">
        <v>100</v>
      </c>
      <c r="D128" s="2" t="e">
        <f>VLOOKUP(B128,装备!B:E,3,FALSE)</f>
        <v>#N/A</v>
      </c>
      <c r="E128" t="str">
        <f t="shared" si="4"/>
        <v>AddPrizeListEx(11,'Z121',100)</v>
      </c>
    </row>
    <row r="129" spans="1:5">
      <c r="A129">
        <v>11</v>
      </c>
      <c r="B129" t="s">
        <v>330</v>
      </c>
      <c r="C129">
        <v>400</v>
      </c>
      <c r="D129" s="2" t="e">
        <f>VLOOKUP(B129,装备!B:E,3,FALSE)</f>
        <v>#N/A</v>
      </c>
      <c r="E129" t="str">
        <f t="shared" si="4"/>
        <v>AddPrizeListEx(11,'Z122',400)</v>
      </c>
    </row>
    <row r="130" spans="1:5">
      <c r="A130">
        <v>11</v>
      </c>
      <c r="B130" t="s">
        <v>383</v>
      </c>
      <c r="C130">
        <v>100</v>
      </c>
      <c r="D130" s="2" t="e">
        <f>VLOOKUP(B130,装备!B:E,3,FALSE)</f>
        <v>#N/A</v>
      </c>
      <c r="E130" t="str">
        <f t="shared" si="4"/>
        <v>AddPrizeListEx(11,'Z131',100)</v>
      </c>
    </row>
    <row r="131" spans="1:5">
      <c r="A131">
        <v>11</v>
      </c>
      <c r="B131" t="s">
        <v>332</v>
      </c>
      <c r="C131">
        <v>400</v>
      </c>
      <c r="D131" s="2" t="e">
        <f>VLOOKUP(B131,装备!B:E,3,FALSE)</f>
        <v>#N/A</v>
      </c>
      <c r="E131" t="str">
        <f t="shared" si="4"/>
        <v>AddPrizeListEx(11,'Z132',400)</v>
      </c>
    </row>
    <row r="132" spans="1:5">
      <c r="A132">
        <v>11</v>
      </c>
      <c r="B132" t="s">
        <v>384</v>
      </c>
      <c r="C132">
        <v>400</v>
      </c>
      <c r="D132" s="2" t="e">
        <f>VLOOKUP(B132,装备!B:E,3,FALSE)</f>
        <v>#N/A</v>
      </c>
      <c r="E132" t="str">
        <f t="shared" si="4"/>
        <v>AddPrizeListEx(11,'Z141',400)</v>
      </c>
    </row>
    <row r="133" spans="1:5">
      <c r="A133">
        <v>11</v>
      </c>
      <c r="B133" t="s">
        <v>334</v>
      </c>
      <c r="C133">
        <v>100</v>
      </c>
      <c r="D133" s="2" t="e">
        <f>VLOOKUP(B133,装备!B:E,3,FALSE)</f>
        <v>#N/A</v>
      </c>
      <c r="E133" t="str">
        <f t="shared" si="4"/>
        <v>AddPrizeListEx(11,'Z142',100)</v>
      </c>
    </row>
    <row r="134" spans="1:5">
      <c r="A134">
        <v>11</v>
      </c>
      <c r="B134" t="s">
        <v>385</v>
      </c>
      <c r="C134">
        <v>400</v>
      </c>
      <c r="D134" s="2" t="e">
        <f>VLOOKUP(B134,装备!B:E,3,FALSE)</f>
        <v>#N/A</v>
      </c>
      <c r="E134" t="str">
        <f t="shared" si="4"/>
        <v>AddPrizeListEx(11,'Z151',400)</v>
      </c>
    </row>
    <row r="135" spans="1:5">
      <c r="A135">
        <v>11</v>
      </c>
      <c r="B135" t="s">
        <v>336</v>
      </c>
      <c r="C135">
        <v>100</v>
      </c>
      <c r="D135" s="2" t="e">
        <f>VLOOKUP(B135,装备!B:E,3,FALSE)</f>
        <v>#N/A</v>
      </c>
      <c r="E135" t="str">
        <f t="shared" si="4"/>
        <v>AddPrizeListEx(11,'Z152',100)</v>
      </c>
    </row>
    <row r="136" spans="1:5">
      <c r="A136">
        <v>11</v>
      </c>
      <c r="B136" t="s">
        <v>386</v>
      </c>
      <c r="C136">
        <v>400</v>
      </c>
      <c r="D136" s="2" t="e">
        <f>VLOOKUP(B136,装备!B:E,3,FALSE)</f>
        <v>#N/A</v>
      </c>
      <c r="E136" t="str">
        <f t="shared" si="4"/>
        <v>AddPrizeListEx(11,'Z161',400)</v>
      </c>
    </row>
    <row r="137" spans="1:5">
      <c r="A137">
        <v>11</v>
      </c>
      <c r="B137" t="s">
        <v>338</v>
      </c>
      <c r="C137">
        <v>100</v>
      </c>
      <c r="D137" s="2" t="e">
        <f>VLOOKUP(B137,装备!B:E,3,FALSE)</f>
        <v>#N/A</v>
      </c>
      <c r="E137" t="str">
        <f t="shared" si="4"/>
        <v>AddPrizeListEx(11,'Z162',100)</v>
      </c>
    </row>
    <row r="138" spans="1:5">
      <c r="A138">
        <v>11</v>
      </c>
      <c r="B138" t="s">
        <v>387</v>
      </c>
      <c r="C138">
        <v>400</v>
      </c>
      <c r="D138" s="2" t="e">
        <f>VLOOKUP(B138,装备!B:E,3,FALSE)</f>
        <v>#N/A</v>
      </c>
      <c r="E138" t="str">
        <f t="shared" si="4"/>
        <v>AddPrizeListEx(11,'Z171',400)</v>
      </c>
    </row>
    <row r="139" spans="1:5">
      <c r="A139">
        <v>11</v>
      </c>
      <c r="B139" t="s">
        <v>340</v>
      </c>
      <c r="C139">
        <v>100</v>
      </c>
      <c r="D139" s="2" t="e">
        <f>VLOOKUP(B139,装备!B:E,3,FALSE)</f>
        <v>#N/A</v>
      </c>
      <c r="E139" t="str">
        <f t="shared" si="4"/>
        <v>AddPrizeListEx(11,'Z172',100)</v>
      </c>
    </row>
    <row r="140" spans="1:5">
      <c r="A140">
        <v>11</v>
      </c>
      <c r="B140" t="s">
        <v>388</v>
      </c>
      <c r="C140">
        <v>400</v>
      </c>
      <c r="D140" s="2" t="e">
        <f>VLOOKUP(B140,装备!B:E,3,FALSE)</f>
        <v>#N/A</v>
      </c>
      <c r="E140" t="str">
        <f t="shared" si="4"/>
        <v>AddPrizeListEx(11,'Z181',400)</v>
      </c>
    </row>
    <row r="141" spans="1:5">
      <c r="A141">
        <v>11</v>
      </c>
      <c r="B141" t="s">
        <v>342</v>
      </c>
      <c r="C141">
        <v>100</v>
      </c>
      <c r="D141" s="2" t="e">
        <f>VLOOKUP(B141,装备!B:E,3,FALSE)</f>
        <v>#N/A</v>
      </c>
      <c r="E141" t="str">
        <f t="shared" si="4"/>
        <v>AddPrizeListEx(11,'Z182',100)</v>
      </c>
    </row>
    <row r="142" spans="1:5">
      <c r="A142">
        <v>11</v>
      </c>
      <c r="B142" t="s">
        <v>389</v>
      </c>
      <c r="C142">
        <v>400</v>
      </c>
      <c r="D142" s="2" t="e">
        <f>VLOOKUP(B142,装备!B:E,3,FALSE)</f>
        <v>#N/A</v>
      </c>
      <c r="E142" t="str">
        <f t="shared" si="4"/>
        <v>AddPrizeListEx(11,'Z191',400)</v>
      </c>
    </row>
    <row r="143" spans="1:5">
      <c r="A143">
        <v>11</v>
      </c>
      <c r="B143" t="s">
        <v>344</v>
      </c>
      <c r="C143">
        <v>100</v>
      </c>
      <c r="D143" s="2" t="e">
        <f>VLOOKUP(B143,装备!B:E,3,FALSE)</f>
        <v>#N/A</v>
      </c>
      <c r="E143" t="str">
        <f t="shared" si="4"/>
        <v>AddPrizeListEx(11,'Z192',100)</v>
      </c>
    </row>
    <row r="144" spans="1:5">
      <c r="A144">
        <v>11</v>
      </c>
      <c r="B144" t="s">
        <v>390</v>
      </c>
      <c r="C144">
        <v>400</v>
      </c>
      <c r="D144" s="2" t="e">
        <f>VLOOKUP(B144,装备!B:E,3,FALSE)</f>
        <v>#N/A</v>
      </c>
      <c r="E144" t="str">
        <f t="shared" si="4"/>
        <v>AddPrizeListEx(11,'Z201',400)</v>
      </c>
    </row>
    <row r="145" spans="1:5">
      <c r="A145">
        <v>11</v>
      </c>
      <c r="B145" t="s">
        <v>346</v>
      </c>
      <c r="C145">
        <v>100</v>
      </c>
      <c r="D145" s="2" t="e">
        <f>VLOOKUP(B145,装备!B:E,3,FALSE)</f>
        <v>#N/A</v>
      </c>
      <c r="E145" t="str">
        <f t="shared" si="4"/>
        <v>AddPrizeListEx(11,'Z202',100)</v>
      </c>
    </row>
    <row r="146" spans="1:5">
      <c r="A146">
        <v>11</v>
      </c>
      <c r="B146" t="s">
        <v>391</v>
      </c>
      <c r="C146">
        <v>400</v>
      </c>
      <c r="D146" s="2" t="e">
        <f>VLOOKUP(B146,装备!B:E,3,FALSE)</f>
        <v>#N/A</v>
      </c>
      <c r="E146" t="str">
        <f t="shared" si="4"/>
        <v>AddPrizeListEx(11,'Z211',400)</v>
      </c>
    </row>
    <row r="147" spans="1:5">
      <c r="A147">
        <v>11</v>
      </c>
      <c r="B147" t="s">
        <v>348</v>
      </c>
      <c r="C147">
        <v>400</v>
      </c>
      <c r="D147" s="2" t="e">
        <f>VLOOKUP(B147,装备!B:E,3,FALSE)</f>
        <v>#N/A</v>
      </c>
      <c r="E147" t="str">
        <f t="shared" si="4"/>
        <v>AddPrizeListEx(11,'Z212',400)</v>
      </c>
    </row>
    <row r="148" spans="1:5">
      <c r="A148">
        <v>11</v>
      </c>
      <c r="B148" t="s">
        <v>392</v>
      </c>
      <c r="C148">
        <v>100</v>
      </c>
      <c r="D148" s="2" t="e">
        <f>VLOOKUP(B148,装备!B:E,3,FALSE)</f>
        <v>#N/A</v>
      </c>
      <c r="E148" t="str">
        <f t="shared" si="4"/>
        <v>AddPrizeListEx(11,'Z221',100)</v>
      </c>
    </row>
    <row r="149" spans="1:5">
      <c r="A149">
        <v>11</v>
      </c>
      <c r="B149" t="s">
        <v>350</v>
      </c>
      <c r="C149">
        <v>400</v>
      </c>
      <c r="D149" s="2" t="e">
        <f>VLOOKUP(B149,装备!B:E,3,FALSE)</f>
        <v>#N/A</v>
      </c>
      <c r="E149" t="str">
        <f t="shared" si="4"/>
        <v>AddPrizeListEx(11,'Z222',400)</v>
      </c>
    </row>
    <row r="150" spans="1:5">
      <c r="A150">
        <v>11</v>
      </c>
      <c r="B150" t="s">
        <v>393</v>
      </c>
      <c r="C150">
        <v>100</v>
      </c>
      <c r="D150" s="2" t="e">
        <f>VLOOKUP(B150,装备!B:E,3,FALSE)</f>
        <v>#N/A</v>
      </c>
      <c r="E150" t="str">
        <f t="shared" si="4"/>
        <v>AddPrizeListEx(11,'Z231',100)</v>
      </c>
    </row>
    <row r="151" spans="1:5">
      <c r="A151">
        <v>11</v>
      </c>
      <c r="B151" t="s">
        <v>352</v>
      </c>
      <c r="C151">
        <v>400</v>
      </c>
      <c r="D151" s="2" t="e">
        <f>VLOOKUP(B151,装备!B:E,3,FALSE)</f>
        <v>#N/A</v>
      </c>
      <c r="E151" t="str">
        <f t="shared" si="4"/>
        <v>AddPrizeListEx(11,'Z232',400)</v>
      </c>
    </row>
    <row r="152" spans="1:5">
      <c r="A152">
        <v>11</v>
      </c>
      <c r="B152" t="s">
        <v>394</v>
      </c>
      <c r="C152">
        <v>100</v>
      </c>
      <c r="D152" s="2" t="e">
        <f>VLOOKUP(B152,装备!B:E,3,FALSE)</f>
        <v>#N/A</v>
      </c>
      <c r="E152" t="str">
        <f t="shared" si="4"/>
        <v>AddPrizeListEx(11,'Z241',100)</v>
      </c>
    </row>
    <row r="153" spans="1:5">
      <c r="A153">
        <v>11</v>
      </c>
      <c r="B153" t="s">
        <v>354</v>
      </c>
      <c r="C153">
        <v>400</v>
      </c>
      <c r="D153" s="2" t="e">
        <f>VLOOKUP(B153,装备!B:E,3,FALSE)</f>
        <v>#N/A</v>
      </c>
      <c r="E153" t="str">
        <f t="shared" si="4"/>
        <v>AddPrizeListEx(11,'Z242',400)</v>
      </c>
    </row>
    <row r="154" spans="1:5">
      <c r="A154">
        <v>11</v>
      </c>
      <c r="B154" t="s">
        <v>395</v>
      </c>
      <c r="C154">
        <v>100</v>
      </c>
      <c r="D154" s="2" t="e">
        <f>VLOOKUP(B154,装备!B:E,3,FALSE)</f>
        <v>#N/A</v>
      </c>
      <c r="E154" t="str">
        <f t="shared" si="4"/>
        <v>AddPrizeListEx(11,'Z251',100)</v>
      </c>
    </row>
    <row r="155" spans="1:5">
      <c r="A155">
        <v>11</v>
      </c>
      <c r="B155" t="s">
        <v>396</v>
      </c>
      <c r="C155">
        <v>400</v>
      </c>
      <c r="D155" s="2" t="e">
        <f>VLOOKUP(B155,装备!B:E,3,FALSE)</f>
        <v>#N/A</v>
      </c>
      <c r="E155" t="str">
        <f t="shared" ref="E155:E218" si="5">IF(B155&lt;&gt;"","AddPrizeListEx("&amp;A155&amp;",'"&amp;B155&amp;"',"&amp;C155&amp;")","")</f>
        <v>AddPrizeListEx(11,'Z261',400)</v>
      </c>
    </row>
    <row r="156" spans="1:5">
      <c r="A156">
        <v>11</v>
      </c>
      <c r="B156" t="s">
        <v>397</v>
      </c>
      <c r="C156">
        <v>100</v>
      </c>
      <c r="D156" s="2" t="e">
        <f>VLOOKUP(B156,装备!B:E,3,FALSE)</f>
        <v>#N/A</v>
      </c>
      <c r="E156" t="str">
        <f t="shared" si="5"/>
        <v>AddPrizeListEx(11,'Z262',100)</v>
      </c>
    </row>
    <row r="157" spans="1:5">
      <c r="A157">
        <v>11</v>
      </c>
      <c r="B157" t="s">
        <v>398</v>
      </c>
      <c r="C157">
        <v>400</v>
      </c>
      <c r="D157" s="2" t="e">
        <f>VLOOKUP(B157,装备!B:E,3,FALSE)</f>
        <v>#N/A</v>
      </c>
      <c r="E157" t="str">
        <f t="shared" si="5"/>
        <v>AddPrizeListEx(11,'Z271',400)</v>
      </c>
    </row>
    <row r="158" spans="1:5">
      <c r="A158">
        <v>11</v>
      </c>
      <c r="B158" t="s">
        <v>358</v>
      </c>
      <c r="C158">
        <v>100</v>
      </c>
      <c r="D158" s="2" t="e">
        <f>VLOOKUP(B158,装备!B:E,3,FALSE)</f>
        <v>#N/A</v>
      </c>
      <c r="E158" t="str">
        <f t="shared" si="5"/>
        <v>AddPrizeListEx(11,'Z272',100)</v>
      </c>
    </row>
    <row r="159" spans="1:5">
      <c r="A159">
        <v>11</v>
      </c>
      <c r="B159" t="s">
        <v>399</v>
      </c>
      <c r="C159">
        <v>400</v>
      </c>
      <c r="D159" s="2" t="e">
        <f>VLOOKUP(B159,装备!B:E,3,FALSE)</f>
        <v>#N/A</v>
      </c>
      <c r="E159" t="str">
        <f t="shared" si="5"/>
        <v>AddPrizeListEx(11,'Z281',400)</v>
      </c>
    </row>
    <row r="160" spans="1:5">
      <c r="A160">
        <v>11</v>
      </c>
      <c r="B160" t="s">
        <v>360</v>
      </c>
      <c r="C160">
        <v>100</v>
      </c>
      <c r="D160" s="2" t="e">
        <f>VLOOKUP(B160,装备!B:E,3,FALSE)</f>
        <v>#N/A</v>
      </c>
      <c r="E160" t="str">
        <f t="shared" si="5"/>
        <v>AddPrizeListEx(11,'Z282',100)</v>
      </c>
    </row>
    <row r="161" spans="1:5">
      <c r="A161">
        <v>11</v>
      </c>
      <c r="B161" t="s">
        <v>400</v>
      </c>
      <c r="C161">
        <v>400</v>
      </c>
      <c r="D161" s="2" t="e">
        <f>VLOOKUP(B161,装备!B:E,3,FALSE)</f>
        <v>#N/A</v>
      </c>
      <c r="E161" t="str">
        <f t="shared" si="5"/>
        <v>AddPrizeListEx(11,'Z291',400)</v>
      </c>
    </row>
    <row r="162" spans="1:5">
      <c r="A162">
        <v>11</v>
      </c>
      <c r="B162" t="s">
        <v>362</v>
      </c>
      <c r="C162">
        <v>400</v>
      </c>
      <c r="D162" s="2" t="e">
        <f>VLOOKUP(B162,装备!B:E,3,FALSE)</f>
        <v>#N/A</v>
      </c>
      <c r="E162" t="str">
        <f t="shared" si="5"/>
        <v>AddPrizeListEx(11,'Z292',400)</v>
      </c>
    </row>
    <row r="163" spans="1:5">
      <c r="A163">
        <v>11</v>
      </c>
      <c r="B163" t="s">
        <v>401</v>
      </c>
      <c r="C163">
        <v>100</v>
      </c>
      <c r="D163" s="2" t="e">
        <f>VLOOKUP(B163,装备!B:E,3,FALSE)</f>
        <v>#N/A</v>
      </c>
      <c r="E163" t="str">
        <f t="shared" si="5"/>
        <v>AddPrizeListEx(11,'Z301',100)</v>
      </c>
    </row>
    <row r="164" spans="1:5">
      <c r="A164">
        <v>11</v>
      </c>
      <c r="B164" t="s">
        <v>364</v>
      </c>
      <c r="C164">
        <v>400</v>
      </c>
      <c r="D164" s="2" t="e">
        <f>VLOOKUP(B164,装备!B:E,3,FALSE)</f>
        <v>#N/A</v>
      </c>
      <c r="E164" t="str">
        <f t="shared" si="5"/>
        <v>AddPrizeListEx(11,'Z302',400)</v>
      </c>
    </row>
    <row r="165" spans="1:5">
      <c r="A165">
        <v>11</v>
      </c>
      <c r="B165" t="s">
        <v>234</v>
      </c>
      <c r="C165">
        <v>1000</v>
      </c>
      <c r="D165" s="2" t="e">
        <f>VLOOKUP(B165,装备!B:E,3,FALSE)</f>
        <v>#N/A</v>
      </c>
      <c r="E165" t="str">
        <f t="shared" si="5"/>
        <v>AddPrizeListEx(11,'I102',1000)</v>
      </c>
    </row>
    <row r="166" spans="1:5">
      <c r="A166">
        <v>11</v>
      </c>
      <c r="B166" t="s">
        <v>244</v>
      </c>
      <c r="C166">
        <v>1000</v>
      </c>
      <c r="D166" s="2" t="e">
        <f>VLOOKUP(B166,装备!B:E,3,FALSE)</f>
        <v>#N/A</v>
      </c>
      <c r="E166" t="str">
        <f t="shared" si="5"/>
        <v>AddPrizeListEx(11,'I112',1000)</v>
      </c>
    </row>
    <row r="167" spans="1:5">
      <c r="A167">
        <v>12</v>
      </c>
      <c r="B167" t="s">
        <v>371</v>
      </c>
      <c r="C167">
        <v>400</v>
      </c>
      <c r="D167" s="2" t="e">
        <f>VLOOKUP(B167,装备!B:E,3,FALSE)</f>
        <v>#N/A</v>
      </c>
      <c r="E167" t="str">
        <f t="shared" si="5"/>
        <v>AddPrizeListEx(12,'Z011',400)</v>
      </c>
    </row>
    <row r="168" spans="1:5">
      <c r="A168">
        <v>12</v>
      </c>
      <c r="B168" t="s">
        <v>308</v>
      </c>
      <c r="C168">
        <v>100</v>
      </c>
      <c r="D168" s="2" t="e">
        <f>VLOOKUP(B168,装备!B:E,3,FALSE)</f>
        <v>#N/A</v>
      </c>
      <c r="E168" t="str">
        <f t="shared" si="5"/>
        <v>AddPrizeListEx(12,'Z012',100)</v>
      </c>
    </row>
    <row r="169" spans="1:5">
      <c r="A169">
        <v>12</v>
      </c>
      <c r="B169" t="s">
        <v>372</v>
      </c>
      <c r="C169">
        <v>400</v>
      </c>
      <c r="D169" s="2" t="e">
        <f>VLOOKUP(B169,装备!B:E,3,FALSE)</f>
        <v>#N/A</v>
      </c>
      <c r="E169" t="str">
        <f t="shared" si="5"/>
        <v>AddPrizeListEx(12,'Z021',400)</v>
      </c>
    </row>
    <row r="170" spans="1:5">
      <c r="A170">
        <v>12</v>
      </c>
      <c r="B170" t="s">
        <v>310</v>
      </c>
      <c r="C170">
        <v>100</v>
      </c>
      <c r="D170" s="2" t="e">
        <f>VLOOKUP(B170,装备!B:E,3,FALSE)</f>
        <v>#N/A</v>
      </c>
      <c r="E170" t="str">
        <f t="shared" si="5"/>
        <v>AddPrizeListEx(12,'Z022',100)</v>
      </c>
    </row>
    <row r="171" spans="1:5">
      <c r="A171">
        <v>12</v>
      </c>
      <c r="B171" t="s">
        <v>373</v>
      </c>
      <c r="C171">
        <v>400</v>
      </c>
      <c r="D171" s="2" t="e">
        <f>VLOOKUP(B171,装备!B:E,3,FALSE)</f>
        <v>#N/A</v>
      </c>
      <c r="E171" t="str">
        <f t="shared" si="5"/>
        <v>AddPrizeListEx(12,'Z031',400)</v>
      </c>
    </row>
    <row r="172" spans="1:5">
      <c r="A172">
        <v>12</v>
      </c>
      <c r="B172" t="s">
        <v>312</v>
      </c>
      <c r="C172">
        <v>100</v>
      </c>
      <c r="D172" s="2" t="e">
        <f>VLOOKUP(B172,装备!B:E,3,FALSE)</f>
        <v>#N/A</v>
      </c>
      <c r="E172" t="str">
        <f t="shared" si="5"/>
        <v>AddPrizeListEx(12,'Z032',100)</v>
      </c>
    </row>
    <row r="173" spans="1:5">
      <c r="A173">
        <v>12</v>
      </c>
      <c r="B173" t="s">
        <v>374</v>
      </c>
      <c r="C173">
        <v>400</v>
      </c>
      <c r="D173" s="2" t="e">
        <f>VLOOKUP(B173,装备!B:E,3,FALSE)</f>
        <v>#N/A</v>
      </c>
      <c r="E173" t="str">
        <f t="shared" si="5"/>
        <v>AddPrizeListEx(12,'Z041',400)</v>
      </c>
    </row>
    <row r="174" spans="1:5">
      <c r="A174">
        <v>12</v>
      </c>
      <c r="B174" t="s">
        <v>314</v>
      </c>
      <c r="C174">
        <v>100</v>
      </c>
      <c r="D174" s="2" t="e">
        <f>VLOOKUP(B174,装备!B:E,3,FALSE)</f>
        <v>#N/A</v>
      </c>
      <c r="E174" t="str">
        <f t="shared" si="5"/>
        <v>AddPrizeListEx(12,'Z042',100)</v>
      </c>
    </row>
    <row r="175" spans="1:5">
      <c r="A175">
        <v>12</v>
      </c>
      <c r="B175" t="s">
        <v>375</v>
      </c>
      <c r="C175">
        <v>400</v>
      </c>
      <c r="D175" s="2" t="e">
        <f>VLOOKUP(B175,装备!B:E,3,FALSE)</f>
        <v>#N/A</v>
      </c>
      <c r="E175" t="str">
        <f t="shared" si="5"/>
        <v>AddPrizeListEx(12,'Z051',400)</v>
      </c>
    </row>
    <row r="176" spans="1:5">
      <c r="A176">
        <v>12</v>
      </c>
      <c r="B176" t="s">
        <v>316</v>
      </c>
      <c r="C176">
        <v>100</v>
      </c>
      <c r="D176" s="2" t="e">
        <f>VLOOKUP(B176,装备!B:E,3,FALSE)</f>
        <v>#N/A</v>
      </c>
      <c r="E176" t="str">
        <f t="shared" si="5"/>
        <v>AddPrizeListEx(12,'Z052',100)</v>
      </c>
    </row>
    <row r="177" spans="1:5">
      <c r="A177">
        <v>12</v>
      </c>
      <c r="B177" t="s">
        <v>376</v>
      </c>
      <c r="C177">
        <v>400</v>
      </c>
      <c r="D177" s="2" t="e">
        <f>VLOOKUP(B177,装备!B:E,3,FALSE)</f>
        <v>#N/A</v>
      </c>
      <c r="E177" t="str">
        <f t="shared" si="5"/>
        <v>AddPrizeListEx(12,'Z061',400)</v>
      </c>
    </row>
    <row r="178" spans="1:5">
      <c r="A178">
        <v>12</v>
      </c>
      <c r="B178" t="s">
        <v>318</v>
      </c>
      <c r="C178">
        <v>400</v>
      </c>
      <c r="D178" s="2" t="e">
        <f>VLOOKUP(B178,装备!B:E,3,FALSE)</f>
        <v>#N/A</v>
      </c>
      <c r="E178" t="str">
        <f t="shared" si="5"/>
        <v>AddPrizeListEx(12,'Z062',400)</v>
      </c>
    </row>
    <row r="179" spans="1:5">
      <c r="A179">
        <v>12</v>
      </c>
      <c r="B179" t="s">
        <v>377</v>
      </c>
      <c r="C179">
        <v>100</v>
      </c>
      <c r="D179" s="2" t="e">
        <f>VLOOKUP(B179,装备!B:E,3,FALSE)</f>
        <v>#N/A</v>
      </c>
      <c r="E179" t="str">
        <f t="shared" si="5"/>
        <v>AddPrizeListEx(12,'Z071',100)</v>
      </c>
    </row>
    <row r="180" spans="1:5">
      <c r="A180">
        <v>12</v>
      </c>
      <c r="B180" t="s">
        <v>320</v>
      </c>
      <c r="C180">
        <v>400</v>
      </c>
      <c r="D180" s="2" t="e">
        <f>VLOOKUP(B180,装备!B:E,3,FALSE)</f>
        <v>#N/A</v>
      </c>
      <c r="E180" t="str">
        <f t="shared" si="5"/>
        <v>AddPrizeListEx(12,'Z072',400)</v>
      </c>
    </row>
    <row r="181" spans="1:5">
      <c r="A181">
        <v>12</v>
      </c>
      <c r="B181" t="s">
        <v>378</v>
      </c>
      <c r="C181">
        <v>100</v>
      </c>
      <c r="D181" s="2" t="e">
        <f>VLOOKUP(B181,装备!B:E,3,FALSE)</f>
        <v>#N/A</v>
      </c>
      <c r="E181" t="str">
        <f t="shared" si="5"/>
        <v>AddPrizeListEx(12,'Z081',100)</v>
      </c>
    </row>
    <row r="182" spans="1:5">
      <c r="A182">
        <v>12</v>
      </c>
      <c r="B182" t="s">
        <v>322</v>
      </c>
      <c r="C182">
        <v>400</v>
      </c>
      <c r="D182" s="2" t="e">
        <f>VLOOKUP(B182,装备!B:E,3,FALSE)</f>
        <v>#N/A</v>
      </c>
      <c r="E182" t="str">
        <f t="shared" si="5"/>
        <v>AddPrizeListEx(12,'Z082',400)</v>
      </c>
    </row>
    <row r="183" spans="1:5">
      <c r="A183">
        <v>12</v>
      </c>
      <c r="B183" t="s">
        <v>379</v>
      </c>
      <c r="C183">
        <v>100</v>
      </c>
      <c r="D183" s="2" t="e">
        <f>VLOOKUP(B183,装备!B:E,3,FALSE)</f>
        <v>#N/A</v>
      </c>
      <c r="E183" t="str">
        <f t="shared" si="5"/>
        <v>AddPrizeListEx(12,'Z091',100)</v>
      </c>
    </row>
    <row r="184" spans="1:5">
      <c r="A184">
        <v>12</v>
      </c>
      <c r="B184" t="s">
        <v>324</v>
      </c>
      <c r="C184">
        <v>400</v>
      </c>
      <c r="D184" s="2" t="e">
        <f>VLOOKUP(B184,装备!B:E,3,FALSE)</f>
        <v>#N/A</v>
      </c>
      <c r="E184" t="str">
        <f t="shared" si="5"/>
        <v>AddPrizeListEx(12,'Z092',400)</v>
      </c>
    </row>
    <row r="185" spans="1:5">
      <c r="A185">
        <v>12</v>
      </c>
      <c r="B185" t="s">
        <v>380</v>
      </c>
      <c r="C185">
        <v>100</v>
      </c>
      <c r="D185" s="2" t="e">
        <f>VLOOKUP(B185,装备!B:E,3,FALSE)</f>
        <v>#N/A</v>
      </c>
      <c r="E185" t="str">
        <f t="shared" si="5"/>
        <v>AddPrizeListEx(12,'Z101',100)</v>
      </c>
    </row>
    <row r="186" spans="1:5">
      <c r="A186">
        <v>12</v>
      </c>
      <c r="B186" t="s">
        <v>326</v>
      </c>
      <c r="C186">
        <v>400</v>
      </c>
      <c r="D186" s="2" t="e">
        <f>VLOOKUP(B186,装备!B:E,3,FALSE)</f>
        <v>#N/A</v>
      </c>
      <c r="E186" t="str">
        <f t="shared" si="5"/>
        <v>AddPrizeListEx(12,'Z102',400)</v>
      </c>
    </row>
    <row r="187" spans="1:5">
      <c r="A187">
        <v>12</v>
      </c>
      <c r="B187" t="s">
        <v>381</v>
      </c>
      <c r="C187">
        <v>100</v>
      </c>
      <c r="D187" s="2" t="e">
        <f>VLOOKUP(B187,装备!B:E,3,FALSE)</f>
        <v>#N/A</v>
      </c>
      <c r="E187" t="str">
        <f t="shared" si="5"/>
        <v>AddPrizeListEx(12,'Z111',100)</v>
      </c>
    </row>
    <row r="188" spans="1:5">
      <c r="A188">
        <v>12</v>
      </c>
      <c r="B188" t="s">
        <v>328</v>
      </c>
      <c r="C188">
        <v>400</v>
      </c>
      <c r="D188" s="2" t="e">
        <f>VLOOKUP(B188,装备!B:E,3,FALSE)</f>
        <v>#N/A</v>
      </c>
      <c r="E188" t="str">
        <f t="shared" si="5"/>
        <v>AddPrizeListEx(12,'Z112',400)</v>
      </c>
    </row>
    <row r="189" spans="1:5">
      <c r="A189">
        <v>12</v>
      </c>
      <c r="B189" t="s">
        <v>382</v>
      </c>
      <c r="C189">
        <v>100</v>
      </c>
      <c r="D189" s="2" t="e">
        <f>VLOOKUP(B189,装备!B:E,3,FALSE)</f>
        <v>#N/A</v>
      </c>
      <c r="E189" t="str">
        <f t="shared" si="5"/>
        <v>AddPrizeListEx(12,'Z121',100)</v>
      </c>
    </row>
    <row r="190" spans="1:5">
      <c r="A190">
        <v>12</v>
      </c>
      <c r="B190" t="s">
        <v>330</v>
      </c>
      <c r="C190">
        <v>400</v>
      </c>
      <c r="D190" s="2" t="e">
        <f>VLOOKUP(B190,装备!B:E,3,FALSE)</f>
        <v>#N/A</v>
      </c>
      <c r="E190" t="str">
        <f t="shared" si="5"/>
        <v>AddPrizeListEx(12,'Z122',400)</v>
      </c>
    </row>
    <row r="191" spans="1:5">
      <c r="A191">
        <v>12</v>
      </c>
      <c r="B191" t="s">
        <v>383</v>
      </c>
      <c r="C191">
        <v>100</v>
      </c>
      <c r="D191" s="2" t="e">
        <f>VLOOKUP(B191,装备!B:E,3,FALSE)</f>
        <v>#N/A</v>
      </c>
      <c r="E191" t="str">
        <f t="shared" si="5"/>
        <v>AddPrizeListEx(12,'Z131',100)</v>
      </c>
    </row>
    <row r="192" spans="1:5">
      <c r="A192">
        <v>12</v>
      </c>
      <c r="B192" t="s">
        <v>332</v>
      </c>
      <c r="C192">
        <v>400</v>
      </c>
      <c r="D192" s="2" t="e">
        <f>VLOOKUP(B192,装备!B:E,3,FALSE)</f>
        <v>#N/A</v>
      </c>
      <c r="E192" t="str">
        <f t="shared" si="5"/>
        <v>AddPrizeListEx(12,'Z132',400)</v>
      </c>
    </row>
    <row r="193" spans="1:5">
      <c r="A193">
        <v>12</v>
      </c>
      <c r="B193" t="s">
        <v>384</v>
      </c>
      <c r="C193">
        <v>400</v>
      </c>
      <c r="D193" s="2" t="e">
        <f>VLOOKUP(B193,装备!B:E,3,FALSE)</f>
        <v>#N/A</v>
      </c>
      <c r="E193" t="str">
        <f t="shared" si="5"/>
        <v>AddPrizeListEx(12,'Z141',400)</v>
      </c>
    </row>
    <row r="194" spans="1:5">
      <c r="A194">
        <v>12</v>
      </c>
      <c r="B194" t="s">
        <v>334</v>
      </c>
      <c r="C194">
        <v>100</v>
      </c>
      <c r="D194" s="2" t="e">
        <f>VLOOKUP(B194,装备!B:E,3,FALSE)</f>
        <v>#N/A</v>
      </c>
      <c r="E194" t="str">
        <f t="shared" si="5"/>
        <v>AddPrizeListEx(12,'Z142',100)</v>
      </c>
    </row>
    <row r="195" spans="1:5">
      <c r="A195">
        <v>12</v>
      </c>
      <c r="B195" t="s">
        <v>385</v>
      </c>
      <c r="C195">
        <v>400</v>
      </c>
      <c r="D195" s="2" t="e">
        <f>VLOOKUP(B195,装备!B:E,3,FALSE)</f>
        <v>#N/A</v>
      </c>
      <c r="E195" t="str">
        <f t="shared" si="5"/>
        <v>AddPrizeListEx(12,'Z151',400)</v>
      </c>
    </row>
    <row r="196" spans="1:5">
      <c r="A196">
        <v>12</v>
      </c>
      <c r="B196" t="s">
        <v>336</v>
      </c>
      <c r="C196">
        <v>100</v>
      </c>
      <c r="D196" s="2" t="e">
        <f>VLOOKUP(B196,装备!B:E,3,FALSE)</f>
        <v>#N/A</v>
      </c>
      <c r="E196" t="str">
        <f t="shared" si="5"/>
        <v>AddPrizeListEx(12,'Z152',100)</v>
      </c>
    </row>
    <row r="197" spans="1:5">
      <c r="A197">
        <v>12</v>
      </c>
      <c r="B197" t="s">
        <v>386</v>
      </c>
      <c r="C197">
        <v>400</v>
      </c>
      <c r="D197" s="2" t="e">
        <f>VLOOKUP(B197,装备!B:E,3,FALSE)</f>
        <v>#N/A</v>
      </c>
      <c r="E197" t="str">
        <f t="shared" si="5"/>
        <v>AddPrizeListEx(12,'Z161',400)</v>
      </c>
    </row>
    <row r="198" spans="1:5">
      <c r="A198">
        <v>12</v>
      </c>
      <c r="B198" t="s">
        <v>338</v>
      </c>
      <c r="C198">
        <v>100</v>
      </c>
      <c r="D198" s="2" t="e">
        <f>VLOOKUP(B198,装备!B:E,3,FALSE)</f>
        <v>#N/A</v>
      </c>
      <c r="E198" t="str">
        <f t="shared" si="5"/>
        <v>AddPrizeListEx(12,'Z162',100)</v>
      </c>
    </row>
    <row r="199" spans="1:5">
      <c r="A199">
        <v>12</v>
      </c>
      <c r="B199" t="s">
        <v>387</v>
      </c>
      <c r="C199">
        <v>400</v>
      </c>
      <c r="D199" s="2" t="e">
        <f>VLOOKUP(B199,装备!B:E,3,FALSE)</f>
        <v>#N/A</v>
      </c>
      <c r="E199" t="str">
        <f t="shared" si="5"/>
        <v>AddPrizeListEx(12,'Z171',400)</v>
      </c>
    </row>
    <row r="200" spans="1:5">
      <c r="A200">
        <v>12</v>
      </c>
      <c r="B200" t="s">
        <v>340</v>
      </c>
      <c r="C200">
        <v>100</v>
      </c>
      <c r="D200" s="2" t="e">
        <f>VLOOKUP(B200,装备!B:E,3,FALSE)</f>
        <v>#N/A</v>
      </c>
      <c r="E200" t="str">
        <f t="shared" si="5"/>
        <v>AddPrizeListEx(12,'Z172',100)</v>
      </c>
    </row>
    <row r="201" spans="1:5">
      <c r="A201">
        <v>12</v>
      </c>
      <c r="B201" t="s">
        <v>388</v>
      </c>
      <c r="C201">
        <v>400</v>
      </c>
      <c r="D201" s="2" t="e">
        <f>VLOOKUP(B201,装备!B:E,3,FALSE)</f>
        <v>#N/A</v>
      </c>
      <c r="E201" t="str">
        <f t="shared" si="5"/>
        <v>AddPrizeListEx(12,'Z181',400)</v>
      </c>
    </row>
    <row r="202" spans="1:5">
      <c r="A202">
        <v>12</v>
      </c>
      <c r="B202" t="s">
        <v>342</v>
      </c>
      <c r="C202">
        <v>100</v>
      </c>
      <c r="D202" s="2" t="e">
        <f>VLOOKUP(B202,装备!B:E,3,FALSE)</f>
        <v>#N/A</v>
      </c>
      <c r="E202" t="str">
        <f t="shared" si="5"/>
        <v>AddPrizeListEx(12,'Z182',100)</v>
      </c>
    </row>
    <row r="203" spans="1:5">
      <c r="A203">
        <v>12</v>
      </c>
      <c r="B203" t="s">
        <v>389</v>
      </c>
      <c r="C203">
        <v>400</v>
      </c>
      <c r="D203" s="2" t="e">
        <f>VLOOKUP(B203,装备!B:E,3,FALSE)</f>
        <v>#N/A</v>
      </c>
      <c r="E203" t="str">
        <f t="shared" si="5"/>
        <v>AddPrizeListEx(12,'Z191',400)</v>
      </c>
    </row>
    <row r="204" spans="1:5">
      <c r="A204">
        <v>12</v>
      </c>
      <c r="B204" t="s">
        <v>344</v>
      </c>
      <c r="C204">
        <v>100</v>
      </c>
      <c r="D204" s="2" t="e">
        <f>VLOOKUP(B204,装备!B:E,3,FALSE)</f>
        <v>#N/A</v>
      </c>
      <c r="E204" t="str">
        <f t="shared" si="5"/>
        <v>AddPrizeListEx(12,'Z192',100)</v>
      </c>
    </row>
    <row r="205" spans="1:5">
      <c r="A205">
        <v>12</v>
      </c>
      <c r="B205" t="s">
        <v>390</v>
      </c>
      <c r="C205">
        <v>400</v>
      </c>
      <c r="D205" s="2" t="e">
        <f>VLOOKUP(B205,装备!B:E,3,FALSE)</f>
        <v>#N/A</v>
      </c>
      <c r="E205" t="str">
        <f t="shared" si="5"/>
        <v>AddPrizeListEx(12,'Z201',400)</v>
      </c>
    </row>
    <row r="206" spans="1:5">
      <c r="A206">
        <v>12</v>
      </c>
      <c r="B206" t="s">
        <v>346</v>
      </c>
      <c r="C206">
        <v>100</v>
      </c>
      <c r="D206" s="2" t="e">
        <f>VLOOKUP(B206,装备!B:E,3,FALSE)</f>
        <v>#N/A</v>
      </c>
      <c r="E206" t="str">
        <f t="shared" si="5"/>
        <v>AddPrizeListEx(12,'Z202',100)</v>
      </c>
    </row>
    <row r="207" spans="1:5">
      <c r="A207">
        <v>12</v>
      </c>
      <c r="B207" t="s">
        <v>391</v>
      </c>
      <c r="C207">
        <v>400</v>
      </c>
      <c r="D207" s="2" t="e">
        <f>VLOOKUP(B207,装备!B:E,3,FALSE)</f>
        <v>#N/A</v>
      </c>
      <c r="E207" t="str">
        <f t="shared" si="5"/>
        <v>AddPrizeListEx(12,'Z211',400)</v>
      </c>
    </row>
    <row r="208" spans="1:5">
      <c r="A208">
        <v>12</v>
      </c>
      <c r="B208" t="s">
        <v>348</v>
      </c>
      <c r="C208">
        <v>400</v>
      </c>
      <c r="D208" s="2" t="e">
        <f>VLOOKUP(B208,装备!B:E,3,FALSE)</f>
        <v>#N/A</v>
      </c>
      <c r="E208" t="str">
        <f t="shared" si="5"/>
        <v>AddPrizeListEx(12,'Z212',400)</v>
      </c>
    </row>
    <row r="209" spans="1:5">
      <c r="A209">
        <v>12</v>
      </c>
      <c r="B209" t="s">
        <v>392</v>
      </c>
      <c r="C209">
        <v>100</v>
      </c>
      <c r="D209" s="2" t="e">
        <f>VLOOKUP(B209,装备!B:E,3,FALSE)</f>
        <v>#N/A</v>
      </c>
      <c r="E209" t="str">
        <f t="shared" si="5"/>
        <v>AddPrizeListEx(12,'Z221',100)</v>
      </c>
    </row>
    <row r="210" spans="1:5">
      <c r="A210">
        <v>12</v>
      </c>
      <c r="B210" t="s">
        <v>350</v>
      </c>
      <c r="C210">
        <v>400</v>
      </c>
      <c r="D210" s="2" t="e">
        <f>VLOOKUP(B210,装备!B:E,3,FALSE)</f>
        <v>#N/A</v>
      </c>
      <c r="E210" t="str">
        <f t="shared" si="5"/>
        <v>AddPrizeListEx(12,'Z222',400)</v>
      </c>
    </row>
    <row r="211" spans="1:5">
      <c r="A211">
        <v>12</v>
      </c>
      <c r="B211" t="s">
        <v>393</v>
      </c>
      <c r="C211">
        <v>100</v>
      </c>
      <c r="D211" s="2" t="e">
        <f>VLOOKUP(B211,装备!B:E,3,FALSE)</f>
        <v>#N/A</v>
      </c>
      <c r="E211" t="str">
        <f t="shared" si="5"/>
        <v>AddPrizeListEx(12,'Z231',100)</v>
      </c>
    </row>
    <row r="212" spans="1:5">
      <c r="A212">
        <v>12</v>
      </c>
      <c r="B212" t="s">
        <v>352</v>
      </c>
      <c r="C212">
        <v>400</v>
      </c>
      <c r="D212" s="2" t="e">
        <f>VLOOKUP(B212,装备!B:E,3,FALSE)</f>
        <v>#N/A</v>
      </c>
      <c r="E212" t="str">
        <f t="shared" si="5"/>
        <v>AddPrizeListEx(12,'Z232',400)</v>
      </c>
    </row>
    <row r="213" spans="1:5">
      <c r="A213">
        <v>12</v>
      </c>
      <c r="B213" t="s">
        <v>394</v>
      </c>
      <c r="C213">
        <v>100</v>
      </c>
      <c r="D213" s="2" t="e">
        <f>VLOOKUP(B213,装备!B:E,3,FALSE)</f>
        <v>#N/A</v>
      </c>
      <c r="E213" t="str">
        <f t="shared" si="5"/>
        <v>AddPrizeListEx(12,'Z241',100)</v>
      </c>
    </row>
    <row r="214" spans="1:5">
      <c r="A214">
        <v>12</v>
      </c>
      <c r="B214" t="s">
        <v>354</v>
      </c>
      <c r="C214">
        <v>400</v>
      </c>
      <c r="D214" s="2" t="e">
        <f>VLOOKUP(B214,装备!B:E,3,FALSE)</f>
        <v>#N/A</v>
      </c>
      <c r="E214" t="str">
        <f t="shared" si="5"/>
        <v>AddPrizeListEx(12,'Z242',400)</v>
      </c>
    </row>
    <row r="215" spans="1:5">
      <c r="A215">
        <v>12</v>
      </c>
      <c r="B215" t="s">
        <v>395</v>
      </c>
      <c r="C215">
        <v>100</v>
      </c>
      <c r="D215" s="2" t="e">
        <f>VLOOKUP(B215,装备!B:E,3,FALSE)</f>
        <v>#N/A</v>
      </c>
      <c r="E215" t="str">
        <f t="shared" si="5"/>
        <v>AddPrizeListEx(12,'Z251',100)</v>
      </c>
    </row>
    <row r="216" spans="1:5">
      <c r="A216">
        <v>12</v>
      </c>
      <c r="B216" t="s">
        <v>396</v>
      </c>
      <c r="C216">
        <v>400</v>
      </c>
      <c r="D216" s="2" t="e">
        <f>VLOOKUP(B216,装备!B:E,3,FALSE)</f>
        <v>#N/A</v>
      </c>
      <c r="E216" t="str">
        <f t="shared" si="5"/>
        <v>AddPrizeListEx(12,'Z261',400)</v>
      </c>
    </row>
    <row r="217" spans="1:5">
      <c r="A217">
        <v>12</v>
      </c>
      <c r="B217" t="s">
        <v>397</v>
      </c>
      <c r="C217">
        <v>100</v>
      </c>
      <c r="D217" s="2" t="e">
        <f>VLOOKUP(B217,装备!B:E,3,FALSE)</f>
        <v>#N/A</v>
      </c>
      <c r="E217" t="str">
        <f t="shared" si="5"/>
        <v>AddPrizeListEx(12,'Z262',100)</v>
      </c>
    </row>
    <row r="218" spans="1:5">
      <c r="A218">
        <v>12</v>
      </c>
      <c r="B218" t="s">
        <v>398</v>
      </c>
      <c r="C218">
        <v>400</v>
      </c>
      <c r="D218" s="2" t="e">
        <f>VLOOKUP(B218,装备!B:E,3,FALSE)</f>
        <v>#N/A</v>
      </c>
      <c r="E218" t="str">
        <f t="shared" si="5"/>
        <v>AddPrizeListEx(12,'Z271',400)</v>
      </c>
    </row>
    <row r="219" spans="1:5">
      <c r="A219">
        <v>12</v>
      </c>
      <c r="B219" t="s">
        <v>358</v>
      </c>
      <c r="C219">
        <v>100</v>
      </c>
      <c r="D219" s="2" t="e">
        <f>VLOOKUP(B219,装备!B:E,3,FALSE)</f>
        <v>#N/A</v>
      </c>
      <c r="E219" t="str">
        <f t="shared" ref="E219:E282" si="6">IF(B219&lt;&gt;"","AddPrizeListEx("&amp;A219&amp;",'"&amp;B219&amp;"',"&amp;C219&amp;")","")</f>
        <v>AddPrizeListEx(12,'Z272',100)</v>
      </c>
    </row>
    <row r="220" spans="1:5">
      <c r="A220">
        <v>12</v>
      </c>
      <c r="B220" t="s">
        <v>399</v>
      </c>
      <c r="C220">
        <v>400</v>
      </c>
      <c r="D220" s="2" t="e">
        <f>VLOOKUP(B220,装备!B:E,3,FALSE)</f>
        <v>#N/A</v>
      </c>
      <c r="E220" t="str">
        <f t="shared" si="6"/>
        <v>AddPrizeListEx(12,'Z281',400)</v>
      </c>
    </row>
    <row r="221" spans="1:5">
      <c r="A221">
        <v>12</v>
      </c>
      <c r="B221" t="s">
        <v>360</v>
      </c>
      <c r="C221">
        <v>100</v>
      </c>
      <c r="D221" s="2" t="e">
        <f>VLOOKUP(B221,装备!B:E,3,FALSE)</f>
        <v>#N/A</v>
      </c>
      <c r="E221" t="str">
        <f t="shared" si="6"/>
        <v>AddPrizeListEx(12,'Z282',100)</v>
      </c>
    </row>
    <row r="222" spans="1:5">
      <c r="A222">
        <v>12</v>
      </c>
      <c r="B222" t="s">
        <v>400</v>
      </c>
      <c r="C222">
        <v>400</v>
      </c>
      <c r="D222" s="2" t="e">
        <f>VLOOKUP(B222,装备!B:E,3,FALSE)</f>
        <v>#N/A</v>
      </c>
      <c r="E222" t="str">
        <f t="shared" si="6"/>
        <v>AddPrizeListEx(12,'Z291',400)</v>
      </c>
    </row>
    <row r="223" spans="1:5">
      <c r="A223">
        <v>12</v>
      </c>
      <c r="B223" t="s">
        <v>362</v>
      </c>
      <c r="C223">
        <v>400</v>
      </c>
      <c r="D223" s="2" t="e">
        <f>VLOOKUP(B223,装备!B:E,3,FALSE)</f>
        <v>#N/A</v>
      </c>
      <c r="E223" t="str">
        <f t="shared" si="6"/>
        <v>AddPrizeListEx(12,'Z292',400)</v>
      </c>
    </row>
    <row r="224" spans="1:5">
      <c r="A224">
        <v>12</v>
      </c>
      <c r="B224" t="s">
        <v>401</v>
      </c>
      <c r="C224">
        <v>100</v>
      </c>
      <c r="D224" s="2" t="e">
        <f>VLOOKUP(B224,装备!B:E,3,FALSE)</f>
        <v>#N/A</v>
      </c>
      <c r="E224" t="str">
        <f t="shared" si="6"/>
        <v>AddPrizeListEx(12,'Z301',100)</v>
      </c>
    </row>
    <row r="225" spans="1:5">
      <c r="A225">
        <v>12</v>
      </c>
      <c r="B225" t="s">
        <v>364</v>
      </c>
      <c r="C225">
        <v>400</v>
      </c>
      <c r="D225" s="2" t="e">
        <f>VLOOKUP(B225,装备!B:E,3,FALSE)</f>
        <v>#N/A</v>
      </c>
      <c r="E225" t="str">
        <f t="shared" si="6"/>
        <v>AddPrizeListEx(12,'Z302',400)</v>
      </c>
    </row>
    <row r="226" spans="1:5">
      <c r="A226">
        <v>12</v>
      </c>
      <c r="B226" t="s">
        <v>309</v>
      </c>
      <c r="C226">
        <v>10</v>
      </c>
      <c r="D226" s="2" t="e">
        <f>VLOOKUP(B226,装备!B:E,3,FALSE)</f>
        <v>#N/A</v>
      </c>
      <c r="E226" t="str">
        <f t="shared" si="6"/>
        <v>AddPrizeListEx(12,'Z013',10)</v>
      </c>
    </row>
    <row r="227" spans="1:5">
      <c r="A227">
        <v>12</v>
      </c>
      <c r="B227" t="s">
        <v>311</v>
      </c>
      <c r="C227">
        <v>10</v>
      </c>
      <c r="D227" s="2" t="e">
        <f>VLOOKUP(B227,装备!B:E,3,FALSE)</f>
        <v>#N/A</v>
      </c>
      <c r="E227" t="str">
        <f t="shared" si="6"/>
        <v>AddPrizeListEx(12,'Z023',10)</v>
      </c>
    </row>
    <row r="228" spans="1:5">
      <c r="A228">
        <v>12</v>
      </c>
      <c r="B228" t="s">
        <v>313</v>
      </c>
      <c r="C228">
        <v>10</v>
      </c>
      <c r="D228" s="2" t="e">
        <f>VLOOKUP(B228,装备!B:E,3,FALSE)</f>
        <v>#N/A</v>
      </c>
      <c r="E228" t="str">
        <f t="shared" si="6"/>
        <v>AddPrizeListEx(12,'Z033',10)</v>
      </c>
    </row>
    <row r="229" spans="1:5">
      <c r="A229">
        <v>12</v>
      </c>
      <c r="B229" t="s">
        <v>315</v>
      </c>
      <c r="C229">
        <v>10</v>
      </c>
      <c r="D229" s="2" t="e">
        <f>VLOOKUP(B229,装备!B:E,3,FALSE)</f>
        <v>#N/A</v>
      </c>
      <c r="E229" t="str">
        <f t="shared" si="6"/>
        <v>AddPrizeListEx(12,'Z043',10)</v>
      </c>
    </row>
    <row r="230" spans="1:5">
      <c r="A230">
        <v>12</v>
      </c>
      <c r="B230" t="s">
        <v>317</v>
      </c>
      <c r="C230">
        <v>10</v>
      </c>
      <c r="D230" s="2" t="e">
        <f>VLOOKUP(B230,装备!B:E,3,FALSE)</f>
        <v>#N/A</v>
      </c>
      <c r="E230" t="str">
        <f t="shared" si="6"/>
        <v>AddPrizeListEx(12,'Z053',10)</v>
      </c>
    </row>
    <row r="231" spans="1:5">
      <c r="A231">
        <v>12</v>
      </c>
      <c r="B231" t="s">
        <v>319</v>
      </c>
      <c r="C231">
        <v>10</v>
      </c>
      <c r="D231" s="2" t="e">
        <f>VLOOKUP(B231,装备!B:E,3,FALSE)</f>
        <v>#N/A</v>
      </c>
      <c r="E231" t="str">
        <f t="shared" si="6"/>
        <v>AddPrizeListEx(12,'Z063',10)</v>
      </c>
    </row>
    <row r="232" spans="1:5">
      <c r="A232">
        <v>12</v>
      </c>
      <c r="B232" t="s">
        <v>321</v>
      </c>
      <c r="C232">
        <v>10</v>
      </c>
      <c r="D232" s="2" t="e">
        <f>VLOOKUP(B232,装备!B:E,3,FALSE)</f>
        <v>#N/A</v>
      </c>
      <c r="E232" t="str">
        <f t="shared" si="6"/>
        <v>AddPrizeListEx(12,'Z073',10)</v>
      </c>
    </row>
    <row r="233" spans="1:5">
      <c r="A233">
        <v>12</v>
      </c>
      <c r="B233" t="s">
        <v>323</v>
      </c>
      <c r="C233">
        <v>10</v>
      </c>
      <c r="D233" s="2" t="e">
        <f>VLOOKUP(B233,装备!B:E,3,FALSE)</f>
        <v>#N/A</v>
      </c>
      <c r="E233" t="str">
        <f t="shared" si="6"/>
        <v>AddPrizeListEx(12,'Z083',10)</v>
      </c>
    </row>
    <row r="234" spans="1:5">
      <c r="A234">
        <v>12</v>
      </c>
      <c r="B234" t="s">
        <v>325</v>
      </c>
      <c r="C234">
        <v>10</v>
      </c>
      <c r="D234" s="2" t="e">
        <f>VLOOKUP(B234,装备!B:E,3,FALSE)</f>
        <v>#N/A</v>
      </c>
      <c r="E234" t="str">
        <f t="shared" si="6"/>
        <v>AddPrizeListEx(12,'Z093',10)</v>
      </c>
    </row>
    <row r="235" spans="1:5">
      <c r="A235">
        <v>12</v>
      </c>
      <c r="B235" t="s">
        <v>327</v>
      </c>
      <c r="C235">
        <v>10</v>
      </c>
      <c r="D235" s="2" t="e">
        <f>VLOOKUP(B235,装备!B:E,3,FALSE)</f>
        <v>#N/A</v>
      </c>
      <c r="E235" t="str">
        <f t="shared" si="6"/>
        <v>AddPrizeListEx(12,'Z103',10)</v>
      </c>
    </row>
    <row r="236" spans="1:5">
      <c r="A236">
        <v>12</v>
      </c>
      <c r="B236" t="s">
        <v>329</v>
      </c>
      <c r="C236">
        <v>10</v>
      </c>
      <c r="D236" s="2" t="e">
        <f>VLOOKUP(B236,装备!B:E,3,FALSE)</f>
        <v>#N/A</v>
      </c>
      <c r="E236" t="str">
        <f t="shared" si="6"/>
        <v>AddPrizeListEx(12,'Z113',10)</v>
      </c>
    </row>
    <row r="237" spans="1:5">
      <c r="A237">
        <v>12</v>
      </c>
      <c r="B237" t="s">
        <v>331</v>
      </c>
      <c r="C237">
        <v>10</v>
      </c>
      <c r="D237" s="2" t="e">
        <f>VLOOKUP(B237,装备!B:E,3,FALSE)</f>
        <v>#N/A</v>
      </c>
      <c r="E237" t="str">
        <f t="shared" si="6"/>
        <v>AddPrizeListEx(12,'Z123',10)</v>
      </c>
    </row>
    <row r="238" spans="1:5">
      <c r="A238">
        <v>12</v>
      </c>
      <c r="B238" t="s">
        <v>333</v>
      </c>
      <c r="C238">
        <v>10</v>
      </c>
      <c r="D238" s="2" t="e">
        <f>VLOOKUP(B238,装备!B:E,3,FALSE)</f>
        <v>#N/A</v>
      </c>
      <c r="E238" t="str">
        <f t="shared" si="6"/>
        <v>AddPrizeListEx(12,'Z133',10)</v>
      </c>
    </row>
    <row r="239" spans="1:5">
      <c r="A239">
        <v>12</v>
      </c>
      <c r="B239" t="s">
        <v>335</v>
      </c>
      <c r="C239">
        <v>10</v>
      </c>
      <c r="D239" s="2" t="e">
        <f>VLOOKUP(B239,装备!B:E,3,FALSE)</f>
        <v>#N/A</v>
      </c>
      <c r="E239" t="str">
        <f t="shared" si="6"/>
        <v>AddPrizeListEx(12,'Z143',10)</v>
      </c>
    </row>
    <row r="240" spans="1:5">
      <c r="A240">
        <v>12</v>
      </c>
      <c r="B240" t="s">
        <v>337</v>
      </c>
      <c r="C240">
        <v>10</v>
      </c>
      <c r="D240" s="2" t="e">
        <f>VLOOKUP(B240,装备!B:E,3,FALSE)</f>
        <v>#N/A</v>
      </c>
      <c r="E240" t="str">
        <f t="shared" si="6"/>
        <v>AddPrizeListEx(12,'Z153',10)</v>
      </c>
    </row>
    <row r="241" spans="1:5">
      <c r="A241">
        <v>12</v>
      </c>
      <c r="B241" t="s">
        <v>339</v>
      </c>
      <c r="C241">
        <v>10</v>
      </c>
      <c r="D241" s="2" t="e">
        <f>VLOOKUP(B241,装备!B:E,3,FALSE)</f>
        <v>#N/A</v>
      </c>
      <c r="E241" t="str">
        <f t="shared" si="6"/>
        <v>AddPrizeListEx(12,'Z163',10)</v>
      </c>
    </row>
    <row r="242" spans="1:5">
      <c r="A242">
        <v>12</v>
      </c>
      <c r="B242" t="s">
        <v>341</v>
      </c>
      <c r="C242">
        <v>10</v>
      </c>
      <c r="D242" s="2" t="e">
        <f>VLOOKUP(B242,装备!B:E,3,FALSE)</f>
        <v>#N/A</v>
      </c>
      <c r="E242" t="str">
        <f t="shared" si="6"/>
        <v>AddPrizeListEx(12,'Z173',10)</v>
      </c>
    </row>
    <row r="243" spans="1:5">
      <c r="A243">
        <v>12</v>
      </c>
      <c r="B243" t="s">
        <v>343</v>
      </c>
      <c r="C243">
        <v>10</v>
      </c>
      <c r="D243" s="2" t="e">
        <f>VLOOKUP(B243,装备!B:E,3,FALSE)</f>
        <v>#N/A</v>
      </c>
      <c r="E243" t="str">
        <f t="shared" si="6"/>
        <v>AddPrizeListEx(12,'Z183',10)</v>
      </c>
    </row>
    <row r="244" spans="1:5">
      <c r="A244">
        <v>12</v>
      </c>
      <c r="B244" t="s">
        <v>345</v>
      </c>
      <c r="C244">
        <v>10</v>
      </c>
      <c r="D244" s="2" t="e">
        <f>VLOOKUP(B244,装备!B:E,3,FALSE)</f>
        <v>#N/A</v>
      </c>
      <c r="E244" t="str">
        <f t="shared" si="6"/>
        <v>AddPrizeListEx(12,'Z193',10)</v>
      </c>
    </row>
    <row r="245" spans="1:5">
      <c r="A245">
        <v>12</v>
      </c>
      <c r="B245" t="s">
        <v>347</v>
      </c>
      <c r="C245">
        <v>10</v>
      </c>
      <c r="D245" s="2" t="e">
        <f>VLOOKUP(B245,装备!B:E,3,FALSE)</f>
        <v>#N/A</v>
      </c>
      <c r="E245" t="str">
        <f t="shared" si="6"/>
        <v>AddPrizeListEx(12,'Z203',10)</v>
      </c>
    </row>
    <row r="246" spans="1:5">
      <c r="A246">
        <v>12</v>
      </c>
      <c r="B246" t="s">
        <v>349</v>
      </c>
      <c r="C246">
        <v>10</v>
      </c>
      <c r="D246" s="2" t="e">
        <f>VLOOKUP(B246,装备!B:E,3,FALSE)</f>
        <v>#N/A</v>
      </c>
      <c r="E246" t="str">
        <f t="shared" si="6"/>
        <v>AddPrizeListEx(12,'Z213',10)</v>
      </c>
    </row>
    <row r="247" spans="1:5">
      <c r="A247">
        <v>12</v>
      </c>
      <c r="B247" t="s">
        <v>351</v>
      </c>
      <c r="C247">
        <v>10</v>
      </c>
      <c r="D247" s="2" t="e">
        <f>VLOOKUP(B247,装备!B:E,3,FALSE)</f>
        <v>#N/A</v>
      </c>
      <c r="E247" t="str">
        <f t="shared" si="6"/>
        <v>AddPrizeListEx(12,'Z223',10)</v>
      </c>
    </row>
    <row r="248" spans="1:5">
      <c r="A248">
        <v>12</v>
      </c>
      <c r="B248" t="s">
        <v>353</v>
      </c>
      <c r="C248">
        <v>10</v>
      </c>
      <c r="D248" s="2" t="e">
        <f>VLOOKUP(B248,装备!B:E,3,FALSE)</f>
        <v>#N/A</v>
      </c>
      <c r="E248" t="str">
        <f t="shared" si="6"/>
        <v>AddPrizeListEx(12,'Z233',10)</v>
      </c>
    </row>
    <row r="249" spans="1:5">
      <c r="A249">
        <v>12</v>
      </c>
      <c r="B249" t="s">
        <v>355</v>
      </c>
      <c r="C249">
        <v>10</v>
      </c>
      <c r="D249" s="2" t="e">
        <f>VLOOKUP(B249,装备!B:E,3,FALSE)</f>
        <v>#N/A</v>
      </c>
      <c r="E249" t="str">
        <f t="shared" si="6"/>
        <v>AddPrizeListEx(12,'Z243',10)</v>
      </c>
    </row>
    <row r="250" spans="1:5">
      <c r="A250">
        <v>12</v>
      </c>
      <c r="B250" t="s">
        <v>356</v>
      </c>
      <c r="C250">
        <v>10</v>
      </c>
      <c r="D250" s="2" t="e">
        <f>VLOOKUP(B250,装备!B:E,3,FALSE)</f>
        <v>#N/A</v>
      </c>
      <c r="E250" t="str">
        <f t="shared" si="6"/>
        <v>AddPrizeListEx(12,'Z253',10)</v>
      </c>
    </row>
    <row r="251" spans="1:5">
      <c r="A251">
        <v>12</v>
      </c>
      <c r="B251" t="s">
        <v>402</v>
      </c>
      <c r="C251">
        <v>10</v>
      </c>
      <c r="D251" s="2" t="e">
        <f>VLOOKUP(B251,装备!B:E,3,FALSE)</f>
        <v>#N/A</v>
      </c>
      <c r="E251" t="str">
        <f t="shared" si="6"/>
        <v>AddPrizeListEx(12,'Z263',10)</v>
      </c>
    </row>
    <row r="252" spans="1:5">
      <c r="A252">
        <v>12</v>
      </c>
      <c r="B252" t="s">
        <v>359</v>
      </c>
      <c r="C252">
        <v>10</v>
      </c>
      <c r="D252" s="2" t="e">
        <f>VLOOKUP(B252,装备!B:E,3,FALSE)</f>
        <v>#N/A</v>
      </c>
      <c r="E252" t="str">
        <f t="shared" si="6"/>
        <v>AddPrizeListEx(12,'Z273',10)</v>
      </c>
    </row>
    <row r="253" spans="1:5">
      <c r="A253">
        <v>12</v>
      </c>
      <c r="B253" t="s">
        <v>361</v>
      </c>
      <c r="C253">
        <v>10</v>
      </c>
      <c r="D253" s="2" t="e">
        <f>VLOOKUP(B253,装备!B:E,3,FALSE)</f>
        <v>#N/A</v>
      </c>
      <c r="E253" t="str">
        <f t="shared" si="6"/>
        <v>AddPrizeListEx(12,'Z283',10)</v>
      </c>
    </row>
    <row r="254" spans="1:5">
      <c r="A254">
        <v>12</v>
      </c>
      <c r="B254" t="s">
        <v>363</v>
      </c>
      <c r="C254">
        <v>10</v>
      </c>
      <c r="D254" s="2" t="e">
        <f>VLOOKUP(B254,装备!B:E,3,FALSE)</f>
        <v>#N/A</v>
      </c>
      <c r="E254" t="str">
        <f t="shared" si="6"/>
        <v>AddPrizeListEx(12,'Z293',10)</v>
      </c>
    </row>
    <row r="255" spans="1:5">
      <c r="A255">
        <v>12</v>
      </c>
      <c r="B255" t="s">
        <v>365</v>
      </c>
      <c r="C255">
        <v>10</v>
      </c>
      <c r="D255" s="2" t="e">
        <f>VLOOKUP(B255,装备!B:E,3,FALSE)</f>
        <v>#N/A</v>
      </c>
      <c r="E255" t="str">
        <f t="shared" si="6"/>
        <v>AddPrizeListEx(12,'Z303',10)</v>
      </c>
    </row>
    <row r="256" spans="1:5">
      <c r="A256">
        <v>3</v>
      </c>
      <c r="B256" t="s">
        <v>233</v>
      </c>
      <c r="C256">
        <v>2000</v>
      </c>
      <c r="D256" s="2" t="e">
        <f>VLOOKUP(B256,装备!B:E,3,FALSE)</f>
        <v>#N/A</v>
      </c>
      <c r="E256" t="str">
        <f t="shared" si="6"/>
        <v>AddPrizeListEx(3,'I101',2000)</v>
      </c>
    </row>
    <row r="257" spans="1:5">
      <c r="A257">
        <v>3</v>
      </c>
      <c r="B257" t="s">
        <v>234</v>
      </c>
      <c r="C257">
        <v>200</v>
      </c>
      <c r="D257" s="2" t="e">
        <f>VLOOKUP(B257,装备!B:E,3,FALSE)</f>
        <v>#N/A</v>
      </c>
      <c r="E257" t="str">
        <f t="shared" si="6"/>
        <v>AddPrizeListEx(3,'I102',200)</v>
      </c>
    </row>
    <row r="258" spans="1:5">
      <c r="A258">
        <v>3</v>
      </c>
      <c r="B258" t="s">
        <v>235</v>
      </c>
      <c r="C258">
        <v>10</v>
      </c>
      <c r="D258" s="2" t="e">
        <f>VLOOKUP(B258,装备!B:E,3,FALSE)</f>
        <v>#N/A</v>
      </c>
      <c r="E258" t="str">
        <f t="shared" si="6"/>
        <v>AddPrizeListEx(3,'I103',10)</v>
      </c>
    </row>
    <row r="259" spans="1:5">
      <c r="A259">
        <v>3</v>
      </c>
      <c r="B259" t="s">
        <v>236</v>
      </c>
      <c r="C259">
        <v>2</v>
      </c>
      <c r="D259" s="2" t="e">
        <f>VLOOKUP(B259,装备!B:E,3,FALSE)</f>
        <v>#N/A</v>
      </c>
      <c r="E259" t="str">
        <f t="shared" si="6"/>
        <v>AddPrizeListEx(3,'I104',2)</v>
      </c>
    </row>
    <row r="260" spans="1:5">
      <c r="A260">
        <v>3</v>
      </c>
      <c r="B260" t="s">
        <v>237</v>
      </c>
      <c r="C260">
        <v>1500</v>
      </c>
      <c r="D260" s="2" t="e">
        <f>VLOOKUP(B260,装备!B:E,3,FALSE)</f>
        <v>#N/A</v>
      </c>
      <c r="E260" t="str">
        <f t="shared" si="6"/>
        <v>AddPrizeListEx(3,'I105',1500)</v>
      </c>
    </row>
    <row r="261" spans="1:5">
      <c r="A261">
        <v>3</v>
      </c>
      <c r="B261" t="s">
        <v>238</v>
      </c>
      <c r="C261">
        <v>200</v>
      </c>
      <c r="D261" s="2" t="e">
        <f>VLOOKUP(B261,装备!B:E,3,FALSE)</f>
        <v>#N/A</v>
      </c>
      <c r="E261" t="str">
        <f t="shared" si="6"/>
        <v>AddPrizeListEx(3,'I106',200)</v>
      </c>
    </row>
    <row r="262" spans="1:5">
      <c r="A262">
        <v>3</v>
      </c>
      <c r="B262" t="s">
        <v>239</v>
      </c>
      <c r="C262">
        <v>10</v>
      </c>
      <c r="D262" s="2" t="e">
        <f>VLOOKUP(B262,装备!B:E,3,FALSE)</f>
        <v>#N/A</v>
      </c>
      <c r="E262" t="str">
        <f t="shared" si="6"/>
        <v>AddPrizeListEx(3,'I107',10)</v>
      </c>
    </row>
    <row r="263" spans="1:5">
      <c r="A263">
        <v>3</v>
      </c>
      <c r="B263" t="s">
        <v>240</v>
      </c>
      <c r="C263">
        <v>3000</v>
      </c>
      <c r="D263" s="2" t="e">
        <f>VLOOKUP(B263,装备!B:E,3,FALSE)</f>
        <v>#N/A</v>
      </c>
      <c r="E263" t="str">
        <f t="shared" si="6"/>
        <v>AddPrizeListEx(3,'I108',3000)</v>
      </c>
    </row>
    <row r="264" spans="1:5">
      <c r="A264">
        <v>3</v>
      </c>
      <c r="B264" t="s">
        <v>241</v>
      </c>
      <c r="C264">
        <v>1500</v>
      </c>
      <c r="D264" s="2" t="e">
        <f>VLOOKUP(B264,装备!B:E,3,FALSE)</f>
        <v>#N/A</v>
      </c>
      <c r="E264" t="str">
        <f t="shared" si="6"/>
        <v>AddPrizeListEx(3,'I109',1500)</v>
      </c>
    </row>
    <row r="265" spans="1:5">
      <c r="A265">
        <v>3</v>
      </c>
      <c r="B265" t="s">
        <v>242</v>
      </c>
      <c r="C265">
        <v>200</v>
      </c>
      <c r="D265" s="2" t="e">
        <f>VLOOKUP(B265,装备!B:E,3,FALSE)</f>
        <v>#N/A</v>
      </c>
      <c r="E265" t="str">
        <f t="shared" si="6"/>
        <v>AddPrizeListEx(3,'I110',200)</v>
      </c>
    </row>
    <row r="266" spans="1:5">
      <c r="A266">
        <v>3</v>
      </c>
      <c r="B266" t="s">
        <v>243</v>
      </c>
      <c r="C266">
        <v>10</v>
      </c>
      <c r="D266" s="2" t="e">
        <f>VLOOKUP(B266,装备!B:E,3,FALSE)</f>
        <v>#N/A</v>
      </c>
      <c r="E266" t="str">
        <f t="shared" si="6"/>
        <v>AddPrizeListEx(3,'I111',10)</v>
      </c>
    </row>
    <row r="267" spans="1:5">
      <c r="A267">
        <v>3</v>
      </c>
      <c r="B267" t="s">
        <v>244</v>
      </c>
      <c r="C267">
        <v>1500</v>
      </c>
      <c r="D267" s="2" t="e">
        <f>VLOOKUP(B267,装备!B:E,3,FALSE)</f>
        <v>#N/A</v>
      </c>
      <c r="E267" t="str">
        <f t="shared" si="6"/>
        <v>AddPrizeListEx(3,'I112',1500)</v>
      </c>
    </row>
    <row r="268" spans="1:5">
      <c r="A268">
        <v>3</v>
      </c>
      <c r="B268" t="s">
        <v>245</v>
      </c>
      <c r="C268">
        <v>200</v>
      </c>
      <c r="D268" s="2" t="e">
        <f>VLOOKUP(B268,装备!B:E,3,FALSE)</f>
        <v>#N/A</v>
      </c>
      <c r="E268" t="str">
        <f t="shared" si="6"/>
        <v>AddPrizeListEx(3,'I113',200)</v>
      </c>
    </row>
    <row r="269" spans="1:5">
      <c r="A269">
        <v>3</v>
      </c>
      <c r="B269" t="s">
        <v>246</v>
      </c>
      <c r="C269">
        <v>10</v>
      </c>
      <c r="D269" s="2" t="e">
        <f>VLOOKUP(B269,装备!B:E,3,FALSE)</f>
        <v>#N/A</v>
      </c>
      <c r="E269" t="str">
        <f t="shared" si="6"/>
        <v>AddPrizeListEx(3,'I114',10)</v>
      </c>
    </row>
    <row r="270" spans="1:5">
      <c r="A270">
        <v>3</v>
      </c>
      <c r="B270" t="s">
        <v>247</v>
      </c>
      <c r="C270">
        <v>1500</v>
      </c>
      <c r="D270" s="2" t="e">
        <f>VLOOKUP(B270,装备!B:E,3,FALSE)</f>
        <v>#N/A</v>
      </c>
      <c r="E270" t="str">
        <f t="shared" si="6"/>
        <v>AddPrizeListEx(3,'I115',1500)</v>
      </c>
    </row>
    <row r="271" spans="1:5">
      <c r="A271">
        <v>3</v>
      </c>
      <c r="B271" t="s">
        <v>248</v>
      </c>
      <c r="C271">
        <v>200</v>
      </c>
      <c r="D271" s="2" t="e">
        <f>VLOOKUP(B271,装备!B:E,3,FALSE)</f>
        <v>#N/A</v>
      </c>
      <c r="E271" t="str">
        <f t="shared" si="6"/>
        <v>AddPrizeListEx(3,'I116',200)</v>
      </c>
    </row>
    <row r="272" spans="1:5">
      <c r="A272">
        <v>3</v>
      </c>
      <c r="B272" t="s">
        <v>249</v>
      </c>
      <c r="C272">
        <v>10</v>
      </c>
      <c r="D272" s="2" t="e">
        <f>VLOOKUP(B272,装备!B:E,3,FALSE)</f>
        <v>#N/A</v>
      </c>
      <c r="E272" t="str">
        <f t="shared" si="6"/>
        <v>AddPrizeListEx(3,'I117',10)</v>
      </c>
    </row>
    <row r="273" spans="1:5">
      <c r="A273">
        <v>3</v>
      </c>
      <c r="B273" t="s">
        <v>250</v>
      </c>
      <c r="C273">
        <v>1500</v>
      </c>
      <c r="D273" s="2" t="e">
        <f>VLOOKUP(B273,装备!B:E,3,FALSE)</f>
        <v>#N/A</v>
      </c>
      <c r="E273" t="str">
        <f t="shared" si="6"/>
        <v>AddPrizeListEx(3,'I118',1500)</v>
      </c>
    </row>
    <row r="274" spans="1:5">
      <c r="A274">
        <v>3</v>
      </c>
      <c r="B274" t="s">
        <v>251</v>
      </c>
      <c r="C274">
        <v>200</v>
      </c>
      <c r="D274" s="2" t="e">
        <f>VLOOKUP(B274,装备!B:E,3,FALSE)</f>
        <v>#N/A</v>
      </c>
      <c r="E274" t="str">
        <f t="shared" si="6"/>
        <v>AddPrizeListEx(3,'I119',200)</v>
      </c>
    </row>
    <row r="275" spans="1:5">
      <c r="A275">
        <v>3</v>
      </c>
      <c r="B275" t="s">
        <v>252</v>
      </c>
      <c r="C275">
        <v>10</v>
      </c>
      <c r="D275" s="2" t="e">
        <f>VLOOKUP(B275,装备!B:E,3,FALSE)</f>
        <v>#N/A</v>
      </c>
      <c r="E275" t="str">
        <f t="shared" si="6"/>
        <v>AddPrizeListEx(3,'I120',10)</v>
      </c>
    </row>
    <row r="276" spans="1:5">
      <c r="A276">
        <v>3</v>
      </c>
      <c r="B276" t="s">
        <v>253</v>
      </c>
      <c r="C276">
        <v>1500</v>
      </c>
      <c r="D276" s="2" t="e">
        <f>VLOOKUP(B276,装备!B:E,3,FALSE)</f>
        <v>#N/A</v>
      </c>
      <c r="E276" t="str">
        <f t="shared" si="6"/>
        <v>AddPrizeListEx(3,'I121',1500)</v>
      </c>
    </row>
    <row r="277" spans="1:5">
      <c r="A277">
        <v>3</v>
      </c>
      <c r="B277" t="s">
        <v>254</v>
      </c>
      <c r="C277">
        <v>200</v>
      </c>
      <c r="D277" s="2" t="e">
        <f>VLOOKUP(B277,装备!B:E,3,FALSE)</f>
        <v>#N/A</v>
      </c>
      <c r="E277" t="str">
        <f t="shared" si="6"/>
        <v>AddPrizeListEx(3,'I122',200)</v>
      </c>
    </row>
    <row r="278" spans="1:5">
      <c r="A278">
        <v>3</v>
      </c>
      <c r="B278" t="s">
        <v>255</v>
      </c>
      <c r="C278">
        <v>10</v>
      </c>
      <c r="D278" s="2" t="e">
        <f>VLOOKUP(B278,装备!B:E,3,FALSE)</f>
        <v>#N/A</v>
      </c>
      <c r="E278" t="str">
        <f t="shared" si="6"/>
        <v>AddPrizeListEx(3,'I123',10)</v>
      </c>
    </row>
    <row r="279" spans="1:5">
      <c r="A279">
        <v>3</v>
      </c>
      <c r="B279" t="s">
        <v>256</v>
      </c>
      <c r="C279">
        <v>1500</v>
      </c>
      <c r="D279" s="2" t="e">
        <f>VLOOKUP(B279,装备!B:E,3,FALSE)</f>
        <v>#N/A</v>
      </c>
      <c r="E279" t="str">
        <f t="shared" si="6"/>
        <v>AddPrizeListEx(3,'I124',1500)</v>
      </c>
    </row>
    <row r="280" spans="1:5">
      <c r="A280">
        <v>3</v>
      </c>
      <c r="B280" t="s">
        <v>257</v>
      </c>
      <c r="C280">
        <v>200</v>
      </c>
      <c r="D280" s="2" t="e">
        <f>VLOOKUP(B280,装备!B:E,3,FALSE)</f>
        <v>#N/A</v>
      </c>
      <c r="E280" t="str">
        <f t="shared" si="6"/>
        <v>AddPrizeListEx(3,'I125',200)</v>
      </c>
    </row>
    <row r="281" spans="1:5">
      <c r="A281">
        <v>3</v>
      </c>
      <c r="B281" t="s">
        <v>258</v>
      </c>
      <c r="C281">
        <v>10</v>
      </c>
      <c r="D281" s="2" t="e">
        <f>VLOOKUP(B281,装备!B:E,3,FALSE)</f>
        <v>#N/A</v>
      </c>
      <c r="E281" t="str">
        <f t="shared" si="6"/>
        <v>AddPrizeListEx(3,'I126',10)</v>
      </c>
    </row>
    <row r="282" spans="1:5">
      <c r="A282">
        <v>3</v>
      </c>
      <c r="B282" t="s">
        <v>259</v>
      </c>
      <c r="C282">
        <v>1500</v>
      </c>
      <c r="D282" s="2" t="e">
        <f>VLOOKUP(B282,装备!B:E,3,FALSE)</f>
        <v>#N/A</v>
      </c>
      <c r="E282" t="str">
        <f t="shared" si="6"/>
        <v>AddPrizeListEx(3,'I127',1500)</v>
      </c>
    </row>
    <row r="283" spans="1:5">
      <c r="A283">
        <v>3</v>
      </c>
      <c r="B283" t="s">
        <v>260</v>
      </c>
      <c r="C283">
        <v>200</v>
      </c>
      <c r="D283" s="2" t="e">
        <f>VLOOKUP(B283,装备!B:E,3,FALSE)</f>
        <v>#N/A</v>
      </c>
      <c r="E283" t="str">
        <f t="shared" ref="E283:E346" si="7">IF(B283&lt;&gt;"","AddPrizeListEx("&amp;A283&amp;",'"&amp;B283&amp;"',"&amp;C283&amp;")","")</f>
        <v>AddPrizeListEx(3,'I128',200)</v>
      </c>
    </row>
    <row r="284" spans="1:5">
      <c r="A284">
        <v>3</v>
      </c>
      <c r="B284" t="s">
        <v>261</v>
      </c>
      <c r="C284">
        <v>10</v>
      </c>
      <c r="D284" s="2" t="e">
        <f>VLOOKUP(B284,装备!B:E,3,FALSE)</f>
        <v>#N/A</v>
      </c>
      <c r="E284" t="str">
        <f t="shared" si="7"/>
        <v>AddPrizeListEx(3,'I129',10)</v>
      </c>
    </row>
    <row r="285" spans="1:5">
      <c r="A285">
        <v>3</v>
      </c>
      <c r="B285" t="s">
        <v>262</v>
      </c>
      <c r="C285">
        <v>1500</v>
      </c>
      <c r="D285" s="2" t="e">
        <f>VLOOKUP(B285,装备!B:E,3,FALSE)</f>
        <v>#N/A</v>
      </c>
      <c r="E285" t="str">
        <f t="shared" si="7"/>
        <v>AddPrizeListEx(3,'I130',1500)</v>
      </c>
    </row>
    <row r="286" spans="1:5">
      <c r="A286">
        <v>3</v>
      </c>
      <c r="B286" t="s">
        <v>263</v>
      </c>
      <c r="C286">
        <v>200</v>
      </c>
      <c r="D286" s="2" t="e">
        <f>VLOOKUP(B286,装备!B:E,3,FALSE)</f>
        <v>#N/A</v>
      </c>
      <c r="E286" t="str">
        <f t="shared" si="7"/>
        <v>AddPrizeListEx(3,'I131',200)</v>
      </c>
    </row>
    <row r="287" spans="1:5">
      <c r="A287">
        <v>3</v>
      </c>
      <c r="B287" t="s">
        <v>264</v>
      </c>
      <c r="C287">
        <v>10</v>
      </c>
      <c r="D287" s="2" t="e">
        <f>VLOOKUP(B287,装备!B:E,3,FALSE)</f>
        <v>#N/A</v>
      </c>
      <c r="E287" t="str">
        <f t="shared" si="7"/>
        <v>AddPrizeListEx(3,'I132',10)</v>
      </c>
    </row>
    <row r="288" spans="1:5">
      <c r="A288">
        <v>3</v>
      </c>
      <c r="B288" t="s">
        <v>265</v>
      </c>
      <c r="C288">
        <v>3500</v>
      </c>
      <c r="D288" s="2" t="e">
        <f>VLOOKUP(B288,装备!B:E,3,FALSE)</f>
        <v>#N/A</v>
      </c>
      <c r="E288" t="str">
        <f t="shared" si="7"/>
        <v>AddPrizeListEx(3,'I133',3500)</v>
      </c>
    </row>
    <row r="289" spans="1:5">
      <c r="A289">
        <v>3</v>
      </c>
      <c r="B289" t="s">
        <v>266</v>
      </c>
      <c r="C289">
        <v>20</v>
      </c>
      <c r="D289" s="2" t="e">
        <f>VLOOKUP(B289,装备!B:E,3,FALSE)</f>
        <v>#N/A</v>
      </c>
      <c r="E289" t="str">
        <f t="shared" si="7"/>
        <v>AddPrizeListEx(3,'I134',20)</v>
      </c>
    </row>
    <row r="290" spans="1:5">
      <c r="A290">
        <v>3</v>
      </c>
      <c r="B290" t="s">
        <v>267</v>
      </c>
      <c r="C290">
        <v>2</v>
      </c>
      <c r="D290" s="2" t="e">
        <f>VLOOKUP(B290,装备!B:E,3,FALSE)</f>
        <v>#N/A</v>
      </c>
      <c r="E290" t="str">
        <f t="shared" si="7"/>
        <v>AddPrizeListEx(3,'I135',2)</v>
      </c>
    </row>
    <row r="291" spans="1:5">
      <c r="A291">
        <v>3</v>
      </c>
      <c r="B291" t="s">
        <v>268</v>
      </c>
      <c r="C291">
        <v>100</v>
      </c>
      <c r="D291" s="2" t="e">
        <f>VLOOKUP(B291,装备!B:E,3,FALSE)</f>
        <v>#N/A</v>
      </c>
      <c r="E291" t="str">
        <f t="shared" si="7"/>
        <v>AddPrizeListEx(3,'I136',100)</v>
      </c>
    </row>
    <row r="292" spans="1:5">
      <c r="A292">
        <v>3</v>
      </c>
      <c r="B292" t="s">
        <v>269</v>
      </c>
      <c r="C292">
        <v>100</v>
      </c>
      <c r="D292" s="2" t="e">
        <f>VLOOKUP(B292,装备!B:E,3,FALSE)</f>
        <v>#N/A</v>
      </c>
      <c r="E292" t="str">
        <f t="shared" si="7"/>
        <v>AddPrizeListEx(3,'I137',100)</v>
      </c>
    </row>
    <row r="293" spans="1:5">
      <c r="A293">
        <v>3</v>
      </c>
      <c r="B293" t="s">
        <v>270</v>
      </c>
      <c r="C293">
        <v>100</v>
      </c>
      <c r="D293" s="2" t="e">
        <f>VLOOKUP(B293,装备!B:E,3,FALSE)</f>
        <v>#N/A</v>
      </c>
      <c r="E293" t="str">
        <f t="shared" si="7"/>
        <v>AddPrizeListEx(3,'I138',100)</v>
      </c>
    </row>
    <row r="294" spans="1:5">
      <c r="A294">
        <v>3</v>
      </c>
      <c r="B294" t="s">
        <v>271</v>
      </c>
      <c r="C294">
        <v>100</v>
      </c>
      <c r="D294" s="2" t="e">
        <f>VLOOKUP(B294,装备!B:E,3,FALSE)</f>
        <v>#N/A</v>
      </c>
      <c r="E294" t="str">
        <f t="shared" si="7"/>
        <v>AddPrizeListEx(3,'I139',100)</v>
      </c>
    </row>
    <row r="295" spans="1:5">
      <c r="A295">
        <v>3</v>
      </c>
      <c r="B295" t="s">
        <v>272</v>
      </c>
      <c r="C295">
        <v>2000</v>
      </c>
      <c r="D295" s="2" t="e">
        <f>VLOOKUP(B295,装备!B:E,3,FALSE)</f>
        <v>#N/A</v>
      </c>
      <c r="E295" t="str">
        <f t="shared" si="7"/>
        <v>AddPrizeListEx(3,'I140',2000)</v>
      </c>
    </row>
    <row r="296" spans="1:5">
      <c r="A296">
        <v>3</v>
      </c>
      <c r="B296" t="s">
        <v>273</v>
      </c>
      <c r="C296">
        <v>200</v>
      </c>
      <c r="D296" s="2" t="e">
        <f>VLOOKUP(B296,装备!B:E,3,FALSE)</f>
        <v>#N/A</v>
      </c>
      <c r="E296" t="str">
        <f t="shared" si="7"/>
        <v>AddPrizeListEx(3,'I141',200)</v>
      </c>
    </row>
    <row r="297" spans="1:5">
      <c r="A297">
        <v>3</v>
      </c>
      <c r="B297" t="s">
        <v>274</v>
      </c>
      <c r="C297">
        <v>20</v>
      </c>
      <c r="D297" s="2" t="e">
        <f>VLOOKUP(B297,装备!B:E,3,FALSE)</f>
        <v>#N/A</v>
      </c>
      <c r="E297" t="str">
        <f t="shared" si="7"/>
        <v>AddPrizeListEx(3,'I142',20)</v>
      </c>
    </row>
    <row r="298" spans="1:5">
      <c r="A298">
        <v>3</v>
      </c>
      <c r="B298" t="s">
        <v>275</v>
      </c>
      <c r="C298">
        <v>1500</v>
      </c>
      <c r="D298" s="2" t="e">
        <f>VLOOKUP(B298,装备!B:E,3,FALSE)</f>
        <v>#N/A</v>
      </c>
      <c r="E298" t="str">
        <f t="shared" si="7"/>
        <v>AddPrizeListEx(3,'I143',1500)</v>
      </c>
    </row>
    <row r="299" spans="1:5">
      <c r="A299">
        <v>3</v>
      </c>
      <c r="B299" t="s">
        <v>276</v>
      </c>
      <c r="C299">
        <v>200</v>
      </c>
      <c r="D299" s="2" t="e">
        <f>VLOOKUP(B299,装备!B:E,3,FALSE)</f>
        <v>#N/A</v>
      </c>
      <c r="E299" t="str">
        <f t="shared" si="7"/>
        <v>AddPrizeListEx(3,'I144',200)</v>
      </c>
    </row>
    <row r="300" spans="1:5">
      <c r="A300">
        <v>3</v>
      </c>
      <c r="B300" t="s">
        <v>277</v>
      </c>
      <c r="C300">
        <v>10</v>
      </c>
      <c r="D300" s="2" t="e">
        <f>VLOOKUP(B300,装备!B:E,3,FALSE)</f>
        <v>#N/A</v>
      </c>
      <c r="E300" t="str">
        <f t="shared" si="7"/>
        <v>AddPrizeListEx(3,'I145',10)</v>
      </c>
    </row>
    <row r="301" spans="1:5">
      <c r="A301">
        <v>3</v>
      </c>
      <c r="B301" t="s">
        <v>278</v>
      </c>
      <c r="C301">
        <v>2000</v>
      </c>
      <c r="D301" s="2" t="e">
        <f>VLOOKUP(B301,装备!B:E,3,FALSE)</f>
        <v>#N/A</v>
      </c>
      <c r="E301" t="str">
        <f t="shared" si="7"/>
        <v>AddPrizeListEx(3,'I146',2000)</v>
      </c>
    </row>
    <row r="302" spans="1:5">
      <c r="A302">
        <v>3</v>
      </c>
      <c r="B302" t="s">
        <v>279</v>
      </c>
      <c r="C302">
        <v>20</v>
      </c>
      <c r="D302" s="2" t="e">
        <f>VLOOKUP(B302,装备!B:E,3,FALSE)</f>
        <v>#N/A</v>
      </c>
      <c r="E302" t="str">
        <f t="shared" si="7"/>
        <v>AddPrizeListEx(3,'I147',20)</v>
      </c>
    </row>
    <row r="303" spans="1:5">
      <c r="A303">
        <v>3</v>
      </c>
      <c r="B303" t="s">
        <v>211</v>
      </c>
      <c r="C303">
        <v>500</v>
      </c>
      <c r="D303" s="2" t="e">
        <f>VLOOKUP(B303,装备!B:E,3,FALSE)</f>
        <v>#N/A</v>
      </c>
      <c r="E303" t="str">
        <f t="shared" si="7"/>
        <v>AddPrizeListEx(3,'E501',500)</v>
      </c>
    </row>
    <row r="304" spans="1:5">
      <c r="A304">
        <v>3</v>
      </c>
      <c r="B304" t="s">
        <v>212</v>
      </c>
      <c r="C304">
        <v>500</v>
      </c>
      <c r="D304" s="2" t="e">
        <f>VLOOKUP(B304,装备!B:E,3,FALSE)</f>
        <v>#N/A</v>
      </c>
      <c r="E304" t="str">
        <f t="shared" si="7"/>
        <v>AddPrizeListEx(3,'E502',500)</v>
      </c>
    </row>
    <row r="305" spans="1:5">
      <c r="A305">
        <v>3</v>
      </c>
      <c r="B305" t="s">
        <v>213</v>
      </c>
      <c r="C305">
        <v>500</v>
      </c>
      <c r="D305" s="2" t="e">
        <f>VLOOKUP(B305,装备!B:E,3,FALSE)</f>
        <v>#N/A</v>
      </c>
      <c r="E305" t="str">
        <f t="shared" si="7"/>
        <v>AddPrizeListEx(3,'E503',500)</v>
      </c>
    </row>
    <row r="306" spans="1:5">
      <c r="A306">
        <v>3</v>
      </c>
      <c r="B306" t="s">
        <v>214</v>
      </c>
      <c r="C306">
        <v>500</v>
      </c>
      <c r="D306" s="2" t="e">
        <f>VLOOKUP(B306,装备!B:E,3,FALSE)</f>
        <v>#N/A</v>
      </c>
      <c r="E306" t="str">
        <f t="shared" si="7"/>
        <v>AddPrizeListEx(3,'E504',500)</v>
      </c>
    </row>
    <row r="307" spans="1:5">
      <c r="A307">
        <v>3</v>
      </c>
      <c r="B307" t="s">
        <v>216</v>
      </c>
      <c r="C307">
        <v>500</v>
      </c>
      <c r="D307" s="2" t="e">
        <f>VLOOKUP(B307,装备!B:E,3,FALSE)</f>
        <v>#N/A</v>
      </c>
      <c r="E307" t="str">
        <f t="shared" si="7"/>
        <v>AddPrizeListEx(3,'E506',500)</v>
      </c>
    </row>
    <row r="308" spans="1:5">
      <c r="A308">
        <v>3</v>
      </c>
      <c r="B308" t="s">
        <v>217</v>
      </c>
      <c r="C308">
        <v>500</v>
      </c>
      <c r="D308" s="2" t="e">
        <f>VLOOKUP(B308,装备!B:E,3,FALSE)</f>
        <v>#N/A</v>
      </c>
      <c r="E308" t="str">
        <f t="shared" si="7"/>
        <v>AddPrizeListEx(3,'E507',500)</v>
      </c>
    </row>
    <row r="309" spans="1:5">
      <c r="A309">
        <v>3</v>
      </c>
      <c r="B309" t="s">
        <v>218</v>
      </c>
      <c r="C309">
        <v>500</v>
      </c>
      <c r="D309" s="2" t="e">
        <f>VLOOKUP(B309,装备!B:E,3,FALSE)</f>
        <v>#N/A</v>
      </c>
      <c r="E309" t="str">
        <f t="shared" si="7"/>
        <v>AddPrizeListEx(3,'E508',500)</v>
      </c>
    </row>
    <row r="310" spans="1:5">
      <c r="A310">
        <v>3</v>
      </c>
      <c r="B310" t="s">
        <v>219</v>
      </c>
      <c r="C310">
        <v>500</v>
      </c>
      <c r="D310" s="2" t="e">
        <f>VLOOKUP(B310,装备!B:E,3,FALSE)</f>
        <v>#N/A</v>
      </c>
      <c r="E310" t="str">
        <f t="shared" si="7"/>
        <v>AddPrizeListEx(3,'E509',500)</v>
      </c>
    </row>
    <row r="311" spans="1:5">
      <c r="A311">
        <v>3</v>
      </c>
      <c r="B311" t="s">
        <v>222</v>
      </c>
      <c r="C311">
        <v>100</v>
      </c>
      <c r="D311" s="2" t="e">
        <f>VLOOKUP(B311,装备!B:E,3,FALSE)</f>
        <v>#N/A</v>
      </c>
      <c r="E311" t="str">
        <f t="shared" si="7"/>
        <v>AddPrizeListEx(3,'E512',100)</v>
      </c>
    </row>
    <row r="312" spans="1:5">
      <c r="A312">
        <v>3</v>
      </c>
      <c r="B312" t="s">
        <v>223</v>
      </c>
      <c r="C312">
        <v>100</v>
      </c>
      <c r="D312" s="2" t="e">
        <f>VLOOKUP(B312,装备!B:E,3,FALSE)</f>
        <v>#N/A</v>
      </c>
      <c r="E312" t="str">
        <f t="shared" si="7"/>
        <v>AddPrizeListEx(3,'E513',100)</v>
      </c>
    </row>
    <row r="313" spans="1:5">
      <c r="A313">
        <v>3</v>
      </c>
      <c r="B313" t="s">
        <v>224</v>
      </c>
      <c r="C313">
        <v>100</v>
      </c>
      <c r="D313" s="2" t="e">
        <f>VLOOKUP(B313,装备!B:E,3,FALSE)</f>
        <v>#N/A</v>
      </c>
      <c r="E313" t="str">
        <f t="shared" si="7"/>
        <v>AddPrizeListEx(3,'E514',100)</v>
      </c>
    </row>
    <row r="314" spans="1:5">
      <c r="A314">
        <v>3</v>
      </c>
      <c r="B314" t="s">
        <v>225</v>
      </c>
      <c r="C314">
        <v>100</v>
      </c>
      <c r="D314" s="2" t="e">
        <f>VLOOKUP(B314,装备!B:E,3,FALSE)</f>
        <v>#N/A</v>
      </c>
      <c r="E314" t="str">
        <f t="shared" si="7"/>
        <v>AddPrizeListEx(3,'E515',100)</v>
      </c>
    </row>
    <row r="315" spans="1:5">
      <c r="A315">
        <v>3</v>
      </c>
      <c r="B315" t="s">
        <v>226</v>
      </c>
      <c r="C315">
        <v>100</v>
      </c>
      <c r="D315" s="2" t="e">
        <f>VLOOKUP(B315,装备!B:E,3,FALSE)</f>
        <v>#N/A</v>
      </c>
      <c r="E315" t="str">
        <f t="shared" si="7"/>
        <v>AddPrizeListEx(3,'E517',100)</v>
      </c>
    </row>
    <row r="316" spans="1:5">
      <c r="A316">
        <v>3</v>
      </c>
      <c r="B316" t="s">
        <v>227</v>
      </c>
      <c r="C316">
        <v>100</v>
      </c>
      <c r="D316" s="2" t="e">
        <f>VLOOKUP(B316,装备!B:E,3,FALSE)</f>
        <v>#N/A</v>
      </c>
      <c r="E316" t="str">
        <f t="shared" si="7"/>
        <v>AddPrizeListEx(3,'E518',100)</v>
      </c>
    </row>
    <row r="317" spans="1:5">
      <c r="A317">
        <v>3</v>
      </c>
      <c r="B317" t="s">
        <v>228</v>
      </c>
      <c r="C317">
        <v>100</v>
      </c>
      <c r="D317" s="2" t="e">
        <f>VLOOKUP(B317,装备!B:E,3,FALSE)</f>
        <v>#N/A</v>
      </c>
      <c r="E317" t="str">
        <f t="shared" si="7"/>
        <v>AddPrizeListEx(3,'E519',100)</v>
      </c>
    </row>
    <row r="318" spans="1:5">
      <c r="A318">
        <v>3</v>
      </c>
      <c r="B318" t="s">
        <v>229</v>
      </c>
      <c r="C318">
        <v>100</v>
      </c>
      <c r="D318" s="2" t="e">
        <f>VLOOKUP(B318,装备!B:E,3,FALSE)</f>
        <v>#N/A</v>
      </c>
      <c r="E318" t="str">
        <f t="shared" si="7"/>
        <v>AddPrizeListEx(3,'E520',100)</v>
      </c>
    </row>
    <row r="319" spans="1:5">
      <c r="A319">
        <v>3</v>
      </c>
      <c r="B319" t="s">
        <v>234</v>
      </c>
      <c r="C319">
        <v>2000</v>
      </c>
      <c r="D319" s="2" t="e">
        <f>VLOOKUP(B319,装备!B:E,3,FALSE)</f>
        <v>#N/A</v>
      </c>
      <c r="E319" t="str">
        <f t="shared" si="7"/>
        <v>AddPrizeListEx(3,'I102',2000)</v>
      </c>
    </row>
    <row r="320" spans="1:5">
      <c r="A320">
        <v>4</v>
      </c>
      <c r="B320" t="s">
        <v>235</v>
      </c>
      <c r="C320">
        <v>200</v>
      </c>
      <c r="D320" s="2" t="e">
        <f>VLOOKUP(B320,装备!B:E,3,FALSE)</f>
        <v>#N/A</v>
      </c>
      <c r="E320" t="str">
        <f t="shared" si="7"/>
        <v>AddPrizeListEx(4,'I103',200)</v>
      </c>
    </row>
    <row r="321" spans="1:5">
      <c r="A321">
        <v>4</v>
      </c>
      <c r="B321" t="s">
        <v>236</v>
      </c>
      <c r="C321">
        <v>5</v>
      </c>
      <c r="D321" s="2" t="e">
        <f>VLOOKUP(B321,装备!B:E,3,FALSE)</f>
        <v>#N/A</v>
      </c>
      <c r="E321" t="str">
        <f t="shared" si="7"/>
        <v>AddPrizeListEx(4,'I104',5)</v>
      </c>
    </row>
    <row r="322" spans="1:5">
      <c r="A322">
        <v>4</v>
      </c>
      <c r="B322" t="s">
        <v>238</v>
      </c>
      <c r="C322">
        <v>200</v>
      </c>
      <c r="D322" s="2" t="e">
        <f>VLOOKUP(B322,装备!B:E,3,FALSE)</f>
        <v>#N/A</v>
      </c>
      <c r="E322" t="str">
        <f t="shared" si="7"/>
        <v>AddPrizeListEx(4,'I106',200)</v>
      </c>
    </row>
    <row r="323" spans="1:5">
      <c r="A323">
        <v>4</v>
      </c>
      <c r="B323" t="s">
        <v>239</v>
      </c>
      <c r="C323">
        <v>5</v>
      </c>
      <c r="D323" s="2" t="e">
        <f>VLOOKUP(B323,装备!B:E,3,FALSE)</f>
        <v>#N/A</v>
      </c>
      <c r="E323" t="str">
        <f t="shared" si="7"/>
        <v>AddPrizeListEx(4,'I107',5)</v>
      </c>
    </row>
    <row r="324" spans="1:5">
      <c r="A324">
        <v>4</v>
      </c>
      <c r="B324" t="s">
        <v>242</v>
      </c>
      <c r="C324">
        <v>200</v>
      </c>
      <c r="D324" s="2" t="e">
        <f>VLOOKUP(B324,装备!B:E,3,FALSE)</f>
        <v>#N/A</v>
      </c>
      <c r="E324" t="str">
        <f t="shared" si="7"/>
        <v>AddPrizeListEx(4,'I110',200)</v>
      </c>
    </row>
    <row r="325" spans="1:5">
      <c r="A325">
        <v>4</v>
      </c>
      <c r="B325" t="s">
        <v>243</v>
      </c>
      <c r="C325">
        <v>5</v>
      </c>
      <c r="D325" s="2" t="e">
        <f>VLOOKUP(B325,装备!B:E,3,FALSE)</f>
        <v>#N/A</v>
      </c>
      <c r="E325" t="str">
        <f t="shared" si="7"/>
        <v>AddPrizeListEx(4,'I111',5)</v>
      </c>
    </row>
    <row r="326" spans="1:5">
      <c r="A326">
        <v>4</v>
      </c>
      <c r="B326" t="s">
        <v>245</v>
      </c>
      <c r="C326">
        <v>200</v>
      </c>
      <c r="D326" s="2" t="e">
        <f>VLOOKUP(B326,装备!B:E,3,FALSE)</f>
        <v>#N/A</v>
      </c>
      <c r="E326" t="str">
        <f t="shared" si="7"/>
        <v>AddPrizeListEx(4,'I113',200)</v>
      </c>
    </row>
    <row r="327" spans="1:5">
      <c r="A327">
        <v>4</v>
      </c>
      <c r="B327" t="s">
        <v>246</v>
      </c>
      <c r="C327">
        <v>5</v>
      </c>
      <c r="D327" s="2" t="e">
        <f>VLOOKUP(B327,装备!B:E,3,FALSE)</f>
        <v>#N/A</v>
      </c>
      <c r="E327" t="str">
        <f t="shared" si="7"/>
        <v>AddPrizeListEx(4,'I114',5)</v>
      </c>
    </row>
    <row r="328" spans="1:5">
      <c r="A328">
        <v>4</v>
      </c>
      <c r="B328" t="s">
        <v>248</v>
      </c>
      <c r="C328">
        <v>200</v>
      </c>
      <c r="D328" s="2" t="e">
        <f>VLOOKUP(B328,装备!B:E,3,FALSE)</f>
        <v>#N/A</v>
      </c>
      <c r="E328" t="str">
        <f t="shared" si="7"/>
        <v>AddPrizeListEx(4,'I116',200)</v>
      </c>
    </row>
    <row r="329" spans="1:5">
      <c r="A329">
        <v>4</v>
      </c>
      <c r="B329" t="s">
        <v>249</v>
      </c>
      <c r="C329">
        <v>5</v>
      </c>
      <c r="D329" s="2" t="e">
        <f>VLOOKUP(B329,装备!B:E,3,FALSE)</f>
        <v>#N/A</v>
      </c>
      <c r="E329" t="str">
        <f t="shared" si="7"/>
        <v>AddPrizeListEx(4,'I117',5)</v>
      </c>
    </row>
    <row r="330" spans="1:5">
      <c r="A330">
        <v>4</v>
      </c>
      <c r="B330" t="s">
        <v>251</v>
      </c>
      <c r="C330">
        <v>200</v>
      </c>
      <c r="D330" s="2" t="e">
        <f>VLOOKUP(B330,装备!B:E,3,FALSE)</f>
        <v>#N/A</v>
      </c>
      <c r="E330" t="str">
        <f t="shared" si="7"/>
        <v>AddPrizeListEx(4,'I119',200)</v>
      </c>
    </row>
    <row r="331" spans="1:5">
      <c r="A331">
        <v>4</v>
      </c>
      <c r="B331" t="s">
        <v>252</v>
      </c>
      <c r="C331">
        <v>5</v>
      </c>
      <c r="D331" s="2" t="e">
        <f>VLOOKUP(B331,装备!B:E,3,FALSE)</f>
        <v>#N/A</v>
      </c>
      <c r="E331" t="str">
        <f t="shared" si="7"/>
        <v>AddPrizeListEx(4,'I120',5)</v>
      </c>
    </row>
    <row r="332" spans="1:5">
      <c r="A332">
        <v>4</v>
      </c>
      <c r="B332" t="s">
        <v>254</v>
      </c>
      <c r="C332">
        <v>200</v>
      </c>
      <c r="D332" s="2" t="e">
        <f>VLOOKUP(B332,装备!B:E,3,FALSE)</f>
        <v>#N/A</v>
      </c>
      <c r="E332" t="str">
        <f t="shared" si="7"/>
        <v>AddPrizeListEx(4,'I122',200)</v>
      </c>
    </row>
    <row r="333" spans="1:5">
      <c r="A333">
        <v>4</v>
      </c>
      <c r="B333" t="s">
        <v>255</v>
      </c>
      <c r="C333">
        <v>5</v>
      </c>
      <c r="D333" s="2" t="e">
        <f>VLOOKUP(B333,装备!B:E,3,FALSE)</f>
        <v>#N/A</v>
      </c>
      <c r="E333" t="str">
        <f t="shared" si="7"/>
        <v>AddPrizeListEx(4,'I123',5)</v>
      </c>
    </row>
    <row r="334" spans="1:5">
      <c r="A334">
        <v>4</v>
      </c>
      <c r="B334" t="s">
        <v>257</v>
      </c>
      <c r="C334">
        <v>200</v>
      </c>
      <c r="D334" s="2" t="e">
        <f>VLOOKUP(B334,装备!B:E,3,FALSE)</f>
        <v>#N/A</v>
      </c>
      <c r="E334" t="str">
        <f t="shared" si="7"/>
        <v>AddPrizeListEx(4,'I125',200)</v>
      </c>
    </row>
    <row r="335" spans="1:5">
      <c r="A335">
        <v>4</v>
      </c>
      <c r="B335" t="s">
        <v>258</v>
      </c>
      <c r="C335">
        <v>5</v>
      </c>
      <c r="D335" s="2" t="e">
        <f>VLOOKUP(B335,装备!B:E,3,FALSE)</f>
        <v>#N/A</v>
      </c>
      <c r="E335" t="str">
        <f t="shared" si="7"/>
        <v>AddPrizeListEx(4,'I126',5)</v>
      </c>
    </row>
    <row r="336" spans="1:5">
      <c r="A336">
        <v>4</v>
      </c>
      <c r="B336" t="s">
        <v>260</v>
      </c>
      <c r="C336">
        <v>200</v>
      </c>
      <c r="D336" s="2" t="e">
        <f>VLOOKUP(B336,装备!B:E,3,FALSE)</f>
        <v>#N/A</v>
      </c>
      <c r="E336" t="str">
        <f t="shared" si="7"/>
        <v>AddPrizeListEx(4,'I128',200)</v>
      </c>
    </row>
    <row r="337" spans="1:5">
      <c r="A337">
        <v>4</v>
      </c>
      <c r="B337" t="s">
        <v>261</v>
      </c>
      <c r="C337">
        <v>5</v>
      </c>
      <c r="D337" s="2" t="e">
        <f>VLOOKUP(B337,装备!B:E,3,FALSE)</f>
        <v>#N/A</v>
      </c>
      <c r="E337" t="str">
        <f t="shared" si="7"/>
        <v>AddPrizeListEx(4,'I129',5)</v>
      </c>
    </row>
    <row r="338" spans="1:5">
      <c r="A338">
        <v>4</v>
      </c>
      <c r="B338" t="s">
        <v>263</v>
      </c>
      <c r="C338">
        <v>200</v>
      </c>
      <c r="D338" s="2" t="e">
        <f>VLOOKUP(B338,装备!B:E,3,FALSE)</f>
        <v>#N/A</v>
      </c>
      <c r="E338" t="str">
        <f t="shared" si="7"/>
        <v>AddPrizeListEx(4,'I131',200)</v>
      </c>
    </row>
    <row r="339" spans="1:5">
      <c r="A339">
        <v>4</v>
      </c>
      <c r="B339" t="s">
        <v>264</v>
      </c>
      <c r="C339">
        <v>5</v>
      </c>
      <c r="D339" s="2" t="e">
        <f>VLOOKUP(B339,装备!B:E,3,FALSE)</f>
        <v>#N/A</v>
      </c>
      <c r="E339" t="str">
        <f t="shared" si="7"/>
        <v>AddPrizeListEx(4,'I132',5)</v>
      </c>
    </row>
    <row r="340" spans="1:5">
      <c r="A340">
        <v>4</v>
      </c>
      <c r="B340" t="s">
        <v>265</v>
      </c>
      <c r="C340">
        <v>300</v>
      </c>
      <c r="D340" s="2" t="e">
        <f>VLOOKUP(B340,装备!B:E,3,FALSE)</f>
        <v>#N/A</v>
      </c>
      <c r="E340" t="str">
        <f t="shared" si="7"/>
        <v>AddPrizeListEx(4,'I133',300)</v>
      </c>
    </row>
    <row r="341" spans="1:5">
      <c r="A341">
        <v>4</v>
      </c>
      <c r="B341" t="s">
        <v>266</v>
      </c>
      <c r="C341">
        <v>200</v>
      </c>
      <c r="D341" s="2" t="e">
        <f>VLOOKUP(B341,装备!B:E,3,FALSE)</f>
        <v>#N/A</v>
      </c>
      <c r="E341" t="str">
        <f t="shared" si="7"/>
        <v>AddPrizeListEx(4,'I134',200)</v>
      </c>
    </row>
    <row r="342" spans="1:5">
      <c r="A342">
        <v>4</v>
      </c>
      <c r="B342" t="s">
        <v>267</v>
      </c>
      <c r="C342">
        <v>5</v>
      </c>
      <c r="D342" s="2" t="e">
        <f>VLOOKUP(B342,装备!B:E,3,FALSE)</f>
        <v>#N/A</v>
      </c>
      <c r="E342" t="str">
        <f t="shared" si="7"/>
        <v>AddPrizeListEx(4,'I135',5)</v>
      </c>
    </row>
    <row r="343" spans="1:5">
      <c r="A343">
        <v>4</v>
      </c>
      <c r="B343" t="s">
        <v>268</v>
      </c>
      <c r="C343">
        <v>200</v>
      </c>
      <c r="D343" s="2" t="e">
        <f>VLOOKUP(B343,装备!B:E,3,FALSE)</f>
        <v>#N/A</v>
      </c>
      <c r="E343" t="str">
        <f t="shared" si="7"/>
        <v>AddPrizeListEx(4,'I136',200)</v>
      </c>
    </row>
    <row r="344" spans="1:5">
      <c r="A344">
        <v>4</v>
      </c>
      <c r="B344" t="s">
        <v>270</v>
      </c>
      <c r="C344">
        <v>200</v>
      </c>
      <c r="D344" s="2" t="e">
        <f>VLOOKUP(B344,装备!B:E,3,FALSE)</f>
        <v>#N/A</v>
      </c>
      <c r="E344" t="str">
        <f t="shared" si="7"/>
        <v>AddPrizeListEx(4,'I138',200)</v>
      </c>
    </row>
    <row r="345" spans="1:5">
      <c r="A345">
        <v>4</v>
      </c>
      <c r="B345" t="s">
        <v>271</v>
      </c>
      <c r="C345">
        <v>200</v>
      </c>
      <c r="D345" s="2" t="e">
        <f>VLOOKUP(B345,装备!B:E,3,FALSE)</f>
        <v>#N/A</v>
      </c>
      <c r="E345" t="str">
        <f t="shared" si="7"/>
        <v>AddPrizeListEx(4,'I139',200)</v>
      </c>
    </row>
    <row r="346" spans="1:5">
      <c r="A346">
        <v>4</v>
      </c>
      <c r="B346" t="s">
        <v>273</v>
      </c>
      <c r="C346">
        <v>200</v>
      </c>
      <c r="D346" s="2" t="e">
        <f>VLOOKUP(B346,装备!B:E,3,FALSE)</f>
        <v>#N/A</v>
      </c>
      <c r="E346" t="str">
        <f t="shared" si="7"/>
        <v>AddPrizeListEx(4,'I141',200)</v>
      </c>
    </row>
    <row r="347" spans="1:5">
      <c r="A347">
        <v>4</v>
      </c>
      <c r="B347" t="s">
        <v>274</v>
      </c>
      <c r="C347">
        <v>5</v>
      </c>
      <c r="D347" s="2" t="e">
        <f>VLOOKUP(B347,装备!B:E,3,FALSE)</f>
        <v>#N/A</v>
      </c>
      <c r="E347" t="str">
        <f t="shared" ref="E347:E410" si="8">IF(B347&lt;&gt;"","AddPrizeListEx("&amp;A347&amp;",'"&amp;B347&amp;"',"&amp;C347&amp;")","")</f>
        <v>AddPrizeListEx(4,'I142',5)</v>
      </c>
    </row>
    <row r="348" spans="1:5">
      <c r="A348">
        <v>4</v>
      </c>
      <c r="B348" t="s">
        <v>276</v>
      </c>
      <c r="C348">
        <v>200</v>
      </c>
      <c r="D348" s="2" t="e">
        <f>VLOOKUP(B348,装备!B:E,3,FALSE)</f>
        <v>#N/A</v>
      </c>
      <c r="E348" t="str">
        <f t="shared" si="8"/>
        <v>AddPrizeListEx(4,'I144',200)</v>
      </c>
    </row>
    <row r="349" spans="1:5">
      <c r="A349">
        <v>4</v>
      </c>
      <c r="B349" t="s">
        <v>277</v>
      </c>
      <c r="C349">
        <v>5</v>
      </c>
      <c r="D349" s="2" t="e">
        <f>VLOOKUP(B349,装备!B:E,3,FALSE)</f>
        <v>#N/A</v>
      </c>
      <c r="E349" t="str">
        <f t="shared" si="8"/>
        <v>AddPrizeListEx(4,'I145',5)</v>
      </c>
    </row>
    <row r="350" spans="1:5">
      <c r="A350">
        <v>4</v>
      </c>
      <c r="B350" t="s">
        <v>279</v>
      </c>
      <c r="C350">
        <v>200</v>
      </c>
      <c r="D350" s="2" t="e">
        <f>VLOOKUP(B350,装备!B:E,3,FALSE)</f>
        <v>#N/A</v>
      </c>
      <c r="E350" t="str">
        <f t="shared" si="8"/>
        <v>AddPrizeListEx(4,'I147',200)</v>
      </c>
    </row>
    <row r="351" spans="1:5">
      <c r="A351">
        <v>4</v>
      </c>
      <c r="B351" t="s">
        <v>280</v>
      </c>
      <c r="C351">
        <v>5</v>
      </c>
      <c r="D351" s="2" t="e">
        <f>VLOOKUP(B351,装备!B:E,3,FALSE)</f>
        <v>#N/A</v>
      </c>
      <c r="E351" t="str">
        <f t="shared" si="8"/>
        <v>AddPrizeListEx(4,'I148',5)</v>
      </c>
    </row>
    <row r="352" spans="1:5">
      <c r="A352">
        <v>4</v>
      </c>
      <c r="B352" t="s">
        <v>222</v>
      </c>
      <c r="C352">
        <v>100</v>
      </c>
      <c r="D352" s="2" t="e">
        <f>VLOOKUP(B352,装备!B:E,3,FALSE)</f>
        <v>#N/A</v>
      </c>
      <c r="E352" t="str">
        <f t="shared" si="8"/>
        <v>AddPrizeListEx(4,'E512',100)</v>
      </c>
    </row>
    <row r="353" spans="1:5">
      <c r="A353">
        <v>4</v>
      </c>
      <c r="B353" t="s">
        <v>223</v>
      </c>
      <c r="C353">
        <v>100</v>
      </c>
      <c r="D353" s="2" t="e">
        <f>VLOOKUP(B353,装备!B:E,3,FALSE)</f>
        <v>#N/A</v>
      </c>
      <c r="E353" t="str">
        <f t="shared" si="8"/>
        <v>AddPrizeListEx(4,'E513',100)</v>
      </c>
    </row>
    <row r="354" spans="1:5">
      <c r="A354">
        <v>4</v>
      </c>
      <c r="B354" t="s">
        <v>224</v>
      </c>
      <c r="C354">
        <v>100</v>
      </c>
      <c r="D354" s="2" t="e">
        <f>VLOOKUP(B354,装备!B:E,3,FALSE)</f>
        <v>#N/A</v>
      </c>
      <c r="E354" t="str">
        <f t="shared" si="8"/>
        <v>AddPrizeListEx(4,'E514',100)</v>
      </c>
    </row>
    <row r="355" spans="1:5">
      <c r="A355">
        <v>4</v>
      </c>
      <c r="B355" t="s">
        <v>225</v>
      </c>
      <c r="C355">
        <v>100</v>
      </c>
      <c r="D355" s="2" t="e">
        <f>VLOOKUP(B355,装备!B:E,3,FALSE)</f>
        <v>#N/A</v>
      </c>
      <c r="E355" t="str">
        <f t="shared" si="8"/>
        <v>AddPrizeListEx(4,'E515',100)</v>
      </c>
    </row>
    <row r="356" spans="1:5">
      <c r="A356">
        <v>4</v>
      </c>
      <c r="B356" t="s">
        <v>226</v>
      </c>
      <c r="C356">
        <v>100</v>
      </c>
      <c r="D356" s="2" t="e">
        <f>VLOOKUP(B356,装备!B:E,3,FALSE)</f>
        <v>#N/A</v>
      </c>
      <c r="E356" t="str">
        <f t="shared" si="8"/>
        <v>AddPrizeListEx(4,'E517',100)</v>
      </c>
    </row>
    <row r="357" spans="1:5">
      <c r="A357">
        <v>4</v>
      </c>
      <c r="B357" t="s">
        <v>227</v>
      </c>
      <c r="C357">
        <v>100</v>
      </c>
      <c r="D357" s="2" t="e">
        <f>VLOOKUP(B357,装备!B:E,3,FALSE)</f>
        <v>#N/A</v>
      </c>
      <c r="E357" t="str">
        <f t="shared" si="8"/>
        <v>AddPrizeListEx(4,'E518',100)</v>
      </c>
    </row>
    <row r="358" spans="1:5">
      <c r="A358">
        <v>4</v>
      </c>
      <c r="B358" t="s">
        <v>228</v>
      </c>
      <c r="C358">
        <v>100</v>
      </c>
      <c r="D358" s="2" t="e">
        <f>VLOOKUP(B358,装备!B:E,3,FALSE)</f>
        <v>#N/A</v>
      </c>
      <c r="E358" t="str">
        <f t="shared" si="8"/>
        <v>AddPrizeListEx(4,'E519',100)</v>
      </c>
    </row>
    <row r="359" spans="1:5">
      <c r="A359">
        <v>4</v>
      </c>
      <c r="B359" t="s">
        <v>229</v>
      </c>
      <c r="C359">
        <v>100</v>
      </c>
      <c r="D359" s="2" t="e">
        <f>VLOOKUP(B359,装备!B:E,3,FALSE)</f>
        <v>#N/A</v>
      </c>
      <c r="E359" t="str">
        <f t="shared" si="8"/>
        <v>AddPrizeListEx(4,'E520',100)</v>
      </c>
    </row>
    <row r="360" spans="1:5">
      <c r="A360">
        <v>4</v>
      </c>
      <c r="B360" t="s">
        <v>230</v>
      </c>
      <c r="C360">
        <v>10</v>
      </c>
      <c r="D360" s="2" t="e">
        <f>VLOOKUP(B360,装备!B:E,3,FALSE)</f>
        <v>#N/A</v>
      </c>
      <c r="E360" t="str">
        <f t="shared" si="8"/>
        <v>AddPrizeListEx(4,'E522',10)</v>
      </c>
    </row>
    <row r="361" spans="1:5">
      <c r="A361">
        <v>4</v>
      </c>
      <c r="B361" t="s">
        <v>231</v>
      </c>
      <c r="C361">
        <v>10</v>
      </c>
      <c r="D361" s="2" t="e">
        <f>VLOOKUP(B361,装备!B:E,3,FALSE)</f>
        <v>#N/A</v>
      </c>
      <c r="E361" t="str">
        <f t="shared" si="8"/>
        <v>AddPrizeListEx(4,'E523',10)</v>
      </c>
    </row>
    <row r="362" spans="1:5">
      <c r="A362">
        <v>4</v>
      </c>
      <c r="B362" t="s">
        <v>232</v>
      </c>
      <c r="C362">
        <v>10</v>
      </c>
      <c r="D362" s="2" t="e">
        <f>VLOOKUP(B362,装备!B:E,3,FALSE)</f>
        <v>#N/A</v>
      </c>
      <c r="E362" t="str">
        <f t="shared" si="8"/>
        <v>AddPrizeListEx(4,'E524',10)</v>
      </c>
    </row>
    <row r="363" spans="1:5">
      <c r="A363">
        <v>4</v>
      </c>
      <c r="B363" t="s">
        <v>366</v>
      </c>
      <c r="C363">
        <v>10</v>
      </c>
      <c r="D363" s="2" t="e">
        <f>VLOOKUP(B363,装备!B:E,3,FALSE)</f>
        <v>#N/A</v>
      </c>
      <c r="E363" t="str">
        <f t="shared" si="8"/>
        <v>AddPrizeListEx(4,'E525',10)</v>
      </c>
    </row>
    <row r="364" spans="1:5">
      <c r="A364">
        <v>4</v>
      </c>
      <c r="B364" t="s">
        <v>367</v>
      </c>
      <c r="C364">
        <v>10</v>
      </c>
      <c r="D364" s="2" t="e">
        <f>VLOOKUP(B364,装备!B:E,3,FALSE)</f>
        <v>#N/A</v>
      </c>
      <c r="E364" t="str">
        <f t="shared" si="8"/>
        <v>AddPrizeListEx(4,'E527',10)</v>
      </c>
    </row>
    <row r="365" spans="1:5">
      <c r="A365">
        <v>4</v>
      </c>
      <c r="B365" t="s">
        <v>368</v>
      </c>
      <c r="C365">
        <v>10</v>
      </c>
      <c r="D365" s="2" t="e">
        <f>VLOOKUP(B365,装备!B:E,3,FALSE)</f>
        <v>#N/A</v>
      </c>
      <c r="E365" t="str">
        <f t="shared" si="8"/>
        <v>AddPrizeListEx(4,'E528',10)</v>
      </c>
    </row>
    <row r="366" spans="1:5">
      <c r="A366">
        <v>4</v>
      </c>
      <c r="B366" t="s">
        <v>369</v>
      </c>
      <c r="C366">
        <v>10</v>
      </c>
      <c r="D366" s="2" t="e">
        <f>VLOOKUP(B366,装备!B:E,3,FALSE)</f>
        <v>#N/A</v>
      </c>
      <c r="E366" t="str">
        <f t="shared" si="8"/>
        <v>AddPrizeListEx(4,'E529',10)</v>
      </c>
    </row>
    <row r="367" spans="1:5">
      <c r="A367">
        <v>4</v>
      </c>
      <c r="B367" t="s">
        <v>370</v>
      </c>
      <c r="C367">
        <v>10</v>
      </c>
      <c r="D367" s="2" t="e">
        <f>VLOOKUP(B367,装备!B:E,3,FALSE)</f>
        <v>#N/A</v>
      </c>
      <c r="E367" t="str">
        <f t="shared" si="8"/>
        <v>AddPrizeListEx(4,'E530',10)</v>
      </c>
    </row>
    <row r="368" spans="1:5">
      <c r="A368">
        <v>5</v>
      </c>
      <c r="B368" t="s">
        <v>371</v>
      </c>
      <c r="C368">
        <v>2000</v>
      </c>
      <c r="D368" s="2" t="e">
        <f>VLOOKUP(B368,装备!B:E,3,FALSE)</f>
        <v>#N/A</v>
      </c>
      <c r="E368" t="str">
        <f t="shared" si="8"/>
        <v>AddPrizeListEx(5,'Z011',2000)</v>
      </c>
    </row>
    <row r="369" spans="1:5">
      <c r="A369">
        <v>5</v>
      </c>
      <c r="B369" t="s">
        <v>308</v>
      </c>
      <c r="C369">
        <v>100</v>
      </c>
      <c r="D369" s="2" t="e">
        <f>VLOOKUP(B369,装备!B:E,3,FALSE)</f>
        <v>#N/A</v>
      </c>
      <c r="E369" t="str">
        <f t="shared" si="8"/>
        <v>AddPrizeListEx(5,'Z012',100)</v>
      </c>
    </row>
    <row r="370" spans="1:5">
      <c r="A370">
        <v>5</v>
      </c>
      <c r="B370" t="s">
        <v>372</v>
      </c>
      <c r="C370">
        <v>2000</v>
      </c>
      <c r="D370" s="2" t="e">
        <f>VLOOKUP(B370,装备!B:E,3,FALSE)</f>
        <v>#N/A</v>
      </c>
      <c r="E370" t="str">
        <f t="shared" si="8"/>
        <v>AddPrizeListEx(5,'Z021',2000)</v>
      </c>
    </row>
    <row r="371" spans="1:5">
      <c r="A371">
        <v>5</v>
      </c>
      <c r="B371" t="s">
        <v>310</v>
      </c>
      <c r="C371">
        <v>100</v>
      </c>
      <c r="D371" s="2" t="e">
        <f>VLOOKUP(B371,装备!B:E,3,FALSE)</f>
        <v>#N/A</v>
      </c>
      <c r="E371" t="str">
        <f t="shared" si="8"/>
        <v>AddPrizeListEx(5,'Z022',100)</v>
      </c>
    </row>
    <row r="372" spans="1:5">
      <c r="A372">
        <v>5</v>
      </c>
      <c r="B372" t="s">
        <v>373</v>
      </c>
      <c r="C372">
        <v>2000</v>
      </c>
      <c r="D372" s="2" t="e">
        <f>VLOOKUP(B372,装备!B:E,3,FALSE)</f>
        <v>#N/A</v>
      </c>
      <c r="E372" t="str">
        <f t="shared" si="8"/>
        <v>AddPrizeListEx(5,'Z031',2000)</v>
      </c>
    </row>
    <row r="373" spans="1:5">
      <c r="A373">
        <v>5</v>
      </c>
      <c r="B373" t="s">
        <v>312</v>
      </c>
      <c r="C373">
        <v>100</v>
      </c>
      <c r="D373" s="2" t="e">
        <f>VLOOKUP(B373,装备!B:E,3,FALSE)</f>
        <v>#N/A</v>
      </c>
      <c r="E373" t="str">
        <f t="shared" si="8"/>
        <v>AddPrizeListEx(5,'Z032',100)</v>
      </c>
    </row>
    <row r="374" spans="1:5">
      <c r="A374">
        <v>5</v>
      </c>
      <c r="B374" t="s">
        <v>374</v>
      </c>
      <c r="C374">
        <v>2000</v>
      </c>
      <c r="D374" s="2" t="e">
        <f>VLOOKUP(B374,装备!B:E,3,FALSE)</f>
        <v>#N/A</v>
      </c>
      <c r="E374" t="str">
        <f t="shared" si="8"/>
        <v>AddPrizeListEx(5,'Z041',2000)</v>
      </c>
    </row>
    <row r="375" spans="1:5">
      <c r="A375">
        <v>5</v>
      </c>
      <c r="B375" t="s">
        <v>314</v>
      </c>
      <c r="C375">
        <v>100</v>
      </c>
      <c r="D375" s="2" t="e">
        <f>VLOOKUP(B375,装备!B:E,3,FALSE)</f>
        <v>#N/A</v>
      </c>
      <c r="E375" t="str">
        <f t="shared" si="8"/>
        <v>AddPrizeListEx(5,'Z042',100)</v>
      </c>
    </row>
    <row r="376" spans="1:5">
      <c r="A376">
        <v>5</v>
      </c>
      <c r="B376" t="s">
        <v>375</v>
      </c>
      <c r="C376">
        <v>2000</v>
      </c>
      <c r="D376" s="2" t="e">
        <f>VLOOKUP(B376,装备!B:E,3,FALSE)</f>
        <v>#N/A</v>
      </c>
      <c r="E376" t="str">
        <f t="shared" si="8"/>
        <v>AddPrizeListEx(5,'Z051',2000)</v>
      </c>
    </row>
    <row r="377" spans="1:5">
      <c r="A377">
        <v>5</v>
      </c>
      <c r="B377" t="s">
        <v>316</v>
      </c>
      <c r="C377">
        <v>100</v>
      </c>
      <c r="D377" s="2" t="e">
        <f>VLOOKUP(B377,装备!B:E,3,FALSE)</f>
        <v>#N/A</v>
      </c>
      <c r="E377" t="str">
        <f t="shared" si="8"/>
        <v>AddPrizeListEx(5,'Z052',100)</v>
      </c>
    </row>
    <row r="378" spans="1:5">
      <c r="A378">
        <v>5</v>
      </c>
      <c r="B378" t="s">
        <v>376</v>
      </c>
      <c r="C378">
        <v>2000</v>
      </c>
      <c r="D378" s="2" t="e">
        <f>VLOOKUP(B378,装备!B:E,3,FALSE)</f>
        <v>#N/A</v>
      </c>
      <c r="E378" t="str">
        <f t="shared" si="8"/>
        <v>AddPrizeListEx(5,'Z061',2000)</v>
      </c>
    </row>
    <row r="379" spans="1:5">
      <c r="A379">
        <v>5</v>
      </c>
      <c r="B379" t="s">
        <v>318</v>
      </c>
      <c r="C379">
        <v>100</v>
      </c>
      <c r="D379" s="2" t="e">
        <f>VLOOKUP(B379,装备!B:E,3,FALSE)</f>
        <v>#N/A</v>
      </c>
      <c r="E379" t="str">
        <f t="shared" si="8"/>
        <v>AddPrizeListEx(5,'Z062',100)</v>
      </c>
    </row>
    <row r="380" spans="1:5">
      <c r="A380">
        <v>5</v>
      </c>
      <c r="B380" t="s">
        <v>377</v>
      </c>
      <c r="C380">
        <v>2000</v>
      </c>
      <c r="D380" s="2" t="e">
        <f>VLOOKUP(B380,装备!B:E,3,FALSE)</f>
        <v>#N/A</v>
      </c>
      <c r="E380" t="str">
        <f t="shared" si="8"/>
        <v>AddPrizeListEx(5,'Z071',2000)</v>
      </c>
    </row>
    <row r="381" spans="1:5">
      <c r="A381">
        <v>5</v>
      </c>
      <c r="B381" t="s">
        <v>320</v>
      </c>
      <c r="C381">
        <v>100</v>
      </c>
      <c r="D381" s="2" t="e">
        <f>VLOOKUP(B381,装备!B:E,3,FALSE)</f>
        <v>#N/A</v>
      </c>
      <c r="E381" t="str">
        <f t="shared" si="8"/>
        <v>AddPrizeListEx(5,'Z072',100)</v>
      </c>
    </row>
    <row r="382" spans="1:5">
      <c r="A382">
        <v>5</v>
      </c>
      <c r="B382" t="s">
        <v>378</v>
      </c>
      <c r="C382">
        <v>2000</v>
      </c>
      <c r="D382" s="2" t="e">
        <f>VLOOKUP(B382,装备!B:E,3,FALSE)</f>
        <v>#N/A</v>
      </c>
      <c r="E382" t="str">
        <f t="shared" si="8"/>
        <v>AddPrizeListEx(5,'Z081',2000)</v>
      </c>
    </row>
    <row r="383" spans="1:5">
      <c r="A383">
        <v>5</v>
      </c>
      <c r="B383" t="s">
        <v>322</v>
      </c>
      <c r="C383">
        <v>100</v>
      </c>
      <c r="D383" s="2" t="e">
        <f>VLOOKUP(B383,装备!B:E,3,FALSE)</f>
        <v>#N/A</v>
      </c>
      <c r="E383" t="str">
        <f t="shared" si="8"/>
        <v>AddPrizeListEx(5,'Z082',100)</v>
      </c>
    </row>
    <row r="384" spans="1:5">
      <c r="A384">
        <v>5</v>
      </c>
      <c r="B384" t="s">
        <v>379</v>
      </c>
      <c r="C384">
        <v>2000</v>
      </c>
      <c r="D384" s="2" t="e">
        <f>VLOOKUP(B384,装备!B:E,3,FALSE)</f>
        <v>#N/A</v>
      </c>
      <c r="E384" t="str">
        <f t="shared" si="8"/>
        <v>AddPrizeListEx(5,'Z091',2000)</v>
      </c>
    </row>
    <row r="385" spans="1:5">
      <c r="A385">
        <v>5</v>
      </c>
      <c r="B385" t="s">
        <v>324</v>
      </c>
      <c r="C385">
        <v>100</v>
      </c>
      <c r="D385" s="2" t="e">
        <f>VLOOKUP(B385,装备!B:E,3,FALSE)</f>
        <v>#N/A</v>
      </c>
      <c r="E385" t="str">
        <f t="shared" si="8"/>
        <v>AddPrizeListEx(5,'Z092',100)</v>
      </c>
    </row>
    <row r="386" spans="1:5">
      <c r="A386">
        <v>5</v>
      </c>
      <c r="B386" t="s">
        <v>380</v>
      </c>
      <c r="C386">
        <v>2000</v>
      </c>
      <c r="D386" s="2" t="e">
        <f>VLOOKUP(B386,装备!B:E,3,FALSE)</f>
        <v>#N/A</v>
      </c>
      <c r="E386" t="str">
        <f t="shared" si="8"/>
        <v>AddPrizeListEx(5,'Z101',2000)</v>
      </c>
    </row>
    <row r="387" spans="1:5">
      <c r="A387">
        <v>5</v>
      </c>
      <c r="B387" t="s">
        <v>326</v>
      </c>
      <c r="C387">
        <v>100</v>
      </c>
      <c r="D387" s="2" t="e">
        <f>VLOOKUP(B387,装备!B:E,3,FALSE)</f>
        <v>#N/A</v>
      </c>
      <c r="E387" t="str">
        <f t="shared" si="8"/>
        <v>AddPrizeListEx(5,'Z102',100)</v>
      </c>
    </row>
    <row r="388" spans="1:5">
      <c r="A388">
        <v>5</v>
      </c>
      <c r="B388" t="s">
        <v>381</v>
      </c>
      <c r="C388">
        <v>2000</v>
      </c>
      <c r="D388" s="2" t="e">
        <f>VLOOKUP(B388,装备!B:E,3,FALSE)</f>
        <v>#N/A</v>
      </c>
      <c r="E388" t="str">
        <f t="shared" si="8"/>
        <v>AddPrizeListEx(5,'Z111',2000)</v>
      </c>
    </row>
    <row r="389" spans="1:5">
      <c r="A389">
        <v>5</v>
      </c>
      <c r="B389" t="s">
        <v>328</v>
      </c>
      <c r="C389">
        <v>100</v>
      </c>
      <c r="D389" s="2" t="e">
        <f>VLOOKUP(B389,装备!B:E,3,FALSE)</f>
        <v>#N/A</v>
      </c>
      <c r="E389" t="str">
        <f t="shared" si="8"/>
        <v>AddPrizeListEx(5,'Z112',100)</v>
      </c>
    </row>
    <row r="390" spans="1:5">
      <c r="A390">
        <v>5</v>
      </c>
      <c r="B390" t="s">
        <v>382</v>
      </c>
      <c r="C390">
        <v>2000</v>
      </c>
      <c r="D390" s="2" t="e">
        <f>VLOOKUP(B390,装备!B:E,3,FALSE)</f>
        <v>#N/A</v>
      </c>
      <c r="E390" t="str">
        <f t="shared" si="8"/>
        <v>AddPrizeListEx(5,'Z121',2000)</v>
      </c>
    </row>
    <row r="391" spans="1:5">
      <c r="A391">
        <v>5</v>
      </c>
      <c r="B391" t="s">
        <v>330</v>
      </c>
      <c r="C391">
        <v>100</v>
      </c>
      <c r="D391" s="2" t="e">
        <f>VLOOKUP(B391,装备!B:E,3,FALSE)</f>
        <v>#N/A</v>
      </c>
      <c r="E391" t="str">
        <f t="shared" si="8"/>
        <v>AddPrizeListEx(5,'Z122',100)</v>
      </c>
    </row>
    <row r="392" spans="1:5">
      <c r="A392">
        <v>5</v>
      </c>
      <c r="B392" t="s">
        <v>383</v>
      </c>
      <c r="C392">
        <v>2000</v>
      </c>
      <c r="D392" s="2" t="e">
        <f>VLOOKUP(B392,装备!B:E,3,FALSE)</f>
        <v>#N/A</v>
      </c>
      <c r="E392" t="str">
        <f t="shared" si="8"/>
        <v>AddPrizeListEx(5,'Z131',2000)</v>
      </c>
    </row>
    <row r="393" spans="1:5">
      <c r="A393">
        <v>5</v>
      </c>
      <c r="B393" t="s">
        <v>332</v>
      </c>
      <c r="C393">
        <v>100</v>
      </c>
      <c r="D393" s="2" t="e">
        <f>VLOOKUP(B393,装备!B:E,3,FALSE)</f>
        <v>#N/A</v>
      </c>
      <c r="E393" t="str">
        <f t="shared" si="8"/>
        <v>AddPrizeListEx(5,'Z132',100)</v>
      </c>
    </row>
    <row r="394" spans="1:5">
      <c r="A394">
        <v>5</v>
      </c>
      <c r="B394" t="s">
        <v>384</v>
      </c>
      <c r="C394">
        <v>2000</v>
      </c>
      <c r="D394" s="2" t="e">
        <f>VLOOKUP(B394,装备!B:E,3,FALSE)</f>
        <v>#N/A</v>
      </c>
      <c r="E394" t="str">
        <f t="shared" si="8"/>
        <v>AddPrizeListEx(5,'Z141',2000)</v>
      </c>
    </row>
    <row r="395" spans="1:5">
      <c r="A395">
        <v>5</v>
      </c>
      <c r="B395" t="s">
        <v>334</v>
      </c>
      <c r="C395">
        <v>100</v>
      </c>
      <c r="D395" s="2" t="e">
        <f>VLOOKUP(B395,装备!B:E,3,FALSE)</f>
        <v>#N/A</v>
      </c>
      <c r="E395" t="str">
        <f t="shared" si="8"/>
        <v>AddPrizeListEx(5,'Z142',100)</v>
      </c>
    </row>
    <row r="396" spans="1:5">
      <c r="A396">
        <v>5</v>
      </c>
      <c r="B396" t="s">
        <v>385</v>
      </c>
      <c r="C396">
        <v>2000</v>
      </c>
      <c r="D396" s="2" t="e">
        <f>VLOOKUP(B396,装备!B:E,3,FALSE)</f>
        <v>#N/A</v>
      </c>
      <c r="E396" t="str">
        <f t="shared" si="8"/>
        <v>AddPrizeListEx(5,'Z151',2000)</v>
      </c>
    </row>
    <row r="397" spans="1:5">
      <c r="A397">
        <v>5</v>
      </c>
      <c r="B397" t="s">
        <v>336</v>
      </c>
      <c r="C397">
        <v>100</v>
      </c>
      <c r="D397" s="2" t="e">
        <f>VLOOKUP(B397,装备!B:E,3,FALSE)</f>
        <v>#N/A</v>
      </c>
      <c r="E397" t="str">
        <f t="shared" si="8"/>
        <v>AddPrizeListEx(5,'Z152',100)</v>
      </c>
    </row>
    <row r="398" spans="1:5">
      <c r="A398">
        <v>5</v>
      </c>
      <c r="B398" t="s">
        <v>386</v>
      </c>
      <c r="C398">
        <v>2000</v>
      </c>
      <c r="D398" s="2" t="e">
        <f>VLOOKUP(B398,装备!B:E,3,FALSE)</f>
        <v>#N/A</v>
      </c>
      <c r="E398" t="str">
        <f t="shared" si="8"/>
        <v>AddPrizeListEx(5,'Z161',2000)</v>
      </c>
    </row>
    <row r="399" spans="1:5">
      <c r="A399">
        <v>5</v>
      </c>
      <c r="B399" t="s">
        <v>338</v>
      </c>
      <c r="C399">
        <v>100</v>
      </c>
      <c r="D399" s="2" t="e">
        <f>VLOOKUP(B399,装备!B:E,3,FALSE)</f>
        <v>#N/A</v>
      </c>
      <c r="E399" t="str">
        <f t="shared" si="8"/>
        <v>AddPrizeListEx(5,'Z162',100)</v>
      </c>
    </row>
    <row r="400" spans="1:5">
      <c r="A400">
        <v>5</v>
      </c>
      <c r="B400" t="s">
        <v>387</v>
      </c>
      <c r="C400">
        <v>2000</v>
      </c>
      <c r="D400" s="2" t="e">
        <f>VLOOKUP(B400,装备!B:E,3,FALSE)</f>
        <v>#N/A</v>
      </c>
      <c r="E400" t="str">
        <f t="shared" si="8"/>
        <v>AddPrizeListEx(5,'Z171',2000)</v>
      </c>
    </row>
    <row r="401" spans="1:5">
      <c r="A401">
        <v>5</v>
      </c>
      <c r="B401" t="s">
        <v>340</v>
      </c>
      <c r="C401">
        <v>100</v>
      </c>
      <c r="D401" s="2" t="e">
        <f>VLOOKUP(B401,装备!B:E,3,FALSE)</f>
        <v>#N/A</v>
      </c>
      <c r="E401" t="str">
        <f t="shared" si="8"/>
        <v>AddPrizeListEx(5,'Z172',100)</v>
      </c>
    </row>
    <row r="402" spans="1:5">
      <c r="A402">
        <v>5</v>
      </c>
      <c r="B402" t="s">
        <v>388</v>
      </c>
      <c r="C402">
        <v>2000</v>
      </c>
      <c r="D402" s="2" t="e">
        <f>VLOOKUP(B402,装备!B:E,3,FALSE)</f>
        <v>#N/A</v>
      </c>
      <c r="E402" t="str">
        <f t="shared" si="8"/>
        <v>AddPrizeListEx(5,'Z181',2000)</v>
      </c>
    </row>
    <row r="403" spans="1:5">
      <c r="A403">
        <v>5</v>
      </c>
      <c r="B403" t="s">
        <v>342</v>
      </c>
      <c r="C403">
        <v>100</v>
      </c>
      <c r="D403" s="2" t="e">
        <f>VLOOKUP(B403,装备!B:E,3,FALSE)</f>
        <v>#N/A</v>
      </c>
      <c r="E403" t="str">
        <f t="shared" si="8"/>
        <v>AddPrizeListEx(5,'Z182',100)</v>
      </c>
    </row>
    <row r="404" spans="1:5">
      <c r="A404">
        <v>5</v>
      </c>
      <c r="B404" t="s">
        <v>389</v>
      </c>
      <c r="C404">
        <v>2000</v>
      </c>
      <c r="D404" s="2" t="e">
        <f>VLOOKUP(B404,装备!B:E,3,FALSE)</f>
        <v>#N/A</v>
      </c>
      <c r="E404" t="str">
        <f t="shared" si="8"/>
        <v>AddPrizeListEx(5,'Z191',2000)</v>
      </c>
    </row>
    <row r="405" spans="1:5">
      <c r="A405">
        <v>5</v>
      </c>
      <c r="B405" t="s">
        <v>344</v>
      </c>
      <c r="C405">
        <v>100</v>
      </c>
      <c r="D405" s="2" t="e">
        <f>VLOOKUP(B405,装备!B:E,3,FALSE)</f>
        <v>#N/A</v>
      </c>
      <c r="E405" t="str">
        <f t="shared" si="8"/>
        <v>AddPrizeListEx(5,'Z192',100)</v>
      </c>
    </row>
    <row r="406" spans="1:5">
      <c r="A406">
        <v>5</v>
      </c>
      <c r="B406" t="s">
        <v>390</v>
      </c>
      <c r="C406">
        <v>2000</v>
      </c>
      <c r="D406" s="2" t="e">
        <f>VLOOKUP(B406,装备!B:E,3,FALSE)</f>
        <v>#N/A</v>
      </c>
      <c r="E406" t="str">
        <f t="shared" si="8"/>
        <v>AddPrizeListEx(5,'Z201',2000)</v>
      </c>
    </row>
    <row r="407" spans="1:5">
      <c r="A407">
        <v>5</v>
      </c>
      <c r="B407" t="s">
        <v>346</v>
      </c>
      <c r="C407">
        <v>100</v>
      </c>
      <c r="D407" s="2" t="e">
        <f>VLOOKUP(B407,装备!B:E,3,FALSE)</f>
        <v>#N/A</v>
      </c>
      <c r="E407" t="str">
        <f t="shared" si="8"/>
        <v>AddPrizeListEx(5,'Z202',100)</v>
      </c>
    </row>
    <row r="408" spans="1:5">
      <c r="A408">
        <v>5</v>
      </c>
      <c r="B408" t="s">
        <v>391</v>
      </c>
      <c r="C408">
        <v>2000</v>
      </c>
      <c r="D408" s="2" t="e">
        <f>VLOOKUP(B408,装备!B:E,3,FALSE)</f>
        <v>#N/A</v>
      </c>
      <c r="E408" t="str">
        <f t="shared" si="8"/>
        <v>AddPrizeListEx(5,'Z211',2000)</v>
      </c>
    </row>
    <row r="409" spans="1:5">
      <c r="A409">
        <v>5</v>
      </c>
      <c r="B409" t="s">
        <v>348</v>
      </c>
      <c r="C409">
        <v>100</v>
      </c>
      <c r="D409" s="2" t="e">
        <f>VLOOKUP(B409,装备!B:E,3,FALSE)</f>
        <v>#N/A</v>
      </c>
      <c r="E409" t="str">
        <f t="shared" si="8"/>
        <v>AddPrizeListEx(5,'Z212',100)</v>
      </c>
    </row>
    <row r="410" spans="1:5">
      <c r="A410">
        <v>5</v>
      </c>
      <c r="B410" t="s">
        <v>392</v>
      </c>
      <c r="C410">
        <v>2000</v>
      </c>
      <c r="D410" s="2" t="e">
        <f>VLOOKUP(B410,装备!B:E,3,FALSE)</f>
        <v>#N/A</v>
      </c>
      <c r="E410" t="str">
        <f t="shared" si="8"/>
        <v>AddPrizeListEx(5,'Z221',2000)</v>
      </c>
    </row>
    <row r="411" spans="1:5">
      <c r="A411">
        <v>5</v>
      </c>
      <c r="B411" t="s">
        <v>350</v>
      </c>
      <c r="C411">
        <v>100</v>
      </c>
      <c r="D411" s="2" t="e">
        <f>VLOOKUP(B411,装备!B:E,3,FALSE)</f>
        <v>#N/A</v>
      </c>
      <c r="E411" t="str">
        <f t="shared" ref="E411:E474" si="9">IF(B411&lt;&gt;"","AddPrizeListEx("&amp;A411&amp;",'"&amp;B411&amp;"',"&amp;C411&amp;")","")</f>
        <v>AddPrizeListEx(5,'Z222',100)</v>
      </c>
    </row>
    <row r="412" spans="1:5">
      <c r="A412">
        <v>5</v>
      </c>
      <c r="B412" t="s">
        <v>393</v>
      </c>
      <c r="C412">
        <v>2000</v>
      </c>
      <c r="D412" s="2" t="e">
        <f>VLOOKUP(B412,装备!B:E,3,FALSE)</f>
        <v>#N/A</v>
      </c>
      <c r="E412" t="str">
        <f t="shared" si="9"/>
        <v>AddPrizeListEx(5,'Z231',2000)</v>
      </c>
    </row>
    <row r="413" spans="1:5">
      <c r="A413">
        <v>5</v>
      </c>
      <c r="B413" t="s">
        <v>352</v>
      </c>
      <c r="C413">
        <v>100</v>
      </c>
      <c r="D413" s="2" t="e">
        <f>VLOOKUP(B413,装备!B:E,3,FALSE)</f>
        <v>#N/A</v>
      </c>
      <c r="E413" t="str">
        <f t="shared" si="9"/>
        <v>AddPrizeListEx(5,'Z232',100)</v>
      </c>
    </row>
    <row r="414" spans="1:5">
      <c r="A414">
        <v>5</v>
      </c>
      <c r="B414" t="s">
        <v>394</v>
      </c>
      <c r="C414">
        <v>2000</v>
      </c>
      <c r="D414" s="2" t="e">
        <f>VLOOKUP(B414,装备!B:E,3,FALSE)</f>
        <v>#N/A</v>
      </c>
      <c r="E414" t="str">
        <f t="shared" si="9"/>
        <v>AddPrizeListEx(5,'Z241',2000)</v>
      </c>
    </row>
    <row r="415" spans="1:5">
      <c r="A415">
        <v>5</v>
      </c>
      <c r="B415" t="s">
        <v>354</v>
      </c>
      <c r="C415">
        <v>100</v>
      </c>
      <c r="D415" s="2" t="e">
        <f>VLOOKUP(B415,装备!B:E,3,FALSE)</f>
        <v>#N/A</v>
      </c>
      <c r="E415" t="str">
        <f t="shared" si="9"/>
        <v>AddPrizeListEx(5,'Z242',100)</v>
      </c>
    </row>
    <row r="416" spans="1:5">
      <c r="A416">
        <v>5</v>
      </c>
      <c r="B416" t="s">
        <v>395</v>
      </c>
      <c r="C416">
        <v>2000</v>
      </c>
      <c r="D416" s="2" t="e">
        <f>VLOOKUP(B416,装备!B:E,3,FALSE)</f>
        <v>#N/A</v>
      </c>
      <c r="E416" t="str">
        <f t="shared" si="9"/>
        <v>AddPrizeListEx(5,'Z251',2000)</v>
      </c>
    </row>
    <row r="417" spans="1:5">
      <c r="A417">
        <v>5</v>
      </c>
      <c r="B417" t="s">
        <v>396</v>
      </c>
      <c r="C417">
        <v>100</v>
      </c>
      <c r="D417" s="2" t="e">
        <f>VLOOKUP(B417,装备!B:E,3,FALSE)</f>
        <v>#N/A</v>
      </c>
      <c r="E417" t="str">
        <f t="shared" si="9"/>
        <v>AddPrizeListEx(5,'Z261',100)</v>
      </c>
    </row>
    <row r="418" spans="1:5">
      <c r="A418">
        <v>5</v>
      </c>
      <c r="B418" t="s">
        <v>397</v>
      </c>
      <c r="C418">
        <v>2000</v>
      </c>
      <c r="D418" s="2" t="e">
        <f>VLOOKUP(B418,装备!B:E,3,FALSE)</f>
        <v>#N/A</v>
      </c>
      <c r="E418" t="str">
        <f t="shared" si="9"/>
        <v>AddPrizeListEx(5,'Z262',2000)</v>
      </c>
    </row>
    <row r="419" spans="1:5">
      <c r="A419">
        <v>5</v>
      </c>
      <c r="B419" t="s">
        <v>398</v>
      </c>
      <c r="C419">
        <v>100</v>
      </c>
      <c r="D419" s="2" t="e">
        <f>VLOOKUP(B419,装备!B:E,3,FALSE)</f>
        <v>#N/A</v>
      </c>
      <c r="E419" t="str">
        <f t="shared" si="9"/>
        <v>AddPrizeListEx(5,'Z271',100)</v>
      </c>
    </row>
    <row r="420" spans="1:5">
      <c r="A420">
        <v>5</v>
      </c>
      <c r="B420" t="s">
        <v>358</v>
      </c>
      <c r="C420">
        <v>2000</v>
      </c>
      <c r="D420" s="2" t="e">
        <f>VLOOKUP(B420,装备!B:E,3,FALSE)</f>
        <v>#N/A</v>
      </c>
      <c r="E420" t="str">
        <f t="shared" si="9"/>
        <v>AddPrizeListEx(5,'Z272',2000)</v>
      </c>
    </row>
    <row r="421" spans="1:5">
      <c r="A421">
        <v>5</v>
      </c>
      <c r="B421" t="s">
        <v>399</v>
      </c>
      <c r="C421">
        <v>100</v>
      </c>
      <c r="D421" s="2" t="e">
        <f>VLOOKUP(B421,装备!B:E,3,FALSE)</f>
        <v>#N/A</v>
      </c>
      <c r="E421" t="str">
        <f t="shared" si="9"/>
        <v>AddPrizeListEx(5,'Z281',100)</v>
      </c>
    </row>
    <row r="422" spans="1:5">
      <c r="A422">
        <v>5</v>
      </c>
      <c r="B422" t="s">
        <v>360</v>
      </c>
      <c r="C422">
        <v>2000</v>
      </c>
      <c r="D422" s="2" t="e">
        <f>VLOOKUP(B422,装备!B:E,3,FALSE)</f>
        <v>#N/A</v>
      </c>
      <c r="E422" t="str">
        <f t="shared" si="9"/>
        <v>AddPrizeListEx(5,'Z282',2000)</v>
      </c>
    </row>
    <row r="423" spans="1:5">
      <c r="A423">
        <v>5</v>
      </c>
      <c r="B423" t="s">
        <v>400</v>
      </c>
      <c r="C423">
        <v>100</v>
      </c>
      <c r="D423" s="2" t="e">
        <f>VLOOKUP(B423,装备!B:E,3,FALSE)</f>
        <v>#N/A</v>
      </c>
      <c r="E423" t="str">
        <f t="shared" si="9"/>
        <v>AddPrizeListEx(5,'Z291',100)</v>
      </c>
    </row>
    <row r="424" spans="1:5">
      <c r="A424">
        <v>5</v>
      </c>
      <c r="B424" t="s">
        <v>362</v>
      </c>
      <c r="C424">
        <v>2000</v>
      </c>
      <c r="D424" s="2" t="e">
        <f>VLOOKUP(B424,装备!B:E,3,FALSE)</f>
        <v>#N/A</v>
      </c>
      <c r="E424" t="str">
        <f t="shared" si="9"/>
        <v>AddPrizeListEx(5,'Z292',2000)</v>
      </c>
    </row>
    <row r="425" spans="1:5">
      <c r="A425">
        <v>5</v>
      </c>
      <c r="B425" t="s">
        <v>401</v>
      </c>
      <c r="C425">
        <v>100</v>
      </c>
      <c r="D425" s="2" t="e">
        <f>VLOOKUP(B425,装备!B:E,3,FALSE)</f>
        <v>#N/A</v>
      </c>
      <c r="E425" t="str">
        <f t="shared" si="9"/>
        <v>AddPrizeListEx(5,'Z301',100)</v>
      </c>
    </row>
    <row r="426" spans="1:5">
      <c r="A426">
        <v>5</v>
      </c>
      <c r="B426" t="s">
        <v>364</v>
      </c>
      <c r="C426">
        <v>2000</v>
      </c>
      <c r="D426" s="2" t="e">
        <f>VLOOKUP(B426,装备!B:E,3,FALSE)</f>
        <v>#N/A</v>
      </c>
      <c r="E426" t="str">
        <f t="shared" si="9"/>
        <v>AddPrizeListEx(5,'Z302',2000)</v>
      </c>
    </row>
    <row r="427" spans="1:5">
      <c r="A427">
        <v>5</v>
      </c>
      <c r="B427" t="s">
        <v>233</v>
      </c>
      <c r="C427">
        <v>1000</v>
      </c>
      <c r="D427" s="2" t="e">
        <f>VLOOKUP(B427,装备!B:E,3,FALSE)</f>
        <v>#N/A</v>
      </c>
      <c r="E427" t="str">
        <f t="shared" si="9"/>
        <v>AddPrizeListEx(5,'I101',1000)</v>
      </c>
    </row>
    <row r="428" spans="1:5">
      <c r="A428">
        <v>5</v>
      </c>
      <c r="B428" t="s">
        <v>234</v>
      </c>
      <c r="C428">
        <v>100</v>
      </c>
      <c r="D428" s="2" t="e">
        <f>VLOOKUP(B428,装备!B:E,3,FALSE)</f>
        <v>#N/A</v>
      </c>
      <c r="E428" t="str">
        <f t="shared" si="9"/>
        <v>AddPrizeListEx(5,'I102',100)</v>
      </c>
    </row>
    <row r="429" spans="1:5">
      <c r="A429">
        <v>5</v>
      </c>
      <c r="B429" t="s">
        <v>235</v>
      </c>
      <c r="C429">
        <v>10</v>
      </c>
      <c r="D429" s="2" t="e">
        <f>VLOOKUP(B429,装备!B:E,3,FALSE)</f>
        <v>#N/A</v>
      </c>
      <c r="E429" t="str">
        <f t="shared" si="9"/>
        <v>AddPrizeListEx(5,'I103',10)</v>
      </c>
    </row>
    <row r="430" spans="1:5">
      <c r="A430">
        <v>5</v>
      </c>
      <c r="B430" t="s">
        <v>236</v>
      </c>
      <c r="C430">
        <v>1</v>
      </c>
      <c r="D430" s="2" t="e">
        <f>VLOOKUP(B430,装备!B:E,3,FALSE)</f>
        <v>#N/A</v>
      </c>
      <c r="E430" t="str">
        <f t="shared" si="9"/>
        <v>AddPrizeListEx(5,'I104',1)</v>
      </c>
    </row>
    <row r="431" spans="1:5">
      <c r="A431">
        <v>5</v>
      </c>
      <c r="B431" t="s">
        <v>237</v>
      </c>
      <c r="C431">
        <v>100</v>
      </c>
      <c r="D431" s="2" t="e">
        <f>VLOOKUP(B431,装备!B:E,3,FALSE)</f>
        <v>#N/A</v>
      </c>
      <c r="E431" t="str">
        <f t="shared" si="9"/>
        <v>AddPrizeListEx(5,'I105',100)</v>
      </c>
    </row>
    <row r="432" spans="1:5">
      <c r="A432">
        <v>5</v>
      </c>
      <c r="B432" t="s">
        <v>238</v>
      </c>
      <c r="C432">
        <v>10</v>
      </c>
      <c r="D432" s="2" t="e">
        <f>VLOOKUP(B432,装备!B:E,3,FALSE)</f>
        <v>#N/A</v>
      </c>
      <c r="E432" t="str">
        <f t="shared" si="9"/>
        <v>AddPrizeListEx(5,'I106',10)</v>
      </c>
    </row>
    <row r="433" spans="1:5">
      <c r="A433">
        <v>5</v>
      </c>
      <c r="B433" t="s">
        <v>239</v>
      </c>
      <c r="C433">
        <v>1</v>
      </c>
      <c r="D433" s="2" t="e">
        <f>VLOOKUP(B433,装备!B:E,3,FALSE)</f>
        <v>#N/A</v>
      </c>
      <c r="E433" t="str">
        <f t="shared" si="9"/>
        <v>AddPrizeListEx(5,'I107',1)</v>
      </c>
    </row>
    <row r="434" spans="1:5">
      <c r="A434">
        <v>5</v>
      </c>
      <c r="B434" t="s">
        <v>240</v>
      </c>
      <c r="C434">
        <v>2000</v>
      </c>
      <c r="D434" s="2" t="e">
        <f>VLOOKUP(B434,装备!B:E,3,FALSE)</f>
        <v>#N/A</v>
      </c>
      <c r="E434" t="str">
        <f t="shared" si="9"/>
        <v>AddPrizeListEx(5,'I108',2000)</v>
      </c>
    </row>
    <row r="435" spans="1:5">
      <c r="A435">
        <v>5</v>
      </c>
      <c r="B435" t="s">
        <v>241</v>
      </c>
      <c r="C435">
        <v>500</v>
      </c>
      <c r="D435" s="2" t="e">
        <f>VLOOKUP(B435,装备!B:E,3,FALSE)</f>
        <v>#N/A</v>
      </c>
      <c r="E435" t="str">
        <f t="shared" si="9"/>
        <v>AddPrizeListEx(5,'I109',500)</v>
      </c>
    </row>
    <row r="436" spans="1:5">
      <c r="A436">
        <v>5</v>
      </c>
      <c r="B436" t="s">
        <v>242</v>
      </c>
      <c r="C436">
        <v>50</v>
      </c>
      <c r="D436" s="2" t="e">
        <f>VLOOKUP(B436,装备!B:E,3,FALSE)</f>
        <v>#N/A</v>
      </c>
      <c r="E436" t="str">
        <f t="shared" si="9"/>
        <v>AddPrizeListEx(5,'I110',50)</v>
      </c>
    </row>
    <row r="437" spans="1:5">
      <c r="A437">
        <v>5</v>
      </c>
      <c r="B437" t="s">
        <v>243</v>
      </c>
      <c r="C437">
        <v>5</v>
      </c>
      <c r="D437" s="2" t="e">
        <f>VLOOKUP(B437,装备!B:E,3,FALSE)</f>
        <v>#N/A</v>
      </c>
      <c r="E437" t="str">
        <f t="shared" si="9"/>
        <v>AddPrizeListEx(5,'I111',5)</v>
      </c>
    </row>
    <row r="438" spans="1:5">
      <c r="A438">
        <v>5</v>
      </c>
      <c r="B438" t="s">
        <v>244</v>
      </c>
      <c r="C438">
        <v>500</v>
      </c>
      <c r="D438" s="2" t="e">
        <f>VLOOKUP(B438,装备!B:E,3,FALSE)</f>
        <v>#N/A</v>
      </c>
      <c r="E438" t="str">
        <f t="shared" si="9"/>
        <v>AddPrizeListEx(5,'I112',500)</v>
      </c>
    </row>
    <row r="439" spans="1:5">
      <c r="A439">
        <v>5</v>
      </c>
      <c r="B439" t="s">
        <v>245</v>
      </c>
      <c r="C439">
        <v>50</v>
      </c>
      <c r="D439" s="2" t="e">
        <f>VLOOKUP(B439,装备!B:E,3,FALSE)</f>
        <v>#N/A</v>
      </c>
      <c r="E439" t="str">
        <f t="shared" si="9"/>
        <v>AddPrizeListEx(5,'I113',50)</v>
      </c>
    </row>
    <row r="440" spans="1:5">
      <c r="A440">
        <v>5</v>
      </c>
      <c r="B440" t="s">
        <v>246</v>
      </c>
      <c r="C440">
        <v>5</v>
      </c>
      <c r="D440" s="2" t="e">
        <f>VLOOKUP(B440,装备!B:E,3,FALSE)</f>
        <v>#N/A</v>
      </c>
      <c r="E440" t="str">
        <f t="shared" si="9"/>
        <v>AddPrizeListEx(5,'I114',5)</v>
      </c>
    </row>
    <row r="441" spans="1:5">
      <c r="A441">
        <v>5</v>
      </c>
      <c r="B441" t="s">
        <v>247</v>
      </c>
      <c r="C441">
        <v>500</v>
      </c>
      <c r="D441" s="2" t="e">
        <f>VLOOKUP(B441,装备!B:E,3,FALSE)</f>
        <v>#N/A</v>
      </c>
      <c r="E441" t="str">
        <f t="shared" si="9"/>
        <v>AddPrizeListEx(5,'I115',500)</v>
      </c>
    </row>
    <row r="442" spans="1:5">
      <c r="A442">
        <v>5</v>
      </c>
      <c r="B442" t="s">
        <v>248</v>
      </c>
      <c r="C442">
        <v>50</v>
      </c>
      <c r="D442" s="2" t="e">
        <f>VLOOKUP(B442,装备!B:E,3,FALSE)</f>
        <v>#N/A</v>
      </c>
      <c r="E442" t="str">
        <f t="shared" si="9"/>
        <v>AddPrizeListEx(5,'I116',50)</v>
      </c>
    </row>
    <row r="443" spans="1:5">
      <c r="A443">
        <v>5</v>
      </c>
      <c r="B443" t="s">
        <v>249</v>
      </c>
      <c r="C443">
        <v>5</v>
      </c>
      <c r="D443" s="2" t="e">
        <f>VLOOKUP(B443,装备!B:E,3,FALSE)</f>
        <v>#N/A</v>
      </c>
      <c r="E443" t="str">
        <f t="shared" si="9"/>
        <v>AddPrizeListEx(5,'I117',5)</v>
      </c>
    </row>
    <row r="444" spans="1:5">
      <c r="A444">
        <v>5</v>
      </c>
      <c r="B444" t="s">
        <v>250</v>
      </c>
      <c r="C444">
        <v>500</v>
      </c>
      <c r="D444" s="2" t="e">
        <f>VLOOKUP(B444,装备!B:E,3,FALSE)</f>
        <v>#N/A</v>
      </c>
      <c r="E444" t="str">
        <f t="shared" si="9"/>
        <v>AddPrizeListEx(5,'I118',500)</v>
      </c>
    </row>
    <row r="445" spans="1:5">
      <c r="A445">
        <v>5</v>
      </c>
      <c r="B445" t="s">
        <v>251</v>
      </c>
      <c r="C445">
        <v>50</v>
      </c>
      <c r="D445" s="2" t="e">
        <f>VLOOKUP(B445,装备!B:E,3,FALSE)</f>
        <v>#N/A</v>
      </c>
      <c r="E445" t="str">
        <f t="shared" si="9"/>
        <v>AddPrizeListEx(5,'I119',50)</v>
      </c>
    </row>
    <row r="446" spans="1:5">
      <c r="A446">
        <v>5</v>
      </c>
      <c r="B446" t="s">
        <v>252</v>
      </c>
      <c r="C446">
        <v>5</v>
      </c>
      <c r="D446" s="2" t="e">
        <f>VLOOKUP(B446,装备!B:E,3,FALSE)</f>
        <v>#N/A</v>
      </c>
      <c r="E446" t="str">
        <f t="shared" si="9"/>
        <v>AddPrizeListEx(5,'I120',5)</v>
      </c>
    </row>
    <row r="447" spans="1:5">
      <c r="A447">
        <v>5</v>
      </c>
      <c r="B447" t="s">
        <v>253</v>
      </c>
      <c r="C447">
        <v>500</v>
      </c>
      <c r="D447" s="2" t="e">
        <f>VLOOKUP(B447,装备!B:E,3,FALSE)</f>
        <v>#N/A</v>
      </c>
      <c r="E447" t="str">
        <f t="shared" si="9"/>
        <v>AddPrizeListEx(5,'I121',500)</v>
      </c>
    </row>
    <row r="448" spans="1:5">
      <c r="A448">
        <v>5</v>
      </c>
      <c r="B448" t="s">
        <v>254</v>
      </c>
      <c r="C448">
        <v>50</v>
      </c>
      <c r="D448" s="2" t="e">
        <f>VLOOKUP(B448,装备!B:E,3,FALSE)</f>
        <v>#N/A</v>
      </c>
      <c r="E448" t="str">
        <f t="shared" si="9"/>
        <v>AddPrizeListEx(5,'I122',50)</v>
      </c>
    </row>
    <row r="449" spans="1:5">
      <c r="A449">
        <v>5</v>
      </c>
      <c r="B449" t="s">
        <v>255</v>
      </c>
      <c r="C449">
        <v>5</v>
      </c>
      <c r="D449" s="2" t="e">
        <f>VLOOKUP(B449,装备!B:E,3,FALSE)</f>
        <v>#N/A</v>
      </c>
      <c r="E449" t="str">
        <f t="shared" si="9"/>
        <v>AddPrizeListEx(5,'I123',5)</v>
      </c>
    </row>
    <row r="450" spans="1:5">
      <c r="A450">
        <v>5</v>
      </c>
      <c r="B450" t="s">
        <v>256</v>
      </c>
      <c r="C450">
        <v>500</v>
      </c>
      <c r="D450" s="2" t="e">
        <f>VLOOKUP(B450,装备!B:E,3,FALSE)</f>
        <v>#N/A</v>
      </c>
      <c r="E450" t="str">
        <f t="shared" si="9"/>
        <v>AddPrizeListEx(5,'I124',500)</v>
      </c>
    </row>
    <row r="451" spans="1:5">
      <c r="A451">
        <v>5</v>
      </c>
      <c r="B451" t="s">
        <v>257</v>
      </c>
      <c r="C451">
        <v>50</v>
      </c>
      <c r="D451" s="2" t="e">
        <f>VLOOKUP(B451,装备!B:E,3,FALSE)</f>
        <v>#N/A</v>
      </c>
      <c r="E451" t="str">
        <f t="shared" si="9"/>
        <v>AddPrizeListEx(5,'I125',50)</v>
      </c>
    </row>
    <row r="452" spans="1:5">
      <c r="A452">
        <v>5</v>
      </c>
      <c r="B452" t="s">
        <v>258</v>
      </c>
      <c r="C452">
        <v>5</v>
      </c>
      <c r="D452" s="2" t="e">
        <f>VLOOKUP(B452,装备!B:E,3,FALSE)</f>
        <v>#N/A</v>
      </c>
      <c r="E452" t="str">
        <f t="shared" si="9"/>
        <v>AddPrizeListEx(5,'I126',5)</v>
      </c>
    </row>
    <row r="453" spans="1:5">
      <c r="A453">
        <v>5</v>
      </c>
      <c r="B453" t="s">
        <v>259</v>
      </c>
      <c r="C453">
        <v>500</v>
      </c>
      <c r="D453" s="2" t="e">
        <f>VLOOKUP(B453,装备!B:E,3,FALSE)</f>
        <v>#N/A</v>
      </c>
      <c r="E453" t="str">
        <f t="shared" si="9"/>
        <v>AddPrizeListEx(5,'I127',500)</v>
      </c>
    </row>
    <row r="454" spans="1:5">
      <c r="A454">
        <v>5</v>
      </c>
      <c r="B454" t="s">
        <v>260</v>
      </c>
      <c r="C454">
        <v>50</v>
      </c>
      <c r="D454" s="2" t="e">
        <f>VLOOKUP(B454,装备!B:E,3,FALSE)</f>
        <v>#N/A</v>
      </c>
      <c r="E454" t="str">
        <f t="shared" si="9"/>
        <v>AddPrizeListEx(5,'I128',50)</v>
      </c>
    </row>
    <row r="455" spans="1:5">
      <c r="A455">
        <v>5</v>
      </c>
      <c r="B455" t="s">
        <v>261</v>
      </c>
      <c r="C455">
        <v>5</v>
      </c>
      <c r="D455" s="2" t="e">
        <f>VLOOKUP(B455,装备!B:E,3,FALSE)</f>
        <v>#N/A</v>
      </c>
      <c r="E455" t="str">
        <f t="shared" si="9"/>
        <v>AddPrizeListEx(5,'I129',5)</v>
      </c>
    </row>
    <row r="456" spans="1:5">
      <c r="A456">
        <v>5</v>
      </c>
      <c r="B456" t="s">
        <v>262</v>
      </c>
      <c r="C456">
        <v>500</v>
      </c>
      <c r="D456" s="2" t="e">
        <f>VLOOKUP(B456,装备!B:E,3,FALSE)</f>
        <v>#N/A</v>
      </c>
      <c r="E456" t="str">
        <f t="shared" si="9"/>
        <v>AddPrizeListEx(5,'I130',500)</v>
      </c>
    </row>
    <row r="457" spans="1:5">
      <c r="A457">
        <v>5</v>
      </c>
      <c r="B457" t="s">
        <v>263</v>
      </c>
      <c r="C457">
        <v>50</v>
      </c>
      <c r="D457" s="2" t="e">
        <f>VLOOKUP(B457,装备!B:E,3,FALSE)</f>
        <v>#N/A</v>
      </c>
      <c r="E457" t="str">
        <f t="shared" si="9"/>
        <v>AddPrizeListEx(5,'I131',50)</v>
      </c>
    </row>
    <row r="458" spans="1:5">
      <c r="A458">
        <v>5</v>
      </c>
      <c r="B458" t="s">
        <v>264</v>
      </c>
      <c r="C458">
        <v>5</v>
      </c>
      <c r="D458" s="2" t="e">
        <f>VLOOKUP(B458,装备!B:E,3,FALSE)</f>
        <v>#N/A</v>
      </c>
      <c r="E458" t="str">
        <f t="shared" si="9"/>
        <v>AddPrizeListEx(5,'I132',5)</v>
      </c>
    </row>
    <row r="459" spans="1:5">
      <c r="A459">
        <v>5</v>
      </c>
      <c r="B459" t="s">
        <v>265</v>
      </c>
      <c r="C459">
        <v>300</v>
      </c>
      <c r="D459" s="2" t="e">
        <f>VLOOKUP(B459,装备!B:E,3,FALSE)</f>
        <v>#N/A</v>
      </c>
      <c r="E459" t="str">
        <f t="shared" si="9"/>
        <v>AddPrizeListEx(5,'I133',300)</v>
      </c>
    </row>
    <row r="460" spans="1:5">
      <c r="A460">
        <v>5</v>
      </c>
      <c r="B460" t="s">
        <v>266</v>
      </c>
      <c r="C460">
        <v>200</v>
      </c>
      <c r="D460" s="2" t="e">
        <f>VLOOKUP(B460,装备!B:E,3,FALSE)</f>
        <v>#N/A</v>
      </c>
      <c r="E460" t="str">
        <f t="shared" si="9"/>
        <v>AddPrizeListEx(5,'I134',200)</v>
      </c>
    </row>
    <row r="461" spans="1:5">
      <c r="A461">
        <v>5</v>
      </c>
      <c r="B461" t="s">
        <v>267</v>
      </c>
      <c r="C461">
        <v>100</v>
      </c>
      <c r="D461" s="2" t="e">
        <f>VLOOKUP(B461,装备!B:E,3,FALSE)</f>
        <v>#N/A</v>
      </c>
      <c r="E461" t="str">
        <f t="shared" si="9"/>
        <v>AddPrizeListEx(5,'I135',100)</v>
      </c>
    </row>
    <row r="462" spans="1:5">
      <c r="A462">
        <v>5</v>
      </c>
      <c r="B462" t="s">
        <v>268</v>
      </c>
      <c r="C462">
        <v>20</v>
      </c>
      <c r="D462" s="2" t="e">
        <f>VLOOKUP(B462,装备!B:E,3,FALSE)</f>
        <v>#N/A</v>
      </c>
      <c r="E462" t="str">
        <f t="shared" si="9"/>
        <v>AddPrizeListEx(5,'I136',20)</v>
      </c>
    </row>
    <row r="463" spans="1:5">
      <c r="A463">
        <v>5</v>
      </c>
      <c r="B463" t="s">
        <v>269</v>
      </c>
      <c r="C463">
        <v>20</v>
      </c>
      <c r="D463" s="2" t="e">
        <f>VLOOKUP(B463,装备!B:E,3,FALSE)</f>
        <v>#N/A</v>
      </c>
      <c r="E463" t="str">
        <f t="shared" si="9"/>
        <v>AddPrizeListEx(5,'I137',20)</v>
      </c>
    </row>
    <row r="464" spans="1:5">
      <c r="A464">
        <v>5</v>
      </c>
      <c r="B464" t="s">
        <v>270</v>
      </c>
      <c r="C464">
        <v>20</v>
      </c>
      <c r="D464" s="2" t="e">
        <f>VLOOKUP(B464,装备!B:E,3,FALSE)</f>
        <v>#N/A</v>
      </c>
      <c r="E464" t="str">
        <f t="shared" si="9"/>
        <v>AddPrizeListEx(5,'I138',20)</v>
      </c>
    </row>
    <row r="465" spans="1:5">
      <c r="A465">
        <v>5</v>
      </c>
      <c r="B465" t="s">
        <v>271</v>
      </c>
      <c r="C465">
        <v>20</v>
      </c>
      <c r="D465" s="2" t="e">
        <f>VLOOKUP(B465,装备!B:E,3,FALSE)</f>
        <v>#N/A</v>
      </c>
      <c r="E465" t="str">
        <f t="shared" si="9"/>
        <v>AddPrizeListEx(5,'I139',20)</v>
      </c>
    </row>
    <row r="466" spans="1:5">
      <c r="A466">
        <v>5</v>
      </c>
      <c r="B466" t="s">
        <v>272</v>
      </c>
      <c r="C466">
        <v>50</v>
      </c>
      <c r="D466" s="2" t="e">
        <f>VLOOKUP(B466,装备!B:E,3,FALSE)</f>
        <v>#N/A</v>
      </c>
      <c r="E466" t="str">
        <f t="shared" si="9"/>
        <v>AddPrizeListEx(5,'I140',50)</v>
      </c>
    </row>
    <row r="467" spans="1:5">
      <c r="A467">
        <v>5</v>
      </c>
      <c r="B467" t="s">
        <v>273</v>
      </c>
      <c r="C467">
        <v>5</v>
      </c>
      <c r="D467" s="2" t="e">
        <f>VLOOKUP(B467,装备!B:E,3,FALSE)</f>
        <v>#N/A</v>
      </c>
      <c r="E467" t="str">
        <f t="shared" si="9"/>
        <v>AddPrizeListEx(5,'I141',5)</v>
      </c>
    </row>
    <row r="468" spans="1:5">
      <c r="A468">
        <v>5</v>
      </c>
      <c r="B468" t="s">
        <v>274</v>
      </c>
      <c r="C468">
        <v>1</v>
      </c>
      <c r="D468" s="2" t="e">
        <f>VLOOKUP(B468,装备!B:E,3,FALSE)</f>
        <v>#N/A</v>
      </c>
      <c r="E468" t="str">
        <f t="shared" si="9"/>
        <v>AddPrizeListEx(5,'I142',1)</v>
      </c>
    </row>
    <row r="469" spans="1:5">
      <c r="A469">
        <v>5</v>
      </c>
      <c r="B469" t="s">
        <v>275</v>
      </c>
      <c r="C469">
        <v>300</v>
      </c>
      <c r="D469" s="2" t="e">
        <f>VLOOKUP(B469,装备!B:E,3,FALSE)</f>
        <v>#N/A</v>
      </c>
      <c r="E469" t="str">
        <f t="shared" si="9"/>
        <v>AddPrizeListEx(5,'I143',300)</v>
      </c>
    </row>
    <row r="470" spans="1:5">
      <c r="A470">
        <v>5</v>
      </c>
      <c r="B470" t="s">
        <v>276</v>
      </c>
      <c r="C470">
        <v>30</v>
      </c>
      <c r="D470" s="2" t="e">
        <f>VLOOKUP(B470,装备!B:E,3,FALSE)</f>
        <v>#N/A</v>
      </c>
      <c r="E470" t="str">
        <f t="shared" si="9"/>
        <v>AddPrizeListEx(5,'I144',30)</v>
      </c>
    </row>
    <row r="471" spans="1:5">
      <c r="A471">
        <v>5</v>
      </c>
      <c r="B471" t="s">
        <v>277</v>
      </c>
      <c r="C471">
        <v>3</v>
      </c>
      <c r="D471" s="2" t="e">
        <f>VLOOKUP(B471,装备!B:E,3,FALSE)</f>
        <v>#N/A</v>
      </c>
      <c r="E471" t="str">
        <f t="shared" si="9"/>
        <v>AddPrizeListEx(5,'I145',3)</v>
      </c>
    </row>
    <row r="472" spans="1:5">
      <c r="A472">
        <v>5</v>
      </c>
      <c r="B472" t="s">
        <v>278</v>
      </c>
      <c r="C472">
        <v>3500</v>
      </c>
      <c r="D472" s="2" t="e">
        <f>VLOOKUP(B472,装备!B:E,3,FALSE)</f>
        <v>#N/A</v>
      </c>
      <c r="E472" t="str">
        <f t="shared" si="9"/>
        <v>AddPrizeListEx(5,'I146',3500)</v>
      </c>
    </row>
    <row r="473" spans="1:5">
      <c r="A473">
        <v>5</v>
      </c>
      <c r="B473" t="s">
        <v>279</v>
      </c>
      <c r="C473">
        <v>350</v>
      </c>
      <c r="D473" s="2" t="e">
        <f>VLOOKUP(B473,装备!B:E,3,FALSE)</f>
        <v>#N/A</v>
      </c>
      <c r="E473" t="str">
        <f t="shared" si="9"/>
        <v>AddPrizeListEx(5,'I147',350)</v>
      </c>
    </row>
    <row r="474" spans="1:5">
      <c r="A474">
        <v>5</v>
      </c>
      <c r="B474" t="s">
        <v>280</v>
      </c>
      <c r="C474">
        <v>30</v>
      </c>
      <c r="D474" s="2" t="e">
        <f>VLOOKUP(B474,装备!B:E,3,FALSE)</f>
        <v>#N/A</v>
      </c>
      <c r="E474" t="str">
        <f t="shared" si="9"/>
        <v>AddPrizeListEx(5,'I148',30)</v>
      </c>
    </row>
    <row r="475" spans="1:5">
      <c r="A475">
        <v>6</v>
      </c>
      <c r="B475" t="s">
        <v>371</v>
      </c>
      <c r="C475">
        <v>2000</v>
      </c>
      <c r="D475" s="2" t="e">
        <f>VLOOKUP(B475,装备!B:E,3,FALSE)</f>
        <v>#N/A</v>
      </c>
      <c r="E475" t="str">
        <f t="shared" ref="E475:E538" si="10">IF(B475&lt;&gt;"","AddPrizeListEx("&amp;A475&amp;",'"&amp;B475&amp;"',"&amp;C475&amp;")","")</f>
        <v>AddPrizeListEx(6,'Z011',2000)</v>
      </c>
    </row>
    <row r="476" spans="1:5">
      <c r="A476">
        <v>6</v>
      </c>
      <c r="B476" t="s">
        <v>308</v>
      </c>
      <c r="C476">
        <v>350</v>
      </c>
      <c r="D476" s="2" t="e">
        <f>VLOOKUP(B476,装备!B:E,3,FALSE)</f>
        <v>#N/A</v>
      </c>
      <c r="E476" t="str">
        <f t="shared" si="10"/>
        <v>AddPrizeListEx(6,'Z012',350)</v>
      </c>
    </row>
    <row r="477" spans="1:5">
      <c r="A477">
        <v>6</v>
      </c>
      <c r="B477" t="s">
        <v>372</v>
      </c>
      <c r="C477">
        <v>2000</v>
      </c>
      <c r="D477" s="2" t="e">
        <f>VLOOKUP(B477,装备!B:E,3,FALSE)</f>
        <v>#N/A</v>
      </c>
      <c r="E477" t="str">
        <f t="shared" si="10"/>
        <v>AddPrizeListEx(6,'Z021',2000)</v>
      </c>
    </row>
    <row r="478" spans="1:5">
      <c r="A478">
        <v>6</v>
      </c>
      <c r="B478" t="s">
        <v>310</v>
      </c>
      <c r="C478">
        <v>350</v>
      </c>
      <c r="D478" s="2" t="e">
        <f>VLOOKUP(B478,装备!B:E,3,FALSE)</f>
        <v>#N/A</v>
      </c>
      <c r="E478" t="str">
        <f t="shared" si="10"/>
        <v>AddPrizeListEx(6,'Z022',350)</v>
      </c>
    </row>
    <row r="479" spans="1:5">
      <c r="A479">
        <v>6</v>
      </c>
      <c r="B479" t="s">
        <v>373</v>
      </c>
      <c r="C479">
        <v>2000</v>
      </c>
      <c r="D479" s="2" t="e">
        <f>VLOOKUP(B479,装备!B:E,3,FALSE)</f>
        <v>#N/A</v>
      </c>
      <c r="E479" t="str">
        <f t="shared" si="10"/>
        <v>AddPrizeListEx(6,'Z031',2000)</v>
      </c>
    </row>
    <row r="480" spans="1:5">
      <c r="A480">
        <v>6</v>
      </c>
      <c r="B480" t="s">
        <v>312</v>
      </c>
      <c r="C480">
        <v>350</v>
      </c>
      <c r="D480" s="2" t="e">
        <f>VLOOKUP(B480,装备!B:E,3,FALSE)</f>
        <v>#N/A</v>
      </c>
      <c r="E480" t="str">
        <f t="shared" si="10"/>
        <v>AddPrizeListEx(6,'Z032',350)</v>
      </c>
    </row>
    <row r="481" spans="1:5">
      <c r="A481">
        <v>6</v>
      </c>
      <c r="B481" t="s">
        <v>374</v>
      </c>
      <c r="C481">
        <v>2000</v>
      </c>
      <c r="D481" s="2" t="e">
        <f>VLOOKUP(B481,装备!B:E,3,FALSE)</f>
        <v>#N/A</v>
      </c>
      <c r="E481" t="str">
        <f t="shared" si="10"/>
        <v>AddPrizeListEx(6,'Z041',2000)</v>
      </c>
    </row>
    <row r="482" spans="1:5">
      <c r="A482">
        <v>6</v>
      </c>
      <c r="B482" t="s">
        <v>314</v>
      </c>
      <c r="C482">
        <v>2000</v>
      </c>
      <c r="D482" s="2" t="e">
        <f>VLOOKUP(B482,装备!B:E,3,FALSE)</f>
        <v>#N/A</v>
      </c>
      <c r="E482" t="str">
        <f t="shared" si="10"/>
        <v>AddPrizeListEx(6,'Z042',2000)</v>
      </c>
    </row>
    <row r="483" spans="1:5">
      <c r="A483">
        <v>6</v>
      </c>
      <c r="B483" t="s">
        <v>375</v>
      </c>
      <c r="C483">
        <v>350</v>
      </c>
      <c r="D483" s="2" t="e">
        <f>VLOOKUP(B483,装备!B:E,3,FALSE)</f>
        <v>#N/A</v>
      </c>
      <c r="E483" t="str">
        <f t="shared" si="10"/>
        <v>AddPrizeListEx(6,'Z051',350)</v>
      </c>
    </row>
    <row r="484" spans="1:5">
      <c r="A484">
        <v>6</v>
      </c>
      <c r="B484" t="s">
        <v>316</v>
      </c>
      <c r="C484">
        <v>2000</v>
      </c>
      <c r="D484" s="2" t="e">
        <f>VLOOKUP(B484,装备!B:E,3,FALSE)</f>
        <v>#N/A</v>
      </c>
      <c r="E484" t="str">
        <f t="shared" si="10"/>
        <v>AddPrizeListEx(6,'Z052',2000)</v>
      </c>
    </row>
    <row r="485" spans="1:5">
      <c r="A485">
        <v>6</v>
      </c>
      <c r="B485" t="s">
        <v>376</v>
      </c>
      <c r="C485">
        <v>350</v>
      </c>
      <c r="D485" s="2" t="e">
        <f>VLOOKUP(B485,装备!B:E,3,FALSE)</f>
        <v>#N/A</v>
      </c>
      <c r="E485" t="str">
        <f t="shared" si="10"/>
        <v>AddPrizeListEx(6,'Z061',350)</v>
      </c>
    </row>
    <row r="486" spans="1:5">
      <c r="A486">
        <v>6</v>
      </c>
      <c r="B486" t="s">
        <v>318</v>
      </c>
      <c r="C486">
        <v>2000</v>
      </c>
      <c r="D486" s="2" t="e">
        <f>VLOOKUP(B486,装备!B:E,3,FALSE)</f>
        <v>#N/A</v>
      </c>
      <c r="E486" t="str">
        <f t="shared" si="10"/>
        <v>AddPrizeListEx(6,'Z062',2000)</v>
      </c>
    </row>
    <row r="487" spans="1:5">
      <c r="A487">
        <v>6</v>
      </c>
      <c r="B487" t="s">
        <v>377</v>
      </c>
      <c r="C487">
        <v>350</v>
      </c>
      <c r="D487" s="2" t="e">
        <f>VLOOKUP(B487,装备!B:E,3,FALSE)</f>
        <v>#N/A</v>
      </c>
      <c r="E487" t="str">
        <f t="shared" si="10"/>
        <v>AddPrizeListEx(6,'Z071',350)</v>
      </c>
    </row>
    <row r="488" spans="1:5">
      <c r="A488">
        <v>6</v>
      </c>
      <c r="B488" t="s">
        <v>320</v>
      </c>
      <c r="C488">
        <v>2000</v>
      </c>
      <c r="D488" s="2" t="e">
        <f>VLOOKUP(B488,装备!B:E,3,FALSE)</f>
        <v>#N/A</v>
      </c>
      <c r="E488" t="str">
        <f t="shared" si="10"/>
        <v>AddPrizeListEx(6,'Z072',2000)</v>
      </c>
    </row>
    <row r="489" spans="1:5">
      <c r="A489">
        <v>6</v>
      </c>
      <c r="B489" t="s">
        <v>378</v>
      </c>
      <c r="C489">
        <v>2000</v>
      </c>
      <c r="D489" s="2" t="e">
        <f>VLOOKUP(B489,装备!B:E,3,FALSE)</f>
        <v>#N/A</v>
      </c>
      <c r="E489" t="str">
        <f t="shared" si="10"/>
        <v>AddPrizeListEx(6,'Z081',2000)</v>
      </c>
    </row>
    <row r="490" spans="1:5">
      <c r="A490">
        <v>6</v>
      </c>
      <c r="B490" t="s">
        <v>322</v>
      </c>
      <c r="C490">
        <v>350</v>
      </c>
      <c r="D490" s="2" t="e">
        <f>VLOOKUP(B490,装备!B:E,3,FALSE)</f>
        <v>#N/A</v>
      </c>
      <c r="E490" t="str">
        <f t="shared" si="10"/>
        <v>AddPrizeListEx(6,'Z082',350)</v>
      </c>
    </row>
    <row r="491" spans="1:5">
      <c r="A491">
        <v>6</v>
      </c>
      <c r="B491" t="s">
        <v>379</v>
      </c>
      <c r="C491">
        <v>2000</v>
      </c>
      <c r="D491" s="2" t="e">
        <f>VLOOKUP(B491,装备!B:E,3,FALSE)</f>
        <v>#N/A</v>
      </c>
      <c r="E491" t="str">
        <f t="shared" si="10"/>
        <v>AddPrizeListEx(6,'Z091',2000)</v>
      </c>
    </row>
    <row r="492" spans="1:5">
      <c r="A492">
        <v>6</v>
      </c>
      <c r="B492" t="s">
        <v>324</v>
      </c>
      <c r="C492">
        <v>350</v>
      </c>
      <c r="D492" s="2" t="e">
        <f>VLOOKUP(B492,装备!B:E,3,FALSE)</f>
        <v>#N/A</v>
      </c>
      <c r="E492" t="str">
        <f t="shared" si="10"/>
        <v>AddPrizeListEx(6,'Z092',350)</v>
      </c>
    </row>
    <row r="493" spans="1:5">
      <c r="A493">
        <v>6</v>
      </c>
      <c r="B493" t="s">
        <v>380</v>
      </c>
      <c r="C493">
        <v>2000</v>
      </c>
      <c r="D493" s="2" t="e">
        <f>VLOOKUP(B493,装备!B:E,3,FALSE)</f>
        <v>#N/A</v>
      </c>
      <c r="E493" t="str">
        <f t="shared" si="10"/>
        <v>AddPrizeListEx(6,'Z101',2000)</v>
      </c>
    </row>
    <row r="494" spans="1:5">
      <c r="A494">
        <v>6</v>
      </c>
      <c r="B494" t="s">
        <v>326</v>
      </c>
      <c r="C494">
        <v>350</v>
      </c>
      <c r="D494" s="2" t="e">
        <f>VLOOKUP(B494,装备!B:E,3,FALSE)</f>
        <v>#N/A</v>
      </c>
      <c r="E494" t="str">
        <f t="shared" si="10"/>
        <v>AddPrizeListEx(6,'Z102',350)</v>
      </c>
    </row>
    <row r="495" spans="1:5">
      <c r="A495">
        <v>6</v>
      </c>
      <c r="B495" t="s">
        <v>381</v>
      </c>
      <c r="C495">
        <v>2000</v>
      </c>
      <c r="D495" s="2" t="e">
        <f>VLOOKUP(B495,装备!B:E,3,FALSE)</f>
        <v>#N/A</v>
      </c>
      <c r="E495" t="str">
        <f t="shared" si="10"/>
        <v>AddPrizeListEx(6,'Z111',2000)</v>
      </c>
    </row>
    <row r="496" spans="1:5">
      <c r="A496">
        <v>6</v>
      </c>
      <c r="B496" t="s">
        <v>328</v>
      </c>
      <c r="C496">
        <v>350</v>
      </c>
      <c r="D496" s="2" t="e">
        <f>VLOOKUP(B496,装备!B:E,3,FALSE)</f>
        <v>#N/A</v>
      </c>
      <c r="E496" t="str">
        <f t="shared" si="10"/>
        <v>AddPrizeListEx(6,'Z112',350)</v>
      </c>
    </row>
    <row r="497" spans="1:5">
      <c r="A497">
        <v>6</v>
      </c>
      <c r="B497" t="s">
        <v>382</v>
      </c>
      <c r="C497">
        <v>2000</v>
      </c>
      <c r="D497" s="2" t="e">
        <f>VLOOKUP(B497,装备!B:E,3,FALSE)</f>
        <v>#N/A</v>
      </c>
      <c r="E497" t="str">
        <f t="shared" si="10"/>
        <v>AddPrizeListEx(6,'Z121',2000)</v>
      </c>
    </row>
    <row r="498" spans="1:5">
      <c r="A498">
        <v>6</v>
      </c>
      <c r="B498" t="s">
        <v>330</v>
      </c>
      <c r="C498">
        <v>350</v>
      </c>
      <c r="D498" s="2" t="e">
        <f>VLOOKUP(B498,装备!B:E,3,FALSE)</f>
        <v>#N/A</v>
      </c>
      <c r="E498" t="str">
        <f t="shared" si="10"/>
        <v>AddPrizeListEx(6,'Z122',350)</v>
      </c>
    </row>
    <row r="499" spans="1:5">
      <c r="A499">
        <v>6</v>
      </c>
      <c r="B499" t="s">
        <v>383</v>
      </c>
      <c r="C499">
        <v>2000</v>
      </c>
      <c r="D499" s="2" t="e">
        <f>VLOOKUP(B499,装备!B:E,3,FALSE)</f>
        <v>#N/A</v>
      </c>
      <c r="E499" t="str">
        <f t="shared" si="10"/>
        <v>AddPrizeListEx(6,'Z131',2000)</v>
      </c>
    </row>
    <row r="500" spans="1:5">
      <c r="A500">
        <v>6</v>
      </c>
      <c r="B500" t="s">
        <v>332</v>
      </c>
      <c r="C500">
        <v>350</v>
      </c>
      <c r="D500" s="2" t="e">
        <f>VLOOKUP(B500,装备!B:E,3,FALSE)</f>
        <v>#N/A</v>
      </c>
      <c r="E500" t="str">
        <f t="shared" si="10"/>
        <v>AddPrizeListEx(6,'Z132',350)</v>
      </c>
    </row>
    <row r="501" spans="1:5">
      <c r="A501">
        <v>6</v>
      </c>
      <c r="B501" t="s">
        <v>384</v>
      </c>
      <c r="C501">
        <v>2000</v>
      </c>
      <c r="D501" s="2" t="e">
        <f>VLOOKUP(B501,装备!B:E,3,FALSE)</f>
        <v>#N/A</v>
      </c>
      <c r="E501" t="str">
        <f t="shared" si="10"/>
        <v>AddPrizeListEx(6,'Z141',2000)</v>
      </c>
    </row>
    <row r="502" spans="1:5">
      <c r="A502">
        <v>6</v>
      </c>
      <c r="B502" t="s">
        <v>334</v>
      </c>
      <c r="C502">
        <v>2000</v>
      </c>
      <c r="D502" s="2" t="e">
        <f>VLOOKUP(B502,装备!B:E,3,FALSE)</f>
        <v>#N/A</v>
      </c>
      <c r="E502" t="str">
        <f t="shared" si="10"/>
        <v>AddPrizeListEx(6,'Z142',2000)</v>
      </c>
    </row>
    <row r="503" spans="1:5">
      <c r="A503">
        <v>6</v>
      </c>
      <c r="B503" t="s">
        <v>385</v>
      </c>
      <c r="C503">
        <v>350</v>
      </c>
      <c r="D503" s="2" t="e">
        <f>VLOOKUP(B503,装备!B:E,3,FALSE)</f>
        <v>#N/A</v>
      </c>
      <c r="E503" t="str">
        <f t="shared" si="10"/>
        <v>AddPrizeListEx(6,'Z151',350)</v>
      </c>
    </row>
    <row r="504" spans="1:5">
      <c r="A504">
        <v>6</v>
      </c>
      <c r="B504" t="s">
        <v>336</v>
      </c>
      <c r="C504">
        <v>2000</v>
      </c>
      <c r="D504" s="2" t="e">
        <f>VLOOKUP(B504,装备!B:E,3,FALSE)</f>
        <v>#N/A</v>
      </c>
      <c r="E504" t="str">
        <f t="shared" si="10"/>
        <v>AddPrizeListEx(6,'Z152',2000)</v>
      </c>
    </row>
    <row r="505" spans="1:5">
      <c r="A505">
        <v>6</v>
      </c>
      <c r="B505" t="s">
        <v>386</v>
      </c>
      <c r="C505">
        <v>350</v>
      </c>
      <c r="D505" s="2" t="e">
        <f>VLOOKUP(B505,装备!B:E,3,FALSE)</f>
        <v>#N/A</v>
      </c>
      <c r="E505" t="str">
        <f t="shared" si="10"/>
        <v>AddPrizeListEx(6,'Z161',350)</v>
      </c>
    </row>
    <row r="506" spans="1:5">
      <c r="A506">
        <v>6</v>
      </c>
      <c r="B506" t="s">
        <v>338</v>
      </c>
      <c r="C506">
        <v>2000</v>
      </c>
      <c r="D506" s="2" t="e">
        <f>VLOOKUP(B506,装备!B:E,3,FALSE)</f>
        <v>#N/A</v>
      </c>
      <c r="E506" t="str">
        <f t="shared" si="10"/>
        <v>AddPrizeListEx(6,'Z162',2000)</v>
      </c>
    </row>
    <row r="507" spans="1:5">
      <c r="A507">
        <v>6</v>
      </c>
      <c r="B507" t="s">
        <v>387</v>
      </c>
      <c r="C507">
        <v>350</v>
      </c>
      <c r="D507" s="2" t="e">
        <f>VLOOKUP(B507,装备!B:E,3,FALSE)</f>
        <v>#N/A</v>
      </c>
      <c r="E507" t="str">
        <f t="shared" si="10"/>
        <v>AddPrizeListEx(6,'Z171',350)</v>
      </c>
    </row>
    <row r="508" spans="1:5">
      <c r="A508">
        <v>6</v>
      </c>
      <c r="B508" t="s">
        <v>340</v>
      </c>
      <c r="C508">
        <v>2000</v>
      </c>
      <c r="D508" s="2" t="e">
        <f>VLOOKUP(B508,装备!B:E,3,FALSE)</f>
        <v>#N/A</v>
      </c>
      <c r="E508" t="str">
        <f t="shared" si="10"/>
        <v>AddPrizeListEx(6,'Z172',2000)</v>
      </c>
    </row>
    <row r="509" spans="1:5">
      <c r="A509">
        <v>6</v>
      </c>
      <c r="B509" t="s">
        <v>388</v>
      </c>
      <c r="C509">
        <v>2000</v>
      </c>
      <c r="D509" s="2" t="e">
        <f>VLOOKUP(B509,装备!B:E,3,FALSE)</f>
        <v>#N/A</v>
      </c>
      <c r="E509" t="str">
        <f t="shared" si="10"/>
        <v>AddPrizeListEx(6,'Z181',2000)</v>
      </c>
    </row>
    <row r="510" spans="1:5">
      <c r="A510">
        <v>6</v>
      </c>
      <c r="B510" t="s">
        <v>342</v>
      </c>
      <c r="C510">
        <v>350</v>
      </c>
      <c r="D510" s="2" t="e">
        <f>VLOOKUP(B510,装备!B:E,3,FALSE)</f>
        <v>#N/A</v>
      </c>
      <c r="E510" t="str">
        <f t="shared" si="10"/>
        <v>AddPrizeListEx(6,'Z182',350)</v>
      </c>
    </row>
    <row r="511" spans="1:5">
      <c r="A511">
        <v>6</v>
      </c>
      <c r="B511" t="s">
        <v>389</v>
      </c>
      <c r="C511">
        <v>2000</v>
      </c>
      <c r="D511" s="2" t="e">
        <f>VLOOKUP(B511,装备!B:E,3,FALSE)</f>
        <v>#N/A</v>
      </c>
      <c r="E511" t="str">
        <f t="shared" si="10"/>
        <v>AddPrizeListEx(6,'Z191',2000)</v>
      </c>
    </row>
    <row r="512" spans="1:5">
      <c r="A512">
        <v>6</v>
      </c>
      <c r="B512" t="s">
        <v>344</v>
      </c>
      <c r="C512">
        <v>350</v>
      </c>
      <c r="D512" s="2" t="e">
        <f>VLOOKUP(B512,装备!B:E,3,FALSE)</f>
        <v>#N/A</v>
      </c>
      <c r="E512" t="str">
        <f t="shared" si="10"/>
        <v>AddPrizeListEx(6,'Z192',350)</v>
      </c>
    </row>
    <row r="513" spans="1:5">
      <c r="A513">
        <v>6</v>
      </c>
      <c r="B513" t="s">
        <v>390</v>
      </c>
      <c r="C513">
        <v>2000</v>
      </c>
      <c r="D513" s="2" t="e">
        <f>VLOOKUP(B513,装备!B:E,3,FALSE)</f>
        <v>#N/A</v>
      </c>
      <c r="E513" t="str">
        <f t="shared" si="10"/>
        <v>AddPrizeListEx(6,'Z201',2000)</v>
      </c>
    </row>
    <row r="514" spans="1:5">
      <c r="A514">
        <v>6</v>
      </c>
      <c r="B514" t="s">
        <v>346</v>
      </c>
      <c r="C514">
        <v>350</v>
      </c>
      <c r="D514" s="2" t="e">
        <f>VLOOKUP(B514,装备!B:E,3,FALSE)</f>
        <v>#N/A</v>
      </c>
      <c r="E514" t="str">
        <f t="shared" si="10"/>
        <v>AddPrizeListEx(6,'Z202',350)</v>
      </c>
    </row>
    <row r="515" spans="1:5">
      <c r="A515">
        <v>6</v>
      </c>
      <c r="B515" t="s">
        <v>391</v>
      </c>
      <c r="C515">
        <v>2000</v>
      </c>
      <c r="D515" s="2" t="e">
        <f>VLOOKUP(B515,装备!B:E,3,FALSE)</f>
        <v>#N/A</v>
      </c>
      <c r="E515" t="str">
        <f t="shared" si="10"/>
        <v>AddPrizeListEx(6,'Z211',2000)</v>
      </c>
    </row>
    <row r="516" spans="1:5">
      <c r="A516">
        <v>6</v>
      </c>
      <c r="B516" t="s">
        <v>348</v>
      </c>
      <c r="C516">
        <v>350</v>
      </c>
      <c r="D516" s="2" t="e">
        <f>VLOOKUP(B516,装备!B:E,3,FALSE)</f>
        <v>#N/A</v>
      </c>
      <c r="E516" t="str">
        <f t="shared" si="10"/>
        <v>AddPrizeListEx(6,'Z212',350)</v>
      </c>
    </row>
    <row r="517" spans="1:5">
      <c r="A517">
        <v>6</v>
      </c>
      <c r="B517" t="s">
        <v>392</v>
      </c>
      <c r="C517">
        <v>2000</v>
      </c>
      <c r="D517" s="2" t="e">
        <f>VLOOKUP(B517,装备!B:E,3,FALSE)</f>
        <v>#N/A</v>
      </c>
      <c r="E517" t="str">
        <f t="shared" si="10"/>
        <v>AddPrizeListEx(6,'Z221',2000)</v>
      </c>
    </row>
    <row r="518" spans="1:5">
      <c r="A518">
        <v>6</v>
      </c>
      <c r="B518" t="s">
        <v>350</v>
      </c>
      <c r="C518">
        <v>350</v>
      </c>
      <c r="D518" s="2" t="e">
        <f>VLOOKUP(B518,装备!B:E,3,FALSE)</f>
        <v>#N/A</v>
      </c>
      <c r="E518" t="str">
        <f t="shared" si="10"/>
        <v>AddPrizeListEx(6,'Z222',350)</v>
      </c>
    </row>
    <row r="519" spans="1:5">
      <c r="A519">
        <v>6</v>
      </c>
      <c r="B519" t="s">
        <v>393</v>
      </c>
      <c r="C519">
        <v>2000</v>
      </c>
      <c r="D519" s="2" t="e">
        <f>VLOOKUP(B519,装备!B:E,3,FALSE)</f>
        <v>#N/A</v>
      </c>
      <c r="E519" t="str">
        <f t="shared" si="10"/>
        <v>AddPrizeListEx(6,'Z231',2000)</v>
      </c>
    </row>
    <row r="520" spans="1:5">
      <c r="A520">
        <v>6</v>
      </c>
      <c r="B520" t="s">
        <v>352</v>
      </c>
      <c r="C520">
        <v>350</v>
      </c>
      <c r="D520" s="2" t="e">
        <f>VLOOKUP(B520,装备!B:E,3,FALSE)</f>
        <v>#N/A</v>
      </c>
      <c r="E520" t="str">
        <f t="shared" si="10"/>
        <v>AddPrizeListEx(6,'Z232',350)</v>
      </c>
    </row>
    <row r="521" spans="1:5">
      <c r="A521">
        <v>6</v>
      </c>
      <c r="B521" t="s">
        <v>394</v>
      </c>
      <c r="C521">
        <v>2000</v>
      </c>
      <c r="D521" s="2" t="e">
        <f>VLOOKUP(B521,装备!B:E,3,FALSE)</f>
        <v>#N/A</v>
      </c>
      <c r="E521" t="str">
        <f t="shared" si="10"/>
        <v>AddPrizeListEx(6,'Z241',2000)</v>
      </c>
    </row>
    <row r="522" spans="1:5">
      <c r="A522">
        <v>6</v>
      </c>
      <c r="B522" t="s">
        <v>354</v>
      </c>
      <c r="C522">
        <v>2000</v>
      </c>
      <c r="D522" s="2" t="e">
        <f>VLOOKUP(B522,装备!B:E,3,FALSE)</f>
        <v>#N/A</v>
      </c>
      <c r="E522" t="str">
        <f t="shared" si="10"/>
        <v>AddPrizeListEx(6,'Z242',2000)</v>
      </c>
    </row>
    <row r="523" spans="1:5">
      <c r="A523">
        <v>6</v>
      </c>
      <c r="B523" t="s">
        <v>395</v>
      </c>
      <c r="C523">
        <v>350</v>
      </c>
      <c r="D523" s="2" t="e">
        <f>VLOOKUP(B523,装备!B:E,3,FALSE)</f>
        <v>#N/A</v>
      </c>
      <c r="E523" t="str">
        <f t="shared" si="10"/>
        <v>AddPrizeListEx(6,'Z251',350)</v>
      </c>
    </row>
    <row r="524" spans="1:5">
      <c r="A524">
        <v>6</v>
      </c>
      <c r="B524" t="s">
        <v>396</v>
      </c>
      <c r="C524">
        <v>2000</v>
      </c>
      <c r="D524" s="2" t="e">
        <f>VLOOKUP(B524,装备!B:E,3,FALSE)</f>
        <v>#N/A</v>
      </c>
      <c r="E524" t="str">
        <f t="shared" si="10"/>
        <v>AddPrizeListEx(6,'Z261',2000)</v>
      </c>
    </row>
    <row r="525" spans="1:5">
      <c r="A525">
        <v>6</v>
      </c>
      <c r="B525" t="s">
        <v>397</v>
      </c>
      <c r="C525">
        <v>350</v>
      </c>
      <c r="D525" s="2" t="e">
        <f>VLOOKUP(B525,装备!B:E,3,FALSE)</f>
        <v>#N/A</v>
      </c>
      <c r="E525" t="str">
        <f t="shared" si="10"/>
        <v>AddPrizeListEx(6,'Z262',350)</v>
      </c>
    </row>
    <row r="526" spans="1:5">
      <c r="A526">
        <v>6</v>
      </c>
      <c r="B526" t="s">
        <v>398</v>
      </c>
      <c r="C526">
        <v>2000</v>
      </c>
      <c r="D526" s="2" t="e">
        <f>VLOOKUP(B526,装备!B:E,3,FALSE)</f>
        <v>#N/A</v>
      </c>
      <c r="E526" t="str">
        <f t="shared" si="10"/>
        <v>AddPrizeListEx(6,'Z271',2000)</v>
      </c>
    </row>
    <row r="527" spans="1:5">
      <c r="A527">
        <v>6</v>
      </c>
      <c r="B527" t="s">
        <v>358</v>
      </c>
      <c r="C527">
        <v>350</v>
      </c>
      <c r="D527" s="2" t="e">
        <f>VLOOKUP(B527,装备!B:E,3,FALSE)</f>
        <v>#N/A</v>
      </c>
      <c r="E527" t="str">
        <f t="shared" si="10"/>
        <v>AddPrizeListEx(6,'Z272',350)</v>
      </c>
    </row>
    <row r="528" spans="1:5">
      <c r="A528">
        <v>6</v>
      </c>
      <c r="B528" t="s">
        <v>399</v>
      </c>
      <c r="C528">
        <v>2000</v>
      </c>
      <c r="D528" s="2" t="e">
        <f>VLOOKUP(B528,装备!B:E,3,FALSE)</f>
        <v>#N/A</v>
      </c>
      <c r="E528" t="str">
        <f t="shared" si="10"/>
        <v>AddPrizeListEx(6,'Z281',2000)</v>
      </c>
    </row>
    <row r="529" spans="1:5">
      <c r="A529">
        <v>6</v>
      </c>
      <c r="B529" t="s">
        <v>360</v>
      </c>
      <c r="C529">
        <v>2000</v>
      </c>
      <c r="D529" s="2" t="e">
        <f>VLOOKUP(B529,装备!B:E,3,FALSE)</f>
        <v>#N/A</v>
      </c>
      <c r="E529" t="str">
        <f t="shared" si="10"/>
        <v>AddPrizeListEx(6,'Z282',2000)</v>
      </c>
    </row>
    <row r="530" spans="1:5">
      <c r="A530">
        <v>6</v>
      </c>
      <c r="B530" t="s">
        <v>400</v>
      </c>
      <c r="C530">
        <v>350</v>
      </c>
      <c r="D530" s="2" t="e">
        <f>VLOOKUP(B530,装备!B:E,3,FALSE)</f>
        <v>#N/A</v>
      </c>
      <c r="E530" t="str">
        <f t="shared" si="10"/>
        <v>AddPrizeListEx(6,'Z291',350)</v>
      </c>
    </row>
    <row r="531" spans="1:5">
      <c r="A531">
        <v>6</v>
      </c>
      <c r="B531" t="s">
        <v>362</v>
      </c>
      <c r="C531">
        <v>2000</v>
      </c>
      <c r="D531" s="2" t="e">
        <f>VLOOKUP(B531,装备!B:E,3,FALSE)</f>
        <v>#N/A</v>
      </c>
      <c r="E531" t="str">
        <f t="shared" si="10"/>
        <v>AddPrizeListEx(6,'Z292',2000)</v>
      </c>
    </row>
    <row r="532" spans="1:5">
      <c r="A532">
        <v>6</v>
      </c>
      <c r="B532" t="s">
        <v>401</v>
      </c>
      <c r="C532">
        <v>350</v>
      </c>
      <c r="D532" s="2" t="e">
        <f>VLOOKUP(B532,装备!B:E,3,FALSE)</f>
        <v>#N/A</v>
      </c>
      <c r="E532" t="str">
        <f t="shared" si="10"/>
        <v>AddPrizeListEx(6,'Z301',350)</v>
      </c>
    </row>
    <row r="533" spans="1:5">
      <c r="A533">
        <v>6</v>
      </c>
      <c r="B533" t="s">
        <v>364</v>
      </c>
      <c r="C533">
        <v>2000</v>
      </c>
      <c r="D533" s="2" t="e">
        <f>VLOOKUP(B533,装备!B:E,3,FALSE)</f>
        <v>#N/A</v>
      </c>
      <c r="E533" t="str">
        <f t="shared" si="10"/>
        <v>AddPrizeListEx(6,'Z302',2000)</v>
      </c>
    </row>
    <row r="534" spans="1:5">
      <c r="A534">
        <v>6</v>
      </c>
      <c r="B534" t="s">
        <v>309</v>
      </c>
      <c r="C534">
        <v>50</v>
      </c>
      <c r="D534" s="2" t="e">
        <f>VLOOKUP(B534,装备!B:E,3,FALSE)</f>
        <v>#N/A</v>
      </c>
      <c r="E534" t="str">
        <f t="shared" si="10"/>
        <v>AddPrizeListEx(6,'Z013',50)</v>
      </c>
    </row>
    <row r="535" spans="1:5">
      <c r="A535">
        <v>6</v>
      </c>
      <c r="B535" t="s">
        <v>311</v>
      </c>
      <c r="C535">
        <v>50</v>
      </c>
      <c r="D535" s="2" t="e">
        <f>VLOOKUP(B535,装备!B:E,3,FALSE)</f>
        <v>#N/A</v>
      </c>
      <c r="E535" t="str">
        <f t="shared" si="10"/>
        <v>AddPrizeListEx(6,'Z023',50)</v>
      </c>
    </row>
    <row r="536" spans="1:5">
      <c r="A536">
        <v>6</v>
      </c>
      <c r="B536" t="s">
        <v>313</v>
      </c>
      <c r="C536">
        <v>50</v>
      </c>
      <c r="D536" s="2" t="e">
        <f>VLOOKUP(B536,装备!B:E,3,FALSE)</f>
        <v>#N/A</v>
      </c>
      <c r="E536" t="str">
        <f t="shared" si="10"/>
        <v>AddPrizeListEx(6,'Z033',50)</v>
      </c>
    </row>
    <row r="537" spans="1:5">
      <c r="A537">
        <v>6</v>
      </c>
      <c r="B537" t="s">
        <v>315</v>
      </c>
      <c r="C537">
        <v>50</v>
      </c>
      <c r="D537" s="2" t="e">
        <f>VLOOKUP(B537,装备!B:E,3,FALSE)</f>
        <v>#N/A</v>
      </c>
      <c r="E537" t="str">
        <f t="shared" si="10"/>
        <v>AddPrizeListEx(6,'Z043',50)</v>
      </c>
    </row>
    <row r="538" spans="1:5">
      <c r="A538">
        <v>6</v>
      </c>
      <c r="B538" t="s">
        <v>317</v>
      </c>
      <c r="C538">
        <v>50</v>
      </c>
      <c r="D538" s="2" t="e">
        <f>VLOOKUP(B538,装备!B:E,3,FALSE)</f>
        <v>#N/A</v>
      </c>
      <c r="E538" t="str">
        <f t="shared" si="10"/>
        <v>AddPrizeListEx(6,'Z053',50)</v>
      </c>
    </row>
    <row r="539" spans="1:5">
      <c r="A539">
        <v>6</v>
      </c>
      <c r="B539" t="s">
        <v>319</v>
      </c>
      <c r="C539">
        <v>50</v>
      </c>
      <c r="D539" s="2" t="e">
        <f>VLOOKUP(B539,装备!B:E,3,FALSE)</f>
        <v>#N/A</v>
      </c>
      <c r="E539" t="str">
        <f t="shared" ref="E539:E596" si="11">IF(B539&lt;&gt;"","AddPrizeListEx("&amp;A539&amp;",'"&amp;B539&amp;"',"&amp;C539&amp;")","")</f>
        <v>AddPrizeListEx(6,'Z063',50)</v>
      </c>
    </row>
    <row r="540" spans="1:5">
      <c r="A540">
        <v>6</v>
      </c>
      <c r="B540" t="s">
        <v>321</v>
      </c>
      <c r="C540">
        <v>50</v>
      </c>
      <c r="D540" s="2" t="e">
        <f>VLOOKUP(B540,装备!B:E,3,FALSE)</f>
        <v>#N/A</v>
      </c>
      <c r="E540" t="str">
        <f t="shared" si="11"/>
        <v>AddPrizeListEx(6,'Z073',50)</v>
      </c>
    </row>
    <row r="541" spans="1:5">
      <c r="A541">
        <v>6</v>
      </c>
      <c r="B541" t="s">
        <v>323</v>
      </c>
      <c r="C541">
        <v>50</v>
      </c>
      <c r="D541" s="2" t="e">
        <f>VLOOKUP(B541,装备!B:E,3,FALSE)</f>
        <v>#N/A</v>
      </c>
      <c r="E541" t="str">
        <f t="shared" si="11"/>
        <v>AddPrizeListEx(6,'Z083',50)</v>
      </c>
    </row>
    <row r="542" spans="1:5">
      <c r="A542">
        <v>6</v>
      </c>
      <c r="B542" t="s">
        <v>325</v>
      </c>
      <c r="C542">
        <v>50</v>
      </c>
      <c r="D542" s="2" t="e">
        <f>VLOOKUP(B542,装备!B:E,3,FALSE)</f>
        <v>#N/A</v>
      </c>
      <c r="E542" t="str">
        <f t="shared" si="11"/>
        <v>AddPrizeListEx(6,'Z093',50)</v>
      </c>
    </row>
    <row r="543" spans="1:5">
      <c r="A543">
        <v>6</v>
      </c>
      <c r="B543" t="s">
        <v>327</v>
      </c>
      <c r="C543">
        <v>50</v>
      </c>
      <c r="D543" s="2" t="e">
        <f>VLOOKUP(B543,装备!B:E,3,FALSE)</f>
        <v>#N/A</v>
      </c>
      <c r="E543" t="str">
        <f t="shared" si="11"/>
        <v>AddPrizeListEx(6,'Z103',50)</v>
      </c>
    </row>
    <row r="544" spans="1:5">
      <c r="A544">
        <v>6</v>
      </c>
      <c r="B544" t="s">
        <v>329</v>
      </c>
      <c r="C544">
        <v>50</v>
      </c>
      <c r="D544" s="2" t="e">
        <f>VLOOKUP(B544,装备!B:E,3,FALSE)</f>
        <v>#N/A</v>
      </c>
      <c r="E544" t="str">
        <f t="shared" si="11"/>
        <v>AddPrizeListEx(6,'Z113',50)</v>
      </c>
    </row>
    <row r="545" spans="1:5">
      <c r="A545">
        <v>6</v>
      </c>
      <c r="B545" t="s">
        <v>331</v>
      </c>
      <c r="C545">
        <v>50</v>
      </c>
      <c r="D545" s="2" t="e">
        <f>VLOOKUP(B545,装备!B:E,3,FALSE)</f>
        <v>#N/A</v>
      </c>
      <c r="E545" t="str">
        <f t="shared" si="11"/>
        <v>AddPrizeListEx(6,'Z123',50)</v>
      </c>
    </row>
    <row r="546" spans="1:5">
      <c r="A546">
        <v>6</v>
      </c>
      <c r="B546" t="s">
        <v>333</v>
      </c>
      <c r="C546">
        <v>50</v>
      </c>
      <c r="D546" s="2" t="e">
        <f>VLOOKUP(B546,装备!B:E,3,FALSE)</f>
        <v>#N/A</v>
      </c>
      <c r="E546" t="str">
        <f t="shared" si="11"/>
        <v>AddPrizeListEx(6,'Z133',50)</v>
      </c>
    </row>
    <row r="547" spans="1:5">
      <c r="A547">
        <v>6</v>
      </c>
      <c r="B547" t="s">
        <v>335</v>
      </c>
      <c r="C547">
        <v>50</v>
      </c>
      <c r="D547" s="2" t="e">
        <f>VLOOKUP(B547,装备!B:E,3,FALSE)</f>
        <v>#N/A</v>
      </c>
      <c r="E547" t="str">
        <f t="shared" si="11"/>
        <v>AddPrizeListEx(6,'Z143',50)</v>
      </c>
    </row>
    <row r="548" spans="1:5">
      <c r="A548">
        <v>6</v>
      </c>
      <c r="B548" t="s">
        <v>337</v>
      </c>
      <c r="C548">
        <v>50</v>
      </c>
      <c r="D548" s="2" t="e">
        <f>VLOOKUP(B548,装备!B:E,3,FALSE)</f>
        <v>#N/A</v>
      </c>
      <c r="E548" t="str">
        <f t="shared" si="11"/>
        <v>AddPrizeListEx(6,'Z153',50)</v>
      </c>
    </row>
    <row r="549" spans="1:5">
      <c r="A549">
        <v>6</v>
      </c>
      <c r="B549" t="s">
        <v>339</v>
      </c>
      <c r="C549">
        <v>50</v>
      </c>
      <c r="D549" s="2" t="e">
        <f>VLOOKUP(B549,装备!B:E,3,FALSE)</f>
        <v>#N/A</v>
      </c>
      <c r="E549" t="str">
        <f t="shared" si="11"/>
        <v>AddPrizeListEx(6,'Z163',50)</v>
      </c>
    </row>
    <row r="550" spans="1:5">
      <c r="A550">
        <v>6</v>
      </c>
      <c r="B550" t="s">
        <v>341</v>
      </c>
      <c r="C550">
        <v>50</v>
      </c>
      <c r="D550" s="2" t="e">
        <f>VLOOKUP(B550,装备!B:E,3,FALSE)</f>
        <v>#N/A</v>
      </c>
      <c r="E550" t="str">
        <f t="shared" si="11"/>
        <v>AddPrizeListEx(6,'Z173',50)</v>
      </c>
    </row>
    <row r="551" spans="1:5">
      <c r="A551">
        <v>6</v>
      </c>
      <c r="B551" t="s">
        <v>343</v>
      </c>
      <c r="C551">
        <v>50</v>
      </c>
      <c r="D551" s="2" t="e">
        <f>VLOOKUP(B551,装备!B:E,3,FALSE)</f>
        <v>#N/A</v>
      </c>
      <c r="E551" t="str">
        <f t="shared" si="11"/>
        <v>AddPrizeListEx(6,'Z183',50)</v>
      </c>
    </row>
    <row r="552" spans="1:5">
      <c r="A552">
        <v>6</v>
      </c>
      <c r="B552" t="s">
        <v>345</v>
      </c>
      <c r="C552">
        <v>50</v>
      </c>
      <c r="D552" s="2" t="e">
        <f>VLOOKUP(B552,装备!B:E,3,FALSE)</f>
        <v>#N/A</v>
      </c>
      <c r="E552" t="str">
        <f t="shared" si="11"/>
        <v>AddPrizeListEx(6,'Z193',50)</v>
      </c>
    </row>
    <row r="553" spans="1:5">
      <c r="A553">
        <v>6</v>
      </c>
      <c r="B553" t="s">
        <v>347</v>
      </c>
      <c r="C553">
        <v>50</v>
      </c>
      <c r="D553" s="2" t="e">
        <f>VLOOKUP(B553,装备!B:E,3,FALSE)</f>
        <v>#N/A</v>
      </c>
      <c r="E553" t="str">
        <f t="shared" si="11"/>
        <v>AddPrizeListEx(6,'Z203',50)</v>
      </c>
    </row>
    <row r="554" spans="1:5">
      <c r="A554">
        <v>6</v>
      </c>
      <c r="B554" t="s">
        <v>349</v>
      </c>
      <c r="C554">
        <v>50</v>
      </c>
      <c r="D554" s="2" t="e">
        <f>VLOOKUP(B554,装备!B:E,3,FALSE)</f>
        <v>#N/A</v>
      </c>
      <c r="E554" t="str">
        <f t="shared" si="11"/>
        <v>AddPrizeListEx(6,'Z213',50)</v>
      </c>
    </row>
    <row r="555" spans="1:5">
      <c r="A555">
        <v>6</v>
      </c>
      <c r="B555" t="s">
        <v>351</v>
      </c>
      <c r="C555">
        <v>50</v>
      </c>
      <c r="D555" s="2" t="e">
        <f>VLOOKUP(B555,装备!B:E,3,FALSE)</f>
        <v>#N/A</v>
      </c>
      <c r="E555" t="str">
        <f t="shared" si="11"/>
        <v>AddPrizeListEx(6,'Z223',50)</v>
      </c>
    </row>
    <row r="556" spans="1:5">
      <c r="A556">
        <v>6</v>
      </c>
      <c r="B556" t="s">
        <v>353</v>
      </c>
      <c r="C556">
        <v>50</v>
      </c>
      <c r="D556" s="2" t="e">
        <f>VLOOKUP(B556,装备!B:E,3,FALSE)</f>
        <v>#N/A</v>
      </c>
      <c r="E556" t="str">
        <f t="shared" si="11"/>
        <v>AddPrizeListEx(6,'Z233',50)</v>
      </c>
    </row>
    <row r="557" spans="1:5">
      <c r="A557">
        <v>6</v>
      </c>
      <c r="B557" t="s">
        <v>355</v>
      </c>
      <c r="C557">
        <v>50</v>
      </c>
      <c r="D557" s="2" t="e">
        <f>VLOOKUP(B557,装备!B:E,3,FALSE)</f>
        <v>#N/A</v>
      </c>
      <c r="E557" t="str">
        <f t="shared" si="11"/>
        <v>AddPrizeListEx(6,'Z243',50)</v>
      </c>
    </row>
    <row r="558" spans="1:5">
      <c r="A558">
        <v>6</v>
      </c>
      <c r="B558" t="s">
        <v>356</v>
      </c>
      <c r="C558">
        <v>50</v>
      </c>
      <c r="D558" s="2" t="e">
        <f>VLOOKUP(B558,装备!B:E,3,FALSE)</f>
        <v>#N/A</v>
      </c>
      <c r="E558" t="str">
        <f t="shared" si="11"/>
        <v>AddPrizeListEx(6,'Z253',50)</v>
      </c>
    </row>
    <row r="559" spans="1:5">
      <c r="A559">
        <v>6</v>
      </c>
      <c r="B559" t="s">
        <v>402</v>
      </c>
      <c r="C559">
        <v>50</v>
      </c>
      <c r="D559" s="2" t="e">
        <f>VLOOKUP(B559,装备!B:E,3,FALSE)</f>
        <v>#N/A</v>
      </c>
      <c r="E559" t="str">
        <f t="shared" si="11"/>
        <v>AddPrizeListEx(6,'Z263',50)</v>
      </c>
    </row>
    <row r="560" spans="1:5">
      <c r="A560">
        <v>6</v>
      </c>
      <c r="B560" t="s">
        <v>359</v>
      </c>
      <c r="C560">
        <v>50</v>
      </c>
      <c r="D560" s="2" t="e">
        <f>VLOOKUP(B560,装备!B:E,3,FALSE)</f>
        <v>#N/A</v>
      </c>
      <c r="E560" t="str">
        <f t="shared" si="11"/>
        <v>AddPrizeListEx(6,'Z273',50)</v>
      </c>
    </row>
    <row r="561" spans="1:5">
      <c r="A561">
        <v>6</v>
      </c>
      <c r="B561" t="s">
        <v>361</v>
      </c>
      <c r="C561">
        <v>50</v>
      </c>
      <c r="D561" s="2" t="e">
        <f>VLOOKUP(B561,装备!B:E,3,FALSE)</f>
        <v>#N/A</v>
      </c>
      <c r="E561" t="str">
        <f t="shared" si="11"/>
        <v>AddPrizeListEx(6,'Z283',50)</v>
      </c>
    </row>
    <row r="562" spans="1:5">
      <c r="A562">
        <v>6</v>
      </c>
      <c r="B562" t="s">
        <v>363</v>
      </c>
      <c r="C562">
        <v>50</v>
      </c>
      <c r="D562" s="2" t="e">
        <f>VLOOKUP(B562,装备!B:E,3,FALSE)</f>
        <v>#N/A</v>
      </c>
      <c r="E562" t="str">
        <f t="shared" si="11"/>
        <v>AddPrizeListEx(6,'Z293',50)</v>
      </c>
    </row>
    <row r="563" spans="1:5">
      <c r="A563">
        <v>6</v>
      </c>
      <c r="B563" t="s">
        <v>365</v>
      </c>
      <c r="C563">
        <v>50</v>
      </c>
      <c r="D563" s="2" t="e">
        <f>VLOOKUP(B563,装备!B:E,3,FALSE)</f>
        <v>#N/A</v>
      </c>
      <c r="E563" t="str">
        <f t="shared" si="11"/>
        <v>AddPrizeListEx(6,'Z303',50)</v>
      </c>
    </row>
    <row r="564" spans="1:5">
      <c r="A564">
        <v>6</v>
      </c>
      <c r="B564" t="s">
        <v>234</v>
      </c>
      <c r="C564">
        <v>100</v>
      </c>
      <c r="D564" s="2" t="e">
        <f>VLOOKUP(B564,装备!B:E,3,FALSE)</f>
        <v>#N/A</v>
      </c>
      <c r="E564" t="str">
        <f t="shared" si="11"/>
        <v>AddPrizeListEx(6,'I102',100)</v>
      </c>
    </row>
    <row r="565" spans="1:5">
      <c r="A565">
        <v>6</v>
      </c>
      <c r="B565" t="s">
        <v>235</v>
      </c>
      <c r="C565">
        <v>10</v>
      </c>
      <c r="D565" s="2" t="e">
        <f>VLOOKUP(B565,装备!B:E,3,FALSE)</f>
        <v>#N/A</v>
      </c>
      <c r="E565" t="str">
        <f t="shared" si="11"/>
        <v>AddPrizeListEx(6,'I103',10)</v>
      </c>
    </row>
    <row r="566" spans="1:5">
      <c r="A566">
        <v>6</v>
      </c>
      <c r="B566" t="s">
        <v>236</v>
      </c>
      <c r="C566">
        <v>1</v>
      </c>
      <c r="D566" s="2" t="e">
        <f>VLOOKUP(B566,装备!B:E,3,FALSE)</f>
        <v>#N/A</v>
      </c>
      <c r="E566" t="str">
        <f t="shared" si="11"/>
        <v>AddPrizeListEx(6,'I104',1)</v>
      </c>
    </row>
    <row r="567" spans="1:5">
      <c r="A567">
        <v>6</v>
      </c>
      <c r="B567" t="s">
        <v>238</v>
      </c>
      <c r="C567">
        <v>10</v>
      </c>
      <c r="D567" s="2" t="e">
        <f>VLOOKUP(B567,装备!B:E,3,FALSE)</f>
        <v>#N/A</v>
      </c>
      <c r="E567" t="str">
        <f t="shared" si="11"/>
        <v>AddPrizeListEx(6,'I106',10)</v>
      </c>
    </row>
    <row r="568" spans="1:5">
      <c r="A568">
        <v>6</v>
      </c>
      <c r="B568" t="s">
        <v>239</v>
      </c>
      <c r="C568">
        <v>1</v>
      </c>
      <c r="D568" s="2" t="e">
        <f>VLOOKUP(B568,装备!B:E,3,FALSE)</f>
        <v>#N/A</v>
      </c>
      <c r="E568" t="str">
        <f t="shared" si="11"/>
        <v>AddPrizeListEx(6,'I107',1)</v>
      </c>
    </row>
    <row r="569" spans="1:5">
      <c r="A569">
        <v>6</v>
      </c>
      <c r="B569" t="s">
        <v>242</v>
      </c>
      <c r="C569">
        <v>10</v>
      </c>
      <c r="D569" s="2" t="e">
        <f>VLOOKUP(B569,装备!B:E,3,FALSE)</f>
        <v>#N/A</v>
      </c>
      <c r="E569" t="str">
        <f t="shared" si="11"/>
        <v>AddPrizeListEx(6,'I110',10)</v>
      </c>
    </row>
    <row r="570" spans="1:5">
      <c r="A570">
        <v>6</v>
      </c>
      <c r="B570" t="s">
        <v>243</v>
      </c>
      <c r="C570">
        <v>1</v>
      </c>
      <c r="D570" s="2" t="e">
        <f>VLOOKUP(B570,装备!B:E,3,FALSE)</f>
        <v>#N/A</v>
      </c>
      <c r="E570" t="str">
        <f t="shared" si="11"/>
        <v>AddPrizeListEx(6,'I111',1)</v>
      </c>
    </row>
    <row r="571" spans="1:5">
      <c r="A571">
        <v>6</v>
      </c>
      <c r="B571" t="s">
        <v>245</v>
      </c>
      <c r="C571">
        <v>10</v>
      </c>
      <c r="D571" s="2" t="e">
        <f>VLOOKUP(B571,装备!B:E,3,FALSE)</f>
        <v>#N/A</v>
      </c>
      <c r="E571" t="str">
        <f t="shared" si="11"/>
        <v>AddPrizeListEx(6,'I113',10)</v>
      </c>
    </row>
    <row r="572" spans="1:5">
      <c r="A572">
        <v>6</v>
      </c>
      <c r="B572" t="s">
        <v>246</v>
      </c>
      <c r="C572">
        <v>1</v>
      </c>
      <c r="D572" s="2" t="e">
        <f>VLOOKUP(B572,装备!B:E,3,FALSE)</f>
        <v>#N/A</v>
      </c>
      <c r="E572" t="str">
        <f t="shared" si="11"/>
        <v>AddPrizeListEx(6,'I114',1)</v>
      </c>
    </row>
    <row r="573" spans="1:5">
      <c r="A573">
        <v>6</v>
      </c>
      <c r="B573" t="s">
        <v>248</v>
      </c>
      <c r="C573">
        <v>10</v>
      </c>
      <c r="D573" s="2" t="e">
        <f>VLOOKUP(B573,装备!B:E,3,FALSE)</f>
        <v>#N/A</v>
      </c>
      <c r="E573" t="str">
        <f t="shared" si="11"/>
        <v>AddPrizeListEx(6,'I116',10)</v>
      </c>
    </row>
    <row r="574" spans="1:5">
      <c r="A574">
        <v>6</v>
      </c>
      <c r="B574" t="s">
        <v>249</v>
      </c>
      <c r="C574">
        <v>1</v>
      </c>
      <c r="D574" s="2" t="e">
        <f>VLOOKUP(B574,装备!B:E,3,FALSE)</f>
        <v>#N/A</v>
      </c>
      <c r="E574" t="str">
        <f t="shared" si="11"/>
        <v>AddPrizeListEx(6,'I117',1)</v>
      </c>
    </row>
    <row r="575" spans="1:5">
      <c r="A575">
        <v>6</v>
      </c>
      <c r="B575" t="s">
        <v>251</v>
      </c>
      <c r="C575">
        <v>10</v>
      </c>
      <c r="D575" s="2" t="e">
        <f>VLOOKUP(B575,装备!B:E,3,FALSE)</f>
        <v>#N/A</v>
      </c>
      <c r="E575" t="str">
        <f t="shared" si="11"/>
        <v>AddPrizeListEx(6,'I119',10)</v>
      </c>
    </row>
    <row r="576" spans="1:5">
      <c r="A576">
        <v>6</v>
      </c>
      <c r="B576" t="s">
        <v>252</v>
      </c>
      <c r="C576">
        <v>1</v>
      </c>
      <c r="D576" s="2" t="e">
        <f>VLOOKUP(B576,装备!B:E,3,FALSE)</f>
        <v>#N/A</v>
      </c>
      <c r="E576" t="str">
        <f t="shared" si="11"/>
        <v>AddPrizeListEx(6,'I120',1)</v>
      </c>
    </row>
    <row r="577" spans="1:5">
      <c r="A577">
        <v>6</v>
      </c>
      <c r="B577" t="s">
        <v>254</v>
      </c>
      <c r="C577">
        <v>10</v>
      </c>
      <c r="D577" s="2" t="e">
        <f>VLOOKUP(B577,装备!B:E,3,FALSE)</f>
        <v>#N/A</v>
      </c>
      <c r="E577" t="str">
        <f t="shared" si="11"/>
        <v>AddPrizeListEx(6,'I122',10)</v>
      </c>
    </row>
    <row r="578" spans="1:5">
      <c r="A578">
        <v>6</v>
      </c>
      <c r="B578" t="s">
        <v>255</v>
      </c>
      <c r="C578">
        <v>1</v>
      </c>
      <c r="D578" s="2" t="e">
        <f>VLOOKUP(B578,装备!B:E,3,FALSE)</f>
        <v>#N/A</v>
      </c>
      <c r="E578" t="str">
        <f t="shared" si="11"/>
        <v>AddPrizeListEx(6,'I123',1)</v>
      </c>
    </row>
    <row r="579" spans="1:5">
      <c r="A579">
        <v>6</v>
      </c>
      <c r="B579" t="s">
        <v>257</v>
      </c>
      <c r="C579">
        <v>10</v>
      </c>
      <c r="D579" s="2" t="e">
        <f>VLOOKUP(B579,装备!B:E,3,FALSE)</f>
        <v>#N/A</v>
      </c>
      <c r="E579" t="str">
        <f t="shared" si="11"/>
        <v>AddPrizeListEx(6,'I125',10)</v>
      </c>
    </row>
    <row r="580" spans="1:5">
      <c r="A580">
        <v>6</v>
      </c>
      <c r="B580" t="s">
        <v>258</v>
      </c>
      <c r="C580">
        <v>1</v>
      </c>
      <c r="D580" s="2" t="e">
        <f>VLOOKUP(B580,装备!B:E,3,FALSE)</f>
        <v>#N/A</v>
      </c>
      <c r="E580" t="str">
        <f t="shared" si="11"/>
        <v>AddPrizeListEx(6,'I126',1)</v>
      </c>
    </row>
    <row r="581" spans="1:5">
      <c r="A581">
        <v>6</v>
      </c>
      <c r="B581" t="s">
        <v>260</v>
      </c>
      <c r="C581">
        <v>10</v>
      </c>
      <c r="D581" s="2" t="e">
        <f>VLOOKUP(B581,装备!B:E,3,FALSE)</f>
        <v>#N/A</v>
      </c>
      <c r="E581" t="str">
        <f t="shared" si="11"/>
        <v>AddPrizeListEx(6,'I128',10)</v>
      </c>
    </row>
    <row r="582" spans="1:5">
      <c r="A582">
        <v>6</v>
      </c>
      <c r="B582" t="s">
        <v>261</v>
      </c>
      <c r="C582">
        <v>1</v>
      </c>
      <c r="D582" s="2" t="e">
        <f>VLOOKUP(B582,装备!B:E,3,FALSE)</f>
        <v>#N/A</v>
      </c>
      <c r="E582" t="str">
        <f t="shared" si="11"/>
        <v>AddPrizeListEx(6,'I129',1)</v>
      </c>
    </row>
    <row r="583" spans="1:5">
      <c r="A583">
        <v>6</v>
      </c>
      <c r="B583" t="s">
        <v>263</v>
      </c>
      <c r="C583">
        <v>10</v>
      </c>
      <c r="D583" s="2" t="e">
        <f>VLOOKUP(B583,装备!B:E,3,FALSE)</f>
        <v>#N/A</v>
      </c>
      <c r="E583" t="str">
        <f t="shared" si="11"/>
        <v>AddPrizeListEx(6,'I131',10)</v>
      </c>
    </row>
    <row r="584" spans="1:5">
      <c r="A584">
        <v>6</v>
      </c>
      <c r="B584" t="s">
        <v>264</v>
      </c>
      <c r="C584">
        <v>1</v>
      </c>
      <c r="D584" s="2" t="e">
        <f>VLOOKUP(B584,装备!B:E,3,FALSE)</f>
        <v>#N/A</v>
      </c>
      <c r="E584" t="str">
        <f t="shared" si="11"/>
        <v>AddPrizeListEx(6,'I132',1)</v>
      </c>
    </row>
    <row r="585" spans="1:5">
      <c r="A585">
        <v>6</v>
      </c>
      <c r="B585" t="s">
        <v>265</v>
      </c>
      <c r="C585">
        <v>20</v>
      </c>
      <c r="D585" s="2" t="e">
        <f>VLOOKUP(B585,装备!B:E,3,FALSE)</f>
        <v>#N/A</v>
      </c>
      <c r="E585" t="str">
        <f t="shared" si="11"/>
        <v>AddPrizeListEx(6,'I133',20)</v>
      </c>
    </row>
    <row r="586" spans="1:5">
      <c r="A586">
        <v>6</v>
      </c>
      <c r="B586" t="s">
        <v>266</v>
      </c>
      <c r="C586">
        <v>20</v>
      </c>
      <c r="D586" s="2" t="e">
        <f>VLOOKUP(B586,装备!B:E,3,FALSE)</f>
        <v>#N/A</v>
      </c>
      <c r="E586" t="str">
        <f t="shared" si="11"/>
        <v>AddPrizeListEx(6,'I134',20)</v>
      </c>
    </row>
    <row r="587" spans="1:5">
      <c r="A587">
        <v>6</v>
      </c>
      <c r="B587" t="s">
        <v>267</v>
      </c>
      <c r="C587">
        <v>10</v>
      </c>
      <c r="D587" s="2" t="e">
        <f>VLOOKUP(B587,装备!B:E,3,FALSE)</f>
        <v>#N/A</v>
      </c>
      <c r="E587" t="str">
        <f t="shared" si="11"/>
        <v>AddPrizeListEx(6,'I135',10)</v>
      </c>
    </row>
    <row r="588" spans="1:5">
      <c r="A588">
        <v>6</v>
      </c>
      <c r="B588" t="s">
        <v>268</v>
      </c>
      <c r="C588">
        <v>5</v>
      </c>
      <c r="D588" s="2" t="e">
        <f>VLOOKUP(B588,装备!B:E,3,FALSE)</f>
        <v>#N/A</v>
      </c>
      <c r="E588" t="str">
        <f t="shared" si="11"/>
        <v>AddPrizeListEx(6,'I136',5)</v>
      </c>
    </row>
    <row r="589" spans="1:5">
      <c r="A589">
        <v>6</v>
      </c>
      <c r="B589" t="s">
        <v>270</v>
      </c>
      <c r="C589">
        <v>5</v>
      </c>
      <c r="D589" s="2" t="e">
        <f>VLOOKUP(B589,装备!B:E,3,FALSE)</f>
        <v>#N/A</v>
      </c>
      <c r="E589" t="str">
        <f t="shared" si="11"/>
        <v>AddPrizeListEx(6,'I138',5)</v>
      </c>
    </row>
    <row r="590" spans="1:5">
      <c r="A590">
        <v>6</v>
      </c>
      <c r="B590" t="s">
        <v>271</v>
      </c>
      <c r="C590">
        <v>5</v>
      </c>
      <c r="D590" s="2" t="e">
        <f>VLOOKUP(B590,装备!B:E,3,FALSE)</f>
        <v>#N/A</v>
      </c>
      <c r="E590" t="str">
        <f t="shared" si="11"/>
        <v>AddPrizeListEx(6,'I139',5)</v>
      </c>
    </row>
    <row r="591" spans="1:5">
      <c r="A591">
        <v>6</v>
      </c>
      <c r="B591" t="s">
        <v>273</v>
      </c>
      <c r="C591">
        <v>20</v>
      </c>
      <c r="D591" s="2" t="e">
        <f>VLOOKUP(B591,装备!B:E,3,FALSE)</f>
        <v>#N/A</v>
      </c>
      <c r="E591" t="str">
        <f t="shared" si="11"/>
        <v>AddPrizeListEx(6,'I141',20)</v>
      </c>
    </row>
    <row r="592" spans="1:5">
      <c r="A592">
        <v>6</v>
      </c>
      <c r="B592" t="s">
        <v>274</v>
      </c>
      <c r="C592">
        <v>2</v>
      </c>
      <c r="D592" s="2" t="e">
        <f>VLOOKUP(B592,装备!B:E,3,FALSE)</f>
        <v>#N/A</v>
      </c>
      <c r="E592" t="str">
        <f t="shared" si="11"/>
        <v>AddPrizeListEx(6,'I142',2)</v>
      </c>
    </row>
    <row r="593" spans="1:5">
      <c r="A593">
        <v>6</v>
      </c>
      <c r="B593" t="s">
        <v>276</v>
      </c>
      <c r="C593">
        <v>10</v>
      </c>
      <c r="D593" s="2" t="e">
        <f>VLOOKUP(B593,装备!B:E,3,FALSE)</f>
        <v>#N/A</v>
      </c>
      <c r="E593" t="str">
        <f t="shared" si="11"/>
        <v>AddPrizeListEx(6,'I144',10)</v>
      </c>
    </row>
    <row r="594" spans="1:5">
      <c r="A594">
        <v>6</v>
      </c>
      <c r="B594" t="s">
        <v>277</v>
      </c>
      <c r="C594">
        <v>1</v>
      </c>
      <c r="D594" s="2" t="e">
        <f>VLOOKUP(B594,装备!B:E,3,FALSE)</f>
        <v>#N/A</v>
      </c>
      <c r="E594" t="str">
        <f t="shared" si="11"/>
        <v>AddPrizeListEx(6,'I145',1)</v>
      </c>
    </row>
    <row r="595" spans="1:5">
      <c r="A595">
        <v>6</v>
      </c>
      <c r="B595" t="s">
        <v>279</v>
      </c>
      <c r="C595">
        <v>10</v>
      </c>
      <c r="D595" s="2" t="e">
        <f>VLOOKUP(B595,装备!B:E,3,FALSE)</f>
        <v>#N/A</v>
      </c>
      <c r="E595" t="str">
        <f t="shared" si="11"/>
        <v>AddPrizeListEx(6,'I147',10)</v>
      </c>
    </row>
    <row r="596" spans="1:5">
      <c r="A596">
        <v>6</v>
      </c>
      <c r="B596" t="s">
        <v>280</v>
      </c>
      <c r="C596">
        <v>1</v>
      </c>
      <c r="D596" s="2" t="e">
        <f>VLOOKUP(B596,装备!B:E,3,FALSE)</f>
        <v>#N/A</v>
      </c>
      <c r="E596" t="str">
        <f t="shared" si="11"/>
        <v>AddPrizeListEx(6,'I148',1)</v>
      </c>
    </row>
  </sheetData>
  <phoneticPr fontId="15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68"/>
  <sheetViews>
    <sheetView workbookViewId="0">
      <selection activeCell="I16" sqref="I16"/>
    </sheetView>
  </sheetViews>
  <sheetFormatPr defaultRowHeight="14.25"/>
  <cols>
    <col min="4" max="4" width="32.625" customWidth="1"/>
  </cols>
  <sheetData>
    <row r="1" spans="1:5">
      <c r="A1" t="s">
        <v>302</v>
      </c>
      <c r="B1" t="s">
        <v>303</v>
      </c>
      <c r="C1" t="s">
        <v>304</v>
      </c>
      <c r="D1" t="s">
        <v>305</v>
      </c>
      <c r="E1" t="s">
        <v>306</v>
      </c>
    </row>
    <row r="2" spans="1:5">
      <c r="A2">
        <v>11</v>
      </c>
      <c r="B2" t="s">
        <v>405</v>
      </c>
      <c r="C2">
        <v>1</v>
      </c>
      <c r="D2" t="s">
        <v>558</v>
      </c>
      <c r="E2" t="str">
        <f>IF(B2&lt;&gt;"","AddItemPrizeListEx("&amp;A2&amp;",'"&amp;B2&amp;"',"&amp;C2&amp;")","")</f>
        <v>AddItemPrizeListEx(11,'C101',1)</v>
      </c>
    </row>
    <row r="3" spans="1:5">
      <c r="A3">
        <v>11</v>
      </c>
      <c r="B3" t="s">
        <v>408</v>
      </c>
      <c r="C3">
        <v>1</v>
      </c>
      <c r="D3" t="s">
        <v>409</v>
      </c>
      <c r="E3" t="str">
        <f t="shared" ref="E3:E66" si="0">IF(B3&lt;&gt;"","AddItemPrizeListEx("&amp;A3&amp;",'"&amp;B3&amp;"',"&amp;C3&amp;")","")</f>
        <v>AddItemPrizeListEx(11,'C111',1)</v>
      </c>
    </row>
    <row r="4" spans="1:5">
      <c r="A4">
        <v>11</v>
      </c>
      <c r="B4" t="s">
        <v>411</v>
      </c>
      <c r="C4">
        <v>1</v>
      </c>
      <c r="D4" t="s">
        <v>412</v>
      </c>
      <c r="E4" t="str">
        <f t="shared" si="0"/>
        <v>AddItemPrizeListEx(11,'C121',1)</v>
      </c>
    </row>
    <row r="5" spans="1:5">
      <c r="A5">
        <v>11</v>
      </c>
      <c r="B5" t="s">
        <v>415</v>
      </c>
      <c r="C5">
        <v>1</v>
      </c>
      <c r="D5" t="s">
        <v>416</v>
      </c>
      <c r="E5" t="str">
        <f t="shared" si="0"/>
        <v>AddItemPrizeListEx(11,'C131',1)</v>
      </c>
    </row>
    <row r="6" spans="1:5">
      <c r="A6">
        <v>11</v>
      </c>
      <c r="B6" t="s">
        <v>419</v>
      </c>
      <c r="C6">
        <v>1</v>
      </c>
      <c r="D6" t="s">
        <v>420</v>
      </c>
      <c r="E6" t="str">
        <f t="shared" si="0"/>
        <v>AddItemPrizeListEx(11,'C141',1)</v>
      </c>
    </row>
    <row r="7" spans="1:5">
      <c r="A7">
        <v>11</v>
      </c>
      <c r="B7" t="s">
        <v>423</v>
      </c>
      <c r="C7">
        <v>1</v>
      </c>
      <c r="D7" t="s">
        <v>424</v>
      </c>
      <c r="E7" t="str">
        <f t="shared" si="0"/>
        <v>AddItemPrizeListEx(11,'C151',1)</v>
      </c>
    </row>
    <row r="8" spans="1:5">
      <c r="A8">
        <v>11</v>
      </c>
      <c r="B8" t="s">
        <v>427</v>
      </c>
      <c r="C8">
        <v>1</v>
      </c>
      <c r="D8" t="s">
        <v>428</v>
      </c>
      <c r="E8" t="str">
        <f t="shared" si="0"/>
        <v>AddItemPrizeListEx(11,'C161',1)</v>
      </c>
    </row>
    <row r="9" spans="1:5">
      <c r="A9">
        <v>11</v>
      </c>
      <c r="B9" t="s">
        <v>431</v>
      </c>
      <c r="C9">
        <v>1</v>
      </c>
      <c r="D9" t="s">
        <v>432</v>
      </c>
      <c r="E9" t="str">
        <f t="shared" si="0"/>
        <v>AddItemPrizeListEx(11,'C201',1)</v>
      </c>
    </row>
    <row r="10" spans="1:5">
      <c r="A10">
        <v>11</v>
      </c>
      <c r="B10" t="s">
        <v>435</v>
      </c>
      <c r="C10">
        <v>1</v>
      </c>
      <c r="D10" t="s">
        <v>436</v>
      </c>
      <c r="E10" t="str">
        <f t="shared" si="0"/>
        <v>AddItemPrizeListEx(11,'C211',1)</v>
      </c>
    </row>
    <row r="11" spans="1:5">
      <c r="A11">
        <v>11</v>
      </c>
      <c r="B11" t="s">
        <v>439</v>
      </c>
      <c r="C11">
        <v>1</v>
      </c>
      <c r="D11" t="s">
        <v>440</v>
      </c>
      <c r="E11" t="str">
        <f t="shared" si="0"/>
        <v>AddItemPrizeListEx(11,'C221',1)</v>
      </c>
    </row>
    <row r="12" spans="1:5">
      <c r="A12">
        <v>11</v>
      </c>
      <c r="B12" t="s">
        <v>443</v>
      </c>
      <c r="C12">
        <v>1</v>
      </c>
      <c r="D12" t="s">
        <v>444</v>
      </c>
      <c r="E12" t="str">
        <f t="shared" si="0"/>
        <v>AddItemPrizeListEx(11,'C231',1)</v>
      </c>
    </row>
    <row r="13" spans="1:5">
      <c r="A13">
        <v>11</v>
      </c>
      <c r="B13" t="s">
        <v>447</v>
      </c>
      <c r="C13">
        <v>1</v>
      </c>
      <c r="D13" t="s">
        <v>448</v>
      </c>
      <c r="E13" t="str">
        <f t="shared" si="0"/>
        <v>AddItemPrizeListEx(11,'C241',1)</v>
      </c>
    </row>
    <row r="14" spans="1:5">
      <c r="A14">
        <v>11</v>
      </c>
      <c r="B14" t="s">
        <v>451</v>
      </c>
      <c r="C14">
        <v>1</v>
      </c>
      <c r="D14" t="s">
        <v>452</v>
      </c>
      <c r="E14" t="str">
        <f t="shared" si="0"/>
        <v>AddItemPrizeListEx(11,'C251',1)</v>
      </c>
    </row>
    <row r="15" spans="1:5">
      <c r="A15">
        <v>11</v>
      </c>
      <c r="B15" t="s">
        <v>455</v>
      </c>
      <c r="C15">
        <v>1</v>
      </c>
      <c r="D15" t="s">
        <v>456</v>
      </c>
      <c r="E15" t="str">
        <f t="shared" si="0"/>
        <v>AddItemPrizeListEx(11,'C301',1)</v>
      </c>
    </row>
    <row r="16" spans="1:5">
      <c r="A16">
        <v>11</v>
      </c>
      <c r="B16" t="s">
        <v>459</v>
      </c>
      <c r="C16">
        <v>1</v>
      </c>
      <c r="D16" t="s">
        <v>460</v>
      </c>
      <c r="E16" t="str">
        <f t="shared" si="0"/>
        <v>AddItemPrizeListEx(11,'C311',1)</v>
      </c>
    </row>
    <row r="17" spans="1:5">
      <c r="A17">
        <v>11</v>
      </c>
      <c r="B17" t="s">
        <v>463</v>
      </c>
      <c r="C17">
        <v>1</v>
      </c>
      <c r="D17" t="s">
        <v>464</v>
      </c>
      <c r="E17" t="str">
        <f t="shared" si="0"/>
        <v>AddItemPrizeListEx(11,'C321',1)</v>
      </c>
    </row>
    <row r="18" spans="1:5">
      <c r="A18">
        <v>11</v>
      </c>
      <c r="B18" t="s">
        <v>467</v>
      </c>
      <c r="C18">
        <v>1</v>
      </c>
      <c r="D18" t="s">
        <v>468</v>
      </c>
      <c r="E18" t="str">
        <f t="shared" si="0"/>
        <v>AddItemPrizeListEx(11,'C331',1)</v>
      </c>
    </row>
    <row r="19" spans="1:5">
      <c r="A19">
        <v>11</v>
      </c>
      <c r="B19" t="s">
        <v>471</v>
      </c>
      <c r="C19">
        <v>1</v>
      </c>
      <c r="D19" t="s">
        <v>472</v>
      </c>
      <c r="E19" t="str">
        <f t="shared" si="0"/>
        <v>AddItemPrizeListEx(11,'C341',1)</v>
      </c>
    </row>
    <row r="20" spans="1:5">
      <c r="A20">
        <v>11</v>
      </c>
      <c r="B20" t="s">
        <v>475</v>
      </c>
      <c r="C20">
        <v>1</v>
      </c>
      <c r="D20" t="s">
        <v>476</v>
      </c>
      <c r="E20" t="str">
        <f t="shared" si="0"/>
        <v>AddItemPrizeListEx(11,'C351',1)</v>
      </c>
    </row>
    <row r="21" spans="1:5">
      <c r="A21">
        <v>11</v>
      </c>
      <c r="B21" t="s">
        <v>479</v>
      </c>
      <c r="C21">
        <v>1</v>
      </c>
      <c r="D21" t="s">
        <v>480</v>
      </c>
      <c r="E21" t="str">
        <f t="shared" si="0"/>
        <v>AddItemPrizeListEx(11,'C361',1)</v>
      </c>
    </row>
    <row r="22" spans="1:5">
      <c r="A22">
        <v>11</v>
      </c>
      <c r="B22" t="s">
        <v>483</v>
      </c>
      <c r="C22">
        <v>1</v>
      </c>
      <c r="D22" t="s">
        <v>484</v>
      </c>
      <c r="E22" t="str">
        <f t="shared" si="0"/>
        <v>AddItemPrizeListEx(11,'C401',1)</v>
      </c>
    </row>
    <row r="23" spans="1:5">
      <c r="A23">
        <v>11</v>
      </c>
      <c r="B23" t="s">
        <v>487</v>
      </c>
      <c r="C23">
        <v>1</v>
      </c>
      <c r="D23" t="s">
        <v>488</v>
      </c>
      <c r="E23" t="str">
        <f t="shared" si="0"/>
        <v>AddItemPrizeListEx(11,'C411',1)</v>
      </c>
    </row>
    <row r="24" spans="1:5">
      <c r="A24">
        <v>11</v>
      </c>
      <c r="B24" t="s">
        <v>491</v>
      </c>
      <c r="C24">
        <v>1</v>
      </c>
      <c r="D24" t="s">
        <v>492</v>
      </c>
      <c r="E24" t="str">
        <f t="shared" si="0"/>
        <v>AddItemPrizeListEx(11,'C421',1)</v>
      </c>
    </row>
    <row r="25" spans="1:5">
      <c r="A25">
        <v>11</v>
      </c>
      <c r="B25" t="s">
        <v>495</v>
      </c>
      <c r="C25">
        <v>1</v>
      </c>
      <c r="D25" t="s">
        <v>496</v>
      </c>
      <c r="E25" t="str">
        <f t="shared" si="0"/>
        <v>AddItemPrizeListEx(11,'C431',1)</v>
      </c>
    </row>
    <row r="26" spans="1:5">
      <c r="A26">
        <v>11</v>
      </c>
      <c r="B26" t="s">
        <v>499</v>
      </c>
      <c r="C26">
        <v>1</v>
      </c>
      <c r="D26" t="s">
        <v>500</v>
      </c>
      <c r="E26" t="str">
        <f t="shared" si="0"/>
        <v>AddItemPrizeListEx(11,'C441',1)</v>
      </c>
    </row>
    <row r="27" spans="1:5">
      <c r="A27">
        <v>11</v>
      </c>
      <c r="B27" t="s">
        <v>503</v>
      </c>
      <c r="C27">
        <v>1</v>
      </c>
      <c r="D27" t="s">
        <v>504</v>
      </c>
      <c r="E27" t="str">
        <f t="shared" si="0"/>
        <v>AddItemPrizeListEx(11,'C451',1)</v>
      </c>
    </row>
    <row r="28" spans="1:5">
      <c r="A28">
        <v>11</v>
      </c>
      <c r="B28" t="s">
        <v>507</v>
      </c>
      <c r="C28">
        <v>1</v>
      </c>
      <c r="D28" t="s">
        <v>508</v>
      </c>
      <c r="E28" t="str">
        <f t="shared" si="0"/>
        <v>AddItemPrizeListEx(11,'C501',1)</v>
      </c>
    </row>
    <row r="29" spans="1:5">
      <c r="A29">
        <v>11</v>
      </c>
      <c r="B29" t="s">
        <v>511</v>
      </c>
      <c r="C29">
        <v>1</v>
      </c>
      <c r="D29" t="s">
        <v>512</v>
      </c>
      <c r="E29" t="str">
        <f t="shared" si="0"/>
        <v>AddItemPrizeListEx(11,'C511',1)</v>
      </c>
    </row>
    <row r="30" spans="1:5">
      <c r="A30">
        <v>11</v>
      </c>
      <c r="B30" t="s">
        <v>515</v>
      </c>
      <c r="C30">
        <v>1</v>
      </c>
      <c r="D30" t="s">
        <v>516</v>
      </c>
      <c r="E30" t="str">
        <f t="shared" si="0"/>
        <v>AddItemPrizeListEx(11,'C521',1)</v>
      </c>
    </row>
    <row r="31" spans="1:5">
      <c r="A31">
        <v>11</v>
      </c>
      <c r="B31" t="s">
        <v>519</v>
      </c>
      <c r="C31">
        <v>1</v>
      </c>
      <c r="D31" t="s">
        <v>520</v>
      </c>
      <c r="E31" t="str">
        <f t="shared" si="0"/>
        <v>AddItemPrizeListEx(11,'C531',1)</v>
      </c>
    </row>
    <row r="32" spans="1:5">
      <c r="A32">
        <v>11</v>
      </c>
      <c r="B32" t="s">
        <v>523</v>
      </c>
      <c r="C32">
        <v>1</v>
      </c>
      <c r="D32" t="s">
        <v>524</v>
      </c>
      <c r="E32" t="str">
        <f t="shared" si="0"/>
        <v>AddItemPrizeListEx(11,'C541',1)</v>
      </c>
    </row>
    <row r="33" spans="1:5">
      <c r="A33">
        <v>11</v>
      </c>
      <c r="B33" t="s">
        <v>527</v>
      </c>
      <c r="C33">
        <v>1</v>
      </c>
      <c r="D33" t="s">
        <v>528</v>
      </c>
      <c r="E33" t="str">
        <f t="shared" si="0"/>
        <v>AddItemPrizeListEx(11,'C551',1)</v>
      </c>
    </row>
    <row r="34" spans="1:5">
      <c r="A34">
        <v>11</v>
      </c>
      <c r="B34" t="s">
        <v>531</v>
      </c>
      <c r="C34">
        <v>1</v>
      </c>
      <c r="D34" t="s">
        <v>532</v>
      </c>
      <c r="E34" t="str">
        <f t="shared" si="0"/>
        <v>AddItemPrizeListEx(11,'C561',1)</v>
      </c>
    </row>
    <row r="35" spans="1:5">
      <c r="D35">
        <v>0</v>
      </c>
      <c r="E35" t="str">
        <f t="shared" si="0"/>
        <v/>
      </c>
    </row>
    <row r="36" spans="1:5">
      <c r="A36">
        <v>12</v>
      </c>
      <c r="B36" t="s">
        <v>406</v>
      </c>
      <c r="C36">
        <v>1</v>
      </c>
      <c r="D36" t="s">
        <v>407</v>
      </c>
      <c r="E36" t="str">
        <f t="shared" si="0"/>
        <v>AddItemPrizeListEx(12,'C102',1)</v>
      </c>
    </row>
    <row r="37" spans="1:5">
      <c r="A37">
        <v>12</v>
      </c>
      <c r="B37" t="s">
        <v>410</v>
      </c>
      <c r="C37">
        <v>1</v>
      </c>
      <c r="D37" t="s">
        <v>557</v>
      </c>
      <c r="E37" t="str">
        <f t="shared" si="0"/>
        <v>AddItemPrizeListEx(12,'C112',1)</v>
      </c>
    </row>
    <row r="38" spans="1:5">
      <c r="A38">
        <v>12</v>
      </c>
      <c r="B38" t="s">
        <v>413</v>
      </c>
      <c r="C38">
        <v>1</v>
      </c>
      <c r="D38" t="s">
        <v>414</v>
      </c>
      <c r="E38" t="str">
        <f t="shared" si="0"/>
        <v>AddItemPrizeListEx(12,'C122',1)</v>
      </c>
    </row>
    <row r="39" spans="1:5">
      <c r="A39">
        <v>12</v>
      </c>
      <c r="B39" t="s">
        <v>417</v>
      </c>
      <c r="C39">
        <v>1</v>
      </c>
      <c r="D39" t="s">
        <v>418</v>
      </c>
      <c r="E39" t="str">
        <f t="shared" si="0"/>
        <v>AddItemPrizeListEx(12,'C132',1)</v>
      </c>
    </row>
    <row r="40" spans="1:5">
      <c r="A40">
        <v>12</v>
      </c>
      <c r="B40" t="s">
        <v>421</v>
      </c>
      <c r="C40">
        <v>1</v>
      </c>
      <c r="D40" t="s">
        <v>422</v>
      </c>
      <c r="E40" t="str">
        <f t="shared" si="0"/>
        <v>AddItemPrizeListEx(12,'C142',1)</v>
      </c>
    </row>
    <row r="41" spans="1:5">
      <c r="A41">
        <v>12</v>
      </c>
      <c r="B41" t="s">
        <v>425</v>
      </c>
      <c r="C41">
        <v>1</v>
      </c>
      <c r="D41" t="s">
        <v>426</v>
      </c>
      <c r="E41" t="str">
        <f t="shared" si="0"/>
        <v>AddItemPrizeListEx(12,'C152',1)</v>
      </c>
    </row>
    <row r="42" spans="1:5">
      <c r="A42">
        <v>12</v>
      </c>
      <c r="B42" t="s">
        <v>429</v>
      </c>
      <c r="C42">
        <v>1</v>
      </c>
      <c r="D42" t="s">
        <v>430</v>
      </c>
      <c r="E42" t="str">
        <f t="shared" si="0"/>
        <v>AddItemPrizeListEx(12,'C162',1)</v>
      </c>
    </row>
    <row r="43" spans="1:5">
      <c r="A43">
        <v>12</v>
      </c>
      <c r="B43" t="s">
        <v>433</v>
      </c>
      <c r="C43">
        <v>1</v>
      </c>
      <c r="D43" t="s">
        <v>434</v>
      </c>
      <c r="E43" t="str">
        <f t="shared" si="0"/>
        <v>AddItemPrizeListEx(12,'C202',1)</v>
      </c>
    </row>
    <row r="44" spans="1:5">
      <c r="A44">
        <v>12</v>
      </c>
      <c r="B44" t="s">
        <v>437</v>
      </c>
      <c r="C44">
        <v>1</v>
      </c>
      <c r="D44" t="s">
        <v>438</v>
      </c>
      <c r="E44" t="str">
        <f t="shared" si="0"/>
        <v>AddItemPrizeListEx(12,'C212',1)</v>
      </c>
    </row>
    <row r="45" spans="1:5">
      <c r="A45">
        <v>12</v>
      </c>
      <c r="B45" t="s">
        <v>441</v>
      </c>
      <c r="C45">
        <v>1</v>
      </c>
      <c r="D45" t="s">
        <v>442</v>
      </c>
      <c r="E45" t="str">
        <f t="shared" si="0"/>
        <v>AddItemPrizeListEx(12,'C222',1)</v>
      </c>
    </row>
    <row r="46" spans="1:5">
      <c r="A46">
        <v>12</v>
      </c>
      <c r="B46" t="s">
        <v>445</v>
      </c>
      <c r="C46">
        <v>1</v>
      </c>
      <c r="D46" t="s">
        <v>446</v>
      </c>
      <c r="E46" t="str">
        <f t="shared" si="0"/>
        <v>AddItemPrizeListEx(12,'C232',1)</v>
      </c>
    </row>
    <row r="47" spans="1:5">
      <c r="A47">
        <v>12</v>
      </c>
      <c r="B47" t="s">
        <v>449</v>
      </c>
      <c r="C47">
        <v>1</v>
      </c>
      <c r="D47" t="s">
        <v>450</v>
      </c>
      <c r="E47" t="str">
        <f t="shared" si="0"/>
        <v>AddItemPrizeListEx(12,'C242',1)</v>
      </c>
    </row>
    <row r="48" spans="1:5">
      <c r="A48">
        <v>12</v>
      </c>
      <c r="B48" t="s">
        <v>453</v>
      </c>
      <c r="C48">
        <v>1</v>
      </c>
      <c r="D48" t="s">
        <v>454</v>
      </c>
      <c r="E48" t="str">
        <f t="shared" si="0"/>
        <v>AddItemPrizeListEx(12,'C252',1)</v>
      </c>
    </row>
    <row r="49" spans="1:5">
      <c r="A49">
        <v>12</v>
      </c>
      <c r="B49" t="s">
        <v>457</v>
      </c>
      <c r="C49">
        <v>1</v>
      </c>
      <c r="D49" t="s">
        <v>458</v>
      </c>
      <c r="E49" t="str">
        <f t="shared" si="0"/>
        <v>AddItemPrizeListEx(12,'C302',1)</v>
      </c>
    </row>
    <row r="50" spans="1:5">
      <c r="A50">
        <v>12</v>
      </c>
      <c r="B50" t="s">
        <v>461</v>
      </c>
      <c r="C50">
        <v>1</v>
      </c>
      <c r="D50" t="s">
        <v>462</v>
      </c>
      <c r="E50" t="str">
        <f t="shared" si="0"/>
        <v>AddItemPrizeListEx(12,'C312',1)</v>
      </c>
    </row>
    <row r="51" spans="1:5">
      <c r="A51">
        <v>12</v>
      </c>
      <c r="B51" t="s">
        <v>465</v>
      </c>
      <c r="C51">
        <v>1</v>
      </c>
      <c r="D51" t="s">
        <v>466</v>
      </c>
      <c r="E51" t="str">
        <f t="shared" si="0"/>
        <v>AddItemPrizeListEx(12,'C322',1)</v>
      </c>
    </row>
    <row r="52" spans="1:5">
      <c r="A52">
        <v>12</v>
      </c>
      <c r="B52" t="s">
        <v>469</v>
      </c>
      <c r="C52">
        <v>1</v>
      </c>
      <c r="D52" t="s">
        <v>470</v>
      </c>
      <c r="E52" t="str">
        <f t="shared" si="0"/>
        <v>AddItemPrizeListEx(12,'C332',1)</v>
      </c>
    </row>
    <row r="53" spans="1:5">
      <c r="A53">
        <v>12</v>
      </c>
      <c r="B53" t="s">
        <v>473</v>
      </c>
      <c r="C53">
        <v>1</v>
      </c>
      <c r="D53" t="s">
        <v>474</v>
      </c>
      <c r="E53" t="str">
        <f t="shared" si="0"/>
        <v>AddItemPrizeListEx(12,'C342',1)</v>
      </c>
    </row>
    <row r="54" spans="1:5">
      <c r="A54">
        <v>12</v>
      </c>
      <c r="B54" t="s">
        <v>477</v>
      </c>
      <c r="C54">
        <v>1</v>
      </c>
      <c r="D54" t="s">
        <v>478</v>
      </c>
      <c r="E54" t="str">
        <f t="shared" si="0"/>
        <v>AddItemPrizeListEx(12,'C352',1)</v>
      </c>
    </row>
    <row r="55" spans="1:5">
      <c r="A55">
        <v>12</v>
      </c>
      <c r="B55" t="s">
        <v>481</v>
      </c>
      <c r="C55">
        <v>1</v>
      </c>
      <c r="D55" t="s">
        <v>482</v>
      </c>
      <c r="E55" t="str">
        <f t="shared" si="0"/>
        <v>AddItemPrizeListEx(12,'C362',1)</v>
      </c>
    </row>
    <row r="56" spans="1:5">
      <c r="A56">
        <v>12</v>
      </c>
      <c r="B56" t="s">
        <v>485</v>
      </c>
      <c r="C56">
        <v>1</v>
      </c>
      <c r="D56" t="s">
        <v>486</v>
      </c>
      <c r="E56" t="str">
        <f t="shared" si="0"/>
        <v>AddItemPrizeListEx(12,'C402',1)</v>
      </c>
    </row>
    <row r="57" spans="1:5">
      <c r="A57">
        <v>12</v>
      </c>
      <c r="B57" t="s">
        <v>489</v>
      </c>
      <c r="C57">
        <v>1</v>
      </c>
      <c r="D57" t="s">
        <v>490</v>
      </c>
      <c r="E57" t="str">
        <f t="shared" si="0"/>
        <v>AddItemPrizeListEx(12,'C412',1)</v>
      </c>
    </row>
    <row r="58" spans="1:5">
      <c r="A58">
        <v>12</v>
      </c>
      <c r="B58" t="s">
        <v>493</v>
      </c>
      <c r="C58">
        <v>1</v>
      </c>
      <c r="D58" t="s">
        <v>494</v>
      </c>
      <c r="E58" t="str">
        <f t="shared" si="0"/>
        <v>AddItemPrizeListEx(12,'C422',1)</v>
      </c>
    </row>
    <row r="59" spans="1:5">
      <c r="A59">
        <v>12</v>
      </c>
      <c r="B59" t="s">
        <v>497</v>
      </c>
      <c r="C59">
        <v>1</v>
      </c>
      <c r="D59" t="s">
        <v>498</v>
      </c>
      <c r="E59" t="str">
        <f t="shared" si="0"/>
        <v>AddItemPrizeListEx(12,'C432',1)</v>
      </c>
    </row>
    <row r="60" spans="1:5">
      <c r="A60">
        <v>12</v>
      </c>
      <c r="B60" t="s">
        <v>501</v>
      </c>
      <c r="C60">
        <v>1</v>
      </c>
      <c r="D60" t="s">
        <v>502</v>
      </c>
      <c r="E60" t="str">
        <f t="shared" si="0"/>
        <v>AddItemPrizeListEx(12,'C442',1)</v>
      </c>
    </row>
    <row r="61" spans="1:5">
      <c r="A61">
        <v>12</v>
      </c>
      <c r="B61" t="s">
        <v>505</v>
      </c>
      <c r="C61">
        <v>1</v>
      </c>
      <c r="D61" t="s">
        <v>506</v>
      </c>
      <c r="E61" t="str">
        <f t="shared" si="0"/>
        <v>AddItemPrizeListEx(12,'C452',1)</v>
      </c>
    </row>
    <row r="62" spans="1:5">
      <c r="A62">
        <v>12</v>
      </c>
      <c r="B62" t="s">
        <v>509</v>
      </c>
      <c r="C62">
        <v>1</v>
      </c>
      <c r="D62" t="s">
        <v>510</v>
      </c>
      <c r="E62" t="str">
        <f t="shared" si="0"/>
        <v>AddItemPrizeListEx(12,'C502',1)</v>
      </c>
    </row>
    <row r="63" spans="1:5">
      <c r="A63">
        <v>12</v>
      </c>
      <c r="B63" t="s">
        <v>513</v>
      </c>
      <c r="C63">
        <v>1</v>
      </c>
      <c r="D63" t="s">
        <v>514</v>
      </c>
      <c r="E63" t="str">
        <f t="shared" si="0"/>
        <v>AddItemPrizeListEx(12,'C512',1)</v>
      </c>
    </row>
    <row r="64" spans="1:5">
      <c r="A64">
        <v>12</v>
      </c>
      <c r="B64" t="s">
        <v>517</v>
      </c>
      <c r="C64">
        <v>1</v>
      </c>
      <c r="D64" t="s">
        <v>518</v>
      </c>
      <c r="E64" t="str">
        <f t="shared" si="0"/>
        <v>AddItemPrizeListEx(12,'C522',1)</v>
      </c>
    </row>
    <row r="65" spans="1:5">
      <c r="A65">
        <v>12</v>
      </c>
      <c r="B65" t="s">
        <v>521</v>
      </c>
      <c r="C65">
        <v>1</v>
      </c>
      <c r="D65" t="s">
        <v>522</v>
      </c>
      <c r="E65" t="str">
        <f t="shared" si="0"/>
        <v>AddItemPrizeListEx(12,'C532',1)</v>
      </c>
    </row>
    <row r="66" spans="1:5">
      <c r="A66">
        <v>12</v>
      </c>
      <c r="B66" t="s">
        <v>525</v>
      </c>
      <c r="C66">
        <v>1</v>
      </c>
      <c r="D66" t="s">
        <v>526</v>
      </c>
      <c r="E66" t="str">
        <f t="shared" si="0"/>
        <v>AddItemPrizeListEx(12,'C542',1)</v>
      </c>
    </row>
    <row r="67" spans="1:5">
      <c r="A67">
        <v>12</v>
      </c>
      <c r="B67" t="s">
        <v>529</v>
      </c>
      <c r="C67">
        <v>1</v>
      </c>
      <c r="D67" t="s">
        <v>530</v>
      </c>
      <c r="E67" t="str">
        <f t="shared" ref="E67:E68" si="1">IF(B67&lt;&gt;"","AddItemPrizeListEx("&amp;A67&amp;",'"&amp;B67&amp;"',"&amp;C67&amp;")","")</f>
        <v>AddItemPrizeListEx(12,'C552',1)</v>
      </c>
    </row>
    <row r="68" spans="1:5">
      <c r="A68">
        <v>12</v>
      </c>
      <c r="B68" t="s">
        <v>533</v>
      </c>
      <c r="C68">
        <v>1</v>
      </c>
      <c r="D68" t="s">
        <v>559</v>
      </c>
      <c r="E68" t="str">
        <f t="shared" si="1"/>
        <v>AddItemPrizeListEx(12,'C562',1)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207"/>
  <sheetViews>
    <sheetView workbookViewId="0">
      <selection activeCell="P12" sqref="P12"/>
    </sheetView>
  </sheetViews>
  <sheetFormatPr defaultRowHeight="14.25"/>
  <cols>
    <col min="4" max="4" width="23.625" customWidth="1"/>
  </cols>
  <sheetData>
    <row r="1" spans="1:5">
      <c r="A1" s="61" t="s">
        <v>302</v>
      </c>
      <c r="B1" s="61" t="s">
        <v>303</v>
      </c>
      <c r="C1" s="61" t="s">
        <v>304</v>
      </c>
      <c r="D1" s="61" t="s">
        <v>305</v>
      </c>
      <c r="E1" s="61" t="s">
        <v>306</v>
      </c>
    </row>
    <row r="2" spans="1:5">
      <c r="A2">
        <v>1</v>
      </c>
      <c r="B2" s="61" t="s">
        <v>174</v>
      </c>
      <c r="C2">
        <v>85</v>
      </c>
      <c r="D2" s="61" t="s">
        <v>560</v>
      </c>
      <c r="E2" t="str">
        <f t="shared" ref="E2:E13" si="0">IF(B2&lt;&gt;"","AddItemPrizeListEx("&amp;A2&amp;",'"&amp;B2&amp;"',"&amp;C2&amp;")","")</f>
        <v>AddItemPrizeListEx(1,'E101',85)</v>
      </c>
    </row>
    <row r="3" spans="1:5">
      <c r="A3">
        <v>1</v>
      </c>
      <c r="B3" s="61" t="s">
        <v>175</v>
      </c>
      <c r="C3">
        <v>85</v>
      </c>
      <c r="D3" s="61" t="s">
        <v>561</v>
      </c>
      <c r="E3" t="str">
        <f t="shared" si="0"/>
        <v>AddItemPrizeListEx(1,'E102',85)</v>
      </c>
    </row>
    <row r="4" spans="1:5">
      <c r="A4">
        <v>1</v>
      </c>
      <c r="B4" s="61" t="s">
        <v>176</v>
      </c>
      <c r="C4">
        <v>85</v>
      </c>
      <c r="D4" s="61" t="s">
        <v>562</v>
      </c>
      <c r="E4" t="str">
        <f t="shared" si="0"/>
        <v>AddItemPrizeListEx(1,'E103',85)</v>
      </c>
    </row>
    <row r="5" spans="1:5">
      <c r="A5">
        <v>1</v>
      </c>
      <c r="B5" s="61" t="s">
        <v>177</v>
      </c>
      <c r="C5">
        <v>85</v>
      </c>
      <c r="D5" s="61" t="s">
        <v>563</v>
      </c>
      <c r="E5" t="str">
        <f t="shared" si="0"/>
        <v>AddItemPrizeListEx(1,'E104',85)</v>
      </c>
    </row>
    <row r="6" spans="1:5">
      <c r="A6">
        <v>1</v>
      </c>
      <c r="B6" s="61" t="s">
        <v>178</v>
      </c>
      <c r="C6">
        <v>85</v>
      </c>
      <c r="D6" s="61" t="s">
        <v>564</v>
      </c>
      <c r="E6" t="str">
        <f t="shared" si="0"/>
        <v>AddItemPrizeListEx(1,'E105',85)</v>
      </c>
    </row>
    <row r="7" spans="1:5">
      <c r="A7">
        <v>1</v>
      </c>
      <c r="B7" s="61" t="s">
        <v>179</v>
      </c>
      <c r="C7">
        <v>85</v>
      </c>
      <c r="D7" s="61" t="s">
        <v>565</v>
      </c>
      <c r="E7" t="str">
        <f t="shared" si="0"/>
        <v>AddItemPrizeListEx(1,'E106',85)</v>
      </c>
    </row>
    <row r="8" spans="1:5">
      <c r="A8">
        <v>1</v>
      </c>
      <c r="B8" s="61" t="s">
        <v>180</v>
      </c>
      <c r="C8">
        <v>85</v>
      </c>
      <c r="D8" s="61" t="s">
        <v>566</v>
      </c>
      <c r="E8" t="str">
        <f t="shared" si="0"/>
        <v>AddItemPrizeListEx(1,'E107',85)</v>
      </c>
    </row>
    <row r="9" spans="1:5">
      <c r="A9">
        <v>1</v>
      </c>
      <c r="B9" s="61" t="s">
        <v>181</v>
      </c>
      <c r="C9">
        <v>85</v>
      </c>
      <c r="D9" s="61" t="s">
        <v>567</v>
      </c>
      <c r="E9" t="str">
        <f t="shared" si="0"/>
        <v>AddItemPrizeListEx(1,'E108',85)</v>
      </c>
    </row>
    <row r="10" spans="1:5">
      <c r="A10">
        <v>1</v>
      </c>
      <c r="B10" s="61" t="s">
        <v>182</v>
      </c>
      <c r="C10">
        <v>85</v>
      </c>
      <c r="D10" s="61" t="s">
        <v>568</v>
      </c>
      <c r="E10" t="str">
        <f t="shared" si="0"/>
        <v>AddItemPrizeListEx(1,'E109',85)</v>
      </c>
    </row>
    <row r="11" spans="1:5">
      <c r="A11">
        <v>1</v>
      </c>
      <c r="B11" s="61" t="s">
        <v>183</v>
      </c>
      <c r="C11">
        <v>85</v>
      </c>
      <c r="D11" s="61" t="s">
        <v>569</v>
      </c>
      <c r="E11" t="str">
        <f t="shared" si="0"/>
        <v>AddItemPrizeListEx(1,'E110',85)</v>
      </c>
    </row>
    <row r="12" spans="1:5">
      <c r="A12">
        <v>1</v>
      </c>
      <c r="B12" s="61" t="s">
        <v>184</v>
      </c>
      <c r="C12">
        <v>85</v>
      </c>
      <c r="D12" s="61" t="s">
        <v>570</v>
      </c>
      <c r="E12" t="str">
        <f t="shared" si="0"/>
        <v>AddItemPrizeListEx(1,'E111',85)</v>
      </c>
    </row>
    <row r="13" spans="1:5">
      <c r="A13">
        <v>1</v>
      </c>
      <c r="B13" s="61" t="s">
        <v>185</v>
      </c>
      <c r="C13">
        <v>85</v>
      </c>
      <c r="D13" s="61" t="s">
        <v>571</v>
      </c>
      <c r="E13" t="str">
        <f t="shared" si="0"/>
        <v>AddItemPrizeListEx(1,'E112',85)</v>
      </c>
    </row>
    <row r="14" spans="1:5">
      <c r="B14" s="61"/>
      <c r="D14" s="61">
        <v>0</v>
      </c>
    </row>
    <row r="15" spans="1:5">
      <c r="A15">
        <v>1</v>
      </c>
      <c r="B15" s="61" t="s">
        <v>162</v>
      </c>
      <c r="C15">
        <v>10</v>
      </c>
      <c r="D15" s="61" t="s">
        <v>572</v>
      </c>
      <c r="E15" t="str">
        <f t="shared" ref="E15:E26" si="1">IF(B15&lt;&gt;"","AddItemPrizeListEx("&amp;A15&amp;",'"&amp;B15&amp;"',"&amp;C15&amp;")","")</f>
        <v>AddItemPrizeListEx(1,'E201',10)</v>
      </c>
    </row>
    <row r="16" spans="1:5">
      <c r="A16">
        <v>1</v>
      </c>
      <c r="B16" s="61" t="s">
        <v>163</v>
      </c>
      <c r="C16">
        <v>10</v>
      </c>
      <c r="D16" s="61" t="s">
        <v>573</v>
      </c>
      <c r="E16" t="str">
        <f t="shared" si="1"/>
        <v>AddItemPrizeListEx(1,'E202',10)</v>
      </c>
    </row>
    <row r="17" spans="1:5">
      <c r="A17">
        <v>1</v>
      </c>
      <c r="B17" s="61" t="s">
        <v>164</v>
      </c>
      <c r="C17">
        <v>10</v>
      </c>
      <c r="D17" s="61" t="s">
        <v>574</v>
      </c>
      <c r="E17" t="str">
        <f t="shared" si="1"/>
        <v>AddItemPrizeListEx(1,'E203',10)</v>
      </c>
    </row>
    <row r="18" spans="1:5">
      <c r="A18">
        <v>1</v>
      </c>
      <c r="B18" s="61" t="s">
        <v>165</v>
      </c>
      <c r="C18">
        <v>10</v>
      </c>
      <c r="D18" s="61" t="s">
        <v>575</v>
      </c>
      <c r="E18" t="str">
        <f t="shared" si="1"/>
        <v>AddItemPrizeListEx(1,'E204',10)</v>
      </c>
    </row>
    <row r="19" spans="1:5">
      <c r="A19">
        <v>1</v>
      </c>
      <c r="B19" s="61" t="s">
        <v>166</v>
      </c>
      <c r="C19">
        <v>10</v>
      </c>
      <c r="D19" s="61" t="s">
        <v>576</v>
      </c>
      <c r="E19" t="str">
        <f t="shared" si="1"/>
        <v>AddItemPrizeListEx(1,'E205',10)</v>
      </c>
    </row>
    <row r="20" spans="1:5">
      <c r="A20">
        <v>1</v>
      </c>
      <c r="B20" s="61" t="s">
        <v>167</v>
      </c>
      <c r="C20">
        <v>10</v>
      </c>
      <c r="D20" s="61" t="s">
        <v>577</v>
      </c>
      <c r="E20" t="str">
        <f t="shared" si="1"/>
        <v>AddItemPrizeListEx(1,'E206',10)</v>
      </c>
    </row>
    <row r="21" spans="1:5">
      <c r="A21">
        <v>1</v>
      </c>
      <c r="B21" s="61" t="s">
        <v>168</v>
      </c>
      <c r="C21">
        <v>10</v>
      </c>
      <c r="D21" s="61" t="s">
        <v>578</v>
      </c>
      <c r="E21" t="str">
        <f t="shared" si="1"/>
        <v>AddItemPrizeListEx(1,'E207',10)</v>
      </c>
    </row>
    <row r="22" spans="1:5">
      <c r="A22">
        <v>1</v>
      </c>
      <c r="B22" s="61" t="s">
        <v>169</v>
      </c>
      <c r="C22">
        <v>10</v>
      </c>
      <c r="D22" s="61" t="s">
        <v>579</v>
      </c>
      <c r="E22" t="str">
        <f t="shared" si="1"/>
        <v>AddItemPrizeListEx(1,'E208',10)</v>
      </c>
    </row>
    <row r="23" spans="1:5">
      <c r="A23">
        <v>1</v>
      </c>
      <c r="B23" s="61" t="s">
        <v>170</v>
      </c>
      <c r="C23">
        <v>10</v>
      </c>
      <c r="D23" s="61" t="s">
        <v>580</v>
      </c>
      <c r="E23" t="str">
        <f t="shared" si="1"/>
        <v>AddItemPrizeListEx(1,'E209',10)</v>
      </c>
    </row>
    <row r="24" spans="1:5">
      <c r="A24">
        <v>1</v>
      </c>
      <c r="B24" s="61" t="s">
        <v>171</v>
      </c>
      <c r="C24">
        <v>10</v>
      </c>
      <c r="D24" s="61" t="s">
        <v>581</v>
      </c>
      <c r="E24" t="str">
        <f t="shared" si="1"/>
        <v>AddItemPrizeListEx(1,'E210',10)</v>
      </c>
    </row>
    <row r="25" spans="1:5">
      <c r="A25">
        <v>1</v>
      </c>
      <c r="B25" s="61" t="s">
        <v>172</v>
      </c>
      <c r="C25">
        <v>10</v>
      </c>
      <c r="D25" s="61" t="s">
        <v>582</v>
      </c>
      <c r="E25" t="str">
        <f t="shared" si="1"/>
        <v>AddItemPrizeListEx(1,'E211',10)</v>
      </c>
    </row>
    <row r="26" spans="1:5">
      <c r="A26">
        <v>1</v>
      </c>
      <c r="B26" s="61" t="s">
        <v>173</v>
      </c>
      <c r="C26">
        <v>10</v>
      </c>
      <c r="D26" s="61" t="s">
        <v>583</v>
      </c>
      <c r="E26" t="str">
        <f t="shared" si="1"/>
        <v>AddItemPrizeListEx(1,'E212',10)</v>
      </c>
    </row>
    <row r="27" spans="1:5">
      <c r="A27" s="24"/>
      <c r="B27" s="61"/>
      <c r="C27" s="61"/>
      <c r="D27" s="61">
        <v>0</v>
      </c>
    </row>
    <row r="28" spans="1:5">
      <c r="A28" s="24">
        <v>1</v>
      </c>
      <c r="B28" s="61" t="s">
        <v>186</v>
      </c>
      <c r="C28" s="61">
        <v>5</v>
      </c>
      <c r="D28" s="61" t="s">
        <v>584</v>
      </c>
      <c r="E28" t="str">
        <f>IF(B28&lt;&gt;"","AddItemPrizeListEx("&amp;A28&amp;",'"&amp;B28&amp;"',"&amp;C28&amp;")","")</f>
        <v>AddItemPrizeListEx(1,'E301',5)</v>
      </c>
    </row>
    <row r="29" spans="1:5">
      <c r="A29" s="24">
        <v>1</v>
      </c>
      <c r="B29" s="61" t="s">
        <v>187</v>
      </c>
      <c r="C29">
        <v>5</v>
      </c>
      <c r="D29" s="61" t="s">
        <v>585</v>
      </c>
      <c r="E29" t="str">
        <f t="shared" ref="E29:E92" si="2">IF(B29&lt;&gt;"","AddItemPrizeListEx("&amp;A29&amp;",'"&amp;B29&amp;"',"&amp;C29&amp;")","")</f>
        <v>AddItemPrizeListEx(1,'E302',5)</v>
      </c>
    </row>
    <row r="30" spans="1:5">
      <c r="A30" s="24">
        <v>1</v>
      </c>
      <c r="B30" s="61" t="s">
        <v>188</v>
      </c>
      <c r="C30" s="61">
        <v>5</v>
      </c>
      <c r="D30" s="61" t="s">
        <v>586</v>
      </c>
      <c r="E30" t="str">
        <f t="shared" si="2"/>
        <v>AddItemPrizeListEx(1,'E303',5)</v>
      </c>
    </row>
    <row r="31" spans="1:5">
      <c r="A31" s="24">
        <v>1</v>
      </c>
      <c r="B31" s="61" t="s">
        <v>189</v>
      </c>
      <c r="C31">
        <v>5</v>
      </c>
      <c r="D31" s="61" t="s">
        <v>587</v>
      </c>
      <c r="E31" t="str">
        <f t="shared" si="2"/>
        <v>AddItemPrizeListEx(1,'E304',5)</v>
      </c>
    </row>
    <row r="32" spans="1:5">
      <c r="A32" s="24">
        <v>1</v>
      </c>
      <c r="B32" s="61" t="s">
        <v>190</v>
      </c>
      <c r="C32" s="61">
        <v>5</v>
      </c>
      <c r="D32" s="61" t="s">
        <v>588</v>
      </c>
      <c r="E32" t="str">
        <f t="shared" si="2"/>
        <v>AddItemPrizeListEx(1,'E305',5)</v>
      </c>
    </row>
    <row r="33" spans="1:5">
      <c r="A33" s="24">
        <v>1</v>
      </c>
      <c r="B33" s="61" t="s">
        <v>192</v>
      </c>
      <c r="C33">
        <v>5</v>
      </c>
      <c r="D33" s="61" t="s">
        <v>589</v>
      </c>
      <c r="E33" t="str">
        <f t="shared" si="2"/>
        <v>AddItemPrizeListEx(1,'E306',5)</v>
      </c>
    </row>
    <row r="34" spans="1:5">
      <c r="A34" s="24">
        <v>1</v>
      </c>
      <c r="B34" s="61" t="s">
        <v>193</v>
      </c>
      <c r="C34" s="61">
        <v>5</v>
      </c>
      <c r="D34" s="61" t="s">
        <v>590</v>
      </c>
      <c r="E34" t="str">
        <f t="shared" si="2"/>
        <v>AddItemPrizeListEx(1,'E307',5)</v>
      </c>
    </row>
    <row r="35" spans="1:5">
      <c r="A35" s="24">
        <v>1</v>
      </c>
      <c r="B35" s="61" t="s">
        <v>194</v>
      </c>
      <c r="C35">
        <v>5</v>
      </c>
      <c r="D35" s="61" t="s">
        <v>591</v>
      </c>
      <c r="E35" t="str">
        <f t="shared" si="2"/>
        <v>AddItemPrizeListEx(1,'E308',5)</v>
      </c>
    </row>
    <row r="36" spans="1:5">
      <c r="A36" s="24">
        <v>1</v>
      </c>
      <c r="B36" s="61" t="s">
        <v>196</v>
      </c>
      <c r="C36" s="61">
        <v>5</v>
      </c>
      <c r="D36" s="61" t="s">
        <v>592</v>
      </c>
      <c r="E36" t="str">
        <f t="shared" si="2"/>
        <v>AddItemPrizeListEx(1,'E309',5)</v>
      </c>
    </row>
    <row r="37" spans="1:5">
      <c r="A37" s="24">
        <v>1</v>
      </c>
      <c r="B37" s="61" t="s">
        <v>198</v>
      </c>
      <c r="C37">
        <v>5</v>
      </c>
      <c r="D37" s="61" t="s">
        <v>593</v>
      </c>
      <c r="E37" t="str">
        <f t="shared" si="2"/>
        <v>AddItemPrizeListEx(1,'E310',5)</v>
      </c>
    </row>
    <row r="38" spans="1:5">
      <c r="A38" s="24">
        <v>1</v>
      </c>
      <c r="B38" s="61" t="s">
        <v>199</v>
      </c>
      <c r="C38" s="61">
        <v>5</v>
      </c>
      <c r="D38" s="61" t="s">
        <v>594</v>
      </c>
      <c r="E38" t="str">
        <f t="shared" si="2"/>
        <v>AddItemPrizeListEx(1,'E311',5)</v>
      </c>
    </row>
    <row r="39" spans="1:5">
      <c r="A39" s="24">
        <v>1</v>
      </c>
      <c r="B39" s="61" t="s">
        <v>200</v>
      </c>
      <c r="C39">
        <v>5</v>
      </c>
      <c r="D39" s="61" t="s">
        <v>595</v>
      </c>
      <c r="E39" t="str">
        <f t="shared" si="2"/>
        <v>AddItemPrizeListEx(1,'E312',5)</v>
      </c>
    </row>
    <row r="40" spans="1:5">
      <c r="A40" s="24">
        <v>1</v>
      </c>
      <c r="B40" s="61" t="s">
        <v>202</v>
      </c>
      <c r="C40" s="61">
        <v>5</v>
      </c>
      <c r="D40" s="61" t="s">
        <v>596</v>
      </c>
      <c r="E40" t="str">
        <f t="shared" si="2"/>
        <v>AddItemPrizeListEx(1,'E313',5)</v>
      </c>
    </row>
    <row r="41" spans="1:5">
      <c r="A41" s="24"/>
      <c r="B41" s="61"/>
      <c r="D41" s="61">
        <v>0</v>
      </c>
      <c r="E41" t="str">
        <f t="shared" si="2"/>
        <v/>
      </c>
    </row>
    <row r="42" spans="1:5">
      <c r="A42" s="24">
        <v>2</v>
      </c>
      <c r="B42" s="61" t="s">
        <v>174</v>
      </c>
      <c r="C42">
        <v>5</v>
      </c>
      <c r="D42" s="61" t="s">
        <v>560</v>
      </c>
      <c r="E42" t="str">
        <f t="shared" si="2"/>
        <v>AddItemPrizeListEx(2,'E101',5)</v>
      </c>
    </row>
    <row r="43" spans="1:5">
      <c r="A43" s="24">
        <v>2</v>
      </c>
      <c r="B43" s="61" t="s">
        <v>175</v>
      </c>
      <c r="C43">
        <v>5</v>
      </c>
      <c r="D43" s="61" t="s">
        <v>561</v>
      </c>
      <c r="E43" t="str">
        <f t="shared" si="2"/>
        <v>AddItemPrizeListEx(2,'E102',5)</v>
      </c>
    </row>
    <row r="44" spans="1:5">
      <c r="A44" s="24">
        <v>2</v>
      </c>
      <c r="B44" s="61" t="s">
        <v>176</v>
      </c>
      <c r="C44">
        <v>5</v>
      </c>
      <c r="D44" s="61" t="s">
        <v>562</v>
      </c>
      <c r="E44" t="str">
        <f t="shared" si="2"/>
        <v>AddItemPrizeListEx(2,'E103',5)</v>
      </c>
    </row>
    <row r="45" spans="1:5">
      <c r="A45" s="24">
        <v>2</v>
      </c>
      <c r="B45" s="61" t="s">
        <v>177</v>
      </c>
      <c r="C45">
        <v>5</v>
      </c>
      <c r="D45" s="61" t="s">
        <v>563</v>
      </c>
      <c r="E45" t="str">
        <f t="shared" si="2"/>
        <v>AddItemPrizeListEx(2,'E104',5)</v>
      </c>
    </row>
    <row r="46" spans="1:5">
      <c r="A46" s="24">
        <v>2</v>
      </c>
      <c r="B46" s="61" t="s">
        <v>178</v>
      </c>
      <c r="C46">
        <v>5</v>
      </c>
      <c r="D46" s="61" t="s">
        <v>564</v>
      </c>
      <c r="E46" t="str">
        <f t="shared" si="2"/>
        <v>AddItemPrizeListEx(2,'E105',5)</v>
      </c>
    </row>
    <row r="47" spans="1:5">
      <c r="A47" s="24">
        <v>2</v>
      </c>
      <c r="B47" s="61" t="s">
        <v>179</v>
      </c>
      <c r="C47">
        <v>5</v>
      </c>
      <c r="D47" s="61" t="s">
        <v>565</v>
      </c>
      <c r="E47" t="str">
        <f t="shared" si="2"/>
        <v>AddItemPrizeListEx(2,'E106',5)</v>
      </c>
    </row>
    <row r="48" spans="1:5">
      <c r="A48" s="24">
        <v>2</v>
      </c>
      <c r="B48" s="61" t="s">
        <v>180</v>
      </c>
      <c r="C48">
        <v>5</v>
      </c>
      <c r="D48" s="61" t="s">
        <v>566</v>
      </c>
      <c r="E48" t="str">
        <f t="shared" si="2"/>
        <v>AddItemPrizeListEx(2,'E107',5)</v>
      </c>
    </row>
    <row r="49" spans="1:5">
      <c r="A49" s="24">
        <v>2</v>
      </c>
      <c r="B49" s="61" t="s">
        <v>181</v>
      </c>
      <c r="C49">
        <v>5</v>
      </c>
      <c r="D49" s="61" t="s">
        <v>567</v>
      </c>
      <c r="E49" t="str">
        <f t="shared" si="2"/>
        <v>AddItemPrizeListEx(2,'E108',5)</v>
      </c>
    </row>
    <row r="50" spans="1:5">
      <c r="A50" s="24">
        <v>2</v>
      </c>
      <c r="B50" s="61" t="s">
        <v>182</v>
      </c>
      <c r="C50">
        <v>5</v>
      </c>
      <c r="D50" s="61" t="s">
        <v>568</v>
      </c>
      <c r="E50" t="str">
        <f t="shared" si="2"/>
        <v>AddItemPrizeListEx(2,'E109',5)</v>
      </c>
    </row>
    <row r="51" spans="1:5">
      <c r="A51" s="24">
        <v>2</v>
      </c>
      <c r="B51" s="61" t="s">
        <v>183</v>
      </c>
      <c r="C51">
        <v>5</v>
      </c>
      <c r="D51" s="61" t="s">
        <v>569</v>
      </c>
      <c r="E51" t="str">
        <f t="shared" si="2"/>
        <v>AddItemPrizeListEx(2,'E110',5)</v>
      </c>
    </row>
    <row r="52" spans="1:5">
      <c r="A52" s="24">
        <v>2</v>
      </c>
      <c r="B52" s="61" t="s">
        <v>184</v>
      </c>
      <c r="C52">
        <v>5</v>
      </c>
      <c r="D52" s="61" t="s">
        <v>570</v>
      </c>
      <c r="E52" t="str">
        <f t="shared" si="2"/>
        <v>AddItemPrizeListEx(2,'E111',5)</v>
      </c>
    </row>
    <row r="53" spans="1:5">
      <c r="A53" s="24">
        <v>2</v>
      </c>
      <c r="B53" s="61" t="s">
        <v>185</v>
      </c>
      <c r="C53">
        <v>5</v>
      </c>
      <c r="D53" s="61" t="s">
        <v>571</v>
      </c>
      <c r="E53" t="str">
        <f t="shared" si="2"/>
        <v>AddItemPrizeListEx(2,'E112',5)</v>
      </c>
    </row>
    <row r="54" spans="1:5">
      <c r="A54" s="24"/>
      <c r="B54" s="61"/>
      <c r="D54" s="61">
        <v>0</v>
      </c>
      <c r="E54" t="str">
        <f t="shared" si="2"/>
        <v/>
      </c>
    </row>
    <row r="55" spans="1:5">
      <c r="A55" s="24">
        <v>2</v>
      </c>
      <c r="B55" s="61" t="s">
        <v>162</v>
      </c>
      <c r="C55">
        <v>80</v>
      </c>
      <c r="D55" s="61" t="s">
        <v>572</v>
      </c>
      <c r="E55" t="str">
        <f t="shared" si="2"/>
        <v>AddItemPrizeListEx(2,'E201',80)</v>
      </c>
    </row>
    <row r="56" spans="1:5">
      <c r="A56" s="24">
        <v>2</v>
      </c>
      <c r="B56" s="61" t="s">
        <v>163</v>
      </c>
      <c r="C56">
        <v>80</v>
      </c>
      <c r="D56" s="61" t="s">
        <v>573</v>
      </c>
      <c r="E56" t="str">
        <f t="shared" si="2"/>
        <v>AddItemPrizeListEx(2,'E202',80)</v>
      </c>
    </row>
    <row r="57" spans="1:5">
      <c r="A57" s="24">
        <v>2</v>
      </c>
      <c r="B57" s="61" t="s">
        <v>164</v>
      </c>
      <c r="C57">
        <v>80</v>
      </c>
      <c r="D57" s="61" t="s">
        <v>574</v>
      </c>
      <c r="E57" t="str">
        <f t="shared" si="2"/>
        <v>AddItemPrizeListEx(2,'E203',80)</v>
      </c>
    </row>
    <row r="58" spans="1:5">
      <c r="A58" s="24">
        <v>2</v>
      </c>
      <c r="B58" s="61" t="s">
        <v>165</v>
      </c>
      <c r="C58">
        <v>80</v>
      </c>
      <c r="D58" s="61" t="s">
        <v>575</v>
      </c>
      <c r="E58" t="str">
        <f t="shared" si="2"/>
        <v>AddItemPrizeListEx(2,'E204',80)</v>
      </c>
    </row>
    <row r="59" spans="1:5">
      <c r="A59" s="24">
        <v>2</v>
      </c>
      <c r="B59" s="61" t="s">
        <v>166</v>
      </c>
      <c r="C59">
        <v>80</v>
      </c>
      <c r="D59" s="61" t="s">
        <v>576</v>
      </c>
      <c r="E59" t="str">
        <f t="shared" si="2"/>
        <v>AddItemPrizeListEx(2,'E205',80)</v>
      </c>
    </row>
    <row r="60" spans="1:5">
      <c r="A60" s="24">
        <v>2</v>
      </c>
      <c r="B60" s="61" t="s">
        <v>167</v>
      </c>
      <c r="C60">
        <v>80</v>
      </c>
      <c r="D60" s="61" t="s">
        <v>577</v>
      </c>
      <c r="E60" t="str">
        <f t="shared" si="2"/>
        <v>AddItemPrizeListEx(2,'E206',80)</v>
      </c>
    </row>
    <row r="61" spans="1:5">
      <c r="A61" s="24">
        <v>2</v>
      </c>
      <c r="B61" s="61" t="s">
        <v>168</v>
      </c>
      <c r="C61">
        <v>80</v>
      </c>
      <c r="D61" s="61" t="s">
        <v>578</v>
      </c>
      <c r="E61" t="str">
        <f t="shared" si="2"/>
        <v>AddItemPrizeListEx(2,'E207',80)</v>
      </c>
    </row>
    <row r="62" spans="1:5">
      <c r="A62" s="24">
        <v>2</v>
      </c>
      <c r="B62" s="61" t="s">
        <v>169</v>
      </c>
      <c r="C62">
        <v>80</v>
      </c>
      <c r="D62" s="61" t="s">
        <v>579</v>
      </c>
      <c r="E62" t="str">
        <f t="shared" si="2"/>
        <v>AddItemPrizeListEx(2,'E208',80)</v>
      </c>
    </row>
    <row r="63" spans="1:5">
      <c r="A63" s="24">
        <v>2</v>
      </c>
      <c r="B63" s="61" t="s">
        <v>170</v>
      </c>
      <c r="C63">
        <v>80</v>
      </c>
      <c r="D63" s="61" t="s">
        <v>580</v>
      </c>
      <c r="E63" t="str">
        <f t="shared" si="2"/>
        <v>AddItemPrizeListEx(2,'E209',80)</v>
      </c>
    </row>
    <row r="64" spans="1:5">
      <c r="A64" s="24">
        <v>2</v>
      </c>
      <c r="B64" s="61" t="s">
        <v>171</v>
      </c>
      <c r="C64">
        <v>80</v>
      </c>
      <c r="D64" s="61" t="s">
        <v>581</v>
      </c>
      <c r="E64" t="str">
        <f t="shared" si="2"/>
        <v>AddItemPrizeListEx(2,'E210',80)</v>
      </c>
    </row>
    <row r="65" spans="1:5">
      <c r="A65" s="24">
        <v>2</v>
      </c>
      <c r="B65" s="61" t="s">
        <v>172</v>
      </c>
      <c r="C65">
        <v>80</v>
      </c>
      <c r="D65" s="61" t="s">
        <v>582</v>
      </c>
      <c r="E65" t="str">
        <f t="shared" si="2"/>
        <v>AddItemPrizeListEx(2,'E211',80)</v>
      </c>
    </row>
    <row r="66" spans="1:5">
      <c r="A66" s="24">
        <v>2</v>
      </c>
      <c r="B66" s="61" t="s">
        <v>173</v>
      </c>
      <c r="C66">
        <v>80</v>
      </c>
      <c r="D66" s="61" t="s">
        <v>583</v>
      </c>
      <c r="E66" t="str">
        <f t="shared" si="2"/>
        <v>AddItemPrizeListEx(2,'E212',80)</v>
      </c>
    </row>
    <row r="67" spans="1:5">
      <c r="B67" s="61"/>
      <c r="D67" s="61">
        <v>0</v>
      </c>
      <c r="E67" t="str">
        <f t="shared" si="2"/>
        <v/>
      </c>
    </row>
    <row r="68" spans="1:5">
      <c r="A68" s="24">
        <v>2</v>
      </c>
      <c r="B68" s="61" t="s">
        <v>186</v>
      </c>
      <c r="C68">
        <v>10</v>
      </c>
      <c r="D68" s="61" t="s">
        <v>584</v>
      </c>
      <c r="E68" t="str">
        <f t="shared" si="2"/>
        <v>AddItemPrizeListEx(2,'E301',10)</v>
      </c>
    </row>
    <row r="69" spans="1:5">
      <c r="A69" s="24">
        <v>2</v>
      </c>
      <c r="B69" s="61" t="s">
        <v>187</v>
      </c>
      <c r="C69">
        <v>10</v>
      </c>
      <c r="D69" s="61" t="s">
        <v>585</v>
      </c>
      <c r="E69" t="str">
        <f t="shared" si="2"/>
        <v>AddItemPrizeListEx(2,'E302',10)</v>
      </c>
    </row>
    <row r="70" spans="1:5">
      <c r="A70" s="24">
        <v>2</v>
      </c>
      <c r="B70" s="61" t="s">
        <v>188</v>
      </c>
      <c r="C70">
        <v>10</v>
      </c>
      <c r="D70" s="61" t="s">
        <v>586</v>
      </c>
      <c r="E70" t="str">
        <f t="shared" si="2"/>
        <v>AddItemPrizeListEx(2,'E303',10)</v>
      </c>
    </row>
    <row r="71" spans="1:5">
      <c r="A71" s="24">
        <v>2</v>
      </c>
      <c r="B71" s="61" t="s">
        <v>189</v>
      </c>
      <c r="C71">
        <v>10</v>
      </c>
      <c r="D71" s="61" t="s">
        <v>587</v>
      </c>
      <c r="E71" t="str">
        <f t="shared" si="2"/>
        <v>AddItemPrizeListEx(2,'E304',10)</v>
      </c>
    </row>
    <row r="72" spans="1:5">
      <c r="A72" s="24">
        <v>2</v>
      </c>
      <c r="B72" s="61" t="s">
        <v>190</v>
      </c>
      <c r="C72">
        <v>10</v>
      </c>
      <c r="D72" s="61" t="s">
        <v>588</v>
      </c>
      <c r="E72" t="str">
        <f t="shared" si="2"/>
        <v>AddItemPrizeListEx(2,'E305',10)</v>
      </c>
    </row>
    <row r="73" spans="1:5">
      <c r="A73" s="24">
        <v>2</v>
      </c>
      <c r="B73" s="61" t="s">
        <v>192</v>
      </c>
      <c r="C73">
        <v>10</v>
      </c>
      <c r="D73" s="61" t="s">
        <v>589</v>
      </c>
      <c r="E73" t="str">
        <f t="shared" si="2"/>
        <v>AddItemPrizeListEx(2,'E306',10)</v>
      </c>
    </row>
    <row r="74" spans="1:5">
      <c r="A74" s="24">
        <v>2</v>
      </c>
      <c r="B74" s="61" t="s">
        <v>193</v>
      </c>
      <c r="C74">
        <v>10</v>
      </c>
      <c r="D74" s="61" t="s">
        <v>590</v>
      </c>
      <c r="E74" t="str">
        <f t="shared" si="2"/>
        <v>AddItemPrizeListEx(2,'E307',10)</v>
      </c>
    </row>
    <row r="75" spans="1:5">
      <c r="A75" s="24">
        <v>2</v>
      </c>
      <c r="B75" s="61" t="s">
        <v>194</v>
      </c>
      <c r="C75">
        <v>10</v>
      </c>
      <c r="D75" s="61" t="s">
        <v>591</v>
      </c>
      <c r="E75" t="str">
        <f t="shared" si="2"/>
        <v>AddItemPrizeListEx(2,'E308',10)</v>
      </c>
    </row>
    <row r="76" spans="1:5">
      <c r="A76" s="24">
        <v>2</v>
      </c>
      <c r="B76" s="61" t="s">
        <v>196</v>
      </c>
      <c r="C76">
        <v>10</v>
      </c>
      <c r="D76" s="61" t="s">
        <v>592</v>
      </c>
      <c r="E76" t="str">
        <f t="shared" si="2"/>
        <v>AddItemPrizeListEx(2,'E309',10)</v>
      </c>
    </row>
    <row r="77" spans="1:5">
      <c r="A77" s="24">
        <v>2</v>
      </c>
      <c r="B77" s="61" t="s">
        <v>198</v>
      </c>
      <c r="C77">
        <v>10</v>
      </c>
      <c r="D77" s="61" t="s">
        <v>593</v>
      </c>
      <c r="E77" t="str">
        <f t="shared" si="2"/>
        <v>AddItemPrizeListEx(2,'E310',10)</v>
      </c>
    </row>
    <row r="78" spans="1:5">
      <c r="A78" s="24">
        <v>2</v>
      </c>
      <c r="B78" s="61" t="s">
        <v>199</v>
      </c>
      <c r="C78">
        <v>10</v>
      </c>
      <c r="D78" s="61" t="s">
        <v>594</v>
      </c>
      <c r="E78" t="str">
        <f t="shared" si="2"/>
        <v>AddItemPrizeListEx(2,'E311',10)</v>
      </c>
    </row>
    <row r="79" spans="1:5">
      <c r="A79" s="24">
        <v>2</v>
      </c>
      <c r="B79" s="61" t="s">
        <v>200</v>
      </c>
      <c r="C79">
        <v>10</v>
      </c>
      <c r="D79" s="61" t="s">
        <v>595</v>
      </c>
      <c r="E79" t="str">
        <f t="shared" si="2"/>
        <v>AddItemPrizeListEx(2,'E312',10)</v>
      </c>
    </row>
    <row r="80" spans="1:5">
      <c r="A80" s="24">
        <v>2</v>
      </c>
      <c r="B80" s="61" t="s">
        <v>202</v>
      </c>
      <c r="C80">
        <v>10</v>
      </c>
      <c r="D80" s="61" t="s">
        <v>596</v>
      </c>
      <c r="E80" t="str">
        <f t="shared" si="2"/>
        <v>AddItemPrizeListEx(2,'E313',10)</v>
      </c>
    </row>
    <row r="81" spans="1:5">
      <c r="A81" s="24"/>
      <c r="B81" s="61"/>
      <c r="D81" s="61">
        <v>0</v>
      </c>
      <c r="E81" t="str">
        <f t="shared" si="2"/>
        <v/>
      </c>
    </row>
    <row r="82" spans="1:5">
      <c r="A82" s="24">
        <v>2</v>
      </c>
      <c r="B82" s="61" t="s">
        <v>191</v>
      </c>
      <c r="C82">
        <v>5</v>
      </c>
      <c r="D82" s="61" t="s">
        <v>597</v>
      </c>
      <c r="E82" t="str">
        <f t="shared" si="2"/>
        <v>AddItemPrizeListEx(2,'E401',5)</v>
      </c>
    </row>
    <row r="83" spans="1:5">
      <c r="A83" s="24">
        <v>2</v>
      </c>
      <c r="B83" s="61" t="s">
        <v>195</v>
      </c>
      <c r="C83">
        <v>5</v>
      </c>
      <c r="D83" s="61" t="s">
        <v>598</v>
      </c>
      <c r="E83" t="str">
        <f t="shared" si="2"/>
        <v>AddItemPrizeListEx(2,'E402',5)</v>
      </c>
    </row>
    <row r="84" spans="1:5">
      <c r="A84" s="24">
        <v>2</v>
      </c>
      <c r="B84" s="61" t="s">
        <v>197</v>
      </c>
      <c r="C84">
        <v>5</v>
      </c>
      <c r="D84" s="61" t="s">
        <v>599</v>
      </c>
      <c r="E84" t="str">
        <f t="shared" si="2"/>
        <v>AddItemPrizeListEx(2,'E403',5)</v>
      </c>
    </row>
    <row r="85" spans="1:5">
      <c r="A85" s="24">
        <v>2</v>
      </c>
      <c r="B85" s="61" t="s">
        <v>201</v>
      </c>
      <c r="C85">
        <v>5</v>
      </c>
      <c r="D85" s="61" t="s">
        <v>600</v>
      </c>
      <c r="E85" t="str">
        <f t="shared" si="2"/>
        <v>AddItemPrizeListEx(2,'E404',5)</v>
      </c>
    </row>
    <row r="86" spans="1:5">
      <c r="A86" s="24">
        <v>2</v>
      </c>
      <c r="B86" s="61" t="s">
        <v>203</v>
      </c>
      <c r="C86">
        <v>5</v>
      </c>
      <c r="D86" s="61" t="s">
        <v>601</v>
      </c>
      <c r="E86" t="str">
        <f t="shared" si="2"/>
        <v>AddItemPrizeListEx(2,'E405',5)</v>
      </c>
    </row>
    <row r="87" spans="1:5">
      <c r="A87" s="24">
        <v>2</v>
      </c>
      <c r="B87" s="61" t="s">
        <v>204</v>
      </c>
      <c r="C87">
        <v>5</v>
      </c>
      <c r="D87" s="61" t="s">
        <v>602</v>
      </c>
      <c r="E87" t="str">
        <f t="shared" si="2"/>
        <v>AddItemPrizeListEx(2,'E406',5)</v>
      </c>
    </row>
    <row r="88" spans="1:5">
      <c r="A88" s="24">
        <v>2</v>
      </c>
      <c r="B88" s="61" t="s">
        <v>205</v>
      </c>
      <c r="C88">
        <v>5</v>
      </c>
      <c r="D88" s="61" t="s">
        <v>603</v>
      </c>
      <c r="E88" t="str">
        <f t="shared" si="2"/>
        <v>AddItemPrizeListEx(2,'E407',5)</v>
      </c>
    </row>
    <row r="89" spans="1:5">
      <c r="A89" s="24">
        <v>2</v>
      </c>
      <c r="B89" s="61" t="s">
        <v>206</v>
      </c>
      <c r="C89">
        <v>5</v>
      </c>
      <c r="D89" s="61" t="s">
        <v>604</v>
      </c>
      <c r="E89" t="str">
        <f t="shared" si="2"/>
        <v>AddItemPrizeListEx(2,'E408',5)</v>
      </c>
    </row>
    <row r="90" spans="1:5">
      <c r="A90" s="24">
        <v>2</v>
      </c>
      <c r="B90" s="61" t="s">
        <v>207</v>
      </c>
      <c r="C90">
        <v>5</v>
      </c>
      <c r="D90" s="61" t="s">
        <v>605</v>
      </c>
      <c r="E90" t="str">
        <f t="shared" si="2"/>
        <v>AddItemPrizeListEx(2,'E409',5)</v>
      </c>
    </row>
    <row r="91" spans="1:5">
      <c r="A91" s="24">
        <v>2</v>
      </c>
      <c r="B91" s="61" t="s">
        <v>208</v>
      </c>
      <c r="C91">
        <v>5</v>
      </c>
      <c r="D91" s="61" t="s">
        <v>606</v>
      </c>
      <c r="E91" t="str">
        <f t="shared" si="2"/>
        <v>AddItemPrizeListEx(2,'E410',5)</v>
      </c>
    </row>
    <row r="92" spans="1:5">
      <c r="A92" s="24">
        <v>2</v>
      </c>
      <c r="B92" s="61" t="s">
        <v>209</v>
      </c>
      <c r="C92">
        <v>5</v>
      </c>
      <c r="D92" s="61" t="s">
        <v>607</v>
      </c>
      <c r="E92" t="str">
        <f t="shared" si="2"/>
        <v>AddItemPrizeListEx(2,'E411',5)</v>
      </c>
    </row>
    <row r="93" spans="1:5">
      <c r="A93" s="24">
        <v>2</v>
      </c>
      <c r="B93" s="61" t="s">
        <v>210</v>
      </c>
      <c r="C93">
        <v>5</v>
      </c>
      <c r="D93" s="61" t="s">
        <v>608</v>
      </c>
      <c r="E93" t="str">
        <f t="shared" ref="E93:E156" si="3">IF(B93&lt;&gt;"","AddItemPrizeListEx("&amp;A93&amp;",'"&amp;B93&amp;"',"&amp;C93&amp;")","")</f>
        <v>AddItemPrizeListEx(2,'E412',5)</v>
      </c>
    </row>
    <row r="94" spans="1:5">
      <c r="C94" s="24"/>
      <c r="D94" s="61">
        <v>0</v>
      </c>
      <c r="E94" t="str">
        <f t="shared" si="3"/>
        <v/>
      </c>
    </row>
    <row r="95" spans="1:5">
      <c r="A95">
        <v>3</v>
      </c>
      <c r="B95" s="61" t="s">
        <v>162</v>
      </c>
      <c r="C95" s="24">
        <v>5</v>
      </c>
      <c r="D95" s="61" t="s">
        <v>572</v>
      </c>
      <c r="E95" t="str">
        <f t="shared" si="3"/>
        <v>AddItemPrizeListEx(3,'E201',5)</v>
      </c>
    </row>
    <row r="96" spans="1:5">
      <c r="A96" s="61">
        <v>3</v>
      </c>
      <c r="B96" s="61" t="s">
        <v>163</v>
      </c>
      <c r="C96">
        <v>5</v>
      </c>
      <c r="D96" s="61" t="s">
        <v>573</v>
      </c>
      <c r="E96" t="str">
        <f t="shared" si="3"/>
        <v>AddItemPrizeListEx(3,'E202',5)</v>
      </c>
    </row>
    <row r="97" spans="1:5">
      <c r="A97">
        <v>3</v>
      </c>
      <c r="B97" s="61" t="s">
        <v>164</v>
      </c>
      <c r="C97" s="24">
        <v>5</v>
      </c>
      <c r="D97" s="61" t="s">
        <v>574</v>
      </c>
      <c r="E97" t="str">
        <f t="shared" si="3"/>
        <v>AddItemPrizeListEx(3,'E203',5)</v>
      </c>
    </row>
    <row r="98" spans="1:5">
      <c r="A98" s="61">
        <v>3</v>
      </c>
      <c r="B98" s="61" t="s">
        <v>165</v>
      </c>
      <c r="C98">
        <v>5</v>
      </c>
      <c r="D98" s="61" t="s">
        <v>575</v>
      </c>
      <c r="E98" t="str">
        <f t="shared" si="3"/>
        <v>AddItemPrizeListEx(3,'E204',5)</v>
      </c>
    </row>
    <row r="99" spans="1:5">
      <c r="A99">
        <v>3</v>
      </c>
      <c r="B99" s="61" t="s">
        <v>166</v>
      </c>
      <c r="C99" s="24">
        <v>5</v>
      </c>
      <c r="D99" s="61" t="s">
        <v>576</v>
      </c>
      <c r="E99" t="str">
        <f t="shared" si="3"/>
        <v>AddItemPrizeListEx(3,'E205',5)</v>
      </c>
    </row>
    <row r="100" spans="1:5">
      <c r="A100" s="61">
        <v>3</v>
      </c>
      <c r="B100" s="61" t="s">
        <v>167</v>
      </c>
      <c r="C100">
        <v>5</v>
      </c>
      <c r="D100" s="61" t="s">
        <v>577</v>
      </c>
      <c r="E100" t="str">
        <f t="shared" si="3"/>
        <v>AddItemPrizeListEx(3,'E206',5)</v>
      </c>
    </row>
    <row r="101" spans="1:5">
      <c r="A101">
        <v>3</v>
      </c>
      <c r="B101" s="61" t="s">
        <v>168</v>
      </c>
      <c r="C101" s="24">
        <v>5</v>
      </c>
      <c r="D101" s="61" t="s">
        <v>578</v>
      </c>
      <c r="E101" t="str">
        <f t="shared" si="3"/>
        <v>AddItemPrizeListEx(3,'E207',5)</v>
      </c>
    </row>
    <row r="102" spans="1:5">
      <c r="A102" s="61">
        <v>3</v>
      </c>
      <c r="B102" s="61" t="s">
        <v>169</v>
      </c>
      <c r="C102">
        <v>5</v>
      </c>
      <c r="D102" s="61" t="s">
        <v>579</v>
      </c>
      <c r="E102" t="str">
        <f t="shared" si="3"/>
        <v>AddItemPrizeListEx(3,'E208',5)</v>
      </c>
    </row>
    <row r="103" spans="1:5">
      <c r="A103">
        <v>3</v>
      </c>
      <c r="B103" s="61" t="s">
        <v>170</v>
      </c>
      <c r="C103" s="24">
        <v>5</v>
      </c>
      <c r="D103" s="61" t="s">
        <v>580</v>
      </c>
      <c r="E103" t="str">
        <f t="shared" si="3"/>
        <v>AddItemPrizeListEx(3,'E209',5)</v>
      </c>
    </row>
    <row r="104" spans="1:5">
      <c r="A104" s="61">
        <v>3</v>
      </c>
      <c r="B104" s="61" t="s">
        <v>171</v>
      </c>
      <c r="C104">
        <v>5</v>
      </c>
      <c r="D104" s="61" t="s">
        <v>581</v>
      </c>
      <c r="E104" t="str">
        <f t="shared" si="3"/>
        <v>AddItemPrizeListEx(3,'E210',5)</v>
      </c>
    </row>
    <row r="105" spans="1:5">
      <c r="A105">
        <v>3</v>
      </c>
      <c r="B105" s="61" t="s">
        <v>172</v>
      </c>
      <c r="C105" s="24">
        <v>5</v>
      </c>
      <c r="D105" s="61" t="s">
        <v>582</v>
      </c>
      <c r="E105" t="str">
        <f t="shared" si="3"/>
        <v>AddItemPrizeListEx(3,'E211',5)</v>
      </c>
    </row>
    <row r="106" spans="1:5">
      <c r="A106" s="61">
        <v>3</v>
      </c>
      <c r="B106" s="61" t="s">
        <v>173</v>
      </c>
      <c r="C106">
        <v>5</v>
      </c>
      <c r="D106" s="61" t="s">
        <v>583</v>
      </c>
      <c r="E106" t="str">
        <f t="shared" si="3"/>
        <v>AddItemPrizeListEx(3,'E212',5)</v>
      </c>
    </row>
    <row r="107" spans="1:5">
      <c r="B107" s="61"/>
      <c r="D107" s="61">
        <v>0</v>
      </c>
      <c r="E107" t="str">
        <f t="shared" si="3"/>
        <v/>
      </c>
    </row>
    <row r="108" spans="1:5">
      <c r="A108" s="61">
        <v>3</v>
      </c>
      <c r="B108" s="61" t="s">
        <v>186</v>
      </c>
      <c r="C108">
        <v>80</v>
      </c>
      <c r="D108" s="61" t="s">
        <v>584</v>
      </c>
      <c r="E108" t="str">
        <f t="shared" si="3"/>
        <v>AddItemPrizeListEx(3,'E301',80)</v>
      </c>
    </row>
    <row r="109" spans="1:5">
      <c r="A109">
        <v>3</v>
      </c>
      <c r="B109" s="61" t="s">
        <v>187</v>
      </c>
      <c r="C109">
        <v>80</v>
      </c>
      <c r="D109" s="61" t="s">
        <v>585</v>
      </c>
      <c r="E109" t="str">
        <f t="shared" si="3"/>
        <v>AddItemPrizeListEx(3,'E302',80)</v>
      </c>
    </row>
    <row r="110" spans="1:5">
      <c r="A110" s="61">
        <v>3</v>
      </c>
      <c r="B110" s="61" t="s">
        <v>188</v>
      </c>
      <c r="C110">
        <v>80</v>
      </c>
      <c r="D110" s="61" t="s">
        <v>586</v>
      </c>
      <c r="E110" t="str">
        <f t="shared" si="3"/>
        <v>AddItemPrizeListEx(3,'E303',80)</v>
      </c>
    </row>
    <row r="111" spans="1:5">
      <c r="A111">
        <v>3</v>
      </c>
      <c r="B111" s="61" t="s">
        <v>189</v>
      </c>
      <c r="C111">
        <v>80</v>
      </c>
      <c r="D111" s="61" t="s">
        <v>587</v>
      </c>
      <c r="E111" t="str">
        <f t="shared" si="3"/>
        <v>AddItemPrizeListEx(3,'E304',80)</v>
      </c>
    </row>
    <row r="112" spans="1:5">
      <c r="A112" s="61">
        <v>3</v>
      </c>
      <c r="B112" s="61" t="s">
        <v>190</v>
      </c>
      <c r="C112">
        <v>80</v>
      </c>
      <c r="D112" s="61" t="s">
        <v>588</v>
      </c>
      <c r="E112" t="str">
        <f t="shared" si="3"/>
        <v>AddItemPrizeListEx(3,'E305',80)</v>
      </c>
    </row>
    <row r="113" spans="1:5">
      <c r="A113">
        <v>3</v>
      </c>
      <c r="B113" s="61" t="s">
        <v>192</v>
      </c>
      <c r="C113">
        <v>80</v>
      </c>
      <c r="D113" s="61" t="s">
        <v>589</v>
      </c>
      <c r="E113" t="str">
        <f t="shared" si="3"/>
        <v>AddItemPrizeListEx(3,'E306',80)</v>
      </c>
    </row>
    <row r="114" spans="1:5">
      <c r="A114" s="61">
        <v>3</v>
      </c>
      <c r="B114" s="61" t="s">
        <v>193</v>
      </c>
      <c r="C114">
        <v>80</v>
      </c>
      <c r="D114" s="61" t="s">
        <v>590</v>
      </c>
      <c r="E114" t="str">
        <f t="shared" si="3"/>
        <v>AddItemPrizeListEx(3,'E307',80)</v>
      </c>
    </row>
    <row r="115" spans="1:5">
      <c r="A115">
        <v>3</v>
      </c>
      <c r="B115" s="61" t="s">
        <v>194</v>
      </c>
      <c r="C115">
        <v>80</v>
      </c>
      <c r="D115" s="61" t="s">
        <v>591</v>
      </c>
      <c r="E115" t="str">
        <f t="shared" si="3"/>
        <v>AddItemPrizeListEx(3,'E308',80)</v>
      </c>
    </row>
    <row r="116" spans="1:5">
      <c r="A116" s="61">
        <v>3</v>
      </c>
      <c r="B116" s="61" t="s">
        <v>196</v>
      </c>
      <c r="C116">
        <v>80</v>
      </c>
      <c r="D116" s="61" t="s">
        <v>592</v>
      </c>
      <c r="E116" t="str">
        <f t="shared" si="3"/>
        <v>AddItemPrizeListEx(3,'E309',80)</v>
      </c>
    </row>
    <row r="117" spans="1:5">
      <c r="A117">
        <v>3</v>
      </c>
      <c r="B117" s="61" t="s">
        <v>198</v>
      </c>
      <c r="C117">
        <v>80</v>
      </c>
      <c r="D117" s="61" t="s">
        <v>593</v>
      </c>
      <c r="E117" t="str">
        <f t="shared" si="3"/>
        <v>AddItemPrizeListEx(3,'E310',80)</v>
      </c>
    </row>
    <row r="118" spans="1:5">
      <c r="A118" s="61">
        <v>3</v>
      </c>
      <c r="B118" s="61" t="s">
        <v>199</v>
      </c>
      <c r="C118">
        <v>80</v>
      </c>
      <c r="D118" s="61" t="s">
        <v>594</v>
      </c>
      <c r="E118" t="str">
        <f t="shared" si="3"/>
        <v>AddItemPrizeListEx(3,'E311',80)</v>
      </c>
    </row>
    <row r="119" spans="1:5">
      <c r="A119">
        <v>3</v>
      </c>
      <c r="B119" s="61" t="s">
        <v>200</v>
      </c>
      <c r="C119">
        <v>80</v>
      </c>
      <c r="D119" s="61" t="s">
        <v>595</v>
      </c>
      <c r="E119" t="str">
        <f t="shared" si="3"/>
        <v>AddItemPrizeListEx(3,'E312',80)</v>
      </c>
    </row>
    <row r="120" spans="1:5">
      <c r="A120" s="61">
        <v>3</v>
      </c>
      <c r="B120" s="61" t="s">
        <v>202</v>
      </c>
      <c r="C120">
        <v>80</v>
      </c>
      <c r="D120" s="61" t="s">
        <v>596</v>
      </c>
      <c r="E120" t="str">
        <f t="shared" si="3"/>
        <v>AddItemPrizeListEx(3,'E313',80)</v>
      </c>
    </row>
    <row r="121" spans="1:5">
      <c r="B121" s="61"/>
      <c r="D121" s="61">
        <v>0</v>
      </c>
      <c r="E121" t="str">
        <f t="shared" si="3"/>
        <v/>
      </c>
    </row>
    <row r="122" spans="1:5">
      <c r="A122" s="61">
        <v>3</v>
      </c>
      <c r="B122" s="61" t="s">
        <v>191</v>
      </c>
      <c r="C122">
        <v>10</v>
      </c>
      <c r="D122" s="61" t="s">
        <v>597</v>
      </c>
      <c r="E122" t="str">
        <f t="shared" si="3"/>
        <v>AddItemPrizeListEx(3,'E401',10)</v>
      </c>
    </row>
    <row r="123" spans="1:5">
      <c r="A123">
        <v>3</v>
      </c>
      <c r="B123" s="61" t="s">
        <v>195</v>
      </c>
      <c r="C123">
        <v>10</v>
      </c>
      <c r="D123" s="61" t="s">
        <v>598</v>
      </c>
      <c r="E123" t="str">
        <f t="shared" si="3"/>
        <v>AddItemPrizeListEx(3,'E402',10)</v>
      </c>
    </row>
    <row r="124" spans="1:5">
      <c r="A124" s="61">
        <v>3</v>
      </c>
      <c r="B124" s="61" t="s">
        <v>197</v>
      </c>
      <c r="C124">
        <v>10</v>
      </c>
      <c r="D124" s="61" t="s">
        <v>599</v>
      </c>
      <c r="E124" t="str">
        <f t="shared" si="3"/>
        <v>AddItemPrizeListEx(3,'E403',10)</v>
      </c>
    </row>
    <row r="125" spans="1:5">
      <c r="A125">
        <v>3</v>
      </c>
      <c r="B125" s="61" t="s">
        <v>201</v>
      </c>
      <c r="C125">
        <v>10</v>
      </c>
      <c r="D125" s="61" t="s">
        <v>600</v>
      </c>
      <c r="E125" t="str">
        <f t="shared" si="3"/>
        <v>AddItemPrizeListEx(3,'E404',10)</v>
      </c>
    </row>
    <row r="126" spans="1:5">
      <c r="A126" s="61">
        <v>3</v>
      </c>
      <c r="B126" s="61" t="s">
        <v>203</v>
      </c>
      <c r="C126">
        <v>10</v>
      </c>
      <c r="D126" s="61" t="s">
        <v>601</v>
      </c>
      <c r="E126" t="str">
        <f t="shared" si="3"/>
        <v>AddItemPrizeListEx(3,'E405',10)</v>
      </c>
    </row>
    <row r="127" spans="1:5">
      <c r="A127">
        <v>3</v>
      </c>
      <c r="B127" s="61" t="s">
        <v>204</v>
      </c>
      <c r="C127">
        <v>10</v>
      </c>
      <c r="D127" s="61" t="s">
        <v>602</v>
      </c>
      <c r="E127" t="str">
        <f t="shared" si="3"/>
        <v>AddItemPrizeListEx(3,'E406',10)</v>
      </c>
    </row>
    <row r="128" spans="1:5">
      <c r="A128" s="61">
        <v>3</v>
      </c>
      <c r="B128" s="61" t="s">
        <v>205</v>
      </c>
      <c r="C128">
        <v>10</v>
      </c>
      <c r="D128" s="61" t="s">
        <v>603</v>
      </c>
      <c r="E128" t="str">
        <f t="shared" si="3"/>
        <v>AddItemPrizeListEx(3,'E407',10)</v>
      </c>
    </row>
    <row r="129" spans="1:5">
      <c r="A129">
        <v>3</v>
      </c>
      <c r="B129" s="61" t="s">
        <v>206</v>
      </c>
      <c r="C129">
        <v>10</v>
      </c>
      <c r="D129" s="61" t="s">
        <v>604</v>
      </c>
      <c r="E129" t="str">
        <f t="shared" si="3"/>
        <v>AddItemPrizeListEx(3,'E408',10)</v>
      </c>
    </row>
    <row r="130" spans="1:5">
      <c r="A130" s="61">
        <v>3</v>
      </c>
      <c r="B130" s="61" t="s">
        <v>207</v>
      </c>
      <c r="C130">
        <v>10</v>
      </c>
      <c r="D130" s="61" t="s">
        <v>605</v>
      </c>
      <c r="E130" t="str">
        <f t="shared" si="3"/>
        <v>AddItemPrizeListEx(3,'E409',10)</v>
      </c>
    </row>
    <row r="131" spans="1:5">
      <c r="A131">
        <v>3</v>
      </c>
      <c r="B131" s="61" t="s">
        <v>208</v>
      </c>
      <c r="C131">
        <v>10</v>
      </c>
      <c r="D131" s="61" t="s">
        <v>606</v>
      </c>
      <c r="E131" t="str">
        <f t="shared" si="3"/>
        <v>AddItemPrizeListEx(3,'E410',10)</v>
      </c>
    </row>
    <row r="132" spans="1:5">
      <c r="A132" s="61">
        <v>3</v>
      </c>
      <c r="B132" s="61" t="s">
        <v>209</v>
      </c>
      <c r="C132">
        <v>10</v>
      </c>
      <c r="D132" s="61" t="s">
        <v>607</v>
      </c>
      <c r="E132" t="str">
        <f t="shared" si="3"/>
        <v>AddItemPrizeListEx(3,'E411',10)</v>
      </c>
    </row>
    <row r="133" spans="1:5">
      <c r="A133">
        <v>3</v>
      </c>
      <c r="B133" s="61" t="s">
        <v>210</v>
      </c>
      <c r="C133">
        <v>10</v>
      </c>
      <c r="D133" s="61" t="s">
        <v>608</v>
      </c>
      <c r="E133" t="str">
        <f t="shared" si="3"/>
        <v>AddItemPrizeListEx(3,'E412',10)</v>
      </c>
    </row>
    <row r="134" spans="1:5">
      <c r="A134" s="61"/>
      <c r="D134" s="61">
        <v>0</v>
      </c>
      <c r="E134" t="str">
        <f t="shared" si="3"/>
        <v/>
      </c>
    </row>
    <row r="135" spans="1:5">
      <c r="A135">
        <v>3</v>
      </c>
      <c r="B135" t="s">
        <v>211</v>
      </c>
      <c r="C135">
        <v>5</v>
      </c>
      <c r="D135" s="61" t="s">
        <v>609</v>
      </c>
      <c r="E135" t="str">
        <f t="shared" si="3"/>
        <v>AddItemPrizeListEx(3,'E501',5)</v>
      </c>
    </row>
    <row r="136" spans="1:5">
      <c r="A136" s="61">
        <v>3</v>
      </c>
      <c r="B136" t="s">
        <v>212</v>
      </c>
      <c r="C136">
        <v>5</v>
      </c>
      <c r="D136" s="61" t="s">
        <v>610</v>
      </c>
      <c r="E136" t="str">
        <f t="shared" si="3"/>
        <v>AddItemPrizeListEx(3,'E502',5)</v>
      </c>
    </row>
    <row r="137" spans="1:5">
      <c r="A137">
        <v>3</v>
      </c>
      <c r="B137" t="s">
        <v>213</v>
      </c>
      <c r="C137">
        <v>5</v>
      </c>
      <c r="D137" s="61" t="s">
        <v>611</v>
      </c>
      <c r="E137" t="str">
        <f t="shared" si="3"/>
        <v>AddItemPrizeListEx(3,'E503',5)</v>
      </c>
    </row>
    <row r="138" spans="1:5">
      <c r="A138" s="61">
        <v>3</v>
      </c>
      <c r="B138" t="s">
        <v>214</v>
      </c>
      <c r="C138">
        <v>5</v>
      </c>
      <c r="D138" s="61" t="s">
        <v>612</v>
      </c>
      <c r="E138" t="str">
        <f t="shared" si="3"/>
        <v>AddItemPrizeListEx(3,'E504',5)</v>
      </c>
    </row>
    <row r="139" spans="1:5">
      <c r="A139">
        <v>3</v>
      </c>
      <c r="B139" t="s">
        <v>215</v>
      </c>
      <c r="C139">
        <v>5</v>
      </c>
      <c r="D139" s="61" t="s">
        <v>613</v>
      </c>
      <c r="E139" t="str">
        <f t="shared" si="3"/>
        <v>AddItemPrizeListEx(3,'E505',5)</v>
      </c>
    </row>
    <row r="140" spans="1:5">
      <c r="A140" s="61">
        <v>3</v>
      </c>
      <c r="B140" t="s">
        <v>216</v>
      </c>
      <c r="C140">
        <v>5</v>
      </c>
      <c r="D140" s="61" t="s">
        <v>614</v>
      </c>
      <c r="E140" t="str">
        <f t="shared" si="3"/>
        <v>AddItemPrizeListEx(3,'E506',5)</v>
      </c>
    </row>
    <row r="141" spans="1:5">
      <c r="A141">
        <v>3</v>
      </c>
      <c r="B141" t="s">
        <v>217</v>
      </c>
      <c r="C141">
        <v>5</v>
      </c>
      <c r="D141" s="61" t="s">
        <v>615</v>
      </c>
      <c r="E141" t="str">
        <f t="shared" si="3"/>
        <v>AddItemPrizeListEx(3,'E507',5)</v>
      </c>
    </row>
    <row r="142" spans="1:5">
      <c r="A142" s="61">
        <v>3</v>
      </c>
      <c r="B142" t="s">
        <v>218</v>
      </c>
      <c r="C142">
        <v>5</v>
      </c>
      <c r="D142" s="61" t="s">
        <v>616</v>
      </c>
      <c r="E142" t="str">
        <f t="shared" si="3"/>
        <v>AddItemPrizeListEx(3,'E508',5)</v>
      </c>
    </row>
    <row r="143" spans="1:5">
      <c r="A143">
        <v>3</v>
      </c>
      <c r="B143" t="s">
        <v>219</v>
      </c>
      <c r="C143">
        <v>5</v>
      </c>
      <c r="D143" s="61" t="s">
        <v>617</v>
      </c>
      <c r="E143" t="str">
        <f t="shared" si="3"/>
        <v>AddItemPrizeListEx(3,'E509',5)</v>
      </c>
    </row>
    <row r="144" spans="1:5">
      <c r="A144" s="61">
        <v>3</v>
      </c>
      <c r="B144" t="s">
        <v>220</v>
      </c>
      <c r="C144">
        <v>5</v>
      </c>
      <c r="D144" s="61" t="s">
        <v>618</v>
      </c>
      <c r="E144" t="str">
        <f t="shared" si="3"/>
        <v>AddItemPrizeListEx(3,'E510',5)</v>
      </c>
    </row>
    <row r="145" spans="1:5">
      <c r="A145">
        <v>3</v>
      </c>
      <c r="B145" t="s">
        <v>221</v>
      </c>
      <c r="C145">
        <v>5</v>
      </c>
      <c r="D145" s="61" t="s">
        <v>619</v>
      </c>
      <c r="E145" t="str">
        <f t="shared" si="3"/>
        <v>AddItemPrizeListEx(3,'E511',5)</v>
      </c>
    </row>
    <row r="146" spans="1:5">
      <c r="A146" s="61">
        <v>3</v>
      </c>
      <c r="B146" t="s">
        <v>222</v>
      </c>
      <c r="C146">
        <v>5</v>
      </c>
      <c r="D146" s="61" t="s">
        <v>620</v>
      </c>
      <c r="E146" t="str">
        <f t="shared" si="3"/>
        <v>AddItemPrizeListEx(3,'E512',5)</v>
      </c>
    </row>
    <row r="147" spans="1:5">
      <c r="D147" s="61">
        <v>0</v>
      </c>
      <c r="E147" t="str">
        <f t="shared" si="3"/>
        <v/>
      </c>
    </row>
    <row r="148" spans="1:5">
      <c r="A148">
        <v>4</v>
      </c>
      <c r="B148" s="61" t="s">
        <v>186</v>
      </c>
      <c r="C148">
        <v>5</v>
      </c>
      <c r="D148" s="61" t="s">
        <v>584</v>
      </c>
      <c r="E148" t="str">
        <f t="shared" si="3"/>
        <v>AddItemPrizeListEx(4,'E301',5)</v>
      </c>
    </row>
    <row r="149" spans="1:5">
      <c r="A149">
        <v>4</v>
      </c>
      <c r="B149" s="61" t="s">
        <v>187</v>
      </c>
      <c r="C149">
        <v>5</v>
      </c>
      <c r="D149" s="61" t="s">
        <v>585</v>
      </c>
      <c r="E149" t="str">
        <f t="shared" si="3"/>
        <v>AddItemPrizeListEx(4,'E302',5)</v>
      </c>
    </row>
    <row r="150" spans="1:5">
      <c r="A150">
        <v>4</v>
      </c>
      <c r="B150" s="61" t="s">
        <v>188</v>
      </c>
      <c r="C150">
        <v>5</v>
      </c>
      <c r="D150" s="61" t="s">
        <v>586</v>
      </c>
      <c r="E150" t="str">
        <f t="shared" si="3"/>
        <v>AddItemPrizeListEx(4,'E303',5)</v>
      </c>
    </row>
    <row r="151" spans="1:5">
      <c r="A151">
        <v>4</v>
      </c>
      <c r="B151" s="61" t="s">
        <v>189</v>
      </c>
      <c r="C151">
        <v>5</v>
      </c>
      <c r="D151" s="61" t="s">
        <v>587</v>
      </c>
      <c r="E151" t="str">
        <f t="shared" si="3"/>
        <v>AddItemPrizeListEx(4,'E304',5)</v>
      </c>
    </row>
    <row r="152" spans="1:5">
      <c r="A152">
        <v>4</v>
      </c>
      <c r="B152" s="61" t="s">
        <v>190</v>
      </c>
      <c r="C152">
        <v>5</v>
      </c>
      <c r="D152" s="61" t="s">
        <v>588</v>
      </c>
      <c r="E152" t="str">
        <f t="shared" si="3"/>
        <v>AddItemPrizeListEx(4,'E305',5)</v>
      </c>
    </row>
    <row r="153" spans="1:5">
      <c r="A153">
        <v>4</v>
      </c>
      <c r="B153" s="61" t="s">
        <v>192</v>
      </c>
      <c r="C153">
        <v>5</v>
      </c>
      <c r="D153" s="61" t="s">
        <v>589</v>
      </c>
      <c r="E153" t="str">
        <f t="shared" si="3"/>
        <v>AddItemPrizeListEx(4,'E306',5)</v>
      </c>
    </row>
    <row r="154" spans="1:5">
      <c r="A154">
        <v>4</v>
      </c>
      <c r="B154" s="61" t="s">
        <v>193</v>
      </c>
      <c r="C154">
        <v>5</v>
      </c>
      <c r="D154" s="61" t="s">
        <v>590</v>
      </c>
      <c r="E154" t="str">
        <f t="shared" si="3"/>
        <v>AddItemPrizeListEx(4,'E307',5)</v>
      </c>
    </row>
    <row r="155" spans="1:5">
      <c r="A155">
        <v>4</v>
      </c>
      <c r="B155" s="61" t="s">
        <v>194</v>
      </c>
      <c r="C155">
        <v>5</v>
      </c>
      <c r="D155" s="61" t="s">
        <v>591</v>
      </c>
      <c r="E155" t="str">
        <f t="shared" si="3"/>
        <v>AddItemPrizeListEx(4,'E308',5)</v>
      </c>
    </row>
    <row r="156" spans="1:5">
      <c r="A156">
        <v>4</v>
      </c>
      <c r="B156" s="61" t="s">
        <v>196</v>
      </c>
      <c r="C156">
        <v>5</v>
      </c>
      <c r="D156" s="61" t="s">
        <v>592</v>
      </c>
      <c r="E156" t="str">
        <f t="shared" si="3"/>
        <v>AddItemPrizeListEx(4,'E309',5)</v>
      </c>
    </row>
    <row r="157" spans="1:5">
      <c r="A157">
        <v>4</v>
      </c>
      <c r="B157" s="61" t="s">
        <v>198</v>
      </c>
      <c r="C157">
        <v>5</v>
      </c>
      <c r="D157" s="61" t="s">
        <v>593</v>
      </c>
      <c r="E157" t="str">
        <f t="shared" ref="E157:E199" si="4">IF(B157&lt;&gt;"","AddItemPrizeListEx("&amp;A157&amp;",'"&amp;B157&amp;"',"&amp;C157&amp;")","")</f>
        <v>AddItemPrizeListEx(4,'E310',5)</v>
      </c>
    </row>
    <row r="158" spans="1:5">
      <c r="A158">
        <v>4</v>
      </c>
      <c r="B158" s="61" t="s">
        <v>199</v>
      </c>
      <c r="C158">
        <v>5</v>
      </c>
      <c r="D158" s="61" t="s">
        <v>594</v>
      </c>
      <c r="E158" t="str">
        <f t="shared" si="4"/>
        <v>AddItemPrizeListEx(4,'E311',5)</v>
      </c>
    </row>
    <row r="159" spans="1:5">
      <c r="A159">
        <v>4</v>
      </c>
      <c r="B159" s="61" t="s">
        <v>200</v>
      </c>
      <c r="C159">
        <v>5</v>
      </c>
      <c r="D159" s="61" t="s">
        <v>595</v>
      </c>
      <c r="E159" t="str">
        <f t="shared" si="4"/>
        <v>AddItemPrizeListEx(4,'E312',5)</v>
      </c>
    </row>
    <row r="160" spans="1:5">
      <c r="A160">
        <v>4</v>
      </c>
      <c r="B160" s="61" t="s">
        <v>202</v>
      </c>
      <c r="C160">
        <v>5</v>
      </c>
      <c r="D160" s="61" t="s">
        <v>596</v>
      </c>
      <c r="E160" t="str">
        <f t="shared" si="4"/>
        <v>AddItemPrizeListEx(4,'E313',5)</v>
      </c>
    </row>
    <row r="161" spans="1:5">
      <c r="A161">
        <v>4</v>
      </c>
      <c r="B161" s="61"/>
      <c r="D161" s="61">
        <v>0</v>
      </c>
      <c r="E161" t="str">
        <f t="shared" si="4"/>
        <v/>
      </c>
    </row>
    <row r="162" spans="1:5">
      <c r="A162">
        <v>4</v>
      </c>
      <c r="B162" s="61" t="s">
        <v>191</v>
      </c>
      <c r="C162">
        <v>80</v>
      </c>
      <c r="D162" s="61" t="s">
        <v>597</v>
      </c>
      <c r="E162" t="str">
        <f t="shared" si="4"/>
        <v>AddItemPrizeListEx(4,'E401',80)</v>
      </c>
    </row>
    <row r="163" spans="1:5">
      <c r="A163">
        <v>4</v>
      </c>
      <c r="B163" s="61" t="s">
        <v>195</v>
      </c>
      <c r="C163">
        <v>80</v>
      </c>
      <c r="D163" s="61" t="s">
        <v>598</v>
      </c>
      <c r="E163" t="str">
        <f t="shared" si="4"/>
        <v>AddItemPrizeListEx(4,'E402',80)</v>
      </c>
    </row>
    <row r="164" spans="1:5">
      <c r="A164">
        <v>4</v>
      </c>
      <c r="B164" s="61" t="s">
        <v>197</v>
      </c>
      <c r="C164">
        <v>80</v>
      </c>
      <c r="D164" s="61" t="s">
        <v>599</v>
      </c>
      <c r="E164" t="str">
        <f t="shared" si="4"/>
        <v>AddItemPrizeListEx(4,'E403',80)</v>
      </c>
    </row>
    <row r="165" spans="1:5">
      <c r="A165">
        <v>4</v>
      </c>
      <c r="B165" s="61" t="s">
        <v>201</v>
      </c>
      <c r="C165">
        <v>80</v>
      </c>
      <c r="D165" s="61" t="s">
        <v>600</v>
      </c>
      <c r="E165" t="str">
        <f t="shared" si="4"/>
        <v>AddItemPrizeListEx(4,'E404',80)</v>
      </c>
    </row>
    <row r="166" spans="1:5">
      <c r="A166">
        <v>4</v>
      </c>
      <c r="B166" s="61" t="s">
        <v>203</v>
      </c>
      <c r="C166">
        <v>80</v>
      </c>
      <c r="D166" s="61" t="s">
        <v>601</v>
      </c>
      <c r="E166" t="str">
        <f t="shared" si="4"/>
        <v>AddItemPrizeListEx(4,'E405',80)</v>
      </c>
    </row>
    <row r="167" spans="1:5">
      <c r="A167">
        <v>4</v>
      </c>
      <c r="B167" s="61" t="s">
        <v>204</v>
      </c>
      <c r="C167">
        <v>80</v>
      </c>
      <c r="D167" s="61" t="s">
        <v>602</v>
      </c>
      <c r="E167" t="str">
        <f t="shared" si="4"/>
        <v>AddItemPrizeListEx(4,'E406',80)</v>
      </c>
    </row>
    <row r="168" spans="1:5">
      <c r="A168">
        <v>4</v>
      </c>
      <c r="B168" s="61" t="s">
        <v>205</v>
      </c>
      <c r="C168">
        <v>80</v>
      </c>
      <c r="D168" s="61" t="s">
        <v>603</v>
      </c>
      <c r="E168" t="str">
        <f t="shared" si="4"/>
        <v>AddItemPrizeListEx(4,'E407',80)</v>
      </c>
    </row>
    <row r="169" spans="1:5">
      <c r="A169">
        <v>4</v>
      </c>
      <c r="B169" s="61" t="s">
        <v>206</v>
      </c>
      <c r="C169">
        <v>80</v>
      </c>
      <c r="D169" s="61" t="s">
        <v>604</v>
      </c>
      <c r="E169" t="str">
        <f t="shared" si="4"/>
        <v>AddItemPrizeListEx(4,'E408',80)</v>
      </c>
    </row>
    <row r="170" spans="1:5">
      <c r="A170">
        <v>4</v>
      </c>
      <c r="B170" s="61" t="s">
        <v>207</v>
      </c>
      <c r="C170">
        <v>80</v>
      </c>
      <c r="D170" s="61" t="s">
        <v>605</v>
      </c>
      <c r="E170" t="str">
        <f t="shared" si="4"/>
        <v>AddItemPrizeListEx(4,'E409',80)</v>
      </c>
    </row>
    <row r="171" spans="1:5">
      <c r="A171">
        <v>4</v>
      </c>
      <c r="B171" s="61" t="s">
        <v>208</v>
      </c>
      <c r="C171">
        <v>80</v>
      </c>
      <c r="D171" s="61" t="s">
        <v>606</v>
      </c>
      <c r="E171" t="str">
        <f t="shared" si="4"/>
        <v>AddItemPrizeListEx(4,'E410',80)</v>
      </c>
    </row>
    <row r="172" spans="1:5">
      <c r="A172">
        <v>4</v>
      </c>
      <c r="B172" s="61" t="s">
        <v>209</v>
      </c>
      <c r="C172">
        <v>80</v>
      </c>
      <c r="D172" s="61" t="s">
        <v>607</v>
      </c>
      <c r="E172" t="str">
        <f t="shared" si="4"/>
        <v>AddItemPrizeListEx(4,'E411',80)</v>
      </c>
    </row>
    <row r="173" spans="1:5">
      <c r="A173">
        <v>4</v>
      </c>
      <c r="B173" s="61" t="s">
        <v>210</v>
      </c>
      <c r="C173">
        <v>80</v>
      </c>
      <c r="D173" s="61" t="s">
        <v>608</v>
      </c>
      <c r="E173" t="str">
        <f t="shared" si="4"/>
        <v>AddItemPrizeListEx(4,'E412',80)</v>
      </c>
    </row>
    <row r="174" spans="1:5">
      <c r="A174">
        <v>4</v>
      </c>
      <c r="D174" s="61">
        <v>0</v>
      </c>
      <c r="E174" t="str">
        <f t="shared" si="4"/>
        <v/>
      </c>
    </row>
    <row r="175" spans="1:5">
      <c r="A175">
        <v>4</v>
      </c>
      <c r="B175" t="s">
        <v>211</v>
      </c>
      <c r="C175">
        <v>10</v>
      </c>
      <c r="D175" s="61" t="s">
        <v>609</v>
      </c>
      <c r="E175" t="str">
        <f t="shared" si="4"/>
        <v>AddItemPrizeListEx(4,'E501',10)</v>
      </c>
    </row>
    <row r="176" spans="1:5">
      <c r="A176">
        <v>4</v>
      </c>
      <c r="B176" t="s">
        <v>212</v>
      </c>
      <c r="C176">
        <v>10</v>
      </c>
      <c r="D176" s="61" t="s">
        <v>610</v>
      </c>
      <c r="E176" t="str">
        <f t="shared" si="4"/>
        <v>AddItemPrizeListEx(4,'E502',10)</v>
      </c>
    </row>
    <row r="177" spans="1:5">
      <c r="A177">
        <v>4</v>
      </c>
      <c r="B177" t="s">
        <v>213</v>
      </c>
      <c r="C177">
        <v>10</v>
      </c>
      <c r="D177" s="61" t="s">
        <v>611</v>
      </c>
      <c r="E177" t="str">
        <f t="shared" si="4"/>
        <v>AddItemPrizeListEx(4,'E503',10)</v>
      </c>
    </row>
    <row r="178" spans="1:5">
      <c r="A178">
        <v>4</v>
      </c>
      <c r="B178" t="s">
        <v>214</v>
      </c>
      <c r="C178">
        <v>10</v>
      </c>
      <c r="D178" s="61" t="s">
        <v>612</v>
      </c>
      <c r="E178" t="str">
        <f t="shared" si="4"/>
        <v>AddItemPrizeListEx(4,'E504',10)</v>
      </c>
    </row>
    <row r="179" spans="1:5">
      <c r="A179">
        <v>4</v>
      </c>
      <c r="B179" t="s">
        <v>215</v>
      </c>
      <c r="C179">
        <v>10</v>
      </c>
      <c r="D179" s="61" t="s">
        <v>613</v>
      </c>
      <c r="E179" t="str">
        <f t="shared" si="4"/>
        <v>AddItemPrizeListEx(4,'E505',10)</v>
      </c>
    </row>
    <row r="180" spans="1:5">
      <c r="A180">
        <v>4</v>
      </c>
      <c r="B180" t="s">
        <v>216</v>
      </c>
      <c r="C180">
        <v>10</v>
      </c>
      <c r="D180" s="61" t="s">
        <v>614</v>
      </c>
      <c r="E180" t="str">
        <f t="shared" si="4"/>
        <v>AddItemPrizeListEx(4,'E506',10)</v>
      </c>
    </row>
    <row r="181" spans="1:5">
      <c r="A181">
        <v>4</v>
      </c>
      <c r="B181" t="s">
        <v>217</v>
      </c>
      <c r="C181">
        <v>10</v>
      </c>
      <c r="D181" s="61" t="s">
        <v>615</v>
      </c>
      <c r="E181" t="str">
        <f t="shared" si="4"/>
        <v>AddItemPrizeListEx(4,'E507',10)</v>
      </c>
    </row>
    <row r="182" spans="1:5">
      <c r="A182">
        <v>4</v>
      </c>
      <c r="B182" t="s">
        <v>218</v>
      </c>
      <c r="C182">
        <v>10</v>
      </c>
      <c r="D182" s="61" t="s">
        <v>616</v>
      </c>
      <c r="E182" t="str">
        <f t="shared" si="4"/>
        <v>AddItemPrizeListEx(4,'E508',10)</v>
      </c>
    </row>
    <row r="183" spans="1:5">
      <c r="A183">
        <v>4</v>
      </c>
      <c r="B183" t="s">
        <v>219</v>
      </c>
      <c r="C183">
        <v>10</v>
      </c>
      <c r="D183" s="61" t="s">
        <v>617</v>
      </c>
      <c r="E183" t="str">
        <f t="shared" si="4"/>
        <v>AddItemPrizeListEx(4,'E509',10)</v>
      </c>
    </row>
    <row r="184" spans="1:5">
      <c r="A184">
        <v>4</v>
      </c>
      <c r="B184" t="s">
        <v>220</v>
      </c>
      <c r="C184">
        <v>10</v>
      </c>
      <c r="D184" s="61" t="s">
        <v>618</v>
      </c>
      <c r="E184" t="str">
        <f t="shared" si="4"/>
        <v>AddItemPrizeListEx(4,'E510',10)</v>
      </c>
    </row>
    <row r="185" spans="1:5">
      <c r="A185">
        <v>4</v>
      </c>
      <c r="B185" t="s">
        <v>221</v>
      </c>
      <c r="C185">
        <v>10</v>
      </c>
      <c r="D185" s="61" t="s">
        <v>619</v>
      </c>
      <c r="E185" t="str">
        <f t="shared" si="4"/>
        <v>AddItemPrizeListEx(4,'E511',10)</v>
      </c>
    </row>
    <row r="186" spans="1:5">
      <c r="A186">
        <v>4</v>
      </c>
      <c r="B186" t="s">
        <v>222</v>
      </c>
      <c r="C186">
        <v>10</v>
      </c>
      <c r="D186" s="61" t="s">
        <v>620</v>
      </c>
      <c r="E186" t="str">
        <f t="shared" si="4"/>
        <v>AddItemPrizeListEx(4,'E512',10)</v>
      </c>
    </row>
    <row r="187" spans="1:5">
      <c r="D187" s="61">
        <v>0</v>
      </c>
      <c r="E187" t="str">
        <f t="shared" si="4"/>
        <v/>
      </c>
    </row>
    <row r="188" spans="1:5">
      <c r="A188">
        <v>4</v>
      </c>
      <c r="B188" t="s">
        <v>534</v>
      </c>
      <c r="C188">
        <v>5</v>
      </c>
      <c r="D188" s="61" t="s">
        <v>621</v>
      </c>
      <c r="E188" t="str">
        <f t="shared" si="4"/>
        <v>AddItemPrizeListEx(4,'E601',5)</v>
      </c>
    </row>
    <row r="189" spans="1:5">
      <c r="A189">
        <v>4</v>
      </c>
      <c r="B189" t="s">
        <v>535</v>
      </c>
      <c r="C189">
        <v>5</v>
      </c>
      <c r="D189" s="61" t="s">
        <v>622</v>
      </c>
      <c r="E189" t="str">
        <f t="shared" si="4"/>
        <v>AddItemPrizeListEx(4,'E602',5)</v>
      </c>
    </row>
    <row r="190" spans="1:5">
      <c r="A190">
        <v>4</v>
      </c>
      <c r="B190" t="s">
        <v>536</v>
      </c>
      <c r="C190">
        <v>5</v>
      </c>
      <c r="D190" s="61" t="s">
        <v>623</v>
      </c>
      <c r="E190" t="str">
        <f t="shared" si="4"/>
        <v>AddItemPrizeListEx(4,'E603',5)</v>
      </c>
    </row>
    <row r="191" spans="1:5">
      <c r="A191">
        <v>4</v>
      </c>
      <c r="B191" t="s">
        <v>537</v>
      </c>
      <c r="C191">
        <v>5</v>
      </c>
      <c r="D191" s="61" t="s">
        <v>624</v>
      </c>
      <c r="E191" t="str">
        <f t="shared" si="4"/>
        <v>AddItemPrizeListEx(4,'E604',5)</v>
      </c>
    </row>
    <row r="192" spans="1:5">
      <c r="A192">
        <v>4</v>
      </c>
      <c r="B192" t="s">
        <v>538</v>
      </c>
      <c r="C192">
        <v>5</v>
      </c>
      <c r="D192" s="61" t="s">
        <v>625</v>
      </c>
      <c r="E192" t="str">
        <f t="shared" si="4"/>
        <v>AddItemPrizeListEx(4,'E605',5)</v>
      </c>
    </row>
    <row r="193" spans="1:5">
      <c r="A193">
        <v>4</v>
      </c>
      <c r="B193" t="s">
        <v>539</v>
      </c>
      <c r="C193">
        <v>5</v>
      </c>
      <c r="D193" s="61" t="s">
        <v>626</v>
      </c>
      <c r="E193" t="str">
        <f t="shared" si="4"/>
        <v>AddItemPrizeListEx(4,'E606',5)</v>
      </c>
    </row>
    <row r="194" spans="1:5">
      <c r="A194">
        <v>4</v>
      </c>
      <c r="B194" t="s">
        <v>540</v>
      </c>
      <c r="C194">
        <v>5</v>
      </c>
      <c r="D194" s="61" t="s">
        <v>627</v>
      </c>
      <c r="E194" t="str">
        <f t="shared" si="4"/>
        <v>AddItemPrizeListEx(4,'E607',5)</v>
      </c>
    </row>
    <row r="195" spans="1:5">
      <c r="A195">
        <v>4</v>
      </c>
      <c r="B195" t="s">
        <v>541</v>
      </c>
      <c r="C195">
        <v>5</v>
      </c>
      <c r="D195" s="61" t="s">
        <v>628</v>
      </c>
      <c r="E195" t="str">
        <f t="shared" si="4"/>
        <v>AddItemPrizeListEx(4,'E608',5)</v>
      </c>
    </row>
    <row r="196" spans="1:5">
      <c r="A196">
        <v>4</v>
      </c>
      <c r="B196" t="s">
        <v>542</v>
      </c>
      <c r="C196">
        <v>5</v>
      </c>
      <c r="D196" s="61" t="s">
        <v>629</v>
      </c>
      <c r="E196" t="str">
        <f t="shared" si="4"/>
        <v>AddItemPrizeListEx(4,'E609',5)</v>
      </c>
    </row>
    <row r="197" spans="1:5">
      <c r="A197">
        <v>4</v>
      </c>
      <c r="B197" t="s">
        <v>543</v>
      </c>
      <c r="C197">
        <v>5</v>
      </c>
      <c r="D197" s="61" t="s">
        <v>630</v>
      </c>
      <c r="E197" t="str">
        <f t="shared" si="4"/>
        <v>AddItemPrizeListEx(4,'E610',5)</v>
      </c>
    </row>
    <row r="198" spans="1:5">
      <c r="A198">
        <v>4</v>
      </c>
      <c r="B198" t="s">
        <v>544</v>
      </c>
      <c r="C198">
        <v>5</v>
      </c>
      <c r="D198" s="61" t="s">
        <v>631</v>
      </c>
      <c r="E198" t="str">
        <f t="shared" si="4"/>
        <v>AddItemPrizeListEx(4,'E611',5)</v>
      </c>
    </row>
    <row r="199" spans="1:5">
      <c r="A199">
        <v>4</v>
      </c>
      <c r="B199" t="s">
        <v>545</v>
      </c>
      <c r="C199">
        <v>5</v>
      </c>
      <c r="D199" s="61" t="s">
        <v>632</v>
      </c>
      <c r="E199" t="str">
        <f t="shared" si="4"/>
        <v>AddItemPrizeListEx(4,'E612',5)</v>
      </c>
    </row>
    <row r="200" spans="1:5">
      <c r="A200">
        <v>4</v>
      </c>
      <c r="B200" t="s">
        <v>546</v>
      </c>
      <c r="D200" s="61" t="s">
        <v>633</v>
      </c>
    </row>
    <row r="201" spans="1:5">
      <c r="A201">
        <v>4</v>
      </c>
      <c r="B201" t="s">
        <v>547</v>
      </c>
      <c r="D201" s="61" t="s">
        <v>634</v>
      </c>
    </row>
    <row r="202" spans="1:5">
      <c r="A202">
        <v>4</v>
      </c>
      <c r="B202" t="s">
        <v>548</v>
      </c>
      <c r="D202" s="61" t="s">
        <v>635</v>
      </c>
    </row>
    <row r="203" spans="1:5">
      <c r="A203">
        <v>4</v>
      </c>
      <c r="B203" t="s">
        <v>549</v>
      </c>
      <c r="D203" s="61" t="s">
        <v>636</v>
      </c>
    </row>
    <row r="204" spans="1:5">
      <c r="A204">
        <v>4</v>
      </c>
      <c r="B204" t="s">
        <v>550</v>
      </c>
      <c r="D204" s="61" t="s">
        <v>637</v>
      </c>
    </row>
    <row r="205" spans="1:5">
      <c r="A205">
        <v>4</v>
      </c>
      <c r="B205" t="s">
        <v>551</v>
      </c>
      <c r="D205" s="61" t="s">
        <v>638</v>
      </c>
    </row>
    <row r="206" spans="1:5">
      <c r="A206">
        <v>4</v>
      </c>
      <c r="B206" t="s">
        <v>552</v>
      </c>
      <c r="D206" s="61" t="s">
        <v>639</v>
      </c>
    </row>
    <row r="207" spans="1:5">
      <c r="A207">
        <v>4</v>
      </c>
      <c r="B207" t="s">
        <v>553</v>
      </c>
      <c r="D207" s="61" t="s">
        <v>640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CM70"/>
  <sheetViews>
    <sheetView topLeftCell="BO1" workbookViewId="0">
      <selection activeCell="BP41" sqref="BP41"/>
    </sheetView>
  </sheetViews>
  <sheetFormatPr defaultRowHeight="14.25"/>
  <sheetData>
    <row r="1" spans="1:91" ht="16.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8"/>
      <c r="O1" s="97"/>
      <c r="P1" s="97"/>
      <c r="Q1" s="97"/>
      <c r="R1" s="97"/>
      <c r="S1" s="97"/>
      <c r="T1" s="97"/>
      <c r="U1" s="97" t="s">
        <v>97</v>
      </c>
      <c r="V1" s="97" t="s">
        <v>97</v>
      </c>
      <c r="W1" s="97" t="s">
        <v>98</v>
      </c>
      <c r="X1" s="97" t="s">
        <v>99</v>
      </c>
      <c r="Y1" s="97" t="s">
        <v>100</v>
      </c>
      <c r="Z1" s="97" t="s">
        <v>101</v>
      </c>
      <c r="AA1" s="97" t="s">
        <v>102</v>
      </c>
      <c r="AB1" s="97" t="s">
        <v>103</v>
      </c>
      <c r="AC1" s="97" t="s">
        <v>104</v>
      </c>
      <c r="AD1" s="97" t="s">
        <v>105</v>
      </c>
      <c r="AE1" s="97" t="s">
        <v>106</v>
      </c>
      <c r="AF1" s="97" t="s">
        <v>107</v>
      </c>
      <c r="AG1" s="97" t="s">
        <v>108</v>
      </c>
      <c r="AH1" s="98" t="s">
        <v>109</v>
      </c>
      <c r="AI1" s="97" t="s">
        <v>110</v>
      </c>
      <c r="AJ1" s="97" t="s">
        <v>111</v>
      </c>
      <c r="AK1" s="97" t="s">
        <v>112</v>
      </c>
      <c r="AL1" s="97" t="s">
        <v>113</v>
      </c>
      <c r="AM1" s="97" t="s">
        <v>114</v>
      </c>
      <c r="AN1" s="97" t="s">
        <v>115</v>
      </c>
      <c r="AO1" s="98" t="s">
        <v>116</v>
      </c>
      <c r="AP1" s="97" t="s">
        <v>117</v>
      </c>
      <c r="AQ1" s="97" t="s">
        <v>118</v>
      </c>
      <c r="AR1" s="97" t="s">
        <v>119</v>
      </c>
      <c r="AS1" s="98" t="s">
        <v>120</v>
      </c>
      <c r="AT1" s="97" t="s">
        <v>121</v>
      </c>
      <c r="AU1" s="97" t="s">
        <v>122</v>
      </c>
      <c r="AV1" s="97" t="s">
        <v>123</v>
      </c>
      <c r="AW1" s="97" t="s">
        <v>124</v>
      </c>
      <c r="AX1" s="97" t="s">
        <v>125</v>
      </c>
      <c r="AY1" s="98" t="s">
        <v>126</v>
      </c>
      <c r="AZ1" s="98" t="s">
        <v>127</v>
      </c>
      <c r="BA1" s="97" t="s">
        <v>128</v>
      </c>
      <c r="BB1" s="97" t="s">
        <v>129</v>
      </c>
      <c r="BC1" s="97" t="s">
        <v>130</v>
      </c>
      <c r="BD1" s="97" t="s">
        <v>131</v>
      </c>
      <c r="BE1" s="98" t="s">
        <v>641</v>
      </c>
      <c r="BF1" s="98" t="s">
        <v>132</v>
      </c>
      <c r="BG1" s="111" t="s">
        <v>133</v>
      </c>
      <c r="BH1" s="111" t="s">
        <v>642</v>
      </c>
      <c r="BI1" s="111" t="s">
        <v>643</v>
      </c>
      <c r="BJ1" s="97" t="s">
        <v>134</v>
      </c>
      <c r="BK1" s="97" t="s">
        <v>135</v>
      </c>
      <c r="BL1" s="97" t="s">
        <v>136</v>
      </c>
      <c r="BM1" s="97" t="s">
        <v>137</v>
      </c>
      <c r="BN1" s="97" t="s">
        <v>138</v>
      </c>
      <c r="BO1" s="97" t="s">
        <v>139</v>
      </c>
      <c r="BP1" s="97" t="s">
        <v>140</v>
      </c>
      <c r="BQ1" s="111" t="s">
        <v>644</v>
      </c>
      <c r="BR1" s="111" t="s">
        <v>645</v>
      </c>
      <c r="BS1" s="111" t="s">
        <v>646</v>
      </c>
      <c r="BT1" s="97" t="s">
        <v>141</v>
      </c>
      <c r="BU1" s="97" t="s">
        <v>142</v>
      </c>
      <c r="BV1" s="97" t="s">
        <v>143</v>
      </c>
      <c r="BW1" s="97" t="s">
        <v>144</v>
      </c>
      <c r="BX1" s="97" t="s">
        <v>145</v>
      </c>
      <c r="BY1" s="112"/>
      <c r="BZ1" s="112"/>
      <c r="CA1" s="112"/>
      <c r="CB1" s="112"/>
      <c r="CC1" s="112"/>
      <c r="CD1" s="97" t="s">
        <v>146</v>
      </c>
      <c r="CE1" s="97" t="s">
        <v>147</v>
      </c>
      <c r="CF1" s="97" t="s">
        <v>148</v>
      </c>
      <c r="CG1" s="97" t="s">
        <v>149</v>
      </c>
      <c r="CH1" s="97" t="s">
        <v>150</v>
      </c>
      <c r="CI1" s="97" t="s">
        <v>151</v>
      </c>
      <c r="CJ1" s="97" t="s">
        <v>152</v>
      </c>
      <c r="CK1" s="98" t="s">
        <v>153</v>
      </c>
      <c r="CL1" s="113" t="s">
        <v>647</v>
      </c>
      <c r="CM1" s="98" t="s">
        <v>154</v>
      </c>
    </row>
    <row r="2" spans="1:91">
      <c r="A2" s="97"/>
      <c r="U2" s="97" t="s">
        <v>98</v>
      </c>
    </row>
    <row r="3" spans="1:91">
      <c r="A3" s="97"/>
      <c r="U3" s="97" t="s">
        <v>99</v>
      </c>
    </row>
    <row r="4" spans="1:91">
      <c r="A4" s="97"/>
      <c r="U4" s="97" t="s">
        <v>100</v>
      </c>
    </row>
    <row r="5" spans="1:91">
      <c r="A5" s="97"/>
      <c r="U5" s="97" t="s">
        <v>101</v>
      </c>
    </row>
    <row r="6" spans="1:91">
      <c r="A6" s="97"/>
      <c r="U6" s="97" t="s">
        <v>102</v>
      </c>
    </row>
    <row r="7" spans="1:91">
      <c r="A7" s="97"/>
      <c r="U7" s="97" t="s">
        <v>103</v>
      </c>
    </row>
    <row r="8" spans="1:91">
      <c r="A8" s="97"/>
      <c r="U8" s="97" t="s">
        <v>104</v>
      </c>
    </row>
    <row r="9" spans="1:91">
      <c r="A9" s="97"/>
      <c r="U9" s="97" t="s">
        <v>105</v>
      </c>
    </row>
    <row r="10" spans="1:91">
      <c r="A10" s="97"/>
      <c r="U10" s="97" t="s">
        <v>106</v>
      </c>
    </row>
    <row r="11" spans="1:91">
      <c r="A11" s="97"/>
      <c r="U11" s="97" t="s">
        <v>107</v>
      </c>
    </row>
    <row r="12" spans="1:91">
      <c r="A12" s="97"/>
      <c r="U12" s="97" t="s">
        <v>108</v>
      </c>
    </row>
    <row r="13" spans="1:91">
      <c r="A13" s="98"/>
      <c r="U13" s="98" t="s">
        <v>109</v>
      </c>
    </row>
    <row r="14" spans="1:91">
      <c r="A14" s="97"/>
      <c r="U14" s="97" t="s">
        <v>110</v>
      </c>
    </row>
    <row r="15" spans="1:91">
      <c r="A15" s="97"/>
      <c r="U15" s="97" t="s">
        <v>111</v>
      </c>
    </row>
    <row r="16" spans="1:91">
      <c r="A16" s="97"/>
      <c r="U16" s="97" t="s">
        <v>112</v>
      </c>
    </row>
    <row r="17" spans="1:21">
      <c r="A17" s="97"/>
      <c r="U17" s="97" t="s">
        <v>113</v>
      </c>
    </row>
    <row r="18" spans="1:21">
      <c r="A18" s="97"/>
      <c r="U18" s="97" t="s">
        <v>114</v>
      </c>
    </row>
    <row r="19" spans="1:21">
      <c r="A19" s="97"/>
      <c r="U19" s="97" t="s">
        <v>115</v>
      </c>
    </row>
    <row r="20" spans="1:21">
      <c r="A20" s="98"/>
      <c r="U20" s="98" t="s">
        <v>116</v>
      </c>
    </row>
    <row r="21" spans="1:21">
      <c r="A21" s="97"/>
      <c r="U21" s="97" t="s">
        <v>117</v>
      </c>
    </row>
    <row r="22" spans="1:21">
      <c r="A22" s="97"/>
      <c r="U22" s="97" t="s">
        <v>118</v>
      </c>
    </row>
    <row r="23" spans="1:21">
      <c r="A23" s="97"/>
      <c r="U23" s="97" t="s">
        <v>119</v>
      </c>
    </row>
    <row r="24" spans="1:21">
      <c r="A24" s="98"/>
      <c r="U24" s="98" t="s">
        <v>120</v>
      </c>
    </row>
    <row r="25" spans="1:21">
      <c r="A25" s="97"/>
      <c r="U25" s="97" t="s">
        <v>121</v>
      </c>
    </row>
    <row r="26" spans="1:21">
      <c r="A26" s="97"/>
      <c r="U26" s="97" t="s">
        <v>122</v>
      </c>
    </row>
    <row r="27" spans="1:21">
      <c r="A27" s="97"/>
      <c r="U27" s="97" t="s">
        <v>123</v>
      </c>
    </row>
    <row r="28" spans="1:21">
      <c r="A28" s="97"/>
      <c r="U28" s="97" t="s">
        <v>124</v>
      </c>
    </row>
    <row r="29" spans="1:21">
      <c r="A29" s="97"/>
      <c r="U29" s="97" t="s">
        <v>125</v>
      </c>
    </row>
    <row r="30" spans="1:21">
      <c r="A30" s="98"/>
      <c r="U30" s="98" t="s">
        <v>126</v>
      </c>
    </row>
    <row r="31" spans="1:21">
      <c r="A31" s="98"/>
      <c r="U31" s="98" t="s">
        <v>127</v>
      </c>
    </row>
    <row r="32" spans="1:21">
      <c r="A32" s="97"/>
      <c r="U32" s="97" t="s">
        <v>128</v>
      </c>
    </row>
    <row r="33" spans="1:21">
      <c r="A33" s="97"/>
      <c r="U33" s="97" t="s">
        <v>129</v>
      </c>
    </row>
    <row r="34" spans="1:21">
      <c r="A34" s="97"/>
      <c r="U34" s="97" t="s">
        <v>130</v>
      </c>
    </row>
    <row r="35" spans="1:21">
      <c r="A35" s="97"/>
      <c r="U35" s="97" t="s">
        <v>131</v>
      </c>
    </row>
    <row r="36" spans="1:21">
      <c r="A36" s="98"/>
      <c r="U36" s="98" t="s">
        <v>641</v>
      </c>
    </row>
    <row r="37" spans="1:21">
      <c r="A37" s="98"/>
      <c r="U37" s="98" t="s">
        <v>132</v>
      </c>
    </row>
    <row r="38" spans="1:21" ht="16.5">
      <c r="A38" s="111"/>
      <c r="U38" s="111" t="s">
        <v>133</v>
      </c>
    </row>
    <row r="39" spans="1:21" ht="16.5">
      <c r="A39" s="111"/>
      <c r="U39" s="111" t="s">
        <v>642</v>
      </c>
    </row>
    <row r="40" spans="1:21" ht="16.5">
      <c r="A40" s="111"/>
      <c r="U40" s="111" t="s">
        <v>643</v>
      </c>
    </row>
    <row r="41" spans="1:21">
      <c r="A41" s="97"/>
      <c r="U41" s="97" t="s">
        <v>134</v>
      </c>
    </row>
    <row r="42" spans="1:21">
      <c r="A42" s="97"/>
      <c r="U42" s="97" t="s">
        <v>135</v>
      </c>
    </row>
    <row r="43" spans="1:21">
      <c r="A43" s="97"/>
      <c r="U43" s="97" t="s">
        <v>136</v>
      </c>
    </row>
    <row r="44" spans="1:21">
      <c r="A44" s="97"/>
      <c r="U44" s="97" t="s">
        <v>137</v>
      </c>
    </row>
    <row r="45" spans="1:21">
      <c r="A45" s="97"/>
      <c r="U45" s="97" t="s">
        <v>138</v>
      </c>
    </row>
    <row r="46" spans="1:21">
      <c r="A46" s="97"/>
      <c r="U46" s="97" t="s">
        <v>139</v>
      </c>
    </row>
    <row r="47" spans="1:21">
      <c r="A47" s="97"/>
      <c r="U47" s="97" t="s">
        <v>140</v>
      </c>
    </row>
    <row r="48" spans="1:21" ht="16.5">
      <c r="A48" s="111"/>
      <c r="U48" s="111" t="s">
        <v>644</v>
      </c>
    </row>
    <row r="49" spans="1:21" ht="16.5">
      <c r="A49" s="111"/>
      <c r="U49" s="111" t="s">
        <v>645</v>
      </c>
    </row>
    <row r="50" spans="1:21" ht="16.5">
      <c r="A50" s="111"/>
      <c r="U50" s="111" t="s">
        <v>646</v>
      </c>
    </row>
    <row r="51" spans="1:21">
      <c r="A51" s="97"/>
      <c r="U51" s="97" t="s">
        <v>141</v>
      </c>
    </row>
    <row r="52" spans="1:21">
      <c r="A52" s="97"/>
      <c r="U52" s="97" t="s">
        <v>142</v>
      </c>
    </row>
    <row r="53" spans="1:21">
      <c r="A53" s="97"/>
      <c r="U53" s="97" t="s">
        <v>143</v>
      </c>
    </row>
    <row r="54" spans="1:21">
      <c r="A54" s="97"/>
      <c r="U54" s="97" t="s">
        <v>144</v>
      </c>
    </row>
    <row r="55" spans="1:21">
      <c r="A55" s="97"/>
      <c r="U55" s="97" t="s">
        <v>145</v>
      </c>
    </row>
    <row r="56" spans="1:21">
      <c r="A56" s="112"/>
      <c r="U56" s="112"/>
    </row>
    <row r="57" spans="1:21">
      <c r="A57" s="97" t="s">
        <v>146</v>
      </c>
      <c r="U57" s="112"/>
    </row>
    <row r="58" spans="1:21">
      <c r="A58" s="97" t="s">
        <v>147</v>
      </c>
      <c r="U58" s="112"/>
    </row>
    <row r="59" spans="1:21">
      <c r="A59" s="97" t="s">
        <v>148</v>
      </c>
      <c r="U59" s="112"/>
    </row>
    <row r="60" spans="1:21">
      <c r="A60" s="97" t="s">
        <v>149</v>
      </c>
      <c r="U60" s="112"/>
    </row>
    <row r="61" spans="1:21">
      <c r="A61" s="97" t="s">
        <v>150</v>
      </c>
      <c r="U61" s="97" t="s">
        <v>146</v>
      </c>
    </row>
    <row r="62" spans="1:21">
      <c r="A62" s="97" t="s">
        <v>151</v>
      </c>
      <c r="U62" s="97" t="s">
        <v>147</v>
      </c>
    </row>
    <row r="63" spans="1:21">
      <c r="A63" s="97" t="s">
        <v>152</v>
      </c>
      <c r="U63" s="97" t="s">
        <v>148</v>
      </c>
    </row>
    <row r="64" spans="1:21">
      <c r="A64" s="98" t="s">
        <v>153</v>
      </c>
      <c r="U64" s="97" t="s">
        <v>149</v>
      </c>
    </row>
    <row r="65" spans="1:21">
      <c r="A65" s="113" t="s">
        <v>647</v>
      </c>
      <c r="U65" s="97" t="s">
        <v>150</v>
      </c>
    </row>
    <row r="66" spans="1:21">
      <c r="A66" s="98" t="s">
        <v>154</v>
      </c>
      <c r="U66" s="97" t="s">
        <v>151</v>
      </c>
    </row>
    <row r="67" spans="1:21">
      <c r="U67" s="97" t="s">
        <v>152</v>
      </c>
    </row>
    <row r="68" spans="1:21">
      <c r="U68" s="98" t="s">
        <v>153</v>
      </c>
    </row>
    <row r="69" spans="1:21">
      <c r="U69" s="113" t="s">
        <v>647</v>
      </c>
    </row>
    <row r="70" spans="1:21">
      <c r="U70" s="98" t="s">
        <v>154</v>
      </c>
    </row>
  </sheetData>
  <phoneticPr fontId="1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P000</vt:lpstr>
      <vt:lpstr>装备</vt:lpstr>
      <vt:lpstr>合成公式</vt:lpstr>
      <vt:lpstr>UI数据注册</vt:lpstr>
      <vt:lpstr>属性注册</vt:lpstr>
      <vt:lpstr>导出用</vt:lpstr>
      <vt:lpstr>卡牌池</vt:lpstr>
      <vt:lpstr>装备池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2020-01-09T05:21:06Z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